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ver" sheetId="1" state="visible" r:id="rId1"/>
    <sheet name="How to read me" sheetId="2" state="visible" r:id="rId2"/>
    <sheet name="Assumptions" sheetId="3" state="visible" r:id="rId3"/>
    <sheet name="Growth Engine" sheetId="4" state="visible" r:id="rId4"/>
    <sheet name="Financial Statements" sheetId="5" state="visible" r:id="rId5"/>
    <sheet name="Revenue Forecast" sheetId="6" state="visible" r:id="rId6"/>
    <sheet name="COGS" sheetId="7" state="visible" r:id="rId7"/>
    <sheet name="OPEX" sheetId="8" state="visible" r:id="rId8"/>
    <sheet name="Personnel" sheetId="9" state="visible" r:id="rId9"/>
    <sheet name="Dasboard (FOR PITCHDECK)" sheetId="10" state="hidden" r:id="rId10"/>
    <sheet name="Dashboard" sheetId="11" state="visible" r:id="rId11"/>
    <sheet name="Diligence" sheetId="12" state="visible" r:id="rId12"/>
  </sheets>
  <definedNames/>
  <calcPr calcId="124519" fullCalcOnLoad="1"/>
</workbook>
</file>

<file path=xl/styles.xml><?xml version="1.0" encoding="utf-8"?>
<styleSheet xmlns="http://schemas.openxmlformats.org/spreadsheetml/2006/main">
  <numFmts count="19">
    <numFmt numFmtId="164" formatCode="0%;\(0%\);\-"/>
    <numFmt numFmtId="165" formatCode="0.0%"/>
    <numFmt numFmtId="166" formatCode="mmm&quot; &quot;yyyy"/>
    <numFmt numFmtId="167" formatCode="#,##0;\(#,##0\);\-"/>
    <numFmt numFmtId="168" formatCode="0.00\x"/>
    <numFmt numFmtId="169" formatCode="&quot;€&quot;#,##0"/>
    <numFmt numFmtId="170" formatCode="[$€]#,##0"/>
    <numFmt numFmtId="171" formatCode="\€#,##0.00;&quot;(€&quot;#,##0.00\);\-"/>
    <numFmt numFmtId="172" formatCode="&quot;€&quot;#,##0.00"/>
    <numFmt numFmtId="173" formatCode="\€#,##0;&quot;(€&quot;#,##0\);\-"/>
    <numFmt numFmtId="174" formatCode="[$€]#,##0.00"/>
    <numFmt numFmtId="175" formatCode="mmm&quot;-&quot;yy"/>
    <numFmt numFmtId="176" formatCode="mmm\-yy"/>
    <numFmt numFmtId="177" formatCode="mm/dd/yyyy"/>
    <numFmt numFmtId="178" formatCode="0;0;\-"/>
    <numFmt numFmtId="179" formatCode="#,##0;(#,##0)"/>
    <numFmt numFmtId="180" formatCode="0.0%;(0.0%)"/>
    <numFmt numFmtId="181" formatCode="#,##0.0;(#,##0.0)"/>
    <numFmt numFmtId="182" formatCode="#,##0.00;(#,##0.00)"/>
  </numFmts>
  <fonts count="54">
    <font>
      <name val="Calibri"/>
      <color theme="1"/>
      <sz val="11"/>
      <scheme val="minor"/>
    </font>
    <font>
      <name val="Geist"/>
      <color theme="1"/>
      <sz val="11"/>
    </font>
    <font>
      <name val="Geist"/>
      <color theme="1"/>
      <sz val="10"/>
    </font>
    <font>
      <name val="Calibri"/>
      <color theme="1"/>
      <sz val="11"/>
    </font>
    <font>
      <name val="Geist"/>
      <b val="1"/>
      <color rgb="FFFFFFFF"/>
      <sz val="11"/>
    </font>
    <font>
      <name val="Geist"/>
      <b val="1"/>
      <color rgb="FF000000"/>
      <sz val="10"/>
    </font>
    <font>
      <name val="Geist"/>
      <b val="1"/>
      <color rgb="FFFFFFFF"/>
      <sz val="10"/>
    </font>
    <font>
      <name val="Geist"/>
      <i val="1"/>
      <color rgb="FFFFFFFF"/>
      <sz val="10"/>
    </font>
    <font>
      <name val="Geist"/>
      <b val="1"/>
      <color rgb="FF000000"/>
      <sz val="11"/>
    </font>
    <font>
      <name val="Geist"/>
      <color rgb="FFFFFFFF"/>
      <sz val="10"/>
    </font>
    <font>
      <name val="Geist"/>
      <color rgb="FF000000"/>
      <sz val="11"/>
    </font>
    <font>
      <name val="Calibri"/>
      <color theme="1"/>
    </font>
    <font>
      <name val="Geist"/>
      <b val="1"/>
      <color rgb="FF0000FF"/>
      <sz val="11"/>
    </font>
    <font>
      <name val="Arial"/>
      <i val="1"/>
      <color rgb="FF999999"/>
      <sz val="9"/>
    </font>
    <font/>
    <font>
      <name val="Geist"/>
      <b val="1"/>
      <color rgb="FF999999"/>
      <sz val="11"/>
    </font>
    <font>
      <name val="Geist"/>
      <b val="1"/>
      <color rgb="FFCCCCCC"/>
      <sz val="11"/>
    </font>
    <font>
      <name val="Geist"/>
      <color rgb="FF0000FF"/>
      <sz val="10"/>
    </font>
    <font>
      <name val="Geist"/>
      <color rgb="FF000000"/>
      <sz val="10"/>
    </font>
    <font>
      <name val="Arial"/>
      <b val="1"/>
      <color rgb="FFFFFFFF"/>
      <sz val="20"/>
    </font>
    <font>
      <name val="Arial"/>
      <color rgb="FFFFFFFF"/>
      <sz val="12"/>
    </font>
    <font>
      <name val="Geist"/>
      <color rgb="FF999999"/>
      <sz val="11"/>
    </font>
    <font>
      <name val="Arial"/>
      <color rgb="FFFFFFFF"/>
      <sz val="9"/>
    </font>
    <font>
      <name val="Arial"/>
      <b val="1"/>
      <color rgb="FFFF0000"/>
      <sz val="10"/>
    </font>
    <font>
      <name val="Calibri"/>
      <b val="1"/>
      <color theme="1"/>
      <scheme val="minor"/>
    </font>
    <font>
      <name val="Geist"/>
      <color rgb="FF595959"/>
      <sz val="10"/>
    </font>
    <font>
      <name val="Geist"/>
      <b val="1"/>
      <color rgb="FF0000FF"/>
      <sz val="10"/>
    </font>
    <font>
      <name val="Geist"/>
      <b val="1"/>
      <color theme="1"/>
      <sz val="10"/>
    </font>
    <font>
      <name val="Geist"/>
      <i val="1"/>
      <color rgb="FF000000"/>
      <sz val="10"/>
    </font>
    <font>
      <name val="Geist"/>
      <color rgb="FF999999"/>
      <sz val="10"/>
    </font>
    <font>
      <name val="Geist"/>
      <color rgb="FFCCCCCC"/>
      <sz val="10"/>
    </font>
    <font>
      <name val="Geist"/>
      <b val="1"/>
      <color theme="1"/>
    </font>
    <font>
      <name val="Geist"/>
      <i val="1"/>
      <color theme="1"/>
      <sz val="10"/>
    </font>
    <font>
      <name val="Geist"/>
      <i val="1"/>
      <color rgb="FF0000FF"/>
      <sz val="10"/>
    </font>
    <font>
      <name val="Geist"/>
      <i val="1"/>
      <color rgb="FFCCCCCC"/>
      <sz val="10"/>
    </font>
    <font>
      <name val="Geist"/>
      <color rgb="FF008000"/>
      <sz val="10"/>
    </font>
    <font>
      <name val="Geist"/>
      <i val="1"/>
      <color rgb="FF999999"/>
      <sz val="10"/>
    </font>
    <font>
      <name val="Geist"/>
      <b val="1"/>
      <color rgb="FF999999"/>
      <sz val="10"/>
    </font>
    <font>
      <name val="Geist"/>
      <i val="1"/>
      <color rgb="FF2E75B6"/>
      <sz val="10"/>
    </font>
    <font>
      <name val="Geist"/>
      <b val="1"/>
      <i val="1"/>
      <color theme="1"/>
      <sz val="10"/>
    </font>
    <font>
      <name val="Arial"/>
      <b val="1"/>
      <i val="1"/>
      <color rgb="002A3A55"/>
      <sz val="9"/>
    </font>
    <font>
      <name val="Arial"/>
      <color rgb="006B7686"/>
      <sz val="9"/>
    </font>
    <font>
      <name val="Arial"/>
      <b val="1"/>
      <color rgb="002A3A55"/>
      <sz val="14"/>
    </font>
    <font>
      <name val="Arial"/>
      <i val="1"/>
      <color rgb="006B7686"/>
      <sz val="9"/>
    </font>
    <font>
      <name val="Arial"/>
      <b val="1"/>
      <color rgb="006B7686"/>
      <sz val="9"/>
    </font>
    <font>
      <name val="Arial"/>
      <b val="1"/>
      <color rgb="002A3A55"/>
      <sz val="9"/>
    </font>
    <font>
      <name val="Arial"/>
      <b val="1"/>
      <color rgb="00FFFFFF"/>
      <sz val="10"/>
    </font>
    <font>
      <name val="Arial"/>
      <color rgb="0018222F"/>
      <sz val="10"/>
    </font>
    <font>
      <name val="Arial"/>
      <b val="1"/>
      <color rgb="002A3A55"/>
      <sz val="10"/>
    </font>
    <font>
      <name val="Arial"/>
      <b val="1"/>
      <color rgb="0018222F"/>
      <sz val="10"/>
    </font>
    <font>
      <name val="Arial"/>
      <color rgb="002F8F63"/>
      <sz val="10"/>
    </font>
    <font>
      <name val="Arial"/>
      <b val="1"/>
      <sz val="10"/>
    </font>
    <font>
      <name val="Arial"/>
      <color rgb="006B7686"/>
      <sz val="10"/>
    </font>
    <font>
      <name val="Arial"/>
      <b val="1"/>
      <color rgb="006B7686"/>
      <sz val="10"/>
    </font>
  </fonts>
  <fills count="15">
    <fill>
      <patternFill/>
    </fill>
    <fill>
      <patternFill patternType="lightGray"/>
    </fill>
    <fill>
      <patternFill patternType="solid">
        <fgColor rgb="FF233145"/>
        <bgColor rgb="FF233145"/>
      </patternFill>
    </fill>
    <fill>
      <patternFill patternType="solid">
        <fgColor rgb="FF000000"/>
        <bgColor rgb="FF000000"/>
      </patternFill>
    </fill>
    <fill>
      <patternFill patternType="solid">
        <fgColor rgb="FFFFFFFF"/>
        <bgColor rgb="FFFFFFFF"/>
      </patternFill>
    </fill>
    <fill>
      <patternFill patternType="solid">
        <fgColor rgb="FFFFF2CC"/>
        <bgColor rgb="FFFFF2CC"/>
      </patternFill>
    </fill>
    <fill>
      <patternFill patternType="solid">
        <fgColor rgb="FFF3F3F3"/>
        <bgColor rgb="FFF3F3F3"/>
      </patternFill>
    </fill>
    <fill>
      <patternFill patternType="solid">
        <fgColor rgb="FFEFEFEF"/>
        <bgColor rgb="FFEFEFEF"/>
      </patternFill>
    </fill>
    <fill>
      <patternFill patternType="solid">
        <fgColor rgb="FFFFFF00"/>
        <bgColor rgb="FFFFFF00"/>
      </patternFill>
    </fill>
    <fill>
      <patternFill patternType="solid">
        <fgColor theme="1"/>
        <bgColor theme="1"/>
      </patternFill>
    </fill>
    <fill>
      <patternFill patternType="solid">
        <fgColor rgb="FFFFE599"/>
        <bgColor rgb="FFFFE599"/>
      </patternFill>
    </fill>
    <fill>
      <patternFill patternType="solid">
        <fgColor theme="0"/>
        <bgColor theme="0"/>
      </patternFill>
    </fill>
    <fill>
      <patternFill patternType="solid">
        <fgColor rgb="FFFF0000"/>
        <bgColor rgb="FFFF0000"/>
      </patternFill>
    </fill>
    <fill>
      <patternFill patternType="solid">
        <fgColor rgb="FF3A5068"/>
        <bgColor rgb="FF3A5068"/>
      </patternFill>
    </fill>
    <fill>
      <patternFill patternType="solid">
        <fgColor rgb="002A3A55"/>
      </patternFill>
    </fill>
  </fills>
  <borders count="22">
    <border/>
    <border>
      <left/>
      <right/>
      <top/>
      <bottom/>
    </border>
    <border>
      <left/>
      <top/>
      <bottom/>
    </border>
    <border>
      <right/>
      <top/>
      <bottom/>
    </border>
    <border>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top style="thin">
        <color rgb="FFB7B7B7"/>
      </top>
      <bottom style="thin">
        <color rgb="FFB7B7B7"/>
      </bottom>
    </border>
    <border>
      <bottom style="thin">
        <color rgb="FFB7B7B7"/>
      </bottom>
    </border>
    <border>
      <left style="thin">
        <color rgb="FFFF0000"/>
      </left>
      <top style="thin">
        <color rgb="FFFF0000"/>
      </top>
      <bottom style="thin">
        <color rgb="FFFF0000"/>
      </bottom>
    </border>
    <border>
      <top style="thin">
        <color rgb="FFFF0000"/>
      </top>
      <bottom style="thin">
        <color rgb="FFFF0000"/>
      </bottom>
    </border>
    <border>
      <right style="thin">
        <color rgb="FFFF0000"/>
      </right>
      <top style="thin">
        <color rgb="FFFF0000"/>
      </top>
      <bottom style="thin">
        <color rgb="FFFF0000"/>
      </bottom>
    </border>
    <border>
      <left/>
      <right/>
      <top/>
    </border>
    <border>
      <left/>
      <right/>
      <top/>
      <bottom style="thin">
        <color rgb="FF000000"/>
      </bottom>
    </border>
    <border>
      <left style="thin">
        <color rgb="FFFF0000"/>
      </left>
      <right style="thin">
        <color rgb="FFFF0000"/>
      </right>
      <top style="thin">
        <color rgb="FFFF0000"/>
      </top>
      <bottom style="thin">
        <color rgb="FFFF0000"/>
      </bottom>
    </border>
    <border>
      <top style="thin">
        <color rgb="FFFF0000"/>
      </top>
    </border>
    <border>
      <right style="thin">
        <color rgb="FFFF0000"/>
      </right>
      <top style="thin">
        <color rgb="FFFF0000"/>
      </top>
    </border>
  </borders>
  <cellStyleXfs count="1">
    <xf numFmtId="0" fontId="0" fillId="0" borderId="0"/>
  </cellStyleXfs>
  <cellXfs count="397">
    <xf numFmtId="0" fontId="0" fillId="0" borderId="0" applyAlignment="1" pivotButton="0" quotePrefix="0" xfId="0">
      <alignment vertical="bottom"/>
    </xf>
    <xf numFmtId="0" fontId="1" fillId="2" borderId="1" pivotButton="0" quotePrefix="0" xfId="0"/>
    <xf numFmtId="0" fontId="2" fillId="3" borderId="0" applyAlignment="1" pivotButton="0" quotePrefix="0" xfId="0">
      <alignment vertical="bottom"/>
    </xf>
    <xf numFmtId="0" fontId="3" fillId="3" borderId="1" pivotButton="0" quotePrefix="0" xfId="0"/>
    <xf numFmtId="0" fontId="4" fillId="2" borderId="1" pivotButton="0" quotePrefix="0" xfId="0"/>
    <xf numFmtId="0" fontId="5" fillId="3" borderId="0" pivotButton="0" quotePrefix="0" xfId="0"/>
    <xf numFmtId="0" fontId="1" fillId="0" borderId="0" pivotButton="0" quotePrefix="0" xfId="0"/>
    <xf numFmtId="0" fontId="2" fillId="4" borderId="1" pivotButton="0" quotePrefix="1" xfId="0"/>
    <xf numFmtId="0" fontId="6" fillId="3" borderId="1" applyAlignment="1" pivotButton="0" quotePrefix="0" xfId="0">
      <alignment horizontal="left" vertical="center"/>
    </xf>
    <xf numFmtId="0" fontId="2" fillId="3" borderId="1" pivotButton="0" quotePrefix="0" xfId="0"/>
    <xf numFmtId="0" fontId="7" fillId="3" borderId="1" pivotButton="0" quotePrefix="0" xfId="0"/>
    <xf numFmtId="0" fontId="6" fillId="3" borderId="0" pivotButton="0" quotePrefix="0" xfId="0"/>
    <xf numFmtId="0" fontId="8" fillId="0" borderId="0" pivotButton="0" quotePrefix="0" xfId="0"/>
    <xf numFmtId="0" fontId="9" fillId="3" borderId="1" pivotButton="0" quotePrefix="0" xfId="0"/>
    <xf numFmtId="0" fontId="8" fillId="5" borderId="1" pivotButton="0" quotePrefix="0" xfId="0"/>
    <xf numFmtId="0" fontId="10" fillId="0" borderId="0" pivotButton="0" quotePrefix="0" xfId="0"/>
    <xf numFmtId="0" fontId="11" fillId="3" borderId="0" pivotButton="0" quotePrefix="0" xfId="0"/>
    <xf numFmtId="0" fontId="9" fillId="3" borderId="2" pivotButton="0" quotePrefix="0" xfId="0"/>
    <xf numFmtId="0" fontId="9" fillId="3" borderId="0" pivotButton="0" quotePrefix="0" xfId="0"/>
    <xf numFmtId="0" fontId="9" fillId="3" borderId="3" pivotButton="0" quotePrefix="0" xfId="0"/>
    <xf numFmtId="0" fontId="12" fillId="0" borderId="0" pivotButton="0" quotePrefix="0" xfId="0"/>
    <xf numFmtId="49" fontId="13" fillId="3" borderId="0" applyAlignment="1" pivotButton="0" quotePrefix="0" xfId="0">
      <alignment horizontal="left" vertical="center"/>
    </xf>
    <xf numFmtId="0" fontId="2" fillId="0" borderId="0" applyAlignment="1" pivotButton="0" quotePrefix="0" xfId="0">
      <alignment vertical="bottom"/>
    </xf>
    <xf numFmtId="0" fontId="2" fillId="4" borderId="0" applyAlignment="1" pivotButton="0" quotePrefix="0" xfId="0">
      <alignment vertical="bottom"/>
    </xf>
    <xf numFmtId="0" fontId="8" fillId="6" borderId="1" pivotButton="0" quotePrefix="0" xfId="0"/>
    <xf numFmtId="49" fontId="13" fillId="4" borderId="0" applyAlignment="1" pivotButton="0" quotePrefix="0" xfId="0">
      <alignment horizontal="left" vertical="center"/>
    </xf>
    <xf numFmtId="0" fontId="6" fillId="3" borderId="2" pivotButton="0" quotePrefix="0" xfId="0"/>
    <xf numFmtId="0" fontId="14" fillId="0" borderId="4" pivotButton="0" quotePrefix="0" xfId="0"/>
    <xf numFmtId="0" fontId="8" fillId="7" borderId="1" pivotButton="0" quotePrefix="0" xfId="0"/>
    <xf numFmtId="0" fontId="6" fillId="4" borderId="2" pivotButton="0" quotePrefix="0" xfId="0"/>
    <xf numFmtId="0" fontId="15" fillId="0" borderId="0" pivotButton="0" quotePrefix="0" xfId="0"/>
    <xf numFmtId="0" fontId="2" fillId="4" borderId="0" pivotButton="0" quotePrefix="0" xfId="0"/>
    <xf numFmtId="0" fontId="2" fillId="0" borderId="0" pivotButton="0" quotePrefix="0" xfId="0"/>
    <xf numFmtId="0" fontId="16" fillId="0" borderId="0" pivotButton="0" quotePrefix="0" xfId="0"/>
    <xf numFmtId="3" fontId="17" fillId="0" borderId="0" applyAlignment="1" pivotButton="0" quotePrefix="0" xfId="0">
      <alignment horizontal="right" vertical="bottom"/>
    </xf>
    <xf numFmtId="0" fontId="9" fillId="4" borderId="0" pivotButton="0" quotePrefix="0" xfId="0"/>
    <xf numFmtId="0" fontId="2" fillId="4" borderId="1" applyAlignment="1" pivotButton="0" quotePrefix="0" xfId="0">
      <alignment horizontal="right"/>
    </xf>
    <xf numFmtId="0" fontId="2" fillId="3" borderId="1" applyAlignment="1" pivotButton="0" quotePrefix="0" xfId="0">
      <alignment horizontal="right"/>
    </xf>
    <xf numFmtId="0" fontId="6" fillId="3" borderId="1" applyAlignment="1" pivotButton="0" quotePrefix="0" xfId="0">
      <alignment horizontal="right" vertical="center"/>
    </xf>
    <xf numFmtId="9" fontId="18" fillId="5" borderId="0" applyAlignment="1" pivotButton="0" quotePrefix="0" xfId="0">
      <alignment horizontal="right" vertical="bottom"/>
    </xf>
    <xf numFmtId="49" fontId="13" fillId="4" borderId="0" applyAlignment="1" pivotButton="0" quotePrefix="0" xfId="0">
      <alignment horizontal="left" vertical="center"/>
    </xf>
    <xf numFmtId="0" fontId="19" fillId="3" borderId="1" pivotButton="0" quotePrefix="0" xfId="0"/>
    <xf numFmtId="0" fontId="6" fillId="3" borderId="2" applyAlignment="1" pivotButton="0" quotePrefix="0" xfId="0">
      <alignment horizontal="right" vertical="center"/>
    </xf>
    <xf numFmtId="0" fontId="18" fillId="5" borderId="0" applyAlignment="1" pivotButton="0" quotePrefix="0" xfId="0">
      <alignment vertical="bottom"/>
    </xf>
    <xf numFmtId="0" fontId="6" fillId="3" borderId="0" applyAlignment="1" pivotButton="0" quotePrefix="0" xfId="0">
      <alignment horizontal="right" vertical="center"/>
    </xf>
    <xf numFmtId="0" fontId="6" fillId="3" borderId="3" applyAlignment="1" pivotButton="0" quotePrefix="0" xfId="0">
      <alignment horizontal="right" vertical="center"/>
    </xf>
    <xf numFmtId="164" fontId="18" fillId="5" borderId="0" applyAlignment="1" pivotButton="0" quotePrefix="0" xfId="0">
      <alignment horizontal="right" vertical="bottom"/>
    </xf>
    <xf numFmtId="0" fontId="20" fillId="3" borderId="1" pivotButton="0" quotePrefix="0" xfId="0"/>
    <xf numFmtId="0" fontId="9" fillId="3" borderId="1" applyAlignment="1" pivotButton="0" quotePrefix="0" xfId="0">
      <alignment horizontal="right" vertical="center"/>
    </xf>
    <xf numFmtId="0" fontId="21" fillId="0" borderId="0" pivotButton="0" quotePrefix="0" xfId="0"/>
    <xf numFmtId="165" fontId="18" fillId="5" borderId="0" applyAlignment="1" pivotButton="0" quotePrefix="0" xfId="0">
      <alignment horizontal="right" vertical="bottom"/>
    </xf>
    <xf numFmtId="0" fontId="9" fillId="3" borderId="2" applyAlignment="1" pivotButton="0" quotePrefix="0" xfId="0">
      <alignment horizontal="right" vertical="center"/>
    </xf>
    <xf numFmtId="0" fontId="2" fillId="4" borderId="0" applyAlignment="1" pivotButton="0" quotePrefix="0" xfId="0">
      <alignment horizontal="right" vertical="center"/>
    </xf>
    <xf numFmtId="0" fontId="9" fillId="4" borderId="0" applyAlignment="1" pivotButton="0" quotePrefix="0" xfId="0">
      <alignment horizontal="right" vertical="center"/>
    </xf>
    <xf numFmtId="0" fontId="22" fillId="3" borderId="1" pivotButton="0" quotePrefix="0" xfId="0"/>
    <xf numFmtId="166" fontId="9" fillId="3" borderId="1" applyAlignment="1" pivotButton="0" quotePrefix="0" xfId="0">
      <alignment horizontal="right" vertical="center"/>
    </xf>
    <xf numFmtId="0" fontId="6" fillId="0" borderId="0" applyAlignment="1" pivotButton="0" quotePrefix="0" xfId="0">
      <alignment horizontal="left" vertical="center"/>
    </xf>
    <xf numFmtId="0" fontId="6" fillId="4" borderId="0" pivotButton="0" quotePrefix="0" xfId="0"/>
    <xf numFmtId="0" fontId="1" fillId="0" borderId="0" applyAlignment="1" pivotButton="0" quotePrefix="0" xfId="0">
      <alignment vertical="top" wrapText="1"/>
    </xf>
    <xf numFmtId="3" fontId="18" fillId="4" borderId="1" applyAlignment="1" pivotButton="0" quotePrefix="0" xfId="0">
      <alignment horizontal="right" vertical="center"/>
    </xf>
    <xf numFmtId="0" fontId="23" fillId="3" borderId="1" pivotButton="0" quotePrefix="0" xfId="0"/>
    <xf numFmtId="49" fontId="13" fillId="4" borderId="1" applyAlignment="1" pivotButton="0" quotePrefix="0" xfId="0">
      <alignment horizontal="left" vertical="center"/>
    </xf>
    <xf numFmtId="0" fontId="1" fillId="0" borderId="0" applyAlignment="1" pivotButton="0" quotePrefix="0" xfId="0">
      <alignment vertical="top" wrapText="1"/>
    </xf>
    <xf numFmtId="0" fontId="18" fillId="0" borderId="0" applyAlignment="1" pivotButton="0" quotePrefix="0" xfId="0">
      <alignment horizontal="left" vertical="center"/>
    </xf>
    <xf numFmtId="167" fontId="18" fillId="5" borderId="0" pivotButton="0" quotePrefix="0" xfId="0"/>
    <xf numFmtId="0" fontId="6" fillId="3" borderId="1" applyAlignment="1" pivotButton="0" quotePrefix="0" xfId="0">
      <alignment horizontal="right"/>
    </xf>
    <xf numFmtId="3" fontId="18" fillId="4" borderId="0" pivotButton="0" quotePrefix="0" xfId="0"/>
    <xf numFmtId="0" fontId="6" fillId="4" borderId="0" applyAlignment="1" pivotButton="0" quotePrefix="0" xfId="0">
      <alignment horizontal="right"/>
    </xf>
    <xf numFmtId="3" fontId="2" fillId="4" borderId="0" pivotButton="0" quotePrefix="0" xfId="0"/>
    <xf numFmtId="3" fontId="2" fillId="0" borderId="0" pivotButton="0" quotePrefix="0" xfId="0"/>
    <xf numFmtId="0" fontId="1" fillId="0" borderId="0" applyAlignment="1" pivotButton="0" quotePrefix="0" xfId="0">
      <alignment wrapText="1"/>
    </xf>
    <xf numFmtId="0" fontId="24" fillId="0" borderId="0" pivotButton="0" quotePrefix="0" xfId="0"/>
    <xf numFmtId="3" fontId="18" fillId="0" borderId="0" pivotButton="0" quotePrefix="0" xfId="0"/>
    <xf numFmtId="3" fontId="5" fillId="0" borderId="0" applyAlignment="1" pivotButton="0" quotePrefix="0" xfId="0">
      <alignment horizontal="left" vertical="center"/>
    </xf>
    <xf numFmtId="0" fontId="1" fillId="0" borderId="0" pivotButton="0" quotePrefix="0" xfId="0"/>
    <xf numFmtId="9" fontId="18" fillId="5" borderId="0" pivotButton="0" quotePrefix="0" xfId="0"/>
    <xf numFmtId="49" fontId="13" fillId="0" borderId="0" applyAlignment="1" pivotButton="0" quotePrefix="0" xfId="0">
      <alignment horizontal="left" vertical="center"/>
    </xf>
    <xf numFmtId="3" fontId="2" fillId="4" borderId="1" pivotButton="0" quotePrefix="0" xfId="0"/>
    <xf numFmtId="0" fontId="2" fillId="3" borderId="0" pivotButton="0" quotePrefix="0" xfId="0"/>
    <xf numFmtId="3" fontId="5" fillId="7" borderId="1" pivotButton="0" quotePrefix="0" xfId="0"/>
    <xf numFmtId="3" fontId="2" fillId="7" borderId="1" pivotButton="0" quotePrefix="0" xfId="0"/>
    <xf numFmtId="0" fontId="5" fillId="6" borderId="0" applyAlignment="1" pivotButton="0" quotePrefix="0" xfId="0">
      <alignment horizontal="left" vertical="center"/>
    </xf>
    <xf numFmtId="0" fontId="5" fillId="6" borderId="0" applyAlignment="1" pivotButton="0" quotePrefix="0" xfId="0">
      <alignment horizontal="right" vertical="center"/>
    </xf>
    <xf numFmtId="49" fontId="13" fillId="0" borderId="0" applyAlignment="1" pivotButton="0" quotePrefix="0" xfId="0">
      <alignment horizontal="left" vertical="center"/>
    </xf>
    <xf numFmtId="3" fontId="2" fillId="7" borderId="2" pivotButton="0" quotePrefix="0" xfId="0"/>
    <xf numFmtId="3" fontId="2" fillId="7" borderId="0" pivotButton="0" quotePrefix="0" xfId="0"/>
    <xf numFmtId="3" fontId="2" fillId="7" borderId="3" pivotButton="0" quotePrefix="0" xfId="0"/>
    <xf numFmtId="3" fontId="18" fillId="5" borderId="0" pivotButton="0" quotePrefix="0" xfId="0"/>
    <xf numFmtId="9" fontId="11" fillId="0" borderId="0" pivotButton="0" quotePrefix="0" xfId="0"/>
    <xf numFmtId="0" fontId="18" fillId="0" borderId="0" pivotButton="0" quotePrefix="0" xfId="0"/>
    <xf numFmtId="0" fontId="25" fillId="4" borderId="0" pivotButton="0" quotePrefix="0" xfId="0"/>
    <xf numFmtId="168" fontId="26" fillId="4" borderId="0" applyAlignment="1" pivotButton="0" quotePrefix="0" xfId="0">
      <alignment horizontal="center"/>
    </xf>
    <xf numFmtId="0" fontId="18" fillId="4" borderId="0" pivotButton="0" quotePrefix="0" xfId="0"/>
    <xf numFmtId="0" fontId="5" fillId="0" borderId="0" applyAlignment="1" pivotButton="0" quotePrefix="0" xfId="0">
      <alignment horizontal="left" vertical="bottom"/>
    </xf>
    <xf numFmtId="169" fontId="18" fillId="5" borderId="0" pivotButton="0" quotePrefix="0" xfId="0"/>
    <xf numFmtId="0" fontId="9" fillId="3" borderId="1" applyAlignment="1" pivotButton="0" quotePrefix="0" xfId="0">
      <alignment horizontal="right"/>
    </xf>
    <xf numFmtId="170" fontId="18" fillId="0" borderId="0" pivotButton="0" quotePrefix="0" xfId="0"/>
    <xf numFmtId="169" fontId="18" fillId="5" borderId="0" pivotButton="0" quotePrefix="0" xfId="0"/>
    <xf numFmtId="0" fontId="2" fillId="0" borderId="0" applyAlignment="1" pivotButton="0" quotePrefix="0" xfId="0">
      <alignment horizontal="right" vertical="center"/>
    </xf>
    <xf numFmtId="169" fontId="18" fillId="0" borderId="0" pivotButton="0" quotePrefix="0" xfId="0"/>
    <xf numFmtId="0" fontId="6" fillId="4" borderId="0" applyAlignment="1" pivotButton="0" quotePrefix="0" xfId="0">
      <alignment horizontal="right" vertical="center"/>
    </xf>
    <xf numFmtId="0" fontId="5" fillId="0" borderId="0" applyAlignment="1" pivotButton="0" quotePrefix="0" xfId="0">
      <alignment horizontal="left" vertical="center"/>
    </xf>
    <xf numFmtId="3" fontId="9" fillId="0" borderId="0" pivotButton="0" quotePrefix="0" xfId="0"/>
    <xf numFmtId="0" fontId="6" fillId="2" borderId="2" pivotButton="0" quotePrefix="0" xfId="0"/>
    <xf numFmtId="0" fontId="2" fillId="7" borderId="1" pivotButton="0" quotePrefix="0" xfId="0"/>
    <xf numFmtId="0" fontId="27" fillId="7" borderId="1" pivotButton="0" quotePrefix="0" xfId="0"/>
    <xf numFmtId="171" fontId="18" fillId="4" borderId="0" applyAlignment="1" pivotButton="0" quotePrefix="0" xfId="0">
      <alignment horizontal="center" vertical="bottom"/>
    </xf>
    <xf numFmtId="0" fontId="27" fillId="0" borderId="0" pivotButton="0" quotePrefix="0" xfId="0"/>
    <xf numFmtId="3" fontId="28" fillId="0" borderId="0" pivotButton="0" quotePrefix="0" xfId="0"/>
    <xf numFmtId="0" fontId="5" fillId="4" borderId="0" pivotButton="0" quotePrefix="0" xfId="0"/>
    <xf numFmtId="0" fontId="5" fillId="4" borderId="0" applyAlignment="1" pivotButton="0" quotePrefix="0" xfId="0">
      <alignment horizontal="left" vertical="bottom"/>
    </xf>
    <xf numFmtId="171" fontId="5" fillId="4" borderId="0" applyAlignment="1" pivotButton="0" quotePrefix="0" xfId="0">
      <alignment horizontal="left" vertical="bottom"/>
    </xf>
    <xf numFmtId="171" fontId="5" fillId="4" borderId="0" applyAlignment="1" pivotButton="0" quotePrefix="0" xfId="0">
      <alignment horizontal="center" vertical="bottom"/>
    </xf>
    <xf numFmtId="0" fontId="18" fillId="4" borderId="0" applyAlignment="1" pivotButton="0" quotePrefix="0" xfId="0">
      <alignment horizontal="left" vertical="bottom"/>
    </xf>
    <xf numFmtId="171" fontId="18" fillId="4" borderId="0" applyAlignment="1" pivotButton="0" quotePrefix="0" xfId="0">
      <alignment horizontal="left" vertical="bottom"/>
    </xf>
    <xf numFmtId="169" fontId="18" fillId="4" borderId="0" applyAlignment="1" pivotButton="0" quotePrefix="0" xfId="0">
      <alignment horizontal="right" vertical="bottom"/>
    </xf>
    <xf numFmtId="0" fontId="5" fillId="4" borderId="0" applyAlignment="1" pivotButton="0" quotePrefix="0" xfId="0">
      <alignment horizontal="left" vertical="center"/>
    </xf>
    <xf numFmtId="0" fontId="5" fillId="4" borderId="0" applyAlignment="1" pivotButton="0" quotePrefix="0" xfId="0">
      <alignment horizontal="left"/>
    </xf>
    <xf numFmtId="169" fontId="5" fillId="4" borderId="0" pivotButton="0" quotePrefix="0" xfId="0"/>
    <xf numFmtId="0" fontId="18" fillId="4" borderId="0" applyAlignment="1" pivotButton="0" quotePrefix="0" xfId="0">
      <alignment horizontal="center" vertical="bottom"/>
    </xf>
    <xf numFmtId="172" fontId="18" fillId="5" borderId="0" pivotButton="0" quotePrefix="0" xfId="0"/>
    <xf numFmtId="172" fontId="18" fillId="4" borderId="0" applyAlignment="1" pivotButton="0" quotePrefix="0" xfId="0">
      <alignment vertical="bottom"/>
    </xf>
    <xf numFmtId="0" fontId="18" fillId="4" borderId="0" applyAlignment="1" pivotButton="0" quotePrefix="0" xfId="0">
      <alignment vertical="bottom"/>
    </xf>
    <xf numFmtId="171" fontId="18" fillId="4" borderId="0" applyAlignment="1" pivotButton="0" quotePrefix="0" xfId="0">
      <alignment horizontal="right" vertical="bottom"/>
    </xf>
    <xf numFmtId="3" fontId="18" fillId="0" borderId="0" applyAlignment="1" pivotButton="0" quotePrefix="0" xfId="0">
      <alignment horizontal="center"/>
    </xf>
    <xf numFmtId="3" fontId="9" fillId="4" borderId="1" pivotButton="0" quotePrefix="0" xfId="0"/>
    <xf numFmtId="3" fontId="6" fillId="3" borderId="1" pivotButton="0" quotePrefix="0" xfId="0"/>
    <xf numFmtId="3" fontId="9" fillId="3" borderId="1" pivotButton="0" quotePrefix="0" xfId="0"/>
    <xf numFmtId="3" fontId="28" fillId="8" borderId="0" pivotButton="0" quotePrefix="0" xfId="0"/>
    <xf numFmtId="171" fontId="5" fillId="0" borderId="0" applyAlignment="1" pivotButton="0" quotePrefix="0" xfId="0">
      <alignment horizontal="right"/>
    </xf>
    <xf numFmtId="171" fontId="5" fillId="4" borderId="0" applyAlignment="1" pivotButton="0" quotePrefix="0" xfId="0">
      <alignment horizontal="right"/>
    </xf>
    <xf numFmtId="0" fontId="18" fillId="4" borderId="0" applyAlignment="1" pivotButton="0" quotePrefix="0" xfId="0">
      <alignment horizontal="right" vertical="bottom"/>
    </xf>
    <xf numFmtId="0" fontId="18" fillId="0" borderId="0" applyAlignment="1" pivotButton="0" quotePrefix="0" xfId="0">
      <alignment horizontal="center"/>
    </xf>
    <xf numFmtId="3" fontId="9" fillId="4" borderId="0" pivotButton="0" quotePrefix="0" xfId="0"/>
    <xf numFmtId="3" fontId="6" fillId="3" borderId="2" pivotButton="0" quotePrefix="0" xfId="0"/>
    <xf numFmtId="167" fontId="18" fillId="4" borderId="0" applyAlignment="1" pivotButton="0" quotePrefix="0" xfId="0">
      <alignment horizontal="center"/>
    </xf>
    <xf numFmtId="173" fontId="18" fillId="4" borderId="0" applyAlignment="1" pivotButton="0" quotePrefix="0" xfId="0">
      <alignment horizontal="right" vertical="bottom"/>
    </xf>
    <xf numFmtId="3" fontId="6" fillId="4" borderId="0" pivotButton="0" quotePrefix="0" xfId="0"/>
    <xf numFmtId="3" fontId="29" fillId="0" borderId="0" pivotButton="0" quotePrefix="0" xfId="0"/>
    <xf numFmtId="167" fontId="18" fillId="4" borderId="0" applyAlignment="1" pivotButton="0" quotePrefix="0" xfId="0">
      <alignment horizontal="center"/>
    </xf>
    <xf numFmtId="0" fontId="5" fillId="6" borderId="0" applyAlignment="1" pivotButton="0" quotePrefix="0" xfId="0">
      <alignment horizontal="left" vertical="center"/>
    </xf>
    <xf numFmtId="0" fontId="2" fillId="0" borderId="0" applyAlignment="1" pivotButton="0" quotePrefix="0" xfId="0">
      <alignment horizontal="center"/>
    </xf>
    <xf numFmtId="0" fontId="2" fillId="4" borderId="0" applyAlignment="1" pivotButton="0" quotePrefix="0" xfId="0">
      <alignment horizontal="center"/>
    </xf>
    <xf numFmtId="173" fontId="2" fillId="5" borderId="0" applyAlignment="1" pivotButton="0" quotePrefix="0" xfId="0">
      <alignment horizontal="center"/>
    </xf>
    <xf numFmtId="0" fontId="5" fillId="7" borderId="1" pivotButton="0" quotePrefix="0" xfId="0"/>
    <xf numFmtId="173" fontId="2" fillId="4" borderId="0" applyAlignment="1" pivotButton="0" quotePrefix="0" xfId="0">
      <alignment horizontal="center"/>
    </xf>
    <xf numFmtId="0" fontId="2" fillId="0" borderId="0" applyAlignment="1" pivotButton="0" quotePrefix="0" xfId="0">
      <alignment horizontal="center"/>
    </xf>
    <xf numFmtId="0" fontId="5" fillId="0" borderId="0" pivotButton="0" quotePrefix="0" xfId="0"/>
    <xf numFmtId="0" fontId="27" fillId="0" borderId="0" applyAlignment="1" pivotButton="0" quotePrefix="0" xfId="0">
      <alignment horizontal="center"/>
    </xf>
    <xf numFmtId="173" fontId="27" fillId="4" borderId="0" applyAlignment="1" pivotButton="0" quotePrefix="0" xfId="0">
      <alignment horizontal="center"/>
    </xf>
    <xf numFmtId="0" fontId="27" fillId="4" borderId="0" applyAlignment="1" pivotButton="0" quotePrefix="0" xfId="0">
      <alignment horizontal="center"/>
    </xf>
    <xf numFmtId="0" fontId="27" fillId="4" borderId="0" pivotButton="0" quotePrefix="0" xfId="0"/>
    <xf numFmtId="0" fontId="6" fillId="0" borderId="0" pivotButton="0" quotePrefix="0" xfId="0"/>
    <xf numFmtId="0" fontId="18" fillId="0" borderId="0" applyAlignment="1" pivotButton="0" quotePrefix="0" xfId="0">
      <alignment horizontal="center"/>
    </xf>
    <xf numFmtId="173" fontId="2" fillId="0" borderId="0" pivotButton="0" quotePrefix="0" xfId="0"/>
    <xf numFmtId="0" fontId="18" fillId="4" borderId="0" applyAlignment="1" pivotButton="0" quotePrefix="0" xfId="0">
      <alignment horizontal="center"/>
    </xf>
    <xf numFmtId="3" fontId="27" fillId="0" borderId="0" pivotButton="0" quotePrefix="0" xfId="0"/>
    <xf numFmtId="3" fontId="27" fillId="7" borderId="0" pivotButton="0" quotePrefix="0" xfId="0"/>
    <xf numFmtId="3" fontId="27" fillId="4" borderId="0" pivotButton="0" quotePrefix="0" xfId="0"/>
    <xf numFmtId="3" fontId="11" fillId="0" borderId="0" pivotButton="0" quotePrefix="0" xfId="0"/>
    <xf numFmtId="9" fontId="6" fillId="3" borderId="4" pivotButton="0" quotePrefix="0" xfId="0"/>
    <xf numFmtId="0" fontId="6" fillId="3" borderId="3" pivotButton="0" quotePrefix="0" xfId="0"/>
    <xf numFmtId="0" fontId="6" fillId="4" borderId="3" pivotButton="0" quotePrefix="0" xfId="0"/>
    <xf numFmtId="0" fontId="5" fillId="0" borderId="0" applyAlignment="1" pivotButton="0" quotePrefix="0" xfId="0">
      <alignment horizontal="right"/>
    </xf>
    <xf numFmtId="174" fontId="2" fillId="4" borderId="0" applyAlignment="1" pivotButton="0" quotePrefix="0" xfId="0">
      <alignment horizontal="left" vertical="center"/>
    </xf>
    <xf numFmtId="0" fontId="18" fillId="4" borderId="0" applyAlignment="1" pivotButton="0" quotePrefix="0" xfId="0">
      <alignment horizontal="left" vertical="center"/>
    </xf>
    <xf numFmtId="174" fontId="2" fillId="4" borderId="0" pivotButton="0" quotePrefix="0" xfId="0"/>
    <xf numFmtId="174" fontId="18" fillId="4" borderId="0" applyAlignment="1" pivotButton="0" quotePrefix="0" xfId="0">
      <alignment horizontal="left" vertical="center"/>
    </xf>
    <xf numFmtId="174" fontId="5" fillId="0" borderId="0" applyAlignment="1" pivotButton="0" quotePrefix="0" xfId="0">
      <alignment horizontal="left" vertical="center"/>
    </xf>
    <xf numFmtId="3" fontId="18" fillId="0" borderId="0" applyAlignment="1" pivotButton="0" quotePrefix="0" xfId="0">
      <alignment horizontal="right"/>
    </xf>
    <xf numFmtId="0" fontId="27" fillId="4" borderId="5" applyAlignment="1" pivotButton="0" quotePrefix="0" xfId="0">
      <alignment horizontal="right"/>
    </xf>
    <xf numFmtId="0" fontId="27" fillId="4" borderId="6" pivotButton="0" quotePrefix="0" xfId="0"/>
    <xf numFmtId="0" fontId="27" fillId="4" borderId="7" applyAlignment="1" pivotButton="0" quotePrefix="0" xfId="0">
      <alignment horizontal="right"/>
    </xf>
    <xf numFmtId="3" fontId="18" fillId="5" borderId="0" applyAlignment="1" pivotButton="0" quotePrefix="0" xfId="0">
      <alignment horizontal="right"/>
    </xf>
    <xf numFmtId="0" fontId="2" fillId="5" borderId="8" pivotButton="0" quotePrefix="0" xfId="0"/>
    <xf numFmtId="0" fontId="2" fillId="4" borderId="9" pivotButton="0" quotePrefix="0" xfId="0"/>
    <xf numFmtId="3" fontId="18" fillId="5" borderId="0" applyAlignment="1" pivotButton="0" quotePrefix="0" xfId="0">
      <alignment horizontal="right"/>
    </xf>
    <xf numFmtId="170" fontId="18" fillId="4" borderId="0" applyAlignment="1" pivotButton="0" quotePrefix="0" xfId="0">
      <alignment horizontal="right"/>
    </xf>
    <xf numFmtId="0" fontId="2" fillId="4" borderId="8" pivotButton="0" quotePrefix="0" xfId="0"/>
    <xf numFmtId="1" fontId="2" fillId="4" borderId="0" pivotButton="0" quotePrefix="0" xfId="0"/>
    <xf numFmtId="9" fontId="2" fillId="5" borderId="9" pivotButton="0" quotePrefix="0" xfId="0"/>
    <xf numFmtId="3" fontId="18" fillId="4" borderId="0" applyAlignment="1" pivotButton="0" quotePrefix="0" xfId="0">
      <alignment horizontal="right"/>
    </xf>
    <xf numFmtId="3" fontId="5" fillId="4" borderId="0" applyAlignment="1" pivotButton="0" quotePrefix="0" xfId="0">
      <alignment horizontal="right"/>
    </xf>
    <xf numFmtId="0" fontId="30" fillId="0" borderId="0" applyAlignment="1" pivotButton="0" quotePrefix="0" xfId="0">
      <alignment horizontal="right"/>
    </xf>
    <xf numFmtId="0" fontId="2" fillId="4" borderId="10" pivotButton="0" quotePrefix="0" xfId="0"/>
    <xf numFmtId="1" fontId="2" fillId="4" borderId="11" pivotButton="0" quotePrefix="0" xfId="0"/>
    <xf numFmtId="0" fontId="6" fillId="3" borderId="12" applyAlignment="1" pivotButton="0" quotePrefix="0" xfId="0">
      <alignment horizontal="left"/>
    </xf>
    <xf numFmtId="0" fontId="6" fillId="3" borderId="12" applyAlignment="1" pivotButton="0" quotePrefix="0" xfId="0">
      <alignment horizontal="right"/>
    </xf>
    <xf numFmtId="0" fontId="6" fillId="3" borderId="13" applyAlignment="1" pivotButton="0" quotePrefix="0" xfId="0">
      <alignment horizontal="right"/>
    </xf>
    <xf numFmtId="0" fontId="18" fillId="0" borderId="0" pivotButton="0" quotePrefix="0" xfId="0"/>
    <xf numFmtId="0" fontId="18" fillId="0" borderId="0" pivotButton="0" quotePrefix="0" xfId="0"/>
    <xf numFmtId="9" fontId="18" fillId="5" borderId="0" applyAlignment="1" pivotButton="0" quotePrefix="0" xfId="0">
      <alignment horizontal="right"/>
    </xf>
    <xf numFmtId="170" fontId="18" fillId="5" borderId="0" applyAlignment="1" pivotButton="0" quotePrefix="0" xfId="0">
      <alignment horizontal="right"/>
    </xf>
    <xf numFmtId="170" fontId="5" fillId="0" borderId="0" applyAlignment="1" pivotButton="0" quotePrefix="0" xfId="0">
      <alignment horizontal="right"/>
    </xf>
    <xf numFmtId="170" fontId="2" fillId="0" borderId="0" pivotButton="0" quotePrefix="0" xfId="0"/>
    <xf numFmtId="170" fontId="2" fillId="4" borderId="0" pivotButton="0" quotePrefix="0" xfId="0"/>
    <xf numFmtId="0" fontId="27" fillId="0" borderId="0" pivotButton="0" quotePrefix="0" xfId="0"/>
    <xf numFmtId="0" fontId="18" fillId="0" borderId="0" applyAlignment="1" pivotButton="0" quotePrefix="0" xfId="0">
      <alignment vertical="bottom"/>
    </xf>
    <xf numFmtId="9" fontId="18" fillId="4" borderId="0" applyAlignment="1" pivotButton="0" quotePrefix="0" xfId="0">
      <alignment horizontal="right"/>
    </xf>
    <xf numFmtId="170" fontId="5" fillId="0" borderId="0" applyAlignment="1" pivotButton="0" quotePrefix="0" xfId="0">
      <alignment vertical="bottom"/>
    </xf>
    <xf numFmtId="0" fontId="27" fillId="0" borderId="0" pivotButton="0" quotePrefix="0" xfId="0"/>
    <xf numFmtId="0" fontId="18" fillId="4" borderId="0" pivotButton="0" quotePrefix="0" xfId="0"/>
    <xf numFmtId="170" fontId="5" fillId="4" borderId="0" applyAlignment="1" pivotButton="0" quotePrefix="0" xfId="0">
      <alignment horizontal="right"/>
    </xf>
    <xf numFmtId="3" fontId="5" fillId="0" borderId="0" pivotButton="0" quotePrefix="0" xfId="0"/>
    <xf numFmtId="174" fontId="18" fillId="0" borderId="0" applyAlignment="1" pivotButton="0" quotePrefix="0" xfId="0">
      <alignment vertical="bottom"/>
    </xf>
    <xf numFmtId="3" fontId="5" fillId="4" borderId="0" pivotButton="0" quotePrefix="0" xfId="0"/>
    <xf numFmtId="3" fontId="3" fillId="4" borderId="1" applyAlignment="1" pivotButton="0" quotePrefix="0" xfId="0">
      <alignment vertical="bottom"/>
    </xf>
    <xf numFmtId="3" fontId="31" fillId="7" borderId="1" applyAlignment="1" pivotButton="0" quotePrefix="0" xfId="0">
      <alignment vertical="bottom"/>
    </xf>
    <xf numFmtId="3" fontId="3" fillId="7" borderId="1" applyAlignment="1" pivotButton="0" quotePrefix="0" xfId="0">
      <alignment vertical="bottom"/>
    </xf>
    <xf numFmtId="3" fontId="3" fillId="7" borderId="2" applyAlignment="1" pivotButton="0" quotePrefix="0" xfId="0">
      <alignment vertical="bottom"/>
    </xf>
    <xf numFmtId="3" fontId="3" fillId="7" borderId="0" applyAlignment="1" pivotButton="0" quotePrefix="0" xfId="0">
      <alignment vertical="bottom"/>
    </xf>
    <xf numFmtId="3" fontId="3" fillId="7" borderId="3" applyAlignment="1" pivotButton="0" quotePrefix="0" xfId="0">
      <alignment vertical="bottom"/>
    </xf>
    <xf numFmtId="3" fontId="3" fillId="4" borderId="0" applyAlignment="1" pivotButton="0" quotePrefix="0" xfId="0">
      <alignment vertical="bottom"/>
    </xf>
    <xf numFmtId="0" fontId="6" fillId="3" borderId="1" applyAlignment="1" pivotButton="0" quotePrefix="0" xfId="0">
      <alignment horizontal="center" vertical="center"/>
    </xf>
    <xf numFmtId="0" fontId="6" fillId="3" borderId="1" pivotButton="0" quotePrefix="0" xfId="0"/>
    <xf numFmtId="9" fontId="2" fillId="4" borderId="0" pivotButton="0" quotePrefix="0" xfId="0"/>
    <xf numFmtId="9" fontId="29" fillId="0" borderId="0" pivotButton="0" quotePrefix="0" xfId="0"/>
    <xf numFmtId="9" fontId="2" fillId="0" borderId="0" pivotButton="0" quotePrefix="0" xfId="0"/>
    <xf numFmtId="9" fontId="29" fillId="4" borderId="0" pivotButton="0" quotePrefix="0" xfId="0"/>
    <xf numFmtId="0" fontId="32" fillId="0" borderId="0" pivotButton="0" quotePrefix="0" xfId="0"/>
    <xf numFmtId="0" fontId="28" fillId="0" borderId="0" pivotButton="0" quotePrefix="0" xfId="0"/>
    <xf numFmtId="3" fontId="33" fillId="0" borderId="0" pivotButton="0" quotePrefix="0" xfId="0"/>
    <xf numFmtId="3" fontId="32" fillId="0" borderId="0" pivotButton="0" quotePrefix="0" xfId="0"/>
    <xf numFmtId="0" fontId="29" fillId="0" borderId="0" pivotButton="0" quotePrefix="0" xfId="0"/>
    <xf numFmtId="173" fontId="18" fillId="0" borderId="0" pivotButton="0" quotePrefix="0" xfId="0"/>
    <xf numFmtId="3" fontId="32" fillId="4" borderId="0" pivotButton="0" quotePrefix="0" xfId="0"/>
    <xf numFmtId="3" fontId="2" fillId="4" borderId="0" pivotButton="0" quotePrefix="0" xfId="0"/>
    <xf numFmtId="3" fontId="5" fillId="6" borderId="1" pivotButton="0" quotePrefix="0" xfId="0"/>
    <xf numFmtId="3" fontId="2" fillId="6" borderId="1" pivotButton="0" quotePrefix="0" xfId="0"/>
    <xf numFmtId="3" fontId="27" fillId="6" borderId="1" pivotButton="0" quotePrefix="0" xfId="0"/>
    <xf numFmtId="3" fontId="5" fillId="6" borderId="2" pivotButton="0" quotePrefix="0" xfId="0"/>
    <xf numFmtId="3" fontId="5" fillId="6" borderId="0" pivotButton="0" quotePrefix="0" xfId="0"/>
    <xf numFmtId="3" fontId="5" fillId="6" borderId="3" pivotButton="0" quotePrefix="0" xfId="0"/>
    <xf numFmtId="3" fontId="2" fillId="0" borderId="0" pivotButton="0" quotePrefix="0" xfId="0"/>
    <xf numFmtId="0" fontId="5" fillId="7" borderId="0" pivotButton="0" quotePrefix="0" xfId="0"/>
    <xf numFmtId="0" fontId="27" fillId="7" borderId="0" pivotButton="0" quotePrefix="0" xfId="0"/>
    <xf numFmtId="3" fontId="5" fillId="7" borderId="0" pivotButton="0" quotePrefix="0" xfId="0"/>
    <xf numFmtId="0" fontId="18" fillId="0" borderId="0" pivotButton="0" quotePrefix="0" xfId="0"/>
    <xf numFmtId="10" fontId="2" fillId="4" borderId="0" pivotButton="0" quotePrefix="0" xfId="0"/>
    <xf numFmtId="10" fontId="29" fillId="0" borderId="0" pivotButton="0" quotePrefix="0" xfId="0"/>
    <xf numFmtId="10" fontId="2" fillId="0" borderId="0" pivotButton="0" quotePrefix="0" xfId="0"/>
    <xf numFmtId="3" fontId="18" fillId="0" borderId="0" pivotButton="0" quotePrefix="0" xfId="0"/>
    <xf numFmtId="10" fontId="29" fillId="4" borderId="0" pivotButton="0" quotePrefix="0" xfId="0"/>
    <xf numFmtId="0" fontId="5" fillId="6" borderId="1" pivotButton="0" quotePrefix="0" xfId="0"/>
    <xf numFmtId="0" fontId="27" fillId="6" borderId="1" pivotButton="0" quotePrefix="0" xfId="0"/>
    <xf numFmtId="3" fontId="27" fillId="6" borderId="0" pivotButton="0" quotePrefix="0" xfId="0"/>
    <xf numFmtId="0" fontId="2" fillId="9" borderId="1" pivotButton="0" quotePrefix="0" xfId="0"/>
    <xf numFmtId="0" fontId="6" fillId="9" borderId="1" applyAlignment="1" pivotButton="0" quotePrefix="0" xfId="0">
      <alignment horizontal="left" vertical="center"/>
    </xf>
    <xf numFmtId="3" fontId="6" fillId="9" borderId="1" pivotButton="0" quotePrefix="0" xfId="0"/>
    <xf numFmtId="0" fontId="34" fillId="0" borderId="0" pivotButton="0" quotePrefix="0" xfId="0"/>
    <xf numFmtId="3" fontId="34" fillId="0" borderId="0" pivotButton="0" quotePrefix="0" xfId="0"/>
    <xf numFmtId="3" fontId="17" fillId="0" borderId="0" pivotButton="0" quotePrefix="0" xfId="0"/>
    <xf numFmtId="3" fontId="18" fillId="10" borderId="0" pivotButton="0" quotePrefix="0" xfId="0"/>
    <xf numFmtId="3" fontId="18" fillId="10" borderId="0" pivotButton="0" quotePrefix="0" xfId="0"/>
    <xf numFmtId="0" fontId="2" fillId="4" borderId="1" pivotButton="0" quotePrefix="0" xfId="0"/>
    <xf numFmtId="0" fontId="2" fillId="3" borderId="1" applyAlignment="1" pivotButton="0" quotePrefix="0" xfId="0">
      <alignment horizontal="center"/>
    </xf>
    <xf numFmtId="3" fontId="2" fillId="3" borderId="1" pivotButton="0" quotePrefix="0" xfId="0"/>
    <xf numFmtId="3" fontId="6" fillId="3" borderId="0" pivotButton="0" quotePrefix="0" xfId="0"/>
    <xf numFmtId="3" fontId="18" fillId="10" borderId="1" pivotButton="0" quotePrefix="0" xfId="0"/>
    <xf numFmtId="3" fontId="6" fillId="3" borderId="1" applyAlignment="1" pivotButton="0" quotePrefix="0" xfId="0">
      <alignment horizontal="right" vertical="center"/>
    </xf>
    <xf numFmtId="3" fontId="2" fillId="11" borderId="0" pivotButton="0" quotePrefix="0" xfId="0"/>
    <xf numFmtId="3" fontId="9" fillId="3" borderId="1" applyAlignment="1" pivotButton="0" quotePrefix="0" xfId="0">
      <alignment horizontal="right"/>
    </xf>
    <xf numFmtId="0" fontId="5" fillId="7" borderId="1" applyAlignment="1" pivotButton="0" quotePrefix="0" xfId="0">
      <alignment horizontal="left" vertical="center"/>
    </xf>
    <xf numFmtId="3" fontId="5" fillId="7" borderId="1" applyAlignment="1" pivotButton="0" quotePrefix="0" xfId="0">
      <alignment horizontal="left" vertical="center"/>
    </xf>
    <xf numFmtId="0" fontId="29" fillId="0" borderId="0" applyAlignment="1" pivotButton="0" quotePrefix="0" xfId="0">
      <alignment horizontal="center" vertical="center"/>
    </xf>
    <xf numFmtId="3" fontId="35" fillId="0" borderId="0" applyAlignment="1" pivotButton="0" quotePrefix="0" xfId="0">
      <alignment horizontal="right" vertical="center"/>
    </xf>
    <xf numFmtId="3" fontId="18" fillId="0" borderId="0" applyAlignment="1" pivotButton="0" quotePrefix="0" xfId="0">
      <alignment horizontal="right" vertical="center"/>
    </xf>
    <xf numFmtId="3" fontId="6" fillId="12" borderId="1" pivotButton="0" quotePrefix="0" xfId="0"/>
    <xf numFmtId="3" fontId="9" fillId="0" borderId="0" applyAlignment="1" pivotButton="0" quotePrefix="0" xfId="0">
      <alignment horizontal="right" vertical="center"/>
    </xf>
    <xf numFmtId="167" fontId="35" fillId="0" borderId="0" applyAlignment="1" pivotButton="0" quotePrefix="0" xfId="0">
      <alignment horizontal="right" vertical="center"/>
    </xf>
    <xf numFmtId="167" fontId="6" fillId="3" borderId="1" applyAlignment="1" pivotButton="0" quotePrefix="0" xfId="0">
      <alignment horizontal="right" vertical="center"/>
    </xf>
    <xf numFmtId="0" fontId="2" fillId="7" borderId="0" pivotButton="0" quotePrefix="0" xfId="0"/>
    <xf numFmtId="0" fontId="2" fillId="7" borderId="1" applyAlignment="1" pivotButton="0" quotePrefix="0" xfId="0">
      <alignment horizontal="center"/>
    </xf>
    <xf numFmtId="0" fontId="29" fillId="0" borderId="0" applyAlignment="1" pivotButton="0" quotePrefix="0" xfId="0">
      <alignment horizontal="center"/>
    </xf>
    <xf numFmtId="174" fontId="18" fillId="0" borderId="0" pivotButton="0" quotePrefix="0" xfId="0"/>
    <xf numFmtId="3" fontId="18" fillId="0" borderId="0" applyAlignment="1" pivotButton="0" quotePrefix="0" xfId="0">
      <alignment horizontal="right" vertical="center"/>
    </xf>
    <xf numFmtId="0" fontId="2" fillId="6" borderId="1" pivotButton="0" quotePrefix="0" xfId="0"/>
    <xf numFmtId="0" fontId="2" fillId="6" borderId="1" applyAlignment="1" pivotButton="0" quotePrefix="0" xfId="0">
      <alignment horizontal="center"/>
    </xf>
    <xf numFmtId="173" fontId="5" fillId="6" borderId="1" pivotButton="0" quotePrefix="0" xfId="0"/>
    <xf numFmtId="3" fontId="30" fillId="0" borderId="0" pivotButton="0" quotePrefix="0" xfId="0"/>
    <xf numFmtId="3" fontId="30" fillId="4" borderId="0" pivotButton="0" quotePrefix="0" xfId="0"/>
    <xf numFmtId="0" fontId="9" fillId="3" borderId="0" applyAlignment="1" pivotButton="0" quotePrefix="0" xfId="0">
      <alignment vertical="bottom"/>
    </xf>
    <xf numFmtId="0" fontId="6" fillId="3" borderId="1" applyAlignment="1" pivotButton="0" quotePrefix="0" xfId="0">
      <alignment horizontal="center"/>
    </xf>
    <xf numFmtId="49" fontId="2" fillId="4" borderId="0" applyAlignment="1" pivotButton="0" quotePrefix="0" xfId="0">
      <alignment horizontal="right" vertical="bottom"/>
    </xf>
    <xf numFmtId="0" fontId="27" fillId="4" borderId="1" applyAlignment="1" pivotButton="0" quotePrefix="0" xfId="0">
      <alignment vertical="bottom"/>
    </xf>
    <xf numFmtId="0" fontId="2" fillId="4" borderId="1" applyAlignment="1" pivotButton="0" quotePrefix="0" xfId="0">
      <alignment vertical="bottom"/>
    </xf>
    <xf numFmtId="175" fontId="18" fillId="10" borderId="1" applyAlignment="1" pivotButton="0" quotePrefix="0" xfId="0">
      <alignment horizontal="right" vertical="bottom"/>
    </xf>
    <xf numFmtId="176" fontId="17" fillId="10" borderId="0" applyAlignment="1" pivotButton="0" quotePrefix="0" xfId="0">
      <alignment vertical="bottom"/>
    </xf>
    <xf numFmtId="167" fontId="18" fillId="10" borderId="1" applyAlignment="1" pivotButton="0" quotePrefix="0" xfId="0">
      <alignment horizontal="right" vertical="bottom"/>
    </xf>
    <xf numFmtId="3" fontId="2" fillId="4" borderId="0" applyAlignment="1" pivotButton="0" quotePrefix="0" xfId="0">
      <alignment horizontal="right" vertical="bottom"/>
    </xf>
    <xf numFmtId="0" fontId="6" fillId="4" borderId="1" pivotButton="0" quotePrefix="0" xfId="0"/>
    <xf numFmtId="0" fontId="6" fillId="4" borderId="0" applyAlignment="1" pivotButton="0" quotePrefix="0" xfId="0">
      <alignment horizontal="left" vertical="center"/>
    </xf>
    <xf numFmtId="0" fontId="6" fillId="4" borderId="0" applyAlignment="1" pivotButton="0" quotePrefix="0" xfId="0">
      <alignment horizontal="center"/>
    </xf>
    <xf numFmtId="167" fontId="6" fillId="4" borderId="0" applyAlignment="1" pivotButton="0" quotePrefix="0" xfId="0">
      <alignment horizontal="right" vertical="center"/>
    </xf>
    <xf numFmtId="3" fontId="6" fillId="4" borderId="0" applyAlignment="1" pivotButton="0" quotePrefix="0" xfId="0">
      <alignment horizontal="right" vertical="center"/>
    </xf>
    <xf numFmtId="3" fontId="2" fillId="4" borderId="0" applyAlignment="1" pivotButton="0" quotePrefix="0" xfId="0">
      <alignment vertical="bottom"/>
    </xf>
    <xf numFmtId="0" fontId="2" fillId="4" borderId="1" applyAlignment="1" pivotButton="0" quotePrefix="0" xfId="0">
      <alignment horizontal="right" vertical="bottom"/>
    </xf>
    <xf numFmtId="177" fontId="2" fillId="4" borderId="1" applyAlignment="1" pivotButton="0" quotePrefix="0" xfId="0">
      <alignment vertical="bottom"/>
    </xf>
    <xf numFmtId="176" fontId="2" fillId="10" borderId="1" applyAlignment="1" pivotButton="0" quotePrefix="0" xfId="0">
      <alignment vertical="bottom"/>
    </xf>
    <xf numFmtId="3" fontId="2" fillId="4" borderId="1" applyAlignment="1" pivotButton="0" quotePrefix="0" xfId="0">
      <alignment horizontal="right" vertical="bottom"/>
    </xf>
    <xf numFmtId="0" fontId="9" fillId="2" borderId="1" pivotButton="0" quotePrefix="0" xfId="0"/>
    <xf numFmtId="0" fontId="6" fillId="2" borderId="1" applyAlignment="1" pivotButton="0" quotePrefix="0" xfId="0">
      <alignment horizontal="left" vertical="center"/>
    </xf>
    <xf numFmtId="0" fontId="6" fillId="2" borderId="1" applyAlignment="1" pivotButton="0" quotePrefix="0" xfId="0">
      <alignment horizontal="center" vertical="center"/>
    </xf>
    <xf numFmtId="0" fontId="36" fillId="0" borderId="0" pivotButton="0" quotePrefix="0" xfId="0"/>
    <xf numFmtId="9" fontId="36" fillId="0" borderId="0" pivotButton="0" quotePrefix="0" xfId="0"/>
    <xf numFmtId="0" fontId="6" fillId="13" borderId="1" applyAlignment="1" pivotButton="0" quotePrefix="0" xfId="0">
      <alignment horizontal="center" vertical="center"/>
    </xf>
    <xf numFmtId="0" fontId="9" fillId="0" borderId="0" applyAlignment="1" pivotButton="0" quotePrefix="0" xfId="0">
      <alignment horizontal="center" vertical="center"/>
    </xf>
    <xf numFmtId="0" fontId="2" fillId="0" borderId="0" pivotButton="0" quotePrefix="0" xfId="0"/>
    <xf numFmtId="0" fontId="37" fillId="0" borderId="0" pivotButton="0" quotePrefix="0" xfId="0"/>
    <xf numFmtId="0" fontId="2" fillId="4" borderId="0" applyAlignment="1" pivotButton="0" quotePrefix="0" xfId="0">
      <alignment horizontal="right" vertical="bottom"/>
    </xf>
    <xf numFmtId="177" fontId="2" fillId="4" borderId="0" applyAlignment="1" pivotButton="0" quotePrefix="0" xfId="0">
      <alignment vertical="bottom"/>
    </xf>
    <xf numFmtId="176" fontId="2" fillId="10" borderId="0" applyAlignment="1" pivotButton="0" quotePrefix="0" xfId="0">
      <alignment vertical="bottom"/>
    </xf>
    <xf numFmtId="0" fontId="27" fillId="4" borderId="0" applyAlignment="1" pivotButton="0" quotePrefix="0" xfId="0">
      <alignment vertical="bottom"/>
    </xf>
    <xf numFmtId="176" fontId="17" fillId="10" borderId="0" applyAlignment="1" pivotButton="0" quotePrefix="0" xfId="0">
      <alignment horizontal="right" vertical="bottom"/>
    </xf>
    <xf numFmtId="0" fontId="6" fillId="3" borderId="4" pivotButton="0" quotePrefix="0" xfId="0"/>
    <xf numFmtId="49" fontId="13" fillId="3" borderId="0" applyAlignment="1" pivotButton="0" quotePrefix="0" xfId="0">
      <alignment horizontal="left" vertical="center"/>
    </xf>
    <xf numFmtId="0" fontId="11" fillId="0" borderId="0" pivotButton="0" quotePrefix="0" xfId="0"/>
    <xf numFmtId="0" fontId="18" fillId="4" borderId="1" applyAlignment="1" pivotButton="0" quotePrefix="0" xfId="0">
      <alignment vertical="bottom"/>
    </xf>
    <xf numFmtId="175" fontId="18" fillId="10" borderId="1" applyAlignment="1" pivotButton="0" quotePrefix="0" xfId="0">
      <alignment horizontal="right" vertical="bottom"/>
    </xf>
    <xf numFmtId="176" fontId="18" fillId="10" borderId="1" applyAlignment="1" pivotButton="0" quotePrefix="0" xfId="0">
      <alignment vertical="bottom"/>
    </xf>
    <xf numFmtId="176" fontId="18" fillId="10" borderId="0" applyAlignment="1" pivotButton="0" quotePrefix="0" xfId="0">
      <alignment vertical="bottom"/>
    </xf>
    <xf numFmtId="0" fontId="11" fillId="0" borderId="0" pivotButton="0" quotePrefix="0" xfId="0"/>
    <xf numFmtId="0" fontId="38" fillId="4" borderId="0" applyAlignment="1" pivotButton="0" quotePrefix="0" xfId="0">
      <alignment vertical="bottom"/>
    </xf>
    <xf numFmtId="176" fontId="35" fillId="4" borderId="0" applyAlignment="1" pivotButton="0" quotePrefix="0" xfId="0">
      <alignment horizontal="right" vertical="bottom"/>
    </xf>
    <xf numFmtId="176" fontId="2" fillId="4" borderId="0" applyAlignment="1" pivotButton="0" quotePrefix="0" xfId="0">
      <alignment vertical="bottom"/>
    </xf>
    <xf numFmtId="167" fontId="35" fillId="4" borderId="0" applyAlignment="1" pivotButton="0" quotePrefix="0" xfId="0">
      <alignment horizontal="right" vertical="bottom"/>
    </xf>
    <xf numFmtId="0" fontId="32" fillId="0" borderId="0" applyAlignment="1" pivotButton="0" quotePrefix="0" xfId="0">
      <alignment vertical="bottom"/>
    </xf>
    <xf numFmtId="0" fontId="39" fillId="0" borderId="0" applyAlignment="1" pivotButton="0" quotePrefix="0" xfId="0">
      <alignment vertical="bottom"/>
    </xf>
    <xf numFmtId="0" fontId="32" fillId="0" borderId="14" applyAlignment="1" pivotButton="0" quotePrefix="0" xfId="0">
      <alignment vertical="bottom" wrapText="1"/>
    </xf>
    <xf numFmtId="0" fontId="14" fillId="0" borderId="15" pivotButton="0" quotePrefix="0" xfId="0"/>
    <xf numFmtId="0" fontId="14" fillId="0" borderId="16" pivotButton="0" quotePrefix="0" xfId="0"/>
    <xf numFmtId="3" fontId="2" fillId="6" borderId="0" applyAlignment="1" pivotButton="0" quotePrefix="0" xfId="0">
      <alignment vertical="bottom"/>
    </xf>
    <xf numFmtId="3" fontId="27" fillId="6" borderId="1" applyAlignment="1" pivotButton="0" quotePrefix="0" xfId="0">
      <alignment vertical="bottom"/>
    </xf>
    <xf numFmtId="3" fontId="2" fillId="6" borderId="1" applyAlignment="1" pivotButton="0" quotePrefix="0" xfId="0">
      <alignment horizontal="right" vertical="bottom"/>
    </xf>
    <xf numFmtId="49" fontId="13" fillId="6" borderId="0" applyAlignment="1" pivotButton="0" quotePrefix="0" xfId="0">
      <alignment horizontal="left" vertical="center"/>
    </xf>
    <xf numFmtId="3" fontId="2" fillId="6" borderId="0" applyAlignment="1" pivotButton="0" quotePrefix="0" xfId="0">
      <alignment horizontal="right" vertical="bottom"/>
    </xf>
    <xf numFmtId="3" fontId="27" fillId="6" borderId="17" applyAlignment="1" pivotButton="0" quotePrefix="0" xfId="0">
      <alignment vertical="bottom"/>
    </xf>
    <xf numFmtId="3" fontId="2" fillId="6" borderId="17" applyAlignment="1" pivotButton="0" quotePrefix="0" xfId="0">
      <alignment horizontal="right" vertical="bottom"/>
    </xf>
    <xf numFmtId="0" fontId="2" fillId="3" borderId="11" applyAlignment="1" pivotButton="0" quotePrefix="0" xfId="0">
      <alignment vertical="bottom"/>
    </xf>
    <xf numFmtId="0" fontId="6" fillId="3" borderId="11" applyAlignment="1" pivotButton="0" quotePrefix="0" xfId="0">
      <alignment vertical="bottom"/>
    </xf>
    <xf numFmtId="167" fontId="6" fillId="3" borderId="11" applyAlignment="1" pivotButton="0" quotePrefix="0" xfId="0">
      <alignment horizontal="right" vertical="bottom"/>
    </xf>
    <xf numFmtId="167" fontId="6" fillId="3" borderId="0" applyAlignment="1" pivotButton="0" quotePrefix="0" xfId="0">
      <alignment horizontal="right" vertical="bottom"/>
    </xf>
    <xf numFmtId="178" fontId="2" fillId="6" borderId="0" applyAlignment="1" pivotButton="0" quotePrefix="0" xfId="0">
      <alignment vertical="bottom"/>
    </xf>
    <xf numFmtId="178" fontId="27" fillId="6" borderId="1" applyAlignment="1" pivotButton="0" quotePrefix="0" xfId="0">
      <alignment vertical="bottom"/>
    </xf>
    <xf numFmtId="178" fontId="2" fillId="6" borderId="1" applyAlignment="1" pivotButton="0" quotePrefix="0" xfId="0">
      <alignment horizontal="right" vertical="bottom"/>
    </xf>
    <xf numFmtId="178" fontId="2" fillId="6" borderId="0" applyAlignment="1" pivotButton="0" quotePrefix="0" xfId="0">
      <alignment horizontal="right" vertical="bottom"/>
    </xf>
    <xf numFmtId="0" fontId="6" fillId="3" borderId="18" applyAlignment="1" pivotButton="0" quotePrefix="0" xfId="0">
      <alignment vertical="bottom"/>
    </xf>
    <xf numFmtId="178" fontId="6" fillId="3" borderId="18" applyAlignment="1" pivotButton="0" quotePrefix="0" xfId="0">
      <alignment horizontal="right" vertical="bottom"/>
    </xf>
    <xf numFmtId="0" fontId="2" fillId="3" borderId="11" pivotButton="0" quotePrefix="0" xfId="0"/>
    <xf numFmtId="0" fontId="0" fillId="0" borderId="0" pivotButton="0" quotePrefix="0" xfId="0"/>
    <xf numFmtId="49" fontId="13" fillId="4" borderId="0" applyAlignment="1" pivotButton="0" quotePrefix="0" xfId="0">
      <alignment horizontal="left" vertical="center"/>
    </xf>
    <xf numFmtId="0" fontId="32" fillId="0" borderId="19" applyAlignment="1" pivotButton="0" quotePrefix="0" xfId="0">
      <alignment vertical="bottom" wrapText="1"/>
    </xf>
    <xf numFmtId="0" fontId="0" fillId="0" borderId="15" pivotButton="0" quotePrefix="0" xfId="0"/>
    <xf numFmtId="0" fontId="0" fillId="0" borderId="16" pivotButton="0" quotePrefix="0" xfId="0"/>
    <xf numFmtId="0" fontId="50" fillId="6" borderId="0" applyAlignment="1" pivotButton="0" quotePrefix="0" xfId="0">
      <alignment horizontal="right" vertical="center"/>
    </xf>
    <xf numFmtId="179" fontId="5" fillId="6" borderId="0" applyAlignment="1" pivotButton="0" quotePrefix="0" xfId="0">
      <alignment horizontal="right" vertical="center"/>
    </xf>
    <xf numFmtId="0" fontId="40" fillId="0" borderId="0" applyAlignment="1" pivotButton="0" quotePrefix="0" xfId="0">
      <alignment horizontal="center"/>
    </xf>
    <xf numFmtId="0" fontId="41" fillId="0" borderId="0" applyAlignment="1" pivotButton="0" quotePrefix="0" xfId="0">
      <alignment horizontal="center"/>
    </xf>
    <xf numFmtId="179" fontId="18" fillId="5" borderId="0" pivotButton="0" quotePrefix="0" xfId="0"/>
    <xf numFmtId="180" fontId="18" fillId="5" borderId="0" pivotButton="0" quotePrefix="0" xfId="0"/>
    <xf numFmtId="180" fontId="5" fillId="6" borderId="0" applyAlignment="1" pivotButton="0" quotePrefix="0" xfId="0">
      <alignment horizontal="right" vertical="center"/>
    </xf>
    <xf numFmtId="1" fontId="18" fillId="5" borderId="0" pivotButton="0" quotePrefix="0" xfId="0"/>
    <xf numFmtId="1" fontId="5" fillId="6" borderId="0" applyAlignment="1" pivotButton="0" quotePrefix="0" xfId="0">
      <alignment horizontal="right" vertical="center"/>
    </xf>
    <xf numFmtId="181" fontId="18" fillId="5" borderId="0" pivotButton="0" quotePrefix="0" xfId="0"/>
    <xf numFmtId="181" fontId="5" fillId="6" borderId="0" applyAlignment="1" pivotButton="0" quotePrefix="0" xfId="0">
      <alignment horizontal="right" vertical="center"/>
    </xf>
    <xf numFmtId="182" fontId="18" fillId="5" borderId="0" pivotButton="0" quotePrefix="0" xfId="0"/>
    <xf numFmtId="182" fontId="5" fillId="6" borderId="0" applyAlignment="1" pivotButton="0" quotePrefix="0" xfId="0">
      <alignment horizontal="right" vertical="center"/>
    </xf>
    <xf numFmtId="17" fontId="18" fillId="5" borderId="0" pivotButton="0" quotePrefix="0" xfId="0"/>
    <xf numFmtId="17" fontId="5" fillId="6" borderId="0" applyAlignment="1" pivotButton="0" quotePrefix="0" xfId="0">
      <alignment horizontal="right" vertical="center"/>
    </xf>
    <xf numFmtId="0" fontId="42" fillId="0" borderId="0" pivotButton="0" quotePrefix="0" xfId="0"/>
    <xf numFmtId="0" fontId="43" fillId="0" borderId="0" pivotButton="0" quotePrefix="0" xfId="0"/>
    <xf numFmtId="0" fontId="44" fillId="0" borderId="0" pivotButton="0" quotePrefix="0" xfId="0"/>
    <xf numFmtId="17" fontId="45" fillId="0" borderId="0" applyAlignment="1" pivotButton="0" quotePrefix="0" xfId="0">
      <alignment horizontal="right"/>
    </xf>
    <xf numFmtId="0" fontId="46" fillId="14" borderId="0" applyAlignment="1" pivotButton="0" quotePrefix="0" xfId="0">
      <alignment horizontal="right"/>
    </xf>
    <xf numFmtId="0" fontId="46" fillId="14" borderId="0" pivotButton="0" quotePrefix="0" xfId="0"/>
    <xf numFmtId="0" fontId="47" fillId="0" borderId="0" pivotButton="0" quotePrefix="0" xfId="0"/>
    <xf numFmtId="0" fontId="41" fillId="0" borderId="0" pivotButton="0" quotePrefix="0" xfId="0"/>
    <xf numFmtId="179" fontId="47" fillId="0" borderId="0" applyAlignment="1" pivotButton="0" quotePrefix="0" xfId="0">
      <alignment horizontal="right"/>
    </xf>
    <xf numFmtId="179" fontId="48" fillId="0" borderId="0" applyAlignment="1" pivotButton="0" quotePrefix="0" xfId="0">
      <alignment horizontal="right"/>
    </xf>
    <xf numFmtId="0" fontId="49" fillId="0" borderId="0" pivotButton="0" quotePrefix="0" xfId="0"/>
    <xf numFmtId="179" fontId="49" fillId="0" borderId="0" applyAlignment="1" pivotButton="0" quotePrefix="0" xfId="0">
      <alignment horizontal="right"/>
    </xf>
    <xf numFmtId="179" fontId="50" fillId="0" borderId="0" applyAlignment="1" pivotButton="0" quotePrefix="0" xfId="0">
      <alignment horizontal="right"/>
    </xf>
    <xf numFmtId="180" fontId="50" fillId="0" borderId="0" applyAlignment="1" pivotButton="0" quotePrefix="0" xfId="0">
      <alignment horizontal="right"/>
    </xf>
    <xf numFmtId="180" fontId="48" fillId="0" borderId="0" applyAlignment="1" pivotButton="0" quotePrefix="0" xfId="0">
      <alignment horizontal="right"/>
    </xf>
    <xf numFmtId="182" fontId="50" fillId="0" borderId="0" applyAlignment="1" pivotButton="0" quotePrefix="0" xfId="0">
      <alignment horizontal="right"/>
    </xf>
    <xf numFmtId="182" fontId="48" fillId="0" borderId="0" applyAlignment="1" pivotButton="0" quotePrefix="0" xfId="0">
      <alignment horizontal="right"/>
    </xf>
    <xf numFmtId="181" fontId="47" fillId="0" borderId="0" applyAlignment="1" pivotButton="0" quotePrefix="0" xfId="0">
      <alignment horizontal="right"/>
    </xf>
    <xf numFmtId="181" fontId="48" fillId="0" borderId="0" applyAlignment="1" pivotButton="0" quotePrefix="0" xfId="0">
      <alignment horizontal="right"/>
    </xf>
    <xf numFmtId="181" fontId="50" fillId="0" borderId="0" applyAlignment="1" pivotButton="0" quotePrefix="0" xfId="0">
      <alignment horizontal="right"/>
    </xf>
    <xf numFmtId="49" fontId="47" fillId="0" borderId="0" applyAlignment="1" pivotButton="0" quotePrefix="0" xfId="0">
      <alignment horizontal="right"/>
    </xf>
    <xf numFmtId="180" fontId="47" fillId="0" borderId="0" applyAlignment="1" pivotButton="0" quotePrefix="0" xfId="0">
      <alignment horizontal="right"/>
    </xf>
    <xf numFmtId="0" fontId="48" fillId="0" borderId="0" pivotButton="0" quotePrefix="0" xfId="0"/>
    <xf numFmtId="0" fontId="51" fillId="0" borderId="0" pivotButton="0" quotePrefix="0" xfId="0"/>
    <xf numFmtId="49" fontId="52" fillId="0" borderId="0" applyAlignment="1" pivotButton="0" quotePrefix="0" xfId="0">
      <alignment horizontal="right"/>
    </xf>
    <xf numFmtId="49" fontId="53" fillId="0" borderId="0" applyAlignment="1" pivotButton="0" quotePrefix="0" xfId="0">
      <alignment horizontal="right"/>
    </xf>
    <xf numFmtId="179" fontId="49" fillId="0" borderId="0" pivotButton="0" quotePrefix="0" xfId="0"/>
    <xf numFmtId="179"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plotArea>
      <layout/>
      <barChart>
        <barDir val="col"/>
        <grouping val="stacked"/>
        <ser>
          <idx val="0"/>
          <order val="0"/>
          <tx>
            <strRef>
              <f>'Dasboard (FOR PITCHDECK)'!$S$3</f>
            </strRef>
          </tx>
          <spPr>
            <a:solidFill>
              <a:schemeClr val="lt1"/>
            </a:solidFill>
            <a:ln cmpd="sng">
              <a:noFill/>
              <a:prstDash val="solid"/>
            </a:ln>
          </spPr>
          <cat>
            <strRef>
              <f>'Dasboard (FOR PITCHDECK)'!$T$2:$W$2</f>
            </strRef>
          </cat>
          <val>
            <numRef>
              <f>'Dasboard (FOR PITCHDECK)'!$T$3:$W$3</f>
              <numCache/>
            </numRef>
          </val>
        </ser>
        <ser>
          <idx val="1"/>
          <order val="1"/>
          <tx>
            <strRef>
              <f>'Dasboard (FOR PITCHDECK)'!$S$4</f>
            </strRef>
          </tx>
          <spPr>
            <a:solidFill>
              <a:srgbClr val="DF5B0E"/>
            </a:solidFill>
            <a:ln cmpd="sng">
              <a:noFill/>
              <a:prstDash val="solid"/>
            </a:ln>
          </spPr>
          <cat>
            <strRef>
              <f>'Dasboard (FOR PITCHDECK)'!$T$2:$W$2</f>
            </strRef>
          </cat>
          <val>
            <numRef>
              <f>'Dasboard (FOR PITCHDECK)'!$T$4:$W$4</f>
              <numCache/>
            </numRef>
          </val>
        </ser>
        <gapWidth val="150"/>
        <overlap val="100"/>
        <axId val="1223706457"/>
        <axId val="250108717"/>
      </barChart>
      <catAx>
        <axId val="1223706457"/>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b="0" i="0">
                <a:solidFill>
                  <a:srgbClr val="000000"/>
                </a:solidFill>
                <a:latin typeface="+mn-lt"/>
              </a:defRPr>
            </a:pPr>
            <a:r>
              <a:t>None</a:t>
            </a:r>
          </a:p>
        </txPr>
        <crossAx val="250108717"/>
        <lblOffset val="100"/>
      </catAx>
      <valAx>
        <axId val="250108717"/>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b="0" i="0">
                <a:solidFill>
                  <a:srgbClr val="000000"/>
                </a:solidFill>
                <a:latin typeface="+mn-lt"/>
              </a:defRPr>
            </a:pPr>
            <a:r>
              <a:t>None</a:t>
            </a:r>
          </a:p>
        </txPr>
        <crossAx val="1223706457"/>
      </valAx>
    </plotArea>
    <plotVisOnly val="1"/>
    <dispBlanksAs val="gap"/>
  </chart>
  <spPr>
    <a:solidFill>
      <a:srgbClr val="FFFFFF"/>
    </a:solidFill>
    <a:ln>
      <a:prstDash val="solid"/>
    </a:ln>
  </spPr>
</chartSpace>
</file>

<file path=xl/charts/chart2.xml><?xml version="1.0" encoding="utf-8"?>
<chartSpace xmlns:a="http://schemas.openxmlformats.org/drawingml/2006/main" xmlns="http://schemas.openxmlformats.org/drawingml/2006/chart">
  <chart>
    <plotArea>
      <layout/>
      <barChart>
        <barDir val="col"/>
        <grouping val="stacked"/>
        <ser>
          <idx val="0"/>
          <order val="0"/>
          <spPr>
            <a:solidFill>
              <a:schemeClr val="accent1"/>
            </a:solidFill>
            <a:ln cmpd="sng">
              <a:noFill/>
              <a:prstDash val="solid"/>
            </a:ln>
          </spPr>
          <val>
            <numRef>
              <f>'Dasboard (FOR PITCHDECK)'!$S$2:$V$2</f>
              <numCache/>
            </numRef>
          </val>
        </ser>
        <ser>
          <idx val="1"/>
          <order val="1"/>
          <spPr>
            <a:solidFill>
              <a:srgbClr val="E63211"/>
            </a:solidFill>
            <a:ln cmpd="sng">
              <a:noFill/>
              <a:prstDash val="solid"/>
            </a:ln>
          </spPr>
          <dLbls>
            <numFmt formatCode="General"/>
            <txPr>
              <a:bodyPr/>
              <a:lstStyle/>
              <a:p>
                <a:pPr lvl="0">
                  <a:defRPr b="1" i="0"/>
                </a:pPr>
                <a:r>
                  <a:t>None</a:t>
                </a:r>
              </a:p>
            </txPr>
            <showLegendKey val="0"/>
            <showVal val="1"/>
            <showCatName val="0"/>
            <showSerName val="0"/>
            <showPercent val="0"/>
            <showBubbleSize val="0"/>
          </dLbls>
          <val>
            <numRef>
              <f>'Dasboard (FOR PITCHDECK)'!$S$3:$V$3</f>
              <numCache/>
            </numRef>
          </val>
        </ser>
        <ser>
          <idx val="2"/>
          <order val="2"/>
          <spPr>
            <a:solidFill>
              <a:srgbClr val="F68F65"/>
            </a:solidFill>
            <a:ln cmpd="sng">
              <a:noFill/>
              <a:prstDash val="solid"/>
            </a:ln>
          </spPr>
          <dLbls>
            <numFmt formatCode="General"/>
            <txPr>
              <a:bodyPr/>
              <a:lstStyle/>
              <a:p>
                <a:pPr lvl="0">
                  <a:defRPr b="1" i="0"/>
                </a:pPr>
                <a:r>
                  <a:t>None</a:t>
                </a:r>
              </a:p>
            </txPr>
            <showLegendKey val="0"/>
            <showVal val="1"/>
            <showCatName val="0"/>
            <showSerName val="0"/>
            <showPercent val="0"/>
            <showBubbleSize val="0"/>
          </dLbls>
          <val>
            <numRef>
              <f>'Dasboard (FOR PITCHDECK)'!$S$4:$V$4</f>
              <numCache/>
            </numRef>
          </val>
        </ser>
        <gapWidth val="150"/>
        <overlap val="100"/>
        <axId val="2142527443"/>
        <axId val="2100843510"/>
      </barChart>
      <catAx>
        <axId val="2142527443"/>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b="0" i="0">
                <a:solidFill>
                  <a:srgbClr val="000000"/>
                </a:solidFill>
                <a:latin typeface="+mn-lt"/>
              </a:defRPr>
            </a:pPr>
            <a:r>
              <a:t>None</a:t>
            </a:r>
          </a:p>
        </txPr>
        <crossAx val="2100843510"/>
        <lblOffset val="100"/>
      </catAx>
      <valAx>
        <axId val="210084351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b="0" i="0">
                <a:solidFill>
                  <a:srgbClr val="000000"/>
                </a:solidFill>
                <a:latin typeface="+mn-lt"/>
              </a:defRPr>
            </a:pPr>
            <a:r>
              <a:t>None</a:t>
            </a:r>
          </a:p>
        </txPr>
        <crossAx val="2142527443"/>
      </valAx>
    </plotArea>
    <plotVisOnly val="1"/>
    <dispBlanksAs val="gap"/>
  </chart>
  <spPr>
    <a:solidFill>
      <a:srgbClr val="FFFFFF"/>
    </a:solidFill>
    <a:ln>
      <a:prstDash val="solid"/>
    </a:ln>
  </spPr>
</chartSpace>
</file>

<file path=xl/charts/chart3.xml><?xml version="1.0" encoding="utf-8"?>
<chartSpace xmlns:a="http://schemas.openxmlformats.org/drawingml/2006/main" xmlns="http://schemas.openxmlformats.org/drawingml/2006/chart">
  <chart>
    <plotArea>
      <layout/>
      <doughnutChart>
        <varyColors val="1"/>
        <ser>
          <idx val="0"/>
          <order val="0"/>
          <spPr>
            <a:ln>
              <a:prstDash val="solid"/>
            </a:ln>
          </spPr>
          <dPt>
            <idx val="0"/>
            <spPr>
              <a:solidFill>
                <a:srgbClr val="FF6503"/>
              </a:solidFill>
              <a:ln>
                <a:prstDash val="solid"/>
              </a:ln>
            </spPr>
          </dPt>
          <dLbls>
            <showLegendKey val="0"/>
            <showVal val="0"/>
            <showCatName val="0"/>
            <showSerName val="0"/>
            <showPercent val="0"/>
            <showBubbleSize val="0"/>
            <showLeaderLines val="1"/>
          </dLbls>
          <val>
            <numRef>
              <f>'Dasboard (FOR PITCHDECK)'!$V$7:$X$7</f>
              <numCache/>
            </numRef>
          </val>
        </ser>
        <dLbls>
          <showLegendKey val="0"/>
          <showVal val="0"/>
          <showCatName val="0"/>
          <showSerName val="0"/>
          <showPercent val="0"/>
          <showBubbleSize val="0"/>
        </dLbls>
        <firstSliceAng val="0"/>
        <holeSize val="50"/>
      </doughnutChart>
    </plotArea>
    <plotVisOnly val="1"/>
    <dispBlanksAs val="gap"/>
  </chart>
  <spPr>
    <a:solidFill>
      <a:srgbClr val="FFFFFF"/>
    </a:solidFill>
    <a:ln>
      <a:prstDash val="solid"/>
    </a:ln>
  </spPr>
</chartSpace>
</file>

<file path=xl/charts/chart4.xml><?xml version="1.0" encoding="utf-8"?>
<chartSpace xmlns:a="http://schemas.openxmlformats.org/drawingml/2006/main" xmlns="http://schemas.openxmlformats.org/drawingml/2006/chart">
  <chart>
    <plotArea>
      <layout/>
      <lineChart>
        <grouping val="standard"/>
        <ser>
          <idx val="0"/>
          <order val="0"/>
          <spPr>
            <a:ln cmpd="sng">
              <a:solidFill>
                <a:srgbClr val="E63211"/>
              </a:solidFill>
              <a:prstDash val="solid"/>
            </a:ln>
          </spPr>
          <marker>
            <symbol val="circle"/>
            <size val="10"/>
            <spPr>
              <a:solidFill>
                <a:srgbClr val="E63211"/>
              </a:solidFill>
              <a:ln cmpd="sng">
                <a:solidFill>
                  <a:srgbClr val="E63211"/>
                </a:solidFill>
                <a:prstDash val="solid"/>
              </a:ln>
            </spPr>
          </marker>
          <dLbls>
            <numFmt formatCode="General"/>
            <txPr>
              <a:bodyPr/>
              <a:lstStyle/>
              <a:p>
                <a:pPr lvl="0">
                  <a:defRPr b="1" i="0"/>
                </a:pPr>
                <a:r>
                  <a:t>None</a:t>
                </a:r>
              </a:p>
            </txPr>
            <showLegendKey val="0"/>
            <showVal val="1"/>
            <showCatName val="0"/>
            <showSerName val="0"/>
            <showPercent val="0"/>
            <showBubbleSize val="0"/>
          </dLbls>
          <cat>
            <strRef>
              <f>'Dasboard (FOR PITCHDECK)'!$M$2:$P$2</f>
            </strRef>
          </cat>
          <val>
            <numRef>
              <f>'Dasboard (FOR PITCHDECK)'!$M$3:$P$3</f>
              <numCache/>
            </numRef>
          </val>
          <smooth val="0"/>
        </ser>
        <ser>
          <idx val="1"/>
          <order val="1"/>
          <spPr>
            <a:ln cmpd="sng">
              <a:solidFill>
                <a:srgbClr val="CCCCCC"/>
              </a:solidFill>
              <a:prstDash val="solid"/>
            </a:ln>
          </spPr>
          <marker>
            <symbol val="circle"/>
            <size val="10"/>
            <spPr>
              <a:solidFill>
                <a:srgbClr val="CCCCCC"/>
              </a:solidFill>
              <a:ln cmpd="sng">
                <a:solidFill>
                  <a:srgbClr val="CCCCCC"/>
                </a:solidFill>
                <a:prstDash val="solid"/>
              </a:ln>
            </spPr>
          </marker>
          <dLbls>
            <numFmt formatCode="General"/>
            <txPr>
              <a:bodyPr/>
              <a:lstStyle/>
              <a:p>
                <a:pPr lvl="0">
                  <a:defRPr b="1" i="0"/>
                </a:pPr>
                <a:r>
                  <a:t>None</a:t>
                </a:r>
              </a:p>
            </txPr>
            <showLegendKey val="0"/>
            <showVal val="1"/>
            <showCatName val="0"/>
            <showSerName val="0"/>
            <showPercent val="0"/>
            <showBubbleSize val="0"/>
          </dLbls>
          <cat>
            <strRef>
              <f>'Dasboard (FOR PITCHDECK)'!$M$2:$P$2</f>
            </strRef>
          </cat>
          <val>
            <numRef>
              <f>'Dasboard (FOR PITCHDECK)'!$M$4:$P$4</f>
              <numCache/>
            </numRef>
          </val>
          <smooth val="0"/>
        </ser>
        <axId val="1903951599"/>
        <axId val="439508286"/>
      </lineChart>
      <catAx>
        <axId val="1903951599"/>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b="0" i="0">
                <a:solidFill>
                  <a:srgbClr val="000000"/>
                </a:solidFill>
                <a:latin typeface="+mn-lt"/>
              </a:defRPr>
            </a:pPr>
            <a:r>
              <a:t>None</a:t>
            </a:r>
          </a:p>
        </txPr>
        <crossAx val="439508286"/>
        <lblOffset val="100"/>
      </catAx>
      <valAx>
        <axId val="439508286"/>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b="0" i="0">
                <a:solidFill>
                  <a:srgbClr val="000000"/>
                </a:solidFill>
                <a:latin typeface="+mn-lt"/>
              </a:defRPr>
            </a:pPr>
            <a:r>
              <a:t>None</a:t>
            </a:r>
          </a:p>
        </txPr>
        <crossAx val="1903951599"/>
      </valAx>
    </plotArea>
    <legend>
      <legendPos val="r"/>
      <overlay val="0"/>
      <txPr>
        <a:bodyPr/>
        <a:lstStyle/>
        <a:p>
          <a:pPr lvl="0">
            <a:defRPr b="0" i="0">
              <a:solidFill>
                <a:srgbClr val="1A1A1A"/>
              </a:solidFill>
              <a:latin typeface="+mn-lt"/>
            </a:defRPr>
          </a:pPr>
          <a:r>
            <a:t>None</a:t>
          </a:r>
        </a:p>
      </txPr>
    </legend>
    <plotVisOnly val="1"/>
    <dispBlanksAs val="gap"/>
  </chart>
  <spPr>
    <a:solidFill>
      <a:srgbClr val="FFFFFF"/>
    </a:solidFill>
    <a:ln>
      <a:prstDash val="solid"/>
    </a:ln>
  </spPr>
</chartSpace>
</file>

<file path=xl/charts/chart5.xml><?xml version="1.0" encoding="utf-8"?>
<chartSpace xmlns:a="http://schemas.openxmlformats.org/drawingml/2006/main" xmlns="http://schemas.openxmlformats.org/drawingml/2006/chart">
  <chart>
    <title>
      <tx>
        <rich>
          <a:bodyPr/>
          <a:lstStyle/>
          <a:p>
            <a:pPr lvl="0">
              <a:defRPr b="1">
                <a:solidFill>
                  <a:srgbClr val="000000"/>
                </a:solidFill>
                <a:latin typeface="Roboto"/>
              </a:defRPr>
            </a:pPr>
            <a:r>
              <a:rPr b="1">
                <a:solidFill>
                  <a:srgbClr val="000000"/>
                </a:solidFill>
                <a:latin typeface="Roboto"/>
              </a:rPr>
              <a:t>Units sold</a:t>
            </a:r>
          </a:p>
        </rich>
      </tx>
      <overlay val="0"/>
    </title>
    <plotArea>
      <layout/>
      <lineChart>
        <grouping val="standard"/>
        <ser>
          <idx val="0"/>
          <order val="0"/>
          <tx>
            <strRef>
              <f>Dashboard!$J$3</f>
            </strRef>
          </tx>
          <spPr>
            <a:ln cmpd="sng">
              <a:solidFill>
                <a:srgbClr val="E63211"/>
              </a:solidFill>
              <a:prstDash val="solid"/>
            </a:ln>
          </spPr>
          <marker>
            <symbol val="circle"/>
            <size val="10"/>
            <spPr>
              <a:solidFill>
                <a:srgbClr val="E63211"/>
              </a:solidFill>
              <a:ln cmpd="sng">
                <a:solidFill>
                  <a:srgbClr val="E63211"/>
                </a:solidFill>
                <a:prstDash val="solid"/>
              </a:ln>
            </spPr>
          </marker>
          <dLbls>
            <numFmt formatCode="General"/>
            <txPr>
              <a:bodyPr/>
              <a:lstStyle/>
              <a:p>
                <a:pPr lvl="0">
                  <a:defRPr b="1">
                    <a:latin typeface="Roboto"/>
                  </a:defRPr>
                </a:pPr>
                <a:r>
                  <a:t>None</a:t>
                </a:r>
              </a:p>
            </txPr>
            <showLegendKey val="0"/>
            <showVal val="1"/>
            <showCatName val="0"/>
            <showSerName val="0"/>
            <showPercent val="0"/>
            <showBubbleSize val="0"/>
          </dLbls>
          <cat>
            <strRef>
              <f>Dashboard!$K$2:$O$2</f>
            </strRef>
          </cat>
          <val>
            <numRef>
              <f>Dashboard!$K$3:$O$3</f>
              <numCache/>
            </numRef>
          </val>
          <smooth val="0"/>
        </ser>
        <ser>
          <idx val="1"/>
          <order val="1"/>
          <tx>
            <strRef>
              <f>Dashboard!$J$4</f>
            </strRef>
          </tx>
          <spPr>
            <a:ln cmpd="sng">
              <a:solidFill>
                <a:srgbClr val="CCCCCC"/>
              </a:solidFill>
              <a:prstDash val="solid"/>
            </a:ln>
          </spPr>
          <marker>
            <symbol val="circle"/>
            <size val="10"/>
            <spPr>
              <a:solidFill>
                <a:srgbClr val="CCCCCC"/>
              </a:solidFill>
              <a:ln cmpd="sng">
                <a:solidFill>
                  <a:srgbClr val="CCCCCC"/>
                </a:solidFill>
                <a:prstDash val="solid"/>
              </a:ln>
            </spPr>
          </marker>
          <dLbls>
            <numFmt formatCode="General"/>
            <txPr>
              <a:bodyPr/>
              <a:lstStyle/>
              <a:p>
                <a:pPr lvl="0">
                  <a:defRPr b="1">
                    <a:latin typeface="Roboto"/>
                  </a:defRPr>
                </a:pPr>
                <a:r>
                  <a:t>None</a:t>
                </a:r>
              </a:p>
            </txPr>
            <showLegendKey val="0"/>
            <showVal val="1"/>
            <showCatName val="0"/>
            <showSerName val="0"/>
            <showPercent val="0"/>
            <showBubbleSize val="0"/>
          </dLbls>
          <cat>
            <strRef>
              <f>Dashboard!$K$2:$O$2</f>
            </strRef>
          </cat>
          <val>
            <numRef>
              <f>Dashboard!$K$4:$O$4</f>
              <numCache/>
            </numRef>
          </val>
          <smooth val="0"/>
        </ser>
        <axId val="318049400"/>
        <axId val="644638901"/>
      </lineChart>
      <catAx>
        <axId val="318049400"/>
        <scaling>
          <orientation val="minMax"/>
        </scaling>
        <delete val="0"/>
        <axPos val="b"/>
        <title>
          <tx>
            <rich>
              <a:bodyPr/>
              <a:lstStyle/>
              <a:p>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spPr>
          <a:ln>
            <a:noFill/>
            <a:prstDash val="solid"/>
          </a:ln>
        </spPr>
        <txPr>
          <a:bodyPr/>
          <a:lstStyle/>
          <a:p>
            <a:pPr lvl="0">
              <a:defRPr b="0">
                <a:solidFill>
                  <a:srgbClr val="000000"/>
                </a:solidFill>
                <a:latin typeface="Roboto"/>
              </a:defRPr>
            </a:pPr>
            <a:r>
              <a:t>None</a:t>
            </a:r>
          </a:p>
        </txPr>
        <crossAx val="644638901"/>
        <lblOffset val="100"/>
      </catAx>
      <valAx>
        <axId val="644638901"/>
        <scaling>
          <orientation val="minMax"/>
          <max val="65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tickLblPos val="nextTo"/>
        <spPr>
          <a:ln>
            <a:noFill/>
            <a:prstDash val="solid"/>
          </a:ln>
        </spPr>
        <txPr>
          <a:bodyPr/>
          <a:lstStyle/>
          <a:p>
            <a:pPr lvl="0">
              <a:defRPr b="0">
                <a:solidFill>
                  <a:srgbClr val="000000"/>
                </a:solidFill>
                <a:latin typeface="Roboto"/>
              </a:defRPr>
            </a:pPr>
            <a:r>
              <a:t>None</a:t>
            </a:r>
          </a:p>
        </txPr>
        <crossAx val="318049400"/>
      </valAx>
    </plotArea>
    <legend>
      <legendPos val="r"/>
      <overlay val="0"/>
      <txPr>
        <a:bodyPr/>
        <a:lstStyle/>
        <a:p>
          <a:pPr lvl="0">
            <a:defRPr b="0">
              <a:solidFill>
                <a:srgbClr val="1A1A1A"/>
              </a:solidFill>
              <a:latin typeface="Roboto"/>
            </a:defRPr>
          </a:pPr>
          <a:r>
            <a:t>None</a:t>
          </a:r>
        </a:p>
      </txPr>
    </legend>
    <plotVisOnly val="1"/>
    <dispBlanksAs val="gap"/>
  </chart>
  <spPr>
    <a:solidFill>
      <a:srgbClr val="FFFFFF"/>
    </a:solidFill>
    <a:ln>
      <a:prstDash val="solid"/>
    </a:ln>
  </spPr>
</chartSpace>
</file>

<file path=xl/charts/chart6.xml><?xml version="1.0" encoding="utf-8"?>
<chartSpace xmlns:a="http://schemas.openxmlformats.org/drawingml/2006/main" xmlns="http://schemas.openxmlformats.org/drawingml/2006/chart">
  <chart>
    <title>
      <tx>
        <rich>
          <a:bodyPr/>
          <a:lstStyle/>
          <a:p>
            <a:pPr lvl="0">
              <a:defRPr b="1">
                <a:solidFill>
                  <a:srgbClr val="000000"/>
                </a:solidFill>
                <a:latin typeface="Roboto"/>
              </a:defRPr>
            </a:pPr>
            <a:r>
              <a:rPr b="1">
                <a:solidFill>
                  <a:srgbClr val="000000"/>
                </a:solidFill>
                <a:latin typeface="Roboto"/>
              </a:rPr>
              <a:t>Unit Revenues</a:t>
            </a:r>
          </a:p>
        </rich>
      </tx>
      <overlay val="0"/>
    </title>
    <plotArea>
      <layout/>
      <barChart>
        <barDir val="col"/>
        <grouping val="stacked"/>
        <ser>
          <idx val="0"/>
          <order val="0"/>
          <tx>
            <strRef>
              <f>Dashboard!$J$5</f>
            </strRef>
          </tx>
          <spPr>
            <a:solidFill>
              <a:srgbClr val="E53517"/>
            </a:solidFill>
            <a:ln cmpd="sng">
              <a:noFill/>
              <a:prstDash val="solid"/>
            </a:ln>
          </spPr>
          <dLbls>
            <numFmt formatCode="General"/>
            <txPr>
              <a:bodyPr/>
              <a:lstStyle/>
              <a:p>
                <a:pPr lvl="0">
                  <a:defRPr b="1">
                    <a:solidFill>
                      <a:srgbClr val="000000"/>
                    </a:solidFill>
                    <a:latin typeface="Roboto"/>
                  </a:defRPr>
                </a:pPr>
                <a:r>
                  <a:t>None</a:t>
                </a:r>
              </a:p>
            </txPr>
            <showLegendKey val="0"/>
            <showVal val="1"/>
            <showCatName val="0"/>
            <showSerName val="0"/>
            <showPercent val="0"/>
            <showBubbleSize val="0"/>
          </dLbls>
          <cat>
            <strRef>
              <f>Dashboard!$K$2:$O$2</f>
            </strRef>
          </cat>
          <val>
            <numRef>
              <f>Dashboard!$K$5:$O$5</f>
              <numCache/>
            </numRef>
          </val>
        </ser>
        <ser>
          <idx val="1"/>
          <order val="1"/>
          <tx>
            <strRef>
              <f>Dashboard!$J$6</f>
            </strRef>
          </tx>
          <spPr>
            <a:solidFill>
              <a:srgbClr val="FF6503"/>
            </a:solidFill>
            <a:ln cmpd="sng">
              <a:noFill/>
              <a:prstDash val="solid"/>
            </a:ln>
          </spPr>
          <dLbls>
            <numFmt formatCode="General"/>
            <txPr>
              <a:bodyPr/>
              <a:lstStyle/>
              <a:p>
                <a:pPr lvl="0">
                  <a:defRPr b="1">
                    <a:solidFill>
                      <a:srgbClr val="FFFFFF"/>
                    </a:solidFill>
                    <a:latin typeface="Roboto"/>
                  </a:defRPr>
                </a:pPr>
                <a:r>
                  <a:t>None</a:t>
                </a:r>
              </a:p>
            </txPr>
            <showLegendKey val="0"/>
            <showVal val="1"/>
            <showCatName val="0"/>
            <showSerName val="0"/>
            <showPercent val="0"/>
            <showBubbleSize val="0"/>
          </dLbls>
          <cat>
            <strRef>
              <f>Dashboard!$K$2:$O$2</f>
            </strRef>
          </cat>
          <val>
            <numRef>
              <f>Dashboard!$K$6:$O$6</f>
              <numCache/>
            </numRef>
          </val>
        </ser>
        <gapWidth val="150"/>
        <overlap val="100"/>
        <axId val="323136742"/>
        <axId val="1359592486"/>
      </barChart>
      <catAx>
        <axId val="323136742"/>
        <scaling>
          <orientation val="minMax"/>
        </scaling>
        <delete val="0"/>
        <axPos val="b"/>
        <title>
          <tx>
            <rich>
              <a:bodyPr/>
              <a:lstStyle/>
              <a:p>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spPr>
          <a:ln>
            <a:noFill/>
            <a:prstDash val="solid"/>
          </a:ln>
        </spPr>
        <txPr>
          <a:bodyPr/>
          <a:lstStyle/>
          <a:p>
            <a:pPr lvl="0">
              <a:defRPr b="0">
                <a:solidFill>
                  <a:srgbClr val="000000"/>
                </a:solidFill>
                <a:latin typeface="Roboto"/>
              </a:defRPr>
            </a:pPr>
            <a:r>
              <a:t>None</a:t>
            </a:r>
          </a:p>
        </txPr>
        <crossAx val="1359592486"/>
        <lblOffset val="100"/>
      </catAx>
      <valAx>
        <axId val="1359592486"/>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tickLblPos val="nextTo"/>
        <spPr>
          <a:ln>
            <a:noFill/>
            <a:prstDash val="solid"/>
          </a:ln>
        </spPr>
        <txPr>
          <a:bodyPr/>
          <a:lstStyle/>
          <a:p>
            <a:pPr lvl="0">
              <a:defRPr b="0">
                <a:solidFill>
                  <a:srgbClr val="000000"/>
                </a:solidFill>
                <a:latin typeface="Roboto"/>
              </a:defRPr>
            </a:pPr>
            <a:r>
              <a:t>None</a:t>
            </a:r>
          </a:p>
        </txPr>
        <crossAx val="323136742"/>
      </valAx>
    </plotArea>
    <plotVisOnly val="1"/>
    <dispBlanksAs val="gap"/>
  </chart>
  <spPr>
    <a:solidFill>
      <a:srgbClr val="FFFFFF"/>
    </a:solidFill>
    <a:ln>
      <a:prstDash val="solid"/>
    </a:ln>
  </spPr>
</chartSpace>
</file>

<file path=xl/charts/chart7.xml><?xml version="1.0" encoding="utf-8"?>
<chartSpace xmlns:a="http://schemas.openxmlformats.org/drawingml/2006/main" xmlns="http://schemas.openxmlformats.org/drawingml/2006/chart">
  <chart>
    <title>
      <tx>
        <rich>
          <a:bodyPr/>
          <a:lstStyle/>
          <a:p>
            <a:pPr lvl="0">
              <a:defRPr b="1" i="0">
                <a:solidFill>
                  <a:srgbClr val="000000"/>
                </a:solidFill>
                <a:latin typeface="+mn-lt"/>
              </a:defRPr>
            </a:pPr>
            <a:r>
              <a:rPr b="1" i="0">
                <a:solidFill>
                  <a:srgbClr val="000000"/>
                </a:solidFill>
                <a:latin typeface="+mn-lt"/>
              </a:rPr>
              <a:t>Seed Capital Allocation</a:t>
            </a:r>
          </a:p>
        </rich>
      </tx>
      <overlay val="0"/>
    </title>
    <plotArea>
      <layout/>
      <doughnutChart>
        <varyColors val="1"/>
        <ser>
          <idx val="0"/>
          <order val="0"/>
          <spPr>
            <a:ln>
              <a:prstDash val="solid"/>
            </a:ln>
          </spPr>
          <dPt>
            <idx val="0"/>
            <spPr>
              <a:solidFill>
                <a:srgbClr val="E53517"/>
              </a:solidFill>
              <a:ln>
                <a:prstDash val="solid"/>
              </a:ln>
            </spPr>
          </dPt>
          <dLbls>
            <showLegendKey val="0"/>
            <showVal val="0"/>
            <showCatName val="0"/>
            <showSerName val="0"/>
            <showPercent val="0"/>
            <showBubbleSize val="0"/>
            <showLeaderLines val="1"/>
          </dLbls>
          <cat>
            <strRef>
              <f>Dashboard!$X$6:$Z$6</f>
            </strRef>
          </cat>
          <val>
            <numRef>
              <f>Dashboard!$X$7:$Z$7</f>
              <numCache/>
            </numRef>
          </val>
        </ser>
        <dLbls>
          <showLegendKey val="0"/>
          <showVal val="0"/>
          <showCatName val="0"/>
          <showSerName val="0"/>
          <showPercent val="0"/>
          <showBubbleSize val="0"/>
        </dLbls>
        <firstSliceAng val="0"/>
        <holeSize val="50"/>
      </doughnutChart>
    </plotArea>
    <legend>
      <legendPos val="r"/>
      <overlay val="0"/>
      <txPr>
        <a:bodyPr/>
        <a:lstStyle/>
        <a:p>
          <a:pPr lvl="0">
            <a:defRPr b="0" i="0">
              <a:solidFill>
                <a:srgbClr val="1A1A1A"/>
              </a:solidFill>
              <a:latin typeface="+mn-lt"/>
            </a:defRPr>
          </a:pPr>
          <a:r>
            <a:t>None</a:t>
          </a:r>
        </a:p>
      </txPr>
    </legend>
    <plotVisOnly val="1"/>
    <dispBlanksAs val="gap"/>
  </chart>
  <spPr>
    <a:solidFill>
      <a:srgbClr val="FFFFFF"/>
    </a:solidFill>
    <a:ln>
      <a:prstDash val="solid"/>
    </a:ln>
  </spPr>
</chartSpace>
</file>

<file path=xl/charts/chart8.xml><?xml version="1.0" encoding="utf-8"?>
<chartSpace xmlns:a="http://schemas.openxmlformats.org/drawingml/2006/main" xmlns="http://schemas.openxmlformats.org/drawingml/2006/chart">
  <chart>
    <title>
      <tx>
        <rich>
          <a:bodyPr/>
          <a:lstStyle/>
          <a:p>
            <a:pPr lvl="0">
              <a:defRPr b="1" i="0">
                <a:solidFill>
                  <a:srgbClr val="000000"/>
                </a:solidFill>
                <a:latin typeface="+mn-lt"/>
              </a:defRPr>
            </a:pPr>
            <a:r>
              <a:rPr b="1" i="0">
                <a:solidFill>
                  <a:srgbClr val="000000"/>
                </a:solidFill>
                <a:latin typeface="+mn-lt"/>
              </a:rPr>
              <a:t>Headcount</a:t>
            </a:r>
          </a:p>
        </rich>
      </tx>
      <overlay val="0"/>
    </title>
    <plotArea>
      <layout/>
      <lineChart>
        <grouping val="standard"/>
        <varyColors val="0"/>
        <ser>
          <idx val="0"/>
          <order val="0"/>
          <tx>
            <strRef>
              <f>Dashboard!$S$3</f>
            </strRef>
          </tx>
          <spPr>
            <a:ln cmpd="sng">
              <a:solidFill>
                <a:srgbClr val="E53517"/>
              </a:solidFill>
              <a:prstDash val="solid"/>
            </a:ln>
          </spPr>
          <marker>
            <symbol val="circle"/>
            <size val="10"/>
            <spPr>
              <a:solidFill>
                <a:srgbClr val="E53517"/>
              </a:solidFill>
              <a:ln cmpd="sng">
                <a:solidFill>
                  <a:srgbClr val="E53517"/>
                </a:solidFill>
                <a:prstDash val="solid"/>
              </a:ln>
            </spPr>
          </marker>
          <dLbls>
            <numFmt formatCode="General"/>
            <txPr>
              <a:bodyPr/>
              <a:lstStyle/>
              <a:p>
                <a:pPr lvl="0">
                  <a:defRPr b="1" i="0"/>
                </a:pPr>
                <a:r>
                  <a:t>None</a:t>
                </a:r>
              </a:p>
            </txPr>
            <showLegendKey val="0"/>
            <showVal val="1"/>
            <showCatName val="0"/>
            <showSerName val="0"/>
            <showPercent val="0"/>
            <showBubbleSize val="0"/>
          </dLbls>
          <cat>
            <strRef>
              <f>Dashboard!$T$2:$X$2</f>
            </strRef>
          </cat>
          <val>
            <numRef>
              <f>Dashboard!$T$3:$X$3</f>
              <numCache/>
            </numRef>
          </val>
          <smooth val="0"/>
        </ser>
        <axId val="1181348836"/>
        <axId val="2037845757"/>
      </lineChart>
      <catAx>
        <axId val="1181348836"/>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b="0" i="0">
                <a:solidFill>
                  <a:srgbClr val="000000"/>
                </a:solidFill>
                <a:latin typeface="+mn-lt"/>
              </a:defRPr>
            </a:pPr>
            <a:r>
              <a:t>None</a:t>
            </a:r>
          </a:p>
        </txPr>
        <crossAx val="2037845757"/>
        <lblOffset val="100"/>
      </catAx>
      <valAx>
        <axId val="2037845757"/>
        <scaling>
          <orientation val="minMax"/>
          <max val="6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b="0" i="0">
                <a:solidFill>
                  <a:srgbClr val="000000"/>
                </a:solidFill>
                <a:latin typeface="+mn-lt"/>
              </a:defRPr>
            </a:pPr>
            <a:r>
              <a:t>None</a:t>
            </a:r>
          </a:p>
        </txPr>
        <crossAx val="1181348836"/>
      </valAx>
    </plotArea>
    <legend>
      <legendPos val="r"/>
      <overlay val="0"/>
      <txPr>
        <a:bodyPr/>
        <a:lstStyle/>
        <a:p>
          <a:pPr lvl="0">
            <a:defRPr b="0" i="0">
              <a:solidFill>
                <a:srgbClr val="1A1A1A"/>
              </a:solidFill>
              <a:latin typeface="+mn-lt"/>
            </a:defRPr>
          </a:pPr>
          <a:r>
            <a:t>None</a:t>
          </a:r>
        </a:p>
      </txPr>
    </legend>
    <plotVisOnly val="1"/>
    <dispBlanksAs val="gap"/>
  </chart>
</chartSpace>
</file>

<file path=xl/charts/chart9.xml><?xml version="1.0" encoding="utf-8"?>
<chartSpace xmlns:a="http://schemas.openxmlformats.org/drawingml/2006/main" xmlns="http://schemas.openxmlformats.org/drawingml/2006/chart">
  <chart>
    <title>
      <tx>
        <rich>
          <a:bodyPr/>
          <a:lstStyle/>
          <a:p>
            <a:pPr lvl="0">
              <a:defRPr b="1" i="0">
                <a:solidFill>
                  <a:srgbClr val="000000"/>
                </a:solidFill>
                <a:latin typeface="+mn-lt"/>
              </a:defRPr>
            </a:pPr>
            <a:r>
              <a:rPr b="1" i="0">
                <a:solidFill>
                  <a:srgbClr val="000000"/>
                </a:solidFill>
                <a:latin typeface="+mn-lt"/>
              </a:rPr>
              <a:t>Revenue/FTE</a:t>
            </a:r>
          </a:p>
        </rich>
      </tx>
      <overlay val="0"/>
    </title>
    <plotArea>
      <layout/>
      <lineChart>
        <grouping val="standard"/>
        <varyColors val="0"/>
        <ser>
          <idx val="0"/>
          <order val="0"/>
          <tx>
            <strRef>
              <f>Dashboard!$S$4</f>
            </strRef>
          </tx>
          <spPr>
            <a:ln cmpd="sng">
              <a:solidFill>
                <a:srgbClr val="E53517"/>
              </a:solidFill>
              <a:prstDash val="solid"/>
            </a:ln>
          </spPr>
          <marker>
            <symbol val="circle"/>
            <size val="10"/>
            <spPr>
              <a:solidFill>
                <a:srgbClr val="E53517"/>
              </a:solidFill>
              <a:ln cmpd="sng">
                <a:solidFill>
                  <a:srgbClr val="E53517"/>
                </a:solidFill>
                <a:prstDash val="solid"/>
              </a:ln>
            </spPr>
          </marker>
          <dLbls>
            <numFmt formatCode="General"/>
            <txPr>
              <a:bodyPr/>
              <a:lstStyle/>
              <a:p>
                <a:pPr lvl="0">
                  <a:defRPr b="1" i="0"/>
                </a:pPr>
                <a:r>
                  <a:t>None</a:t>
                </a:r>
              </a:p>
            </txPr>
            <showLegendKey val="0"/>
            <showVal val="1"/>
            <showCatName val="0"/>
            <showSerName val="0"/>
            <showPercent val="0"/>
            <showBubbleSize val="0"/>
          </dLbls>
          <cat>
            <strRef>
              <f>Dashboard!$T$2:$X$2</f>
            </strRef>
          </cat>
          <val>
            <numRef>
              <f>Dashboard!$T$4:$X$4</f>
              <numCache/>
            </numRef>
          </val>
          <smooth val="0"/>
        </ser>
        <axId val="2022301766"/>
        <axId val="1770757875"/>
      </lineChart>
      <catAx>
        <axId val="2022301766"/>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b="0" i="0">
                <a:solidFill>
                  <a:srgbClr val="000000"/>
                </a:solidFill>
                <a:latin typeface="+mn-lt"/>
              </a:defRPr>
            </a:pPr>
            <a:r>
              <a:t>None</a:t>
            </a:r>
          </a:p>
        </txPr>
        <crossAx val="1770757875"/>
        <lblOffset val="100"/>
      </catAx>
      <valAx>
        <axId val="1770757875"/>
        <scaling>
          <orientation val="minMax"/>
          <max val="200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b="0" i="0">
                <a:solidFill>
                  <a:srgbClr val="000000"/>
                </a:solidFill>
                <a:latin typeface="+mn-lt"/>
              </a:defRPr>
            </a:pPr>
            <a:r>
              <a:t>None</a:t>
            </a:r>
          </a:p>
        </txPr>
        <crossAx val="2022301766"/>
      </valAx>
    </plotArea>
    <legend>
      <legendPos val="r"/>
      <overlay val="0"/>
      <txPr>
        <a:bodyPr/>
        <a:lstStyle/>
        <a:p>
          <a:pPr lvl="0">
            <a:defRPr b="0" i="0">
              <a:solidFill>
                <a:srgbClr val="1A1A1A"/>
              </a:solidFill>
              <a:latin typeface="+mn-lt"/>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 Type="http://schemas.openxmlformats.org/officeDocument/2006/relationships/chart" Target="/xl/charts/chart7.xml" Id="rId3" /><Relationship Type="http://schemas.openxmlformats.org/officeDocument/2006/relationships/chart" Target="/xl/charts/chart8.xml" Id="rId4" /><Relationship Type="http://schemas.openxmlformats.org/officeDocument/2006/relationships/chart" Target="/xl/charts/chart9.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171450</colOff>
      <row>11</row>
      <rowOff>0</rowOff>
    </from>
    <ext cx="7105650" cy="440055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19</col>
      <colOff>695325</colOff>
      <row>10</row>
      <rowOff>123825</rowOff>
    </from>
    <ext cx="7105650" cy="440055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2</col>
      <colOff>133350</colOff>
      <row>32</row>
      <rowOff>104775</rowOff>
    </from>
    <ext cx="5715000" cy="353377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0</col>
      <colOff>0</colOff>
      <row>10</row>
      <rowOff>133350</rowOff>
    </from>
    <ext cx="7105650" cy="4400550"/>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676275</colOff>
      <row>10</row>
      <rowOff>123825</rowOff>
    </from>
    <ext cx="5715000" cy="3533775"/>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col>
      <colOff>1352550</colOff>
      <row>10</row>
      <rowOff>123825</rowOff>
    </from>
    <ext cx="5715000" cy="3533775"/>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col>
      <colOff>1219200</colOff>
      <row>29</row>
      <rowOff>38100</rowOff>
    </from>
    <ext cx="5715000" cy="353377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9</col>
      <colOff>676275</colOff>
      <row>29</row>
      <rowOff>38100</rowOff>
    </from>
    <ext cx="5715000" cy="3533775"/>
    <graphicFrame>
      <nvGraphicFramePr>
        <cNvPr id="4" name="Chart 4"/>
        <cNvGraphicFramePr/>
      </nvGraphicFramePr>
      <xfrm/>
      <a:graphic>
        <a:graphicData uri="http://schemas.openxmlformats.org/drawingml/2006/chart">
          <c:chart r:id="rId4"/>
        </a:graphicData>
      </a:graphic>
    </graphicFrame>
    <clientData fLocksWithSheet="0"/>
  </oneCellAnchor>
  <oneCellAnchor>
    <from>
      <col>19</col>
      <colOff>257175</colOff>
      <row>10</row>
      <rowOff>123825</rowOff>
    </from>
    <ext cx="5715000" cy="3533775"/>
    <graphicFrame>
      <nvGraphicFramePr>
        <cNvPr id="5" name="Chart 5"/>
        <cNvGraphicFramePr/>
      </nvGraphicFramePr>
      <xfrm/>
      <a:graphic>
        <a:graphicData uri="http://schemas.openxmlformats.org/drawingml/2006/chart">
          <c:chart r:id="rId5"/>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0.xml.rels><Relationships xmlns="http://schemas.openxmlformats.org/package/2006/relationships"><Relationship Type="http://schemas.openxmlformats.org/officeDocument/2006/relationships/drawing" Target="/xl/drawings/drawing1.xml" Id="rId1" /></Relationships>
</file>

<file path=xl/worksheets/_rels/sheet11.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S29"/>
  <sheetViews>
    <sheetView showGridLines="0" workbookViewId="0">
      <selection activeCell="A1" sqref="A1"/>
    </sheetView>
  </sheetViews>
  <sheetFormatPr baseColWidth="8" defaultColWidth="14.43" defaultRowHeight="15" customHeight="1"/>
  <cols>
    <col width="8.859999999999999" customWidth="1" style="349" min="1" max="1"/>
    <col width="60" customWidth="1" style="349" min="2" max="2"/>
    <col width="8.859999999999999" customWidth="1" style="349" min="3" max="19"/>
  </cols>
  <sheetData>
    <row r="1" ht="15" customHeight="1" s="349">
      <c r="A1" s="3" t="n"/>
      <c r="B1" s="3" t="n"/>
      <c r="C1" s="3" t="n"/>
      <c r="D1" s="3" t="n"/>
      <c r="E1" s="3" t="n"/>
      <c r="F1" s="3" t="n"/>
      <c r="G1" s="3" t="n"/>
      <c r="H1" s="3" t="n"/>
      <c r="I1" s="3" t="n"/>
      <c r="J1" s="3" t="n"/>
      <c r="K1" s="3" t="n"/>
      <c r="L1" s="3" t="n"/>
      <c r="M1" s="3" t="n"/>
      <c r="N1" s="3" t="n"/>
      <c r="O1" s="3" t="n"/>
      <c r="P1" s="3" t="n"/>
      <c r="Q1" s="3" t="n"/>
      <c r="R1" s="3" t="n"/>
      <c r="S1" s="3" t="n"/>
    </row>
    <row r="2" ht="15" customHeight="1" s="349">
      <c r="A2" s="3" t="n"/>
      <c r="B2" s="3" t="n"/>
      <c r="C2" s="3" t="n"/>
      <c r="D2" s="3" t="n"/>
      <c r="E2" s="3" t="n"/>
      <c r="F2" s="3" t="n"/>
      <c r="G2" s="3" t="n"/>
      <c r="H2" s="3" t="n"/>
      <c r="I2" s="3" t="n"/>
      <c r="J2" s="3" t="n"/>
      <c r="K2" s="3" t="n"/>
      <c r="L2" s="3" t="n"/>
      <c r="M2" s="3" t="n"/>
      <c r="N2" s="3" t="n"/>
      <c r="O2" s="3" t="n"/>
      <c r="P2" s="3" t="n"/>
      <c r="Q2" s="3" t="n"/>
      <c r="R2" s="3" t="n"/>
      <c r="S2" s="3" t="n"/>
    </row>
    <row r="3" ht="15" customHeight="1" s="349">
      <c r="A3" s="3" t="n"/>
      <c r="B3" s="3" t="n"/>
      <c r="C3" s="3" t="n"/>
      <c r="D3" s="3" t="n"/>
      <c r="E3" s="3" t="n"/>
      <c r="F3" s="3" t="n"/>
      <c r="G3" s="3" t="n"/>
      <c r="H3" s="3" t="n"/>
      <c r="I3" s="3" t="n"/>
      <c r="J3" s="3" t="n"/>
      <c r="K3" s="3" t="n"/>
      <c r="L3" s="3" t="n"/>
      <c r="M3" s="3" t="n"/>
      <c r="N3" s="3" t="n"/>
      <c r="O3" s="3" t="n"/>
      <c r="P3" s="3" t="n"/>
      <c r="Q3" s="3" t="n"/>
      <c r="R3" s="3" t="n"/>
      <c r="S3" s="3" t="n"/>
    </row>
    <row r="4" ht="15" customHeight="1" s="349">
      <c r="A4" s="3" t="n"/>
      <c r="B4" s="3" t="n"/>
      <c r="C4" s="3" t="n"/>
      <c r="D4" s="3" t="n"/>
      <c r="E4" s="3" t="n"/>
      <c r="F4" s="3" t="n"/>
      <c r="G4" s="3" t="n"/>
      <c r="H4" s="3" t="n"/>
      <c r="I4" s="3" t="n"/>
      <c r="J4" s="3" t="n"/>
      <c r="K4" s="3" t="n"/>
      <c r="L4" s="3" t="n"/>
      <c r="M4" s="3" t="n"/>
      <c r="N4" s="3" t="n"/>
      <c r="O4" s="3" t="n"/>
      <c r="P4" s="3" t="n"/>
      <c r="Q4" s="3" t="n"/>
      <c r="R4" s="3" t="n"/>
      <c r="S4" s="3" t="n"/>
    </row>
    <row r="5" ht="24" customHeight="1" s="349">
      <c r="A5" s="3" t="n"/>
      <c r="B5" s="16" t="n"/>
      <c r="C5" s="3" t="n"/>
      <c r="D5" s="3" t="n"/>
      <c r="E5" s="3" t="n"/>
      <c r="F5" s="3" t="n"/>
      <c r="G5" s="3" t="n"/>
      <c r="H5" s="3" t="n"/>
      <c r="I5" s="3" t="n"/>
      <c r="J5" s="3" t="n"/>
      <c r="K5" s="3" t="n"/>
      <c r="L5" s="3" t="n"/>
      <c r="M5" s="3" t="n"/>
      <c r="N5" s="3" t="n"/>
      <c r="O5" s="3" t="n"/>
      <c r="P5" s="3" t="n"/>
      <c r="Q5" s="3" t="n"/>
      <c r="R5" s="3" t="n"/>
      <c r="S5" s="3" t="n"/>
    </row>
    <row r="6" ht="15" customHeight="1" s="349">
      <c r="A6" s="3" t="n"/>
      <c r="B6" s="16" t="n"/>
      <c r="C6" s="3" t="n"/>
      <c r="D6" s="3" t="n"/>
      <c r="E6" s="3" t="n"/>
      <c r="F6" s="3" t="n"/>
      <c r="G6" s="3" t="n"/>
      <c r="H6" s="3" t="n"/>
      <c r="I6" s="3" t="n"/>
      <c r="J6" s="3" t="n"/>
      <c r="K6" s="3" t="n"/>
      <c r="L6" s="3" t="n"/>
      <c r="M6" s="3" t="n"/>
      <c r="N6" s="3" t="n"/>
      <c r="O6" s="3" t="n"/>
      <c r="P6" s="3" t="n"/>
      <c r="Q6" s="3" t="n"/>
      <c r="R6" s="3" t="n"/>
      <c r="S6" s="3" t="n"/>
    </row>
    <row r="7" ht="15" customHeight="1" s="349">
      <c r="A7" s="3" t="n"/>
      <c r="B7" s="16" t="n"/>
      <c r="C7" s="3" t="n"/>
      <c r="D7" s="3" t="n"/>
      <c r="E7" s="3" t="n"/>
      <c r="F7" s="3" t="n"/>
      <c r="G7" s="3" t="n"/>
      <c r="H7" s="3" t="n"/>
      <c r="I7" s="3" t="n"/>
      <c r="J7" s="3" t="n"/>
      <c r="K7" s="3" t="n"/>
      <c r="L7" s="3" t="n"/>
      <c r="M7" s="3" t="n"/>
      <c r="N7" s="3" t="n"/>
      <c r="O7" s="3" t="n"/>
      <c r="P7" s="3" t="n"/>
      <c r="Q7" s="3" t="n"/>
      <c r="R7" s="3" t="n"/>
      <c r="S7" s="3" t="n"/>
    </row>
    <row r="8" ht="15" customHeight="1" s="349">
      <c r="A8" s="3" t="n"/>
      <c r="B8" s="16" t="n"/>
      <c r="C8" s="3" t="n"/>
      <c r="D8" s="3" t="n"/>
      <c r="E8" s="3" t="n"/>
      <c r="F8" s="3" t="n"/>
      <c r="G8" s="3" t="n"/>
      <c r="H8" s="3" t="n"/>
      <c r="I8" s="3" t="n"/>
      <c r="J8" s="3" t="n"/>
      <c r="K8" s="3" t="n"/>
      <c r="L8" s="3" t="n"/>
      <c r="M8" s="3" t="n"/>
      <c r="N8" s="3" t="n"/>
      <c r="O8" s="3" t="n"/>
      <c r="P8" s="3" t="n"/>
      <c r="Q8" s="3" t="n"/>
      <c r="R8" s="3" t="n"/>
      <c r="S8" s="3" t="n"/>
    </row>
    <row r="9" ht="15" customHeight="1" s="349">
      <c r="A9" s="3" t="n"/>
      <c r="B9" s="16" t="n"/>
      <c r="C9" s="3" t="n"/>
      <c r="D9" s="3" t="n"/>
      <c r="E9" s="3" t="n"/>
      <c r="F9" s="3" t="n"/>
      <c r="G9" s="3" t="n"/>
      <c r="H9" s="3" t="n"/>
      <c r="I9" s="3" t="n"/>
      <c r="J9" s="3" t="n"/>
      <c r="K9" s="3" t="n"/>
      <c r="L9" s="3" t="n"/>
      <c r="M9" s="3" t="n"/>
      <c r="N9" s="3" t="n"/>
      <c r="O9" s="3" t="n"/>
      <c r="P9" s="3" t="n"/>
      <c r="Q9" s="3" t="n"/>
      <c r="R9" s="3" t="n"/>
      <c r="S9" s="3" t="n"/>
    </row>
    <row r="10" ht="15" customHeight="1" s="349">
      <c r="A10" s="3" t="n"/>
      <c r="B10" s="16" t="n"/>
      <c r="C10" s="3" t="n"/>
      <c r="D10" s="3" t="n"/>
      <c r="E10" s="3" t="n"/>
      <c r="F10" s="3" t="n"/>
      <c r="G10" s="3" t="n"/>
      <c r="H10" s="3" t="n"/>
      <c r="I10" s="3" t="n"/>
      <c r="J10" s="3" t="n"/>
      <c r="K10" s="3" t="n"/>
      <c r="L10" s="3" t="n"/>
      <c r="M10" s="3" t="n"/>
      <c r="N10" s="3" t="n"/>
      <c r="O10" s="3" t="n"/>
      <c r="P10" s="3" t="n"/>
      <c r="Q10" s="3" t="n"/>
      <c r="R10" s="3" t="n"/>
      <c r="S10" s="3" t="n"/>
    </row>
    <row r="11" ht="15" customHeight="1" s="349">
      <c r="A11" s="3" t="n"/>
      <c r="B11" s="16" t="n"/>
      <c r="C11" s="3" t="n"/>
      <c r="D11" s="3" t="n"/>
      <c r="E11" s="3" t="n"/>
      <c r="F11" s="3" t="n"/>
      <c r="G11" s="3" t="n"/>
      <c r="H11" s="3" t="n"/>
      <c r="I11" s="3" t="n"/>
      <c r="J11" s="3" t="n"/>
      <c r="K11" s="3" t="n"/>
      <c r="L11" s="3" t="n"/>
      <c r="M11" s="3" t="n"/>
      <c r="N11" s="3" t="n"/>
      <c r="O11" s="3" t="n"/>
      <c r="P11" s="3" t="n"/>
      <c r="Q11" s="3" t="n"/>
      <c r="R11" s="3" t="n"/>
      <c r="S11" s="3" t="n"/>
    </row>
    <row r="12" ht="15" customHeight="1" s="349">
      <c r="A12" s="3" t="n"/>
      <c r="B12" s="16" t="n"/>
      <c r="C12" s="3" t="n"/>
      <c r="D12" s="3" t="n"/>
      <c r="E12" s="3" t="n"/>
      <c r="F12" s="3" t="n"/>
      <c r="G12" s="3" t="n"/>
      <c r="H12" s="3" t="n"/>
      <c r="I12" s="3" t="n"/>
      <c r="J12" s="3" t="n"/>
      <c r="K12" s="3" t="n"/>
      <c r="L12" s="3" t="n"/>
      <c r="M12" s="3" t="n"/>
      <c r="N12" s="3" t="n"/>
      <c r="O12" s="3" t="n"/>
      <c r="P12" s="3" t="n"/>
      <c r="Q12" s="3" t="n"/>
      <c r="R12" s="3" t="n"/>
      <c r="S12" s="3" t="n"/>
    </row>
    <row r="13" ht="25.5" customHeight="1" s="349">
      <c r="A13" s="3" t="n"/>
      <c r="B13" s="41" t="n"/>
      <c r="C13" s="3" t="n"/>
      <c r="D13" s="3" t="n"/>
      <c r="E13" s="3" t="n"/>
      <c r="F13" s="3" t="n"/>
      <c r="G13" s="3" t="n"/>
      <c r="H13" s="3" t="n"/>
      <c r="I13" s="3" t="n"/>
      <c r="J13" s="3" t="n"/>
      <c r="K13" s="3" t="n"/>
      <c r="L13" s="3" t="n"/>
      <c r="M13" s="3" t="n"/>
      <c r="N13" s="3" t="n"/>
      <c r="O13" s="3" t="n"/>
      <c r="P13" s="3" t="n"/>
      <c r="Q13" s="3" t="n"/>
      <c r="R13" s="3" t="n"/>
      <c r="S13" s="3" t="n"/>
    </row>
    <row r="14" ht="15" customHeight="1" s="349">
      <c r="A14" s="3" t="n"/>
      <c r="B14" s="3" t="n"/>
      <c r="C14" s="3" t="n"/>
      <c r="D14" s="3" t="n"/>
      <c r="E14" s="3" t="n"/>
      <c r="F14" s="3" t="n"/>
      <c r="G14" s="3" t="n"/>
      <c r="H14" s="3" t="n"/>
      <c r="I14" s="3" t="n"/>
      <c r="J14" s="3" t="n"/>
      <c r="K14" s="3" t="n"/>
      <c r="L14" s="3" t="n"/>
      <c r="M14" s="3" t="n"/>
      <c r="N14" s="3" t="n"/>
      <c r="O14" s="3" t="n"/>
      <c r="P14" s="3" t="n"/>
      <c r="Q14" s="3" t="n"/>
      <c r="R14" s="3" t="n"/>
      <c r="S14" s="3" t="n"/>
    </row>
    <row r="15" ht="15" customHeight="1" s="349">
      <c r="A15" s="3" t="n"/>
      <c r="B15" s="47" t="inlineStr">
        <is>
          <t xml:space="preserve">Financial Model </t>
        </is>
      </c>
      <c r="C15" s="3" t="n"/>
      <c r="D15" s="3" t="n"/>
      <c r="E15" s="3" t="n"/>
      <c r="F15" s="3" t="n"/>
      <c r="G15" s="3" t="n"/>
      <c r="H15" s="3" t="n"/>
      <c r="I15" s="3" t="n"/>
      <c r="J15" s="3" t="n"/>
      <c r="K15" s="3" t="n"/>
      <c r="L15" s="3" t="n"/>
      <c r="M15" s="3" t="n"/>
      <c r="N15" s="3" t="n"/>
      <c r="O15" s="3" t="n"/>
      <c r="P15" s="3" t="n"/>
      <c r="Q15" s="3" t="n"/>
      <c r="R15" s="3" t="n"/>
      <c r="S15" s="3" t="n"/>
    </row>
    <row r="16" ht="15" customHeight="1" s="349">
      <c r="A16" s="3" t="n"/>
      <c r="B16" s="3" t="n"/>
      <c r="C16" s="3" t="n"/>
      <c r="D16" s="3" t="n"/>
      <c r="E16" s="3" t="n"/>
      <c r="F16" s="3" t="n"/>
      <c r="G16" s="3" t="n"/>
      <c r="H16" s="3" t="n"/>
      <c r="I16" s="3" t="n"/>
      <c r="J16" s="3" t="n"/>
      <c r="K16" s="3" t="n"/>
      <c r="L16" s="3" t="n"/>
      <c r="M16" s="3" t="n"/>
      <c r="N16" s="3" t="n"/>
      <c r="O16" s="3" t="n"/>
      <c r="P16" s="3" t="n"/>
      <c r="Q16" s="3" t="n"/>
      <c r="R16" s="3" t="n"/>
      <c r="S16" s="3" t="n"/>
    </row>
    <row r="17" ht="15" customHeight="1" s="349">
      <c r="A17" s="3" t="n"/>
      <c r="B17" s="54" t="n"/>
      <c r="C17" s="3" t="n"/>
      <c r="D17" s="3" t="n"/>
      <c r="E17" s="3" t="n"/>
      <c r="F17" s="3" t="n"/>
      <c r="G17" s="3" t="n"/>
      <c r="H17" s="3" t="n"/>
      <c r="I17" s="3" t="n"/>
      <c r="J17" s="3" t="n"/>
      <c r="K17" s="3" t="n"/>
      <c r="L17" s="3" t="n"/>
      <c r="M17" s="3" t="n"/>
      <c r="N17" s="3" t="n"/>
      <c r="O17" s="3" t="n"/>
      <c r="P17" s="3" t="n"/>
      <c r="Q17" s="3" t="n"/>
      <c r="R17" s="3" t="n"/>
      <c r="S17" s="3" t="n"/>
    </row>
    <row r="18" ht="15" customHeight="1" s="349">
      <c r="A18" s="3" t="n"/>
      <c r="B18" s="54" t="n"/>
      <c r="C18" s="3" t="n"/>
      <c r="D18" s="3" t="n"/>
      <c r="E18" s="3" t="n"/>
      <c r="F18" s="3" t="n"/>
      <c r="G18" s="3" t="n"/>
      <c r="H18" s="3" t="n"/>
      <c r="I18" s="3" t="n"/>
      <c r="J18" s="3" t="n"/>
      <c r="K18" s="3" t="n"/>
      <c r="L18" s="3" t="n"/>
      <c r="M18" s="3" t="n"/>
      <c r="N18" s="3" t="n"/>
      <c r="O18" s="3" t="n"/>
      <c r="P18" s="3" t="n"/>
      <c r="Q18" s="3" t="n"/>
      <c r="R18" s="3" t="n"/>
      <c r="S18" s="3" t="n"/>
    </row>
    <row r="19" ht="15" customHeight="1" s="349">
      <c r="A19" s="3" t="n"/>
      <c r="B19" s="54" t="inlineStr">
        <is>
          <t xml:space="preserve">Currency: EUR (€) </t>
        </is>
      </c>
      <c r="C19" s="3" t="n"/>
      <c r="D19" s="3" t="n"/>
      <c r="E19" s="3" t="n"/>
      <c r="F19" s="3" t="n"/>
      <c r="G19" s="3" t="n"/>
      <c r="H19" s="3" t="n"/>
      <c r="I19" s="3" t="n"/>
      <c r="J19" s="3" t="n"/>
      <c r="K19" s="3" t="n"/>
      <c r="L19" s="3" t="n"/>
      <c r="M19" s="3" t="n"/>
      <c r="N19" s="3" t="n"/>
      <c r="O19" s="3" t="n"/>
      <c r="P19" s="3" t="n"/>
      <c r="Q19" s="3" t="n"/>
      <c r="R19" s="3" t="n"/>
      <c r="S19" s="3" t="n"/>
    </row>
    <row r="20" ht="15" customHeight="1" s="349">
      <c r="A20" s="3" t="n"/>
      <c r="B20" s="3" t="n"/>
      <c r="C20" s="3" t="n"/>
      <c r="D20" s="3" t="n"/>
      <c r="E20" s="3" t="n"/>
      <c r="F20" s="3" t="n"/>
      <c r="G20" s="3" t="n"/>
      <c r="H20" s="3" t="n"/>
      <c r="I20" s="3" t="n"/>
      <c r="J20" s="3" t="n"/>
      <c r="K20" s="3" t="n"/>
      <c r="L20" s="3" t="n"/>
      <c r="M20" s="3" t="n"/>
      <c r="N20" s="3" t="n"/>
      <c r="O20" s="3" t="n"/>
      <c r="P20" s="3" t="n"/>
      <c r="Q20" s="3" t="n"/>
      <c r="R20" s="3" t="n"/>
      <c r="S20" s="3" t="n"/>
    </row>
    <row r="21" ht="15.75" customHeight="1" s="349">
      <c r="A21" s="3" t="n"/>
      <c r="B21" s="60" t="inlineStr">
        <is>
          <t>STRICTLY CONFIDENTIAL</t>
        </is>
      </c>
      <c r="C21" s="3" t="n"/>
      <c r="D21" s="3" t="n"/>
      <c r="E21" s="3" t="n"/>
      <c r="F21" s="3" t="n"/>
      <c r="G21" s="3" t="n"/>
      <c r="H21" s="3" t="n"/>
      <c r="I21" s="3" t="n"/>
      <c r="J21" s="3" t="n"/>
      <c r="K21" s="3" t="n"/>
      <c r="L21" s="3" t="n"/>
      <c r="M21" s="3" t="n"/>
      <c r="N21" s="3" t="n"/>
      <c r="O21" s="3" t="n"/>
      <c r="P21" s="3" t="n"/>
      <c r="Q21" s="3" t="n"/>
      <c r="R21" s="3" t="n"/>
      <c r="S21" s="3" t="n"/>
    </row>
    <row r="22" ht="15.75" customHeight="1" s="349">
      <c r="A22" s="3" t="n"/>
      <c r="B22" s="3" t="n"/>
      <c r="C22" s="3" t="n"/>
      <c r="D22" s="3" t="n"/>
      <c r="E22" s="3" t="n"/>
      <c r="F22" s="3" t="n"/>
      <c r="G22" s="3" t="n"/>
      <c r="H22" s="3" t="n"/>
      <c r="I22" s="3" t="n"/>
      <c r="J22" s="3" t="n"/>
      <c r="K22" s="3" t="n"/>
      <c r="L22" s="3" t="n"/>
      <c r="M22" s="3" t="n"/>
      <c r="N22" s="3" t="n"/>
      <c r="O22" s="3" t="n"/>
      <c r="P22" s="3" t="n"/>
      <c r="Q22" s="3" t="n"/>
      <c r="R22" s="3" t="n"/>
      <c r="S22" s="3" t="n"/>
    </row>
    <row r="23" ht="15.75" customHeight="1" s="349">
      <c r="A23" s="3" t="n"/>
      <c r="B23" s="3" t="n"/>
      <c r="C23" s="3" t="n"/>
      <c r="D23" s="3" t="n"/>
      <c r="E23" s="3" t="n"/>
      <c r="F23" s="3" t="n"/>
      <c r="G23" s="3" t="n"/>
      <c r="H23" s="3" t="n"/>
      <c r="I23" s="3" t="n"/>
      <c r="J23" s="3" t="n"/>
      <c r="K23" s="3" t="n"/>
      <c r="L23" s="3" t="n"/>
      <c r="M23" s="3" t="n"/>
      <c r="N23" s="3" t="n"/>
      <c r="O23" s="3" t="n"/>
      <c r="P23" s="3" t="n"/>
      <c r="Q23" s="3" t="n"/>
      <c r="R23" s="3" t="n"/>
      <c r="S23" s="3" t="n"/>
    </row>
    <row r="24" ht="15.75" customHeight="1" s="349">
      <c r="A24" s="3" t="n"/>
      <c r="B24" s="3" t="n"/>
      <c r="C24" s="3" t="n"/>
      <c r="D24" s="3" t="n"/>
      <c r="E24" s="3" t="n"/>
      <c r="F24" s="3" t="n"/>
      <c r="G24" s="3" t="n"/>
      <c r="H24" s="3" t="n"/>
      <c r="I24" s="3" t="n"/>
      <c r="J24" s="3" t="n"/>
      <c r="K24" s="3" t="n"/>
      <c r="L24" s="3" t="n"/>
      <c r="M24" s="3" t="n"/>
      <c r="N24" s="3" t="n"/>
      <c r="O24" s="3" t="n"/>
      <c r="P24" s="3" t="n"/>
      <c r="Q24" s="3" t="n"/>
      <c r="R24" s="3" t="n"/>
      <c r="S24" s="3" t="n"/>
    </row>
    <row r="25" ht="15.75" customHeight="1" s="349">
      <c r="A25" s="3" t="n"/>
      <c r="B25" s="3" t="n"/>
      <c r="C25" s="3" t="n"/>
      <c r="D25" s="3" t="n"/>
      <c r="E25" s="3" t="n"/>
      <c r="F25" s="3" t="n"/>
      <c r="G25" s="3" t="n"/>
      <c r="H25" s="3" t="n"/>
      <c r="I25" s="3" t="n"/>
      <c r="J25" s="3" t="n"/>
      <c r="K25" s="3" t="n"/>
      <c r="L25" s="3" t="n"/>
      <c r="M25" s="3" t="n"/>
      <c r="N25" s="3" t="n"/>
      <c r="O25" s="3" t="n"/>
      <c r="P25" s="3" t="n"/>
      <c r="Q25" s="3" t="n"/>
      <c r="R25" s="3" t="n"/>
      <c r="S25" s="3" t="n"/>
    </row>
    <row r="26" ht="15.75" customHeight="1" s="349">
      <c r="A26" s="3" t="n"/>
      <c r="B26" s="3" t="n"/>
      <c r="C26" s="3" t="n"/>
      <c r="D26" s="3" t="n"/>
      <c r="E26" s="3" t="n"/>
      <c r="F26" s="3" t="n"/>
      <c r="G26" s="3" t="n"/>
      <c r="H26" s="3" t="n"/>
      <c r="I26" s="3" t="n"/>
      <c r="J26" s="3" t="n"/>
      <c r="K26" s="3" t="n"/>
      <c r="L26" s="3" t="n"/>
      <c r="M26" s="3" t="n"/>
      <c r="N26" s="3" t="n"/>
      <c r="O26" s="3" t="n"/>
      <c r="P26" s="3" t="n"/>
      <c r="Q26" s="3" t="n"/>
      <c r="R26" s="3" t="n"/>
      <c r="S26" s="3" t="n"/>
    </row>
    <row r="27" ht="15.75" customHeight="1" s="349">
      <c r="A27" s="3" t="n"/>
      <c r="B27" s="3" t="n"/>
      <c r="C27" s="3" t="n"/>
      <c r="D27" s="3" t="n"/>
      <c r="E27" s="3" t="n"/>
      <c r="F27" s="3" t="n"/>
      <c r="G27" s="3" t="n"/>
      <c r="H27" s="3" t="n"/>
      <c r="I27" s="3" t="n"/>
      <c r="J27" s="3" t="n"/>
      <c r="K27" s="3" t="n"/>
      <c r="L27" s="3" t="n"/>
      <c r="M27" s="3" t="n"/>
      <c r="N27" s="3" t="n"/>
      <c r="O27" s="3" t="n"/>
      <c r="P27" s="3" t="n"/>
      <c r="Q27" s="3" t="n"/>
      <c r="R27" s="3" t="n"/>
      <c r="S27" s="3" t="n"/>
    </row>
    <row r="28" ht="15.75" customHeight="1" s="349">
      <c r="A28" s="3" t="n"/>
      <c r="B28" s="3" t="n"/>
      <c r="C28" s="3" t="n"/>
      <c r="D28" s="3" t="n"/>
      <c r="E28" s="3" t="n"/>
      <c r="F28" s="3" t="n"/>
      <c r="G28" s="3" t="n"/>
      <c r="H28" s="3" t="n"/>
      <c r="I28" s="3" t="n"/>
      <c r="J28" s="3" t="n"/>
      <c r="K28" s="3" t="n"/>
      <c r="L28" s="3" t="n"/>
      <c r="M28" s="3" t="n"/>
      <c r="N28" s="3" t="n"/>
      <c r="O28" s="3" t="n"/>
      <c r="P28" s="3" t="n"/>
      <c r="Q28" s="3" t="n"/>
      <c r="R28" s="3" t="n"/>
      <c r="S28" s="3" t="n"/>
    </row>
    <row r="29" ht="15.75" customHeight="1" s="349">
      <c r="A29" s="3" t="n"/>
      <c r="B29" s="3" t="n"/>
      <c r="C29" s="3" t="n"/>
      <c r="D29" s="3" t="n"/>
      <c r="E29" s="3" t="n"/>
      <c r="F29" s="3" t="n"/>
      <c r="G29" s="3" t="n"/>
      <c r="H29" s="3" t="n"/>
      <c r="I29" s="3" t="n"/>
      <c r="J29" s="3" t="n"/>
      <c r="K29" s="3" t="n"/>
      <c r="L29" s="3" t="n"/>
      <c r="M29" s="3" t="n"/>
      <c r="N29" s="3" t="n"/>
      <c r="O29" s="3" t="n"/>
      <c r="P29" s="3" t="n"/>
      <c r="Q29" s="3" t="n"/>
      <c r="R29" s="3" t="n"/>
      <c r="S29" s="3" t="n"/>
    </row>
    <row r="30" ht="15.75" customHeight="1" s="349"/>
    <row r="31" ht="15.75" customHeight="1" s="349"/>
    <row r="32" ht="15.75" customHeight="1" s="349"/>
    <row r="33" ht="15.75" customHeight="1" s="349"/>
    <row r="34" ht="15.75" customHeight="1" s="349"/>
    <row r="35" ht="15.75" customHeight="1" s="349"/>
    <row r="36" ht="15.75" customHeight="1" s="349"/>
    <row r="37" ht="15.75" customHeight="1" s="349"/>
    <row r="38" ht="15.75" customHeight="1" s="349"/>
    <row r="39" ht="15.75" customHeight="1" s="349"/>
    <row r="40" ht="15.75" customHeight="1" s="349"/>
    <row r="41" ht="15.75" customHeight="1" s="349"/>
    <row r="42" ht="15.75" customHeight="1" s="349"/>
    <row r="43" ht="15.75" customHeight="1" s="349"/>
    <row r="44" ht="15.75" customHeight="1" s="349"/>
    <row r="45" ht="15.75" customHeight="1" s="349"/>
    <row r="46" ht="15.75" customHeight="1" s="349"/>
    <row r="47" ht="15.75" customHeight="1" s="349"/>
    <row r="48" ht="15.75" customHeight="1" s="349"/>
    <row r="49" ht="15.75" customHeight="1" s="349"/>
    <row r="50" ht="15.75" customHeight="1" s="349"/>
    <row r="51" ht="15.75" customHeight="1" s="349"/>
    <row r="52" ht="15.75" customHeight="1" s="349"/>
    <row r="53" ht="15.75" customHeight="1" s="349"/>
    <row r="54" ht="15.75" customHeight="1" s="349"/>
    <row r="55" ht="15.75" customHeight="1" s="349"/>
    <row r="56" ht="15.75" customHeight="1" s="349"/>
    <row r="57" ht="15.75" customHeight="1" s="349"/>
    <row r="58" ht="15.75" customHeight="1" s="349"/>
    <row r="59" ht="15.75" customHeight="1" s="349"/>
    <row r="60" ht="15.75" customHeight="1" s="349"/>
    <row r="61" ht="15.75" customHeight="1" s="349"/>
    <row r="62" ht="15.75" customHeight="1" s="349"/>
    <row r="63" ht="15.75" customHeight="1" s="349"/>
    <row r="64" ht="15.75" customHeight="1" s="349"/>
    <row r="65" ht="15.75" customHeight="1" s="349"/>
    <row r="66" ht="15.75" customHeight="1" s="349"/>
    <row r="67" ht="15.75" customHeight="1" s="349"/>
    <row r="68" ht="15.75" customHeight="1" s="349"/>
    <row r="69" ht="15.75" customHeight="1" s="349"/>
    <row r="70" ht="15.75" customHeight="1" s="349"/>
    <row r="71" ht="15.75" customHeight="1" s="349"/>
    <row r="72" ht="15.75" customHeight="1" s="349"/>
    <row r="73" ht="15.75" customHeight="1" s="349"/>
    <row r="74" ht="15.75" customHeight="1" s="349"/>
    <row r="75" ht="15.75" customHeight="1" s="349"/>
    <row r="76" ht="15.75" customHeight="1" s="349"/>
    <row r="77" ht="15.75" customHeight="1" s="349"/>
    <row r="78" ht="15.75" customHeight="1" s="349"/>
    <row r="79" ht="15.75" customHeight="1" s="349"/>
    <row r="80" ht="15.75" customHeight="1" s="349"/>
    <row r="81" ht="15.75" customHeight="1" s="349"/>
    <row r="82" ht="15.75" customHeight="1" s="349"/>
    <row r="83" ht="15.75" customHeight="1" s="349"/>
    <row r="84" ht="15.75" customHeight="1" s="349"/>
    <row r="85" ht="15.75" customHeight="1" s="349"/>
    <row r="86" ht="15.75" customHeight="1" s="349"/>
    <row r="87" ht="15.75" customHeight="1" s="349"/>
    <row r="88" ht="15.75" customHeight="1" s="349"/>
    <row r="89" ht="15.75" customHeight="1" s="349"/>
    <row r="90" ht="15.75" customHeight="1" s="349"/>
    <row r="91" ht="15.75" customHeight="1" s="349"/>
    <row r="92" ht="15.75" customHeight="1" s="349"/>
    <row r="93" ht="15.75" customHeight="1" s="349"/>
    <row r="94" ht="15.75" customHeight="1" s="349"/>
    <row r="95" ht="15.75" customHeight="1" s="349"/>
    <row r="96" ht="15.75" customHeight="1" s="349"/>
    <row r="97" ht="15.75" customHeight="1" s="349"/>
    <row r="98" ht="15.75" customHeight="1" s="349"/>
    <row r="99" ht="15.75" customHeight="1" s="349"/>
    <row r="100" ht="15.75" customHeight="1" s="349"/>
    <row r="101" ht="15.75" customHeight="1" s="349"/>
    <row r="102" ht="15.75" customHeight="1" s="349"/>
    <row r="103" ht="15.75" customHeight="1" s="349"/>
    <row r="104" ht="15.75" customHeight="1" s="349"/>
    <row r="105" ht="15.75" customHeight="1" s="349"/>
    <row r="106" ht="15.75" customHeight="1" s="349"/>
    <row r="107" ht="15.75" customHeight="1" s="349"/>
    <row r="108" ht="15.75" customHeight="1" s="349"/>
    <row r="109" ht="15.75" customHeight="1" s="349"/>
    <row r="110" ht="15.75" customHeight="1" s="349"/>
    <row r="111" ht="15.75" customHeight="1" s="349"/>
    <row r="112" ht="15.75" customHeight="1" s="349"/>
    <row r="113" ht="15.75" customHeight="1" s="349"/>
    <row r="114" ht="15.75" customHeight="1" s="349"/>
    <row r="115" ht="15.75" customHeight="1" s="349"/>
    <row r="116" ht="15.75" customHeight="1" s="349"/>
    <row r="117" ht="15.75" customHeight="1" s="349"/>
    <row r="118" ht="15.75" customHeight="1" s="349"/>
    <row r="119" ht="15.75" customHeight="1" s="349"/>
    <row r="120" ht="15.75" customHeight="1" s="349"/>
    <row r="121" ht="15.75" customHeight="1" s="349"/>
    <row r="122" ht="15.75" customHeight="1" s="349"/>
    <row r="123" ht="15.75" customHeight="1" s="349"/>
    <row r="124" ht="15.75" customHeight="1" s="349"/>
    <row r="125" ht="15.75" customHeight="1" s="349"/>
    <row r="126" ht="15.75" customHeight="1" s="349"/>
    <row r="127" ht="15.75" customHeight="1" s="349"/>
    <row r="128" ht="15.75" customHeight="1" s="349"/>
    <row r="129" ht="15.75" customHeight="1" s="349"/>
    <row r="130" ht="15.75" customHeight="1" s="349"/>
    <row r="131" ht="15.75" customHeight="1" s="349"/>
    <row r="132" ht="15.75" customHeight="1" s="349"/>
    <row r="133" ht="15.75" customHeight="1" s="349"/>
    <row r="134" ht="15.75" customHeight="1" s="349"/>
    <row r="135" ht="15.75" customHeight="1" s="349"/>
    <row r="136" ht="15.75" customHeight="1" s="349"/>
    <row r="137" ht="15.75" customHeight="1" s="349"/>
    <row r="138" ht="15.75" customHeight="1" s="349"/>
    <row r="139" ht="15.75" customHeight="1" s="349"/>
    <row r="140" ht="15.75" customHeight="1" s="349"/>
    <row r="141" ht="15.75" customHeight="1" s="349"/>
    <row r="142" ht="15.75" customHeight="1" s="349"/>
    <row r="143" ht="15.75" customHeight="1" s="349"/>
    <row r="144" ht="15.75" customHeight="1" s="349"/>
    <row r="145" ht="15.75" customHeight="1" s="349"/>
    <row r="146" ht="15.75" customHeight="1" s="349"/>
    <row r="147" ht="15.75" customHeight="1" s="349"/>
    <row r="148" ht="15.75" customHeight="1" s="349"/>
    <row r="149" ht="15.75" customHeight="1" s="349"/>
    <row r="150" ht="15.75" customHeight="1" s="349"/>
    <row r="151" ht="15.75" customHeight="1" s="349"/>
    <row r="152" ht="15.75" customHeight="1" s="349"/>
    <row r="153" ht="15.75" customHeight="1" s="349"/>
    <row r="154" ht="15.75" customHeight="1" s="349"/>
    <row r="155" ht="15.75" customHeight="1" s="349"/>
    <row r="156" ht="15.75" customHeight="1" s="349"/>
    <row r="157" ht="15.75" customHeight="1" s="349"/>
    <row r="158" ht="15.75" customHeight="1" s="349"/>
    <row r="159" ht="15.75" customHeight="1" s="349"/>
    <row r="160" ht="15.75" customHeight="1" s="349"/>
    <row r="161" ht="15.75" customHeight="1" s="349"/>
    <row r="162" ht="15.75" customHeight="1" s="349"/>
    <row r="163" ht="15.75" customHeight="1" s="349"/>
    <row r="164" ht="15.75" customHeight="1" s="349"/>
    <row r="165" ht="15.75" customHeight="1" s="349"/>
    <row r="166" ht="15.75" customHeight="1" s="349"/>
    <row r="167" ht="15.75" customHeight="1" s="349"/>
    <row r="168" ht="15.75" customHeight="1" s="349"/>
    <row r="169" ht="15.75" customHeight="1" s="349"/>
    <row r="170" ht="15.75" customHeight="1" s="349"/>
    <row r="171" ht="15.75" customHeight="1" s="349"/>
    <row r="172" ht="15.75" customHeight="1" s="349"/>
    <row r="173" ht="15.75" customHeight="1" s="349"/>
    <row r="174" ht="15.75" customHeight="1" s="349"/>
    <row r="175" ht="15.75" customHeight="1" s="349"/>
    <row r="176" ht="15.75" customHeight="1" s="349"/>
    <row r="177" ht="15.75" customHeight="1" s="349"/>
    <row r="178" ht="15.75" customHeight="1" s="349"/>
    <row r="179" ht="15.75" customHeight="1" s="349"/>
    <row r="180" ht="15.75" customHeight="1" s="349"/>
    <row r="181" ht="15.75" customHeight="1" s="349"/>
    <row r="182" ht="15.75" customHeight="1" s="349"/>
    <row r="183" ht="15.75" customHeight="1" s="349"/>
    <row r="184" ht="15.75" customHeight="1" s="349"/>
    <row r="185" ht="15.75" customHeight="1" s="349"/>
    <row r="186" ht="15.75" customHeight="1" s="349"/>
    <row r="187" ht="15.75" customHeight="1" s="349"/>
    <row r="188" ht="15.75" customHeight="1" s="349"/>
    <row r="189" ht="15.75" customHeight="1" s="349"/>
    <row r="190" ht="15.75" customHeight="1" s="349"/>
    <row r="191" ht="15.75" customHeight="1" s="349"/>
    <row r="192" ht="15.75" customHeight="1" s="349"/>
    <row r="193" ht="15.75" customHeight="1" s="349"/>
    <row r="194" ht="15.75" customHeight="1" s="349"/>
    <row r="195" ht="15.75" customHeight="1" s="349"/>
    <row r="196" ht="15.75" customHeight="1" s="349"/>
    <row r="197" ht="15.75" customHeight="1" s="349"/>
    <row r="198" ht="15.75" customHeight="1" s="349"/>
    <row r="199" ht="15.75" customHeight="1" s="349"/>
    <row r="200" ht="15.75" customHeight="1" s="349"/>
    <row r="201" ht="15.75" customHeight="1" s="349"/>
    <row r="202" ht="15.75" customHeight="1" s="349"/>
    <row r="203" ht="15.75" customHeight="1" s="349"/>
    <row r="204" ht="15.75" customHeight="1" s="349"/>
    <row r="205" ht="15.75" customHeight="1" s="349"/>
    <row r="206" ht="15.75" customHeight="1" s="349"/>
    <row r="207" ht="15.75" customHeight="1" s="349"/>
    <row r="208" ht="15.75" customHeight="1" s="349"/>
    <row r="209" ht="15.75" customHeight="1" s="349"/>
    <row r="210" ht="15.75" customHeight="1" s="349"/>
    <row r="211" ht="15.75" customHeight="1" s="349"/>
    <row r="212" ht="15.75" customHeight="1" s="349"/>
    <row r="213" ht="15.75" customHeight="1" s="349"/>
    <row r="214" ht="15.75" customHeight="1" s="349"/>
    <row r="215" ht="15.75" customHeight="1" s="349"/>
    <row r="216" ht="15.75" customHeight="1" s="349"/>
    <row r="217" ht="15.75" customHeight="1" s="349"/>
    <row r="218" ht="15.75" customHeight="1" s="349"/>
    <row r="219" ht="15.75" customHeight="1" s="349"/>
    <row r="220" ht="15.75" customHeight="1" s="349"/>
    <row r="221" ht="15.75" customHeight="1" s="349"/>
    <row r="222" ht="15.75" customHeight="1" s="349"/>
    <row r="223" ht="15.75" customHeight="1" s="349"/>
    <row r="224" ht="15.75" customHeight="1" s="349"/>
    <row r="225" ht="15.75" customHeight="1" s="349"/>
    <row r="226" ht="15.75" customHeight="1" s="349"/>
    <row r="227" ht="15.75" customHeight="1" s="349"/>
    <row r="228" ht="15.75" customHeight="1" s="349"/>
    <row r="229" ht="15.75" customHeight="1" s="349"/>
    <row r="230" ht="15.75" customHeight="1" s="349"/>
    <row r="231" ht="15.75" customHeight="1" s="349"/>
    <row r="232" ht="15.75" customHeight="1" s="349"/>
    <row r="233" ht="15.75" customHeight="1" s="349"/>
    <row r="234" ht="15.75" customHeight="1" s="349"/>
    <row r="235" ht="15.75" customHeight="1" s="349"/>
    <row r="236" ht="15.75" customHeight="1" s="349"/>
    <row r="237" ht="15.75" customHeight="1" s="349"/>
    <row r="238" ht="15.75" customHeight="1" s="349"/>
    <row r="239" ht="15.75" customHeight="1" s="349"/>
    <row r="240" ht="15.75" customHeight="1" s="349"/>
    <row r="241" ht="15.75" customHeight="1" s="349"/>
    <row r="242" ht="15.75" customHeight="1" s="349"/>
    <row r="243" ht="15.75" customHeight="1" s="349"/>
    <row r="244" ht="15.75" customHeight="1" s="349"/>
    <row r="245" ht="15.75" customHeight="1" s="349"/>
    <row r="246" ht="15.75" customHeight="1" s="349"/>
    <row r="247" ht="15.75" customHeight="1" s="349"/>
    <row r="248" ht="15.75" customHeight="1" s="349"/>
    <row r="249" ht="15.75" customHeight="1" s="349"/>
    <row r="250" ht="15.75" customHeight="1" s="349"/>
    <row r="251" ht="15.75" customHeight="1" s="349"/>
    <row r="252" ht="15.75" customHeight="1" s="349"/>
    <row r="253" ht="15.75" customHeight="1" s="349"/>
    <row r="254" ht="15.75" customHeight="1" s="349"/>
    <row r="255" ht="15.75" customHeight="1" s="349"/>
    <row r="256" ht="15.75" customHeight="1" s="349"/>
    <row r="257" ht="15.75" customHeight="1" s="349"/>
    <row r="258" ht="15.75" customHeight="1" s="349"/>
    <row r="259" ht="15.75" customHeight="1" s="349"/>
    <row r="260" ht="15.75" customHeight="1" s="349"/>
    <row r="261" ht="15.75" customHeight="1" s="349"/>
    <row r="262" ht="15.75" customHeight="1" s="349"/>
    <row r="263" ht="15.75" customHeight="1" s="349"/>
    <row r="264" ht="15.75" customHeight="1" s="349"/>
    <row r="265" ht="15.75" customHeight="1" s="349"/>
    <row r="266" ht="15.75" customHeight="1" s="349"/>
    <row r="267" ht="15.75" customHeight="1" s="349"/>
    <row r="268" ht="15.75" customHeight="1" s="349"/>
    <row r="269" ht="15.75" customHeight="1" s="349"/>
    <row r="270" ht="15.75" customHeight="1" s="349"/>
    <row r="271" ht="15.75" customHeight="1" s="349"/>
    <row r="272" ht="15.75" customHeight="1" s="349"/>
    <row r="273" ht="15.75" customHeight="1" s="349"/>
    <row r="274" ht="15.75" customHeight="1" s="349"/>
    <row r="275" ht="15.75" customHeight="1" s="349"/>
    <row r="276" ht="15.75" customHeight="1" s="349"/>
    <row r="277" ht="15.75" customHeight="1" s="349"/>
    <row r="278" ht="15.75" customHeight="1" s="349"/>
    <row r="279" ht="15.75" customHeight="1" s="349"/>
    <row r="280" ht="15.75" customHeight="1" s="349"/>
    <row r="281" ht="15.75" customHeight="1" s="349"/>
    <row r="282" ht="15.75" customHeight="1" s="349"/>
    <row r="283" ht="15.75" customHeight="1" s="349"/>
    <row r="284" ht="15.75" customHeight="1" s="349"/>
    <row r="285" ht="15.75" customHeight="1" s="349"/>
    <row r="286" ht="15.75" customHeight="1" s="349"/>
    <row r="287" ht="15.75" customHeight="1" s="349"/>
    <row r="288" ht="15.75" customHeight="1" s="349"/>
    <row r="289" ht="15.75" customHeight="1" s="349"/>
    <row r="290" ht="15.75" customHeight="1" s="349"/>
    <row r="291" ht="15.75" customHeight="1" s="349"/>
    <row r="292" ht="15.75" customHeight="1" s="349"/>
    <row r="293" ht="15.75" customHeight="1" s="349"/>
    <row r="294" ht="15.75" customHeight="1" s="349"/>
    <row r="295" ht="15.75" customHeight="1" s="349"/>
    <row r="296" ht="15.75" customHeight="1" s="349"/>
    <row r="297" ht="15.75" customHeight="1" s="349"/>
    <row r="298" ht="15.75" customHeight="1" s="349"/>
    <row r="299" ht="15.75" customHeight="1" s="349"/>
    <row r="300" ht="15.75" customHeight="1" s="349"/>
    <row r="301" ht="15.75" customHeight="1" s="349"/>
    <row r="302" ht="15.75" customHeight="1" s="349"/>
    <row r="303" ht="15.75" customHeight="1" s="349"/>
    <row r="304" ht="15.75" customHeight="1" s="349"/>
    <row r="305" ht="15.75" customHeight="1" s="349"/>
    <row r="306" ht="15.75" customHeight="1" s="349"/>
    <row r="307" ht="15.75" customHeight="1" s="349"/>
    <row r="308" ht="15.75" customHeight="1" s="349"/>
    <row r="309" ht="15.75" customHeight="1" s="349"/>
    <row r="310" ht="15.75" customHeight="1" s="349"/>
    <row r="311" ht="15.75" customHeight="1" s="349"/>
    <row r="312" ht="15.75" customHeight="1" s="349"/>
    <row r="313" ht="15.75" customHeight="1" s="349"/>
    <row r="314" ht="15.75" customHeight="1" s="349"/>
    <row r="315" ht="15.75" customHeight="1" s="349"/>
    <row r="316" ht="15.75" customHeight="1" s="349"/>
    <row r="317" ht="15.75" customHeight="1" s="349"/>
    <row r="318" ht="15.75" customHeight="1" s="349"/>
    <row r="319" ht="15.75" customHeight="1" s="349"/>
    <row r="320" ht="15.75" customHeight="1" s="349"/>
    <row r="321" ht="15.75" customHeight="1" s="349"/>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row r="994" ht="15.75" customHeight="1" s="349"/>
    <row r="995" ht="15.75" customHeight="1" s="349"/>
    <row r="996" ht="15.75" customHeight="1" s="349"/>
    <row r="997" ht="15.75" customHeight="1" s="349"/>
    <row r="998" ht="15.75" customHeight="1" s="349"/>
    <row r="999" ht="15.75" customHeight="1" s="349"/>
    <row r="1000" ht="15.75" customHeight="1" s="349"/>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230"/>
  <sheetViews>
    <sheetView showGridLines="0" workbookViewId="0">
      <selection activeCell="A1" sqref="A1"/>
    </sheetView>
  </sheetViews>
  <sheetFormatPr baseColWidth="8" defaultColWidth="14.43" defaultRowHeight="15" customHeight="1"/>
  <cols>
    <col width="8.859999999999999" customWidth="1" style="349" min="1" max="1"/>
    <col width="40" customWidth="1" style="349" min="2" max="2"/>
    <col width="73.29000000000001" customWidth="1" style="349" min="3" max="3"/>
    <col width="8.859999999999999" customWidth="1" style="349" min="4" max="7"/>
  </cols>
  <sheetData>
    <row r="1" ht="15" customHeight="1" s="349">
      <c r="A1" s="1" t="n"/>
      <c r="B1" s="4" t="inlineStr">
        <is>
          <t>Tarnoc — How to Read This Model</t>
        </is>
      </c>
      <c r="C1" s="1" t="n"/>
      <c r="D1" s="1" t="n"/>
      <c r="E1" s="1" t="n"/>
      <c r="F1" s="1" t="n"/>
      <c r="G1" s="1" t="n"/>
      <c r="H1" s="74" t="n"/>
      <c r="I1" s="74" t="n"/>
      <c r="J1" s="74" t="n"/>
      <c r="K1" s="74" t="n"/>
      <c r="L1" s="74" t="n"/>
      <c r="M1" s="74" t="n"/>
      <c r="N1" s="74" t="n"/>
      <c r="O1" s="74" t="n"/>
      <c r="P1" s="74" t="n"/>
      <c r="Q1" s="74" t="n"/>
      <c r="R1" s="74" t="n"/>
      <c r="S1" s="74" t="n"/>
      <c r="T1" s="74" t="n"/>
      <c r="U1" s="74" t="n"/>
      <c r="V1" s="74" t="n"/>
      <c r="W1" s="74" t="n"/>
      <c r="X1" s="74" t="n"/>
      <c r="Y1" s="74" t="n"/>
      <c r="Z1" s="74" t="n"/>
    </row>
    <row r="2">
      <c r="A2" s="74" t="n"/>
      <c r="B2" s="74" t="n"/>
      <c r="C2" s="74" t="n"/>
      <c r="D2" s="74" t="n"/>
      <c r="E2" s="74" t="n"/>
      <c r="F2" s="74" t="n"/>
      <c r="G2" s="74" t="n"/>
      <c r="H2" s="74" t="n"/>
      <c r="I2" s="74" t="n"/>
      <c r="J2" s="74" t="n"/>
      <c r="K2" s="74" t="n"/>
      <c r="L2" s="74" t="n"/>
      <c r="M2" s="74" t="n"/>
      <c r="N2" s="74" t="n"/>
      <c r="O2" s="74" t="n"/>
      <c r="P2" s="74" t="n"/>
      <c r="Q2" s="74" t="n"/>
      <c r="R2" s="74" t="n"/>
      <c r="S2" s="74" t="n"/>
      <c r="T2" s="74" t="n"/>
      <c r="U2" s="74" t="n"/>
      <c r="V2" s="74" t="n"/>
      <c r="W2" s="74" t="n"/>
      <c r="X2" s="74" t="n"/>
      <c r="Y2" s="74" t="n"/>
      <c r="Z2" s="74" t="n"/>
    </row>
    <row r="3" ht="15" customHeight="1" s="349">
      <c r="A3" s="74" t="n"/>
      <c r="B3" s="12" t="inlineStr">
        <is>
          <t>COLOR CODING</t>
        </is>
      </c>
      <c r="C3" s="74" t="n"/>
      <c r="D3" s="74" t="n"/>
      <c r="E3" s="74" t="n"/>
      <c r="F3" s="74" t="n"/>
      <c r="G3" s="74" t="n"/>
      <c r="H3" s="74" t="n"/>
      <c r="I3" s="74" t="n"/>
      <c r="J3" s="74" t="n"/>
      <c r="K3" s="74" t="n"/>
      <c r="L3" s="74" t="n"/>
      <c r="M3" s="74" t="n"/>
      <c r="N3" s="74" t="n"/>
      <c r="O3" s="74" t="n"/>
      <c r="P3" s="74" t="n"/>
      <c r="Q3" s="74" t="n"/>
      <c r="R3" s="74" t="n"/>
      <c r="S3" s="74" t="n"/>
      <c r="T3" s="74" t="n"/>
      <c r="U3" s="74" t="n"/>
      <c r="V3" s="74" t="n"/>
      <c r="W3" s="74" t="n"/>
      <c r="X3" s="74" t="n"/>
      <c r="Y3" s="74" t="n"/>
      <c r="Z3" s="74" t="n"/>
    </row>
    <row r="4" ht="15" customHeight="1" s="349">
      <c r="A4" s="74" t="n"/>
      <c r="B4" s="14" t="inlineStr">
        <is>
          <t>Sample</t>
        </is>
      </c>
      <c r="C4" s="15" t="inlineStr">
        <is>
          <t>Assumptions are hardcoded inputs (sourced from documents)</t>
        </is>
      </c>
      <c r="D4" s="74" t="n"/>
      <c r="E4" s="74" t="n"/>
      <c r="F4" s="74" t="n"/>
      <c r="G4" s="74" t="n"/>
      <c r="H4" s="74" t="n"/>
      <c r="I4" s="74" t="n"/>
      <c r="J4" s="74" t="n"/>
      <c r="K4" s="74" t="n"/>
      <c r="L4" s="74" t="n"/>
      <c r="M4" s="74" t="n"/>
      <c r="N4" s="74" t="n"/>
      <c r="O4" s="74" t="n"/>
      <c r="P4" s="74" t="n"/>
      <c r="Q4" s="74" t="n"/>
      <c r="R4" s="74" t="n"/>
      <c r="S4" s="74" t="n"/>
      <c r="T4" s="74" t="n"/>
      <c r="U4" s="74" t="n"/>
      <c r="V4" s="74" t="n"/>
      <c r="W4" s="74" t="n"/>
      <c r="X4" s="74" t="n"/>
      <c r="Y4" s="74" t="n"/>
      <c r="Z4" s="74" t="n"/>
    </row>
    <row r="5" ht="15" customHeight="1" s="349">
      <c r="A5" s="74" t="n"/>
      <c r="B5" s="20" t="inlineStr">
        <is>
          <t>Sample</t>
        </is>
      </c>
      <c r="C5" s="15" t="inlineStr">
        <is>
          <t>Hardcoded historicalsis actual data from source documents</t>
        </is>
      </c>
      <c r="D5" s="74" t="n"/>
      <c r="E5" s="74" t="n"/>
      <c r="F5" s="74" t="n"/>
      <c r="G5" s="74" t="n"/>
      <c r="H5" s="74" t="n"/>
      <c r="I5" s="74" t="n"/>
      <c r="J5" s="74" t="n"/>
      <c r="K5" s="74" t="n"/>
      <c r="L5" s="74" t="n"/>
      <c r="M5" s="74" t="n"/>
      <c r="N5" s="74" t="n"/>
      <c r="O5" s="74" t="n"/>
      <c r="P5" s="74" t="n"/>
      <c r="Q5" s="74" t="n"/>
      <c r="R5" s="74" t="n"/>
      <c r="S5" s="74" t="n"/>
      <c r="T5" s="74" t="n"/>
      <c r="U5" s="74" t="n"/>
      <c r="V5" s="74" t="n"/>
      <c r="W5" s="74" t="n"/>
      <c r="X5" s="74" t="n"/>
      <c r="Y5" s="74" t="n"/>
      <c r="Z5" s="74" t="n"/>
    </row>
    <row r="6" ht="15" customHeight="1" s="349">
      <c r="A6" s="74" t="n"/>
      <c r="B6" s="12" t="inlineStr">
        <is>
          <t>Sample</t>
        </is>
      </c>
      <c r="C6" s="15" t="inlineStr">
        <is>
          <t>Formula cells are calculated, not hardcoded</t>
        </is>
      </c>
      <c r="D6" s="74" t="n"/>
      <c r="E6" s="74" t="n"/>
      <c r="F6" s="74" t="n"/>
      <c r="G6" s="74" t="n"/>
      <c r="H6" s="74" t="n"/>
      <c r="I6" s="74" t="n"/>
      <c r="J6" s="74" t="n"/>
      <c r="K6" s="74" t="n"/>
      <c r="L6" s="74" t="n"/>
      <c r="M6" s="74" t="n"/>
      <c r="N6" s="74" t="n"/>
      <c r="O6" s="74" t="n"/>
      <c r="P6" s="74" t="n"/>
      <c r="Q6" s="74" t="n"/>
      <c r="R6" s="74" t="n"/>
      <c r="S6" s="74" t="n"/>
      <c r="T6" s="74" t="n"/>
      <c r="U6" s="74" t="n"/>
      <c r="V6" s="74" t="n"/>
      <c r="W6" s="74" t="n"/>
      <c r="X6" s="74" t="n"/>
      <c r="Y6" s="74" t="n"/>
      <c r="Z6" s="74" t="n"/>
    </row>
    <row r="7" ht="15" customHeight="1" s="349">
      <c r="A7" s="74" t="n"/>
      <c r="B7" s="24" t="inlineStr">
        <is>
          <t>Sample</t>
        </is>
      </c>
      <c r="C7" s="15" t="inlineStr">
        <is>
          <t>Subtotal / total rows</t>
        </is>
      </c>
      <c r="D7" s="74" t="n"/>
      <c r="E7" s="74" t="n"/>
      <c r="F7" s="74" t="n"/>
      <c r="G7" s="74" t="n"/>
      <c r="H7" s="74" t="n"/>
      <c r="I7" s="74" t="n"/>
      <c r="J7" s="74" t="n"/>
      <c r="K7" s="74" t="n"/>
      <c r="L7" s="74" t="n"/>
      <c r="M7" s="74" t="n"/>
      <c r="N7" s="74" t="n"/>
      <c r="O7" s="74" t="n"/>
      <c r="P7" s="74" t="n"/>
      <c r="Q7" s="74" t="n"/>
      <c r="R7" s="74" t="n"/>
      <c r="S7" s="74" t="n"/>
      <c r="T7" s="74" t="n"/>
      <c r="U7" s="74" t="n"/>
      <c r="V7" s="74" t="n"/>
      <c r="W7" s="74" t="n"/>
      <c r="X7" s="74" t="n"/>
      <c r="Y7" s="74" t="n"/>
      <c r="Z7" s="74" t="n"/>
    </row>
    <row r="8" ht="15" customHeight="1" s="349">
      <c r="A8" s="74" t="n"/>
      <c r="B8" s="4" t="inlineStr">
        <is>
          <t>Sample</t>
        </is>
      </c>
      <c r="C8" s="15" t="inlineStr">
        <is>
          <t>Section headers / grand totals</t>
        </is>
      </c>
      <c r="D8" s="74" t="n"/>
      <c r="E8" s="74" t="n"/>
      <c r="F8" s="74" t="n"/>
      <c r="G8" s="74" t="n"/>
      <c r="H8" s="74" t="n"/>
      <c r="I8" s="74" t="n"/>
      <c r="J8" s="74" t="n"/>
      <c r="K8" s="74" t="n"/>
      <c r="L8" s="74" t="n"/>
      <c r="M8" s="74" t="n"/>
      <c r="N8" s="74" t="n"/>
      <c r="O8" s="74" t="n"/>
      <c r="P8" s="74" t="n"/>
      <c r="Q8" s="74" t="n"/>
      <c r="R8" s="74" t="n"/>
      <c r="S8" s="74" t="n"/>
      <c r="T8" s="74" t="n"/>
      <c r="U8" s="74" t="n"/>
      <c r="V8" s="74" t="n"/>
      <c r="W8" s="74" t="n"/>
      <c r="X8" s="74" t="n"/>
      <c r="Y8" s="74" t="n"/>
      <c r="Z8" s="74" t="n"/>
    </row>
    <row r="9" ht="15" customHeight="1" s="349">
      <c r="A9" s="74" t="n"/>
      <c r="B9" s="28" t="inlineStr">
        <is>
          <t>Sample</t>
        </is>
      </c>
      <c r="C9" s="15" t="inlineStr">
        <is>
          <t>Subsection headers</t>
        </is>
      </c>
      <c r="D9" s="74" t="n"/>
      <c r="E9" s="74" t="n"/>
      <c r="F9" s="74" t="n"/>
      <c r="G9" s="74" t="n"/>
      <c r="H9" s="74" t="n"/>
      <c r="I9" s="74" t="n"/>
      <c r="J9" s="74" t="n"/>
      <c r="K9" s="74" t="n"/>
      <c r="L9" s="74" t="n"/>
      <c r="M9" s="74" t="n"/>
      <c r="N9" s="74" t="n"/>
      <c r="O9" s="74" t="n"/>
      <c r="P9" s="74" t="n"/>
      <c r="Q9" s="74" t="n"/>
      <c r="R9" s="74" t="n"/>
      <c r="S9" s="74" t="n"/>
      <c r="T9" s="74" t="n"/>
      <c r="U9" s="74" t="n"/>
      <c r="V9" s="74" t="n"/>
      <c r="W9" s="74" t="n"/>
      <c r="X9" s="74" t="n"/>
      <c r="Y9" s="74" t="n"/>
      <c r="Z9" s="74" t="n"/>
    </row>
    <row r="10" ht="15" customHeight="1" s="349">
      <c r="A10" s="74" t="n"/>
      <c r="B10" s="30" t="inlineStr">
        <is>
          <t>Sample</t>
        </is>
      </c>
      <c r="C10" s="15" t="inlineStr">
        <is>
          <t>Margin / ratio rows (grey)</t>
        </is>
      </c>
      <c r="D10" s="74" t="n"/>
      <c r="E10" s="74" t="n"/>
      <c r="F10" s="74" t="n"/>
      <c r="G10" s="74" t="n"/>
      <c r="H10" s="74" t="n"/>
      <c r="I10" s="74" t="n"/>
      <c r="J10" s="74" t="n"/>
      <c r="K10" s="74" t="n"/>
      <c r="L10" s="74" t="n"/>
      <c r="M10" s="74" t="n"/>
      <c r="N10" s="74" t="n"/>
      <c r="O10" s="74" t="n"/>
      <c r="P10" s="74" t="n"/>
      <c r="Q10" s="74" t="n"/>
      <c r="R10" s="74" t="n"/>
      <c r="S10" s="74" t="n"/>
      <c r="T10" s="74" t="n"/>
      <c r="U10" s="74" t="n"/>
      <c r="V10" s="74" t="n"/>
      <c r="W10" s="74" t="n"/>
      <c r="X10" s="74" t="n"/>
      <c r="Y10" s="74" t="n"/>
      <c r="Z10" s="74" t="n"/>
    </row>
    <row r="11" ht="15" customHeight="1" s="349">
      <c r="A11" s="74" t="n"/>
      <c r="B11" s="33" t="inlineStr">
        <is>
          <t>Sample</t>
        </is>
      </c>
      <c r="C11" s="15" t="inlineStr">
        <is>
          <t>Balance sheet check rows (must = 0)</t>
        </is>
      </c>
      <c r="D11" s="74" t="n"/>
      <c r="E11" s="74" t="n"/>
      <c r="F11" s="74" t="n"/>
      <c r="G11" s="74" t="n"/>
      <c r="H11" s="74" t="n"/>
      <c r="I11" s="74" t="n"/>
      <c r="J11" s="74" t="n"/>
      <c r="K11" s="74" t="n"/>
      <c r="L11" s="74" t="n"/>
      <c r="M11" s="74" t="n"/>
      <c r="N11" s="74" t="n"/>
      <c r="O11" s="74" t="n"/>
      <c r="P11" s="74" t="n"/>
      <c r="Q11" s="74" t="n"/>
      <c r="R11" s="74" t="n"/>
      <c r="S11" s="74" t="n"/>
      <c r="T11" s="74" t="n"/>
      <c r="U11" s="74" t="n"/>
      <c r="V11" s="74" t="n"/>
      <c r="W11" s="74" t="n"/>
      <c r="X11" s="74" t="n"/>
      <c r="Y11" s="74" t="n"/>
      <c r="Z11" s="74" t="n"/>
    </row>
    <row r="12">
      <c r="A12" s="74" t="n"/>
      <c r="B12" s="74" t="n"/>
      <c r="C12" s="74" t="n"/>
      <c r="D12" s="74" t="n"/>
      <c r="E12" s="74" t="n"/>
      <c r="F12" s="74" t="n"/>
      <c r="G12" s="74" t="n"/>
      <c r="H12" s="74" t="n"/>
      <c r="I12" s="74" t="n"/>
      <c r="J12" s="74" t="n"/>
      <c r="K12" s="74" t="n"/>
      <c r="L12" s="74" t="n"/>
      <c r="M12" s="74" t="n"/>
      <c r="N12" s="74" t="n"/>
      <c r="O12" s="74" t="n"/>
      <c r="P12" s="74" t="n"/>
      <c r="Q12" s="74" t="n"/>
      <c r="R12" s="74" t="n"/>
      <c r="S12" s="74" t="n"/>
      <c r="T12" s="74" t="n"/>
      <c r="U12" s="74" t="n"/>
      <c r="V12" s="74" t="n"/>
      <c r="W12" s="74" t="n"/>
      <c r="X12" s="74" t="n"/>
      <c r="Y12" s="74" t="n"/>
      <c r="Z12" s="74" t="n"/>
    </row>
    <row r="13">
      <c r="A13" s="74" t="n"/>
      <c r="B13" s="74" t="n"/>
      <c r="C13" s="74" t="n"/>
      <c r="D13" s="74" t="n"/>
      <c r="E13" s="74" t="n"/>
      <c r="F13" s="74" t="n"/>
      <c r="G13" s="74" t="n"/>
      <c r="H13" s="74" t="n"/>
      <c r="I13" s="74" t="n"/>
      <c r="J13" s="74" t="n"/>
      <c r="K13" s="74" t="n"/>
      <c r="L13" s="74" t="n"/>
      <c r="M13" s="74" t="n"/>
      <c r="N13" s="74" t="n"/>
      <c r="O13" s="74" t="n"/>
      <c r="P13" s="74" t="n"/>
      <c r="Q13" s="74" t="n"/>
      <c r="R13" s="74" t="n"/>
      <c r="S13" s="74" t="n"/>
      <c r="T13" s="74" t="n"/>
      <c r="U13" s="74" t="n"/>
      <c r="V13" s="74" t="n"/>
      <c r="W13" s="74" t="n"/>
      <c r="X13" s="74" t="n"/>
      <c r="Y13" s="74" t="n"/>
      <c r="Z13" s="74" t="n"/>
    </row>
    <row r="14" ht="15" customHeight="1" s="349">
      <c r="A14" s="74" t="n"/>
      <c r="B14" s="12" t="inlineStr">
        <is>
          <t>FORMULA ARCHITECTURE</t>
        </is>
      </c>
      <c r="C14" s="74" t="n"/>
      <c r="D14" s="74" t="n"/>
      <c r="E14" s="74" t="n"/>
      <c r="F14" s="74" t="n"/>
      <c r="G14" s="74" t="n"/>
      <c r="H14" s="74" t="n"/>
      <c r="I14" s="74" t="n"/>
      <c r="J14" s="74" t="n"/>
      <c r="K14" s="74" t="n"/>
      <c r="L14" s="74" t="n"/>
      <c r="M14" s="74" t="n"/>
      <c r="N14" s="74" t="n"/>
      <c r="O14" s="74" t="n"/>
      <c r="P14" s="74" t="n"/>
      <c r="Q14" s="74" t="n"/>
      <c r="R14" s="74" t="n"/>
      <c r="S14" s="74" t="n"/>
      <c r="T14" s="74" t="n"/>
      <c r="U14" s="74" t="n"/>
      <c r="V14" s="74" t="n"/>
      <c r="W14" s="74" t="n"/>
      <c r="X14" s="74" t="n"/>
      <c r="Y14" s="74" t="n"/>
      <c r="Z14" s="74" t="n"/>
    </row>
    <row r="15" ht="15" customHeight="1" s="349">
      <c r="A15" s="74" t="n"/>
      <c r="B15" s="15" t="inlineStr">
        <is>
          <t>Assumptions  →  Revenue Forecast, COGS, OPEX, CAPEX, Personnel (all drivers sourced here)</t>
        </is>
      </c>
      <c r="C15" s="74" t="n"/>
      <c r="D15" s="74" t="n"/>
      <c r="E15" s="74" t="n"/>
      <c r="F15" s="74" t="n"/>
      <c r="G15" s="74" t="n"/>
      <c r="H15" s="74" t="n"/>
      <c r="I15" s="74" t="n"/>
      <c r="J15" s="74" t="n"/>
      <c r="K15" s="74" t="n"/>
      <c r="L15" s="74" t="n"/>
      <c r="M15" s="74" t="n"/>
      <c r="N15" s="74" t="n"/>
      <c r="O15" s="74" t="n"/>
      <c r="P15" s="74" t="n"/>
      <c r="Q15" s="74" t="n"/>
      <c r="R15" s="74" t="n"/>
      <c r="S15" s="74" t="n"/>
      <c r="T15" s="74" t="n"/>
      <c r="U15" s="74" t="n"/>
      <c r="V15" s="74" t="n"/>
      <c r="W15" s="74" t="n"/>
      <c r="X15" s="74" t="n"/>
      <c r="Y15" s="74" t="n"/>
      <c r="Z15" s="74" t="n"/>
    </row>
    <row r="16" ht="15" customHeight="1" s="349">
      <c r="A16" s="74" t="n"/>
      <c r="B16" s="15" t="inlineStr">
        <is>
          <t>Revenue Forecast  →  Financial Statements (revenue lines via cross-sheet links)</t>
        </is>
      </c>
      <c r="C16" s="74" t="n"/>
      <c r="D16" s="74" t="n"/>
      <c r="E16" s="74" t="n"/>
      <c r="F16" s="74" t="n"/>
      <c r="G16" s="74" t="n"/>
      <c r="H16" s="74" t="n"/>
      <c r="I16" s="74" t="n"/>
      <c r="J16" s="74" t="n"/>
      <c r="K16" s="74" t="n"/>
      <c r="L16" s="74" t="n"/>
      <c r="M16" s="74" t="n"/>
      <c r="N16" s="74" t="n"/>
      <c r="O16" s="74" t="n"/>
      <c r="P16" s="74" t="n"/>
      <c r="Q16" s="74" t="n"/>
      <c r="R16" s="74" t="n"/>
      <c r="S16" s="74" t="n"/>
      <c r="T16" s="74" t="n"/>
      <c r="U16" s="74" t="n"/>
      <c r="V16" s="74" t="n"/>
      <c r="W16" s="74" t="n"/>
      <c r="X16" s="74" t="n"/>
      <c r="Y16" s="74" t="n"/>
      <c r="Z16" s="74" t="n"/>
    </row>
    <row r="17" ht="15" customHeight="1" s="349">
      <c r="A17" s="74" t="n"/>
      <c r="B17" s="15" t="inlineStr">
        <is>
          <t>COGS  →  Financial Statements (cost lines via cross-sheet links)</t>
        </is>
      </c>
      <c r="C17" s="74" t="n"/>
      <c r="D17" s="74" t="n"/>
      <c r="E17" s="74" t="n"/>
      <c r="F17" s="74" t="n"/>
      <c r="G17" s="74" t="n"/>
      <c r="H17" s="74" t="n"/>
      <c r="I17" s="74" t="n"/>
      <c r="J17" s="74" t="n"/>
      <c r="K17" s="74" t="n"/>
      <c r="L17" s="74" t="n"/>
      <c r="M17" s="74" t="n"/>
      <c r="N17" s="74" t="n"/>
      <c r="O17" s="74" t="n"/>
      <c r="P17" s="74" t="n"/>
      <c r="Q17" s="74" t="n"/>
      <c r="R17" s="74" t="n"/>
      <c r="S17" s="74" t="n"/>
      <c r="T17" s="74" t="n"/>
      <c r="U17" s="74" t="n"/>
      <c r="V17" s="74" t="n"/>
      <c r="W17" s="74" t="n"/>
      <c r="X17" s="74" t="n"/>
      <c r="Y17" s="74" t="n"/>
      <c r="Z17" s="74" t="n"/>
    </row>
    <row r="18" ht="15" customHeight="1" s="349">
      <c r="A18" s="74" t="n"/>
      <c r="B18" s="15" t="inlineStr">
        <is>
          <t>OPEX  →  Financial Statements (opex lines via cross-sheet links)</t>
        </is>
      </c>
      <c r="C18" s="74" t="n"/>
      <c r="D18" s="74" t="n"/>
      <c r="E18" s="74" t="n"/>
      <c r="F18" s="74" t="n"/>
      <c r="G18" s="74" t="n"/>
      <c r="H18" s="74" t="n"/>
      <c r="I18" s="74" t="n"/>
      <c r="J18" s="74" t="n"/>
      <c r="K18" s="74" t="n"/>
      <c r="L18" s="74" t="n"/>
      <c r="M18" s="74" t="n"/>
      <c r="N18" s="74" t="n"/>
      <c r="O18" s="74" t="n"/>
      <c r="P18" s="74" t="n"/>
      <c r="Q18" s="74" t="n"/>
      <c r="R18" s="74" t="n"/>
      <c r="S18" s="74" t="n"/>
      <c r="T18" s="74" t="n"/>
      <c r="U18" s="74" t="n"/>
      <c r="V18" s="74" t="n"/>
      <c r="W18" s="74" t="n"/>
      <c r="X18" s="74" t="n"/>
      <c r="Y18" s="74" t="n"/>
      <c r="Z18" s="74" t="n"/>
    </row>
    <row r="19" ht="15.75" customHeight="1" s="349">
      <c r="A19" s="74" t="n"/>
      <c r="B19" s="49" t="n"/>
      <c r="C19" s="74" t="n"/>
      <c r="D19" s="74" t="n"/>
      <c r="E19" s="74" t="n"/>
      <c r="F19" s="74" t="n"/>
      <c r="G19" s="74" t="n"/>
      <c r="H19" s="74" t="n"/>
      <c r="I19" s="74" t="n"/>
      <c r="J19" s="74" t="n"/>
      <c r="K19" s="74" t="n"/>
      <c r="L19" s="74" t="n"/>
      <c r="M19" s="74" t="n"/>
      <c r="N19" s="74" t="n"/>
      <c r="O19" s="74" t="n"/>
      <c r="P19" s="74" t="n"/>
      <c r="Q19" s="74" t="n"/>
      <c r="R19" s="74" t="n"/>
      <c r="S19" s="74" t="n"/>
      <c r="T19" s="74" t="n"/>
      <c r="U19" s="74" t="n"/>
      <c r="V19" s="74" t="n"/>
      <c r="W19" s="74" t="n"/>
      <c r="X19" s="74" t="n"/>
      <c r="Y19" s="74" t="n"/>
      <c r="Z19" s="74" t="n"/>
    </row>
    <row r="20" ht="15.75" customHeight="1" s="349">
      <c r="A20" s="74" t="n"/>
      <c r="B20" s="15" t="inlineStr">
        <is>
          <t>To change a number: ONLY edit cells in the Assumptions tab (yellow/orange).</t>
        </is>
      </c>
      <c r="C20" s="74" t="n"/>
      <c r="D20" s="74" t="n"/>
      <c r="E20" s="74" t="n"/>
      <c r="F20" s="74" t="n"/>
      <c r="G20" s="74" t="n"/>
      <c r="H20" s="74" t="n"/>
      <c r="I20" s="74" t="n"/>
      <c r="J20" s="74" t="n"/>
      <c r="K20" s="74" t="n"/>
      <c r="L20" s="74" t="n"/>
      <c r="M20" s="74" t="n"/>
      <c r="N20" s="74" t="n"/>
      <c r="O20" s="74" t="n"/>
      <c r="P20" s="74" t="n"/>
      <c r="Q20" s="74" t="n"/>
      <c r="R20" s="74" t="n"/>
      <c r="S20" s="74" t="n"/>
      <c r="T20" s="74" t="n"/>
      <c r="U20" s="74" t="n"/>
      <c r="V20" s="74" t="n"/>
      <c r="W20" s="74" t="n"/>
      <c r="X20" s="74" t="n"/>
      <c r="Y20" s="74" t="n"/>
      <c r="Z20" s="74" t="n"/>
    </row>
    <row r="21" ht="15.75" customHeight="1" s="349">
      <c r="A21" s="74" t="n"/>
      <c r="B21" s="15" t="inlineStr">
        <is>
          <t>All other tabs will recalculate automatically.</t>
        </is>
      </c>
      <c r="C21" s="74" t="n"/>
      <c r="D21" s="74" t="n"/>
      <c r="E21" s="74" t="n"/>
      <c r="F21" s="74" t="n"/>
      <c r="G21" s="74" t="n"/>
      <c r="H21" s="74" t="n"/>
      <c r="I21" s="74" t="n"/>
      <c r="J21" s="74" t="n"/>
      <c r="K21" s="74" t="n"/>
      <c r="L21" s="74" t="n"/>
      <c r="M21" s="74" t="n"/>
      <c r="N21" s="74" t="n"/>
      <c r="O21" s="74" t="n"/>
      <c r="P21" s="74" t="n"/>
      <c r="Q21" s="74" t="n"/>
      <c r="R21" s="74" t="n"/>
      <c r="S21" s="74" t="n"/>
      <c r="T21" s="74" t="n"/>
      <c r="U21" s="74" t="n"/>
      <c r="V21" s="74" t="n"/>
      <c r="W21" s="74" t="n"/>
      <c r="X21" s="74" t="n"/>
      <c r="Y21" s="74" t="n"/>
      <c r="Z21" s="74" t="n"/>
    </row>
    <row r="22" ht="15.75" customHeight="1" s="349">
      <c r="A22" s="74" t="n"/>
      <c r="B22" s="74" t="n"/>
      <c r="C22" s="74" t="n"/>
      <c r="D22" s="74" t="n"/>
      <c r="E22" s="74" t="n"/>
      <c r="F22" s="74" t="n"/>
      <c r="G22" s="74" t="n"/>
      <c r="H22" s="74" t="n"/>
      <c r="I22" s="74" t="n"/>
      <c r="J22" s="74" t="n"/>
      <c r="K22" s="74" t="n"/>
      <c r="L22" s="74" t="n"/>
      <c r="M22" s="74" t="n"/>
      <c r="N22" s="74" t="n"/>
      <c r="O22" s="74" t="n"/>
      <c r="P22" s="74" t="n"/>
      <c r="Q22" s="74" t="n"/>
      <c r="R22" s="74" t="n"/>
      <c r="S22" s="74" t="n"/>
      <c r="T22" s="74" t="n"/>
      <c r="U22" s="74" t="n"/>
      <c r="V22" s="74" t="n"/>
      <c r="W22" s="74" t="n"/>
      <c r="X22" s="74" t="n"/>
      <c r="Y22" s="74" t="n"/>
      <c r="Z22" s="74" t="n"/>
    </row>
    <row r="23" ht="15.75" customHeight="1" s="349">
      <c r="A23" s="74" t="n"/>
      <c r="B23" s="74" t="n"/>
      <c r="C23" s="74" t="n"/>
      <c r="D23" s="74" t="n"/>
      <c r="E23" s="74" t="n"/>
      <c r="F23" s="74" t="n"/>
      <c r="G23" s="74" t="n"/>
      <c r="H23" s="74" t="n"/>
      <c r="I23" s="74" t="n"/>
      <c r="J23" s="74" t="n"/>
      <c r="K23" s="74" t="n"/>
      <c r="L23" s="74" t="n"/>
      <c r="M23" s="74" t="n"/>
      <c r="N23" s="74" t="n"/>
      <c r="O23" s="74" t="n"/>
      <c r="P23" s="74" t="n"/>
      <c r="Q23" s="74" t="n"/>
      <c r="R23" s="74" t="n"/>
      <c r="S23" s="74" t="n"/>
      <c r="T23" s="74" t="n"/>
      <c r="U23" s="74" t="n"/>
      <c r="V23" s="74" t="n"/>
      <c r="W23" s="74" t="n"/>
      <c r="X23" s="74" t="n"/>
      <c r="Y23" s="74" t="n"/>
      <c r="Z23" s="74" t="n"/>
    </row>
    <row r="24" ht="15.75" customHeight="1" s="349">
      <c r="A24" s="74" t="n"/>
      <c r="B24" s="12" t="inlineStr">
        <is>
          <t>FURTHER EXPLANATIONS</t>
        </is>
      </c>
      <c r="C24" s="74" t="n"/>
      <c r="D24" s="74" t="n"/>
      <c r="E24" s="74" t="n"/>
      <c r="F24" s="74" t="n"/>
      <c r="G24" s="74" t="n"/>
      <c r="H24" s="74" t="n"/>
      <c r="I24" s="74" t="n"/>
      <c r="J24" s="74" t="n"/>
      <c r="K24" s="74" t="n"/>
      <c r="L24" s="74" t="n"/>
      <c r="M24" s="74" t="n"/>
      <c r="N24" s="74" t="n"/>
      <c r="O24" s="74" t="n"/>
      <c r="P24" s="74" t="n"/>
      <c r="Q24" s="74" t="n"/>
      <c r="R24" s="74" t="n"/>
      <c r="S24" s="74" t="n"/>
      <c r="T24" s="74" t="n"/>
      <c r="U24" s="74" t="n"/>
      <c r="V24" s="74" t="n"/>
      <c r="W24" s="74" t="n"/>
      <c r="X24" s="74" t="n"/>
      <c r="Y24" s="74" t="n"/>
      <c r="Z24" s="74" t="n"/>
    </row>
    <row r="25" ht="51" customHeight="1" s="349">
      <c r="A25" s="74" t="n"/>
      <c r="B25" s="62" t="inlineStr">
        <is>
          <t xml:space="preserve">Subsidies: Tarnoc is and has been eligible for a number of subsidies. We will consider application for large projects, however this model excludes the forecast of any subsidy financing foing forward. </t>
        </is>
      </c>
      <c r="D25" s="74" t="n"/>
      <c r="E25" s="74" t="n"/>
      <c r="F25" s="74" t="n"/>
      <c r="G25" s="74" t="n"/>
      <c r="H25" s="74" t="n"/>
      <c r="I25" s="74" t="n"/>
      <c r="J25" s="74" t="n"/>
      <c r="K25" s="74" t="n"/>
      <c r="L25" s="74" t="n"/>
      <c r="M25" s="74" t="n"/>
      <c r="N25" s="74" t="n"/>
      <c r="O25" s="74" t="n"/>
      <c r="P25" s="74" t="n"/>
      <c r="Q25" s="74" t="n"/>
      <c r="R25" s="74" t="n"/>
      <c r="S25" s="74" t="n"/>
      <c r="T25" s="74" t="n"/>
      <c r="U25" s="74" t="n"/>
      <c r="V25" s="74" t="n"/>
      <c r="W25" s="74" t="n"/>
      <c r="X25" s="74" t="n"/>
      <c r="Y25" s="74" t="n"/>
      <c r="Z25" s="74" t="n"/>
    </row>
    <row r="26" ht="62.25" customHeight="1" s="349">
      <c r="A26" s="74" t="n"/>
      <c r="B26" s="62" t="inlineStr">
        <is>
          <t xml:space="preserve">Installation revenues: This is modelled fully as pass through revenue for now, as we plan to charge a customer exactly what we pay the installation partner for these services. This is subject to change in the future. </t>
        </is>
      </c>
      <c r="D26" s="74" t="n"/>
      <c r="E26" s="74" t="n"/>
      <c r="F26" s="74" t="n"/>
      <c r="G26" s="74" t="n"/>
      <c r="H26" s="74" t="n"/>
      <c r="I26" s="74" t="n"/>
      <c r="J26" s="74" t="n"/>
      <c r="K26" s="74" t="n"/>
      <c r="L26" s="74" t="n"/>
      <c r="M26" s="74" t="n"/>
      <c r="N26" s="74" t="n"/>
      <c r="O26" s="74" t="n"/>
      <c r="P26" s="74" t="n"/>
      <c r="Q26" s="74" t="n"/>
      <c r="R26" s="74" t="n"/>
      <c r="S26" s="74" t="n"/>
      <c r="T26" s="74" t="n"/>
      <c r="U26" s="74" t="n"/>
      <c r="V26" s="74" t="n"/>
      <c r="W26" s="74" t="n"/>
      <c r="X26" s="74" t="n"/>
      <c r="Y26" s="74" t="n"/>
      <c r="Z26" s="74" t="n"/>
    </row>
    <row r="27" ht="65.25" customHeight="1" s="349">
      <c r="A27" s="74" t="n"/>
      <c r="B27" s="62" t="inlineStr">
        <is>
          <t>Tarnoc's main products are the TTK (turbineketel) and the Combi+ (turbineketel + outdoor unit), plus the Twincycle (in development for 2027). Every unit contains a turbineketel; the Combi+ adds an outdoor unit and a heavier installation. We also plan to sell various add-ons such as boilers for hybrid setups and sound reduction units.</t>
        </is>
      </c>
      <c r="D27" s="74" t="n"/>
      <c r="E27" s="74" t="n"/>
      <c r="F27" s="74" t="n"/>
      <c r="G27" s="74" t="n"/>
      <c r="H27" s="74" t="n"/>
      <c r="I27" s="74" t="n"/>
      <c r="J27" s="74" t="n"/>
      <c r="K27" s="74" t="n"/>
      <c r="L27" s="74" t="n"/>
      <c r="M27" s="74" t="n"/>
      <c r="N27" s="74" t="n"/>
      <c r="O27" s="74" t="n"/>
      <c r="P27" s="74" t="n"/>
      <c r="Q27" s="74" t="n"/>
      <c r="R27" s="74" t="n"/>
      <c r="S27" s="74" t="n"/>
      <c r="T27" s="74" t="n"/>
      <c r="U27" s="74" t="n"/>
      <c r="V27" s="74" t="n"/>
      <c r="W27" s="74" t="n"/>
      <c r="X27" s="74" t="n"/>
      <c r="Y27" s="74" t="n"/>
      <c r="Z27" s="74" t="n"/>
    </row>
    <row r="28" ht="51" customHeight="1" s="349">
      <c r="A28" s="74" t="n"/>
      <c r="B28" s="62" t="inlineStr">
        <is>
          <t>Service Revenues: Service revenues are calculated relative to installed base. We assume a certain percentage (see assumptions) of customers will purchase our Service package, and are charged annually.</t>
        </is>
      </c>
      <c r="D28" s="74" t="n"/>
      <c r="E28" s="74" t="n"/>
      <c r="F28" s="74" t="n"/>
      <c r="G28" s="74" t="n"/>
      <c r="H28" s="74" t="n"/>
      <c r="I28" s="74" t="n"/>
      <c r="J28" s="74" t="n"/>
      <c r="K28" s="74" t="n"/>
      <c r="L28" s="74" t="n"/>
      <c r="M28" s="74" t="n"/>
      <c r="N28" s="74" t="n"/>
      <c r="O28" s="74" t="n"/>
      <c r="P28" s="74" t="n"/>
      <c r="Q28" s="74" t="n"/>
      <c r="R28" s="74" t="n"/>
      <c r="S28" s="74" t="n"/>
      <c r="T28" s="74" t="n"/>
      <c r="U28" s="74" t="n"/>
      <c r="V28" s="74" t="n"/>
      <c r="W28" s="74" t="n"/>
      <c r="X28" s="74" t="n"/>
      <c r="Y28" s="74" t="n"/>
      <c r="Z28" s="74" t="n"/>
    </row>
    <row r="29" ht="51" customHeight="1" s="349">
      <c r="A29" s="74" t="n"/>
      <c r="B29" s="62" t="inlineStr">
        <is>
          <t xml:space="preserve">COGS: 1) is driven by the Bill of Materials and volume sales. As our volumes increase, our BOM reduces. We assume 2 year volume sales will determine our BOM, and is modedled as such. 2) We model in COGS as beginning in 2027, as we asume the AP and AR will be roughly equal due to downpayments. </t>
        </is>
      </c>
      <c r="D29" s="74" t="n"/>
      <c r="E29" s="74" t="n"/>
      <c r="F29" s="74" t="n"/>
      <c r="G29" s="74" t="n"/>
      <c r="H29" s="74" t="n"/>
      <c r="I29" s="74" t="n"/>
      <c r="J29" s="74" t="n"/>
      <c r="K29" s="74" t="n"/>
      <c r="L29" s="74" t="n"/>
      <c r="M29" s="74" t="n"/>
      <c r="N29" s="74" t="n"/>
      <c r="O29" s="74" t="n"/>
      <c r="P29" s="74" t="n"/>
      <c r="Q29" s="74" t="n"/>
      <c r="R29" s="74" t="n"/>
      <c r="S29" s="74" t="n"/>
      <c r="T29" s="74" t="n"/>
      <c r="U29" s="74" t="n"/>
      <c r="V29" s="74" t="n"/>
      <c r="W29" s="74" t="n"/>
      <c r="X29" s="74" t="n"/>
      <c r="Y29" s="74" t="n"/>
      <c r="Z29" s="74" t="n"/>
    </row>
    <row r="30" ht="51" customHeight="1" s="349">
      <c r="A30" s="74" t="n"/>
      <c r="B30" s="62" t="inlineStr">
        <is>
          <t xml:space="preserve">Sales and Marketing costs are largely driven by permfomance marketing, and are calcualted on a volume and CPL basis. </t>
        </is>
      </c>
      <c r="D30" s="74" t="n"/>
      <c r="E30" s="74" t="n"/>
      <c r="F30" s="74" t="n"/>
      <c r="G30" s="74" t="n"/>
      <c r="H30" s="74" t="n"/>
      <c r="I30" s="74" t="n"/>
      <c r="J30" s="74" t="n"/>
      <c r="K30" s="74" t="n"/>
      <c r="L30" s="74" t="n"/>
      <c r="M30" s="74" t="n"/>
      <c r="N30" s="74" t="n"/>
      <c r="O30" s="74" t="n"/>
      <c r="P30" s="74" t="n"/>
      <c r="Q30" s="74" t="n"/>
      <c r="R30" s="74" t="n"/>
      <c r="S30" s="74" t="n"/>
      <c r="T30" s="74" t="n"/>
      <c r="U30" s="74" t="n"/>
      <c r="V30" s="74" t="n"/>
      <c r="W30" s="74" t="n"/>
      <c r="X30" s="74" t="n"/>
      <c r="Y30" s="74" t="n"/>
      <c r="Z30" s="74" t="n"/>
    </row>
    <row r="31">
      <c r="A31" s="74" t="n"/>
      <c r="B31" s="70" t="inlineStr">
        <is>
          <t>Revenues: Customer deposits have so far been collected at a TTK sales price of €8,099. We recently increased the list price to €8,925. For the purposes of this financial model, we assume an average selling price of €8,526, which we view as a conservative lower-bound assumption. Based on current market feedback, we believe the long-term market-clearing price is more likely to be approximately €9,000, although this will be validated over time as commercial sales progress.</t>
        </is>
      </c>
      <c r="D31" s="74" t="n"/>
      <c r="E31" s="74" t="n"/>
      <c r="F31" s="74" t="n"/>
      <c r="G31" s="74" t="n"/>
      <c r="H31" s="74" t="n"/>
      <c r="I31" s="74" t="n"/>
      <c r="J31" s="74" t="n"/>
      <c r="K31" s="74" t="n"/>
      <c r="L31" s="74" t="n"/>
      <c r="M31" s="74" t="n"/>
      <c r="N31" s="74" t="n"/>
      <c r="O31" s="74" t="n"/>
      <c r="P31" s="74" t="n"/>
      <c r="Q31" s="74" t="n"/>
      <c r="R31" s="74" t="n"/>
      <c r="S31" s="74" t="n"/>
      <c r="T31" s="74" t="n"/>
      <c r="U31" s="74" t="n"/>
      <c r="V31" s="74" t="n"/>
      <c r="W31" s="74" t="n"/>
      <c r="X31" s="74" t="n"/>
      <c r="Y31" s="74" t="n"/>
      <c r="Z31" s="74" t="n"/>
    </row>
    <row r="32" ht="15.75" customHeight="1" s="349">
      <c r="A32" s="74" t="n"/>
      <c r="B32" s="74" t="n"/>
      <c r="C32" s="74" t="n"/>
      <c r="D32" s="74" t="n"/>
      <c r="E32" s="74" t="n"/>
      <c r="F32" s="74" t="n"/>
      <c r="G32" s="74" t="n"/>
      <c r="H32" s="74" t="n"/>
      <c r="I32" s="74" t="n"/>
      <c r="J32" s="74" t="n"/>
      <c r="K32" s="74" t="n"/>
      <c r="L32" s="74" t="n"/>
      <c r="M32" s="74" t="n"/>
      <c r="N32" s="74" t="n"/>
      <c r="O32" s="74" t="n"/>
      <c r="P32" s="74" t="n"/>
      <c r="Q32" s="74" t="n"/>
      <c r="R32" s="74" t="n"/>
      <c r="S32" s="74" t="n"/>
      <c r="T32" s="74" t="n"/>
      <c r="U32" s="74" t="n"/>
      <c r="V32" s="74" t="n"/>
      <c r="W32" s="74" t="n"/>
      <c r="X32" s="74" t="n"/>
      <c r="Y32" s="74" t="n"/>
      <c r="Z32" s="74" t="n"/>
    </row>
    <row r="33" ht="15.75" customHeight="1" s="349">
      <c r="A33" s="74" t="n"/>
      <c r="B33" s="71" t="inlineStr">
        <is>
          <t>VOLUME, COST TIERS &amp; PATH TO PROFITABILITY</t>
        </is>
      </c>
      <c r="C33" s="74" t="n"/>
      <c r="D33" s="74" t="n"/>
      <c r="E33" s="74" t="n"/>
      <c r="F33" s="74" t="n"/>
      <c r="G33" s="74" t="n"/>
      <c r="H33" s="74" t="n"/>
      <c r="I33" s="74" t="n"/>
      <c r="J33" s="74" t="n"/>
      <c r="K33" s="74" t="n"/>
      <c r="L33" s="74" t="n"/>
      <c r="M33" s="74" t="n"/>
      <c r="N33" s="74" t="n"/>
      <c r="O33" s="74" t="n"/>
      <c r="P33" s="74" t="n"/>
      <c r="Q33" s="74" t="n"/>
      <c r="R33" s="74" t="n"/>
      <c r="S33" s="74" t="n"/>
      <c r="T33" s="74" t="n"/>
      <c r="U33" s="74" t="n"/>
      <c r="V33" s="74" t="n"/>
      <c r="W33" s="74" t="n"/>
      <c r="X33" s="74" t="n"/>
      <c r="Y33" s="74" t="n"/>
      <c r="Z33" s="74" t="n"/>
    </row>
    <row r="34" ht="15.75" customHeight="1" s="349">
      <c r="A34" s="74" t="n"/>
      <c r="B34" s="74" t="inlineStr">
        <is>
          <t>Unit economics are driven by volume-tiered BOM pricing: the turbineketel BOM costs €9,984 below 5,000 units, €7,069 from 5,000, and €4,998 from 10,000 (tier set by two-year combined volume, see COGS explanation above).</t>
        </is>
      </c>
      <c r="C34" s="74" t="n"/>
      <c r="D34" s="74" t="n"/>
      <c r="E34" s="74" t="n"/>
      <c r="F34" s="74" t="n"/>
      <c r="G34" s="74" t="n"/>
      <c r="H34" s="74" t="n"/>
      <c r="I34" s="74" t="n"/>
      <c r="J34" s="74" t="n"/>
      <c r="K34" s="74" t="n"/>
      <c r="L34" s="74" t="n"/>
      <c r="M34" s="74" t="n"/>
      <c r="N34" s="74" t="n"/>
      <c r="O34" s="74" t="n"/>
      <c r="P34" s="74" t="n"/>
      <c r="Q34" s="74" t="n"/>
      <c r="R34" s="74" t="n"/>
      <c r="S34" s="74" t="n"/>
      <c r="T34" s="74" t="n"/>
      <c r="U34" s="74" t="n"/>
      <c r="V34" s="74" t="n"/>
      <c r="W34" s="74" t="n"/>
      <c r="X34" s="74" t="n"/>
      <c r="Y34" s="74" t="n"/>
      <c r="Z34" s="74" t="n"/>
    </row>
    <row r="35" ht="15.75" customHeight="1" s="349">
      <c r="A35" s="74" t="n"/>
      <c r="B35" s="74" t="inlineStr">
        <is>
          <t>Below the 5,000-unit tier, gross margin per unit is close to zero — so the business is loss-making by design until volumes cross that threshold. Base case (600 / 1,600 / 3,600 / 7,200 units, 2027-2030): EBITDA -EUR2.45m (2027), +EUR2.43m (2028), +EUR17.14m (2029).</t>
        </is>
      </c>
      <c r="C35" s="74" t="n"/>
      <c r="D35" s="74" t="n"/>
      <c r="E35" s="74" t="n"/>
      <c r="F35" s="74" t="n"/>
      <c r="G35" s="74" t="n"/>
      <c r="H35" s="74" t="n"/>
      <c r="I35" s="74" t="n"/>
      <c r="J35" s="74" t="n"/>
      <c r="K35" s="74" t="n"/>
      <c r="L35" s="74" t="n"/>
      <c r="M35" s="74" t="n"/>
      <c r="N35" s="74" t="n"/>
      <c r="O35" s="74" t="n"/>
      <c r="P35" s="74" t="n"/>
      <c r="Q35" s="74" t="n"/>
      <c r="R35" s="74" t="n"/>
      <c r="S35" s="74" t="n"/>
      <c r="T35" s="74" t="n"/>
      <c r="U35" s="74" t="n"/>
      <c r="V35" s="74" t="n"/>
      <c r="W35" s="74" t="n"/>
      <c r="X35" s="74" t="n"/>
      <c r="Y35" s="74" t="n"/>
      <c r="Z35" s="74" t="n"/>
    </row>
    <row r="36" ht="15.75" customHeight="1" s="349">
      <c r="A36" s="74" t="n"/>
      <c r="B36" s="74" t="inlineStr">
        <is>
          <t>Cash is tightest in Oct-2026 (~EUR7k) immediately before the equity injection; from Nov-2026 the plan is funded throughout. The Jan-2028 dip described in earlier versions no longer appears at these volumes.</t>
        </is>
      </c>
      <c r="C36" s="74" t="n"/>
      <c r="D36" s="74" t="n"/>
      <c r="E36" s="74" t="n"/>
      <c r="F36" s="74" t="n"/>
      <c r="G36" s="74" t="n"/>
      <c r="H36" s="74" t="n"/>
      <c r="I36" s="74" t="n"/>
      <c r="J36" s="74" t="n"/>
      <c r="K36" s="74" t="n"/>
      <c r="L36" s="74" t="n"/>
      <c r="M36" s="74" t="n"/>
      <c r="N36" s="74" t="n"/>
      <c r="O36" s="74" t="n"/>
      <c r="P36" s="74" t="n"/>
      <c r="Q36" s="74" t="n"/>
      <c r="R36" s="74" t="n"/>
      <c r="S36" s="74" t="n"/>
      <c r="T36" s="74" t="n"/>
      <c r="U36" s="74" t="n"/>
      <c r="V36" s="74" t="n"/>
      <c r="W36" s="74" t="n"/>
      <c r="X36" s="74" t="n"/>
      <c r="Y36" s="74" t="n"/>
      <c r="Z36" s="74" t="n"/>
    </row>
    <row r="37" ht="15.75" customHeight="1" s="349">
      <c r="A37" s="74" t="n"/>
      <c r="B37" s="74" t="inlineStr">
        <is>
          <t>Results are highly sensitive at the tier thresholds. On the two-year basis 2028's tier key is 1,600 + 3,600 = 5,200 against a 5,000 breakpoint, so a 4% volume miss pushes the 2028 BOM back to EUR9,984.</t>
        </is>
      </c>
      <c r="C37" s="74" t="n"/>
      <c r="D37" s="74" t="n"/>
      <c r="E37" s="74" t="n"/>
      <c r="F37" s="74" t="n"/>
      <c r="G37" s="74" t="n"/>
      <c r="H37" s="74" t="n"/>
      <c r="I37" s="74" t="n"/>
      <c r="J37" s="74" t="n"/>
      <c r="K37" s="74" t="n"/>
      <c r="L37" s="74" t="n"/>
      <c r="M37" s="74" t="n"/>
      <c r="N37" s="74" t="n"/>
      <c r="O37" s="74" t="n"/>
      <c r="P37" s="74" t="n"/>
      <c r="Q37" s="74" t="n"/>
      <c r="R37" s="74" t="n"/>
      <c r="S37" s="74" t="n"/>
      <c r="T37" s="74" t="n"/>
      <c r="U37" s="74" t="n"/>
      <c r="V37" s="74" t="n"/>
      <c r="W37" s="74" t="n"/>
      <c r="X37" s="74" t="n"/>
      <c r="Y37" s="74" t="n"/>
      <c r="Z37" s="74" t="n"/>
    </row>
    <row r="38" ht="15.75" customHeight="1" s="349">
      <c r="A38" s="74" t="n"/>
      <c r="B38" s="74" t="n"/>
      <c r="C38" s="74" t="n"/>
      <c r="D38" s="74" t="n"/>
      <c r="E38" s="74" t="n"/>
      <c r="F38" s="74" t="n"/>
      <c r="G38" s="74" t="n"/>
      <c r="H38" s="74" t="n"/>
      <c r="I38" s="74" t="n"/>
      <c r="J38" s="74" t="n"/>
      <c r="K38" s="74" t="n"/>
      <c r="L38" s="74" t="n"/>
      <c r="M38" s="74" t="n"/>
      <c r="N38" s="74" t="n"/>
      <c r="O38" s="74" t="n"/>
      <c r="P38" s="74" t="n"/>
      <c r="Q38" s="74" t="n"/>
      <c r="R38" s="74" t="n"/>
      <c r="S38" s="74" t="n"/>
      <c r="T38" s="74" t="n"/>
      <c r="U38" s="74" t="n"/>
      <c r="V38" s="74" t="n"/>
      <c r="W38" s="74" t="n"/>
      <c r="X38" s="74" t="n"/>
      <c r="Y38" s="74" t="n"/>
      <c r="Z38" s="74" t="n"/>
    </row>
    <row r="39" ht="15.75" customHeight="1" s="349">
      <c r="A39" s="74" t="n"/>
      <c r="B39" s="71" t="inlineStr">
        <is>
          <t>SCENARIO SWITCHES (Assumptions rows 82-83)</t>
        </is>
      </c>
      <c r="C39" s="74" t="n"/>
      <c r="D39" s="74" t="n"/>
      <c r="E39" s="74" t="n"/>
      <c r="F39" s="74" t="n"/>
      <c r="G39" s="74" t="n"/>
      <c r="H39" s="74" t="n"/>
      <c r="I39" s="74" t="n"/>
      <c r="J39" s="74" t="n"/>
      <c r="K39" s="74" t="n"/>
      <c r="L39" s="74" t="n"/>
      <c r="M39" s="74" t="n"/>
      <c r="N39" s="74" t="n"/>
      <c r="O39" s="74" t="n"/>
      <c r="P39" s="74" t="n"/>
      <c r="Q39" s="74" t="n"/>
      <c r="R39" s="74" t="n"/>
      <c r="S39" s="74" t="n"/>
      <c r="T39" s="74" t="n"/>
      <c r="U39" s="74" t="n"/>
      <c r="V39" s="74" t="n"/>
      <c r="W39" s="74" t="n"/>
      <c r="X39" s="74" t="n"/>
      <c r="Y39" s="74" t="n"/>
      <c r="Z39" s="74" t="n"/>
    </row>
    <row r="40" ht="15.75" customHeight="1" s="349">
      <c r="A40" s="74" t="n"/>
      <c r="B40" s="74" t="inlineStr">
        <is>
          <t>Case: 1 = Base (EUR3m raise, 600 / 1,600 / 3,600 / 7,200 units). 2 = Aggressive (EUR10m raise, 1,800 / 5,200 / 11,000 / 22,000 units, EUR5.5m staged capex, sales hires pulled forward, 30 days of inventory).</t>
        </is>
      </c>
      <c r="C40" s="74" t="n"/>
      <c r="D40" s="74" t="n"/>
      <c r="E40" s="74" t="n"/>
      <c r="F40" s="74" t="n"/>
      <c r="G40" s="74" t="n"/>
      <c r="H40" s="74" t="n"/>
      <c r="I40" s="74" t="n"/>
      <c r="J40" s="74" t="n"/>
      <c r="K40" s="74" t="n"/>
      <c r="L40" s="74" t="n"/>
      <c r="M40" s="74" t="n"/>
      <c r="N40" s="74" t="n"/>
      <c r="O40" s="74" t="n"/>
      <c r="P40" s="74" t="n"/>
      <c r="Q40" s="74" t="n"/>
      <c r="R40" s="74" t="n"/>
      <c r="S40" s="74" t="n"/>
      <c r="T40" s="74" t="n"/>
      <c r="U40" s="74" t="n"/>
      <c r="V40" s="74" t="n"/>
      <c r="W40" s="74" t="n"/>
      <c r="X40" s="74" t="n"/>
      <c r="Y40" s="74" t="n"/>
      <c r="Z40" s="74" t="n"/>
    </row>
    <row r="41" ht="15.75" customHeight="1" s="349">
      <c r="A41" s="74" t="n"/>
      <c r="B41" s="74" t="inlineStr">
        <is>
          <t>BOM tier basis: 1 = the year's own volume only (conservative). 2 = this year + next, as originally modelled. On basis 1 the Base case never turns profitable (EBITDA -2.45 / -2.23 / -1.21); the Aggressive case does (-1.34 / +17.12 / +66.08).</t>
        </is>
      </c>
      <c r="C41" s="74" t="n"/>
      <c r="D41" s="74" t="n"/>
      <c r="E41" s="74" t="n"/>
      <c r="F41" s="74" t="n"/>
      <c r="G41" s="74" t="n"/>
      <c r="H41" s="74" t="n"/>
      <c r="I41" s="74" t="n"/>
      <c r="J41" s="74" t="n"/>
      <c r="K41" s="74" t="n"/>
      <c r="L41" s="74" t="n"/>
      <c r="M41" s="74" t="n"/>
      <c r="N41" s="74" t="n"/>
      <c r="O41" s="74" t="n"/>
      <c r="P41" s="74" t="n"/>
      <c r="Q41" s="74" t="n"/>
      <c r="R41" s="74" t="n"/>
      <c r="S41" s="74" t="n"/>
      <c r="T41" s="74" t="n"/>
      <c r="U41" s="74" t="n"/>
      <c r="V41" s="74" t="n"/>
      <c r="W41" s="74" t="n"/>
      <c r="X41" s="74" t="n"/>
      <c r="Y41" s="74" t="n"/>
      <c r="Z41" s="74" t="n"/>
    </row>
    <row r="42" ht="15.75" customHeight="1" s="349">
      <c r="A42" s="74" t="n"/>
      <c r="B42" s="74" t="inlineStr">
        <is>
          <t>Aggressive volumes are deliberately set to clear the breakpoints: 5,200 units in 2028 (&gt;5,000) and 11,000 in 2029 (&gt;10,000). Crossing 5,000 in 2028 is worth roughly EUR15m of COGS.</t>
        </is>
      </c>
      <c r="C42" s="74" t="n"/>
      <c r="D42" s="74" t="n"/>
      <c r="E42" s="74" t="n"/>
      <c r="F42" s="74" t="n"/>
      <c r="G42" s="74" t="n"/>
      <c r="H42" s="74" t="n"/>
      <c r="I42" s="74" t="n"/>
      <c r="J42" s="74" t="n"/>
      <c r="K42" s="74" t="n"/>
      <c r="L42" s="74" t="n"/>
      <c r="M42" s="74" t="n"/>
      <c r="N42" s="74" t="n"/>
      <c r="O42" s="74" t="n"/>
      <c r="P42" s="74" t="n"/>
      <c r="Q42" s="74" t="n"/>
      <c r="R42" s="74" t="n"/>
      <c r="S42" s="74" t="n"/>
      <c r="T42" s="74" t="n"/>
      <c r="U42" s="74" t="n"/>
      <c r="V42" s="74" t="n"/>
      <c r="W42" s="74" t="n"/>
      <c r="X42" s="74" t="n"/>
      <c r="Y42" s="74" t="n"/>
      <c r="Z42" s="74" t="n"/>
    </row>
    <row r="43" ht="15.75" customHeight="1" s="349">
      <c r="A43" s="74" t="n"/>
      <c r="B43" s="71" t="inlineStr">
        <is>
          <t>THE GROWTH ENGINE (new tab) — why the volume plan is credible</t>
        </is>
      </c>
      <c r="C43" s="74" t="n"/>
      <c r="D43" s="74" t="n"/>
      <c r="E43" s="74" t="n"/>
      <c r="F43" s="74" t="n"/>
      <c r="G43" s="74" t="n"/>
      <c r="H43" s="74" t="n"/>
      <c r="I43" s="74" t="n"/>
      <c r="J43" s="74" t="n"/>
      <c r="K43" s="74" t="n"/>
      <c r="L43" s="74" t="n"/>
      <c r="M43" s="74" t="n"/>
      <c r="N43" s="74" t="n"/>
      <c r="O43" s="74" t="n"/>
      <c r="P43" s="74" t="n"/>
      <c r="Q43" s="74" t="n"/>
      <c r="R43" s="74" t="n"/>
      <c r="S43" s="74" t="n"/>
      <c r="T43" s="74" t="n"/>
      <c r="U43" s="74" t="n"/>
      <c r="V43" s="74" t="n"/>
      <c r="W43" s="74" t="n"/>
      <c r="X43" s="74" t="n"/>
      <c r="Y43" s="74" t="n"/>
      <c r="Z43" s="74" t="n"/>
    </row>
    <row r="44" ht="15.75" customHeight="1" s="349">
      <c r="A44" s="74" t="n"/>
      <c r="B44" s="74" t="inlineStr">
        <is>
          <t>Units sold used to be typed into Assumptions row 21. They are now an OUTPUT. The Growth Engine tab works out four numbers every month: how many people want one (marketing spend / cost per lead x conversion), how many we can sell (ramped reps x quota, plus trained installer partners x units each), how many we can build (assembly partner plus in-house lines), and the most the market allows. We sell the smallest of the four, and the tab writes down which one it was.</t>
        </is>
      </c>
      <c r="C44" s="74" t="n"/>
      <c r="D44" s="74" t="n"/>
      <c r="E44" s="74" t="n"/>
      <c r="F44" s="74" t="n"/>
      <c r="G44" s="74" t="n"/>
      <c r="H44" s="74" t="n"/>
      <c r="I44" s="74" t="n"/>
      <c r="J44" s="74" t="n"/>
      <c r="K44" s="74" t="n"/>
      <c r="L44" s="74" t="n"/>
      <c r="M44" s="74" t="n"/>
      <c r="N44" s="74" t="n"/>
      <c r="O44" s="74" t="n"/>
      <c r="P44" s="74" t="n"/>
      <c r="Q44" s="74" t="n"/>
      <c r="R44" s="74" t="n"/>
      <c r="S44" s="74" t="n"/>
      <c r="T44" s="74" t="n"/>
      <c r="U44" s="74" t="n"/>
      <c r="V44" s="74" t="n"/>
      <c r="W44" s="74" t="n"/>
      <c r="X44" s="74" t="n"/>
      <c r="Y44" s="74" t="n"/>
      <c r="Z44" s="74" t="n"/>
    </row>
    <row r="45" ht="15.75" customHeight="1" s="349">
      <c r="A45" s="74" t="n"/>
      <c r="B45" s="74" t="inlineStr">
        <is>
          <t>The business genuinely changes in the aggressive case. Tarnoc cannot close 20,000+ units a year with a direct sales team - that would need roughly 90 reps. So the motion shifts from direct selling to an enabled installer channel: the direct share falls from 70% to 15% while installer partners scale, and partner managers replace quota carriers. Manufacturing shifts the same way - the assembly partner carries the ramp, then in-house lines come live, each paid for a lead time before it can build.</t>
        </is>
      </c>
      <c r="C45" s="74" t="n"/>
      <c r="D45" s="74" t="n"/>
      <c r="E45" s="74" t="n"/>
      <c r="F45" s="74" t="n"/>
      <c r="G45" s="74" t="n"/>
      <c r="H45" s="74" t="n"/>
      <c r="I45" s="74" t="n"/>
      <c r="J45" s="74" t="n"/>
      <c r="K45" s="74" t="n"/>
      <c r="L45" s="74" t="n"/>
      <c r="M45" s="74" t="n"/>
      <c r="N45" s="74" t="n"/>
      <c r="O45" s="74" t="n"/>
      <c r="P45" s="74" t="n"/>
      <c r="Q45" s="74" t="n"/>
      <c r="R45" s="74" t="n"/>
      <c r="S45" s="74" t="n"/>
      <c r="T45" s="74" t="n"/>
      <c r="U45" s="74" t="n"/>
      <c r="V45" s="74" t="n"/>
      <c r="W45" s="74" t="n"/>
      <c r="X45" s="74" t="n"/>
      <c r="Y45" s="74" t="n"/>
      <c r="Z45" s="74" t="n"/>
    </row>
    <row r="46" ht="15.75" customHeight="1" s="349">
      <c r="A46" s="74" t="n"/>
      <c r="B46" s="74" t="inlineStr">
        <is>
          <t>Market share is on the face of the model. The turbineketel replaces a gas boiler one-for-one, so the market is the ~400,000 gas boilers replaced in the Netherlands each year - not the ~125,000 heat pumps sold in 2024. Share is measured against that, plus Belgium and Germany once the expansion market opens.</t>
        </is>
      </c>
      <c r="C46" s="74" t="n"/>
      <c r="D46" s="74" t="n"/>
      <c r="E46" s="74" t="n"/>
      <c r="F46" s="74" t="n"/>
      <c r="G46" s="74" t="n"/>
      <c r="H46" s="74" t="n"/>
      <c r="I46" s="74" t="n"/>
      <c r="J46" s="74" t="n"/>
      <c r="K46" s="74" t="n"/>
      <c r="L46" s="74" t="n"/>
      <c r="M46" s="74" t="n"/>
      <c r="N46" s="74" t="n"/>
      <c r="O46" s="74" t="n"/>
      <c r="P46" s="74" t="n"/>
      <c r="Q46" s="74" t="n"/>
      <c r="R46" s="74" t="n"/>
      <c r="S46" s="74" t="n"/>
      <c r="T46" s="74" t="n"/>
      <c r="U46" s="74" t="n"/>
      <c r="V46" s="74" t="n"/>
      <c r="W46" s="74" t="n"/>
      <c r="X46" s="74" t="n"/>
      <c r="Y46" s="74" t="n"/>
      <c r="Z46" s="74" t="n"/>
    </row>
    <row r="47" ht="15.75" customHeight="1" s="349">
      <c r="A47" s="74" t="n"/>
      <c r="B47" s="74" t="n"/>
      <c r="C47" s="74" t="n"/>
      <c r="D47" s="74" t="n"/>
      <c r="E47" s="74" t="n"/>
      <c r="F47" s="74" t="n"/>
      <c r="G47" s="74" t="n"/>
      <c r="H47" s="74" t="n"/>
      <c r="I47" s="74" t="n"/>
      <c r="J47" s="74" t="n"/>
      <c r="K47" s="74" t="n"/>
      <c r="L47" s="74" t="n"/>
      <c r="M47" s="74" t="n"/>
      <c r="N47" s="74" t="n"/>
      <c r="O47" s="74" t="n"/>
      <c r="P47" s="74" t="n"/>
      <c r="Q47" s="74" t="n"/>
      <c r="R47" s="74" t="n"/>
      <c r="S47" s="74" t="n"/>
      <c r="T47" s="74" t="n"/>
      <c r="U47" s="74" t="n"/>
      <c r="V47" s="74" t="n"/>
      <c r="W47" s="74" t="n"/>
      <c r="X47" s="74" t="n"/>
      <c r="Y47" s="74" t="n"/>
      <c r="Z47" s="74" t="n"/>
    </row>
    <row r="48" ht="15.75" customHeight="1" s="349">
      <c r="A48" s="74" t="n"/>
      <c r="B48" s="74" t="n"/>
      <c r="C48" s="74" t="n"/>
      <c r="D48" s="74" t="n"/>
      <c r="E48" s="74" t="n"/>
      <c r="F48" s="74" t="n"/>
      <c r="G48" s="74" t="n"/>
      <c r="H48" s="74" t="n"/>
      <c r="I48" s="74" t="n"/>
      <c r="J48" s="74" t="n"/>
      <c r="K48" s="74" t="n"/>
      <c r="L48" s="74" t="n"/>
      <c r="M48" s="74" t="n"/>
      <c r="N48" s="74" t="n"/>
      <c r="O48" s="74" t="n"/>
      <c r="P48" s="74" t="n"/>
      <c r="Q48" s="74" t="n"/>
      <c r="R48" s="74" t="n"/>
      <c r="S48" s="74" t="n"/>
      <c r="T48" s="74" t="n"/>
      <c r="U48" s="74" t="n"/>
      <c r="V48" s="74" t="n"/>
      <c r="W48" s="74" t="n"/>
      <c r="X48" s="74" t="n"/>
      <c r="Y48" s="74" t="n"/>
      <c r="Z48" s="74" t="n"/>
    </row>
    <row r="49" ht="15.75" customHeight="1" s="349">
      <c r="A49" s="74" t="n"/>
      <c r="B49" s="74" t="n"/>
      <c r="C49" s="74" t="n"/>
      <c r="D49" s="74" t="n"/>
      <c r="E49" s="74" t="n"/>
      <c r="F49" s="74" t="n"/>
      <c r="G49" s="74" t="n"/>
      <c r="H49" s="74" t="n"/>
      <c r="I49" s="74" t="n"/>
      <c r="J49" s="74" t="n"/>
      <c r="K49" s="74" t="n"/>
      <c r="L49" s="74" t="n"/>
      <c r="M49" s="74" t="n"/>
      <c r="N49" s="74" t="n"/>
      <c r="O49" s="74" t="n"/>
      <c r="P49" s="74" t="n"/>
      <c r="Q49" s="74" t="n"/>
      <c r="R49" s="74" t="n"/>
      <c r="S49" s="74" t="n"/>
      <c r="T49" s="74" t="n"/>
      <c r="U49" s="74" t="n"/>
      <c r="V49" s="74" t="n"/>
      <c r="W49" s="74" t="n"/>
      <c r="X49" s="74" t="n"/>
      <c r="Y49" s="74" t="n"/>
      <c r="Z49" s="74" t="n"/>
    </row>
    <row r="50" ht="15.75" customHeight="1" s="349">
      <c r="A50" s="74" t="n"/>
      <c r="B50" s="74" t="n"/>
      <c r="C50" s="74" t="n"/>
      <c r="D50" s="74" t="n"/>
      <c r="E50" s="74" t="n"/>
      <c r="F50" s="74" t="n"/>
      <c r="G50" s="74" t="n"/>
      <c r="H50" s="74" t="n"/>
      <c r="I50" s="74" t="n"/>
      <c r="J50" s="74" t="n"/>
      <c r="K50" s="74" t="n"/>
      <c r="L50" s="74" t="n"/>
      <c r="M50" s="74" t="n"/>
      <c r="N50" s="74" t="n"/>
      <c r="O50" s="74" t="n"/>
      <c r="P50" s="74" t="n"/>
      <c r="Q50" s="74" t="n"/>
      <c r="R50" s="74" t="n"/>
      <c r="S50" s="74" t="n"/>
      <c r="T50" s="74" t="n"/>
      <c r="U50" s="74" t="n"/>
      <c r="V50" s="74" t="n"/>
      <c r="W50" s="74" t="n"/>
      <c r="X50" s="74" t="n"/>
      <c r="Y50" s="74" t="n"/>
      <c r="Z50" s="74" t="n"/>
    </row>
    <row r="51" ht="15.75" customHeight="1" s="349">
      <c r="A51" s="74" t="n"/>
      <c r="B51" s="74" t="n"/>
      <c r="C51" s="74" t="n"/>
      <c r="D51" s="74" t="n"/>
      <c r="E51" s="74" t="n"/>
      <c r="F51" s="74" t="n"/>
      <c r="G51" s="74" t="n"/>
      <c r="H51" s="74" t="n"/>
      <c r="I51" s="74" t="n"/>
      <c r="J51" s="74" t="n"/>
      <c r="K51" s="74" t="n"/>
      <c r="L51" s="74" t="n"/>
      <c r="M51" s="74" t="n"/>
      <c r="N51" s="74" t="n"/>
      <c r="O51" s="74" t="n"/>
      <c r="P51" s="74" t="n"/>
      <c r="Q51" s="74" t="n"/>
      <c r="R51" s="74" t="n"/>
      <c r="S51" s="74" t="n"/>
      <c r="T51" s="74" t="n"/>
      <c r="U51" s="74" t="n"/>
      <c r="V51" s="74" t="n"/>
      <c r="W51" s="74" t="n"/>
      <c r="X51" s="74" t="n"/>
      <c r="Y51" s="74" t="n"/>
      <c r="Z51" s="74" t="n"/>
    </row>
    <row r="52" ht="15.75" customHeight="1" s="349">
      <c r="A52" s="74" t="n"/>
      <c r="B52" s="74" t="n"/>
      <c r="C52" s="74" t="n"/>
      <c r="D52" s="74" t="n"/>
      <c r="E52" s="74" t="n"/>
      <c r="F52" s="74" t="n"/>
      <c r="G52" s="74" t="n"/>
      <c r="H52" s="74" t="n"/>
      <c r="I52" s="74" t="n"/>
      <c r="J52" s="74" t="n"/>
      <c r="K52" s="74" t="n"/>
      <c r="L52" s="74" t="n"/>
      <c r="M52" s="74" t="n"/>
      <c r="N52" s="74" t="n"/>
      <c r="O52" s="74" t="n"/>
      <c r="P52" s="74" t="n"/>
      <c r="Q52" s="74" t="n"/>
      <c r="R52" s="74" t="n"/>
      <c r="S52" s="74" t="n"/>
      <c r="T52" s="74" t="n"/>
      <c r="U52" s="74" t="n"/>
      <c r="V52" s="74" t="n"/>
      <c r="W52" s="74" t="n"/>
      <c r="X52" s="74" t="n"/>
      <c r="Y52" s="74" t="n"/>
      <c r="Z52" s="74" t="n"/>
    </row>
    <row r="53" ht="15.75" customHeight="1" s="349">
      <c r="A53" s="74" t="n"/>
      <c r="B53" s="74" t="n"/>
      <c r="C53" s="74" t="n"/>
      <c r="D53" s="74" t="n"/>
      <c r="E53" s="74" t="n"/>
      <c r="F53" s="74" t="n"/>
      <c r="G53" s="74" t="n"/>
      <c r="H53" s="74" t="n"/>
      <c r="I53" s="74" t="n"/>
      <c r="J53" s="74" t="n"/>
      <c r="K53" s="74" t="n"/>
      <c r="L53" s="74" t="n"/>
      <c r="M53" s="74" t="n"/>
      <c r="N53" s="74" t="n"/>
      <c r="O53" s="74" t="n"/>
      <c r="P53" s="74" t="n"/>
      <c r="Q53" s="74" t="n"/>
      <c r="R53" s="74" t="n"/>
      <c r="S53" s="74" t="n"/>
      <c r="T53" s="74" t="n"/>
      <c r="U53" s="74" t="n"/>
      <c r="V53" s="74" t="n"/>
      <c r="W53" s="74" t="n"/>
      <c r="X53" s="74" t="n"/>
      <c r="Y53" s="74" t="n"/>
      <c r="Z53" s="74" t="n"/>
    </row>
    <row r="54" ht="15.75" customHeight="1" s="349">
      <c r="A54" s="74" t="n"/>
      <c r="B54" s="74" t="n"/>
      <c r="C54" s="74" t="n"/>
      <c r="D54" s="74" t="n"/>
      <c r="E54" s="74" t="n"/>
      <c r="F54" s="74" t="n"/>
      <c r="G54" s="74" t="n"/>
      <c r="H54" s="74" t="n"/>
      <c r="I54" s="74" t="n"/>
      <c r="J54" s="74" t="n"/>
      <c r="K54" s="74" t="n"/>
      <c r="L54" s="74" t="n"/>
      <c r="M54" s="74" t="n"/>
      <c r="N54" s="74" t="n"/>
      <c r="O54" s="74" t="n"/>
      <c r="P54" s="74" t="n"/>
      <c r="Q54" s="74" t="n"/>
      <c r="R54" s="74" t="n"/>
      <c r="S54" s="74" t="n"/>
      <c r="T54" s="74" t="n"/>
      <c r="U54" s="74" t="n"/>
      <c r="V54" s="74" t="n"/>
      <c r="W54" s="74" t="n"/>
      <c r="X54" s="74" t="n"/>
      <c r="Y54" s="74" t="n"/>
      <c r="Z54" s="74" t="n"/>
    </row>
    <row r="55" ht="15.75" customHeight="1" s="349">
      <c r="A55" s="74" t="n"/>
      <c r="B55" s="74" t="n"/>
      <c r="C55" s="74" t="n"/>
      <c r="D55" s="74" t="n"/>
      <c r="E55" s="74" t="n"/>
      <c r="F55" s="74" t="n"/>
      <c r="G55" s="74" t="n"/>
      <c r="H55" s="74" t="n"/>
      <c r="I55" s="74" t="n"/>
      <c r="J55" s="74" t="n"/>
      <c r="K55" s="74" t="n"/>
      <c r="L55" s="74" t="n"/>
      <c r="M55" s="74" t="n"/>
      <c r="N55" s="74" t="n"/>
      <c r="O55" s="74" t="n"/>
      <c r="P55" s="74" t="n"/>
      <c r="Q55" s="74" t="n"/>
      <c r="R55" s="74" t="n"/>
      <c r="S55" s="74" t="n"/>
      <c r="T55" s="74" t="n"/>
      <c r="U55" s="74" t="n"/>
      <c r="V55" s="74" t="n"/>
      <c r="W55" s="74" t="n"/>
      <c r="X55" s="74" t="n"/>
      <c r="Y55" s="74" t="n"/>
      <c r="Z55" s="74" t="n"/>
    </row>
    <row r="56" ht="15.75" customHeight="1" s="349">
      <c r="A56" s="74" t="n"/>
      <c r="B56" s="74" t="n"/>
      <c r="C56" s="74" t="n"/>
      <c r="D56" s="74" t="n"/>
      <c r="E56" s="74" t="n"/>
      <c r="F56" s="74" t="n"/>
      <c r="G56" s="74" t="n"/>
      <c r="H56" s="74" t="n"/>
      <c r="I56" s="74" t="n"/>
      <c r="J56" s="74" t="n"/>
      <c r="K56" s="74" t="n"/>
      <c r="L56" s="74" t="n"/>
      <c r="M56" s="74" t="n"/>
      <c r="N56" s="74" t="n"/>
      <c r="O56" s="74" t="n"/>
      <c r="P56" s="74" t="n"/>
      <c r="Q56" s="74" t="n"/>
      <c r="R56" s="74" t="n"/>
      <c r="S56" s="74" t="n"/>
      <c r="T56" s="74" t="n"/>
      <c r="U56" s="74" t="n"/>
      <c r="V56" s="74" t="n"/>
      <c r="W56" s="74" t="n"/>
      <c r="X56" s="74" t="n"/>
      <c r="Y56" s="74" t="n"/>
      <c r="Z56" s="74" t="n"/>
    </row>
    <row r="57" ht="15.75" customHeight="1" s="349">
      <c r="A57" s="74" t="n"/>
      <c r="B57" s="74" t="n"/>
      <c r="C57" s="74" t="n"/>
      <c r="D57" s="74" t="n"/>
      <c r="E57" s="74" t="n"/>
      <c r="F57" s="74" t="n"/>
      <c r="G57" s="74" t="n"/>
      <c r="H57" s="74" t="n"/>
      <c r="I57" s="74" t="n"/>
      <c r="J57" s="74" t="n"/>
      <c r="K57" s="74" t="n"/>
      <c r="L57" s="74" t="n"/>
      <c r="M57" s="74" t="n"/>
      <c r="N57" s="74" t="n"/>
      <c r="O57" s="74" t="n"/>
      <c r="P57" s="74" t="n"/>
      <c r="Q57" s="74" t="n"/>
      <c r="R57" s="74" t="n"/>
      <c r="S57" s="74" t="n"/>
      <c r="T57" s="74" t="n"/>
      <c r="U57" s="74" t="n"/>
      <c r="V57" s="74" t="n"/>
      <c r="W57" s="74" t="n"/>
      <c r="X57" s="74" t="n"/>
      <c r="Y57" s="74" t="n"/>
      <c r="Z57" s="74" t="n"/>
    </row>
    <row r="58" ht="15.75" customHeight="1" s="349">
      <c r="A58" s="74" t="n"/>
      <c r="B58" s="74" t="n"/>
      <c r="C58" s="74" t="n"/>
      <c r="D58" s="74" t="n"/>
      <c r="E58" s="74" t="n"/>
      <c r="F58" s="74" t="n"/>
      <c r="G58" s="74" t="n"/>
      <c r="H58" s="74" t="n"/>
      <c r="I58" s="74" t="n"/>
      <c r="J58" s="74" t="n"/>
      <c r="K58" s="74" t="n"/>
      <c r="L58" s="74" t="n"/>
      <c r="M58" s="74" t="n"/>
      <c r="N58" s="74" t="n"/>
      <c r="O58" s="74" t="n"/>
      <c r="P58" s="74" t="n"/>
      <c r="Q58" s="74" t="n"/>
      <c r="R58" s="74" t="n"/>
      <c r="S58" s="74" t="n"/>
      <c r="T58" s="74" t="n"/>
      <c r="U58" s="74" t="n"/>
      <c r="V58" s="74" t="n"/>
      <c r="W58" s="74" t="n"/>
      <c r="X58" s="74" t="n"/>
      <c r="Y58" s="74" t="n"/>
      <c r="Z58" s="74" t="n"/>
    </row>
    <row r="59" ht="15.75" customHeight="1" s="349">
      <c r="A59" s="74" t="n"/>
      <c r="B59" s="74" t="n"/>
      <c r="C59" s="74" t="n"/>
      <c r="D59" s="74" t="n"/>
      <c r="E59" s="74" t="n"/>
      <c r="F59" s="74" t="n"/>
      <c r="G59" s="74" t="n"/>
      <c r="H59" s="74" t="n"/>
      <c r="I59" s="74" t="n"/>
      <c r="J59" s="74" t="n"/>
      <c r="K59" s="74" t="n"/>
      <c r="L59" s="74" t="n"/>
      <c r="M59" s="74" t="n"/>
      <c r="N59" s="74" t="n"/>
      <c r="O59" s="74" t="n"/>
      <c r="P59" s="74" t="n"/>
      <c r="Q59" s="74" t="n"/>
      <c r="R59" s="74" t="n"/>
      <c r="S59" s="74" t="n"/>
      <c r="T59" s="74" t="n"/>
      <c r="U59" s="74" t="n"/>
      <c r="V59" s="74" t="n"/>
      <c r="W59" s="74" t="n"/>
      <c r="X59" s="74" t="n"/>
      <c r="Y59" s="74" t="n"/>
      <c r="Z59" s="74" t="n"/>
    </row>
    <row r="60" ht="15.75" customHeight="1" s="349">
      <c r="A60" s="74" t="n"/>
      <c r="B60" s="74" t="n"/>
      <c r="C60" s="74" t="n"/>
      <c r="D60" s="74" t="n"/>
      <c r="E60" s="74" t="n"/>
      <c r="F60" s="74" t="n"/>
      <c r="G60" s="74" t="n"/>
      <c r="H60" s="74" t="n"/>
      <c r="I60" s="74" t="n"/>
      <c r="J60" s="74" t="n"/>
      <c r="K60" s="74" t="n"/>
      <c r="L60" s="74" t="n"/>
      <c r="M60" s="74" t="n"/>
      <c r="N60" s="74" t="n"/>
      <c r="O60" s="74" t="n"/>
      <c r="P60" s="74" t="n"/>
      <c r="Q60" s="74" t="n"/>
      <c r="R60" s="74" t="n"/>
      <c r="S60" s="74" t="n"/>
      <c r="T60" s="74" t="n"/>
      <c r="U60" s="74" t="n"/>
      <c r="V60" s="74" t="n"/>
      <c r="W60" s="74" t="n"/>
      <c r="X60" s="74" t="n"/>
      <c r="Y60" s="74" t="n"/>
      <c r="Z60" s="74" t="n"/>
    </row>
    <row r="61" ht="15.75" customHeight="1" s="349">
      <c r="A61" s="74" t="n"/>
      <c r="B61" s="74" t="n"/>
      <c r="C61" s="74" t="n"/>
      <c r="D61" s="74" t="n"/>
      <c r="E61" s="74" t="n"/>
      <c r="F61" s="74" t="n"/>
      <c r="G61" s="74" t="n"/>
      <c r="H61" s="74" t="n"/>
      <c r="I61" s="74" t="n"/>
      <c r="J61" s="74" t="n"/>
      <c r="K61" s="74" t="n"/>
      <c r="L61" s="74" t="n"/>
      <c r="M61" s="74" t="n"/>
      <c r="N61" s="74" t="n"/>
      <c r="O61" s="74" t="n"/>
      <c r="P61" s="74" t="n"/>
      <c r="Q61" s="74" t="n"/>
      <c r="R61" s="74" t="n"/>
      <c r="S61" s="74" t="n"/>
      <c r="T61" s="74" t="n"/>
      <c r="U61" s="74" t="n"/>
      <c r="V61" s="74" t="n"/>
      <c r="W61" s="74" t="n"/>
      <c r="X61" s="74" t="n"/>
      <c r="Y61" s="74" t="n"/>
      <c r="Z61" s="74" t="n"/>
    </row>
    <row r="62" ht="15.75" customHeight="1" s="349">
      <c r="A62" s="74" t="n"/>
      <c r="B62" s="74" t="n"/>
      <c r="C62" s="74" t="n"/>
      <c r="D62" s="74" t="n"/>
      <c r="E62" s="74" t="n"/>
      <c r="F62" s="74" t="n"/>
      <c r="G62" s="74" t="n"/>
      <c r="H62" s="74" t="n"/>
      <c r="I62" s="74" t="n"/>
      <c r="J62" s="74" t="n"/>
      <c r="K62" s="74" t="n"/>
      <c r="L62" s="74" t="n"/>
      <c r="M62" s="74" t="n"/>
      <c r="N62" s="74" t="n"/>
      <c r="O62" s="74" t="n"/>
      <c r="P62" s="74" t="n"/>
      <c r="Q62" s="74" t="n"/>
      <c r="R62" s="74" t="n"/>
      <c r="S62" s="74" t="n"/>
      <c r="T62" s="74" t="n"/>
      <c r="U62" s="74" t="n"/>
      <c r="V62" s="74" t="n"/>
      <c r="W62" s="74" t="n"/>
      <c r="X62" s="74" t="n"/>
      <c r="Y62" s="74" t="n"/>
      <c r="Z62" s="74" t="n"/>
    </row>
    <row r="63" ht="15.75" customHeight="1" s="349">
      <c r="A63" s="74" t="n"/>
      <c r="B63" s="74" t="n"/>
      <c r="C63" s="74" t="n"/>
      <c r="D63" s="74" t="n"/>
      <c r="E63" s="74" t="n"/>
      <c r="F63" s="74" t="n"/>
      <c r="G63" s="74" t="n"/>
      <c r="H63" s="74" t="n"/>
      <c r="I63" s="74" t="n"/>
      <c r="J63" s="74" t="n"/>
      <c r="K63" s="74" t="n"/>
      <c r="L63" s="74" t="n"/>
      <c r="M63" s="74" t="n"/>
      <c r="N63" s="74" t="n"/>
      <c r="O63" s="74" t="n"/>
      <c r="P63" s="74" t="n"/>
      <c r="Q63" s="74" t="n"/>
      <c r="R63" s="74" t="n"/>
      <c r="S63" s="74" t="n"/>
      <c r="T63" s="74" t="n"/>
      <c r="U63" s="74" t="n"/>
      <c r="V63" s="74" t="n"/>
      <c r="W63" s="74" t="n"/>
      <c r="X63" s="74" t="n"/>
      <c r="Y63" s="74" t="n"/>
      <c r="Z63" s="74" t="n"/>
    </row>
    <row r="64" ht="15.75" customHeight="1" s="349">
      <c r="A64" s="74" t="n"/>
      <c r="B64" s="74" t="n"/>
      <c r="C64" s="74" t="n"/>
      <c r="D64" s="74" t="n"/>
      <c r="E64" s="74" t="n"/>
      <c r="F64" s="74" t="n"/>
      <c r="G64" s="74" t="n"/>
      <c r="H64" s="74" t="n"/>
      <c r="I64" s="74" t="n"/>
      <c r="J64" s="74" t="n"/>
      <c r="K64" s="74" t="n"/>
      <c r="L64" s="74" t="n"/>
      <c r="M64" s="74" t="n"/>
      <c r="N64" s="74" t="n"/>
      <c r="O64" s="74" t="n"/>
      <c r="P64" s="74" t="n"/>
      <c r="Q64" s="74" t="n"/>
      <c r="R64" s="74" t="n"/>
      <c r="S64" s="74" t="n"/>
      <c r="T64" s="74" t="n"/>
      <c r="U64" s="74" t="n"/>
      <c r="V64" s="74" t="n"/>
      <c r="W64" s="74" t="n"/>
      <c r="X64" s="74" t="n"/>
      <c r="Y64" s="74" t="n"/>
      <c r="Z64" s="74" t="n"/>
    </row>
    <row r="65" ht="15.75" customHeight="1" s="349">
      <c r="A65" s="74" t="n"/>
      <c r="B65" s="74" t="n"/>
      <c r="C65" s="74" t="n"/>
      <c r="D65" s="74" t="n"/>
      <c r="E65" s="74" t="n"/>
      <c r="F65" s="74" t="n"/>
      <c r="G65" s="74" t="n"/>
      <c r="H65" s="74" t="n"/>
      <c r="I65" s="74" t="n"/>
      <c r="J65" s="74" t="n"/>
      <c r="K65" s="74" t="n"/>
      <c r="L65" s="74" t="n"/>
      <c r="M65" s="74" t="n"/>
      <c r="N65" s="74" t="n"/>
      <c r="O65" s="74" t="n"/>
      <c r="P65" s="74" t="n"/>
      <c r="Q65" s="74" t="n"/>
      <c r="R65" s="74" t="n"/>
      <c r="S65" s="74" t="n"/>
      <c r="T65" s="74" t="n"/>
      <c r="U65" s="74" t="n"/>
      <c r="V65" s="74" t="n"/>
      <c r="W65" s="74" t="n"/>
      <c r="X65" s="74" t="n"/>
      <c r="Y65" s="74" t="n"/>
      <c r="Z65" s="74" t="n"/>
    </row>
    <row r="66" ht="15.75" customHeight="1" s="349">
      <c r="A66" s="74" t="n"/>
      <c r="B66" s="74" t="n"/>
      <c r="C66" s="74" t="n"/>
      <c r="D66" s="74" t="n"/>
      <c r="E66" s="74" t="n"/>
      <c r="F66" s="74" t="n"/>
      <c r="G66" s="74" t="n"/>
      <c r="H66" s="74" t="n"/>
      <c r="I66" s="74" t="n"/>
      <c r="J66" s="74" t="n"/>
      <c r="K66" s="74" t="n"/>
      <c r="L66" s="74" t="n"/>
      <c r="M66" s="74" t="n"/>
      <c r="N66" s="74" t="n"/>
      <c r="O66" s="74" t="n"/>
      <c r="P66" s="74" t="n"/>
      <c r="Q66" s="74" t="n"/>
      <c r="R66" s="74" t="n"/>
      <c r="S66" s="74" t="n"/>
      <c r="T66" s="74" t="n"/>
      <c r="U66" s="74" t="n"/>
      <c r="V66" s="74" t="n"/>
      <c r="W66" s="74" t="n"/>
      <c r="X66" s="74" t="n"/>
      <c r="Y66" s="74" t="n"/>
      <c r="Z66" s="74" t="n"/>
    </row>
    <row r="67" ht="15.75" customHeight="1" s="349">
      <c r="A67" s="74" t="n"/>
      <c r="B67" s="74" t="n"/>
      <c r="C67" s="74" t="n"/>
      <c r="D67" s="74" t="n"/>
      <c r="E67" s="74" t="n"/>
      <c r="F67" s="74" t="n"/>
      <c r="G67" s="74" t="n"/>
      <c r="H67" s="74" t="n"/>
      <c r="I67" s="74" t="n"/>
      <c r="J67" s="74" t="n"/>
      <c r="K67" s="74" t="n"/>
      <c r="L67" s="74" t="n"/>
      <c r="M67" s="74" t="n"/>
      <c r="N67" s="74" t="n"/>
      <c r="O67" s="74" t="n"/>
      <c r="P67" s="74" t="n"/>
      <c r="Q67" s="74" t="n"/>
      <c r="R67" s="74" t="n"/>
      <c r="S67" s="74" t="n"/>
      <c r="T67" s="74" t="n"/>
      <c r="U67" s="74" t="n"/>
      <c r="V67" s="74" t="n"/>
      <c r="W67" s="74" t="n"/>
      <c r="X67" s="74" t="n"/>
      <c r="Y67" s="74" t="n"/>
      <c r="Z67" s="74" t="n"/>
    </row>
    <row r="68" ht="15.75" customHeight="1" s="349">
      <c r="A68" s="74" t="n"/>
      <c r="B68" s="74" t="n"/>
      <c r="C68" s="74" t="n"/>
      <c r="D68" s="74" t="n"/>
      <c r="E68" s="74" t="n"/>
      <c r="F68" s="74" t="n"/>
      <c r="G68" s="74" t="n"/>
      <c r="H68" s="74" t="n"/>
      <c r="I68" s="74" t="n"/>
      <c r="J68" s="74" t="n"/>
      <c r="K68" s="74" t="n"/>
      <c r="L68" s="74" t="n"/>
      <c r="M68" s="74" t="n"/>
      <c r="N68" s="74" t="n"/>
      <c r="O68" s="74" t="n"/>
      <c r="P68" s="74" t="n"/>
      <c r="Q68" s="74" t="n"/>
      <c r="R68" s="74" t="n"/>
      <c r="S68" s="74" t="n"/>
      <c r="T68" s="74" t="n"/>
      <c r="U68" s="74" t="n"/>
      <c r="V68" s="74" t="n"/>
      <c r="W68" s="74" t="n"/>
      <c r="X68" s="74" t="n"/>
      <c r="Y68" s="74" t="n"/>
      <c r="Z68" s="74" t="n"/>
    </row>
    <row r="69" ht="15.75" customHeight="1" s="349">
      <c r="A69" s="74" t="n"/>
      <c r="B69" s="74" t="n"/>
      <c r="C69" s="74" t="n"/>
      <c r="D69" s="74" t="n"/>
      <c r="E69" s="74" t="n"/>
      <c r="F69" s="74" t="n"/>
      <c r="G69" s="74" t="n"/>
      <c r="H69" s="74" t="n"/>
      <c r="I69" s="74" t="n"/>
      <c r="J69" s="74" t="n"/>
      <c r="K69" s="74" t="n"/>
      <c r="L69" s="74" t="n"/>
      <c r="M69" s="74" t="n"/>
      <c r="N69" s="74" t="n"/>
      <c r="O69" s="74" t="n"/>
      <c r="P69" s="74" t="n"/>
      <c r="Q69" s="74" t="n"/>
      <c r="R69" s="74" t="n"/>
      <c r="S69" s="74" t="n"/>
      <c r="T69" s="74" t="n"/>
      <c r="U69" s="74" t="n"/>
      <c r="V69" s="74" t="n"/>
      <c r="W69" s="74" t="n"/>
      <c r="X69" s="74" t="n"/>
      <c r="Y69" s="74" t="n"/>
      <c r="Z69" s="74" t="n"/>
    </row>
    <row r="70" ht="15.75" customHeight="1" s="349">
      <c r="A70" s="74" t="n"/>
      <c r="B70" s="74" t="n"/>
      <c r="C70" s="74" t="n"/>
      <c r="D70" s="74" t="n"/>
      <c r="E70" s="74" t="n"/>
      <c r="F70" s="74" t="n"/>
      <c r="G70" s="74" t="n"/>
      <c r="H70" s="74" t="n"/>
      <c r="I70" s="74" t="n"/>
      <c r="J70" s="74" t="n"/>
      <c r="K70" s="74" t="n"/>
      <c r="L70" s="74" t="n"/>
      <c r="M70" s="74" t="n"/>
      <c r="N70" s="74" t="n"/>
      <c r="O70" s="74" t="n"/>
      <c r="P70" s="74" t="n"/>
      <c r="Q70" s="74" t="n"/>
      <c r="R70" s="74" t="n"/>
      <c r="S70" s="74" t="n"/>
      <c r="T70" s="74" t="n"/>
      <c r="U70" s="74" t="n"/>
      <c r="V70" s="74" t="n"/>
      <c r="W70" s="74" t="n"/>
      <c r="X70" s="74" t="n"/>
      <c r="Y70" s="74" t="n"/>
      <c r="Z70" s="74" t="n"/>
    </row>
    <row r="71" ht="15.75" customHeight="1" s="349">
      <c r="A71" s="74" t="n"/>
      <c r="B71" s="74" t="n"/>
      <c r="C71" s="74" t="n"/>
      <c r="D71" s="74" t="n"/>
      <c r="E71" s="74" t="n"/>
      <c r="F71" s="74" t="n"/>
      <c r="G71" s="74" t="n"/>
      <c r="H71" s="74" t="n"/>
      <c r="I71" s="74" t="n"/>
      <c r="J71" s="74" t="n"/>
      <c r="K71" s="74" t="n"/>
      <c r="L71" s="74" t="n"/>
      <c r="M71" s="74" t="n"/>
      <c r="N71" s="74" t="n"/>
      <c r="O71" s="74" t="n"/>
      <c r="P71" s="74" t="n"/>
      <c r="Q71" s="74" t="n"/>
      <c r="R71" s="74" t="n"/>
      <c r="S71" s="74" t="n"/>
      <c r="T71" s="74" t="n"/>
      <c r="U71" s="74" t="n"/>
      <c r="V71" s="74" t="n"/>
      <c r="W71" s="74" t="n"/>
      <c r="X71" s="74" t="n"/>
      <c r="Y71" s="74" t="n"/>
      <c r="Z71" s="74" t="n"/>
    </row>
    <row r="72" ht="15.75" customHeight="1" s="349">
      <c r="A72" s="74" t="n"/>
      <c r="B72" s="74" t="n"/>
      <c r="C72" s="74" t="n"/>
      <c r="D72" s="74" t="n"/>
      <c r="E72" s="74" t="n"/>
      <c r="F72" s="74" t="n"/>
      <c r="G72" s="74" t="n"/>
      <c r="H72" s="74" t="n"/>
      <c r="I72" s="74" t="n"/>
      <c r="J72" s="74" t="n"/>
      <c r="K72" s="74" t="n"/>
      <c r="L72" s="74" t="n"/>
      <c r="M72" s="74" t="n"/>
      <c r="N72" s="74" t="n"/>
      <c r="O72" s="74" t="n"/>
      <c r="P72" s="74" t="n"/>
      <c r="Q72" s="74" t="n"/>
      <c r="R72" s="74" t="n"/>
      <c r="S72" s="74" t="n"/>
      <c r="T72" s="74" t="n"/>
      <c r="U72" s="74" t="n"/>
      <c r="V72" s="74" t="n"/>
      <c r="W72" s="74" t="n"/>
      <c r="X72" s="74" t="n"/>
      <c r="Y72" s="74" t="n"/>
      <c r="Z72" s="74" t="n"/>
    </row>
    <row r="73" ht="15.75" customHeight="1" s="349">
      <c r="A73" s="74" t="n"/>
      <c r="B73" s="74" t="n"/>
      <c r="C73" s="74" t="n"/>
      <c r="D73" s="74" t="n"/>
      <c r="E73" s="74" t="n"/>
      <c r="F73" s="74" t="n"/>
      <c r="G73" s="74" t="n"/>
      <c r="H73" s="74" t="n"/>
      <c r="I73" s="74" t="n"/>
      <c r="J73" s="74" t="n"/>
      <c r="K73" s="74" t="n"/>
      <c r="L73" s="74" t="n"/>
      <c r="M73" s="74" t="n"/>
      <c r="N73" s="74" t="n"/>
      <c r="O73" s="74" t="n"/>
      <c r="P73" s="74" t="n"/>
      <c r="Q73" s="74" t="n"/>
      <c r="R73" s="74" t="n"/>
      <c r="S73" s="74" t="n"/>
      <c r="T73" s="74" t="n"/>
      <c r="U73" s="74" t="n"/>
      <c r="V73" s="74" t="n"/>
      <c r="W73" s="74" t="n"/>
      <c r="X73" s="74" t="n"/>
      <c r="Y73" s="74" t="n"/>
      <c r="Z73" s="74" t="n"/>
    </row>
    <row r="74" ht="15.75" customHeight="1" s="349">
      <c r="A74" s="74" t="n"/>
      <c r="B74" s="74" t="n"/>
      <c r="C74" s="74" t="n"/>
      <c r="D74" s="74" t="n"/>
      <c r="E74" s="74" t="n"/>
      <c r="F74" s="74" t="n"/>
      <c r="G74" s="74" t="n"/>
      <c r="H74" s="74" t="n"/>
      <c r="I74" s="74" t="n"/>
      <c r="J74" s="74" t="n"/>
      <c r="K74" s="74" t="n"/>
      <c r="L74" s="74" t="n"/>
      <c r="M74" s="74" t="n"/>
      <c r="N74" s="74" t="n"/>
      <c r="O74" s="74" t="n"/>
      <c r="P74" s="74" t="n"/>
      <c r="Q74" s="74" t="n"/>
      <c r="R74" s="74" t="n"/>
      <c r="S74" s="74" t="n"/>
      <c r="T74" s="74" t="n"/>
      <c r="U74" s="74" t="n"/>
      <c r="V74" s="74" t="n"/>
      <c r="W74" s="74" t="n"/>
      <c r="X74" s="74" t="n"/>
      <c r="Y74" s="74" t="n"/>
      <c r="Z74" s="74" t="n"/>
    </row>
    <row r="75" ht="15.75" customHeight="1" s="349">
      <c r="A75" s="74" t="n"/>
      <c r="B75" s="74" t="n"/>
      <c r="C75" s="74" t="n"/>
      <c r="D75" s="74" t="n"/>
      <c r="E75" s="74" t="n"/>
      <c r="F75" s="74" t="n"/>
      <c r="G75" s="74" t="n"/>
      <c r="H75" s="74" t="n"/>
      <c r="I75" s="74" t="n"/>
      <c r="J75" s="74" t="n"/>
      <c r="K75" s="74" t="n"/>
      <c r="L75" s="74" t="n"/>
      <c r="M75" s="74" t="n"/>
      <c r="N75" s="74" t="n"/>
      <c r="O75" s="74" t="n"/>
      <c r="P75" s="74" t="n"/>
      <c r="Q75" s="74" t="n"/>
      <c r="R75" s="74" t="n"/>
      <c r="S75" s="74" t="n"/>
      <c r="T75" s="74" t="n"/>
      <c r="U75" s="74" t="n"/>
      <c r="V75" s="74" t="n"/>
      <c r="W75" s="74" t="n"/>
      <c r="X75" s="74" t="n"/>
      <c r="Y75" s="74" t="n"/>
      <c r="Z75" s="74" t="n"/>
    </row>
    <row r="76" ht="15.75" customHeight="1" s="349">
      <c r="A76" s="74" t="n"/>
      <c r="B76" s="74" t="n"/>
      <c r="C76" s="74" t="n"/>
      <c r="D76" s="74" t="n"/>
      <c r="E76" s="74" t="n"/>
      <c r="F76" s="74" t="n"/>
      <c r="G76" s="74" t="n"/>
      <c r="H76" s="74" t="n"/>
      <c r="I76" s="74" t="n"/>
      <c r="J76" s="74" t="n"/>
      <c r="K76" s="74" t="n"/>
      <c r="L76" s="74" t="n"/>
      <c r="M76" s="74" t="n"/>
      <c r="N76" s="74" t="n"/>
      <c r="O76" s="74" t="n"/>
      <c r="P76" s="74" t="n"/>
      <c r="Q76" s="74" t="n"/>
      <c r="R76" s="74" t="n"/>
      <c r="S76" s="74" t="n"/>
      <c r="T76" s="74" t="n"/>
      <c r="U76" s="74" t="n"/>
      <c r="V76" s="74" t="n"/>
      <c r="W76" s="74" t="n"/>
      <c r="X76" s="74" t="n"/>
      <c r="Y76" s="74" t="n"/>
      <c r="Z76" s="74" t="n"/>
    </row>
    <row r="77" ht="15.75" customHeight="1" s="349">
      <c r="A77" s="74" t="n"/>
      <c r="B77" s="74" t="n"/>
      <c r="C77" s="74" t="n"/>
      <c r="D77" s="74" t="n"/>
      <c r="E77" s="74" t="n"/>
      <c r="F77" s="74" t="n"/>
      <c r="G77" s="74" t="n"/>
      <c r="H77" s="74" t="n"/>
      <c r="I77" s="74" t="n"/>
      <c r="J77" s="74" t="n"/>
      <c r="K77" s="74" t="n"/>
      <c r="L77" s="74" t="n"/>
      <c r="M77" s="74" t="n"/>
      <c r="N77" s="74" t="n"/>
      <c r="O77" s="74" t="n"/>
      <c r="P77" s="74" t="n"/>
      <c r="Q77" s="74" t="n"/>
      <c r="R77" s="74" t="n"/>
      <c r="S77" s="74" t="n"/>
      <c r="T77" s="74" t="n"/>
      <c r="U77" s="74" t="n"/>
      <c r="V77" s="74" t="n"/>
      <c r="W77" s="74" t="n"/>
      <c r="X77" s="74" t="n"/>
      <c r="Y77" s="74" t="n"/>
      <c r="Z77" s="74" t="n"/>
    </row>
    <row r="78" ht="15.75" customHeight="1" s="349">
      <c r="A78" s="74" t="n"/>
      <c r="B78" s="74" t="n"/>
      <c r="C78" s="74" t="n"/>
      <c r="D78" s="74" t="n"/>
      <c r="E78" s="74" t="n"/>
      <c r="F78" s="74" t="n"/>
      <c r="G78" s="74" t="n"/>
      <c r="H78" s="74" t="n"/>
      <c r="I78" s="74" t="n"/>
      <c r="J78" s="74" t="n"/>
      <c r="K78" s="74" t="n"/>
      <c r="L78" s="74" t="n"/>
      <c r="M78" s="74" t="n"/>
      <c r="N78" s="74" t="n"/>
      <c r="O78" s="74" t="n"/>
      <c r="P78" s="74" t="n"/>
      <c r="Q78" s="74" t="n"/>
      <c r="R78" s="74" t="n"/>
      <c r="S78" s="74" t="n"/>
      <c r="T78" s="74" t="n"/>
      <c r="U78" s="74" t="n"/>
      <c r="V78" s="74" t="n"/>
      <c r="W78" s="74" t="n"/>
      <c r="X78" s="74" t="n"/>
      <c r="Y78" s="74" t="n"/>
      <c r="Z78" s="74" t="n"/>
    </row>
    <row r="79" ht="15.75" customHeight="1" s="349">
      <c r="A79" s="74" t="n"/>
      <c r="B79" s="74" t="n"/>
      <c r="C79" s="74" t="n"/>
      <c r="D79" s="74" t="n"/>
      <c r="E79" s="74" t="n"/>
      <c r="F79" s="74" t="n"/>
      <c r="G79" s="74" t="n"/>
      <c r="H79" s="74" t="n"/>
      <c r="I79" s="74" t="n"/>
      <c r="J79" s="74" t="n"/>
      <c r="K79" s="74" t="n"/>
      <c r="L79" s="74" t="n"/>
      <c r="M79" s="74" t="n"/>
      <c r="N79" s="74" t="n"/>
      <c r="O79" s="74" t="n"/>
      <c r="P79" s="74" t="n"/>
      <c r="Q79" s="74" t="n"/>
      <c r="R79" s="74" t="n"/>
      <c r="S79" s="74" t="n"/>
      <c r="T79" s="74" t="n"/>
      <c r="U79" s="74" t="n"/>
      <c r="V79" s="74" t="n"/>
      <c r="W79" s="74" t="n"/>
      <c r="X79" s="74" t="n"/>
      <c r="Y79" s="74" t="n"/>
      <c r="Z79" s="74" t="n"/>
    </row>
    <row r="80" ht="15.75" customHeight="1" s="349">
      <c r="A80" s="74" t="n"/>
      <c r="B80" s="74" t="n"/>
      <c r="C80" s="74" t="n"/>
      <c r="D80" s="74" t="n"/>
      <c r="E80" s="74" t="n"/>
      <c r="F80" s="74" t="n"/>
      <c r="G80" s="74" t="n"/>
      <c r="H80" s="74" t="n"/>
      <c r="I80" s="74" t="n"/>
      <c r="J80" s="74" t="n"/>
      <c r="K80" s="74" t="n"/>
      <c r="L80" s="74" t="n"/>
      <c r="M80" s="74" t="n"/>
      <c r="N80" s="74" t="n"/>
      <c r="O80" s="74" t="n"/>
      <c r="P80" s="74" t="n"/>
      <c r="Q80" s="74" t="n"/>
      <c r="R80" s="74" t="n"/>
      <c r="S80" s="74" t="n"/>
      <c r="T80" s="74" t="n"/>
      <c r="U80" s="74" t="n"/>
      <c r="V80" s="74" t="n"/>
      <c r="W80" s="74" t="n"/>
      <c r="X80" s="74" t="n"/>
      <c r="Y80" s="74" t="n"/>
      <c r="Z80" s="74" t="n"/>
    </row>
    <row r="81" ht="15.75" customHeight="1" s="349">
      <c r="A81" s="74" t="n"/>
      <c r="B81" s="74" t="n"/>
      <c r="C81" s="74" t="n"/>
      <c r="D81" s="74" t="n"/>
      <c r="E81" s="74" t="n"/>
      <c r="F81" s="74" t="n"/>
      <c r="G81" s="74" t="n"/>
      <c r="H81" s="74" t="n"/>
      <c r="I81" s="74" t="n"/>
      <c r="J81" s="74" t="n"/>
      <c r="K81" s="74" t="n"/>
      <c r="L81" s="74" t="n"/>
      <c r="M81" s="74" t="n"/>
      <c r="N81" s="74" t="n"/>
      <c r="O81" s="74" t="n"/>
      <c r="P81" s="74" t="n"/>
      <c r="Q81" s="74" t="n"/>
      <c r="R81" s="74" t="n"/>
      <c r="S81" s="74" t="n"/>
      <c r="T81" s="74" t="n"/>
      <c r="U81" s="74" t="n"/>
      <c r="V81" s="74" t="n"/>
      <c r="W81" s="74" t="n"/>
      <c r="X81" s="74" t="n"/>
      <c r="Y81" s="74" t="n"/>
      <c r="Z81" s="74" t="n"/>
    </row>
    <row r="82" ht="15.75" customHeight="1" s="349">
      <c r="A82" s="74" t="n"/>
      <c r="B82" s="74" t="n"/>
      <c r="C82" s="74" t="n"/>
      <c r="D82" s="74" t="n"/>
      <c r="E82" s="74" t="n"/>
      <c r="F82" s="74" t="n"/>
      <c r="G82" s="74" t="n"/>
      <c r="H82" s="74" t="n"/>
      <c r="I82" s="74" t="n"/>
      <c r="J82" s="74" t="n"/>
      <c r="K82" s="74" t="n"/>
      <c r="L82" s="74" t="n"/>
      <c r="M82" s="74" t="n"/>
      <c r="N82" s="74" t="n"/>
      <c r="O82" s="74" t="n"/>
      <c r="P82" s="74" t="n"/>
      <c r="Q82" s="74" t="n"/>
      <c r="R82" s="74" t="n"/>
      <c r="S82" s="74" t="n"/>
      <c r="T82" s="74" t="n"/>
      <c r="U82" s="74" t="n"/>
      <c r="V82" s="74" t="n"/>
      <c r="W82" s="74" t="n"/>
      <c r="X82" s="74" t="n"/>
      <c r="Y82" s="74" t="n"/>
      <c r="Z82" s="74" t="n"/>
    </row>
    <row r="83" ht="15.75" customHeight="1" s="349">
      <c r="A83" s="74" t="n"/>
      <c r="B83" s="74" t="n"/>
      <c r="C83" s="74" t="n"/>
      <c r="D83" s="74" t="n"/>
      <c r="E83" s="74" t="n"/>
      <c r="F83" s="74" t="n"/>
      <c r="G83" s="74" t="n"/>
      <c r="H83" s="74" t="n"/>
      <c r="I83" s="74" t="n"/>
      <c r="J83" s="74" t="n"/>
      <c r="K83" s="74" t="n"/>
      <c r="L83" s="74" t="n"/>
      <c r="M83" s="74" t="n"/>
      <c r="N83" s="74" t="n"/>
      <c r="O83" s="74" t="n"/>
      <c r="P83" s="74" t="n"/>
      <c r="Q83" s="74" t="n"/>
      <c r="R83" s="74" t="n"/>
      <c r="S83" s="74" t="n"/>
      <c r="T83" s="74" t="n"/>
      <c r="U83" s="74" t="n"/>
      <c r="V83" s="74" t="n"/>
      <c r="W83" s="74" t="n"/>
      <c r="X83" s="74" t="n"/>
      <c r="Y83" s="74" t="n"/>
      <c r="Z83" s="74" t="n"/>
    </row>
    <row r="84" ht="15.75" customHeight="1" s="349">
      <c r="A84" s="74" t="n"/>
      <c r="B84" s="74" t="n"/>
      <c r="C84" s="74" t="n"/>
      <c r="D84" s="74" t="n"/>
      <c r="E84" s="74" t="n"/>
      <c r="F84" s="74" t="n"/>
      <c r="G84" s="74" t="n"/>
      <c r="H84" s="74" t="n"/>
      <c r="I84" s="74" t="n"/>
      <c r="J84" s="74" t="n"/>
      <c r="K84" s="74" t="n"/>
      <c r="L84" s="74" t="n"/>
      <c r="M84" s="74" t="n"/>
      <c r="N84" s="74" t="n"/>
      <c r="O84" s="74" t="n"/>
      <c r="P84" s="74" t="n"/>
      <c r="Q84" s="74" t="n"/>
      <c r="R84" s="74" t="n"/>
      <c r="S84" s="74" t="n"/>
      <c r="T84" s="74" t="n"/>
      <c r="U84" s="74" t="n"/>
      <c r="V84" s="74" t="n"/>
      <c r="W84" s="74" t="n"/>
      <c r="X84" s="74" t="n"/>
      <c r="Y84" s="74" t="n"/>
      <c r="Z84" s="74" t="n"/>
    </row>
    <row r="85" ht="15.75" customHeight="1" s="349">
      <c r="A85" s="74" t="n"/>
      <c r="B85" s="74" t="n"/>
      <c r="C85" s="74" t="n"/>
      <c r="D85" s="74" t="n"/>
      <c r="E85" s="74" t="n"/>
      <c r="F85" s="74" t="n"/>
      <c r="G85" s="74" t="n"/>
      <c r="H85" s="74" t="n"/>
      <c r="I85" s="74" t="n"/>
      <c r="J85" s="74" t="n"/>
      <c r="K85" s="74" t="n"/>
      <c r="L85" s="74" t="n"/>
      <c r="M85" s="74" t="n"/>
      <c r="N85" s="74" t="n"/>
      <c r="O85" s="74" t="n"/>
      <c r="P85" s="74" t="n"/>
      <c r="Q85" s="74" t="n"/>
      <c r="R85" s="74" t="n"/>
      <c r="S85" s="74" t="n"/>
      <c r="T85" s="74" t="n"/>
      <c r="U85" s="74" t="n"/>
      <c r="V85" s="74" t="n"/>
      <c r="W85" s="74" t="n"/>
      <c r="X85" s="74" t="n"/>
      <c r="Y85" s="74" t="n"/>
      <c r="Z85" s="74" t="n"/>
    </row>
    <row r="86" ht="15.75" customHeight="1" s="349">
      <c r="A86" s="74" t="n"/>
      <c r="B86" s="74" t="n"/>
      <c r="C86" s="74" t="n"/>
      <c r="D86" s="74" t="n"/>
      <c r="E86" s="74" t="n"/>
      <c r="F86" s="74" t="n"/>
      <c r="G86" s="74" t="n"/>
      <c r="H86" s="74" t="n"/>
      <c r="I86" s="74" t="n"/>
      <c r="J86" s="74" t="n"/>
      <c r="K86" s="74" t="n"/>
      <c r="L86" s="74" t="n"/>
      <c r="M86" s="74" t="n"/>
      <c r="N86" s="74" t="n"/>
      <c r="O86" s="74" t="n"/>
      <c r="P86" s="74" t="n"/>
      <c r="Q86" s="74" t="n"/>
      <c r="R86" s="74" t="n"/>
      <c r="S86" s="74" t="n"/>
      <c r="T86" s="74" t="n"/>
      <c r="U86" s="74" t="n"/>
      <c r="V86" s="74" t="n"/>
      <c r="W86" s="74" t="n"/>
      <c r="X86" s="74" t="n"/>
      <c r="Y86" s="74" t="n"/>
      <c r="Z86" s="74" t="n"/>
    </row>
    <row r="87" ht="15.75" customHeight="1" s="349">
      <c r="A87" s="74" t="n"/>
      <c r="B87" s="74" t="n"/>
      <c r="C87" s="74" t="n"/>
      <c r="D87" s="74" t="n"/>
      <c r="E87" s="74" t="n"/>
      <c r="F87" s="74" t="n"/>
      <c r="G87" s="74" t="n"/>
      <c r="H87" s="74" t="n"/>
      <c r="I87" s="74" t="n"/>
      <c r="J87" s="74" t="n"/>
      <c r="K87" s="74" t="n"/>
      <c r="L87" s="74" t="n"/>
      <c r="M87" s="74" t="n"/>
      <c r="N87" s="74" t="n"/>
      <c r="O87" s="74" t="n"/>
      <c r="P87" s="74" t="n"/>
      <c r="Q87" s="74" t="n"/>
      <c r="R87" s="74" t="n"/>
      <c r="S87" s="74" t="n"/>
      <c r="T87" s="74" t="n"/>
      <c r="U87" s="74" t="n"/>
      <c r="V87" s="74" t="n"/>
      <c r="W87" s="74" t="n"/>
      <c r="X87" s="74" t="n"/>
      <c r="Y87" s="74" t="n"/>
      <c r="Z87" s="74" t="n"/>
    </row>
    <row r="88" ht="15.75" customHeight="1" s="349">
      <c r="A88" s="74" t="n"/>
      <c r="B88" s="74" t="n"/>
      <c r="C88" s="74" t="n"/>
      <c r="D88" s="74" t="n"/>
      <c r="E88" s="74" t="n"/>
      <c r="F88" s="74" t="n"/>
      <c r="G88" s="74" t="n"/>
      <c r="H88" s="74" t="n"/>
      <c r="I88" s="74" t="n"/>
      <c r="J88" s="74" t="n"/>
      <c r="K88" s="74" t="n"/>
      <c r="L88" s="74" t="n"/>
      <c r="M88" s="74" t="n"/>
      <c r="N88" s="74" t="n"/>
      <c r="O88" s="74" t="n"/>
      <c r="P88" s="74" t="n"/>
      <c r="Q88" s="74" t="n"/>
      <c r="R88" s="74" t="n"/>
      <c r="S88" s="74" t="n"/>
      <c r="T88" s="74" t="n"/>
      <c r="U88" s="74" t="n"/>
      <c r="V88" s="74" t="n"/>
      <c r="W88" s="74" t="n"/>
      <c r="X88" s="74" t="n"/>
      <c r="Y88" s="74" t="n"/>
      <c r="Z88" s="74" t="n"/>
    </row>
    <row r="89" ht="15.75" customHeight="1" s="349">
      <c r="A89" s="74" t="n"/>
      <c r="B89" s="74" t="n"/>
      <c r="C89" s="74" t="n"/>
      <c r="D89" s="74" t="n"/>
      <c r="E89" s="74" t="n"/>
      <c r="F89" s="74" t="n"/>
      <c r="G89" s="74" t="n"/>
      <c r="H89" s="74" t="n"/>
      <c r="I89" s="74" t="n"/>
      <c r="J89" s="74" t="n"/>
      <c r="K89" s="74" t="n"/>
      <c r="L89" s="74" t="n"/>
      <c r="M89" s="74" t="n"/>
      <c r="N89" s="74" t="n"/>
      <c r="O89" s="74" t="n"/>
      <c r="P89" s="74" t="n"/>
      <c r="Q89" s="74" t="n"/>
      <c r="R89" s="74" t="n"/>
      <c r="S89" s="74" t="n"/>
      <c r="T89" s="74" t="n"/>
      <c r="U89" s="74" t="n"/>
      <c r="V89" s="74" t="n"/>
      <c r="W89" s="74" t="n"/>
      <c r="X89" s="74" t="n"/>
      <c r="Y89" s="74" t="n"/>
      <c r="Z89" s="74" t="n"/>
    </row>
    <row r="90" ht="15.75" customHeight="1" s="349">
      <c r="A90" s="74" t="n"/>
      <c r="B90" s="74" t="n"/>
      <c r="C90" s="74" t="n"/>
      <c r="D90" s="74" t="n"/>
      <c r="E90" s="74" t="n"/>
      <c r="F90" s="74" t="n"/>
      <c r="G90" s="74" t="n"/>
      <c r="H90" s="74" t="n"/>
      <c r="I90" s="74" t="n"/>
      <c r="J90" s="74" t="n"/>
      <c r="K90" s="74" t="n"/>
      <c r="L90" s="74" t="n"/>
      <c r="M90" s="74" t="n"/>
      <c r="N90" s="74" t="n"/>
      <c r="O90" s="74" t="n"/>
      <c r="P90" s="74" t="n"/>
      <c r="Q90" s="74" t="n"/>
      <c r="R90" s="74" t="n"/>
      <c r="S90" s="74" t="n"/>
      <c r="T90" s="74" t="n"/>
      <c r="U90" s="74" t="n"/>
      <c r="V90" s="74" t="n"/>
      <c r="W90" s="74" t="n"/>
      <c r="X90" s="74" t="n"/>
      <c r="Y90" s="74" t="n"/>
      <c r="Z90" s="74" t="n"/>
    </row>
    <row r="91" ht="15.75" customHeight="1" s="349">
      <c r="A91" s="74" t="n"/>
      <c r="B91" s="74" t="n"/>
      <c r="C91" s="74" t="n"/>
      <c r="D91" s="74" t="n"/>
      <c r="E91" s="74" t="n"/>
      <c r="F91" s="74" t="n"/>
      <c r="G91" s="74" t="n"/>
      <c r="H91" s="74" t="n"/>
      <c r="I91" s="74" t="n"/>
      <c r="J91" s="74" t="n"/>
      <c r="K91" s="74" t="n"/>
      <c r="L91" s="74" t="n"/>
      <c r="M91" s="74" t="n"/>
      <c r="N91" s="74" t="n"/>
      <c r="O91" s="74" t="n"/>
      <c r="P91" s="74" t="n"/>
      <c r="Q91" s="74" t="n"/>
      <c r="R91" s="74" t="n"/>
      <c r="S91" s="74" t="n"/>
      <c r="T91" s="74" t="n"/>
      <c r="U91" s="74" t="n"/>
      <c r="V91" s="74" t="n"/>
      <c r="W91" s="74" t="n"/>
      <c r="X91" s="74" t="n"/>
      <c r="Y91" s="74" t="n"/>
      <c r="Z91" s="74" t="n"/>
    </row>
    <row r="92" ht="15.75" customHeight="1" s="349">
      <c r="A92" s="74" t="n"/>
      <c r="B92" s="74" t="n"/>
      <c r="C92" s="74" t="n"/>
      <c r="D92" s="74" t="n"/>
      <c r="E92" s="74" t="n"/>
      <c r="F92" s="74" t="n"/>
      <c r="G92" s="74" t="n"/>
      <c r="H92" s="74" t="n"/>
      <c r="I92" s="74" t="n"/>
      <c r="J92" s="74" t="n"/>
      <c r="K92" s="74" t="n"/>
      <c r="L92" s="74" t="n"/>
      <c r="M92" s="74" t="n"/>
      <c r="N92" s="74" t="n"/>
      <c r="O92" s="74" t="n"/>
      <c r="P92" s="74" t="n"/>
      <c r="Q92" s="74" t="n"/>
      <c r="R92" s="74" t="n"/>
      <c r="S92" s="74" t="n"/>
      <c r="T92" s="74" t="n"/>
      <c r="U92" s="74" t="n"/>
      <c r="V92" s="74" t="n"/>
      <c r="W92" s="74" t="n"/>
      <c r="X92" s="74" t="n"/>
      <c r="Y92" s="74" t="n"/>
      <c r="Z92" s="74" t="n"/>
    </row>
    <row r="93" ht="15.75" customHeight="1" s="349">
      <c r="A93" s="74" t="n"/>
      <c r="B93" s="74" t="n"/>
      <c r="C93" s="74" t="n"/>
      <c r="D93" s="74" t="n"/>
      <c r="E93" s="74" t="n"/>
      <c r="F93" s="74" t="n"/>
      <c r="G93" s="74" t="n"/>
      <c r="H93" s="74" t="n"/>
      <c r="I93" s="74" t="n"/>
      <c r="J93" s="74" t="n"/>
      <c r="K93" s="74" t="n"/>
      <c r="L93" s="74" t="n"/>
      <c r="M93" s="74" t="n"/>
      <c r="N93" s="74" t="n"/>
      <c r="O93" s="74" t="n"/>
      <c r="P93" s="74" t="n"/>
      <c r="Q93" s="74" t="n"/>
      <c r="R93" s="74" t="n"/>
      <c r="S93" s="74" t="n"/>
      <c r="T93" s="74" t="n"/>
      <c r="U93" s="74" t="n"/>
      <c r="V93" s="74" t="n"/>
      <c r="W93" s="74" t="n"/>
      <c r="X93" s="74" t="n"/>
      <c r="Y93" s="74" t="n"/>
      <c r="Z93" s="74" t="n"/>
    </row>
    <row r="94" ht="15.75" customHeight="1" s="349">
      <c r="A94" s="74" t="n"/>
      <c r="B94" s="74" t="n"/>
      <c r="C94" s="74" t="n"/>
      <c r="D94" s="74" t="n"/>
      <c r="E94" s="74" t="n"/>
      <c r="F94" s="74" t="n"/>
      <c r="G94" s="74" t="n"/>
      <c r="H94" s="74" t="n"/>
      <c r="I94" s="74" t="n"/>
      <c r="J94" s="74" t="n"/>
      <c r="K94" s="74" t="n"/>
      <c r="L94" s="74" t="n"/>
      <c r="M94" s="74" t="n"/>
      <c r="N94" s="74" t="n"/>
      <c r="O94" s="74" t="n"/>
      <c r="P94" s="74" t="n"/>
      <c r="Q94" s="74" t="n"/>
      <c r="R94" s="74" t="n"/>
      <c r="S94" s="74" t="n"/>
      <c r="T94" s="74" t="n"/>
      <c r="U94" s="74" t="n"/>
      <c r="V94" s="74" t="n"/>
      <c r="W94" s="74" t="n"/>
      <c r="X94" s="74" t="n"/>
      <c r="Y94" s="74" t="n"/>
      <c r="Z94" s="74" t="n"/>
    </row>
    <row r="95" ht="15.75" customHeight="1" s="349">
      <c r="A95" s="74" t="n"/>
      <c r="B95" s="74" t="n"/>
      <c r="C95" s="74" t="n"/>
      <c r="D95" s="74" t="n"/>
      <c r="E95" s="74" t="n"/>
      <c r="F95" s="74" t="n"/>
      <c r="G95" s="74" t="n"/>
      <c r="H95" s="74" t="n"/>
      <c r="I95" s="74" t="n"/>
      <c r="J95" s="74" t="n"/>
      <c r="K95" s="74" t="n"/>
      <c r="L95" s="74" t="n"/>
      <c r="M95" s="74" t="n"/>
      <c r="N95" s="74" t="n"/>
      <c r="O95" s="74" t="n"/>
      <c r="P95" s="74" t="n"/>
      <c r="Q95" s="74" t="n"/>
      <c r="R95" s="74" t="n"/>
      <c r="S95" s="74" t="n"/>
      <c r="T95" s="74" t="n"/>
      <c r="U95" s="74" t="n"/>
      <c r="V95" s="74" t="n"/>
      <c r="W95" s="74" t="n"/>
      <c r="X95" s="74" t="n"/>
      <c r="Y95" s="74" t="n"/>
      <c r="Z95" s="74" t="n"/>
    </row>
    <row r="96" ht="15.75" customHeight="1" s="349">
      <c r="A96" s="74" t="n"/>
      <c r="B96" s="74" t="n"/>
      <c r="C96" s="74" t="n"/>
      <c r="D96" s="74" t="n"/>
      <c r="E96" s="74" t="n"/>
      <c r="F96" s="74" t="n"/>
      <c r="G96" s="74" t="n"/>
      <c r="H96" s="74" t="n"/>
      <c r="I96" s="74" t="n"/>
      <c r="J96" s="74" t="n"/>
      <c r="K96" s="74" t="n"/>
      <c r="L96" s="74" t="n"/>
      <c r="M96" s="74" t="n"/>
      <c r="N96" s="74" t="n"/>
      <c r="O96" s="74" t="n"/>
      <c r="P96" s="74" t="n"/>
      <c r="Q96" s="74" t="n"/>
      <c r="R96" s="74" t="n"/>
      <c r="S96" s="74" t="n"/>
      <c r="T96" s="74" t="n"/>
      <c r="U96" s="74" t="n"/>
      <c r="V96" s="74" t="n"/>
      <c r="W96" s="74" t="n"/>
      <c r="X96" s="74" t="n"/>
      <c r="Y96" s="74" t="n"/>
      <c r="Z96" s="74" t="n"/>
    </row>
    <row r="97" ht="15.75" customHeight="1" s="349">
      <c r="A97" s="74" t="n"/>
      <c r="B97" s="74" t="n"/>
      <c r="C97" s="74" t="n"/>
      <c r="D97" s="74" t="n"/>
      <c r="E97" s="74" t="n"/>
      <c r="F97" s="74" t="n"/>
      <c r="G97" s="74" t="n"/>
      <c r="H97" s="74" t="n"/>
      <c r="I97" s="74" t="n"/>
      <c r="J97" s="74" t="n"/>
      <c r="K97" s="74" t="n"/>
      <c r="L97" s="74" t="n"/>
      <c r="M97" s="74" t="n"/>
      <c r="N97" s="74" t="n"/>
      <c r="O97" s="74" t="n"/>
      <c r="P97" s="74" t="n"/>
      <c r="Q97" s="74" t="n"/>
      <c r="R97" s="74" t="n"/>
      <c r="S97" s="74" t="n"/>
      <c r="T97" s="74" t="n"/>
      <c r="U97" s="74" t="n"/>
      <c r="V97" s="74" t="n"/>
      <c r="W97" s="74" t="n"/>
      <c r="X97" s="74" t="n"/>
      <c r="Y97" s="74" t="n"/>
      <c r="Z97" s="74" t="n"/>
    </row>
    <row r="98" ht="15.75" customHeight="1" s="349">
      <c r="A98" s="74" t="n"/>
      <c r="B98" s="74" t="n"/>
      <c r="C98" s="74" t="n"/>
      <c r="D98" s="74" t="n"/>
      <c r="E98" s="74" t="n"/>
      <c r="F98" s="74" t="n"/>
      <c r="G98" s="74" t="n"/>
      <c r="H98" s="74" t="n"/>
      <c r="I98" s="74" t="n"/>
      <c r="J98" s="74" t="n"/>
      <c r="K98" s="74" t="n"/>
      <c r="L98" s="74" t="n"/>
      <c r="M98" s="74" t="n"/>
      <c r="N98" s="74" t="n"/>
      <c r="O98" s="74" t="n"/>
      <c r="P98" s="74" t="n"/>
      <c r="Q98" s="74" t="n"/>
      <c r="R98" s="74" t="n"/>
      <c r="S98" s="74" t="n"/>
      <c r="T98" s="74" t="n"/>
      <c r="U98" s="74" t="n"/>
      <c r="V98" s="74" t="n"/>
      <c r="W98" s="74" t="n"/>
      <c r="X98" s="74" t="n"/>
      <c r="Y98" s="74" t="n"/>
      <c r="Z98" s="74" t="n"/>
    </row>
    <row r="99" ht="15.75" customHeight="1" s="349">
      <c r="A99" s="74" t="n"/>
      <c r="B99" s="74" t="n"/>
      <c r="C99" s="74" t="n"/>
      <c r="D99" s="74" t="n"/>
      <c r="E99" s="74" t="n"/>
      <c r="F99" s="74" t="n"/>
      <c r="G99" s="74" t="n"/>
      <c r="H99" s="74" t="n"/>
      <c r="I99" s="74" t="n"/>
      <c r="J99" s="74" t="n"/>
      <c r="K99" s="74" t="n"/>
      <c r="L99" s="74" t="n"/>
      <c r="M99" s="74" t="n"/>
      <c r="N99" s="74" t="n"/>
      <c r="O99" s="74" t="n"/>
      <c r="P99" s="74" t="n"/>
      <c r="Q99" s="74" t="n"/>
      <c r="R99" s="74" t="n"/>
      <c r="S99" s="74" t="n"/>
      <c r="T99" s="74" t="n"/>
      <c r="U99" s="74" t="n"/>
      <c r="V99" s="74" t="n"/>
      <c r="W99" s="74" t="n"/>
      <c r="X99" s="74" t="n"/>
      <c r="Y99" s="74" t="n"/>
      <c r="Z99" s="74" t="n"/>
    </row>
    <row r="100" ht="15.75" customHeight="1" s="349">
      <c r="A100" s="74" t="n"/>
      <c r="B100" s="74" t="n"/>
      <c r="C100" s="74" t="n"/>
      <c r="D100" s="74" t="n"/>
      <c r="E100" s="74" t="n"/>
      <c r="F100" s="74" t="n"/>
      <c r="G100" s="74" t="n"/>
      <c r="H100" s="74" t="n"/>
      <c r="I100" s="74" t="n"/>
      <c r="J100" s="74" t="n"/>
      <c r="K100" s="74" t="n"/>
      <c r="L100" s="74" t="n"/>
      <c r="M100" s="74" t="n"/>
      <c r="N100" s="74" t="n"/>
      <c r="O100" s="74" t="n"/>
      <c r="P100" s="74" t="n"/>
      <c r="Q100" s="74" t="n"/>
      <c r="R100" s="74" t="n"/>
      <c r="S100" s="74" t="n"/>
      <c r="T100" s="74" t="n"/>
      <c r="U100" s="74" t="n"/>
      <c r="V100" s="74" t="n"/>
      <c r="W100" s="74" t="n"/>
      <c r="X100" s="74" t="n"/>
      <c r="Y100" s="74" t="n"/>
      <c r="Z100" s="74" t="n"/>
    </row>
    <row r="101" ht="15.75" customHeight="1" s="349">
      <c r="A101" s="74" t="n"/>
      <c r="B101" s="74" t="n"/>
      <c r="C101" s="74" t="n"/>
      <c r="D101" s="74" t="n"/>
      <c r="E101" s="74" t="n"/>
      <c r="F101" s="74" t="n"/>
      <c r="G101" s="74" t="n"/>
      <c r="H101" s="74" t="n"/>
      <c r="I101" s="74" t="n"/>
      <c r="J101" s="74" t="n"/>
      <c r="K101" s="74" t="n"/>
      <c r="L101" s="74" t="n"/>
      <c r="M101" s="74" t="n"/>
      <c r="N101" s="74" t="n"/>
      <c r="O101" s="74" t="n"/>
      <c r="P101" s="74" t="n"/>
      <c r="Q101" s="74" t="n"/>
      <c r="R101" s="74" t="n"/>
      <c r="S101" s="74" t="n"/>
      <c r="T101" s="74" t="n"/>
      <c r="U101" s="74" t="n"/>
      <c r="V101" s="74" t="n"/>
      <c r="W101" s="74" t="n"/>
      <c r="X101" s="74" t="n"/>
      <c r="Y101" s="74" t="n"/>
      <c r="Z101" s="74" t="n"/>
    </row>
    <row r="102" ht="15.75" customHeight="1" s="349">
      <c r="A102" s="74" t="n"/>
      <c r="B102" s="74" t="n"/>
      <c r="C102" s="74" t="n"/>
      <c r="D102" s="74" t="n"/>
      <c r="E102" s="74" t="n"/>
      <c r="F102" s="74" t="n"/>
      <c r="G102" s="74" t="n"/>
      <c r="H102" s="74" t="n"/>
      <c r="I102" s="74" t="n"/>
      <c r="J102" s="74" t="n"/>
      <c r="K102" s="74" t="n"/>
      <c r="L102" s="74" t="n"/>
      <c r="M102" s="74" t="n"/>
      <c r="N102" s="74" t="n"/>
      <c r="O102" s="74" t="n"/>
      <c r="P102" s="74" t="n"/>
      <c r="Q102" s="74" t="n"/>
      <c r="R102" s="74" t="n"/>
      <c r="S102" s="74" t="n"/>
      <c r="T102" s="74" t="n"/>
      <c r="U102" s="74" t="n"/>
      <c r="V102" s="74" t="n"/>
      <c r="W102" s="74" t="n"/>
      <c r="X102" s="74" t="n"/>
      <c r="Y102" s="74" t="n"/>
      <c r="Z102" s="74" t="n"/>
    </row>
    <row r="103" ht="15.75" customHeight="1" s="349">
      <c r="A103" s="74" t="n"/>
      <c r="B103" s="74" t="n"/>
      <c r="C103" s="74" t="n"/>
      <c r="D103" s="74" t="n"/>
      <c r="E103" s="74" t="n"/>
      <c r="F103" s="74" t="n"/>
      <c r="G103" s="74" t="n"/>
      <c r="H103" s="74" t="n"/>
      <c r="I103" s="74" t="n"/>
      <c r="J103" s="74" t="n"/>
      <c r="K103" s="74" t="n"/>
      <c r="L103" s="74" t="n"/>
      <c r="M103" s="74" t="n"/>
      <c r="N103" s="74" t="n"/>
      <c r="O103" s="74" t="n"/>
      <c r="P103" s="74" t="n"/>
      <c r="Q103" s="74" t="n"/>
      <c r="R103" s="74" t="n"/>
      <c r="S103" s="74" t="n"/>
      <c r="T103" s="74" t="n"/>
      <c r="U103" s="74" t="n"/>
      <c r="V103" s="74" t="n"/>
      <c r="W103" s="74" t="n"/>
      <c r="X103" s="74" t="n"/>
      <c r="Y103" s="74" t="n"/>
      <c r="Z103" s="74" t="n"/>
    </row>
    <row r="104" ht="15.75" customHeight="1" s="349">
      <c r="A104" s="74" t="n"/>
      <c r="B104" s="74" t="n"/>
      <c r="C104" s="74" t="n"/>
      <c r="D104" s="74" t="n"/>
      <c r="E104" s="74" t="n"/>
      <c r="F104" s="74" t="n"/>
      <c r="G104" s="74" t="n"/>
      <c r="H104" s="74" t="n"/>
      <c r="I104" s="74" t="n"/>
      <c r="J104" s="74" t="n"/>
      <c r="K104" s="74" t="n"/>
      <c r="L104" s="74" t="n"/>
      <c r="M104" s="74" t="n"/>
      <c r="N104" s="74" t="n"/>
      <c r="O104" s="74" t="n"/>
      <c r="P104" s="74" t="n"/>
      <c r="Q104" s="74" t="n"/>
      <c r="R104" s="74" t="n"/>
      <c r="S104" s="74" t="n"/>
      <c r="T104" s="74" t="n"/>
      <c r="U104" s="74" t="n"/>
      <c r="V104" s="74" t="n"/>
      <c r="W104" s="74" t="n"/>
      <c r="X104" s="74" t="n"/>
      <c r="Y104" s="74" t="n"/>
      <c r="Z104" s="74" t="n"/>
    </row>
    <row r="105" ht="15.75" customHeight="1" s="349">
      <c r="A105" s="74" t="n"/>
      <c r="B105" s="74" t="n"/>
      <c r="C105" s="74" t="n"/>
      <c r="D105" s="74" t="n"/>
      <c r="E105" s="74" t="n"/>
      <c r="F105" s="74" t="n"/>
      <c r="G105" s="74" t="n"/>
      <c r="H105" s="74" t="n"/>
      <c r="I105" s="74" t="n"/>
      <c r="J105" s="74" t="n"/>
      <c r="K105" s="74" t="n"/>
      <c r="L105" s="74" t="n"/>
      <c r="M105" s="74" t="n"/>
      <c r="N105" s="74" t="n"/>
      <c r="O105" s="74" t="n"/>
      <c r="P105" s="74" t="n"/>
      <c r="Q105" s="74" t="n"/>
      <c r="R105" s="74" t="n"/>
      <c r="S105" s="74" t="n"/>
      <c r="T105" s="74" t="n"/>
      <c r="U105" s="74" t="n"/>
      <c r="V105" s="74" t="n"/>
      <c r="W105" s="74" t="n"/>
      <c r="X105" s="74" t="n"/>
      <c r="Y105" s="74" t="n"/>
      <c r="Z105" s="74" t="n"/>
    </row>
    <row r="106" ht="15.75" customHeight="1" s="349">
      <c r="A106" s="74" t="n"/>
      <c r="B106" s="74" t="n"/>
      <c r="C106" s="74" t="n"/>
      <c r="D106" s="74" t="n"/>
      <c r="E106" s="74" t="n"/>
      <c r="F106" s="74" t="n"/>
      <c r="G106" s="74" t="n"/>
      <c r="H106" s="74" t="n"/>
      <c r="I106" s="74" t="n"/>
      <c r="J106" s="74" t="n"/>
      <c r="K106" s="74" t="n"/>
      <c r="L106" s="74" t="n"/>
      <c r="M106" s="74" t="n"/>
      <c r="N106" s="74" t="n"/>
      <c r="O106" s="74" t="n"/>
      <c r="P106" s="74" t="n"/>
      <c r="Q106" s="74" t="n"/>
      <c r="R106" s="74" t="n"/>
      <c r="S106" s="74" t="n"/>
      <c r="T106" s="74" t="n"/>
      <c r="U106" s="74" t="n"/>
      <c r="V106" s="74" t="n"/>
      <c r="W106" s="74" t="n"/>
      <c r="X106" s="74" t="n"/>
      <c r="Y106" s="74" t="n"/>
      <c r="Z106" s="74" t="n"/>
    </row>
    <row r="107" ht="15.75" customHeight="1" s="349">
      <c r="A107" s="74" t="n"/>
      <c r="B107" s="74" t="n"/>
      <c r="C107" s="74" t="n"/>
      <c r="D107" s="74" t="n"/>
      <c r="E107" s="74" t="n"/>
      <c r="F107" s="74" t="n"/>
      <c r="G107" s="74" t="n"/>
      <c r="H107" s="74" t="n"/>
      <c r="I107" s="74" t="n"/>
      <c r="J107" s="74" t="n"/>
      <c r="K107" s="74" t="n"/>
      <c r="L107" s="74" t="n"/>
      <c r="M107" s="74" t="n"/>
      <c r="N107" s="74" t="n"/>
      <c r="O107" s="74" t="n"/>
      <c r="P107" s="74" t="n"/>
      <c r="Q107" s="74" t="n"/>
      <c r="R107" s="74" t="n"/>
      <c r="S107" s="74" t="n"/>
      <c r="T107" s="74" t="n"/>
      <c r="U107" s="74" t="n"/>
      <c r="V107" s="74" t="n"/>
      <c r="W107" s="74" t="n"/>
      <c r="X107" s="74" t="n"/>
      <c r="Y107" s="74" t="n"/>
      <c r="Z107" s="74" t="n"/>
    </row>
    <row r="108" ht="15.75" customHeight="1" s="349">
      <c r="A108" s="74" t="n"/>
      <c r="B108" s="74" t="n"/>
      <c r="C108" s="74" t="n"/>
      <c r="D108" s="74" t="n"/>
      <c r="E108" s="74" t="n"/>
      <c r="F108" s="74" t="n"/>
      <c r="G108" s="74" t="n"/>
      <c r="H108" s="74" t="n"/>
      <c r="I108" s="74" t="n"/>
      <c r="J108" s="74" t="n"/>
      <c r="K108" s="74" t="n"/>
      <c r="L108" s="74" t="n"/>
      <c r="M108" s="74" t="n"/>
      <c r="N108" s="74" t="n"/>
      <c r="O108" s="74" t="n"/>
      <c r="P108" s="74" t="n"/>
      <c r="Q108" s="74" t="n"/>
      <c r="R108" s="74" t="n"/>
      <c r="S108" s="74" t="n"/>
      <c r="T108" s="74" t="n"/>
      <c r="U108" s="74" t="n"/>
      <c r="V108" s="74" t="n"/>
      <c r="W108" s="74" t="n"/>
      <c r="X108" s="74" t="n"/>
      <c r="Y108" s="74" t="n"/>
      <c r="Z108" s="74" t="n"/>
    </row>
    <row r="109" ht="15.75" customHeight="1" s="349">
      <c r="A109" s="74" t="n"/>
      <c r="B109" s="74" t="n"/>
      <c r="C109" s="74" t="n"/>
      <c r="D109" s="74" t="n"/>
      <c r="E109" s="74" t="n"/>
      <c r="F109" s="74" t="n"/>
      <c r="G109" s="74" t="n"/>
      <c r="H109" s="74" t="n"/>
      <c r="I109" s="74" t="n"/>
      <c r="J109" s="74" t="n"/>
      <c r="K109" s="74" t="n"/>
      <c r="L109" s="74" t="n"/>
      <c r="M109" s="74" t="n"/>
      <c r="N109" s="74" t="n"/>
      <c r="O109" s="74" t="n"/>
      <c r="P109" s="74" t="n"/>
      <c r="Q109" s="74" t="n"/>
      <c r="R109" s="74" t="n"/>
      <c r="S109" s="74" t="n"/>
      <c r="T109" s="74" t="n"/>
      <c r="U109" s="74" t="n"/>
      <c r="V109" s="74" t="n"/>
      <c r="W109" s="74" t="n"/>
      <c r="X109" s="74" t="n"/>
      <c r="Y109" s="74" t="n"/>
      <c r="Z109" s="74" t="n"/>
    </row>
    <row r="110" ht="15.75" customHeight="1" s="349">
      <c r="A110" s="74" t="n"/>
      <c r="B110" s="74" t="n"/>
      <c r="C110" s="74" t="n"/>
      <c r="D110" s="74" t="n"/>
      <c r="E110" s="74" t="n"/>
      <c r="F110" s="74" t="n"/>
      <c r="G110" s="74" t="n"/>
      <c r="H110" s="74" t="n"/>
      <c r="I110" s="74" t="n"/>
      <c r="J110" s="74" t="n"/>
      <c r="K110" s="74" t="n"/>
      <c r="L110" s="74" t="n"/>
      <c r="M110" s="74" t="n"/>
      <c r="N110" s="74" t="n"/>
      <c r="O110" s="74" t="n"/>
      <c r="P110" s="74" t="n"/>
      <c r="Q110" s="74" t="n"/>
      <c r="R110" s="74" t="n"/>
      <c r="S110" s="74" t="n"/>
      <c r="T110" s="74" t="n"/>
      <c r="U110" s="74" t="n"/>
      <c r="V110" s="74" t="n"/>
      <c r="W110" s="74" t="n"/>
      <c r="X110" s="74" t="n"/>
      <c r="Y110" s="74" t="n"/>
      <c r="Z110" s="74" t="n"/>
    </row>
    <row r="111" ht="15.75" customHeight="1" s="349">
      <c r="A111" s="74" t="n"/>
      <c r="B111" s="74" t="n"/>
      <c r="C111" s="74" t="n"/>
      <c r="D111" s="74" t="n"/>
      <c r="E111" s="74" t="n"/>
      <c r="F111" s="74" t="n"/>
      <c r="G111" s="74" t="n"/>
      <c r="H111" s="74" t="n"/>
      <c r="I111" s="74" t="n"/>
      <c r="J111" s="74" t="n"/>
      <c r="K111" s="74" t="n"/>
      <c r="L111" s="74" t="n"/>
      <c r="M111" s="74" t="n"/>
      <c r="N111" s="74" t="n"/>
      <c r="O111" s="74" t="n"/>
      <c r="P111" s="74" t="n"/>
      <c r="Q111" s="74" t="n"/>
      <c r="R111" s="74" t="n"/>
      <c r="S111" s="74" t="n"/>
      <c r="T111" s="74" t="n"/>
      <c r="U111" s="74" t="n"/>
      <c r="V111" s="74" t="n"/>
      <c r="W111" s="74" t="n"/>
      <c r="X111" s="74" t="n"/>
      <c r="Y111" s="74" t="n"/>
      <c r="Z111" s="74" t="n"/>
    </row>
    <row r="112" ht="15.75" customHeight="1" s="349">
      <c r="A112" s="74" t="n"/>
      <c r="B112" s="74" t="n"/>
      <c r="C112" s="74" t="n"/>
      <c r="D112" s="74" t="n"/>
      <c r="E112" s="74" t="n"/>
      <c r="F112" s="74" t="n"/>
      <c r="G112" s="74" t="n"/>
      <c r="H112" s="74" t="n"/>
      <c r="I112" s="74" t="n"/>
      <c r="J112" s="74" t="n"/>
      <c r="K112" s="74" t="n"/>
      <c r="L112" s="74" t="n"/>
      <c r="M112" s="74" t="n"/>
      <c r="N112" s="74" t="n"/>
      <c r="O112" s="74" t="n"/>
      <c r="P112" s="74" t="n"/>
      <c r="Q112" s="74" t="n"/>
      <c r="R112" s="74" t="n"/>
      <c r="S112" s="74" t="n"/>
      <c r="T112" s="74" t="n"/>
      <c r="U112" s="74" t="n"/>
      <c r="V112" s="74" t="n"/>
      <c r="W112" s="74" t="n"/>
      <c r="X112" s="74" t="n"/>
      <c r="Y112" s="74" t="n"/>
      <c r="Z112" s="74" t="n"/>
    </row>
    <row r="113" ht="15.75" customHeight="1" s="349">
      <c r="A113" s="74" t="n"/>
      <c r="B113" s="74" t="n"/>
      <c r="C113" s="74" t="n"/>
      <c r="D113" s="74" t="n"/>
      <c r="E113" s="74" t="n"/>
      <c r="F113" s="74" t="n"/>
      <c r="G113" s="74" t="n"/>
      <c r="H113" s="74" t="n"/>
      <c r="I113" s="74" t="n"/>
      <c r="J113" s="74" t="n"/>
      <c r="K113" s="74" t="n"/>
      <c r="L113" s="74" t="n"/>
      <c r="M113" s="74" t="n"/>
      <c r="N113" s="74" t="n"/>
      <c r="O113" s="74" t="n"/>
      <c r="P113" s="74" t="n"/>
      <c r="Q113" s="74" t="n"/>
      <c r="R113" s="74" t="n"/>
      <c r="S113" s="74" t="n"/>
      <c r="T113" s="74" t="n"/>
      <c r="U113" s="74" t="n"/>
      <c r="V113" s="74" t="n"/>
      <c r="W113" s="74" t="n"/>
      <c r="X113" s="74" t="n"/>
      <c r="Y113" s="74" t="n"/>
      <c r="Z113" s="74" t="n"/>
    </row>
    <row r="114" ht="15.75" customHeight="1" s="349">
      <c r="A114" s="74" t="n"/>
      <c r="B114" s="74" t="n"/>
      <c r="C114" s="74" t="n"/>
      <c r="D114" s="74" t="n"/>
      <c r="E114" s="74" t="n"/>
      <c r="F114" s="74" t="n"/>
      <c r="G114" s="74" t="n"/>
      <c r="H114" s="74" t="n"/>
      <c r="I114" s="74" t="n"/>
      <c r="J114" s="74" t="n"/>
      <c r="K114" s="74" t="n"/>
      <c r="L114" s="74" t="n"/>
      <c r="M114" s="74" t="n"/>
      <c r="N114" s="74" t="n"/>
      <c r="O114" s="74" t="n"/>
      <c r="P114" s="74" t="n"/>
      <c r="Q114" s="74" t="n"/>
      <c r="R114" s="74" t="n"/>
      <c r="S114" s="74" t="n"/>
      <c r="T114" s="74" t="n"/>
      <c r="U114" s="74" t="n"/>
      <c r="V114" s="74" t="n"/>
      <c r="W114" s="74" t="n"/>
      <c r="X114" s="74" t="n"/>
      <c r="Y114" s="74" t="n"/>
      <c r="Z114" s="74" t="n"/>
    </row>
    <row r="115" ht="15.75" customHeight="1" s="349">
      <c r="A115" s="74" t="n"/>
      <c r="B115" s="74" t="n"/>
      <c r="C115" s="74" t="n"/>
      <c r="D115" s="74" t="n"/>
      <c r="E115" s="74" t="n"/>
      <c r="F115" s="74" t="n"/>
      <c r="G115" s="74" t="n"/>
      <c r="H115" s="74" t="n"/>
      <c r="I115" s="74" t="n"/>
      <c r="J115" s="74" t="n"/>
      <c r="K115" s="74" t="n"/>
      <c r="L115" s="74" t="n"/>
      <c r="M115" s="74" t="n"/>
      <c r="N115" s="74" t="n"/>
      <c r="O115" s="74" t="n"/>
      <c r="P115" s="74" t="n"/>
      <c r="Q115" s="74" t="n"/>
      <c r="R115" s="74" t="n"/>
      <c r="S115" s="74" t="n"/>
      <c r="T115" s="74" t="n"/>
      <c r="U115" s="74" t="n"/>
      <c r="V115" s="74" t="n"/>
      <c r="W115" s="74" t="n"/>
      <c r="X115" s="74" t="n"/>
      <c r="Y115" s="74" t="n"/>
      <c r="Z115" s="74" t="n"/>
    </row>
    <row r="116" ht="15.75" customHeight="1" s="349">
      <c r="A116" s="74" t="n"/>
      <c r="B116" s="74" t="n"/>
      <c r="C116" s="74" t="n"/>
      <c r="D116" s="74" t="n"/>
      <c r="E116" s="74" t="n"/>
      <c r="F116" s="74" t="n"/>
      <c r="G116" s="74" t="n"/>
      <c r="H116" s="74" t="n"/>
      <c r="I116" s="74" t="n"/>
      <c r="J116" s="74" t="n"/>
      <c r="K116" s="74" t="n"/>
      <c r="L116" s="74" t="n"/>
      <c r="M116" s="74" t="n"/>
      <c r="N116" s="74" t="n"/>
      <c r="O116" s="74" t="n"/>
      <c r="P116" s="74" t="n"/>
      <c r="Q116" s="74" t="n"/>
      <c r="R116" s="74" t="n"/>
      <c r="S116" s="74" t="n"/>
      <c r="T116" s="74" t="n"/>
      <c r="U116" s="74" t="n"/>
      <c r="V116" s="74" t="n"/>
      <c r="W116" s="74" t="n"/>
      <c r="X116" s="74" t="n"/>
      <c r="Y116" s="74" t="n"/>
      <c r="Z116" s="74" t="n"/>
    </row>
    <row r="117" ht="15.75" customHeight="1" s="349">
      <c r="A117" s="74" t="n"/>
      <c r="B117" s="74" t="n"/>
      <c r="C117" s="74" t="n"/>
      <c r="D117" s="74" t="n"/>
      <c r="E117" s="74" t="n"/>
      <c r="F117" s="74" t="n"/>
      <c r="G117" s="74" t="n"/>
      <c r="H117" s="74" t="n"/>
      <c r="I117" s="74" t="n"/>
      <c r="J117" s="74" t="n"/>
      <c r="K117" s="74" t="n"/>
      <c r="L117" s="74" t="n"/>
      <c r="M117" s="74" t="n"/>
      <c r="N117" s="74" t="n"/>
      <c r="O117" s="74" t="n"/>
      <c r="P117" s="74" t="n"/>
      <c r="Q117" s="74" t="n"/>
      <c r="R117" s="74" t="n"/>
      <c r="S117" s="74" t="n"/>
      <c r="T117" s="74" t="n"/>
      <c r="U117" s="74" t="n"/>
      <c r="V117" s="74" t="n"/>
      <c r="W117" s="74" t="n"/>
      <c r="X117" s="74" t="n"/>
      <c r="Y117" s="74" t="n"/>
      <c r="Z117" s="74" t="n"/>
    </row>
    <row r="118" ht="15.75" customHeight="1" s="349">
      <c r="A118" s="74" t="n"/>
      <c r="B118" s="74" t="n"/>
      <c r="C118" s="74" t="n"/>
      <c r="D118" s="74" t="n"/>
      <c r="E118" s="74" t="n"/>
      <c r="F118" s="74" t="n"/>
      <c r="G118" s="74" t="n"/>
      <c r="H118" s="74" t="n"/>
      <c r="I118" s="74" t="n"/>
      <c r="J118" s="74" t="n"/>
      <c r="K118" s="74" t="n"/>
      <c r="L118" s="74" t="n"/>
      <c r="M118" s="74" t="n"/>
      <c r="N118" s="74" t="n"/>
      <c r="O118" s="74" t="n"/>
      <c r="P118" s="74" t="n"/>
      <c r="Q118" s="74" t="n"/>
      <c r="R118" s="74" t="n"/>
      <c r="S118" s="74" t="n"/>
      <c r="T118" s="74" t="n"/>
      <c r="U118" s="74" t="n"/>
      <c r="V118" s="74" t="n"/>
      <c r="W118" s="74" t="n"/>
      <c r="X118" s="74" t="n"/>
      <c r="Y118" s="74" t="n"/>
      <c r="Z118" s="74" t="n"/>
    </row>
    <row r="119" ht="15.75" customHeight="1" s="349">
      <c r="A119" s="74" t="n"/>
      <c r="B119" s="74" t="n"/>
      <c r="C119" s="74" t="n"/>
      <c r="D119" s="74" t="n"/>
      <c r="E119" s="74" t="n"/>
      <c r="F119" s="74" t="n"/>
      <c r="G119" s="74" t="n"/>
      <c r="H119" s="74" t="n"/>
      <c r="I119" s="74" t="n"/>
      <c r="J119" s="74" t="n"/>
      <c r="K119" s="74" t="n"/>
      <c r="L119" s="74" t="n"/>
      <c r="M119" s="74" t="n"/>
      <c r="N119" s="74" t="n"/>
      <c r="O119" s="74" t="n"/>
      <c r="P119" s="74" t="n"/>
      <c r="Q119" s="74" t="n"/>
      <c r="R119" s="74" t="n"/>
      <c r="S119" s="74" t="n"/>
      <c r="T119" s="74" t="n"/>
      <c r="U119" s="74" t="n"/>
      <c r="V119" s="74" t="n"/>
      <c r="W119" s="74" t="n"/>
      <c r="X119" s="74" t="n"/>
      <c r="Y119" s="74" t="n"/>
      <c r="Z119" s="74" t="n"/>
    </row>
    <row r="120" ht="15.75" customHeight="1" s="349">
      <c r="A120" s="74" t="n"/>
      <c r="B120" s="74" t="n"/>
      <c r="C120" s="74" t="n"/>
      <c r="D120" s="74" t="n"/>
      <c r="E120" s="74" t="n"/>
      <c r="F120" s="74" t="n"/>
      <c r="G120" s="74" t="n"/>
      <c r="H120" s="74" t="n"/>
      <c r="I120" s="74" t="n"/>
      <c r="J120" s="74" t="n"/>
      <c r="K120" s="74" t="n"/>
      <c r="L120" s="74" t="n"/>
      <c r="M120" s="74" t="n"/>
      <c r="N120" s="74" t="n"/>
      <c r="O120" s="74" t="n"/>
      <c r="P120" s="74" t="n"/>
      <c r="Q120" s="74" t="n"/>
      <c r="R120" s="74" t="n"/>
      <c r="S120" s="74" t="n"/>
      <c r="T120" s="74" t="n"/>
      <c r="U120" s="74" t="n"/>
      <c r="V120" s="74" t="n"/>
      <c r="W120" s="74" t="n"/>
      <c r="X120" s="74" t="n"/>
      <c r="Y120" s="74" t="n"/>
      <c r="Z120" s="74" t="n"/>
    </row>
    <row r="121" ht="15.75" customHeight="1" s="349">
      <c r="A121" s="74" t="n"/>
      <c r="B121" s="74" t="n"/>
      <c r="C121" s="74" t="n"/>
      <c r="D121" s="74" t="n"/>
      <c r="E121" s="74" t="n"/>
      <c r="F121" s="74" t="n"/>
      <c r="G121" s="74" t="n"/>
      <c r="H121" s="74" t="n"/>
      <c r="I121" s="74" t="n"/>
      <c r="J121" s="74" t="n"/>
      <c r="K121" s="74" t="n"/>
      <c r="L121" s="74" t="n"/>
      <c r="M121" s="74" t="n"/>
      <c r="N121" s="74" t="n"/>
      <c r="O121" s="74" t="n"/>
      <c r="P121" s="74" t="n"/>
      <c r="Q121" s="74" t="n"/>
      <c r="R121" s="74" t="n"/>
      <c r="S121" s="74" t="n"/>
      <c r="T121" s="74" t="n"/>
      <c r="U121" s="74" t="n"/>
      <c r="V121" s="74" t="n"/>
      <c r="W121" s="74" t="n"/>
      <c r="X121" s="74" t="n"/>
      <c r="Y121" s="74" t="n"/>
      <c r="Z121" s="74" t="n"/>
    </row>
    <row r="122" ht="15.75" customHeight="1" s="349">
      <c r="A122" s="74" t="n"/>
      <c r="B122" s="74" t="n"/>
      <c r="C122" s="74" t="n"/>
      <c r="D122" s="74" t="n"/>
      <c r="E122" s="74" t="n"/>
      <c r="F122" s="74" t="n"/>
      <c r="G122" s="74" t="n"/>
      <c r="H122" s="74" t="n"/>
      <c r="I122" s="74" t="n"/>
      <c r="J122" s="74" t="n"/>
      <c r="K122" s="74" t="n"/>
      <c r="L122" s="74" t="n"/>
      <c r="M122" s="74" t="n"/>
      <c r="N122" s="74" t="n"/>
      <c r="O122" s="74" t="n"/>
      <c r="P122" s="74" t="n"/>
      <c r="Q122" s="74" t="n"/>
      <c r="R122" s="74" t="n"/>
      <c r="S122" s="74" t="n"/>
      <c r="T122" s="74" t="n"/>
      <c r="U122" s="74" t="n"/>
      <c r="V122" s="74" t="n"/>
      <c r="W122" s="74" t="n"/>
      <c r="X122" s="74" t="n"/>
      <c r="Y122" s="74" t="n"/>
      <c r="Z122" s="74" t="n"/>
    </row>
    <row r="123" ht="15.75" customHeight="1" s="349">
      <c r="A123" s="74" t="n"/>
      <c r="B123" s="74" t="n"/>
      <c r="C123" s="74" t="n"/>
      <c r="D123" s="74" t="n"/>
      <c r="E123" s="74" t="n"/>
      <c r="F123" s="74" t="n"/>
      <c r="G123" s="74" t="n"/>
      <c r="H123" s="74" t="n"/>
      <c r="I123" s="74" t="n"/>
      <c r="J123" s="74" t="n"/>
      <c r="K123" s="74" t="n"/>
      <c r="L123" s="74" t="n"/>
      <c r="M123" s="74" t="n"/>
      <c r="N123" s="74" t="n"/>
      <c r="O123" s="74" t="n"/>
      <c r="P123" s="74" t="n"/>
      <c r="Q123" s="74" t="n"/>
      <c r="R123" s="74" t="n"/>
      <c r="S123" s="74" t="n"/>
      <c r="T123" s="74" t="n"/>
      <c r="U123" s="74" t="n"/>
      <c r="V123" s="74" t="n"/>
      <c r="W123" s="74" t="n"/>
      <c r="X123" s="74" t="n"/>
      <c r="Y123" s="74" t="n"/>
      <c r="Z123" s="74" t="n"/>
    </row>
    <row r="124" ht="15.75" customHeight="1" s="349">
      <c r="A124" s="74" t="n"/>
      <c r="B124" s="74" t="n"/>
      <c r="C124" s="74" t="n"/>
      <c r="D124" s="74" t="n"/>
      <c r="E124" s="74" t="n"/>
      <c r="F124" s="74" t="n"/>
      <c r="G124" s="74" t="n"/>
      <c r="H124" s="74" t="n"/>
      <c r="I124" s="74" t="n"/>
      <c r="J124" s="74" t="n"/>
      <c r="K124" s="74" t="n"/>
      <c r="L124" s="74" t="n"/>
      <c r="M124" s="74" t="n"/>
      <c r="N124" s="74" t="n"/>
      <c r="O124" s="74" t="n"/>
      <c r="P124" s="74" t="n"/>
      <c r="Q124" s="74" t="n"/>
      <c r="R124" s="74" t="n"/>
      <c r="S124" s="74" t="n"/>
      <c r="T124" s="74" t="n"/>
      <c r="U124" s="74" t="n"/>
      <c r="V124" s="74" t="n"/>
      <c r="W124" s="74" t="n"/>
      <c r="X124" s="74" t="n"/>
      <c r="Y124" s="74" t="n"/>
      <c r="Z124" s="74" t="n"/>
    </row>
    <row r="125" ht="15.75" customHeight="1" s="349">
      <c r="A125" s="74" t="n"/>
      <c r="B125" s="74" t="n"/>
      <c r="C125" s="74" t="n"/>
      <c r="D125" s="74" t="n"/>
      <c r="E125" s="74" t="n"/>
      <c r="F125" s="74" t="n"/>
      <c r="G125" s="74" t="n"/>
      <c r="H125" s="74" t="n"/>
      <c r="I125" s="74" t="n"/>
      <c r="J125" s="74" t="n"/>
      <c r="K125" s="74" t="n"/>
      <c r="L125" s="74" t="n"/>
      <c r="M125" s="74" t="n"/>
      <c r="N125" s="74" t="n"/>
      <c r="O125" s="74" t="n"/>
      <c r="P125" s="74" t="n"/>
      <c r="Q125" s="74" t="n"/>
      <c r="R125" s="74" t="n"/>
      <c r="S125" s="74" t="n"/>
      <c r="T125" s="74" t="n"/>
      <c r="U125" s="74" t="n"/>
      <c r="V125" s="74" t="n"/>
      <c r="W125" s="74" t="n"/>
      <c r="X125" s="74" t="n"/>
      <c r="Y125" s="74" t="n"/>
      <c r="Z125" s="74" t="n"/>
    </row>
    <row r="126" ht="15.75" customHeight="1" s="349">
      <c r="A126" s="74" t="n"/>
      <c r="B126" s="74" t="n"/>
      <c r="C126" s="74" t="n"/>
      <c r="D126" s="74" t="n"/>
      <c r="E126" s="74" t="n"/>
      <c r="F126" s="74" t="n"/>
      <c r="G126" s="74" t="n"/>
      <c r="H126" s="74" t="n"/>
      <c r="I126" s="74" t="n"/>
      <c r="J126" s="74" t="n"/>
      <c r="K126" s="74" t="n"/>
      <c r="L126" s="74" t="n"/>
      <c r="M126" s="74" t="n"/>
      <c r="N126" s="74" t="n"/>
      <c r="O126" s="74" t="n"/>
      <c r="P126" s="74" t="n"/>
      <c r="Q126" s="74" t="n"/>
      <c r="R126" s="74" t="n"/>
      <c r="S126" s="74" t="n"/>
      <c r="T126" s="74" t="n"/>
      <c r="U126" s="74" t="n"/>
      <c r="V126" s="74" t="n"/>
      <c r="W126" s="74" t="n"/>
      <c r="X126" s="74" t="n"/>
      <c r="Y126" s="74" t="n"/>
      <c r="Z126" s="74" t="n"/>
    </row>
    <row r="127" ht="15.75" customHeight="1" s="349">
      <c r="A127" s="74" t="n"/>
      <c r="B127" s="74" t="n"/>
      <c r="C127" s="74" t="n"/>
      <c r="D127" s="74" t="n"/>
      <c r="E127" s="74" t="n"/>
      <c r="F127" s="74" t="n"/>
      <c r="G127" s="74" t="n"/>
      <c r="H127" s="74" t="n"/>
      <c r="I127" s="74" t="n"/>
      <c r="J127" s="74" t="n"/>
      <c r="K127" s="74" t="n"/>
      <c r="L127" s="74" t="n"/>
      <c r="M127" s="74" t="n"/>
      <c r="N127" s="74" t="n"/>
      <c r="O127" s="74" t="n"/>
      <c r="P127" s="74" t="n"/>
      <c r="Q127" s="74" t="n"/>
      <c r="R127" s="74" t="n"/>
      <c r="S127" s="74" t="n"/>
      <c r="T127" s="74" t="n"/>
      <c r="U127" s="74" t="n"/>
      <c r="V127" s="74" t="n"/>
      <c r="W127" s="74" t="n"/>
      <c r="X127" s="74" t="n"/>
      <c r="Y127" s="74" t="n"/>
      <c r="Z127" s="74" t="n"/>
    </row>
    <row r="128" ht="15.75" customHeight="1" s="349">
      <c r="A128" s="74" t="n"/>
      <c r="B128" s="74" t="n"/>
      <c r="C128" s="74" t="n"/>
      <c r="D128" s="74" t="n"/>
      <c r="E128" s="74" t="n"/>
      <c r="F128" s="74" t="n"/>
      <c r="G128" s="74" t="n"/>
      <c r="H128" s="74" t="n"/>
      <c r="I128" s="74" t="n"/>
      <c r="J128" s="74" t="n"/>
      <c r="K128" s="74" t="n"/>
      <c r="L128" s="74" t="n"/>
      <c r="M128" s="74" t="n"/>
      <c r="N128" s="74" t="n"/>
      <c r="O128" s="74" t="n"/>
      <c r="P128" s="74" t="n"/>
      <c r="Q128" s="74" t="n"/>
      <c r="R128" s="74" t="n"/>
      <c r="S128" s="74" t="n"/>
      <c r="T128" s="74" t="n"/>
      <c r="U128" s="74" t="n"/>
      <c r="V128" s="74" t="n"/>
      <c r="W128" s="74" t="n"/>
      <c r="X128" s="74" t="n"/>
      <c r="Y128" s="74" t="n"/>
      <c r="Z128" s="74" t="n"/>
    </row>
    <row r="129" ht="15.75" customHeight="1" s="349">
      <c r="A129" s="74" t="n"/>
      <c r="B129" s="74" t="n"/>
      <c r="C129" s="74" t="n"/>
      <c r="D129" s="74" t="n"/>
      <c r="E129" s="74" t="n"/>
      <c r="F129" s="74" t="n"/>
      <c r="G129" s="74" t="n"/>
      <c r="H129" s="74" t="n"/>
      <c r="I129" s="74" t="n"/>
      <c r="J129" s="74" t="n"/>
      <c r="K129" s="74" t="n"/>
      <c r="L129" s="74" t="n"/>
      <c r="M129" s="74" t="n"/>
      <c r="N129" s="74" t="n"/>
      <c r="O129" s="74" t="n"/>
      <c r="P129" s="74" t="n"/>
      <c r="Q129" s="74" t="n"/>
      <c r="R129" s="74" t="n"/>
      <c r="S129" s="74" t="n"/>
      <c r="T129" s="74" t="n"/>
      <c r="U129" s="74" t="n"/>
      <c r="V129" s="74" t="n"/>
      <c r="W129" s="74" t="n"/>
      <c r="X129" s="74" t="n"/>
      <c r="Y129" s="74" t="n"/>
      <c r="Z129" s="74" t="n"/>
    </row>
    <row r="130" ht="15.75" customHeight="1" s="349">
      <c r="A130" s="74" t="n"/>
      <c r="B130" s="74" t="n"/>
      <c r="C130" s="74" t="n"/>
      <c r="D130" s="74" t="n"/>
      <c r="E130" s="74" t="n"/>
      <c r="F130" s="74" t="n"/>
      <c r="G130" s="74" t="n"/>
      <c r="H130" s="74" t="n"/>
      <c r="I130" s="74" t="n"/>
      <c r="J130" s="74" t="n"/>
      <c r="K130" s="74" t="n"/>
      <c r="L130" s="74" t="n"/>
      <c r="M130" s="74" t="n"/>
      <c r="N130" s="74" t="n"/>
      <c r="O130" s="74" t="n"/>
      <c r="P130" s="74" t="n"/>
      <c r="Q130" s="74" t="n"/>
      <c r="R130" s="74" t="n"/>
      <c r="S130" s="74" t="n"/>
      <c r="T130" s="74" t="n"/>
      <c r="U130" s="74" t="n"/>
      <c r="V130" s="74" t="n"/>
      <c r="W130" s="74" t="n"/>
      <c r="X130" s="74" t="n"/>
      <c r="Y130" s="74" t="n"/>
      <c r="Z130" s="74" t="n"/>
    </row>
    <row r="131" ht="15.75" customHeight="1" s="349">
      <c r="A131" s="74" t="n"/>
      <c r="B131" s="74" t="n"/>
      <c r="C131" s="74" t="n"/>
      <c r="D131" s="74" t="n"/>
      <c r="E131" s="74" t="n"/>
      <c r="F131" s="74" t="n"/>
      <c r="G131" s="74" t="n"/>
      <c r="H131" s="74" t="n"/>
      <c r="I131" s="74" t="n"/>
      <c r="J131" s="74" t="n"/>
      <c r="K131" s="74" t="n"/>
      <c r="L131" s="74" t="n"/>
      <c r="M131" s="74" t="n"/>
      <c r="N131" s="74" t="n"/>
      <c r="O131" s="74" t="n"/>
      <c r="P131" s="74" t="n"/>
      <c r="Q131" s="74" t="n"/>
      <c r="R131" s="74" t="n"/>
      <c r="S131" s="74" t="n"/>
      <c r="T131" s="74" t="n"/>
      <c r="U131" s="74" t="n"/>
      <c r="V131" s="74" t="n"/>
      <c r="W131" s="74" t="n"/>
      <c r="X131" s="74" t="n"/>
      <c r="Y131" s="74" t="n"/>
      <c r="Z131" s="74" t="n"/>
    </row>
    <row r="132" ht="15.75" customHeight="1" s="349">
      <c r="A132" s="74" t="n"/>
      <c r="B132" s="74" t="n"/>
      <c r="C132" s="74" t="n"/>
      <c r="D132" s="74" t="n"/>
      <c r="E132" s="74" t="n"/>
      <c r="F132" s="74" t="n"/>
      <c r="G132" s="74" t="n"/>
      <c r="H132" s="74" t="n"/>
      <c r="I132" s="74" t="n"/>
      <c r="J132" s="74" t="n"/>
      <c r="K132" s="74" t="n"/>
      <c r="L132" s="74" t="n"/>
      <c r="M132" s="74" t="n"/>
      <c r="N132" s="74" t="n"/>
      <c r="O132" s="74" t="n"/>
      <c r="P132" s="74" t="n"/>
      <c r="Q132" s="74" t="n"/>
      <c r="R132" s="74" t="n"/>
      <c r="S132" s="74" t="n"/>
      <c r="T132" s="74" t="n"/>
      <c r="U132" s="74" t="n"/>
      <c r="V132" s="74" t="n"/>
      <c r="W132" s="74" t="n"/>
      <c r="X132" s="74" t="n"/>
      <c r="Y132" s="74" t="n"/>
      <c r="Z132" s="74" t="n"/>
    </row>
    <row r="133" ht="15.75" customHeight="1" s="349">
      <c r="A133" s="74" t="n"/>
      <c r="B133" s="74" t="n"/>
      <c r="C133" s="74" t="n"/>
      <c r="D133" s="74" t="n"/>
      <c r="E133" s="74" t="n"/>
      <c r="F133" s="74" t="n"/>
      <c r="G133" s="74" t="n"/>
      <c r="H133" s="74" t="n"/>
      <c r="I133" s="74" t="n"/>
      <c r="J133" s="74" t="n"/>
      <c r="K133" s="74" t="n"/>
      <c r="L133" s="74" t="n"/>
      <c r="M133" s="74" t="n"/>
      <c r="N133" s="74" t="n"/>
      <c r="O133" s="74" t="n"/>
      <c r="P133" s="74" t="n"/>
      <c r="Q133" s="74" t="n"/>
      <c r="R133" s="74" t="n"/>
      <c r="S133" s="74" t="n"/>
      <c r="T133" s="74" t="n"/>
      <c r="U133" s="74" t="n"/>
      <c r="V133" s="74" t="n"/>
      <c r="W133" s="74" t="n"/>
      <c r="X133" s="74" t="n"/>
      <c r="Y133" s="74" t="n"/>
      <c r="Z133" s="74" t="n"/>
    </row>
    <row r="134" ht="15.75" customHeight="1" s="349">
      <c r="A134" s="74" t="n"/>
      <c r="B134" s="74" t="n"/>
      <c r="C134" s="74" t="n"/>
      <c r="D134" s="74" t="n"/>
      <c r="E134" s="74" t="n"/>
      <c r="F134" s="74" t="n"/>
      <c r="G134" s="74" t="n"/>
      <c r="H134" s="74" t="n"/>
      <c r="I134" s="74" t="n"/>
      <c r="J134" s="74" t="n"/>
      <c r="K134" s="74" t="n"/>
      <c r="L134" s="74" t="n"/>
      <c r="M134" s="74" t="n"/>
      <c r="N134" s="74" t="n"/>
      <c r="O134" s="74" t="n"/>
      <c r="P134" s="74" t="n"/>
      <c r="Q134" s="74" t="n"/>
      <c r="R134" s="74" t="n"/>
      <c r="S134" s="74" t="n"/>
      <c r="T134" s="74" t="n"/>
      <c r="U134" s="74" t="n"/>
      <c r="V134" s="74" t="n"/>
      <c r="W134" s="74" t="n"/>
      <c r="X134" s="74" t="n"/>
      <c r="Y134" s="74" t="n"/>
      <c r="Z134" s="74" t="n"/>
    </row>
    <row r="135" ht="15.75" customHeight="1" s="349">
      <c r="A135" s="74" t="n"/>
      <c r="B135" s="74" t="n"/>
      <c r="C135" s="74" t="n"/>
      <c r="D135" s="74" t="n"/>
      <c r="E135" s="74" t="n"/>
      <c r="F135" s="74" t="n"/>
      <c r="G135" s="74" t="n"/>
      <c r="H135" s="74" t="n"/>
      <c r="I135" s="74" t="n"/>
      <c r="J135" s="74" t="n"/>
      <c r="K135" s="74" t="n"/>
      <c r="L135" s="74" t="n"/>
      <c r="M135" s="74" t="n"/>
      <c r="N135" s="74" t="n"/>
      <c r="O135" s="74" t="n"/>
      <c r="P135" s="74" t="n"/>
      <c r="Q135" s="74" t="n"/>
      <c r="R135" s="74" t="n"/>
      <c r="S135" s="74" t="n"/>
      <c r="T135" s="74" t="n"/>
      <c r="U135" s="74" t="n"/>
      <c r="V135" s="74" t="n"/>
      <c r="W135" s="74" t="n"/>
      <c r="X135" s="74" t="n"/>
      <c r="Y135" s="74" t="n"/>
      <c r="Z135" s="74" t="n"/>
    </row>
    <row r="136" ht="15.75" customHeight="1" s="349">
      <c r="A136" s="74" t="n"/>
      <c r="B136" s="74" t="n"/>
      <c r="C136" s="74" t="n"/>
      <c r="D136" s="74" t="n"/>
      <c r="E136" s="74" t="n"/>
      <c r="F136" s="74" t="n"/>
      <c r="G136" s="74" t="n"/>
      <c r="H136" s="74" t="n"/>
      <c r="I136" s="74" t="n"/>
      <c r="J136" s="74" t="n"/>
      <c r="K136" s="74" t="n"/>
      <c r="L136" s="74" t="n"/>
      <c r="M136" s="74" t="n"/>
      <c r="N136" s="74" t="n"/>
      <c r="O136" s="74" t="n"/>
      <c r="P136" s="74" t="n"/>
      <c r="Q136" s="74" t="n"/>
      <c r="R136" s="74" t="n"/>
      <c r="S136" s="74" t="n"/>
      <c r="T136" s="74" t="n"/>
      <c r="U136" s="74" t="n"/>
      <c r="V136" s="74" t="n"/>
      <c r="W136" s="74" t="n"/>
      <c r="X136" s="74" t="n"/>
      <c r="Y136" s="74" t="n"/>
      <c r="Z136" s="74" t="n"/>
    </row>
    <row r="137" ht="15.75" customHeight="1" s="349">
      <c r="A137" s="74" t="n"/>
      <c r="B137" s="74" t="n"/>
      <c r="C137" s="74" t="n"/>
      <c r="D137" s="74" t="n"/>
      <c r="E137" s="74" t="n"/>
      <c r="F137" s="74" t="n"/>
      <c r="G137" s="74" t="n"/>
      <c r="H137" s="74" t="n"/>
      <c r="I137" s="74" t="n"/>
      <c r="J137" s="74" t="n"/>
      <c r="K137" s="74" t="n"/>
      <c r="L137" s="74" t="n"/>
      <c r="M137" s="74" t="n"/>
      <c r="N137" s="74" t="n"/>
      <c r="O137" s="74" t="n"/>
      <c r="P137" s="74" t="n"/>
      <c r="Q137" s="74" t="n"/>
      <c r="R137" s="74" t="n"/>
      <c r="S137" s="74" t="n"/>
      <c r="T137" s="74" t="n"/>
      <c r="U137" s="74" t="n"/>
      <c r="V137" s="74" t="n"/>
      <c r="W137" s="74" t="n"/>
      <c r="X137" s="74" t="n"/>
      <c r="Y137" s="74" t="n"/>
      <c r="Z137" s="74" t="n"/>
    </row>
    <row r="138" ht="15.75" customHeight="1" s="349">
      <c r="A138" s="74" t="n"/>
      <c r="B138" s="74" t="n"/>
      <c r="C138" s="74" t="n"/>
      <c r="D138" s="74" t="n"/>
      <c r="E138" s="74" t="n"/>
      <c r="F138" s="74" t="n"/>
      <c r="G138" s="74" t="n"/>
      <c r="H138" s="74" t="n"/>
      <c r="I138" s="74" t="n"/>
      <c r="J138" s="74" t="n"/>
      <c r="K138" s="74" t="n"/>
      <c r="L138" s="74" t="n"/>
      <c r="M138" s="74" t="n"/>
      <c r="N138" s="74" t="n"/>
      <c r="O138" s="74" t="n"/>
      <c r="P138" s="74" t="n"/>
      <c r="Q138" s="74" t="n"/>
      <c r="R138" s="74" t="n"/>
      <c r="S138" s="74" t="n"/>
      <c r="T138" s="74" t="n"/>
      <c r="U138" s="74" t="n"/>
      <c r="V138" s="74" t="n"/>
      <c r="W138" s="74" t="n"/>
      <c r="X138" s="74" t="n"/>
      <c r="Y138" s="74" t="n"/>
      <c r="Z138" s="74" t="n"/>
    </row>
    <row r="139" ht="15.75" customHeight="1" s="349">
      <c r="A139" s="74" t="n"/>
      <c r="B139" s="74" t="n"/>
      <c r="C139" s="74" t="n"/>
      <c r="D139" s="74" t="n"/>
      <c r="E139" s="74" t="n"/>
      <c r="F139" s="74" t="n"/>
      <c r="G139" s="74" t="n"/>
      <c r="H139" s="74" t="n"/>
      <c r="I139" s="74" t="n"/>
      <c r="J139" s="74" t="n"/>
      <c r="K139" s="74" t="n"/>
      <c r="L139" s="74" t="n"/>
      <c r="M139" s="74" t="n"/>
      <c r="N139" s="74" t="n"/>
      <c r="O139" s="74" t="n"/>
      <c r="P139" s="74" t="n"/>
      <c r="Q139" s="74" t="n"/>
      <c r="R139" s="74" t="n"/>
      <c r="S139" s="74" t="n"/>
      <c r="T139" s="74" t="n"/>
      <c r="U139" s="74" t="n"/>
      <c r="V139" s="74" t="n"/>
      <c r="W139" s="74" t="n"/>
      <c r="X139" s="74" t="n"/>
      <c r="Y139" s="74" t="n"/>
      <c r="Z139" s="74" t="n"/>
    </row>
    <row r="140" ht="15.75" customHeight="1" s="349">
      <c r="A140" s="74" t="n"/>
      <c r="B140" s="74" t="n"/>
      <c r="C140" s="74" t="n"/>
      <c r="D140" s="74" t="n"/>
      <c r="E140" s="74" t="n"/>
      <c r="F140" s="74" t="n"/>
      <c r="G140" s="74" t="n"/>
      <c r="H140" s="74" t="n"/>
      <c r="I140" s="74" t="n"/>
      <c r="J140" s="74" t="n"/>
      <c r="K140" s="74" t="n"/>
      <c r="L140" s="74" t="n"/>
      <c r="M140" s="74" t="n"/>
      <c r="N140" s="74" t="n"/>
      <c r="O140" s="74" t="n"/>
      <c r="P140" s="74" t="n"/>
      <c r="Q140" s="74" t="n"/>
      <c r="R140" s="74" t="n"/>
      <c r="S140" s="74" t="n"/>
      <c r="T140" s="74" t="n"/>
      <c r="U140" s="74" t="n"/>
      <c r="V140" s="74" t="n"/>
      <c r="W140" s="74" t="n"/>
      <c r="X140" s="74" t="n"/>
      <c r="Y140" s="74" t="n"/>
      <c r="Z140" s="74" t="n"/>
    </row>
    <row r="141" ht="15.75" customHeight="1" s="349">
      <c r="A141" s="74" t="n"/>
      <c r="B141" s="74" t="n"/>
      <c r="C141" s="74" t="n"/>
      <c r="D141" s="74" t="n"/>
      <c r="E141" s="74" t="n"/>
      <c r="F141" s="74" t="n"/>
      <c r="G141" s="74" t="n"/>
      <c r="H141" s="74" t="n"/>
      <c r="I141" s="74" t="n"/>
      <c r="J141" s="74" t="n"/>
      <c r="K141" s="74" t="n"/>
      <c r="L141" s="74" t="n"/>
      <c r="M141" s="74" t="n"/>
      <c r="N141" s="74" t="n"/>
      <c r="O141" s="74" t="n"/>
      <c r="P141" s="74" t="n"/>
      <c r="Q141" s="74" t="n"/>
      <c r="R141" s="74" t="n"/>
      <c r="S141" s="74" t="n"/>
      <c r="T141" s="74" t="n"/>
      <c r="U141" s="74" t="n"/>
      <c r="V141" s="74" t="n"/>
      <c r="W141" s="74" t="n"/>
      <c r="X141" s="74" t="n"/>
      <c r="Y141" s="74" t="n"/>
      <c r="Z141" s="74" t="n"/>
    </row>
    <row r="142" ht="15.75" customHeight="1" s="349">
      <c r="A142" s="74" t="n"/>
      <c r="B142" s="74" t="n"/>
      <c r="C142" s="74" t="n"/>
      <c r="D142" s="74" t="n"/>
      <c r="E142" s="74" t="n"/>
      <c r="F142" s="74" t="n"/>
      <c r="G142" s="74" t="n"/>
      <c r="H142" s="74" t="n"/>
      <c r="I142" s="74" t="n"/>
      <c r="J142" s="74" t="n"/>
      <c r="K142" s="74" t="n"/>
      <c r="L142" s="74" t="n"/>
      <c r="M142" s="74" t="n"/>
      <c r="N142" s="74" t="n"/>
      <c r="O142" s="74" t="n"/>
      <c r="P142" s="74" t="n"/>
      <c r="Q142" s="74" t="n"/>
      <c r="R142" s="74" t="n"/>
      <c r="S142" s="74" t="n"/>
      <c r="T142" s="74" t="n"/>
      <c r="U142" s="74" t="n"/>
      <c r="V142" s="74" t="n"/>
      <c r="W142" s="74" t="n"/>
      <c r="X142" s="74" t="n"/>
      <c r="Y142" s="74" t="n"/>
      <c r="Z142" s="74" t="n"/>
    </row>
    <row r="143" ht="15.75" customHeight="1" s="349">
      <c r="A143" s="74" t="n"/>
      <c r="B143" s="74" t="n"/>
      <c r="C143" s="74" t="n"/>
      <c r="D143" s="74" t="n"/>
      <c r="E143" s="74" t="n"/>
      <c r="F143" s="74" t="n"/>
      <c r="G143" s="74" t="n"/>
      <c r="H143" s="74" t="n"/>
      <c r="I143" s="74" t="n"/>
      <c r="J143" s="74" t="n"/>
      <c r="K143" s="74" t="n"/>
      <c r="L143" s="74" t="n"/>
      <c r="M143" s="74" t="n"/>
      <c r="N143" s="74" t="n"/>
      <c r="O143" s="74" t="n"/>
      <c r="P143" s="74" t="n"/>
      <c r="Q143" s="74" t="n"/>
      <c r="R143" s="74" t="n"/>
      <c r="S143" s="74" t="n"/>
      <c r="T143" s="74" t="n"/>
      <c r="U143" s="74" t="n"/>
      <c r="V143" s="74" t="n"/>
      <c r="W143" s="74" t="n"/>
      <c r="X143" s="74" t="n"/>
      <c r="Y143" s="74" t="n"/>
      <c r="Z143" s="74" t="n"/>
    </row>
    <row r="144" ht="15.75" customHeight="1" s="349">
      <c r="A144" s="74" t="n"/>
      <c r="B144" s="74" t="n"/>
      <c r="C144" s="74" t="n"/>
      <c r="D144" s="74" t="n"/>
      <c r="E144" s="74" t="n"/>
      <c r="F144" s="74" t="n"/>
      <c r="G144" s="74" t="n"/>
      <c r="H144" s="74" t="n"/>
      <c r="I144" s="74" t="n"/>
      <c r="J144" s="74" t="n"/>
      <c r="K144" s="74" t="n"/>
      <c r="L144" s="74" t="n"/>
      <c r="M144" s="74" t="n"/>
      <c r="N144" s="74" t="n"/>
      <c r="O144" s="74" t="n"/>
      <c r="P144" s="74" t="n"/>
      <c r="Q144" s="74" t="n"/>
      <c r="R144" s="74" t="n"/>
      <c r="S144" s="74" t="n"/>
      <c r="T144" s="74" t="n"/>
      <c r="U144" s="74" t="n"/>
      <c r="V144" s="74" t="n"/>
      <c r="W144" s="74" t="n"/>
      <c r="X144" s="74" t="n"/>
      <c r="Y144" s="74" t="n"/>
      <c r="Z144" s="74" t="n"/>
    </row>
    <row r="145" ht="15.75" customHeight="1" s="349">
      <c r="A145" s="74" t="n"/>
      <c r="B145" s="74" t="n"/>
      <c r="C145" s="74" t="n"/>
      <c r="D145" s="74" t="n"/>
      <c r="E145" s="74" t="n"/>
      <c r="F145" s="74" t="n"/>
      <c r="G145" s="74" t="n"/>
      <c r="H145" s="74" t="n"/>
      <c r="I145" s="74" t="n"/>
      <c r="J145" s="74" t="n"/>
      <c r="K145" s="74" t="n"/>
      <c r="L145" s="74" t="n"/>
      <c r="M145" s="74" t="n"/>
      <c r="N145" s="74" t="n"/>
      <c r="O145" s="74" t="n"/>
      <c r="P145" s="74" t="n"/>
      <c r="Q145" s="74" t="n"/>
      <c r="R145" s="74" t="n"/>
      <c r="S145" s="74" t="n"/>
      <c r="T145" s="74" t="n"/>
      <c r="U145" s="74" t="n"/>
      <c r="V145" s="74" t="n"/>
      <c r="W145" s="74" t="n"/>
      <c r="X145" s="74" t="n"/>
      <c r="Y145" s="74" t="n"/>
      <c r="Z145" s="74" t="n"/>
    </row>
    <row r="146" ht="15.75" customHeight="1" s="349">
      <c r="A146" s="74" t="n"/>
      <c r="B146" s="74" t="n"/>
      <c r="C146" s="74" t="n"/>
      <c r="D146" s="74" t="n"/>
      <c r="E146" s="74" t="n"/>
      <c r="F146" s="74" t="n"/>
      <c r="G146" s="74" t="n"/>
      <c r="H146" s="74" t="n"/>
      <c r="I146" s="74" t="n"/>
      <c r="J146" s="74" t="n"/>
      <c r="K146" s="74" t="n"/>
      <c r="L146" s="74" t="n"/>
      <c r="M146" s="74" t="n"/>
      <c r="N146" s="74" t="n"/>
      <c r="O146" s="74" t="n"/>
      <c r="P146" s="74" t="n"/>
      <c r="Q146" s="74" t="n"/>
      <c r="R146" s="74" t="n"/>
      <c r="S146" s="74" t="n"/>
      <c r="T146" s="74" t="n"/>
      <c r="U146" s="74" t="n"/>
      <c r="V146" s="74" t="n"/>
      <c r="W146" s="74" t="n"/>
      <c r="X146" s="74" t="n"/>
      <c r="Y146" s="74" t="n"/>
      <c r="Z146" s="74" t="n"/>
    </row>
    <row r="147" ht="15.75" customHeight="1" s="349">
      <c r="A147" s="74" t="n"/>
      <c r="B147" s="74" t="n"/>
      <c r="C147" s="74" t="n"/>
      <c r="D147" s="74" t="n"/>
      <c r="E147" s="74" t="n"/>
      <c r="F147" s="74" t="n"/>
      <c r="G147" s="74" t="n"/>
      <c r="H147" s="74" t="n"/>
      <c r="I147" s="74" t="n"/>
      <c r="J147" s="74" t="n"/>
      <c r="K147" s="74" t="n"/>
      <c r="L147" s="74" t="n"/>
      <c r="M147" s="74" t="n"/>
      <c r="N147" s="74" t="n"/>
      <c r="O147" s="74" t="n"/>
      <c r="P147" s="74" t="n"/>
      <c r="Q147" s="74" t="n"/>
      <c r="R147" s="74" t="n"/>
      <c r="S147" s="74" t="n"/>
      <c r="T147" s="74" t="n"/>
      <c r="U147" s="74" t="n"/>
      <c r="V147" s="74" t="n"/>
      <c r="W147" s="74" t="n"/>
      <c r="X147" s="74" t="n"/>
      <c r="Y147" s="74" t="n"/>
      <c r="Z147" s="74" t="n"/>
    </row>
    <row r="148" ht="15.75" customHeight="1" s="349">
      <c r="A148" s="74" t="n"/>
      <c r="B148" s="74" t="n"/>
      <c r="C148" s="74" t="n"/>
      <c r="D148" s="74" t="n"/>
      <c r="E148" s="74" t="n"/>
      <c r="F148" s="74" t="n"/>
      <c r="G148" s="74" t="n"/>
      <c r="H148" s="74" t="n"/>
      <c r="I148" s="74" t="n"/>
      <c r="J148" s="74" t="n"/>
      <c r="K148" s="74" t="n"/>
      <c r="L148" s="74" t="n"/>
      <c r="M148" s="74" t="n"/>
      <c r="N148" s="74" t="n"/>
      <c r="O148" s="74" t="n"/>
      <c r="P148" s="74" t="n"/>
      <c r="Q148" s="74" t="n"/>
      <c r="R148" s="74" t="n"/>
      <c r="S148" s="74" t="n"/>
      <c r="T148" s="74" t="n"/>
      <c r="U148" s="74" t="n"/>
      <c r="V148" s="74" t="n"/>
      <c r="W148" s="74" t="n"/>
      <c r="X148" s="74" t="n"/>
      <c r="Y148" s="74" t="n"/>
      <c r="Z148" s="74" t="n"/>
    </row>
    <row r="149" ht="15.75" customHeight="1" s="349">
      <c r="A149" s="74" t="n"/>
      <c r="B149" s="74" t="n"/>
      <c r="C149" s="74" t="n"/>
      <c r="D149" s="74" t="n"/>
      <c r="E149" s="74" t="n"/>
      <c r="F149" s="74" t="n"/>
      <c r="G149" s="74" t="n"/>
      <c r="H149" s="74" t="n"/>
      <c r="I149" s="74" t="n"/>
      <c r="J149" s="74" t="n"/>
      <c r="K149" s="74" t="n"/>
      <c r="L149" s="74" t="n"/>
      <c r="M149" s="74" t="n"/>
      <c r="N149" s="74" t="n"/>
      <c r="O149" s="74" t="n"/>
      <c r="P149" s="74" t="n"/>
      <c r="Q149" s="74" t="n"/>
      <c r="R149" s="74" t="n"/>
      <c r="S149" s="74" t="n"/>
      <c r="T149" s="74" t="n"/>
      <c r="U149" s="74" t="n"/>
      <c r="V149" s="74" t="n"/>
      <c r="W149" s="74" t="n"/>
      <c r="X149" s="74" t="n"/>
      <c r="Y149" s="74" t="n"/>
      <c r="Z149" s="74" t="n"/>
    </row>
    <row r="150" ht="15.75" customHeight="1" s="349">
      <c r="A150" s="74" t="n"/>
      <c r="B150" s="74" t="n"/>
      <c r="C150" s="74" t="n"/>
      <c r="D150" s="74" t="n"/>
      <c r="E150" s="74" t="n"/>
      <c r="F150" s="74" t="n"/>
      <c r="G150" s="74" t="n"/>
      <c r="H150" s="74" t="n"/>
      <c r="I150" s="74" t="n"/>
      <c r="J150" s="74" t="n"/>
      <c r="K150" s="74" t="n"/>
      <c r="L150" s="74" t="n"/>
      <c r="M150" s="74" t="n"/>
      <c r="N150" s="74" t="n"/>
      <c r="O150" s="74" t="n"/>
      <c r="P150" s="74" t="n"/>
      <c r="Q150" s="74" t="n"/>
      <c r="R150" s="74" t="n"/>
      <c r="S150" s="74" t="n"/>
      <c r="T150" s="74" t="n"/>
      <c r="U150" s="74" t="n"/>
      <c r="V150" s="74" t="n"/>
      <c r="W150" s="74" t="n"/>
      <c r="X150" s="74" t="n"/>
      <c r="Y150" s="74" t="n"/>
      <c r="Z150" s="74" t="n"/>
    </row>
    <row r="151" ht="15.75" customHeight="1" s="349">
      <c r="A151" s="74" t="n"/>
      <c r="B151" s="74" t="n"/>
      <c r="C151" s="74" t="n"/>
      <c r="D151" s="74" t="n"/>
      <c r="E151" s="74" t="n"/>
      <c r="F151" s="74" t="n"/>
      <c r="G151" s="74" t="n"/>
      <c r="H151" s="74" t="n"/>
      <c r="I151" s="74" t="n"/>
      <c r="J151" s="74" t="n"/>
      <c r="K151" s="74" t="n"/>
      <c r="L151" s="74" t="n"/>
      <c r="M151" s="74" t="n"/>
      <c r="N151" s="74" t="n"/>
      <c r="O151" s="74" t="n"/>
      <c r="P151" s="74" t="n"/>
      <c r="Q151" s="74" t="n"/>
      <c r="R151" s="74" t="n"/>
      <c r="S151" s="74" t="n"/>
      <c r="T151" s="74" t="n"/>
      <c r="U151" s="74" t="n"/>
      <c r="V151" s="74" t="n"/>
      <c r="W151" s="74" t="n"/>
      <c r="X151" s="74" t="n"/>
      <c r="Y151" s="74" t="n"/>
      <c r="Z151" s="74" t="n"/>
    </row>
    <row r="152" ht="15.75" customHeight="1" s="349">
      <c r="A152" s="74" t="n"/>
      <c r="B152" s="74" t="n"/>
      <c r="C152" s="74" t="n"/>
      <c r="D152" s="74" t="n"/>
      <c r="E152" s="74" t="n"/>
      <c r="F152" s="74" t="n"/>
      <c r="G152" s="74" t="n"/>
      <c r="H152" s="74" t="n"/>
      <c r="I152" s="74" t="n"/>
      <c r="J152" s="74" t="n"/>
      <c r="K152" s="74" t="n"/>
      <c r="L152" s="74" t="n"/>
      <c r="M152" s="74" t="n"/>
      <c r="N152" s="74" t="n"/>
      <c r="O152" s="74" t="n"/>
      <c r="P152" s="74" t="n"/>
      <c r="Q152" s="74" t="n"/>
      <c r="R152" s="74" t="n"/>
      <c r="S152" s="74" t="n"/>
      <c r="T152" s="74" t="n"/>
      <c r="U152" s="74" t="n"/>
      <c r="V152" s="74" t="n"/>
      <c r="W152" s="74" t="n"/>
      <c r="X152" s="74" t="n"/>
      <c r="Y152" s="74" t="n"/>
      <c r="Z152" s="74" t="n"/>
    </row>
    <row r="153" ht="15.75" customHeight="1" s="349">
      <c r="A153" s="74" t="n"/>
      <c r="B153" s="74" t="n"/>
      <c r="C153" s="74" t="n"/>
      <c r="D153" s="74" t="n"/>
      <c r="E153" s="74" t="n"/>
      <c r="F153" s="74" t="n"/>
      <c r="G153" s="74" t="n"/>
      <c r="H153" s="74" t="n"/>
      <c r="I153" s="74" t="n"/>
      <c r="J153" s="74" t="n"/>
      <c r="K153" s="74" t="n"/>
      <c r="L153" s="74" t="n"/>
      <c r="M153" s="74" t="n"/>
      <c r="N153" s="74" t="n"/>
      <c r="O153" s="74" t="n"/>
      <c r="P153" s="74" t="n"/>
      <c r="Q153" s="74" t="n"/>
      <c r="R153" s="74" t="n"/>
      <c r="S153" s="74" t="n"/>
      <c r="T153" s="74" t="n"/>
      <c r="U153" s="74" t="n"/>
      <c r="V153" s="74" t="n"/>
      <c r="W153" s="74" t="n"/>
      <c r="X153" s="74" t="n"/>
      <c r="Y153" s="74" t="n"/>
      <c r="Z153" s="74" t="n"/>
    </row>
    <row r="154" ht="15.75" customHeight="1" s="349">
      <c r="A154" s="74" t="n"/>
      <c r="B154" s="74" t="n"/>
      <c r="C154" s="74" t="n"/>
      <c r="D154" s="74" t="n"/>
      <c r="E154" s="74" t="n"/>
      <c r="F154" s="74" t="n"/>
      <c r="G154" s="74" t="n"/>
      <c r="H154" s="74" t="n"/>
      <c r="I154" s="74" t="n"/>
      <c r="J154" s="74" t="n"/>
      <c r="K154" s="74" t="n"/>
      <c r="L154" s="74" t="n"/>
      <c r="M154" s="74" t="n"/>
      <c r="N154" s="74" t="n"/>
      <c r="O154" s="74" t="n"/>
      <c r="P154" s="74" t="n"/>
      <c r="Q154" s="74" t="n"/>
      <c r="R154" s="74" t="n"/>
      <c r="S154" s="74" t="n"/>
      <c r="T154" s="74" t="n"/>
      <c r="U154" s="74" t="n"/>
      <c r="V154" s="74" t="n"/>
      <c r="W154" s="74" t="n"/>
      <c r="X154" s="74" t="n"/>
      <c r="Y154" s="74" t="n"/>
      <c r="Z154" s="74" t="n"/>
    </row>
    <row r="155" ht="15.75" customHeight="1" s="349">
      <c r="A155" s="74" t="n"/>
      <c r="B155" s="74" t="n"/>
      <c r="C155" s="74" t="n"/>
      <c r="D155" s="74" t="n"/>
      <c r="E155" s="74" t="n"/>
      <c r="F155" s="74" t="n"/>
      <c r="G155" s="74" t="n"/>
      <c r="H155" s="74" t="n"/>
      <c r="I155" s="74" t="n"/>
      <c r="J155" s="74" t="n"/>
      <c r="K155" s="74" t="n"/>
      <c r="L155" s="74" t="n"/>
      <c r="M155" s="74" t="n"/>
      <c r="N155" s="74" t="n"/>
      <c r="O155" s="74" t="n"/>
      <c r="P155" s="74" t="n"/>
      <c r="Q155" s="74" t="n"/>
      <c r="R155" s="74" t="n"/>
      <c r="S155" s="74" t="n"/>
      <c r="T155" s="74" t="n"/>
      <c r="U155" s="74" t="n"/>
      <c r="V155" s="74" t="n"/>
      <c r="W155" s="74" t="n"/>
      <c r="X155" s="74" t="n"/>
      <c r="Y155" s="74" t="n"/>
      <c r="Z155" s="74" t="n"/>
    </row>
    <row r="156" ht="15.75" customHeight="1" s="349">
      <c r="A156" s="74" t="n"/>
      <c r="B156" s="74" t="n"/>
      <c r="C156" s="74" t="n"/>
      <c r="D156" s="74" t="n"/>
      <c r="E156" s="74" t="n"/>
      <c r="F156" s="74" t="n"/>
      <c r="G156" s="74" t="n"/>
      <c r="H156" s="74" t="n"/>
      <c r="I156" s="74" t="n"/>
      <c r="J156" s="74" t="n"/>
      <c r="K156" s="74" t="n"/>
      <c r="L156" s="74" t="n"/>
      <c r="M156" s="74" t="n"/>
      <c r="N156" s="74" t="n"/>
      <c r="O156" s="74" t="n"/>
      <c r="P156" s="74" t="n"/>
      <c r="Q156" s="74" t="n"/>
      <c r="R156" s="74" t="n"/>
      <c r="S156" s="74" t="n"/>
      <c r="T156" s="74" t="n"/>
      <c r="U156" s="74" t="n"/>
      <c r="V156" s="74" t="n"/>
      <c r="W156" s="74" t="n"/>
      <c r="X156" s="74" t="n"/>
      <c r="Y156" s="74" t="n"/>
      <c r="Z156" s="74" t="n"/>
    </row>
    <row r="157" ht="15.75" customHeight="1" s="349">
      <c r="A157" s="74" t="n"/>
      <c r="B157" s="74" t="n"/>
      <c r="C157" s="74" t="n"/>
      <c r="D157" s="74" t="n"/>
      <c r="E157" s="74" t="n"/>
      <c r="F157" s="74" t="n"/>
      <c r="G157" s="74" t="n"/>
      <c r="H157" s="74" t="n"/>
      <c r="I157" s="74" t="n"/>
      <c r="J157" s="74" t="n"/>
      <c r="K157" s="74" t="n"/>
      <c r="L157" s="74" t="n"/>
      <c r="M157" s="74" t="n"/>
      <c r="N157" s="74" t="n"/>
      <c r="O157" s="74" t="n"/>
      <c r="P157" s="74" t="n"/>
      <c r="Q157" s="74" t="n"/>
      <c r="R157" s="74" t="n"/>
      <c r="S157" s="74" t="n"/>
      <c r="T157" s="74" t="n"/>
      <c r="U157" s="74" t="n"/>
      <c r="V157" s="74" t="n"/>
      <c r="W157" s="74" t="n"/>
      <c r="X157" s="74" t="n"/>
      <c r="Y157" s="74" t="n"/>
      <c r="Z157" s="74" t="n"/>
    </row>
    <row r="158" ht="15.75" customHeight="1" s="349">
      <c r="A158" s="74" t="n"/>
      <c r="B158" s="74" t="n"/>
      <c r="C158" s="74" t="n"/>
      <c r="D158" s="74" t="n"/>
      <c r="E158" s="74" t="n"/>
      <c r="F158" s="74" t="n"/>
      <c r="G158" s="74" t="n"/>
      <c r="H158" s="74" t="n"/>
      <c r="I158" s="74" t="n"/>
      <c r="J158" s="74" t="n"/>
      <c r="K158" s="74" t="n"/>
      <c r="L158" s="74" t="n"/>
      <c r="M158" s="74" t="n"/>
      <c r="N158" s="74" t="n"/>
      <c r="O158" s="74" t="n"/>
      <c r="P158" s="74" t="n"/>
      <c r="Q158" s="74" t="n"/>
      <c r="R158" s="74" t="n"/>
      <c r="S158" s="74" t="n"/>
      <c r="T158" s="74" t="n"/>
      <c r="U158" s="74" t="n"/>
      <c r="V158" s="74" t="n"/>
      <c r="W158" s="74" t="n"/>
      <c r="X158" s="74" t="n"/>
      <c r="Y158" s="74" t="n"/>
      <c r="Z158" s="74" t="n"/>
    </row>
    <row r="159" ht="15.75" customHeight="1" s="349">
      <c r="A159" s="74" t="n"/>
      <c r="B159" s="74" t="n"/>
      <c r="C159" s="74" t="n"/>
      <c r="D159" s="74" t="n"/>
      <c r="E159" s="74" t="n"/>
      <c r="F159" s="74" t="n"/>
      <c r="G159" s="74" t="n"/>
      <c r="H159" s="74" t="n"/>
      <c r="I159" s="74" t="n"/>
      <c r="J159" s="74" t="n"/>
      <c r="K159" s="74" t="n"/>
      <c r="L159" s="74" t="n"/>
      <c r="M159" s="74" t="n"/>
      <c r="N159" s="74" t="n"/>
      <c r="O159" s="74" t="n"/>
      <c r="P159" s="74" t="n"/>
      <c r="Q159" s="74" t="n"/>
      <c r="R159" s="74" t="n"/>
      <c r="S159" s="74" t="n"/>
      <c r="T159" s="74" t="n"/>
      <c r="U159" s="74" t="n"/>
      <c r="V159" s="74" t="n"/>
      <c r="W159" s="74" t="n"/>
      <c r="X159" s="74" t="n"/>
      <c r="Y159" s="74" t="n"/>
      <c r="Z159" s="74" t="n"/>
    </row>
    <row r="160" ht="15.75" customHeight="1" s="349">
      <c r="A160" s="74" t="n"/>
      <c r="B160" s="74" t="n"/>
      <c r="C160" s="74" t="n"/>
      <c r="D160" s="74" t="n"/>
      <c r="E160" s="74" t="n"/>
      <c r="F160" s="74" t="n"/>
      <c r="G160" s="74" t="n"/>
      <c r="H160" s="74" t="n"/>
      <c r="I160" s="74" t="n"/>
      <c r="J160" s="74" t="n"/>
      <c r="K160" s="74" t="n"/>
      <c r="L160" s="74" t="n"/>
      <c r="M160" s="74" t="n"/>
      <c r="N160" s="74" t="n"/>
      <c r="O160" s="74" t="n"/>
      <c r="P160" s="74" t="n"/>
      <c r="Q160" s="74" t="n"/>
      <c r="R160" s="74" t="n"/>
      <c r="S160" s="74" t="n"/>
      <c r="T160" s="74" t="n"/>
      <c r="U160" s="74" t="n"/>
      <c r="V160" s="74" t="n"/>
      <c r="W160" s="74" t="n"/>
      <c r="X160" s="74" t="n"/>
      <c r="Y160" s="74" t="n"/>
      <c r="Z160" s="74" t="n"/>
    </row>
    <row r="161" ht="15.75" customHeight="1" s="349">
      <c r="A161" s="74" t="n"/>
      <c r="B161" s="74" t="n"/>
      <c r="C161" s="74" t="n"/>
      <c r="D161" s="74" t="n"/>
      <c r="E161" s="74" t="n"/>
      <c r="F161" s="74" t="n"/>
      <c r="G161" s="74" t="n"/>
      <c r="H161" s="74" t="n"/>
      <c r="I161" s="74" t="n"/>
      <c r="J161" s="74" t="n"/>
      <c r="K161" s="74" t="n"/>
      <c r="L161" s="74" t="n"/>
      <c r="M161" s="74" t="n"/>
      <c r="N161" s="74" t="n"/>
      <c r="O161" s="74" t="n"/>
      <c r="P161" s="74" t="n"/>
      <c r="Q161" s="74" t="n"/>
      <c r="R161" s="74" t="n"/>
      <c r="S161" s="74" t="n"/>
      <c r="T161" s="74" t="n"/>
      <c r="U161" s="74" t="n"/>
      <c r="V161" s="74" t="n"/>
      <c r="W161" s="74" t="n"/>
      <c r="X161" s="74" t="n"/>
      <c r="Y161" s="74" t="n"/>
      <c r="Z161" s="74" t="n"/>
    </row>
    <row r="162" ht="15.75" customHeight="1" s="349">
      <c r="A162" s="74" t="n"/>
      <c r="B162" s="74" t="n"/>
      <c r="C162" s="74" t="n"/>
      <c r="D162" s="74" t="n"/>
      <c r="E162" s="74" t="n"/>
      <c r="F162" s="74" t="n"/>
      <c r="G162" s="74" t="n"/>
      <c r="H162" s="74" t="n"/>
      <c r="I162" s="74" t="n"/>
      <c r="J162" s="74" t="n"/>
      <c r="K162" s="74" t="n"/>
      <c r="L162" s="74" t="n"/>
      <c r="M162" s="74" t="n"/>
      <c r="N162" s="74" t="n"/>
      <c r="O162" s="74" t="n"/>
      <c r="P162" s="74" t="n"/>
      <c r="Q162" s="74" t="n"/>
      <c r="R162" s="74" t="n"/>
      <c r="S162" s="74" t="n"/>
      <c r="T162" s="74" t="n"/>
      <c r="U162" s="74" t="n"/>
      <c r="V162" s="74" t="n"/>
      <c r="W162" s="74" t="n"/>
      <c r="X162" s="74" t="n"/>
      <c r="Y162" s="74" t="n"/>
      <c r="Z162" s="74" t="n"/>
    </row>
    <row r="163" ht="15.75" customHeight="1" s="349">
      <c r="A163" s="74" t="n"/>
      <c r="B163" s="74" t="n"/>
      <c r="C163" s="74" t="n"/>
      <c r="D163" s="74" t="n"/>
      <c r="E163" s="74" t="n"/>
      <c r="F163" s="74" t="n"/>
      <c r="G163" s="74" t="n"/>
      <c r="H163" s="74" t="n"/>
      <c r="I163" s="74" t="n"/>
      <c r="J163" s="74" t="n"/>
      <c r="K163" s="74" t="n"/>
      <c r="L163" s="74" t="n"/>
      <c r="M163" s="74" t="n"/>
      <c r="N163" s="74" t="n"/>
      <c r="O163" s="74" t="n"/>
      <c r="P163" s="74" t="n"/>
      <c r="Q163" s="74" t="n"/>
      <c r="R163" s="74" t="n"/>
      <c r="S163" s="74" t="n"/>
      <c r="T163" s="74" t="n"/>
      <c r="U163" s="74" t="n"/>
      <c r="V163" s="74" t="n"/>
      <c r="W163" s="74" t="n"/>
      <c r="X163" s="74" t="n"/>
      <c r="Y163" s="74" t="n"/>
      <c r="Z163" s="74" t="n"/>
    </row>
    <row r="164" ht="15.75" customHeight="1" s="349">
      <c r="A164" s="74" t="n"/>
      <c r="B164" s="74" t="n"/>
      <c r="C164" s="74" t="n"/>
      <c r="D164" s="74" t="n"/>
      <c r="E164" s="74" t="n"/>
      <c r="F164" s="74" t="n"/>
      <c r="G164" s="74" t="n"/>
      <c r="H164" s="74" t="n"/>
      <c r="I164" s="74" t="n"/>
      <c r="J164" s="74" t="n"/>
      <c r="K164" s="74" t="n"/>
      <c r="L164" s="74" t="n"/>
      <c r="M164" s="74" t="n"/>
      <c r="N164" s="74" t="n"/>
      <c r="O164" s="74" t="n"/>
      <c r="P164" s="74" t="n"/>
      <c r="Q164" s="74" t="n"/>
      <c r="R164" s="74" t="n"/>
      <c r="S164" s="74" t="n"/>
      <c r="T164" s="74" t="n"/>
      <c r="U164" s="74" t="n"/>
      <c r="V164" s="74" t="n"/>
      <c r="W164" s="74" t="n"/>
      <c r="X164" s="74" t="n"/>
      <c r="Y164" s="74" t="n"/>
      <c r="Z164" s="74" t="n"/>
    </row>
    <row r="165" ht="15.75" customHeight="1" s="349">
      <c r="A165" s="74" t="n"/>
      <c r="B165" s="74" t="n"/>
      <c r="C165" s="74" t="n"/>
      <c r="D165" s="74" t="n"/>
      <c r="E165" s="74" t="n"/>
      <c r="F165" s="74" t="n"/>
      <c r="G165" s="74" t="n"/>
      <c r="H165" s="74" t="n"/>
      <c r="I165" s="74" t="n"/>
      <c r="J165" s="74" t="n"/>
      <c r="K165" s="74" t="n"/>
      <c r="L165" s="74" t="n"/>
      <c r="M165" s="74" t="n"/>
      <c r="N165" s="74" t="n"/>
      <c r="O165" s="74" t="n"/>
      <c r="P165" s="74" t="n"/>
      <c r="Q165" s="74" t="n"/>
      <c r="R165" s="74" t="n"/>
      <c r="S165" s="74" t="n"/>
      <c r="T165" s="74" t="n"/>
      <c r="U165" s="74" t="n"/>
      <c r="V165" s="74" t="n"/>
      <c r="W165" s="74" t="n"/>
      <c r="X165" s="74" t="n"/>
      <c r="Y165" s="74" t="n"/>
      <c r="Z165" s="74" t="n"/>
    </row>
    <row r="166" ht="15.75" customHeight="1" s="349">
      <c r="A166" s="74" t="n"/>
      <c r="B166" s="74" t="n"/>
      <c r="C166" s="74" t="n"/>
      <c r="D166" s="74" t="n"/>
      <c r="E166" s="74" t="n"/>
      <c r="F166" s="74" t="n"/>
      <c r="G166" s="74" t="n"/>
      <c r="H166" s="74" t="n"/>
      <c r="I166" s="74" t="n"/>
      <c r="J166" s="74" t="n"/>
      <c r="K166" s="74" t="n"/>
      <c r="L166" s="74" t="n"/>
      <c r="M166" s="74" t="n"/>
      <c r="N166" s="74" t="n"/>
      <c r="O166" s="74" t="n"/>
      <c r="P166" s="74" t="n"/>
      <c r="Q166" s="74" t="n"/>
      <c r="R166" s="74" t="n"/>
      <c r="S166" s="74" t="n"/>
      <c r="T166" s="74" t="n"/>
      <c r="U166" s="74" t="n"/>
      <c r="V166" s="74" t="n"/>
      <c r="W166" s="74" t="n"/>
      <c r="X166" s="74" t="n"/>
      <c r="Y166" s="74" t="n"/>
      <c r="Z166" s="74" t="n"/>
    </row>
    <row r="167" ht="15.75" customHeight="1" s="349">
      <c r="A167" s="74" t="n"/>
      <c r="B167" s="74" t="n"/>
      <c r="C167" s="74" t="n"/>
      <c r="D167" s="74" t="n"/>
      <c r="E167" s="74" t="n"/>
      <c r="F167" s="74" t="n"/>
      <c r="G167" s="74" t="n"/>
      <c r="H167" s="74" t="n"/>
      <c r="I167" s="74" t="n"/>
      <c r="J167" s="74" t="n"/>
      <c r="K167" s="74" t="n"/>
      <c r="L167" s="74" t="n"/>
      <c r="M167" s="74" t="n"/>
      <c r="N167" s="74" t="n"/>
      <c r="O167" s="74" t="n"/>
      <c r="P167" s="74" t="n"/>
      <c r="Q167" s="74" t="n"/>
      <c r="R167" s="74" t="n"/>
      <c r="S167" s="74" t="n"/>
      <c r="T167" s="74" t="n"/>
      <c r="U167" s="74" t="n"/>
      <c r="V167" s="74" t="n"/>
      <c r="W167" s="74" t="n"/>
      <c r="X167" s="74" t="n"/>
      <c r="Y167" s="74" t="n"/>
      <c r="Z167" s="74" t="n"/>
    </row>
    <row r="168" ht="15.75" customHeight="1" s="349">
      <c r="A168" s="74" t="n"/>
      <c r="B168" s="74" t="n"/>
      <c r="C168" s="74" t="n"/>
      <c r="D168" s="74" t="n"/>
      <c r="E168" s="74" t="n"/>
      <c r="F168" s="74" t="n"/>
      <c r="G168" s="74" t="n"/>
      <c r="H168" s="74" t="n"/>
      <c r="I168" s="74" t="n"/>
      <c r="J168" s="74" t="n"/>
      <c r="K168" s="74" t="n"/>
      <c r="L168" s="74" t="n"/>
      <c r="M168" s="74" t="n"/>
      <c r="N168" s="74" t="n"/>
      <c r="O168" s="74" t="n"/>
      <c r="P168" s="74" t="n"/>
      <c r="Q168" s="74" t="n"/>
      <c r="R168" s="74" t="n"/>
      <c r="S168" s="74" t="n"/>
      <c r="T168" s="74" t="n"/>
      <c r="U168" s="74" t="n"/>
      <c r="V168" s="74" t="n"/>
      <c r="W168" s="74" t="n"/>
      <c r="X168" s="74" t="n"/>
      <c r="Y168" s="74" t="n"/>
      <c r="Z168" s="74" t="n"/>
    </row>
    <row r="169" ht="15.75" customHeight="1" s="349">
      <c r="A169" s="74" t="n"/>
      <c r="B169" s="74" t="n"/>
      <c r="C169" s="74" t="n"/>
      <c r="D169" s="74" t="n"/>
      <c r="E169" s="74" t="n"/>
      <c r="F169" s="74" t="n"/>
      <c r="G169" s="74" t="n"/>
      <c r="H169" s="74" t="n"/>
      <c r="I169" s="74" t="n"/>
      <c r="J169" s="74" t="n"/>
      <c r="K169" s="74" t="n"/>
      <c r="L169" s="74" t="n"/>
      <c r="M169" s="74" t="n"/>
      <c r="N169" s="74" t="n"/>
      <c r="O169" s="74" t="n"/>
      <c r="P169" s="74" t="n"/>
      <c r="Q169" s="74" t="n"/>
      <c r="R169" s="74" t="n"/>
      <c r="S169" s="74" t="n"/>
      <c r="T169" s="74" t="n"/>
      <c r="U169" s="74" t="n"/>
      <c r="V169" s="74" t="n"/>
      <c r="W169" s="74" t="n"/>
      <c r="X169" s="74" t="n"/>
      <c r="Y169" s="74" t="n"/>
      <c r="Z169" s="74" t="n"/>
    </row>
    <row r="170" ht="15.75" customHeight="1" s="349">
      <c r="A170" s="74" t="n"/>
      <c r="B170" s="74" t="n"/>
      <c r="C170" s="74" t="n"/>
      <c r="D170" s="74" t="n"/>
      <c r="E170" s="74" t="n"/>
      <c r="F170" s="74" t="n"/>
      <c r="G170" s="74" t="n"/>
      <c r="H170" s="74" t="n"/>
      <c r="I170" s="74" t="n"/>
      <c r="J170" s="74" t="n"/>
      <c r="K170" s="74" t="n"/>
      <c r="L170" s="74" t="n"/>
      <c r="M170" s="74" t="n"/>
      <c r="N170" s="74" t="n"/>
      <c r="O170" s="74" t="n"/>
      <c r="P170" s="74" t="n"/>
      <c r="Q170" s="74" t="n"/>
      <c r="R170" s="74" t="n"/>
      <c r="S170" s="74" t="n"/>
      <c r="T170" s="74" t="n"/>
      <c r="U170" s="74" t="n"/>
      <c r="V170" s="74" t="n"/>
      <c r="W170" s="74" t="n"/>
      <c r="X170" s="74" t="n"/>
      <c r="Y170" s="74" t="n"/>
      <c r="Z170" s="74" t="n"/>
    </row>
    <row r="171" ht="15.75" customHeight="1" s="349">
      <c r="A171" s="74" t="n"/>
      <c r="B171" s="74" t="n"/>
      <c r="C171" s="74" t="n"/>
      <c r="D171" s="74" t="n"/>
      <c r="E171" s="74" t="n"/>
      <c r="F171" s="74" t="n"/>
      <c r="G171" s="74" t="n"/>
      <c r="H171" s="74" t="n"/>
      <c r="I171" s="74" t="n"/>
      <c r="J171" s="74" t="n"/>
      <c r="K171" s="74" t="n"/>
      <c r="L171" s="74" t="n"/>
      <c r="M171" s="74" t="n"/>
      <c r="N171" s="74" t="n"/>
      <c r="O171" s="74" t="n"/>
      <c r="P171" s="74" t="n"/>
      <c r="Q171" s="74" t="n"/>
      <c r="R171" s="74" t="n"/>
      <c r="S171" s="74" t="n"/>
      <c r="T171" s="74" t="n"/>
      <c r="U171" s="74" t="n"/>
      <c r="V171" s="74" t="n"/>
      <c r="W171" s="74" t="n"/>
      <c r="X171" s="74" t="n"/>
      <c r="Y171" s="74" t="n"/>
      <c r="Z171" s="74" t="n"/>
    </row>
    <row r="172" ht="15.75" customHeight="1" s="349">
      <c r="A172" s="74" t="n"/>
      <c r="B172" s="74" t="n"/>
      <c r="C172" s="74" t="n"/>
      <c r="D172" s="74" t="n"/>
      <c r="E172" s="74" t="n"/>
      <c r="F172" s="74" t="n"/>
      <c r="G172" s="74" t="n"/>
      <c r="H172" s="74" t="n"/>
      <c r="I172" s="74" t="n"/>
      <c r="J172" s="74" t="n"/>
      <c r="K172" s="74" t="n"/>
      <c r="L172" s="74" t="n"/>
      <c r="M172" s="74" t="n"/>
      <c r="N172" s="74" t="n"/>
      <c r="O172" s="74" t="n"/>
      <c r="P172" s="74" t="n"/>
      <c r="Q172" s="74" t="n"/>
      <c r="R172" s="74" t="n"/>
      <c r="S172" s="74" t="n"/>
      <c r="T172" s="74" t="n"/>
      <c r="U172" s="74" t="n"/>
      <c r="V172" s="74" t="n"/>
      <c r="W172" s="74" t="n"/>
      <c r="X172" s="74" t="n"/>
      <c r="Y172" s="74" t="n"/>
      <c r="Z172" s="74" t="n"/>
    </row>
    <row r="173" ht="15.75" customHeight="1" s="349">
      <c r="A173" s="74" t="n"/>
      <c r="B173" s="74" t="n"/>
      <c r="C173" s="74" t="n"/>
      <c r="D173" s="74" t="n"/>
      <c r="E173" s="74" t="n"/>
      <c r="F173" s="74" t="n"/>
      <c r="G173" s="74" t="n"/>
      <c r="H173" s="74" t="n"/>
      <c r="I173" s="74" t="n"/>
      <c r="J173" s="74" t="n"/>
      <c r="K173" s="74" t="n"/>
      <c r="L173" s="74" t="n"/>
      <c r="M173" s="74" t="n"/>
      <c r="N173" s="74" t="n"/>
      <c r="O173" s="74" t="n"/>
      <c r="P173" s="74" t="n"/>
      <c r="Q173" s="74" t="n"/>
      <c r="R173" s="74" t="n"/>
      <c r="S173" s="74" t="n"/>
      <c r="T173" s="74" t="n"/>
      <c r="U173" s="74" t="n"/>
      <c r="V173" s="74" t="n"/>
      <c r="W173" s="74" t="n"/>
      <c r="X173" s="74" t="n"/>
      <c r="Y173" s="74" t="n"/>
      <c r="Z173" s="74" t="n"/>
    </row>
    <row r="174" ht="15.75" customHeight="1" s="349">
      <c r="A174" s="74" t="n"/>
      <c r="B174" s="74" t="n"/>
      <c r="C174" s="74" t="n"/>
      <c r="D174" s="74" t="n"/>
      <c r="E174" s="74" t="n"/>
      <c r="F174" s="74" t="n"/>
      <c r="G174" s="74" t="n"/>
      <c r="H174" s="74" t="n"/>
      <c r="I174" s="74" t="n"/>
      <c r="J174" s="74" t="n"/>
      <c r="K174" s="74" t="n"/>
      <c r="L174" s="74" t="n"/>
      <c r="M174" s="74" t="n"/>
      <c r="N174" s="74" t="n"/>
      <c r="O174" s="74" t="n"/>
      <c r="P174" s="74" t="n"/>
      <c r="Q174" s="74" t="n"/>
      <c r="R174" s="74" t="n"/>
      <c r="S174" s="74" t="n"/>
      <c r="T174" s="74" t="n"/>
      <c r="U174" s="74" t="n"/>
      <c r="V174" s="74" t="n"/>
      <c r="W174" s="74" t="n"/>
      <c r="X174" s="74" t="n"/>
      <c r="Y174" s="74" t="n"/>
      <c r="Z174" s="74" t="n"/>
    </row>
    <row r="175" ht="15.75" customHeight="1" s="349">
      <c r="A175" s="74" t="n"/>
      <c r="B175" s="74" t="n"/>
      <c r="C175" s="74" t="n"/>
      <c r="D175" s="74" t="n"/>
      <c r="E175" s="74" t="n"/>
      <c r="F175" s="74" t="n"/>
      <c r="G175" s="74" t="n"/>
      <c r="H175" s="74" t="n"/>
      <c r="I175" s="74" t="n"/>
      <c r="J175" s="74" t="n"/>
      <c r="K175" s="74" t="n"/>
      <c r="L175" s="74" t="n"/>
      <c r="M175" s="74" t="n"/>
      <c r="N175" s="74" t="n"/>
      <c r="O175" s="74" t="n"/>
      <c r="P175" s="74" t="n"/>
      <c r="Q175" s="74" t="n"/>
      <c r="R175" s="74" t="n"/>
      <c r="S175" s="74" t="n"/>
      <c r="T175" s="74" t="n"/>
      <c r="U175" s="74" t="n"/>
      <c r="V175" s="74" t="n"/>
      <c r="W175" s="74" t="n"/>
      <c r="X175" s="74" t="n"/>
      <c r="Y175" s="74" t="n"/>
      <c r="Z175" s="74" t="n"/>
    </row>
    <row r="176" ht="15.75" customHeight="1" s="349">
      <c r="A176" s="74" t="n"/>
      <c r="B176" s="74" t="n"/>
      <c r="C176" s="74" t="n"/>
      <c r="D176" s="74" t="n"/>
      <c r="E176" s="74" t="n"/>
      <c r="F176" s="74" t="n"/>
      <c r="G176" s="74" t="n"/>
      <c r="H176" s="74" t="n"/>
      <c r="I176" s="74" t="n"/>
      <c r="J176" s="74" t="n"/>
      <c r="K176" s="74" t="n"/>
      <c r="L176" s="74" t="n"/>
      <c r="M176" s="74" t="n"/>
      <c r="N176" s="74" t="n"/>
      <c r="O176" s="74" t="n"/>
      <c r="P176" s="74" t="n"/>
      <c r="Q176" s="74" t="n"/>
      <c r="R176" s="74" t="n"/>
      <c r="S176" s="74" t="n"/>
      <c r="T176" s="74" t="n"/>
      <c r="U176" s="74" t="n"/>
      <c r="V176" s="74" t="n"/>
      <c r="W176" s="74" t="n"/>
      <c r="X176" s="74" t="n"/>
      <c r="Y176" s="74" t="n"/>
      <c r="Z176" s="74" t="n"/>
    </row>
    <row r="177" ht="15.75" customHeight="1" s="349">
      <c r="A177" s="74" t="n"/>
      <c r="B177" s="74" t="n"/>
      <c r="C177" s="74" t="n"/>
      <c r="D177" s="74" t="n"/>
      <c r="E177" s="74" t="n"/>
      <c r="F177" s="74" t="n"/>
      <c r="G177" s="74" t="n"/>
      <c r="H177" s="74" t="n"/>
      <c r="I177" s="74" t="n"/>
      <c r="J177" s="74" t="n"/>
      <c r="K177" s="74" t="n"/>
      <c r="L177" s="74" t="n"/>
      <c r="M177" s="74" t="n"/>
      <c r="N177" s="74" t="n"/>
      <c r="O177" s="74" t="n"/>
      <c r="P177" s="74" t="n"/>
      <c r="Q177" s="74" t="n"/>
      <c r="R177" s="74" t="n"/>
      <c r="S177" s="74" t="n"/>
      <c r="T177" s="74" t="n"/>
      <c r="U177" s="74" t="n"/>
      <c r="V177" s="74" t="n"/>
      <c r="W177" s="74" t="n"/>
      <c r="X177" s="74" t="n"/>
      <c r="Y177" s="74" t="n"/>
      <c r="Z177" s="74" t="n"/>
    </row>
    <row r="178" ht="15.75" customHeight="1" s="349">
      <c r="A178" s="74" t="n"/>
      <c r="B178" s="74" t="n"/>
      <c r="C178" s="74" t="n"/>
      <c r="D178" s="74" t="n"/>
      <c r="E178" s="74" t="n"/>
      <c r="F178" s="74" t="n"/>
      <c r="G178" s="74" t="n"/>
      <c r="H178" s="74" t="n"/>
      <c r="I178" s="74" t="n"/>
      <c r="J178" s="74" t="n"/>
      <c r="K178" s="74" t="n"/>
      <c r="L178" s="74" t="n"/>
      <c r="M178" s="74" t="n"/>
      <c r="N178" s="74" t="n"/>
      <c r="O178" s="74" t="n"/>
      <c r="P178" s="74" t="n"/>
      <c r="Q178" s="74" t="n"/>
      <c r="R178" s="74" t="n"/>
      <c r="S178" s="74" t="n"/>
      <c r="T178" s="74" t="n"/>
      <c r="U178" s="74" t="n"/>
      <c r="V178" s="74" t="n"/>
      <c r="W178" s="74" t="n"/>
      <c r="X178" s="74" t="n"/>
      <c r="Y178" s="74" t="n"/>
      <c r="Z178" s="74" t="n"/>
    </row>
    <row r="179" ht="15.75" customHeight="1" s="349">
      <c r="A179" s="74" t="n"/>
      <c r="B179" s="74" t="n"/>
      <c r="C179" s="74" t="n"/>
      <c r="D179" s="74" t="n"/>
      <c r="E179" s="74" t="n"/>
      <c r="F179" s="74" t="n"/>
      <c r="G179" s="74" t="n"/>
      <c r="H179" s="74" t="n"/>
      <c r="I179" s="74" t="n"/>
      <c r="J179" s="74" t="n"/>
      <c r="K179" s="74" t="n"/>
      <c r="L179" s="74" t="n"/>
      <c r="M179" s="74" t="n"/>
      <c r="N179" s="74" t="n"/>
      <c r="O179" s="74" t="n"/>
      <c r="P179" s="74" t="n"/>
      <c r="Q179" s="74" t="n"/>
      <c r="R179" s="74" t="n"/>
      <c r="S179" s="74" t="n"/>
      <c r="T179" s="74" t="n"/>
      <c r="U179" s="74" t="n"/>
      <c r="V179" s="74" t="n"/>
      <c r="W179" s="74" t="n"/>
      <c r="X179" s="74" t="n"/>
      <c r="Y179" s="74" t="n"/>
      <c r="Z179" s="74" t="n"/>
    </row>
    <row r="180" ht="15.75" customHeight="1" s="349">
      <c r="A180" s="74" t="n"/>
      <c r="B180" s="74" t="n"/>
      <c r="C180" s="74" t="n"/>
      <c r="D180" s="74" t="n"/>
      <c r="E180" s="74" t="n"/>
      <c r="F180" s="74" t="n"/>
      <c r="G180" s="74" t="n"/>
      <c r="H180" s="74" t="n"/>
      <c r="I180" s="74" t="n"/>
      <c r="J180" s="74" t="n"/>
      <c r="K180" s="74" t="n"/>
      <c r="L180" s="74" t="n"/>
      <c r="M180" s="74" t="n"/>
      <c r="N180" s="74" t="n"/>
      <c r="O180" s="74" t="n"/>
      <c r="P180" s="74" t="n"/>
      <c r="Q180" s="74" t="n"/>
      <c r="R180" s="74" t="n"/>
      <c r="S180" s="74" t="n"/>
      <c r="T180" s="74" t="n"/>
      <c r="U180" s="74" t="n"/>
      <c r="V180" s="74" t="n"/>
      <c r="W180" s="74" t="n"/>
      <c r="X180" s="74" t="n"/>
      <c r="Y180" s="74" t="n"/>
      <c r="Z180" s="74" t="n"/>
    </row>
    <row r="181" ht="15.75" customHeight="1" s="349">
      <c r="A181" s="74" t="n"/>
      <c r="B181" s="74" t="n"/>
      <c r="C181" s="74" t="n"/>
      <c r="D181" s="74" t="n"/>
      <c r="E181" s="74" t="n"/>
      <c r="F181" s="74" t="n"/>
      <c r="G181" s="74" t="n"/>
      <c r="H181" s="74" t="n"/>
      <c r="I181" s="74" t="n"/>
      <c r="J181" s="74" t="n"/>
      <c r="K181" s="74" t="n"/>
      <c r="L181" s="74" t="n"/>
      <c r="M181" s="74" t="n"/>
      <c r="N181" s="74" t="n"/>
      <c r="O181" s="74" t="n"/>
      <c r="P181" s="74" t="n"/>
      <c r="Q181" s="74" t="n"/>
      <c r="R181" s="74" t="n"/>
      <c r="S181" s="74" t="n"/>
      <c r="T181" s="74" t="n"/>
      <c r="U181" s="74" t="n"/>
      <c r="V181" s="74" t="n"/>
      <c r="W181" s="74" t="n"/>
      <c r="X181" s="74" t="n"/>
      <c r="Y181" s="74" t="n"/>
      <c r="Z181" s="74" t="n"/>
    </row>
    <row r="182" ht="15.75" customHeight="1" s="349">
      <c r="A182" s="74" t="n"/>
      <c r="B182" s="74" t="n"/>
      <c r="C182" s="74" t="n"/>
      <c r="D182" s="74" t="n"/>
      <c r="E182" s="74" t="n"/>
      <c r="F182" s="74" t="n"/>
      <c r="G182" s="74" t="n"/>
      <c r="H182" s="74" t="n"/>
      <c r="I182" s="74" t="n"/>
      <c r="J182" s="74" t="n"/>
      <c r="K182" s="74" t="n"/>
      <c r="L182" s="74" t="n"/>
      <c r="M182" s="74" t="n"/>
      <c r="N182" s="74" t="n"/>
      <c r="O182" s="74" t="n"/>
      <c r="P182" s="74" t="n"/>
      <c r="Q182" s="74" t="n"/>
      <c r="R182" s="74" t="n"/>
      <c r="S182" s="74" t="n"/>
      <c r="T182" s="74" t="n"/>
      <c r="U182" s="74" t="n"/>
      <c r="V182" s="74" t="n"/>
      <c r="W182" s="74" t="n"/>
      <c r="X182" s="74" t="n"/>
      <c r="Y182" s="74" t="n"/>
      <c r="Z182" s="74" t="n"/>
    </row>
    <row r="183" ht="15.75" customHeight="1" s="349">
      <c r="A183" s="74" t="n"/>
      <c r="B183" s="74" t="n"/>
      <c r="C183" s="74" t="n"/>
      <c r="D183" s="74" t="n"/>
      <c r="E183" s="74" t="n"/>
      <c r="F183" s="74" t="n"/>
      <c r="G183" s="74" t="n"/>
      <c r="H183" s="74" t="n"/>
      <c r="I183" s="74" t="n"/>
      <c r="J183" s="74" t="n"/>
      <c r="K183" s="74" t="n"/>
      <c r="L183" s="74" t="n"/>
      <c r="M183" s="74" t="n"/>
      <c r="N183" s="74" t="n"/>
      <c r="O183" s="74" t="n"/>
      <c r="P183" s="74" t="n"/>
      <c r="Q183" s="74" t="n"/>
      <c r="R183" s="74" t="n"/>
      <c r="S183" s="74" t="n"/>
      <c r="T183" s="74" t="n"/>
      <c r="U183" s="74" t="n"/>
      <c r="V183" s="74" t="n"/>
      <c r="W183" s="74" t="n"/>
      <c r="X183" s="74" t="n"/>
      <c r="Y183" s="74" t="n"/>
      <c r="Z183" s="74" t="n"/>
    </row>
    <row r="184" ht="15.75" customHeight="1" s="349">
      <c r="A184" s="74" t="n"/>
      <c r="B184" s="74" t="n"/>
      <c r="C184" s="74" t="n"/>
      <c r="D184" s="74" t="n"/>
      <c r="E184" s="74" t="n"/>
      <c r="F184" s="74" t="n"/>
      <c r="G184" s="74" t="n"/>
      <c r="H184" s="74" t="n"/>
      <c r="I184" s="74" t="n"/>
      <c r="J184" s="74" t="n"/>
      <c r="K184" s="74" t="n"/>
      <c r="L184" s="74" t="n"/>
      <c r="M184" s="74" t="n"/>
      <c r="N184" s="74" t="n"/>
      <c r="O184" s="74" t="n"/>
      <c r="P184" s="74" t="n"/>
      <c r="Q184" s="74" t="n"/>
      <c r="R184" s="74" t="n"/>
      <c r="S184" s="74" t="n"/>
      <c r="T184" s="74" t="n"/>
      <c r="U184" s="74" t="n"/>
      <c r="V184" s="74" t="n"/>
      <c r="W184" s="74" t="n"/>
      <c r="X184" s="74" t="n"/>
      <c r="Y184" s="74" t="n"/>
      <c r="Z184" s="74" t="n"/>
    </row>
    <row r="185" ht="15.75" customHeight="1" s="349">
      <c r="A185" s="74" t="n"/>
      <c r="B185" s="74" t="n"/>
      <c r="C185" s="74" t="n"/>
      <c r="D185" s="74" t="n"/>
      <c r="E185" s="74" t="n"/>
      <c r="F185" s="74" t="n"/>
      <c r="G185" s="74" t="n"/>
      <c r="H185" s="74" t="n"/>
      <c r="I185" s="74" t="n"/>
      <c r="J185" s="74" t="n"/>
      <c r="K185" s="74" t="n"/>
      <c r="L185" s="74" t="n"/>
      <c r="M185" s="74" t="n"/>
      <c r="N185" s="74" t="n"/>
      <c r="O185" s="74" t="n"/>
      <c r="P185" s="74" t="n"/>
      <c r="Q185" s="74" t="n"/>
      <c r="R185" s="74" t="n"/>
      <c r="S185" s="74" t="n"/>
      <c r="T185" s="74" t="n"/>
      <c r="U185" s="74" t="n"/>
      <c r="V185" s="74" t="n"/>
      <c r="W185" s="74" t="n"/>
      <c r="X185" s="74" t="n"/>
      <c r="Y185" s="74" t="n"/>
      <c r="Z185" s="74" t="n"/>
    </row>
    <row r="186" ht="15.75" customHeight="1" s="349">
      <c r="A186" s="74" t="n"/>
      <c r="B186" s="74" t="n"/>
      <c r="C186" s="74" t="n"/>
      <c r="D186" s="74" t="n"/>
      <c r="E186" s="74" t="n"/>
      <c r="F186" s="74" t="n"/>
      <c r="G186" s="74" t="n"/>
      <c r="H186" s="74" t="n"/>
      <c r="I186" s="74" t="n"/>
      <c r="J186" s="74" t="n"/>
      <c r="K186" s="74" t="n"/>
      <c r="L186" s="74" t="n"/>
      <c r="M186" s="74" t="n"/>
      <c r="N186" s="74" t="n"/>
      <c r="O186" s="74" t="n"/>
      <c r="P186" s="74" t="n"/>
      <c r="Q186" s="74" t="n"/>
      <c r="R186" s="74" t="n"/>
      <c r="S186" s="74" t="n"/>
      <c r="T186" s="74" t="n"/>
      <c r="U186" s="74" t="n"/>
      <c r="V186" s="74" t="n"/>
      <c r="W186" s="74" t="n"/>
      <c r="X186" s="74" t="n"/>
      <c r="Y186" s="74" t="n"/>
      <c r="Z186" s="74" t="n"/>
    </row>
    <row r="187" ht="15.75" customHeight="1" s="349">
      <c r="A187" s="74" t="n"/>
      <c r="B187" s="74" t="n"/>
      <c r="C187" s="74" t="n"/>
      <c r="D187" s="74" t="n"/>
      <c r="E187" s="74" t="n"/>
      <c r="F187" s="74" t="n"/>
      <c r="G187" s="74" t="n"/>
      <c r="H187" s="74" t="n"/>
      <c r="I187" s="74" t="n"/>
      <c r="J187" s="74" t="n"/>
      <c r="K187" s="74" t="n"/>
      <c r="L187" s="74" t="n"/>
      <c r="M187" s="74" t="n"/>
      <c r="N187" s="74" t="n"/>
      <c r="O187" s="74" t="n"/>
      <c r="P187" s="74" t="n"/>
      <c r="Q187" s="74" t="n"/>
      <c r="R187" s="74" t="n"/>
      <c r="S187" s="74" t="n"/>
      <c r="T187" s="74" t="n"/>
      <c r="U187" s="74" t="n"/>
      <c r="V187" s="74" t="n"/>
      <c r="W187" s="74" t="n"/>
      <c r="X187" s="74" t="n"/>
      <c r="Y187" s="74" t="n"/>
      <c r="Z187" s="74" t="n"/>
    </row>
    <row r="188" ht="15.75" customHeight="1" s="349">
      <c r="A188" s="74" t="n"/>
      <c r="B188" s="74" t="n"/>
      <c r="C188" s="74" t="n"/>
      <c r="D188" s="74" t="n"/>
      <c r="E188" s="74" t="n"/>
      <c r="F188" s="74" t="n"/>
      <c r="G188" s="74" t="n"/>
      <c r="H188" s="74" t="n"/>
      <c r="I188" s="74" t="n"/>
      <c r="J188" s="74" t="n"/>
      <c r="K188" s="74" t="n"/>
      <c r="L188" s="74" t="n"/>
      <c r="M188" s="74" t="n"/>
      <c r="N188" s="74" t="n"/>
      <c r="O188" s="74" t="n"/>
      <c r="P188" s="74" t="n"/>
      <c r="Q188" s="74" t="n"/>
      <c r="R188" s="74" t="n"/>
      <c r="S188" s="74" t="n"/>
      <c r="T188" s="74" t="n"/>
      <c r="U188" s="74" t="n"/>
      <c r="V188" s="74" t="n"/>
      <c r="W188" s="74" t="n"/>
      <c r="X188" s="74" t="n"/>
      <c r="Y188" s="74" t="n"/>
      <c r="Z188" s="74" t="n"/>
    </row>
    <row r="189" ht="15.75" customHeight="1" s="349">
      <c r="A189" s="74" t="n"/>
      <c r="B189" s="74" t="n"/>
      <c r="C189" s="74" t="n"/>
      <c r="D189" s="74" t="n"/>
      <c r="E189" s="74" t="n"/>
      <c r="F189" s="74" t="n"/>
      <c r="G189" s="74" t="n"/>
      <c r="H189" s="74" t="n"/>
      <c r="I189" s="74" t="n"/>
      <c r="J189" s="74" t="n"/>
      <c r="K189" s="74" t="n"/>
      <c r="L189" s="74" t="n"/>
      <c r="M189" s="74" t="n"/>
      <c r="N189" s="74" t="n"/>
      <c r="O189" s="74" t="n"/>
      <c r="P189" s="74" t="n"/>
      <c r="Q189" s="74" t="n"/>
      <c r="R189" s="74" t="n"/>
      <c r="S189" s="74" t="n"/>
      <c r="T189" s="74" t="n"/>
      <c r="U189" s="74" t="n"/>
      <c r="V189" s="74" t="n"/>
      <c r="W189" s="74" t="n"/>
      <c r="X189" s="74" t="n"/>
      <c r="Y189" s="74" t="n"/>
      <c r="Z189" s="74" t="n"/>
    </row>
    <row r="190" ht="15.75" customHeight="1" s="349">
      <c r="A190" s="74" t="n"/>
      <c r="B190" s="74" t="n"/>
      <c r="C190" s="74" t="n"/>
      <c r="D190" s="74" t="n"/>
      <c r="E190" s="74" t="n"/>
      <c r="F190" s="74" t="n"/>
      <c r="G190" s="74" t="n"/>
      <c r="H190" s="74" t="n"/>
      <c r="I190" s="74" t="n"/>
      <c r="J190" s="74" t="n"/>
      <c r="K190" s="74" t="n"/>
      <c r="L190" s="74" t="n"/>
      <c r="M190" s="74" t="n"/>
      <c r="N190" s="74" t="n"/>
      <c r="O190" s="74" t="n"/>
      <c r="P190" s="74" t="n"/>
      <c r="Q190" s="74" t="n"/>
      <c r="R190" s="74" t="n"/>
      <c r="S190" s="74" t="n"/>
      <c r="T190" s="74" t="n"/>
      <c r="U190" s="74" t="n"/>
      <c r="V190" s="74" t="n"/>
      <c r="W190" s="74" t="n"/>
      <c r="X190" s="74" t="n"/>
      <c r="Y190" s="74" t="n"/>
      <c r="Z190" s="74" t="n"/>
    </row>
    <row r="191" ht="15.75" customHeight="1" s="349">
      <c r="A191" s="74" t="n"/>
      <c r="B191" s="74" t="n"/>
      <c r="C191" s="74" t="n"/>
      <c r="D191" s="74" t="n"/>
      <c r="E191" s="74" t="n"/>
      <c r="F191" s="74" t="n"/>
      <c r="G191" s="74" t="n"/>
      <c r="H191" s="74" t="n"/>
      <c r="I191" s="74" t="n"/>
      <c r="J191" s="74" t="n"/>
      <c r="K191" s="74" t="n"/>
      <c r="L191" s="74" t="n"/>
      <c r="M191" s="74" t="n"/>
      <c r="N191" s="74" t="n"/>
      <c r="O191" s="74" t="n"/>
      <c r="P191" s="74" t="n"/>
      <c r="Q191" s="74" t="n"/>
      <c r="R191" s="74" t="n"/>
      <c r="S191" s="74" t="n"/>
      <c r="T191" s="74" t="n"/>
      <c r="U191" s="74" t="n"/>
      <c r="V191" s="74" t="n"/>
      <c r="W191" s="74" t="n"/>
      <c r="X191" s="74" t="n"/>
      <c r="Y191" s="74" t="n"/>
      <c r="Z191" s="74" t="n"/>
    </row>
    <row r="192" ht="15.75" customHeight="1" s="349">
      <c r="A192" s="74" t="n"/>
      <c r="B192" s="74" t="n"/>
      <c r="C192" s="74" t="n"/>
      <c r="D192" s="74" t="n"/>
      <c r="E192" s="74" t="n"/>
      <c r="F192" s="74" t="n"/>
      <c r="G192" s="74" t="n"/>
      <c r="H192" s="74" t="n"/>
      <c r="I192" s="74" t="n"/>
      <c r="J192" s="74" t="n"/>
      <c r="K192" s="74" t="n"/>
      <c r="L192" s="74" t="n"/>
      <c r="M192" s="74" t="n"/>
      <c r="N192" s="74" t="n"/>
      <c r="O192" s="74" t="n"/>
      <c r="P192" s="74" t="n"/>
      <c r="Q192" s="74" t="n"/>
      <c r="R192" s="74" t="n"/>
      <c r="S192" s="74" t="n"/>
      <c r="T192" s="74" t="n"/>
      <c r="U192" s="74" t="n"/>
      <c r="V192" s="74" t="n"/>
      <c r="W192" s="74" t="n"/>
      <c r="X192" s="74" t="n"/>
      <c r="Y192" s="74" t="n"/>
      <c r="Z192" s="74" t="n"/>
    </row>
    <row r="193" ht="15.75" customHeight="1" s="349">
      <c r="A193" s="74" t="n"/>
      <c r="B193" s="74" t="n"/>
      <c r="C193" s="74" t="n"/>
      <c r="D193" s="74" t="n"/>
      <c r="E193" s="74" t="n"/>
      <c r="F193" s="74" t="n"/>
      <c r="G193" s="74" t="n"/>
      <c r="H193" s="74" t="n"/>
      <c r="I193" s="74" t="n"/>
      <c r="J193" s="74" t="n"/>
      <c r="K193" s="74" t="n"/>
      <c r="L193" s="74" t="n"/>
      <c r="M193" s="74" t="n"/>
      <c r="N193" s="74" t="n"/>
      <c r="O193" s="74" t="n"/>
      <c r="P193" s="74" t="n"/>
      <c r="Q193" s="74" t="n"/>
      <c r="R193" s="74" t="n"/>
      <c r="S193" s="74" t="n"/>
      <c r="T193" s="74" t="n"/>
      <c r="U193" s="74" t="n"/>
      <c r="V193" s="74" t="n"/>
      <c r="W193" s="74" t="n"/>
      <c r="X193" s="74" t="n"/>
      <c r="Y193" s="74" t="n"/>
      <c r="Z193" s="74" t="n"/>
    </row>
    <row r="194" ht="15.75" customHeight="1" s="349">
      <c r="A194" s="74" t="n"/>
      <c r="B194" s="74" t="n"/>
      <c r="C194" s="74" t="n"/>
      <c r="D194" s="74" t="n"/>
      <c r="E194" s="74" t="n"/>
      <c r="F194" s="74" t="n"/>
      <c r="G194" s="74" t="n"/>
      <c r="H194" s="74" t="n"/>
      <c r="I194" s="74" t="n"/>
      <c r="J194" s="74" t="n"/>
      <c r="K194" s="74" t="n"/>
      <c r="L194" s="74" t="n"/>
      <c r="M194" s="74" t="n"/>
      <c r="N194" s="74" t="n"/>
      <c r="O194" s="74" t="n"/>
      <c r="P194" s="74" t="n"/>
      <c r="Q194" s="74" t="n"/>
      <c r="R194" s="74" t="n"/>
      <c r="S194" s="74" t="n"/>
      <c r="T194" s="74" t="n"/>
      <c r="U194" s="74" t="n"/>
      <c r="V194" s="74" t="n"/>
      <c r="W194" s="74" t="n"/>
      <c r="X194" s="74" t="n"/>
      <c r="Y194" s="74" t="n"/>
      <c r="Z194" s="74" t="n"/>
    </row>
    <row r="195" ht="15.75" customHeight="1" s="349">
      <c r="A195" s="74" t="n"/>
      <c r="B195" s="74" t="n"/>
      <c r="C195" s="74" t="n"/>
      <c r="D195" s="74" t="n"/>
      <c r="E195" s="74" t="n"/>
      <c r="F195" s="74" t="n"/>
      <c r="G195" s="74" t="n"/>
      <c r="H195" s="74" t="n"/>
      <c r="I195" s="74" t="n"/>
      <c r="J195" s="74" t="n"/>
      <c r="K195" s="74" t="n"/>
      <c r="L195" s="74" t="n"/>
      <c r="M195" s="74" t="n"/>
      <c r="N195" s="74" t="n"/>
      <c r="O195" s="74" t="n"/>
      <c r="P195" s="74" t="n"/>
      <c r="Q195" s="74" t="n"/>
      <c r="R195" s="74" t="n"/>
      <c r="S195" s="74" t="n"/>
      <c r="T195" s="74" t="n"/>
      <c r="U195" s="74" t="n"/>
      <c r="V195" s="74" t="n"/>
      <c r="W195" s="74" t="n"/>
      <c r="X195" s="74" t="n"/>
      <c r="Y195" s="74" t="n"/>
      <c r="Z195" s="74" t="n"/>
    </row>
    <row r="196" ht="15.75" customHeight="1" s="349">
      <c r="A196" s="74" t="n"/>
      <c r="B196" s="74" t="n"/>
      <c r="C196" s="74" t="n"/>
      <c r="D196" s="74" t="n"/>
      <c r="E196" s="74" t="n"/>
      <c r="F196" s="74" t="n"/>
      <c r="G196" s="74" t="n"/>
      <c r="H196" s="74" t="n"/>
      <c r="I196" s="74" t="n"/>
      <c r="J196" s="74" t="n"/>
      <c r="K196" s="74" t="n"/>
      <c r="L196" s="74" t="n"/>
      <c r="M196" s="74" t="n"/>
      <c r="N196" s="74" t="n"/>
      <c r="O196" s="74" t="n"/>
      <c r="P196" s="74" t="n"/>
      <c r="Q196" s="74" t="n"/>
      <c r="R196" s="74" t="n"/>
      <c r="S196" s="74" t="n"/>
      <c r="T196" s="74" t="n"/>
      <c r="U196" s="74" t="n"/>
      <c r="V196" s="74" t="n"/>
      <c r="W196" s="74" t="n"/>
      <c r="X196" s="74" t="n"/>
      <c r="Y196" s="74" t="n"/>
      <c r="Z196" s="74" t="n"/>
    </row>
    <row r="197" ht="15.75" customHeight="1" s="349">
      <c r="A197" s="74" t="n"/>
      <c r="B197" s="74" t="n"/>
      <c r="C197" s="74" t="n"/>
      <c r="D197" s="74" t="n"/>
      <c r="E197" s="74" t="n"/>
      <c r="F197" s="74" t="n"/>
      <c r="G197" s="74" t="n"/>
      <c r="H197" s="74" t="n"/>
      <c r="I197" s="74" t="n"/>
      <c r="J197" s="74" t="n"/>
      <c r="K197" s="74" t="n"/>
      <c r="L197" s="74" t="n"/>
      <c r="M197" s="74" t="n"/>
      <c r="N197" s="74" t="n"/>
      <c r="O197" s="74" t="n"/>
      <c r="P197" s="74" t="n"/>
      <c r="Q197" s="74" t="n"/>
      <c r="R197" s="74" t="n"/>
      <c r="S197" s="74" t="n"/>
      <c r="T197" s="74" t="n"/>
      <c r="U197" s="74" t="n"/>
      <c r="V197" s="74" t="n"/>
      <c r="W197" s="74" t="n"/>
      <c r="X197" s="74" t="n"/>
      <c r="Y197" s="74" t="n"/>
      <c r="Z197" s="74" t="n"/>
    </row>
    <row r="198" ht="15.75" customHeight="1" s="349">
      <c r="A198" s="74" t="n"/>
      <c r="B198" s="74" t="n"/>
      <c r="C198" s="74" t="n"/>
      <c r="D198" s="74" t="n"/>
      <c r="E198" s="74" t="n"/>
      <c r="F198" s="74" t="n"/>
      <c r="G198" s="74" t="n"/>
      <c r="H198" s="74" t="n"/>
      <c r="I198" s="74" t="n"/>
      <c r="J198" s="74" t="n"/>
      <c r="K198" s="74" t="n"/>
      <c r="L198" s="74" t="n"/>
      <c r="M198" s="74" t="n"/>
      <c r="N198" s="74" t="n"/>
      <c r="O198" s="74" t="n"/>
      <c r="P198" s="74" t="n"/>
      <c r="Q198" s="74" t="n"/>
      <c r="R198" s="74" t="n"/>
      <c r="S198" s="74" t="n"/>
      <c r="T198" s="74" t="n"/>
      <c r="U198" s="74" t="n"/>
      <c r="V198" s="74" t="n"/>
      <c r="W198" s="74" t="n"/>
      <c r="X198" s="74" t="n"/>
      <c r="Y198" s="74" t="n"/>
      <c r="Z198" s="74" t="n"/>
    </row>
    <row r="199" ht="15.75" customHeight="1" s="349">
      <c r="A199" s="74" t="n"/>
      <c r="B199" s="74" t="n"/>
      <c r="C199" s="74" t="n"/>
      <c r="D199" s="74" t="n"/>
      <c r="E199" s="74" t="n"/>
      <c r="F199" s="74" t="n"/>
      <c r="G199" s="74" t="n"/>
      <c r="H199" s="74" t="n"/>
      <c r="I199" s="74" t="n"/>
      <c r="J199" s="74" t="n"/>
      <c r="K199" s="74" t="n"/>
      <c r="L199" s="74" t="n"/>
      <c r="M199" s="74" t="n"/>
      <c r="N199" s="74" t="n"/>
      <c r="O199" s="74" t="n"/>
      <c r="P199" s="74" t="n"/>
      <c r="Q199" s="74" t="n"/>
      <c r="R199" s="74" t="n"/>
      <c r="S199" s="74" t="n"/>
      <c r="T199" s="74" t="n"/>
      <c r="U199" s="74" t="n"/>
      <c r="V199" s="74" t="n"/>
      <c r="W199" s="74" t="n"/>
      <c r="X199" s="74" t="n"/>
      <c r="Y199" s="74" t="n"/>
      <c r="Z199" s="74" t="n"/>
    </row>
    <row r="200" ht="15.75" customHeight="1" s="349">
      <c r="A200" s="74" t="n"/>
      <c r="B200" s="74" t="n"/>
      <c r="C200" s="74" t="n"/>
      <c r="D200" s="74" t="n"/>
      <c r="E200" s="74" t="n"/>
      <c r="F200" s="74" t="n"/>
      <c r="G200" s="74" t="n"/>
      <c r="H200" s="74" t="n"/>
      <c r="I200" s="74" t="n"/>
      <c r="J200" s="74" t="n"/>
      <c r="K200" s="74" t="n"/>
      <c r="L200" s="74" t="n"/>
      <c r="M200" s="74" t="n"/>
      <c r="N200" s="74" t="n"/>
      <c r="O200" s="74" t="n"/>
      <c r="P200" s="74" t="n"/>
      <c r="Q200" s="74" t="n"/>
      <c r="R200" s="74" t="n"/>
      <c r="S200" s="74" t="n"/>
      <c r="T200" s="74" t="n"/>
      <c r="U200" s="74" t="n"/>
      <c r="V200" s="74" t="n"/>
      <c r="W200" s="74" t="n"/>
      <c r="X200" s="74" t="n"/>
      <c r="Y200" s="74" t="n"/>
      <c r="Z200" s="74" t="n"/>
    </row>
    <row r="201" ht="15.75" customHeight="1" s="349">
      <c r="A201" s="74" t="n"/>
      <c r="B201" s="74" t="n"/>
      <c r="C201" s="74" t="n"/>
      <c r="D201" s="74" t="n"/>
      <c r="E201" s="74" t="n"/>
      <c r="F201" s="74" t="n"/>
      <c r="G201" s="74" t="n"/>
      <c r="H201" s="74" t="n"/>
      <c r="I201" s="74" t="n"/>
      <c r="J201" s="74" t="n"/>
      <c r="K201" s="74" t="n"/>
      <c r="L201" s="74" t="n"/>
      <c r="M201" s="74" t="n"/>
      <c r="N201" s="74" t="n"/>
      <c r="O201" s="74" t="n"/>
      <c r="P201" s="74" t="n"/>
      <c r="Q201" s="74" t="n"/>
      <c r="R201" s="74" t="n"/>
      <c r="S201" s="74" t="n"/>
      <c r="T201" s="74" t="n"/>
      <c r="U201" s="74" t="n"/>
      <c r="V201" s="74" t="n"/>
      <c r="W201" s="74" t="n"/>
      <c r="X201" s="74" t="n"/>
      <c r="Y201" s="74" t="n"/>
      <c r="Z201" s="74" t="n"/>
    </row>
    <row r="202" ht="15.75" customHeight="1" s="349">
      <c r="A202" s="74" t="n"/>
      <c r="B202" s="74" t="n"/>
      <c r="C202" s="74" t="n"/>
      <c r="D202" s="74" t="n"/>
      <c r="E202" s="74" t="n"/>
      <c r="F202" s="74" t="n"/>
      <c r="G202" s="74" t="n"/>
      <c r="H202" s="74" t="n"/>
      <c r="I202" s="74" t="n"/>
      <c r="J202" s="74" t="n"/>
      <c r="K202" s="74" t="n"/>
      <c r="L202" s="74" t="n"/>
      <c r="M202" s="74" t="n"/>
      <c r="N202" s="74" t="n"/>
      <c r="O202" s="74" t="n"/>
      <c r="P202" s="74" t="n"/>
      <c r="Q202" s="74" t="n"/>
      <c r="R202" s="74" t="n"/>
      <c r="S202" s="74" t="n"/>
      <c r="T202" s="74" t="n"/>
      <c r="U202" s="74" t="n"/>
      <c r="V202" s="74" t="n"/>
      <c r="W202" s="74" t="n"/>
      <c r="X202" s="74" t="n"/>
      <c r="Y202" s="74" t="n"/>
      <c r="Z202" s="74" t="n"/>
    </row>
    <row r="203" ht="15.75" customHeight="1" s="349">
      <c r="A203" s="74" t="n"/>
      <c r="B203" s="74" t="n"/>
      <c r="C203" s="74" t="n"/>
      <c r="D203" s="74" t="n"/>
      <c r="E203" s="74" t="n"/>
      <c r="F203" s="74" t="n"/>
      <c r="G203" s="74" t="n"/>
      <c r="H203" s="74" t="n"/>
      <c r="I203" s="74" t="n"/>
      <c r="J203" s="74" t="n"/>
      <c r="K203" s="74" t="n"/>
      <c r="L203" s="74" t="n"/>
      <c r="M203" s="74" t="n"/>
      <c r="N203" s="74" t="n"/>
      <c r="O203" s="74" t="n"/>
      <c r="P203" s="74" t="n"/>
      <c r="Q203" s="74" t="n"/>
      <c r="R203" s="74" t="n"/>
      <c r="S203" s="74" t="n"/>
      <c r="T203" s="74" t="n"/>
      <c r="U203" s="74" t="n"/>
      <c r="V203" s="74" t="n"/>
      <c r="W203" s="74" t="n"/>
      <c r="X203" s="74" t="n"/>
      <c r="Y203" s="74" t="n"/>
      <c r="Z203" s="74" t="n"/>
    </row>
    <row r="204" ht="15.75" customHeight="1" s="349">
      <c r="A204" s="74" t="n"/>
      <c r="B204" s="74" t="n"/>
      <c r="C204" s="74" t="n"/>
      <c r="D204" s="74" t="n"/>
      <c r="E204" s="74" t="n"/>
      <c r="F204" s="74" t="n"/>
      <c r="G204" s="74" t="n"/>
      <c r="H204" s="74" t="n"/>
      <c r="I204" s="74" t="n"/>
      <c r="J204" s="74" t="n"/>
      <c r="K204" s="74" t="n"/>
      <c r="L204" s="74" t="n"/>
      <c r="M204" s="74" t="n"/>
      <c r="N204" s="74" t="n"/>
      <c r="O204" s="74" t="n"/>
      <c r="P204" s="74" t="n"/>
      <c r="Q204" s="74" t="n"/>
      <c r="R204" s="74" t="n"/>
      <c r="S204" s="74" t="n"/>
      <c r="T204" s="74" t="n"/>
      <c r="U204" s="74" t="n"/>
      <c r="V204" s="74" t="n"/>
      <c r="W204" s="74" t="n"/>
      <c r="X204" s="74" t="n"/>
      <c r="Y204" s="74" t="n"/>
      <c r="Z204" s="74" t="n"/>
    </row>
    <row r="205" ht="15.75" customHeight="1" s="349">
      <c r="A205" s="74" t="n"/>
      <c r="B205" s="74" t="n"/>
      <c r="C205" s="74" t="n"/>
      <c r="D205" s="74" t="n"/>
      <c r="E205" s="74" t="n"/>
      <c r="F205" s="74" t="n"/>
      <c r="G205" s="74" t="n"/>
      <c r="H205" s="74" t="n"/>
      <c r="I205" s="74" t="n"/>
      <c r="J205" s="74" t="n"/>
      <c r="K205" s="74" t="n"/>
      <c r="L205" s="74" t="n"/>
      <c r="M205" s="74" t="n"/>
      <c r="N205" s="74" t="n"/>
      <c r="O205" s="74" t="n"/>
      <c r="P205" s="74" t="n"/>
      <c r="Q205" s="74" t="n"/>
      <c r="R205" s="74" t="n"/>
      <c r="S205" s="74" t="n"/>
      <c r="T205" s="74" t="n"/>
      <c r="U205" s="74" t="n"/>
      <c r="V205" s="74" t="n"/>
      <c r="W205" s="74" t="n"/>
      <c r="X205" s="74" t="n"/>
      <c r="Y205" s="74" t="n"/>
      <c r="Z205" s="74" t="n"/>
    </row>
    <row r="206" ht="15.75" customHeight="1" s="349">
      <c r="A206" s="74" t="n"/>
      <c r="B206" s="74" t="n"/>
      <c r="C206" s="74" t="n"/>
      <c r="D206" s="74" t="n"/>
      <c r="E206" s="74" t="n"/>
      <c r="F206" s="74" t="n"/>
      <c r="G206" s="74" t="n"/>
      <c r="H206" s="74" t="n"/>
      <c r="I206" s="74" t="n"/>
      <c r="J206" s="74" t="n"/>
      <c r="K206" s="74" t="n"/>
      <c r="L206" s="74" t="n"/>
      <c r="M206" s="74" t="n"/>
      <c r="N206" s="74" t="n"/>
      <c r="O206" s="74" t="n"/>
      <c r="P206" s="74" t="n"/>
      <c r="Q206" s="74" t="n"/>
      <c r="R206" s="74" t="n"/>
      <c r="S206" s="74" t="n"/>
      <c r="T206" s="74" t="n"/>
      <c r="U206" s="74" t="n"/>
      <c r="V206" s="74" t="n"/>
      <c r="W206" s="74" t="n"/>
      <c r="X206" s="74" t="n"/>
      <c r="Y206" s="74" t="n"/>
      <c r="Z206" s="74" t="n"/>
    </row>
    <row r="207" ht="15.75" customHeight="1" s="349">
      <c r="A207" s="74" t="n"/>
      <c r="B207" s="74" t="n"/>
      <c r="C207" s="74" t="n"/>
      <c r="D207" s="74" t="n"/>
      <c r="E207" s="74" t="n"/>
      <c r="F207" s="74" t="n"/>
      <c r="G207" s="74" t="n"/>
      <c r="H207" s="74" t="n"/>
      <c r="I207" s="74" t="n"/>
      <c r="J207" s="74" t="n"/>
      <c r="K207" s="74" t="n"/>
      <c r="L207" s="74" t="n"/>
      <c r="M207" s="74" t="n"/>
      <c r="N207" s="74" t="n"/>
      <c r="O207" s="74" t="n"/>
      <c r="P207" s="74" t="n"/>
      <c r="Q207" s="74" t="n"/>
      <c r="R207" s="74" t="n"/>
      <c r="S207" s="74" t="n"/>
      <c r="T207" s="74" t="n"/>
      <c r="U207" s="74" t="n"/>
      <c r="V207" s="74" t="n"/>
      <c r="W207" s="74" t="n"/>
      <c r="X207" s="74" t="n"/>
      <c r="Y207" s="74" t="n"/>
      <c r="Z207" s="74" t="n"/>
    </row>
    <row r="208" ht="15.75" customHeight="1" s="349">
      <c r="A208" s="74" t="n"/>
      <c r="B208" s="74" t="n"/>
      <c r="C208" s="74" t="n"/>
      <c r="D208" s="74" t="n"/>
      <c r="E208" s="74" t="n"/>
      <c r="F208" s="74" t="n"/>
      <c r="G208" s="74" t="n"/>
      <c r="H208" s="74" t="n"/>
      <c r="I208" s="74" t="n"/>
      <c r="J208" s="74" t="n"/>
      <c r="K208" s="74" t="n"/>
      <c r="L208" s="74" t="n"/>
      <c r="M208" s="74" t="n"/>
      <c r="N208" s="74" t="n"/>
      <c r="O208" s="74" t="n"/>
      <c r="P208" s="74" t="n"/>
      <c r="Q208" s="74" t="n"/>
      <c r="R208" s="74" t="n"/>
      <c r="S208" s="74" t="n"/>
      <c r="T208" s="74" t="n"/>
      <c r="U208" s="74" t="n"/>
      <c r="V208" s="74" t="n"/>
      <c r="W208" s="74" t="n"/>
      <c r="X208" s="74" t="n"/>
      <c r="Y208" s="74" t="n"/>
      <c r="Z208" s="74" t="n"/>
    </row>
    <row r="209" ht="15.75" customHeight="1" s="349">
      <c r="A209" s="74" t="n"/>
      <c r="B209" s="74" t="n"/>
      <c r="C209" s="74" t="n"/>
      <c r="D209" s="74" t="n"/>
      <c r="E209" s="74" t="n"/>
      <c r="F209" s="74" t="n"/>
      <c r="G209" s="74" t="n"/>
      <c r="H209" s="74" t="n"/>
      <c r="I209" s="74" t="n"/>
      <c r="J209" s="74" t="n"/>
      <c r="K209" s="74" t="n"/>
      <c r="L209" s="74" t="n"/>
      <c r="M209" s="74" t="n"/>
      <c r="N209" s="74" t="n"/>
      <c r="O209" s="74" t="n"/>
      <c r="P209" s="74" t="n"/>
      <c r="Q209" s="74" t="n"/>
      <c r="R209" s="74" t="n"/>
      <c r="S209" s="74" t="n"/>
      <c r="T209" s="74" t="n"/>
      <c r="U209" s="74" t="n"/>
      <c r="V209" s="74" t="n"/>
      <c r="W209" s="74" t="n"/>
      <c r="X209" s="74" t="n"/>
      <c r="Y209" s="74" t="n"/>
      <c r="Z209" s="74" t="n"/>
    </row>
    <row r="210" ht="15.75" customHeight="1" s="349">
      <c r="A210" s="74" t="n"/>
      <c r="B210" s="74" t="n"/>
      <c r="C210" s="74" t="n"/>
      <c r="D210" s="74" t="n"/>
      <c r="E210" s="74" t="n"/>
      <c r="F210" s="74" t="n"/>
      <c r="G210" s="74" t="n"/>
      <c r="H210" s="74" t="n"/>
      <c r="I210" s="74" t="n"/>
      <c r="J210" s="74" t="n"/>
      <c r="K210" s="74" t="n"/>
      <c r="L210" s="74" t="n"/>
      <c r="M210" s="74" t="n"/>
      <c r="N210" s="74" t="n"/>
      <c r="O210" s="74" t="n"/>
      <c r="P210" s="74" t="n"/>
      <c r="Q210" s="74" t="n"/>
      <c r="R210" s="74" t="n"/>
      <c r="S210" s="74" t="n"/>
      <c r="T210" s="74" t="n"/>
      <c r="U210" s="74" t="n"/>
      <c r="V210" s="74" t="n"/>
      <c r="W210" s="74" t="n"/>
      <c r="X210" s="74" t="n"/>
      <c r="Y210" s="74" t="n"/>
      <c r="Z210" s="74" t="n"/>
    </row>
    <row r="211" ht="15.75" customHeight="1" s="349">
      <c r="A211" s="74" t="n"/>
      <c r="B211" s="74" t="n"/>
      <c r="C211" s="74" t="n"/>
      <c r="D211" s="74" t="n"/>
      <c r="E211" s="74" t="n"/>
      <c r="F211" s="74" t="n"/>
      <c r="G211" s="74" t="n"/>
      <c r="H211" s="74" t="n"/>
      <c r="I211" s="74" t="n"/>
      <c r="J211" s="74" t="n"/>
      <c r="K211" s="74" t="n"/>
      <c r="L211" s="74" t="n"/>
      <c r="M211" s="74" t="n"/>
      <c r="N211" s="74" t="n"/>
      <c r="O211" s="74" t="n"/>
      <c r="P211" s="74" t="n"/>
      <c r="Q211" s="74" t="n"/>
      <c r="R211" s="74" t="n"/>
      <c r="S211" s="74" t="n"/>
      <c r="T211" s="74" t="n"/>
      <c r="U211" s="74" t="n"/>
      <c r="V211" s="74" t="n"/>
      <c r="W211" s="74" t="n"/>
      <c r="X211" s="74" t="n"/>
      <c r="Y211" s="74" t="n"/>
      <c r="Z211" s="74" t="n"/>
    </row>
    <row r="212" ht="15.75" customHeight="1" s="349">
      <c r="A212" s="74" t="n"/>
      <c r="B212" s="74" t="n"/>
      <c r="C212" s="74" t="n"/>
      <c r="D212" s="74" t="n"/>
      <c r="E212" s="74" t="n"/>
      <c r="F212" s="74" t="n"/>
      <c r="G212" s="74" t="n"/>
      <c r="H212" s="74" t="n"/>
      <c r="I212" s="74" t="n"/>
      <c r="J212" s="74" t="n"/>
      <c r="K212" s="74" t="n"/>
      <c r="L212" s="74" t="n"/>
      <c r="M212" s="74" t="n"/>
      <c r="N212" s="74" t="n"/>
      <c r="O212" s="74" t="n"/>
      <c r="P212" s="74" t="n"/>
      <c r="Q212" s="74" t="n"/>
      <c r="R212" s="74" t="n"/>
      <c r="S212" s="74" t="n"/>
      <c r="T212" s="74" t="n"/>
      <c r="U212" s="74" t="n"/>
      <c r="V212" s="74" t="n"/>
      <c r="W212" s="74" t="n"/>
      <c r="X212" s="74" t="n"/>
      <c r="Y212" s="74" t="n"/>
      <c r="Z212" s="74" t="n"/>
    </row>
    <row r="213" ht="15.75" customHeight="1" s="349">
      <c r="A213" s="74" t="n"/>
      <c r="B213" s="74" t="n"/>
      <c r="C213" s="74" t="n"/>
      <c r="D213" s="74" t="n"/>
      <c r="E213" s="74" t="n"/>
      <c r="F213" s="74" t="n"/>
      <c r="G213" s="74" t="n"/>
      <c r="H213" s="74" t="n"/>
      <c r="I213" s="74" t="n"/>
      <c r="J213" s="74" t="n"/>
      <c r="K213" s="74" t="n"/>
      <c r="L213" s="74" t="n"/>
      <c r="M213" s="74" t="n"/>
      <c r="N213" s="74" t="n"/>
      <c r="O213" s="74" t="n"/>
      <c r="P213" s="74" t="n"/>
      <c r="Q213" s="74" t="n"/>
      <c r="R213" s="74" t="n"/>
      <c r="S213" s="74" t="n"/>
      <c r="T213" s="74" t="n"/>
      <c r="U213" s="74" t="n"/>
      <c r="V213" s="74" t="n"/>
      <c r="W213" s="74" t="n"/>
      <c r="X213" s="74" t="n"/>
      <c r="Y213" s="74" t="n"/>
      <c r="Z213" s="74" t="n"/>
    </row>
    <row r="214" ht="15.75" customHeight="1" s="349">
      <c r="A214" s="74" t="n"/>
      <c r="B214" s="74" t="n"/>
      <c r="C214" s="74" t="n"/>
      <c r="D214" s="74" t="n"/>
      <c r="E214" s="74" t="n"/>
      <c r="F214" s="74" t="n"/>
      <c r="G214" s="74" t="n"/>
      <c r="H214" s="74" t="n"/>
      <c r="I214" s="74" t="n"/>
      <c r="J214" s="74" t="n"/>
      <c r="K214" s="74" t="n"/>
      <c r="L214" s="74" t="n"/>
      <c r="M214" s="74" t="n"/>
      <c r="N214" s="74" t="n"/>
      <c r="O214" s="74" t="n"/>
      <c r="P214" s="74" t="n"/>
      <c r="Q214" s="74" t="n"/>
      <c r="R214" s="74" t="n"/>
      <c r="S214" s="74" t="n"/>
      <c r="T214" s="74" t="n"/>
      <c r="U214" s="74" t="n"/>
      <c r="V214" s="74" t="n"/>
      <c r="W214" s="74" t="n"/>
      <c r="X214" s="74" t="n"/>
      <c r="Y214" s="74" t="n"/>
      <c r="Z214" s="74" t="n"/>
    </row>
    <row r="215" ht="15.75" customHeight="1" s="349">
      <c r="A215" s="74" t="n"/>
      <c r="B215" s="74" t="n"/>
      <c r="C215" s="74" t="n"/>
      <c r="D215" s="74" t="n"/>
      <c r="E215" s="74" t="n"/>
      <c r="F215" s="74" t="n"/>
      <c r="G215" s="74" t="n"/>
      <c r="H215" s="74" t="n"/>
      <c r="I215" s="74" t="n"/>
      <c r="J215" s="74" t="n"/>
      <c r="K215" s="74" t="n"/>
      <c r="L215" s="74" t="n"/>
      <c r="M215" s="74" t="n"/>
      <c r="N215" s="74" t="n"/>
      <c r="O215" s="74" t="n"/>
      <c r="P215" s="74" t="n"/>
      <c r="Q215" s="74" t="n"/>
      <c r="R215" s="74" t="n"/>
      <c r="S215" s="74" t="n"/>
      <c r="T215" s="74" t="n"/>
      <c r="U215" s="74" t="n"/>
      <c r="V215" s="74" t="n"/>
      <c r="W215" s="74" t="n"/>
      <c r="X215" s="74" t="n"/>
      <c r="Y215" s="74" t="n"/>
      <c r="Z215" s="74" t="n"/>
    </row>
    <row r="216" ht="15.75" customHeight="1" s="349">
      <c r="A216" s="74" t="n"/>
      <c r="B216" s="74" t="n"/>
      <c r="C216" s="74" t="n"/>
      <c r="D216" s="74" t="n"/>
      <c r="E216" s="74" t="n"/>
      <c r="F216" s="74" t="n"/>
      <c r="G216" s="74" t="n"/>
      <c r="H216" s="74" t="n"/>
      <c r="I216" s="74" t="n"/>
      <c r="J216" s="74" t="n"/>
      <c r="K216" s="74" t="n"/>
      <c r="L216" s="74" t="n"/>
      <c r="M216" s="74" t="n"/>
      <c r="N216" s="74" t="n"/>
      <c r="O216" s="74" t="n"/>
      <c r="P216" s="74" t="n"/>
      <c r="Q216" s="74" t="n"/>
      <c r="R216" s="74" t="n"/>
      <c r="S216" s="74" t="n"/>
      <c r="T216" s="74" t="n"/>
      <c r="U216" s="74" t="n"/>
      <c r="V216" s="74" t="n"/>
      <c r="W216" s="74" t="n"/>
      <c r="X216" s="74" t="n"/>
      <c r="Y216" s="74" t="n"/>
      <c r="Z216" s="74" t="n"/>
    </row>
    <row r="217" ht="15.75" customHeight="1" s="349">
      <c r="A217" s="74" t="n"/>
      <c r="B217" s="74" t="n"/>
      <c r="C217" s="74" t="n"/>
      <c r="D217" s="74" t="n"/>
      <c r="E217" s="74" t="n"/>
      <c r="F217" s="74" t="n"/>
      <c r="G217" s="74" t="n"/>
      <c r="H217" s="74" t="n"/>
      <c r="I217" s="74" t="n"/>
      <c r="J217" s="74" t="n"/>
      <c r="K217" s="74" t="n"/>
      <c r="L217" s="74" t="n"/>
      <c r="M217" s="74" t="n"/>
      <c r="N217" s="74" t="n"/>
      <c r="O217" s="74" t="n"/>
      <c r="P217" s="74" t="n"/>
      <c r="Q217" s="74" t="n"/>
      <c r="R217" s="74" t="n"/>
      <c r="S217" s="74" t="n"/>
      <c r="T217" s="74" t="n"/>
      <c r="U217" s="74" t="n"/>
      <c r="V217" s="74" t="n"/>
      <c r="W217" s="74" t="n"/>
      <c r="X217" s="74" t="n"/>
      <c r="Y217" s="74" t="n"/>
      <c r="Z217" s="74" t="n"/>
    </row>
    <row r="218" ht="15.75" customHeight="1" s="349">
      <c r="A218" s="74" t="n"/>
      <c r="B218" s="74" t="n"/>
      <c r="C218" s="74" t="n"/>
      <c r="D218" s="74" t="n"/>
      <c r="E218" s="74" t="n"/>
      <c r="F218" s="74" t="n"/>
      <c r="G218" s="74" t="n"/>
      <c r="H218" s="74" t="n"/>
      <c r="I218" s="74" t="n"/>
      <c r="J218" s="74" t="n"/>
      <c r="K218" s="74" t="n"/>
      <c r="L218" s="74" t="n"/>
      <c r="M218" s="74" t="n"/>
      <c r="N218" s="74" t="n"/>
      <c r="O218" s="74" t="n"/>
      <c r="P218" s="74" t="n"/>
      <c r="Q218" s="74" t="n"/>
      <c r="R218" s="74" t="n"/>
      <c r="S218" s="74" t="n"/>
      <c r="T218" s="74" t="n"/>
      <c r="U218" s="74" t="n"/>
      <c r="V218" s="74" t="n"/>
      <c r="W218" s="74" t="n"/>
      <c r="X218" s="74" t="n"/>
      <c r="Y218" s="74" t="n"/>
      <c r="Z218" s="74" t="n"/>
    </row>
    <row r="219" ht="15.75" customHeight="1" s="349">
      <c r="A219" s="74" t="n"/>
      <c r="B219" s="74" t="n"/>
      <c r="C219" s="74" t="n"/>
      <c r="D219" s="74" t="n"/>
      <c r="E219" s="74" t="n"/>
      <c r="F219" s="74" t="n"/>
      <c r="G219" s="74" t="n"/>
      <c r="H219" s="74" t="n"/>
      <c r="I219" s="74" t="n"/>
      <c r="J219" s="74" t="n"/>
      <c r="K219" s="74" t="n"/>
      <c r="L219" s="74" t="n"/>
      <c r="M219" s="74" t="n"/>
      <c r="N219" s="74" t="n"/>
      <c r="O219" s="74" t="n"/>
      <c r="P219" s="74" t="n"/>
      <c r="Q219" s="74" t="n"/>
      <c r="R219" s="74" t="n"/>
      <c r="S219" s="74" t="n"/>
      <c r="T219" s="74" t="n"/>
      <c r="U219" s="74" t="n"/>
      <c r="V219" s="74" t="n"/>
      <c r="W219" s="74" t="n"/>
      <c r="X219" s="74" t="n"/>
      <c r="Y219" s="74" t="n"/>
      <c r="Z219" s="74" t="n"/>
    </row>
    <row r="220" ht="15.75" customHeight="1" s="349">
      <c r="A220" s="74" t="n"/>
      <c r="B220" s="74" t="n"/>
      <c r="C220" s="74" t="n"/>
      <c r="D220" s="74" t="n"/>
      <c r="E220" s="74" t="n"/>
      <c r="F220" s="74" t="n"/>
      <c r="G220" s="74" t="n"/>
      <c r="H220" s="74" t="n"/>
      <c r="I220" s="74" t="n"/>
      <c r="J220" s="74" t="n"/>
      <c r="K220" s="74" t="n"/>
      <c r="L220" s="74" t="n"/>
      <c r="M220" s="74" t="n"/>
      <c r="N220" s="74" t="n"/>
      <c r="O220" s="74" t="n"/>
      <c r="P220" s="74" t="n"/>
      <c r="Q220" s="74" t="n"/>
      <c r="R220" s="74" t="n"/>
      <c r="S220" s="74" t="n"/>
      <c r="T220" s="74" t="n"/>
      <c r="U220" s="74" t="n"/>
      <c r="V220" s="74" t="n"/>
      <c r="W220" s="74" t="n"/>
      <c r="X220" s="74" t="n"/>
      <c r="Y220" s="74" t="n"/>
      <c r="Z220" s="74" t="n"/>
    </row>
    <row r="221" ht="15.75" customHeight="1" s="349">
      <c r="A221" s="74" t="n"/>
      <c r="B221" s="74" t="n"/>
      <c r="C221" s="74" t="n"/>
      <c r="D221" s="74" t="n"/>
      <c r="E221" s="74" t="n"/>
      <c r="F221" s="74" t="n"/>
      <c r="G221" s="74" t="n"/>
      <c r="H221" s="74" t="n"/>
      <c r="I221" s="74" t="n"/>
      <c r="J221" s="74" t="n"/>
      <c r="K221" s="74" t="n"/>
      <c r="L221" s="74" t="n"/>
      <c r="M221" s="74" t="n"/>
      <c r="N221" s="74" t="n"/>
      <c r="O221" s="74" t="n"/>
      <c r="P221" s="74" t="n"/>
      <c r="Q221" s="74" t="n"/>
      <c r="R221" s="74" t="n"/>
      <c r="S221" s="74" t="n"/>
      <c r="T221" s="74" t="n"/>
      <c r="U221" s="74" t="n"/>
      <c r="V221" s="74" t="n"/>
      <c r="W221" s="74" t="n"/>
      <c r="X221" s="74" t="n"/>
      <c r="Y221" s="74" t="n"/>
      <c r="Z221" s="74" t="n"/>
    </row>
    <row r="222" ht="15.75" customHeight="1" s="349">
      <c r="A222" s="74" t="n"/>
      <c r="B222" s="74" t="n"/>
      <c r="C222" s="74" t="n"/>
      <c r="D222" s="74" t="n"/>
      <c r="E222" s="74" t="n"/>
      <c r="F222" s="74" t="n"/>
      <c r="G222" s="74" t="n"/>
      <c r="H222" s="74" t="n"/>
      <c r="I222" s="74" t="n"/>
      <c r="J222" s="74" t="n"/>
      <c r="K222" s="74" t="n"/>
      <c r="L222" s="74" t="n"/>
      <c r="M222" s="74" t="n"/>
      <c r="N222" s="74" t="n"/>
      <c r="O222" s="74" t="n"/>
      <c r="P222" s="74" t="n"/>
      <c r="Q222" s="74" t="n"/>
      <c r="R222" s="74" t="n"/>
      <c r="S222" s="74" t="n"/>
      <c r="T222" s="74" t="n"/>
      <c r="U222" s="74" t="n"/>
      <c r="V222" s="74" t="n"/>
      <c r="W222" s="74" t="n"/>
      <c r="X222" s="74" t="n"/>
      <c r="Y222" s="74" t="n"/>
      <c r="Z222" s="74" t="n"/>
    </row>
    <row r="223" ht="15.75" customHeight="1" s="349">
      <c r="A223" s="74" t="n"/>
      <c r="B223" s="74" t="n"/>
      <c r="C223" s="74" t="n"/>
      <c r="D223" s="74" t="n"/>
      <c r="E223" s="74" t="n"/>
      <c r="F223" s="74" t="n"/>
      <c r="G223" s="74" t="n"/>
      <c r="H223" s="74" t="n"/>
      <c r="I223" s="74" t="n"/>
      <c r="J223" s="74" t="n"/>
      <c r="K223" s="74" t="n"/>
      <c r="L223" s="74" t="n"/>
      <c r="M223" s="74" t="n"/>
      <c r="N223" s="74" t="n"/>
      <c r="O223" s="74" t="n"/>
      <c r="P223" s="74" t="n"/>
      <c r="Q223" s="74" t="n"/>
      <c r="R223" s="74" t="n"/>
      <c r="S223" s="74" t="n"/>
      <c r="T223" s="74" t="n"/>
      <c r="U223" s="74" t="n"/>
      <c r="V223" s="74" t="n"/>
      <c r="W223" s="74" t="n"/>
      <c r="X223" s="74" t="n"/>
      <c r="Y223" s="74" t="n"/>
      <c r="Z223" s="74" t="n"/>
    </row>
    <row r="224" ht="15.75" customHeight="1" s="349">
      <c r="A224" s="74" t="n"/>
      <c r="B224" s="74" t="n"/>
      <c r="C224" s="74" t="n"/>
      <c r="D224" s="74" t="n"/>
      <c r="E224" s="74" t="n"/>
      <c r="F224" s="74" t="n"/>
      <c r="G224" s="74" t="n"/>
      <c r="H224" s="74" t="n"/>
      <c r="I224" s="74" t="n"/>
      <c r="J224" s="74" t="n"/>
      <c r="K224" s="74" t="n"/>
      <c r="L224" s="74" t="n"/>
      <c r="M224" s="74" t="n"/>
      <c r="N224" s="74" t="n"/>
      <c r="O224" s="74" t="n"/>
      <c r="P224" s="74" t="n"/>
      <c r="Q224" s="74" t="n"/>
      <c r="R224" s="74" t="n"/>
      <c r="S224" s="74" t="n"/>
      <c r="T224" s="74" t="n"/>
      <c r="U224" s="74" t="n"/>
      <c r="V224" s="74" t="n"/>
      <c r="W224" s="74" t="n"/>
      <c r="X224" s="74" t="n"/>
      <c r="Y224" s="74" t="n"/>
      <c r="Z224" s="74" t="n"/>
    </row>
    <row r="225" ht="15.75" customHeight="1" s="349">
      <c r="A225" s="74" t="n"/>
      <c r="B225" s="74" t="n"/>
      <c r="C225" s="74" t="n"/>
      <c r="D225" s="74" t="n"/>
      <c r="E225" s="74" t="n"/>
      <c r="F225" s="74" t="n"/>
      <c r="G225" s="74" t="n"/>
      <c r="H225" s="74" t="n"/>
      <c r="I225" s="74" t="n"/>
      <c r="J225" s="74" t="n"/>
      <c r="K225" s="74" t="n"/>
      <c r="L225" s="74" t="n"/>
      <c r="M225" s="74" t="n"/>
      <c r="N225" s="74" t="n"/>
      <c r="O225" s="74" t="n"/>
      <c r="P225" s="74" t="n"/>
      <c r="Q225" s="74" t="n"/>
      <c r="R225" s="74" t="n"/>
      <c r="S225" s="74" t="n"/>
      <c r="T225" s="74" t="n"/>
      <c r="U225" s="74" t="n"/>
      <c r="V225" s="74" t="n"/>
      <c r="W225" s="74" t="n"/>
      <c r="X225" s="74" t="n"/>
      <c r="Y225" s="74" t="n"/>
      <c r="Z225" s="74" t="n"/>
    </row>
    <row r="226" ht="15.75" customHeight="1" s="349">
      <c r="A226" s="74" t="n"/>
      <c r="B226" s="74" t="n"/>
      <c r="C226" s="74" t="n"/>
      <c r="D226" s="74" t="n"/>
      <c r="E226" s="74" t="n"/>
      <c r="F226" s="74" t="n"/>
      <c r="G226" s="74" t="n"/>
      <c r="H226" s="74" t="n"/>
      <c r="I226" s="74" t="n"/>
      <c r="J226" s="74" t="n"/>
      <c r="K226" s="74" t="n"/>
      <c r="L226" s="74" t="n"/>
      <c r="M226" s="74" t="n"/>
      <c r="N226" s="74" t="n"/>
      <c r="O226" s="74" t="n"/>
      <c r="P226" s="74" t="n"/>
      <c r="Q226" s="74" t="n"/>
      <c r="R226" s="74" t="n"/>
      <c r="S226" s="74" t="n"/>
      <c r="T226" s="74" t="n"/>
      <c r="U226" s="74" t="n"/>
      <c r="V226" s="74" t="n"/>
      <c r="W226" s="74" t="n"/>
      <c r="X226" s="74" t="n"/>
      <c r="Y226" s="74" t="n"/>
      <c r="Z226" s="74" t="n"/>
    </row>
    <row r="227" ht="15.75" customHeight="1" s="349">
      <c r="A227" s="74" t="n"/>
      <c r="B227" s="74" t="n"/>
      <c r="C227" s="74" t="n"/>
      <c r="D227" s="74" t="n"/>
      <c r="E227" s="74" t="n"/>
      <c r="F227" s="74" t="n"/>
      <c r="G227" s="74" t="n"/>
      <c r="H227" s="74" t="n"/>
      <c r="I227" s="74" t="n"/>
      <c r="J227" s="74" t="n"/>
      <c r="K227" s="74" t="n"/>
      <c r="L227" s="74" t="n"/>
      <c r="M227" s="74" t="n"/>
      <c r="N227" s="74" t="n"/>
      <c r="O227" s="74" t="n"/>
      <c r="P227" s="74" t="n"/>
      <c r="Q227" s="74" t="n"/>
      <c r="R227" s="74" t="n"/>
      <c r="S227" s="74" t="n"/>
      <c r="T227" s="74" t="n"/>
      <c r="U227" s="74" t="n"/>
      <c r="V227" s="74" t="n"/>
      <c r="W227" s="74" t="n"/>
      <c r="X227" s="74" t="n"/>
      <c r="Y227" s="74" t="n"/>
      <c r="Z227" s="74" t="n"/>
    </row>
    <row r="228" ht="15.75" customHeight="1" s="349">
      <c r="A228" s="74" t="n"/>
      <c r="B228" s="74" t="n"/>
      <c r="C228" s="74" t="n"/>
      <c r="D228" s="74" t="n"/>
      <c r="E228" s="74" t="n"/>
      <c r="F228" s="74" t="n"/>
      <c r="G228" s="74" t="n"/>
      <c r="H228" s="74" t="n"/>
      <c r="I228" s="74" t="n"/>
      <c r="J228" s="74" t="n"/>
      <c r="K228" s="74" t="n"/>
      <c r="L228" s="74" t="n"/>
      <c r="M228" s="74" t="n"/>
      <c r="N228" s="74" t="n"/>
      <c r="O228" s="74" t="n"/>
      <c r="P228" s="74" t="n"/>
      <c r="Q228" s="74" t="n"/>
      <c r="R228" s="74" t="n"/>
      <c r="S228" s="74" t="n"/>
      <c r="T228" s="74" t="n"/>
      <c r="U228" s="74" t="n"/>
      <c r="V228" s="74" t="n"/>
      <c r="W228" s="74" t="n"/>
      <c r="X228" s="74" t="n"/>
      <c r="Y228" s="74" t="n"/>
      <c r="Z228" s="74" t="n"/>
    </row>
    <row r="229" ht="15.75" customHeight="1" s="349">
      <c r="A229" s="74" t="n"/>
      <c r="B229" s="74" t="n"/>
      <c r="C229" s="74" t="n"/>
      <c r="D229" s="74" t="n"/>
      <c r="E229" s="74" t="n"/>
      <c r="F229" s="74" t="n"/>
      <c r="G229" s="74" t="n"/>
      <c r="H229" s="74" t="n"/>
      <c r="I229" s="74" t="n"/>
      <c r="J229" s="74" t="n"/>
      <c r="K229" s="74" t="n"/>
      <c r="L229" s="74" t="n"/>
      <c r="M229" s="74" t="n"/>
      <c r="N229" s="74" t="n"/>
      <c r="O229" s="74" t="n"/>
      <c r="P229" s="74" t="n"/>
      <c r="Q229" s="74" t="n"/>
      <c r="R229" s="74" t="n"/>
      <c r="S229" s="74" t="n"/>
      <c r="T229" s="74" t="n"/>
      <c r="U229" s="74" t="n"/>
      <c r="V229" s="74" t="n"/>
      <c r="W229" s="74" t="n"/>
      <c r="X229" s="74" t="n"/>
      <c r="Y229" s="74" t="n"/>
      <c r="Z229" s="74" t="n"/>
    </row>
    <row r="230" ht="15.75" customHeight="1" s="349">
      <c r="A230" s="74" t="n"/>
      <c r="B230" s="74" t="n"/>
      <c r="C230" s="74" t="n"/>
      <c r="D230" s="74" t="n"/>
      <c r="E230" s="74" t="n"/>
      <c r="F230" s="74" t="n"/>
      <c r="G230" s="74" t="n"/>
      <c r="H230" s="74" t="n"/>
      <c r="I230" s="74" t="n"/>
      <c r="J230" s="74" t="n"/>
      <c r="K230" s="74" t="n"/>
      <c r="L230" s="74" t="n"/>
      <c r="M230" s="74" t="n"/>
      <c r="N230" s="74" t="n"/>
      <c r="O230" s="74" t="n"/>
      <c r="P230" s="74" t="n"/>
      <c r="Q230" s="74" t="n"/>
      <c r="R230" s="74" t="n"/>
      <c r="S230" s="74" t="n"/>
      <c r="T230" s="74" t="n"/>
      <c r="U230" s="74" t="n"/>
      <c r="V230" s="74" t="n"/>
      <c r="W230" s="74" t="n"/>
      <c r="X230" s="74" t="n"/>
      <c r="Y230" s="74" t="n"/>
      <c r="Z230" s="74" t="n"/>
    </row>
    <row r="231" ht="15.75" customHeight="1" s="349"/>
    <row r="232" ht="15.75" customHeight="1" s="349"/>
    <row r="233" ht="15.75" customHeight="1" s="349"/>
    <row r="234" ht="15.75" customHeight="1" s="349"/>
    <row r="235" ht="15.75" customHeight="1" s="349"/>
    <row r="236" ht="15.75" customHeight="1" s="349"/>
    <row r="237" ht="15.75" customHeight="1" s="349"/>
    <row r="238" ht="15.75" customHeight="1" s="349"/>
    <row r="239" ht="15.75" customHeight="1" s="349"/>
    <row r="240" ht="15.75" customHeight="1" s="349"/>
    <row r="241" ht="15.75" customHeight="1" s="349"/>
    <row r="242" ht="15.75" customHeight="1" s="349"/>
    <row r="243" ht="15.75" customHeight="1" s="349"/>
    <row r="244" ht="15.75" customHeight="1" s="349"/>
    <row r="245" ht="15.75" customHeight="1" s="349"/>
    <row r="246" ht="15.75" customHeight="1" s="349"/>
    <row r="247" ht="15.75" customHeight="1" s="349"/>
    <row r="248" ht="15.75" customHeight="1" s="349"/>
    <row r="249" ht="15.75" customHeight="1" s="349"/>
    <row r="250" ht="15.75" customHeight="1" s="349"/>
    <row r="251" ht="15.75" customHeight="1" s="349"/>
    <row r="252" ht="15.75" customHeight="1" s="349"/>
    <row r="253" ht="15.75" customHeight="1" s="349"/>
    <row r="254" ht="15.75" customHeight="1" s="349"/>
    <row r="255" ht="15.75" customHeight="1" s="349"/>
    <row r="256" ht="15.75" customHeight="1" s="349"/>
    <row r="257" ht="15.75" customHeight="1" s="349"/>
    <row r="258" ht="15.75" customHeight="1" s="349"/>
    <row r="259" ht="15.75" customHeight="1" s="349"/>
    <row r="260" ht="15.75" customHeight="1" s="349"/>
    <row r="261" ht="15.75" customHeight="1" s="349"/>
    <row r="262" ht="15.75" customHeight="1" s="349"/>
    <row r="263" ht="15.75" customHeight="1" s="349"/>
    <row r="264" ht="15.75" customHeight="1" s="349"/>
    <row r="265" ht="15.75" customHeight="1" s="349"/>
    <row r="266" ht="15.75" customHeight="1" s="349"/>
    <row r="267" ht="15.75" customHeight="1" s="349"/>
    <row r="268" ht="15.75" customHeight="1" s="349"/>
    <row r="269" ht="15.75" customHeight="1" s="349"/>
    <row r="270" ht="15.75" customHeight="1" s="349"/>
    <row r="271" ht="15.75" customHeight="1" s="349"/>
    <row r="272" ht="15.75" customHeight="1" s="349"/>
    <row r="273" ht="15.75" customHeight="1" s="349"/>
    <row r="274" ht="15.75" customHeight="1" s="349"/>
    <row r="275" ht="15.75" customHeight="1" s="349"/>
    <row r="276" ht="15.75" customHeight="1" s="349"/>
    <row r="277" ht="15.75" customHeight="1" s="349"/>
    <row r="278" ht="15.75" customHeight="1" s="349"/>
    <row r="279" ht="15.75" customHeight="1" s="349"/>
    <row r="280" ht="15.75" customHeight="1" s="349"/>
    <row r="281" ht="15.75" customHeight="1" s="349"/>
    <row r="282" ht="15.75" customHeight="1" s="349"/>
    <row r="283" ht="15.75" customHeight="1" s="349"/>
    <row r="284" ht="15.75" customHeight="1" s="349"/>
    <row r="285" ht="15.75" customHeight="1" s="349"/>
    <row r="286" ht="15.75" customHeight="1" s="349"/>
    <row r="287" ht="15.75" customHeight="1" s="349"/>
    <row r="288" ht="15.75" customHeight="1" s="349"/>
    <row r="289" ht="15.75" customHeight="1" s="349"/>
    <row r="290" ht="15.75" customHeight="1" s="349"/>
    <row r="291" ht="15.75" customHeight="1" s="349"/>
    <row r="292" ht="15.75" customHeight="1" s="349"/>
    <row r="293" ht="15.75" customHeight="1" s="349"/>
    <row r="294" ht="15.75" customHeight="1" s="349"/>
    <row r="295" ht="15.75" customHeight="1" s="349"/>
    <row r="296" ht="15.75" customHeight="1" s="349"/>
    <row r="297" ht="15.75" customHeight="1" s="349"/>
    <row r="298" ht="15.75" customHeight="1" s="349"/>
    <row r="299" ht="15.75" customHeight="1" s="349"/>
    <row r="300" ht="15.75" customHeight="1" s="349"/>
    <row r="301" ht="15.75" customHeight="1" s="349"/>
    <row r="302" ht="15.75" customHeight="1" s="349"/>
    <row r="303" ht="15.75" customHeight="1" s="349"/>
    <row r="304" ht="15.75" customHeight="1" s="349"/>
    <row r="305" ht="15.75" customHeight="1" s="349"/>
    <row r="306" ht="15.75" customHeight="1" s="349"/>
    <row r="307" ht="15.75" customHeight="1" s="349"/>
    <row r="308" ht="15.75" customHeight="1" s="349"/>
    <row r="309" ht="15.75" customHeight="1" s="349"/>
    <row r="310" ht="15.75" customHeight="1" s="349"/>
    <row r="311" ht="15.75" customHeight="1" s="349"/>
    <row r="312" ht="15.75" customHeight="1" s="349"/>
    <row r="313" ht="15.75" customHeight="1" s="349"/>
    <row r="314" ht="15.75" customHeight="1" s="349"/>
    <row r="315" ht="15.75" customHeight="1" s="349"/>
    <row r="316" ht="15.75" customHeight="1" s="349"/>
    <row r="317" ht="15.75" customHeight="1" s="349"/>
    <row r="318" ht="15.75" customHeight="1" s="349"/>
    <row r="319" ht="15.75" customHeight="1" s="349"/>
    <row r="320" ht="15.75" customHeight="1" s="349"/>
    <row r="321" ht="15.75" customHeight="1" s="349"/>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row r="994" ht="15.75" customHeight="1" s="349"/>
    <row r="995" ht="15.75" customHeight="1" s="349"/>
    <row r="996" ht="15.75" customHeight="1" s="349"/>
    <row r="997" ht="15.75" customHeight="1" s="349"/>
    <row r="998" ht="15.75" customHeight="1" s="349"/>
    <row r="999" ht="15.75" customHeight="1" s="349"/>
    <row r="1000" ht="15.75" customHeight="1" s="349"/>
  </sheetData>
  <mergeCells count="7">
    <mergeCell ref="B30:C30"/>
    <mergeCell ref="B29:C29"/>
    <mergeCell ref="B25:C25"/>
    <mergeCell ref="B28:C28"/>
    <mergeCell ref="B31:C31"/>
    <mergeCell ref="B26:C26"/>
    <mergeCell ref="B27:C27"/>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AD321"/>
  <sheetViews>
    <sheetView showGridLines="0" workbookViewId="0">
      <selection activeCell="A1" sqref="A1"/>
    </sheetView>
  </sheetViews>
  <sheetFormatPr baseColWidth="8" defaultColWidth="14.43" defaultRowHeight="15" customHeight="1"/>
  <cols>
    <col width="18.86" customWidth="1" style="349" min="1" max="1"/>
    <col width="44" customWidth="1" style="349" min="2" max="2"/>
    <col width="25.43" customWidth="1" style="349" min="3" max="3"/>
    <col width="46.86" customWidth="1" style="349" min="4" max="4"/>
    <col width="13.43" customWidth="1" style="349" min="5" max="5"/>
    <col width="17.57" customWidth="1" style="349" min="6" max="6"/>
    <col width="17.86" customWidth="1" style="349" min="7" max="7"/>
    <col width="17.71" customWidth="1" style="349" min="8" max="8"/>
    <col width="13.43" customWidth="1" style="349" min="9" max="11"/>
    <col width="43" customWidth="1" style="349" min="12" max="12"/>
    <col width="13.43" customWidth="1" style="349" min="13" max="30"/>
  </cols>
  <sheetData>
    <row r="1" ht="21.75" customHeight="1" s="349">
      <c r="A1" s="2" t="n"/>
      <c r="B1" s="5" t="n"/>
      <c r="C1" s="5" t="n"/>
      <c r="D1" s="5"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row>
    <row r="2" ht="21.75" customHeight="1" s="349">
      <c r="A2" s="2" t="n"/>
      <c r="B2" s="11" t="inlineStr">
        <is>
          <t>Drivers &amp; Assumptions</t>
        </is>
      </c>
      <c r="C2" s="5" t="n"/>
      <c r="D2" s="5"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row>
    <row r="3" ht="21.75" customHeight="1" s="349">
      <c r="A3" s="2" t="n"/>
      <c r="B3" s="5" t="inlineStr">
        <is>
          <t>ASSUMPTIONS</t>
        </is>
      </c>
      <c r="E3" s="2" t="n"/>
      <c r="F3" s="2" t="n"/>
      <c r="G3" s="2" t="n"/>
      <c r="H3" s="2" t="n"/>
      <c r="I3" s="2" t="n"/>
      <c r="J3" s="2" t="n"/>
      <c r="K3" s="2" t="n"/>
      <c r="L3" s="315" t="inlineStr">
        <is>
          <t>what this row does</t>
        </is>
      </c>
      <c r="M3" s="2" t="n"/>
      <c r="N3" s="2" t="n"/>
      <c r="O3" s="2" t="n"/>
      <c r="P3" s="2" t="n"/>
      <c r="Q3" s="2" t="n"/>
      <c r="R3" s="2" t="n"/>
      <c r="S3" s="2" t="n"/>
      <c r="T3" s="2" t="n"/>
      <c r="U3" s="2" t="n"/>
      <c r="V3" s="2" t="n"/>
      <c r="W3" s="2" t="n"/>
      <c r="X3" s="2" t="n"/>
      <c r="Y3" s="2" t="n"/>
      <c r="Z3" s="2" t="n"/>
      <c r="AA3" s="2" t="n"/>
      <c r="AB3" s="2" t="n"/>
      <c r="AC3" s="2" t="n"/>
      <c r="AD3" s="2" t="n"/>
    </row>
    <row r="4" ht="21.75" customHeight="1" s="349">
      <c r="A4" s="22" t="n"/>
      <c r="B4" s="22" t="n"/>
      <c r="C4" s="22" t="n"/>
      <c r="D4" s="22" t="n"/>
      <c r="E4" s="22" t="n"/>
      <c r="F4" s="22" t="n"/>
      <c r="G4" s="22" t="n"/>
      <c r="H4" s="23" t="n"/>
      <c r="I4" s="23" t="n"/>
      <c r="J4" s="23" t="n"/>
      <c r="K4" s="23" t="n"/>
      <c r="L4" s="350" t="n"/>
      <c r="M4" s="23" t="n"/>
      <c r="N4" s="22" t="n"/>
      <c r="O4" s="22" t="n"/>
      <c r="P4" s="22" t="n"/>
      <c r="Q4" s="22" t="n"/>
      <c r="R4" s="22" t="n"/>
      <c r="S4" s="22" t="n"/>
      <c r="T4" s="22" t="n"/>
      <c r="U4" s="22" t="n"/>
      <c r="V4" s="22" t="n"/>
      <c r="W4" s="22" t="n"/>
      <c r="X4" s="22" t="n"/>
      <c r="Y4" s="22" t="n"/>
      <c r="Z4" s="22" t="n"/>
      <c r="AA4" s="22" t="n"/>
      <c r="AB4" s="22" t="n"/>
      <c r="AC4" s="22" t="n"/>
      <c r="AD4" s="22" t="n"/>
    </row>
    <row r="5" ht="21.75" customHeight="1" s="349">
      <c r="A5" s="22" t="n"/>
      <c r="B5" s="26" t="inlineStr">
        <is>
          <t>General Assumptions</t>
        </is>
      </c>
      <c r="E5" s="26" t="n"/>
      <c r="H5" s="29" t="n"/>
      <c r="K5" s="29" t="n"/>
      <c r="N5" s="22" t="n"/>
      <c r="O5" s="22" t="n"/>
      <c r="P5" s="22" t="n"/>
      <c r="Q5" s="22" t="n"/>
      <c r="R5" s="22" t="n"/>
      <c r="S5" s="22" t="n"/>
      <c r="T5" s="22" t="n"/>
      <c r="U5" s="22" t="n"/>
      <c r="V5" s="22" t="n"/>
      <c r="W5" s="22" t="n"/>
      <c r="X5" s="22" t="n"/>
      <c r="Y5" s="22" t="n"/>
      <c r="Z5" s="22" t="n"/>
      <c r="AA5" s="22" t="n"/>
      <c r="AB5" s="22" t="n"/>
      <c r="AC5" s="22" t="n"/>
      <c r="AD5" s="22" t="n"/>
    </row>
    <row r="6" hidden="1" ht="21.75" customHeight="1" s="349">
      <c r="A6" s="22" t="n"/>
      <c r="B6" s="307" t="inlineStr">
        <is>
          <t>Opening Cash Balance (Jan 2024)</t>
        </is>
      </c>
      <c r="C6" s="34" t="n">
        <v>29538.9</v>
      </c>
      <c r="D6" s="22" t="n"/>
      <c r="E6" s="22" t="n"/>
      <c r="F6" s="22" t="n"/>
      <c r="G6" s="22" t="n"/>
      <c r="H6" s="23" t="n"/>
      <c r="I6" s="23" t="n"/>
      <c r="J6" s="23" t="n"/>
      <c r="K6" s="23" t="n"/>
      <c r="L6" s="350" t="n"/>
      <c r="M6" s="23" t="n"/>
      <c r="N6" s="22" t="n"/>
      <c r="O6" s="22" t="n"/>
      <c r="P6" s="22" t="n"/>
      <c r="Q6" s="22" t="n"/>
      <c r="R6" s="22" t="n"/>
      <c r="S6" s="22" t="n"/>
      <c r="T6" s="22" t="n"/>
      <c r="U6" s="22" t="n"/>
      <c r="V6" s="22" t="n"/>
      <c r="W6" s="22" t="n"/>
      <c r="X6" s="22" t="n"/>
      <c r="Y6" s="22" t="n"/>
      <c r="Z6" s="22" t="n"/>
      <c r="AA6" s="22" t="n"/>
      <c r="AB6" s="22" t="n"/>
      <c r="AC6" s="22" t="n"/>
      <c r="AD6" s="22" t="n"/>
    </row>
    <row r="7" ht="21.75" customHeight="1" s="349">
      <c r="A7" s="22" t="n"/>
      <c r="B7" s="307" t="inlineStr">
        <is>
          <t>Annual salary increase (%)</t>
        </is>
      </c>
      <c r="C7" s="39" t="n">
        <v>0.08</v>
      </c>
      <c r="D7" s="22" t="n"/>
      <c r="E7" s="22" t="n"/>
      <c r="F7" s="22" t="n"/>
      <c r="G7" s="22" t="n"/>
      <c r="H7" s="23" t="n"/>
      <c r="I7" s="23" t="n"/>
      <c r="J7" s="23" t="n"/>
      <c r="K7" s="23" t="n"/>
      <c r="L7" s="350" t="inlineStr">
        <is>
          <t>salary raise applied every year on the Personnel tab</t>
        </is>
      </c>
      <c r="M7" s="23" t="n"/>
      <c r="N7" s="22" t="n"/>
      <c r="O7" s="22" t="n"/>
      <c r="P7" s="22" t="n"/>
      <c r="Q7" s="22" t="n"/>
      <c r="R7" s="22" t="n"/>
      <c r="S7" s="22" t="n"/>
      <c r="T7" s="22" t="n"/>
      <c r="U7" s="22" t="n"/>
      <c r="V7" s="22" t="n"/>
      <c r="W7" s="22" t="n"/>
      <c r="X7" s="22" t="n"/>
      <c r="Y7" s="22" t="n"/>
      <c r="Z7" s="22" t="n"/>
      <c r="AA7" s="22" t="n"/>
      <c r="AB7" s="22" t="n"/>
      <c r="AC7" s="22" t="n"/>
      <c r="AD7" s="22" t="n"/>
    </row>
    <row r="8" ht="21.75" customHeight="1" s="349">
      <c r="A8" s="22" t="n"/>
      <c r="B8" s="307" t="inlineStr">
        <is>
          <t>Employer cost basis</t>
        </is>
      </c>
      <c r="C8" s="43" t="inlineStr">
        <is>
          <t>Werkgeverlasten (incl. taxes)</t>
        </is>
      </c>
      <c r="D8" s="22" t="n"/>
      <c r="E8" s="22" t="n"/>
      <c r="F8" s="22" t="n"/>
      <c r="G8" s="22" t="n"/>
      <c r="H8" s="23" t="n"/>
      <c r="I8" s="23" t="n"/>
      <c r="J8" s="23" t="n"/>
      <c r="K8" s="23" t="n"/>
      <c r="L8" s="350" t="n"/>
      <c r="M8" s="23" t="n"/>
      <c r="N8" s="22" t="n"/>
      <c r="O8" s="22" t="n"/>
      <c r="P8" s="22" t="n"/>
      <c r="Q8" s="22" t="n"/>
      <c r="R8" s="22" t="n"/>
      <c r="S8" s="22" t="n"/>
      <c r="T8" s="22" t="n"/>
      <c r="U8" s="22" t="n"/>
      <c r="V8" s="22" t="n"/>
      <c r="W8" s="22" t="n"/>
      <c r="X8" s="22" t="n"/>
      <c r="Y8" s="22" t="n"/>
      <c r="Z8" s="22" t="n"/>
      <c r="AA8" s="22" t="n"/>
      <c r="AB8" s="22" t="n"/>
      <c r="AC8" s="22" t="n"/>
      <c r="AD8" s="22" t="n"/>
    </row>
    <row r="9" ht="21.75" customHeight="1" s="349">
      <c r="A9" s="22" t="n"/>
      <c r="B9" s="307" t="inlineStr">
        <is>
          <t>Holiday pay (%)</t>
        </is>
      </c>
      <c r="C9" s="46" t="n">
        <v>0.08</v>
      </c>
      <c r="D9" s="22" t="n"/>
      <c r="E9" s="22" t="n"/>
      <c r="F9" s="22" t="n"/>
      <c r="G9" s="22" t="n"/>
      <c r="H9" s="23" t="n"/>
      <c r="I9" s="23" t="n"/>
      <c r="J9" s="23" t="n"/>
      <c r="K9" s="23" t="n"/>
      <c r="L9" s="350" t="n"/>
      <c r="M9" s="23" t="n"/>
      <c r="N9" s="22" t="n"/>
      <c r="O9" s="22" t="n"/>
      <c r="P9" s="22" t="n"/>
      <c r="Q9" s="22" t="n"/>
      <c r="R9" s="22" t="n"/>
      <c r="S9" s="22" t="n"/>
      <c r="T9" s="22" t="n"/>
      <c r="U9" s="22" t="n"/>
      <c r="V9" s="22" t="n"/>
      <c r="W9" s="22" t="n"/>
      <c r="X9" s="22" t="n"/>
      <c r="Y9" s="22" t="n"/>
      <c r="Z9" s="22" t="n"/>
      <c r="AA9" s="22" t="n"/>
      <c r="AB9" s="22" t="n"/>
      <c r="AC9" s="22" t="n"/>
      <c r="AD9" s="22" t="n"/>
    </row>
    <row r="10" ht="21.75" customHeight="1" s="349">
      <c r="A10" s="22" t="n"/>
      <c r="B10" s="22" t="inlineStr">
        <is>
          <t>Income tax rate</t>
        </is>
      </c>
      <c r="C10" s="50" t="n">
        <v>0.258</v>
      </c>
      <c r="D10" s="22" t="n"/>
      <c r="E10" s="22" t="n"/>
      <c r="F10" s="22" t="n"/>
      <c r="G10" s="22" t="n"/>
      <c r="H10" s="23" t="n"/>
      <c r="I10" s="23" t="n"/>
      <c r="J10" s="23" t="n"/>
      <c r="K10" s="23" t="n"/>
      <c r="L10" s="350" t="n"/>
      <c r="M10" s="23" t="n"/>
      <c r="N10" s="22" t="n"/>
      <c r="O10" s="22" t="n"/>
      <c r="P10" s="22" t="n"/>
      <c r="Q10" s="22" t="n"/>
      <c r="R10" s="22" t="n"/>
      <c r="S10" s="22" t="n"/>
      <c r="T10" s="22" t="n"/>
      <c r="U10" s="22" t="n"/>
      <c r="V10" s="22" t="n"/>
      <c r="W10" s="22" t="n"/>
      <c r="X10" s="22" t="n"/>
      <c r="Y10" s="22" t="n"/>
      <c r="Z10" s="22" t="n"/>
      <c r="AA10" s="22" t="n"/>
      <c r="AB10" s="22" t="n"/>
      <c r="AC10" s="22" t="n"/>
      <c r="AD10" s="22" t="n"/>
    </row>
    <row r="11" ht="21.75" customHeight="1" s="349">
      <c r="A11" s="22" t="n"/>
      <c r="B11" s="22" t="inlineStr">
        <is>
          <t>Interst on WC loan</t>
        </is>
      </c>
      <c r="C11" s="50" t="n">
        <v>0.05</v>
      </c>
      <c r="D11" s="22" t="n"/>
      <c r="E11" s="22" t="n"/>
      <c r="F11" s="22" t="n"/>
      <c r="G11" s="22" t="n"/>
      <c r="H11" s="23" t="n"/>
      <c r="I11" s="23" t="n"/>
      <c r="J11" s="23" t="n"/>
      <c r="K11" s="23" t="n"/>
      <c r="L11" s="350" t="inlineStr">
        <is>
          <t>interest rate charged on the CLA / working-capital loan</t>
        </is>
      </c>
      <c r="M11" s="23" t="n"/>
      <c r="N11" s="22" t="n"/>
      <c r="O11" s="22" t="n"/>
      <c r="P11" s="22" t="n"/>
      <c r="Q11" s="22" t="n"/>
      <c r="R11" s="22" t="n"/>
      <c r="S11" s="22" t="n"/>
      <c r="T11" s="22" t="n"/>
      <c r="U11" s="22" t="n"/>
      <c r="V11" s="22" t="n"/>
      <c r="W11" s="22" t="n"/>
      <c r="X11" s="22" t="n"/>
      <c r="Y11" s="22" t="n"/>
      <c r="Z11" s="22" t="n"/>
      <c r="AA11" s="22" t="n"/>
      <c r="AB11" s="22" t="n"/>
      <c r="AC11" s="22" t="n"/>
      <c r="AD11" s="22" t="n"/>
    </row>
    <row r="12" ht="21.75" customHeight="1" s="349">
      <c r="A12" s="307" t="n"/>
      <c r="B12" s="56" t="n"/>
      <c r="C12" s="307" t="n"/>
      <c r="D12" s="307" t="n"/>
      <c r="E12" s="307" t="n"/>
      <c r="F12" s="307" t="n"/>
      <c r="G12" s="307" t="n"/>
      <c r="H12" s="31" t="n"/>
      <c r="I12" s="31" t="n"/>
      <c r="J12" s="31" t="n"/>
      <c r="K12" s="31" t="n"/>
      <c r="L12" s="350" t="n"/>
      <c r="M12" s="31" t="n"/>
      <c r="N12" s="307" t="n"/>
      <c r="O12" s="307" t="n"/>
      <c r="P12" s="307" t="n"/>
      <c r="Q12" s="307" t="n"/>
      <c r="R12" s="307" t="n"/>
      <c r="S12" s="307" t="n"/>
      <c r="T12" s="307" t="n"/>
      <c r="U12" s="307" t="n"/>
      <c r="V12" s="307" t="n"/>
      <c r="W12" s="307" t="n"/>
      <c r="X12" s="307" t="n"/>
      <c r="Y12" s="307" t="n"/>
      <c r="Z12" s="307" t="n"/>
      <c r="AA12" s="307" t="n"/>
      <c r="AB12" s="307" t="n"/>
      <c r="AC12" s="307" t="n"/>
      <c r="AD12" s="307" t="n"/>
    </row>
    <row r="13" ht="21.75" customHeight="1" s="349">
      <c r="A13" s="307" t="n"/>
      <c r="B13" s="26" t="inlineStr">
        <is>
          <t>Working Capital</t>
        </is>
      </c>
      <c r="E13" s="307" t="n"/>
      <c r="F13" s="307" t="n"/>
      <c r="G13" s="307" t="n"/>
      <c r="H13" s="57" t="n">
        <v>20</v>
      </c>
      <c r="I13" s="31" t="n"/>
      <c r="J13" s="31" t="n"/>
      <c r="K13" s="31" t="n"/>
      <c r="L13" s="350" t="n"/>
      <c r="M13" s="31" t="n"/>
      <c r="N13" s="31" t="n"/>
      <c r="O13" s="31" t="n"/>
      <c r="P13" s="31" t="n"/>
      <c r="Q13" s="31" t="n"/>
      <c r="R13" s="31" t="n"/>
      <c r="S13" s="31" t="n"/>
      <c r="T13" s="31" t="n"/>
      <c r="U13" s="31" t="n"/>
      <c r="V13" s="31" t="n"/>
      <c r="W13" s="31" t="n"/>
      <c r="X13" s="31" t="n"/>
      <c r="Y13" s="31" t="n"/>
      <c r="Z13" s="31" t="n"/>
      <c r="AA13" s="31" t="n"/>
      <c r="AB13" s="31" t="n"/>
      <c r="AC13" s="31" t="n"/>
      <c r="AD13" s="31" t="n"/>
    </row>
    <row r="14" ht="21.75" customHeight="1" s="349">
      <c r="A14" s="307" t="n"/>
      <c r="B14" s="307" t="n"/>
      <c r="C14" s="307" t="n"/>
      <c r="D14" s="307" t="n"/>
      <c r="E14" s="307" t="n"/>
      <c r="F14" s="307" t="n"/>
      <c r="G14" s="307" t="n"/>
      <c r="H14" s="31" t="inlineStr">
        <is>
          <t> </t>
        </is>
      </c>
      <c r="I14" s="59" t="n"/>
      <c r="J14" s="59" t="n"/>
      <c r="K14" s="59" t="n"/>
      <c r="L14" s="61" t="n"/>
      <c r="M14" s="59" t="n"/>
      <c r="N14" s="59" t="n"/>
      <c r="O14" s="59" t="n"/>
      <c r="P14" s="59" t="n"/>
      <c r="Q14" s="59" t="n"/>
      <c r="R14" s="59" t="n"/>
      <c r="S14" s="59" t="n"/>
      <c r="T14" s="59" t="n"/>
      <c r="U14" s="59" t="n"/>
      <c r="V14" s="59" t="n"/>
      <c r="W14" s="59" t="n"/>
      <c r="X14" s="59" t="n"/>
      <c r="Y14" s="59" t="n"/>
      <c r="Z14" s="59" t="n"/>
      <c r="AA14" s="59" t="n"/>
      <c r="AB14" s="59" t="n"/>
      <c r="AC14" s="59" t="n"/>
      <c r="AD14" s="59" t="n"/>
    </row>
    <row r="15" ht="21.75" customHeight="1" s="349">
      <c r="A15" s="307" t="n"/>
      <c r="B15" s="63" t="inlineStr">
        <is>
          <t>Days Sales Outstanding (DSO)</t>
        </is>
      </c>
      <c r="C15" s="307" t="inlineStr">
        <is>
          <t>days</t>
        </is>
      </c>
      <c r="D15" s="64" t="n">
        <v>20</v>
      </c>
      <c r="E15" s="307" t="n"/>
      <c r="F15" s="307" t="n"/>
      <c r="G15" s="307" t="n"/>
      <c r="H15" s="31" t="n"/>
      <c r="I15" s="66" t="n"/>
      <c r="J15" s="66" t="n"/>
      <c r="K15" s="66" t="n"/>
      <c r="L15" s="350" t="inlineStr">
        <is>
          <t>days customers take to pay — sets receivables on the balance sheet</t>
        </is>
      </c>
      <c r="M15" s="66" t="n"/>
      <c r="N15" s="66" t="n"/>
      <c r="O15" s="66" t="n"/>
      <c r="P15" s="66" t="n"/>
      <c r="Q15" s="66" t="n"/>
      <c r="R15" s="66" t="n"/>
      <c r="S15" s="66" t="n"/>
      <c r="T15" s="66" t="n"/>
      <c r="U15" s="31" t="n"/>
      <c r="V15" s="31" t="n"/>
      <c r="W15" s="31" t="n"/>
      <c r="X15" s="31" t="n"/>
      <c r="Y15" s="31" t="n"/>
      <c r="Z15" s="31" t="n"/>
      <c r="AA15" s="31" t="n"/>
      <c r="AB15" s="31" t="n"/>
      <c r="AC15" s="31" t="n"/>
      <c r="AD15" s="31" t="n"/>
    </row>
    <row r="16" ht="21.75" customHeight="1" s="349">
      <c r="A16" s="307" t="n"/>
      <c r="B16" s="63" t="inlineStr">
        <is>
          <t>Days Payable Outstanding (DPO)</t>
        </is>
      </c>
      <c r="C16" s="307" t="inlineStr">
        <is>
          <t>days</t>
        </is>
      </c>
      <c r="D16" s="64" t="n">
        <v>45</v>
      </c>
      <c r="E16" s="307" t="n"/>
      <c r="F16" s="307" t="n"/>
      <c r="G16" s="307" t="n"/>
      <c r="H16" s="31" t="n"/>
      <c r="I16" s="66" t="n"/>
      <c r="J16" s="66" t="n"/>
      <c r="K16" s="66" t="n"/>
      <c r="L16" s="350" t="inlineStr">
        <is>
          <t>days we take to pay suppliers — sets payables</t>
        </is>
      </c>
      <c r="M16" s="66" t="n"/>
      <c r="N16" s="66" t="n"/>
      <c r="O16" s="66" t="n"/>
      <c r="P16" s="66" t="n"/>
      <c r="Q16" s="66" t="n"/>
      <c r="R16" s="66" t="n"/>
      <c r="S16" s="66" t="n"/>
      <c r="T16" s="66" t="n"/>
      <c r="U16" s="31" t="n"/>
      <c r="V16" s="31" t="n"/>
      <c r="W16" s="31" t="n"/>
      <c r="X16" s="31" t="n"/>
      <c r="Y16" s="31" t="n"/>
      <c r="Z16" s="31" t="n"/>
      <c r="AA16" s="31" t="n"/>
      <c r="AB16" s="31" t="n"/>
      <c r="AC16" s="31" t="n"/>
      <c r="AD16" s="31" t="n"/>
    </row>
    <row r="17" ht="21.75" customHeight="1" s="349">
      <c r="A17" s="307" t="n"/>
      <c r="B17" s="63" t="inlineStr">
        <is>
          <t>Days Inventory Outstanding (DIO)</t>
        </is>
      </c>
      <c r="C17" s="307" t="inlineStr">
        <is>
          <t>days</t>
        </is>
      </c>
      <c r="D17" s="64">
        <f>IF($D$82=2,30,0)</f>
        <v/>
      </c>
      <c r="E17" s="307" t="n"/>
      <c r="F17" s="307" t="n"/>
      <c r="G17" s="307" t="n"/>
      <c r="H17" s="307" t="n"/>
      <c r="I17" s="307" t="n"/>
      <c r="J17" s="307" t="n"/>
      <c r="K17" s="31" t="n"/>
      <c r="L17" s="350" t="inlineStr">
        <is>
          <t>days of stock held. 0 in Base (as before); 30 in the Aggressive case</t>
        </is>
      </c>
      <c r="M17" s="31" t="n"/>
      <c r="N17" s="307" t="n"/>
      <c r="O17" s="307" t="n"/>
      <c r="P17" s="307" t="n"/>
      <c r="Q17" s="307" t="n"/>
      <c r="R17" s="307" t="n"/>
      <c r="S17" s="307" t="n"/>
      <c r="T17" s="307" t="n"/>
      <c r="U17" s="307" t="n"/>
      <c r="V17" s="307" t="n"/>
      <c r="W17" s="307" t="n"/>
      <c r="X17" s="307" t="n"/>
      <c r="Y17" s="307" t="n"/>
      <c r="Z17" s="307" t="n"/>
      <c r="AA17" s="307" t="n"/>
      <c r="AB17" s="307" t="n"/>
      <c r="AC17" s="307" t="n"/>
      <c r="AD17" s="307" t="n"/>
    </row>
    <row r="18" ht="21.75" customHeight="1" s="349">
      <c r="A18" s="307" t="n"/>
      <c r="B18" s="63" t="inlineStr">
        <is>
          <t>Pre-payment</t>
        </is>
      </c>
      <c r="C18" s="307" t="inlineStr">
        <is>
          <t>%</t>
        </is>
      </c>
      <c r="D18" s="75" t="n"/>
      <c r="E18" s="307" t="n"/>
      <c r="F18" s="307" t="n"/>
      <c r="G18" s="307" t="n"/>
      <c r="H18" s="307" t="n"/>
      <c r="I18" s="307" t="n"/>
      <c r="J18" s="307" t="n"/>
      <c r="K18" s="31" t="n"/>
      <c r="L18" s="350" t="inlineStr">
        <is>
          <t>share paid up front. left blank, so no customer deposits assumed</t>
        </is>
      </c>
      <c r="M18" s="31" t="n"/>
      <c r="N18" s="307" t="n"/>
      <c r="O18" s="307" t="n"/>
      <c r="P18" s="307" t="n"/>
      <c r="Q18" s="307" t="n"/>
      <c r="R18" s="307" t="n"/>
      <c r="S18" s="307" t="n"/>
      <c r="T18" s="307" t="n"/>
      <c r="U18" s="307" t="n"/>
      <c r="V18" s="307" t="n"/>
      <c r="W18" s="307" t="n"/>
      <c r="X18" s="307" t="n"/>
      <c r="Y18" s="307" t="n"/>
      <c r="Z18" s="307" t="n"/>
      <c r="AA18" s="307" t="n"/>
      <c r="AB18" s="307" t="n"/>
      <c r="AC18" s="307" t="n"/>
      <c r="AD18" s="307" t="n"/>
    </row>
    <row r="19" ht="21.75" customHeight="1" s="349">
      <c r="A19" s="307" t="n"/>
      <c r="B19" s="56" t="n"/>
      <c r="C19" s="307" t="n"/>
      <c r="D19" s="307" t="n"/>
      <c r="E19" s="307" t="n"/>
      <c r="F19" s="307" t="n"/>
      <c r="G19" s="307" t="n"/>
      <c r="L19" s="83" t="n"/>
      <c r="M19" s="31" t="n"/>
      <c r="N19" s="307" t="n"/>
      <c r="O19" s="307" t="n"/>
      <c r="P19" s="307" t="n"/>
      <c r="Q19" s="307" t="n"/>
      <c r="R19" s="307" t="n"/>
      <c r="S19" s="307" t="n"/>
      <c r="T19" s="307" t="n"/>
      <c r="U19" s="307" t="n"/>
      <c r="V19" s="307" t="n"/>
      <c r="W19" s="307" t="n"/>
      <c r="X19" s="307" t="n"/>
      <c r="Y19" s="307" t="n"/>
      <c r="Z19" s="307" t="n"/>
      <c r="AA19" s="307" t="n"/>
      <c r="AB19" s="307" t="n"/>
      <c r="AC19" s="307" t="n"/>
      <c r="AD19" s="307" t="n"/>
    </row>
    <row r="20" ht="21.75" customHeight="1" s="349">
      <c r="A20" s="307" t="n"/>
      <c r="B20" s="11" t="inlineStr">
        <is>
          <t>Revenue Build</t>
        </is>
      </c>
      <c r="C20" s="78" t="n"/>
      <c r="D20" s="78" t="n"/>
      <c r="E20" s="78" t="n"/>
      <c r="F20" s="78" t="n"/>
      <c r="G20" s="78" t="n"/>
      <c r="L20" s="83" t="n"/>
      <c r="M20" s="31" t="n"/>
      <c r="N20" s="307" t="n"/>
      <c r="O20" s="307" t="n"/>
      <c r="P20" s="307" t="n"/>
      <c r="Q20" s="307" t="n"/>
      <c r="R20" s="307" t="n"/>
      <c r="S20" s="307" t="n"/>
      <c r="T20" s="307" t="n"/>
      <c r="U20" s="307" t="n"/>
      <c r="V20" s="307" t="n"/>
      <c r="W20" s="307" t="n"/>
      <c r="X20" s="307" t="n"/>
      <c r="Y20" s="307" t="n"/>
      <c r="Z20" s="307" t="n"/>
      <c r="AA20" s="307" t="n"/>
      <c r="AB20" s="307" t="n"/>
      <c r="AC20" s="307" t="n"/>
      <c r="AD20" s="307" t="n"/>
    </row>
    <row r="21" ht="21.75" customHeight="1" s="349">
      <c r="A21" s="307" t="n"/>
      <c r="B21" s="140" t="inlineStr">
        <is>
          <t>~Units sold</t>
        </is>
      </c>
      <c r="C21" s="140" t="n"/>
      <c r="D21" s="354">
        <f>'Growth Engine'!BC43</f>
        <v/>
      </c>
      <c r="E21" s="354">
        <f>'Growth Engine'!BD43</f>
        <v/>
      </c>
      <c r="F21" s="354">
        <f>'Growth Engine'!BE43</f>
        <v/>
      </c>
      <c r="G21" s="354">
        <f>'Growth Engine'!BF43</f>
        <v/>
      </c>
      <c r="L21" s="350" t="inlineStr">
        <is>
          <t>OUTPUT, not an input — units come from the Growth Engine tab (demand vs sales capacity vs build capacity)</t>
        </is>
      </c>
      <c r="M21" s="31" t="n"/>
      <c r="N21" s="307" t="n"/>
      <c r="O21" s="307" t="n"/>
      <c r="P21" s="307" t="n"/>
      <c r="Q21" s="307" t="n"/>
      <c r="R21" s="307" t="n"/>
      <c r="S21" s="307" t="n"/>
      <c r="T21" s="307" t="n"/>
      <c r="U21" s="307" t="n"/>
      <c r="V21" s="307" t="n"/>
      <c r="W21" s="307" t="n"/>
      <c r="X21" s="307" t="n"/>
      <c r="Y21" s="307" t="n"/>
      <c r="Z21" s="307" t="n"/>
      <c r="AA21" s="307" t="n"/>
      <c r="AB21" s="307" t="n"/>
      <c r="AC21" s="307" t="n"/>
      <c r="AD21" s="307" t="n"/>
    </row>
    <row r="22" ht="21.75" customHeight="1" s="349">
      <c r="A22" s="307" t="n"/>
      <c r="B22" s="31" t="n"/>
      <c r="C22" s="307" t="n">
        <v>2026</v>
      </c>
      <c r="D22" s="307" t="n">
        <v>2027</v>
      </c>
      <c r="E22" s="307" t="n">
        <v>2028</v>
      </c>
      <c r="F22" s="307" t="n">
        <v>2029</v>
      </c>
      <c r="G22" s="307" t="n">
        <v>2030</v>
      </c>
      <c r="L22" s="83" t="n"/>
      <c r="M22" s="31" t="n"/>
      <c r="N22" s="307" t="n"/>
      <c r="O22" s="307" t="n"/>
      <c r="P22" s="307" t="n"/>
      <c r="Q22" s="307" t="n"/>
      <c r="R22" s="307" t="n"/>
      <c r="S22" s="307" t="n"/>
      <c r="T22" s="307" t="n"/>
      <c r="U22" s="307" t="n"/>
      <c r="V22" s="307" t="n"/>
      <c r="W22" s="307" t="n"/>
      <c r="X22" s="307" t="n"/>
      <c r="Y22" s="307" t="n"/>
      <c r="Z22" s="307" t="n"/>
      <c r="AA22" s="307" t="n"/>
      <c r="AB22" s="307" t="n"/>
      <c r="AC22" s="307" t="n"/>
      <c r="AD22" s="307" t="n"/>
    </row>
    <row r="23" ht="21.75" customHeight="1" s="349">
      <c r="A23" s="307" t="n"/>
      <c r="B23" s="31" t="inlineStr">
        <is>
          <t>TTK</t>
        </is>
      </c>
      <c r="C23" s="87" t="n">
        <v>0</v>
      </c>
      <c r="D23" s="87">
        <f>D$21*$H23</f>
        <v/>
      </c>
      <c r="E23" s="87">
        <f>E$21*$H23</f>
        <v/>
      </c>
      <c r="F23" s="87">
        <f>F$21*$H23</f>
        <v/>
      </c>
      <c r="G23" s="87">
        <f>G$21*$H23</f>
        <v/>
      </c>
      <c r="H23" s="88" t="n">
        <v>0.2</v>
      </c>
      <c r="L23" s="83" t="inlineStr">
        <is>
          <t>TTK units = total units x the mix % in column H</t>
        </is>
      </c>
      <c r="M23" s="31" t="n"/>
      <c r="N23" s="307" t="n"/>
      <c r="O23" s="307" t="n"/>
      <c r="P23" s="307" t="n"/>
      <c r="Q23" s="307" t="n"/>
      <c r="R23" s="307" t="n"/>
      <c r="S23" s="307" t="n"/>
      <c r="T23" s="307" t="n"/>
      <c r="U23" s="307" t="n"/>
      <c r="V23" s="307" t="n"/>
      <c r="W23" s="307" t="n"/>
      <c r="X23" s="307" t="n"/>
      <c r="Y23" s="307" t="n"/>
      <c r="Z23" s="307" t="n"/>
      <c r="AA23" s="307" t="n"/>
      <c r="AB23" s="307" t="n"/>
      <c r="AC23" s="307" t="n"/>
      <c r="AD23" s="307" t="n"/>
    </row>
    <row r="24" ht="21.75" customHeight="1" s="349">
      <c r="A24" s="307" t="n"/>
      <c r="B24" s="307" t="inlineStr">
        <is>
          <t>Combi+</t>
        </is>
      </c>
      <c r="C24" s="87" t="n">
        <v>0</v>
      </c>
      <c r="D24" s="87">
        <f>D$21*$H24</f>
        <v/>
      </c>
      <c r="E24" s="87">
        <f>E$21*$H24</f>
        <v/>
      </c>
      <c r="F24" s="87">
        <f>F$21*$H24</f>
        <v/>
      </c>
      <c r="G24" s="87">
        <f>G$21*$H24</f>
        <v/>
      </c>
      <c r="H24" s="88">
        <f>1-H23</f>
        <v/>
      </c>
      <c r="L24" s="83" t="inlineStr">
        <is>
          <t>Combi+ units = total units x the mix % in column H</t>
        </is>
      </c>
      <c r="M24" s="31" t="n"/>
      <c r="N24" s="307" t="n"/>
      <c r="O24" s="307" t="n"/>
      <c r="P24" s="307" t="n"/>
      <c r="Q24" s="307" t="n"/>
      <c r="R24" s="307" t="n"/>
      <c r="S24" s="307" t="n"/>
      <c r="T24" s="307" t="n"/>
      <c r="U24" s="307" t="n"/>
      <c r="V24" s="307" t="n"/>
      <c r="W24" s="307" t="n"/>
      <c r="X24" s="307" t="n"/>
      <c r="Y24" s="307" t="n"/>
      <c r="Z24" s="307" t="n"/>
      <c r="AA24" s="307" t="n"/>
      <c r="AB24" s="307" t="n"/>
      <c r="AC24" s="307" t="n"/>
      <c r="AD24" s="307" t="n"/>
    </row>
    <row r="25" ht="21.75" customHeight="1" s="349">
      <c r="A25" s="307" t="n"/>
      <c r="B25" s="307" t="n"/>
      <c r="C25" s="307" t="n"/>
      <c r="D25" s="307" t="n"/>
      <c r="E25" s="307" t="n"/>
      <c r="F25" s="307" t="n"/>
      <c r="G25" s="307" t="n"/>
      <c r="L25" s="83" t="n"/>
      <c r="M25" s="31" t="n"/>
      <c r="N25" s="307" t="n"/>
      <c r="O25" s="307" t="n"/>
      <c r="P25" s="307" t="n"/>
      <c r="Q25" s="307" t="n"/>
      <c r="R25" s="307" t="n"/>
      <c r="S25" s="307" t="n"/>
      <c r="T25" s="307" t="n"/>
      <c r="U25" s="307" t="n"/>
      <c r="V25" s="307" t="n"/>
      <c r="W25" s="307" t="n"/>
      <c r="X25" s="307" t="n"/>
      <c r="Y25" s="307" t="n"/>
      <c r="Z25" s="307" t="n"/>
      <c r="AA25" s="307" t="n"/>
      <c r="AB25" s="307" t="n"/>
      <c r="AC25" s="307" t="n"/>
      <c r="AD25" s="307" t="n"/>
    </row>
    <row r="26" ht="21.75" customHeight="1" s="349">
      <c r="A26" s="237" t="n"/>
      <c r="B26" s="90" t="n"/>
      <c r="C26" s="31" t="n"/>
      <c r="D26" s="91" t="n"/>
      <c r="E26" s="91" t="n"/>
      <c r="F26" s="91" t="n"/>
      <c r="G26" s="91" t="n"/>
      <c r="L26" s="83" t="n"/>
      <c r="M26" s="201" t="n"/>
      <c r="N26" s="237" t="n"/>
      <c r="O26" s="237" t="n"/>
      <c r="P26" s="237" t="n"/>
      <c r="Q26" s="237" t="n"/>
      <c r="R26" s="237" t="n"/>
      <c r="S26" s="237" t="n"/>
      <c r="T26" s="237" t="n"/>
      <c r="U26" s="237" t="n"/>
      <c r="V26" s="237" t="n"/>
      <c r="W26" s="237" t="n"/>
      <c r="X26" s="237" t="n"/>
      <c r="Y26" s="237" t="n"/>
      <c r="Z26" s="237" t="n"/>
      <c r="AA26" s="237" t="n"/>
      <c r="AB26" s="237" t="n"/>
      <c r="AC26" s="237" t="n"/>
      <c r="AD26" s="237" t="n"/>
    </row>
    <row r="27" ht="21.75" customHeight="1" s="349">
      <c r="A27" s="237" t="n"/>
      <c r="B27" s="140" t="inlineStr">
        <is>
          <t>Pricing</t>
        </is>
      </c>
      <c r="C27" s="140" t="n"/>
      <c r="D27" s="140" t="n"/>
      <c r="E27" s="140" t="n"/>
      <c r="F27" s="140" t="n"/>
      <c r="G27" s="140" t="n"/>
      <c r="H27" s="201" t="n"/>
      <c r="I27" s="201" t="n"/>
      <c r="J27" s="201" t="n"/>
      <c r="K27" s="201" t="n"/>
      <c r="L27" s="350" t="n"/>
      <c r="M27" s="201" t="n"/>
      <c r="N27" s="237" t="n"/>
      <c r="O27" s="237" t="n"/>
      <c r="P27" s="237" t="n"/>
      <c r="Q27" s="237" t="n"/>
      <c r="R27" s="237" t="n"/>
      <c r="S27" s="237" t="n"/>
      <c r="T27" s="237" t="n"/>
      <c r="U27" s="237" t="n"/>
      <c r="V27" s="237" t="n"/>
      <c r="W27" s="237" t="n"/>
      <c r="X27" s="237" t="n"/>
      <c r="Y27" s="237" t="n"/>
      <c r="Z27" s="237" t="n"/>
      <c r="AA27" s="237" t="n"/>
      <c r="AB27" s="237" t="n"/>
      <c r="AC27" s="237" t="n"/>
      <c r="AD27" s="237" t="n"/>
    </row>
    <row r="28" ht="21.75" customHeight="1" s="349">
      <c r="A28" s="237" t="n"/>
      <c r="B28" s="93" t="inlineStr">
        <is>
          <t>PRICING — build-up (turbineketel + outdoor unit)</t>
        </is>
      </c>
      <c r="C28" s="31" t="n"/>
      <c r="D28" s="91" t="inlineStr">
        <is>
          <t>(inc VAT)</t>
        </is>
      </c>
      <c r="E28" s="91" t="n"/>
      <c r="F28" s="91" t="n"/>
      <c r="G28" s="91" t="n"/>
      <c r="H28" s="201" t="n"/>
      <c r="I28" s="201" t="n"/>
      <c r="J28" s="201" t="n"/>
      <c r="K28" s="201" t="n"/>
      <c r="L28" s="350" t="n"/>
      <c r="M28" s="201" t="n"/>
      <c r="N28" s="237" t="n"/>
      <c r="O28" s="237" t="n"/>
      <c r="P28" s="237" t="n"/>
      <c r="Q28" s="237" t="n"/>
      <c r="R28" s="237" t="n"/>
      <c r="S28" s="237" t="n"/>
      <c r="T28" s="237" t="n"/>
      <c r="U28" s="237" t="n"/>
      <c r="V28" s="237" t="n"/>
      <c r="W28" s="237" t="n"/>
      <c r="X28" s="237" t="n"/>
      <c r="Y28" s="237" t="n"/>
      <c r="Z28" s="237" t="n"/>
      <c r="AA28" s="237" t="n"/>
      <c r="AB28" s="237" t="n"/>
      <c r="AC28" s="237" t="n"/>
      <c r="AD28" s="237" t="n"/>
    </row>
    <row r="29" ht="21.75" customHeight="1" s="349">
      <c r="A29" s="237" t="n"/>
      <c r="B29" s="237" t="inlineStr">
        <is>
          <t>Turbineketel base price (all products)</t>
        </is>
      </c>
      <c r="C29" s="97" t="n">
        <v>8525.620000000001</v>
      </c>
      <c r="D29" s="96">
        <f>C29*1.21</f>
        <v/>
      </c>
      <c r="E29" s="91" t="n"/>
      <c r="F29" s="91" t="n"/>
      <c r="G29" s="91" t="n"/>
      <c r="H29" s="201" t="n"/>
      <c r="I29" s="201" t="n"/>
      <c r="J29" s="201" t="n"/>
      <c r="K29" s="31" t="n"/>
      <c r="L29" s="350" t="inlineStr">
        <is>
          <t>column D is just the same price with VAT added, for reference</t>
        </is>
      </c>
      <c r="M29" s="201" t="n"/>
      <c r="N29" s="237" t="n"/>
      <c r="O29" s="237" t="n"/>
      <c r="P29" s="237" t="n"/>
      <c r="Q29" s="237" t="n"/>
      <c r="R29" s="237" t="n"/>
      <c r="S29" s="237" t="n"/>
      <c r="T29" s="237" t="n"/>
      <c r="U29" s="237" t="n"/>
      <c r="V29" s="237" t="n"/>
      <c r="W29" s="237" t="n"/>
      <c r="X29" s="237" t="n"/>
      <c r="Y29" s="237" t="n"/>
      <c r="Z29" s="237" t="n"/>
      <c r="AA29" s="237" t="n"/>
      <c r="AB29" s="237" t="n"/>
      <c r="AC29" s="237" t="n"/>
      <c r="AD29" s="237" t="n"/>
    </row>
    <row r="30" ht="21.75" customHeight="1" s="349">
      <c r="A30" s="237" t="n"/>
      <c r="B30" s="93" t="inlineStr">
        <is>
          <t>Outdoor unit — Combi+</t>
        </is>
      </c>
      <c r="C30" s="97" t="n">
        <v>5309.92</v>
      </c>
      <c r="D30" s="96">
        <f>C30*1.21</f>
        <v/>
      </c>
      <c r="E30" s="307" t="n"/>
      <c r="F30" s="237" t="n"/>
      <c r="G30" s="237" t="n"/>
      <c r="H30" s="201" t="n"/>
      <c r="I30" s="201" t="n"/>
      <c r="J30" s="201" t="n"/>
      <c r="K30" s="31" t="n"/>
      <c r="L30" s="350" t="inlineStr">
        <is>
          <t>column D is the incl-VAT version, for reference</t>
        </is>
      </c>
      <c r="M30" s="201" t="n"/>
      <c r="N30" s="237" t="n"/>
      <c r="O30" s="237" t="n"/>
      <c r="P30" s="237" t="n"/>
      <c r="Q30" s="237" t="n"/>
      <c r="R30" s="237" t="n"/>
      <c r="S30" s="237" t="n"/>
      <c r="T30" s="237" t="n"/>
      <c r="U30" s="237" t="n"/>
      <c r="V30" s="237" t="n"/>
      <c r="W30" s="237" t="n"/>
      <c r="X30" s="237" t="n"/>
      <c r="Y30" s="237" t="n"/>
      <c r="Z30" s="237" t="n"/>
      <c r="AA30" s="237" t="n"/>
      <c r="AB30" s="237" t="n"/>
      <c r="AC30" s="237" t="n"/>
      <c r="AD30" s="237" t="n"/>
    </row>
    <row r="31" ht="21.75" customHeight="1" s="349">
      <c r="A31" s="237" t="n"/>
      <c r="B31" s="237" t="inlineStr">
        <is>
          <t>Combi+ price (ketel + ODU)</t>
        </is>
      </c>
      <c r="C31" s="99">
        <f>C29+C30</f>
        <v/>
      </c>
      <c r="D31" s="96">
        <f>C31*1.21</f>
        <v/>
      </c>
      <c r="E31" s="237" t="n"/>
      <c r="F31" s="237" t="n"/>
      <c r="G31" s="237" t="n"/>
      <c r="H31" s="201" t="n"/>
      <c r="I31" s="201" t="n"/>
      <c r="J31" s="201" t="n"/>
      <c r="K31" s="201" t="n"/>
      <c r="L31" s="350" t="inlineStr">
        <is>
          <t>Combi+ price = ketel + outdoor unit</t>
        </is>
      </c>
      <c r="M31" s="201" t="n"/>
      <c r="N31" s="237" t="n"/>
      <c r="O31" s="237" t="n"/>
      <c r="P31" s="237" t="n"/>
      <c r="Q31" s="237" t="n"/>
      <c r="R31" s="237" t="n"/>
      <c r="S31" s="237" t="n"/>
      <c r="T31" s="237" t="n"/>
      <c r="U31" s="237" t="n"/>
      <c r="V31" s="237" t="n"/>
      <c r="W31" s="237" t="n"/>
      <c r="X31" s="237" t="n"/>
      <c r="Y31" s="237" t="n"/>
      <c r="Z31" s="237" t="n"/>
      <c r="AA31" s="237" t="n"/>
      <c r="AB31" s="237" t="n"/>
      <c r="AC31" s="237" t="n"/>
      <c r="AD31" s="237" t="n"/>
    </row>
    <row r="32" ht="21.75" customHeight="1" s="349">
      <c r="A32" s="237" t="n"/>
      <c r="B32" s="93" t="inlineStr">
        <is>
          <t>INSTALLATION (PASS-THROUGH; REV=COST)</t>
        </is>
      </c>
      <c r="C32" s="237" t="n"/>
      <c r="D32" s="237" t="n"/>
      <c r="E32" s="237" t="n"/>
      <c r="F32" s="237" t="n"/>
      <c r="G32" s="237" t="n"/>
      <c r="H32" s="201" t="n"/>
      <c r="I32" s="201" t="n"/>
      <c r="J32" s="201" t="n"/>
      <c r="K32" s="201" t="n"/>
      <c r="L32" s="350" t="n"/>
      <c r="M32" s="201" t="n"/>
      <c r="N32" s="237" t="n"/>
      <c r="O32" s="237" t="n"/>
      <c r="P32" s="237" t="n"/>
      <c r="Q32" s="237" t="n"/>
      <c r="R32" s="237" t="n"/>
      <c r="S32" s="237" t="n"/>
      <c r="T32" s="237" t="n"/>
      <c r="U32" s="237" t="n"/>
      <c r="V32" s="237" t="n"/>
      <c r="W32" s="237" t="n"/>
      <c r="X32" s="237" t="n"/>
      <c r="Y32" s="237" t="n"/>
      <c r="Z32" s="237" t="n"/>
      <c r="AA32" s="237" t="n"/>
      <c r="AB32" s="237" t="n"/>
      <c r="AC32" s="237" t="n"/>
      <c r="AD32" s="237" t="n"/>
    </row>
    <row r="33" ht="21.75" customHeight="1" s="349">
      <c r="A33" s="237" t="n"/>
      <c r="B33" s="101" t="inlineStr">
        <is>
          <t>Installation — TTK</t>
        </is>
      </c>
      <c r="C33" s="99" t="n">
        <v>2800</v>
      </c>
      <c r="D33" s="237" t="n"/>
      <c r="E33" s="237" t="n"/>
      <c r="F33" s="237" t="n"/>
      <c r="G33" s="237" t="n"/>
      <c r="H33" s="201" t="n"/>
      <c r="I33" s="201" t="n"/>
      <c r="J33" s="201" t="n"/>
      <c r="K33" s="201" t="n"/>
      <c r="L33" s="350" t="inlineStr">
        <is>
          <t>charged at cost, no margin (pass-through)</t>
        </is>
      </c>
      <c r="M33" s="201" t="n"/>
      <c r="N33" s="237" t="n"/>
      <c r="O33" s="237" t="n"/>
      <c r="P33" s="237" t="n"/>
      <c r="Q33" s="237" t="n"/>
      <c r="R33" s="237" t="n"/>
      <c r="S33" s="237" t="n"/>
      <c r="T33" s="237" t="n"/>
      <c r="U33" s="237" t="n"/>
      <c r="V33" s="237" t="n"/>
      <c r="W33" s="237" t="n"/>
      <c r="X33" s="237" t="n"/>
      <c r="Y33" s="237" t="n"/>
      <c r="Z33" s="237" t="n"/>
      <c r="AA33" s="237" t="n"/>
      <c r="AB33" s="237" t="n"/>
      <c r="AC33" s="237" t="n"/>
      <c r="AD33" s="237" t="n"/>
    </row>
    <row r="34" ht="21.75" customHeight="1" s="349">
      <c r="A34" s="237" t="n"/>
      <c r="B34" s="101" t="inlineStr">
        <is>
          <t>Installation — Combi+</t>
        </is>
      </c>
      <c r="C34" s="99" t="n">
        <v>3800</v>
      </c>
      <c r="D34" s="237" t="n"/>
      <c r="E34" s="237" t="n"/>
      <c r="F34" s="237" t="n"/>
      <c r="G34" s="237" t="n"/>
      <c r="H34" s="201" t="n"/>
      <c r="I34" s="201" t="n"/>
      <c r="J34" s="201" t="n"/>
      <c r="K34" s="201" t="n"/>
      <c r="L34" s="350" t="inlineStr">
        <is>
          <t>charged at cost, no margin (pass-through)</t>
        </is>
      </c>
      <c r="M34" s="201" t="n"/>
      <c r="N34" s="237" t="n"/>
      <c r="O34" s="237" t="n"/>
      <c r="P34" s="237" t="n"/>
      <c r="Q34" s="237" t="n"/>
      <c r="R34" s="237" t="n"/>
      <c r="S34" s="237" t="n"/>
      <c r="T34" s="237" t="n"/>
      <c r="U34" s="237" t="n"/>
      <c r="V34" s="237" t="n"/>
      <c r="W34" s="237" t="n"/>
      <c r="X34" s="237" t="n"/>
      <c r="Y34" s="237" t="n"/>
      <c r="Z34" s="237" t="n"/>
      <c r="AA34" s="237" t="n"/>
      <c r="AB34" s="237" t="n"/>
      <c r="AC34" s="237" t="n"/>
      <c r="AD34" s="237" t="n"/>
    </row>
    <row r="35" ht="23.25" customHeight="1" s="349">
      <c r="A35" s="237" t="n"/>
      <c r="B35" s="103" t="inlineStr">
        <is>
          <t>COGS</t>
        </is>
      </c>
      <c r="E35" s="103" t="n"/>
      <c r="H35" s="29" t="n"/>
      <c r="K35" s="29" t="n"/>
      <c r="N35" s="237" t="n"/>
      <c r="O35" s="237" t="n"/>
      <c r="P35" s="237" t="n"/>
      <c r="Q35" s="237" t="n"/>
      <c r="R35" s="237" t="n"/>
      <c r="S35" s="237" t="n"/>
      <c r="T35" s="237" t="n"/>
      <c r="U35" s="237" t="n"/>
      <c r="V35" s="237" t="n"/>
      <c r="W35" s="237" t="n"/>
      <c r="X35" s="237" t="n"/>
      <c r="Y35" s="237" t="n"/>
      <c r="Z35" s="237" t="n"/>
      <c r="AA35" s="237" t="n"/>
      <c r="AB35" s="237" t="n"/>
      <c r="AC35" s="237" t="n"/>
      <c r="AD35" s="237" t="n"/>
    </row>
    <row r="36" ht="21.75" customHeight="1" s="349">
      <c r="A36" s="237" t="n"/>
      <c r="B36" s="101" t="inlineStr">
        <is>
          <t>TTK</t>
        </is>
      </c>
      <c r="C36" s="237" t="n"/>
      <c r="D36" s="237" t="n"/>
      <c r="E36" s="237" t="n"/>
      <c r="F36" s="237" t="n"/>
      <c r="G36" s="237" t="n"/>
      <c r="H36" s="201" t="n"/>
      <c r="I36" s="106" t="n"/>
      <c r="J36" s="201" t="n"/>
      <c r="K36" s="201" t="n"/>
      <c r="L36" s="350" t="n"/>
      <c r="M36" s="201" t="n"/>
      <c r="N36" s="237" t="n"/>
      <c r="O36" s="237" t="n"/>
      <c r="P36" s="237" t="n"/>
      <c r="Q36" s="237" t="n"/>
      <c r="R36" s="237" t="n"/>
      <c r="S36" s="237" t="n"/>
      <c r="T36" s="237" t="n"/>
      <c r="U36" s="237" t="n"/>
      <c r="V36" s="237" t="n"/>
      <c r="W36" s="237" t="n"/>
      <c r="X36" s="237" t="n"/>
      <c r="Y36" s="237" t="n"/>
      <c r="Z36" s="237" t="n"/>
      <c r="AA36" s="237" t="n"/>
      <c r="AB36" s="237" t="n"/>
      <c r="AC36" s="237" t="n"/>
      <c r="AD36" s="237" t="n"/>
    </row>
    <row r="37" ht="21.75" customHeight="1" s="349">
      <c r="A37" s="237" t="n"/>
      <c r="B37" s="200" t="inlineStr">
        <is>
          <t>Bill of Materials TTK supplier 1</t>
        </is>
      </c>
      <c r="C37" s="307" t="n"/>
      <c r="D37" s="307" t="n"/>
      <c r="E37" s="307" t="n"/>
      <c r="H37" s="31" t="n"/>
      <c r="I37" s="31" t="n"/>
      <c r="J37" s="201" t="n"/>
      <c r="L37" s="83" t="n"/>
      <c r="M37" s="201" t="n"/>
      <c r="N37" s="237" t="n"/>
      <c r="O37" s="237" t="n"/>
      <c r="P37" s="237" t="n"/>
      <c r="Q37" s="237" t="n"/>
      <c r="R37" s="237" t="n"/>
      <c r="S37" s="237" t="n"/>
      <c r="T37" s="237" t="n"/>
      <c r="U37" s="237" t="n"/>
      <c r="V37" s="237" t="n"/>
      <c r="W37" s="237" t="n"/>
      <c r="X37" s="237" t="n"/>
      <c r="Y37" s="237" t="n"/>
      <c r="Z37" s="237" t="n"/>
      <c r="AA37" s="237" t="n"/>
      <c r="AB37" s="237" t="n"/>
      <c r="AC37" s="237" t="n"/>
      <c r="AD37" s="237" t="n"/>
    </row>
    <row r="38" ht="21.75" customHeight="1" s="349">
      <c r="A38" s="237" t="n"/>
      <c r="B38" s="109" t="inlineStr">
        <is>
          <t>#</t>
        </is>
      </c>
      <c r="C38" s="110" t="inlineStr">
        <is>
          <t>Category</t>
        </is>
      </c>
      <c r="D38" s="111" t="inlineStr">
        <is>
          <t>Component</t>
        </is>
      </c>
      <c r="E38" s="112" t="inlineStr">
        <is>
          <t>1,000 units</t>
        </is>
      </c>
      <c r="F38" s="112" t="inlineStr">
        <is>
          <t>5,000 units</t>
        </is>
      </c>
      <c r="G38" s="109" t="inlineStr">
        <is>
          <t>10,000 units</t>
        </is>
      </c>
      <c r="H38" s="109" t="inlineStr">
        <is>
          <t>Unit</t>
        </is>
      </c>
      <c r="I38" s="109" t="inlineStr">
        <is>
          <t>Source</t>
        </is>
      </c>
      <c r="J38" s="201" t="n"/>
      <c r="L38" s="83" t="n"/>
      <c r="M38" s="201" t="n"/>
      <c r="N38" s="237" t="n"/>
      <c r="O38" s="237" t="n"/>
      <c r="P38" s="237" t="n"/>
      <c r="Q38" s="237" t="n"/>
      <c r="R38" s="237" t="n"/>
      <c r="S38" s="237" t="n"/>
      <c r="T38" s="237" t="n"/>
      <c r="U38" s="237" t="n"/>
      <c r="V38" s="237" t="n"/>
      <c r="W38" s="237" t="n"/>
      <c r="X38" s="237" t="n"/>
      <c r="Y38" s="237" t="n"/>
      <c r="Z38" s="237" t="n"/>
      <c r="AA38" s="237" t="n"/>
      <c r="AB38" s="237" t="n"/>
      <c r="AC38" s="237" t="n"/>
      <c r="AD38" s="237" t="n"/>
    </row>
    <row r="39" ht="21.75" customHeight="1" s="349">
      <c r="A39" s="237" t="n"/>
      <c r="B39" s="201" t="inlineStr">
        <is>
          <t>B1</t>
        </is>
      </c>
      <c r="C39" s="113" t="inlineStr">
        <is>
          <t>Supplier 1</t>
        </is>
      </c>
      <c r="D39" s="114" t="inlineStr">
        <is>
          <t>Compressor + VFD</t>
        </is>
      </c>
      <c r="E39" s="97" t="n">
        <v>6314</v>
      </c>
      <c r="F39" s="97" t="n">
        <v>4500</v>
      </c>
      <c r="G39" s="97" t="n">
        <v>2692.44</v>
      </c>
      <c r="H39" s="201" t="inlineStr">
        <is>
          <t>€/unit</t>
        </is>
      </c>
      <c r="I39" s="201" t="inlineStr">
        <is>
          <t>Source: BOM data provided</t>
        </is>
      </c>
      <c r="J39" s="201" t="n"/>
      <c r="L39" s="83" t="inlineStr">
        <is>
          <t>compressor prices typed in per tier, not a % step-down</t>
        </is>
      </c>
      <c r="M39" s="201" t="n"/>
      <c r="N39" s="237" t="n"/>
      <c r="O39" s="237" t="n"/>
      <c r="P39" s="237" t="n"/>
      <c r="Q39" s="237" t="n"/>
      <c r="R39" s="237" t="n"/>
      <c r="S39" s="237" t="n"/>
      <c r="T39" s="237" t="n"/>
      <c r="U39" s="237" t="n"/>
      <c r="V39" s="237" t="n"/>
      <c r="W39" s="237" t="n"/>
      <c r="X39" s="237" t="n"/>
      <c r="Y39" s="237" t="n"/>
      <c r="Z39" s="237" t="n"/>
      <c r="AA39" s="237" t="n"/>
      <c r="AB39" s="237" t="n"/>
      <c r="AC39" s="237" t="n"/>
      <c r="AD39" s="237" t="n"/>
    </row>
    <row r="40" ht="21.75" customHeight="1" s="349">
      <c r="A40" s="237" t="n"/>
      <c r="B40" s="201" t="inlineStr">
        <is>
          <t>B2</t>
        </is>
      </c>
      <c r="C40" s="113" t="inlineStr">
        <is>
          <t>Supplier 1</t>
        </is>
      </c>
      <c r="D40" s="114" t="inlineStr">
        <is>
          <t>Heat exchangers (set)</t>
        </is>
      </c>
      <c r="E40" s="97" t="n">
        <v>805.5</v>
      </c>
      <c r="F40" s="115">
        <f>E40*0.7</f>
        <v/>
      </c>
      <c r="G40" s="115">
        <f>0.6*F40</f>
        <v/>
      </c>
      <c r="H40" s="201" t="inlineStr">
        <is>
          <t>€/unit</t>
        </is>
      </c>
      <c r="I40" s="201" t="inlineStr">
        <is>
          <t>Source: BOM data provided</t>
        </is>
      </c>
      <c r="J40" s="201" t="n"/>
      <c r="L40" s="83" t="inlineStr">
        <is>
          <t>volume discount: 5k column = 70% of 1k, 10k = 60% of 5k</t>
        </is>
      </c>
      <c r="M40" s="201" t="n"/>
      <c r="N40" s="237" t="n"/>
      <c r="O40" s="237" t="n"/>
      <c r="P40" s="237" t="n"/>
      <c r="Q40" s="237" t="n"/>
      <c r="R40" s="237" t="n"/>
      <c r="S40" s="237" t="n"/>
      <c r="T40" s="237" t="n"/>
      <c r="U40" s="237" t="n"/>
      <c r="V40" s="237" t="n"/>
      <c r="W40" s="237" t="n"/>
      <c r="X40" s="237" t="n"/>
      <c r="Y40" s="237" t="n"/>
      <c r="Z40" s="237" t="n"/>
      <c r="AA40" s="237" t="n"/>
      <c r="AB40" s="237" t="n"/>
      <c r="AC40" s="237" t="n"/>
      <c r="AD40" s="237" t="n"/>
    </row>
    <row r="41" ht="21.75" customHeight="1" s="349">
      <c r="A41" s="237" t="n"/>
      <c r="B41" s="201" t="inlineStr">
        <is>
          <t>B3</t>
        </is>
      </c>
      <c r="C41" s="113" t="inlineStr">
        <is>
          <t>Supplier 1</t>
        </is>
      </c>
      <c r="D41" s="114" t="inlineStr">
        <is>
          <t>Electronics &amp; Power Electronics</t>
        </is>
      </c>
      <c r="E41" s="97" t="n">
        <v>632.92</v>
      </c>
      <c r="F41" s="115">
        <f>E41*0.7</f>
        <v/>
      </c>
      <c r="G41" s="115">
        <f>0.6*F41</f>
        <v/>
      </c>
      <c r="H41" s="201" t="inlineStr">
        <is>
          <t>€/unit</t>
        </is>
      </c>
      <c r="I41" s="201" t="inlineStr">
        <is>
          <t>Source: BOM data provided</t>
        </is>
      </c>
      <c r="J41" s="201" t="n"/>
      <c r="L41" s="83" t="inlineStr">
        <is>
          <t>volume discount: 5k column = 70% of 1k, 10k = 60% of 5k</t>
        </is>
      </c>
      <c r="M41" s="201" t="n"/>
      <c r="N41" s="237" t="n"/>
      <c r="O41" s="237" t="n"/>
      <c r="P41" s="237" t="n"/>
      <c r="Q41" s="237" t="n"/>
      <c r="R41" s="237" t="n"/>
      <c r="S41" s="237" t="n"/>
      <c r="T41" s="237" t="n"/>
      <c r="U41" s="237" t="n"/>
      <c r="V41" s="237" t="n"/>
      <c r="W41" s="237" t="n"/>
      <c r="X41" s="237" t="n"/>
      <c r="Y41" s="237" t="n"/>
      <c r="Z41" s="237" t="n"/>
      <c r="AA41" s="237" t="n"/>
      <c r="AB41" s="237" t="n"/>
      <c r="AC41" s="237" t="n"/>
      <c r="AD41" s="237" t="n"/>
    </row>
    <row r="42" ht="21.75" customHeight="1" s="349">
      <c r="A42" s="237" t="n"/>
      <c r="B42" s="201" t="inlineStr">
        <is>
          <t>B4</t>
        </is>
      </c>
      <c r="C42" s="113" t="inlineStr">
        <is>
          <t>Supplier 1</t>
        </is>
      </c>
      <c r="D42" s="114" t="inlineStr">
        <is>
          <t>Hydraulic Components (Pumps, Valves, etc.)</t>
        </is>
      </c>
      <c r="E42" s="97" t="n">
        <v>283.76</v>
      </c>
      <c r="F42" s="115">
        <f>E42*0.7</f>
        <v/>
      </c>
      <c r="G42" s="115">
        <f>0.6*F42</f>
        <v/>
      </c>
      <c r="H42" s="201" t="inlineStr">
        <is>
          <t>€/unit</t>
        </is>
      </c>
      <c r="I42" s="201" t="inlineStr">
        <is>
          <t>Source: BOM data provided</t>
        </is>
      </c>
      <c r="J42" s="201" t="n"/>
      <c r="L42" s="83" t="inlineStr">
        <is>
          <t>volume discount: 5k column = 70% of 1k, 10k = 60% of 5k</t>
        </is>
      </c>
      <c r="M42" s="201" t="n"/>
      <c r="N42" s="237" t="n"/>
      <c r="O42" s="237" t="n"/>
      <c r="P42" s="237" t="n"/>
      <c r="Q42" s="237" t="n"/>
      <c r="R42" s="237" t="n"/>
      <c r="S42" s="237" t="n"/>
      <c r="T42" s="237" t="n"/>
      <c r="U42" s="237" t="n"/>
      <c r="V42" s="237" t="n"/>
      <c r="W42" s="237" t="n"/>
      <c r="X42" s="237" t="n"/>
      <c r="Y42" s="237" t="n"/>
      <c r="Z42" s="237" t="n"/>
      <c r="AA42" s="237" t="n"/>
      <c r="AB42" s="237" t="n"/>
      <c r="AC42" s="237" t="n"/>
      <c r="AD42" s="237" t="n"/>
    </row>
    <row r="43" ht="21.75" customHeight="1" s="349">
      <c r="A43" s="237" t="n"/>
      <c r="B43" s="201" t="inlineStr">
        <is>
          <t>B5</t>
        </is>
      </c>
      <c r="C43" s="113" t="inlineStr">
        <is>
          <t>Supplier 1</t>
        </is>
      </c>
      <c r="D43" s="114" t="inlineStr">
        <is>
          <t>Silencer &amp; Insulation</t>
        </is>
      </c>
      <c r="E43" s="97" t="n">
        <v>118.48</v>
      </c>
      <c r="F43" s="115">
        <f>E43*0.7</f>
        <v/>
      </c>
      <c r="G43" s="115">
        <f>0.6*F43</f>
        <v/>
      </c>
      <c r="H43" s="201" t="inlineStr">
        <is>
          <t>€/unit</t>
        </is>
      </c>
      <c r="I43" s="201" t="inlineStr">
        <is>
          <t>Source: BOM data provided</t>
        </is>
      </c>
      <c r="J43" s="201" t="n"/>
      <c r="L43" s="83" t="inlineStr">
        <is>
          <t>volume discount: 5k column = 70% of 1k, 10k = 60% of 5k</t>
        </is>
      </c>
      <c r="M43" s="201" t="n"/>
      <c r="N43" s="237" t="n"/>
      <c r="O43" s="237" t="n"/>
      <c r="P43" s="237" t="n"/>
      <c r="Q43" s="237" t="n"/>
      <c r="R43" s="237" t="n"/>
      <c r="S43" s="237" t="n"/>
      <c r="T43" s="237" t="n"/>
      <c r="U43" s="237" t="n"/>
      <c r="V43" s="237" t="n"/>
      <c r="W43" s="237" t="n"/>
      <c r="X43" s="237" t="n"/>
      <c r="Y43" s="237" t="n"/>
      <c r="Z43" s="237" t="n"/>
      <c r="AA43" s="237" t="n"/>
      <c r="AB43" s="237" t="n"/>
      <c r="AC43" s="237" t="n"/>
      <c r="AD43" s="237" t="n"/>
    </row>
    <row r="44" ht="21.75" customHeight="1" s="349">
      <c r="A44" s="237" t="n"/>
      <c r="B44" s="201" t="inlineStr">
        <is>
          <t>B6</t>
        </is>
      </c>
      <c r="C44" s="113" t="inlineStr">
        <is>
          <t>Supplier 1</t>
        </is>
      </c>
      <c r="D44" s="114" t="inlineStr">
        <is>
          <t>Enclosure (Sheet Metal &amp; Coating)</t>
        </is>
      </c>
      <c r="E44" s="97" t="n">
        <v>653.03</v>
      </c>
      <c r="F44" s="115">
        <f>E44*0.7</f>
        <v/>
      </c>
      <c r="G44" s="115">
        <f>0.6*F44</f>
        <v/>
      </c>
      <c r="H44" s="201" t="inlineStr">
        <is>
          <t>€/unit</t>
        </is>
      </c>
      <c r="I44" s="201" t="inlineStr">
        <is>
          <t>Source: BOM data provided</t>
        </is>
      </c>
      <c r="J44" s="201" t="n"/>
      <c r="L44" s="83" t="inlineStr">
        <is>
          <t>volume discount: 5k column = 70% of 1k, 10k = 60% of 5k</t>
        </is>
      </c>
      <c r="M44" s="201" t="n"/>
      <c r="N44" s="237" t="n"/>
      <c r="O44" s="237" t="n"/>
      <c r="P44" s="237" t="n"/>
      <c r="Q44" s="237" t="n"/>
      <c r="R44" s="237" t="n"/>
      <c r="S44" s="237" t="n"/>
      <c r="T44" s="237" t="n"/>
      <c r="U44" s="237" t="n"/>
      <c r="V44" s="237" t="n"/>
      <c r="W44" s="237" t="n"/>
      <c r="X44" s="237" t="n"/>
      <c r="Y44" s="237" t="n"/>
      <c r="Z44" s="237" t="n"/>
      <c r="AA44" s="237" t="n"/>
      <c r="AB44" s="237" t="n"/>
      <c r="AC44" s="237" t="n"/>
      <c r="AD44" s="237" t="n"/>
    </row>
    <row r="45" ht="21.75" customHeight="1" s="349">
      <c r="A45" s="237" t="n"/>
      <c r="B45" s="201" t="inlineStr">
        <is>
          <t>B7</t>
        </is>
      </c>
      <c r="C45" s="113" t="inlineStr">
        <is>
          <t>Supplier 1</t>
        </is>
      </c>
      <c r="D45" s="114" t="inlineStr">
        <is>
          <t>Other Components</t>
        </is>
      </c>
      <c r="E45" s="97" t="n">
        <v>290</v>
      </c>
      <c r="F45" s="115">
        <f>E45*0.7</f>
        <v/>
      </c>
      <c r="G45" s="115" t="n">
        <v>126</v>
      </c>
      <c r="H45" s="201" t="inlineStr">
        <is>
          <t>€/unit</t>
        </is>
      </c>
      <c r="I45" s="201" t="inlineStr">
        <is>
          <t>Source: BOM data provided</t>
        </is>
      </c>
      <c r="J45" s="201" t="n"/>
      <c r="L45" s="83" t="inlineStr">
        <is>
          <t>5k = 70% of 1k; the 10k number is typed in by hand</t>
        </is>
      </c>
      <c r="M45" s="201" t="n"/>
      <c r="N45" s="237" t="n"/>
      <c r="O45" s="237" t="n"/>
      <c r="P45" s="237" t="n"/>
      <c r="Q45" s="237" t="n"/>
      <c r="R45" s="237" t="n"/>
      <c r="S45" s="237" t="n"/>
      <c r="T45" s="237" t="n"/>
      <c r="U45" s="237" t="n"/>
      <c r="V45" s="237" t="n"/>
      <c r="W45" s="237" t="n"/>
      <c r="X45" s="237" t="n"/>
      <c r="Y45" s="237" t="n"/>
      <c r="Z45" s="237" t="n"/>
      <c r="AA45" s="237" t="n"/>
      <c r="AB45" s="237" t="n"/>
      <c r="AC45" s="237" t="n"/>
      <c r="AD45" s="237" t="n"/>
    </row>
    <row r="46" ht="21.75" customHeight="1" s="349">
      <c r="A46" s="237" t="n"/>
      <c r="B46" s="201" t="inlineStr">
        <is>
          <t>B8</t>
        </is>
      </c>
      <c r="C46" s="113" t="inlineStr">
        <is>
          <t>Supplier 1</t>
        </is>
      </c>
      <c r="D46" s="114" t="inlineStr">
        <is>
          <t>Assembly &amp; Final Testing</t>
        </is>
      </c>
      <c r="E46" s="97" t="n">
        <v>200</v>
      </c>
      <c r="F46" s="115">
        <f>E46*0.7</f>
        <v/>
      </c>
      <c r="G46" s="115">
        <f>0.6*F46</f>
        <v/>
      </c>
      <c r="H46" s="201" t="inlineStr">
        <is>
          <t>€/unit</t>
        </is>
      </c>
      <c r="I46" s="201" t="inlineStr">
        <is>
          <t>Source: BOM data provided</t>
        </is>
      </c>
      <c r="J46" s="201" t="n"/>
      <c r="L46" s="83" t="inlineStr">
        <is>
          <t>volume discount: 5k column = 70% of 1k, 10k = 60% of 5k</t>
        </is>
      </c>
      <c r="M46" s="201" t="n"/>
      <c r="N46" s="237" t="n"/>
      <c r="O46" s="237" t="n"/>
      <c r="P46" s="237" t="n"/>
      <c r="Q46" s="237" t="n"/>
      <c r="R46" s="237" t="n"/>
      <c r="S46" s="237" t="n"/>
      <c r="T46" s="237" t="n"/>
      <c r="U46" s="237" t="n"/>
      <c r="V46" s="237" t="n"/>
      <c r="W46" s="237" t="n"/>
      <c r="X46" s="237" t="n"/>
      <c r="Y46" s="237" t="n"/>
      <c r="Z46" s="237" t="n"/>
      <c r="AA46" s="237" t="n"/>
      <c r="AB46" s="237" t="n"/>
      <c r="AC46" s="237" t="n"/>
      <c r="AD46" s="237" t="n"/>
    </row>
    <row r="47" ht="21.75" customHeight="1" s="349">
      <c r="A47" s="237" t="n"/>
      <c r="B47" s="201" t="inlineStr">
        <is>
          <t>B9</t>
        </is>
      </c>
      <c r="C47" s="113" t="inlineStr">
        <is>
          <t>Supplier 1</t>
        </is>
      </c>
      <c r="D47" s="114" t="inlineStr">
        <is>
          <t>Packaging &amp; Inbound Logistics</t>
        </is>
      </c>
      <c r="E47" s="97" t="n">
        <v>395</v>
      </c>
      <c r="F47" s="115">
        <f>E47*0.7</f>
        <v/>
      </c>
      <c r="G47" s="115">
        <f>0.6*F47</f>
        <v/>
      </c>
      <c r="H47" s="201" t="inlineStr">
        <is>
          <t>€/unit</t>
        </is>
      </c>
      <c r="I47" s="201" t="inlineStr">
        <is>
          <t>Source: BOM data provided</t>
        </is>
      </c>
      <c r="J47" s="201" t="n"/>
      <c r="L47" s="83" t="inlineStr">
        <is>
          <t>volume discount: 5k column = 70% of 1k, 10k = 60% of 5k</t>
        </is>
      </c>
      <c r="M47" s="201" t="n"/>
      <c r="N47" s="237" t="n"/>
      <c r="O47" s="237" t="n"/>
      <c r="P47" s="237" t="n"/>
      <c r="Q47" s="237" t="n"/>
      <c r="R47" s="237" t="n"/>
      <c r="S47" s="237" t="n"/>
      <c r="T47" s="237" t="n"/>
      <c r="U47" s="237" t="n"/>
      <c r="V47" s="237" t="n"/>
      <c r="W47" s="237" t="n"/>
      <c r="X47" s="237" t="n"/>
      <c r="Y47" s="237" t="n"/>
      <c r="Z47" s="237" t="n"/>
      <c r="AA47" s="237" t="n"/>
      <c r="AB47" s="237" t="n"/>
      <c r="AC47" s="237" t="n"/>
      <c r="AD47" s="237" t="n"/>
    </row>
    <row r="48" ht="21.75" customHeight="1" s="349">
      <c r="A48" s="237" t="n"/>
      <c r="B48" s="201" t="inlineStr">
        <is>
          <t>B10</t>
        </is>
      </c>
      <c r="C48" s="113" t="inlineStr">
        <is>
          <t>Supplier 1</t>
        </is>
      </c>
      <c r="D48" s="114" t="inlineStr">
        <is>
          <t>Yield Loss &amp; Warranty Provision (~3%)</t>
        </is>
      </c>
      <c r="E48" s="97" t="n">
        <v>291.23</v>
      </c>
      <c r="F48" s="115">
        <f>E48*0.7</f>
        <v/>
      </c>
      <c r="G48" s="115">
        <f>0.6*F48</f>
        <v/>
      </c>
      <c r="H48" s="201" t="inlineStr">
        <is>
          <t>€/unit</t>
        </is>
      </c>
      <c r="I48" s="201" t="inlineStr">
        <is>
          <t>Source: BOM data provided</t>
        </is>
      </c>
      <c r="J48" s="201" t="n"/>
      <c r="L48" s="83" t="inlineStr">
        <is>
          <t>volume discount: 5k column = 70% of 1k, 10k = 60% of 5k</t>
        </is>
      </c>
      <c r="M48" s="201" t="n"/>
      <c r="N48" s="237" t="n"/>
      <c r="O48" s="237" t="n"/>
      <c r="P48" s="237" t="n"/>
      <c r="Q48" s="237" t="n"/>
      <c r="R48" s="237" t="n"/>
      <c r="S48" s="237" t="n"/>
      <c r="T48" s="237" t="n"/>
      <c r="U48" s="237" t="n"/>
      <c r="V48" s="237" t="n"/>
      <c r="W48" s="237" t="n"/>
      <c r="X48" s="237" t="n"/>
      <c r="Y48" s="237" t="n"/>
      <c r="Z48" s="237" t="n"/>
      <c r="AA48" s="237" t="n"/>
      <c r="AB48" s="237" t="n"/>
      <c r="AC48" s="237" t="n"/>
      <c r="AD48" s="237" t="n"/>
    </row>
    <row r="49" ht="21.75" customHeight="1" s="349">
      <c r="A49" s="237" t="n"/>
      <c r="B49" s="201" t="inlineStr">
        <is>
          <t>B11</t>
        </is>
      </c>
      <c r="C49" s="114" t="inlineStr">
        <is>
          <t>Contingency/risk</t>
        </is>
      </c>
      <c r="D49" s="114" t="inlineStr">
        <is>
          <t>Contingency &amp; Risk Reserve</t>
        </is>
      </c>
      <c r="E49" s="97" t="n">
        <v>0</v>
      </c>
      <c r="F49" s="115" t="n">
        <v>0</v>
      </c>
      <c r="G49" s="115" t="n">
        <v>760</v>
      </c>
      <c r="H49" s="201" t="inlineStr">
        <is>
          <t>€/unit</t>
        </is>
      </c>
      <c r="I49" s="201" t="inlineStr">
        <is>
          <t xml:space="preserve">Source: No source, added for risk purposes </t>
        </is>
      </c>
      <c r="J49" s="201" t="n"/>
      <c r="L49" s="83" t="inlineStr">
        <is>
          <t>risk buffer, added by hand at the 10k tier only</t>
        </is>
      </c>
      <c r="M49" s="201" t="n"/>
      <c r="N49" s="237" t="n"/>
      <c r="O49" s="237" t="n"/>
      <c r="P49" s="237" t="n"/>
      <c r="Q49" s="237" t="n"/>
      <c r="R49" s="237" t="n"/>
      <c r="S49" s="237" t="n"/>
      <c r="T49" s="237" t="n"/>
      <c r="U49" s="237" t="n"/>
      <c r="V49" s="237" t="n"/>
      <c r="W49" s="237" t="n"/>
      <c r="X49" s="237" t="n"/>
      <c r="Y49" s="237" t="n"/>
      <c r="Z49" s="237" t="n"/>
      <c r="AA49" s="237" t="n"/>
      <c r="AB49" s="237" t="n"/>
      <c r="AC49" s="237" t="n"/>
      <c r="AD49" s="237" t="n"/>
    </row>
    <row r="50" ht="21.75" customHeight="1" s="349">
      <c r="A50" s="237" t="n"/>
      <c r="B50" s="116" t="inlineStr">
        <is>
          <t>B-T</t>
        </is>
      </c>
      <c r="C50" s="117" t="inlineStr">
        <is>
          <t>Supplier 1 total</t>
        </is>
      </c>
      <c r="D50" s="117" t="inlineStr">
        <is>
          <t>Total COGS / unit (BOM)</t>
        </is>
      </c>
      <c r="E50" s="118">
        <f>SUM(E39:E49)</f>
        <v/>
      </c>
      <c r="F50" s="118">
        <f>SUM(F39:F49)</f>
        <v/>
      </c>
      <c r="G50" s="118">
        <f>round(SUM(G39:G49),0)</f>
        <v/>
      </c>
      <c r="H50" s="109" t="inlineStr">
        <is>
          <t>€/unit</t>
        </is>
      </c>
      <c r="I50" s="109" t="n"/>
      <c r="J50" s="109" t="n"/>
      <c r="L50" s="83" t="inlineStr">
        <is>
          <t>adds the BOM lines up: cost per ketel at each volume tier</t>
        </is>
      </c>
      <c r="M50" s="201" t="n"/>
      <c r="N50" s="237" t="n"/>
      <c r="O50" s="237" t="n"/>
      <c r="P50" s="237" t="n"/>
      <c r="Q50" s="237" t="n"/>
      <c r="R50" s="237" t="n"/>
      <c r="S50" s="237" t="n"/>
      <c r="T50" s="237" t="n"/>
      <c r="U50" s="237" t="n"/>
      <c r="V50" s="237" t="n"/>
      <c r="W50" s="237" t="n"/>
      <c r="X50" s="237" t="n"/>
      <c r="Y50" s="237" t="n"/>
      <c r="Z50" s="237" t="n"/>
      <c r="AA50" s="237" t="n"/>
      <c r="AB50" s="237" t="n"/>
      <c r="AC50" s="237" t="n"/>
      <c r="AD50" s="237" t="n"/>
    </row>
    <row r="51" ht="21.75" customHeight="1" s="349">
      <c r="A51" s="237" t="n"/>
      <c r="B51" s="116" t="n"/>
      <c r="C51" s="109" t="n"/>
      <c r="D51" s="109" t="n"/>
      <c r="E51" s="118" t="n"/>
      <c r="F51" s="118" t="n"/>
      <c r="G51" s="118" t="n"/>
      <c r="H51" s="109" t="n"/>
      <c r="I51" s="109" t="n"/>
      <c r="J51" s="109" t="n"/>
      <c r="L51" s="83" t="n"/>
      <c r="M51" s="201" t="n"/>
      <c r="N51" s="237" t="n"/>
      <c r="O51" s="237" t="n"/>
      <c r="P51" s="237" t="n"/>
      <c r="Q51" s="237" t="n"/>
      <c r="R51" s="237" t="n"/>
      <c r="S51" s="237" t="n"/>
      <c r="T51" s="237" t="n"/>
      <c r="U51" s="237" t="n"/>
      <c r="V51" s="237" t="n"/>
      <c r="W51" s="237" t="n"/>
      <c r="X51" s="237" t="n"/>
      <c r="Y51" s="237" t="n"/>
      <c r="Z51" s="237" t="n"/>
      <c r="AA51" s="237" t="n"/>
      <c r="AB51" s="237" t="n"/>
      <c r="AC51" s="237" t="n"/>
      <c r="AD51" s="237" t="n"/>
    </row>
    <row r="52" hidden="1" ht="21.75" customHeight="1" s="349">
      <c r="A52" s="237" t="n"/>
      <c r="B52" s="101" t="inlineStr">
        <is>
          <t>Bill of Materials TTK supplier 2</t>
        </is>
      </c>
      <c r="C52" s="237" t="n"/>
      <c r="D52" s="237" t="n"/>
      <c r="E52" s="237" t="n"/>
      <c r="F52" s="201" t="n"/>
      <c r="G52" s="201" t="n"/>
      <c r="H52" s="201" t="n"/>
      <c r="I52" s="201" t="n"/>
      <c r="J52" s="201" t="n"/>
      <c r="L52" s="83" t="n"/>
      <c r="M52" s="201" t="n"/>
      <c r="N52" s="237" t="n"/>
      <c r="O52" s="237" t="n"/>
      <c r="P52" s="237" t="n"/>
      <c r="Q52" s="237" t="n"/>
      <c r="R52" s="237" t="n"/>
      <c r="S52" s="237" t="n"/>
      <c r="T52" s="237" t="n"/>
      <c r="U52" s="237" t="n"/>
      <c r="V52" s="237" t="n"/>
      <c r="W52" s="237" t="n"/>
      <c r="X52" s="237" t="n"/>
      <c r="Y52" s="237" t="n"/>
      <c r="Z52" s="237" t="n"/>
      <c r="AA52" s="237" t="n"/>
      <c r="AB52" s="237" t="n"/>
      <c r="AC52" s="237" t="n"/>
      <c r="AD52" s="237" t="n"/>
    </row>
    <row r="53" hidden="1" ht="21.75" customHeight="1" s="349">
      <c r="A53" s="237" t="n"/>
      <c r="B53" s="237" t="inlineStr">
        <is>
          <t>D1</t>
        </is>
      </c>
      <c r="C53" s="119" t="inlineStr">
        <is>
          <t>Supplier 2</t>
        </is>
      </c>
      <c r="D53" s="237" t="inlineStr">
        <is>
          <t>Compressor + VFD</t>
        </is>
      </c>
      <c r="E53" s="120" t="n">
        <v>2568</v>
      </c>
      <c r="F53" s="121" t="n">
        <v>2311.2</v>
      </c>
      <c r="G53" s="121" t="n">
        <v>2080.08</v>
      </c>
      <c r="H53" s="122" t="inlineStr">
        <is>
          <t>€/unit</t>
        </is>
      </c>
      <c r="I53" s="201" t="inlineStr">
        <is>
          <t>Source: BOM data provided</t>
        </is>
      </c>
      <c r="J53" s="201" t="n"/>
      <c r="L53" s="83" t="n"/>
      <c r="M53" s="201" t="n"/>
      <c r="N53" s="237" t="n"/>
      <c r="O53" s="237" t="n"/>
      <c r="P53" s="237" t="n"/>
      <c r="Q53" s="237" t="n"/>
      <c r="R53" s="237" t="n"/>
      <c r="S53" s="237" t="n"/>
      <c r="T53" s="237" t="n"/>
      <c r="U53" s="237" t="n"/>
      <c r="V53" s="237" t="n"/>
      <c r="W53" s="237" t="n"/>
      <c r="X53" s="237" t="n"/>
      <c r="Y53" s="237" t="n"/>
      <c r="Z53" s="237" t="n"/>
      <c r="AA53" s="237" t="n"/>
      <c r="AB53" s="237" t="n"/>
      <c r="AC53" s="237" t="n"/>
      <c r="AD53" s="237" t="n"/>
    </row>
    <row r="54" hidden="1" ht="21.75" customHeight="1" s="349">
      <c r="A54" s="237" t="n"/>
      <c r="B54" s="237" t="inlineStr">
        <is>
          <t>D2</t>
        </is>
      </c>
      <c r="C54" s="119" t="inlineStr">
        <is>
          <t>Supplier 2</t>
        </is>
      </c>
      <c r="D54" s="237" t="inlineStr">
        <is>
          <t>Heat exchangers (set)</t>
        </is>
      </c>
      <c r="E54" s="120" t="n">
        <v>805.5</v>
      </c>
      <c r="F54" s="123">
        <f>E54*0.7</f>
        <v/>
      </c>
      <c r="G54" s="123">
        <f>F54*0.6</f>
        <v/>
      </c>
      <c r="H54" s="122" t="inlineStr">
        <is>
          <t>€/unit</t>
        </is>
      </c>
      <c r="I54" s="201" t="inlineStr">
        <is>
          <t>Source: BOM data provided</t>
        </is>
      </c>
      <c r="J54" s="201" t="n"/>
      <c r="L54" s="83" t="inlineStr">
        <is>
          <t>volume discount: 5k column = 70% of 1k, 10k = 60% of 5k</t>
        </is>
      </c>
      <c r="M54" s="201" t="n"/>
      <c r="N54" s="237" t="n"/>
      <c r="O54" s="237" t="n"/>
      <c r="P54" s="237" t="n"/>
      <c r="Q54" s="237" t="n"/>
      <c r="R54" s="237" t="n"/>
      <c r="S54" s="237" t="n"/>
      <c r="T54" s="237" t="n"/>
      <c r="U54" s="237" t="n"/>
      <c r="V54" s="237" t="n"/>
      <c r="W54" s="237" t="n"/>
      <c r="X54" s="237" t="n"/>
      <c r="Y54" s="237" t="n"/>
      <c r="Z54" s="237" t="n"/>
      <c r="AA54" s="237" t="n"/>
      <c r="AB54" s="237" t="n"/>
      <c r="AC54" s="237" t="n"/>
      <c r="AD54" s="237" t="n"/>
    </row>
    <row r="55" hidden="1" ht="21.75" customHeight="1" s="349">
      <c r="A55" s="237" t="n"/>
      <c r="B55" s="237" t="inlineStr">
        <is>
          <t>D3</t>
        </is>
      </c>
      <c r="C55" s="119" t="inlineStr">
        <is>
          <t>Supplier 2</t>
        </is>
      </c>
      <c r="D55" s="237" t="inlineStr">
        <is>
          <t>Elektronica &amp; vermogenselektronica</t>
        </is>
      </c>
      <c r="E55" s="120" t="n">
        <v>257.92</v>
      </c>
      <c r="F55" s="123">
        <f>E55*0.7</f>
        <v/>
      </c>
      <c r="G55" s="123">
        <f>F55*0.6</f>
        <v/>
      </c>
      <c r="H55" s="122" t="inlineStr">
        <is>
          <t>€/unit</t>
        </is>
      </c>
      <c r="I55" s="201" t="inlineStr">
        <is>
          <t>Source: BOM data provided</t>
        </is>
      </c>
      <c r="J55" s="201" t="n"/>
      <c r="L55" s="83" t="inlineStr">
        <is>
          <t>volume discount: 5k column = 70% of 1k, 10k = 60% of 5k</t>
        </is>
      </c>
      <c r="M55" s="201" t="n"/>
      <c r="N55" s="237" t="n"/>
      <c r="O55" s="237" t="n"/>
      <c r="P55" s="237" t="n"/>
      <c r="Q55" s="237" t="n"/>
      <c r="R55" s="237" t="n"/>
      <c r="S55" s="237" t="n"/>
      <c r="T55" s="237" t="n"/>
      <c r="U55" s="237" t="n"/>
      <c r="V55" s="237" t="n"/>
      <c r="W55" s="237" t="n"/>
      <c r="X55" s="237" t="n"/>
      <c r="Y55" s="237" t="n"/>
      <c r="Z55" s="237" t="n"/>
      <c r="AA55" s="237" t="n"/>
      <c r="AB55" s="237" t="n"/>
      <c r="AC55" s="237" t="n"/>
      <c r="AD55" s="237" t="n"/>
    </row>
    <row r="56" hidden="1" ht="21.75" customHeight="1" s="349">
      <c r="A56" s="237" t="n"/>
      <c r="B56" s="237" t="inlineStr">
        <is>
          <t>D4</t>
        </is>
      </c>
      <c r="C56" s="119" t="inlineStr">
        <is>
          <t>Supplier 2</t>
        </is>
      </c>
      <c r="D56" s="237" t="inlineStr">
        <is>
          <t>Hydraulisch (pompen/kleppen/etc.)</t>
        </is>
      </c>
      <c r="E56" s="120" t="n">
        <v>283.76</v>
      </c>
      <c r="F56" s="123">
        <f>E56*0.7</f>
        <v/>
      </c>
      <c r="G56" s="123">
        <f>F56*0.6</f>
        <v/>
      </c>
      <c r="H56" s="122" t="inlineStr">
        <is>
          <t>€/unit</t>
        </is>
      </c>
      <c r="I56" s="201" t="inlineStr">
        <is>
          <t>Source: BOM data provided</t>
        </is>
      </c>
      <c r="J56" s="201" t="n"/>
      <c r="L56" s="83" t="inlineStr">
        <is>
          <t>volume discount: 5k column = 70% of 1k, 10k = 60% of 5k</t>
        </is>
      </c>
      <c r="M56" s="201" t="n"/>
      <c r="N56" s="237" t="n"/>
      <c r="O56" s="237" t="n"/>
      <c r="P56" s="237" t="n"/>
      <c r="Q56" s="237" t="n"/>
      <c r="R56" s="237" t="n"/>
      <c r="S56" s="237" t="n"/>
      <c r="T56" s="237" t="n"/>
      <c r="U56" s="237" t="n"/>
      <c r="V56" s="237" t="n"/>
      <c r="W56" s="237" t="n"/>
      <c r="X56" s="237" t="n"/>
      <c r="Y56" s="237" t="n"/>
      <c r="Z56" s="237" t="n"/>
      <c r="AA56" s="237" t="n"/>
      <c r="AB56" s="237" t="n"/>
      <c r="AC56" s="237" t="n"/>
      <c r="AD56" s="237" t="n"/>
    </row>
    <row r="57" hidden="1" ht="21.75" customHeight="1" s="349">
      <c r="A57" s="237" t="n"/>
      <c r="B57" s="237" t="inlineStr">
        <is>
          <t>D5</t>
        </is>
      </c>
      <c r="C57" s="119" t="inlineStr">
        <is>
          <t>Supplier 2</t>
        </is>
      </c>
      <c r="D57" s="237" t="inlineStr">
        <is>
          <t>Silencer + isolatie</t>
        </is>
      </c>
      <c r="E57" s="120" t="n">
        <v>118.48</v>
      </c>
      <c r="F57" s="123">
        <f>E57*0.7</f>
        <v/>
      </c>
      <c r="G57" s="123">
        <f>F57*0.6</f>
        <v/>
      </c>
      <c r="H57" s="122" t="inlineStr">
        <is>
          <t>€/unit</t>
        </is>
      </c>
      <c r="I57" s="201" t="inlineStr">
        <is>
          <t>Source: BOM data provided</t>
        </is>
      </c>
      <c r="J57" s="201" t="n"/>
      <c r="L57" s="83" t="inlineStr">
        <is>
          <t>volume discount: 5k column = 70% of 1k, 10k = 60% of 5k</t>
        </is>
      </c>
      <c r="M57" s="201" t="n"/>
      <c r="N57" s="237" t="n"/>
      <c r="O57" s="237" t="n"/>
      <c r="P57" s="237" t="n"/>
      <c r="Q57" s="237" t="n"/>
      <c r="R57" s="237" t="n"/>
      <c r="S57" s="237" t="n"/>
      <c r="T57" s="237" t="n"/>
      <c r="U57" s="237" t="n"/>
      <c r="V57" s="237" t="n"/>
      <c r="W57" s="237" t="n"/>
      <c r="X57" s="237" t="n"/>
      <c r="Y57" s="237" t="n"/>
      <c r="Z57" s="237" t="n"/>
      <c r="AA57" s="237" t="n"/>
      <c r="AB57" s="237" t="n"/>
      <c r="AC57" s="237" t="n"/>
      <c r="AD57" s="237" t="n"/>
    </row>
    <row r="58" hidden="1" ht="21.75" customHeight="1" s="349">
      <c r="A58" s="237" t="n"/>
      <c r="B58" s="237" t="inlineStr">
        <is>
          <t>D6</t>
        </is>
      </c>
      <c r="C58" s="119" t="inlineStr">
        <is>
          <t>Supplier 2</t>
        </is>
      </c>
      <c r="D58" s="237" t="inlineStr">
        <is>
          <t>Enclosure (plaatwerk, coating)</t>
        </is>
      </c>
      <c r="E58" s="120" t="n">
        <v>653.03</v>
      </c>
      <c r="F58" s="123">
        <f>E58*0.7</f>
        <v/>
      </c>
      <c r="G58" s="123">
        <f>F58*0.6</f>
        <v/>
      </c>
      <c r="H58" s="122" t="inlineStr">
        <is>
          <t>€/unit</t>
        </is>
      </c>
      <c r="I58" s="201" t="inlineStr">
        <is>
          <t>Source: BOM data provided</t>
        </is>
      </c>
      <c r="J58" s="201" t="n"/>
      <c r="L58" s="83" t="inlineStr">
        <is>
          <t>volume discount: 5k column = 70% of 1k, 10k = 60% of 5k</t>
        </is>
      </c>
      <c r="M58" s="201" t="n"/>
      <c r="N58" s="237" t="n"/>
      <c r="O58" s="237" t="n"/>
      <c r="P58" s="237" t="n"/>
      <c r="Q58" s="237" t="n"/>
      <c r="R58" s="237" t="n"/>
      <c r="S58" s="237" t="n"/>
      <c r="T58" s="237" t="n"/>
      <c r="U58" s="237" t="n"/>
      <c r="V58" s="237" t="n"/>
      <c r="W58" s="237" t="n"/>
      <c r="X58" s="237" t="n"/>
      <c r="Y58" s="237" t="n"/>
      <c r="Z58" s="237" t="n"/>
      <c r="AA58" s="237" t="n"/>
      <c r="AB58" s="237" t="n"/>
      <c r="AC58" s="237" t="n"/>
      <c r="AD58" s="237" t="n"/>
    </row>
    <row r="59" hidden="1" ht="21.75" customHeight="1" s="349">
      <c r="A59" s="237" t="n"/>
      <c r="B59" s="237" t="inlineStr">
        <is>
          <t>D7</t>
        </is>
      </c>
      <c r="C59" s="119" t="inlineStr">
        <is>
          <t>Supplier 2</t>
        </is>
      </c>
      <c r="D59" s="237" t="inlineStr">
        <is>
          <t>Everything Else</t>
        </is>
      </c>
      <c r="E59" s="120" t="n">
        <v>300</v>
      </c>
      <c r="F59" s="123">
        <f>E59*0.7</f>
        <v/>
      </c>
      <c r="G59" s="123">
        <f>F59*0.6</f>
        <v/>
      </c>
      <c r="H59" s="122" t="inlineStr">
        <is>
          <t>€/unit</t>
        </is>
      </c>
      <c r="I59" s="201" t="inlineStr">
        <is>
          <t>Source: BOM data provided</t>
        </is>
      </c>
      <c r="J59" s="201" t="n"/>
      <c r="L59" s="83" t="inlineStr">
        <is>
          <t>volume discount: 5k column = 70% of 1k, 10k = 60% of 5k</t>
        </is>
      </c>
      <c r="M59" s="201" t="n"/>
      <c r="N59" s="237" t="n"/>
      <c r="O59" s="237" t="n"/>
      <c r="P59" s="237" t="n"/>
      <c r="Q59" s="237" t="n"/>
      <c r="R59" s="237" t="n"/>
      <c r="S59" s="237" t="n"/>
      <c r="T59" s="237" t="n"/>
      <c r="U59" s="237" t="n"/>
      <c r="V59" s="237" t="n"/>
      <c r="W59" s="237" t="n"/>
      <c r="X59" s="237" t="n"/>
      <c r="Y59" s="237" t="n"/>
      <c r="Z59" s="237" t="n"/>
      <c r="AA59" s="237" t="n"/>
      <c r="AB59" s="237" t="n"/>
      <c r="AC59" s="237" t="n"/>
      <c r="AD59" s="237" t="n"/>
    </row>
    <row r="60" hidden="1" ht="21.75" customHeight="1" s="349">
      <c r="A60" s="237" t="n"/>
      <c r="B60" s="237" t="inlineStr">
        <is>
          <t>D8</t>
        </is>
      </c>
      <c r="C60" s="119" t="inlineStr">
        <is>
          <t>Supplier 2</t>
        </is>
      </c>
      <c r="D60" s="237" t="inlineStr">
        <is>
          <t>Assemblage &amp; eindtest</t>
        </is>
      </c>
      <c r="E60" s="120" t="n">
        <v>200</v>
      </c>
      <c r="F60" s="123">
        <f>E60*0.7</f>
        <v/>
      </c>
      <c r="G60" s="123">
        <f>F60*0.6</f>
        <v/>
      </c>
      <c r="H60" s="122" t="inlineStr">
        <is>
          <t>€/unit</t>
        </is>
      </c>
      <c r="I60" s="201" t="inlineStr">
        <is>
          <t>Source: BOM data provided</t>
        </is>
      </c>
      <c r="J60" s="201" t="n"/>
      <c r="L60" s="83" t="inlineStr">
        <is>
          <t>volume discount: 5k column = 70% of 1k, 10k = 60% of 5k</t>
        </is>
      </c>
      <c r="M60" s="201" t="n"/>
      <c r="N60" s="237" t="n"/>
      <c r="O60" s="237" t="n"/>
      <c r="P60" s="237" t="n"/>
      <c r="Q60" s="237" t="n"/>
      <c r="R60" s="237" t="n"/>
      <c r="S60" s="237" t="n"/>
      <c r="T60" s="237" t="n"/>
      <c r="U60" s="237" t="n"/>
      <c r="V60" s="237" t="n"/>
      <c r="W60" s="237" t="n"/>
      <c r="X60" s="237" t="n"/>
      <c r="Y60" s="237" t="n"/>
      <c r="Z60" s="237" t="n"/>
      <c r="AA60" s="237" t="n"/>
      <c r="AB60" s="237" t="n"/>
      <c r="AC60" s="237" t="n"/>
      <c r="AD60" s="237" t="n"/>
    </row>
    <row r="61" hidden="1" ht="21.75" customHeight="1" s="349">
      <c r="A61" s="237" t="n"/>
      <c r="B61" s="237" t="inlineStr">
        <is>
          <t>D9</t>
        </is>
      </c>
      <c r="C61" s="119" t="inlineStr">
        <is>
          <t>Supplier 2</t>
        </is>
      </c>
      <c r="D61" s="237" t="inlineStr">
        <is>
          <t>Verpakking &amp; logistiek inkomend</t>
        </is>
      </c>
      <c r="E61" s="120" t="n">
        <v>400</v>
      </c>
      <c r="F61" s="123">
        <f>E61*0.7</f>
        <v/>
      </c>
      <c r="G61" s="123">
        <f>F61*0.6</f>
        <v/>
      </c>
      <c r="H61" s="122" t="inlineStr">
        <is>
          <t>€/unit</t>
        </is>
      </c>
      <c r="I61" s="201" t="inlineStr">
        <is>
          <t>Source: BOM data provided</t>
        </is>
      </c>
      <c r="J61" s="201" t="n"/>
      <c r="L61" s="83" t="inlineStr">
        <is>
          <t>volume discount: 5k column = 70% of 1k, 10k = 60% of 5k</t>
        </is>
      </c>
      <c r="M61" s="201" t="n"/>
      <c r="N61" s="237" t="n"/>
      <c r="O61" s="237" t="n"/>
      <c r="P61" s="237" t="n"/>
      <c r="Q61" s="237" t="n"/>
      <c r="R61" s="237" t="n"/>
      <c r="S61" s="237" t="n"/>
      <c r="T61" s="237" t="n"/>
      <c r="U61" s="237" t="n"/>
      <c r="V61" s="237" t="n"/>
      <c r="W61" s="237" t="n"/>
      <c r="X61" s="237" t="n"/>
      <c r="Y61" s="237" t="n"/>
      <c r="Z61" s="237" t="n"/>
      <c r="AA61" s="237" t="n"/>
      <c r="AB61" s="237" t="n"/>
      <c r="AC61" s="237" t="n"/>
      <c r="AD61" s="237" t="n"/>
    </row>
    <row r="62" hidden="1" ht="21.75" customHeight="1" s="349">
      <c r="A62" s="237" t="n"/>
      <c r="B62" s="237" t="inlineStr">
        <is>
          <t>D10</t>
        </is>
      </c>
      <c r="C62" s="119" t="inlineStr">
        <is>
          <t>Supplier 2</t>
        </is>
      </c>
      <c r="D62" s="237" t="inlineStr">
        <is>
          <t>Yield / garantie-reserve (~3%)</t>
        </is>
      </c>
      <c r="E62" s="120" t="n">
        <v>236.81</v>
      </c>
      <c r="F62" s="123">
        <f>E62*0.7</f>
        <v/>
      </c>
      <c r="G62" s="123">
        <f>F62*0.6</f>
        <v/>
      </c>
      <c r="H62" s="122" t="inlineStr">
        <is>
          <t>€/unit</t>
        </is>
      </c>
      <c r="I62" s="201" t="inlineStr">
        <is>
          <t>Source: BOM data provided</t>
        </is>
      </c>
      <c r="J62" s="201" t="n"/>
      <c r="L62" s="83" t="inlineStr">
        <is>
          <t>volume discount: 5k column = 70% of 1k, 10k = 60% of 5k</t>
        </is>
      </c>
      <c r="M62" s="201" t="n"/>
      <c r="N62" s="237" t="n"/>
      <c r="O62" s="237" t="n"/>
      <c r="P62" s="237" t="n"/>
      <c r="Q62" s="237" t="n"/>
      <c r="R62" s="237" t="n"/>
      <c r="S62" s="237" t="n"/>
      <c r="T62" s="237" t="n"/>
      <c r="U62" s="237" t="n"/>
      <c r="V62" s="237" t="n"/>
      <c r="W62" s="237" t="n"/>
      <c r="X62" s="237" t="n"/>
      <c r="Y62" s="237" t="n"/>
      <c r="Z62" s="237" t="n"/>
      <c r="AA62" s="237" t="n"/>
      <c r="AB62" s="237" t="n"/>
      <c r="AC62" s="237" t="n"/>
      <c r="AD62" s="237" t="n"/>
    </row>
    <row r="63" hidden="1" ht="21.75" customHeight="1" s="349">
      <c r="A63" s="237" t="n"/>
      <c r="B63" s="237" t="n"/>
      <c r="C63" s="109" t="inlineStr">
        <is>
          <t>Supplier 2 total</t>
        </is>
      </c>
      <c r="D63" s="109" t="inlineStr">
        <is>
          <t>Total COGS / unit (BOM)</t>
        </is>
      </c>
      <c r="E63" s="129">
        <f>SUM(E53:E62)</f>
        <v/>
      </c>
      <c r="F63" s="130">
        <f>SUM(F53:F62)</f>
        <v/>
      </c>
      <c r="G63" s="130">
        <f>SUM(G53:G62)</f>
        <v/>
      </c>
      <c r="H63" s="131" t="n"/>
      <c r="I63" s="122" t="n"/>
      <c r="J63" s="201" t="n"/>
      <c r="L63" s="83" t="inlineStr">
        <is>
          <t>supplier 2's total cost per ketel at each tier, for comparison</t>
        </is>
      </c>
      <c r="M63" s="201" t="n"/>
      <c r="N63" s="237" t="n"/>
      <c r="O63" s="237" t="n"/>
      <c r="P63" s="237" t="n"/>
      <c r="Q63" s="237" t="n"/>
      <c r="R63" s="237" t="n"/>
      <c r="S63" s="237" t="n"/>
      <c r="T63" s="237" t="n"/>
      <c r="U63" s="237" t="n"/>
      <c r="V63" s="237" t="n"/>
      <c r="W63" s="237" t="n"/>
      <c r="X63" s="237" t="n"/>
      <c r="Y63" s="237" t="n"/>
      <c r="Z63" s="237" t="n"/>
      <c r="AA63" s="237" t="n"/>
      <c r="AB63" s="237" t="n"/>
      <c r="AC63" s="237" t="n"/>
      <c r="AD63" s="237" t="n"/>
    </row>
    <row r="64" ht="21.75" customHeight="1" s="349">
      <c r="A64" s="237" t="n"/>
      <c r="B64" s="237" t="n"/>
      <c r="C64" s="237" t="n"/>
      <c r="D64" s="237" t="n"/>
      <c r="E64" s="237" t="n"/>
      <c r="F64" s="122" t="n"/>
      <c r="G64" s="122" t="n"/>
      <c r="H64" s="122" t="n"/>
      <c r="I64" s="122" t="n"/>
      <c r="J64" s="201" t="n"/>
      <c r="L64" s="83" t="n"/>
      <c r="M64" s="201" t="n"/>
      <c r="N64" s="237" t="n"/>
      <c r="O64" s="237" t="n"/>
      <c r="P64" s="237" t="n"/>
      <c r="Q64" s="237" t="n"/>
      <c r="R64" s="237" t="n"/>
      <c r="S64" s="237" t="n"/>
      <c r="T64" s="237" t="n"/>
      <c r="U64" s="237" t="n"/>
      <c r="V64" s="237" t="n"/>
      <c r="W64" s="237" t="n"/>
      <c r="X64" s="237" t="n"/>
      <c r="Y64" s="237" t="n"/>
      <c r="Z64" s="237" t="n"/>
      <c r="AA64" s="237" t="n"/>
      <c r="AB64" s="237" t="n"/>
      <c r="AC64" s="237" t="n"/>
      <c r="AD64" s="237" t="n"/>
    </row>
    <row r="65" ht="21.75" customHeight="1" s="349">
      <c r="A65" s="237" t="n"/>
      <c r="B65" s="140" t="inlineStr">
        <is>
          <t>TTK Volume tier breakpoints</t>
        </is>
      </c>
      <c r="H65" s="122" t="n"/>
      <c r="I65" s="122" t="n"/>
      <c r="J65" s="122" t="n"/>
      <c r="K65" s="122" t="n"/>
      <c r="L65" s="350" t="n"/>
      <c r="M65" s="201" t="n"/>
      <c r="N65" s="237" t="n"/>
      <c r="O65" s="237" t="n"/>
      <c r="P65" s="237" t="n"/>
      <c r="Q65" s="237" t="n"/>
      <c r="R65" s="237" t="n"/>
      <c r="S65" s="237" t="n"/>
      <c r="T65" s="237" t="n"/>
      <c r="U65" s="237" t="n"/>
      <c r="V65" s="237" t="n"/>
      <c r="W65" s="237" t="n"/>
      <c r="X65" s="237" t="n"/>
      <c r="Y65" s="237" t="n"/>
      <c r="Z65" s="237" t="n"/>
      <c r="AA65" s="237" t="n"/>
      <c r="AB65" s="237" t="n"/>
      <c r="AC65" s="237" t="n"/>
      <c r="AD65" s="237" t="n"/>
    </row>
    <row r="66" ht="21.75" customHeight="1" s="349">
      <c r="A66" s="237" t="n"/>
      <c r="B66" s="153" t="inlineStr">
        <is>
          <t>Min Units (≥)</t>
        </is>
      </c>
      <c r="C66" s="153" t="inlineStr">
        <is>
          <t>Cost / unit</t>
        </is>
      </c>
      <c r="D66" s="153" t="inlineStr">
        <is>
          <t>Unit</t>
        </is>
      </c>
      <c r="E66" s="153" t="inlineStr">
        <is>
          <t>Note</t>
        </is>
      </c>
      <c r="F66" s="307" t="n"/>
      <c r="G66" s="307" t="n"/>
      <c r="H66" s="31" t="n"/>
      <c r="I66" s="201" t="n"/>
      <c r="J66" s="201" t="n"/>
      <c r="K66" s="31" t="n"/>
      <c r="L66" s="350" t="n"/>
      <c r="M66" s="201" t="n"/>
      <c r="N66" s="237" t="n"/>
      <c r="O66" s="237" t="n"/>
      <c r="P66" s="237" t="n"/>
      <c r="Q66" s="237" t="n"/>
      <c r="R66" s="237" t="n"/>
      <c r="S66" s="237" t="n"/>
      <c r="T66" s="237" t="n"/>
      <c r="U66" s="237" t="n"/>
      <c r="V66" s="237" t="n"/>
      <c r="W66" s="237" t="n"/>
      <c r="X66" s="237" t="n"/>
      <c r="Y66" s="237" t="n"/>
      <c r="Z66" s="237" t="n"/>
      <c r="AA66" s="237" t="n"/>
      <c r="AB66" s="237" t="n"/>
      <c r="AC66" s="237" t="n"/>
      <c r="AD66" s="237" t="n"/>
    </row>
    <row r="67" ht="21.75" customHeight="1" s="349">
      <c r="A67" s="237" t="n"/>
      <c r="B67" s="139" t="n">
        <v>0</v>
      </c>
      <c r="C67" s="136">
        <f>E50</f>
        <v/>
      </c>
      <c r="D67" s="153" t="inlineStr">
        <is>
          <t>€/unit</t>
        </is>
      </c>
      <c r="E67" s="237" t="inlineStr">
        <is>
          <t>Linked from BOM Total row above</t>
        </is>
      </c>
      <c r="F67" s="307" t="n"/>
      <c r="G67" s="31" t="n"/>
      <c r="H67" s="31" t="n"/>
      <c r="I67" s="122" t="n"/>
      <c r="J67" s="122" t="n"/>
      <c r="K67" s="31" t="n"/>
      <c r="L67" s="350" t="inlineStr">
        <is>
          <t>the sub-5,000 tier. cost pulled from the BOM total above</t>
        </is>
      </c>
      <c r="M67" s="201" t="n"/>
      <c r="N67" s="237" t="n"/>
      <c r="O67" s="237" t="n"/>
      <c r="P67" s="237" t="n"/>
      <c r="Q67" s="237" t="n"/>
      <c r="R67" s="237" t="n"/>
      <c r="S67" s="237" t="n"/>
      <c r="T67" s="237" t="n"/>
      <c r="U67" s="237" t="n"/>
      <c r="V67" s="237" t="n"/>
      <c r="W67" s="237" t="n"/>
      <c r="X67" s="237" t="n"/>
      <c r="Y67" s="237" t="n"/>
      <c r="Z67" s="237" t="n"/>
      <c r="AA67" s="237" t="n"/>
      <c r="AB67" s="237" t="n"/>
      <c r="AC67" s="237" t="n"/>
      <c r="AD67" s="237" t="n"/>
    </row>
    <row r="68" ht="21.75" customHeight="1" s="349">
      <c r="A68" s="237" t="n"/>
      <c r="B68" s="139" t="n">
        <v>5000</v>
      </c>
      <c r="C68" s="136">
        <f>F50</f>
        <v/>
      </c>
      <c r="D68" s="153" t="inlineStr">
        <is>
          <t>€/unit</t>
        </is>
      </c>
      <c r="E68" s="237" t="inlineStr">
        <is>
          <t>Linked from BOM Total row above</t>
        </is>
      </c>
      <c r="F68" s="307" t="n"/>
      <c r="G68" s="31" t="n"/>
      <c r="H68" s="31" t="n"/>
      <c r="I68" s="122" t="n"/>
      <c r="J68" s="122" t="n"/>
      <c r="K68" s="31" t="n"/>
      <c r="L68" s="350" t="inlineStr">
        <is>
          <t>the 5,000+ tier. COGS looks up this little table</t>
        </is>
      </c>
      <c r="M68" s="201" t="n"/>
      <c r="N68" s="237" t="n"/>
      <c r="O68" s="237" t="n"/>
      <c r="P68" s="237" t="n"/>
      <c r="Q68" s="237" t="n"/>
      <c r="R68" s="237" t="n"/>
      <c r="S68" s="237" t="n"/>
      <c r="T68" s="237" t="n"/>
      <c r="U68" s="237" t="n"/>
      <c r="V68" s="237" t="n"/>
      <c r="W68" s="237" t="n"/>
      <c r="X68" s="237" t="n"/>
      <c r="Y68" s="237" t="n"/>
      <c r="Z68" s="237" t="n"/>
      <c r="AA68" s="237" t="n"/>
      <c r="AB68" s="237" t="n"/>
      <c r="AC68" s="237" t="n"/>
      <c r="AD68" s="237" t="n"/>
    </row>
    <row r="69" ht="21.75" customHeight="1" s="349">
      <c r="A69" s="237" t="n"/>
      <c r="B69" s="139" t="n">
        <v>10000</v>
      </c>
      <c r="C69" s="136">
        <f>G50</f>
        <v/>
      </c>
      <c r="D69" s="153" t="inlineStr">
        <is>
          <t>€/unit</t>
        </is>
      </c>
      <c r="E69" s="237" t="inlineStr">
        <is>
          <t>Linked from BOM Total row above</t>
        </is>
      </c>
      <c r="F69" s="307" t="n"/>
      <c r="G69" s="31" t="n"/>
      <c r="H69" s="31" t="n"/>
      <c r="I69" s="122" t="n"/>
      <c r="J69" s="122" t="n"/>
      <c r="K69" s="31" t="n"/>
      <c r="L69" s="350" t="inlineStr">
        <is>
          <t>the 10,000+ tier. the tier key is two years of volume, not one</t>
        </is>
      </c>
      <c r="M69" s="201" t="n"/>
      <c r="N69" s="237" t="n"/>
      <c r="O69" s="237" t="n"/>
      <c r="P69" s="237" t="n"/>
      <c r="Q69" s="237" t="n"/>
      <c r="R69" s="237" t="n"/>
      <c r="S69" s="237" t="n"/>
      <c r="T69" s="237" t="n"/>
      <c r="U69" s="237" t="n"/>
      <c r="V69" s="237" t="n"/>
      <c r="W69" s="237" t="n"/>
      <c r="X69" s="237" t="n"/>
      <c r="Y69" s="237" t="n"/>
      <c r="Z69" s="237" t="n"/>
      <c r="AA69" s="237" t="n"/>
      <c r="AB69" s="237" t="n"/>
      <c r="AC69" s="237" t="n"/>
      <c r="AD69" s="237" t="n"/>
    </row>
    <row r="70" ht="21" customHeight="1" s="349">
      <c r="A70" s="307" t="n"/>
      <c r="B70" s="307" t="n"/>
      <c r="C70" s="307" t="n"/>
      <c r="D70" s="307" t="n"/>
      <c r="E70" s="307" t="n"/>
      <c r="F70" s="307" t="n"/>
      <c r="G70" s="307" t="n"/>
      <c r="H70" s="31" t="n"/>
      <c r="I70" s="31" t="n"/>
      <c r="J70" s="31" t="n"/>
      <c r="K70" s="31" t="n"/>
      <c r="L70" s="350" t="n"/>
      <c r="M70" s="31" t="n"/>
      <c r="N70" s="307" t="n"/>
      <c r="O70" s="307" t="n"/>
      <c r="P70" s="307" t="n"/>
      <c r="Q70" s="307" t="n"/>
      <c r="R70" s="307" t="n"/>
      <c r="S70" s="307" t="n"/>
      <c r="T70" s="307" t="n"/>
      <c r="U70" s="307" t="n"/>
      <c r="V70" s="307" t="n"/>
      <c r="W70" s="307" t="n"/>
      <c r="X70" s="307" t="n"/>
      <c r="Y70" s="307" t="n"/>
      <c r="Z70" s="307" t="n"/>
      <c r="AA70" s="307" t="n"/>
      <c r="AB70" s="307" t="n"/>
      <c r="AC70" s="307" t="n"/>
      <c r="AD70" s="307" t="n"/>
    </row>
    <row r="71" ht="21.75" customHeight="1" s="349">
      <c r="A71" s="237" t="n"/>
      <c r="B71" s="140" t="inlineStr">
        <is>
          <t>OUTDOOR UNIT COGS (Combi+) — volume tiers</t>
        </is>
      </c>
      <c r="H71" s="122" t="n"/>
      <c r="I71" s="122" t="n"/>
      <c r="J71" s="122" t="n"/>
      <c r="K71" s="201" t="n"/>
      <c r="L71" s="350" t="n"/>
      <c r="M71" s="201" t="n"/>
      <c r="N71" s="237" t="n"/>
      <c r="O71" s="237" t="n"/>
      <c r="P71" s="237" t="n"/>
      <c r="Q71" s="237" t="n"/>
      <c r="R71" s="237" t="n"/>
      <c r="S71" s="237" t="n"/>
      <c r="T71" s="237" t="n"/>
      <c r="U71" s="237" t="n"/>
      <c r="V71" s="237" t="n"/>
      <c r="W71" s="237" t="n"/>
      <c r="X71" s="237" t="n"/>
      <c r="Y71" s="237" t="n"/>
      <c r="Z71" s="237" t="n"/>
      <c r="AA71" s="237" t="n"/>
      <c r="AB71" s="237" t="n"/>
      <c r="AC71" s="237" t="n"/>
      <c r="AD71" s="237" t="n"/>
    </row>
    <row r="72" ht="21.75" customHeight="1" s="349">
      <c r="A72" s="237" t="n"/>
      <c r="B72" s="146" t="inlineStr">
        <is>
          <t>Component</t>
        </is>
      </c>
      <c r="C72" s="146" t="n"/>
      <c r="D72" s="146" t="n"/>
      <c r="E72" s="146" t="inlineStr">
        <is>
          <t>1,000 units</t>
        </is>
      </c>
      <c r="F72" s="146" t="inlineStr">
        <is>
          <t>5,000 units</t>
        </is>
      </c>
      <c r="G72" s="142" t="inlineStr">
        <is>
          <t>10,000 units</t>
        </is>
      </c>
      <c r="H72" s="142" t="inlineStr">
        <is>
          <t>Unit</t>
        </is>
      </c>
      <c r="I72" s="142" t="inlineStr">
        <is>
          <t>Unit</t>
        </is>
      </c>
      <c r="J72" s="142" t="inlineStr">
        <is>
          <t>Source</t>
        </is>
      </c>
      <c r="K72" s="31" t="n"/>
      <c r="L72" s="83" t="n"/>
      <c r="M72" s="201" t="n"/>
      <c r="N72" s="237" t="n"/>
      <c r="O72" s="237" t="n"/>
      <c r="P72" s="237" t="n"/>
      <c r="Q72" s="237" t="n"/>
      <c r="R72" s="237" t="n"/>
      <c r="S72" s="237" t="n"/>
      <c r="T72" s="237" t="n"/>
      <c r="U72" s="237" t="n"/>
      <c r="V72" s="237" t="n"/>
      <c r="W72" s="237" t="n"/>
      <c r="X72" s="237" t="n"/>
      <c r="Y72" s="237" t="n"/>
      <c r="Z72" s="237" t="n"/>
      <c r="AA72" s="237" t="n"/>
      <c r="AB72" s="237" t="n"/>
      <c r="AC72" s="237" t="n"/>
      <c r="AD72" s="237" t="n"/>
    </row>
    <row r="73" ht="21.75" customHeight="1" s="349">
      <c r="A73" s="237" t="n"/>
      <c r="B73" s="146" t="inlineStr">
        <is>
          <t>Outdoor unit — Combi+</t>
        </is>
      </c>
      <c r="C73" s="307" t="n"/>
      <c r="D73" s="307" t="n"/>
      <c r="E73" s="143" t="n">
        <v>1402.6</v>
      </c>
      <c r="F73" s="143" t="n">
        <v>1262.34</v>
      </c>
      <c r="G73" s="143" t="n">
        <v>1136.1</v>
      </c>
      <c r="H73" s="145" t="inlineStr">
        <is>
          <t>€/unit</t>
        </is>
      </c>
      <c r="I73" s="142" t="inlineStr">
        <is>
          <t>€/unit</t>
        </is>
      </c>
      <c r="J73" s="31" t="inlineStr">
        <is>
          <t>Source: BOM data</t>
        </is>
      </c>
      <c r="K73" s="31" t="n"/>
      <c r="L73" s="83" t="n"/>
      <c r="M73" s="201" t="n"/>
      <c r="N73" s="237" t="n"/>
      <c r="O73" s="237" t="n"/>
      <c r="P73" s="237" t="n"/>
      <c r="Q73" s="237" t="n"/>
      <c r="R73" s="237" t="n"/>
      <c r="S73" s="237" t="n"/>
      <c r="T73" s="237" t="n"/>
      <c r="U73" s="237" t="n"/>
      <c r="V73" s="237" t="n"/>
      <c r="W73" s="237" t="n"/>
      <c r="X73" s="237" t="n"/>
      <c r="Y73" s="237" t="n"/>
      <c r="Z73" s="237" t="n"/>
      <c r="AA73" s="237" t="n"/>
      <c r="AB73" s="237" t="n"/>
      <c r="AC73" s="237" t="n"/>
      <c r="AD73" s="237" t="n"/>
    </row>
    <row r="74" ht="21.75" customHeight="1" s="349">
      <c r="A74" s="237" t="n"/>
      <c r="B74" s="146" t="inlineStr">
        <is>
          <t>Shipping (Combi+)</t>
        </is>
      </c>
      <c r="C74" s="307" t="n"/>
      <c r="D74" s="307" t="n"/>
      <c r="E74" s="143" t="n">
        <v>100</v>
      </c>
      <c r="F74" s="143" t="n">
        <v>100</v>
      </c>
      <c r="G74" s="143" t="n">
        <v>100</v>
      </c>
      <c r="H74" s="145" t="inlineStr">
        <is>
          <t>€/unit</t>
        </is>
      </c>
      <c r="I74" s="142" t="inlineStr">
        <is>
          <t>€/unit</t>
        </is>
      </c>
      <c r="J74" s="31" t="inlineStr">
        <is>
          <t>Source: BOM data</t>
        </is>
      </c>
      <c r="K74" s="31" t="n"/>
      <c r="L74" s="83" t="n"/>
      <c r="M74" s="201" t="n"/>
      <c r="N74" s="237" t="n"/>
      <c r="O74" s="237" t="n"/>
      <c r="P74" s="237" t="n"/>
      <c r="Q74" s="237" t="n"/>
      <c r="R74" s="237" t="n"/>
      <c r="S74" s="237" t="n"/>
      <c r="T74" s="237" t="n"/>
      <c r="U74" s="237" t="n"/>
      <c r="V74" s="237" t="n"/>
      <c r="W74" s="237" t="n"/>
      <c r="X74" s="237" t="n"/>
      <c r="Y74" s="237" t="n"/>
      <c r="Z74" s="237" t="n"/>
      <c r="AA74" s="237" t="n"/>
      <c r="AB74" s="237" t="n"/>
      <c r="AC74" s="237" t="n"/>
      <c r="AD74" s="237" t="n"/>
    </row>
    <row r="75" ht="21.75" customHeight="1" s="349">
      <c r="A75" s="237" t="n"/>
      <c r="B75" s="146" t="n"/>
      <c r="C75" s="307" t="n"/>
      <c r="D75" s="307" t="n"/>
      <c r="E75" s="143" t="n"/>
      <c r="F75" s="143" t="n"/>
      <c r="G75" s="143" t="n"/>
      <c r="H75" s="145" t="n"/>
      <c r="I75" s="142" t="n"/>
      <c r="J75" s="31" t="n"/>
      <c r="K75" s="31" t="n"/>
      <c r="L75" s="83" t="n"/>
      <c r="M75" s="201" t="n"/>
      <c r="N75" s="237" t="n"/>
      <c r="O75" s="237" t="n"/>
      <c r="P75" s="237" t="n"/>
      <c r="Q75" s="237" t="n"/>
      <c r="R75" s="237" t="n"/>
      <c r="S75" s="237" t="n"/>
      <c r="T75" s="237" t="n"/>
      <c r="U75" s="237" t="n"/>
      <c r="V75" s="237" t="n"/>
      <c r="W75" s="237" t="n"/>
      <c r="X75" s="237" t="n"/>
      <c r="Y75" s="237" t="n"/>
      <c r="Z75" s="237" t="n"/>
      <c r="AA75" s="237" t="n"/>
      <c r="AB75" s="237" t="n"/>
      <c r="AC75" s="237" t="n"/>
      <c r="AD75" s="237" t="n"/>
    </row>
    <row r="76" ht="21.75" customHeight="1" s="349">
      <c r="A76" s="147" t="n"/>
      <c r="B76" s="148" t="inlineStr">
        <is>
          <t>Outdoor Unit tier breakpoints (for COGS VLOOKUP)</t>
        </is>
      </c>
      <c r="C76" s="200" t="n"/>
      <c r="D76" s="200" t="n"/>
      <c r="E76" s="149" t="n"/>
      <c r="F76" s="149" t="n"/>
      <c r="G76" s="149" t="n"/>
      <c r="H76" s="149" t="n"/>
      <c r="I76" s="150" t="n"/>
      <c r="J76" s="151" t="n"/>
      <c r="K76" s="151" t="n"/>
      <c r="L76" s="83" t="n"/>
      <c r="M76" s="109" t="n"/>
      <c r="N76" s="147" t="n"/>
      <c r="O76" s="147" t="n"/>
      <c r="P76" s="147" t="n"/>
      <c r="Q76" s="147" t="n"/>
      <c r="R76" s="147" t="n"/>
      <c r="S76" s="147" t="n"/>
      <c r="T76" s="147" t="n"/>
      <c r="U76" s="147" t="n"/>
      <c r="V76" s="147" t="n"/>
      <c r="W76" s="147" t="n"/>
      <c r="X76" s="147" t="n"/>
      <c r="Y76" s="147" t="n"/>
      <c r="Z76" s="147" t="n"/>
      <c r="AA76" s="147" t="n"/>
      <c r="AB76" s="147" t="n"/>
      <c r="AC76" s="147" t="n"/>
      <c r="AD76" s="147" t="n"/>
    </row>
    <row r="77" ht="21.75" customHeight="1" s="349">
      <c r="A77" s="237" t="n"/>
      <c r="B77" s="152" t="inlineStr">
        <is>
          <t>Min Units (≥)</t>
        </is>
      </c>
      <c r="L77" s="350" t="n"/>
      <c r="M77" s="201" t="n"/>
      <c r="N77" s="237" t="n"/>
      <c r="O77" s="237" t="n"/>
      <c r="P77" s="237" t="n"/>
      <c r="Q77" s="237" t="n"/>
      <c r="R77" s="237" t="n"/>
      <c r="S77" s="237" t="n"/>
      <c r="T77" s="237" t="n"/>
      <c r="U77" s="237" t="n"/>
      <c r="V77" s="237" t="n"/>
      <c r="W77" s="237" t="n"/>
      <c r="X77" s="237" t="n"/>
      <c r="Y77" s="237" t="n"/>
      <c r="Z77" s="237" t="n"/>
      <c r="AA77" s="237" t="n"/>
      <c r="AB77" s="237" t="n"/>
      <c r="AC77" s="237" t="n"/>
      <c r="AD77" s="237" t="n"/>
    </row>
    <row r="78" ht="21.75" customHeight="1" s="349">
      <c r="A78" s="237" t="n"/>
      <c r="B78" s="153" t="n">
        <v>0</v>
      </c>
      <c r="C78" s="136">
        <f>E73</f>
        <v/>
      </c>
      <c r="D78" s="153" t="n"/>
      <c r="E78" s="31" t="n"/>
      <c r="F78" s="154" t="n"/>
      <c r="G78" s="307" t="n"/>
      <c r="H78" s="31" t="n"/>
      <c r="I78" s="201" t="n"/>
      <c r="J78" s="155" t="n"/>
      <c r="K78" s="31" t="n"/>
      <c r="L78" s="350" t="inlineStr">
        <is>
          <t>outdoor unit cost below 5,000 units, pulled from the table above</t>
        </is>
      </c>
      <c r="M78" s="201" t="n"/>
      <c r="N78" s="237" t="n"/>
      <c r="O78" s="237" t="n"/>
      <c r="P78" s="237" t="n"/>
      <c r="Q78" s="237" t="n"/>
      <c r="R78" s="237" t="n"/>
      <c r="S78" s="237" t="n"/>
      <c r="T78" s="237" t="n"/>
      <c r="U78" s="237" t="n"/>
      <c r="V78" s="237" t="n"/>
      <c r="W78" s="237" t="n"/>
      <c r="X78" s="237" t="n"/>
      <c r="Y78" s="237" t="n"/>
      <c r="Z78" s="237" t="n"/>
      <c r="AA78" s="237" t="n"/>
      <c r="AB78" s="237" t="n"/>
      <c r="AC78" s="237" t="n"/>
      <c r="AD78" s="237" t="n"/>
    </row>
    <row r="79" ht="21.75" customHeight="1" s="349">
      <c r="A79" s="237" t="n"/>
      <c r="B79" s="139" t="n">
        <v>5000</v>
      </c>
      <c r="C79" s="136">
        <f>F73</f>
        <v/>
      </c>
      <c r="D79" s="153" t="n"/>
      <c r="E79" s="31" t="n"/>
      <c r="F79" s="154" t="n"/>
      <c r="G79" s="307" t="n"/>
      <c r="H79" s="31" t="n"/>
      <c r="I79" s="122" t="n"/>
      <c r="J79" s="155" t="n"/>
      <c r="K79" s="31" t="n"/>
      <c r="L79" s="350" t="inlineStr">
        <is>
          <t>outdoor unit cost at 5,000+</t>
        </is>
      </c>
      <c r="M79" s="201" t="n"/>
      <c r="N79" s="237" t="n"/>
      <c r="O79" s="237" t="n"/>
      <c r="P79" s="237" t="n"/>
      <c r="Q79" s="237" t="n"/>
      <c r="R79" s="237" t="n"/>
      <c r="S79" s="237" t="n"/>
      <c r="T79" s="237" t="n"/>
      <c r="U79" s="237" t="n"/>
      <c r="V79" s="237" t="n"/>
      <c r="W79" s="237" t="n"/>
      <c r="X79" s="237" t="n"/>
      <c r="Y79" s="237" t="n"/>
      <c r="Z79" s="237" t="n"/>
      <c r="AA79" s="237" t="n"/>
      <c r="AB79" s="237" t="n"/>
      <c r="AC79" s="237" t="n"/>
      <c r="AD79" s="237" t="n"/>
    </row>
    <row r="80" ht="21.75" customHeight="1" s="349">
      <c r="A80" s="237" t="n"/>
      <c r="B80" s="139" t="n">
        <v>10000</v>
      </c>
      <c r="C80" s="136">
        <f>G73</f>
        <v/>
      </c>
      <c r="D80" s="153" t="n"/>
      <c r="E80" s="31" t="n"/>
      <c r="F80" s="154" t="n"/>
      <c r="G80" s="307" t="n"/>
      <c r="H80" s="31" t="n"/>
      <c r="I80" s="122" t="n"/>
      <c r="J80" s="155" t="n"/>
      <c r="K80" s="31" t="n"/>
      <c r="L80" s="350" t="inlineStr">
        <is>
          <t>outdoor unit cost at 10,000+</t>
        </is>
      </c>
      <c r="M80" s="201" t="n"/>
      <c r="N80" s="237" t="n"/>
      <c r="O80" s="237" t="n"/>
      <c r="P80" s="237" t="n"/>
      <c r="Q80" s="237" t="n"/>
      <c r="R80" s="237" t="n"/>
      <c r="S80" s="237" t="n"/>
      <c r="T80" s="237" t="n"/>
      <c r="U80" s="237" t="n"/>
      <c r="V80" s="237" t="n"/>
      <c r="W80" s="237" t="n"/>
      <c r="X80" s="237" t="n"/>
      <c r="Y80" s="237" t="n"/>
      <c r="Z80" s="237" t="n"/>
      <c r="AA80" s="237" t="n"/>
      <c r="AB80" s="237" t="n"/>
      <c r="AC80" s="237" t="n"/>
      <c r="AD80" s="237" t="n"/>
    </row>
    <row r="81" ht="21.75" customHeight="1" s="349">
      <c r="A81" s="237" t="n"/>
      <c r="B81" s="140" t="inlineStr">
        <is>
          <t>SCENARIO &amp; TIER BASIS</t>
        </is>
      </c>
      <c r="H81" s="31" t="n"/>
      <c r="I81" s="122" t="n"/>
      <c r="J81" s="155" t="n"/>
      <c r="K81" s="31" t="n"/>
      <c r="L81" s="350" t="n"/>
      <c r="M81" s="201" t="n"/>
      <c r="N81" s="237" t="n"/>
      <c r="O81" s="237" t="n"/>
      <c r="P81" s="237" t="n"/>
      <c r="Q81" s="237" t="n"/>
      <c r="R81" s="237" t="n"/>
      <c r="S81" s="237" t="n"/>
      <c r="T81" s="237" t="n"/>
      <c r="U81" s="237" t="n"/>
      <c r="V81" s="237" t="n"/>
      <c r="W81" s="237" t="n"/>
      <c r="X81" s="237" t="n"/>
      <c r="Y81" s="237" t="n"/>
      <c r="Z81" s="237" t="n"/>
      <c r="AA81" s="237" t="n"/>
      <c r="AB81" s="237" t="n"/>
      <c r="AC81" s="237" t="n"/>
      <c r="AD81" s="237" t="n"/>
    </row>
    <row r="82" ht="21.75" customHeight="1" s="349">
      <c r="A82" s="237" t="n"/>
      <c r="B82" s="153" t="inlineStr">
        <is>
          <t>Case   (1 = Base €3m,  2 = Aggressive €10m)</t>
        </is>
      </c>
      <c r="C82" s="136" t="n"/>
      <c r="D82" s="64" t="n">
        <v>2</v>
      </c>
      <c r="E82" s="31" t="n"/>
      <c r="F82" s="307" t="n"/>
      <c r="G82" s="307" t="n"/>
      <c r="H82" s="31" t="n"/>
      <c r="I82" s="122" t="n"/>
      <c r="J82" s="155" t="n"/>
      <c r="K82" s="31" t="n"/>
      <c r="L82" s="350" t="inlineStr">
        <is>
          <t>the master switch. 2 = the 10m plan: bigger volumes, capex, 10m equity, faster sales hires</t>
        </is>
      </c>
      <c r="M82" s="201" t="n"/>
      <c r="N82" s="237" t="n"/>
      <c r="O82" s="237" t="n"/>
      <c r="P82" s="237" t="n"/>
      <c r="Q82" s="237" t="n"/>
      <c r="R82" s="237" t="n"/>
      <c r="S82" s="237" t="n"/>
      <c r="T82" s="237" t="n"/>
      <c r="U82" s="237" t="n"/>
      <c r="V82" s="237" t="n"/>
      <c r="W82" s="237" t="n"/>
      <c r="X82" s="237" t="n"/>
      <c r="Y82" s="237" t="n"/>
      <c r="Z82" s="237" t="n"/>
      <c r="AA82" s="237" t="n"/>
      <c r="AB82" s="237" t="n"/>
      <c r="AC82" s="237" t="n"/>
      <c r="AD82" s="237" t="n"/>
    </row>
    <row r="83" ht="21.75" customHeight="1" s="349">
      <c r="A83" s="237" t="n"/>
      <c r="B83" s="153" t="inlineStr">
        <is>
          <t>BOM tier basis   (1 = this year only,  2 = this year + next)</t>
        </is>
      </c>
      <c r="C83" s="136" t="n"/>
      <c r="D83" s="64" t="n">
        <v>1</v>
      </c>
      <c r="E83" s="31" t="n"/>
      <c r="F83" s="307" t="n"/>
      <c r="G83" s="307" t="n"/>
      <c r="H83" s="31" t="n"/>
      <c r="I83" s="122" t="n"/>
      <c r="J83" s="155" t="n"/>
      <c r="K83" s="31" t="n"/>
      <c r="L83" s="350" t="inlineStr">
        <is>
          <t>how the ketel cost tier is chosen. 1 = only the year's own volume (conservative)</t>
        </is>
      </c>
      <c r="M83" s="201" t="n"/>
      <c r="N83" s="237" t="n"/>
      <c r="O83" s="237" t="n"/>
      <c r="P83" s="237" t="n"/>
      <c r="Q83" s="237" t="n"/>
      <c r="R83" s="237" t="n"/>
      <c r="S83" s="237" t="n"/>
      <c r="T83" s="237" t="n"/>
      <c r="U83" s="237" t="n"/>
      <c r="V83" s="237" t="n"/>
      <c r="W83" s="237" t="n"/>
      <c r="X83" s="237" t="n"/>
      <c r="Y83" s="237" t="n"/>
      <c r="Z83" s="237" t="n"/>
      <c r="AA83" s="237" t="n"/>
      <c r="AB83" s="237" t="n"/>
      <c r="AC83" s="237" t="n"/>
      <c r="AD83" s="237" t="n"/>
    </row>
    <row r="84" ht="21.75" customHeight="1" s="349">
      <c r="A84" s="237" t="n"/>
      <c r="B84" s="153" t="inlineStr">
        <is>
          <t>MEMO — previous hardcoded aggressive plan (no longer drives anything)</t>
        </is>
      </c>
      <c r="C84" s="237" t="n"/>
      <c r="D84" s="82" t="n">
        <v>1800</v>
      </c>
      <c r="E84" s="82" t="n">
        <v>5200</v>
      </c>
      <c r="F84" s="82" t="n">
        <v>11000</v>
      </c>
      <c r="G84" s="82" t="n">
        <v>22000</v>
      </c>
      <c r="H84" s="201" t="n"/>
      <c r="I84" s="201" t="n"/>
      <c r="J84" s="201" t="n"/>
      <c r="K84" s="201" t="n"/>
      <c r="L84" s="350" t="inlineStr">
        <is>
          <t>superseded by the Growth Engine tab: units are now an output of the operating plan</t>
        </is>
      </c>
      <c r="M84" s="201" t="n"/>
      <c r="N84" s="237" t="n"/>
      <c r="O84" s="237" t="n"/>
      <c r="P84" s="237" t="n"/>
      <c r="Q84" s="237" t="n"/>
      <c r="R84" s="237" t="n"/>
      <c r="S84" s="237" t="n"/>
      <c r="T84" s="237" t="n"/>
      <c r="U84" s="237" t="n"/>
      <c r="V84" s="237" t="n"/>
      <c r="W84" s="237" t="n"/>
      <c r="X84" s="237" t="n"/>
      <c r="Y84" s="237" t="n"/>
      <c r="Z84" s="237" t="n"/>
      <c r="AA84" s="237" t="n"/>
      <c r="AB84" s="237" t="n"/>
      <c r="AC84" s="237" t="n"/>
      <c r="AD84" s="237" t="n"/>
    </row>
    <row r="85" ht="21.75" customHeight="1" s="349">
      <c r="A85" s="237" t="n"/>
      <c r="B85" s="153" t="inlineStr">
        <is>
          <t>MEMO — previous hardcoded base plan (no longer drives anything)</t>
        </is>
      </c>
      <c r="C85" s="237" t="n"/>
      <c r="D85" s="82" t="n">
        <v>600</v>
      </c>
      <c r="E85" s="82" t="n">
        <v>1600</v>
      </c>
      <c r="F85" s="82" t="n">
        <v>3600</v>
      </c>
      <c r="G85" s="82" t="n">
        <v>7200</v>
      </c>
      <c r="H85" s="201" t="n"/>
      <c r="I85" s="201" t="n"/>
      <c r="J85" s="201" t="n"/>
      <c r="K85" s="201" t="n"/>
      <c r="L85" s="350" t="inlineStr">
        <is>
          <t>the plan as it stands today — leave alone so Base stays comparable</t>
        </is>
      </c>
      <c r="M85" s="201" t="n"/>
      <c r="N85" s="237" t="n"/>
      <c r="O85" s="237" t="n"/>
      <c r="P85" s="237" t="n"/>
      <c r="Q85" s="237" t="n"/>
      <c r="R85" s="237" t="n"/>
      <c r="S85" s="237" t="n"/>
      <c r="T85" s="237" t="n"/>
      <c r="U85" s="237" t="n"/>
      <c r="V85" s="237" t="n"/>
      <c r="W85" s="237" t="n"/>
      <c r="X85" s="237" t="n"/>
      <c r="Y85" s="237" t="n"/>
      <c r="Z85" s="237" t="n"/>
      <c r="AA85" s="237" t="n"/>
      <c r="AB85" s="237" t="n"/>
      <c r="AC85" s="237" t="n"/>
      <c r="AD85" s="237" t="n"/>
    </row>
    <row r="86" ht="23.25" customHeight="1" s="349">
      <c r="A86" s="237" t="n"/>
      <c r="B86" s="26" t="inlineStr">
        <is>
          <t>Other operating expenditures</t>
        </is>
      </c>
      <c r="E86" s="26" t="n"/>
      <c r="F86" s="26" t="inlineStr">
        <is>
          <t>Yearly increase:</t>
        </is>
      </c>
      <c r="G86" s="160" t="n">
        <v>0.35</v>
      </c>
      <c r="H86" s="161" t="n"/>
      <c r="I86" s="26" t="n"/>
      <c r="J86" s="162" t="n"/>
      <c r="K86" s="29" t="n"/>
      <c r="N86" s="237" t="n"/>
      <c r="O86" s="237" t="n"/>
      <c r="P86" s="237" t="n"/>
      <c r="Q86" s="237" t="n"/>
      <c r="R86" s="237" t="n"/>
      <c r="S86" s="237" t="n"/>
      <c r="T86" s="237" t="n"/>
      <c r="U86" s="237" t="n"/>
      <c r="V86" s="237" t="n"/>
      <c r="W86" s="237" t="n"/>
      <c r="X86" s="237" t="n"/>
      <c r="Y86" s="237" t="n"/>
      <c r="Z86" s="237" t="n"/>
      <c r="AA86" s="237" t="n"/>
      <c r="AB86" s="237" t="n"/>
      <c r="AC86" s="237" t="n"/>
      <c r="AD86" s="237" t="n"/>
    </row>
    <row r="87" ht="21.75" customHeight="1" s="349">
      <c r="A87" s="237" t="n"/>
      <c r="B87" s="101" t="n"/>
      <c r="C87" s="200" t="inlineStr">
        <is>
          <t>Category</t>
        </is>
      </c>
      <c r="D87" s="147" t="inlineStr">
        <is>
          <t>Note</t>
        </is>
      </c>
      <c r="E87" s="163" t="n">
        <v>2026</v>
      </c>
      <c r="F87" s="200" t="n">
        <v>2027</v>
      </c>
      <c r="G87" s="200" t="n">
        <v>2028</v>
      </c>
      <c r="H87" s="147" t="n">
        <v>2029</v>
      </c>
      <c r="I87" s="163" t="n">
        <v>2030</v>
      </c>
      <c r="J87" s="201" t="n"/>
      <c r="K87" s="201" t="n"/>
      <c r="L87" s="83" t="n"/>
      <c r="M87" s="201" t="n"/>
      <c r="N87" s="237" t="n"/>
      <c r="O87" s="237" t="n"/>
      <c r="P87" s="237" t="n"/>
      <c r="Q87" s="237" t="n"/>
      <c r="R87" s="237" t="n"/>
      <c r="S87" s="237" t="n"/>
      <c r="T87" s="237" t="n"/>
      <c r="U87" s="237" t="n"/>
      <c r="V87" s="237" t="n"/>
      <c r="W87" s="237" t="n"/>
      <c r="X87" s="237" t="n"/>
      <c r="Y87" s="237" t="n"/>
      <c r="Z87" s="237" t="n"/>
      <c r="AA87" s="237" t="n"/>
      <c r="AB87" s="237" t="n"/>
      <c r="AC87" s="237" t="n"/>
      <c r="AD87" s="237" t="n"/>
    </row>
    <row r="88" ht="21.75" customHeight="1" s="349">
      <c r="A88" s="237" t="n"/>
      <c r="B88" s="164" t="inlineStr">
        <is>
          <t>Office rent (part of General)</t>
        </is>
      </c>
      <c r="C88" s="31" t="inlineStr">
        <is>
          <t>G&amp;A</t>
        </is>
      </c>
      <c r="D88" s="201" t="inlineStr">
        <is>
          <t>ongoing</t>
        </is>
      </c>
      <c r="E88" s="143" t="n">
        <v>5000</v>
      </c>
      <c r="F88" s="145">
        <f>$E88*(1+$G$86)</f>
        <v/>
      </c>
      <c r="G88" s="145">
        <f>F88*(1+$G$86)</f>
        <v/>
      </c>
      <c r="H88" s="145">
        <f>G88*(1+$G$86)</f>
        <v/>
      </c>
      <c r="I88" s="145">
        <f>H88*(1+$G$86)</f>
        <v/>
      </c>
      <c r="J88" s="201" t="n"/>
      <c r="K88" s="201" t="n"/>
      <c r="L88" s="83" t="inlineStr">
        <is>
          <t>2026 is typed in; later years grow it by the rate above</t>
        </is>
      </c>
      <c r="M88" s="201" t="n"/>
      <c r="N88" s="237" t="n"/>
      <c r="O88" s="237" t="n"/>
      <c r="P88" s="237" t="n"/>
      <c r="Q88" s="237" t="n"/>
      <c r="R88" s="237" t="n"/>
      <c r="S88" s="237" t="n"/>
      <c r="T88" s="237" t="n"/>
      <c r="U88" s="237" t="n"/>
      <c r="V88" s="237" t="n"/>
      <c r="W88" s="237" t="n"/>
      <c r="X88" s="237" t="n"/>
      <c r="Y88" s="237" t="n"/>
      <c r="Z88" s="237" t="n"/>
      <c r="AA88" s="237" t="n"/>
      <c r="AB88" s="237" t="n"/>
      <c r="AC88" s="237" t="n"/>
      <c r="AD88" s="237" t="n"/>
    </row>
    <row r="89" ht="21.75" customHeight="1" s="349">
      <c r="A89" s="237" t="n"/>
      <c r="B89" s="164" t="inlineStr">
        <is>
          <t>Other General</t>
        </is>
      </c>
      <c r="C89" s="31" t="inlineStr">
        <is>
          <t>G&amp;A</t>
        </is>
      </c>
      <c r="D89" s="201" t="inlineStr">
        <is>
          <t>ongoing</t>
        </is>
      </c>
      <c r="E89" s="143" t="n">
        <v>7000</v>
      </c>
      <c r="F89" s="145">
        <f>$E89*(1+$G$86)</f>
        <v/>
      </c>
      <c r="G89" s="145">
        <f>F89*(1+$G$86)</f>
        <v/>
      </c>
      <c r="H89" s="145">
        <f>G89*(1+$G$86)</f>
        <v/>
      </c>
      <c r="I89" s="145">
        <f>H89*(1+$G$86)</f>
        <v/>
      </c>
      <c r="J89" s="201" t="n"/>
      <c r="K89" s="201" t="n"/>
      <c r="L89" s="83" t="inlineStr">
        <is>
          <t>2026 is typed in; later years grow it by the rate above</t>
        </is>
      </c>
      <c r="M89" s="201" t="n"/>
      <c r="N89" s="237" t="n"/>
      <c r="O89" s="237" t="n"/>
      <c r="P89" s="237" t="n"/>
      <c r="Q89" s="237" t="n"/>
      <c r="R89" s="237" t="n"/>
      <c r="S89" s="237" t="n"/>
      <c r="T89" s="237" t="n"/>
      <c r="U89" s="237" t="n"/>
      <c r="V89" s="237" t="n"/>
      <c r="W89" s="237" t="n"/>
      <c r="X89" s="237" t="n"/>
      <c r="Y89" s="237" t="n"/>
      <c r="Z89" s="237" t="n"/>
      <c r="AA89" s="237" t="n"/>
      <c r="AB89" s="237" t="n"/>
      <c r="AC89" s="237" t="n"/>
      <c r="AD89" s="237" t="n"/>
    </row>
    <row r="90" ht="21.75" customHeight="1" s="349">
      <c r="A90" s="237" t="n"/>
      <c r="B90" s="164" t="inlineStr">
        <is>
          <t>Baseline Sales &amp; Marketing</t>
        </is>
      </c>
      <c r="C90" s="31" t="inlineStr">
        <is>
          <t>S&amp;M</t>
        </is>
      </c>
      <c r="D90" s="201" t="inlineStr">
        <is>
          <t>ongoing</t>
        </is>
      </c>
      <c r="E90" s="143" t="n">
        <v>14000</v>
      </c>
      <c r="F90" s="145">
        <f>$E90*(1+$G$86)</f>
        <v/>
      </c>
      <c r="G90" s="145">
        <f>F90*(1+$G$86)</f>
        <v/>
      </c>
      <c r="H90" s="145">
        <f>G90*(1+$G$86)</f>
        <v/>
      </c>
      <c r="I90" s="145">
        <f>H90*(1+$G$86)</f>
        <v/>
      </c>
      <c r="J90" s="201" t="n"/>
      <c r="K90" s="201" t="n"/>
      <c r="L90" s="83" t="inlineStr">
        <is>
          <t>2026 is typed in; later years grow it by the rate above</t>
        </is>
      </c>
      <c r="M90" s="201" t="n"/>
      <c r="N90" s="237" t="n"/>
      <c r="O90" s="237" t="n"/>
      <c r="P90" s="237" t="n"/>
      <c r="Q90" s="237" t="n"/>
      <c r="R90" s="237" t="n"/>
      <c r="S90" s="237" t="n"/>
      <c r="T90" s="237" t="n"/>
      <c r="U90" s="237" t="n"/>
      <c r="V90" s="237" t="n"/>
      <c r="W90" s="237" t="n"/>
      <c r="X90" s="237" t="n"/>
      <c r="Y90" s="237" t="n"/>
      <c r="Z90" s="237" t="n"/>
      <c r="AA90" s="237" t="n"/>
      <c r="AB90" s="237" t="n"/>
      <c r="AC90" s="237" t="n"/>
      <c r="AD90" s="237" t="n"/>
    </row>
    <row r="91" ht="21.75" customHeight="1" s="349">
      <c r="A91" s="237" t="n"/>
      <c r="B91" s="164" t="inlineStr">
        <is>
          <t>Finance &amp; Legal etc.</t>
        </is>
      </c>
      <c r="C91" s="31" t="inlineStr">
        <is>
          <t>G&amp;A</t>
        </is>
      </c>
      <c r="D91" s="201" t="inlineStr">
        <is>
          <t>ongoing</t>
        </is>
      </c>
      <c r="E91" s="143" t="n">
        <v>8000</v>
      </c>
      <c r="F91" s="145">
        <f>$E91*(1+$G$86)</f>
        <v/>
      </c>
      <c r="G91" s="145">
        <f>F91*(1+$G$86)</f>
        <v/>
      </c>
      <c r="H91" s="145">
        <f>G91*(1+$G$86)</f>
        <v/>
      </c>
      <c r="I91" s="145">
        <f>H91*(1+$G$86)</f>
        <v/>
      </c>
      <c r="J91" s="201" t="n"/>
      <c r="K91" s="201" t="n"/>
      <c r="L91" s="83" t="inlineStr">
        <is>
          <t>2026 is typed in; later years grow it by the rate above</t>
        </is>
      </c>
      <c r="M91" s="201" t="n"/>
      <c r="N91" s="237" t="n"/>
      <c r="O91" s="237" t="n"/>
      <c r="P91" s="237" t="n"/>
      <c r="Q91" s="237" t="n"/>
      <c r="R91" s="237" t="n"/>
      <c r="S91" s="237" t="n"/>
      <c r="T91" s="237" t="n"/>
      <c r="U91" s="237" t="n"/>
      <c r="V91" s="237" t="n"/>
      <c r="W91" s="237" t="n"/>
      <c r="X91" s="237" t="n"/>
      <c r="Y91" s="237" t="n"/>
      <c r="Z91" s="237" t="n"/>
      <c r="AA91" s="237" t="n"/>
      <c r="AB91" s="237" t="n"/>
      <c r="AC91" s="237" t="n"/>
      <c r="AD91" s="237" t="n"/>
    </row>
    <row r="92" ht="21.75" customHeight="1" s="349">
      <c r="A92" s="237" t="n"/>
      <c r="B92" s="164" t="inlineStr">
        <is>
          <t>Ongoing Development costs</t>
        </is>
      </c>
      <c r="C92" s="31" t="inlineStr">
        <is>
          <t>R&amp;D</t>
        </is>
      </c>
      <c r="D92" s="201" t="inlineStr">
        <is>
          <t>ongoing</t>
        </is>
      </c>
      <c r="E92" s="143" t="n">
        <v>10000</v>
      </c>
      <c r="F92" s="145">
        <f>$E92*(1+$G$86)</f>
        <v/>
      </c>
      <c r="G92" s="145">
        <f>F92*(1+$G$86)</f>
        <v/>
      </c>
      <c r="H92" s="145">
        <f>G92*(1+$G$86)</f>
        <v/>
      </c>
      <c r="I92" s="145">
        <f>H92*(1+$G$86)</f>
        <v/>
      </c>
      <c r="J92" s="201" t="n"/>
      <c r="K92" s="201" t="n"/>
      <c r="L92" s="83" t="inlineStr">
        <is>
          <t>2026 is typed in; later years grow it by the rate above</t>
        </is>
      </c>
      <c r="M92" s="201" t="n"/>
      <c r="N92" s="237" t="n"/>
      <c r="O92" s="237" t="n"/>
      <c r="P92" s="237" t="n"/>
      <c r="Q92" s="237" t="n"/>
      <c r="R92" s="237" t="n"/>
      <c r="S92" s="237" t="n"/>
      <c r="T92" s="237" t="n"/>
      <c r="U92" s="237" t="n"/>
      <c r="V92" s="237" t="n"/>
      <c r="W92" s="237" t="n"/>
      <c r="X92" s="237" t="n"/>
      <c r="Y92" s="237" t="n"/>
      <c r="Z92" s="237" t="n"/>
      <c r="AA92" s="237" t="n"/>
      <c r="AB92" s="237" t="n"/>
      <c r="AC92" s="237" t="n"/>
      <c r="AD92" s="237" t="n"/>
    </row>
    <row r="93" ht="21.75" customHeight="1" s="349">
      <c r="A93" s="237" t="n"/>
      <c r="B93" s="165" t="inlineStr">
        <is>
          <t xml:space="preserve">Third party cost product development </t>
        </is>
      </c>
      <c r="C93" s="31" t="inlineStr">
        <is>
          <t>R&amp;D</t>
        </is>
      </c>
      <c r="D93" s="201" t="inlineStr">
        <is>
          <t>ongoing</t>
        </is>
      </c>
      <c r="E93" s="143" t="n">
        <v>15000</v>
      </c>
      <c r="F93" s="145">
        <f>$E93*(1+$G$86)</f>
        <v/>
      </c>
      <c r="G93" s="145">
        <f>F93*(1+$G$86)</f>
        <v/>
      </c>
      <c r="H93" s="145">
        <f>G93*(1+$G$86)</f>
        <v/>
      </c>
      <c r="I93" s="145">
        <f>H93*(1+$G$86)</f>
        <v/>
      </c>
      <c r="J93" s="201" t="n"/>
      <c r="K93" s="201" t="n"/>
      <c r="L93" s="83" t="inlineStr">
        <is>
          <t>2026 is typed in; later years grow it by the rate above</t>
        </is>
      </c>
      <c r="M93" s="201" t="n"/>
      <c r="N93" s="237" t="n"/>
      <c r="O93" s="237" t="n"/>
      <c r="P93" s="237" t="n"/>
      <c r="Q93" s="237" t="n"/>
      <c r="R93" s="237" t="n"/>
      <c r="S93" s="237" t="n"/>
      <c r="T93" s="237" t="n"/>
      <c r="U93" s="237" t="n"/>
      <c r="V93" s="237" t="n"/>
      <c r="W93" s="237" t="n"/>
      <c r="X93" s="237" t="n"/>
      <c r="Y93" s="237" t="n"/>
      <c r="Z93" s="237" t="n"/>
      <c r="AA93" s="237" t="n"/>
      <c r="AB93" s="237" t="n"/>
      <c r="AC93" s="237" t="n"/>
      <c r="AD93" s="237" t="n"/>
    </row>
    <row r="94" ht="21.75" customHeight="1" s="349">
      <c r="A94" s="237" t="n"/>
      <c r="B94" s="31" t="inlineStr">
        <is>
          <t>Kicker Development Cost</t>
        </is>
      </c>
      <c r="C94" s="31" t="inlineStr">
        <is>
          <t>R&amp;D</t>
        </is>
      </c>
      <c r="D94" s="201" t="inlineStr">
        <is>
          <t>one-off</t>
        </is>
      </c>
      <c r="E94" s="143" t="n">
        <v>168933</v>
      </c>
      <c r="F94" s="145" t="n"/>
      <c r="G94" s="145" t="n"/>
      <c r="H94" s="145" t="n"/>
      <c r="I94" s="145" t="n"/>
      <c r="J94" s="201" t="n"/>
      <c r="K94" s="201" t="n"/>
      <c r="L94" s="83" t="inlineStr">
        <is>
          <t>one-off, lands in the single month it's booked on OPEX</t>
        </is>
      </c>
      <c r="M94" s="201" t="n"/>
      <c r="N94" s="237" t="n"/>
      <c r="O94" s="237" t="n"/>
      <c r="P94" s="237" t="n"/>
      <c r="Q94" s="237" t="n"/>
      <c r="R94" s="237" t="n"/>
      <c r="S94" s="237" t="n"/>
      <c r="T94" s="237" t="n"/>
      <c r="U94" s="237" t="n"/>
      <c r="V94" s="237" t="n"/>
      <c r="W94" s="237" t="n"/>
      <c r="X94" s="237" t="n"/>
      <c r="Y94" s="237" t="n"/>
      <c r="Z94" s="237" t="n"/>
      <c r="AA94" s="237" t="n"/>
      <c r="AB94" s="237" t="n"/>
      <c r="AC94" s="237" t="n"/>
      <c r="AD94" s="237" t="n"/>
    </row>
    <row r="95" ht="21.75" customHeight="1" s="349">
      <c r="A95" s="237" t="n"/>
      <c r="B95" s="166" t="inlineStr">
        <is>
          <t>Customer journey (third party)</t>
        </is>
      </c>
      <c r="C95" s="31" t="inlineStr">
        <is>
          <t>S&amp;M</t>
        </is>
      </c>
      <c r="D95" s="201" t="inlineStr">
        <is>
          <t>one-off</t>
        </is>
      </c>
      <c r="E95" s="143" t="n">
        <v>10000</v>
      </c>
      <c r="F95" s="145" t="n"/>
      <c r="G95" s="145" t="n"/>
      <c r="H95" s="145" t="n"/>
      <c r="I95" s="145" t="n"/>
      <c r="J95" s="201" t="n"/>
      <c r="K95" s="201" t="n"/>
      <c r="L95" s="83" t="inlineStr">
        <is>
          <t>one-off, lands in the single month it's booked on OPEX</t>
        </is>
      </c>
      <c r="M95" s="201" t="n"/>
      <c r="N95" s="237" t="n"/>
      <c r="O95" s="237" t="n"/>
      <c r="P95" s="237" t="n"/>
      <c r="Q95" s="237" t="n"/>
      <c r="R95" s="237" t="n"/>
      <c r="S95" s="237" t="n"/>
      <c r="T95" s="237" t="n"/>
      <c r="U95" s="237" t="n"/>
      <c r="V95" s="237" t="n"/>
      <c r="W95" s="237" t="n"/>
      <c r="X95" s="237" t="n"/>
      <c r="Y95" s="237" t="n"/>
      <c r="Z95" s="237" t="n"/>
      <c r="AA95" s="237" t="n"/>
      <c r="AB95" s="237" t="n"/>
      <c r="AC95" s="237" t="n"/>
      <c r="AD95" s="237" t="n"/>
    </row>
    <row r="96" ht="21.75" customHeight="1" s="349">
      <c r="A96" s="237" t="n"/>
      <c r="B96" s="167" t="inlineStr">
        <is>
          <t>Branding + Website (third party cost)</t>
        </is>
      </c>
      <c r="C96" s="201" t="inlineStr">
        <is>
          <t>S&amp;M</t>
        </is>
      </c>
      <c r="D96" s="201" t="inlineStr">
        <is>
          <t>one-off</t>
        </is>
      </c>
      <c r="E96" s="143" t="n">
        <v>10000</v>
      </c>
      <c r="F96" s="145" t="n"/>
      <c r="G96" s="145" t="n"/>
      <c r="H96" s="145" t="n"/>
      <c r="I96" s="145" t="n"/>
      <c r="J96" s="201" t="n"/>
      <c r="K96" s="201" t="n"/>
      <c r="L96" s="83" t="inlineStr">
        <is>
          <t>one-off, lands in the single month it's booked on OPEX</t>
        </is>
      </c>
      <c r="M96" s="201" t="n"/>
      <c r="N96" s="237" t="n"/>
      <c r="O96" s="237" t="n"/>
      <c r="P96" s="237" t="n"/>
      <c r="Q96" s="237" t="n"/>
      <c r="R96" s="237" t="n"/>
      <c r="S96" s="237" t="n"/>
      <c r="T96" s="237" t="n"/>
      <c r="U96" s="237" t="n"/>
      <c r="V96" s="237" t="n"/>
      <c r="W96" s="237" t="n"/>
      <c r="X96" s="237" t="n"/>
      <c r="Y96" s="237" t="n"/>
      <c r="Z96" s="237" t="n"/>
      <c r="AA96" s="237" t="n"/>
      <c r="AB96" s="237" t="n"/>
      <c r="AC96" s="237" t="n"/>
      <c r="AD96" s="237" t="n"/>
    </row>
    <row r="97" ht="21.75" customHeight="1" s="349">
      <c r="A97" s="237" t="n"/>
      <c r="B97" s="164" t="inlineStr">
        <is>
          <t>Assembly partner</t>
        </is>
      </c>
      <c r="C97" s="31" t="inlineStr">
        <is>
          <t>R&amp;D</t>
        </is>
      </c>
      <c r="D97" s="201" t="inlineStr">
        <is>
          <t>one-off</t>
        </is>
      </c>
      <c r="E97" s="143" t="n">
        <v>100000</v>
      </c>
      <c r="F97" s="145" t="n"/>
      <c r="G97" s="145" t="n"/>
      <c r="H97" s="145" t="n"/>
      <c r="I97" s="145" t="n"/>
      <c r="J97" s="201" t="n"/>
      <c r="K97" s="201" t="n"/>
      <c r="L97" s="83" t="inlineStr">
        <is>
          <t>one-off, lands in the single month it's booked on OPEX</t>
        </is>
      </c>
      <c r="M97" s="201" t="n"/>
      <c r="N97" s="237" t="n"/>
      <c r="O97" s="237" t="n"/>
      <c r="P97" s="237" t="n"/>
      <c r="Q97" s="237" t="n"/>
      <c r="R97" s="237" t="n"/>
      <c r="S97" s="237" t="n"/>
      <c r="T97" s="237" t="n"/>
      <c r="U97" s="237" t="n"/>
      <c r="V97" s="237" t="n"/>
      <c r="W97" s="237" t="n"/>
      <c r="X97" s="237" t="n"/>
      <c r="Y97" s="237" t="n"/>
      <c r="Z97" s="237" t="n"/>
      <c r="AA97" s="237" t="n"/>
      <c r="AB97" s="237" t="n"/>
      <c r="AC97" s="237" t="n"/>
      <c r="AD97" s="237" t="n"/>
    </row>
    <row r="98" ht="21.75" customHeight="1" s="349">
      <c r="A98" s="237" t="n"/>
      <c r="B98" s="167" t="inlineStr">
        <is>
          <t>Tooling Fisher (result: 2%-3%)</t>
        </is>
      </c>
      <c r="C98" s="201" t="inlineStr">
        <is>
          <t>R&amp;D</t>
        </is>
      </c>
      <c r="D98" s="201" t="inlineStr">
        <is>
          <t>one-off</t>
        </is>
      </c>
      <c r="E98" s="143" t="n">
        <v>45000</v>
      </c>
      <c r="F98" s="145" t="n"/>
      <c r="G98" s="145" t="n"/>
      <c r="H98" s="145" t="n"/>
      <c r="I98" s="145" t="n"/>
      <c r="J98" s="201" t="n"/>
      <c r="K98" s="201" t="n"/>
      <c r="L98" s="83" t="inlineStr">
        <is>
          <t>one-off, lands in the single month it's booked on OPEX</t>
        </is>
      </c>
      <c r="M98" s="201" t="n"/>
      <c r="N98" s="237" t="n"/>
      <c r="O98" s="237" t="n"/>
      <c r="P98" s="237" t="n"/>
      <c r="Q98" s="237" t="n"/>
      <c r="R98" s="237" t="n"/>
      <c r="S98" s="237" t="n"/>
      <c r="T98" s="237" t="n"/>
      <c r="U98" s="237" t="n"/>
      <c r="V98" s="237" t="n"/>
      <c r="W98" s="237" t="n"/>
      <c r="X98" s="237" t="n"/>
      <c r="Y98" s="237" t="n"/>
      <c r="Z98" s="237" t="n"/>
      <c r="AA98" s="237" t="n"/>
      <c r="AB98" s="237" t="n"/>
      <c r="AC98" s="237" t="n"/>
      <c r="AD98" s="237" t="n"/>
    </row>
    <row r="99" ht="21.75" customHeight="1" s="349">
      <c r="A99" s="307" t="n"/>
      <c r="B99" s="307" t="n"/>
      <c r="C99" s="307" t="n"/>
      <c r="D99" s="307" t="n"/>
      <c r="E99" s="307" t="n"/>
      <c r="F99" s="307" t="n"/>
      <c r="G99" s="307" t="n"/>
      <c r="H99" s="31" t="n"/>
      <c r="I99" s="31" t="n"/>
      <c r="J99" s="31" t="n"/>
      <c r="K99" s="31" t="n"/>
      <c r="L99" s="83" t="n"/>
      <c r="M99" s="31" t="n"/>
      <c r="N99" s="307" t="n"/>
      <c r="O99" s="307" t="n"/>
      <c r="P99" s="307" t="n"/>
      <c r="Q99" s="307" t="n"/>
      <c r="R99" s="307" t="n"/>
      <c r="S99" s="307" t="n"/>
      <c r="T99" s="307" t="n"/>
      <c r="U99" s="307" t="n"/>
      <c r="V99" s="307" t="n"/>
      <c r="W99" s="307" t="n"/>
      <c r="X99" s="307" t="n"/>
      <c r="Y99" s="307" t="n"/>
      <c r="Z99" s="307" t="n"/>
      <c r="AA99" s="307" t="n"/>
      <c r="AB99" s="307" t="n"/>
      <c r="AC99" s="307" t="n"/>
      <c r="AD99" s="307" t="n"/>
    </row>
    <row r="100" ht="21.75" customHeight="1" s="349">
      <c r="A100" s="307" t="n"/>
      <c r="B100" s="168" t="n"/>
      <c r="C100" s="237" t="n"/>
      <c r="D100" s="237" t="n"/>
      <c r="E100" s="169" t="n"/>
      <c r="F100" s="307" t="n"/>
      <c r="G100" s="307" t="n"/>
      <c r="H100" s="307" t="n"/>
      <c r="I100" s="307" t="n"/>
      <c r="J100" s="307" t="n"/>
      <c r="K100" s="307" t="n"/>
      <c r="L100" s="83" t="n"/>
      <c r="M100" s="31" t="n"/>
      <c r="N100" s="307" t="n"/>
      <c r="O100" s="307" t="n"/>
      <c r="P100" s="307" t="n"/>
      <c r="Q100" s="307" t="n"/>
      <c r="R100" s="307" t="n"/>
      <c r="S100" s="307" t="n"/>
      <c r="T100" s="307" t="n"/>
      <c r="U100" s="307" t="n"/>
      <c r="V100" s="307" t="n"/>
      <c r="W100" s="307" t="n"/>
      <c r="X100" s="307" t="n"/>
      <c r="Y100" s="307" t="n"/>
      <c r="Z100" s="307" t="n"/>
      <c r="AA100" s="307" t="n"/>
      <c r="AB100" s="307" t="n"/>
      <c r="AC100" s="307" t="n"/>
      <c r="AD100" s="307" t="n"/>
    </row>
    <row r="101" ht="21.75" customHeight="1" s="349">
      <c r="A101" s="307" t="n"/>
      <c r="B101" s="168" t="inlineStr">
        <is>
          <t>Assumptions for costs per unit sold (3rd parties or expenses (NO personell)</t>
        </is>
      </c>
      <c r="C101" s="237" t="n"/>
      <c r="D101" s="237" t="n"/>
      <c r="E101" s="169" t="n"/>
      <c r="F101" s="307" t="n"/>
      <c r="G101" s="170" t="inlineStr">
        <is>
          <t>Units sold</t>
        </is>
      </c>
      <c r="H101" s="171" t="inlineStr">
        <is>
          <t>S&amp;M cost per unit</t>
        </is>
      </c>
      <c r="I101" s="172" t="inlineStr">
        <is>
          <t>Decrease</t>
        </is>
      </c>
      <c r="J101" s="151" t="inlineStr">
        <is>
          <t>Yearly costs</t>
        </is>
      </c>
      <c r="K101" s="31" t="n"/>
      <c r="L101" s="83" t="n"/>
      <c r="M101" s="31" t="n"/>
      <c r="N101" s="307" t="n"/>
      <c r="O101" s="307" t="n"/>
      <c r="P101" s="307" t="n"/>
      <c r="Q101" s="307" t="n"/>
      <c r="R101" s="307" t="n"/>
      <c r="S101" s="307" t="n"/>
      <c r="T101" s="307" t="n"/>
      <c r="U101" s="307" t="n"/>
      <c r="V101" s="307" t="n"/>
      <c r="W101" s="307" t="n"/>
      <c r="X101" s="307" t="n"/>
      <c r="Y101" s="307" t="n"/>
      <c r="Z101" s="307" t="n"/>
      <c r="AA101" s="307" t="n"/>
      <c r="AB101" s="307" t="n"/>
      <c r="AC101" s="307" t="n"/>
      <c r="AD101" s="307" t="n"/>
    </row>
    <row r="102" ht="21.75" customHeight="1" s="349">
      <c r="A102" s="307" t="n"/>
      <c r="B102" s="167" t="inlineStr">
        <is>
          <t>Marketing spend per Customer</t>
        </is>
      </c>
      <c r="C102" s="201" t="inlineStr">
        <is>
          <t>S&amp;M</t>
        </is>
      </c>
      <c r="D102" s="201" t="n"/>
      <c r="E102" s="176" t="n">
        <v>600</v>
      </c>
      <c r="F102" s="307" t="inlineStr">
        <is>
          <t>third party</t>
        </is>
      </c>
      <c r="G102" s="174" t="n">
        <v>0</v>
      </c>
      <c r="H102" s="226">
        <f>E106</f>
        <v/>
      </c>
      <c r="I102" s="175" t="n"/>
      <c r="J102" s="31" t="n"/>
      <c r="K102" s="307" t="n"/>
      <c r="L102" s="83" t="inlineStr">
        <is>
          <t>top of the cost-down table: sales cost per unit at zero volume</t>
        </is>
      </c>
      <c r="M102" s="31" t="n"/>
      <c r="N102" s="307" t="n"/>
      <c r="O102" s="307" t="n"/>
      <c r="P102" s="307" t="n"/>
      <c r="Q102" s="307" t="n"/>
      <c r="R102" s="307" t="n"/>
      <c r="S102" s="307" t="n"/>
      <c r="T102" s="307" t="n"/>
      <c r="U102" s="307" t="n"/>
      <c r="V102" s="307" t="n"/>
      <c r="W102" s="307" t="n"/>
      <c r="X102" s="307" t="n"/>
      <c r="Y102" s="307" t="n"/>
      <c r="Z102" s="307" t="n"/>
      <c r="AA102" s="307" t="n"/>
      <c r="AB102" s="307" t="n"/>
      <c r="AC102" s="307" t="n"/>
      <c r="AD102" s="307" t="n"/>
    </row>
    <row r="103" ht="21.75" customHeight="1" s="349">
      <c r="A103" s="307" t="n"/>
      <c r="B103" s="167" t="inlineStr">
        <is>
          <t>Closing costs per customer</t>
        </is>
      </c>
      <c r="C103" s="201" t="inlineStr">
        <is>
          <t>S&amp;M</t>
        </is>
      </c>
      <c r="D103" s="201" t="inlineStr">
        <is>
          <t>(Calls, viewing location, etc)</t>
        </is>
      </c>
      <c r="E103" s="176" t="n">
        <v>150</v>
      </c>
      <c r="F103" s="307" t="inlineStr">
        <is>
          <t>third party</t>
        </is>
      </c>
      <c r="G103" s="174" t="n">
        <v>400</v>
      </c>
      <c r="H103" s="226">
        <f>E106</f>
        <v/>
      </c>
      <c r="I103" s="175" t="n"/>
      <c r="J103" s="177">
        <f>G103*H103</f>
        <v/>
      </c>
      <c r="K103" s="31" t="n"/>
      <c r="L103" s="83" t="inlineStr">
        <is>
          <t>same cost up to 400 units. column J = total spend there</t>
        </is>
      </c>
      <c r="M103" s="31" t="n"/>
      <c r="N103" s="307" t="n"/>
      <c r="O103" s="307" t="n"/>
      <c r="P103" s="307" t="n"/>
      <c r="Q103" s="307" t="n"/>
      <c r="R103" s="307" t="n"/>
      <c r="S103" s="307" t="n"/>
      <c r="T103" s="307" t="n"/>
      <c r="U103" s="307" t="n"/>
      <c r="V103" s="307" t="n"/>
      <c r="W103" s="307" t="n"/>
      <c r="X103" s="307" t="n"/>
      <c r="Y103" s="307" t="n"/>
      <c r="Z103" s="307" t="n"/>
      <c r="AA103" s="307" t="n"/>
      <c r="AB103" s="307" t="n"/>
      <c r="AC103" s="307" t="n"/>
      <c r="AD103" s="307" t="n"/>
    </row>
    <row r="104" ht="21.75" customHeight="1" s="349">
      <c r="A104" s="307" t="n"/>
      <c r="B104" s="167" t="inlineStr">
        <is>
          <t>Aftersales and support</t>
        </is>
      </c>
      <c r="C104" s="201" t="inlineStr">
        <is>
          <t>S&amp;M</t>
        </is>
      </c>
      <c r="D104" s="201" t="n"/>
      <c r="E104" s="176" t="n">
        <v>50</v>
      </c>
      <c r="F104" s="307" t="inlineStr">
        <is>
          <t>third party</t>
        </is>
      </c>
      <c r="G104" s="178">
        <f>G103*2</f>
        <v/>
      </c>
      <c r="H104" s="179">
        <f>H103*I104</f>
        <v/>
      </c>
      <c r="I104" s="180" t="n">
        <v>0.9</v>
      </c>
      <c r="J104" s="177">
        <f>G104*H104</f>
        <v/>
      </c>
      <c r="K104" s="31" t="n"/>
      <c r="L104" s="83" t="inlineStr">
        <is>
          <t>units double, cost per unit drops 10%. OPEX looks up this table</t>
        </is>
      </c>
      <c r="M104" s="31" t="n"/>
      <c r="N104" s="307" t="n"/>
      <c r="O104" s="307" t="n"/>
      <c r="P104" s="307" t="n"/>
      <c r="Q104" s="307" t="n"/>
      <c r="R104" s="307" t="n"/>
      <c r="S104" s="307" t="n"/>
      <c r="T104" s="307" t="n"/>
      <c r="U104" s="307" t="n"/>
      <c r="V104" s="307" t="n"/>
      <c r="W104" s="307" t="n"/>
      <c r="X104" s="307" t="n"/>
      <c r="Y104" s="307" t="n"/>
      <c r="Z104" s="307" t="n"/>
      <c r="AA104" s="307" t="n"/>
      <c r="AB104" s="307" t="n"/>
      <c r="AC104" s="307" t="n"/>
      <c r="AD104" s="307" t="n"/>
    </row>
    <row r="105" ht="21.75" customHeight="1" s="349">
      <c r="A105" s="307" t="n"/>
      <c r="B105" s="167" t="n"/>
      <c r="C105" s="31" t="n"/>
      <c r="D105" s="201" t="n"/>
      <c r="E105" s="181" t="n"/>
      <c r="F105" s="307" t="n"/>
      <c r="G105" s="178">
        <f>G104*2</f>
        <v/>
      </c>
      <c r="H105" s="179">
        <f>H104*I105</f>
        <v/>
      </c>
      <c r="I105" s="180" t="n">
        <v>0.9</v>
      </c>
      <c r="J105" s="177">
        <f>G105*H105</f>
        <v/>
      </c>
      <c r="K105" s="31" t="n"/>
      <c r="L105" s="83" t="inlineStr">
        <is>
          <t>units double, cost per unit drops 10%</t>
        </is>
      </c>
      <c r="M105" s="31" t="n"/>
      <c r="N105" s="307" t="n"/>
      <c r="O105" s="307" t="n"/>
      <c r="P105" s="307" t="n"/>
      <c r="Q105" s="307" t="n"/>
      <c r="R105" s="307" t="n"/>
      <c r="S105" s="307" t="n"/>
      <c r="T105" s="307" t="n"/>
      <c r="U105" s="307" t="n"/>
      <c r="V105" s="307" t="n"/>
      <c r="W105" s="307" t="n"/>
      <c r="X105" s="307" t="n"/>
      <c r="Y105" s="307" t="n"/>
      <c r="Z105" s="307" t="n"/>
      <c r="AA105" s="307" t="n"/>
      <c r="AB105" s="307" t="n"/>
      <c r="AC105" s="307" t="n"/>
      <c r="AD105" s="307" t="n"/>
    </row>
    <row r="106" ht="21.75" customHeight="1" s="349">
      <c r="A106" s="307" t="n"/>
      <c r="B106" s="167" t="inlineStr">
        <is>
          <t>Cost per unit sold (cost down driven by volume)</t>
        </is>
      </c>
      <c r="C106" s="31" t="inlineStr">
        <is>
          <t>S&amp;M</t>
        </is>
      </c>
      <c r="D106" s="201" t="inlineStr">
        <is>
          <t>costdown: S(n)=S(1)*n^-b, where b=0,2</t>
        </is>
      </c>
      <c r="E106" s="182">
        <f>SUM(E102:E104)</f>
        <v/>
      </c>
      <c r="F106" s="307" t="inlineStr">
        <is>
          <t>S(1)</t>
        </is>
      </c>
      <c r="G106" s="178">
        <f>G105*2</f>
        <v/>
      </c>
      <c r="H106" s="179">
        <f>H105*I106</f>
        <v/>
      </c>
      <c r="I106" s="180" t="n">
        <v>0.9</v>
      </c>
      <c r="J106" s="177">
        <f>G106*H106</f>
        <v/>
      </c>
      <c r="K106" s="31" t="n"/>
      <c r="L106" s="83" t="inlineStr">
        <is>
          <t>column E adds the three costs above = cost per unit at low volume</t>
        </is>
      </c>
      <c r="M106" s="31" t="n"/>
      <c r="N106" s="307" t="n"/>
      <c r="O106" s="307" t="n"/>
      <c r="P106" s="307" t="n"/>
      <c r="Q106" s="307" t="n"/>
      <c r="R106" s="307" t="n"/>
      <c r="S106" s="307" t="n"/>
      <c r="T106" s="307" t="n"/>
      <c r="U106" s="307" t="n"/>
      <c r="V106" s="307" t="n"/>
      <c r="W106" s="307" t="n"/>
      <c r="X106" s="307" t="n"/>
      <c r="Y106" s="307" t="n"/>
      <c r="Z106" s="307" t="n"/>
      <c r="AA106" s="307" t="n"/>
      <c r="AB106" s="307" t="n"/>
      <c r="AC106" s="307" t="n"/>
      <c r="AD106" s="307" t="n"/>
    </row>
    <row r="107" ht="21.75" customHeight="1" s="349">
      <c r="A107" s="307" t="n"/>
      <c r="B107" s="307" t="n"/>
      <c r="C107" s="183" t="n"/>
      <c r="D107" s="307" t="n"/>
      <c r="E107" s="307" t="n"/>
      <c r="F107" s="307" t="n"/>
      <c r="G107" s="178">
        <f>G106*2</f>
        <v/>
      </c>
      <c r="H107" s="179">
        <f>H106*I107</f>
        <v/>
      </c>
      <c r="I107" s="180" t="n">
        <v>0.9</v>
      </c>
      <c r="J107" s="177">
        <f>G107*H107</f>
        <v/>
      </c>
      <c r="K107" s="31" t="n"/>
      <c r="L107" s="350" t="inlineStr">
        <is>
          <t>units double, cost per unit drops 10%</t>
        </is>
      </c>
      <c r="M107" s="31" t="n"/>
      <c r="N107" s="307" t="n"/>
      <c r="O107" s="307" t="n"/>
      <c r="P107" s="307" t="n"/>
      <c r="Q107" s="307" t="n"/>
      <c r="R107" s="307" t="n"/>
      <c r="S107" s="307" t="n"/>
      <c r="T107" s="307" t="n"/>
      <c r="U107" s="307" t="n"/>
      <c r="V107" s="307" t="n"/>
      <c r="W107" s="307" t="n"/>
      <c r="X107" s="307" t="n"/>
      <c r="Y107" s="307" t="n"/>
      <c r="Z107" s="307" t="n"/>
      <c r="AA107" s="307" t="n"/>
      <c r="AB107" s="307" t="n"/>
      <c r="AC107" s="307" t="n"/>
      <c r="AD107" s="307" t="n"/>
    </row>
    <row r="108" ht="21.75" customHeight="1" s="349">
      <c r="A108" s="307" t="n"/>
      <c r="B108" s="56" t="n"/>
      <c r="C108" s="307" t="n"/>
      <c r="D108" s="307" t="n"/>
      <c r="E108" s="307" t="n"/>
      <c r="F108" s="307" t="n"/>
      <c r="G108" s="178">
        <f>G107*2</f>
        <v/>
      </c>
      <c r="H108" s="179">
        <f>H107*I108</f>
        <v/>
      </c>
      <c r="I108" s="180" t="n">
        <v>0.9</v>
      </c>
      <c r="J108" s="177">
        <f>G108*H108</f>
        <v/>
      </c>
      <c r="K108" s="31" t="n"/>
      <c r="L108" s="350" t="inlineStr">
        <is>
          <t>units double, cost per unit drops 10%</t>
        </is>
      </c>
      <c r="M108" s="31" t="n"/>
      <c r="N108" s="307" t="n"/>
      <c r="O108" s="307" t="n"/>
      <c r="P108" s="307" t="n"/>
      <c r="Q108" s="307" t="n"/>
      <c r="R108" s="307" t="n"/>
      <c r="S108" s="307" t="n"/>
      <c r="T108" s="307" t="n"/>
      <c r="U108" s="307" t="n"/>
      <c r="V108" s="307" t="n"/>
      <c r="W108" s="307" t="n"/>
      <c r="X108" s="307" t="n"/>
      <c r="Y108" s="307" t="n"/>
      <c r="Z108" s="307" t="n"/>
      <c r="AA108" s="307" t="n"/>
      <c r="AB108" s="307" t="n"/>
      <c r="AC108" s="307" t="n"/>
      <c r="AD108" s="307" t="n"/>
    </row>
    <row r="109" ht="21.75" customHeight="1" s="349">
      <c r="A109" s="307" t="n"/>
      <c r="G109" s="184">
        <f>G108*2</f>
        <v/>
      </c>
      <c r="H109" s="185">
        <f>H108*I109</f>
        <v/>
      </c>
      <c r="I109" s="180" t="n">
        <v>0.9</v>
      </c>
      <c r="J109" s="177">
        <f>G109*H109</f>
        <v/>
      </c>
      <c r="K109" s="307" t="n"/>
      <c r="L109" s="350" t="inlineStr">
        <is>
          <t>units double, cost per unit drops 10% (bottom of the table)</t>
        </is>
      </c>
      <c r="M109" s="31" t="n"/>
      <c r="N109" s="307" t="n"/>
      <c r="O109" s="307" t="n"/>
      <c r="P109" s="307" t="n"/>
      <c r="Q109" s="307" t="n"/>
      <c r="R109" s="307" t="n"/>
      <c r="S109" s="307" t="n"/>
      <c r="T109" s="307" t="n"/>
      <c r="U109" s="307" t="n"/>
      <c r="V109" s="307" t="n"/>
      <c r="W109" s="307" t="n"/>
      <c r="X109" s="307" t="n"/>
      <c r="Y109" s="307" t="n"/>
      <c r="Z109" s="307" t="n"/>
      <c r="AA109" s="307" t="n"/>
      <c r="AB109" s="307" t="n"/>
      <c r="AC109" s="307" t="n"/>
      <c r="AD109" s="307" t="n"/>
    </row>
    <row r="110" ht="21.75" customHeight="1" s="349">
      <c r="A110" s="307" t="n"/>
      <c r="K110" s="307" t="n"/>
      <c r="L110" s="350" t="n"/>
      <c r="M110" s="31" t="n"/>
      <c r="N110" s="307" t="n"/>
      <c r="O110" s="307" t="n"/>
      <c r="P110" s="307" t="n"/>
      <c r="Q110" s="307" t="n"/>
      <c r="R110" s="307" t="n"/>
      <c r="S110" s="307" t="n"/>
      <c r="T110" s="307" t="n"/>
      <c r="U110" s="307" t="n"/>
      <c r="V110" s="307" t="n"/>
      <c r="W110" s="307" t="n"/>
      <c r="X110" s="307" t="n"/>
      <c r="Y110" s="307" t="n"/>
      <c r="Z110" s="307" t="n"/>
      <c r="AA110" s="307" t="n"/>
      <c r="AB110" s="307" t="n"/>
      <c r="AC110" s="307" t="n"/>
      <c r="AD110" s="307" t="n"/>
    </row>
    <row r="111" ht="21.75" customHeight="1" s="349">
      <c r="A111" s="307" t="n"/>
      <c r="B111" s="186" t="inlineStr">
        <is>
          <t>Product</t>
        </is>
      </c>
      <c r="C111" s="186" t="inlineStr">
        <is>
          <t>Upsell item</t>
        </is>
      </c>
      <c r="D111" s="186" t="inlineStr">
        <is>
          <t>Type</t>
        </is>
      </c>
      <c r="E111" s="187" t="inlineStr">
        <is>
          <t>Attach %</t>
        </is>
      </c>
      <c r="F111" s="187" t="inlineStr">
        <is>
          <t>Unit rev. (EX VAT)</t>
        </is>
      </c>
      <c r="G111" s="188" t="inlineStr">
        <is>
          <t>Unit COGS</t>
        </is>
      </c>
      <c r="H111" s="188" t="inlineStr">
        <is>
          <t>Gross profit</t>
        </is>
      </c>
      <c r="I111" s="188" t="inlineStr">
        <is>
          <t>avg. Value</t>
        </is>
      </c>
      <c r="J111" s="187" t="inlineStr">
        <is>
          <t>avg. profit</t>
        </is>
      </c>
      <c r="K111" s="307" t="n"/>
      <c r="L111" s="350" t="n"/>
      <c r="M111" s="31" t="n"/>
      <c r="N111" s="307" t="n"/>
      <c r="O111" s="307" t="n"/>
      <c r="P111" s="307" t="n"/>
      <c r="Q111" s="307" t="n"/>
      <c r="R111" s="307" t="n"/>
      <c r="S111" s="307" t="n"/>
      <c r="T111" s="307" t="n"/>
      <c r="U111" s="307" t="n"/>
      <c r="V111" s="307" t="n"/>
      <c r="W111" s="307" t="n"/>
      <c r="X111" s="307" t="n"/>
      <c r="Y111" s="307" t="n"/>
      <c r="Z111" s="307" t="n"/>
      <c r="AA111" s="307" t="n"/>
      <c r="AB111" s="307" t="n"/>
      <c r="AC111" s="307" t="n"/>
      <c r="AD111" s="307" t="n"/>
    </row>
    <row r="112" ht="21.75" customHeight="1" s="349">
      <c r="A112" s="307" t="n"/>
      <c r="B112" s="237" t="inlineStr">
        <is>
          <t>TTK / Combi+</t>
        </is>
      </c>
      <c r="C112" s="237" t="inlineStr">
        <is>
          <t>Boiler variant 50</t>
        </is>
      </c>
      <c r="D112" s="237" t="inlineStr">
        <is>
          <t>One-time</t>
        </is>
      </c>
      <c r="E112" s="191" t="n">
        <v>0.49</v>
      </c>
      <c r="F112" s="192" t="n">
        <v>165.29</v>
      </c>
      <c r="G112" s="192" t="n">
        <v>80</v>
      </c>
      <c r="H112" s="193">
        <f>F112-G112</f>
        <v/>
      </c>
      <c r="I112" s="194">
        <f>F112*E112</f>
        <v/>
      </c>
      <c r="J112" s="195">
        <f>H112*E112</f>
        <v/>
      </c>
      <c r="K112" s="307" t="n"/>
      <c r="L112" s="350" t="inlineStr">
        <is>
          <t>profit per upsell, then the average per heat pump after attach %</t>
        </is>
      </c>
      <c r="M112" s="31" t="n"/>
      <c r="N112" s="307" t="n"/>
      <c r="O112" s="307" t="n"/>
      <c r="P112" s="307" t="n"/>
      <c r="Q112" s="307" t="n"/>
      <c r="R112" s="307" t="n"/>
      <c r="S112" s="307" t="n"/>
      <c r="T112" s="307" t="n"/>
      <c r="U112" s="307" t="n"/>
      <c r="V112" s="307" t="n"/>
      <c r="W112" s="307" t="n"/>
      <c r="X112" s="307" t="n"/>
      <c r="Y112" s="307" t="n"/>
      <c r="Z112" s="307" t="n"/>
      <c r="AA112" s="307" t="n"/>
      <c r="AB112" s="307" t="n"/>
      <c r="AC112" s="307" t="n"/>
      <c r="AD112" s="307" t="n"/>
    </row>
    <row r="113" ht="21.75" customHeight="1" s="349">
      <c r="A113" s="307" t="n"/>
      <c r="B113" s="237" t="inlineStr">
        <is>
          <t>TTK / Combi+</t>
        </is>
      </c>
      <c r="C113" s="237" t="inlineStr">
        <is>
          <t>Boiler variant 100</t>
        </is>
      </c>
      <c r="D113" s="237" t="inlineStr">
        <is>
          <t>One-time</t>
        </is>
      </c>
      <c r="E113" s="191" t="n">
        <v>0.19</v>
      </c>
      <c r="F113" s="192" t="n">
        <v>330.58</v>
      </c>
      <c r="G113" s="192" t="n">
        <v>150</v>
      </c>
      <c r="H113" s="193">
        <f>F113-G113</f>
        <v/>
      </c>
      <c r="I113" s="194">
        <f>F113*E113</f>
        <v/>
      </c>
      <c r="J113" s="195">
        <f>H113*E113</f>
        <v/>
      </c>
      <c r="K113" s="307" t="n"/>
      <c r="L113" s="350" t="inlineStr">
        <is>
          <t>profit per upsell, then the average per heat pump after attach %</t>
        </is>
      </c>
      <c r="M113" s="31" t="n"/>
      <c r="N113" s="307" t="n"/>
      <c r="O113" s="307" t="n"/>
      <c r="P113" s="307" t="n"/>
      <c r="Q113" s="307" t="n"/>
      <c r="R113" s="307" t="n"/>
      <c r="S113" s="307" t="n"/>
      <c r="T113" s="307" t="n"/>
      <c r="U113" s="307" t="n"/>
      <c r="V113" s="307" t="n"/>
      <c r="W113" s="307" t="n"/>
      <c r="X113" s="307" t="n"/>
      <c r="Y113" s="307" t="n"/>
      <c r="Z113" s="307" t="n"/>
      <c r="AA113" s="307" t="n"/>
      <c r="AB113" s="307" t="n"/>
      <c r="AC113" s="307" t="n"/>
      <c r="AD113" s="307" t="n"/>
    </row>
    <row r="114" ht="21.75" customHeight="1" s="349">
      <c r="A114" s="307" t="n"/>
      <c r="B114" s="237" t="inlineStr">
        <is>
          <t>TTK / Combi+</t>
        </is>
      </c>
      <c r="C114" s="237" t="inlineStr">
        <is>
          <t>Sound reduction</t>
        </is>
      </c>
      <c r="D114" s="237" t="inlineStr">
        <is>
          <t>One-time</t>
        </is>
      </c>
      <c r="E114" s="191" t="n">
        <v>0.79</v>
      </c>
      <c r="F114" s="192" t="n">
        <v>454.55</v>
      </c>
      <c r="G114" s="192" t="n">
        <v>190</v>
      </c>
      <c r="H114" s="193">
        <f>F114-G114</f>
        <v/>
      </c>
      <c r="I114" s="194">
        <f>F114*E114</f>
        <v/>
      </c>
      <c r="J114" s="195">
        <f>H114*E114</f>
        <v/>
      </c>
      <c r="K114" s="307" t="n"/>
      <c r="L114" s="350" t="inlineStr">
        <is>
          <t>profit per upsell, then the average per heat pump after attach %</t>
        </is>
      </c>
      <c r="M114" s="31" t="n"/>
      <c r="N114" s="307" t="n"/>
      <c r="O114" s="307" t="n"/>
      <c r="P114" s="307" t="n"/>
      <c r="Q114" s="307" t="n"/>
      <c r="R114" s="307" t="n"/>
      <c r="S114" s="307" t="n"/>
      <c r="T114" s="307" t="n"/>
      <c r="U114" s="307" t="n"/>
      <c r="V114" s="307" t="n"/>
      <c r="W114" s="307" t="n"/>
      <c r="X114" s="307" t="n"/>
      <c r="Y114" s="307" t="n"/>
      <c r="Z114" s="307" t="n"/>
      <c r="AA114" s="307" t="n"/>
      <c r="AB114" s="307" t="n"/>
      <c r="AC114" s="307" t="n"/>
      <c r="AD114" s="307" t="n"/>
    </row>
    <row r="115" ht="21.75" customHeight="1" s="349">
      <c r="A115" s="307" t="n"/>
      <c r="B115" s="200" t="inlineStr">
        <is>
          <t>Upsell basket subtotal (per unit) — applies to TTK and Combi+</t>
        </is>
      </c>
      <c r="D115" s="197" t="n"/>
      <c r="E115" s="198" t="n"/>
      <c r="F115" s="177">
        <f>SUMPRODUCT(E112:E114,F112:F114)</f>
        <v/>
      </c>
      <c r="G115" s="177" t="n"/>
      <c r="H115" s="199" t="n"/>
      <c r="I115" s="199">
        <f>sum(I112:I114)</f>
        <v/>
      </c>
      <c r="J115" s="199">
        <f>sum(J112:J114)</f>
        <v/>
      </c>
      <c r="K115" s="307" t="n"/>
      <c r="L115" s="350" t="inlineStr">
        <is>
          <t>average upsell revenue per unit sold, weighted by attach %</t>
        </is>
      </c>
      <c r="M115" s="31" t="n"/>
      <c r="N115" s="307" t="n"/>
      <c r="O115" s="307" t="n"/>
      <c r="P115" s="307" t="n"/>
      <c r="Q115" s="307" t="n"/>
      <c r="R115" s="307" t="n"/>
      <c r="S115" s="307" t="n"/>
      <c r="T115" s="307" t="n"/>
      <c r="U115" s="307" t="n"/>
      <c r="V115" s="307" t="n"/>
      <c r="W115" s="307" t="n"/>
      <c r="X115" s="307" t="n"/>
      <c r="Y115" s="307" t="n"/>
      <c r="Z115" s="307" t="n"/>
      <c r="AA115" s="307" t="n"/>
      <c r="AB115" s="307" t="n"/>
      <c r="AC115" s="307" t="n"/>
      <c r="AD115" s="307" t="n"/>
    </row>
    <row r="116" ht="21.75" customHeight="1" s="349">
      <c r="A116" s="307" t="n"/>
      <c r="B116" s="200" t="n"/>
      <c r="C116" s="200" t="n"/>
      <c r="D116" s="197" t="n"/>
      <c r="E116" s="198" t="n"/>
      <c r="F116" s="177" t="n"/>
      <c r="G116" s="177" t="n"/>
      <c r="H116" s="199" t="n"/>
      <c r="I116" s="199" t="n"/>
      <c r="J116" s="199" t="n"/>
      <c r="K116" s="307" t="n"/>
      <c r="L116" s="350" t="n"/>
      <c r="M116" s="31" t="n"/>
      <c r="N116" s="307" t="n"/>
      <c r="O116" s="307" t="n"/>
      <c r="P116" s="307" t="n"/>
      <c r="Q116" s="307" t="n"/>
      <c r="R116" s="307" t="n"/>
      <c r="S116" s="307" t="n"/>
      <c r="T116" s="307" t="n"/>
      <c r="U116" s="307" t="n"/>
      <c r="V116" s="307" t="n"/>
      <c r="W116" s="307" t="n"/>
      <c r="X116" s="307" t="n"/>
      <c r="Y116" s="307" t="n"/>
      <c r="Z116" s="307" t="n"/>
      <c r="AA116" s="307" t="n"/>
      <c r="AB116" s="307" t="n"/>
      <c r="AC116" s="307" t="n"/>
      <c r="AD116" s="307" t="n"/>
    </row>
    <row r="117" ht="21.75" customHeight="1" s="349">
      <c r="A117" s="31" t="n"/>
      <c r="B117" s="201" t="inlineStr">
        <is>
          <t>Turbine Heat Pump</t>
        </is>
      </c>
      <c r="C117" s="201" t="inlineStr">
        <is>
          <t>Basic service contract</t>
        </is>
      </c>
      <c r="D117" s="201" t="inlineStr">
        <is>
          <t>Service contract (yearly)</t>
        </is>
      </c>
      <c r="E117" s="191" t="n">
        <v>0.34</v>
      </c>
      <c r="F117" s="192" t="n">
        <v>60</v>
      </c>
      <c r="G117" s="192" t="n">
        <v>30</v>
      </c>
      <c r="H117" s="202">
        <f>F117-G117</f>
        <v/>
      </c>
      <c r="I117" s="195">
        <f>F117*E117</f>
        <v/>
      </c>
      <c r="J117" s="195">
        <f>H117*E117</f>
        <v/>
      </c>
      <c r="K117" s="31" t="n"/>
      <c r="L117" s="350" t="inlineStr">
        <is>
          <t>yearly service fee and cost, times the share who sign up</t>
        </is>
      </c>
      <c r="M117" s="31" t="n"/>
      <c r="N117" s="31" t="n"/>
      <c r="O117" s="31" t="n"/>
      <c r="P117" s="31" t="n"/>
      <c r="Q117" s="31" t="n"/>
      <c r="R117" s="31" t="n"/>
      <c r="S117" s="31" t="n"/>
      <c r="T117" s="31" t="n"/>
      <c r="U117" s="31" t="n"/>
      <c r="V117" s="31" t="n"/>
      <c r="W117" s="31" t="n"/>
      <c r="X117" s="31" t="n"/>
      <c r="Y117" s="31" t="n"/>
      <c r="Z117" s="31" t="n"/>
      <c r="AA117" s="31" t="n"/>
      <c r="AB117" s="31" t="n"/>
      <c r="AC117" s="31" t="n"/>
      <c r="AD117" s="31" t="n"/>
    </row>
    <row r="118" ht="21.75" customHeight="1" s="349">
      <c r="A118" s="307" t="n"/>
      <c r="B118" s="237" t="inlineStr">
        <is>
          <t>Turbine Heat Pump</t>
        </is>
      </c>
      <c r="C118" s="237" t="inlineStr">
        <is>
          <t>Premium service contract</t>
        </is>
      </c>
      <c r="D118" s="237" t="inlineStr">
        <is>
          <t>Service contract (yearly)</t>
        </is>
      </c>
      <c r="E118" s="191" t="n">
        <v>0.54</v>
      </c>
      <c r="F118" s="192" t="n">
        <v>90</v>
      </c>
      <c r="G118" s="192" t="n">
        <v>40</v>
      </c>
      <c r="H118" s="193">
        <f>F118-G118</f>
        <v/>
      </c>
      <c r="I118" s="194">
        <f>F118*E118</f>
        <v/>
      </c>
      <c r="J118" s="195">
        <f>H118*E118</f>
        <v/>
      </c>
      <c r="K118" s="307" t="n"/>
      <c r="L118" s="350" t="inlineStr">
        <is>
          <t>yearly service fee and cost, times the share who sign up</t>
        </is>
      </c>
      <c r="M118" s="31" t="n"/>
      <c r="N118" s="307" t="n"/>
      <c r="O118" s="307" t="n"/>
      <c r="P118" s="307" t="n"/>
      <c r="Q118" s="307" t="n"/>
      <c r="R118" s="307" t="n"/>
      <c r="S118" s="307" t="n"/>
      <c r="T118" s="307" t="n"/>
      <c r="U118" s="307" t="n"/>
      <c r="V118" s="307" t="n"/>
      <c r="W118" s="307" t="n"/>
      <c r="X118" s="307" t="n"/>
      <c r="Y118" s="307" t="n"/>
      <c r="Z118" s="307" t="n"/>
      <c r="AA118" s="307" t="n"/>
      <c r="AB118" s="307" t="n"/>
      <c r="AC118" s="307" t="n"/>
      <c r="AD118" s="307" t="n"/>
    </row>
    <row r="119" ht="21.75" customHeight="1" s="349">
      <c r="A119" s="307" t="n"/>
      <c r="D119" s="197" t="n"/>
      <c r="E119" s="197" t="n"/>
      <c r="F119" s="204" t="n"/>
      <c r="G119" s="204" t="n"/>
      <c r="K119" s="307" t="n"/>
      <c r="L119" s="350" t="n"/>
      <c r="M119" s="31" t="n"/>
      <c r="N119" s="307" t="n"/>
      <c r="O119" s="307" t="n"/>
      <c r="P119" s="307" t="n"/>
      <c r="Q119" s="307" t="n"/>
      <c r="R119" s="307" t="n"/>
      <c r="S119" s="307" t="n"/>
      <c r="T119" s="307" t="n"/>
      <c r="U119" s="307" t="n"/>
      <c r="V119" s="307" t="n"/>
      <c r="W119" s="307" t="n"/>
      <c r="X119" s="307" t="n"/>
      <c r="Y119" s="307" t="n"/>
      <c r="Z119" s="307" t="n"/>
      <c r="AA119" s="307" t="n"/>
      <c r="AB119" s="307" t="n"/>
      <c r="AC119" s="307" t="n"/>
      <c r="AD119" s="307" t="n"/>
    </row>
    <row r="120" ht="21.75" customHeight="1" s="349">
      <c r="A120" s="307" t="n"/>
      <c r="B120" s="237" t="inlineStr">
        <is>
          <t>Combi+</t>
        </is>
      </c>
      <c r="C120" s="237" t="inlineStr">
        <is>
          <t>Basic service contract</t>
        </is>
      </c>
      <c r="D120" s="237" t="inlineStr">
        <is>
          <t>Service contract (yearly)</t>
        </is>
      </c>
      <c r="E120" s="191" t="n">
        <v>0.34</v>
      </c>
      <c r="F120" s="192" t="n">
        <v>150</v>
      </c>
      <c r="G120" s="192" t="n">
        <v>75</v>
      </c>
      <c r="H120" s="193">
        <f>F120-G120</f>
        <v/>
      </c>
      <c r="I120" s="194">
        <f>F120*E120</f>
        <v/>
      </c>
      <c r="J120" s="195">
        <f>H120*E120</f>
        <v/>
      </c>
      <c r="K120" s="307" t="n"/>
      <c r="L120" s="350" t="inlineStr">
        <is>
          <t>Combi+ service fee and cost, times the share who sign up</t>
        </is>
      </c>
      <c r="M120" s="31" t="n"/>
      <c r="N120" s="307" t="n"/>
      <c r="O120" s="307" t="n"/>
      <c r="P120" s="307" t="n"/>
      <c r="Q120" s="307" t="n"/>
      <c r="R120" s="307" t="n"/>
      <c r="S120" s="307" t="n"/>
      <c r="T120" s="307" t="n"/>
      <c r="U120" s="307" t="n"/>
      <c r="V120" s="307" t="n"/>
      <c r="W120" s="307" t="n"/>
      <c r="X120" s="307" t="n"/>
      <c r="Y120" s="307" t="n"/>
      <c r="Z120" s="307" t="n"/>
      <c r="AA120" s="307" t="n"/>
      <c r="AB120" s="307" t="n"/>
      <c r="AC120" s="307" t="n"/>
      <c r="AD120" s="307" t="n"/>
    </row>
    <row r="121" ht="21.75" customHeight="1" s="349">
      <c r="A121" s="307" t="n"/>
      <c r="B121" s="237" t="inlineStr">
        <is>
          <t>Combi+</t>
        </is>
      </c>
      <c r="C121" s="237" t="inlineStr">
        <is>
          <t>Premium service contract</t>
        </is>
      </c>
      <c r="D121" s="237" t="inlineStr">
        <is>
          <t>Service contract (yearly)</t>
        </is>
      </c>
      <c r="E121" s="191" t="n">
        <v>0.54</v>
      </c>
      <c r="F121" s="192" t="n">
        <v>200</v>
      </c>
      <c r="G121" s="192" t="n">
        <v>100</v>
      </c>
      <c r="H121" s="193">
        <f>F121-G121</f>
        <v/>
      </c>
      <c r="I121" s="194">
        <f>F121*E121</f>
        <v/>
      </c>
      <c r="J121" s="195">
        <f>H121*E121</f>
        <v/>
      </c>
      <c r="K121" s="307" t="n"/>
      <c r="L121" s="350" t="inlineStr">
        <is>
          <t>Combi+ service fee and cost, times the share who sign up</t>
        </is>
      </c>
      <c r="M121" s="31" t="n"/>
      <c r="N121" s="307" t="n"/>
      <c r="O121" s="307" t="n"/>
      <c r="P121" s="307" t="n"/>
      <c r="Q121" s="307" t="n"/>
      <c r="R121" s="307" t="n"/>
      <c r="S121" s="307" t="n"/>
      <c r="T121" s="307" t="n"/>
      <c r="U121" s="307" t="n"/>
      <c r="V121" s="307" t="n"/>
      <c r="W121" s="307" t="n"/>
      <c r="X121" s="307" t="n"/>
      <c r="Y121" s="307" t="n"/>
      <c r="Z121" s="307" t="n"/>
      <c r="AA121" s="307" t="n"/>
      <c r="AB121" s="307" t="n"/>
      <c r="AC121" s="307" t="n"/>
      <c r="AD121" s="307" t="n"/>
    </row>
    <row r="122" ht="21.75" customHeight="1" s="349">
      <c r="A122" s="307" t="n"/>
      <c r="B122" s="56" t="n"/>
      <c r="C122" s="307" t="n"/>
      <c r="D122" s="307" t="n"/>
      <c r="E122" s="307" t="n"/>
      <c r="F122" s="307" t="n"/>
      <c r="G122" s="307" t="n"/>
      <c r="H122" s="31" t="n"/>
      <c r="I122" s="31" t="n"/>
      <c r="J122" s="31" t="n"/>
      <c r="K122" s="31" t="n"/>
      <c r="L122" s="31" t="n"/>
      <c r="M122" s="31" t="n"/>
      <c r="N122" s="307" t="n"/>
      <c r="O122" s="307" t="n"/>
      <c r="P122" s="307" t="n"/>
      <c r="Q122" s="307" t="n"/>
      <c r="R122" s="307" t="n"/>
      <c r="S122" s="307" t="n"/>
      <c r="T122" s="307" t="n"/>
      <c r="U122" s="307" t="n"/>
      <c r="V122" s="307" t="n"/>
      <c r="W122" s="307" t="n"/>
      <c r="X122" s="307" t="n"/>
      <c r="Y122" s="307" t="n"/>
      <c r="Z122" s="307" t="n"/>
      <c r="AA122" s="307" t="n"/>
      <c r="AB122" s="307" t="n"/>
      <c r="AC122" s="307" t="n"/>
      <c r="AD122" s="307" t="n"/>
    </row>
    <row r="123" ht="21.75" customHeight="1" s="349">
      <c r="A123" s="307" t="n"/>
      <c r="B123" s="140" t="inlineStr">
        <is>
          <t>CAPEX &amp; DEPRECIATION</t>
        </is>
      </c>
      <c r="H123" s="31" t="n"/>
      <c r="I123" s="31" t="n"/>
      <c r="J123" s="31" t="n"/>
      <c r="K123" s="31" t="n"/>
      <c r="L123" s="31" t="n"/>
      <c r="M123" s="31" t="n"/>
      <c r="N123" s="307" t="n"/>
      <c r="O123" s="307" t="n"/>
      <c r="P123" s="307" t="n"/>
      <c r="Q123" s="307" t="n"/>
      <c r="R123" s="307" t="n"/>
      <c r="S123" s="307" t="n"/>
      <c r="T123" s="307" t="n"/>
      <c r="U123" s="307" t="n"/>
      <c r="V123" s="307" t="n"/>
      <c r="W123" s="307" t="n"/>
      <c r="X123" s="307" t="n"/>
      <c r="Y123" s="307" t="n"/>
      <c r="Z123" s="307" t="n"/>
      <c r="AA123" s="307" t="n"/>
      <c r="AB123" s="307" t="n"/>
      <c r="AC123" s="307" t="n"/>
      <c r="AD123" s="307" t="n"/>
    </row>
    <row r="124" ht="21.75" customHeight="1" s="349">
      <c r="A124" s="307" t="n"/>
      <c r="B124" s="153" t="inlineStr">
        <is>
          <t>Year</t>
        </is>
      </c>
      <c r="C124" s="307" t="n"/>
      <c r="D124" s="307" t="n">
        <v>2027</v>
      </c>
      <c r="E124" s="307" t="n">
        <v>2028</v>
      </c>
      <c r="F124" s="307" t="n">
        <v>2029</v>
      </c>
      <c r="G124" s="307" t="n">
        <v>2030</v>
      </c>
      <c r="H124" s="31" t="n"/>
      <c r="I124" s="31" t="n"/>
      <c r="J124" s="31" t="n"/>
      <c r="K124" s="31" t="n"/>
      <c r="L124" s="31" t="n"/>
      <c r="M124" s="31" t="n"/>
      <c r="N124" s="307" t="n"/>
      <c r="O124" s="307" t="n"/>
      <c r="P124" s="307" t="n"/>
      <c r="Q124" s="307" t="n"/>
      <c r="R124" s="307" t="n"/>
      <c r="S124" s="307" t="n"/>
      <c r="T124" s="307" t="n"/>
      <c r="U124" s="307" t="n"/>
      <c r="V124" s="307" t="n"/>
      <c r="W124" s="307" t="n"/>
      <c r="X124" s="307" t="n"/>
      <c r="Y124" s="307" t="n"/>
      <c r="Z124" s="307" t="n"/>
      <c r="AA124" s="307" t="n"/>
      <c r="AB124" s="307" t="n"/>
      <c r="AC124" s="307" t="n"/>
      <c r="AD124" s="307" t="n"/>
    </row>
    <row r="125" ht="21.75" customHeight="1" s="349">
      <c r="A125" s="307" t="n"/>
      <c r="B125" s="153" t="inlineStr">
        <is>
          <t>In-house line capex (per line, at order date)</t>
        </is>
      </c>
      <c r="C125" s="307" t="n"/>
      <c r="D125" s="355">
        <f>(IF(YEAR(EDATE(Assumptions!$F$173,-Assumptions!$F$178))=D124,1,0)+IF(YEAR(EDATE(Assumptions!$F$174,-Assumptions!$F$178))=D124,1,0))*Assumptions!$F$176</f>
        <v/>
      </c>
      <c r="E125" s="355">
        <f>(IF(YEAR(EDATE(Assumptions!$F$173,-Assumptions!$F$178))=E124,1,0)+IF(YEAR(EDATE(Assumptions!$F$174,-Assumptions!$F$178))=E124,1,0))*Assumptions!$F$176</f>
        <v/>
      </c>
      <c r="F125" s="355">
        <f>(IF(YEAR(EDATE(Assumptions!$F$173,-Assumptions!$F$178))=F124,1,0)+IF(YEAR(EDATE(Assumptions!$F$174,-Assumptions!$F$178))=F124,1,0))*Assumptions!$F$176</f>
        <v/>
      </c>
      <c r="G125" s="355">
        <f>(IF(YEAR(EDATE(Assumptions!$F$173,-Assumptions!$F$178))=G124,1,0)+IF(YEAR(EDATE(Assumptions!$F$174,-Assumptions!$F$178))=G124,1,0))*Assumptions!$F$176</f>
        <v/>
      </c>
      <c r="H125" s="31" t="n"/>
      <c r="I125" s="31" t="n"/>
      <c r="J125" s="31" t="n"/>
      <c r="K125" s="31" t="n"/>
      <c r="L125" s="350" t="inlineStr">
        <is>
          <t>a line is paid for when it is ordered, which is the lead time before it can build anything</t>
        </is>
      </c>
      <c r="M125" s="31" t="n"/>
      <c r="N125" s="307" t="n"/>
      <c r="O125" s="307" t="n"/>
      <c r="P125" s="307" t="n"/>
      <c r="Q125" s="307" t="n"/>
      <c r="R125" s="307" t="n"/>
      <c r="S125" s="307" t="n"/>
      <c r="T125" s="307" t="n"/>
      <c r="U125" s="307" t="n"/>
      <c r="V125" s="307" t="n"/>
      <c r="W125" s="307" t="n"/>
      <c r="X125" s="307" t="n"/>
      <c r="Y125" s="307" t="n"/>
      <c r="Z125" s="307" t="n"/>
      <c r="AA125" s="307" t="n"/>
      <c r="AB125" s="307" t="n"/>
      <c r="AC125" s="307" t="n"/>
      <c r="AD125" s="307" t="n"/>
    </row>
    <row r="126" ht="21.75" customHeight="1" s="349">
      <c r="A126" s="307" t="n"/>
      <c r="B126" s="153" t="inlineStr">
        <is>
          <t>Tooling &amp; automation (one-off, with line 1)</t>
        </is>
      </c>
      <c r="C126" s="307" t="n"/>
      <c r="D126" s="355">
        <f>IF(YEAR(EDATE(Assumptions!$F$173,-Assumptions!$F$178))=D124,Assumptions!$F$177,0)</f>
        <v/>
      </c>
      <c r="E126" s="355">
        <f>IF(YEAR(EDATE(Assumptions!$F$173,-Assumptions!$F$178))=E124,Assumptions!$F$177,0)</f>
        <v/>
      </c>
      <c r="F126" s="355">
        <f>IF(YEAR(EDATE(Assumptions!$F$173,-Assumptions!$F$178))=F124,Assumptions!$F$177,0)</f>
        <v/>
      </c>
      <c r="G126" s="355">
        <f>IF(YEAR(EDATE(Assumptions!$F$173,-Assumptions!$F$178))=G124,Assumptions!$F$177,0)</f>
        <v/>
      </c>
      <c r="H126" s="31" t="n"/>
      <c r="I126" s="31" t="n"/>
      <c r="J126" s="31" t="n"/>
      <c r="K126" s="31" t="n"/>
      <c r="L126" s="350" t="inlineStr">
        <is>
          <t>2.5m fit-out; partner builds until stage 1 is live</t>
        </is>
      </c>
      <c r="M126" s="31" t="n"/>
      <c r="N126" s="307" t="n"/>
      <c r="O126" s="307" t="n"/>
      <c r="P126" s="307" t="n"/>
      <c r="Q126" s="307" t="n"/>
      <c r="R126" s="307" t="n"/>
      <c r="S126" s="307" t="n"/>
      <c r="T126" s="307" t="n"/>
      <c r="U126" s="307" t="n"/>
      <c r="V126" s="307" t="n"/>
      <c r="W126" s="307" t="n"/>
      <c r="X126" s="307" t="n"/>
      <c r="Y126" s="307" t="n"/>
      <c r="Z126" s="307" t="n"/>
      <c r="AA126" s="307" t="n"/>
      <c r="AB126" s="307" t="n"/>
      <c r="AC126" s="307" t="n"/>
      <c r="AD126" s="307" t="n"/>
    </row>
    <row r="127" ht="21.75" customHeight="1" s="349">
      <c r="A127" s="307" t="n"/>
      <c r="B127" s="153" t="inlineStr">
        <is>
          <t>Total capex</t>
        </is>
      </c>
      <c r="C127" s="307" t="n"/>
      <c r="D127" s="355">
        <f>D125+D126</f>
        <v/>
      </c>
      <c r="E127" s="355">
        <f>E125+E126</f>
        <v/>
      </c>
      <c r="F127" s="355">
        <f>F125+F126</f>
        <v/>
      </c>
      <c r="G127" s="355">
        <f>G125+G126</f>
        <v/>
      </c>
      <c r="H127" s="31" t="n"/>
      <c r="I127" s="31" t="n"/>
      <c r="J127" s="31" t="n"/>
      <c r="K127" s="31" t="n"/>
      <c r="L127" s="350" t="inlineStr">
        <is>
          <t>what the model actually spends — driven entirely by the in-house line dates</t>
        </is>
      </c>
      <c r="M127" s="31" t="n"/>
      <c r="N127" s="307" t="n"/>
      <c r="O127" s="307" t="n"/>
      <c r="P127" s="307" t="n"/>
      <c r="Q127" s="307" t="n"/>
      <c r="R127" s="307" t="n"/>
      <c r="S127" s="307" t="n"/>
      <c r="T127" s="307" t="n"/>
      <c r="U127" s="307" t="n"/>
      <c r="V127" s="307" t="n"/>
      <c r="W127" s="307" t="n"/>
      <c r="X127" s="307" t="n"/>
      <c r="Y127" s="307" t="n"/>
      <c r="Z127" s="307" t="n"/>
      <c r="AA127" s="307" t="n"/>
      <c r="AB127" s="307" t="n"/>
      <c r="AC127" s="307" t="n"/>
      <c r="AD127" s="307" t="n"/>
    </row>
    <row r="128" ht="21.75" customHeight="1" s="349">
      <c r="A128" s="307" t="n"/>
      <c r="B128" s="153" t="inlineStr">
        <is>
          <t>Useful life (years, blended)</t>
        </is>
      </c>
      <c r="C128" s="307" t="n"/>
      <c r="D128" s="64" t="n">
        <v>8</v>
      </c>
      <c r="E128" s="307" t="n"/>
      <c r="F128" s="307" t="n"/>
      <c r="G128" s="307" t="n"/>
      <c r="H128" s="31" t="n"/>
      <c r="I128" s="31" t="n"/>
      <c r="J128" s="31" t="n"/>
      <c r="K128" s="31" t="n"/>
      <c r="L128" s="350" t="inlineStr">
        <is>
          <t>straight line, blended across tooling and building</t>
        </is>
      </c>
      <c r="M128" s="31" t="n"/>
      <c r="N128" s="307" t="n"/>
      <c r="O128" s="307" t="n"/>
      <c r="P128" s="307" t="n"/>
      <c r="Q128" s="307" t="n"/>
      <c r="R128" s="307" t="n"/>
      <c r="S128" s="307" t="n"/>
      <c r="T128" s="307" t="n"/>
      <c r="U128" s="307" t="n"/>
      <c r="V128" s="307" t="n"/>
      <c r="W128" s="307" t="n"/>
      <c r="X128" s="307" t="n"/>
      <c r="Y128" s="307" t="n"/>
      <c r="Z128" s="307" t="n"/>
      <c r="AA128" s="307" t="n"/>
      <c r="AB128" s="307" t="n"/>
      <c r="AC128" s="307" t="n"/>
      <c r="AD128" s="307" t="n"/>
    </row>
    <row r="129" ht="21.75" customHeight="1" s="349">
      <c r="A129" s="307" t="n"/>
      <c r="B129" s="56" t="n"/>
      <c r="C129" s="307" t="n"/>
      <c r="D129" s="307" t="n"/>
      <c r="E129" s="307" t="n"/>
      <c r="F129" s="307" t="n"/>
      <c r="G129" s="307" t="n"/>
      <c r="H129" s="31" t="n"/>
      <c r="I129" s="31" t="n"/>
      <c r="J129" s="31" t="n"/>
      <c r="K129" s="31" t="n"/>
      <c r="L129" s="31" t="n"/>
      <c r="M129" s="31" t="n"/>
      <c r="N129" s="307" t="n"/>
      <c r="O129" s="307" t="n"/>
      <c r="P129" s="307" t="n"/>
      <c r="Q129" s="307" t="n"/>
      <c r="R129" s="307" t="n"/>
      <c r="S129" s="307" t="n"/>
      <c r="T129" s="307" t="n"/>
      <c r="U129" s="307" t="n"/>
      <c r="V129" s="307" t="n"/>
      <c r="W129" s="307" t="n"/>
      <c r="X129" s="307" t="n"/>
      <c r="Y129" s="307" t="n"/>
      <c r="Z129" s="307" t="n"/>
      <c r="AA129" s="307" t="n"/>
      <c r="AB129" s="307" t="n"/>
      <c r="AC129" s="307" t="n"/>
      <c r="AD129" s="307" t="n"/>
    </row>
    <row r="130" ht="21.75" customHeight="1" s="349">
      <c r="A130" s="307" t="n"/>
      <c r="B130" s="140" t="inlineStr">
        <is>
          <t>GROWTH ENGINE DRIVERS</t>
        </is>
      </c>
      <c r="H130" s="31" t="n"/>
      <c r="I130" s="31" t="n"/>
      <c r="J130" s="31" t="n"/>
      <c r="K130" s="31" t="n"/>
      <c r="L130" s="31" t="n"/>
      <c r="M130" s="31" t="n"/>
      <c r="N130" s="307" t="n"/>
      <c r="O130" s="307" t="n"/>
      <c r="P130" s="307" t="n"/>
      <c r="Q130" s="307" t="n"/>
      <c r="R130" s="307" t="n"/>
      <c r="S130" s="307" t="n"/>
      <c r="T130" s="307" t="n"/>
      <c r="U130" s="307" t="n"/>
      <c r="V130" s="307" t="n"/>
      <c r="W130" s="307" t="n"/>
      <c r="X130" s="307" t="n"/>
      <c r="Y130" s="307" t="n"/>
      <c r="Z130" s="307" t="n"/>
      <c r="AA130" s="307" t="n"/>
      <c r="AB130" s="307" t="n"/>
      <c r="AC130" s="307" t="n"/>
      <c r="AD130" s="307" t="n"/>
    </row>
    <row r="131" ht="21.75" customHeight="1" s="349">
      <c r="A131" s="307" t="n"/>
      <c r="B131" s="153" t="inlineStr">
        <is>
          <t>Driver</t>
        </is>
      </c>
      <c r="C131" s="153" t="inlineStr">
        <is>
          <t>Unit</t>
        </is>
      </c>
      <c r="D131" s="153" t="inlineStr">
        <is>
          <t>Base</t>
        </is>
      </c>
      <c r="E131" s="153" t="inlineStr">
        <is>
          <t>Aggressive</t>
        </is>
      </c>
      <c r="F131" s="153" t="inlineStr">
        <is>
          <t>LIVE (per case)</t>
        </is>
      </c>
      <c r="G131" s="307" t="n"/>
      <c r="H131" s="31" t="n"/>
      <c r="I131" s="31" t="n"/>
      <c r="J131" s="31" t="n"/>
      <c r="K131" s="31" t="n"/>
      <c r="L131" s="31" t="n"/>
      <c r="M131" s="31" t="n"/>
      <c r="N131" s="307" t="n"/>
      <c r="O131" s="307" t="n"/>
      <c r="P131" s="307" t="n"/>
      <c r="Q131" s="307" t="n"/>
      <c r="R131" s="307" t="n"/>
      <c r="S131" s="307" t="n"/>
      <c r="T131" s="307" t="n"/>
      <c r="U131" s="307" t="n"/>
      <c r="V131" s="307" t="n"/>
      <c r="W131" s="307" t="n"/>
      <c r="X131" s="307" t="n"/>
      <c r="Y131" s="307" t="n"/>
      <c r="Z131" s="307" t="n"/>
      <c r="AA131" s="307" t="n"/>
      <c r="AB131" s="307" t="n"/>
      <c r="AC131" s="307" t="n"/>
      <c r="AD131" s="307" t="n"/>
    </row>
    <row r="132" ht="21.75" customHeight="1" s="349">
      <c r="A132" s="307" t="n"/>
      <c r="B132" s="356" t="inlineStr">
        <is>
          <t>MARKET  —  the TAM is the gas-boiler REPLACEMENT market, not the heat-pump market</t>
        </is>
      </c>
      <c r="C132" s="307" t="n"/>
      <c r="D132" s="307" t="n"/>
      <c r="E132" s="307" t="n"/>
      <c r="F132" s="307" t="n"/>
      <c r="G132" s="307" t="n"/>
      <c r="H132" s="31" t="n"/>
      <c r="I132" s="31" t="n"/>
      <c r="J132" s="31" t="n"/>
      <c r="K132" s="31" t="n"/>
      <c r="L132" s="31" t="n"/>
      <c r="M132" s="31" t="n"/>
      <c r="N132" s="307" t="n"/>
      <c r="O132" s="307" t="n"/>
      <c r="P132" s="307" t="n"/>
      <c r="Q132" s="307" t="n"/>
      <c r="R132" s="307" t="n"/>
      <c r="S132" s="307" t="n"/>
      <c r="T132" s="307" t="n"/>
      <c r="U132" s="307" t="n"/>
      <c r="V132" s="307" t="n"/>
      <c r="W132" s="307" t="n"/>
      <c r="X132" s="307" t="n"/>
      <c r="Y132" s="307" t="n"/>
      <c r="Z132" s="307" t="n"/>
      <c r="AA132" s="307" t="n"/>
      <c r="AB132" s="307" t="n"/>
      <c r="AC132" s="307" t="n"/>
      <c r="AD132" s="307" t="n"/>
    </row>
    <row r="133" ht="21.75" customHeight="1" s="349">
      <c r="A133" s="307" t="n"/>
      <c r="B133" s="153" t="inlineStr">
        <is>
          <t>NL dwellings</t>
        </is>
      </c>
      <c r="C133" s="357" t="inlineStr">
        <is>
          <t>units</t>
        </is>
      </c>
      <c r="D133" s="358" t="n">
        <v>8200000</v>
      </c>
      <c r="E133" s="358" t="n">
        <v>8200000</v>
      </c>
      <c r="F133" s="355">
        <f>IF($D$82=2,E133,D133)</f>
        <v/>
      </c>
      <c r="G133" s="307" t="n"/>
      <c r="H133" s="31" t="n"/>
      <c r="I133" s="31" t="n"/>
      <c r="J133" s="31" t="n"/>
      <c r="K133" s="31" t="n"/>
      <c r="L133" s="31" t="n"/>
      <c r="M133" s="31" t="n"/>
      <c r="N133" s="307" t="n"/>
      <c r="O133" s="307" t="n"/>
      <c r="P133" s="307" t="n"/>
      <c r="Q133" s="307" t="n"/>
      <c r="R133" s="307" t="n"/>
      <c r="S133" s="307" t="n"/>
      <c r="T133" s="307" t="n"/>
      <c r="U133" s="307" t="n"/>
      <c r="V133" s="307" t="n"/>
      <c r="W133" s="307" t="n"/>
      <c r="X133" s="307" t="n"/>
      <c r="Y133" s="307" t="n"/>
      <c r="Z133" s="307" t="n"/>
      <c r="AA133" s="307" t="n"/>
      <c r="AB133" s="307" t="n"/>
      <c r="AC133" s="307" t="n"/>
      <c r="AD133" s="307" t="n"/>
    </row>
    <row r="134" ht="21.75" customHeight="1" s="349">
      <c r="A134" s="307" t="n"/>
      <c r="B134" s="153" t="inlineStr">
        <is>
          <t>NL gas boilers sold per year (replacement market)</t>
        </is>
      </c>
      <c r="C134" s="357" t="inlineStr">
        <is>
          <t>units/yr</t>
        </is>
      </c>
      <c r="D134" s="358" t="n">
        <v>400000</v>
      </c>
      <c r="E134" s="358" t="n">
        <v>400000</v>
      </c>
      <c r="F134" s="355">
        <f>IF($D$82=2,E134,D134)</f>
        <v/>
      </c>
      <c r="G134" s="307" t="n"/>
      <c r="H134" s="31" t="n"/>
      <c r="I134" s="31" t="n"/>
      <c r="J134" s="31" t="n"/>
      <c r="K134" s="31" t="n"/>
      <c r="L134" s="350" t="inlineStr">
        <is>
          <t>the real TAM: a turbineketel replaces a gas boiler 1-for-1, so the market is boiler replacements (~400k/yr in NL), not heat pumps (~125k/yr in 2024)</t>
        </is>
      </c>
      <c r="M134" s="31" t="n"/>
      <c r="N134" s="307" t="n"/>
      <c r="O134" s="307" t="n"/>
      <c r="P134" s="307" t="n"/>
      <c r="Q134" s="307" t="n"/>
      <c r="R134" s="307" t="n"/>
      <c r="S134" s="307" t="n"/>
      <c r="T134" s="307" t="n"/>
      <c r="U134" s="307" t="n"/>
      <c r="V134" s="307" t="n"/>
      <c r="W134" s="307" t="n"/>
      <c r="X134" s="307" t="n"/>
      <c r="Y134" s="307" t="n"/>
      <c r="Z134" s="307" t="n"/>
      <c r="AA134" s="307" t="n"/>
      <c r="AB134" s="307" t="n"/>
      <c r="AC134" s="307" t="n"/>
      <c r="AD134" s="307" t="n"/>
    </row>
    <row r="135" ht="21.75" customHeight="1" s="349">
      <c r="A135" s="307" t="n"/>
      <c r="B135" s="153" t="inlineStr">
        <is>
          <t>Share suitable for a 1-for-1 turbineketel swap</t>
        </is>
      </c>
      <c r="C135" s="357" t="inlineStr">
        <is>
          <t>%</t>
        </is>
      </c>
      <c r="D135" s="359" t="n">
        <v>0.55</v>
      </c>
      <c r="E135" s="359" t="n">
        <v>0.55</v>
      </c>
      <c r="F135" s="360">
        <f>IF($D$82=2,E135,D135)</f>
        <v/>
      </c>
      <c r="G135" s="307" t="n"/>
      <c r="H135" s="31" t="n"/>
      <c r="I135" s="31" t="n"/>
      <c r="J135" s="31" t="n"/>
      <c r="K135" s="31" t="n"/>
      <c r="L135" s="31" t="n"/>
      <c r="M135" s="31" t="n"/>
      <c r="N135" s="307" t="n"/>
      <c r="O135" s="307" t="n"/>
      <c r="P135" s="307" t="n"/>
      <c r="Q135" s="307" t="n"/>
      <c r="R135" s="307" t="n"/>
      <c r="S135" s="307" t="n"/>
      <c r="T135" s="307" t="n"/>
      <c r="U135" s="307" t="n"/>
      <c r="V135" s="307" t="n"/>
      <c r="W135" s="307" t="n"/>
      <c r="X135" s="307" t="n"/>
      <c r="Y135" s="307" t="n"/>
      <c r="Z135" s="307" t="n"/>
      <c r="AA135" s="307" t="n"/>
      <c r="AB135" s="307" t="n"/>
      <c r="AC135" s="307" t="n"/>
      <c r="AD135" s="307" t="n"/>
    </row>
    <row r="136" ht="21.75" customHeight="1" s="349">
      <c r="A136" s="307" t="n"/>
      <c r="B136" s="153" t="inlineStr">
        <is>
          <t>Expansion market (BE+DE) boilers per year</t>
        </is>
      </c>
      <c r="C136" s="357" t="inlineStr">
        <is>
          <t>units/yr</t>
        </is>
      </c>
      <c r="D136" s="358" t="n">
        <v>0</v>
      </c>
      <c r="E136" s="358" t="n">
        <v>750000</v>
      </c>
      <c r="F136" s="355">
        <f>IF($D$82=2,E136,D136)</f>
        <v/>
      </c>
      <c r="G136" s="307" t="n"/>
      <c r="H136" s="31" t="n"/>
      <c r="I136" s="31" t="n"/>
      <c r="J136" s="31" t="n"/>
      <c r="K136" s="31" t="n"/>
      <c r="L136" s="31" t="n"/>
      <c r="M136" s="31" t="n"/>
      <c r="N136" s="307" t="n"/>
      <c r="O136" s="307" t="n"/>
      <c r="P136" s="307" t="n"/>
      <c r="Q136" s="307" t="n"/>
      <c r="R136" s="307" t="n"/>
      <c r="S136" s="307" t="n"/>
      <c r="T136" s="307" t="n"/>
      <c r="U136" s="307" t="n"/>
      <c r="V136" s="307" t="n"/>
      <c r="W136" s="307" t="n"/>
      <c r="X136" s="307" t="n"/>
      <c r="Y136" s="307" t="n"/>
      <c r="Z136" s="307" t="n"/>
      <c r="AA136" s="307" t="n"/>
      <c r="AB136" s="307" t="n"/>
      <c r="AC136" s="307" t="n"/>
      <c r="AD136" s="307" t="n"/>
    </row>
    <row r="137" ht="21.75" customHeight="1" s="349">
      <c r="A137" s="307" t="n"/>
      <c r="B137" s="153" t="inlineStr">
        <is>
          <t>Expansion market entry year</t>
        </is>
      </c>
      <c r="C137" s="357" t="inlineStr">
        <is>
          <t>year</t>
        </is>
      </c>
      <c r="D137" s="361" t="n">
        <v>2031</v>
      </c>
      <c r="E137" s="361" t="n">
        <v>2029</v>
      </c>
      <c r="F137" s="362">
        <f>IF($D$82=2,E137,D137)</f>
        <v/>
      </c>
      <c r="G137" s="307" t="n"/>
      <c r="H137" s="31" t="n"/>
      <c r="I137" s="31" t="n"/>
      <c r="J137" s="31" t="n"/>
      <c r="K137" s="31" t="n"/>
      <c r="L137" s="31" t="n"/>
      <c r="M137" s="31" t="n"/>
      <c r="N137" s="307" t="n"/>
      <c r="O137" s="307" t="n"/>
      <c r="P137" s="307" t="n"/>
      <c r="Q137" s="307" t="n"/>
      <c r="R137" s="307" t="n"/>
      <c r="S137" s="307" t="n"/>
      <c r="T137" s="307" t="n"/>
      <c r="U137" s="307" t="n"/>
      <c r="V137" s="307" t="n"/>
      <c r="W137" s="307" t="n"/>
      <c r="X137" s="307" t="n"/>
      <c r="Y137" s="307" t="n"/>
      <c r="Z137" s="307" t="n"/>
      <c r="AA137" s="307" t="n"/>
      <c r="AB137" s="307" t="n"/>
      <c r="AC137" s="307" t="n"/>
      <c r="AD137" s="307" t="n"/>
    </row>
    <row r="138" ht="21.75" customHeight="1" s="349">
      <c r="A138" s="307" t="n"/>
      <c r="B138" s="153" t="inlineStr">
        <is>
          <t>Ceiling on share of serviceable market</t>
        </is>
      </c>
      <c r="C138" s="357" t="inlineStr">
        <is>
          <t>%</t>
        </is>
      </c>
      <c r="D138" s="359" t="n">
        <v>0.03</v>
      </c>
      <c r="E138" s="359" t="n">
        <v>0.08</v>
      </c>
      <c r="F138" s="360">
        <f>IF($D$82=2,E138,D138)</f>
        <v/>
      </c>
      <c r="G138" s="307" t="n"/>
      <c r="H138" s="31" t="n"/>
      <c r="I138" s="31" t="n"/>
      <c r="J138" s="31" t="n"/>
      <c r="K138" s="31" t="n"/>
      <c r="L138" s="350" t="inlineStr">
        <is>
          <t>a hard sanity ceiling: units can never exceed this share of the serviceable market</t>
        </is>
      </c>
      <c r="M138" s="31" t="n"/>
      <c r="N138" s="307" t="n"/>
      <c r="O138" s="307" t="n"/>
      <c r="P138" s="307" t="n"/>
      <c r="Q138" s="307" t="n"/>
      <c r="R138" s="307" t="n"/>
      <c r="S138" s="307" t="n"/>
      <c r="T138" s="307" t="n"/>
      <c r="U138" s="307" t="n"/>
      <c r="V138" s="307" t="n"/>
      <c r="W138" s="307" t="n"/>
      <c r="X138" s="307" t="n"/>
      <c r="Y138" s="307" t="n"/>
      <c r="Z138" s="307" t="n"/>
      <c r="AA138" s="307" t="n"/>
      <c r="AB138" s="307" t="n"/>
      <c r="AC138" s="307" t="n"/>
      <c r="AD138" s="307" t="n"/>
    </row>
    <row r="139" ht="21.75" customHeight="1" s="349">
      <c r="A139" s="307" t="n"/>
      <c r="B139" s="356" t="inlineStr">
        <is>
          <t>DEMAND FUNNEL  —  marketing spend drives units, not the other way round</t>
        </is>
      </c>
      <c r="C139" s="307" t="n"/>
      <c r="D139" s="307" t="n"/>
      <c r="E139" s="307" t="n"/>
      <c r="F139" s="307" t="n"/>
      <c r="G139" s="307" t="n"/>
      <c r="H139" s="31" t="n"/>
      <c r="I139" s="31" t="n"/>
      <c r="J139" s="31" t="n"/>
      <c r="K139" s="31" t="n"/>
      <c r="L139" s="31" t="n"/>
      <c r="M139" s="31" t="n"/>
      <c r="N139" s="307" t="n"/>
      <c r="O139" s="307" t="n"/>
      <c r="P139" s="307" t="n"/>
      <c r="Q139" s="307" t="n"/>
      <c r="R139" s="307" t="n"/>
      <c r="S139" s="307" t="n"/>
      <c r="T139" s="307" t="n"/>
      <c r="U139" s="307" t="n"/>
      <c r="V139" s="307" t="n"/>
      <c r="W139" s="307" t="n"/>
      <c r="X139" s="307" t="n"/>
      <c r="Y139" s="307" t="n"/>
      <c r="Z139" s="307" t="n"/>
      <c r="AA139" s="307" t="n"/>
      <c r="AB139" s="307" t="n"/>
      <c r="AC139" s="307" t="n"/>
      <c r="AD139" s="307" t="n"/>
    </row>
    <row r="140" ht="21.75" customHeight="1" s="349">
      <c r="A140" s="307" t="n"/>
      <c r="B140" s="153" t="inlineStr">
        <is>
          <t>Marketing spend — 2027</t>
        </is>
      </c>
      <c r="C140" s="357" t="inlineStr">
        <is>
          <t>EUR/month</t>
        </is>
      </c>
      <c r="D140" s="358" t="n">
        <v>30000</v>
      </c>
      <c r="E140" s="358" t="n">
        <v>66000</v>
      </c>
      <c r="F140" s="355">
        <f>IF($D$82=2,E140,D140)</f>
        <v/>
      </c>
      <c r="G140" s="307" t="n"/>
      <c r="H140" s="31" t="n"/>
      <c r="I140" s="31" t="n"/>
      <c r="J140" s="31" t="n"/>
      <c r="K140" s="31" t="n"/>
      <c r="L140" s="31" t="n"/>
      <c r="M140" s="31" t="n"/>
      <c r="N140" s="307" t="n"/>
      <c r="O140" s="307" t="n"/>
      <c r="P140" s="307" t="n"/>
      <c r="Q140" s="307" t="n"/>
      <c r="R140" s="307" t="n"/>
      <c r="S140" s="307" t="n"/>
      <c r="T140" s="307" t="n"/>
      <c r="U140" s="307" t="n"/>
      <c r="V140" s="307" t="n"/>
      <c r="W140" s="307" t="n"/>
      <c r="X140" s="307" t="n"/>
      <c r="Y140" s="307" t="n"/>
      <c r="Z140" s="307" t="n"/>
      <c r="AA140" s="307" t="n"/>
      <c r="AB140" s="307" t="n"/>
      <c r="AC140" s="307" t="n"/>
      <c r="AD140" s="307" t="n"/>
    </row>
    <row r="141" ht="21.75" customHeight="1" s="349">
      <c r="A141" s="307" t="n"/>
      <c r="B141" s="153" t="inlineStr">
        <is>
          <t>Marketing spend — 2028</t>
        </is>
      </c>
      <c r="C141" s="357" t="inlineStr">
        <is>
          <t>EUR/month</t>
        </is>
      </c>
      <c r="D141" s="358" t="n">
        <v>72000</v>
      </c>
      <c r="E141" s="358" t="n">
        <v>244000</v>
      </c>
      <c r="F141" s="355">
        <f>IF($D$82=2,E141,D141)</f>
        <v/>
      </c>
      <c r="G141" s="307" t="n"/>
      <c r="H141" s="31" t="n"/>
      <c r="I141" s="31" t="n"/>
      <c r="J141" s="31" t="n"/>
      <c r="K141" s="31" t="n"/>
      <c r="L141" s="31" t="n"/>
      <c r="M141" s="31" t="n"/>
      <c r="N141" s="307" t="n"/>
      <c r="O141" s="307" t="n"/>
      <c r="P141" s="307" t="n"/>
      <c r="Q141" s="307" t="n"/>
      <c r="R141" s="307" t="n"/>
      <c r="S141" s="307" t="n"/>
      <c r="T141" s="307" t="n"/>
      <c r="U141" s="307" t="n"/>
      <c r="V141" s="307" t="n"/>
      <c r="W141" s="307" t="n"/>
      <c r="X141" s="307" t="n"/>
      <c r="Y141" s="307" t="n"/>
      <c r="Z141" s="307" t="n"/>
      <c r="AA141" s="307" t="n"/>
      <c r="AB141" s="307" t="n"/>
      <c r="AC141" s="307" t="n"/>
      <c r="AD141" s="307" t="n"/>
    </row>
    <row r="142" ht="21.75" customHeight="1" s="349">
      <c r="A142" s="307" t="n"/>
      <c r="B142" s="153" t="inlineStr">
        <is>
          <t>Marketing spend — 2029</t>
        </is>
      </c>
      <c r="C142" s="357" t="inlineStr">
        <is>
          <t>EUR/month</t>
        </is>
      </c>
      <c r="D142" s="358" t="n">
        <v>136000</v>
      </c>
      <c r="E142" s="358" t="n">
        <v>410000</v>
      </c>
      <c r="F142" s="355">
        <f>IF($D$82=2,E142,D142)</f>
        <v/>
      </c>
      <c r="G142" s="307" t="n"/>
      <c r="H142" s="31" t="n"/>
      <c r="I142" s="31" t="n"/>
      <c r="J142" s="31" t="n"/>
      <c r="K142" s="31" t="n"/>
      <c r="L142" s="31" t="n"/>
      <c r="M142" s="31" t="n"/>
      <c r="N142" s="307" t="n"/>
      <c r="O142" s="307" t="n"/>
      <c r="P142" s="307" t="n"/>
      <c r="Q142" s="307" t="n"/>
      <c r="R142" s="307" t="n"/>
      <c r="S142" s="307" t="n"/>
      <c r="T142" s="307" t="n"/>
      <c r="U142" s="307" t="n"/>
      <c r="V142" s="307" t="n"/>
      <c r="W142" s="307" t="n"/>
      <c r="X142" s="307" t="n"/>
      <c r="Y142" s="307" t="n"/>
      <c r="Z142" s="307" t="n"/>
      <c r="AA142" s="307" t="n"/>
      <c r="AB142" s="307" t="n"/>
      <c r="AC142" s="307" t="n"/>
      <c r="AD142" s="307" t="n"/>
    </row>
    <row r="143" ht="21.75" customHeight="1" s="349">
      <c r="A143" s="307" t="n"/>
      <c r="B143" s="153" t="inlineStr">
        <is>
          <t>Marketing spend — 2030</t>
        </is>
      </c>
      <c r="C143" s="357" t="inlineStr">
        <is>
          <t>EUR/month</t>
        </is>
      </c>
      <c r="D143" s="358" t="n">
        <v>236000</v>
      </c>
      <c r="E143" s="358" t="n">
        <v>670000</v>
      </c>
      <c r="F143" s="355">
        <f>IF($D$82=2,E143,D143)</f>
        <v/>
      </c>
      <c r="G143" s="307" t="n"/>
      <c r="H143" s="31" t="n"/>
      <c r="I143" s="31" t="n"/>
      <c r="J143" s="31" t="n"/>
      <c r="K143" s="31" t="n"/>
      <c r="L143" s="31" t="n"/>
      <c r="M143" s="31" t="n"/>
      <c r="N143" s="307" t="n"/>
      <c r="O143" s="307" t="n"/>
      <c r="P143" s="307" t="n"/>
      <c r="Q143" s="307" t="n"/>
      <c r="R143" s="307" t="n"/>
      <c r="S143" s="307" t="n"/>
      <c r="T143" s="307" t="n"/>
      <c r="U143" s="307" t="n"/>
      <c r="V143" s="307" t="n"/>
      <c r="W143" s="307" t="n"/>
      <c r="X143" s="307" t="n"/>
      <c r="Y143" s="307" t="n"/>
      <c r="Z143" s="307" t="n"/>
      <c r="AA143" s="307" t="n"/>
      <c r="AB143" s="307" t="n"/>
      <c r="AC143" s="307" t="n"/>
      <c r="AD143" s="307" t="n"/>
    </row>
    <row r="144" ht="21.75" customHeight="1" s="349">
      <c r="A144" s="307" t="n"/>
      <c r="B144" s="153" t="inlineStr">
        <is>
          <t>Cost per lead (CPL)</t>
        </is>
      </c>
      <c r="C144" s="357" t="inlineStr">
        <is>
          <t>EUR</t>
        </is>
      </c>
      <c r="D144" s="358" t="n">
        <v>120</v>
      </c>
      <c r="E144" s="358" t="n">
        <v>120</v>
      </c>
      <c r="F144" s="355">
        <f>IF($D$82=2,E144,D144)</f>
        <v/>
      </c>
      <c r="G144" s="307" t="n"/>
      <c r="H144" s="31" t="n"/>
      <c r="I144" s="31" t="n"/>
      <c r="J144" s="31" t="n"/>
      <c r="K144" s="31" t="n"/>
      <c r="L144" s="350" t="inlineStr">
        <is>
          <t>EUR120 CPL x 20% lead-to-sale = EUR600 marketing per customer — which is exactly the EUR600 already assumed in row 102. The funnel is a bridge to the existing number, not a new one</t>
        </is>
      </c>
      <c r="M144" s="31" t="n"/>
      <c r="N144" s="307" t="n"/>
      <c r="O144" s="307" t="n"/>
      <c r="P144" s="307" t="n"/>
      <c r="Q144" s="307" t="n"/>
      <c r="R144" s="307" t="n"/>
      <c r="S144" s="307" t="n"/>
      <c r="T144" s="307" t="n"/>
      <c r="U144" s="307" t="n"/>
      <c r="V144" s="307" t="n"/>
      <c r="W144" s="307" t="n"/>
      <c r="X144" s="307" t="n"/>
      <c r="Y144" s="307" t="n"/>
      <c r="Z144" s="307" t="n"/>
      <c r="AA144" s="307" t="n"/>
      <c r="AB144" s="307" t="n"/>
      <c r="AC144" s="307" t="n"/>
      <c r="AD144" s="307" t="n"/>
    </row>
    <row r="145" ht="21.75" customHeight="1" s="349">
      <c r="A145" s="307" t="n"/>
      <c r="B145" s="153" t="inlineStr">
        <is>
          <t>CPL improvement per installed-base doubling</t>
        </is>
      </c>
      <c r="C145" s="357" t="inlineStr">
        <is>
          <t>%</t>
        </is>
      </c>
      <c r="D145" s="359" t="n">
        <v>0.1</v>
      </c>
      <c r="E145" s="359" t="n">
        <v>0.1</v>
      </c>
      <c r="F145" s="360">
        <f>IF($D$82=2,E145,D145)</f>
        <v/>
      </c>
      <c r="G145" s="307" t="n"/>
      <c r="H145" s="31" t="n"/>
      <c r="I145" s="31" t="n"/>
      <c r="J145" s="31" t="n"/>
      <c r="K145" s="31" t="n"/>
      <c r="L145" s="31" t="n"/>
      <c r="M145" s="31" t="n"/>
      <c r="N145" s="307" t="n"/>
      <c r="O145" s="307" t="n"/>
      <c r="P145" s="307" t="n"/>
      <c r="Q145" s="307" t="n"/>
      <c r="R145" s="307" t="n"/>
      <c r="S145" s="307" t="n"/>
      <c r="T145" s="307" t="n"/>
      <c r="U145" s="307" t="n"/>
      <c r="V145" s="307" t="n"/>
      <c r="W145" s="307" t="n"/>
      <c r="X145" s="307" t="n"/>
      <c r="Y145" s="307" t="n"/>
      <c r="Z145" s="307" t="n"/>
      <c r="AA145" s="307" t="n"/>
      <c r="AB145" s="307" t="n"/>
      <c r="AC145" s="307" t="n"/>
      <c r="AD145" s="307" t="n"/>
    </row>
    <row r="146" ht="21.75" customHeight="1" s="349">
      <c r="A146" s="307" t="n"/>
      <c r="B146" s="153" t="inlineStr">
        <is>
          <t>Lead -&gt; qualified</t>
        </is>
      </c>
      <c r="C146" s="357" t="inlineStr">
        <is>
          <t>%</t>
        </is>
      </c>
      <c r="D146" s="359" t="n">
        <v>0.5</v>
      </c>
      <c r="E146" s="359" t="n">
        <v>0.5</v>
      </c>
      <c r="F146" s="360">
        <f>IF($D$82=2,E146,D146)</f>
        <v/>
      </c>
      <c r="G146" s="307" t="n"/>
      <c r="H146" s="31" t="n"/>
      <c r="I146" s="31" t="n"/>
      <c r="J146" s="31" t="n"/>
      <c r="K146" s="31" t="n"/>
      <c r="L146" s="31" t="n"/>
      <c r="M146" s="31" t="n"/>
      <c r="N146" s="307" t="n"/>
      <c r="O146" s="307" t="n"/>
      <c r="P146" s="307" t="n"/>
      <c r="Q146" s="307" t="n"/>
      <c r="R146" s="307" t="n"/>
      <c r="S146" s="307" t="n"/>
      <c r="T146" s="307" t="n"/>
      <c r="U146" s="307" t="n"/>
      <c r="V146" s="307" t="n"/>
      <c r="W146" s="307" t="n"/>
      <c r="X146" s="307" t="n"/>
      <c r="Y146" s="307" t="n"/>
      <c r="Z146" s="307" t="n"/>
      <c r="AA146" s="307" t="n"/>
      <c r="AB146" s="307" t="n"/>
      <c r="AC146" s="307" t="n"/>
      <c r="AD146" s="307" t="n"/>
    </row>
    <row r="147" ht="21.75" customHeight="1" s="349">
      <c r="A147" s="307" t="n"/>
      <c r="B147" s="153" t="inlineStr">
        <is>
          <t>Qualified -&gt; won</t>
        </is>
      </c>
      <c r="C147" s="357" t="inlineStr">
        <is>
          <t>%</t>
        </is>
      </c>
      <c r="D147" s="359" t="n">
        <v>0.4</v>
      </c>
      <c r="E147" s="359" t="n">
        <v>0.4</v>
      </c>
      <c r="F147" s="360">
        <f>IF($D$82=2,E147,D147)</f>
        <v/>
      </c>
      <c r="G147" s="307" t="n"/>
      <c r="H147" s="31" t="n"/>
      <c r="I147" s="31" t="n"/>
      <c r="J147" s="31" t="n"/>
      <c r="K147" s="31" t="n"/>
      <c r="L147" s="350" t="inlineStr">
        <is>
          <t>50% x 40% = 20% lead-to-sale, in line with HVAC benchmarks (18-32% close on high-intent leads)</t>
        </is>
      </c>
      <c r="M147" s="31" t="n"/>
      <c r="N147" s="307" t="n"/>
      <c r="O147" s="307" t="n"/>
      <c r="P147" s="307" t="n"/>
      <c r="Q147" s="307" t="n"/>
      <c r="R147" s="307" t="n"/>
      <c r="S147" s="307" t="n"/>
      <c r="T147" s="307" t="n"/>
      <c r="U147" s="307" t="n"/>
      <c r="V147" s="307" t="n"/>
      <c r="W147" s="307" t="n"/>
      <c r="X147" s="307" t="n"/>
      <c r="Y147" s="307" t="n"/>
      <c r="Z147" s="307" t="n"/>
      <c r="AA147" s="307" t="n"/>
      <c r="AB147" s="307" t="n"/>
      <c r="AC147" s="307" t="n"/>
      <c r="AD147" s="307" t="n"/>
    </row>
    <row r="148" ht="21.75" customHeight="1" s="349">
      <c r="A148" s="307" t="n"/>
      <c r="B148" s="356" t="inlineStr">
        <is>
          <t>SALES MOTION  —  shifts from direct selling to an enabled installer channel</t>
        </is>
      </c>
      <c r="C148" s="307" t="n"/>
      <c r="D148" s="307" t="n"/>
      <c r="E148" s="307" t="n"/>
      <c r="F148" s="307" t="n"/>
      <c r="G148" s="307" t="n"/>
      <c r="H148" s="31" t="n"/>
      <c r="I148" s="31" t="n"/>
      <c r="J148" s="31" t="n"/>
      <c r="K148" s="31" t="n"/>
      <c r="L148" s="31" t="n"/>
      <c r="M148" s="31" t="n"/>
      <c r="N148" s="307" t="n"/>
      <c r="O148" s="307" t="n"/>
      <c r="P148" s="307" t="n"/>
      <c r="Q148" s="307" t="n"/>
      <c r="R148" s="307" t="n"/>
      <c r="S148" s="307" t="n"/>
      <c r="T148" s="307" t="n"/>
      <c r="U148" s="307" t="n"/>
      <c r="V148" s="307" t="n"/>
      <c r="W148" s="307" t="n"/>
      <c r="X148" s="307" t="n"/>
      <c r="Y148" s="307" t="n"/>
      <c r="Z148" s="307" t="n"/>
      <c r="AA148" s="307" t="n"/>
      <c r="AB148" s="307" t="n"/>
      <c r="AC148" s="307" t="n"/>
      <c r="AD148" s="307" t="n"/>
    </row>
    <row r="149" ht="21.75" customHeight="1" s="349">
      <c r="A149" s="307" t="n"/>
      <c r="B149" s="153" t="inlineStr">
        <is>
          <t>Direct motion share — 2027</t>
        </is>
      </c>
      <c r="C149" s="357" t="inlineStr">
        <is>
          <t>%</t>
        </is>
      </c>
      <c r="D149" s="359" t="n">
        <v>0.8</v>
      </c>
      <c r="E149" s="359" t="n">
        <v>0.7</v>
      </c>
      <c r="F149" s="360">
        <f>IF($D$82=2,E149,D149)</f>
        <v/>
      </c>
      <c r="G149" s="307" t="n"/>
      <c r="H149" s="31" t="n"/>
      <c r="I149" s="31" t="n"/>
      <c r="J149" s="31" t="n"/>
      <c r="K149" s="31" t="n"/>
      <c r="L149" s="31" t="n"/>
      <c r="M149" s="31" t="n"/>
      <c r="N149" s="307" t="n"/>
      <c r="O149" s="307" t="n"/>
      <c r="P149" s="307" t="n"/>
      <c r="Q149" s="307" t="n"/>
      <c r="R149" s="307" t="n"/>
      <c r="S149" s="307" t="n"/>
      <c r="T149" s="307" t="n"/>
      <c r="U149" s="307" t="n"/>
      <c r="V149" s="307" t="n"/>
      <c r="W149" s="307" t="n"/>
      <c r="X149" s="307" t="n"/>
      <c r="Y149" s="307" t="n"/>
      <c r="Z149" s="307" t="n"/>
      <c r="AA149" s="307" t="n"/>
      <c r="AB149" s="307" t="n"/>
      <c r="AC149" s="307" t="n"/>
      <c r="AD149" s="307" t="n"/>
    </row>
    <row r="150" ht="21.75" customHeight="1" s="349">
      <c r="A150" s="307" t="n"/>
      <c r="B150" s="153" t="inlineStr">
        <is>
          <t>Direct motion share — 2028</t>
        </is>
      </c>
      <c r="C150" s="357" t="inlineStr">
        <is>
          <t>%</t>
        </is>
      </c>
      <c r="D150" s="359" t="n">
        <v>0.6</v>
      </c>
      <c r="E150" s="359" t="n">
        <v>0.4</v>
      </c>
      <c r="F150" s="360">
        <f>IF($D$82=2,E150,D150)</f>
        <v/>
      </c>
      <c r="G150" s="307" t="n"/>
      <c r="H150" s="31" t="n"/>
      <c r="I150" s="31" t="n"/>
      <c r="J150" s="31" t="n"/>
      <c r="K150" s="31" t="n"/>
      <c r="L150" s="31" t="n"/>
      <c r="M150" s="31" t="n"/>
      <c r="N150" s="307" t="n"/>
      <c r="O150" s="307" t="n"/>
      <c r="P150" s="307" t="n"/>
      <c r="Q150" s="307" t="n"/>
      <c r="R150" s="307" t="n"/>
      <c r="S150" s="307" t="n"/>
      <c r="T150" s="307" t="n"/>
      <c r="U150" s="307" t="n"/>
      <c r="V150" s="307" t="n"/>
      <c r="W150" s="307" t="n"/>
      <c r="X150" s="307" t="n"/>
      <c r="Y150" s="307" t="n"/>
      <c r="Z150" s="307" t="n"/>
      <c r="AA150" s="307" t="n"/>
      <c r="AB150" s="307" t="n"/>
      <c r="AC150" s="307" t="n"/>
      <c r="AD150" s="307" t="n"/>
    </row>
    <row r="151" ht="21.75" customHeight="1" s="349">
      <c r="A151" s="307" t="n"/>
      <c r="B151" s="153" t="inlineStr">
        <is>
          <t>Direct motion share — 2029</t>
        </is>
      </c>
      <c r="C151" s="357" t="inlineStr">
        <is>
          <t>%</t>
        </is>
      </c>
      <c r="D151" s="359" t="n">
        <v>0.45</v>
      </c>
      <c r="E151" s="359" t="n">
        <v>0.22</v>
      </c>
      <c r="F151" s="360">
        <f>IF($D$82=2,E151,D151)</f>
        <v/>
      </c>
      <c r="G151" s="307" t="n"/>
      <c r="H151" s="31" t="n"/>
      <c r="I151" s="31" t="n"/>
      <c r="J151" s="31" t="n"/>
      <c r="K151" s="31" t="n"/>
      <c r="L151" s="31" t="n"/>
      <c r="M151" s="31" t="n"/>
      <c r="N151" s="307" t="n"/>
      <c r="O151" s="307" t="n"/>
      <c r="P151" s="307" t="n"/>
      <c r="Q151" s="307" t="n"/>
      <c r="R151" s="307" t="n"/>
      <c r="S151" s="307" t="n"/>
      <c r="T151" s="307" t="n"/>
      <c r="U151" s="307" t="n"/>
      <c r="V151" s="307" t="n"/>
      <c r="W151" s="307" t="n"/>
      <c r="X151" s="307" t="n"/>
      <c r="Y151" s="307" t="n"/>
      <c r="Z151" s="307" t="n"/>
      <c r="AA151" s="307" t="n"/>
      <c r="AB151" s="307" t="n"/>
      <c r="AC151" s="307" t="n"/>
      <c r="AD151" s="307" t="n"/>
    </row>
    <row r="152" ht="21.75" customHeight="1" s="349">
      <c r="A152" s="307" t="n"/>
      <c r="B152" s="153" t="inlineStr">
        <is>
          <t>Direct motion share — 2030</t>
        </is>
      </c>
      <c r="C152" s="357" t="inlineStr">
        <is>
          <t>%</t>
        </is>
      </c>
      <c r="D152" s="359" t="n">
        <v>0.35</v>
      </c>
      <c r="E152" s="359" t="n">
        <v>0.15</v>
      </c>
      <c r="F152" s="360">
        <f>IF($D$82=2,E152,D152)</f>
        <v/>
      </c>
      <c r="G152" s="307" t="n"/>
      <c r="H152" s="31" t="n"/>
      <c r="I152" s="31" t="n"/>
      <c r="J152" s="31" t="n"/>
      <c r="K152" s="31" t="n"/>
      <c r="L152" s="350" t="inlineStr">
        <is>
          <t>the core business change: at scale Tarnoc cannot close 22k units itself. Selling shifts to an enabled installer channel, which is why partner managers replace reps</t>
        </is>
      </c>
      <c r="M152" s="31" t="n"/>
      <c r="N152" s="307" t="n"/>
      <c r="O152" s="307" t="n"/>
      <c r="P152" s="307" t="n"/>
      <c r="Q152" s="307" t="n"/>
      <c r="R152" s="307" t="n"/>
      <c r="S152" s="307" t="n"/>
      <c r="T152" s="307" t="n"/>
      <c r="U152" s="307" t="n"/>
      <c r="V152" s="307" t="n"/>
      <c r="W152" s="307" t="n"/>
      <c r="X152" s="307" t="n"/>
      <c r="Y152" s="307" t="n"/>
      <c r="Z152" s="307" t="n"/>
      <c r="AA152" s="307" t="n"/>
      <c r="AB152" s="307" t="n"/>
      <c r="AC152" s="307" t="n"/>
      <c r="AD152" s="307" t="n"/>
    </row>
    <row r="153" ht="21.75" customHeight="1" s="349">
      <c r="A153" s="307" t="n"/>
      <c r="B153" s="153" t="inlineStr">
        <is>
          <t>Quota-carrying reps at Jan-2027</t>
        </is>
      </c>
      <c r="C153" s="357" t="inlineStr">
        <is>
          <t>FTE</t>
        </is>
      </c>
      <c r="D153" s="363" t="n">
        <v>3</v>
      </c>
      <c r="E153" s="363" t="n">
        <v>3</v>
      </c>
      <c r="F153" s="364">
        <f>IF($D$82=2,E153,D153)</f>
        <v/>
      </c>
      <c r="G153" s="307" t="n"/>
      <c r="H153" s="31" t="n"/>
      <c r="I153" s="31" t="n"/>
      <c r="J153" s="31" t="n"/>
      <c r="K153" s="31" t="n"/>
      <c r="L153" s="31" t="n"/>
      <c r="M153" s="31" t="n"/>
      <c r="N153" s="307" t="n"/>
      <c r="O153" s="307" t="n"/>
      <c r="P153" s="307" t="n"/>
      <c r="Q153" s="307" t="n"/>
      <c r="R153" s="307" t="n"/>
      <c r="S153" s="307" t="n"/>
      <c r="T153" s="307" t="n"/>
      <c r="U153" s="307" t="n"/>
      <c r="V153" s="307" t="n"/>
      <c r="W153" s="307" t="n"/>
      <c r="X153" s="307" t="n"/>
      <c r="Y153" s="307" t="n"/>
      <c r="Z153" s="307" t="n"/>
      <c r="AA153" s="307" t="n"/>
      <c r="AB153" s="307" t="n"/>
      <c r="AC153" s="307" t="n"/>
      <c r="AD153" s="307" t="n"/>
    </row>
    <row r="154" ht="21.75" customHeight="1" s="349">
      <c r="A154" s="307" t="n"/>
      <c r="B154" s="153" t="inlineStr">
        <is>
          <t>Reps hired per month — 2027</t>
        </is>
      </c>
      <c r="C154" s="357" t="inlineStr">
        <is>
          <t>FTE/month</t>
        </is>
      </c>
      <c r="D154" s="365" t="n">
        <v>0.25</v>
      </c>
      <c r="E154" s="365" t="n">
        <v>0.75</v>
      </c>
      <c r="F154" s="366">
        <f>IF($D$82=2,E154,D154)</f>
        <v/>
      </c>
      <c r="G154" s="307" t="n"/>
      <c r="H154" s="31" t="n"/>
      <c r="I154" s="31" t="n"/>
      <c r="J154" s="31" t="n"/>
      <c r="K154" s="31" t="n"/>
      <c r="L154" s="31" t="n"/>
      <c r="M154" s="31" t="n"/>
      <c r="N154" s="307" t="n"/>
      <c r="O154" s="307" t="n"/>
      <c r="P154" s="307" t="n"/>
      <c r="Q154" s="307" t="n"/>
      <c r="R154" s="307" t="n"/>
      <c r="S154" s="307" t="n"/>
      <c r="T154" s="307" t="n"/>
      <c r="U154" s="307" t="n"/>
      <c r="V154" s="307" t="n"/>
      <c r="W154" s="307" t="n"/>
      <c r="X154" s="307" t="n"/>
      <c r="Y154" s="307" t="n"/>
      <c r="Z154" s="307" t="n"/>
      <c r="AA154" s="307" t="n"/>
      <c r="AB154" s="307" t="n"/>
      <c r="AC154" s="307" t="n"/>
      <c r="AD154" s="307" t="n"/>
    </row>
    <row r="155" ht="21.75" customHeight="1" s="349">
      <c r="A155" s="307" t="n"/>
      <c r="B155" s="153" t="inlineStr">
        <is>
          <t>Reps hired per month — 2028</t>
        </is>
      </c>
      <c r="C155" s="357" t="inlineStr">
        <is>
          <t>FTE/month</t>
        </is>
      </c>
      <c r="D155" s="365" t="n">
        <v>0.25</v>
      </c>
      <c r="E155" s="365" t="n">
        <v>0.75</v>
      </c>
      <c r="F155" s="366">
        <f>IF($D$82=2,E155,D155)</f>
        <v/>
      </c>
      <c r="G155" s="307" t="n"/>
      <c r="H155" s="31" t="n"/>
      <c r="I155" s="31" t="n"/>
      <c r="J155" s="31" t="n"/>
      <c r="K155" s="31" t="n"/>
      <c r="L155" s="31" t="n"/>
      <c r="M155" s="31" t="n"/>
      <c r="N155" s="307" t="n"/>
      <c r="O155" s="307" t="n"/>
      <c r="P155" s="307" t="n"/>
      <c r="Q155" s="307" t="n"/>
      <c r="R155" s="307" t="n"/>
      <c r="S155" s="307" t="n"/>
      <c r="T155" s="307" t="n"/>
      <c r="U155" s="307" t="n"/>
      <c r="V155" s="307" t="n"/>
      <c r="W155" s="307" t="n"/>
      <c r="X155" s="307" t="n"/>
      <c r="Y155" s="307" t="n"/>
      <c r="Z155" s="307" t="n"/>
      <c r="AA155" s="307" t="n"/>
      <c r="AB155" s="307" t="n"/>
      <c r="AC155" s="307" t="n"/>
      <c r="AD155" s="307" t="n"/>
    </row>
    <row r="156" ht="21.75" customHeight="1" s="349">
      <c r="A156" s="307" t="n"/>
      <c r="B156" s="153" t="inlineStr">
        <is>
          <t>Reps hired per month — 2029</t>
        </is>
      </c>
      <c r="C156" s="357" t="inlineStr">
        <is>
          <t>FTE/month</t>
        </is>
      </c>
      <c r="D156" s="365" t="n">
        <v>0.25</v>
      </c>
      <c r="E156" s="365" t="n">
        <v>0.5</v>
      </c>
      <c r="F156" s="366">
        <f>IF($D$82=2,E156,D156)</f>
        <v/>
      </c>
      <c r="G156" s="307" t="n"/>
      <c r="H156" s="31" t="n"/>
      <c r="I156" s="31" t="n"/>
      <c r="J156" s="31" t="n"/>
      <c r="K156" s="31" t="n"/>
      <c r="L156" s="31" t="n"/>
      <c r="M156" s="31" t="n"/>
      <c r="N156" s="307" t="n"/>
      <c r="O156" s="307" t="n"/>
      <c r="P156" s="307" t="n"/>
      <c r="Q156" s="307" t="n"/>
      <c r="R156" s="307" t="n"/>
      <c r="S156" s="307" t="n"/>
      <c r="T156" s="307" t="n"/>
      <c r="U156" s="307" t="n"/>
      <c r="V156" s="307" t="n"/>
      <c r="W156" s="307" t="n"/>
      <c r="X156" s="307" t="n"/>
      <c r="Y156" s="307" t="n"/>
      <c r="Z156" s="307" t="n"/>
      <c r="AA156" s="307" t="n"/>
      <c r="AB156" s="307" t="n"/>
      <c r="AC156" s="307" t="n"/>
      <c r="AD156" s="307" t="n"/>
    </row>
    <row r="157" ht="21.75" customHeight="1" s="349">
      <c r="A157" s="307" t="n"/>
      <c r="B157" s="153" t="inlineStr">
        <is>
          <t>Reps hired per month — 2030</t>
        </is>
      </c>
      <c r="C157" s="357" t="inlineStr">
        <is>
          <t>FTE/month</t>
        </is>
      </c>
      <c r="D157" s="365" t="n">
        <v>0.25</v>
      </c>
      <c r="E157" s="365" t="n">
        <v>0.5</v>
      </c>
      <c r="F157" s="366">
        <f>IF($D$82=2,E157,D157)</f>
        <v/>
      </c>
      <c r="G157" s="307" t="n"/>
      <c r="H157" s="31" t="n"/>
      <c r="I157" s="31" t="n"/>
      <c r="J157" s="31" t="n"/>
      <c r="K157" s="31" t="n"/>
      <c r="L157" s="31" t="n"/>
      <c r="M157" s="31" t="n"/>
      <c r="N157" s="307" t="n"/>
      <c r="O157" s="307" t="n"/>
      <c r="P157" s="307" t="n"/>
      <c r="Q157" s="307" t="n"/>
      <c r="R157" s="307" t="n"/>
      <c r="S157" s="307" t="n"/>
      <c r="T157" s="307" t="n"/>
      <c r="U157" s="307" t="n"/>
      <c r="V157" s="307" t="n"/>
      <c r="W157" s="307" t="n"/>
      <c r="X157" s="307" t="n"/>
      <c r="Y157" s="307" t="n"/>
      <c r="Z157" s="307" t="n"/>
      <c r="AA157" s="307" t="n"/>
      <c r="AB157" s="307" t="n"/>
      <c r="AC157" s="307" t="n"/>
      <c r="AD157" s="307" t="n"/>
    </row>
    <row r="158" ht="21.75" customHeight="1" s="349">
      <c r="A158" s="307" t="n"/>
      <c r="B158" s="153" t="inlineStr">
        <is>
          <t>Quota per fully-ramped rep</t>
        </is>
      </c>
      <c r="C158" s="357" t="inlineStr">
        <is>
          <t>units/mo</t>
        </is>
      </c>
      <c r="D158" s="358" t="n">
        <v>20</v>
      </c>
      <c r="E158" s="358" t="n">
        <v>20</v>
      </c>
      <c r="F158" s="355">
        <f>IF($D$82=2,E158,D158)</f>
        <v/>
      </c>
      <c r="G158" s="307" t="n"/>
      <c r="H158" s="31" t="n"/>
      <c r="I158" s="31" t="n"/>
      <c r="J158" s="31" t="n"/>
      <c r="K158" s="31" t="n"/>
      <c r="L158" s="31" t="n"/>
      <c r="M158" s="31" t="n"/>
      <c r="N158" s="307" t="n"/>
      <c r="O158" s="307" t="n"/>
      <c r="P158" s="307" t="n"/>
      <c r="Q158" s="307" t="n"/>
      <c r="R158" s="307" t="n"/>
      <c r="S158" s="307" t="n"/>
      <c r="T158" s="307" t="n"/>
      <c r="U158" s="307" t="n"/>
      <c r="V158" s="307" t="n"/>
      <c r="W158" s="307" t="n"/>
      <c r="X158" s="307" t="n"/>
      <c r="Y158" s="307" t="n"/>
      <c r="Z158" s="307" t="n"/>
      <c r="AA158" s="307" t="n"/>
      <c r="AB158" s="307" t="n"/>
      <c r="AC158" s="307" t="n"/>
      <c r="AD158" s="307" t="n"/>
    </row>
    <row r="159" ht="21.75" customHeight="1" s="349">
      <c r="A159" s="307" t="n"/>
      <c r="B159" s="153" t="inlineStr">
        <is>
          <t>Rep ramp to full productivity</t>
        </is>
      </c>
      <c r="C159" s="357" t="inlineStr">
        <is>
          <t>months</t>
        </is>
      </c>
      <c r="D159" s="358" t="n">
        <v>6</v>
      </c>
      <c r="E159" s="358" t="n">
        <v>6</v>
      </c>
      <c r="F159" s="355">
        <f>IF($D$82=2,E159,D159)</f>
        <v/>
      </c>
      <c r="G159" s="307" t="n"/>
      <c r="H159" s="31" t="n"/>
      <c r="I159" s="31" t="n"/>
      <c r="J159" s="31" t="n"/>
      <c r="K159" s="31" t="n"/>
      <c r="L159" s="31" t="n"/>
      <c r="M159" s="31" t="n"/>
      <c r="N159" s="307" t="n"/>
      <c r="O159" s="307" t="n"/>
      <c r="P159" s="307" t="n"/>
      <c r="Q159" s="307" t="n"/>
      <c r="R159" s="307" t="n"/>
      <c r="S159" s="307" t="n"/>
      <c r="T159" s="307" t="n"/>
      <c r="U159" s="307" t="n"/>
      <c r="V159" s="307" t="n"/>
      <c r="W159" s="307" t="n"/>
      <c r="X159" s="307" t="n"/>
      <c r="Y159" s="307" t="n"/>
      <c r="Z159" s="307" t="n"/>
      <c r="AA159" s="307" t="n"/>
      <c r="AB159" s="307" t="n"/>
      <c r="AC159" s="307" t="n"/>
      <c r="AD159" s="307" t="n"/>
    </row>
    <row r="160" ht="21.75" customHeight="1" s="349">
      <c r="A160" s="307" t="n"/>
      <c r="B160" s="153" t="inlineStr">
        <is>
          <t>Quota attainment</t>
        </is>
      </c>
      <c r="C160" s="357" t="inlineStr">
        <is>
          <t>%</t>
        </is>
      </c>
      <c r="D160" s="359" t="n">
        <v>0.85</v>
      </c>
      <c r="E160" s="359" t="n">
        <v>0.85</v>
      </c>
      <c r="F160" s="360">
        <f>IF($D$82=2,E160,D160)</f>
        <v/>
      </c>
      <c r="G160" s="307" t="n"/>
      <c r="H160" s="31" t="n"/>
      <c r="I160" s="31" t="n"/>
      <c r="J160" s="31" t="n"/>
      <c r="K160" s="31" t="n"/>
      <c r="L160" s="31" t="n"/>
      <c r="M160" s="31" t="n"/>
      <c r="N160" s="307" t="n"/>
      <c r="O160" s="307" t="n"/>
      <c r="P160" s="307" t="n"/>
      <c r="Q160" s="307" t="n"/>
      <c r="R160" s="307" t="n"/>
      <c r="S160" s="307" t="n"/>
      <c r="T160" s="307" t="n"/>
      <c r="U160" s="307" t="n"/>
      <c r="V160" s="307" t="n"/>
      <c r="W160" s="307" t="n"/>
      <c r="X160" s="307" t="n"/>
      <c r="Y160" s="307" t="n"/>
      <c r="Z160" s="307" t="n"/>
      <c r="AA160" s="307" t="n"/>
      <c r="AB160" s="307" t="n"/>
      <c r="AC160" s="307" t="n"/>
      <c r="AD160" s="307" t="n"/>
    </row>
    <row r="161" ht="21.75" customHeight="1" s="349">
      <c r="A161" s="307" t="n"/>
      <c r="B161" s="153" t="inlineStr">
        <is>
          <t>Active installer partners at Jan-2027</t>
        </is>
      </c>
      <c r="C161" s="357" t="inlineStr">
        <is>
          <t>partners</t>
        </is>
      </c>
      <c r="D161" s="358" t="n">
        <v>2</v>
      </c>
      <c r="E161" s="358" t="n">
        <v>2</v>
      </c>
      <c r="F161" s="355">
        <f>IF($D$82=2,E161,D161)</f>
        <v/>
      </c>
      <c r="G161" s="307" t="n"/>
      <c r="H161" s="31" t="n"/>
      <c r="I161" s="31" t="n"/>
      <c r="J161" s="31" t="n"/>
      <c r="K161" s="31" t="n"/>
      <c r="L161" s="31" t="n"/>
      <c r="M161" s="31" t="n"/>
      <c r="N161" s="307" t="n"/>
      <c r="O161" s="307" t="n"/>
      <c r="P161" s="307" t="n"/>
      <c r="Q161" s="307" t="n"/>
      <c r="R161" s="307" t="n"/>
      <c r="S161" s="307" t="n"/>
      <c r="T161" s="307" t="n"/>
      <c r="U161" s="307" t="n"/>
      <c r="V161" s="307" t="n"/>
      <c r="W161" s="307" t="n"/>
      <c r="X161" s="307" t="n"/>
      <c r="Y161" s="307" t="n"/>
      <c r="Z161" s="307" t="n"/>
      <c r="AA161" s="307" t="n"/>
      <c r="AB161" s="307" t="n"/>
      <c r="AC161" s="307" t="n"/>
      <c r="AD161" s="307" t="n"/>
    </row>
    <row r="162" ht="21.75" customHeight="1" s="349">
      <c r="A162" s="307" t="n"/>
      <c r="B162" s="153" t="inlineStr">
        <is>
          <t>Installer partners recruited per month — 2027</t>
        </is>
      </c>
      <c r="C162" s="357" t="inlineStr">
        <is>
          <t>/month</t>
        </is>
      </c>
      <c r="D162" s="363" t="n">
        <v>1</v>
      </c>
      <c r="E162" s="363" t="n">
        <v>2</v>
      </c>
      <c r="F162" s="364">
        <f>IF($D$82=2,E162,D162)</f>
        <v/>
      </c>
      <c r="G162" s="307" t="n"/>
      <c r="H162" s="31" t="n"/>
      <c r="I162" s="31" t="n"/>
      <c r="J162" s="31" t="n"/>
      <c r="K162" s="31" t="n"/>
      <c r="L162" s="31" t="n"/>
      <c r="M162" s="31" t="n"/>
      <c r="N162" s="307" t="n"/>
      <c r="O162" s="307" t="n"/>
      <c r="P162" s="307" t="n"/>
      <c r="Q162" s="307" t="n"/>
      <c r="R162" s="307" t="n"/>
      <c r="S162" s="307" t="n"/>
      <c r="T162" s="307" t="n"/>
      <c r="U162" s="307" t="n"/>
      <c r="V162" s="307" t="n"/>
      <c r="W162" s="307" t="n"/>
      <c r="X162" s="307" t="n"/>
      <c r="Y162" s="307" t="n"/>
      <c r="Z162" s="307" t="n"/>
      <c r="AA162" s="307" t="n"/>
      <c r="AB162" s="307" t="n"/>
      <c r="AC162" s="307" t="n"/>
      <c r="AD162" s="307" t="n"/>
    </row>
    <row r="163" ht="21.75" customHeight="1" s="349">
      <c r="A163" s="307" t="n"/>
      <c r="B163" s="153" t="inlineStr">
        <is>
          <t>Installer partners recruited per month — 2028</t>
        </is>
      </c>
      <c r="C163" s="357" t="inlineStr">
        <is>
          <t>/month</t>
        </is>
      </c>
      <c r="D163" s="363" t="n">
        <v>2</v>
      </c>
      <c r="E163" s="363" t="n">
        <v>4</v>
      </c>
      <c r="F163" s="364">
        <f>IF($D$82=2,E163,D163)</f>
        <v/>
      </c>
      <c r="G163" s="307" t="n"/>
      <c r="H163" s="31" t="n"/>
      <c r="I163" s="31" t="n"/>
      <c r="J163" s="31" t="n"/>
      <c r="K163" s="31" t="n"/>
      <c r="L163" s="31" t="n"/>
      <c r="M163" s="31" t="n"/>
      <c r="N163" s="307" t="n"/>
      <c r="O163" s="307" t="n"/>
      <c r="P163" s="307" t="n"/>
      <c r="Q163" s="307" t="n"/>
      <c r="R163" s="307" t="n"/>
      <c r="S163" s="307" t="n"/>
      <c r="T163" s="307" t="n"/>
      <c r="U163" s="307" t="n"/>
      <c r="V163" s="307" t="n"/>
      <c r="W163" s="307" t="n"/>
      <c r="X163" s="307" t="n"/>
      <c r="Y163" s="307" t="n"/>
      <c r="Z163" s="307" t="n"/>
      <c r="AA163" s="307" t="n"/>
      <c r="AB163" s="307" t="n"/>
      <c r="AC163" s="307" t="n"/>
      <c r="AD163" s="307" t="n"/>
    </row>
    <row r="164" ht="21.75" customHeight="1" s="349">
      <c r="A164" s="307" t="n"/>
      <c r="B164" s="153" t="inlineStr">
        <is>
          <t>Installer partners recruited per month — 2029</t>
        </is>
      </c>
      <c r="C164" s="357" t="inlineStr">
        <is>
          <t>/month</t>
        </is>
      </c>
      <c r="D164" s="363" t="n">
        <v>3</v>
      </c>
      <c r="E164" s="363" t="n">
        <v>8</v>
      </c>
      <c r="F164" s="364">
        <f>IF($D$82=2,E164,D164)</f>
        <v/>
      </c>
      <c r="G164" s="307" t="n"/>
      <c r="H164" s="31" t="n"/>
      <c r="I164" s="31" t="n"/>
      <c r="J164" s="31" t="n"/>
      <c r="K164" s="31" t="n"/>
      <c r="L164" s="31" t="n"/>
      <c r="M164" s="31" t="n"/>
      <c r="N164" s="307" t="n"/>
      <c r="O164" s="307" t="n"/>
      <c r="P164" s="307" t="n"/>
      <c r="Q164" s="307" t="n"/>
      <c r="R164" s="307" t="n"/>
      <c r="S164" s="307" t="n"/>
      <c r="T164" s="307" t="n"/>
      <c r="U164" s="307" t="n"/>
      <c r="V164" s="307" t="n"/>
      <c r="W164" s="307" t="n"/>
      <c r="X164" s="307" t="n"/>
      <c r="Y164" s="307" t="n"/>
      <c r="Z164" s="307" t="n"/>
      <c r="AA164" s="307" t="n"/>
      <c r="AB164" s="307" t="n"/>
      <c r="AC164" s="307" t="n"/>
      <c r="AD164" s="307" t="n"/>
    </row>
    <row r="165" ht="21.75" customHeight="1" s="349">
      <c r="A165" s="307" t="n"/>
      <c r="B165" s="153" t="inlineStr">
        <is>
          <t>Installer partners recruited per month — 2030</t>
        </is>
      </c>
      <c r="C165" s="357" t="inlineStr">
        <is>
          <t>/month</t>
        </is>
      </c>
      <c r="D165" s="363" t="n">
        <v>3.8</v>
      </c>
      <c r="E165" s="363" t="n">
        <v>10</v>
      </c>
      <c r="F165" s="364">
        <f>IF($D$82=2,E165,D165)</f>
        <v/>
      </c>
      <c r="G165" s="307" t="n"/>
      <c r="H165" s="31" t="n"/>
      <c r="I165" s="31" t="n"/>
      <c r="J165" s="31" t="n"/>
      <c r="K165" s="31" t="n"/>
      <c r="L165" s="31" t="n"/>
      <c r="M165" s="31" t="n"/>
      <c r="N165" s="307" t="n"/>
      <c r="O165" s="307" t="n"/>
      <c r="P165" s="307" t="n"/>
      <c r="Q165" s="307" t="n"/>
      <c r="R165" s="307" t="n"/>
      <c r="S165" s="307" t="n"/>
      <c r="T165" s="307" t="n"/>
      <c r="U165" s="307" t="n"/>
      <c r="V165" s="307" t="n"/>
      <c r="W165" s="307" t="n"/>
      <c r="X165" s="307" t="n"/>
      <c r="Y165" s="307" t="n"/>
      <c r="Z165" s="307" t="n"/>
      <c r="AA165" s="307" t="n"/>
      <c r="AB165" s="307" t="n"/>
      <c r="AC165" s="307" t="n"/>
      <c r="AD165" s="307" t="n"/>
    </row>
    <row r="166" ht="15.75" customHeight="1" s="349">
      <c r="A166" s="307" t="n"/>
      <c r="B166" s="153" t="inlineStr">
        <is>
          <t>Partner ramp to full productivity</t>
        </is>
      </c>
      <c r="C166" s="357" t="inlineStr">
        <is>
          <t>months</t>
        </is>
      </c>
      <c r="D166" s="358" t="n">
        <v>4</v>
      </c>
      <c r="E166" s="358" t="n">
        <v>4</v>
      </c>
      <c r="F166" s="355">
        <f>IF($D$82=2,E166,D166)</f>
        <v/>
      </c>
      <c r="G166" s="307" t="n"/>
      <c r="H166" s="31" t="n"/>
      <c r="I166" s="31" t="n"/>
      <c r="J166" s="31" t="n"/>
      <c r="K166" s="31" t="n"/>
      <c r="L166" s="31" t="n"/>
      <c r="M166" s="31" t="n"/>
      <c r="N166" s="307" t="n"/>
      <c r="O166" s="307" t="n"/>
      <c r="P166" s="307" t="n"/>
      <c r="Q166" s="307" t="n"/>
      <c r="R166" s="307" t="n"/>
      <c r="S166" s="307" t="n"/>
      <c r="T166" s="307" t="n"/>
      <c r="U166" s="307" t="n"/>
      <c r="V166" s="307" t="n"/>
      <c r="W166" s="307" t="n"/>
      <c r="X166" s="307" t="n"/>
      <c r="Y166" s="307" t="n"/>
      <c r="Z166" s="307" t="n"/>
      <c r="AA166" s="307" t="n"/>
      <c r="AB166" s="307" t="n"/>
      <c r="AC166" s="307" t="n"/>
      <c r="AD166" s="307" t="n"/>
    </row>
    <row r="167" ht="15.75" customHeight="1" s="349">
      <c r="A167" s="307" t="n"/>
      <c r="B167" s="153" t="inlineStr">
        <is>
          <t>Units per fully-ramped partner per month</t>
        </is>
      </c>
      <c r="C167" s="357" t="inlineStr">
        <is>
          <t>units/mo</t>
        </is>
      </c>
      <c r="D167" s="358" t="n">
        <v>8</v>
      </c>
      <c r="E167" s="358" t="n">
        <v>8</v>
      </c>
      <c r="F167" s="355">
        <f>IF($D$82=2,E167,D167)</f>
        <v/>
      </c>
      <c r="G167" s="307" t="n"/>
      <c r="H167" s="31" t="n"/>
      <c r="I167" s="31" t="n"/>
      <c r="J167" s="31" t="n"/>
      <c r="K167" s="31" t="n"/>
      <c r="L167" s="31" t="n"/>
      <c r="M167" s="31" t="n"/>
      <c r="N167" s="307" t="n"/>
      <c r="O167" s="307" t="n"/>
      <c r="P167" s="307" t="n"/>
      <c r="Q167" s="307" t="n"/>
      <c r="R167" s="307" t="n"/>
      <c r="S167" s="307" t="n"/>
      <c r="T167" s="307" t="n"/>
      <c r="U167" s="307" t="n"/>
      <c r="V167" s="307" t="n"/>
      <c r="W167" s="307" t="n"/>
      <c r="X167" s="307" t="n"/>
      <c r="Y167" s="307" t="n"/>
      <c r="Z167" s="307" t="n"/>
      <c r="AA167" s="307" t="n"/>
      <c r="AB167" s="307" t="n"/>
      <c r="AC167" s="307" t="n"/>
      <c r="AD167" s="307" t="n"/>
    </row>
    <row r="168" ht="15.75" customHeight="1" s="349">
      <c r="A168" s="307" t="n"/>
      <c r="B168" s="153" t="inlineStr">
        <is>
          <t>Installer partners per Partner Manager</t>
        </is>
      </c>
      <c r="C168" s="357" t="inlineStr">
        <is>
          <t>partners</t>
        </is>
      </c>
      <c r="D168" s="358" t="n">
        <v>18</v>
      </c>
      <c r="E168" s="358" t="n">
        <v>18</v>
      </c>
      <c r="F168" s="355">
        <f>IF($D$82=2,E168,D168)</f>
        <v/>
      </c>
      <c r="G168" s="307" t="n"/>
      <c r="H168" s="31" t="n"/>
      <c r="I168" s="31" t="n"/>
      <c r="J168" s="31" t="n"/>
      <c r="K168" s="31" t="n"/>
      <c r="L168" s="31" t="n"/>
      <c r="M168" s="31" t="n"/>
      <c r="N168" s="307" t="n"/>
      <c r="O168" s="307" t="n"/>
      <c r="P168" s="307" t="n"/>
      <c r="Q168" s="307" t="n"/>
      <c r="R168" s="307" t="n"/>
      <c r="S168" s="307" t="n"/>
      <c r="T168" s="307" t="n"/>
      <c r="U168" s="307" t="n"/>
      <c r="V168" s="307" t="n"/>
      <c r="W168" s="307" t="n"/>
      <c r="X168" s="307" t="n"/>
      <c r="Y168" s="307" t="n"/>
      <c r="Z168" s="307" t="n"/>
      <c r="AA168" s="307" t="n"/>
      <c r="AB168" s="307" t="n"/>
      <c r="AC168" s="307" t="n"/>
      <c r="AD168" s="307" t="n"/>
    </row>
    <row r="169" ht="15.75" customHeight="1" s="349">
      <c r="A169" s="307" t="n"/>
      <c r="B169" s="153" t="inlineStr">
        <is>
          <t>Loaded cost per sales rep</t>
        </is>
      </c>
      <c r="C169" s="357" t="inlineStr">
        <is>
          <t>EUR/month</t>
        </is>
      </c>
      <c r="D169" s="358" t="n">
        <v>7500</v>
      </c>
      <c r="E169" s="358" t="n">
        <v>7500</v>
      </c>
      <c r="F169" s="355">
        <f>IF($D$82=2,E169,D169)</f>
        <v/>
      </c>
      <c r="G169" s="307" t="n"/>
      <c r="H169" s="31" t="n"/>
      <c r="I169" s="31" t="n"/>
      <c r="J169" s="31" t="n"/>
      <c r="K169" s="31" t="n"/>
      <c r="L169" s="31" t="n"/>
      <c r="M169" s="31" t="n"/>
      <c r="N169" s="307" t="n"/>
      <c r="O169" s="307" t="n"/>
      <c r="P169" s="307" t="n"/>
      <c r="Q169" s="307" t="n"/>
      <c r="R169" s="307" t="n"/>
      <c r="S169" s="307" t="n"/>
      <c r="T169" s="307" t="n"/>
      <c r="U169" s="307" t="n"/>
      <c r="V169" s="307" t="n"/>
      <c r="W169" s="307" t="n"/>
      <c r="X169" s="307" t="n"/>
      <c r="Y169" s="307" t="n"/>
      <c r="Z169" s="307" t="n"/>
      <c r="AA169" s="307" t="n"/>
      <c r="AB169" s="307" t="n"/>
      <c r="AC169" s="307" t="n"/>
      <c r="AD169" s="307" t="n"/>
    </row>
    <row r="170" ht="15.75" customHeight="1" s="349">
      <c r="A170" s="307" t="n"/>
      <c r="B170" s="153" t="inlineStr">
        <is>
          <t>Loaded cost per partner manager</t>
        </is>
      </c>
      <c r="C170" s="357" t="inlineStr">
        <is>
          <t>EUR/month</t>
        </is>
      </c>
      <c r="D170" s="358" t="n">
        <v>8000</v>
      </c>
      <c r="E170" s="358" t="n">
        <v>8000</v>
      </c>
      <c r="F170" s="355">
        <f>IF($D$82=2,E170,D170)</f>
        <v/>
      </c>
      <c r="G170" s="307" t="n"/>
      <c r="H170" s="31" t="n"/>
      <c r="I170" s="31" t="n"/>
      <c r="J170" s="31" t="n"/>
      <c r="K170" s="31" t="n"/>
      <c r="L170" s="31" t="n"/>
      <c r="M170" s="31" t="n"/>
      <c r="N170" s="307" t="n"/>
      <c r="O170" s="307" t="n"/>
      <c r="P170" s="307" t="n"/>
      <c r="Q170" s="307" t="n"/>
      <c r="R170" s="307" t="n"/>
      <c r="S170" s="307" t="n"/>
      <c r="T170" s="307" t="n"/>
      <c r="U170" s="307" t="n"/>
      <c r="V170" s="307" t="n"/>
      <c r="W170" s="307" t="n"/>
      <c r="X170" s="307" t="n"/>
      <c r="Y170" s="307" t="n"/>
      <c r="Z170" s="307" t="n"/>
      <c r="AA170" s="307" t="n"/>
      <c r="AB170" s="307" t="n"/>
      <c r="AC170" s="307" t="n"/>
      <c r="AD170" s="307" t="n"/>
    </row>
    <row r="171" ht="15.75" customHeight="1" s="349">
      <c r="A171" s="307" t="n"/>
      <c r="B171" s="356" t="inlineStr">
        <is>
          <t>MANUFACTURING  —  assembly partner carries the ramp, in-house takes over</t>
        </is>
      </c>
      <c r="C171" s="307" t="n"/>
      <c r="D171" s="307" t="n"/>
      <c r="E171" s="307" t="n"/>
      <c r="F171" s="307" t="n"/>
      <c r="G171" s="307" t="n"/>
      <c r="H171" s="31" t="n"/>
      <c r="I171" s="31" t="n"/>
      <c r="J171" s="31" t="n"/>
      <c r="K171" s="31" t="n"/>
      <c r="L171" s="31" t="n"/>
      <c r="M171" s="31" t="n"/>
      <c r="N171" s="307" t="n"/>
      <c r="O171" s="307" t="n"/>
      <c r="P171" s="307" t="n"/>
      <c r="Q171" s="307" t="n"/>
      <c r="R171" s="307" t="n"/>
      <c r="S171" s="307" t="n"/>
      <c r="T171" s="307" t="n"/>
      <c r="U171" s="307" t="n"/>
      <c r="V171" s="307" t="n"/>
      <c r="W171" s="307" t="n"/>
      <c r="X171" s="307" t="n"/>
      <c r="Y171" s="307" t="n"/>
      <c r="Z171" s="307" t="n"/>
      <c r="AA171" s="307" t="n"/>
      <c r="AB171" s="307" t="n"/>
      <c r="AC171" s="307" t="n"/>
      <c r="AD171" s="307" t="n"/>
    </row>
    <row r="172" ht="15.75" customHeight="1" s="349">
      <c r="A172" s="307" t="n"/>
      <c r="B172" s="153" t="inlineStr">
        <is>
          <t>Assembly partner capacity</t>
        </is>
      </c>
      <c r="C172" s="357" t="inlineStr">
        <is>
          <t>units/mo</t>
        </is>
      </c>
      <c r="D172" s="358" t="n">
        <v>650</v>
      </c>
      <c r="E172" s="358" t="n">
        <v>1000</v>
      </c>
      <c r="F172" s="355">
        <f>IF($D$82=2,E172,D172)</f>
        <v/>
      </c>
      <c r="G172" s="307" t="n"/>
      <c r="H172" s="31" t="n"/>
      <c r="I172" s="31" t="n"/>
      <c r="J172" s="31" t="n"/>
      <c r="K172" s="31" t="n"/>
      <c r="L172" s="350" t="inlineStr">
        <is>
          <t>the assembly partner carries the ramp; in-house lines take over as they come live</t>
        </is>
      </c>
      <c r="M172" s="31" t="n"/>
      <c r="N172" s="307" t="n"/>
      <c r="O172" s="307" t="n"/>
      <c r="P172" s="307" t="n"/>
      <c r="Q172" s="307" t="n"/>
      <c r="R172" s="307" t="n"/>
      <c r="S172" s="307" t="n"/>
      <c r="T172" s="307" t="n"/>
      <c r="U172" s="307" t="n"/>
      <c r="V172" s="307" t="n"/>
      <c r="W172" s="307" t="n"/>
      <c r="X172" s="307" t="n"/>
      <c r="Y172" s="307" t="n"/>
      <c r="Z172" s="307" t="n"/>
      <c r="AA172" s="307" t="n"/>
      <c r="AB172" s="307" t="n"/>
      <c r="AC172" s="307" t="n"/>
      <c r="AD172" s="307" t="n"/>
    </row>
    <row r="173" ht="15.75" customHeight="1" s="349">
      <c r="A173" s="307" t="n"/>
      <c r="B173" s="153" t="inlineStr">
        <is>
          <t>In-house line 1 online</t>
        </is>
      </c>
      <c r="C173" s="357" t="inlineStr">
        <is>
          <t>date</t>
        </is>
      </c>
      <c r="D173" s="367" t="n">
        <v>47849</v>
      </c>
      <c r="E173" s="367" t="n">
        <v>46935</v>
      </c>
      <c r="F173" s="368">
        <f>IF($D$82=2,E173,D173)</f>
        <v/>
      </c>
      <c r="G173" s="307" t="n"/>
      <c r="H173" s="31" t="n"/>
      <c r="I173" s="31" t="n"/>
      <c r="J173" s="31" t="n"/>
      <c r="K173" s="31" t="n"/>
      <c r="L173" s="31" t="n"/>
      <c r="M173" s="31" t="n"/>
      <c r="N173" s="307" t="n"/>
      <c r="O173" s="307" t="n"/>
      <c r="P173" s="307" t="n"/>
      <c r="Q173" s="307" t="n"/>
      <c r="R173" s="307" t="n"/>
      <c r="S173" s="307" t="n"/>
      <c r="T173" s="307" t="n"/>
      <c r="U173" s="307" t="n"/>
      <c r="V173" s="307" t="n"/>
      <c r="W173" s="307" t="n"/>
      <c r="X173" s="307" t="n"/>
      <c r="Y173" s="307" t="n"/>
      <c r="Z173" s="307" t="n"/>
      <c r="AA173" s="307" t="n"/>
      <c r="AB173" s="307" t="n"/>
      <c r="AC173" s="307" t="n"/>
      <c r="AD173" s="307" t="n"/>
    </row>
    <row r="174" ht="15.75" customHeight="1" s="349">
      <c r="A174" s="307" t="n"/>
      <c r="B174" s="153" t="inlineStr">
        <is>
          <t>In-house line 2 online</t>
        </is>
      </c>
      <c r="C174" s="357" t="inlineStr">
        <is>
          <t>date</t>
        </is>
      </c>
      <c r="D174" s="367" t="n">
        <v>47849</v>
      </c>
      <c r="E174" s="367" t="n">
        <v>47300</v>
      </c>
      <c r="F174" s="368">
        <f>IF($D$82=2,E174,D174)</f>
        <v/>
      </c>
      <c r="G174" s="307" t="n"/>
      <c r="H174" s="31" t="n"/>
      <c r="I174" s="31" t="n"/>
      <c r="J174" s="31" t="n"/>
      <c r="K174" s="31" t="n"/>
      <c r="L174" s="31" t="n"/>
      <c r="M174" s="31" t="n"/>
      <c r="N174" s="307" t="n"/>
      <c r="O174" s="307" t="n"/>
      <c r="P174" s="307" t="n"/>
      <c r="Q174" s="307" t="n"/>
      <c r="R174" s="307" t="n"/>
      <c r="S174" s="307" t="n"/>
      <c r="T174" s="307" t="n"/>
      <c r="U174" s="307" t="n"/>
      <c r="V174" s="307" t="n"/>
      <c r="W174" s="307" t="n"/>
      <c r="X174" s="307" t="n"/>
      <c r="Y174" s="307" t="n"/>
      <c r="Z174" s="307" t="n"/>
      <c r="AA174" s="307" t="n"/>
      <c r="AB174" s="307" t="n"/>
      <c r="AC174" s="307" t="n"/>
      <c r="AD174" s="307" t="n"/>
    </row>
    <row r="175" ht="15.75" customHeight="1" s="349">
      <c r="A175" s="307" t="n"/>
      <c r="B175" s="153" t="inlineStr">
        <is>
          <t>Capacity per in-house line</t>
        </is>
      </c>
      <c r="C175" s="357" t="inlineStr">
        <is>
          <t>units/mo</t>
        </is>
      </c>
      <c r="D175" s="358" t="n">
        <v>1000</v>
      </c>
      <c r="E175" s="358" t="n">
        <v>1000</v>
      </c>
      <c r="F175" s="355">
        <f>IF($D$82=2,E175,D175)</f>
        <v/>
      </c>
      <c r="G175" s="307" t="n"/>
      <c r="H175" s="31" t="n"/>
      <c r="I175" s="31" t="n"/>
      <c r="J175" s="31" t="n"/>
      <c r="K175" s="31" t="n"/>
      <c r="L175" s="31" t="n"/>
      <c r="M175" s="31" t="n"/>
      <c r="N175" s="307" t="n"/>
      <c r="O175" s="307" t="n"/>
      <c r="P175" s="307" t="n"/>
      <c r="Q175" s="307" t="n"/>
      <c r="R175" s="307" t="n"/>
      <c r="S175" s="307" t="n"/>
      <c r="T175" s="307" t="n"/>
      <c r="U175" s="307" t="n"/>
      <c r="V175" s="307" t="n"/>
      <c r="W175" s="307" t="n"/>
      <c r="X175" s="307" t="n"/>
      <c r="Y175" s="307" t="n"/>
      <c r="Z175" s="307" t="n"/>
      <c r="AA175" s="307" t="n"/>
      <c r="AB175" s="307" t="n"/>
      <c r="AC175" s="307" t="n"/>
      <c r="AD175" s="307" t="n"/>
    </row>
    <row r="176" ht="15.75" customHeight="1" s="349">
      <c r="A176" s="307" t="n"/>
      <c r="B176" s="153" t="inlineStr">
        <is>
          <t>Capex per in-house line</t>
        </is>
      </c>
      <c r="C176" s="357" t="inlineStr">
        <is>
          <t>EUR</t>
        </is>
      </c>
      <c r="D176" s="358" t="n">
        <v>2500000</v>
      </c>
      <c r="E176" s="358" t="n">
        <v>2500000</v>
      </c>
      <c r="F176" s="355">
        <f>IF($D$82=2,E176,D176)</f>
        <v/>
      </c>
      <c r="G176" s="307" t="n"/>
      <c r="H176" s="31" t="n"/>
      <c r="I176" s="31" t="n"/>
      <c r="J176" s="31" t="n"/>
      <c r="K176" s="31" t="n"/>
      <c r="L176" s="31" t="n"/>
      <c r="M176" s="31" t="n"/>
      <c r="N176" s="307" t="n"/>
      <c r="O176" s="307" t="n"/>
      <c r="P176" s="307" t="n"/>
      <c r="Q176" s="307" t="n"/>
      <c r="R176" s="307" t="n"/>
      <c r="S176" s="307" t="n"/>
      <c r="T176" s="307" t="n"/>
      <c r="U176" s="307" t="n"/>
      <c r="V176" s="307" t="n"/>
      <c r="W176" s="307" t="n"/>
      <c r="X176" s="307" t="n"/>
      <c r="Y176" s="307" t="n"/>
      <c r="Z176" s="307" t="n"/>
      <c r="AA176" s="307" t="n"/>
      <c r="AB176" s="307" t="n"/>
      <c r="AC176" s="307" t="n"/>
      <c r="AD176" s="307" t="n"/>
    </row>
    <row r="177" ht="15.75" customHeight="1" s="349">
      <c r="A177" s="307" t="n"/>
      <c r="B177" s="153" t="inlineStr">
        <is>
          <t>Tooling &amp; automation (one-off, with line 1)</t>
        </is>
      </c>
      <c r="C177" s="357" t="inlineStr">
        <is>
          <t>EUR</t>
        </is>
      </c>
      <c r="D177" s="358" t="n">
        <v>1000000</v>
      </c>
      <c r="E177" s="358" t="n">
        <v>1000000</v>
      </c>
      <c r="F177" s="355">
        <f>IF($D$82=2,E177,D177)</f>
        <v/>
      </c>
      <c r="G177" s="307" t="n"/>
      <c r="H177" s="31" t="n"/>
      <c r="I177" s="31" t="n"/>
      <c r="J177" s="31" t="n"/>
      <c r="K177" s="31" t="n"/>
      <c r="L177" s="31" t="n"/>
      <c r="M177" s="31" t="n"/>
      <c r="N177" s="307" t="n"/>
      <c r="O177" s="307" t="n"/>
      <c r="P177" s="307" t="n"/>
      <c r="Q177" s="307" t="n"/>
      <c r="R177" s="307" t="n"/>
      <c r="S177" s="307" t="n"/>
      <c r="T177" s="307" t="n"/>
      <c r="U177" s="307" t="n"/>
      <c r="V177" s="307" t="n"/>
      <c r="W177" s="307" t="n"/>
      <c r="X177" s="307" t="n"/>
      <c r="Y177" s="307" t="n"/>
      <c r="Z177" s="307" t="n"/>
      <c r="AA177" s="307" t="n"/>
      <c r="AB177" s="307" t="n"/>
      <c r="AC177" s="307" t="n"/>
      <c r="AD177" s="307" t="n"/>
    </row>
    <row r="178" ht="15.75" customHeight="1" s="349">
      <c r="A178" s="307" t="n"/>
      <c r="B178" s="153" t="inlineStr">
        <is>
          <t>Capex lead time before a line goes live</t>
        </is>
      </c>
      <c r="C178" s="357" t="inlineStr">
        <is>
          <t>months</t>
        </is>
      </c>
      <c r="D178" s="358" t="n">
        <v>12</v>
      </c>
      <c r="E178" s="358" t="n">
        <v>12</v>
      </c>
      <c r="F178" s="355">
        <f>IF($D$82=2,E178,D178)</f>
        <v/>
      </c>
      <c r="G178" s="307" t="n"/>
      <c r="H178" s="31" t="n"/>
      <c r="I178" s="31" t="n"/>
      <c r="J178" s="31" t="n"/>
      <c r="K178" s="31" t="n"/>
      <c r="L178" s="350" t="inlineStr">
        <is>
          <t>capex is spent this many months BEFORE a line produces — that is what makes the raise urgent</t>
        </is>
      </c>
      <c r="M178" s="31" t="n"/>
      <c r="N178" s="307" t="n"/>
      <c r="O178" s="307" t="n"/>
      <c r="P178" s="307" t="n"/>
      <c r="Q178" s="307" t="n"/>
      <c r="R178" s="307" t="n"/>
      <c r="S178" s="307" t="n"/>
      <c r="T178" s="307" t="n"/>
      <c r="U178" s="307" t="n"/>
      <c r="V178" s="307" t="n"/>
      <c r="W178" s="307" t="n"/>
      <c r="X178" s="307" t="n"/>
      <c r="Y178" s="307" t="n"/>
      <c r="Z178" s="307" t="n"/>
      <c r="AA178" s="307" t="n"/>
      <c r="AB178" s="307" t="n"/>
      <c r="AC178" s="307" t="n"/>
      <c r="AD178" s="307" t="n"/>
    </row>
    <row r="179" ht="15.75" customHeight="1" s="349">
      <c r="A179" s="307" t="n"/>
      <c r="B179" s="153" t="inlineStr">
        <is>
          <t>Facility &amp; maintenance per live in-house line</t>
        </is>
      </c>
      <c r="C179" s="357" t="inlineStr">
        <is>
          <t>EUR/month</t>
        </is>
      </c>
      <c r="D179" s="358" t="n">
        <v>90000</v>
      </c>
      <c r="E179" s="358" t="n">
        <v>90000</v>
      </c>
      <c r="F179" s="355">
        <f>IF($D$82=2,E179,D179)</f>
        <v/>
      </c>
      <c r="G179" s="307" t="n"/>
      <c r="H179" s="31" t="n"/>
      <c r="I179" s="31" t="n"/>
      <c r="J179" s="31" t="n"/>
      <c r="K179" s="31" t="n"/>
      <c r="L179" s="31" t="n"/>
      <c r="M179" s="31" t="n"/>
      <c r="N179" s="307" t="n"/>
      <c r="O179" s="307" t="n"/>
      <c r="P179" s="307" t="n"/>
      <c r="Q179" s="307" t="n"/>
      <c r="R179" s="307" t="n"/>
      <c r="S179" s="307" t="n"/>
      <c r="T179" s="307" t="n"/>
      <c r="U179" s="307" t="n"/>
      <c r="V179" s="307" t="n"/>
      <c r="W179" s="307" t="n"/>
      <c r="X179" s="307" t="n"/>
      <c r="Y179" s="307" t="n"/>
      <c r="Z179" s="307" t="n"/>
      <c r="AA179" s="307" t="n"/>
      <c r="AB179" s="307" t="n"/>
      <c r="AC179" s="307" t="n"/>
      <c r="AD179" s="307" t="n"/>
    </row>
    <row r="180" ht="15.75" customHeight="1" s="349">
      <c r="A180" s="307" t="n"/>
      <c r="B180" s="356" t="inlineStr">
        <is>
          <t>SERVICE  —  check only; field labour already sits in service COGS</t>
        </is>
      </c>
      <c r="C180" s="307" t="n"/>
      <c r="D180" s="307" t="n"/>
      <c r="E180" s="307" t="n"/>
      <c r="F180" s="307" t="n"/>
      <c r="G180" s="307" t="n"/>
      <c r="H180" s="31" t="n"/>
      <c r="I180" s="31" t="n"/>
      <c r="J180" s="31" t="n"/>
      <c r="K180" s="31" t="n"/>
      <c r="L180" s="31" t="n"/>
      <c r="M180" s="31" t="n"/>
      <c r="N180" s="307" t="n"/>
      <c r="O180" s="307" t="n"/>
      <c r="P180" s="307" t="n"/>
      <c r="Q180" s="307" t="n"/>
      <c r="R180" s="307" t="n"/>
      <c r="S180" s="307" t="n"/>
      <c r="T180" s="307" t="n"/>
      <c r="U180" s="307" t="n"/>
      <c r="V180" s="307" t="n"/>
      <c r="W180" s="307" t="n"/>
      <c r="X180" s="307" t="n"/>
      <c r="Y180" s="307" t="n"/>
      <c r="Z180" s="307" t="n"/>
      <c r="AA180" s="307" t="n"/>
      <c r="AB180" s="307" t="n"/>
      <c r="AC180" s="307" t="n"/>
      <c r="AD180" s="307" t="n"/>
    </row>
    <row r="181" ht="15.75" customHeight="1" s="349">
      <c r="A181" s="307" t="n"/>
      <c r="B181" s="153" t="inlineStr">
        <is>
          <t>Service visits per technician per year</t>
        </is>
      </c>
      <c r="C181" s="357" t="inlineStr">
        <is>
          <t>visits</t>
        </is>
      </c>
      <c r="D181" s="358" t="n">
        <v>750</v>
      </c>
      <c r="E181" s="358" t="n">
        <v>750</v>
      </c>
      <c r="F181" s="355">
        <f>IF($D$82=2,E181,D181)</f>
        <v/>
      </c>
      <c r="G181" s="307" t="n"/>
      <c r="H181" s="31" t="n"/>
      <c r="I181" s="31" t="n"/>
      <c r="J181" s="31" t="n"/>
      <c r="K181" s="31" t="n"/>
      <c r="L181" s="31" t="n"/>
      <c r="M181" s="31" t="n"/>
      <c r="N181" s="307" t="n"/>
      <c r="O181" s="307" t="n"/>
      <c r="P181" s="307" t="n"/>
      <c r="Q181" s="307" t="n"/>
      <c r="R181" s="307" t="n"/>
      <c r="S181" s="307" t="n"/>
      <c r="T181" s="307" t="n"/>
      <c r="U181" s="307" t="n"/>
      <c r="V181" s="307" t="n"/>
      <c r="W181" s="307" t="n"/>
      <c r="X181" s="307" t="n"/>
      <c r="Y181" s="307" t="n"/>
      <c r="Z181" s="307" t="n"/>
      <c r="AA181" s="307" t="n"/>
      <c r="AB181" s="307" t="n"/>
      <c r="AC181" s="307" t="n"/>
      <c r="AD181" s="307" t="n"/>
    </row>
    <row r="182" ht="15.75" customHeight="1" s="349">
      <c r="A182" s="307" t="n"/>
      <c r="B182" s="307" t="n"/>
      <c r="C182" s="307" t="n"/>
      <c r="D182" s="307" t="n"/>
      <c r="E182" s="307" t="n"/>
      <c r="F182" s="307" t="n"/>
      <c r="G182" s="307" t="n"/>
      <c r="H182" s="31" t="n"/>
      <c r="I182" s="31" t="n"/>
      <c r="J182" s="31" t="n"/>
      <c r="K182" s="31" t="n"/>
      <c r="L182" s="31" t="n"/>
      <c r="M182" s="31" t="n"/>
      <c r="N182" s="307" t="n"/>
      <c r="O182" s="307" t="n"/>
      <c r="P182" s="307" t="n"/>
      <c r="Q182" s="307" t="n"/>
      <c r="R182" s="307" t="n"/>
      <c r="S182" s="307" t="n"/>
      <c r="T182" s="307" t="n"/>
      <c r="U182" s="307" t="n"/>
      <c r="V182" s="307" t="n"/>
      <c r="W182" s="307" t="n"/>
      <c r="X182" s="307" t="n"/>
      <c r="Y182" s="307" t="n"/>
      <c r="Z182" s="307" t="n"/>
      <c r="AA182" s="307" t="n"/>
      <c r="AB182" s="307" t="n"/>
      <c r="AC182" s="307" t="n"/>
      <c r="AD182" s="307" t="n"/>
    </row>
    <row r="183" ht="15.75" customHeight="1" s="349">
      <c r="A183" s="307" t="n"/>
      <c r="B183" s="356" t="inlineStr">
        <is>
          <t>ORGANISATION RATIOS  —  headcount is an output of volume and installed base</t>
        </is>
      </c>
      <c r="C183" s="307" t="n"/>
      <c r="D183" s="307" t="n"/>
      <c r="E183" s="307" t="n"/>
      <c r="F183" s="307" t="n"/>
      <c r="G183" s="307" t="n"/>
      <c r="H183" s="31" t="n"/>
      <c r="I183" s="31" t="n"/>
      <c r="J183" s="31" t="n"/>
      <c r="K183" s="31" t="n"/>
      <c r="L183" s="31" t="n"/>
      <c r="M183" s="31" t="n"/>
      <c r="N183" s="307" t="n"/>
      <c r="O183" s="307" t="n"/>
      <c r="P183" s="307" t="n"/>
      <c r="Q183" s="307" t="n"/>
      <c r="R183" s="307" t="n"/>
      <c r="S183" s="307" t="n"/>
      <c r="T183" s="307" t="n"/>
      <c r="U183" s="307" t="n"/>
      <c r="V183" s="307" t="n"/>
      <c r="W183" s="307" t="n"/>
      <c r="X183" s="307" t="n"/>
      <c r="Y183" s="307" t="n"/>
      <c r="Z183" s="307" t="n"/>
      <c r="AA183" s="307" t="n"/>
      <c r="AB183" s="307" t="n"/>
      <c r="AC183" s="307" t="n"/>
      <c r="AD183" s="307" t="n"/>
    </row>
    <row r="184" ht="15.75" customHeight="1" s="349">
      <c r="A184" s="307" t="n"/>
      <c r="B184" s="153" t="inlineStr">
        <is>
          <t>Units per supply-chain / planning / logistics FTE</t>
        </is>
      </c>
      <c r="C184" s="357" t="inlineStr">
        <is>
          <t>units/yr</t>
        </is>
      </c>
      <c r="D184" s="358" t="n">
        <v>900</v>
      </c>
      <c r="E184" s="358" t="n">
        <v>900</v>
      </c>
      <c r="F184" s="355">
        <f>IF($D$82=2,E184,D184)</f>
        <v/>
      </c>
      <c r="G184" s="307" t="n"/>
      <c r="H184" s="31" t="n"/>
      <c r="I184" s="31" t="n"/>
      <c r="J184" s="31" t="n"/>
      <c r="K184" s="31" t="n"/>
      <c r="L184" s="31" t="n"/>
      <c r="M184" s="31" t="n"/>
      <c r="N184" s="307" t="n"/>
      <c r="O184" s="307" t="n"/>
      <c r="P184" s="307" t="n"/>
      <c r="Q184" s="307" t="n"/>
      <c r="R184" s="307" t="n"/>
      <c r="S184" s="307" t="n"/>
      <c r="T184" s="307" t="n"/>
      <c r="U184" s="307" t="n"/>
      <c r="V184" s="307" t="n"/>
      <c r="W184" s="307" t="n"/>
      <c r="X184" s="307" t="n"/>
      <c r="Y184" s="307" t="n"/>
      <c r="Z184" s="307" t="n"/>
      <c r="AA184" s="307" t="n"/>
      <c r="AB184" s="307" t="n"/>
      <c r="AC184" s="307" t="n"/>
      <c r="AD184" s="307" t="n"/>
    </row>
    <row r="185" ht="15.75" customHeight="1" s="349">
      <c r="A185" s="307" t="n"/>
      <c r="B185" s="153" t="inlineStr">
        <is>
          <t>Production operators per live in-house line</t>
        </is>
      </c>
      <c r="C185" s="357" t="inlineStr">
        <is>
          <t>FTE</t>
        </is>
      </c>
      <c r="D185" s="358" t="n">
        <v>35</v>
      </c>
      <c r="E185" s="358" t="n">
        <v>35</v>
      </c>
      <c r="F185" s="355">
        <f>IF($D$82=2,E185,D185)</f>
        <v/>
      </c>
      <c r="G185" s="307" t="n"/>
      <c r="H185" s="31" t="n"/>
      <c r="I185" s="31" t="n"/>
      <c r="J185" s="31" t="n"/>
      <c r="K185" s="31" t="n"/>
      <c r="L185" s="31" t="n"/>
      <c r="M185" s="31" t="n"/>
      <c r="N185" s="307" t="n"/>
      <c r="O185" s="307" t="n"/>
      <c r="P185" s="307" t="n"/>
      <c r="Q185" s="307" t="n"/>
      <c r="R185" s="307" t="n"/>
      <c r="S185" s="307" t="n"/>
      <c r="T185" s="307" t="n"/>
      <c r="U185" s="307" t="n"/>
      <c r="V185" s="307" t="n"/>
      <c r="W185" s="307" t="n"/>
      <c r="X185" s="307" t="n"/>
      <c r="Y185" s="307" t="n"/>
      <c r="Z185" s="307" t="n"/>
      <c r="AA185" s="307" t="n"/>
      <c r="AB185" s="307" t="n"/>
      <c r="AC185" s="307" t="n"/>
      <c r="AD185" s="307" t="n"/>
    </row>
    <row r="186" ht="15.75" customHeight="1" s="349">
      <c r="A186" s="307" t="n"/>
      <c r="B186" s="153" t="inlineStr">
        <is>
          <t>Installed units per customer-support agent</t>
        </is>
      </c>
      <c r="C186" s="357" t="inlineStr">
        <is>
          <t>units</t>
        </is>
      </c>
      <c r="D186" s="358" t="n">
        <v>2500</v>
      </c>
      <c r="E186" s="358" t="n">
        <v>2500</v>
      </c>
      <c r="F186" s="355">
        <f>IF($D$82=2,E186,D186)</f>
        <v/>
      </c>
      <c r="G186" s="307" t="n"/>
      <c r="H186" s="31" t="n"/>
      <c r="I186" s="31" t="n"/>
      <c r="J186" s="31" t="n"/>
      <c r="K186" s="31" t="n"/>
      <c r="L186" s="31" t="n"/>
      <c r="M186" s="31" t="n"/>
      <c r="N186" s="307" t="n"/>
      <c r="O186" s="307" t="n"/>
      <c r="P186" s="307" t="n"/>
      <c r="Q186" s="307" t="n"/>
      <c r="R186" s="307" t="n"/>
      <c r="S186" s="307" t="n"/>
      <c r="T186" s="307" t="n"/>
      <c r="U186" s="307" t="n"/>
      <c r="V186" s="307" t="n"/>
      <c r="W186" s="307" t="n"/>
      <c r="X186" s="307" t="n"/>
      <c r="Y186" s="307" t="n"/>
      <c r="Z186" s="307" t="n"/>
      <c r="AA186" s="307" t="n"/>
      <c r="AB186" s="307" t="n"/>
      <c r="AC186" s="307" t="n"/>
      <c r="AD186" s="307" t="n"/>
    </row>
    <row r="187" ht="15.75" customHeight="1" s="349">
      <c r="A187" s="307" t="n"/>
      <c r="B187" s="153" t="inlineStr">
        <is>
          <t>Installed units per technical-escalation FTE</t>
        </is>
      </c>
      <c r="C187" s="357" t="inlineStr">
        <is>
          <t>units</t>
        </is>
      </c>
      <c r="D187" s="358" t="n">
        <v>15000</v>
      </c>
      <c r="E187" s="358" t="n">
        <v>15000</v>
      </c>
      <c r="F187" s="355">
        <f>IF($D$82=2,E187,D187)</f>
        <v/>
      </c>
      <c r="G187" s="307" t="n"/>
      <c r="H187" s="31" t="n"/>
      <c r="I187" s="31" t="n"/>
      <c r="J187" s="31" t="n"/>
      <c r="K187" s="31" t="n"/>
      <c r="L187" s="31" t="n"/>
      <c r="M187" s="31" t="n"/>
      <c r="N187" s="307" t="n"/>
      <c r="O187" s="307" t="n"/>
      <c r="P187" s="307" t="n"/>
      <c r="Q187" s="307" t="n"/>
      <c r="R187" s="307" t="n"/>
      <c r="S187" s="307" t="n"/>
      <c r="T187" s="307" t="n"/>
      <c r="U187" s="307" t="n"/>
      <c r="V187" s="307" t="n"/>
      <c r="W187" s="307" t="n"/>
      <c r="X187" s="307" t="n"/>
      <c r="Y187" s="307" t="n"/>
      <c r="Z187" s="307" t="n"/>
      <c r="AA187" s="307" t="n"/>
      <c r="AB187" s="307" t="n"/>
      <c r="AC187" s="307" t="n"/>
      <c r="AD187" s="307" t="n"/>
    </row>
    <row r="188" ht="15.75" customHeight="1" s="349">
      <c r="A188" s="307" t="n"/>
      <c r="B188" s="153" t="inlineStr">
        <is>
          <t>New partners per year per installer trainer</t>
        </is>
      </c>
      <c r="C188" s="357" t="inlineStr">
        <is>
          <t>partners</t>
        </is>
      </c>
      <c r="D188" s="358" t="n">
        <v>40</v>
      </c>
      <c r="E188" s="358" t="n">
        <v>40</v>
      </c>
      <c r="F188" s="355">
        <f>IF($D$82=2,E188,D188)</f>
        <v/>
      </c>
      <c r="G188" s="307" t="n"/>
      <c r="H188" s="31" t="n"/>
      <c r="I188" s="31" t="n"/>
      <c r="J188" s="31" t="n"/>
      <c r="K188" s="31" t="n"/>
      <c r="L188" s="31" t="n"/>
      <c r="M188" s="31" t="n"/>
      <c r="N188" s="307" t="n"/>
      <c r="O188" s="307" t="n"/>
      <c r="P188" s="307" t="n"/>
      <c r="Q188" s="307" t="n"/>
      <c r="R188" s="307" t="n"/>
      <c r="S188" s="307" t="n"/>
      <c r="T188" s="307" t="n"/>
      <c r="U188" s="307" t="n"/>
      <c r="V188" s="307" t="n"/>
      <c r="W188" s="307" t="n"/>
      <c r="X188" s="307" t="n"/>
      <c r="Y188" s="307" t="n"/>
      <c r="Z188" s="307" t="n"/>
      <c r="AA188" s="307" t="n"/>
      <c r="AB188" s="307" t="n"/>
      <c r="AC188" s="307" t="n"/>
      <c r="AD188" s="307" t="n"/>
    </row>
    <row r="189" ht="15.75" customHeight="1" s="349">
      <c r="A189" s="307" t="n"/>
      <c r="B189" s="153" t="inlineStr">
        <is>
          <t>Units per year per order-desk FTE</t>
        </is>
      </c>
      <c r="C189" s="357" t="inlineStr">
        <is>
          <t>units/yr</t>
        </is>
      </c>
      <c r="D189" s="358" t="n">
        <v>3000</v>
      </c>
      <c r="E189" s="358" t="n">
        <v>3000</v>
      </c>
      <c r="F189" s="355">
        <f>IF($D$82=2,E189,D189)</f>
        <v/>
      </c>
      <c r="G189" s="307" t="n"/>
      <c r="H189" s="31" t="n"/>
      <c r="I189" s="31" t="n"/>
      <c r="J189" s="31" t="n"/>
      <c r="K189" s="31" t="n"/>
      <c r="L189" s="31" t="n"/>
      <c r="M189" s="31" t="n"/>
      <c r="N189" s="307" t="n"/>
      <c r="O189" s="307" t="n"/>
      <c r="P189" s="307" t="n"/>
      <c r="Q189" s="307" t="n"/>
      <c r="R189" s="307" t="n"/>
      <c r="S189" s="307" t="n"/>
      <c r="T189" s="307" t="n"/>
      <c r="U189" s="307" t="n"/>
      <c r="V189" s="307" t="n"/>
      <c r="W189" s="307" t="n"/>
      <c r="X189" s="307" t="n"/>
      <c r="Y189" s="307" t="n"/>
      <c r="Z189" s="307" t="n"/>
      <c r="AA189" s="307" t="n"/>
      <c r="AB189" s="307" t="n"/>
      <c r="AC189" s="307" t="n"/>
      <c r="AD189" s="307" t="n"/>
    </row>
    <row r="190" ht="15.75" customHeight="1" s="349">
      <c r="A190" s="307" t="n"/>
      <c r="B190" s="153" t="inlineStr">
        <is>
          <t>Marketing spend per year per marketer</t>
        </is>
      </c>
      <c r="C190" s="357" t="inlineStr">
        <is>
          <t>EUR/yr</t>
        </is>
      </c>
      <c r="D190" s="358" t="n">
        <v>3000000</v>
      </c>
      <c r="E190" s="358" t="n">
        <v>3000000</v>
      </c>
      <c r="F190" s="355">
        <f>IF($D$82=2,E190,D190)</f>
        <v/>
      </c>
      <c r="G190" s="307" t="n"/>
      <c r="H190" s="31" t="n"/>
      <c r="I190" s="31" t="n"/>
      <c r="J190" s="31" t="n"/>
      <c r="K190" s="31" t="n"/>
      <c r="L190" s="31" t="n"/>
      <c r="M190" s="31" t="n"/>
      <c r="N190" s="307" t="n"/>
      <c r="O190" s="307" t="n"/>
      <c r="P190" s="307" t="n"/>
      <c r="Q190" s="307" t="n"/>
      <c r="R190" s="307" t="n"/>
      <c r="S190" s="307" t="n"/>
      <c r="T190" s="307" t="n"/>
      <c r="U190" s="307" t="n"/>
      <c r="V190" s="307" t="n"/>
      <c r="W190" s="307" t="n"/>
      <c r="X190" s="307" t="n"/>
      <c r="Y190" s="307" t="n"/>
      <c r="Z190" s="307" t="n"/>
      <c r="AA190" s="307" t="n"/>
      <c r="AB190" s="307" t="n"/>
      <c r="AC190" s="307" t="n"/>
      <c r="AD190" s="307" t="n"/>
    </row>
    <row r="191" ht="15.75" customHeight="1" s="349">
      <c r="A191" s="307" t="n"/>
      <c r="B191" s="153" t="inlineStr">
        <is>
          <t>Quality &amp; certification — base team</t>
        </is>
      </c>
      <c r="C191" s="357" t="inlineStr">
        <is>
          <t>FTE</t>
        </is>
      </c>
      <c r="D191" s="358" t="n">
        <v>3</v>
      </c>
      <c r="E191" s="358" t="n">
        <v>3</v>
      </c>
      <c r="F191" s="355">
        <f>IF($D$82=2,E191,D191)</f>
        <v/>
      </c>
      <c r="G191" s="307" t="n"/>
      <c r="H191" s="31" t="n"/>
      <c r="I191" s="31" t="n"/>
      <c r="J191" s="31" t="n"/>
      <c r="K191" s="31" t="n"/>
      <c r="L191" s="31" t="n"/>
      <c r="M191" s="31" t="n"/>
      <c r="N191" s="307" t="n"/>
      <c r="O191" s="307" t="n"/>
      <c r="P191" s="307" t="n"/>
      <c r="Q191" s="307" t="n"/>
      <c r="R191" s="307" t="n"/>
      <c r="S191" s="307" t="n"/>
      <c r="T191" s="307" t="n"/>
      <c r="U191" s="307" t="n"/>
      <c r="V191" s="307" t="n"/>
      <c r="W191" s="307" t="n"/>
      <c r="X191" s="307" t="n"/>
      <c r="Y191" s="307" t="n"/>
      <c r="Z191" s="307" t="n"/>
      <c r="AA191" s="307" t="n"/>
      <c r="AB191" s="307" t="n"/>
      <c r="AC191" s="307" t="n"/>
      <c r="AD191" s="307" t="n"/>
    </row>
    <row r="192" ht="15.75" customHeight="1" s="349">
      <c r="A192" s="307" t="n"/>
      <c r="B192" s="153" t="inlineStr">
        <is>
          <t>Extra quality &amp; certification per new market</t>
        </is>
      </c>
      <c r="C192" s="357" t="inlineStr">
        <is>
          <t>FTE</t>
        </is>
      </c>
      <c r="D192" s="358" t="n">
        <v>2</v>
      </c>
      <c r="E192" s="358" t="n">
        <v>2</v>
      </c>
      <c r="F192" s="355">
        <f>IF($D$82=2,E192,D192)</f>
        <v/>
      </c>
      <c r="G192" s="307" t="n"/>
      <c r="H192" s="31" t="n"/>
      <c r="I192" s="31" t="n"/>
      <c r="J192" s="31" t="n"/>
      <c r="K192" s="31" t="n"/>
      <c r="L192" s="31" t="n"/>
      <c r="M192" s="31" t="n"/>
      <c r="N192" s="307" t="n"/>
      <c r="O192" s="307" t="n"/>
      <c r="P192" s="307" t="n"/>
      <c r="Q192" s="307" t="n"/>
      <c r="R192" s="307" t="n"/>
      <c r="S192" s="307" t="n"/>
      <c r="T192" s="307" t="n"/>
      <c r="U192" s="307" t="n"/>
      <c r="V192" s="307" t="n"/>
      <c r="W192" s="307" t="n"/>
      <c r="X192" s="307" t="n"/>
      <c r="Y192" s="307" t="n"/>
      <c r="Z192" s="307" t="n"/>
      <c r="AA192" s="307" t="n"/>
      <c r="AB192" s="307" t="n"/>
      <c r="AC192" s="307" t="n"/>
      <c r="AD192" s="307" t="n"/>
    </row>
    <row r="193" ht="15.75" customHeight="1" s="349">
      <c r="A193" s="307" t="n"/>
      <c r="B193" s="153" t="inlineStr">
        <is>
          <t>Staff per G&amp;A FTE (finance, HR, IT, legal)</t>
        </is>
      </c>
      <c r="C193" s="357" t="inlineStr">
        <is>
          <t>FTE</t>
        </is>
      </c>
      <c r="D193" s="358" t="n">
        <v>9</v>
      </c>
      <c r="E193" s="358" t="n">
        <v>9</v>
      </c>
      <c r="F193" s="355">
        <f>IF($D$82=2,E193,D193)</f>
        <v/>
      </c>
      <c r="G193" s="307" t="n"/>
      <c r="H193" s="31" t="n"/>
      <c r="I193" s="31" t="n"/>
      <c r="J193" s="31" t="n"/>
      <c r="K193" s="31" t="n"/>
      <c r="L193" s="31" t="n"/>
      <c r="M193" s="31" t="n"/>
      <c r="N193" s="307" t="n"/>
      <c r="O193" s="307" t="n"/>
      <c r="P193" s="307" t="n"/>
      <c r="Q193" s="307" t="n"/>
      <c r="R193" s="307" t="n"/>
      <c r="S193" s="307" t="n"/>
      <c r="T193" s="307" t="n"/>
      <c r="U193" s="307" t="n"/>
      <c r="V193" s="307" t="n"/>
      <c r="W193" s="307" t="n"/>
      <c r="X193" s="307" t="n"/>
      <c r="Y193" s="307" t="n"/>
      <c r="Z193" s="307" t="n"/>
      <c r="AA193" s="307" t="n"/>
      <c r="AB193" s="307" t="n"/>
      <c r="AC193" s="307" t="n"/>
      <c r="AD193" s="307" t="n"/>
    </row>
    <row r="194" ht="15.75" customHeight="1" s="349">
      <c r="A194" s="307" t="n"/>
      <c r="B194" s="356" t="inlineStr">
        <is>
          <t>LOADED COST PER PERSON</t>
        </is>
      </c>
      <c r="C194" s="307" t="n"/>
      <c r="D194" s="307" t="n"/>
      <c r="E194" s="307" t="n"/>
      <c r="F194" s="307" t="n"/>
      <c r="G194" s="307" t="n"/>
      <c r="H194" s="31" t="n"/>
      <c r="I194" s="31" t="n"/>
      <c r="J194" s="31" t="n"/>
      <c r="K194" s="31" t="n"/>
      <c r="L194" s="31" t="n"/>
      <c r="M194" s="31" t="n"/>
      <c r="N194" s="307" t="n"/>
      <c r="O194" s="307" t="n"/>
      <c r="P194" s="307" t="n"/>
      <c r="Q194" s="307" t="n"/>
      <c r="R194" s="307" t="n"/>
      <c r="S194" s="307" t="n"/>
      <c r="T194" s="307" t="n"/>
      <c r="U194" s="307" t="n"/>
      <c r="V194" s="307" t="n"/>
      <c r="W194" s="307" t="n"/>
      <c r="X194" s="307" t="n"/>
      <c r="Y194" s="307" t="n"/>
      <c r="Z194" s="307" t="n"/>
      <c r="AA194" s="307" t="n"/>
      <c r="AB194" s="307" t="n"/>
      <c r="AC194" s="307" t="n"/>
      <c r="AD194" s="307" t="n"/>
    </row>
    <row r="195" ht="15.75" customHeight="1" s="349">
      <c r="A195" s="307" t="n"/>
      <c r="B195" s="153" t="inlineStr">
        <is>
          <t>Commercial (trainers, order desk, marketing)</t>
        </is>
      </c>
      <c r="C195" s="357" t="inlineStr">
        <is>
          <t>EUR/month</t>
        </is>
      </c>
      <c r="D195" s="358" t="n">
        <v>7000</v>
      </c>
      <c r="E195" s="358" t="n">
        <v>7000</v>
      </c>
      <c r="F195" s="355">
        <f>IF($D$82=2,E195,D195)</f>
        <v/>
      </c>
      <c r="G195" s="307" t="n"/>
      <c r="H195" s="31" t="n"/>
      <c r="I195" s="31" t="n"/>
      <c r="J195" s="31" t="n"/>
      <c r="K195" s="31" t="n"/>
      <c r="L195" s="31" t="n"/>
      <c r="M195" s="31" t="n"/>
      <c r="N195" s="307" t="n"/>
      <c r="O195" s="307" t="n"/>
      <c r="P195" s="307" t="n"/>
      <c r="Q195" s="307" t="n"/>
      <c r="R195" s="307" t="n"/>
      <c r="S195" s="307" t="n"/>
      <c r="T195" s="307" t="n"/>
      <c r="U195" s="307" t="n"/>
      <c r="V195" s="307" t="n"/>
      <c r="W195" s="307" t="n"/>
      <c r="X195" s="307" t="n"/>
      <c r="Y195" s="307" t="n"/>
      <c r="Z195" s="307" t="n"/>
      <c r="AA195" s="307" t="n"/>
      <c r="AB195" s="307" t="n"/>
      <c r="AC195" s="307" t="n"/>
      <c r="AD195" s="307" t="n"/>
    </row>
    <row r="196" ht="15.75" customHeight="1" s="349">
      <c r="A196" s="307" t="n"/>
      <c r="B196" s="153" t="inlineStr">
        <is>
          <t>Supply chain &amp; production</t>
        </is>
      </c>
      <c r="C196" s="357" t="inlineStr">
        <is>
          <t>EUR/month</t>
        </is>
      </c>
      <c r="D196" s="358" t="n">
        <v>5000</v>
      </c>
      <c r="E196" s="358" t="n">
        <v>5000</v>
      </c>
      <c r="F196" s="355">
        <f>IF($D$82=2,E196,D196)</f>
        <v/>
      </c>
      <c r="G196" s="307" t="n"/>
      <c r="H196" s="31" t="n"/>
      <c r="I196" s="31" t="n"/>
      <c r="J196" s="31" t="n"/>
      <c r="K196" s="31" t="n"/>
      <c r="L196" s="31" t="n"/>
      <c r="M196" s="31" t="n"/>
      <c r="N196" s="307" t="n"/>
      <c r="O196" s="307" t="n"/>
      <c r="P196" s="307" t="n"/>
      <c r="Q196" s="307" t="n"/>
      <c r="R196" s="307" t="n"/>
      <c r="S196" s="307" t="n"/>
      <c r="T196" s="307" t="n"/>
      <c r="U196" s="307" t="n"/>
      <c r="V196" s="307" t="n"/>
      <c r="W196" s="307" t="n"/>
      <c r="X196" s="307" t="n"/>
      <c r="Y196" s="307" t="n"/>
      <c r="Z196" s="307" t="n"/>
      <c r="AA196" s="307" t="n"/>
      <c r="AB196" s="307" t="n"/>
      <c r="AC196" s="307" t="n"/>
      <c r="AD196" s="307" t="n"/>
    </row>
    <row r="197" ht="15.75" customHeight="1" s="349">
      <c r="A197" s="307" t="n"/>
      <c r="B197" s="153" t="inlineStr">
        <is>
          <t>Customer support &amp; escalation</t>
        </is>
      </c>
      <c r="C197" s="357" t="inlineStr">
        <is>
          <t>EUR/month</t>
        </is>
      </c>
      <c r="D197" s="358" t="n">
        <v>4800</v>
      </c>
      <c r="E197" s="358" t="n">
        <v>4800</v>
      </c>
      <c r="F197" s="355">
        <f>IF($D$82=2,E197,D197)</f>
        <v/>
      </c>
      <c r="G197" s="307" t="n"/>
      <c r="H197" s="31" t="n"/>
      <c r="I197" s="31" t="n"/>
      <c r="J197" s="31" t="n"/>
      <c r="K197" s="31" t="n"/>
      <c r="L197" s="31" t="n"/>
      <c r="M197" s="31" t="n"/>
      <c r="N197" s="307" t="n"/>
      <c r="O197" s="307" t="n"/>
      <c r="P197" s="307" t="n"/>
      <c r="Q197" s="307" t="n"/>
      <c r="R197" s="307" t="n"/>
      <c r="S197" s="307" t="n"/>
      <c r="T197" s="307" t="n"/>
      <c r="U197" s="307" t="n"/>
      <c r="V197" s="307" t="n"/>
      <c r="W197" s="307" t="n"/>
      <c r="X197" s="307" t="n"/>
      <c r="Y197" s="307" t="n"/>
      <c r="Z197" s="307" t="n"/>
      <c r="AA197" s="307" t="n"/>
      <c r="AB197" s="307" t="n"/>
      <c r="AC197" s="307" t="n"/>
      <c r="AD197" s="307" t="n"/>
    </row>
    <row r="198" ht="15.75" customHeight="1" s="349">
      <c r="A198" s="307" t="n"/>
      <c r="B198" s="153" t="inlineStr">
        <is>
          <t>Quality, certification and G&amp;A</t>
        </is>
      </c>
      <c r="C198" s="357" t="inlineStr">
        <is>
          <t>EUR/month</t>
        </is>
      </c>
      <c r="D198" s="358" t="n">
        <v>7000</v>
      </c>
      <c r="E198" s="358" t="n">
        <v>7000</v>
      </c>
      <c r="F198" s="355">
        <f>IF($D$82=2,E198,D198)</f>
        <v/>
      </c>
      <c r="G198" s="307" t="n"/>
      <c r="H198" s="31" t="n"/>
      <c r="I198" s="31" t="n"/>
      <c r="J198" s="31" t="n"/>
      <c r="K198" s="31" t="n"/>
      <c r="L198" s="31" t="n"/>
      <c r="M198" s="31" t="n"/>
      <c r="N198" s="307" t="n"/>
      <c r="O198" s="307" t="n"/>
      <c r="P198" s="307" t="n"/>
      <c r="Q198" s="307" t="n"/>
      <c r="R198" s="307" t="n"/>
      <c r="S198" s="307" t="n"/>
      <c r="T198" s="307" t="n"/>
      <c r="U198" s="307" t="n"/>
      <c r="V198" s="307" t="n"/>
      <c r="W198" s="307" t="n"/>
      <c r="X198" s="307" t="n"/>
      <c r="Y198" s="307" t="n"/>
      <c r="Z198" s="307" t="n"/>
      <c r="AA198" s="307" t="n"/>
      <c r="AB198" s="307" t="n"/>
      <c r="AC198" s="307" t="n"/>
      <c r="AD198" s="307" t="n"/>
    </row>
    <row r="199" ht="15.75" customHeight="1" s="349">
      <c r="A199" s="307" t="n"/>
      <c r="B199" s="356" t="inlineStr">
        <is>
          <t>COSTS THAT SCALE WITH THE ORGANISATION</t>
        </is>
      </c>
      <c r="C199" s="307" t="n"/>
      <c r="D199" s="307" t="n"/>
      <c r="E199" s="307" t="n"/>
      <c r="F199" s="307" t="n"/>
      <c r="G199" s="307" t="n"/>
      <c r="H199" s="31" t="n"/>
      <c r="I199" s="31" t="n"/>
      <c r="J199" s="31" t="n"/>
      <c r="K199" s="31" t="n"/>
      <c r="L199" s="31" t="n"/>
      <c r="M199" s="31" t="n"/>
      <c r="N199" s="307" t="n"/>
      <c r="O199" s="307" t="n"/>
      <c r="P199" s="307" t="n"/>
      <c r="Q199" s="307" t="n"/>
      <c r="R199" s="307" t="n"/>
      <c r="S199" s="307" t="n"/>
      <c r="T199" s="307" t="n"/>
      <c r="U199" s="307" t="n"/>
      <c r="V199" s="307" t="n"/>
      <c r="W199" s="307" t="n"/>
      <c r="X199" s="307" t="n"/>
      <c r="Y199" s="307" t="n"/>
      <c r="Z199" s="307" t="n"/>
      <c r="AA199" s="307" t="n"/>
      <c r="AB199" s="307" t="n"/>
      <c r="AC199" s="307" t="n"/>
      <c r="AD199" s="307" t="n"/>
    </row>
    <row r="200" ht="15.75" customHeight="1" s="349">
      <c r="A200" s="307" t="n"/>
      <c r="B200" s="153" t="inlineStr">
        <is>
          <t>Facilities per person</t>
        </is>
      </c>
      <c r="C200" s="357" t="inlineStr">
        <is>
          <t>EUR/month</t>
        </is>
      </c>
      <c r="D200" s="358" t="n">
        <v>700</v>
      </c>
      <c r="E200" s="358" t="n">
        <v>700</v>
      </c>
      <c r="F200" s="355">
        <f>IF($D$82=2,E200,D200)</f>
        <v/>
      </c>
      <c r="G200" s="307" t="n"/>
      <c r="H200" s="31" t="n"/>
      <c r="I200" s="31" t="n"/>
      <c r="J200" s="31" t="n"/>
      <c r="K200" s="31" t="n"/>
      <c r="L200" s="31" t="n"/>
      <c r="M200" s="31" t="n"/>
      <c r="N200" s="307" t="n"/>
      <c r="O200" s="307" t="n"/>
      <c r="P200" s="307" t="n"/>
      <c r="Q200" s="307" t="n"/>
      <c r="R200" s="307" t="n"/>
      <c r="S200" s="307" t="n"/>
      <c r="T200" s="307" t="n"/>
      <c r="U200" s="307" t="n"/>
      <c r="V200" s="307" t="n"/>
      <c r="W200" s="307" t="n"/>
      <c r="X200" s="307" t="n"/>
      <c r="Y200" s="307" t="n"/>
      <c r="Z200" s="307" t="n"/>
      <c r="AA200" s="307" t="n"/>
      <c r="AB200" s="307" t="n"/>
      <c r="AC200" s="307" t="n"/>
      <c r="AD200" s="307" t="n"/>
    </row>
    <row r="201" ht="15.75" customHeight="1" s="349">
      <c r="A201" s="307" t="n"/>
      <c r="B201" s="153" t="inlineStr">
        <is>
          <t>IT &amp; software per person</t>
        </is>
      </c>
      <c r="C201" s="357" t="inlineStr">
        <is>
          <t>EUR/month</t>
        </is>
      </c>
      <c r="D201" s="358" t="n">
        <v>250</v>
      </c>
      <c r="E201" s="358" t="n">
        <v>250</v>
      </c>
      <c r="F201" s="355">
        <f>IF($D$82=2,E201,D201)</f>
        <v/>
      </c>
      <c r="G201" s="307" t="n"/>
      <c r="H201" s="31" t="n"/>
      <c r="I201" s="31" t="n"/>
      <c r="J201" s="31" t="n"/>
      <c r="K201" s="31" t="n"/>
      <c r="L201" s="31" t="n"/>
      <c r="M201" s="31" t="n"/>
      <c r="N201" s="307" t="n"/>
      <c r="O201" s="307" t="n"/>
      <c r="P201" s="307" t="n"/>
      <c r="Q201" s="307" t="n"/>
      <c r="R201" s="307" t="n"/>
      <c r="S201" s="307" t="n"/>
      <c r="T201" s="307" t="n"/>
      <c r="U201" s="307" t="n"/>
      <c r="V201" s="307" t="n"/>
      <c r="W201" s="307" t="n"/>
      <c r="X201" s="307" t="n"/>
      <c r="Y201" s="307" t="n"/>
      <c r="Z201" s="307" t="n"/>
      <c r="AA201" s="307" t="n"/>
      <c r="AB201" s="307" t="n"/>
      <c r="AC201" s="307" t="n"/>
      <c r="AD201" s="307" t="n"/>
    </row>
    <row r="202" ht="15.75" customHeight="1" s="349">
      <c r="A202" s="307" t="n"/>
      <c r="B202" s="153" t="inlineStr">
        <is>
          <t>Travel per person</t>
        </is>
      </c>
      <c r="C202" s="357" t="inlineStr">
        <is>
          <t>EUR/month</t>
        </is>
      </c>
      <c r="D202" s="358" t="n">
        <v>300</v>
      </c>
      <c r="E202" s="358" t="n">
        <v>300</v>
      </c>
      <c r="F202" s="355">
        <f>IF($D$82=2,E202,D202)</f>
        <v/>
      </c>
      <c r="G202" s="307" t="n"/>
      <c r="H202" s="31" t="n"/>
      <c r="I202" s="31" t="n"/>
      <c r="J202" s="31" t="n"/>
      <c r="K202" s="31" t="n"/>
      <c r="L202" s="31" t="n"/>
      <c r="M202" s="31" t="n"/>
      <c r="N202" s="307" t="n"/>
      <c r="O202" s="307" t="n"/>
      <c r="P202" s="307" t="n"/>
      <c r="Q202" s="307" t="n"/>
      <c r="R202" s="307" t="n"/>
      <c r="S202" s="307" t="n"/>
      <c r="T202" s="307" t="n"/>
      <c r="U202" s="307" t="n"/>
      <c r="V202" s="307" t="n"/>
      <c r="W202" s="307" t="n"/>
      <c r="X202" s="307" t="n"/>
      <c r="Y202" s="307" t="n"/>
      <c r="Z202" s="307" t="n"/>
      <c r="AA202" s="307" t="n"/>
      <c r="AB202" s="307" t="n"/>
      <c r="AC202" s="307" t="n"/>
      <c r="AD202" s="307" t="n"/>
    </row>
    <row r="203" ht="15.75" customHeight="1" s="349">
      <c r="A203" s="307" t="n"/>
      <c r="B203" s="153" t="inlineStr">
        <is>
          <t>Recruitment cost per net new hire</t>
        </is>
      </c>
      <c r="C203" s="357" t="inlineStr">
        <is>
          <t>EUR</t>
        </is>
      </c>
      <c r="D203" s="358" t="n">
        <v>8000</v>
      </c>
      <c r="E203" s="358" t="n">
        <v>8000</v>
      </c>
      <c r="F203" s="355">
        <f>IF($D$82=2,E203,D203)</f>
        <v/>
      </c>
      <c r="G203" s="307" t="n"/>
      <c r="H203" s="31" t="n"/>
      <c r="I203" s="31" t="n"/>
      <c r="J203" s="31" t="n"/>
      <c r="K203" s="31" t="n"/>
      <c r="L203" s="31" t="n"/>
      <c r="M203" s="31" t="n"/>
      <c r="N203" s="307" t="n"/>
      <c r="O203" s="307" t="n"/>
      <c r="P203" s="307" t="n"/>
      <c r="Q203" s="307" t="n"/>
      <c r="R203" s="307" t="n"/>
      <c r="S203" s="307" t="n"/>
      <c r="T203" s="307" t="n"/>
      <c r="U203" s="307" t="n"/>
      <c r="V203" s="307" t="n"/>
      <c r="W203" s="307" t="n"/>
      <c r="X203" s="307" t="n"/>
      <c r="Y203" s="307" t="n"/>
      <c r="Z203" s="307" t="n"/>
      <c r="AA203" s="307" t="n"/>
      <c r="AB203" s="307" t="n"/>
      <c r="AC203" s="307" t="n"/>
      <c r="AD203" s="307" t="n"/>
    </row>
    <row r="204" ht="15.75" customHeight="1" s="349">
      <c r="A204" s="307" t="n"/>
      <c r="B204" s="153" t="inlineStr">
        <is>
          <t>Installer training + demo unit per new partner</t>
        </is>
      </c>
      <c r="C204" s="357" t="inlineStr">
        <is>
          <t>EUR</t>
        </is>
      </c>
      <c r="D204" s="358" t="n">
        <v>3500</v>
      </c>
      <c r="E204" s="358" t="n">
        <v>3500</v>
      </c>
      <c r="F204" s="355">
        <f>IF($D$82=2,E204,D204)</f>
        <v/>
      </c>
      <c r="G204" s="307" t="n"/>
      <c r="H204" s="31" t="n"/>
      <c r="I204" s="31" t="n"/>
      <c r="J204" s="31" t="n"/>
      <c r="K204" s="31" t="n"/>
      <c r="L204" s="31" t="n"/>
      <c r="M204" s="31" t="n"/>
      <c r="N204" s="307" t="n"/>
      <c r="O204" s="307" t="n"/>
      <c r="P204" s="307" t="n"/>
      <c r="Q204" s="307" t="n"/>
      <c r="R204" s="307" t="n"/>
      <c r="S204" s="307" t="n"/>
      <c r="T204" s="307" t="n"/>
      <c r="U204" s="307" t="n"/>
      <c r="V204" s="307" t="n"/>
      <c r="W204" s="307" t="n"/>
      <c r="X204" s="307" t="n"/>
      <c r="Y204" s="307" t="n"/>
      <c r="Z204" s="307" t="n"/>
      <c r="AA204" s="307" t="n"/>
      <c r="AB204" s="307" t="n"/>
      <c r="AC204" s="307" t="n"/>
      <c r="AD204" s="307" t="n"/>
    </row>
    <row r="205" ht="15.75" customHeight="1" s="349">
      <c r="A205" s="307" t="n"/>
      <c r="B205" s="153" t="inlineStr">
        <is>
          <t>Warranty reserve per unit, above the 3% in the BOM</t>
        </is>
      </c>
      <c r="C205" s="357" t="inlineStr">
        <is>
          <t>EUR</t>
        </is>
      </c>
      <c r="D205" s="358" t="n">
        <v>200</v>
      </c>
      <c r="E205" s="358" t="n">
        <v>200</v>
      </c>
      <c r="F205" s="355">
        <f>IF($D$82=2,E205,D205)</f>
        <v/>
      </c>
      <c r="G205" s="307" t="n"/>
      <c r="H205" s="31" t="n"/>
      <c r="I205" s="31" t="n"/>
      <c r="J205" s="31" t="n"/>
      <c r="K205" s="31" t="n"/>
      <c r="L205" s="31" t="n"/>
      <c r="M205" s="31" t="n"/>
      <c r="N205" s="307" t="n"/>
      <c r="O205" s="307" t="n"/>
      <c r="P205" s="307" t="n"/>
      <c r="Q205" s="307" t="n"/>
      <c r="R205" s="307" t="n"/>
      <c r="S205" s="307" t="n"/>
      <c r="T205" s="307" t="n"/>
      <c r="U205" s="307" t="n"/>
      <c r="V205" s="307" t="n"/>
      <c r="W205" s="307" t="n"/>
      <c r="X205" s="307" t="n"/>
      <c r="Y205" s="307" t="n"/>
      <c r="Z205" s="307" t="n"/>
      <c r="AA205" s="307" t="n"/>
      <c r="AB205" s="307" t="n"/>
      <c r="AC205" s="307" t="n"/>
      <c r="AD205" s="307" t="n"/>
    </row>
    <row r="206" ht="15.75" customHeight="1" s="349">
      <c r="A206" s="307" t="n"/>
      <c r="B206" s="153" t="inlineStr">
        <is>
          <t>One-off cost of entering a new country</t>
        </is>
      </c>
      <c r="C206" s="357" t="inlineStr">
        <is>
          <t>EUR</t>
        </is>
      </c>
      <c r="D206" s="358" t="n">
        <v>400000</v>
      </c>
      <c r="E206" s="358" t="n">
        <v>400000</v>
      </c>
      <c r="F206" s="355">
        <f>IF($D$82=2,E206,D206)</f>
        <v/>
      </c>
      <c r="G206" s="307" t="n"/>
      <c r="H206" s="31" t="n"/>
      <c r="I206" s="31" t="n"/>
      <c r="J206" s="31" t="n"/>
      <c r="K206" s="31" t="n"/>
      <c r="L206" s="31" t="n"/>
      <c r="M206" s="31" t="n"/>
      <c r="N206" s="307" t="n"/>
      <c r="O206" s="307" t="n"/>
      <c r="P206" s="307" t="n"/>
      <c r="Q206" s="307" t="n"/>
      <c r="R206" s="307" t="n"/>
      <c r="S206" s="307" t="n"/>
      <c r="T206" s="307" t="n"/>
      <c r="U206" s="307" t="n"/>
      <c r="V206" s="307" t="n"/>
      <c r="W206" s="307" t="n"/>
      <c r="X206" s="307" t="n"/>
      <c r="Y206" s="307" t="n"/>
      <c r="Z206" s="307" t="n"/>
      <c r="AA206" s="307" t="n"/>
      <c r="AB206" s="307" t="n"/>
      <c r="AC206" s="307" t="n"/>
      <c r="AD206" s="307" t="n"/>
    </row>
    <row r="207" ht="15.75" customHeight="1" s="349">
      <c r="A207" s="307" t="n"/>
      <c r="B207" s="153" t="inlineStr">
        <is>
          <t>R&amp;D engineer</t>
        </is>
      </c>
      <c r="C207" s="357" t="inlineStr">
        <is>
          <t>EUR/month</t>
        </is>
      </c>
      <c r="D207" s="358" t="n">
        <v>8000</v>
      </c>
      <c r="E207" s="358" t="n">
        <v>8000</v>
      </c>
      <c r="F207" s="355">
        <f>IF($D$82=2,E207,D207)</f>
        <v/>
      </c>
      <c r="G207" s="307" t="n"/>
      <c r="H207" s="31" t="n"/>
      <c r="I207" s="31" t="n"/>
      <c r="J207" s="31" t="n"/>
      <c r="K207" s="31" t="n"/>
      <c r="L207" s="31" t="n"/>
      <c r="M207" s="31" t="n"/>
      <c r="N207" s="307" t="n"/>
      <c r="O207" s="307" t="n"/>
      <c r="P207" s="307" t="n"/>
      <c r="Q207" s="307" t="n"/>
      <c r="R207" s="307" t="n"/>
      <c r="S207" s="307" t="n"/>
      <c r="T207" s="307" t="n"/>
      <c r="U207" s="307" t="n"/>
      <c r="V207" s="307" t="n"/>
      <c r="W207" s="307" t="n"/>
      <c r="X207" s="307" t="n"/>
      <c r="Y207" s="307" t="n"/>
      <c r="Z207" s="307" t="n"/>
      <c r="AA207" s="307" t="n"/>
      <c r="AB207" s="307" t="n"/>
      <c r="AC207" s="307" t="n"/>
      <c r="AD207" s="307" t="n"/>
    </row>
    <row r="208" ht="15.75" customHeight="1" s="349">
      <c r="A208" s="307" t="n"/>
      <c r="B208" s="153" t="inlineStr">
        <is>
          <t>Extra R&amp;D engineers above the roster — 2027</t>
        </is>
      </c>
      <c r="C208" s="357" t="inlineStr">
        <is>
          <t>FTE</t>
        </is>
      </c>
      <c r="D208" s="358" t="n">
        <v>0</v>
      </c>
      <c r="E208" s="358" t="n">
        <v>0</v>
      </c>
      <c r="F208" s="355">
        <f>IF($D$82=2,E208,D208)</f>
        <v/>
      </c>
      <c r="G208" s="307" t="n"/>
      <c r="H208" s="31" t="n"/>
      <c r="I208" s="31" t="n"/>
      <c r="J208" s="31" t="n"/>
      <c r="K208" s="31" t="n"/>
      <c r="L208" s="31" t="n"/>
      <c r="M208" s="31" t="n"/>
      <c r="N208" s="307" t="n"/>
      <c r="O208" s="307" t="n"/>
      <c r="P208" s="307" t="n"/>
      <c r="Q208" s="307" t="n"/>
      <c r="R208" s="307" t="n"/>
      <c r="S208" s="307" t="n"/>
      <c r="T208" s="307" t="n"/>
      <c r="U208" s="307" t="n"/>
      <c r="V208" s="307" t="n"/>
      <c r="W208" s="307" t="n"/>
      <c r="X208" s="307" t="n"/>
      <c r="Y208" s="307" t="n"/>
      <c r="Z208" s="307" t="n"/>
      <c r="AA208" s="307" t="n"/>
      <c r="AB208" s="307" t="n"/>
      <c r="AC208" s="307" t="n"/>
      <c r="AD208" s="307" t="n"/>
    </row>
    <row r="209" ht="15.75" customHeight="1" s="349">
      <c r="A209" s="307" t="n"/>
      <c r="B209" s="153" t="inlineStr">
        <is>
          <t>Extra R&amp;D engineers above the roster — 2028</t>
        </is>
      </c>
      <c r="C209" s="357" t="inlineStr">
        <is>
          <t>FTE</t>
        </is>
      </c>
      <c r="D209" s="358" t="n">
        <v>4</v>
      </c>
      <c r="E209" s="358" t="n">
        <v>15</v>
      </c>
      <c r="F209" s="355">
        <f>IF($D$82=2,E209,D209)</f>
        <v/>
      </c>
      <c r="G209" s="307" t="n"/>
      <c r="H209" s="31" t="n"/>
      <c r="I209" s="31" t="n"/>
      <c r="J209" s="31" t="n"/>
      <c r="K209" s="31" t="n"/>
      <c r="L209" s="31" t="n"/>
      <c r="M209" s="31" t="n"/>
      <c r="N209" s="307" t="n"/>
      <c r="O209" s="307" t="n"/>
      <c r="P209" s="307" t="n"/>
      <c r="Q209" s="307" t="n"/>
      <c r="R209" s="307" t="n"/>
      <c r="S209" s="307" t="n"/>
      <c r="T209" s="307" t="n"/>
      <c r="U209" s="307" t="n"/>
      <c r="V209" s="307" t="n"/>
      <c r="W209" s="307" t="n"/>
      <c r="X209" s="307" t="n"/>
      <c r="Y209" s="307" t="n"/>
      <c r="Z209" s="307" t="n"/>
      <c r="AA209" s="307" t="n"/>
      <c r="AB209" s="307" t="n"/>
      <c r="AC209" s="307" t="n"/>
      <c r="AD209" s="307" t="n"/>
    </row>
    <row r="210" ht="15.75" customHeight="1" s="349">
      <c r="A210" s="307" t="n"/>
      <c r="B210" s="153" t="inlineStr">
        <is>
          <t>Extra R&amp;D engineers above the roster — 2029</t>
        </is>
      </c>
      <c r="C210" s="357" t="inlineStr">
        <is>
          <t>FTE</t>
        </is>
      </c>
      <c r="D210" s="358" t="n">
        <v>8</v>
      </c>
      <c r="E210" s="358" t="n">
        <v>40</v>
      </c>
      <c r="F210" s="355">
        <f>IF($D$82=2,E210,D210)</f>
        <v/>
      </c>
      <c r="G210" s="307" t="n"/>
      <c r="H210" s="31" t="n"/>
      <c r="I210" s="31" t="n"/>
      <c r="J210" s="31" t="n"/>
      <c r="K210" s="31" t="n"/>
      <c r="L210" s="31" t="n"/>
      <c r="M210" s="31" t="n"/>
      <c r="N210" s="307" t="n"/>
      <c r="O210" s="307" t="n"/>
      <c r="P210" s="307" t="n"/>
      <c r="Q210" s="307" t="n"/>
      <c r="R210" s="307" t="n"/>
      <c r="S210" s="307" t="n"/>
      <c r="T210" s="307" t="n"/>
      <c r="U210" s="307" t="n"/>
      <c r="V210" s="307" t="n"/>
      <c r="W210" s="307" t="n"/>
      <c r="X210" s="307" t="n"/>
      <c r="Y210" s="307" t="n"/>
      <c r="Z210" s="307" t="n"/>
      <c r="AA210" s="307" t="n"/>
      <c r="AB210" s="307" t="n"/>
      <c r="AC210" s="307" t="n"/>
      <c r="AD210" s="307" t="n"/>
    </row>
    <row r="211" ht="15.75" customHeight="1" s="349">
      <c r="A211" s="307" t="n"/>
      <c r="B211" s="153" t="inlineStr">
        <is>
          <t>Extra R&amp;D engineers above the roster — 2030</t>
        </is>
      </c>
      <c r="C211" s="357" t="inlineStr">
        <is>
          <t>FTE</t>
        </is>
      </c>
      <c r="D211" s="358" t="n">
        <v>12</v>
      </c>
      <c r="E211" s="358" t="n">
        <v>60</v>
      </c>
      <c r="F211" s="355">
        <f>IF($D$82=2,E211,D211)</f>
        <v/>
      </c>
      <c r="G211" s="307" t="n"/>
      <c r="H211" s="31" t="n"/>
      <c r="I211" s="31" t="n"/>
      <c r="J211" s="31" t="n"/>
      <c r="K211" s="31" t="n"/>
      <c r="L211" s="31" t="n"/>
      <c r="M211" s="31" t="n"/>
      <c r="N211" s="307" t="n"/>
      <c r="O211" s="307" t="n"/>
      <c r="P211" s="307" t="n"/>
      <c r="Q211" s="307" t="n"/>
      <c r="R211" s="307" t="n"/>
      <c r="S211" s="307" t="n"/>
      <c r="T211" s="307" t="n"/>
      <c r="U211" s="307" t="n"/>
      <c r="V211" s="307" t="n"/>
      <c r="W211" s="307" t="n"/>
      <c r="X211" s="307" t="n"/>
      <c r="Y211" s="307" t="n"/>
      <c r="Z211" s="307" t="n"/>
      <c r="AA211" s="307" t="n"/>
      <c r="AB211" s="307" t="n"/>
      <c r="AC211" s="307" t="n"/>
      <c r="AD211" s="307" t="n"/>
    </row>
    <row r="212" ht="15.75" customHeight="1" s="349">
      <c r="A212" s="307" t="n"/>
      <c r="B212" s="307" t="n"/>
      <c r="C212" s="307" t="n"/>
      <c r="D212" s="307" t="n"/>
      <c r="E212" s="307" t="n"/>
      <c r="F212" s="307" t="n"/>
      <c r="G212" s="307" t="n"/>
      <c r="H212" s="31" t="n"/>
      <c r="I212" s="31" t="n"/>
      <c r="J212" s="31" t="n"/>
      <c r="K212" s="31" t="n"/>
      <c r="L212" s="31" t="n"/>
      <c r="M212" s="31" t="n"/>
      <c r="N212" s="307" t="n"/>
      <c r="O212" s="307" t="n"/>
      <c r="P212" s="307" t="n"/>
      <c r="Q212" s="307" t="n"/>
      <c r="R212" s="307" t="n"/>
      <c r="S212" s="307" t="n"/>
      <c r="T212" s="307" t="n"/>
      <c r="U212" s="307" t="n"/>
      <c r="V212" s="307" t="n"/>
      <c r="W212" s="307" t="n"/>
      <c r="X212" s="307" t="n"/>
      <c r="Y212" s="307" t="n"/>
      <c r="Z212" s="307" t="n"/>
      <c r="AA212" s="307" t="n"/>
      <c r="AB212" s="307" t="n"/>
      <c r="AC212" s="307" t="n"/>
      <c r="AD212" s="307" t="n"/>
    </row>
    <row r="213" ht="15.75" customHeight="1" s="349">
      <c r="A213" s="307" t="n"/>
      <c r="B213" s="307" t="n"/>
      <c r="C213" s="307" t="n"/>
      <c r="D213" s="307" t="n"/>
      <c r="E213" s="307" t="n"/>
      <c r="F213" s="307" t="n"/>
      <c r="G213" s="307" t="n"/>
      <c r="H213" s="31" t="n"/>
      <c r="I213" s="31" t="n"/>
      <c r="J213" s="31" t="n"/>
      <c r="K213" s="31" t="n"/>
      <c r="L213" s="31" t="n"/>
      <c r="M213" s="31" t="n"/>
      <c r="N213" s="307" t="n"/>
      <c r="O213" s="307" t="n"/>
      <c r="P213" s="307" t="n"/>
      <c r="Q213" s="307" t="n"/>
      <c r="R213" s="307" t="n"/>
      <c r="S213" s="307" t="n"/>
      <c r="T213" s="307" t="n"/>
      <c r="U213" s="307" t="n"/>
      <c r="V213" s="307" t="n"/>
      <c r="W213" s="307" t="n"/>
      <c r="X213" s="307" t="n"/>
      <c r="Y213" s="307" t="n"/>
      <c r="Z213" s="307" t="n"/>
      <c r="AA213" s="307" t="n"/>
      <c r="AB213" s="307" t="n"/>
      <c r="AC213" s="307" t="n"/>
      <c r="AD213" s="307" t="n"/>
    </row>
    <row r="214" ht="15.75" customHeight="1" s="349">
      <c r="A214" s="307" t="n"/>
      <c r="B214" s="307" t="n"/>
      <c r="C214" s="307" t="n"/>
      <c r="D214" s="307" t="n"/>
      <c r="E214" s="307" t="n"/>
      <c r="F214" s="307" t="n"/>
      <c r="G214" s="307" t="n"/>
      <c r="H214" s="31" t="n"/>
      <c r="I214" s="31" t="n"/>
      <c r="J214" s="31" t="n"/>
      <c r="K214" s="31" t="n"/>
      <c r="L214" s="31" t="n"/>
      <c r="M214" s="31" t="n"/>
      <c r="N214" s="307" t="n"/>
      <c r="O214" s="307" t="n"/>
      <c r="P214" s="307" t="n"/>
      <c r="Q214" s="307" t="n"/>
      <c r="R214" s="307" t="n"/>
      <c r="S214" s="307" t="n"/>
      <c r="T214" s="307" t="n"/>
      <c r="U214" s="307" t="n"/>
      <c r="V214" s="307" t="n"/>
      <c r="W214" s="307" t="n"/>
      <c r="X214" s="307" t="n"/>
      <c r="Y214" s="307" t="n"/>
      <c r="Z214" s="307" t="n"/>
      <c r="AA214" s="307" t="n"/>
      <c r="AB214" s="307" t="n"/>
      <c r="AC214" s="307" t="n"/>
      <c r="AD214" s="307" t="n"/>
    </row>
    <row r="215" ht="15.75" customHeight="1" s="349">
      <c r="A215" s="307" t="n"/>
      <c r="B215" s="307" t="n"/>
      <c r="C215" s="307" t="n"/>
      <c r="D215" s="307" t="n"/>
      <c r="E215" s="307" t="n"/>
      <c r="F215" s="307" t="n"/>
      <c r="G215" s="307" t="n"/>
      <c r="H215" s="31" t="n"/>
      <c r="I215" s="31" t="n"/>
      <c r="J215" s="31" t="n"/>
      <c r="K215" s="31" t="n"/>
      <c r="L215" s="31" t="n"/>
      <c r="M215" s="31" t="n"/>
      <c r="N215" s="307" t="n"/>
      <c r="O215" s="307" t="n"/>
      <c r="P215" s="307" t="n"/>
      <c r="Q215" s="307" t="n"/>
      <c r="R215" s="307" t="n"/>
      <c r="S215" s="307" t="n"/>
      <c r="T215" s="307" t="n"/>
      <c r="U215" s="307" t="n"/>
      <c r="V215" s="307" t="n"/>
      <c r="W215" s="307" t="n"/>
      <c r="X215" s="307" t="n"/>
      <c r="Y215" s="307" t="n"/>
      <c r="Z215" s="307" t="n"/>
      <c r="AA215" s="307" t="n"/>
      <c r="AB215" s="307" t="n"/>
      <c r="AC215" s="307" t="n"/>
      <c r="AD215" s="307" t="n"/>
    </row>
    <row r="216" ht="15.75" customHeight="1" s="349">
      <c r="A216" s="307" t="n"/>
      <c r="B216" s="307" t="n"/>
      <c r="C216" s="307" t="n"/>
      <c r="D216" s="307" t="n"/>
      <c r="E216" s="307" t="n"/>
      <c r="F216" s="307" t="n"/>
      <c r="G216" s="307" t="n"/>
      <c r="H216" s="31" t="n"/>
      <c r="I216" s="31" t="n"/>
      <c r="J216" s="31" t="n"/>
      <c r="K216" s="31" t="n"/>
      <c r="L216" s="31" t="n"/>
      <c r="M216" s="31" t="n"/>
      <c r="N216" s="307" t="n"/>
      <c r="O216" s="307" t="n"/>
      <c r="P216" s="307" t="n"/>
      <c r="Q216" s="307" t="n"/>
      <c r="R216" s="307" t="n"/>
      <c r="S216" s="307" t="n"/>
      <c r="T216" s="307" t="n"/>
      <c r="U216" s="307" t="n"/>
      <c r="V216" s="307" t="n"/>
      <c r="W216" s="307" t="n"/>
      <c r="X216" s="307" t="n"/>
      <c r="Y216" s="307" t="n"/>
      <c r="Z216" s="307" t="n"/>
      <c r="AA216" s="307" t="n"/>
      <c r="AB216" s="307" t="n"/>
      <c r="AC216" s="307" t="n"/>
      <c r="AD216" s="307" t="n"/>
    </row>
    <row r="217" ht="15.75" customHeight="1" s="349">
      <c r="A217" s="307" t="n"/>
      <c r="B217" s="307" t="n"/>
      <c r="C217" s="307" t="n"/>
      <c r="D217" s="307" t="n"/>
      <c r="E217" s="307" t="n"/>
      <c r="F217" s="307" t="n"/>
      <c r="G217" s="307" t="n"/>
      <c r="H217" s="31" t="n"/>
      <c r="I217" s="31" t="n"/>
      <c r="J217" s="31" t="n"/>
      <c r="K217" s="31" t="n"/>
      <c r="L217" s="31" t="n"/>
      <c r="M217" s="31" t="n"/>
      <c r="N217" s="307" t="n"/>
      <c r="O217" s="307" t="n"/>
      <c r="P217" s="307" t="n"/>
      <c r="Q217" s="307" t="n"/>
      <c r="R217" s="307" t="n"/>
      <c r="S217" s="307" t="n"/>
      <c r="T217" s="307" t="n"/>
      <c r="U217" s="307" t="n"/>
      <c r="V217" s="307" t="n"/>
      <c r="W217" s="307" t="n"/>
      <c r="X217" s="307" t="n"/>
      <c r="Y217" s="307" t="n"/>
      <c r="Z217" s="307" t="n"/>
      <c r="AA217" s="307" t="n"/>
      <c r="AB217" s="307" t="n"/>
      <c r="AC217" s="307" t="n"/>
      <c r="AD217" s="307" t="n"/>
    </row>
    <row r="218" ht="15.75" customHeight="1" s="349">
      <c r="A218" s="307" t="n"/>
      <c r="B218" s="307" t="n"/>
      <c r="C218" s="307" t="n"/>
      <c r="D218" s="307" t="n"/>
      <c r="E218" s="307" t="n"/>
      <c r="F218" s="307" t="n"/>
      <c r="G218" s="307" t="n"/>
      <c r="H218" s="31" t="n"/>
      <c r="I218" s="31" t="n"/>
      <c r="J218" s="31" t="n"/>
      <c r="K218" s="31" t="n"/>
      <c r="L218" s="31" t="n"/>
      <c r="M218" s="31" t="n"/>
      <c r="N218" s="307" t="n"/>
      <c r="O218" s="307" t="n"/>
      <c r="P218" s="307" t="n"/>
      <c r="Q218" s="307" t="n"/>
      <c r="R218" s="307" t="n"/>
      <c r="S218" s="307" t="n"/>
      <c r="T218" s="307" t="n"/>
      <c r="U218" s="307" t="n"/>
      <c r="V218" s="307" t="n"/>
      <c r="W218" s="307" t="n"/>
      <c r="X218" s="307" t="n"/>
      <c r="Y218" s="307" t="n"/>
      <c r="Z218" s="307" t="n"/>
      <c r="AA218" s="307" t="n"/>
      <c r="AB218" s="307" t="n"/>
      <c r="AC218" s="307" t="n"/>
      <c r="AD218" s="307" t="n"/>
    </row>
    <row r="219" ht="15.75" customHeight="1" s="349">
      <c r="A219" s="307" t="n"/>
      <c r="B219" s="307" t="n"/>
      <c r="C219" s="307" t="n"/>
      <c r="D219" s="307" t="n"/>
      <c r="E219" s="307" t="n"/>
      <c r="F219" s="307" t="n"/>
      <c r="G219" s="307" t="n"/>
      <c r="H219" s="31" t="n"/>
      <c r="I219" s="31" t="n"/>
      <c r="J219" s="31" t="n"/>
      <c r="K219" s="31" t="n"/>
      <c r="L219" s="31" t="n"/>
      <c r="M219" s="31" t="n"/>
      <c r="N219" s="307" t="n"/>
      <c r="O219" s="307" t="n"/>
      <c r="P219" s="307" t="n"/>
      <c r="Q219" s="307" t="n"/>
      <c r="R219" s="307" t="n"/>
      <c r="S219" s="307" t="n"/>
      <c r="T219" s="307" t="n"/>
      <c r="U219" s="307" t="n"/>
      <c r="V219" s="307" t="n"/>
      <c r="W219" s="307" t="n"/>
      <c r="X219" s="307" t="n"/>
      <c r="Y219" s="307" t="n"/>
      <c r="Z219" s="307" t="n"/>
      <c r="AA219" s="307" t="n"/>
      <c r="AB219" s="307" t="n"/>
      <c r="AC219" s="307" t="n"/>
      <c r="AD219" s="307" t="n"/>
    </row>
    <row r="220" ht="15.75" customHeight="1" s="349">
      <c r="A220" s="307" t="n"/>
      <c r="B220" s="307" t="n"/>
      <c r="C220" s="307" t="n"/>
      <c r="D220" s="307" t="n"/>
      <c r="E220" s="307" t="n"/>
      <c r="F220" s="307" t="n"/>
      <c r="G220" s="307" t="n"/>
      <c r="H220" s="31" t="n"/>
      <c r="I220" s="31" t="n"/>
      <c r="J220" s="31" t="n"/>
      <c r="K220" s="31" t="n"/>
      <c r="L220" s="31" t="n"/>
      <c r="M220" s="31" t="n"/>
      <c r="N220" s="307" t="n"/>
      <c r="O220" s="307" t="n"/>
      <c r="P220" s="307" t="n"/>
      <c r="Q220" s="307" t="n"/>
      <c r="R220" s="307" t="n"/>
      <c r="S220" s="307" t="n"/>
      <c r="T220" s="307" t="n"/>
      <c r="U220" s="307" t="n"/>
      <c r="V220" s="307" t="n"/>
      <c r="W220" s="307" t="n"/>
      <c r="X220" s="307" t="n"/>
      <c r="Y220" s="307" t="n"/>
      <c r="Z220" s="307" t="n"/>
      <c r="AA220" s="307" t="n"/>
      <c r="AB220" s="307" t="n"/>
      <c r="AC220" s="307" t="n"/>
      <c r="AD220" s="307" t="n"/>
    </row>
    <row r="221" ht="15.75" customHeight="1" s="349">
      <c r="A221" s="307" t="n"/>
      <c r="B221" s="307" t="n"/>
      <c r="C221" s="307" t="n"/>
      <c r="D221" s="307" t="n"/>
      <c r="E221" s="307" t="n"/>
      <c r="F221" s="307" t="n"/>
      <c r="G221" s="307" t="n"/>
      <c r="H221" s="31" t="n"/>
      <c r="I221" s="31" t="n"/>
      <c r="J221" s="31" t="n"/>
      <c r="K221" s="31" t="n"/>
      <c r="L221" s="31" t="n"/>
      <c r="M221" s="31" t="n"/>
      <c r="N221" s="307" t="n"/>
      <c r="O221" s="307" t="n"/>
      <c r="P221" s="307" t="n"/>
      <c r="Q221" s="307" t="n"/>
      <c r="R221" s="307" t="n"/>
      <c r="S221" s="307" t="n"/>
      <c r="T221" s="307" t="n"/>
      <c r="U221" s="307" t="n"/>
      <c r="V221" s="307" t="n"/>
      <c r="W221" s="307" t="n"/>
      <c r="X221" s="307" t="n"/>
      <c r="Y221" s="307" t="n"/>
      <c r="Z221" s="307" t="n"/>
      <c r="AA221" s="307" t="n"/>
      <c r="AB221" s="307" t="n"/>
      <c r="AC221" s="307" t="n"/>
      <c r="AD221" s="307" t="n"/>
    </row>
    <row r="222" ht="15.75" customHeight="1" s="349">
      <c r="A222" s="307" t="n"/>
      <c r="B222" s="307" t="n"/>
      <c r="C222" s="307" t="n"/>
      <c r="D222" s="307" t="n"/>
      <c r="E222" s="307" t="n"/>
      <c r="F222" s="307" t="n"/>
      <c r="G222" s="307" t="n"/>
      <c r="H222" s="31" t="n"/>
      <c r="I222" s="31" t="n"/>
      <c r="J222" s="31" t="n"/>
      <c r="K222" s="31" t="n"/>
      <c r="L222" s="31" t="n"/>
      <c r="M222" s="31" t="n"/>
      <c r="N222" s="307" t="n"/>
      <c r="O222" s="307" t="n"/>
      <c r="P222" s="307" t="n"/>
      <c r="Q222" s="307" t="n"/>
      <c r="R222" s="307" t="n"/>
      <c r="S222" s="307" t="n"/>
      <c r="T222" s="307" t="n"/>
      <c r="U222" s="307" t="n"/>
      <c r="V222" s="307" t="n"/>
      <c r="W222" s="307" t="n"/>
      <c r="X222" s="307" t="n"/>
      <c r="Y222" s="307" t="n"/>
      <c r="Z222" s="307" t="n"/>
      <c r="AA222" s="307" t="n"/>
      <c r="AB222" s="307" t="n"/>
      <c r="AC222" s="307" t="n"/>
      <c r="AD222" s="307" t="n"/>
    </row>
    <row r="223" ht="15.75" customHeight="1" s="349">
      <c r="A223" s="307" t="n"/>
      <c r="B223" s="307" t="n"/>
      <c r="C223" s="307" t="n"/>
      <c r="D223" s="307" t="n"/>
      <c r="E223" s="307" t="n"/>
      <c r="F223" s="307" t="n"/>
      <c r="G223" s="307" t="n"/>
      <c r="H223" s="31" t="n"/>
      <c r="I223" s="31" t="n"/>
      <c r="J223" s="31" t="n"/>
      <c r="K223" s="31" t="n"/>
      <c r="L223" s="31" t="n"/>
      <c r="M223" s="31" t="n"/>
      <c r="N223" s="307" t="n"/>
      <c r="O223" s="307" t="n"/>
      <c r="P223" s="307" t="n"/>
      <c r="Q223" s="307" t="n"/>
      <c r="R223" s="307" t="n"/>
      <c r="S223" s="307" t="n"/>
      <c r="T223" s="307" t="n"/>
      <c r="U223" s="307" t="n"/>
      <c r="V223" s="307" t="n"/>
      <c r="W223" s="307" t="n"/>
      <c r="X223" s="307" t="n"/>
      <c r="Y223" s="307" t="n"/>
      <c r="Z223" s="307" t="n"/>
      <c r="AA223" s="307" t="n"/>
      <c r="AB223" s="307" t="n"/>
      <c r="AC223" s="307" t="n"/>
      <c r="AD223" s="307" t="n"/>
    </row>
    <row r="224" ht="15.75" customHeight="1" s="349">
      <c r="A224" s="307" t="n"/>
      <c r="B224" s="307" t="n"/>
      <c r="C224" s="307" t="n"/>
      <c r="D224" s="307" t="n"/>
      <c r="E224" s="307" t="n"/>
      <c r="F224" s="307" t="n"/>
      <c r="G224" s="307" t="n"/>
      <c r="H224" s="31" t="n"/>
      <c r="I224" s="31" t="n"/>
      <c r="J224" s="31" t="n"/>
      <c r="K224" s="31" t="n"/>
      <c r="L224" s="31" t="n"/>
      <c r="M224" s="31" t="n"/>
      <c r="N224" s="307" t="n"/>
      <c r="O224" s="307" t="n"/>
      <c r="P224" s="307" t="n"/>
      <c r="Q224" s="307" t="n"/>
      <c r="R224" s="307" t="n"/>
      <c r="S224" s="307" t="n"/>
      <c r="T224" s="307" t="n"/>
      <c r="U224" s="307" t="n"/>
      <c r="V224" s="307" t="n"/>
      <c r="W224" s="307" t="n"/>
      <c r="X224" s="307" t="n"/>
      <c r="Y224" s="307" t="n"/>
      <c r="Z224" s="307" t="n"/>
      <c r="AA224" s="307" t="n"/>
      <c r="AB224" s="307" t="n"/>
      <c r="AC224" s="307" t="n"/>
      <c r="AD224" s="307" t="n"/>
    </row>
    <row r="225" ht="15.75" customHeight="1" s="349">
      <c r="A225" s="307" t="n"/>
      <c r="B225" s="307" t="n"/>
      <c r="C225" s="307" t="n"/>
      <c r="D225" s="307" t="n"/>
      <c r="E225" s="307" t="n"/>
      <c r="F225" s="307" t="n"/>
      <c r="G225" s="307" t="n"/>
      <c r="H225" s="31" t="n"/>
      <c r="I225" s="31" t="n"/>
      <c r="J225" s="31" t="n"/>
      <c r="K225" s="31" t="n"/>
      <c r="L225" s="31" t="n"/>
      <c r="M225" s="31" t="n"/>
      <c r="N225" s="307" t="n"/>
      <c r="O225" s="307" t="n"/>
      <c r="P225" s="307" t="n"/>
      <c r="Q225" s="307" t="n"/>
      <c r="R225" s="307" t="n"/>
      <c r="S225" s="307" t="n"/>
      <c r="T225" s="307" t="n"/>
      <c r="U225" s="307" t="n"/>
      <c r="V225" s="307" t="n"/>
      <c r="W225" s="307" t="n"/>
      <c r="X225" s="307" t="n"/>
      <c r="Y225" s="307" t="n"/>
      <c r="Z225" s="307" t="n"/>
      <c r="AA225" s="307" t="n"/>
      <c r="AB225" s="307" t="n"/>
      <c r="AC225" s="307" t="n"/>
      <c r="AD225" s="307" t="n"/>
    </row>
    <row r="226" ht="15.75" customHeight="1" s="349">
      <c r="A226" s="307" t="n"/>
      <c r="B226" s="307" t="n"/>
      <c r="C226" s="307" t="n"/>
      <c r="D226" s="307" t="n"/>
      <c r="E226" s="307" t="n"/>
      <c r="F226" s="307" t="n"/>
      <c r="G226" s="307" t="n"/>
      <c r="H226" s="31" t="n"/>
      <c r="I226" s="31" t="n"/>
      <c r="J226" s="31" t="n"/>
      <c r="K226" s="31" t="n"/>
      <c r="L226" s="31" t="n"/>
      <c r="M226" s="31" t="n"/>
      <c r="N226" s="307" t="n"/>
      <c r="O226" s="307" t="n"/>
      <c r="P226" s="307" t="n"/>
      <c r="Q226" s="307" t="n"/>
      <c r="R226" s="307" t="n"/>
      <c r="S226" s="307" t="n"/>
      <c r="T226" s="307" t="n"/>
      <c r="U226" s="307" t="n"/>
      <c r="V226" s="307" t="n"/>
      <c r="W226" s="307" t="n"/>
      <c r="X226" s="307" t="n"/>
      <c r="Y226" s="307" t="n"/>
      <c r="Z226" s="307" t="n"/>
      <c r="AA226" s="307" t="n"/>
      <c r="AB226" s="307" t="n"/>
      <c r="AC226" s="307" t="n"/>
      <c r="AD226" s="307" t="n"/>
    </row>
    <row r="227" ht="15.75" customHeight="1" s="349">
      <c r="A227" s="307" t="n"/>
      <c r="B227" s="307" t="n"/>
      <c r="C227" s="307" t="n"/>
      <c r="D227" s="307" t="n"/>
      <c r="E227" s="307" t="n"/>
      <c r="F227" s="307" t="n"/>
      <c r="G227" s="307" t="n"/>
      <c r="H227" s="31" t="n"/>
      <c r="I227" s="31" t="n"/>
      <c r="J227" s="31" t="n"/>
      <c r="K227" s="31" t="n"/>
      <c r="L227" s="31" t="n"/>
      <c r="M227" s="31" t="n"/>
      <c r="N227" s="307" t="n"/>
      <c r="O227" s="307" t="n"/>
      <c r="P227" s="307" t="n"/>
      <c r="Q227" s="307" t="n"/>
      <c r="R227" s="307" t="n"/>
      <c r="S227" s="307" t="n"/>
      <c r="T227" s="307" t="n"/>
      <c r="U227" s="307" t="n"/>
      <c r="V227" s="307" t="n"/>
      <c r="W227" s="307" t="n"/>
      <c r="X227" s="307" t="n"/>
      <c r="Y227" s="307" t="n"/>
      <c r="Z227" s="307" t="n"/>
      <c r="AA227" s="307" t="n"/>
      <c r="AB227" s="307" t="n"/>
      <c r="AC227" s="307" t="n"/>
      <c r="AD227" s="307" t="n"/>
    </row>
    <row r="228" ht="15.75" customHeight="1" s="349">
      <c r="A228" s="307" t="n"/>
      <c r="B228" s="307" t="n"/>
      <c r="C228" s="307" t="n"/>
      <c r="D228" s="307" t="n"/>
      <c r="E228" s="307" t="n"/>
      <c r="F228" s="307" t="n"/>
      <c r="G228" s="307" t="n"/>
      <c r="H228" s="31" t="n"/>
      <c r="I228" s="31" t="n"/>
      <c r="J228" s="31" t="n"/>
      <c r="K228" s="31" t="n"/>
      <c r="L228" s="31" t="n"/>
      <c r="M228" s="31" t="n"/>
      <c r="N228" s="307" t="n"/>
      <c r="O228" s="307" t="n"/>
      <c r="P228" s="307" t="n"/>
      <c r="Q228" s="307" t="n"/>
      <c r="R228" s="307" t="n"/>
      <c r="S228" s="307" t="n"/>
      <c r="T228" s="307" t="n"/>
      <c r="U228" s="307" t="n"/>
      <c r="V228" s="307" t="n"/>
      <c r="W228" s="307" t="n"/>
      <c r="X228" s="307" t="n"/>
      <c r="Y228" s="307" t="n"/>
      <c r="Z228" s="307" t="n"/>
      <c r="AA228" s="307" t="n"/>
      <c r="AB228" s="307" t="n"/>
      <c r="AC228" s="307" t="n"/>
      <c r="AD228" s="307" t="n"/>
    </row>
    <row r="229" ht="15.75" customHeight="1" s="349">
      <c r="A229" s="307" t="n"/>
      <c r="B229" s="307" t="n"/>
      <c r="C229" s="307" t="n"/>
      <c r="D229" s="307" t="n"/>
      <c r="E229" s="307" t="n"/>
      <c r="F229" s="307" t="n"/>
      <c r="G229" s="307" t="n"/>
      <c r="H229" s="31" t="n"/>
      <c r="I229" s="31" t="n"/>
      <c r="J229" s="31" t="n"/>
      <c r="K229" s="31" t="n"/>
      <c r="L229" s="31" t="n"/>
      <c r="M229" s="31" t="n"/>
      <c r="N229" s="307" t="n"/>
      <c r="O229" s="307" t="n"/>
      <c r="P229" s="307" t="n"/>
      <c r="Q229" s="307" t="n"/>
      <c r="R229" s="307" t="n"/>
      <c r="S229" s="307" t="n"/>
      <c r="T229" s="307" t="n"/>
      <c r="U229" s="307" t="n"/>
      <c r="V229" s="307" t="n"/>
      <c r="W229" s="307" t="n"/>
      <c r="X229" s="307" t="n"/>
      <c r="Y229" s="307" t="n"/>
      <c r="Z229" s="307" t="n"/>
      <c r="AA229" s="307" t="n"/>
      <c r="AB229" s="307" t="n"/>
      <c r="AC229" s="307" t="n"/>
      <c r="AD229" s="307" t="n"/>
    </row>
    <row r="230" ht="15.75" customHeight="1" s="349">
      <c r="A230" s="307" t="n"/>
      <c r="B230" s="307" t="n"/>
      <c r="C230" s="307" t="n"/>
      <c r="D230" s="307" t="n"/>
      <c r="E230" s="307" t="n"/>
      <c r="F230" s="307" t="n"/>
      <c r="G230" s="307" t="n"/>
      <c r="H230" s="31" t="n"/>
      <c r="I230" s="31" t="n"/>
      <c r="J230" s="31" t="n"/>
      <c r="K230" s="31" t="n"/>
      <c r="L230" s="31" t="n"/>
      <c r="M230" s="31" t="n"/>
      <c r="N230" s="307" t="n"/>
      <c r="O230" s="307" t="n"/>
      <c r="P230" s="307" t="n"/>
      <c r="Q230" s="307" t="n"/>
      <c r="R230" s="307" t="n"/>
      <c r="S230" s="307" t="n"/>
      <c r="T230" s="307" t="n"/>
      <c r="U230" s="307" t="n"/>
      <c r="V230" s="307" t="n"/>
      <c r="W230" s="307" t="n"/>
      <c r="X230" s="307" t="n"/>
      <c r="Y230" s="307" t="n"/>
      <c r="Z230" s="307" t="n"/>
      <c r="AA230" s="307" t="n"/>
      <c r="AB230" s="307" t="n"/>
      <c r="AC230" s="307" t="n"/>
      <c r="AD230" s="307" t="n"/>
    </row>
    <row r="231" ht="15.75" customHeight="1" s="349">
      <c r="A231" s="307" t="n"/>
      <c r="B231" s="307" t="n"/>
      <c r="C231" s="307" t="n"/>
      <c r="D231" s="307" t="n"/>
      <c r="E231" s="307" t="n"/>
      <c r="F231" s="307" t="n"/>
      <c r="G231" s="307" t="n"/>
      <c r="H231" s="31" t="n"/>
      <c r="I231" s="31" t="n"/>
      <c r="J231" s="31" t="n"/>
      <c r="K231" s="31" t="n"/>
      <c r="L231" s="31" t="n"/>
      <c r="M231" s="31" t="n"/>
      <c r="N231" s="307" t="n"/>
      <c r="O231" s="307" t="n"/>
      <c r="P231" s="307" t="n"/>
      <c r="Q231" s="307" t="n"/>
      <c r="R231" s="307" t="n"/>
      <c r="S231" s="307" t="n"/>
      <c r="T231" s="307" t="n"/>
      <c r="U231" s="307" t="n"/>
      <c r="V231" s="307" t="n"/>
      <c r="W231" s="307" t="n"/>
      <c r="X231" s="307" t="n"/>
      <c r="Y231" s="307" t="n"/>
      <c r="Z231" s="307" t="n"/>
      <c r="AA231" s="307" t="n"/>
      <c r="AB231" s="307" t="n"/>
      <c r="AC231" s="307" t="n"/>
      <c r="AD231" s="307" t="n"/>
    </row>
    <row r="232" ht="15.75" customHeight="1" s="349">
      <c r="A232" s="307" t="n"/>
      <c r="B232" s="307" t="n"/>
      <c r="C232" s="307" t="n"/>
      <c r="D232" s="307" t="n"/>
      <c r="E232" s="307" t="n"/>
      <c r="F232" s="307" t="n"/>
      <c r="G232" s="307" t="n"/>
      <c r="H232" s="31" t="n"/>
      <c r="I232" s="31" t="n"/>
      <c r="J232" s="31" t="n"/>
      <c r="K232" s="31" t="n"/>
      <c r="L232" s="31" t="n"/>
      <c r="M232" s="31" t="n"/>
      <c r="N232" s="307" t="n"/>
      <c r="O232" s="307" t="n"/>
      <c r="P232" s="307" t="n"/>
      <c r="Q232" s="307" t="n"/>
      <c r="R232" s="307" t="n"/>
      <c r="S232" s="307" t="n"/>
      <c r="T232" s="307" t="n"/>
      <c r="U232" s="307" t="n"/>
      <c r="V232" s="307" t="n"/>
      <c r="W232" s="307" t="n"/>
      <c r="X232" s="307" t="n"/>
      <c r="Y232" s="307" t="n"/>
      <c r="Z232" s="307" t="n"/>
      <c r="AA232" s="307" t="n"/>
      <c r="AB232" s="307" t="n"/>
      <c r="AC232" s="307" t="n"/>
      <c r="AD232" s="307" t="n"/>
    </row>
    <row r="233" ht="15.75" customHeight="1" s="349">
      <c r="A233" s="307" t="n"/>
      <c r="B233" s="307" t="n"/>
      <c r="C233" s="307" t="n"/>
      <c r="D233" s="307" t="n"/>
      <c r="E233" s="307" t="n"/>
      <c r="F233" s="307" t="n"/>
      <c r="G233" s="307" t="n"/>
      <c r="H233" s="31" t="n"/>
      <c r="I233" s="31" t="n"/>
      <c r="J233" s="31" t="n"/>
      <c r="K233" s="31" t="n"/>
      <c r="L233" s="31" t="n"/>
      <c r="M233" s="31" t="n"/>
      <c r="N233" s="307" t="n"/>
      <c r="O233" s="307" t="n"/>
      <c r="P233" s="307" t="n"/>
      <c r="Q233" s="307" t="n"/>
      <c r="R233" s="307" t="n"/>
      <c r="S233" s="307" t="n"/>
      <c r="T233" s="307" t="n"/>
      <c r="U233" s="307" t="n"/>
      <c r="V233" s="307" t="n"/>
      <c r="W233" s="307" t="n"/>
      <c r="X233" s="307" t="n"/>
      <c r="Y233" s="307" t="n"/>
      <c r="Z233" s="307" t="n"/>
      <c r="AA233" s="307" t="n"/>
      <c r="AB233" s="307" t="n"/>
      <c r="AC233" s="307" t="n"/>
      <c r="AD233" s="307" t="n"/>
    </row>
    <row r="234" ht="15.75" customHeight="1" s="349">
      <c r="A234" s="307" t="n"/>
      <c r="B234" s="307" t="n"/>
      <c r="C234" s="307" t="n"/>
      <c r="D234" s="307" t="n"/>
      <c r="E234" s="307" t="n"/>
      <c r="F234" s="307" t="n"/>
      <c r="G234" s="307" t="n"/>
      <c r="H234" s="31" t="n"/>
      <c r="I234" s="31" t="n"/>
      <c r="J234" s="31" t="n"/>
      <c r="K234" s="31" t="n"/>
      <c r="L234" s="31" t="n"/>
      <c r="M234" s="31" t="n"/>
      <c r="N234" s="307" t="n"/>
      <c r="O234" s="307" t="n"/>
      <c r="P234" s="307" t="n"/>
      <c r="Q234" s="307" t="n"/>
      <c r="R234" s="307" t="n"/>
      <c r="S234" s="307" t="n"/>
      <c r="T234" s="307" t="n"/>
      <c r="U234" s="307" t="n"/>
      <c r="V234" s="307" t="n"/>
      <c r="W234" s="307" t="n"/>
      <c r="X234" s="307" t="n"/>
      <c r="Y234" s="307" t="n"/>
      <c r="Z234" s="307" t="n"/>
      <c r="AA234" s="307" t="n"/>
      <c r="AB234" s="307" t="n"/>
      <c r="AC234" s="307" t="n"/>
      <c r="AD234" s="307" t="n"/>
    </row>
    <row r="235" ht="15.75" customHeight="1" s="349">
      <c r="A235" s="307" t="n"/>
      <c r="B235" s="307" t="n"/>
      <c r="C235" s="307" t="n"/>
      <c r="D235" s="307" t="n"/>
      <c r="E235" s="307" t="n"/>
      <c r="F235" s="307" t="n"/>
      <c r="G235" s="307" t="n"/>
      <c r="H235" s="31" t="n"/>
      <c r="I235" s="31" t="n"/>
      <c r="J235" s="31" t="n"/>
      <c r="K235" s="31" t="n"/>
      <c r="L235" s="31" t="n"/>
      <c r="M235" s="31" t="n"/>
      <c r="N235" s="307" t="n"/>
      <c r="O235" s="307" t="n"/>
      <c r="P235" s="307" t="n"/>
      <c r="Q235" s="307" t="n"/>
      <c r="R235" s="307" t="n"/>
      <c r="S235" s="307" t="n"/>
      <c r="T235" s="307" t="n"/>
      <c r="U235" s="307" t="n"/>
      <c r="V235" s="307" t="n"/>
      <c r="W235" s="307" t="n"/>
      <c r="X235" s="307" t="n"/>
      <c r="Y235" s="307" t="n"/>
      <c r="Z235" s="307" t="n"/>
      <c r="AA235" s="307" t="n"/>
      <c r="AB235" s="307" t="n"/>
      <c r="AC235" s="307" t="n"/>
      <c r="AD235" s="307" t="n"/>
    </row>
    <row r="236" ht="15.75" customHeight="1" s="349">
      <c r="A236" s="307" t="n"/>
      <c r="B236" s="307" t="n"/>
      <c r="C236" s="307" t="n"/>
      <c r="D236" s="307" t="n"/>
      <c r="E236" s="307" t="n"/>
      <c r="F236" s="307" t="n"/>
      <c r="G236" s="307" t="n"/>
      <c r="H236" s="31" t="n"/>
      <c r="I236" s="31" t="n"/>
      <c r="J236" s="31" t="n"/>
      <c r="K236" s="31" t="n"/>
      <c r="L236" s="31" t="n"/>
      <c r="M236" s="31" t="n"/>
      <c r="N236" s="307" t="n"/>
      <c r="O236" s="307" t="n"/>
      <c r="P236" s="307" t="n"/>
      <c r="Q236" s="307" t="n"/>
      <c r="R236" s="307" t="n"/>
      <c r="S236" s="307" t="n"/>
      <c r="T236" s="307" t="n"/>
      <c r="U236" s="307" t="n"/>
      <c r="V236" s="307" t="n"/>
      <c r="W236" s="307" t="n"/>
      <c r="X236" s="307" t="n"/>
      <c r="Y236" s="307" t="n"/>
      <c r="Z236" s="307" t="n"/>
      <c r="AA236" s="307" t="n"/>
      <c r="AB236" s="307" t="n"/>
      <c r="AC236" s="307" t="n"/>
      <c r="AD236" s="307" t="n"/>
    </row>
    <row r="237" ht="15.75" customHeight="1" s="349">
      <c r="A237" s="307" t="n"/>
      <c r="B237" s="307" t="n"/>
      <c r="C237" s="307" t="n"/>
      <c r="D237" s="307" t="n"/>
      <c r="E237" s="307" t="n"/>
      <c r="F237" s="307" t="n"/>
      <c r="G237" s="307" t="n"/>
      <c r="H237" s="31" t="n"/>
      <c r="I237" s="31" t="n"/>
      <c r="J237" s="31" t="n"/>
      <c r="K237" s="31" t="n"/>
      <c r="L237" s="31" t="n"/>
      <c r="M237" s="31" t="n"/>
      <c r="N237" s="307" t="n"/>
      <c r="O237" s="307" t="n"/>
      <c r="P237" s="307" t="n"/>
      <c r="Q237" s="307" t="n"/>
      <c r="R237" s="307" t="n"/>
      <c r="S237" s="307" t="n"/>
      <c r="T237" s="307" t="n"/>
      <c r="U237" s="307" t="n"/>
      <c r="V237" s="307" t="n"/>
      <c r="W237" s="307" t="n"/>
      <c r="X237" s="307" t="n"/>
      <c r="Y237" s="307" t="n"/>
      <c r="Z237" s="307" t="n"/>
      <c r="AA237" s="307" t="n"/>
      <c r="AB237" s="307" t="n"/>
      <c r="AC237" s="307" t="n"/>
      <c r="AD237" s="307" t="n"/>
    </row>
    <row r="238" ht="15.75" customHeight="1" s="349">
      <c r="A238" s="307" t="n"/>
      <c r="B238" s="307" t="n"/>
      <c r="C238" s="307" t="n"/>
      <c r="D238" s="307" t="n"/>
      <c r="E238" s="307" t="n"/>
      <c r="F238" s="307" t="n"/>
      <c r="G238" s="307" t="n"/>
      <c r="H238" s="31" t="n"/>
      <c r="I238" s="31" t="n"/>
      <c r="J238" s="31" t="n"/>
      <c r="K238" s="31" t="n"/>
      <c r="L238" s="31" t="n"/>
      <c r="M238" s="31" t="n"/>
      <c r="N238" s="307" t="n"/>
      <c r="O238" s="307" t="n"/>
      <c r="P238" s="307" t="n"/>
      <c r="Q238" s="307" t="n"/>
      <c r="R238" s="307" t="n"/>
      <c r="S238" s="307" t="n"/>
      <c r="T238" s="307" t="n"/>
      <c r="U238" s="307" t="n"/>
      <c r="V238" s="307" t="n"/>
      <c r="W238" s="307" t="n"/>
      <c r="X238" s="307" t="n"/>
      <c r="Y238" s="307" t="n"/>
      <c r="Z238" s="307" t="n"/>
      <c r="AA238" s="307" t="n"/>
      <c r="AB238" s="307" t="n"/>
      <c r="AC238" s="307" t="n"/>
      <c r="AD238" s="307" t="n"/>
    </row>
    <row r="239" ht="15.75" customHeight="1" s="349">
      <c r="A239" s="307" t="n"/>
      <c r="B239" s="307" t="n"/>
      <c r="C239" s="307" t="n"/>
      <c r="D239" s="307" t="n"/>
      <c r="E239" s="307" t="n"/>
      <c r="F239" s="307" t="n"/>
      <c r="G239" s="307" t="n"/>
      <c r="H239" s="31" t="n"/>
      <c r="I239" s="31" t="n"/>
      <c r="J239" s="31" t="n"/>
      <c r="K239" s="31" t="n"/>
      <c r="L239" s="31" t="n"/>
      <c r="M239" s="31" t="n"/>
      <c r="N239" s="307" t="n"/>
      <c r="O239" s="307" t="n"/>
      <c r="P239" s="307" t="n"/>
      <c r="Q239" s="307" t="n"/>
      <c r="R239" s="307" t="n"/>
      <c r="S239" s="307" t="n"/>
      <c r="T239" s="307" t="n"/>
      <c r="U239" s="307" t="n"/>
      <c r="V239" s="307" t="n"/>
      <c r="W239" s="307" t="n"/>
      <c r="X239" s="307" t="n"/>
      <c r="Y239" s="307" t="n"/>
      <c r="Z239" s="307" t="n"/>
      <c r="AA239" s="307" t="n"/>
      <c r="AB239" s="307" t="n"/>
      <c r="AC239" s="307" t="n"/>
      <c r="AD239" s="307" t="n"/>
    </row>
    <row r="240" ht="15.75" customHeight="1" s="349">
      <c r="A240" s="307" t="n"/>
      <c r="B240" s="307" t="n"/>
      <c r="C240" s="307" t="n"/>
      <c r="D240" s="307" t="n"/>
      <c r="E240" s="307" t="n"/>
      <c r="F240" s="307" t="n"/>
      <c r="G240" s="307" t="n"/>
      <c r="H240" s="31" t="n"/>
      <c r="I240" s="31" t="n"/>
      <c r="J240" s="31" t="n"/>
      <c r="K240" s="31" t="n"/>
      <c r="L240" s="31" t="n"/>
      <c r="M240" s="31" t="n"/>
      <c r="N240" s="307" t="n"/>
      <c r="O240" s="307" t="n"/>
      <c r="P240" s="307" t="n"/>
      <c r="Q240" s="307" t="n"/>
      <c r="R240" s="307" t="n"/>
      <c r="S240" s="307" t="n"/>
      <c r="T240" s="307" t="n"/>
      <c r="U240" s="307" t="n"/>
      <c r="V240" s="307" t="n"/>
      <c r="W240" s="307" t="n"/>
      <c r="X240" s="307" t="n"/>
      <c r="Y240" s="307" t="n"/>
      <c r="Z240" s="307" t="n"/>
      <c r="AA240" s="307" t="n"/>
      <c r="AB240" s="307" t="n"/>
      <c r="AC240" s="307" t="n"/>
      <c r="AD240" s="307" t="n"/>
    </row>
    <row r="241" ht="15.75" customHeight="1" s="349">
      <c r="A241" s="307" t="n"/>
      <c r="B241" s="307" t="n"/>
      <c r="C241" s="307" t="n"/>
      <c r="D241" s="307" t="n"/>
      <c r="E241" s="307" t="n"/>
      <c r="F241" s="307" t="n"/>
      <c r="G241" s="307" t="n"/>
      <c r="H241" s="31" t="n"/>
      <c r="I241" s="31" t="n"/>
      <c r="J241" s="31" t="n"/>
      <c r="K241" s="31" t="n"/>
      <c r="L241" s="31" t="n"/>
      <c r="M241" s="31" t="n"/>
      <c r="N241" s="307" t="n"/>
      <c r="O241" s="307" t="n"/>
      <c r="P241" s="307" t="n"/>
      <c r="Q241" s="307" t="n"/>
      <c r="R241" s="307" t="n"/>
      <c r="S241" s="307" t="n"/>
      <c r="T241" s="307" t="n"/>
      <c r="U241" s="307" t="n"/>
      <c r="V241" s="307" t="n"/>
      <c r="W241" s="307" t="n"/>
      <c r="X241" s="307" t="n"/>
      <c r="Y241" s="307" t="n"/>
      <c r="Z241" s="307" t="n"/>
      <c r="AA241" s="307" t="n"/>
      <c r="AB241" s="307" t="n"/>
      <c r="AC241" s="307" t="n"/>
      <c r="AD241" s="307" t="n"/>
    </row>
    <row r="242" ht="15.75" customHeight="1" s="349">
      <c r="A242" s="307" t="n"/>
      <c r="B242" s="307" t="n"/>
      <c r="C242" s="307" t="n"/>
      <c r="D242" s="307" t="n"/>
      <c r="E242" s="307" t="n"/>
      <c r="F242" s="307" t="n"/>
      <c r="G242" s="307" t="n"/>
      <c r="H242" s="31" t="n"/>
      <c r="I242" s="31" t="n"/>
      <c r="J242" s="31" t="n"/>
      <c r="K242" s="31" t="n"/>
      <c r="L242" s="31" t="n"/>
      <c r="M242" s="31" t="n"/>
      <c r="N242" s="307" t="n"/>
      <c r="O242" s="307" t="n"/>
      <c r="P242" s="307" t="n"/>
      <c r="Q242" s="307" t="n"/>
      <c r="R242" s="307" t="n"/>
      <c r="S242" s="307" t="n"/>
      <c r="T242" s="307" t="n"/>
      <c r="U242" s="307" t="n"/>
      <c r="V242" s="307" t="n"/>
      <c r="W242" s="307" t="n"/>
      <c r="X242" s="307" t="n"/>
      <c r="Y242" s="307" t="n"/>
      <c r="Z242" s="307" t="n"/>
      <c r="AA242" s="307" t="n"/>
      <c r="AB242" s="307" t="n"/>
      <c r="AC242" s="307" t="n"/>
      <c r="AD242" s="307" t="n"/>
    </row>
    <row r="243" ht="15.75" customHeight="1" s="349">
      <c r="A243" s="307" t="n"/>
      <c r="B243" s="307" t="n"/>
      <c r="C243" s="307" t="n"/>
      <c r="D243" s="307" t="n"/>
      <c r="E243" s="307" t="n"/>
      <c r="F243" s="307" t="n"/>
      <c r="G243" s="307" t="n"/>
      <c r="H243" s="31" t="n"/>
      <c r="I243" s="31" t="n"/>
      <c r="J243" s="31" t="n"/>
      <c r="K243" s="31" t="n"/>
      <c r="L243" s="31" t="n"/>
      <c r="M243" s="31" t="n"/>
      <c r="N243" s="307" t="n"/>
      <c r="O243" s="307" t="n"/>
      <c r="P243" s="307" t="n"/>
      <c r="Q243" s="307" t="n"/>
      <c r="R243" s="307" t="n"/>
      <c r="S243" s="307" t="n"/>
      <c r="T243" s="307" t="n"/>
      <c r="U243" s="307" t="n"/>
      <c r="V243" s="307" t="n"/>
      <c r="W243" s="307" t="n"/>
      <c r="X243" s="307" t="n"/>
      <c r="Y243" s="307" t="n"/>
      <c r="Z243" s="307" t="n"/>
      <c r="AA243" s="307" t="n"/>
      <c r="AB243" s="307" t="n"/>
      <c r="AC243" s="307" t="n"/>
      <c r="AD243" s="307" t="n"/>
    </row>
    <row r="244" ht="15.75" customHeight="1" s="349">
      <c r="A244" s="307" t="n"/>
      <c r="B244" s="307" t="n"/>
      <c r="C244" s="307" t="n"/>
      <c r="D244" s="307" t="n"/>
      <c r="E244" s="307" t="n"/>
      <c r="F244" s="307" t="n"/>
      <c r="G244" s="307" t="n"/>
      <c r="H244" s="31" t="n"/>
      <c r="I244" s="31" t="n"/>
      <c r="J244" s="31" t="n"/>
      <c r="K244" s="31" t="n"/>
      <c r="L244" s="31" t="n"/>
      <c r="M244" s="31" t="n"/>
      <c r="N244" s="307" t="n"/>
      <c r="O244" s="307" t="n"/>
      <c r="P244" s="307" t="n"/>
      <c r="Q244" s="307" t="n"/>
      <c r="R244" s="307" t="n"/>
      <c r="S244" s="307" t="n"/>
      <c r="T244" s="307" t="n"/>
      <c r="U244" s="307" t="n"/>
      <c r="V244" s="307" t="n"/>
      <c r="W244" s="307" t="n"/>
      <c r="X244" s="307" t="n"/>
      <c r="Y244" s="307" t="n"/>
      <c r="Z244" s="307" t="n"/>
      <c r="AA244" s="307" t="n"/>
      <c r="AB244" s="307" t="n"/>
      <c r="AC244" s="307" t="n"/>
      <c r="AD244" s="307" t="n"/>
    </row>
    <row r="245" ht="15.75" customHeight="1" s="349">
      <c r="A245" s="307" t="n"/>
      <c r="B245" s="307" t="n"/>
      <c r="C245" s="307" t="n"/>
      <c r="D245" s="307" t="n"/>
      <c r="E245" s="307" t="n"/>
      <c r="F245" s="307" t="n"/>
      <c r="G245" s="307" t="n"/>
      <c r="H245" s="31" t="n"/>
      <c r="I245" s="31" t="n"/>
      <c r="J245" s="31" t="n"/>
      <c r="K245" s="31" t="n"/>
      <c r="L245" s="31" t="n"/>
      <c r="M245" s="31" t="n"/>
      <c r="N245" s="307" t="n"/>
      <c r="O245" s="307" t="n"/>
      <c r="P245" s="307" t="n"/>
      <c r="Q245" s="307" t="n"/>
      <c r="R245" s="307" t="n"/>
      <c r="S245" s="307" t="n"/>
      <c r="T245" s="307" t="n"/>
      <c r="U245" s="307" t="n"/>
      <c r="V245" s="307" t="n"/>
      <c r="W245" s="307" t="n"/>
      <c r="X245" s="307" t="n"/>
      <c r="Y245" s="307" t="n"/>
      <c r="Z245" s="307" t="n"/>
      <c r="AA245" s="307" t="n"/>
      <c r="AB245" s="307" t="n"/>
      <c r="AC245" s="307" t="n"/>
      <c r="AD245" s="307" t="n"/>
    </row>
    <row r="246" ht="15.75" customHeight="1" s="349">
      <c r="A246" s="307" t="n"/>
      <c r="B246" s="307" t="n"/>
      <c r="C246" s="307" t="n"/>
      <c r="D246" s="307" t="n"/>
      <c r="E246" s="307" t="n"/>
      <c r="F246" s="307" t="n"/>
      <c r="G246" s="307" t="n"/>
      <c r="H246" s="31" t="n"/>
      <c r="I246" s="31" t="n"/>
      <c r="J246" s="31" t="n"/>
      <c r="K246" s="31" t="n"/>
      <c r="L246" s="31" t="n"/>
      <c r="M246" s="31" t="n"/>
      <c r="N246" s="307" t="n"/>
      <c r="O246" s="307" t="n"/>
      <c r="P246" s="307" t="n"/>
      <c r="Q246" s="307" t="n"/>
      <c r="R246" s="307" t="n"/>
      <c r="S246" s="307" t="n"/>
      <c r="T246" s="307" t="n"/>
      <c r="U246" s="307" t="n"/>
      <c r="V246" s="307" t="n"/>
      <c r="W246" s="307" t="n"/>
      <c r="X246" s="307" t="n"/>
      <c r="Y246" s="307" t="n"/>
      <c r="Z246" s="307" t="n"/>
      <c r="AA246" s="307" t="n"/>
      <c r="AB246" s="307" t="n"/>
      <c r="AC246" s="307" t="n"/>
      <c r="AD246" s="307" t="n"/>
    </row>
    <row r="247" ht="15.75" customHeight="1" s="349">
      <c r="A247" s="307" t="n"/>
      <c r="B247" s="307" t="n"/>
      <c r="C247" s="307" t="n"/>
      <c r="D247" s="307" t="n"/>
      <c r="E247" s="307" t="n"/>
      <c r="F247" s="307" t="n"/>
      <c r="G247" s="307" t="n"/>
      <c r="H247" s="31" t="n"/>
      <c r="I247" s="31" t="n"/>
      <c r="J247" s="31" t="n"/>
      <c r="K247" s="31" t="n"/>
      <c r="L247" s="31" t="n"/>
      <c r="M247" s="31" t="n"/>
      <c r="N247" s="307" t="n"/>
      <c r="O247" s="307" t="n"/>
      <c r="P247" s="307" t="n"/>
      <c r="Q247" s="307" t="n"/>
      <c r="R247" s="307" t="n"/>
      <c r="S247" s="307" t="n"/>
      <c r="T247" s="307" t="n"/>
      <c r="U247" s="307" t="n"/>
      <c r="V247" s="307" t="n"/>
      <c r="W247" s="307" t="n"/>
      <c r="X247" s="307" t="n"/>
      <c r="Y247" s="307" t="n"/>
      <c r="Z247" s="307" t="n"/>
      <c r="AA247" s="307" t="n"/>
      <c r="AB247" s="307" t="n"/>
      <c r="AC247" s="307" t="n"/>
      <c r="AD247" s="307" t="n"/>
    </row>
    <row r="248" ht="15.75" customHeight="1" s="349">
      <c r="A248" s="307" t="n"/>
      <c r="B248" s="307" t="n"/>
      <c r="C248" s="307" t="n"/>
      <c r="D248" s="307" t="n"/>
      <c r="E248" s="307" t="n"/>
      <c r="F248" s="307" t="n"/>
      <c r="G248" s="307" t="n"/>
      <c r="H248" s="31" t="n"/>
      <c r="I248" s="31" t="n"/>
      <c r="J248" s="31" t="n"/>
      <c r="K248" s="31" t="n"/>
      <c r="L248" s="31" t="n"/>
      <c r="M248" s="31" t="n"/>
      <c r="N248" s="307" t="n"/>
      <c r="O248" s="307" t="n"/>
      <c r="P248" s="307" t="n"/>
      <c r="Q248" s="307" t="n"/>
      <c r="R248" s="307" t="n"/>
      <c r="S248" s="307" t="n"/>
      <c r="T248" s="307" t="n"/>
      <c r="U248" s="307" t="n"/>
      <c r="V248" s="307" t="n"/>
      <c r="W248" s="307" t="n"/>
      <c r="X248" s="307" t="n"/>
      <c r="Y248" s="307" t="n"/>
      <c r="Z248" s="307" t="n"/>
      <c r="AA248" s="307" t="n"/>
      <c r="AB248" s="307" t="n"/>
      <c r="AC248" s="307" t="n"/>
      <c r="AD248" s="307" t="n"/>
    </row>
    <row r="249" ht="15.75" customHeight="1" s="349">
      <c r="A249" s="307" t="n"/>
      <c r="B249" s="307" t="n"/>
      <c r="C249" s="307" t="n"/>
      <c r="D249" s="307" t="n"/>
      <c r="E249" s="307" t="n"/>
      <c r="F249" s="307" t="n"/>
      <c r="G249" s="307" t="n"/>
      <c r="H249" s="31" t="n"/>
      <c r="I249" s="31" t="n"/>
      <c r="J249" s="31" t="n"/>
      <c r="K249" s="31" t="n"/>
      <c r="L249" s="31" t="n"/>
      <c r="M249" s="31" t="n"/>
      <c r="N249" s="307" t="n"/>
      <c r="O249" s="307" t="n"/>
      <c r="P249" s="307" t="n"/>
      <c r="Q249" s="307" t="n"/>
      <c r="R249" s="307" t="n"/>
      <c r="S249" s="307" t="n"/>
      <c r="T249" s="307" t="n"/>
      <c r="U249" s="307" t="n"/>
      <c r="V249" s="307" t="n"/>
      <c r="W249" s="307" t="n"/>
      <c r="X249" s="307" t="n"/>
      <c r="Y249" s="307" t="n"/>
      <c r="Z249" s="307" t="n"/>
      <c r="AA249" s="307" t="n"/>
      <c r="AB249" s="307" t="n"/>
      <c r="AC249" s="307" t="n"/>
      <c r="AD249" s="307" t="n"/>
    </row>
    <row r="250" ht="15.75" customHeight="1" s="349">
      <c r="A250" s="307" t="n"/>
      <c r="B250" s="307" t="n"/>
      <c r="C250" s="307" t="n"/>
      <c r="D250" s="307" t="n"/>
      <c r="E250" s="307" t="n"/>
      <c r="F250" s="307" t="n"/>
      <c r="G250" s="307" t="n"/>
      <c r="H250" s="31" t="n"/>
      <c r="I250" s="31" t="n"/>
      <c r="J250" s="31" t="n"/>
      <c r="K250" s="31" t="n"/>
      <c r="L250" s="31" t="n"/>
      <c r="M250" s="31" t="n"/>
      <c r="N250" s="307" t="n"/>
      <c r="O250" s="307" t="n"/>
      <c r="P250" s="307" t="n"/>
      <c r="Q250" s="307" t="n"/>
      <c r="R250" s="307" t="n"/>
      <c r="S250" s="307" t="n"/>
      <c r="T250" s="307" t="n"/>
      <c r="U250" s="307" t="n"/>
      <c r="V250" s="307" t="n"/>
      <c r="W250" s="307" t="n"/>
      <c r="X250" s="307" t="n"/>
      <c r="Y250" s="307" t="n"/>
      <c r="Z250" s="307" t="n"/>
      <c r="AA250" s="307" t="n"/>
      <c r="AB250" s="307" t="n"/>
      <c r="AC250" s="307" t="n"/>
      <c r="AD250" s="307" t="n"/>
    </row>
    <row r="251" ht="15.75" customHeight="1" s="349">
      <c r="A251" s="307" t="n"/>
      <c r="B251" s="307" t="n"/>
      <c r="C251" s="307" t="n"/>
      <c r="D251" s="307" t="n"/>
      <c r="E251" s="307" t="n"/>
      <c r="F251" s="307" t="n"/>
      <c r="G251" s="307" t="n"/>
      <c r="H251" s="31" t="n"/>
      <c r="I251" s="31" t="n"/>
      <c r="J251" s="31" t="n"/>
      <c r="K251" s="31" t="n"/>
      <c r="L251" s="31" t="n"/>
      <c r="M251" s="31" t="n"/>
      <c r="N251" s="307" t="n"/>
      <c r="O251" s="307" t="n"/>
      <c r="P251" s="307" t="n"/>
      <c r="Q251" s="307" t="n"/>
      <c r="R251" s="307" t="n"/>
      <c r="S251" s="307" t="n"/>
      <c r="T251" s="307" t="n"/>
      <c r="U251" s="307" t="n"/>
      <c r="V251" s="307" t="n"/>
      <c r="W251" s="307" t="n"/>
      <c r="X251" s="307" t="n"/>
      <c r="Y251" s="307" t="n"/>
      <c r="Z251" s="307" t="n"/>
      <c r="AA251" s="307" t="n"/>
      <c r="AB251" s="307" t="n"/>
      <c r="AC251" s="307" t="n"/>
      <c r="AD251" s="307" t="n"/>
    </row>
    <row r="252" ht="15.75" customHeight="1" s="349">
      <c r="A252" s="307" t="n"/>
      <c r="B252" s="307" t="n"/>
      <c r="C252" s="307" t="n"/>
      <c r="D252" s="307" t="n"/>
      <c r="E252" s="307" t="n"/>
      <c r="F252" s="307" t="n"/>
      <c r="G252" s="307" t="n"/>
      <c r="H252" s="31" t="n"/>
      <c r="I252" s="31" t="n"/>
      <c r="J252" s="31" t="n"/>
      <c r="K252" s="31" t="n"/>
      <c r="L252" s="31" t="n"/>
      <c r="M252" s="31" t="n"/>
      <c r="N252" s="307" t="n"/>
      <c r="O252" s="307" t="n"/>
      <c r="P252" s="307" t="n"/>
      <c r="Q252" s="307" t="n"/>
      <c r="R252" s="307" t="n"/>
      <c r="S252" s="307" t="n"/>
      <c r="T252" s="307" t="n"/>
      <c r="U252" s="307" t="n"/>
      <c r="V252" s="307" t="n"/>
      <c r="W252" s="307" t="n"/>
      <c r="X252" s="307" t="n"/>
      <c r="Y252" s="307" t="n"/>
      <c r="Z252" s="307" t="n"/>
      <c r="AA252" s="307" t="n"/>
      <c r="AB252" s="307" t="n"/>
      <c r="AC252" s="307" t="n"/>
      <c r="AD252" s="307" t="n"/>
    </row>
    <row r="253" ht="15.75" customHeight="1" s="349">
      <c r="A253" s="307" t="n"/>
      <c r="B253" s="307" t="n"/>
      <c r="C253" s="307" t="n"/>
      <c r="D253" s="307" t="n"/>
      <c r="E253" s="307" t="n"/>
      <c r="F253" s="307" t="n"/>
      <c r="G253" s="307" t="n"/>
      <c r="H253" s="31" t="n"/>
      <c r="I253" s="31" t="n"/>
      <c r="J253" s="31" t="n"/>
      <c r="K253" s="31" t="n"/>
      <c r="L253" s="31" t="n"/>
      <c r="M253" s="31" t="n"/>
      <c r="N253" s="307" t="n"/>
      <c r="O253" s="307" t="n"/>
      <c r="P253" s="307" t="n"/>
      <c r="Q253" s="307" t="n"/>
      <c r="R253" s="307" t="n"/>
      <c r="S253" s="307" t="n"/>
      <c r="T253" s="307" t="n"/>
      <c r="U253" s="307" t="n"/>
      <c r="V253" s="307" t="n"/>
      <c r="W253" s="307" t="n"/>
      <c r="X253" s="307" t="n"/>
      <c r="Y253" s="307" t="n"/>
      <c r="Z253" s="307" t="n"/>
      <c r="AA253" s="307" t="n"/>
      <c r="AB253" s="307" t="n"/>
      <c r="AC253" s="307" t="n"/>
      <c r="AD253" s="307" t="n"/>
    </row>
    <row r="254" ht="15.75" customHeight="1" s="349">
      <c r="A254" s="307" t="n"/>
      <c r="B254" s="307" t="n"/>
      <c r="C254" s="307" t="n"/>
      <c r="D254" s="307" t="n"/>
      <c r="E254" s="307" t="n"/>
      <c r="F254" s="307" t="n"/>
      <c r="G254" s="307" t="n"/>
      <c r="H254" s="31" t="n"/>
      <c r="I254" s="31" t="n"/>
      <c r="J254" s="31" t="n"/>
      <c r="K254" s="31" t="n"/>
      <c r="L254" s="31" t="n"/>
      <c r="M254" s="31" t="n"/>
      <c r="N254" s="307" t="n"/>
      <c r="O254" s="307" t="n"/>
      <c r="P254" s="307" t="n"/>
      <c r="Q254" s="307" t="n"/>
      <c r="R254" s="307" t="n"/>
      <c r="S254" s="307" t="n"/>
      <c r="T254" s="307" t="n"/>
      <c r="U254" s="307" t="n"/>
      <c r="V254" s="307" t="n"/>
      <c r="W254" s="307" t="n"/>
      <c r="X254" s="307" t="n"/>
      <c r="Y254" s="307" t="n"/>
      <c r="Z254" s="307" t="n"/>
      <c r="AA254" s="307" t="n"/>
      <c r="AB254" s="307" t="n"/>
      <c r="AC254" s="307" t="n"/>
      <c r="AD254" s="307" t="n"/>
    </row>
    <row r="255" ht="15.75" customHeight="1" s="349">
      <c r="A255" s="307" t="n"/>
      <c r="B255" s="307" t="n"/>
      <c r="C255" s="307" t="n"/>
      <c r="D255" s="307" t="n"/>
      <c r="E255" s="307" t="n"/>
      <c r="F255" s="307" t="n"/>
      <c r="G255" s="307" t="n"/>
      <c r="H255" s="31" t="n"/>
      <c r="I255" s="31" t="n"/>
      <c r="J255" s="31" t="n"/>
      <c r="K255" s="31" t="n"/>
      <c r="L255" s="31" t="n"/>
      <c r="M255" s="31" t="n"/>
      <c r="N255" s="307" t="n"/>
      <c r="O255" s="307" t="n"/>
      <c r="P255" s="307" t="n"/>
      <c r="Q255" s="307" t="n"/>
      <c r="R255" s="307" t="n"/>
      <c r="S255" s="307" t="n"/>
      <c r="T255" s="307" t="n"/>
      <c r="U255" s="307" t="n"/>
      <c r="V255" s="307" t="n"/>
      <c r="W255" s="307" t="n"/>
      <c r="X255" s="307" t="n"/>
      <c r="Y255" s="307" t="n"/>
      <c r="Z255" s="307" t="n"/>
      <c r="AA255" s="307" t="n"/>
      <c r="AB255" s="307" t="n"/>
      <c r="AC255" s="307" t="n"/>
      <c r="AD255" s="307" t="n"/>
    </row>
    <row r="256" ht="15.75" customHeight="1" s="349">
      <c r="A256" s="307" t="n"/>
      <c r="B256" s="307" t="n"/>
      <c r="C256" s="307" t="n"/>
      <c r="D256" s="307" t="n"/>
      <c r="E256" s="307" t="n"/>
      <c r="F256" s="307" t="n"/>
      <c r="G256" s="307" t="n"/>
      <c r="H256" s="31" t="n"/>
      <c r="I256" s="31" t="n"/>
      <c r="J256" s="31" t="n"/>
      <c r="K256" s="31" t="n"/>
      <c r="L256" s="31" t="n"/>
      <c r="M256" s="31" t="n"/>
      <c r="N256" s="307" t="n"/>
      <c r="O256" s="307" t="n"/>
      <c r="P256" s="307" t="n"/>
      <c r="Q256" s="307" t="n"/>
      <c r="R256" s="307" t="n"/>
      <c r="S256" s="307" t="n"/>
      <c r="T256" s="307" t="n"/>
      <c r="U256" s="307" t="n"/>
      <c r="V256" s="307" t="n"/>
      <c r="W256" s="307" t="n"/>
      <c r="X256" s="307" t="n"/>
      <c r="Y256" s="307" t="n"/>
      <c r="Z256" s="307" t="n"/>
      <c r="AA256" s="307" t="n"/>
      <c r="AB256" s="307" t="n"/>
      <c r="AC256" s="307" t="n"/>
      <c r="AD256" s="307" t="n"/>
    </row>
    <row r="257" ht="15.75" customHeight="1" s="349">
      <c r="A257" s="307" t="n"/>
      <c r="B257" s="307" t="n"/>
      <c r="C257" s="307" t="n"/>
      <c r="D257" s="307" t="n"/>
      <c r="E257" s="307" t="n"/>
      <c r="F257" s="307" t="n"/>
      <c r="G257" s="307" t="n"/>
      <c r="H257" s="31" t="n"/>
      <c r="I257" s="31" t="n"/>
      <c r="J257" s="31" t="n"/>
      <c r="K257" s="31" t="n"/>
      <c r="L257" s="31" t="n"/>
      <c r="M257" s="31" t="n"/>
      <c r="N257" s="307" t="n"/>
      <c r="O257" s="307" t="n"/>
      <c r="P257" s="307" t="n"/>
      <c r="Q257" s="307" t="n"/>
      <c r="R257" s="307" t="n"/>
      <c r="S257" s="307" t="n"/>
      <c r="T257" s="307" t="n"/>
      <c r="U257" s="307" t="n"/>
      <c r="V257" s="307" t="n"/>
      <c r="W257" s="307" t="n"/>
      <c r="X257" s="307" t="n"/>
      <c r="Y257" s="307" t="n"/>
      <c r="Z257" s="307" t="n"/>
      <c r="AA257" s="307" t="n"/>
      <c r="AB257" s="307" t="n"/>
      <c r="AC257" s="307" t="n"/>
      <c r="AD257" s="307" t="n"/>
    </row>
    <row r="258" ht="15.75" customHeight="1" s="349">
      <c r="A258" s="307" t="n"/>
      <c r="B258" s="307" t="n"/>
      <c r="C258" s="307" t="n"/>
      <c r="D258" s="307" t="n"/>
      <c r="E258" s="307" t="n"/>
      <c r="F258" s="307" t="n"/>
      <c r="G258" s="307" t="n"/>
      <c r="H258" s="31" t="n"/>
      <c r="I258" s="31" t="n"/>
      <c r="J258" s="31" t="n"/>
      <c r="K258" s="31" t="n"/>
      <c r="L258" s="31" t="n"/>
      <c r="M258" s="31" t="n"/>
      <c r="N258" s="307" t="n"/>
      <c r="O258" s="307" t="n"/>
      <c r="P258" s="307" t="n"/>
      <c r="Q258" s="307" t="n"/>
      <c r="R258" s="307" t="n"/>
      <c r="S258" s="307" t="n"/>
      <c r="T258" s="307" t="n"/>
      <c r="U258" s="307" t="n"/>
      <c r="V258" s="307" t="n"/>
      <c r="W258" s="307" t="n"/>
      <c r="X258" s="307" t="n"/>
      <c r="Y258" s="307" t="n"/>
      <c r="Z258" s="307" t="n"/>
      <c r="AA258" s="307" t="n"/>
      <c r="AB258" s="307" t="n"/>
      <c r="AC258" s="307" t="n"/>
      <c r="AD258" s="307" t="n"/>
    </row>
    <row r="259" ht="15.75" customHeight="1" s="349">
      <c r="A259" s="307" t="n"/>
      <c r="B259" s="307" t="n"/>
      <c r="C259" s="307" t="n"/>
      <c r="D259" s="307" t="n"/>
      <c r="E259" s="307" t="n"/>
      <c r="F259" s="307" t="n"/>
      <c r="G259" s="307" t="n"/>
      <c r="H259" s="31" t="n"/>
      <c r="I259" s="31" t="n"/>
      <c r="J259" s="31" t="n"/>
      <c r="K259" s="31" t="n"/>
      <c r="L259" s="31" t="n"/>
      <c r="M259" s="31" t="n"/>
      <c r="N259" s="307" t="n"/>
      <c r="O259" s="307" t="n"/>
      <c r="P259" s="307" t="n"/>
      <c r="Q259" s="307" t="n"/>
      <c r="R259" s="307" t="n"/>
      <c r="S259" s="307" t="n"/>
      <c r="T259" s="307" t="n"/>
      <c r="U259" s="307" t="n"/>
      <c r="V259" s="307" t="n"/>
      <c r="W259" s="307" t="n"/>
      <c r="X259" s="307" t="n"/>
      <c r="Y259" s="307" t="n"/>
      <c r="Z259" s="307" t="n"/>
      <c r="AA259" s="307" t="n"/>
      <c r="AB259" s="307" t="n"/>
      <c r="AC259" s="307" t="n"/>
      <c r="AD259" s="307" t="n"/>
    </row>
    <row r="260" ht="15.75" customHeight="1" s="349">
      <c r="A260" s="307" t="n"/>
      <c r="B260" s="307" t="n"/>
      <c r="C260" s="307" t="n"/>
      <c r="D260" s="307" t="n"/>
      <c r="E260" s="307" t="n"/>
      <c r="F260" s="307" t="n"/>
      <c r="G260" s="307" t="n"/>
      <c r="H260" s="31" t="n"/>
      <c r="I260" s="31" t="n"/>
      <c r="J260" s="31" t="n"/>
      <c r="K260" s="31" t="n"/>
      <c r="L260" s="31" t="n"/>
      <c r="M260" s="31" t="n"/>
      <c r="N260" s="307" t="n"/>
      <c r="O260" s="307" t="n"/>
      <c r="P260" s="307" t="n"/>
      <c r="Q260" s="307" t="n"/>
      <c r="R260" s="307" t="n"/>
      <c r="S260" s="307" t="n"/>
      <c r="T260" s="307" t="n"/>
      <c r="U260" s="307" t="n"/>
      <c r="V260" s="307" t="n"/>
      <c r="W260" s="307" t="n"/>
      <c r="X260" s="307" t="n"/>
      <c r="Y260" s="307" t="n"/>
      <c r="Z260" s="307" t="n"/>
      <c r="AA260" s="307" t="n"/>
      <c r="AB260" s="307" t="n"/>
      <c r="AC260" s="307" t="n"/>
      <c r="AD260" s="307" t="n"/>
    </row>
    <row r="261" ht="15.75" customHeight="1" s="349">
      <c r="A261" s="307" t="n"/>
      <c r="B261" s="307" t="n"/>
      <c r="C261" s="307" t="n"/>
      <c r="D261" s="307" t="n"/>
      <c r="E261" s="307" t="n"/>
      <c r="F261" s="307" t="n"/>
      <c r="G261" s="307" t="n"/>
      <c r="H261" s="31" t="n"/>
      <c r="I261" s="31" t="n"/>
      <c r="J261" s="31" t="n"/>
      <c r="K261" s="31" t="n"/>
      <c r="L261" s="31" t="n"/>
      <c r="M261" s="31" t="n"/>
      <c r="N261" s="307" t="n"/>
      <c r="O261" s="307" t="n"/>
      <c r="P261" s="307" t="n"/>
      <c r="Q261" s="307" t="n"/>
      <c r="R261" s="307" t="n"/>
      <c r="S261" s="307" t="n"/>
      <c r="T261" s="307" t="n"/>
      <c r="U261" s="307" t="n"/>
      <c r="V261" s="307" t="n"/>
      <c r="W261" s="307" t="n"/>
      <c r="X261" s="307" t="n"/>
      <c r="Y261" s="307" t="n"/>
      <c r="Z261" s="307" t="n"/>
      <c r="AA261" s="307" t="n"/>
      <c r="AB261" s="307" t="n"/>
      <c r="AC261" s="307" t="n"/>
      <c r="AD261" s="307" t="n"/>
    </row>
    <row r="262" ht="15.75" customHeight="1" s="349">
      <c r="A262" s="307" t="n"/>
      <c r="B262" s="307" t="n"/>
      <c r="C262" s="307" t="n"/>
      <c r="D262" s="307" t="n"/>
      <c r="E262" s="307" t="n"/>
      <c r="F262" s="307" t="n"/>
      <c r="G262" s="307" t="n"/>
      <c r="H262" s="31" t="n"/>
      <c r="I262" s="31" t="n"/>
      <c r="J262" s="31" t="n"/>
      <c r="K262" s="31" t="n"/>
      <c r="L262" s="31" t="n"/>
      <c r="M262" s="31" t="n"/>
      <c r="N262" s="307" t="n"/>
      <c r="O262" s="307" t="n"/>
      <c r="P262" s="307" t="n"/>
      <c r="Q262" s="307" t="n"/>
      <c r="R262" s="307" t="n"/>
      <c r="S262" s="307" t="n"/>
      <c r="T262" s="307" t="n"/>
      <c r="U262" s="307" t="n"/>
      <c r="V262" s="307" t="n"/>
      <c r="W262" s="307" t="n"/>
      <c r="X262" s="307" t="n"/>
      <c r="Y262" s="307" t="n"/>
      <c r="Z262" s="307" t="n"/>
      <c r="AA262" s="307" t="n"/>
      <c r="AB262" s="307" t="n"/>
      <c r="AC262" s="307" t="n"/>
      <c r="AD262" s="307" t="n"/>
    </row>
    <row r="263" ht="15.75" customHeight="1" s="349">
      <c r="A263" s="307" t="n"/>
      <c r="B263" s="307" t="n"/>
      <c r="C263" s="307" t="n"/>
      <c r="D263" s="307" t="n"/>
      <c r="E263" s="307" t="n"/>
      <c r="F263" s="307" t="n"/>
      <c r="G263" s="307" t="n"/>
      <c r="H263" s="31" t="n"/>
      <c r="I263" s="31" t="n"/>
      <c r="J263" s="31" t="n"/>
      <c r="K263" s="31" t="n"/>
      <c r="L263" s="31" t="n"/>
      <c r="M263" s="31" t="n"/>
      <c r="N263" s="307" t="n"/>
      <c r="O263" s="307" t="n"/>
      <c r="P263" s="307" t="n"/>
      <c r="Q263" s="307" t="n"/>
      <c r="R263" s="307" t="n"/>
      <c r="S263" s="307" t="n"/>
      <c r="T263" s="307" t="n"/>
      <c r="U263" s="307" t="n"/>
      <c r="V263" s="307" t="n"/>
      <c r="W263" s="307" t="n"/>
      <c r="X263" s="307" t="n"/>
      <c r="Y263" s="307" t="n"/>
      <c r="Z263" s="307" t="n"/>
      <c r="AA263" s="307" t="n"/>
      <c r="AB263" s="307" t="n"/>
      <c r="AC263" s="307" t="n"/>
      <c r="AD263" s="307" t="n"/>
    </row>
    <row r="264" ht="15.75" customHeight="1" s="349">
      <c r="A264" s="307" t="n"/>
      <c r="B264" s="307" t="n"/>
      <c r="C264" s="307" t="n"/>
      <c r="D264" s="307" t="n"/>
      <c r="E264" s="307" t="n"/>
      <c r="F264" s="307" t="n"/>
      <c r="G264" s="307" t="n"/>
      <c r="H264" s="31" t="n"/>
      <c r="I264" s="31" t="n"/>
      <c r="J264" s="31" t="n"/>
      <c r="K264" s="31" t="n"/>
      <c r="L264" s="31" t="n"/>
      <c r="M264" s="31" t="n"/>
      <c r="N264" s="307" t="n"/>
      <c r="O264" s="307" t="n"/>
      <c r="P264" s="307" t="n"/>
      <c r="Q264" s="307" t="n"/>
      <c r="R264" s="307" t="n"/>
      <c r="S264" s="307" t="n"/>
      <c r="T264" s="307" t="n"/>
      <c r="U264" s="307" t="n"/>
      <c r="V264" s="307" t="n"/>
      <c r="W264" s="307" t="n"/>
      <c r="X264" s="307" t="n"/>
      <c r="Y264" s="307" t="n"/>
      <c r="Z264" s="307" t="n"/>
      <c r="AA264" s="307" t="n"/>
      <c r="AB264" s="307" t="n"/>
      <c r="AC264" s="307" t="n"/>
      <c r="AD264" s="307" t="n"/>
    </row>
    <row r="265" ht="15.75" customHeight="1" s="349">
      <c r="A265" s="307" t="n"/>
      <c r="B265" s="307" t="n"/>
      <c r="C265" s="307" t="n"/>
      <c r="D265" s="307" t="n"/>
      <c r="E265" s="307" t="n"/>
      <c r="F265" s="307" t="n"/>
      <c r="G265" s="307" t="n"/>
      <c r="H265" s="31" t="n"/>
      <c r="I265" s="31" t="n"/>
      <c r="J265" s="31" t="n"/>
      <c r="K265" s="31" t="n"/>
      <c r="L265" s="31" t="n"/>
      <c r="M265" s="31" t="n"/>
      <c r="N265" s="307" t="n"/>
      <c r="O265" s="307" t="n"/>
      <c r="P265" s="307" t="n"/>
      <c r="Q265" s="307" t="n"/>
      <c r="R265" s="307" t="n"/>
      <c r="S265" s="307" t="n"/>
      <c r="T265" s="307" t="n"/>
      <c r="U265" s="307" t="n"/>
      <c r="V265" s="307" t="n"/>
      <c r="W265" s="307" t="n"/>
      <c r="X265" s="307" t="n"/>
      <c r="Y265" s="307" t="n"/>
      <c r="Z265" s="307" t="n"/>
      <c r="AA265" s="307" t="n"/>
      <c r="AB265" s="307" t="n"/>
      <c r="AC265" s="307" t="n"/>
      <c r="AD265" s="307" t="n"/>
    </row>
    <row r="266" ht="15.75" customHeight="1" s="349">
      <c r="A266" s="307" t="n"/>
      <c r="B266" s="307" t="n"/>
      <c r="C266" s="307" t="n"/>
      <c r="D266" s="307" t="n"/>
      <c r="E266" s="307" t="n"/>
      <c r="F266" s="307" t="n"/>
      <c r="G266" s="307" t="n"/>
      <c r="H266" s="31" t="n"/>
      <c r="I266" s="31" t="n"/>
      <c r="J266" s="31" t="n"/>
      <c r="K266" s="31" t="n"/>
      <c r="L266" s="31" t="n"/>
      <c r="M266" s="31" t="n"/>
      <c r="N266" s="307" t="n"/>
      <c r="O266" s="307" t="n"/>
      <c r="P266" s="307" t="n"/>
      <c r="Q266" s="307" t="n"/>
      <c r="R266" s="307" t="n"/>
      <c r="S266" s="307" t="n"/>
      <c r="T266" s="307" t="n"/>
      <c r="U266" s="307" t="n"/>
      <c r="V266" s="307" t="n"/>
      <c r="W266" s="307" t="n"/>
      <c r="X266" s="307" t="n"/>
      <c r="Y266" s="307" t="n"/>
      <c r="Z266" s="307" t="n"/>
      <c r="AA266" s="307" t="n"/>
      <c r="AB266" s="307" t="n"/>
      <c r="AC266" s="307" t="n"/>
      <c r="AD266" s="307" t="n"/>
    </row>
    <row r="267" ht="15.75" customHeight="1" s="349">
      <c r="A267" s="307" t="n"/>
      <c r="B267" s="307" t="n"/>
      <c r="C267" s="307" t="n"/>
      <c r="D267" s="307" t="n"/>
      <c r="E267" s="307" t="n"/>
      <c r="F267" s="307" t="n"/>
      <c r="G267" s="307" t="n"/>
      <c r="H267" s="31" t="n"/>
      <c r="I267" s="31" t="n"/>
      <c r="J267" s="31" t="n"/>
      <c r="K267" s="31" t="n"/>
      <c r="L267" s="31" t="n"/>
      <c r="M267" s="31" t="n"/>
      <c r="N267" s="307" t="n"/>
      <c r="O267" s="307" t="n"/>
      <c r="P267" s="307" t="n"/>
      <c r="Q267" s="307" t="n"/>
      <c r="R267" s="307" t="n"/>
      <c r="S267" s="307" t="n"/>
      <c r="T267" s="307" t="n"/>
      <c r="U267" s="307" t="n"/>
      <c r="V267" s="307" t="n"/>
      <c r="W267" s="307" t="n"/>
      <c r="X267" s="307" t="n"/>
      <c r="Y267" s="307" t="n"/>
      <c r="Z267" s="307" t="n"/>
      <c r="AA267" s="307" t="n"/>
      <c r="AB267" s="307" t="n"/>
      <c r="AC267" s="307" t="n"/>
      <c r="AD267" s="307" t="n"/>
    </row>
    <row r="268" ht="15.75" customHeight="1" s="349">
      <c r="A268" s="307" t="n"/>
      <c r="B268" s="307" t="n"/>
      <c r="C268" s="307" t="n"/>
      <c r="D268" s="307" t="n"/>
      <c r="E268" s="307" t="n"/>
      <c r="F268" s="307" t="n"/>
      <c r="G268" s="307" t="n"/>
      <c r="H268" s="31" t="n"/>
      <c r="I268" s="31" t="n"/>
      <c r="J268" s="31" t="n"/>
      <c r="K268" s="31" t="n"/>
      <c r="L268" s="31" t="n"/>
      <c r="M268" s="31" t="n"/>
      <c r="N268" s="307" t="n"/>
      <c r="O268" s="307" t="n"/>
      <c r="P268" s="307" t="n"/>
      <c r="Q268" s="307" t="n"/>
      <c r="R268" s="307" t="n"/>
      <c r="S268" s="307" t="n"/>
      <c r="T268" s="307" t="n"/>
      <c r="U268" s="307" t="n"/>
      <c r="V268" s="307" t="n"/>
      <c r="W268" s="307" t="n"/>
      <c r="X268" s="307" t="n"/>
      <c r="Y268" s="307" t="n"/>
      <c r="Z268" s="307" t="n"/>
      <c r="AA268" s="307" t="n"/>
      <c r="AB268" s="307" t="n"/>
      <c r="AC268" s="307" t="n"/>
      <c r="AD268" s="307" t="n"/>
    </row>
    <row r="269" ht="15.75" customHeight="1" s="349">
      <c r="A269" s="307" t="n"/>
      <c r="B269" s="307" t="n"/>
      <c r="C269" s="307" t="n"/>
      <c r="D269" s="307" t="n"/>
      <c r="E269" s="307" t="n"/>
      <c r="F269" s="307" t="n"/>
      <c r="G269" s="307" t="n"/>
      <c r="H269" s="31" t="n"/>
      <c r="I269" s="31" t="n"/>
      <c r="J269" s="31" t="n"/>
      <c r="K269" s="31" t="n"/>
      <c r="L269" s="31" t="n"/>
      <c r="M269" s="31" t="n"/>
      <c r="N269" s="307" t="n"/>
      <c r="O269" s="307" t="n"/>
      <c r="P269" s="307" t="n"/>
      <c r="Q269" s="307" t="n"/>
      <c r="R269" s="307" t="n"/>
      <c r="S269" s="307" t="n"/>
      <c r="T269" s="307" t="n"/>
      <c r="U269" s="307" t="n"/>
      <c r="V269" s="307" t="n"/>
      <c r="W269" s="307" t="n"/>
      <c r="X269" s="307" t="n"/>
      <c r="Y269" s="307" t="n"/>
      <c r="Z269" s="307" t="n"/>
      <c r="AA269" s="307" t="n"/>
      <c r="AB269" s="307" t="n"/>
      <c r="AC269" s="307" t="n"/>
      <c r="AD269" s="307" t="n"/>
    </row>
    <row r="270" ht="15.75" customHeight="1" s="349">
      <c r="A270" s="307" t="n"/>
      <c r="B270" s="307" t="n"/>
      <c r="C270" s="307" t="n"/>
      <c r="D270" s="307" t="n"/>
      <c r="E270" s="307" t="n"/>
      <c r="F270" s="307" t="n"/>
      <c r="G270" s="307" t="n"/>
      <c r="H270" s="31" t="n"/>
      <c r="I270" s="31" t="n"/>
      <c r="J270" s="31" t="n"/>
      <c r="K270" s="31" t="n"/>
      <c r="L270" s="31" t="n"/>
      <c r="M270" s="31" t="n"/>
      <c r="N270" s="307" t="n"/>
      <c r="O270" s="307" t="n"/>
      <c r="P270" s="307" t="n"/>
      <c r="Q270" s="307" t="n"/>
      <c r="R270" s="307" t="n"/>
      <c r="S270" s="307" t="n"/>
      <c r="T270" s="307" t="n"/>
      <c r="U270" s="307" t="n"/>
      <c r="V270" s="307" t="n"/>
      <c r="W270" s="307" t="n"/>
      <c r="X270" s="307" t="n"/>
      <c r="Y270" s="307" t="n"/>
      <c r="Z270" s="307" t="n"/>
      <c r="AA270" s="307" t="n"/>
      <c r="AB270" s="307" t="n"/>
      <c r="AC270" s="307" t="n"/>
      <c r="AD270" s="307" t="n"/>
    </row>
    <row r="271" ht="15.75" customHeight="1" s="349">
      <c r="A271" s="307" t="n"/>
      <c r="B271" s="307" t="n"/>
      <c r="C271" s="307" t="n"/>
      <c r="D271" s="307" t="n"/>
      <c r="E271" s="307" t="n"/>
      <c r="F271" s="307" t="n"/>
      <c r="G271" s="307" t="n"/>
      <c r="H271" s="31" t="n"/>
      <c r="I271" s="31" t="n"/>
      <c r="J271" s="31" t="n"/>
      <c r="K271" s="31" t="n"/>
      <c r="L271" s="31" t="n"/>
      <c r="M271" s="31" t="n"/>
      <c r="N271" s="307" t="n"/>
      <c r="O271" s="307" t="n"/>
      <c r="P271" s="307" t="n"/>
      <c r="Q271" s="307" t="n"/>
      <c r="R271" s="307" t="n"/>
      <c r="S271" s="307" t="n"/>
      <c r="T271" s="307" t="n"/>
      <c r="U271" s="307" t="n"/>
      <c r="V271" s="307" t="n"/>
      <c r="W271" s="307" t="n"/>
      <c r="X271" s="307" t="n"/>
      <c r="Y271" s="307" t="n"/>
      <c r="Z271" s="307" t="n"/>
      <c r="AA271" s="307" t="n"/>
      <c r="AB271" s="307" t="n"/>
      <c r="AC271" s="307" t="n"/>
      <c r="AD271" s="307" t="n"/>
    </row>
    <row r="272" ht="15.75" customHeight="1" s="349">
      <c r="A272" s="307" t="n"/>
      <c r="B272" s="307" t="n"/>
      <c r="C272" s="307" t="n"/>
      <c r="D272" s="307" t="n"/>
      <c r="E272" s="307" t="n"/>
      <c r="F272" s="307" t="n"/>
      <c r="G272" s="307" t="n"/>
      <c r="H272" s="31" t="n"/>
      <c r="I272" s="31" t="n"/>
      <c r="J272" s="31" t="n"/>
      <c r="K272" s="31" t="n"/>
      <c r="L272" s="31" t="n"/>
      <c r="M272" s="31" t="n"/>
      <c r="N272" s="307" t="n"/>
      <c r="O272" s="307" t="n"/>
      <c r="P272" s="307" t="n"/>
      <c r="Q272" s="307" t="n"/>
      <c r="R272" s="307" t="n"/>
      <c r="S272" s="307" t="n"/>
      <c r="T272" s="307" t="n"/>
      <c r="U272" s="307" t="n"/>
      <c r="V272" s="307" t="n"/>
      <c r="W272" s="307" t="n"/>
      <c r="X272" s="307" t="n"/>
      <c r="Y272" s="307" t="n"/>
      <c r="Z272" s="307" t="n"/>
      <c r="AA272" s="307" t="n"/>
      <c r="AB272" s="307" t="n"/>
      <c r="AC272" s="307" t="n"/>
      <c r="AD272" s="307" t="n"/>
    </row>
    <row r="273" ht="15.75" customHeight="1" s="349">
      <c r="A273" s="307" t="n"/>
      <c r="B273" s="307" t="n"/>
      <c r="C273" s="307" t="n"/>
      <c r="D273" s="307" t="n"/>
      <c r="E273" s="307" t="n"/>
      <c r="F273" s="307" t="n"/>
      <c r="G273" s="307" t="n"/>
      <c r="H273" s="31" t="n"/>
      <c r="I273" s="31" t="n"/>
      <c r="J273" s="31" t="n"/>
      <c r="K273" s="31" t="n"/>
      <c r="L273" s="31" t="n"/>
      <c r="M273" s="31" t="n"/>
      <c r="N273" s="307" t="n"/>
      <c r="O273" s="307" t="n"/>
      <c r="P273" s="307" t="n"/>
      <c r="Q273" s="307" t="n"/>
      <c r="R273" s="307" t="n"/>
      <c r="S273" s="307" t="n"/>
      <c r="T273" s="307" t="n"/>
      <c r="U273" s="307" t="n"/>
      <c r="V273" s="307" t="n"/>
      <c r="W273" s="307" t="n"/>
      <c r="X273" s="307" t="n"/>
      <c r="Y273" s="307" t="n"/>
      <c r="Z273" s="307" t="n"/>
      <c r="AA273" s="307" t="n"/>
      <c r="AB273" s="307" t="n"/>
      <c r="AC273" s="307" t="n"/>
      <c r="AD273" s="307" t="n"/>
    </row>
    <row r="274" ht="15.75" customHeight="1" s="349">
      <c r="A274" s="307" t="n"/>
      <c r="B274" s="307" t="n"/>
      <c r="C274" s="307" t="n"/>
      <c r="D274" s="307" t="n"/>
      <c r="E274" s="307" t="n"/>
      <c r="F274" s="307" t="n"/>
      <c r="G274" s="307" t="n"/>
      <c r="H274" s="31" t="n"/>
      <c r="I274" s="31" t="n"/>
      <c r="J274" s="31" t="n"/>
      <c r="K274" s="31" t="n"/>
      <c r="L274" s="31" t="n"/>
      <c r="M274" s="31" t="n"/>
      <c r="N274" s="307" t="n"/>
      <c r="O274" s="307" t="n"/>
      <c r="P274" s="307" t="n"/>
      <c r="Q274" s="307" t="n"/>
      <c r="R274" s="307" t="n"/>
      <c r="S274" s="307" t="n"/>
      <c r="T274" s="307" t="n"/>
      <c r="U274" s="307" t="n"/>
      <c r="V274" s="307" t="n"/>
      <c r="W274" s="307" t="n"/>
      <c r="X274" s="307" t="n"/>
      <c r="Y274" s="307" t="n"/>
      <c r="Z274" s="307" t="n"/>
      <c r="AA274" s="307" t="n"/>
      <c r="AB274" s="307" t="n"/>
      <c r="AC274" s="307" t="n"/>
      <c r="AD274" s="307" t="n"/>
    </row>
    <row r="275" ht="15.75" customHeight="1" s="349">
      <c r="A275" s="307" t="n"/>
      <c r="B275" s="307" t="n"/>
      <c r="C275" s="307" t="n"/>
      <c r="D275" s="307" t="n"/>
      <c r="E275" s="307" t="n"/>
      <c r="F275" s="307" t="n"/>
      <c r="G275" s="307" t="n"/>
      <c r="H275" s="31" t="n"/>
      <c r="I275" s="31" t="n"/>
      <c r="J275" s="31" t="n"/>
      <c r="K275" s="31" t="n"/>
      <c r="L275" s="31" t="n"/>
      <c r="M275" s="31" t="n"/>
      <c r="N275" s="307" t="n"/>
      <c r="O275" s="307" t="n"/>
      <c r="P275" s="307" t="n"/>
      <c r="Q275" s="307" t="n"/>
      <c r="R275" s="307" t="n"/>
      <c r="S275" s="307" t="n"/>
      <c r="T275" s="307" t="n"/>
      <c r="U275" s="307" t="n"/>
      <c r="V275" s="307" t="n"/>
      <c r="W275" s="307" t="n"/>
      <c r="X275" s="307" t="n"/>
      <c r="Y275" s="307" t="n"/>
      <c r="Z275" s="307" t="n"/>
      <c r="AA275" s="307" t="n"/>
      <c r="AB275" s="307" t="n"/>
      <c r="AC275" s="307" t="n"/>
      <c r="AD275" s="307" t="n"/>
    </row>
    <row r="276" ht="15.75" customHeight="1" s="349">
      <c r="A276" s="307" t="n"/>
      <c r="B276" s="307" t="n"/>
      <c r="C276" s="307" t="n"/>
      <c r="D276" s="307" t="n"/>
      <c r="E276" s="307" t="n"/>
      <c r="F276" s="307" t="n"/>
      <c r="G276" s="307" t="n"/>
      <c r="H276" s="31" t="n"/>
      <c r="I276" s="31" t="n"/>
      <c r="J276" s="31" t="n"/>
      <c r="K276" s="31" t="n"/>
      <c r="L276" s="31" t="n"/>
      <c r="M276" s="31" t="n"/>
      <c r="N276" s="307" t="n"/>
      <c r="O276" s="307" t="n"/>
      <c r="P276" s="307" t="n"/>
      <c r="Q276" s="307" t="n"/>
      <c r="R276" s="307" t="n"/>
      <c r="S276" s="307" t="n"/>
      <c r="T276" s="307" t="n"/>
      <c r="U276" s="307" t="n"/>
      <c r="V276" s="307" t="n"/>
      <c r="W276" s="307" t="n"/>
      <c r="X276" s="307" t="n"/>
      <c r="Y276" s="307" t="n"/>
      <c r="Z276" s="307" t="n"/>
      <c r="AA276" s="307" t="n"/>
      <c r="AB276" s="307" t="n"/>
      <c r="AC276" s="307" t="n"/>
      <c r="AD276" s="307" t="n"/>
    </row>
    <row r="277" ht="15.75" customHeight="1" s="349">
      <c r="A277" s="307" t="n"/>
      <c r="B277" s="307" t="n"/>
      <c r="C277" s="307" t="n"/>
      <c r="D277" s="307" t="n"/>
      <c r="E277" s="307" t="n"/>
      <c r="F277" s="307" t="n"/>
      <c r="G277" s="307" t="n"/>
      <c r="H277" s="31" t="n"/>
      <c r="I277" s="31" t="n"/>
      <c r="J277" s="31" t="n"/>
      <c r="K277" s="31" t="n"/>
      <c r="L277" s="31" t="n"/>
      <c r="M277" s="31" t="n"/>
      <c r="N277" s="307" t="n"/>
      <c r="O277" s="307" t="n"/>
      <c r="P277" s="307" t="n"/>
      <c r="Q277" s="307" t="n"/>
      <c r="R277" s="307" t="n"/>
      <c r="S277" s="307" t="n"/>
      <c r="T277" s="307" t="n"/>
      <c r="U277" s="307" t="n"/>
      <c r="V277" s="307" t="n"/>
      <c r="W277" s="307" t="n"/>
      <c r="X277" s="307" t="n"/>
      <c r="Y277" s="307" t="n"/>
      <c r="Z277" s="307" t="n"/>
      <c r="AA277" s="307" t="n"/>
      <c r="AB277" s="307" t="n"/>
      <c r="AC277" s="307" t="n"/>
      <c r="AD277" s="307" t="n"/>
    </row>
    <row r="278" ht="15.75" customHeight="1" s="349">
      <c r="A278" s="307" t="n"/>
      <c r="B278" s="307" t="n"/>
      <c r="C278" s="307" t="n"/>
      <c r="D278" s="307" t="n"/>
      <c r="E278" s="307" t="n"/>
      <c r="F278" s="307" t="n"/>
      <c r="G278" s="307" t="n"/>
      <c r="H278" s="31" t="n"/>
      <c r="I278" s="31" t="n"/>
      <c r="J278" s="31" t="n"/>
      <c r="K278" s="31" t="n"/>
      <c r="L278" s="31" t="n"/>
      <c r="M278" s="31" t="n"/>
      <c r="N278" s="307" t="n"/>
      <c r="O278" s="307" t="n"/>
      <c r="P278" s="307" t="n"/>
      <c r="Q278" s="307" t="n"/>
      <c r="R278" s="307" t="n"/>
      <c r="S278" s="307" t="n"/>
      <c r="T278" s="307" t="n"/>
      <c r="U278" s="307" t="n"/>
      <c r="V278" s="307" t="n"/>
      <c r="W278" s="307" t="n"/>
      <c r="X278" s="307" t="n"/>
      <c r="Y278" s="307" t="n"/>
      <c r="Z278" s="307" t="n"/>
      <c r="AA278" s="307" t="n"/>
      <c r="AB278" s="307" t="n"/>
      <c r="AC278" s="307" t="n"/>
      <c r="AD278" s="307" t="n"/>
    </row>
    <row r="279" ht="15.75" customHeight="1" s="349">
      <c r="A279" s="307" t="n"/>
      <c r="B279" s="307" t="n"/>
      <c r="C279" s="307" t="n"/>
      <c r="D279" s="307" t="n"/>
      <c r="E279" s="307" t="n"/>
      <c r="F279" s="307" t="n"/>
      <c r="G279" s="307" t="n"/>
      <c r="H279" s="31" t="n"/>
      <c r="I279" s="31" t="n"/>
      <c r="J279" s="31" t="n"/>
      <c r="K279" s="31" t="n"/>
      <c r="L279" s="31" t="n"/>
      <c r="M279" s="31" t="n"/>
      <c r="N279" s="307" t="n"/>
      <c r="O279" s="307" t="n"/>
      <c r="P279" s="307" t="n"/>
      <c r="Q279" s="307" t="n"/>
      <c r="R279" s="307" t="n"/>
      <c r="S279" s="307" t="n"/>
      <c r="T279" s="307" t="n"/>
      <c r="U279" s="307" t="n"/>
      <c r="V279" s="307" t="n"/>
      <c r="W279" s="307" t="n"/>
      <c r="X279" s="307" t="n"/>
      <c r="Y279" s="307" t="n"/>
      <c r="Z279" s="307" t="n"/>
      <c r="AA279" s="307" t="n"/>
      <c r="AB279" s="307" t="n"/>
      <c r="AC279" s="307" t="n"/>
      <c r="AD279" s="307" t="n"/>
    </row>
    <row r="280" ht="15.75" customHeight="1" s="349">
      <c r="A280" s="307" t="n"/>
      <c r="B280" s="307" t="n"/>
      <c r="C280" s="307" t="n"/>
      <c r="D280" s="307" t="n"/>
      <c r="E280" s="307" t="n"/>
      <c r="F280" s="307" t="n"/>
      <c r="G280" s="307" t="n"/>
      <c r="H280" s="31" t="n"/>
      <c r="I280" s="31" t="n"/>
      <c r="J280" s="31" t="n"/>
      <c r="K280" s="31" t="n"/>
      <c r="L280" s="31" t="n"/>
      <c r="M280" s="31" t="n"/>
      <c r="N280" s="307" t="n"/>
      <c r="O280" s="307" t="n"/>
      <c r="P280" s="307" t="n"/>
      <c r="Q280" s="307" t="n"/>
      <c r="R280" s="307" t="n"/>
      <c r="S280" s="307" t="n"/>
      <c r="T280" s="307" t="n"/>
      <c r="U280" s="307" t="n"/>
      <c r="V280" s="307" t="n"/>
      <c r="W280" s="307" t="n"/>
      <c r="X280" s="307" t="n"/>
      <c r="Y280" s="307" t="n"/>
      <c r="Z280" s="307" t="n"/>
      <c r="AA280" s="307" t="n"/>
      <c r="AB280" s="307" t="n"/>
      <c r="AC280" s="307" t="n"/>
      <c r="AD280" s="307" t="n"/>
    </row>
    <row r="281" ht="15.75" customHeight="1" s="349">
      <c r="A281" s="307" t="n"/>
      <c r="B281" s="307" t="n"/>
      <c r="C281" s="307" t="n"/>
      <c r="D281" s="307" t="n"/>
      <c r="E281" s="307" t="n"/>
      <c r="F281" s="307" t="n"/>
      <c r="G281" s="307" t="n"/>
      <c r="H281" s="31" t="n"/>
      <c r="I281" s="31" t="n"/>
      <c r="J281" s="31" t="n"/>
      <c r="K281" s="31" t="n"/>
      <c r="L281" s="31" t="n"/>
      <c r="M281" s="31" t="n"/>
      <c r="N281" s="307" t="n"/>
      <c r="O281" s="307" t="n"/>
      <c r="P281" s="307" t="n"/>
      <c r="Q281" s="307" t="n"/>
      <c r="R281" s="307" t="n"/>
      <c r="S281" s="307" t="n"/>
      <c r="T281" s="307" t="n"/>
      <c r="U281" s="307" t="n"/>
      <c r="V281" s="307" t="n"/>
      <c r="W281" s="307" t="n"/>
      <c r="X281" s="307" t="n"/>
      <c r="Y281" s="307" t="n"/>
      <c r="Z281" s="307" t="n"/>
      <c r="AA281" s="307" t="n"/>
      <c r="AB281" s="307" t="n"/>
      <c r="AC281" s="307" t="n"/>
      <c r="AD281" s="307" t="n"/>
    </row>
    <row r="282" ht="15.75" customHeight="1" s="349">
      <c r="A282" s="307" t="n"/>
      <c r="B282" s="307" t="n"/>
      <c r="C282" s="307" t="n"/>
      <c r="D282" s="307" t="n"/>
      <c r="E282" s="307" t="n"/>
      <c r="F282" s="307" t="n"/>
      <c r="G282" s="307" t="n"/>
      <c r="H282" s="31" t="n"/>
      <c r="I282" s="31" t="n"/>
      <c r="J282" s="31" t="n"/>
      <c r="K282" s="31" t="n"/>
      <c r="L282" s="31" t="n"/>
      <c r="M282" s="31" t="n"/>
      <c r="N282" s="307" t="n"/>
      <c r="O282" s="307" t="n"/>
      <c r="P282" s="307" t="n"/>
      <c r="Q282" s="307" t="n"/>
      <c r="R282" s="307" t="n"/>
      <c r="S282" s="307" t="n"/>
      <c r="T282" s="307" t="n"/>
      <c r="U282" s="307" t="n"/>
      <c r="V282" s="307" t="n"/>
      <c r="W282" s="307" t="n"/>
      <c r="X282" s="307" t="n"/>
      <c r="Y282" s="307" t="n"/>
      <c r="Z282" s="307" t="n"/>
      <c r="AA282" s="307" t="n"/>
      <c r="AB282" s="307" t="n"/>
      <c r="AC282" s="307" t="n"/>
      <c r="AD282" s="307" t="n"/>
    </row>
    <row r="283" ht="15.75" customHeight="1" s="349">
      <c r="A283" s="307" t="n"/>
      <c r="B283" s="307" t="n"/>
      <c r="C283" s="307" t="n"/>
      <c r="D283" s="307" t="n"/>
      <c r="E283" s="307" t="n"/>
      <c r="F283" s="307" t="n"/>
      <c r="G283" s="307" t="n"/>
      <c r="H283" s="31" t="n"/>
      <c r="I283" s="31" t="n"/>
      <c r="J283" s="31" t="n"/>
      <c r="K283" s="31" t="n"/>
      <c r="L283" s="31" t="n"/>
      <c r="M283" s="31" t="n"/>
      <c r="N283" s="307" t="n"/>
      <c r="O283" s="307" t="n"/>
      <c r="P283" s="307" t="n"/>
      <c r="Q283" s="307" t="n"/>
      <c r="R283" s="307" t="n"/>
      <c r="S283" s="307" t="n"/>
      <c r="T283" s="307" t="n"/>
      <c r="U283" s="307" t="n"/>
      <c r="V283" s="307" t="n"/>
      <c r="W283" s="307" t="n"/>
      <c r="X283" s="307" t="n"/>
      <c r="Y283" s="307" t="n"/>
      <c r="Z283" s="307" t="n"/>
      <c r="AA283" s="307" t="n"/>
      <c r="AB283" s="307" t="n"/>
      <c r="AC283" s="307" t="n"/>
      <c r="AD283" s="307" t="n"/>
    </row>
    <row r="284" ht="15.75" customHeight="1" s="349">
      <c r="A284" s="307" t="n"/>
      <c r="B284" s="307" t="n"/>
      <c r="C284" s="307" t="n"/>
      <c r="D284" s="307" t="n"/>
      <c r="E284" s="307" t="n"/>
      <c r="F284" s="307" t="n"/>
      <c r="G284" s="307" t="n"/>
      <c r="H284" s="31" t="n"/>
      <c r="I284" s="31" t="n"/>
      <c r="J284" s="31" t="n"/>
      <c r="K284" s="31" t="n"/>
      <c r="L284" s="31" t="n"/>
      <c r="M284" s="31" t="n"/>
      <c r="N284" s="307" t="n"/>
      <c r="O284" s="307" t="n"/>
      <c r="P284" s="307" t="n"/>
      <c r="Q284" s="307" t="n"/>
      <c r="R284" s="307" t="n"/>
      <c r="S284" s="307" t="n"/>
      <c r="T284" s="307" t="n"/>
      <c r="U284" s="307" t="n"/>
      <c r="V284" s="307" t="n"/>
      <c r="W284" s="307" t="n"/>
      <c r="X284" s="307" t="n"/>
      <c r="Y284" s="307" t="n"/>
      <c r="Z284" s="307" t="n"/>
      <c r="AA284" s="307" t="n"/>
      <c r="AB284" s="307" t="n"/>
      <c r="AC284" s="307" t="n"/>
      <c r="AD284" s="307" t="n"/>
    </row>
    <row r="285" ht="15.75" customHeight="1" s="349">
      <c r="A285" s="307" t="n"/>
      <c r="B285" s="307" t="n"/>
      <c r="C285" s="307" t="n"/>
      <c r="D285" s="307" t="n"/>
      <c r="E285" s="307" t="n"/>
      <c r="F285" s="307" t="n"/>
      <c r="G285" s="307" t="n"/>
      <c r="H285" s="31" t="n"/>
      <c r="I285" s="31" t="n"/>
      <c r="J285" s="31" t="n"/>
      <c r="K285" s="31" t="n"/>
      <c r="L285" s="31" t="n"/>
      <c r="M285" s="31" t="n"/>
      <c r="N285" s="307" t="n"/>
      <c r="O285" s="307" t="n"/>
      <c r="P285" s="307" t="n"/>
      <c r="Q285" s="307" t="n"/>
      <c r="R285" s="307" t="n"/>
      <c r="S285" s="307" t="n"/>
      <c r="T285" s="307" t="n"/>
      <c r="U285" s="307" t="n"/>
      <c r="V285" s="307" t="n"/>
      <c r="W285" s="307" t="n"/>
      <c r="X285" s="307" t="n"/>
      <c r="Y285" s="307" t="n"/>
      <c r="Z285" s="307" t="n"/>
      <c r="AA285" s="307" t="n"/>
      <c r="AB285" s="307" t="n"/>
      <c r="AC285" s="307" t="n"/>
      <c r="AD285" s="307" t="n"/>
    </row>
    <row r="286" ht="15.75" customHeight="1" s="349">
      <c r="A286" s="307" t="n"/>
      <c r="B286" s="307" t="n"/>
      <c r="C286" s="307" t="n"/>
      <c r="D286" s="307" t="n"/>
      <c r="E286" s="307" t="n"/>
      <c r="F286" s="307" t="n"/>
      <c r="G286" s="307" t="n"/>
      <c r="H286" s="31" t="n"/>
      <c r="I286" s="31" t="n"/>
      <c r="J286" s="31" t="n"/>
      <c r="K286" s="31" t="n"/>
      <c r="L286" s="31" t="n"/>
      <c r="M286" s="31" t="n"/>
      <c r="N286" s="307" t="n"/>
      <c r="O286" s="307" t="n"/>
      <c r="P286" s="307" t="n"/>
      <c r="Q286" s="307" t="n"/>
      <c r="R286" s="307" t="n"/>
      <c r="S286" s="307" t="n"/>
      <c r="T286" s="307" t="n"/>
      <c r="U286" s="307" t="n"/>
      <c r="V286" s="307" t="n"/>
      <c r="W286" s="307" t="n"/>
      <c r="X286" s="307" t="n"/>
      <c r="Y286" s="307" t="n"/>
      <c r="Z286" s="307" t="n"/>
      <c r="AA286" s="307" t="n"/>
      <c r="AB286" s="307" t="n"/>
      <c r="AC286" s="307" t="n"/>
      <c r="AD286" s="307" t="n"/>
    </row>
    <row r="287" ht="15.75" customHeight="1" s="349">
      <c r="A287" s="307" t="n"/>
      <c r="B287" s="307" t="n"/>
      <c r="C287" s="307" t="n"/>
      <c r="D287" s="307" t="n"/>
      <c r="E287" s="307" t="n"/>
      <c r="F287" s="307" t="n"/>
      <c r="G287" s="307" t="n"/>
      <c r="H287" s="31" t="n"/>
      <c r="I287" s="31" t="n"/>
      <c r="J287" s="31" t="n"/>
      <c r="K287" s="31" t="n"/>
      <c r="L287" s="31" t="n"/>
      <c r="M287" s="31" t="n"/>
      <c r="N287" s="307" t="n"/>
      <c r="O287" s="307" t="n"/>
      <c r="P287" s="307" t="n"/>
      <c r="Q287" s="307" t="n"/>
      <c r="R287" s="307" t="n"/>
      <c r="S287" s="307" t="n"/>
      <c r="T287" s="307" t="n"/>
      <c r="U287" s="307" t="n"/>
      <c r="V287" s="307" t="n"/>
      <c r="W287" s="307" t="n"/>
      <c r="X287" s="307" t="n"/>
      <c r="Y287" s="307" t="n"/>
      <c r="Z287" s="307" t="n"/>
      <c r="AA287" s="307" t="n"/>
      <c r="AB287" s="307" t="n"/>
      <c r="AC287" s="307" t="n"/>
      <c r="AD287" s="307" t="n"/>
    </row>
    <row r="288" ht="15.75" customHeight="1" s="349">
      <c r="A288" s="307" t="n"/>
      <c r="B288" s="307" t="n"/>
      <c r="C288" s="307" t="n"/>
      <c r="D288" s="307" t="n"/>
      <c r="E288" s="307" t="n"/>
      <c r="F288" s="307" t="n"/>
      <c r="G288" s="307" t="n"/>
      <c r="H288" s="31" t="n"/>
      <c r="I288" s="31" t="n"/>
      <c r="J288" s="31" t="n"/>
      <c r="K288" s="31" t="n"/>
      <c r="L288" s="31" t="n"/>
      <c r="M288" s="31" t="n"/>
      <c r="N288" s="307" t="n"/>
      <c r="O288" s="307" t="n"/>
      <c r="P288" s="307" t="n"/>
      <c r="Q288" s="307" t="n"/>
      <c r="R288" s="307" t="n"/>
      <c r="S288" s="307" t="n"/>
      <c r="T288" s="307" t="n"/>
      <c r="U288" s="307" t="n"/>
      <c r="V288" s="307" t="n"/>
      <c r="W288" s="307" t="n"/>
      <c r="X288" s="307" t="n"/>
      <c r="Y288" s="307" t="n"/>
      <c r="Z288" s="307" t="n"/>
      <c r="AA288" s="307" t="n"/>
      <c r="AB288" s="307" t="n"/>
      <c r="AC288" s="307" t="n"/>
      <c r="AD288" s="307" t="n"/>
    </row>
    <row r="289" ht="15.75" customHeight="1" s="349">
      <c r="A289" s="307" t="n"/>
      <c r="B289" s="307" t="n"/>
      <c r="C289" s="307" t="n"/>
      <c r="D289" s="307" t="n"/>
      <c r="E289" s="307" t="n"/>
      <c r="F289" s="307" t="n"/>
      <c r="G289" s="307" t="n"/>
      <c r="H289" s="31" t="n"/>
      <c r="I289" s="31" t="n"/>
      <c r="J289" s="31" t="n"/>
      <c r="K289" s="31" t="n"/>
      <c r="L289" s="31" t="n"/>
      <c r="M289" s="31" t="n"/>
      <c r="N289" s="307" t="n"/>
      <c r="O289" s="307" t="n"/>
      <c r="P289" s="307" t="n"/>
      <c r="Q289" s="307" t="n"/>
      <c r="R289" s="307" t="n"/>
      <c r="S289" s="307" t="n"/>
      <c r="T289" s="307" t="n"/>
      <c r="U289" s="307" t="n"/>
      <c r="V289" s="307" t="n"/>
      <c r="W289" s="307" t="n"/>
      <c r="X289" s="307" t="n"/>
      <c r="Y289" s="307" t="n"/>
      <c r="Z289" s="307" t="n"/>
      <c r="AA289" s="307" t="n"/>
      <c r="AB289" s="307" t="n"/>
      <c r="AC289" s="307" t="n"/>
      <c r="AD289" s="307" t="n"/>
    </row>
    <row r="290" ht="15.75" customHeight="1" s="349">
      <c r="A290" s="307" t="n"/>
      <c r="B290" s="307" t="n"/>
      <c r="C290" s="307" t="n"/>
      <c r="D290" s="307" t="n"/>
      <c r="E290" s="307" t="n"/>
      <c r="F290" s="307" t="n"/>
      <c r="G290" s="307" t="n"/>
      <c r="H290" s="31" t="n"/>
      <c r="I290" s="31" t="n"/>
      <c r="J290" s="31" t="n"/>
      <c r="K290" s="31" t="n"/>
      <c r="L290" s="31" t="n"/>
      <c r="M290" s="31" t="n"/>
      <c r="N290" s="307" t="n"/>
      <c r="O290" s="307" t="n"/>
      <c r="P290" s="307" t="n"/>
      <c r="Q290" s="307" t="n"/>
      <c r="R290" s="307" t="n"/>
      <c r="S290" s="307" t="n"/>
      <c r="T290" s="307" t="n"/>
      <c r="U290" s="307" t="n"/>
      <c r="V290" s="307" t="n"/>
      <c r="W290" s="307" t="n"/>
      <c r="X290" s="307" t="n"/>
      <c r="Y290" s="307" t="n"/>
      <c r="Z290" s="307" t="n"/>
      <c r="AA290" s="307" t="n"/>
      <c r="AB290" s="307" t="n"/>
      <c r="AC290" s="307" t="n"/>
      <c r="AD290" s="307" t="n"/>
    </row>
    <row r="291" ht="15.75" customHeight="1" s="349">
      <c r="A291" s="307" t="n"/>
      <c r="B291" s="307" t="n"/>
      <c r="C291" s="307" t="n"/>
      <c r="D291" s="307" t="n"/>
      <c r="E291" s="307" t="n"/>
      <c r="F291" s="307" t="n"/>
      <c r="G291" s="307" t="n"/>
      <c r="H291" s="31" t="n"/>
      <c r="I291" s="31" t="n"/>
      <c r="J291" s="31" t="n"/>
      <c r="K291" s="31" t="n"/>
      <c r="L291" s="31" t="n"/>
      <c r="M291" s="31" t="n"/>
      <c r="N291" s="307" t="n"/>
      <c r="O291" s="307" t="n"/>
      <c r="P291" s="307" t="n"/>
      <c r="Q291" s="307" t="n"/>
      <c r="R291" s="307" t="n"/>
      <c r="S291" s="307" t="n"/>
      <c r="T291" s="307" t="n"/>
      <c r="U291" s="307" t="n"/>
      <c r="V291" s="307" t="n"/>
      <c r="W291" s="307" t="n"/>
      <c r="X291" s="307" t="n"/>
      <c r="Y291" s="307" t="n"/>
      <c r="Z291" s="307" t="n"/>
      <c r="AA291" s="307" t="n"/>
      <c r="AB291" s="307" t="n"/>
      <c r="AC291" s="307" t="n"/>
      <c r="AD291" s="307" t="n"/>
    </row>
    <row r="292" ht="15.75" customHeight="1" s="349">
      <c r="A292" s="307" t="n"/>
      <c r="B292" s="307" t="n"/>
      <c r="C292" s="307" t="n"/>
      <c r="D292" s="307" t="n"/>
      <c r="E292" s="307" t="n"/>
      <c r="F292" s="307" t="n"/>
      <c r="G292" s="307" t="n"/>
      <c r="H292" s="31" t="n"/>
      <c r="I292" s="31" t="n"/>
      <c r="J292" s="31" t="n"/>
      <c r="K292" s="31" t="n"/>
      <c r="L292" s="31" t="n"/>
      <c r="M292" s="31" t="n"/>
      <c r="N292" s="307" t="n"/>
      <c r="O292" s="307" t="n"/>
      <c r="P292" s="307" t="n"/>
      <c r="Q292" s="307" t="n"/>
      <c r="R292" s="307" t="n"/>
      <c r="S292" s="307" t="n"/>
      <c r="T292" s="307" t="n"/>
      <c r="U292" s="307" t="n"/>
      <c r="V292" s="307" t="n"/>
      <c r="W292" s="307" t="n"/>
      <c r="X292" s="307" t="n"/>
      <c r="Y292" s="307" t="n"/>
      <c r="Z292" s="307" t="n"/>
      <c r="AA292" s="307" t="n"/>
      <c r="AB292" s="307" t="n"/>
      <c r="AC292" s="307" t="n"/>
      <c r="AD292" s="307" t="n"/>
    </row>
    <row r="293" ht="15.75" customHeight="1" s="349">
      <c r="A293" s="307" t="n"/>
      <c r="B293" s="307" t="n"/>
      <c r="C293" s="307" t="n"/>
      <c r="D293" s="307" t="n"/>
      <c r="E293" s="307" t="n"/>
      <c r="F293" s="307" t="n"/>
      <c r="G293" s="307" t="n"/>
      <c r="H293" s="31" t="n"/>
      <c r="I293" s="31" t="n"/>
      <c r="J293" s="31" t="n"/>
      <c r="K293" s="31" t="n"/>
      <c r="L293" s="31" t="n"/>
      <c r="M293" s="31" t="n"/>
      <c r="N293" s="307" t="n"/>
      <c r="O293" s="307" t="n"/>
      <c r="P293" s="307" t="n"/>
      <c r="Q293" s="307" t="n"/>
      <c r="R293" s="307" t="n"/>
      <c r="S293" s="307" t="n"/>
      <c r="T293" s="307" t="n"/>
      <c r="U293" s="307" t="n"/>
      <c r="V293" s="307" t="n"/>
      <c r="W293" s="307" t="n"/>
      <c r="X293" s="307" t="n"/>
      <c r="Y293" s="307" t="n"/>
      <c r="Z293" s="307" t="n"/>
      <c r="AA293" s="307" t="n"/>
      <c r="AB293" s="307" t="n"/>
      <c r="AC293" s="307" t="n"/>
      <c r="AD293" s="307" t="n"/>
    </row>
    <row r="294" ht="15.75" customHeight="1" s="349">
      <c r="A294" s="307" t="n"/>
      <c r="B294" s="307" t="n"/>
      <c r="C294" s="307" t="n"/>
      <c r="D294" s="307" t="n"/>
      <c r="E294" s="307" t="n"/>
      <c r="F294" s="307" t="n"/>
      <c r="G294" s="307" t="n"/>
      <c r="H294" s="31" t="n"/>
      <c r="I294" s="31" t="n"/>
      <c r="J294" s="31" t="n"/>
      <c r="K294" s="31" t="n"/>
      <c r="L294" s="31" t="n"/>
      <c r="M294" s="31" t="n"/>
      <c r="N294" s="307" t="n"/>
      <c r="O294" s="307" t="n"/>
      <c r="P294" s="307" t="n"/>
      <c r="Q294" s="307" t="n"/>
      <c r="R294" s="307" t="n"/>
      <c r="S294" s="307" t="n"/>
      <c r="T294" s="307" t="n"/>
      <c r="U294" s="307" t="n"/>
      <c r="V294" s="307" t="n"/>
      <c r="W294" s="307" t="n"/>
      <c r="X294" s="307" t="n"/>
      <c r="Y294" s="307" t="n"/>
      <c r="Z294" s="307" t="n"/>
      <c r="AA294" s="307" t="n"/>
      <c r="AB294" s="307" t="n"/>
      <c r="AC294" s="307" t="n"/>
      <c r="AD294" s="307" t="n"/>
    </row>
    <row r="295" ht="15.75" customHeight="1" s="349">
      <c r="A295" s="307" t="n"/>
      <c r="B295" s="307" t="n"/>
      <c r="C295" s="307" t="n"/>
      <c r="D295" s="307" t="n"/>
      <c r="E295" s="307" t="n"/>
      <c r="F295" s="307" t="n"/>
      <c r="G295" s="307" t="n"/>
      <c r="H295" s="31" t="n"/>
      <c r="I295" s="31" t="n"/>
      <c r="J295" s="31" t="n"/>
      <c r="K295" s="31" t="n"/>
      <c r="L295" s="31" t="n"/>
      <c r="M295" s="31" t="n"/>
      <c r="N295" s="307" t="n"/>
      <c r="O295" s="307" t="n"/>
      <c r="P295" s="307" t="n"/>
      <c r="Q295" s="307" t="n"/>
      <c r="R295" s="307" t="n"/>
      <c r="S295" s="307" t="n"/>
      <c r="T295" s="307" t="n"/>
      <c r="U295" s="307" t="n"/>
      <c r="V295" s="307" t="n"/>
      <c r="W295" s="307" t="n"/>
      <c r="X295" s="307" t="n"/>
      <c r="Y295" s="307" t="n"/>
      <c r="Z295" s="307" t="n"/>
      <c r="AA295" s="307" t="n"/>
      <c r="AB295" s="307" t="n"/>
      <c r="AC295" s="307" t="n"/>
      <c r="AD295" s="307" t="n"/>
    </row>
    <row r="296" ht="15.75" customHeight="1" s="349">
      <c r="A296" s="307" t="n"/>
      <c r="B296" s="307" t="n"/>
      <c r="C296" s="307" t="n"/>
      <c r="D296" s="307" t="n"/>
      <c r="E296" s="307" t="n"/>
      <c r="F296" s="307" t="n"/>
      <c r="G296" s="307" t="n"/>
      <c r="H296" s="31" t="n"/>
      <c r="I296" s="31" t="n"/>
      <c r="J296" s="31" t="n"/>
      <c r="K296" s="31" t="n"/>
      <c r="L296" s="31" t="n"/>
      <c r="M296" s="31" t="n"/>
      <c r="N296" s="307" t="n"/>
      <c r="O296" s="307" t="n"/>
      <c r="P296" s="307" t="n"/>
      <c r="Q296" s="307" t="n"/>
      <c r="R296" s="307" t="n"/>
      <c r="S296" s="307" t="n"/>
      <c r="T296" s="307" t="n"/>
      <c r="U296" s="307" t="n"/>
      <c r="V296" s="307" t="n"/>
      <c r="W296" s="307" t="n"/>
      <c r="X296" s="307" t="n"/>
      <c r="Y296" s="307" t="n"/>
      <c r="Z296" s="307" t="n"/>
      <c r="AA296" s="307" t="n"/>
      <c r="AB296" s="307" t="n"/>
      <c r="AC296" s="307" t="n"/>
      <c r="AD296" s="307" t="n"/>
    </row>
    <row r="297" ht="15.75" customHeight="1" s="349">
      <c r="A297" s="307" t="n"/>
      <c r="B297" s="307" t="n"/>
      <c r="C297" s="307" t="n"/>
      <c r="D297" s="307" t="n"/>
      <c r="E297" s="307" t="n"/>
      <c r="F297" s="307" t="n"/>
      <c r="G297" s="307" t="n"/>
      <c r="H297" s="31" t="n"/>
      <c r="I297" s="31" t="n"/>
      <c r="J297" s="31" t="n"/>
      <c r="K297" s="31" t="n"/>
      <c r="L297" s="31" t="n"/>
      <c r="M297" s="31" t="n"/>
      <c r="N297" s="307" t="n"/>
      <c r="O297" s="307" t="n"/>
      <c r="P297" s="307" t="n"/>
      <c r="Q297" s="307" t="n"/>
      <c r="R297" s="307" t="n"/>
      <c r="S297" s="307" t="n"/>
      <c r="T297" s="307" t="n"/>
      <c r="U297" s="307" t="n"/>
      <c r="V297" s="307" t="n"/>
      <c r="W297" s="307" t="n"/>
      <c r="X297" s="307" t="n"/>
      <c r="Y297" s="307" t="n"/>
      <c r="Z297" s="307" t="n"/>
      <c r="AA297" s="307" t="n"/>
      <c r="AB297" s="307" t="n"/>
      <c r="AC297" s="307" t="n"/>
      <c r="AD297" s="307" t="n"/>
    </row>
    <row r="298" ht="15.75" customHeight="1" s="349">
      <c r="A298" s="307" t="n"/>
      <c r="B298" s="307" t="n"/>
      <c r="C298" s="307" t="n"/>
      <c r="D298" s="307" t="n"/>
      <c r="E298" s="307" t="n"/>
      <c r="F298" s="307" t="n"/>
      <c r="G298" s="307" t="n"/>
      <c r="H298" s="31" t="n"/>
      <c r="I298" s="31" t="n"/>
      <c r="J298" s="31" t="n"/>
      <c r="K298" s="31" t="n"/>
      <c r="L298" s="31" t="n"/>
      <c r="M298" s="31" t="n"/>
      <c r="N298" s="307" t="n"/>
      <c r="O298" s="307" t="n"/>
      <c r="P298" s="307" t="n"/>
      <c r="Q298" s="307" t="n"/>
      <c r="R298" s="307" t="n"/>
      <c r="S298" s="307" t="n"/>
      <c r="T298" s="307" t="n"/>
      <c r="U298" s="307" t="n"/>
      <c r="V298" s="307" t="n"/>
      <c r="W298" s="307" t="n"/>
      <c r="X298" s="307" t="n"/>
      <c r="Y298" s="307" t="n"/>
      <c r="Z298" s="307" t="n"/>
      <c r="AA298" s="307" t="n"/>
      <c r="AB298" s="307" t="n"/>
      <c r="AC298" s="307" t="n"/>
      <c r="AD298" s="307" t="n"/>
    </row>
    <row r="299" ht="15.75" customHeight="1" s="349">
      <c r="A299" s="307" t="n"/>
      <c r="B299" s="307" t="n"/>
      <c r="C299" s="307" t="n"/>
      <c r="D299" s="307" t="n"/>
      <c r="E299" s="307" t="n"/>
      <c r="F299" s="307" t="n"/>
      <c r="G299" s="307" t="n"/>
      <c r="H299" s="31" t="n"/>
      <c r="I299" s="31" t="n"/>
      <c r="J299" s="31" t="n"/>
      <c r="K299" s="31" t="n"/>
      <c r="L299" s="31" t="n"/>
      <c r="M299" s="31" t="n"/>
      <c r="N299" s="307" t="n"/>
      <c r="O299" s="307" t="n"/>
      <c r="P299" s="307" t="n"/>
      <c r="Q299" s="307" t="n"/>
      <c r="R299" s="307" t="n"/>
      <c r="S299" s="307" t="n"/>
      <c r="T299" s="307" t="n"/>
      <c r="U299" s="307" t="n"/>
      <c r="V299" s="307" t="n"/>
      <c r="W299" s="307" t="n"/>
      <c r="X299" s="307" t="n"/>
      <c r="Y299" s="307" t="n"/>
      <c r="Z299" s="307" t="n"/>
      <c r="AA299" s="307" t="n"/>
      <c r="AB299" s="307" t="n"/>
      <c r="AC299" s="307" t="n"/>
      <c r="AD299" s="307" t="n"/>
    </row>
    <row r="300" ht="15.75" customHeight="1" s="349">
      <c r="A300" s="307" t="n"/>
      <c r="B300" s="307" t="n"/>
      <c r="C300" s="307" t="n"/>
      <c r="D300" s="307" t="n"/>
      <c r="E300" s="307" t="n"/>
      <c r="F300" s="307" t="n"/>
      <c r="G300" s="307" t="n"/>
      <c r="H300" s="31" t="n"/>
      <c r="I300" s="31" t="n"/>
      <c r="J300" s="31" t="n"/>
      <c r="K300" s="31" t="n"/>
      <c r="L300" s="31" t="n"/>
      <c r="M300" s="31" t="n"/>
      <c r="N300" s="307" t="n"/>
      <c r="O300" s="307" t="n"/>
      <c r="P300" s="307" t="n"/>
      <c r="Q300" s="307" t="n"/>
      <c r="R300" s="307" t="n"/>
      <c r="S300" s="307" t="n"/>
      <c r="T300" s="307" t="n"/>
      <c r="U300" s="307" t="n"/>
      <c r="V300" s="307" t="n"/>
      <c r="W300" s="307" t="n"/>
      <c r="X300" s="307" t="n"/>
      <c r="Y300" s="307" t="n"/>
      <c r="Z300" s="307" t="n"/>
      <c r="AA300" s="307" t="n"/>
      <c r="AB300" s="307" t="n"/>
      <c r="AC300" s="307" t="n"/>
      <c r="AD300" s="307" t="n"/>
    </row>
    <row r="301" ht="15.75" customHeight="1" s="349">
      <c r="A301" s="307" t="n"/>
      <c r="B301" s="307" t="n"/>
      <c r="C301" s="307" t="n"/>
      <c r="D301" s="307" t="n"/>
      <c r="E301" s="307" t="n"/>
      <c r="F301" s="307" t="n"/>
      <c r="G301" s="307" t="n"/>
      <c r="H301" s="31" t="n"/>
      <c r="I301" s="31" t="n"/>
      <c r="J301" s="31" t="n"/>
      <c r="K301" s="31" t="n"/>
      <c r="L301" s="31" t="n"/>
      <c r="M301" s="31" t="n"/>
      <c r="N301" s="307" t="n"/>
      <c r="O301" s="307" t="n"/>
      <c r="P301" s="307" t="n"/>
      <c r="Q301" s="307" t="n"/>
      <c r="R301" s="307" t="n"/>
      <c r="S301" s="307" t="n"/>
      <c r="T301" s="307" t="n"/>
      <c r="U301" s="307" t="n"/>
      <c r="V301" s="307" t="n"/>
      <c r="W301" s="307" t="n"/>
      <c r="X301" s="307" t="n"/>
      <c r="Y301" s="307" t="n"/>
      <c r="Z301" s="307" t="n"/>
      <c r="AA301" s="307" t="n"/>
      <c r="AB301" s="307" t="n"/>
      <c r="AC301" s="307" t="n"/>
      <c r="AD301" s="307" t="n"/>
    </row>
    <row r="302" ht="15.75" customHeight="1" s="349">
      <c r="A302" s="307" t="n"/>
      <c r="B302" s="307" t="n"/>
      <c r="C302" s="307" t="n"/>
      <c r="D302" s="307" t="n"/>
      <c r="E302" s="307" t="n"/>
      <c r="F302" s="307" t="n"/>
      <c r="G302" s="307" t="n"/>
      <c r="H302" s="31" t="n"/>
      <c r="I302" s="31" t="n"/>
      <c r="J302" s="31" t="n"/>
      <c r="K302" s="31" t="n"/>
      <c r="L302" s="31" t="n"/>
      <c r="M302" s="31" t="n"/>
      <c r="N302" s="307" t="n"/>
      <c r="O302" s="307" t="n"/>
      <c r="P302" s="307" t="n"/>
      <c r="Q302" s="307" t="n"/>
      <c r="R302" s="307" t="n"/>
      <c r="S302" s="307" t="n"/>
      <c r="T302" s="307" t="n"/>
      <c r="U302" s="307" t="n"/>
      <c r="V302" s="307" t="n"/>
      <c r="W302" s="307" t="n"/>
      <c r="X302" s="307" t="n"/>
      <c r="Y302" s="307" t="n"/>
      <c r="Z302" s="307" t="n"/>
      <c r="AA302" s="307" t="n"/>
      <c r="AB302" s="307" t="n"/>
      <c r="AC302" s="307" t="n"/>
      <c r="AD302" s="307" t="n"/>
    </row>
    <row r="303" ht="15.75" customHeight="1" s="349">
      <c r="A303" s="307" t="n"/>
      <c r="B303" s="307" t="n"/>
      <c r="C303" s="307" t="n"/>
      <c r="D303" s="307" t="n"/>
      <c r="E303" s="307" t="n"/>
      <c r="F303" s="307" t="n"/>
      <c r="G303" s="307" t="n"/>
      <c r="H303" s="31" t="n"/>
      <c r="I303" s="31" t="n"/>
      <c r="J303" s="31" t="n"/>
      <c r="K303" s="31" t="n"/>
      <c r="L303" s="31" t="n"/>
      <c r="M303" s="31" t="n"/>
      <c r="N303" s="307" t="n"/>
      <c r="O303" s="307" t="n"/>
      <c r="P303" s="307" t="n"/>
      <c r="Q303" s="307" t="n"/>
      <c r="R303" s="307" t="n"/>
      <c r="S303" s="307" t="n"/>
      <c r="T303" s="307" t="n"/>
      <c r="U303" s="307" t="n"/>
      <c r="V303" s="307" t="n"/>
      <c r="W303" s="307" t="n"/>
      <c r="X303" s="307" t="n"/>
      <c r="Y303" s="307" t="n"/>
      <c r="Z303" s="307" t="n"/>
      <c r="AA303" s="307" t="n"/>
      <c r="AB303" s="307" t="n"/>
      <c r="AC303" s="307" t="n"/>
      <c r="AD303" s="307" t="n"/>
    </row>
    <row r="304" ht="15.75" customHeight="1" s="349">
      <c r="A304" s="307" t="n"/>
      <c r="B304" s="307" t="n"/>
      <c r="C304" s="307" t="n"/>
      <c r="D304" s="307" t="n"/>
      <c r="E304" s="307" t="n"/>
      <c r="F304" s="307" t="n"/>
      <c r="G304" s="307" t="n"/>
      <c r="H304" s="31" t="n"/>
      <c r="I304" s="31" t="n"/>
      <c r="J304" s="31" t="n"/>
      <c r="K304" s="31" t="n"/>
      <c r="L304" s="31" t="n"/>
      <c r="M304" s="31" t="n"/>
      <c r="N304" s="307" t="n"/>
      <c r="O304" s="307" t="n"/>
      <c r="P304" s="307" t="n"/>
      <c r="Q304" s="307" t="n"/>
      <c r="R304" s="307" t="n"/>
      <c r="S304" s="307" t="n"/>
      <c r="T304" s="307" t="n"/>
      <c r="U304" s="307" t="n"/>
      <c r="V304" s="307" t="n"/>
      <c r="W304" s="307" t="n"/>
      <c r="X304" s="307" t="n"/>
      <c r="Y304" s="307" t="n"/>
      <c r="Z304" s="307" t="n"/>
      <c r="AA304" s="307" t="n"/>
      <c r="AB304" s="307" t="n"/>
      <c r="AC304" s="307" t="n"/>
      <c r="AD304" s="307" t="n"/>
    </row>
    <row r="305" ht="15.75" customHeight="1" s="349">
      <c r="A305" s="307" t="n"/>
      <c r="B305" s="307" t="n"/>
      <c r="C305" s="307" t="n"/>
      <c r="D305" s="307" t="n"/>
      <c r="E305" s="307" t="n"/>
      <c r="F305" s="307" t="n"/>
      <c r="G305" s="307" t="n"/>
      <c r="H305" s="31" t="n"/>
      <c r="I305" s="31" t="n"/>
      <c r="J305" s="31" t="n"/>
      <c r="K305" s="31" t="n"/>
      <c r="L305" s="31" t="n"/>
      <c r="M305" s="31" t="n"/>
      <c r="N305" s="307" t="n"/>
      <c r="O305" s="307" t="n"/>
      <c r="P305" s="307" t="n"/>
      <c r="Q305" s="307" t="n"/>
      <c r="R305" s="307" t="n"/>
      <c r="S305" s="307" t="n"/>
      <c r="T305" s="307" t="n"/>
      <c r="U305" s="307" t="n"/>
      <c r="V305" s="307" t="n"/>
      <c r="W305" s="307" t="n"/>
      <c r="X305" s="307" t="n"/>
      <c r="Y305" s="307" t="n"/>
      <c r="Z305" s="307" t="n"/>
      <c r="AA305" s="307" t="n"/>
      <c r="AB305" s="307" t="n"/>
      <c r="AC305" s="307" t="n"/>
      <c r="AD305" s="307" t="n"/>
    </row>
    <row r="306" ht="15.75" customHeight="1" s="349">
      <c r="A306" s="307" t="n"/>
      <c r="B306" s="307" t="n"/>
      <c r="C306" s="307" t="n"/>
      <c r="D306" s="307" t="n"/>
      <c r="E306" s="307" t="n"/>
      <c r="F306" s="307" t="n"/>
      <c r="G306" s="307" t="n"/>
      <c r="H306" s="31" t="n"/>
      <c r="I306" s="31" t="n"/>
      <c r="J306" s="31" t="n"/>
      <c r="K306" s="31" t="n"/>
      <c r="L306" s="31" t="n"/>
      <c r="M306" s="31" t="n"/>
      <c r="N306" s="307" t="n"/>
      <c r="O306" s="307" t="n"/>
      <c r="P306" s="307" t="n"/>
      <c r="Q306" s="307" t="n"/>
      <c r="R306" s="307" t="n"/>
      <c r="S306" s="307" t="n"/>
      <c r="T306" s="307" t="n"/>
      <c r="U306" s="307" t="n"/>
      <c r="V306" s="307" t="n"/>
      <c r="W306" s="307" t="n"/>
      <c r="X306" s="307" t="n"/>
      <c r="Y306" s="307" t="n"/>
      <c r="Z306" s="307" t="n"/>
      <c r="AA306" s="307" t="n"/>
      <c r="AB306" s="307" t="n"/>
      <c r="AC306" s="307" t="n"/>
      <c r="AD306" s="307" t="n"/>
    </row>
    <row r="307" ht="15.75" customHeight="1" s="349">
      <c r="A307" s="307" t="n"/>
      <c r="B307" s="307" t="n"/>
      <c r="C307" s="307" t="n"/>
      <c r="D307" s="307" t="n"/>
      <c r="E307" s="307" t="n"/>
      <c r="F307" s="307" t="n"/>
      <c r="G307" s="307" t="n"/>
      <c r="H307" s="31" t="n"/>
      <c r="I307" s="31" t="n"/>
      <c r="J307" s="31" t="n"/>
      <c r="K307" s="31" t="n"/>
      <c r="L307" s="31" t="n"/>
      <c r="M307" s="31" t="n"/>
      <c r="N307" s="307" t="n"/>
      <c r="O307" s="307" t="n"/>
      <c r="P307" s="307" t="n"/>
      <c r="Q307" s="307" t="n"/>
      <c r="R307" s="307" t="n"/>
      <c r="S307" s="307" t="n"/>
      <c r="T307" s="307" t="n"/>
      <c r="U307" s="307" t="n"/>
      <c r="V307" s="307" t="n"/>
      <c r="W307" s="307" t="n"/>
      <c r="X307" s="307" t="n"/>
      <c r="Y307" s="307" t="n"/>
      <c r="Z307" s="307" t="n"/>
      <c r="AA307" s="307" t="n"/>
      <c r="AB307" s="307" t="n"/>
      <c r="AC307" s="307" t="n"/>
      <c r="AD307" s="307" t="n"/>
    </row>
    <row r="308" ht="15.75" customHeight="1" s="349">
      <c r="A308" s="307" t="n"/>
      <c r="B308" s="307" t="n"/>
      <c r="C308" s="307" t="n"/>
      <c r="D308" s="307" t="n"/>
      <c r="E308" s="307" t="n"/>
      <c r="F308" s="307" t="n"/>
      <c r="G308" s="307" t="n"/>
      <c r="H308" s="31" t="n"/>
      <c r="I308" s="31" t="n"/>
      <c r="J308" s="31" t="n"/>
      <c r="K308" s="31" t="n"/>
      <c r="L308" s="31" t="n"/>
      <c r="M308" s="31" t="n"/>
      <c r="N308" s="307" t="n"/>
      <c r="O308" s="307" t="n"/>
      <c r="P308" s="307" t="n"/>
      <c r="Q308" s="307" t="n"/>
      <c r="R308" s="307" t="n"/>
      <c r="S308" s="307" t="n"/>
      <c r="T308" s="307" t="n"/>
      <c r="U308" s="307" t="n"/>
      <c r="V308" s="307" t="n"/>
      <c r="W308" s="307" t="n"/>
      <c r="X308" s="307" t="n"/>
      <c r="Y308" s="307" t="n"/>
      <c r="Z308" s="307" t="n"/>
      <c r="AA308" s="307" t="n"/>
      <c r="AB308" s="307" t="n"/>
      <c r="AC308" s="307" t="n"/>
      <c r="AD308" s="307" t="n"/>
    </row>
    <row r="309" ht="15.75" customHeight="1" s="349">
      <c r="A309" s="307" t="n"/>
      <c r="B309" s="307" t="n"/>
      <c r="C309" s="307" t="n"/>
      <c r="D309" s="307" t="n"/>
      <c r="E309" s="307" t="n"/>
      <c r="F309" s="307" t="n"/>
      <c r="G309" s="307" t="n"/>
      <c r="H309" s="31" t="n"/>
      <c r="I309" s="31" t="n"/>
      <c r="J309" s="31" t="n"/>
      <c r="K309" s="31" t="n"/>
      <c r="L309" s="31" t="n"/>
      <c r="M309" s="31" t="n"/>
      <c r="N309" s="307" t="n"/>
      <c r="O309" s="307" t="n"/>
      <c r="P309" s="307" t="n"/>
      <c r="Q309" s="307" t="n"/>
      <c r="R309" s="307" t="n"/>
      <c r="S309" s="307" t="n"/>
      <c r="T309" s="307" t="n"/>
      <c r="U309" s="307" t="n"/>
      <c r="V309" s="307" t="n"/>
      <c r="W309" s="307" t="n"/>
      <c r="X309" s="307" t="n"/>
      <c r="Y309" s="307" t="n"/>
      <c r="Z309" s="307" t="n"/>
      <c r="AA309" s="307" t="n"/>
      <c r="AB309" s="307" t="n"/>
      <c r="AC309" s="307" t="n"/>
      <c r="AD309" s="307" t="n"/>
    </row>
    <row r="310" ht="15.75" customHeight="1" s="349">
      <c r="A310" s="307" t="n"/>
      <c r="B310" s="307" t="n"/>
      <c r="C310" s="307" t="n"/>
      <c r="D310" s="307" t="n"/>
      <c r="E310" s="307" t="n"/>
      <c r="F310" s="307" t="n"/>
      <c r="G310" s="307" t="n"/>
      <c r="H310" s="31" t="n"/>
      <c r="I310" s="31" t="n"/>
      <c r="J310" s="31" t="n"/>
      <c r="K310" s="31" t="n"/>
      <c r="L310" s="31" t="n"/>
      <c r="M310" s="31" t="n"/>
      <c r="N310" s="307" t="n"/>
      <c r="O310" s="307" t="n"/>
      <c r="P310" s="307" t="n"/>
      <c r="Q310" s="307" t="n"/>
      <c r="R310" s="307" t="n"/>
      <c r="S310" s="307" t="n"/>
      <c r="T310" s="307" t="n"/>
      <c r="U310" s="307" t="n"/>
      <c r="V310" s="307" t="n"/>
      <c r="W310" s="307" t="n"/>
      <c r="X310" s="307" t="n"/>
      <c r="Y310" s="307" t="n"/>
      <c r="Z310" s="307" t="n"/>
      <c r="AA310" s="307" t="n"/>
      <c r="AB310" s="307" t="n"/>
      <c r="AC310" s="307" t="n"/>
      <c r="AD310" s="307" t="n"/>
    </row>
    <row r="311" ht="15.75" customHeight="1" s="349">
      <c r="A311" s="307" t="n"/>
      <c r="B311" s="307" t="n"/>
      <c r="C311" s="307" t="n"/>
      <c r="D311" s="307" t="n"/>
      <c r="E311" s="307" t="n"/>
      <c r="F311" s="307" t="n"/>
      <c r="G311" s="307" t="n"/>
      <c r="H311" s="31" t="n"/>
      <c r="I311" s="31" t="n"/>
      <c r="J311" s="31" t="n"/>
      <c r="K311" s="31" t="n"/>
      <c r="L311" s="31" t="n"/>
      <c r="M311" s="31" t="n"/>
      <c r="N311" s="307" t="n"/>
      <c r="O311" s="307" t="n"/>
      <c r="P311" s="307" t="n"/>
      <c r="Q311" s="307" t="n"/>
      <c r="R311" s="307" t="n"/>
      <c r="S311" s="307" t="n"/>
      <c r="T311" s="307" t="n"/>
      <c r="U311" s="307" t="n"/>
      <c r="V311" s="307" t="n"/>
      <c r="W311" s="307" t="n"/>
      <c r="X311" s="307" t="n"/>
      <c r="Y311" s="307" t="n"/>
      <c r="Z311" s="307" t="n"/>
      <c r="AA311" s="307" t="n"/>
      <c r="AB311" s="307" t="n"/>
      <c r="AC311" s="307" t="n"/>
      <c r="AD311" s="307" t="n"/>
    </row>
    <row r="312" ht="15.75" customHeight="1" s="349">
      <c r="A312" s="307" t="n"/>
      <c r="B312" s="307" t="n"/>
      <c r="C312" s="307" t="n"/>
      <c r="D312" s="307" t="n"/>
      <c r="E312" s="307" t="n"/>
      <c r="F312" s="307" t="n"/>
      <c r="G312" s="307" t="n"/>
      <c r="H312" s="31" t="n"/>
      <c r="I312" s="31" t="n"/>
      <c r="J312" s="31" t="n"/>
      <c r="K312" s="31" t="n"/>
      <c r="L312" s="31" t="n"/>
      <c r="M312" s="31" t="n"/>
      <c r="N312" s="307" t="n"/>
      <c r="O312" s="307" t="n"/>
      <c r="P312" s="307" t="n"/>
      <c r="Q312" s="307" t="n"/>
      <c r="R312" s="307" t="n"/>
      <c r="S312" s="307" t="n"/>
      <c r="T312" s="307" t="n"/>
      <c r="U312" s="307" t="n"/>
      <c r="V312" s="307" t="n"/>
      <c r="W312" s="307" t="n"/>
      <c r="X312" s="307" t="n"/>
      <c r="Y312" s="307" t="n"/>
      <c r="Z312" s="307" t="n"/>
      <c r="AA312" s="307" t="n"/>
      <c r="AB312" s="307" t="n"/>
      <c r="AC312" s="307" t="n"/>
      <c r="AD312" s="307" t="n"/>
    </row>
    <row r="313" ht="15.75" customHeight="1" s="349">
      <c r="A313" s="307" t="n"/>
      <c r="B313" s="307" t="n"/>
      <c r="C313" s="307" t="n"/>
      <c r="D313" s="307" t="n"/>
      <c r="E313" s="307" t="n"/>
      <c r="F313" s="307" t="n"/>
      <c r="G313" s="307" t="n"/>
      <c r="H313" s="31" t="n"/>
      <c r="I313" s="31" t="n"/>
      <c r="J313" s="31" t="n"/>
      <c r="K313" s="31" t="n"/>
      <c r="L313" s="31" t="n"/>
      <c r="M313" s="31" t="n"/>
      <c r="N313" s="307" t="n"/>
      <c r="O313" s="307" t="n"/>
      <c r="P313" s="307" t="n"/>
      <c r="Q313" s="307" t="n"/>
      <c r="R313" s="307" t="n"/>
      <c r="S313" s="307" t="n"/>
      <c r="T313" s="307" t="n"/>
      <c r="U313" s="307" t="n"/>
      <c r="V313" s="307" t="n"/>
      <c r="W313" s="307" t="n"/>
      <c r="X313" s="307" t="n"/>
      <c r="Y313" s="307" t="n"/>
      <c r="Z313" s="307" t="n"/>
      <c r="AA313" s="307" t="n"/>
      <c r="AB313" s="307" t="n"/>
      <c r="AC313" s="307" t="n"/>
      <c r="AD313" s="307" t="n"/>
    </row>
    <row r="314" ht="15.75" customHeight="1" s="349">
      <c r="A314" s="307" t="n"/>
      <c r="B314" s="307" t="n"/>
      <c r="C314" s="307" t="n"/>
      <c r="D314" s="307" t="n"/>
      <c r="E314" s="307" t="n"/>
      <c r="F314" s="307" t="n"/>
      <c r="G314" s="307" t="n"/>
      <c r="H314" s="31" t="n"/>
      <c r="I314" s="31" t="n"/>
      <c r="J314" s="31" t="n"/>
      <c r="K314" s="31" t="n"/>
      <c r="L314" s="31" t="n"/>
      <c r="M314" s="31" t="n"/>
      <c r="N314" s="307" t="n"/>
      <c r="O314" s="307" t="n"/>
      <c r="P314" s="307" t="n"/>
      <c r="Q314" s="307" t="n"/>
      <c r="R314" s="307" t="n"/>
      <c r="S314" s="307" t="n"/>
      <c r="T314" s="307" t="n"/>
      <c r="U314" s="307" t="n"/>
      <c r="V314" s="307" t="n"/>
      <c r="W314" s="307" t="n"/>
      <c r="X314" s="307" t="n"/>
      <c r="Y314" s="307" t="n"/>
      <c r="Z314" s="307" t="n"/>
      <c r="AA314" s="307" t="n"/>
      <c r="AB314" s="307" t="n"/>
      <c r="AC314" s="307" t="n"/>
      <c r="AD314" s="307" t="n"/>
    </row>
    <row r="315" ht="15.75" customHeight="1" s="349">
      <c r="A315" s="307" t="n"/>
      <c r="B315" s="307" t="n"/>
      <c r="C315" s="307" t="n"/>
      <c r="D315" s="307" t="n"/>
      <c r="E315" s="307" t="n"/>
      <c r="F315" s="307" t="n"/>
      <c r="G315" s="307" t="n"/>
      <c r="H315" s="31" t="n"/>
      <c r="I315" s="31" t="n"/>
      <c r="J315" s="31" t="n"/>
      <c r="K315" s="31" t="n"/>
      <c r="L315" s="31" t="n"/>
      <c r="M315" s="31" t="n"/>
      <c r="N315" s="307" t="n"/>
      <c r="O315" s="307" t="n"/>
      <c r="P315" s="307" t="n"/>
      <c r="Q315" s="307" t="n"/>
      <c r="R315" s="307" t="n"/>
      <c r="S315" s="307" t="n"/>
      <c r="T315" s="307" t="n"/>
      <c r="U315" s="307" t="n"/>
      <c r="V315" s="307" t="n"/>
      <c r="W315" s="307" t="n"/>
      <c r="X315" s="307" t="n"/>
      <c r="Y315" s="307" t="n"/>
      <c r="Z315" s="307" t="n"/>
      <c r="AA315" s="307" t="n"/>
      <c r="AB315" s="307" t="n"/>
      <c r="AC315" s="307" t="n"/>
      <c r="AD315" s="307" t="n"/>
    </row>
    <row r="316" ht="15.75" customHeight="1" s="349">
      <c r="A316" s="307" t="n"/>
      <c r="B316" s="307" t="n"/>
      <c r="C316" s="307" t="n"/>
      <c r="D316" s="307" t="n"/>
      <c r="E316" s="307" t="n"/>
      <c r="F316" s="307" t="n"/>
      <c r="G316" s="307" t="n"/>
      <c r="H316" s="31" t="n"/>
      <c r="I316" s="31" t="n"/>
      <c r="J316" s="31" t="n"/>
      <c r="K316" s="31" t="n"/>
      <c r="L316" s="31" t="n"/>
      <c r="M316" s="31" t="n"/>
      <c r="N316" s="307" t="n"/>
      <c r="O316" s="307" t="n"/>
      <c r="P316" s="307" t="n"/>
      <c r="Q316" s="307" t="n"/>
      <c r="R316" s="307" t="n"/>
      <c r="S316" s="307" t="n"/>
      <c r="T316" s="307" t="n"/>
      <c r="U316" s="307" t="n"/>
      <c r="V316" s="307" t="n"/>
      <c r="W316" s="307" t="n"/>
      <c r="X316" s="307" t="n"/>
      <c r="Y316" s="307" t="n"/>
      <c r="Z316" s="307" t="n"/>
      <c r="AA316" s="307" t="n"/>
      <c r="AB316" s="307" t="n"/>
      <c r="AC316" s="307" t="n"/>
      <c r="AD316" s="307" t="n"/>
    </row>
    <row r="317" ht="15.75" customHeight="1" s="349">
      <c r="A317" s="307" t="n"/>
      <c r="B317" s="307" t="n"/>
      <c r="C317" s="307" t="n"/>
      <c r="D317" s="307" t="n"/>
      <c r="E317" s="307" t="n"/>
      <c r="F317" s="307" t="n"/>
      <c r="G317" s="307" t="n"/>
      <c r="H317" s="31" t="n"/>
      <c r="I317" s="31" t="n"/>
      <c r="J317" s="31" t="n"/>
      <c r="K317" s="31" t="n"/>
      <c r="L317" s="31" t="n"/>
      <c r="M317" s="31" t="n"/>
      <c r="N317" s="307" t="n"/>
      <c r="O317" s="307" t="n"/>
      <c r="P317" s="307" t="n"/>
      <c r="Q317" s="307" t="n"/>
      <c r="R317" s="307" t="n"/>
      <c r="S317" s="307" t="n"/>
      <c r="T317" s="307" t="n"/>
      <c r="U317" s="307" t="n"/>
      <c r="V317" s="307" t="n"/>
      <c r="W317" s="307" t="n"/>
      <c r="X317" s="307" t="n"/>
      <c r="Y317" s="307" t="n"/>
      <c r="Z317" s="307" t="n"/>
      <c r="AA317" s="307" t="n"/>
      <c r="AB317" s="307" t="n"/>
      <c r="AC317" s="307" t="n"/>
      <c r="AD317" s="307" t="n"/>
    </row>
    <row r="318" ht="15.75" customHeight="1" s="349">
      <c r="A318" s="307" t="n"/>
      <c r="B318" s="307" t="n"/>
      <c r="C318" s="307" t="n"/>
      <c r="D318" s="307" t="n"/>
      <c r="E318" s="307" t="n"/>
      <c r="F318" s="307" t="n"/>
      <c r="G318" s="307" t="n"/>
      <c r="H318" s="31" t="n"/>
      <c r="I318" s="31" t="n"/>
      <c r="J318" s="31" t="n"/>
      <c r="K318" s="31" t="n"/>
      <c r="L318" s="31" t="n"/>
      <c r="M318" s="31" t="n"/>
      <c r="N318" s="307" t="n"/>
      <c r="O318" s="307" t="n"/>
      <c r="P318" s="307" t="n"/>
      <c r="Q318" s="307" t="n"/>
      <c r="R318" s="307" t="n"/>
      <c r="S318" s="307" t="n"/>
      <c r="T318" s="307" t="n"/>
      <c r="U318" s="307" t="n"/>
      <c r="V318" s="307" t="n"/>
      <c r="W318" s="307" t="n"/>
      <c r="X318" s="307" t="n"/>
      <c r="Y318" s="307" t="n"/>
      <c r="Z318" s="307" t="n"/>
      <c r="AA318" s="307" t="n"/>
      <c r="AB318" s="307" t="n"/>
      <c r="AC318" s="307" t="n"/>
      <c r="AD318" s="307" t="n"/>
    </row>
    <row r="319" ht="15.75" customHeight="1" s="349">
      <c r="A319" s="307" t="n"/>
      <c r="B319" s="307" t="n"/>
      <c r="C319" s="307" t="n"/>
      <c r="D319" s="307" t="n"/>
      <c r="E319" s="307" t="n"/>
      <c r="F319" s="307" t="n"/>
      <c r="G319" s="307" t="n"/>
      <c r="H319" s="31" t="n"/>
      <c r="I319" s="31" t="n"/>
      <c r="J319" s="31" t="n"/>
      <c r="K319" s="31" t="n"/>
      <c r="L319" s="31" t="n"/>
      <c r="M319" s="31" t="n"/>
      <c r="N319" s="307" t="n"/>
      <c r="O319" s="307" t="n"/>
      <c r="P319" s="307" t="n"/>
      <c r="Q319" s="307" t="n"/>
      <c r="R319" s="307" t="n"/>
      <c r="S319" s="307" t="n"/>
      <c r="T319" s="307" t="n"/>
      <c r="U319" s="307" t="n"/>
      <c r="V319" s="307" t="n"/>
      <c r="W319" s="307" t="n"/>
      <c r="X319" s="307" t="n"/>
      <c r="Y319" s="307" t="n"/>
      <c r="Z319" s="307" t="n"/>
      <c r="AA319" s="307" t="n"/>
      <c r="AB319" s="307" t="n"/>
      <c r="AC319" s="307" t="n"/>
      <c r="AD319" s="307" t="n"/>
    </row>
    <row r="320" ht="15.75" customHeight="1" s="349">
      <c r="A320" s="307" t="n"/>
      <c r="B320" s="307" t="n"/>
      <c r="C320" s="307" t="n"/>
      <c r="D320" s="307" t="n"/>
      <c r="E320" s="307" t="n"/>
      <c r="F320" s="307" t="n"/>
      <c r="G320" s="307" t="n"/>
      <c r="H320" s="31" t="n"/>
      <c r="I320" s="31" t="n"/>
      <c r="J320" s="31" t="n"/>
      <c r="K320" s="31" t="n"/>
      <c r="L320" s="31" t="n"/>
      <c r="M320" s="31" t="n"/>
      <c r="N320" s="307" t="n"/>
      <c r="O320" s="307" t="n"/>
      <c r="P320" s="307" t="n"/>
      <c r="Q320" s="307" t="n"/>
      <c r="R320" s="307" t="n"/>
      <c r="S320" s="307" t="n"/>
      <c r="T320" s="307" t="n"/>
      <c r="U320" s="307" t="n"/>
      <c r="V320" s="307" t="n"/>
      <c r="W320" s="307" t="n"/>
      <c r="X320" s="307" t="n"/>
      <c r="Y320" s="307" t="n"/>
      <c r="Z320" s="307" t="n"/>
      <c r="AA320" s="307" t="n"/>
      <c r="AB320" s="307" t="n"/>
      <c r="AC320" s="307" t="n"/>
      <c r="AD320" s="307" t="n"/>
    </row>
    <row r="321" ht="15.75" customHeight="1" s="349">
      <c r="A321" s="307" t="n"/>
      <c r="B321" s="307" t="n"/>
      <c r="C321" s="307" t="n"/>
      <c r="D321" s="307" t="n"/>
      <c r="E321" s="307" t="n"/>
      <c r="F321" s="307" t="n"/>
      <c r="G321" s="307" t="n"/>
      <c r="H321" s="31" t="n"/>
      <c r="I321" s="31" t="n"/>
      <c r="J321" s="31" t="n"/>
      <c r="K321" s="31" t="n"/>
      <c r="L321" s="31" t="n"/>
      <c r="M321" s="31" t="n"/>
      <c r="N321" s="307" t="n"/>
      <c r="O321" s="307" t="n"/>
      <c r="P321" s="307" t="n"/>
      <c r="Q321" s="307" t="n"/>
      <c r="R321" s="307" t="n"/>
      <c r="S321" s="307" t="n"/>
      <c r="T321" s="307" t="n"/>
      <c r="U321" s="307" t="n"/>
      <c r="V321" s="307" t="n"/>
      <c r="W321" s="307" t="n"/>
      <c r="X321" s="307" t="n"/>
      <c r="Y321" s="307" t="n"/>
      <c r="Z321" s="307" t="n"/>
      <c r="AA321" s="307" t="n"/>
      <c r="AB321" s="307" t="n"/>
      <c r="AC321" s="307" t="n"/>
      <c r="AD321" s="307" t="n"/>
    </row>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sheetData>
  <mergeCells count="16">
    <mergeCell ref="B3:D3"/>
    <mergeCell ref="B5:D5"/>
    <mergeCell ref="E5:G5"/>
    <mergeCell ref="K5:M5"/>
    <mergeCell ref="H5:J5"/>
    <mergeCell ref="B35:D35"/>
    <mergeCell ref="B71:G71"/>
    <mergeCell ref="B65:G65"/>
    <mergeCell ref="E35:G35"/>
    <mergeCell ref="B77:K77"/>
    <mergeCell ref="H35:J35"/>
    <mergeCell ref="B115:C115"/>
    <mergeCell ref="B13:D13"/>
    <mergeCell ref="K35:M35"/>
    <mergeCell ref="B86:D86"/>
    <mergeCell ref="K86:M86"/>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BH91"/>
  <sheetViews>
    <sheetView showGridLines="0" workbookViewId="0">
      <pane xSplit="5" ySplit="5" topLeftCell="F6" activePane="bottomRight" state="frozen"/>
      <selection pane="topRight" activeCell="A1" sqref="A1"/>
      <selection pane="bottomLeft" activeCell="A1" sqref="A1"/>
      <selection pane="bottomRight" activeCell="A1" sqref="A1"/>
    </sheetView>
  </sheetViews>
  <sheetFormatPr baseColWidth="8" defaultRowHeight="15"/>
  <cols>
    <col width="2.5" customWidth="1" style="349" min="1" max="1"/>
    <col width="38" customWidth="1" style="349" min="2" max="2"/>
    <col width="10" customWidth="1" style="349" min="3" max="3"/>
    <col width="10" customWidth="1" style="349" min="6" max="6"/>
    <col width="10" customWidth="1" style="349" min="7" max="7"/>
    <col width="10" customWidth="1" style="349" min="8" max="8"/>
    <col width="10" customWidth="1" style="349" min="9" max="9"/>
    <col width="10" customWidth="1" style="349" min="10" max="10"/>
    <col width="10" customWidth="1" style="349" min="11" max="11"/>
    <col width="10" customWidth="1" style="349" min="12" max="12"/>
    <col width="10" customWidth="1" style="349" min="13" max="13"/>
    <col width="10" customWidth="1" style="349" min="14" max="14"/>
    <col width="10" customWidth="1" style="349" min="15" max="15"/>
    <col width="10" customWidth="1" style="349" min="16" max="16"/>
    <col width="10" customWidth="1" style="349" min="17" max="17"/>
    <col width="10" customWidth="1" style="349" min="18" max="18"/>
    <col width="10" customWidth="1" style="349" min="19" max="19"/>
    <col width="10" customWidth="1" style="349" min="20" max="20"/>
    <col width="10" customWidth="1" style="349" min="21" max="21"/>
    <col width="10" customWidth="1" style="349" min="22" max="22"/>
    <col width="10" customWidth="1" style="349" min="23" max="23"/>
    <col width="10" customWidth="1" style="349" min="24" max="24"/>
    <col width="10" customWidth="1" style="349" min="25" max="25"/>
    <col width="10" customWidth="1" style="349" min="26" max="26"/>
    <col width="10" customWidth="1" style="349" min="27" max="27"/>
    <col width="10" customWidth="1" style="349" min="28" max="28"/>
    <col width="10" customWidth="1" style="349" min="29" max="29"/>
    <col width="10" customWidth="1" style="349" min="30" max="30"/>
    <col width="10" customWidth="1" style="349" min="31" max="31"/>
    <col width="10" customWidth="1" style="349" min="32" max="32"/>
    <col width="10" customWidth="1" style="349" min="33" max="33"/>
    <col width="10" customWidth="1" style="349" min="34" max="34"/>
    <col width="10" customWidth="1" style="349" min="35" max="35"/>
    <col width="10" customWidth="1" style="349" min="36" max="36"/>
    <col width="10" customWidth="1" style="349" min="37" max="37"/>
    <col width="10" customWidth="1" style="349" min="38" max="38"/>
    <col width="10" customWidth="1" style="349" min="39" max="39"/>
    <col width="10" customWidth="1" style="349" min="40" max="40"/>
    <col width="10" customWidth="1" style="349" min="41" max="41"/>
    <col width="10" customWidth="1" style="349" min="42" max="42"/>
    <col width="10" customWidth="1" style="349" min="43" max="43"/>
    <col width="10" customWidth="1" style="349" min="44" max="44"/>
    <col width="10" customWidth="1" style="349" min="45" max="45"/>
    <col width="10" customWidth="1" style="349" min="46" max="46"/>
    <col width="10" customWidth="1" style="349" min="47" max="47"/>
    <col width="10" customWidth="1" style="349" min="48" max="48"/>
    <col width="10" customWidth="1" style="349" min="49" max="49"/>
    <col width="10" customWidth="1" style="349" min="50" max="50"/>
    <col width="10" customWidth="1" style="349" min="51" max="51"/>
    <col width="10" customWidth="1" style="349" min="52" max="52"/>
    <col width="10" customWidth="1" style="349" min="53" max="53"/>
    <col width="12" customWidth="1" style="349" min="55" max="55"/>
    <col width="12" customWidth="1" style="349" min="56" max="56"/>
    <col width="12" customWidth="1" style="349" min="57" max="57"/>
    <col width="12" customWidth="1" style="349" min="58" max="58"/>
    <col width="70" customWidth="1" style="349" min="60" max="60"/>
  </cols>
  <sheetData>
    <row r="1"/>
    <row r="2">
      <c r="B2" s="369" t="inlineStr">
        <is>
          <t>Tarnoc B.V. — Growth Engine</t>
        </is>
      </c>
    </row>
    <row r="3">
      <c r="B3" s="370" t="inlineStr">
        <is>
          <t>Units sold are an OUTPUT of demand, sales capacity and build capacity — not an input. Every driver lives on the Assumptions tab (rows 130+). Case switch: Assumptions D82.</t>
        </is>
      </c>
    </row>
    <row r="4"/>
    <row r="5">
      <c r="B5" s="371" t="inlineStr">
        <is>
          <t>Month</t>
        </is>
      </c>
      <c r="F5" s="372" t="n">
        <v>46388</v>
      </c>
      <c r="G5" s="372" t="n">
        <v>46419</v>
      </c>
      <c r="H5" s="372" t="n">
        <v>46447</v>
      </c>
      <c r="I5" s="372" t="n">
        <v>46478</v>
      </c>
      <c r="J5" s="372" t="n">
        <v>46508</v>
      </c>
      <c r="K5" s="372" t="n">
        <v>46539</v>
      </c>
      <c r="L5" s="372" t="n">
        <v>46569</v>
      </c>
      <c r="M5" s="372" t="n">
        <v>46600</v>
      </c>
      <c r="N5" s="372" t="n">
        <v>46631</v>
      </c>
      <c r="O5" s="372" t="n">
        <v>46661</v>
      </c>
      <c r="P5" s="372" t="n">
        <v>46692</v>
      </c>
      <c r="Q5" s="372" t="n">
        <v>46722</v>
      </c>
      <c r="R5" s="372" t="n">
        <v>46753</v>
      </c>
      <c r="S5" s="372" t="n">
        <v>46784</v>
      </c>
      <c r="T5" s="372" t="n">
        <v>46813</v>
      </c>
      <c r="U5" s="372" t="n">
        <v>46844</v>
      </c>
      <c r="V5" s="372" t="n">
        <v>46874</v>
      </c>
      <c r="W5" s="372" t="n">
        <v>46905</v>
      </c>
      <c r="X5" s="372" t="n">
        <v>46935</v>
      </c>
      <c r="Y5" s="372" t="n">
        <v>46966</v>
      </c>
      <c r="Z5" s="372" t="n">
        <v>46997</v>
      </c>
      <c r="AA5" s="372" t="n">
        <v>47027</v>
      </c>
      <c r="AB5" s="372" t="n">
        <v>47058</v>
      </c>
      <c r="AC5" s="372" t="n">
        <v>47088</v>
      </c>
      <c r="AD5" s="372" t="n">
        <v>47119</v>
      </c>
      <c r="AE5" s="372" t="n">
        <v>47150</v>
      </c>
      <c r="AF5" s="372" t="n">
        <v>47178</v>
      </c>
      <c r="AG5" s="372" t="n">
        <v>47209</v>
      </c>
      <c r="AH5" s="372" t="n">
        <v>47239</v>
      </c>
      <c r="AI5" s="372" t="n">
        <v>47270</v>
      </c>
      <c r="AJ5" s="372" t="n">
        <v>47300</v>
      </c>
      <c r="AK5" s="372" t="n">
        <v>47331</v>
      </c>
      <c r="AL5" s="372" t="n">
        <v>47362</v>
      </c>
      <c r="AM5" s="372" t="n">
        <v>47392</v>
      </c>
      <c r="AN5" s="372" t="n">
        <v>47423</v>
      </c>
      <c r="AO5" s="372" t="n">
        <v>47453</v>
      </c>
      <c r="AP5" s="372" t="n">
        <v>47484</v>
      </c>
      <c r="AQ5" s="372" t="n">
        <v>47515</v>
      </c>
      <c r="AR5" s="372" t="n">
        <v>47543</v>
      </c>
      <c r="AS5" s="372" t="n">
        <v>47574</v>
      </c>
      <c r="AT5" s="372" t="n">
        <v>47604</v>
      </c>
      <c r="AU5" s="372" t="n">
        <v>47635</v>
      </c>
      <c r="AV5" s="372" t="n">
        <v>47665</v>
      </c>
      <c r="AW5" s="372" t="n">
        <v>47696</v>
      </c>
      <c r="AX5" s="372" t="n">
        <v>47727</v>
      </c>
      <c r="AY5" s="372" t="n">
        <v>47757</v>
      </c>
      <c r="AZ5" s="372" t="n">
        <v>47788</v>
      </c>
      <c r="BA5" s="372" t="n">
        <v>47818</v>
      </c>
      <c r="BC5" s="373" t="n">
        <v>2027</v>
      </c>
      <c r="BD5" s="373" t="n">
        <v>2028</v>
      </c>
      <c r="BE5" s="373" t="n">
        <v>2029</v>
      </c>
      <c r="BF5" s="373" t="n">
        <v>2030</v>
      </c>
      <c r="BH5" s="371" t="inlineStr">
        <is>
          <t>what this row does</t>
        </is>
      </c>
    </row>
    <row r="6"/>
    <row r="7">
      <c r="B7" s="374" t="inlineStr">
        <is>
          <t>MARKET  —  serviceable demand for a 1-for-1 gas-boiler replacement</t>
        </is>
      </c>
      <c r="C7" s="374" t="n"/>
      <c r="D7" s="374" t="n"/>
      <c r="E7" s="374" t="n"/>
      <c r="F7" s="374" t="n"/>
      <c r="G7" s="374" t="n"/>
      <c r="H7" s="374" t="n"/>
      <c r="I7" s="374" t="n"/>
      <c r="J7" s="374" t="n"/>
      <c r="K7" s="374" t="n"/>
      <c r="L7" s="374" t="n"/>
      <c r="M7" s="374" t="n"/>
      <c r="N7" s="374" t="n"/>
      <c r="O7" s="374" t="n"/>
      <c r="P7" s="374" t="n"/>
      <c r="Q7" s="374" t="n"/>
      <c r="R7" s="374" t="n"/>
      <c r="S7" s="374" t="n"/>
      <c r="T7" s="374" t="n"/>
      <c r="U7" s="374" t="n"/>
      <c r="V7" s="374" t="n"/>
      <c r="W7" s="374" t="n"/>
      <c r="X7" s="374" t="n"/>
      <c r="Y7" s="374" t="n"/>
      <c r="Z7" s="374" t="n"/>
      <c r="AA7" s="374" t="n"/>
      <c r="AB7" s="374" t="n"/>
      <c r="AC7" s="374" t="n"/>
      <c r="AD7" s="374" t="n"/>
      <c r="AE7" s="374" t="n"/>
      <c r="AF7" s="374" t="n"/>
      <c r="AG7" s="374" t="n"/>
      <c r="AH7" s="374" t="n"/>
      <c r="AI7" s="374" t="n"/>
      <c r="AJ7" s="374" t="n"/>
      <c r="AK7" s="374" t="n"/>
      <c r="AL7" s="374" t="n"/>
      <c r="AM7" s="374" t="n"/>
      <c r="AN7" s="374" t="n"/>
      <c r="AO7" s="374" t="n"/>
      <c r="AP7" s="374" t="n"/>
      <c r="AQ7" s="374" t="n"/>
      <c r="AR7" s="374" t="n"/>
      <c r="AS7" s="374" t="n"/>
      <c r="AT7" s="374" t="n"/>
      <c r="AU7" s="374" t="n"/>
      <c r="AV7" s="374" t="n"/>
      <c r="AW7" s="374" t="n"/>
      <c r="AX7" s="374" t="n"/>
      <c r="AY7" s="374" t="n"/>
      <c r="AZ7" s="374" t="n"/>
      <c r="BA7" s="374" t="n"/>
      <c r="BB7" s="374" t="n"/>
      <c r="BC7" s="374" t="n"/>
      <c r="BD7" s="374" t="n"/>
      <c r="BE7" s="374" t="n"/>
      <c r="BF7" s="374" t="n"/>
      <c r="BG7" s="374" t="n"/>
    </row>
    <row r="8">
      <c r="B8" s="375" t="inlineStr">
        <is>
          <t>NL serviceable market</t>
        </is>
      </c>
      <c r="C8" s="376" t="inlineStr">
        <is>
          <t>units/mo</t>
        </is>
      </c>
      <c r="F8" s="377">
        <f>Assumptions!$F$134*Assumptions!$F$135/12</f>
        <v/>
      </c>
      <c r="G8" s="377">
        <f>Assumptions!$F$134*Assumptions!$F$135/12</f>
        <v/>
      </c>
      <c r="H8" s="377">
        <f>Assumptions!$F$134*Assumptions!$F$135/12</f>
        <v/>
      </c>
      <c r="I8" s="377">
        <f>Assumptions!$F$134*Assumptions!$F$135/12</f>
        <v/>
      </c>
      <c r="J8" s="377">
        <f>Assumptions!$F$134*Assumptions!$F$135/12</f>
        <v/>
      </c>
      <c r="K8" s="377">
        <f>Assumptions!$F$134*Assumptions!$F$135/12</f>
        <v/>
      </c>
      <c r="L8" s="377">
        <f>Assumptions!$F$134*Assumptions!$F$135/12</f>
        <v/>
      </c>
      <c r="M8" s="377">
        <f>Assumptions!$F$134*Assumptions!$F$135/12</f>
        <v/>
      </c>
      <c r="N8" s="377">
        <f>Assumptions!$F$134*Assumptions!$F$135/12</f>
        <v/>
      </c>
      <c r="O8" s="377">
        <f>Assumptions!$F$134*Assumptions!$F$135/12</f>
        <v/>
      </c>
      <c r="P8" s="377">
        <f>Assumptions!$F$134*Assumptions!$F$135/12</f>
        <v/>
      </c>
      <c r="Q8" s="377">
        <f>Assumptions!$F$134*Assumptions!$F$135/12</f>
        <v/>
      </c>
      <c r="R8" s="377">
        <f>Assumptions!$F$134*Assumptions!$F$135/12</f>
        <v/>
      </c>
      <c r="S8" s="377">
        <f>Assumptions!$F$134*Assumptions!$F$135/12</f>
        <v/>
      </c>
      <c r="T8" s="377">
        <f>Assumptions!$F$134*Assumptions!$F$135/12</f>
        <v/>
      </c>
      <c r="U8" s="377">
        <f>Assumptions!$F$134*Assumptions!$F$135/12</f>
        <v/>
      </c>
      <c r="V8" s="377">
        <f>Assumptions!$F$134*Assumptions!$F$135/12</f>
        <v/>
      </c>
      <c r="W8" s="377">
        <f>Assumptions!$F$134*Assumptions!$F$135/12</f>
        <v/>
      </c>
      <c r="X8" s="377">
        <f>Assumptions!$F$134*Assumptions!$F$135/12</f>
        <v/>
      </c>
      <c r="Y8" s="377">
        <f>Assumptions!$F$134*Assumptions!$F$135/12</f>
        <v/>
      </c>
      <c r="Z8" s="377">
        <f>Assumptions!$F$134*Assumptions!$F$135/12</f>
        <v/>
      </c>
      <c r="AA8" s="377">
        <f>Assumptions!$F$134*Assumptions!$F$135/12</f>
        <v/>
      </c>
      <c r="AB8" s="377">
        <f>Assumptions!$F$134*Assumptions!$F$135/12</f>
        <v/>
      </c>
      <c r="AC8" s="377">
        <f>Assumptions!$F$134*Assumptions!$F$135/12</f>
        <v/>
      </c>
      <c r="AD8" s="377">
        <f>Assumptions!$F$134*Assumptions!$F$135/12</f>
        <v/>
      </c>
      <c r="AE8" s="377">
        <f>Assumptions!$F$134*Assumptions!$F$135/12</f>
        <v/>
      </c>
      <c r="AF8" s="377">
        <f>Assumptions!$F$134*Assumptions!$F$135/12</f>
        <v/>
      </c>
      <c r="AG8" s="377">
        <f>Assumptions!$F$134*Assumptions!$F$135/12</f>
        <v/>
      </c>
      <c r="AH8" s="377">
        <f>Assumptions!$F$134*Assumptions!$F$135/12</f>
        <v/>
      </c>
      <c r="AI8" s="377">
        <f>Assumptions!$F$134*Assumptions!$F$135/12</f>
        <v/>
      </c>
      <c r="AJ8" s="377">
        <f>Assumptions!$F$134*Assumptions!$F$135/12</f>
        <v/>
      </c>
      <c r="AK8" s="377">
        <f>Assumptions!$F$134*Assumptions!$F$135/12</f>
        <v/>
      </c>
      <c r="AL8" s="377">
        <f>Assumptions!$F$134*Assumptions!$F$135/12</f>
        <v/>
      </c>
      <c r="AM8" s="377">
        <f>Assumptions!$F$134*Assumptions!$F$135/12</f>
        <v/>
      </c>
      <c r="AN8" s="377">
        <f>Assumptions!$F$134*Assumptions!$F$135/12</f>
        <v/>
      </c>
      <c r="AO8" s="377">
        <f>Assumptions!$F$134*Assumptions!$F$135/12</f>
        <v/>
      </c>
      <c r="AP8" s="377">
        <f>Assumptions!$F$134*Assumptions!$F$135/12</f>
        <v/>
      </c>
      <c r="AQ8" s="377">
        <f>Assumptions!$F$134*Assumptions!$F$135/12</f>
        <v/>
      </c>
      <c r="AR8" s="377">
        <f>Assumptions!$F$134*Assumptions!$F$135/12</f>
        <v/>
      </c>
      <c r="AS8" s="377">
        <f>Assumptions!$F$134*Assumptions!$F$135/12</f>
        <v/>
      </c>
      <c r="AT8" s="377">
        <f>Assumptions!$F$134*Assumptions!$F$135/12</f>
        <v/>
      </c>
      <c r="AU8" s="377">
        <f>Assumptions!$F$134*Assumptions!$F$135/12</f>
        <v/>
      </c>
      <c r="AV8" s="377">
        <f>Assumptions!$F$134*Assumptions!$F$135/12</f>
        <v/>
      </c>
      <c r="AW8" s="377">
        <f>Assumptions!$F$134*Assumptions!$F$135/12</f>
        <v/>
      </c>
      <c r="AX8" s="377">
        <f>Assumptions!$F$134*Assumptions!$F$135/12</f>
        <v/>
      </c>
      <c r="AY8" s="377">
        <f>Assumptions!$F$134*Assumptions!$F$135/12</f>
        <v/>
      </c>
      <c r="AZ8" s="377">
        <f>Assumptions!$F$134*Assumptions!$F$135/12</f>
        <v/>
      </c>
      <c r="BA8" s="377">
        <f>Assumptions!$F$134*Assumptions!$F$135/12</f>
        <v/>
      </c>
      <c r="BC8" s="378">
        <f>SUM(F8:Q8)</f>
        <v/>
      </c>
      <c r="BD8" s="378">
        <f>SUM(R8:AC8)</f>
        <v/>
      </c>
      <c r="BE8" s="378">
        <f>SUM(AD8:AO8)</f>
        <v/>
      </c>
      <c r="BF8" s="378">
        <f>SUM(AP8:BA8)</f>
        <v/>
      </c>
      <c r="BH8" s="370" t="inlineStr">
        <is>
          <t>~400k gas boilers replaced a year in NL x the share suitable for a 1-for-1 swap</t>
        </is>
      </c>
    </row>
    <row r="9">
      <c r="B9" s="375" t="inlineStr">
        <is>
          <t>Expansion market (BE+DE)</t>
        </is>
      </c>
      <c r="C9" s="376" t="inlineStr">
        <is>
          <t>units/mo</t>
        </is>
      </c>
      <c r="F9" s="377">
        <f>IF(YEAR(F$5)&gt;=Assumptions!$F$137,Assumptions!$F$136*Assumptions!$F$135/12,0)</f>
        <v/>
      </c>
      <c r="G9" s="377">
        <f>IF(YEAR(G$5)&gt;=Assumptions!$F$137,Assumptions!$F$136*Assumptions!$F$135/12,0)</f>
        <v/>
      </c>
      <c r="H9" s="377">
        <f>IF(YEAR(H$5)&gt;=Assumptions!$F$137,Assumptions!$F$136*Assumptions!$F$135/12,0)</f>
        <v/>
      </c>
      <c r="I9" s="377">
        <f>IF(YEAR(I$5)&gt;=Assumptions!$F$137,Assumptions!$F$136*Assumptions!$F$135/12,0)</f>
        <v/>
      </c>
      <c r="J9" s="377">
        <f>IF(YEAR(J$5)&gt;=Assumptions!$F$137,Assumptions!$F$136*Assumptions!$F$135/12,0)</f>
        <v/>
      </c>
      <c r="K9" s="377">
        <f>IF(YEAR(K$5)&gt;=Assumptions!$F$137,Assumptions!$F$136*Assumptions!$F$135/12,0)</f>
        <v/>
      </c>
      <c r="L9" s="377">
        <f>IF(YEAR(L$5)&gt;=Assumptions!$F$137,Assumptions!$F$136*Assumptions!$F$135/12,0)</f>
        <v/>
      </c>
      <c r="M9" s="377">
        <f>IF(YEAR(M$5)&gt;=Assumptions!$F$137,Assumptions!$F$136*Assumptions!$F$135/12,0)</f>
        <v/>
      </c>
      <c r="N9" s="377">
        <f>IF(YEAR(N$5)&gt;=Assumptions!$F$137,Assumptions!$F$136*Assumptions!$F$135/12,0)</f>
        <v/>
      </c>
      <c r="O9" s="377">
        <f>IF(YEAR(O$5)&gt;=Assumptions!$F$137,Assumptions!$F$136*Assumptions!$F$135/12,0)</f>
        <v/>
      </c>
      <c r="P9" s="377">
        <f>IF(YEAR(P$5)&gt;=Assumptions!$F$137,Assumptions!$F$136*Assumptions!$F$135/12,0)</f>
        <v/>
      </c>
      <c r="Q9" s="377">
        <f>IF(YEAR(Q$5)&gt;=Assumptions!$F$137,Assumptions!$F$136*Assumptions!$F$135/12,0)</f>
        <v/>
      </c>
      <c r="R9" s="377">
        <f>IF(YEAR(R$5)&gt;=Assumptions!$F$137,Assumptions!$F$136*Assumptions!$F$135/12,0)</f>
        <v/>
      </c>
      <c r="S9" s="377">
        <f>IF(YEAR(S$5)&gt;=Assumptions!$F$137,Assumptions!$F$136*Assumptions!$F$135/12,0)</f>
        <v/>
      </c>
      <c r="T9" s="377">
        <f>IF(YEAR(T$5)&gt;=Assumptions!$F$137,Assumptions!$F$136*Assumptions!$F$135/12,0)</f>
        <v/>
      </c>
      <c r="U9" s="377">
        <f>IF(YEAR(U$5)&gt;=Assumptions!$F$137,Assumptions!$F$136*Assumptions!$F$135/12,0)</f>
        <v/>
      </c>
      <c r="V9" s="377">
        <f>IF(YEAR(V$5)&gt;=Assumptions!$F$137,Assumptions!$F$136*Assumptions!$F$135/12,0)</f>
        <v/>
      </c>
      <c r="W9" s="377">
        <f>IF(YEAR(W$5)&gt;=Assumptions!$F$137,Assumptions!$F$136*Assumptions!$F$135/12,0)</f>
        <v/>
      </c>
      <c r="X9" s="377">
        <f>IF(YEAR(X$5)&gt;=Assumptions!$F$137,Assumptions!$F$136*Assumptions!$F$135/12,0)</f>
        <v/>
      </c>
      <c r="Y9" s="377">
        <f>IF(YEAR(Y$5)&gt;=Assumptions!$F$137,Assumptions!$F$136*Assumptions!$F$135/12,0)</f>
        <v/>
      </c>
      <c r="Z9" s="377">
        <f>IF(YEAR(Z$5)&gt;=Assumptions!$F$137,Assumptions!$F$136*Assumptions!$F$135/12,0)</f>
        <v/>
      </c>
      <c r="AA9" s="377">
        <f>IF(YEAR(AA$5)&gt;=Assumptions!$F$137,Assumptions!$F$136*Assumptions!$F$135/12,0)</f>
        <v/>
      </c>
      <c r="AB9" s="377">
        <f>IF(YEAR(AB$5)&gt;=Assumptions!$F$137,Assumptions!$F$136*Assumptions!$F$135/12,0)</f>
        <v/>
      </c>
      <c r="AC9" s="377">
        <f>IF(YEAR(AC$5)&gt;=Assumptions!$F$137,Assumptions!$F$136*Assumptions!$F$135/12,0)</f>
        <v/>
      </c>
      <c r="AD9" s="377">
        <f>IF(YEAR(AD$5)&gt;=Assumptions!$F$137,Assumptions!$F$136*Assumptions!$F$135/12,0)</f>
        <v/>
      </c>
      <c r="AE9" s="377">
        <f>IF(YEAR(AE$5)&gt;=Assumptions!$F$137,Assumptions!$F$136*Assumptions!$F$135/12,0)</f>
        <v/>
      </c>
      <c r="AF9" s="377">
        <f>IF(YEAR(AF$5)&gt;=Assumptions!$F$137,Assumptions!$F$136*Assumptions!$F$135/12,0)</f>
        <v/>
      </c>
      <c r="AG9" s="377">
        <f>IF(YEAR(AG$5)&gt;=Assumptions!$F$137,Assumptions!$F$136*Assumptions!$F$135/12,0)</f>
        <v/>
      </c>
      <c r="AH9" s="377">
        <f>IF(YEAR(AH$5)&gt;=Assumptions!$F$137,Assumptions!$F$136*Assumptions!$F$135/12,0)</f>
        <v/>
      </c>
      <c r="AI9" s="377">
        <f>IF(YEAR(AI$5)&gt;=Assumptions!$F$137,Assumptions!$F$136*Assumptions!$F$135/12,0)</f>
        <v/>
      </c>
      <c r="AJ9" s="377">
        <f>IF(YEAR(AJ$5)&gt;=Assumptions!$F$137,Assumptions!$F$136*Assumptions!$F$135/12,0)</f>
        <v/>
      </c>
      <c r="AK9" s="377">
        <f>IF(YEAR(AK$5)&gt;=Assumptions!$F$137,Assumptions!$F$136*Assumptions!$F$135/12,0)</f>
        <v/>
      </c>
      <c r="AL9" s="377">
        <f>IF(YEAR(AL$5)&gt;=Assumptions!$F$137,Assumptions!$F$136*Assumptions!$F$135/12,0)</f>
        <v/>
      </c>
      <c r="AM9" s="377">
        <f>IF(YEAR(AM$5)&gt;=Assumptions!$F$137,Assumptions!$F$136*Assumptions!$F$135/12,0)</f>
        <v/>
      </c>
      <c r="AN9" s="377">
        <f>IF(YEAR(AN$5)&gt;=Assumptions!$F$137,Assumptions!$F$136*Assumptions!$F$135/12,0)</f>
        <v/>
      </c>
      <c r="AO9" s="377">
        <f>IF(YEAR(AO$5)&gt;=Assumptions!$F$137,Assumptions!$F$136*Assumptions!$F$135/12,0)</f>
        <v/>
      </c>
      <c r="AP9" s="377">
        <f>IF(YEAR(AP$5)&gt;=Assumptions!$F$137,Assumptions!$F$136*Assumptions!$F$135/12,0)</f>
        <v/>
      </c>
      <c r="AQ9" s="377">
        <f>IF(YEAR(AQ$5)&gt;=Assumptions!$F$137,Assumptions!$F$136*Assumptions!$F$135/12,0)</f>
        <v/>
      </c>
      <c r="AR9" s="377">
        <f>IF(YEAR(AR$5)&gt;=Assumptions!$F$137,Assumptions!$F$136*Assumptions!$F$135/12,0)</f>
        <v/>
      </c>
      <c r="AS9" s="377">
        <f>IF(YEAR(AS$5)&gt;=Assumptions!$F$137,Assumptions!$F$136*Assumptions!$F$135/12,0)</f>
        <v/>
      </c>
      <c r="AT9" s="377">
        <f>IF(YEAR(AT$5)&gt;=Assumptions!$F$137,Assumptions!$F$136*Assumptions!$F$135/12,0)</f>
        <v/>
      </c>
      <c r="AU9" s="377">
        <f>IF(YEAR(AU$5)&gt;=Assumptions!$F$137,Assumptions!$F$136*Assumptions!$F$135/12,0)</f>
        <v/>
      </c>
      <c r="AV9" s="377">
        <f>IF(YEAR(AV$5)&gt;=Assumptions!$F$137,Assumptions!$F$136*Assumptions!$F$135/12,0)</f>
        <v/>
      </c>
      <c r="AW9" s="377">
        <f>IF(YEAR(AW$5)&gt;=Assumptions!$F$137,Assumptions!$F$136*Assumptions!$F$135/12,0)</f>
        <v/>
      </c>
      <c r="AX9" s="377">
        <f>IF(YEAR(AX$5)&gt;=Assumptions!$F$137,Assumptions!$F$136*Assumptions!$F$135/12,0)</f>
        <v/>
      </c>
      <c r="AY9" s="377">
        <f>IF(YEAR(AY$5)&gt;=Assumptions!$F$137,Assumptions!$F$136*Assumptions!$F$135/12,0)</f>
        <v/>
      </c>
      <c r="AZ9" s="377">
        <f>IF(YEAR(AZ$5)&gt;=Assumptions!$F$137,Assumptions!$F$136*Assumptions!$F$135/12,0)</f>
        <v/>
      </c>
      <c r="BA9" s="377">
        <f>IF(YEAR(BA$5)&gt;=Assumptions!$F$137,Assumptions!$F$136*Assumptions!$F$135/12,0)</f>
        <v/>
      </c>
      <c r="BC9" s="378">
        <f>SUM(F9:Q9)</f>
        <v/>
      </c>
      <c r="BD9" s="378">
        <f>SUM(R9:AC9)</f>
        <v/>
      </c>
      <c r="BE9" s="378">
        <f>SUM(AD9:AO9)</f>
        <v/>
      </c>
      <c r="BF9" s="378">
        <f>SUM(AP9:BA9)</f>
        <v/>
      </c>
      <c r="BH9" s="370" t="inlineStr">
        <is>
          <t>opens in the entry year set on Assumptions</t>
        </is>
      </c>
    </row>
    <row r="10">
      <c r="B10" s="379" t="inlineStr">
        <is>
          <t>Total serviceable market</t>
        </is>
      </c>
      <c r="C10" s="376" t="inlineStr">
        <is>
          <t>units/mo</t>
        </is>
      </c>
      <c r="F10" s="380">
        <f>F8+F9</f>
        <v/>
      </c>
      <c r="G10" s="380">
        <f>G8+G9</f>
        <v/>
      </c>
      <c r="H10" s="380">
        <f>H8+H9</f>
        <v/>
      </c>
      <c r="I10" s="380">
        <f>I8+I9</f>
        <v/>
      </c>
      <c r="J10" s="380">
        <f>J8+J9</f>
        <v/>
      </c>
      <c r="K10" s="380">
        <f>K8+K9</f>
        <v/>
      </c>
      <c r="L10" s="380">
        <f>L8+L9</f>
        <v/>
      </c>
      <c r="M10" s="380">
        <f>M8+M9</f>
        <v/>
      </c>
      <c r="N10" s="380">
        <f>N8+N9</f>
        <v/>
      </c>
      <c r="O10" s="380">
        <f>O8+O9</f>
        <v/>
      </c>
      <c r="P10" s="380">
        <f>P8+P9</f>
        <v/>
      </c>
      <c r="Q10" s="380">
        <f>Q8+Q9</f>
        <v/>
      </c>
      <c r="R10" s="380">
        <f>R8+R9</f>
        <v/>
      </c>
      <c r="S10" s="380">
        <f>S8+S9</f>
        <v/>
      </c>
      <c r="T10" s="380">
        <f>T8+T9</f>
        <v/>
      </c>
      <c r="U10" s="380">
        <f>U8+U9</f>
        <v/>
      </c>
      <c r="V10" s="380">
        <f>V8+V9</f>
        <v/>
      </c>
      <c r="W10" s="380">
        <f>W8+W9</f>
        <v/>
      </c>
      <c r="X10" s="380">
        <f>X8+X9</f>
        <v/>
      </c>
      <c r="Y10" s="380">
        <f>Y8+Y9</f>
        <v/>
      </c>
      <c r="Z10" s="380">
        <f>Z8+Z9</f>
        <v/>
      </c>
      <c r="AA10" s="380">
        <f>AA8+AA9</f>
        <v/>
      </c>
      <c r="AB10" s="380">
        <f>AB8+AB9</f>
        <v/>
      </c>
      <c r="AC10" s="380">
        <f>AC8+AC9</f>
        <v/>
      </c>
      <c r="AD10" s="380">
        <f>AD8+AD9</f>
        <v/>
      </c>
      <c r="AE10" s="380">
        <f>AE8+AE9</f>
        <v/>
      </c>
      <c r="AF10" s="380">
        <f>AF8+AF9</f>
        <v/>
      </c>
      <c r="AG10" s="380">
        <f>AG8+AG9</f>
        <v/>
      </c>
      <c r="AH10" s="380">
        <f>AH8+AH9</f>
        <v/>
      </c>
      <c r="AI10" s="380">
        <f>AI8+AI9</f>
        <v/>
      </c>
      <c r="AJ10" s="380">
        <f>AJ8+AJ9</f>
        <v/>
      </c>
      <c r="AK10" s="380">
        <f>AK8+AK9</f>
        <v/>
      </c>
      <c r="AL10" s="380">
        <f>AL8+AL9</f>
        <v/>
      </c>
      <c r="AM10" s="380">
        <f>AM8+AM9</f>
        <v/>
      </c>
      <c r="AN10" s="380">
        <f>AN8+AN9</f>
        <v/>
      </c>
      <c r="AO10" s="380">
        <f>AO8+AO9</f>
        <v/>
      </c>
      <c r="AP10" s="380">
        <f>AP8+AP9</f>
        <v/>
      </c>
      <c r="AQ10" s="380">
        <f>AQ8+AQ9</f>
        <v/>
      </c>
      <c r="AR10" s="380">
        <f>AR8+AR9</f>
        <v/>
      </c>
      <c r="AS10" s="380">
        <f>AS8+AS9</f>
        <v/>
      </c>
      <c r="AT10" s="380">
        <f>AT8+AT9</f>
        <v/>
      </c>
      <c r="AU10" s="380">
        <f>AU8+AU9</f>
        <v/>
      </c>
      <c r="AV10" s="380">
        <f>AV8+AV9</f>
        <v/>
      </c>
      <c r="AW10" s="380">
        <f>AW8+AW9</f>
        <v/>
      </c>
      <c r="AX10" s="380">
        <f>AX8+AX9</f>
        <v/>
      </c>
      <c r="AY10" s="380">
        <f>AY8+AY9</f>
        <v/>
      </c>
      <c r="AZ10" s="380">
        <f>AZ8+AZ9</f>
        <v/>
      </c>
      <c r="BA10" s="380">
        <f>BA8+BA9</f>
        <v/>
      </c>
      <c r="BC10" s="378">
        <f>SUM(F10:Q10)</f>
        <v/>
      </c>
      <c r="BD10" s="378">
        <f>SUM(R10:AC10)</f>
        <v/>
      </c>
      <c r="BE10" s="378">
        <f>SUM(AD10:AO10)</f>
        <v/>
      </c>
      <c r="BF10" s="378">
        <f>SUM(AP10:BA10)</f>
        <v/>
      </c>
    </row>
    <row r="11">
      <c r="B11" s="375" t="inlineStr">
        <is>
          <t>Share ceiling — max units allowed</t>
        </is>
      </c>
      <c r="C11" s="376" t="inlineStr">
        <is>
          <t>units/mo</t>
        </is>
      </c>
      <c r="F11" s="377">
        <f>F10*Assumptions!$F$138</f>
        <v/>
      </c>
      <c r="G11" s="377">
        <f>G10*Assumptions!$F$138</f>
        <v/>
      </c>
      <c r="H11" s="377">
        <f>H10*Assumptions!$F$138</f>
        <v/>
      </c>
      <c r="I11" s="377">
        <f>I10*Assumptions!$F$138</f>
        <v/>
      </c>
      <c r="J11" s="377">
        <f>J10*Assumptions!$F$138</f>
        <v/>
      </c>
      <c r="K11" s="377">
        <f>K10*Assumptions!$F$138</f>
        <v/>
      </c>
      <c r="L11" s="377">
        <f>L10*Assumptions!$F$138</f>
        <v/>
      </c>
      <c r="M11" s="377">
        <f>M10*Assumptions!$F$138</f>
        <v/>
      </c>
      <c r="N11" s="377">
        <f>N10*Assumptions!$F$138</f>
        <v/>
      </c>
      <c r="O11" s="377">
        <f>O10*Assumptions!$F$138</f>
        <v/>
      </c>
      <c r="P11" s="377">
        <f>P10*Assumptions!$F$138</f>
        <v/>
      </c>
      <c r="Q11" s="377">
        <f>Q10*Assumptions!$F$138</f>
        <v/>
      </c>
      <c r="R11" s="377">
        <f>R10*Assumptions!$F$138</f>
        <v/>
      </c>
      <c r="S11" s="377">
        <f>S10*Assumptions!$F$138</f>
        <v/>
      </c>
      <c r="T11" s="377">
        <f>T10*Assumptions!$F$138</f>
        <v/>
      </c>
      <c r="U11" s="377">
        <f>U10*Assumptions!$F$138</f>
        <v/>
      </c>
      <c r="V11" s="377">
        <f>V10*Assumptions!$F$138</f>
        <v/>
      </c>
      <c r="W11" s="377">
        <f>W10*Assumptions!$F$138</f>
        <v/>
      </c>
      <c r="X11" s="377">
        <f>X10*Assumptions!$F$138</f>
        <v/>
      </c>
      <c r="Y11" s="377">
        <f>Y10*Assumptions!$F$138</f>
        <v/>
      </c>
      <c r="Z11" s="377">
        <f>Z10*Assumptions!$F$138</f>
        <v/>
      </c>
      <c r="AA11" s="377">
        <f>AA10*Assumptions!$F$138</f>
        <v/>
      </c>
      <c r="AB11" s="377">
        <f>AB10*Assumptions!$F$138</f>
        <v/>
      </c>
      <c r="AC11" s="377">
        <f>AC10*Assumptions!$F$138</f>
        <v/>
      </c>
      <c r="AD11" s="377">
        <f>AD10*Assumptions!$F$138</f>
        <v/>
      </c>
      <c r="AE11" s="377">
        <f>AE10*Assumptions!$F$138</f>
        <v/>
      </c>
      <c r="AF11" s="377">
        <f>AF10*Assumptions!$F$138</f>
        <v/>
      </c>
      <c r="AG11" s="377">
        <f>AG10*Assumptions!$F$138</f>
        <v/>
      </c>
      <c r="AH11" s="377">
        <f>AH10*Assumptions!$F$138</f>
        <v/>
      </c>
      <c r="AI11" s="377">
        <f>AI10*Assumptions!$F$138</f>
        <v/>
      </c>
      <c r="AJ11" s="377">
        <f>AJ10*Assumptions!$F$138</f>
        <v/>
      </c>
      <c r="AK11" s="377">
        <f>AK10*Assumptions!$F$138</f>
        <v/>
      </c>
      <c r="AL11" s="377">
        <f>AL10*Assumptions!$F$138</f>
        <v/>
      </c>
      <c r="AM11" s="377">
        <f>AM10*Assumptions!$F$138</f>
        <v/>
      </c>
      <c r="AN11" s="377">
        <f>AN10*Assumptions!$F$138</f>
        <v/>
      </c>
      <c r="AO11" s="377">
        <f>AO10*Assumptions!$F$138</f>
        <v/>
      </c>
      <c r="AP11" s="377">
        <f>AP10*Assumptions!$F$138</f>
        <v/>
      </c>
      <c r="AQ11" s="377">
        <f>AQ10*Assumptions!$F$138</f>
        <v/>
      </c>
      <c r="AR11" s="377">
        <f>AR10*Assumptions!$F$138</f>
        <v/>
      </c>
      <c r="AS11" s="377">
        <f>AS10*Assumptions!$F$138</f>
        <v/>
      </c>
      <c r="AT11" s="377">
        <f>AT10*Assumptions!$F$138</f>
        <v/>
      </c>
      <c r="AU11" s="377">
        <f>AU10*Assumptions!$F$138</f>
        <v/>
      </c>
      <c r="AV11" s="377">
        <f>AV10*Assumptions!$F$138</f>
        <v/>
      </c>
      <c r="AW11" s="377">
        <f>AW10*Assumptions!$F$138</f>
        <v/>
      </c>
      <c r="AX11" s="377">
        <f>AX10*Assumptions!$F$138</f>
        <v/>
      </c>
      <c r="AY11" s="377">
        <f>AY10*Assumptions!$F$138</f>
        <v/>
      </c>
      <c r="AZ11" s="377">
        <f>AZ10*Assumptions!$F$138</f>
        <v/>
      </c>
      <c r="BA11" s="377">
        <f>BA10*Assumptions!$F$138</f>
        <v/>
      </c>
      <c r="BC11" s="378">
        <f>SUM(F11:Q11)</f>
        <v/>
      </c>
      <c r="BD11" s="378">
        <f>SUM(R11:AC11)</f>
        <v/>
      </c>
      <c r="BE11" s="378">
        <f>SUM(AD11:AO11)</f>
        <v/>
      </c>
      <c r="BF11" s="378">
        <f>SUM(AP11:BA11)</f>
        <v/>
      </c>
      <c r="BH11" s="370" t="inlineStr">
        <is>
          <t>a hard ceiling, so the plan can never quietly assume we own an unrealistic slice of the market</t>
        </is>
      </c>
    </row>
    <row r="12"/>
    <row r="13">
      <c r="B13" s="374" t="inlineStr">
        <is>
          <t>DEMAND GENERATION  —  marketing spend drives orders</t>
        </is>
      </c>
      <c r="C13" s="374" t="n"/>
      <c r="D13" s="374" t="n"/>
      <c r="E13" s="374" t="n"/>
      <c r="F13" s="374" t="n"/>
      <c r="G13" s="374" t="n"/>
      <c r="H13" s="374" t="n"/>
      <c r="I13" s="374" t="n"/>
      <c r="J13" s="374" t="n"/>
      <c r="K13" s="374" t="n"/>
      <c r="L13" s="374" t="n"/>
      <c r="M13" s="374" t="n"/>
      <c r="N13" s="374" t="n"/>
      <c r="O13" s="374" t="n"/>
      <c r="P13" s="374" t="n"/>
      <c r="Q13" s="374" t="n"/>
      <c r="R13" s="374" t="n"/>
      <c r="S13" s="374" t="n"/>
      <c r="T13" s="374" t="n"/>
      <c r="U13" s="374" t="n"/>
      <c r="V13" s="374" t="n"/>
      <c r="W13" s="374" t="n"/>
      <c r="X13" s="374" t="n"/>
      <c r="Y13" s="374" t="n"/>
      <c r="Z13" s="374" t="n"/>
      <c r="AA13" s="374" t="n"/>
      <c r="AB13" s="374" t="n"/>
      <c r="AC13" s="374" t="n"/>
      <c r="AD13" s="374" t="n"/>
      <c r="AE13" s="374" t="n"/>
      <c r="AF13" s="374" t="n"/>
      <c r="AG13" s="374" t="n"/>
      <c r="AH13" s="374" t="n"/>
      <c r="AI13" s="374" t="n"/>
      <c r="AJ13" s="374" t="n"/>
      <c r="AK13" s="374" t="n"/>
      <c r="AL13" s="374" t="n"/>
      <c r="AM13" s="374" t="n"/>
      <c r="AN13" s="374" t="n"/>
      <c r="AO13" s="374" t="n"/>
      <c r="AP13" s="374" t="n"/>
      <c r="AQ13" s="374" t="n"/>
      <c r="AR13" s="374" t="n"/>
      <c r="AS13" s="374" t="n"/>
      <c r="AT13" s="374" t="n"/>
      <c r="AU13" s="374" t="n"/>
      <c r="AV13" s="374" t="n"/>
      <c r="AW13" s="374" t="n"/>
      <c r="AX13" s="374" t="n"/>
      <c r="AY13" s="374" t="n"/>
      <c r="AZ13" s="374" t="n"/>
      <c r="BA13" s="374" t="n"/>
      <c r="BB13" s="374" t="n"/>
      <c r="BC13" s="374" t="n"/>
      <c r="BD13" s="374" t="n"/>
      <c r="BE13" s="374" t="n"/>
      <c r="BF13" s="374" t="n"/>
      <c r="BG13" s="374" t="n"/>
    </row>
    <row r="14">
      <c r="B14" s="375" t="inlineStr">
        <is>
          <t>Marketing spend</t>
        </is>
      </c>
      <c r="C14" s="376" t="inlineStr">
        <is>
          <t>EUR/mo</t>
        </is>
      </c>
      <c r="F14" s="381">
        <f>IF(YEAR(F$5)=2027,Assumptions!$F$140,IF(YEAR(F$5)=2028,Assumptions!$F$141,IF(YEAR(F$5)=2029,Assumptions!$F$142,Assumptions!$F$143)))</f>
        <v/>
      </c>
      <c r="G14" s="381">
        <f>IF(YEAR(G$5)=2027,Assumptions!$F$140,IF(YEAR(G$5)=2028,Assumptions!$F$141,IF(YEAR(G$5)=2029,Assumptions!$F$142,Assumptions!$F$143)))</f>
        <v/>
      </c>
      <c r="H14" s="381">
        <f>IF(YEAR(H$5)=2027,Assumptions!$F$140,IF(YEAR(H$5)=2028,Assumptions!$F$141,IF(YEAR(H$5)=2029,Assumptions!$F$142,Assumptions!$F$143)))</f>
        <v/>
      </c>
      <c r="I14" s="381">
        <f>IF(YEAR(I$5)=2027,Assumptions!$F$140,IF(YEAR(I$5)=2028,Assumptions!$F$141,IF(YEAR(I$5)=2029,Assumptions!$F$142,Assumptions!$F$143)))</f>
        <v/>
      </c>
      <c r="J14" s="381">
        <f>IF(YEAR(J$5)=2027,Assumptions!$F$140,IF(YEAR(J$5)=2028,Assumptions!$F$141,IF(YEAR(J$5)=2029,Assumptions!$F$142,Assumptions!$F$143)))</f>
        <v/>
      </c>
      <c r="K14" s="381">
        <f>IF(YEAR(K$5)=2027,Assumptions!$F$140,IF(YEAR(K$5)=2028,Assumptions!$F$141,IF(YEAR(K$5)=2029,Assumptions!$F$142,Assumptions!$F$143)))</f>
        <v/>
      </c>
      <c r="L14" s="381">
        <f>IF(YEAR(L$5)=2027,Assumptions!$F$140,IF(YEAR(L$5)=2028,Assumptions!$F$141,IF(YEAR(L$5)=2029,Assumptions!$F$142,Assumptions!$F$143)))</f>
        <v/>
      </c>
      <c r="M14" s="381">
        <f>IF(YEAR(M$5)=2027,Assumptions!$F$140,IF(YEAR(M$5)=2028,Assumptions!$F$141,IF(YEAR(M$5)=2029,Assumptions!$F$142,Assumptions!$F$143)))</f>
        <v/>
      </c>
      <c r="N14" s="381">
        <f>IF(YEAR(N$5)=2027,Assumptions!$F$140,IF(YEAR(N$5)=2028,Assumptions!$F$141,IF(YEAR(N$5)=2029,Assumptions!$F$142,Assumptions!$F$143)))</f>
        <v/>
      </c>
      <c r="O14" s="381">
        <f>IF(YEAR(O$5)=2027,Assumptions!$F$140,IF(YEAR(O$5)=2028,Assumptions!$F$141,IF(YEAR(O$5)=2029,Assumptions!$F$142,Assumptions!$F$143)))</f>
        <v/>
      </c>
      <c r="P14" s="381">
        <f>IF(YEAR(P$5)=2027,Assumptions!$F$140,IF(YEAR(P$5)=2028,Assumptions!$F$141,IF(YEAR(P$5)=2029,Assumptions!$F$142,Assumptions!$F$143)))</f>
        <v/>
      </c>
      <c r="Q14" s="381">
        <f>IF(YEAR(Q$5)=2027,Assumptions!$F$140,IF(YEAR(Q$5)=2028,Assumptions!$F$141,IF(YEAR(Q$5)=2029,Assumptions!$F$142,Assumptions!$F$143)))</f>
        <v/>
      </c>
      <c r="R14" s="381">
        <f>IF(YEAR(R$5)=2027,Assumptions!$F$140,IF(YEAR(R$5)=2028,Assumptions!$F$141,IF(YEAR(R$5)=2029,Assumptions!$F$142,Assumptions!$F$143)))</f>
        <v/>
      </c>
      <c r="S14" s="381">
        <f>IF(YEAR(S$5)=2027,Assumptions!$F$140,IF(YEAR(S$5)=2028,Assumptions!$F$141,IF(YEAR(S$5)=2029,Assumptions!$F$142,Assumptions!$F$143)))</f>
        <v/>
      </c>
      <c r="T14" s="381">
        <f>IF(YEAR(T$5)=2027,Assumptions!$F$140,IF(YEAR(T$5)=2028,Assumptions!$F$141,IF(YEAR(T$5)=2029,Assumptions!$F$142,Assumptions!$F$143)))</f>
        <v/>
      </c>
      <c r="U14" s="381">
        <f>IF(YEAR(U$5)=2027,Assumptions!$F$140,IF(YEAR(U$5)=2028,Assumptions!$F$141,IF(YEAR(U$5)=2029,Assumptions!$F$142,Assumptions!$F$143)))</f>
        <v/>
      </c>
      <c r="V14" s="381">
        <f>IF(YEAR(V$5)=2027,Assumptions!$F$140,IF(YEAR(V$5)=2028,Assumptions!$F$141,IF(YEAR(V$5)=2029,Assumptions!$F$142,Assumptions!$F$143)))</f>
        <v/>
      </c>
      <c r="W14" s="381">
        <f>IF(YEAR(W$5)=2027,Assumptions!$F$140,IF(YEAR(W$5)=2028,Assumptions!$F$141,IF(YEAR(W$5)=2029,Assumptions!$F$142,Assumptions!$F$143)))</f>
        <v/>
      </c>
      <c r="X14" s="381">
        <f>IF(YEAR(X$5)=2027,Assumptions!$F$140,IF(YEAR(X$5)=2028,Assumptions!$F$141,IF(YEAR(X$5)=2029,Assumptions!$F$142,Assumptions!$F$143)))</f>
        <v/>
      </c>
      <c r="Y14" s="381">
        <f>IF(YEAR(Y$5)=2027,Assumptions!$F$140,IF(YEAR(Y$5)=2028,Assumptions!$F$141,IF(YEAR(Y$5)=2029,Assumptions!$F$142,Assumptions!$F$143)))</f>
        <v/>
      </c>
      <c r="Z14" s="381">
        <f>IF(YEAR(Z$5)=2027,Assumptions!$F$140,IF(YEAR(Z$5)=2028,Assumptions!$F$141,IF(YEAR(Z$5)=2029,Assumptions!$F$142,Assumptions!$F$143)))</f>
        <v/>
      </c>
      <c r="AA14" s="381">
        <f>IF(YEAR(AA$5)=2027,Assumptions!$F$140,IF(YEAR(AA$5)=2028,Assumptions!$F$141,IF(YEAR(AA$5)=2029,Assumptions!$F$142,Assumptions!$F$143)))</f>
        <v/>
      </c>
      <c r="AB14" s="381">
        <f>IF(YEAR(AB$5)=2027,Assumptions!$F$140,IF(YEAR(AB$5)=2028,Assumptions!$F$141,IF(YEAR(AB$5)=2029,Assumptions!$F$142,Assumptions!$F$143)))</f>
        <v/>
      </c>
      <c r="AC14" s="381">
        <f>IF(YEAR(AC$5)=2027,Assumptions!$F$140,IF(YEAR(AC$5)=2028,Assumptions!$F$141,IF(YEAR(AC$5)=2029,Assumptions!$F$142,Assumptions!$F$143)))</f>
        <v/>
      </c>
      <c r="AD14" s="381">
        <f>IF(YEAR(AD$5)=2027,Assumptions!$F$140,IF(YEAR(AD$5)=2028,Assumptions!$F$141,IF(YEAR(AD$5)=2029,Assumptions!$F$142,Assumptions!$F$143)))</f>
        <v/>
      </c>
      <c r="AE14" s="381">
        <f>IF(YEAR(AE$5)=2027,Assumptions!$F$140,IF(YEAR(AE$5)=2028,Assumptions!$F$141,IF(YEAR(AE$5)=2029,Assumptions!$F$142,Assumptions!$F$143)))</f>
        <v/>
      </c>
      <c r="AF14" s="381">
        <f>IF(YEAR(AF$5)=2027,Assumptions!$F$140,IF(YEAR(AF$5)=2028,Assumptions!$F$141,IF(YEAR(AF$5)=2029,Assumptions!$F$142,Assumptions!$F$143)))</f>
        <v/>
      </c>
      <c r="AG14" s="381">
        <f>IF(YEAR(AG$5)=2027,Assumptions!$F$140,IF(YEAR(AG$5)=2028,Assumptions!$F$141,IF(YEAR(AG$5)=2029,Assumptions!$F$142,Assumptions!$F$143)))</f>
        <v/>
      </c>
      <c r="AH14" s="381">
        <f>IF(YEAR(AH$5)=2027,Assumptions!$F$140,IF(YEAR(AH$5)=2028,Assumptions!$F$141,IF(YEAR(AH$5)=2029,Assumptions!$F$142,Assumptions!$F$143)))</f>
        <v/>
      </c>
      <c r="AI14" s="381">
        <f>IF(YEAR(AI$5)=2027,Assumptions!$F$140,IF(YEAR(AI$5)=2028,Assumptions!$F$141,IF(YEAR(AI$5)=2029,Assumptions!$F$142,Assumptions!$F$143)))</f>
        <v/>
      </c>
      <c r="AJ14" s="381">
        <f>IF(YEAR(AJ$5)=2027,Assumptions!$F$140,IF(YEAR(AJ$5)=2028,Assumptions!$F$141,IF(YEAR(AJ$5)=2029,Assumptions!$F$142,Assumptions!$F$143)))</f>
        <v/>
      </c>
      <c r="AK14" s="381">
        <f>IF(YEAR(AK$5)=2027,Assumptions!$F$140,IF(YEAR(AK$5)=2028,Assumptions!$F$141,IF(YEAR(AK$5)=2029,Assumptions!$F$142,Assumptions!$F$143)))</f>
        <v/>
      </c>
      <c r="AL14" s="381">
        <f>IF(YEAR(AL$5)=2027,Assumptions!$F$140,IF(YEAR(AL$5)=2028,Assumptions!$F$141,IF(YEAR(AL$5)=2029,Assumptions!$F$142,Assumptions!$F$143)))</f>
        <v/>
      </c>
      <c r="AM14" s="381">
        <f>IF(YEAR(AM$5)=2027,Assumptions!$F$140,IF(YEAR(AM$5)=2028,Assumptions!$F$141,IF(YEAR(AM$5)=2029,Assumptions!$F$142,Assumptions!$F$143)))</f>
        <v/>
      </c>
      <c r="AN14" s="381">
        <f>IF(YEAR(AN$5)=2027,Assumptions!$F$140,IF(YEAR(AN$5)=2028,Assumptions!$F$141,IF(YEAR(AN$5)=2029,Assumptions!$F$142,Assumptions!$F$143)))</f>
        <v/>
      </c>
      <c r="AO14" s="381">
        <f>IF(YEAR(AO$5)=2027,Assumptions!$F$140,IF(YEAR(AO$5)=2028,Assumptions!$F$141,IF(YEAR(AO$5)=2029,Assumptions!$F$142,Assumptions!$F$143)))</f>
        <v/>
      </c>
      <c r="AP14" s="381">
        <f>IF(YEAR(AP$5)=2027,Assumptions!$F$140,IF(YEAR(AP$5)=2028,Assumptions!$F$141,IF(YEAR(AP$5)=2029,Assumptions!$F$142,Assumptions!$F$143)))</f>
        <v/>
      </c>
      <c r="AQ14" s="381">
        <f>IF(YEAR(AQ$5)=2027,Assumptions!$F$140,IF(YEAR(AQ$5)=2028,Assumptions!$F$141,IF(YEAR(AQ$5)=2029,Assumptions!$F$142,Assumptions!$F$143)))</f>
        <v/>
      </c>
      <c r="AR14" s="381">
        <f>IF(YEAR(AR$5)=2027,Assumptions!$F$140,IF(YEAR(AR$5)=2028,Assumptions!$F$141,IF(YEAR(AR$5)=2029,Assumptions!$F$142,Assumptions!$F$143)))</f>
        <v/>
      </c>
      <c r="AS14" s="381">
        <f>IF(YEAR(AS$5)=2027,Assumptions!$F$140,IF(YEAR(AS$5)=2028,Assumptions!$F$141,IF(YEAR(AS$5)=2029,Assumptions!$F$142,Assumptions!$F$143)))</f>
        <v/>
      </c>
      <c r="AT14" s="381">
        <f>IF(YEAR(AT$5)=2027,Assumptions!$F$140,IF(YEAR(AT$5)=2028,Assumptions!$F$141,IF(YEAR(AT$5)=2029,Assumptions!$F$142,Assumptions!$F$143)))</f>
        <v/>
      </c>
      <c r="AU14" s="381">
        <f>IF(YEAR(AU$5)=2027,Assumptions!$F$140,IF(YEAR(AU$5)=2028,Assumptions!$F$141,IF(YEAR(AU$5)=2029,Assumptions!$F$142,Assumptions!$F$143)))</f>
        <v/>
      </c>
      <c r="AV14" s="381">
        <f>IF(YEAR(AV$5)=2027,Assumptions!$F$140,IF(YEAR(AV$5)=2028,Assumptions!$F$141,IF(YEAR(AV$5)=2029,Assumptions!$F$142,Assumptions!$F$143)))</f>
        <v/>
      </c>
      <c r="AW14" s="381">
        <f>IF(YEAR(AW$5)=2027,Assumptions!$F$140,IF(YEAR(AW$5)=2028,Assumptions!$F$141,IF(YEAR(AW$5)=2029,Assumptions!$F$142,Assumptions!$F$143)))</f>
        <v/>
      </c>
      <c r="AX14" s="381">
        <f>IF(YEAR(AX$5)=2027,Assumptions!$F$140,IF(YEAR(AX$5)=2028,Assumptions!$F$141,IF(YEAR(AX$5)=2029,Assumptions!$F$142,Assumptions!$F$143)))</f>
        <v/>
      </c>
      <c r="AY14" s="381">
        <f>IF(YEAR(AY$5)=2027,Assumptions!$F$140,IF(YEAR(AY$5)=2028,Assumptions!$F$141,IF(YEAR(AY$5)=2029,Assumptions!$F$142,Assumptions!$F$143)))</f>
        <v/>
      </c>
      <c r="AZ14" s="381">
        <f>IF(YEAR(AZ$5)=2027,Assumptions!$F$140,IF(YEAR(AZ$5)=2028,Assumptions!$F$141,IF(YEAR(AZ$5)=2029,Assumptions!$F$142,Assumptions!$F$143)))</f>
        <v/>
      </c>
      <c r="BA14" s="381">
        <f>IF(YEAR(BA$5)=2027,Assumptions!$F$140,IF(YEAR(BA$5)=2028,Assumptions!$F$141,IF(YEAR(BA$5)=2029,Assumptions!$F$142,Assumptions!$F$143)))</f>
        <v/>
      </c>
      <c r="BC14" s="378">
        <f>SUM(F14:Q14)</f>
        <v/>
      </c>
      <c r="BD14" s="378">
        <f>SUM(R14:AC14)</f>
        <v/>
      </c>
      <c r="BE14" s="378">
        <f>SUM(AD14:AO14)</f>
        <v/>
      </c>
      <c r="BF14" s="378">
        <f>SUM(AP14:BA14)</f>
        <v/>
      </c>
    </row>
    <row r="15">
      <c r="B15" s="375" t="inlineStr">
        <is>
          <t>Installed base, start of month</t>
        </is>
      </c>
      <c r="C15" s="376" t="inlineStr">
        <is>
          <t>units</t>
        </is>
      </c>
      <c r="F15" s="377">
        <f>0</f>
        <v/>
      </c>
      <c r="G15" s="377">
        <f>F46</f>
        <v/>
      </c>
      <c r="H15" s="377">
        <f>G46</f>
        <v/>
      </c>
      <c r="I15" s="377">
        <f>H46</f>
        <v/>
      </c>
      <c r="J15" s="377">
        <f>I46</f>
        <v/>
      </c>
      <c r="K15" s="377">
        <f>J46</f>
        <v/>
      </c>
      <c r="L15" s="377">
        <f>K46</f>
        <v/>
      </c>
      <c r="M15" s="377">
        <f>L46</f>
        <v/>
      </c>
      <c r="N15" s="377">
        <f>M46</f>
        <v/>
      </c>
      <c r="O15" s="377">
        <f>N46</f>
        <v/>
      </c>
      <c r="P15" s="377">
        <f>O46</f>
        <v/>
      </c>
      <c r="Q15" s="377">
        <f>P46</f>
        <v/>
      </c>
      <c r="R15" s="377">
        <f>Q46</f>
        <v/>
      </c>
      <c r="S15" s="377">
        <f>R46</f>
        <v/>
      </c>
      <c r="T15" s="377">
        <f>S46</f>
        <v/>
      </c>
      <c r="U15" s="377">
        <f>T46</f>
        <v/>
      </c>
      <c r="V15" s="377">
        <f>U46</f>
        <v/>
      </c>
      <c r="W15" s="377">
        <f>V46</f>
        <v/>
      </c>
      <c r="X15" s="377">
        <f>W46</f>
        <v/>
      </c>
      <c r="Y15" s="377">
        <f>X46</f>
        <v/>
      </c>
      <c r="Z15" s="377">
        <f>Y46</f>
        <v/>
      </c>
      <c r="AA15" s="377">
        <f>Z46</f>
        <v/>
      </c>
      <c r="AB15" s="377">
        <f>AA46</f>
        <v/>
      </c>
      <c r="AC15" s="377">
        <f>AB46</f>
        <v/>
      </c>
      <c r="AD15" s="377">
        <f>AC46</f>
        <v/>
      </c>
      <c r="AE15" s="377">
        <f>AD46</f>
        <v/>
      </c>
      <c r="AF15" s="377">
        <f>AE46</f>
        <v/>
      </c>
      <c r="AG15" s="377">
        <f>AF46</f>
        <v/>
      </c>
      <c r="AH15" s="377">
        <f>AG46</f>
        <v/>
      </c>
      <c r="AI15" s="377">
        <f>AH46</f>
        <v/>
      </c>
      <c r="AJ15" s="377">
        <f>AI46</f>
        <v/>
      </c>
      <c r="AK15" s="377">
        <f>AJ46</f>
        <v/>
      </c>
      <c r="AL15" s="377">
        <f>AK46</f>
        <v/>
      </c>
      <c r="AM15" s="377">
        <f>AL46</f>
        <v/>
      </c>
      <c r="AN15" s="377">
        <f>AM46</f>
        <v/>
      </c>
      <c r="AO15" s="377">
        <f>AN46</f>
        <v/>
      </c>
      <c r="AP15" s="377">
        <f>AO46</f>
        <v/>
      </c>
      <c r="AQ15" s="377">
        <f>AP46</f>
        <v/>
      </c>
      <c r="AR15" s="377">
        <f>AQ46</f>
        <v/>
      </c>
      <c r="AS15" s="377">
        <f>AR46</f>
        <v/>
      </c>
      <c r="AT15" s="377">
        <f>AS46</f>
        <v/>
      </c>
      <c r="AU15" s="377">
        <f>AT46</f>
        <v/>
      </c>
      <c r="AV15" s="377">
        <f>AU46</f>
        <v/>
      </c>
      <c r="AW15" s="377">
        <f>AV46</f>
        <v/>
      </c>
      <c r="AX15" s="377">
        <f>AW46</f>
        <v/>
      </c>
      <c r="AY15" s="377">
        <f>AX46</f>
        <v/>
      </c>
      <c r="AZ15" s="377">
        <f>AY46</f>
        <v/>
      </c>
      <c r="BA15" s="377">
        <f>AZ46</f>
        <v/>
      </c>
      <c r="BC15" s="378">
        <f>Q15</f>
        <v/>
      </c>
      <c r="BD15" s="378">
        <f>AC15</f>
        <v/>
      </c>
      <c r="BE15" s="378">
        <f>AO15</f>
        <v/>
      </c>
      <c r="BF15" s="378">
        <f>BA15</f>
        <v/>
      </c>
    </row>
    <row r="16">
      <c r="B16" s="375" t="inlineStr">
        <is>
          <t>Effective CPL</t>
        </is>
      </c>
      <c r="C16" s="376" t="inlineStr">
        <is>
          <t>EUR</t>
        </is>
      </c>
      <c r="F16" s="377">
        <f>Assumptions!$F$144*(1-Assumptions!$F$145)^IF(F15&lt;400,0,LOG(F15/400,2))</f>
        <v/>
      </c>
      <c r="G16" s="377">
        <f>Assumptions!$F$144*(1-Assumptions!$F$145)^IF(G15&lt;400,0,LOG(G15/400,2))</f>
        <v/>
      </c>
      <c r="H16" s="377">
        <f>Assumptions!$F$144*(1-Assumptions!$F$145)^IF(H15&lt;400,0,LOG(H15/400,2))</f>
        <v/>
      </c>
      <c r="I16" s="377">
        <f>Assumptions!$F$144*(1-Assumptions!$F$145)^IF(I15&lt;400,0,LOG(I15/400,2))</f>
        <v/>
      </c>
      <c r="J16" s="377">
        <f>Assumptions!$F$144*(1-Assumptions!$F$145)^IF(J15&lt;400,0,LOG(J15/400,2))</f>
        <v/>
      </c>
      <c r="K16" s="377">
        <f>Assumptions!$F$144*(1-Assumptions!$F$145)^IF(K15&lt;400,0,LOG(K15/400,2))</f>
        <v/>
      </c>
      <c r="L16" s="377">
        <f>Assumptions!$F$144*(1-Assumptions!$F$145)^IF(L15&lt;400,0,LOG(L15/400,2))</f>
        <v/>
      </c>
      <c r="M16" s="377">
        <f>Assumptions!$F$144*(1-Assumptions!$F$145)^IF(M15&lt;400,0,LOG(M15/400,2))</f>
        <v/>
      </c>
      <c r="N16" s="377">
        <f>Assumptions!$F$144*(1-Assumptions!$F$145)^IF(N15&lt;400,0,LOG(N15/400,2))</f>
        <v/>
      </c>
      <c r="O16" s="377">
        <f>Assumptions!$F$144*(1-Assumptions!$F$145)^IF(O15&lt;400,0,LOG(O15/400,2))</f>
        <v/>
      </c>
      <c r="P16" s="377">
        <f>Assumptions!$F$144*(1-Assumptions!$F$145)^IF(P15&lt;400,0,LOG(P15/400,2))</f>
        <v/>
      </c>
      <c r="Q16" s="377">
        <f>Assumptions!$F$144*(1-Assumptions!$F$145)^IF(Q15&lt;400,0,LOG(Q15/400,2))</f>
        <v/>
      </c>
      <c r="R16" s="377">
        <f>Assumptions!$F$144*(1-Assumptions!$F$145)^IF(R15&lt;400,0,LOG(R15/400,2))</f>
        <v/>
      </c>
      <c r="S16" s="377">
        <f>Assumptions!$F$144*(1-Assumptions!$F$145)^IF(S15&lt;400,0,LOG(S15/400,2))</f>
        <v/>
      </c>
      <c r="T16" s="377">
        <f>Assumptions!$F$144*(1-Assumptions!$F$145)^IF(T15&lt;400,0,LOG(T15/400,2))</f>
        <v/>
      </c>
      <c r="U16" s="377">
        <f>Assumptions!$F$144*(1-Assumptions!$F$145)^IF(U15&lt;400,0,LOG(U15/400,2))</f>
        <v/>
      </c>
      <c r="V16" s="377">
        <f>Assumptions!$F$144*(1-Assumptions!$F$145)^IF(V15&lt;400,0,LOG(V15/400,2))</f>
        <v/>
      </c>
      <c r="W16" s="377">
        <f>Assumptions!$F$144*(1-Assumptions!$F$145)^IF(W15&lt;400,0,LOG(W15/400,2))</f>
        <v/>
      </c>
      <c r="X16" s="377">
        <f>Assumptions!$F$144*(1-Assumptions!$F$145)^IF(X15&lt;400,0,LOG(X15/400,2))</f>
        <v/>
      </c>
      <c r="Y16" s="377">
        <f>Assumptions!$F$144*(1-Assumptions!$F$145)^IF(Y15&lt;400,0,LOG(Y15/400,2))</f>
        <v/>
      </c>
      <c r="Z16" s="377">
        <f>Assumptions!$F$144*(1-Assumptions!$F$145)^IF(Z15&lt;400,0,LOG(Z15/400,2))</f>
        <v/>
      </c>
      <c r="AA16" s="377">
        <f>Assumptions!$F$144*(1-Assumptions!$F$145)^IF(AA15&lt;400,0,LOG(AA15/400,2))</f>
        <v/>
      </c>
      <c r="AB16" s="377">
        <f>Assumptions!$F$144*(1-Assumptions!$F$145)^IF(AB15&lt;400,0,LOG(AB15/400,2))</f>
        <v/>
      </c>
      <c r="AC16" s="377">
        <f>Assumptions!$F$144*(1-Assumptions!$F$145)^IF(AC15&lt;400,0,LOG(AC15/400,2))</f>
        <v/>
      </c>
      <c r="AD16" s="377">
        <f>Assumptions!$F$144*(1-Assumptions!$F$145)^IF(AD15&lt;400,0,LOG(AD15/400,2))</f>
        <v/>
      </c>
      <c r="AE16" s="377">
        <f>Assumptions!$F$144*(1-Assumptions!$F$145)^IF(AE15&lt;400,0,LOG(AE15/400,2))</f>
        <v/>
      </c>
      <c r="AF16" s="377">
        <f>Assumptions!$F$144*(1-Assumptions!$F$145)^IF(AF15&lt;400,0,LOG(AF15/400,2))</f>
        <v/>
      </c>
      <c r="AG16" s="377">
        <f>Assumptions!$F$144*(1-Assumptions!$F$145)^IF(AG15&lt;400,0,LOG(AG15/400,2))</f>
        <v/>
      </c>
      <c r="AH16" s="377">
        <f>Assumptions!$F$144*(1-Assumptions!$F$145)^IF(AH15&lt;400,0,LOG(AH15/400,2))</f>
        <v/>
      </c>
      <c r="AI16" s="377">
        <f>Assumptions!$F$144*(1-Assumptions!$F$145)^IF(AI15&lt;400,0,LOG(AI15/400,2))</f>
        <v/>
      </c>
      <c r="AJ16" s="377">
        <f>Assumptions!$F$144*(1-Assumptions!$F$145)^IF(AJ15&lt;400,0,LOG(AJ15/400,2))</f>
        <v/>
      </c>
      <c r="AK16" s="377">
        <f>Assumptions!$F$144*(1-Assumptions!$F$145)^IF(AK15&lt;400,0,LOG(AK15/400,2))</f>
        <v/>
      </c>
      <c r="AL16" s="377">
        <f>Assumptions!$F$144*(1-Assumptions!$F$145)^IF(AL15&lt;400,0,LOG(AL15/400,2))</f>
        <v/>
      </c>
      <c r="AM16" s="377">
        <f>Assumptions!$F$144*(1-Assumptions!$F$145)^IF(AM15&lt;400,0,LOG(AM15/400,2))</f>
        <v/>
      </c>
      <c r="AN16" s="377">
        <f>Assumptions!$F$144*(1-Assumptions!$F$145)^IF(AN15&lt;400,0,LOG(AN15/400,2))</f>
        <v/>
      </c>
      <c r="AO16" s="377">
        <f>Assumptions!$F$144*(1-Assumptions!$F$145)^IF(AO15&lt;400,0,LOG(AO15/400,2))</f>
        <v/>
      </c>
      <c r="AP16" s="377">
        <f>Assumptions!$F$144*(1-Assumptions!$F$145)^IF(AP15&lt;400,0,LOG(AP15/400,2))</f>
        <v/>
      </c>
      <c r="AQ16" s="377">
        <f>Assumptions!$F$144*(1-Assumptions!$F$145)^IF(AQ15&lt;400,0,LOG(AQ15/400,2))</f>
        <v/>
      </c>
      <c r="AR16" s="377">
        <f>Assumptions!$F$144*(1-Assumptions!$F$145)^IF(AR15&lt;400,0,LOG(AR15/400,2))</f>
        <v/>
      </c>
      <c r="AS16" s="377">
        <f>Assumptions!$F$144*(1-Assumptions!$F$145)^IF(AS15&lt;400,0,LOG(AS15/400,2))</f>
        <v/>
      </c>
      <c r="AT16" s="377">
        <f>Assumptions!$F$144*(1-Assumptions!$F$145)^IF(AT15&lt;400,0,LOG(AT15/400,2))</f>
        <v/>
      </c>
      <c r="AU16" s="377">
        <f>Assumptions!$F$144*(1-Assumptions!$F$145)^IF(AU15&lt;400,0,LOG(AU15/400,2))</f>
        <v/>
      </c>
      <c r="AV16" s="377">
        <f>Assumptions!$F$144*(1-Assumptions!$F$145)^IF(AV15&lt;400,0,LOG(AV15/400,2))</f>
        <v/>
      </c>
      <c r="AW16" s="377">
        <f>Assumptions!$F$144*(1-Assumptions!$F$145)^IF(AW15&lt;400,0,LOG(AW15/400,2))</f>
        <v/>
      </c>
      <c r="AX16" s="377">
        <f>Assumptions!$F$144*(1-Assumptions!$F$145)^IF(AX15&lt;400,0,LOG(AX15/400,2))</f>
        <v/>
      </c>
      <c r="AY16" s="377">
        <f>Assumptions!$F$144*(1-Assumptions!$F$145)^IF(AY15&lt;400,0,LOG(AY15/400,2))</f>
        <v/>
      </c>
      <c r="AZ16" s="377">
        <f>Assumptions!$F$144*(1-Assumptions!$F$145)^IF(AZ15&lt;400,0,LOG(AZ15/400,2))</f>
        <v/>
      </c>
      <c r="BA16" s="377">
        <f>Assumptions!$F$144*(1-Assumptions!$F$145)^IF(BA15&lt;400,0,LOG(BA15/400,2))</f>
        <v/>
      </c>
      <c r="BC16" s="378">
        <f>AVERAGE(F16:Q16)</f>
        <v/>
      </c>
      <c r="BD16" s="378">
        <f>AVERAGE(R16:AC16)</f>
        <v/>
      </c>
      <c r="BE16" s="378">
        <f>AVERAGE(AD16:AO16)</f>
        <v/>
      </c>
      <c r="BF16" s="378">
        <f>AVERAGE(AP16:BA16)</f>
        <v/>
      </c>
      <c r="BH16" s="370" t="inlineStr">
        <is>
          <t>cost per lead falls 10% per doubling of installed base — brand, referral and channel pull</t>
        </is>
      </c>
    </row>
    <row r="17">
      <c r="B17" s="375" t="inlineStr">
        <is>
          <t>Leads</t>
        </is>
      </c>
      <c r="C17" s="376" t="inlineStr">
        <is>
          <t>leads</t>
        </is>
      </c>
      <c r="F17" s="377">
        <f>IFERROR(F14/F16,0)</f>
        <v/>
      </c>
      <c r="G17" s="377">
        <f>IFERROR(G14/G16,0)</f>
        <v/>
      </c>
      <c r="H17" s="377">
        <f>IFERROR(H14/H16,0)</f>
        <v/>
      </c>
      <c r="I17" s="377">
        <f>IFERROR(I14/I16,0)</f>
        <v/>
      </c>
      <c r="J17" s="377">
        <f>IFERROR(J14/J16,0)</f>
        <v/>
      </c>
      <c r="K17" s="377">
        <f>IFERROR(K14/K16,0)</f>
        <v/>
      </c>
      <c r="L17" s="377">
        <f>IFERROR(L14/L16,0)</f>
        <v/>
      </c>
      <c r="M17" s="377">
        <f>IFERROR(M14/M16,0)</f>
        <v/>
      </c>
      <c r="N17" s="377">
        <f>IFERROR(N14/N16,0)</f>
        <v/>
      </c>
      <c r="O17" s="377">
        <f>IFERROR(O14/O16,0)</f>
        <v/>
      </c>
      <c r="P17" s="377">
        <f>IFERROR(P14/P16,0)</f>
        <v/>
      </c>
      <c r="Q17" s="377">
        <f>IFERROR(Q14/Q16,0)</f>
        <v/>
      </c>
      <c r="R17" s="377">
        <f>IFERROR(R14/R16,0)</f>
        <v/>
      </c>
      <c r="S17" s="377">
        <f>IFERROR(S14/S16,0)</f>
        <v/>
      </c>
      <c r="T17" s="377">
        <f>IFERROR(T14/T16,0)</f>
        <v/>
      </c>
      <c r="U17" s="377">
        <f>IFERROR(U14/U16,0)</f>
        <v/>
      </c>
      <c r="V17" s="377">
        <f>IFERROR(V14/V16,0)</f>
        <v/>
      </c>
      <c r="W17" s="377">
        <f>IFERROR(W14/W16,0)</f>
        <v/>
      </c>
      <c r="X17" s="377">
        <f>IFERROR(X14/X16,0)</f>
        <v/>
      </c>
      <c r="Y17" s="377">
        <f>IFERROR(Y14/Y16,0)</f>
        <v/>
      </c>
      <c r="Z17" s="377">
        <f>IFERROR(Z14/Z16,0)</f>
        <v/>
      </c>
      <c r="AA17" s="377">
        <f>IFERROR(AA14/AA16,0)</f>
        <v/>
      </c>
      <c r="AB17" s="377">
        <f>IFERROR(AB14/AB16,0)</f>
        <v/>
      </c>
      <c r="AC17" s="377">
        <f>IFERROR(AC14/AC16,0)</f>
        <v/>
      </c>
      <c r="AD17" s="377">
        <f>IFERROR(AD14/AD16,0)</f>
        <v/>
      </c>
      <c r="AE17" s="377">
        <f>IFERROR(AE14/AE16,0)</f>
        <v/>
      </c>
      <c r="AF17" s="377">
        <f>IFERROR(AF14/AF16,0)</f>
        <v/>
      </c>
      <c r="AG17" s="377">
        <f>IFERROR(AG14/AG16,0)</f>
        <v/>
      </c>
      <c r="AH17" s="377">
        <f>IFERROR(AH14/AH16,0)</f>
        <v/>
      </c>
      <c r="AI17" s="377">
        <f>IFERROR(AI14/AI16,0)</f>
        <v/>
      </c>
      <c r="AJ17" s="377">
        <f>IFERROR(AJ14/AJ16,0)</f>
        <v/>
      </c>
      <c r="AK17" s="377">
        <f>IFERROR(AK14/AK16,0)</f>
        <v/>
      </c>
      <c r="AL17" s="377">
        <f>IFERROR(AL14/AL16,0)</f>
        <v/>
      </c>
      <c r="AM17" s="377">
        <f>IFERROR(AM14/AM16,0)</f>
        <v/>
      </c>
      <c r="AN17" s="377">
        <f>IFERROR(AN14/AN16,0)</f>
        <v/>
      </c>
      <c r="AO17" s="377">
        <f>IFERROR(AO14/AO16,0)</f>
        <v/>
      </c>
      <c r="AP17" s="377">
        <f>IFERROR(AP14/AP16,0)</f>
        <v/>
      </c>
      <c r="AQ17" s="377">
        <f>IFERROR(AQ14/AQ16,0)</f>
        <v/>
      </c>
      <c r="AR17" s="377">
        <f>IFERROR(AR14/AR16,0)</f>
        <v/>
      </c>
      <c r="AS17" s="377">
        <f>IFERROR(AS14/AS16,0)</f>
        <v/>
      </c>
      <c r="AT17" s="377">
        <f>IFERROR(AT14/AT16,0)</f>
        <v/>
      </c>
      <c r="AU17" s="377">
        <f>IFERROR(AU14/AU16,0)</f>
        <v/>
      </c>
      <c r="AV17" s="377">
        <f>IFERROR(AV14/AV16,0)</f>
        <v/>
      </c>
      <c r="AW17" s="377">
        <f>IFERROR(AW14/AW16,0)</f>
        <v/>
      </c>
      <c r="AX17" s="377">
        <f>IFERROR(AX14/AX16,0)</f>
        <v/>
      </c>
      <c r="AY17" s="377">
        <f>IFERROR(AY14/AY16,0)</f>
        <v/>
      </c>
      <c r="AZ17" s="377">
        <f>IFERROR(AZ14/AZ16,0)</f>
        <v/>
      </c>
      <c r="BA17" s="377">
        <f>IFERROR(BA14/BA16,0)</f>
        <v/>
      </c>
      <c r="BC17" s="378">
        <f>SUM(F17:Q17)</f>
        <v/>
      </c>
      <c r="BD17" s="378">
        <f>SUM(R17:AC17)</f>
        <v/>
      </c>
      <c r="BE17" s="378">
        <f>SUM(AD17:AO17)</f>
        <v/>
      </c>
      <c r="BF17" s="378">
        <f>SUM(AP17:BA17)</f>
        <v/>
      </c>
    </row>
    <row r="18">
      <c r="B18" s="375" t="inlineStr">
        <is>
          <t>Qualified leads</t>
        </is>
      </c>
      <c r="C18" s="376" t="inlineStr">
        <is>
          <t>leads</t>
        </is>
      </c>
      <c r="F18" s="377">
        <f>F17*Assumptions!$F$146</f>
        <v/>
      </c>
      <c r="G18" s="377">
        <f>G17*Assumptions!$F$146</f>
        <v/>
      </c>
      <c r="H18" s="377">
        <f>H17*Assumptions!$F$146</f>
        <v/>
      </c>
      <c r="I18" s="377">
        <f>I17*Assumptions!$F$146</f>
        <v/>
      </c>
      <c r="J18" s="377">
        <f>J17*Assumptions!$F$146</f>
        <v/>
      </c>
      <c r="K18" s="377">
        <f>K17*Assumptions!$F$146</f>
        <v/>
      </c>
      <c r="L18" s="377">
        <f>L17*Assumptions!$F$146</f>
        <v/>
      </c>
      <c r="M18" s="377">
        <f>M17*Assumptions!$F$146</f>
        <v/>
      </c>
      <c r="N18" s="377">
        <f>N17*Assumptions!$F$146</f>
        <v/>
      </c>
      <c r="O18" s="377">
        <f>O17*Assumptions!$F$146</f>
        <v/>
      </c>
      <c r="P18" s="377">
        <f>P17*Assumptions!$F$146</f>
        <v/>
      </c>
      <c r="Q18" s="377">
        <f>Q17*Assumptions!$F$146</f>
        <v/>
      </c>
      <c r="R18" s="377">
        <f>R17*Assumptions!$F$146</f>
        <v/>
      </c>
      <c r="S18" s="377">
        <f>S17*Assumptions!$F$146</f>
        <v/>
      </c>
      <c r="T18" s="377">
        <f>T17*Assumptions!$F$146</f>
        <v/>
      </c>
      <c r="U18" s="377">
        <f>U17*Assumptions!$F$146</f>
        <v/>
      </c>
      <c r="V18" s="377">
        <f>V17*Assumptions!$F$146</f>
        <v/>
      </c>
      <c r="W18" s="377">
        <f>W17*Assumptions!$F$146</f>
        <v/>
      </c>
      <c r="X18" s="377">
        <f>X17*Assumptions!$F$146</f>
        <v/>
      </c>
      <c r="Y18" s="377">
        <f>Y17*Assumptions!$F$146</f>
        <v/>
      </c>
      <c r="Z18" s="377">
        <f>Z17*Assumptions!$F$146</f>
        <v/>
      </c>
      <c r="AA18" s="377">
        <f>AA17*Assumptions!$F$146</f>
        <v/>
      </c>
      <c r="AB18" s="377">
        <f>AB17*Assumptions!$F$146</f>
        <v/>
      </c>
      <c r="AC18" s="377">
        <f>AC17*Assumptions!$F$146</f>
        <v/>
      </c>
      <c r="AD18" s="377">
        <f>AD17*Assumptions!$F$146</f>
        <v/>
      </c>
      <c r="AE18" s="377">
        <f>AE17*Assumptions!$F$146</f>
        <v/>
      </c>
      <c r="AF18" s="377">
        <f>AF17*Assumptions!$F$146</f>
        <v/>
      </c>
      <c r="AG18" s="377">
        <f>AG17*Assumptions!$F$146</f>
        <v/>
      </c>
      <c r="AH18" s="377">
        <f>AH17*Assumptions!$F$146</f>
        <v/>
      </c>
      <c r="AI18" s="377">
        <f>AI17*Assumptions!$F$146</f>
        <v/>
      </c>
      <c r="AJ18" s="377">
        <f>AJ17*Assumptions!$F$146</f>
        <v/>
      </c>
      <c r="AK18" s="377">
        <f>AK17*Assumptions!$F$146</f>
        <v/>
      </c>
      <c r="AL18" s="377">
        <f>AL17*Assumptions!$F$146</f>
        <v/>
      </c>
      <c r="AM18" s="377">
        <f>AM17*Assumptions!$F$146</f>
        <v/>
      </c>
      <c r="AN18" s="377">
        <f>AN17*Assumptions!$F$146</f>
        <v/>
      </c>
      <c r="AO18" s="377">
        <f>AO17*Assumptions!$F$146</f>
        <v/>
      </c>
      <c r="AP18" s="377">
        <f>AP17*Assumptions!$F$146</f>
        <v/>
      </c>
      <c r="AQ18" s="377">
        <f>AQ17*Assumptions!$F$146</f>
        <v/>
      </c>
      <c r="AR18" s="377">
        <f>AR17*Assumptions!$F$146</f>
        <v/>
      </c>
      <c r="AS18" s="377">
        <f>AS17*Assumptions!$F$146</f>
        <v/>
      </c>
      <c r="AT18" s="377">
        <f>AT17*Assumptions!$F$146</f>
        <v/>
      </c>
      <c r="AU18" s="377">
        <f>AU17*Assumptions!$F$146</f>
        <v/>
      </c>
      <c r="AV18" s="377">
        <f>AV17*Assumptions!$F$146</f>
        <v/>
      </c>
      <c r="AW18" s="377">
        <f>AW17*Assumptions!$F$146</f>
        <v/>
      </c>
      <c r="AX18" s="377">
        <f>AX17*Assumptions!$F$146</f>
        <v/>
      </c>
      <c r="AY18" s="377">
        <f>AY17*Assumptions!$F$146</f>
        <v/>
      </c>
      <c r="AZ18" s="377">
        <f>AZ17*Assumptions!$F$146</f>
        <v/>
      </c>
      <c r="BA18" s="377">
        <f>BA17*Assumptions!$F$146</f>
        <v/>
      </c>
      <c r="BC18" s="378">
        <f>SUM(F18:Q18)</f>
        <v/>
      </c>
      <c r="BD18" s="378">
        <f>SUM(R18:AC18)</f>
        <v/>
      </c>
      <c r="BE18" s="378">
        <f>SUM(AD18:AO18)</f>
        <v/>
      </c>
      <c r="BF18" s="378">
        <f>SUM(AP18:BA18)</f>
        <v/>
      </c>
    </row>
    <row r="19">
      <c r="B19" s="379" t="inlineStr">
        <is>
          <t>DEMAND — orders generated</t>
        </is>
      </c>
      <c r="C19" s="376" t="inlineStr">
        <is>
          <t>units/mo</t>
        </is>
      </c>
      <c r="F19" s="380">
        <f>F18*Assumptions!$F$147</f>
        <v/>
      </c>
      <c r="G19" s="380">
        <f>G18*Assumptions!$F$147</f>
        <v/>
      </c>
      <c r="H19" s="380">
        <f>H18*Assumptions!$F$147</f>
        <v/>
      </c>
      <c r="I19" s="380">
        <f>I18*Assumptions!$F$147</f>
        <v/>
      </c>
      <c r="J19" s="380">
        <f>J18*Assumptions!$F$147</f>
        <v/>
      </c>
      <c r="K19" s="380">
        <f>K18*Assumptions!$F$147</f>
        <v/>
      </c>
      <c r="L19" s="380">
        <f>L18*Assumptions!$F$147</f>
        <v/>
      </c>
      <c r="M19" s="380">
        <f>M18*Assumptions!$F$147</f>
        <v/>
      </c>
      <c r="N19" s="380">
        <f>N18*Assumptions!$F$147</f>
        <v/>
      </c>
      <c r="O19" s="380">
        <f>O18*Assumptions!$F$147</f>
        <v/>
      </c>
      <c r="P19" s="380">
        <f>P18*Assumptions!$F$147</f>
        <v/>
      </c>
      <c r="Q19" s="380">
        <f>Q18*Assumptions!$F$147</f>
        <v/>
      </c>
      <c r="R19" s="380">
        <f>R18*Assumptions!$F$147</f>
        <v/>
      </c>
      <c r="S19" s="380">
        <f>S18*Assumptions!$F$147</f>
        <v/>
      </c>
      <c r="T19" s="380">
        <f>T18*Assumptions!$F$147</f>
        <v/>
      </c>
      <c r="U19" s="380">
        <f>U18*Assumptions!$F$147</f>
        <v/>
      </c>
      <c r="V19" s="380">
        <f>V18*Assumptions!$F$147</f>
        <v/>
      </c>
      <c r="W19" s="380">
        <f>W18*Assumptions!$F$147</f>
        <v/>
      </c>
      <c r="X19" s="380">
        <f>X18*Assumptions!$F$147</f>
        <v/>
      </c>
      <c r="Y19" s="380">
        <f>Y18*Assumptions!$F$147</f>
        <v/>
      </c>
      <c r="Z19" s="380">
        <f>Z18*Assumptions!$F$147</f>
        <v/>
      </c>
      <c r="AA19" s="380">
        <f>AA18*Assumptions!$F$147</f>
        <v/>
      </c>
      <c r="AB19" s="380">
        <f>AB18*Assumptions!$F$147</f>
        <v/>
      </c>
      <c r="AC19" s="380">
        <f>AC18*Assumptions!$F$147</f>
        <v/>
      </c>
      <c r="AD19" s="380">
        <f>AD18*Assumptions!$F$147</f>
        <v/>
      </c>
      <c r="AE19" s="380">
        <f>AE18*Assumptions!$F$147</f>
        <v/>
      </c>
      <c r="AF19" s="380">
        <f>AF18*Assumptions!$F$147</f>
        <v/>
      </c>
      <c r="AG19" s="380">
        <f>AG18*Assumptions!$F$147</f>
        <v/>
      </c>
      <c r="AH19" s="380">
        <f>AH18*Assumptions!$F$147</f>
        <v/>
      </c>
      <c r="AI19" s="380">
        <f>AI18*Assumptions!$F$147</f>
        <v/>
      </c>
      <c r="AJ19" s="380">
        <f>AJ18*Assumptions!$F$147</f>
        <v/>
      </c>
      <c r="AK19" s="380">
        <f>AK18*Assumptions!$F$147</f>
        <v/>
      </c>
      <c r="AL19" s="380">
        <f>AL18*Assumptions!$F$147</f>
        <v/>
      </c>
      <c r="AM19" s="380">
        <f>AM18*Assumptions!$F$147</f>
        <v/>
      </c>
      <c r="AN19" s="380">
        <f>AN18*Assumptions!$F$147</f>
        <v/>
      </c>
      <c r="AO19" s="380">
        <f>AO18*Assumptions!$F$147</f>
        <v/>
      </c>
      <c r="AP19" s="380">
        <f>AP18*Assumptions!$F$147</f>
        <v/>
      </c>
      <c r="AQ19" s="380">
        <f>AQ18*Assumptions!$F$147</f>
        <v/>
      </c>
      <c r="AR19" s="380">
        <f>AR18*Assumptions!$F$147</f>
        <v/>
      </c>
      <c r="AS19" s="380">
        <f>AS18*Assumptions!$F$147</f>
        <v/>
      </c>
      <c r="AT19" s="380">
        <f>AT18*Assumptions!$F$147</f>
        <v/>
      </c>
      <c r="AU19" s="380">
        <f>AU18*Assumptions!$F$147</f>
        <v/>
      </c>
      <c r="AV19" s="380">
        <f>AV18*Assumptions!$F$147</f>
        <v/>
      </c>
      <c r="AW19" s="380">
        <f>AW18*Assumptions!$F$147</f>
        <v/>
      </c>
      <c r="AX19" s="380">
        <f>AX18*Assumptions!$F$147</f>
        <v/>
      </c>
      <c r="AY19" s="380">
        <f>AY18*Assumptions!$F$147</f>
        <v/>
      </c>
      <c r="AZ19" s="380">
        <f>AZ18*Assumptions!$F$147</f>
        <v/>
      </c>
      <c r="BA19" s="380">
        <f>BA18*Assumptions!$F$147</f>
        <v/>
      </c>
      <c r="BC19" s="378">
        <f>SUM(F19:Q19)</f>
        <v/>
      </c>
      <c r="BD19" s="378">
        <f>SUM(R19:AC19)</f>
        <v/>
      </c>
      <c r="BE19" s="378">
        <f>SUM(AD19:AO19)</f>
        <v/>
      </c>
      <c r="BF19" s="378">
        <f>SUM(AP19:BA19)</f>
        <v/>
      </c>
    </row>
    <row r="20">
      <c r="B20" s="375" t="inlineStr">
        <is>
          <t>Implied CAC</t>
        </is>
      </c>
      <c r="C20" s="376" t="inlineStr">
        <is>
          <t>EUR/unit</t>
        </is>
      </c>
      <c r="F20" s="377">
        <f>IFERROR(F14/F19,0)</f>
        <v/>
      </c>
      <c r="G20" s="377">
        <f>IFERROR(G14/G19,0)</f>
        <v/>
      </c>
      <c r="H20" s="377">
        <f>IFERROR(H14/H19,0)</f>
        <v/>
      </c>
      <c r="I20" s="377">
        <f>IFERROR(I14/I19,0)</f>
        <v/>
      </c>
      <c r="J20" s="377">
        <f>IFERROR(J14/J19,0)</f>
        <v/>
      </c>
      <c r="K20" s="377">
        <f>IFERROR(K14/K19,0)</f>
        <v/>
      </c>
      <c r="L20" s="377">
        <f>IFERROR(L14/L19,0)</f>
        <v/>
      </c>
      <c r="M20" s="377">
        <f>IFERROR(M14/M19,0)</f>
        <v/>
      </c>
      <c r="N20" s="377">
        <f>IFERROR(N14/N19,0)</f>
        <v/>
      </c>
      <c r="O20" s="377">
        <f>IFERROR(O14/O19,0)</f>
        <v/>
      </c>
      <c r="P20" s="377">
        <f>IFERROR(P14/P19,0)</f>
        <v/>
      </c>
      <c r="Q20" s="377">
        <f>IFERROR(Q14/Q19,0)</f>
        <v/>
      </c>
      <c r="R20" s="377">
        <f>IFERROR(R14/R19,0)</f>
        <v/>
      </c>
      <c r="S20" s="377">
        <f>IFERROR(S14/S19,0)</f>
        <v/>
      </c>
      <c r="T20" s="377">
        <f>IFERROR(T14/T19,0)</f>
        <v/>
      </c>
      <c r="U20" s="377">
        <f>IFERROR(U14/U19,0)</f>
        <v/>
      </c>
      <c r="V20" s="377">
        <f>IFERROR(V14/V19,0)</f>
        <v/>
      </c>
      <c r="W20" s="377">
        <f>IFERROR(W14/W19,0)</f>
        <v/>
      </c>
      <c r="X20" s="377">
        <f>IFERROR(X14/X19,0)</f>
        <v/>
      </c>
      <c r="Y20" s="377">
        <f>IFERROR(Y14/Y19,0)</f>
        <v/>
      </c>
      <c r="Z20" s="377">
        <f>IFERROR(Z14/Z19,0)</f>
        <v/>
      </c>
      <c r="AA20" s="377">
        <f>IFERROR(AA14/AA19,0)</f>
        <v/>
      </c>
      <c r="AB20" s="377">
        <f>IFERROR(AB14/AB19,0)</f>
        <v/>
      </c>
      <c r="AC20" s="377">
        <f>IFERROR(AC14/AC19,0)</f>
        <v/>
      </c>
      <c r="AD20" s="377">
        <f>IFERROR(AD14/AD19,0)</f>
        <v/>
      </c>
      <c r="AE20" s="377">
        <f>IFERROR(AE14/AE19,0)</f>
        <v/>
      </c>
      <c r="AF20" s="377">
        <f>IFERROR(AF14/AF19,0)</f>
        <v/>
      </c>
      <c r="AG20" s="377">
        <f>IFERROR(AG14/AG19,0)</f>
        <v/>
      </c>
      <c r="AH20" s="377">
        <f>IFERROR(AH14/AH19,0)</f>
        <v/>
      </c>
      <c r="AI20" s="377">
        <f>IFERROR(AI14/AI19,0)</f>
        <v/>
      </c>
      <c r="AJ20" s="377">
        <f>IFERROR(AJ14/AJ19,0)</f>
        <v/>
      </c>
      <c r="AK20" s="377">
        <f>IFERROR(AK14/AK19,0)</f>
        <v/>
      </c>
      <c r="AL20" s="377">
        <f>IFERROR(AL14/AL19,0)</f>
        <v/>
      </c>
      <c r="AM20" s="377">
        <f>IFERROR(AM14/AM19,0)</f>
        <v/>
      </c>
      <c r="AN20" s="377">
        <f>IFERROR(AN14/AN19,0)</f>
        <v/>
      </c>
      <c r="AO20" s="377">
        <f>IFERROR(AO14/AO19,0)</f>
        <v/>
      </c>
      <c r="AP20" s="377">
        <f>IFERROR(AP14/AP19,0)</f>
        <v/>
      </c>
      <c r="AQ20" s="377">
        <f>IFERROR(AQ14/AQ19,0)</f>
        <v/>
      </c>
      <c r="AR20" s="377">
        <f>IFERROR(AR14/AR19,0)</f>
        <v/>
      </c>
      <c r="AS20" s="377">
        <f>IFERROR(AS14/AS19,0)</f>
        <v/>
      </c>
      <c r="AT20" s="377">
        <f>IFERROR(AT14/AT19,0)</f>
        <v/>
      </c>
      <c r="AU20" s="377">
        <f>IFERROR(AU14/AU19,0)</f>
        <v/>
      </c>
      <c r="AV20" s="377">
        <f>IFERROR(AV14/AV19,0)</f>
        <v/>
      </c>
      <c r="AW20" s="377">
        <f>IFERROR(AW14/AW19,0)</f>
        <v/>
      </c>
      <c r="AX20" s="377">
        <f>IFERROR(AX14/AX19,0)</f>
        <v/>
      </c>
      <c r="AY20" s="377">
        <f>IFERROR(AY14/AY19,0)</f>
        <v/>
      </c>
      <c r="AZ20" s="377">
        <f>IFERROR(AZ14/AZ19,0)</f>
        <v/>
      </c>
      <c r="BA20" s="377">
        <f>IFERROR(BA14/BA19,0)</f>
        <v/>
      </c>
      <c r="BC20" s="378">
        <f>AVERAGE(F20:Q20)</f>
        <v/>
      </c>
      <c r="BD20" s="378">
        <f>AVERAGE(R20:AC20)</f>
        <v/>
      </c>
      <c r="BE20" s="378">
        <f>AVERAGE(AD20:AO20)</f>
        <v/>
      </c>
      <c r="BF20" s="378">
        <f>AVERAGE(AP20:BA20)</f>
        <v/>
      </c>
      <c r="BH20" s="370" t="inlineStr">
        <is>
          <t>reconciles to the EUR600/customer already assumed on Assumptions row 102</t>
        </is>
      </c>
    </row>
    <row r="21"/>
    <row r="22">
      <c r="B22" s="374" t="inlineStr">
        <is>
          <t>SALES CAPACITY  —  direct reps early, enabled installer channel at scale</t>
        </is>
      </c>
      <c r="C22" s="374" t="n"/>
      <c r="D22" s="374" t="n"/>
      <c r="E22" s="374" t="n"/>
      <c r="F22" s="374" t="n"/>
      <c r="G22" s="374" t="n"/>
      <c r="H22" s="374" t="n"/>
      <c r="I22" s="374" t="n"/>
      <c r="J22" s="374" t="n"/>
      <c r="K22" s="374" t="n"/>
      <c r="L22" s="374" t="n"/>
      <c r="M22" s="374" t="n"/>
      <c r="N22" s="374" t="n"/>
      <c r="O22" s="374" t="n"/>
      <c r="P22" s="374" t="n"/>
      <c r="Q22" s="374" t="n"/>
      <c r="R22" s="374" t="n"/>
      <c r="S22" s="374" t="n"/>
      <c r="T22" s="374" t="n"/>
      <c r="U22" s="374" t="n"/>
      <c r="V22" s="374" t="n"/>
      <c r="W22" s="374" t="n"/>
      <c r="X22" s="374" t="n"/>
      <c r="Y22" s="374" t="n"/>
      <c r="Z22" s="374" t="n"/>
      <c r="AA22" s="374" t="n"/>
      <c r="AB22" s="374" t="n"/>
      <c r="AC22" s="374" t="n"/>
      <c r="AD22" s="374" t="n"/>
      <c r="AE22" s="374" t="n"/>
      <c r="AF22" s="374" t="n"/>
      <c r="AG22" s="374" t="n"/>
      <c r="AH22" s="374" t="n"/>
      <c r="AI22" s="374" t="n"/>
      <c r="AJ22" s="374" t="n"/>
      <c r="AK22" s="374" t="n"/>
      <c r="AL22" s="374" t="n"/>
      <c r="AM22" s="374" t="n"/>
      <c r="AN22" s="374" t="n"/>
      <c r="AO22" s="374" t="n"/>
      <c r="AP22" s="374" t="n"/>
      <c r="AQ22" s="374" t="n"/>
      <c r="AR22" s="374" t="n"/>
      <c r="AS22" s="374" t="n"/>
      <c r="AT22" s="374" t="n"/>
      <c r="AU22" s="374" t="n"/>
      <c r="AV22" s="374" t="n"/>
      <c r="AW22" s="374" t="n"/>
      <c r="AX22" s="374" t="n"/>
      <c r="AY22" s="374" t="n"/>
      <c r="AZ22" s="374" t="n"/>
      <c r="BA22" s="374" t="n"/>
      <c r="BB22" s="374" t="n"/>
      <c r="BC22" s="374" t="n"/>
      <c r="BD22" s="374" t="n"/>
      <c r="BE22" s="374" t="n"/>
      <c r="BF22" s="374" t="n"/>
      <c r="BG22" s="374" t="n"/>
    </row>
    <row r="23">
      <c r="B23" s="375" t="inlineStr">
        <is>
          <t>Direct motion share</t>
        </is>
      </c>
      <c r="C23" s="376" t="inlineStr">
        <is>
          <t>%</t>
        </is>
      </c>
      <c r="F23" s="382">
        <f>IF(YEAR(F$5)=2027,Assumptions!$F$149,IF(YEAR(F$5)=2028,Assumptions!$F$150,IF(YEAR(F$5)=2029,Assumptions!$F$151,Assumptions!$F$152)))</f>
        <v/>
      </c>
      <c r="G23" s="382">
        <f>IF(YEAR(G$5)=2027,Assumptions!$F$149,IF(YEAR(G$5)=2028,Assumptions!$F$150,IF(YEAR(G$5)=2029,Assumptions!$F$151,Assumptions!$F$152)))</f>
        <v/>
      </c>
      <c r="H23" s="382">
        <f>IF(YEAR(H$5)=2027,Assumptions!$F$149,IF(YEAR(H$5)=2028,Assumptions!$F$150,IF(YEAR(H$5)=2029,Assumptions!$F$151,Assumptions!$F$152)))</f>
        <v/>
      </c>
      <c r="I23" s="382">
        <f>IF(YEAR(I$5)=2027,Assumptions!$F$149,IF(YEAR(I$5)=2028,Assumptions!$F$150,IF(YEAR(I$5)=2029,Assumptions!$F$151,Assumptions!$F$152)))</f>
        <v/>
      </c>
      <c r="J23" s="382">
        <f>IF(YEAR(J$5)=2027,Assumptions!$F$149,IF(YEAR(J$5)=2028,Assumptions!$F$150,IF(YEAR(J$5)=2029,Assumptions!$F$151,Assumptions!$F$152)))</f>
        <v/>
      </c>
      <c r="K23" s="382">
        <f>IF(YEAR(K$5)=2027,Assumptions!$F$149,IF(YEAR(K$5)=2028,Assumptions!$F$150,IF(YEAR(K$5)=2029,Assumptions!$F$151,Assumptions!$F$152)))</f>
        <v/>
      </c>
      <c r="L23" s="382">
        <f>IF(YEAR(L$5)=2027,Assumptions!$F$149,IF(YEAR(L$5)=2028,Assumptions!$F$150,IF(YEAR(L$5)=2029,Assumptions!$F$151,Assumptions!$F$152)))</f>
        <v/>
      </c>
      <c r="M23" s="382">
        <f>IF(YEAR(M$5)=2027,Assumptions!$F$149,IF(YEAR(M$5)=2028,Assumptions!$F$150,IF(YEAR(M$5)=2029,Assumptions!$F$151,Assumptions!$F$152)))</f>
        <v/>
      </c>
      <c r="N23" s="382">
        <f>IF(YEAR(N$5)=2027,Assumptions!$F$149,IF(YEAR(N$5)=2028,Assumptions!$F$150,IF(YEAR(N$5)=2029,Assumptions!$F$151,Assumptions!$F$152)))</f>
        <v/>
      </c>
      <c r="O23" s="382">
        <f>IF(YEAR(O$5)=2027,Assumptions!$F$149,IF(YEAR(O$5)=2028,Assumptions!$F$150,IF(YEAR(O$5)=2029,Assumptions!$F$151,Assumptions!$F$152)))</f>
        <v/>
      </c>
      <c r="P23" s="382">
        <f>IF(YEAR(P$5)=2027,Assumptions!$F$149,IF(YEAR(P$5)=2028,Assumptions!$F$150,IF(YEAR(P$5)=2029,Assumptions!$F$151,Assumptions!$F$152)))</f>
        <v/>
      </c>
      <c r="Q23" s="382">
        <f>IF(YEAR(Q$5)=2027,Assumptions!$F$149,IF(YEAR(Q$5)=2028,Assumptions!$F$150,IF(YEAR(Q$5)=2029,Assumptions!$F$151,Assumptions!$F$152)))</f>
        <v/>
      </c>
      <c r="R23" s="382">
        <f>IF(YEAR(R$5)=2027,Assumptions!$F$149,IF(YEAR(R$5)=2028,Assumptions!$F$150,IF(YEAR(R$5)=2029,Assumptions!$F$151,Assumptions!$F$152)))</f>
        <v/>
      </c>
      <c r="S23" s="382">
        <f>IF(YEAR(S$5)=2027,Assumptions!$F$149,IF(YEAR(S$5)=2028,Assumptions!$F$150,IF(YEAR(S$5)=2029,Assumptions!$F$151,Assumptions!$F$152)))</f>
        <v/>
      </c>
      <c r="T23" s="382">
        <f>IF(YEAR(T$5)=2027,Assumptions!$F$149,IF(YEAR(T$5)=2028,Assumptions!$F$150,IF(YEAR(T$5)=2029,Assumptions!$F$151,Assumptions!$F$152)))</f>
        <v/>
      </c>
      <c r="U23" s="382">
        <f>IF(YEAR(U$5)=2027,Assumptions!$F$149,IF(YEAR(U$5)=2028,Assumptions!$F$150,IF(YEAR(U$5)=2029,Assumptions!$F$151,Assumptions!$F$152)))</f>
        <v/>
      </c>
      <c r="V23" s="382">
        <f>IF(YEAR(V$5)=2027,Assumptions!$F$149,IF(YEAR(V$5)=2028,Assumptions!$F$150,IF(YEAR(V$5)=2029,Assumptions!$F$151,Assumptions!$F$152)))</f>
        <v/>
      </c>
      <c r="W23" s="382">
        <f>IF(YEAR(W$5)=2027,Assumptions!$F$149,IF(YEAR(W$5)=2028,Assumptions!$F$150,IF(YEAR(W$5)=2029,Assumptions!$F$151,Assumptions!$F$152)))</f>
        <v/>
      </c>
      <c r="X23" s="382">
        <f>IF(YEAR(X$5)=2027,Assumptions!$F$149,IF(YEAR(X$5)=2028,Assumptions!$F$150,IF(YEAR(X$5)=2029,Assumptions!$F$151,Assumptions!$F$152)))</f>
        <v/>
      </c>
      <c r="Y23" s="382">
        <f>IF(YEAR(Y$5)=2027,Assumptions!$F$149,IF(YEAR(Y$5)=2028,Assumptions!$F$150,IF(YEAR(Y$5)=2029,Assumptions!$F$151,Assumptions!$F$152)))</f>
        <v/>
      </c>
      <c r="Z23" s="382">
        <f>IF(YEAR(Z$5)=2027,Assumptions!$F$149,IF(YEAR(Z$5)=2028,Assumptions!$F$150,IF(YEAR(Z$5)=2029,Assumptions!$F$151,Assumptions!$F$152)))</f>
        <v/>
      </c>
      <c r="AA23" s="382">
        <f>IF(YEAR(AA$5)=2027,Assumptions!$F$149,IF(YEAR(AA$5)=2028,Assumptions!$F$150,IF(YEAR(AA$5)=2029,Assumptions!$F$151,Assumptions!$F$152)))</f>
        <v/>
      </c>
      <c r="AB23" s="382">
        <f>IF(YEAR(AB$5)=2027,Assumptions!$F$149,IF(YEAR(AB$5)=2028,Assumptions!$F$150,IF(YEAR(AB$5)=2029,Assumptions!$F$151,Assumptions!$F$152)))</f>
        <v/>
      </c>
      <c r="AC23" s="382">
        <f>IF(YEAR(AC$5)=2027,Assumptions!$F$149,IF(YEAR(AC$5)=2028,Assumptions!$F$150,IF(YEAR(AC$5)=2029,Assumptions!$F$151,Assumptions!$F$152)))</f>
        <v/>
      </c>
      <c r="AD23" s="382">
        <f>IF(YEAR(AD$5)=2027,Assumptions!$F$149,IF(YEAR(AD$5)=2028,Assumptions!$F$150,IF(YEAR(AD$5)=2029,Assumptions!$F$151,Assumptions!$F$152)))</f>
        <v/>
      </c>
      <c r="AE23" s="382">
        <f>IF(YEAR(AE$5)=2027,Assumptions!$F$149,IF(YEAR(AE$5)=2028,Assumptions!$F$150,IF(YEAR(AE$5)=2029,Assumptions!$F$151,Assumptions!$F$152)))</f>
        <v/>
      </c>
      <c r="AF23" s="382">
        <f>IF(YEAR(AF$5)=2027,Assumptions!$F$149,IF(YEAR(AF$5)=2028,Assumptions!$F$150,IF(YEAR(AF$5)=2029,Assumptions!$F$151,Assumptions!$F$152)))</f>
        <v/>
      </c>
      <c r="AG23" s="382">
        <f>IF(YEAR(AG$5)=2027,Assumptions!$F$149,IF(YEAR(AG$5)=2028,Assumptions!$F$150,IF(YEAR(AG$5)=2029,Assumptions!$F$151,Assumptions!$F$152)))</f>
        <v/>
      </c>
      <c r="AH23" s="382">
        <f>IF(YEAR(AH$5)=2027,Assumptions!$F$149,IF(YEAR(AH$5)=2028,Assumptions!$F$150,IF(YEAR(AH$5)=2029,Assumptions!$F$151,Assumptions!$F$152)))</f>
        <v/>
      </c>
      <c r="AI23" s="382">
        <f>IF(YEAR(AI$5)=2027,Assumptions!$F$149,IF(YEAR(AI$5)=2028,Assumptions!$F$150,IF(YEAR(AI$5)=2029,Assumptions!$F$151,Assumptions!$F$152)))</f>
        <v/>
      </c>
      <c r="AJ23" s="382">
        <f>IF(YEAR(AJ$5)=2027,Assumptions!$F$149,IF(YEAR(AJ$5)=2028,Assumptions!$F$150,IF(YEAR(AJ$5)=2029,Assumptions!$F$151,Assumptions!$F$152)))</f>
        <v/>
      </c>
      <c r="AK23" s="382">
        <f>IF(YEAR(AK$5)=2027,Assumptions!$F$149,IF(YEAR(AK$5)=2028,Assumptions!$F$150,IF(YEAR(AK$5)=2029,Assumptions!$F$151,Assumptions!$F$152)))</f>
        <v/>
      </c>
      <c r="AL23" s="382">
        <f>IF(YEAR(AL$5)=2027,Assumptions!$F$149,IF(YEAR(AL$5)=2028,Assumptions!$F$150,IF(YEAR(AL$5)=2029,Assumptions!$F$151,Assumptions!$F$152)))</f>
        <v/>
      </c>
      <c r="AM23" s="382">
        <f>IF(YEAR(AM$5)=2027,Assumptions!$F$149,IF(YEAR(AM$5)=2028,Assumptions!$F$150,IF(YEAR(AM$5)=2029,Assumptions!$F$151,Assumptions!$F$152)))</f>
        <v/>
      </c>
      <c r="AN23" s="382">
        <f>IF(YEAR(AN$5)=2027,Assumptions!$F$149,IF(YEAR(AN$5)=2028,Assumptions!$F$150,IF(YEAR(AN$5)=2029,Assumptions!$F$151,Assumptions!$F$152)))</f>
        <v/>
      </c>
      <c r="AO23" s="382">
        <f>IF(YEAR(AO$5)=2027,Assumptions!$F$149,IF(YEAR(AO$5)=2028,Assumptions!$F$150,IF(YEAR(AO$5)=2029,Assumptions!$F$151,Assumptions!$F$152)))</f>
        <v/>
      </c>
      <c r="AP23" s="382">
        <f>IF(YEAR(AP$5)=2027,Assumptions!$F$149,IF(YEAR(AP$5)=2028,Assumptions!$F$150,IF(YEAR(AP$5)=2029,Assumptions!$F$151,Assumptions!$F$152)))</f>
        <v/>
      </c>
      <c r="AQ23" s="382">
        <f>IF(YEAR(AQ$5)=2027,Assumptions!$F$149,IF(YEAR(AQ$5)=2028,Assumptions!$F$150,IF(YEAR(AQ$5)=2029,Assumptions!$F$151,Assumptions!$F$152)))</f>
        <v/>
      </c>
      <c r="AR23" s="382">
        <f>IF(YEAR(AR$5)=2027,Assumptions!$F$149,IF(YEAR(AR$5)=2028,Assumptions!$F$150,IF(YEAR(AR$5)=2029,Assumptions!$F$151,Assumptions!$F$152)))</f>
        <v/>
      </c>
      <c r="AS23" s="382">
        <f>IF(YEAR(AS$5)=2027,Assumptions!$F$149,IF(YEAR(AS$5)=2028,Assumptions!$F$150,IF(YEAR(AS$5)=2029,Assumptions!$F$151,Assumptions!$F$152)))</f>
        <v/>
      </c>
      <c r="AT23" s="382">
        <f>IF(YEAR(AT$5)=2027,Assumptions!$F$149,IF(YEAR(AT$5)=2028,Assumptions!$F$150,IF(YEAR(AT$5)=2029,Assumptions!$F$151,Assumptions!$F$152)))</f>
        <v/>
      </c>
      <c r="AU23" s="382">
        <f>IF(YEAR(AU$5)=2027,Assumptions!$F$149,IF(YEAR(AU$5)=2028,Assumptions!$F$150,IF(YEAR(AU$5)=2029,Assumptions!$F$151,Assumptions!$F$152)))</f>
        <v/>
      </c>
      <c r="AV23" s="382">
        <f>IF(YEAR(AV$5)=2027,Assumptions!$F$149,IF(YEAR(AV$5)=2028,Assumptions!$F$150,IF(YEAR(AV$5)=2029,Assumptions!$F$151,Assumptions!$F$152)))</f>
        <v/>
      </c>
      <c r="AW23" s="382">
        <f>IF(YEAR(AW$5)=2027,Assumptions!$F$149,IF(YEAR(AW$5)=2028,Assumptions!$F$150,IF(YEAR(AW$5)=2029,Assumptions!$F$151,Assumptions!$F$152)))</f>
        <v/>
      </c>
      <c r="AX23" s="382">
        <f>IF(YEAR(AX$5)=2027,Assumptions!$F$149,IF(YEAR(AX$5)=2028,Assumptions!$F$150,IF(YEAR(AX$5)=2029,Assumptions!$F$151,Assumptions!$F$152)))</f>
        <v/>
      </c>
      <c r="AY23" s="382">
        <f>IF(YEAR(AY$5)=2027,Assumptions!$F$149,IF(YEAR(AY$5)=2028,Assumptions!$F$150,IF(YEAR(AY$5)=2029,Assumptions!$F$151,Assumptions!$F$152)))</f>
        <v/>
      </c>
      <c r="AZ23" s="382">
        <f>IF(YEAR(AZ$5)=2027,Assumptions!$F$149,IF(YEAR(AZ$5)=2028,Assumptions!$F$150,IF(YEAR(AZ$5)=2029,Assumptions!$F$151,Assumptions!$F$152)))</f>
        <v/>
      </c>
      <c r="BA23" s="382">
        <f>IF(YEAR(BA$5)=2027,Assumptions!$F$149,IF(YEAR(BA$5)=2028,Assumptions!$F$150,IF(YEAR(BA$5)=2029,Assumptions!$F$151,Assumptions!$F$152)))</f>
        <v/>
      </c>
      <c r="BC23" s="383">
        <f>AVERAGE(F23:Q23)</f>
        <v/>
      </c>
      <c r="BD23" s="383">
        <f>AVERAGE(R23:AC23)</f>
        <v/>
      </c>
      <c r="BE23" s="383">
        <f>AVERAGE(AD23:AO23)</f>
        <v/>
      </c>
      <c r="BF23" s="383">
        <f>AVERAGE(AP23:BA23)</f>
        <v/>
      </c>
    </row>
    <row r="24">
      <c r="B24" s="375" t="inlineStr">
        <is>
          <t>Reps hired in month</t>
        </is>
      </c>
      <c r="C24" s="376" t="inlineStr">
        <is>
          <t>FTE</t>
        </is>
      </c>
      <c r="F24" s="384">
        <f>IF(YEAR(F$5)=2027,Assumptions!$F$154,IF(YEAR(F$5)=2028,Assumptions!$F$155,IF(YEAR(F$5)=2029,Assumptions!$F$156,Assumptions!$F$157)))</f>
        <v/>
      </c>
      <c r="G24" s="384">
        <f>IF(YEAR(G$5)=2027,Assumptions!$F$154,IF(YEAR(G$5)=2028,Assumptions!$F$155,IF(YEAR(G$5)=2029,Assumptions!$F$156,Assumptions!$F$157)))</f>
        <v/>
      </c>
      <c r="H24" s="384">
        <f>IF(YEAR(H$5)=2027,Assumptions!$F$154,IF(YEAR(H$5)=2028,Assumptions!$F$155,IF(YEAR(H$5)=2029,Assumptions!$F$156,Assumptions!$F$157)))</f>
        <v/>
      </c>
      <c r="I24" s="384">
        <f>IF(YEAR(I$5)=2027,Assumptions!$F$154,IF(YEAR(I$5)=2028,Assumptions!$F$155,IF(YEAR(I$5)=2029,Assumptions!$F$156,Assumptions!$F$157)))</f>
        <v/>
      </c>
      <c r="J24" s="384">
        <f>IF(YEAR(J$5)=2027,Assumptions!$F$154,IF(YEAR(J$5)=2028,Assumptions!$F$155,IF(YEAR(J$5)=2029,Assumptions!$F$156,Assumptions!$F$157)))</f>
        <v/>
      </c>
      <c r="K24" s="384">
        <f>IF(YEAR(K$5)=2027,Assumptions!$F$154,IF(YEAR(K$5)=2028,Assumptions!$F$155,IF(YEAR(K$5)=2029,Assumptions!$F$156,Assumptions!$F$157)))</f>
        <v/>
      </c>
      <c r="L24" s="384">
        <f>IF(YEAR(L$5)=2027,Assumptions!$F$154,IF(YEAR(L$5)=2028,Assumptions!$F$155,IF(YEAR(L$5)=2029,Assumptions!$F$156,Assumptions!$F$157)))</f>
        <v/>
      </c>
      <c r="M24" s="384">
        <f>IF(YEAR(M$5)=2027,Assumptions!$F$154,IF(YEAR(M$5)=2028,Assumptions!$F$155,IF(YEAR(M$5)=2029,Assumptions!$F$156,Assumptions!$F$157)))</f>
        <v/>
      </c>
      <c r="N24" s="384">
        <f>IF(YEAR(N$5)=2027,Assumptions!$F$154,IF(YEAR(N$5)=2028,Assumptions!$F$155,IF(YEAR(N$5)=2029,Assumptions!$F$156,Assumptions!$F$157)))</f>
        <v/>
      </c>
      <c r="O24" s="384">
        <f>IF(YEAR(O$5)=2027,Assumptions!$F$154,IF(YEAR(O$5)=2028,Assumptions!$F$155,IF(YEAR(O$5)=2029,Assumptions!$F$156,Assumptions!$F$157)))</f>
        <v/>
      </c>
      <c r="P24" s="384">
        <f>IF(YEAR(P$5)=2027,Assumptions!$F$154,IF(YEAR(P$5)=2028,Assumptions!$F$155,IF(YEAR(P$5)=2029,Assumptions!$F$156,Assumptions!$F$157)))</f>
        <v/>
      </c>
      <c r="Q24" s="384">
        <f>IF(YEAR(Q$5)=2027,Assumptions!$F$154,IF(YEAR(Q$5)=2028,Assumptions!$F$155,IF(YEAR(Q$5)=2029,Assumptions!$F$156,Assumptions!$F$157)))</f>
        <v/>
      </c>
      <c r="R24" s="384">
        <f>IF(YEAR(R$5)=2027,Assumptions!$F$154,IF(YEAR(R$5)=2028,Assumptions!$F$155,IF(YEAR(R$5)=2029,Assumptions!$F$156,Assumptions!$F$157)))</f>
        <v/>
      </c>
      <c r="S24" s="384">
        <f>IF(YEAR(S$5)=2027,Assumptions!$F$154,IF(YEAR(S$5)=2028,Assumptions!$F$155,IF(YEAR(S$5)=2029,Assumptions!$F$156,Assumptions!$F$157)))</f>
        <v/>
      </c>
      <c r="T24" s="384">
        <f>IF(YEAR(T$5)=2027,Assumptions!$F$154,IF(YEAR(T$5)=2028,Assumptions!$F$155,IF(YEAR(T$5)=2029,Assumptions!$F$156,Assumptions!$F$157)))</f>
        <v/>
      </c>
      <c r="U24" s="384">
        <f>IF(YEAR(U$5)=2027,Assumptions!$F$154,IF(YEAR(U$5)=2028,Assumptions!$F$155,IF(YEAR(U$5)=2029,Assumptions!$F$156,Assumptions!$F$157)))</f>
        <v/>
      </c>
      <c r="V24" s="384">
        <f>IF(YEAR(V$5)=2027,Assumptions!$F$154,IF(YEAR(V$5)=2028,Assumptions!$F$155,IF(YEAR(V$5)=2029,Assumptions!$F$156,Assumptions!$F$157)))</f>
        <v/>
      </c>
      <c r="W24" s="384">
        <f>IF(YEAR(W$5)=2027,Assumptions!$F$154,IF(YEAR(W$5)=2028,Assumptions!$F$155,IF(YEAR(W$5)=2029,Assumptions!$F$156,Assumptions!$F$157)))</f>
        <v/>
      </c>
      <c r="X24" s="384">
        <f>IF(YEAR(X$5)=2027,Assumptions!$F$154,IF(YEAR(X$5)=2028,Assumptions!$F$155,IF(YEAR(X$5)=2029,Assumptions!$F$156,Assumptions!$F$157)))</f>
        <v/>
      </c>
      <c r="Y24" s="384">
        <f>IF(YEAR(Y$5)=2027,Assumptions!$F$154,IF(YEAR(Y$5)=2028,Assumptions!$F$155,IF(YEAR(Y$5)=2029,Assumptions!$F$156,Assumptions!$F$157)))</f>
        <v/>
      </c>
      <c r="Z24" s="384">
        <f>IF(YEAR(Z$5)=2027,Assumptions!$F$154,IF(YEAR(Z$5)=2028,Assumptions!$F$155,IF(YEAR(Z$5)=2029,Assumptions!$F$156,Assumptions!$F$157)))</f>
        <v/>
      </c>
      <c r="AA24" s="384">
        <f>IF(YEAR(AA$5)=2027,Assumptions!$F$154,IF(YEAR(AA$5)=2028,Assumptions!$F$155,IF(YEAR(AA$5)=2029,Assumptions!$F$156,Assumptions!$F$157)))</f>
        <v/>
      </c>
      <c r="AB24" s="384">
        <f>IF(YEAR(AB$5)=2027,Assumptions!$F$154,IF(YEAR(AB$5)=2028,Assumptions!$F$155,IF(YEAR(AB$5)=2029,Assumptions!$F$156,Assumptions!$F$157)))</f>
        <v/>
      </c>
      <c r="AC24" s="384">
        <f>IF(YEAR(AC$5)=2027,Assumptions!$F$154,IF(YEAR(AC$5)=2028,Assumptions!$F$155,IF(YEAR(AC$5)=2029,Assumptions!$F$156,Assumptions!$F$157)))</f>
        <v/>
      </c>
      <c r="AD24" s="384">
        <f>IF(YEAR(AD$5)=2027,Assumptions!$F$154,IF(YEAR(AD$5)=2028,Assumptions!$F$155,IF(YEAR(AD$5)=2029,Assumptions!$F$156,Assumptions!$F$157)))</f>
        <v/>
      </c>
      <c r="AE24" s="384">
        <f>IF(YEAR(AE$5)=2027,Assumptions!$F$154,IF(YEAR(AE$5)=2028,Assumptions!$F$155,IF(YEAR(AE$5)=2029,Assumptions!$F$156,Assumptions!$F$157)))</f>
        <v/>
      </c>
      <c r="AF24" s="384">
        <f>IF(YEAR(AF$5)=2027,Assumptions!$F$154,IF(YEAR(AF$5)=2028,Assumptions!$F$155,IF(YEAR(AF$5)=2029,Assumptions!$F$156,Assumptions!$F$157)))</f>
        <v/>
      </c>
      <c r="AG24" s="384">
        <f>IF(YEAR(AG$5)=2027,Assumptions!$F$154,IF(YEAR(AG$5)=2028,Assumptions!$F$155,IF(YEAR(AG$5)=2029,Assumptions!$F$156,Assumptions!$F$157)))</f>
        <v/>
      </c>
      <c r="AH24" s="384">
        <f>IF(YEAR(AH$5)=2027,Assumptions!$F$154,IF(YEAR(AH$5)=2028,Assumptions!$F$155,IF(YEAR(AH$5)=2029,Assumptions!$F$156,Assumptions!$F$157)))</f>
        <v/>
      </c>
      <c r="AI24" s="384">
        <f>IF(YEAR(AI$5)=2027,Assumptions!$F$154,IF(YEAR(AI$5)=2028,Assumptions!$F$155,IF(YEAR(AI$5)=2029,Assumptions!$F$156,Assumptions!$F$157)))</f>
        <v/>
      </c>
      <c r="AJ24" s="384">
        <f>IF(YEAR(AJ$5)=2027,Assumptions!$F$154,IF(YEAR(AJ$5)=2028,Assumptions!$F$155,IF(YEAR(AJ$5)=2029,Assumptions!$F$156,Assumptions!$F$157)))</f>
        <v/>
      </c>
      <c r="AK24" s="384">
        <f>IF(YEAR(AK$5)=2027,Assumptions!$F$154,IF(YEAR(AK$5)=2028,Assumptions!$F$155,IF(YEAR(AK$5)=2029,Assumptions!$F$156,Assumptions!$F$157)))</f>
        <v/>
      </c>
      <c r="AL24" s="384">
        <f>IF(YEAR(AL$5)=2027,Assumptions!$F$154,IF(YEAR(AL$5)=2028,Assumptions!$F$155,IF(YEAR(AL$5)=2029,Assumptions!$F$156,Assumptions!$F$157)))</f>
        <v/>
      </c>
      <c r="AM24" s="384">
        <f>IF(YEAR(AM$5)=2027,Assumptions!$F$154,IF(YEAR(AM$5)=2028,Assumptions!$F$155,IF(YEAR(AM$5)=2029,Assumptions!$F$156,Assumptions!$F$157)))</f>
        <v/>
      </c>
      <c r="AN24" s="384">
        <f>IF(YEAR(AN$5)=2027,Assumptions!$F$154,IF(YEAR(AN$5)=2028,Assumptions!$F$155,IF(YEAR(AN$5)=2029,Assumptions!$F$156,Assumptions!$F$157)))</f>
        <v/>
      </c>
      <c r="AO24" s="384">
        <f>IF(YEAR(AO$5)=2027,Assumptions!$F$154,IF(YEAR(AO$5)=2028,Assumptions!$F$155,IF(YEAR(AO$5)=2029,Assumptions!$F$156,Assumptions!$F$157)))</f>
        <v/>
      </c>
      <c r="AP24" s="384">
        <f>IF(YEAR(AP$5)=2027,Assumptions!$F$154,IF(YEAR(AP$5)=2028,Assumptions!$F$155,IF(YEAR(AP$5)=2029,Assumptions!$F$156,Assumptions!$F$157)))</f>
        <v/>
      </c>
      <c r="AQ24" s="384">
        <f>IF(YEAR(AQ$5)=2027,Assumptions!$F$154,IF(YEAR(AQ$5)=2028,Assumptions!$F$155,IF(YEAR(AQ$5)=2029,Assumptions!$F$156,Assumptions!$F$157)))</f>
        <v/>
      </c>
      <c r="AR24" s="384">
        <f>IF(YEAR(AR$5)=2027,Assumptions!$F$154,IF(YEAR(AR$5)=2028,Assumptions!$F$155,IF(YEAR(AR$5)=2029,Assumptions!$F$156,Assumptions!$F$157)))</f>
        <v/>
      </c>
      <c r="AS24" s="384">
        <f>IF(YEAR(AS$5)=2027,Assumptions!$F$154,IF(YEAR(AS$5)=2028,Assumptions!$F$155,IF(YEAR(AS$5)=2029,Assumptions!$F$156,Assumptions!$F$157)))</f>
        <v/>
      </c>
      <c r="AT24" s="384">
        <f>IF(YEAR(AT$5)=2027,Assumptions!$F$154,IF(YEAR(AT$5)=2028,Assumptions!$F$155,IF(YEAR(AT$5)=2029,Assumptions!$F$156,Assumptions!$F$157)))</f>
        <v/>
      </c>
      <c r="AU24" s="384">
        <f>IF(YEAR(AU$5)=2027,Assumptions!$F$154,IF(YEAR(AU$5)=2028,Assumptions!$F$155,IF(YEAR(AU$5)=2029,Assumptions!$F$156,Assumptions!$F$157)))</f>
        <v/>
      </c>
      <c r="AV24" s="384">
        <f>IF(YEAR(AV$5)=2027,Assumptions!$F$154,IF(YEAR(AV$5)=2028,Assumptions!$F$155,IF(YEAR(AV$5)=2029,Assumptions!$F$156,Assumptions!$F$157)))</f>
        <v/>
      </c>
      <c r="AW24" s="384">
        <f>IF(YEAR(AW$5)=2027,Assumptions!$F$154,IF(YEAR(AW$5)=2028,Assumptions!$F$155,IF(YEAR(AW$5)=2029,Assumptions!$F$156,Assumptions!$F$157)))</f>
        <v/>
      </c>
      <c r="AX24" s="384">
        <f>IF(YEAR(AX$5)=2027,Assumptions!$F$154,IF(YEAR(AX$5)=2028,Assumptions!$F$155,IF(YEAR(AX$5)=2029,Assumptions!$F$156,Assumptions!$F$157)))</f>
        <v/>
      </c>
      <c r="AY24" s="384">
        <f>IF(YEAR(AY$5)=2027,Assumptions!$F$154,IF(YEAR(AY$5)=2028,Assumptions!$F$155,IF(YEAR(AY$5)=2029,Assumptions!$F$156,Assumptions!$F$157)))</f>
        <v/>
      </c>
      <c r="AZ24" s="384">
        <f>IF(YEAR(AZ$5)=2027,Assumptions!$F$154,IF(YEAR(AZ$5)=2028,Assumptions!$F$155,IF(YEAR(AZ$5)=2029,Assumptions!$F$156,Assumptions!$F$157)))</f>
        <v/>
      </c>
      <c r="BA24" s="384">
        <f>IF(YEAR(BA$5)=2027,Assumptions!$F$154,IF(YEAR(BA$5)=2028,Assumptions!$F$155,IF(YEAR(BA$5)=2029,Assumptions!$F$156,Assumptions!$F$157)))</f>
        <v/>
      </c>
      <c r="BC24" s="385">
        <f>SUM(F24:Q24)</f>
        <v/>
      </c>
      <c r="BD24" s="385">
        <f>SUM(R24:AC24)</f>
        <v/>
      </c>
      <c r="BE24" s="385">
        <f>SUM(AD24:AO24)</f>
        <v/>
      </c>
      <c r="BF24" s="385">
        <f>SUM(AP24:BA24)</f>
        <v/>
      </c>
    </row>
    <row r="25">
      <c r="B25" s="375" t="inlineStr">
        <is>
          <t>Reps on payroll</t>
        </is>
      </c>
      <c r="C25" s="376" t="inlineStr">
        <is>
          <t>FTE</t>
        </is>
      </c>
      <c r="F25" s="386">
        <f>Assumptions!$F$153+F24</f>
        <v/>
      </c>
      <c r="G25" s="386">
        <f>F25+G24</f>
        <v/>
      </c>
      <c r="H25" s="386">
        <f>G25+H24</f>
        <v/>
      </c>
      <c r="I25" s="386">
        <f>H25+I24</f>
        <v/>
      </c>
      <c r="J25" s="386">
        <f>I25+J24</f>
        <v/>
      </c>
      <c r="K25" s="386">
        <f>J25+K24</f>
        <v/>
      </c>
      <c r="L25" s="386">
        <f>K25+L24</f>
        <v/>
      </c>
      <c r="M25" s="386">
        <f>L25+M24</f>
        <v/>
      </c>
      <c r="N25" s="386">
        <f>M25+N24</f>
        <v/>
      </c>
      <c r="O25" s="386">
        <f>N25+O24</f>
        <v/>
      </c>
      <c r="P25" s="386">
        <f>O25+P24</f>
        <v/>
      </c>
      <c r="Q25" s="386">
        <f>P25+Q24</f>
        <v/>
      </c>
      <c r="R25" s="386">
        <f>Q25+R24</f>
        <v/>
      </c>
      <c r="S25" s="386">
        <f>R25+S24</f>
        <v/>
      </c>
      <c r="T25" s="386">
        <f>S25+T24</f>
        <v/>
      </c>
      <c r="U25" s="386">
        <f>T25+U24</f>
        <v/>
      </c>
      <c r="V25" s="386">
        <f>U25+V24</f>
        <v/>
      </c>
      <c r="W25" s="386">
        <f>V25+W24</f>
        <v/>
      </c>
      <c r="X25" s="386">
        <f>W25+X24</f>
        <v/>
      </c>
      <c r="Y25" s="386">
        <f>X25+Y24</f>
        <v/>
      </c>
      <c r="Z25" s="386">
        <f>Y25+Z24</f>
        <v/>
      </c>
      <c r="AA25" s="386">
        <f>Z25+AA24</f>
        <v/>
      </c>
      <c r="AB25" s="386">
        <f>AA25+AB24</f>
        <v/>
      </c>
      <c r="AC25" s="386">
        <f>AB25+AC24</f>
        <v/>
      </c>
      <c r="AD25" s="386">
        <f>AC25+AD24</f>
        <v/>
      </c>
      <c r="AE25" s="386">
        <f>AD25+AE24</f>
        <v/>
      </c>
      <c r="AF25" s="386">
        <f>AE25+AF24</f>
        <v/>
      </c>
      <c r="AG25" s="386">
        <f>AF25+AG24</f>
        <v/>
      </c>
      <c r="AH25" s="386">
        <f>AG25+AH24</f>
        <v/>
      </c>
      <c r="AI25" s="386">
        <f>AH25+AI24</f>
        <v/>
      </c>
      <c r="AJ25" s="386">
        <f>AI25+AJ24</f>
        <v/>
      </c>
      <c r="AK25" s="386">
        <f>AJ25+AK24</f>
        <v/>
      </c>
      <c r="AL25" s="386">
        <f>AK25+AL24</f>
        <v/>
      </c>
      <c r="AM25" s="386">
        <f>AL25+AM24</f>
        <v/>
      </c>
      <c r="AN25" s="386">
        <f>AM25+AN24</f>
        <v/>
      </c>
      <c r="AO25" s="386">
        <f>AN25+AO24</f>
        <v/>
      </c>
      <c r="AP25" s="386">
        <f>AO25+AP24</f>
        <v/>
      </c>
      <c r="AQ25" s="386">
        <f>AP25+AQ24</f>
        <v/>
      </c>
      <c r="AR25" s="386">
        <f>AQ25+AR24</f>
        <v/>
      </c>
      <c r="AS25" s="386">
        <f>AR25+AS24</f>
        <v/>
      </c>
      <c r="AT25" s="386">
        <f>AS25+AT24</f>
        <v/>
      </c>
      <c r="AU25" s="386">
        <f>AT25+AU24</f>
        <v/>
      </c>
      <c r="AV25" s="386">
        <f>AU25+AV24</f>
        <v/>
      </c>
      <c r="AW25" s="386">
        <f>AV25+AW24</f>
        <v/>
      </c>
      <c r="AX25" s="386">
        <f>AW25+AX24</f>
        <v/>
      </c>
      <c r="AY25" s="386">
        <f>AX25+AY24</f>
        <v/>
      </c>
      <c r="AZ25" s="386">
        <f>AY25+AZ24</f>
        <v/>
      </c>
      <c r="BA25" s="386">
        <f>AZ25+BA24</f>
        <v/>
      </c>
      <c r="BC25" s="387">
        <f>Q25</f>
        <v/>
      </c>
      <c r="BD25" s="387">
        <f>AC25</f>
        <v/>
      </c>
      <c r="BE25" s="387">
        <f>AO25</f>
        <v/>
      </c>
      <c r="BF25" s="387">
        <f>BA25</f>
        <v/>
      </c>
    </row>
    <row r="26">
      <c r="B26" s="375" t="inlineStr">
        <is>
          <t>Reps fully ramped</t>
        </is>
      </c>
      <c r="C26" s="376" t="inlineStr">
        <is>
          <t>FTE</t>
        </is>
      </c>
      <c r="F26" s="386">
        <f>Assumptions!$F$153</f>
        <v/>
      </c>
      <c r="G26" s="386">
        <f>IF(1&lt;Assumptions!$F$159,Assumptions!$F$153,INDEX($F25:BA25,2-Assumptions!$F$159))</f>
        <v/>
      </c>
      <c r="H26" s="386">
        <f>IF(2&lt;Assumptions!$F$159,Assumptions!$F$153,INDEX($F25:BA25,3-Assumptions!$F$159))</f>
        <v/>
      </c>
      <c r="I26" s="386">
        <f>IF(3&lt;Assumptions!$F$159,Assumptions!$F$153,INDEX($F25:BA25,4-Assumptions!$F$159))</f>
        <v/>
      </c>
      <c r="J26" s="386">
        <f>IF(4&lt;Assumptions!$F$159,Assumptions!$F$153,INDEX($F25:BA25,5-Assumptions!$F$159))</f>
        <v/>
      </c>
      <c r="K26" s="386">
        <f>IF(5&lt;Assumptions!$F$159,Assumptions!$F$153,INDEX($F25:BA25,6-Assumptions!$F$159))</f>
        <v/>
      </c>
      <c r="L26" s="386">
        <f>IF(6&lt;Assumptions!$F$159,Assumptions!$F$153,INDEX($F25:BA25,7-Assumptions!$F$159))</f>
        <v/>
      </c>
      <c r="M26" s="386">
        <f>IF(7&lt;Assumptions!$F$159,Assumptions!$F$153,INDEX($F25:BA25,8-Assumptions!$F$159))</f>
        <v/>
      </c>
      <c r="N26" s="386">
        <f>IF(8&lt;Assumptions!$F$159,Assumptions!$F$153,INDEX($F25:BA25,9-Assumptions!$F$159))</f>
        <v/>
      </c>
      <c r="O26" s="386">
        <f>IF(9&lt;Assumptions!$F$159,Assumptions!$F$153,INDEX($F25:BA25,10-Assumptions!$F$159))</f>
        <v/>
      </c>
      <c r="P26" s="386">
        <f>IF(10&lt;Assumptions!$F$159,Assumptions!$F$153,INDEX($F25:BA25,11-Assumptions!$F$159))</f>
        <v/>
      </c>
      <c r="Q26" s="386">
        <f>IF(11&lt;Assumptions!$F$159,Assumptions!$F$153,INDEX($F25:BA25,12-Assumptions!$F$159))</f>
        <v/>
      </c>
      <c r="R26" s="386">
        <f>IF(12&lt;Assumptions!$F$159,Assumptions!$F$153,INDEX($F25:BA25,13-Assumptions!$F$159))</f>
        <v/>
      </c>
      <c r="S26" s="386">
        <f>IF(13&lt;Assumptions!$F$159,Assumptions!$F$153,INDEX($F25:BA25,14-Assumptions!$F$159))</f>
        <v/>
      </c>
      <c r="T26" s="386">
        <f>IF(14&lt;Assumptions!$F$159,Assumptions!$F$153,INDEX($F25:BA25,15-Assumptions!$F$159))</f>
        <v/>
      </c>
      <c r="U26" s="386">
        <f>IF(15&lt;Assumptions!$F$159,Assumptions!$F$153,INDEX($F25:BA25,16-Assumptions!$F$159))</f>
        <v/>
      </c>
      <c r="V26" s="386">
        <f>IF(16&lt;Assumptions!$F$159,Assumptions!$F$153,INDEX($F25:BA25,17-Assumptions!$F$159))</f>
        <v/>
      </c>
      <c r="W26" s="386">
        <f>IF(17&lt;Assumptions!$F$159,Assumptions!$F$153,INDEX($F25:BA25,18-Assumptions!$F$159))</f>
        <v/>
      </c>
      <c r="X26" s="386">
        <f>IF(18&lt;Assumptions!$F$159,Assumptions!$F$153,INDEX($F25:BA25,19-Assumptions!$F$159))</f>
        <v/>
      </c>
      <c r="Y26" s="386">
        <f>IF(19&lt;Assumptions!$F$159,Assumptions!$F$153,INDEX($F25:BA25,20-Assumptions!$F$159))</f>
        <v/>
      </c>
      <c r="Z26" s="386">
        <f>IF(20&lt;Assumptions!$F$159,Assumptions!$F$153,INDEX($F25:BA25,21-Assumptions!$F$159))</f>
        <v/>
      </c>
      <c r="AA26" s="386">
        <f>IF(21&lt;Assumptions!$F$159,Assumptions!$F$153,INDEX($F25:BA25,22-Assumptions!$F$159))</f>
        <v/>
      </c>
      <c r="AB26" s="386">
        <f>IF(22&lt;Assumptions!$F$159,Assumptions!$F$153,INDEX($F25:BA25,23-Assumptions!$F$159))</f>
        <v/>
      </c>
      <c r="AC26" s="386">
        <f>IF(23&lt;Assumptions!$F$159,Assumptions!$F$153,INDEX($F25:BA25,24-Assumptions!$F$159))</f>
        <v/>
      </c>
      <c r="AD26" s="386">
        <f>IF(24&lt;Assumptions!$F$159,Assumptions!$F$153,INDEX($F25:BA25,25-Assumptions!$F$159))</f>
        <v/>
      </c>
      <c r="AE26" s="386">
        <f>IF(25&lt;Assumptions!$F$159,Assumptions!$F$153,INDEX($F25:BA25,26-Assumptions!$F$159))</f>
        <v/>
      </c>
      <c r="AF26" s="386">
        <f>IF(26&lt;Assumptions!$F$159,Assumptions!$F$153,INDEX($F25:BA25,27-Assumptions!$F$159))</f>
        <v/>
      </c>
      <c r="AG26" s="386">
        <f>IF(27&lt;Assumptions!$F$159,Assumptions!$F$153,INDEX($F25:BA25,28-Assumptions!$F$159))</f>
        <v/>
      </c>
      <c r="AH26" s="386">
        <f>IF(28&lt;Assumptions!$F$159,Assumptions!$F$153,INDEX($F25:BA25,29-Assumptions!$F$159))</f>
        <v/>
      </c>
      <c r="AI26" s="386">
        <f>IF(29&lt;Assumptions!$F$159,Assumptions!$F$153,INDEX($F25:BA25,30-Assumptions!$F$159))</f>
        <v/>
      </c>
      <c r="AJ26" s="386">
        <f>IF(30&lt;Assumptions!$F$159,Assumptions!$F$153,INDEX($F25:BA25,31-Assumptions!$F$159))</f>
        <v/>
      </c>
      <c r="AK26" s="386">
        <f>IF(31&lt;Assumptions!$F$159,Assumptions!$F$153,INDEX($F25:BA25,32-Assumptions!$F$159))</f>
        <v/>
      </c>
      <c r="AL26" s="386">
        <f>IF(32&lt;Assumptions!$F$159,Assumptions!$F$153,INDEX($F25:BA25,33-Assumptions!$F$159))</f>
        <v/>
      </c>
      <c r="AM26" s="386">
        <f>IF(33&lt;Assumptions!$F$159,Assumptions!$F$153,INDEX($F25:BA25,34-Assumptions!$F$159))</f>
        <v/>
      </c>
      <c r="AN26" s="386">
        <f>IF(34&lt;Assumptions!$F$159,Assumptions!$F$153,INDEX($F25:BA25,35-Assumptions!$F$159))</f>
        <v/>
      </c>
      <c r="AO26" s="386">
        <f>IF(35&lt;Assumptions!$F$159,Assumptions!$F$153,INDEX($F25:BA25,36-Assumptions!$F$159))</f>
        <v/>
      </c>
      <c r="AP26" s="386">
        <f>IF(36&lt;Assumptions!$F$159,Assumptions!$F$153,INDEX($F25:BA25,37-Assumptions!$F$159))</f>
        <v/>
      </c>
      <c r="AQ26" s="386">
        <f>IF(37&lt;Assumptions!$F$159,Assumptions!$F$153,INDEX($F25:BA25,38-Assumptions!$F$159))</f>
        <v/>
      </c>
      <c r="AR26" s="386">
        <f>IF(38&lt;Assumptions!$F$159,Assumptions!$F$153,INDEX($F25:BA25,39-Assumptions!$F$159))</f>
        <v/>
      </c>
      <c r="AS26" s="386">
        <f>IF(39&lt;Assumptions!$F$159,Assumptions!$F$153,INDEX($F25:BA25,40-Assumptions!$F$159))</f>
        <v/>
      </c>
      <c r="AT26" s="386">
        <f>IF(40&lt;Assumptions!$F$159,Assumptions!$F$153,INDEX($F25:BA25,41-Assumptions!$F$159))</f>
        <v/>
      </c>
      <c r="AU26" s="386">
        <f>IF(41&lt;Assumptions!$F$159,Assumptions!$F$153,INDEX($F25:BA25,42-Assumptions!$F$159))</f>
        <v/>
      </c>
      <c r="AV26" s="386">
        <f>IF(42&lt;Assumptions!$F$159,Assumptions!$F$153,INDEX($F25:BA25,43-Assumptions!$F$159))</f>
        <v/>
      </c>
      <c r="AW26" s="386">
        <f>IF(43&lt;Assumptions!$F$159,Assumptions!$F$153,INDEX($F25:BA25,44-Assumptions!$F$159))</f>
        <v/>
      </c>
      <c r="AX26" s="386">
        <f>IF(44&lt;Assumptions!$F$159,Assumptions!$F$153,INDEX($F25:BA25,45-Assumptions!$F$159))</f>
        <v/>
      </c>
      <c r="AY26" s="386">
        <f>IF(45&lt;Assumptions!$F$159,Assumptions!$F$153,INDEX($F25:BA25,46-Assumptions!$F$159))</f>
        <v/>
      </c>
      <c r="AZ26" s="386">
        <f>IF(46&lt;Assumptions!$F$159,Assumptions!$F$153,INDEX($F25:BA25,47-Assumptions!$F$159))</f>
        <v/>
      </c>
      <c r="BA26" s="386">
        <f>IF(47&lt;Assumptions!$F$159,Assumptions!$F$153,INDEX($F25:BA25,48-Assumptions!$F$159))</f>
        <v/>
      </c>
      <c r="BC26" s="387">
        <f>Q26</f>
        <v/>
      </c>
      <c r="BD26" s="387">
        <f>AC26</f>
        <v/>
      </c>
      <c r="BE26" s="387">
        <f>AO26</f>
        <v/>
      </c>
      <c r="BF26" s="387">
        <f>BA26</f>
        <v/>
      </c>
      <c r="BH26" s="370" t="inlineStr">
        <is>
          <t>a rep carries no quota until fully ramped (6 months) — deliberately conservative</t>
        </is>
      </c>
    </row>
    <row r="27">
      <c r="B27" s="375" t="inlineStr">
        <is>
          <t>Direct capacity</t>
        </is>
      </c>
      <c r="C27" s="376" t="inlineStr">
        <is>
          <t>units/mo</t>
        </is>
      </c>
      <c r="F27" s="377">
        <f>F26*Assumptions!$F$158*Assumptions!$F$160</f>
        <v/>
      </c>
      <c r="G27" s="377">
        <f>G26*Assumptions!$F$158*Assumptions!$F$160</f>
        <v/>
      </c>
      <c r="H27" s="377">
        <f>H26*Assumptions!$F$158*Assumptions!$F$160</f>
        <v/>
      </c>
      <c r="I27" s="377">
        <f>I26*Assumptions!$F$158*Assumptions!$F$160</f>
        <v/>
      </c>
      <c r="J27" s="377">
        <f>J26*Assumptions!$F$158*Assumptions!$F$160</f>
        <v/>
      </c>
      <c r="K27" s="377">
        <f>K26*Assumptions!$F$158*Assumptions!$F$160</f>
        <v/>
      </c>
      <c r="L27" s="377">
        <f>L26*Assumptions!$F$158*Assumptions!$F$160</f>
        <v/>
      </c>
      <c r="M27" s="377">
        <f>M26*Assumptions!$F$158*Assumptions!$F$160</f>
        <v/>
      </c>
      <c r="N27" s="377">
        <f>N26*Assumptions!$F$158*Assumptions!$F$160</f>
        <v/>
      </c>
      <c r="O27" s="377">
        <f>O26*Assumptions!$F$158*Assumptions!$F$160</f>
        <v/>
      </c>
      <c r="P27" s="377">
        <f>P26*Assumptions!$F$158*Assumptions!$F$160</f>
        <v/>
      </c>
      <c r="Q27" s="377">
        <f>Q26*Assumptions!$F$158*Assumptions!$F$160</f>
        <v/>
      </c>
      <c r="R27" s="377">
        <f>R26*Assumptions!$F$158*Assumptions!$F$160</f>
        <v/>
      </c>
      <c r="S27" s="377">
        <f>S26*Assumptions!$F$158*Assumptions!$F$160</f>
        <v/>
      </c>
      <c r="T27" s="377">
        <f>T26*Assumptions!$F$158*Assumptions!$F$160</f>
        <v/>
      </c>
      <c r="U27" s="377">
        <f>U26*Assumptions!$F$158*Assumptions!$F$160</f>
        <v/>
      </c>
      <c r="V27" s="377">
        <f>V26*Assumptions!$F$158*Assumptions!$F$160</f>
        <v/>
      </c>
      <c r="W27" s="377">
        <f>W26*Assumptions!$F$158*Assumptions!$F$160</f>
        <v/>
      </c>
      <c r="X27" s="377">
        <f>X26*Assumptions!$F$158*Assumptions!$F$160</f>
        <v/>
      </c>
      <c r="Y27" s="377">
        <f>Y26*Assumptions!$F$158*Assumptions!$F$160</f>
        <v/>
      </c>
      <c r="Z27" s="377">
        <f>Z26*Assumptions!$F$158*Assumptions!$F$160</f>
        <v/>
      </c>
      <c r="AA27" s="377">
        <f>AA26*Assumptions!$F$158*Assumptions!$F$160</f>
        <v/>
      </c>
      <c r="AB27" s="377">
        <f>AB26*Assumptions!$F$158*Assumptions!$F$160</f>
        <v/>
      </c>
      <c r="AC27" s="377">
        <f>AC26*Assumptions!$F$158*Assumptions!$F$160</f>
        <v/>
      </c>
      <c r="AD27" s="377">
        <f>AD26*Assumptions!$F$158*Assumptions!$F$160</f>
        <v/>
      </c>
      <c r="AE27" s="377">
        <f>AE26*Assumptions!$F$158*Assumptions!$F$160</f>
        <v/>
      </c>
      <c r="AF27" s="377">
        <f>AF26*Assumptions!$F$158*Assumptions!$F$160</f>
        <v/>
      </c>
      <c r="AG27" s="377">
        <f>AG26*Assumptions!$F$158*Assumptions!$F$160</f>
        <v/>
      </c>
      <c r="AH27" s="377">
        <f>AH26*Assumptions!$F$158*Assumptions!$F$160</f>
        <v/>
      </c>
      <c r="AI27" s="377">
        <f>AI26*Assumptions!$F$158*Assumptions!$F$160</f>
        <v/>
      </c>
      <c r="AJ27" s="377">
        <f>AJ26*Assumptions!$F$158*Assumptions!$F$160</f>
        <v/>
      </c>
      <c r="AK27" s="377">
        <f>AK26*Assumptions!$F$158*Assumptions!$F$160</f>
        <v/>
      </c>
      <c r="AL27" s="377">
        <f>AL26*Assumptions!$F$158*Assumptions!$F$160</f>
        <v/>
      </c>
      <c r="AM27" s="377">
        <f>AM26*Assumptions!$F$158*Assumptions!$F$160</f>
        <v/>
      </c>
      <c r="AN27" s="377">
        <f>AN26*Assumptions!$F$158*Assumptions!$F$160</f>
        <v/>
      </c>
      <c r="AO27" s="377">
        <f>AO26*Assumptions!$F$158*Assumptions!$F$160</f>
        <v/>
      </c>
      <c r="AP27" s="377">
        <f>AP26*Assumptions!$F$158*Assumptions!$F$160</f>
        <v/>
      </c>
      <c r="AQ27" s="377">
        <f>AQ26*Assumptions!$F$158*Assumptions!$F$160</f>
        <v/>
      </c>
      <c r="AR27" s="377">
        <f>AR26*Assumptions!$F$158*Assumptions!$F$160</f>
        <v/>
      </c>
      <c r="AS27" s="377">
        <f>AS26*Assumptions!$F$158*Assumptions!$F$160</f>
        <v/>
      </c>
      <c r="AT27" s="377">
        <f>AT26*Assumptions!$F$158*Assumptions!$F$160</f>
        <v/>
      </c>
      <c r="AU27" s="377">
        <f>AU26*Assumptions!$F$158*Assumptions!$F$160</f>
        <v/>
      </c>
      <c r="AV27" s="377">
        <f>AV26*Assumptions!$F$158*Assumptions!$F$160</f>
        <v/>
      </c>
      <c r="AW27" s="377">
        <f>AW26*Assumptions!$F$158*Assumptions!$F$160</f>
        <v/>
      </c>
      <c r="AX27" s="377">
        <f>AX26*Assumptions!$F$158*Assumptions!$F$160</f>
        <v/>
      </c>
      <c r="AY27" s="377">
        <f>AY26*Assumptions!$F$158*Assumptions!$F$160</f>
        <v/>
      </c>
      <c r="AZ27" s="377">
        <f>AZ26*Assumptions!$F$158*Assumptions!$F$160</f>
        <v/>
      </c>
      <c r="BA27" s="377">
        <f>BA26*Assumptions!$F$158*Assumptions!$F$160</f>
        <v/>
      </c>
      <c r="BC27" s="378">
        <f>SUM(F27:Q27)</f>
        <v/>
      </c>
      <c r="BD27" s="378">
        <f>SUM(R27:AC27)</f>
        <v/>
      </c>
      <c r="BE27" s="378">
        <f>SUM(AD27:AO27)</f>
        <v/>
      </c>
      <c r="BF27" s="378">
        <f>SUM(AP27:BA27)</f>
        <v/>
      </c>
    </row>
    <row r="28">
      <c r="B28" s="375" t="inlineStr">
        <is>
          <t>Installer partners recruited</t>
        </is>
      </c>
      <c r="C28" s="376" t="inlineStr">
        <is>
          <t>partners</t>
        </is>
      </c>
      <c r="F28" s="388">
        <f>IF(YEAR(F$5)=2027,Assumptions!$F$162,IF(YEAR(F$5)=2028,Assumptions!$F$163,IF(YEAR(F$5)=2029,Assumptions!$F$164,Assumptions!$F$165)))</f>
        <v/>
      </c>
      <c r="G28" s="388">
        <f>IF(YEAR(G$5)=2027,Assumptions!$F$162,IF(YEAR(G$5)=2028,Assumptions!$F$163,IF(YEAR(G$5)=2029,Assumptions!$F$164,Assumptions!$F$165)))</f>
        <v/>
      </c>
      <c r="H28" s="388">
        <f>IF(YEAR(H$5)=2027,Assumptions!$F$162,IF(YEAR(H$5)=2028,Assumptions!$F$163,IF(YEAR(H$5)=2029,Assumptions!$F$164,Assumptions!$F$165)))</f>
        <v/>
      </c>
      <c r="I28" s="388">
        <f>IF(YEAR(I$5)=2027,Assumptions!$F$162,IF(YEAR(I$5)=2028,Assumptions!$F$163,IF(YEAR(I$5)=2029,Assumptions!$F$164,Assumptions!$F$165)))</f>
        <v/>
      </c>
      <c r="J28" s="388">
        <f>IF(YEAR(J$5)=2027,Assumptions!$F$162,IF(YEAR(J$5)=2028,Assumptions!$F$163,IF(YEAR(J$5)=2029,Assumptions!$F$164,Assumptions!$F$165)))</f>
        <v/>
      </c>
      <c r="K28" s="388">
        <f>IF(YEAR(K$5)=2027,Assumptions!$F$162,IF(YEAR(K$5)=2028,Assumptions!$F$163,IF(YEAR(K$5)=2029,Assumptions!$F$164,Assumptions!$F$165)))</f>
        <v/>
      </c>
      <c r="L28" s="388">
        <f>IF(YEAR(L$5)=2027,Assumptions!$F$162,IF(YEAR(L$5)=2028,Assumptions!$F$163,IF(YEAR(L$5)=2029,Assumptions!$F$164,Assumptions!$F$165)))</f>
        <v/>
      </c>
      <c r="M28" s="388">
        <f>IF(YEAR(M$5)=2027,Assumptions!$F$162,IF(YEAR(M$5)=2028,Assumptions!$F$163,IF(YEAR(M$5)=2029,Assumptions!$F$164,Assumptions!$F$165)))</f>
        <v/>
      </c>
      <c r="N28" s="388">
        <f>IF(YEAR(N$5)=2027,Assumptions!$F$162,IF(YEAR(N$5)=2028,Assumptions!$F$163,IF(YEAR(N$5)=2029,Assumptions!$F$164,Assumptions!$F$165)))</f>
        <v/>
      </c>
      <c r="O28" s="388">
        <f>IF(YEAR(O$5)=2027,Assumptions!$F$162,IF(YEAR(O$5)=2028,Assumptions!$F$163,IF(YEAR(O$5)=2029,Assumptions!$F$164,Assumptions!$F$165)))</f>
        <v/>
      </c>
      <c r="P28" s="388">
        <f>IF(YEAR(P$5)=2027,Assumptions!$F$162,IF(YEAR(P$5)=2028,Assumptions!$F$163,IF(YEAR(P$5)=2029,Assumptions!$F$164,Assumptions!$F$165)))</f>
        <v/>
      </c>
      <c r="Q28" s="388">
        <f>IF(YEAR(Q$5)=2027,Assumptions!$F$162,IF(YEAR(Q$5)=2028,Assumptions!$F$163,IF(YEAR(Q$5)=2029,Assumptions!$F$164,Assumptions!$F$165)))</f>
        <v/>
      </c>
      <c r="R28" s="388">
        <f>IF(YEAR(R$5)=2027,Assumptions!$F$162,IF(YEAR(R$5)=2028,Assumptions!$F$163,IF(YEAR(R$5)=2029,Assumptions!$F$164,Assumptions!$F$165)))</f>
        <v/>
      </c>
      <c r="S28" s="388">
        <f>IF(YEAR(S$5)=2027,Assumptions!$F$162,IF(YEAR(S$5)=2028,Assumptions!$F$163,IF(YEAR(S$5)=2029,Assumptions!$F$164,Assumptions!$F$165)))</f>
        <v/>
      </c>
      <c r="T28" s="388">
        <f>IF(YEAR(T$5)=2027,Assumptions!$F$162,IF(YEAR(T$5)=2028,Assumptions!$F$163,IF(YEAR(T$5)=2029,Assumptions!$F$164,Assumptions!$F$165)))</f>
        <v/>
      </c>
      <c r="U28" s="388">
        <f>IF(YEAR(U$5)=2027,Assumptions!$F$162,IF(YEAR(U$5)=2028,Assumptions!$F$163,IF(YEAR(U$5)=2029,Assumptions!$F$164,Assumptions!$F$165)))</f>
        <v/>
      </c>
      <c r="V28" s="388">
        <f>IF(YEAR(V$5)=2027,Assumptions!$F$162,IF(YEAR(V$5)=2028,Assumptions!$F$163,IF(YEAR(V$5)=2029,Assumptions!$F$164,Assumptions!$F$165)))</f>
        <v/>
      </c>
      <c r="W28" s="388">
        <f>IF(YEAR(W$5)=2027,Assumptions!$F$162,IF(YEAR(W$5)=2028,Assumptions!$F$163,IF(YEAR(W$5)=2029,Assumptions!$F$164,Assumptions!$F$165)))</f>
        <v/>
      </c>
      <c r="X28" s="388">
        <f>IF(YEAR(X$5)=2027,Assumptions!$F$162,IF(YEAR(X$5)=2028,Assumptions!$F$163,IF(YEAR(X$5)=2029,Assumptions!$F$164,Assumptions!$F$165)))</f>
        <v/>
      </c>
      <c r="Y28" s="388">
        <f>IF(YEAR(Y$5)=2027,Assumptions!$F$162,IF(YEAR(Y$5)=2028,Assumptions!$F$163,IF(YEAR(Y$5)=2029,Assumptions!$F$164,Assumptions!$F$165)))</f>
        <v/>
      </c>
      <c r="Z28" s="388">
        <f>IF(YEAR(Z$5)=2027,Assumptions!$F$162,IF(YEAR(Z$5)=2028,Assumptions!$F$163,IF(YEAR(Z$5)=2029,Assumptions!$F$164,Assumptions!$F$165)))</f>
        <v/>
      </c>
      <c r="AA28" s="388">
        <f>IF(YEAR(AA$5)=2027,Assumptions!$F$162,IF(YEAR(AA$5)=2028,Assumptions!$F$163,IF(YEAR(AA$5)=2029,Assumptions!$F$164,Assumptions!$F$165)))</f>
        <v/>
      </c>
      <c r="AB28" s="388">
        <f>IF(YEAR(AB$5)=2027,Assumptions!$F$162,IF(YEAR(AB$5)=2028,Assumptions!$F$163,IF(YEAR(AB$5)=2029,Assumptions!$F$164,Assumptions!$F$165)))</f>
        <v/>
      </c>
      <c r="AC28" s="388">
        <f>IF(YEAR(AC$5)=2027,Assumptions!$F$162,IF(YEAR(AC$5)=2028,Assumptions!$F$163,IF(YEAR(AC$5)=2029,Assumptions!$F$164,Assumptions!$F$165)))</f>
        <v/>
      </c>
      <c r="AD28" s="388">
        <f>IF(YEAR(AD$5)=2027,Assumptions!$F$162,IF(YEAR(AD$5)=2028,Assumptions!$F$163,IF(YEAR(AD$5)=2029,Assumptions!$F$164,Assumptions!$F$165)))</f>
        <v/>
      </c>
      <c r="AE28" s="388">
        <f>IF(YEAR(AE$5)=2027,Assumptions!$F$162,IF(YEAR(AE$5)=2028,Assumptions!$F$163,IF(YEAR(AE$5)=2029,Assumptions!$F$164,Assumptions!$F$165)))</f>
        <v/>
      </c>
      <c r="AF28" s="388">
        <f>IF(YEAR(AF$5)=2027,Assumptions!$F$162,IF(YEAR(AF$5)=2028,Assumptions!$F$163,IF(YEAR(AF$5)=2029,Assumptions!$F$164,Assumptions!$F$165)))</f>
        <v/>
      </c>
      <c r="AG28" s="388">
        <f>IF(YEAR(AG$5)=2027,Assumptions!$F$162,IF(YEAR(AG$5)=2028,Assumptions!$F$163,IF(YEAR(AG$5)=2029,Assumptions!$F$164,Assumptions!$F$165)))</f>
        <v/>
      </c>
      <c r="AH28" s="388">
        <f>IF(YEAR(AH$5)=2027,Assumptions!$F$162,IF(YEAR(AH$5)=2028,Assumptions!$F$163,IF(YEAR(AH$5)=2029,Assumptions!$F$164,Assumptions!$F$165)))</f>
        <v/>
      </c>
      <c r="AI28" s="388">
        <f>IF(YEAR(AI$5)=2027,Assumptions!$F$162,IF(YEAR(AI$5)=2028,Assumptions!$F$163,IF(YEAR(AI$5)=2029,Assumptions!$F$164,Assumptions!$F$165)))</f>
        <v/>
      </c>
      <c r="AJ28" s="388">
        <f>IF(YEAR(AJ$5)=2027,Assumptions!$F$162,IF(YEAR(AJ$5)=2028,Assumptions!$F$163,IF(YEAR(AJ$5)=2029,Assumptions!$F$164,Assumptions!$F$165)))</f>
        <v/>
      </c>
      <c r="AK28" s="388">
        <f>IF(YEAR(AK$5)=2027,Assumptions!$F$162,IF(YEAR(AK$5)=2028,Assumptions!$F$163,IF(YEAR(AK$5)=2029,Assumptions!$F$164,Assumptions!$F$165)))</f>
        <v/>
      </c>
      <c r="AL28" s="388">
        <f>IF(YEAR(AL$5)=2027,Assumptions!$F$162,IF(YEAR(AL$5)=2028,Assumptions!$F$163,IF(YEAR(AL$5)=2029,Assumptions!$F$164,Assumptions!$F$165)))</f>
        <v/>
      </c>
      <c r="AM28" s="388">
        <f>IF(YEAR(AM$5)=2027,Assumptions!$F$162,IF(YEAR(AM$5)=2028,Assumptions!$F$163,IF(YEAR(AM$5)=2029,Assumptions!$F$164,Assumptions!$F$165)))</f>
        <v/>
      </c>
      <c r="AN28" s="388">
        <f>IF(YEAR(AN$5)=2027,Assumptions!$F$162,IF(YEAR(AN$5)=2028,Assumptions!$F$163,IF(YEAR(AN$5)=2029,Assumptions!$F$164,Assumptions!$F$165)))</f>
        <v/>
      </c>
      <c r="AO28" s="388">
        <f>IF(YEAR(AO$5)=2027,Assumptions!$F$162,IF(YEAR(AO$5)=2028,Assumptions!$F$163,IF(YEAR(AO$5)=2029,Assumptions!$F$164,Assumptions!$F$165)))</f>
        <v/>
      </c>
      <c r="AP28" s="388">
        <f>IF(YEAR(AP$5)=2027,Assumptions!$F$162,IF(YEAR(AP$5)=2028,Assumptions!$F$163,IF(YEAR(AP$5)=2029,Assumptions!$F$164,Assumptions!$F$165)))</f>
        <v/>
      </c>
      <c r="AQ28" s="388">
        <f>IF(YEAR(AQ$5)=2027,Assumptions!$F$162,IF(YEAR(AQ$5)=2028,Assumptions!$F$163,IF(YEAR(AQ$5)=2029,Assumptions!$F$164,Assumptions!$F$165)))</f>
        <v/>
      </c>
      <c r="AR28" s="388">
        <f>IF(YEAR(AR$5)=2027,Assumptions!$F$162,IF(YEAR(AR$5)=2028,Assumptions!$F$163,IF(YEAR(AR$5)=2029,Assumptions!$F$164,Assumptions!$F$165)))</f>
        <v/>
      </c>
      <c r="AS28" s="388">
        <f>IF(YEAR(AS$5)=2027,Assumptions!$F$162,IF(YEAR(AS$5)=2028,Assumptions!$F$163,IF(YEAR(AS$5)=2029,Assumptions!$F$164,Assumptions!$F$165)))</f>
        <v/>
      </c>
      <c r="AT28" s="388">
        <f>IF(YEAR(AT$5)=2027,Assumptions!$F$162,IF(YEAR(AT$5)=2028,Assumptions!$F$163,IF(YEAR(AT$5)=2029,Assumptions!$F$164,Assumptions!$F$165)))</f>
        <v/>
      </c>
      <c r="AU28" s="388">
        <f>IF(YEAR(AU$5)=2027,Assumptions!$F$162,IF(YEAR(AU$5)=2028,Assumptions!$F$163,IF(YEAR(AU$5)=2029,Assumptions!$F$164,Assumptions!$F$165)))</f>
        <v/>
      </c>
      <c r="AV28" s="388">
        <f>IF(YEAR(AV$5)=2027,Assumptions!$F$162,IF(YEAR(AV$5)=2028,Assumptions!$F$163,IF(YEAR(AV$5)=2029,Assumptions!$F$164,Assumptions!$F$165)))</f>
        <v/>
      </c>
      <c r="AW28" s="388">
        <f>IF(YEAR(AW$5)=2027,Assumptions!$F$162,IF(YEAR(AW$5)=2028,Assumptions!$F$163,IF(YEAR(AW$5)=2029,Assumptions!$F$164,Assumptions!$F$165)))</f>
        <v/>
      </c>
      <c r="AX28" s="388">
        <f>IF(YEAR(AX$5)=2027,Assumptions!$F$162,IF(YEAR(AX$5)=2028,Assumptions!$F$163,IF(YEAR(AX$5)=2029,Assumptions!$F$164,Assumptions!$F$165)))</f>
        <v/>
      </c>
      <c r="AY28" s="388">
        <f>IF(YEAR(AY$5)=2027,Assumptions!$F$162,IF(YEAR(AY$5)=2028,Assumptions!$F$163,IF(YEAR(AY$5)=2029,Assumptions!$F$164,Assumptions!$F$165)))</f>
        <v/>
      </c>
      <c r="AZ28" s="388">
        <f>IF(YEAR(AZ$5)=2027,Assumptions!$F$162,IF(YEAR(AZ$5)=2028,Assumptions!$F$163,IF(YEAR(AZ$5)=2029,Assumptions!$F$164,Assumptions!$F$165)))</f>
        <v/>
      </c>
      <c r="BA28" s="388">
        <f>IF(YEAR(BA$5)=2027,Assumptions!$F$162,IF(YEAR(BA$5)=2028,Assumptions!$F$163,IF(YEAR(BA$5)=2029,Assumptions!$F$164,Assumptions!$F$165)))</f>
        <v/>
      </c>
      <c r="BC28" s="387">
        <f>SUM(F28:Q28)</f>
        <v/>
      </c>
      <c r="BD28" s="387">
        <f>SUM(R28:AC28)</f>
        <v/>
      </c>
      <c r="BE28" s="387">
        <f>SUM(AD28:AO28)</f>
        <v/>
      </c>
      <c r="BF28" s="387">
        <f>SUM(AP28:BA28)</f>
        <v/>
      </c>
    </row>
    <row r="29">
      <c r="B29" s="375" t="inlineStr">
        <is>
          <t>Installer partners on books</t>
        </is>
      </c>
      <c r="C29" s="376" t="inlineStr">
        <is>
          <t>partners</t>
        </is>
      </c>
      <c r="F29" s="386">
        <f>Assumptions!$F$161+F28</f>
        <v/>
      </c>
      <c r="G29" s="386">
        <f>F29+G28</f>
        <v/>
      </c>
      <c r="H29" s="386">
        <f>G29+H28</f>
        <v/>
      </c>
      <c r="I29" s="386">
        <f>H29+I28</f>
        <v/>
      </c>
      <c r="J29" s="386">
        <f>I29+J28</f>
        <v/>
      </c>
      <c r="K29" s="386">
        <f>J29+K28</f>
        <v/>
      </c>
      <c r="L29" s="386">
        <f>K29+L28</f>
        <v/>
      </c>
      <c r="M29" s="386">
        <f>L29+M28</f>
        <v/>
      </c>
      <c r="N29" s="386">
        <f>M29+N28</f>
        <v/>
      </c>
      <c r="O29" s="386">
        <f>N29+O28</f>
        <v/>
      </c>
      <c r="P29" s="386">
        <f>O29+P28</f>
        <v/>
      </c>
      <c r="Q29" s="386">
        <f>P29+Q28</f>
        <v/>
      </c>
      <c r="R29" s="386">
        <f>Q29+R28</f>
        <v/>
      </c>
      <c r="S29" s="386">
        <f>R29+S28</f>
        <v/>
      </c>
      <c r="T29" s="386">
        <f>S29+T28</f>
        <v/>
      </c>
      <c r="U29" s="386">
        <f>T29+U28</f>
        <v/>
      </c>
      <c r="V29" s="386">
        <f>U29+V28</f>
        <v/>
      </c>
      <c r="W29" s="386">
        <f>V29+W28</f>
        <v/>
      </c>
      <c r="X29" s="386">
        <f>W29+X28</f>
        <v/>
      </c>
      <c r="Y29" s="386">
        <f>X29+Y28</f>
        <v/>
      </c>
      <c r="Z29" s="386">
        <f>Y29+Z28</f>
        <v/>
      </c>
      <c r="AA29" s="386">
        <f>Z29+AA28</f>
        <v/>
      </c>
      <c r="AB29" s="386">
        <f>AA29+AB28</f>
        <v/>
      </c>
      <c r="AC29" s="386">
        <f>AB29+AC28</f>
        <v/>
      </c>
      <c r="AD29" s="386">
        <f>AC29+AD28</f>
        <v/>
      </c>
      <c r="AE29" s="386">
        <f>AD29+AE28</f>
        <v/>
      </c>
      <c r="AF29" s="386">
        <f>AE29+AF28</f>
        <v/>
      </c>
      <c r="AG29" s="386">
        <f>AF29+AG28</f>
        <v/>
      </c>
      <c r="AH29" s="386">
        <f>AG29+AH28</f>
        <v/>
      </c>
      <c r="AI29" s="386">
        <f>AH29+AI28</f>
        <v/>
      </c>
      <c r="AJ29" s="386">
        <f>AI29+AJ28</f>
        <v/>
      </c>
      <c r="AK29" s="386">
        <f>AJ29+AK28</f>
        <v/>
      </c>
      <c r="AL29" s="386">
        <f>AK29+AL28</f>
        <v/>
      </c>
      <c r="AM29" s="386">
        <f>AL29+AM28</f>
        <v/>
      </c>
      <c r="AN29" s="386">
        <f>AM29+AN28</f>
        <v/>
      </c>
      <c r="AO29" s="386">
        <f>AN29+AO28</f>
        <v/>
      </c>
      <c r="AP29" s="386">
        <f>AO29+AP28</f>
        <v/>
      </c>
      <c r="AQ29" s="386">
        <f>AP29+AQ28</f>
        <v/>
      </c>
      <c r="AR29" s="386">
        <f>AQ29+AR28</f>
        <v/>
      </c>
      <c r="AS29" s="386">
        <f>AR29+AS28</f>
        <v/>
      </c>
      <c r="AT29" s="386">
        <f>AS29+AT28</f>
        <v/>
      </c>
      <c r="AU29" s="386">
        <f>AT29+AU28</f>
        <v/>
      </c>
      <c r="AV29" s="386">
        <f>AU29+AV28</f>
        <v/>
      </c>
      <c r="AW29" s="386">
        <f>AV29+AW28</f>
        <v/>
      </c>
      <c r="AX29" s="386">
        <f>AW29+AX28</f>
        <v/>
      </c>
      <c r="AY29" s="386">
        <f>AX29+AY28</f>
        <v/>
      </c>
      <c r="AZ29" s="386">
        <f>AY29+AZ28</f>
        <v/>
      </c>
      <c r="BA29" s="386">
        <f>AZ29+BA28</f>
        <v/>
      </c>
      <c r="BC29" s="387">
        <f>Q29</f>
        <v/>
      </c>
      <c r="BD29" s="387">
        <f>AC29</f>
        <v/>
      </c>
      <c r="BE29" s="387">
        <f>AO29</f>
        <v/>
      </c>
      <c r="BF29" s="387">
        <f>BA29</f>
        <v/>
      </c>
    </row>
    <row r="30">
      <c r="B30" s="375" t="inlineStr">
        <is>
          <t>Installer partners productive</t>
        </is>
      </c>
      <c r="C30" s="376" t="inlineStr">
        <is>
          <t>partners</t>
        </is>
      </c>
      <c r="F30" s="386">
        <f>Assumptions!$F$161</f>
        <v/>
      </c>
      <c r="G30" s="386">
        <f>IF(1&lt;Assumptions!$F$166,Assumptions!$F$161,INDEX($F29:BA29,2-Assumptions!$F$166))</f>
        <v/>
      </c>
      <c r="H30" s="386">
        <f>IF(2&lt;Assumptions!$F$166,Assumptions!$F$161,INDEX($F29:BA29,3-Assumptions!$F$166))</f>
        <v/>
      </c>
      <c r="I30" s="386">
        <f>IF(3&lt;Assumptions!$F$166,Assumptions!$F$161,INDEX($F29:BA29,4-Assumptions!$F$166))</f>
        <v/>
      </c>
      <c r="J30" s="386">
        <f>IF(4&lt;Assumptions!$F$166,Assumptions!$F$161,INDEX($F29:BA29,5-Assumptions!$F$166))</f>
        <v/>
      </c>
      <c r="K30" s="386">
        <f>IF(5&lt;Assumptions!$F$166,Assumptions!$F$161,INDEX($F29:BA29,6-Assumptions!$F$166))</f>
        <v/>
      </c>
      <c r="L30" s="386">
        <f>IF(6&lt;Assumptions!$F$166,Assumptions!$F$161,INDEX($F29:BA29,7-Assumptions!$F$166))</f>
        <v/>
      </c>
      <c r="M30" s="386">
        <f>IF(7&lt;Assumptions!$F$166,Assumptions!$F$161,INDEX($F29:BA29,8-Assumptions!$F$166))</f>
        <v/>
      </c>
      <c r="N30" s="386">
        <f>IF(8&lt;Assumptions!$F$166,Assumptions!$F$161,INDEX($F29:BA29,9-Assumptions!$F$166))</f>
        <v/>
      </c>
      <c r="O30" s="386">
        <f>IF(9&lt;Assumptions!$F$166,Assumptions!$F$161,INDEX($F29:BA29,10-Assumptions!$F$166))</f>
        <v/>
      </c>
      <c r="P30" s="386">
        <f>IF(10&lt;Assumptions!$F$166,Assumptions!$F$161,INDEX($F29:BA29,11-Assumptions!$F$166))</f>
        <v/>
      </c>
      <c r="Q30" s="386">
        <f>IF(11&lt;Assumptions!$F$166,Assumptions!$F$161,INDEX($F29:BA29,12-Assumptions!$F$166))</f>
        <v/>
      </c>
      <c r="R30" s="386">
        <f>IF(12&lt;Assumptions!$F$166,Assumptions!$F$161,INDEX($F29:BA29,13-Assumptions!$F$166))</f>
        <v/>
      </c>
      <c r="S30" s="386">
        <f>IF(13&lt;Assumptions!$F$166,Assumptions!$F$161,INDEX($F29:BA29,14-Assumptions!$F$166))</f>
        <v/>
      </c>
      <c r="T30" s="386">
        <f>IF(14&lt;Assumptions!$F$166,Assumptions!$F$161,INDEX($F29:BA29,15-Assumptions!$F$166))</f>
        <v/>
      </c>
      <c r="U30" s="386">
        <f>IF(15&lt;Assumptions!$F$166,Assumptions!$F$161,INDEX($F29:BA29,16-Assumptions!$F$166))</f>
        <v/>
      </c>
      <c r="V30" s="386">
        <f>IF(16&lt;Assumptions!$F$166,Assumptions!$F$161,INDEX($F29:BA29,17-Assumptions!$F$166))</f>
        <v/>
      </c>
      <c r="W30" s="386">
        <f>IF(17&lt;Assumptions!$F$166,Assumptions!$F$161,INDEX($F29:BA29,18-Assumptions!$F$166))</f>
        <v/>
      </c>
      <c r="X30" s="386">
        <f>IF(18&lt;Assumptions!$F$166,Assumptions!$F$161,INDEX($F29:BA29,19-Assumptions!$F$166))</f>
        <v/>
      </c>
      <c r="Y30" s="386">
        <f>IF(19&lt;Assumptions!$F$166,Assumptions!$F$161,INDEX($F29:BA29,20-Assumptions!$F$166))</f>
        <v/>
      </c>
      <c r="Z30" s="386">
        <f>IF(20&lt;Assumptions!$F$166,Assumptions!$F$161,INDEX($F29:BA29,21-Assumptions!$F$166))</f>
        <v/>
      </c>
      <c r="AA30" s="386">
        <f>IF(21&lt;Assumptions!$F$166,Assumptions!$F$161,INDEX($F29:BA29,22-Assumptions!$F$166))</f>
        <v/>
      </c>
      <c r="AB30" s="386">
        <f>IF(22&lt;Assumptions!$F$166,Assumptions!$F$161,INDEX($F29:BA29,23-Assumptions!$F$166))</f>
        <v/>
      </c>
      <c r="AC30" s="386">
        <f>IF(23&lt;Assumptions!$F$166,Assumptions!$F$161,INDEX($F29:BA29,24-Assumptions!$F$166))</f>
        <v/>
      </c>
      <c r="AD30" s="386">
        <f>IF(24&lt;Assumptions!$F$166,Assumptions!$F$161,INDEX($F29:BA29,25-Assumptions!$F$166))</f>
        <v/>
      </c>
      <c r="AE30" s="386">
        <f>IF(25&lt;Assumptions!$F$166,Assumptions!$F$161,INDEX($F29:BA29,26-Assumptions!$F$166))</f>
        <v/>
      </c>
      <c r="AF30" s="386">
        <f>IF(26&lt;Assumptions!$F$166,Assumptions!$F$161,INDEX($F29:BA29,27-Assumptions!$F$166))</f>
        <v/>
      </c>
      <c r="AG30" s="386">
        <f>IF(27&lt;Assumptions!$F$166,Assumptions!$F$161,INDEX($F29:BA29,28-Assumptions!$F$166))</f>
        <v/>
      </c>
      <c r="AH30" s="386">
        <f>IF(28&lt;Assumptions!$F$166,Assumptions!$F$161,INDEX($F29:BA29,29-Assumptions!$F$166))</f>
        <v/>
      </c>
      <c r="AI30" s="386">
        <f>IF(29&lt;Assumptions!$F$166,Assumptions!$F$161,INDEX($F29:BA29,30-Assumptions!$F$166))</f>
        <v/>
      </c>
      <c r="AJ30" s="386">
        <f>IF(30&lt;Assumptions!$F$166,Assumptions!$F$161,INDEX($F29:BA29,31-Assumptions!$F$166))</f>
        <v/>
      </c>
      <c r="AK30" s="386">
        <f>IF(31&lt;Assumptions!$F$166,Assumptions!$F$161,INDEX($F29:BA29,32-Assumptions!$F$166))</f>
        <v/>
      </c>
      <c r="AL30" s="386">
        <f>IF(32&lt;Assumptions!$F$166,Assumptions!$F$161,INDEX($F29:BA29,33-Assumptions!$F$166))</f>
        <v/>
      </c>
      <c r="AM30" s="386">
        <f>IF(33&lt;Assumptions!$F$166,Assumptions!$F$161,INDEX($F29:BA29,34-Assumptions!$F$166))</f>
        <v/>
      </c>
      <c r="AN30" s="386">
        <f>IF(34&lt;Assumptions!$F$166,Assumptions!$F$161,INDEX($F29:BA29,35-Assumptions!$F$166))</f>
        <v/>
      </c>
      <c r="AO30" s="386">
        <f>IF(35&lt;Assumptions!$F$166,Assumptions!$F$161,INDEX($F29:BA29,36-Assumptions!$F$166))</f>
        <v/>
      </c>
      <c r="AP30" s="386">
        <f>IF(36&lt;Assumptions!$F$166,Assumptions!$F$161,INDEX($F29:BA29,37-Assumptions!$F$166))</f>
        <v/>
      </c>
      <c r="AQ30" s="386">
        <f>IF(37&lt;Assumptions!$F$166,Assumptions!$F$161,INDEX($F29:BA29,38-Assumptions!$F$166))</f>
        <v/>
      </c>
      <c r="AR30" s="386">
        <f>IF(38&lt;Assumptions!$F$166,Assumptions!$F$161,INDEX($F29:BA29,39-Assumptions!$F$166))</f>
        <v/>
      </c>
      <c r="AS30" s="386">
        <f>IF(39&lt;Assumptions!$F$166,Assumptions!$F$161,INDEX($F29:BA29,40-Assumptions!$F$166))</f>
        <v/>
      </c>
      <c r="AT30" s="386">
        <f>IF(40&lt;Assumptions!$F$166,Assumptions!$F$161,INDEX($F29:BA29,41-Assumptions!$F$166))</f>
        <v/>
      </c>
      <c r="AU30" s="386">
        <f>IF(41&lt;Assumptions!$F$166,Assumptions!$F$161,INDEX($F29:BA29,42-Assumptions!$F$166))</f>
        <v/>
      </c>
      <c r="AV30" s="386">
        <f>IF(42&lt;Assumptions!$F$166,Assumptions!$F$161,INDEX($F29:BA29,43-Assumptions!$F$166))</f>
        <v/>
      </c>
      <c r="AW30" s="386">
        <f>IF(43&lt;Assumptions!$F$166,Assumptions!$F$161,INDEX($F29:BA29,44-Assumptions!$F$166))</f>
        <v/>
      </c>
      <c r="AX30" s="386">
        <f>IF(44&lt;Assumptions!$F$166,Assumptions!$F$161,INDEX($F29:BA29,45-Assumptions!$F$166))</f>
        <v/>
      </c>
      <c r="AY30" s="386">
        <f>IF(45&lt;Assumptions!$F$166,Assumptions!$F$161,INDEX($F29:BA29,46-Assumptions!$F$166))</f>
        <v/>
      </c>
      <c r="AZ30" s="386">
        <f>IF(46&lt;Assumptions!$F$166,Assumptions!$F$161,INDEX($F29:BA29,47-Assumptions!$F$166))</f>
        <v/>
      </c>
      <c r="BA30" s="386">
        <f>IF(47&lt;Assumptions!$F$166,Assumptions!$F$161,INDEX($F29:BA29,48-Assumptions!$F$166))</f>
        <v/>
      </c>
      <c r="BC30" s="387">
        <f>Q30</f>
        <v/>
      </c>
      <c r="BD30" s="387">
        <f>AC30</f>
        <v/>
      </c>
      <c r="BE30" s="387">
        <f>AO30</f>
        <v/>
      </c>
      <c r="BF30" s="387">
        <f>BA30</f>
        <v/>
      </c>
    </row>
    <row r="31">
      <c r="B31" s="375" t="inlineStr">
        <is>
          <t>Channel capacity</t>
        </is>
      </c>
      <c r="C31" s="376" t="inlineStr">
        <is>
          <t>units/mo</t>
        </is>
      </c>
      <c r="F31" s="377">
        <f>F30*Assumptions!$F$167</f>
        <v/>
      </c>
      <c r="G31" s="377">
        <f>G30*Assumptions!$F$167</f>
        <v/>
      </c>
      <c r="H31" s="377">
        <f>H30*Assumptions!$F$167</f>
        <v/>
      </c>
      <c r="I31" s="377">
        <f>I30*Assumptions!$F$167</f>
        <v/>
      </c>
      <c r="J31" s="377">
        <f>J30*Assumptions!$F$167</f>
        <v/>
      </c>
      <c r="K31" s="377">
        <f>K30*Assumptions!$F$167</f>
        <v/>
      </c>
      <c r="L31" s="377">
        <f>L30*Assumptions!$F$167</f>
        <v/>
      </c>
      <c r="M31" s="377">
        <f>M30*Assumptions!$F$167</f>
        <v/>
      </c>
      <c r="N31" s="377">
        <f>N30*Assumptions!$F$167</f>
        <v/>
      </c>
      <c r="O31" s="377">
        <f>O30*Assumptions!$F$167</f>
        <v/>
      </c>
      <c r="P31" s="377">
        <f>P30*Assumptions!$F$167</f>
        <v/>
      </c>
      <c r="Q31" s="377">
        <f>Q30*Assumptions!$F$167</f>
        <v/>
      </c>
      <c r="R31" s="377">
        <f>R30*Assumptions!$F$167</f>
        <v/>
      </c>
      <c r="S31" s="377">
        <f>S30*Assumptions!$F$167</f>
        <v/>
      </c>
      <c r="T31" s="377">
        <f>T30*Assumptions!$F$167</f>
        <v/>
      </c>
      <c r="U31" s="377">
        <f>U30*Assumptions!$F$167</f>
        <v/>
      </c>
      <c r="V31" s="377">
        <f>V30*Assumptions!$F$167</f>
        <v/>
      </c>
      <c r="W31" s="377">
        <f>W30*Assumptions!$F$167</f>
        <v/>
      </c>
      <c r="X31" s="377">
        <f>X30*Assumptions!$F$167</f>
        <v/>
      </c>
      <c r="Y31" s="377">
        <f>Y30*Assumptions!$F$167</f>
        <v/>
      </c>
      <c r="Z31" s="377">
        <f>Z30*Assumptions!$F$167</f>
        <v/>
      </c>
      <c r="AA31" s="377">
        <f>AA30*Assumptions!$F$167</f>
        <v/>
      </c>
      <c r="AB31" s="377">
        <f>AB30*Assumptions!$F$167</f>
        <v/>
      </c>
      <c r="AC31" s="377">
        <f>AC30*Assumptions!$F$167</f>
        <v/>
      </c>
      <c r="AD31" s="377">
        <f>AD30*Assumptions!$F$167</f>
        <v/>
      </c>
      <c r="AE31" s="377">
        <f>AE30*Assumptions!$F$167</f>
        <v/>
      </c>
      <c r="AF31" s="377">
        <f>AF30*Assumptions!$F$167</f>
        <v/>
      </c>
      <c r="AG31" s="377">
        <f>AG30*Assumptions!$F$167</f>
        <v/>
      </c>
      <c r="AH31" s="377">
        <f>AH30*Assumptions!$F$167</f>
        <v/>
      </c>
      <c r="AI31" s="377">
        <f>AI30*Assumptions!$F$167</f>
        <v/>
      </c>
      <c r="AJ31" s="377">
        <f>AJ30*Assumptions!$F$167</f>
        <v/>
      </c>
      <c r="AK31" s="377">
        <f>AK30*Assumptions!$F$167</f>
        <v/>
      </c>
      <c r="AL31" s="377">
        <f>AL30*Assumptions!$F$167</f>
        <v/>
      </c>
      <c r="AM31" s="377">
        <f>AM30*Assumptions!$F$167</f>
        <v/>
      </c>
      <c r="AN31" s="377">
        <f>AN30*Assumptions!$F$167</f>
        <v/>
      </c>
      <c r="AO31" s="377">
        <f>AO30*Assumptions!$F$167</f>
        <v/>
      </c>
      <c r="AP31" s="377">
        <f>AP30*Assumptions!$F$167</f>
        <v/>
      </c>
      <c r="AQ31" s="377">
        <f>AQ30*Assumptions!$F$167</f>
        <v/>
      </c>
      <c r="AR31" s="377">
        <f>AR30*Assumptions!$F$167</f>
        <v/>
      </c>
      <c r="AS31" s="377">
        <f>AS30*Assumptions!$F$167</f>
        <v/>
      </c>
      <c r="AT31" s="377">
        <f>AT30*Assumptions!$F$167</f>
        <v/>
      </c>
      <c r="AU31" s="377">
        <f>AU30*Assumptions!$F$167</f>
        <v/>
      </c>
      <c r="AV31" s="377">
        <f>AV30*Assumptions!$F$167</f>
        <v/>
      </c>
      <c r="AW31" s="377">
        <f>AW30*Assumptions!$F$167</f>
        <v/>
      </c>
      <c r="AX31" s="377">
        <f>AX30*Assumptions!$F$167</f>
        <v/>
      </c>
      <c r="AY31" s="377">
        <f>AY30*Assumptions!$F$167</f>
        <v/>
      </c>
      <c r="AZ31" s="377">
        <f>AZ30*Assumptions!$F$167</f>
        <v/>
      </c>
      <c r="BA31" s="377">
        <f>BA30*Assumptions!$F$167</f>
        <v/>
      </c>
      <c r="BC31" s="378">
        <f>SUM(F31:Q31)</f>
        <v/>
      </c>
      <c r="BD31" s="378">
        <f>SUM(R31:AC31)</f>
        <v/>
      </c>
      <c r="BE31" s="378">
        <f>SUM(AD31:AO31)</f>
        <v/>
      </c>
      <c r="BF31" s="378">
        <f>SUM(AP31:BA31)</f>
        <v/>
      </c>
    </row>
    <row r="32">
      <c r="B32" s="379" t="inlineStr">
        <is>
          <t>TOTAL sales capacity</t>
        </is>
      </c>
      <c r="C32" s="376" t="inlineStr">
        <is>
          <t>units/mo</t>
        </is>
      </c>
      <c r="F32" s="380">
        <f>MIN(IFERROR(F27/F23,1000000),IFERROR(F31/(1-F23),1000000))</f>
        <v/>
      </c>
      <c r="G32" s="380">
        <f>MIN(IFERROR(G27/G23,1000000),IFERROR(G31/(1-G23),1000000))</f>
        <v/>
      </c>
      <c r="H32" s="380">
        <f>MIN(IFERROR(H27/H23,1000000),IFERROR(H31/(1-H23),1000000))</f>
        <v/>
      </c>
      <c r="I32" s="380">
        <f>MIN(IFERROR(I27/I23,1000000),IFERROR(I31/(1-I23),1000000))</f>
        <v/>
      </c>
      <c r="J32" s="380">
        <f>MIN(IFERROR(J27/J23,1000000),IFERROR(J31/(1-J23),1000000))</f>
        <v/>
      </c>
      <c r="K32" s="380">
        <f>MIN(IFERROR(K27/K23,1000000),IFERROR(K31/(1-K23),1000000))</f>
        <v/>
      </c>
      <c r="L32" s="380">
        <f>MIN(IFERROR(L27/L23,1000000),IFERROR(L31/(1-L23),1000000))</f>
        <v/>
      </c>
      <c r="M32" s="380">
        <f>MIN(IFERROR(M27/M23,1000000),IFERROR(M31/(1-M23),1000000))</f>
        <v/>
      </c>
      <c r="N32" s="380">
        <f>MIN(IFERROR(N27/N23,1000000),IFERROR(N31/(1-N23),1000000))</f>
        <v/>
      </c>
      <c r="O32" s="380">
        <f>MIN(IFERROR(O27/O23,1000000),IFERROR(O31/(1-O23),1000000))</f>
        <v/>
      </c>
      <c r="P32" s="380">
        <f>MIN(IFERROR(P27/P23,1000000),IFERROR(P31/(1-P23),1000000))</f>
        <v/>
      </c>
      <c r="Q32" s="380">
        <f>MIN(IFERROR(Q27/Q23,1000000),IFERROR(Q31/(1-Q23),1000000))</f>
        <v/>
      </c>
      <c r="R32" s="380">
        <f>MIN(IFERROR(R27/R23,1000000),IFERROR(R31/(1-R23),1000000))</f>
        <v/>
      </c>
      <c r="S32" s="380">
        <f>MIN(IFERROR(S27/S23,1000000),IFERROR(S31/(1-S23),1000000))</f>
        <v/>
      </c>
      <c r="T32" s="380">
        <f>MIN(IFERROR(T27/T23,1000000),IFERROR(T31/(1-T23),1000000))</f>
        <v/>
      </c>
      <c r="U32" s="380">
        <f>MIN(IFERROR(U27/U23,1000000),IFERROR(U31/(1-U23),1000000))</f>
        <v/>
      </c>
      <c r="V32" s="380">
        <f>MIN(IFERROR(V27/V23,1000000),IFERROR(V31/(1-V23),1000000))</f>
        <v/>
      </c>
      <c r="W32" s="380">
        <f>MIN(IFERROR(W27/W23,1000000),IFERROR(W31/(1-W23),1000000))</f>
        <v/>
      </c>
      <c r="X32" s="380">
        <f>MIN(IFERROR(X27/X23,1000000),IFERROR(X31/(1-X23),1000000))</f>
        <v/>
      </c>
      <c r="Y32" s="380">
        <f>MIN(IFERROR(Y27/Y23,1000000),IFERROR(Y31/(1-Y23),1000000))</f>
        <v/>
      </c>
      <c r="Z32" s="380">
        <f>MIN(IFERROR(Z27/Z23,1000000),IFERROR(Z31/(1-Z23),1000000))</f>
        <v/>
      </c>
      <c r="AA32" s="380">
        <f>MIN(IFERROR(AA27/AA23,1000000),IFERROR(AA31/(1-AA23),1000000))</f>
        <v/>
      </c>
      <c r="AB32" s="380">
        <f>MIN(IFERROR(AB27/AB23,1000000),IFERROR(AB31/(1-AB23),1000000))</f>
        <v/>
      </c>
      <c r="AC32" s="380">
        <f>MIN(IFERROR(AC27/AC23,1000000),IFERROR(AC31/(1-AC23),1000000))</f>
        <v/>
      </c>
      <c r="AD32" s="380">
        <f>MIN(IFERROR(AD27/AD23,1000000),IFERROR(AD31/(1-AD23),1000000))</f>
        <v/>
      </c>
      <c r="AE32" s="380">
        <f>MIN(IFERROR(AE27/AE23,1000000),IFERROR(AE31/(1-AE23),1000000))</f>
        <v/>
      </c>
      <c r="AF32" s="380">
        <f>MIN(IFERROR(AF27/AF23,1000000),IFERROR(AF31/(1-AF23),1000000))</f>
        <v/>
      </c>
      <c r="AG32" s="380">
        <f>MIN(IFERROR(AG27/AG23,1000000),IFERROR(AG31/(1-AG23),1000000))</f>
        <v/>
      </c>
      <c r="AH32" s="380">
        <f>MIN(IFERROR(AH27/AH23,1000000),IFERROR(AH31/(1-AH23),1000000))</f>
        <v/>
      </c>
      <c r="AI32" s="380">
        <f>MIN(IFERROR(AI27/AI23,1000000),IFERROR(AI31/(1-AI23),1000000))</f>
        <v/>
      </c>
      <c r="AJ32" s="380">
        <f>MIN(IFERROR(AJ27/AJ23,1000000),IFERROR(AJ31/(1-AJ23),1000000))</f>
        <v/>
      </c>
      <c r="AK32" s="380">
        <f>MIN(IFERROR(AK27/AK23,1000000),IFERROR(AK31/(1-AK23),1000000))</f>
        <v/>
      </c>
      <c r="AL32" s="380">
        <f>MIN(IFERROR(AL27/AL23,1000000),IFERROR(AL31/(1-AL23),1000000))</f>
        <v/>
      </c>
      <c r="AM32" s="380">
        <f>MIN(IFERROR(AM27/AM23,1000000),IFERROR(AM31/(1-AM23),1000000))</f>
        <v/>
      </c>
      <c r="AN32" s="380">
        <f>MIN(IFERROR(AN27/AN23,1000000),IFERROR(AN31/(1-AN23),1000000))</f>
        <v/>
      </c>
      <c r="AO32" s="380">
        <f>MIN(IFERROR(AO27/AO23,1000000),IFERROR(AO31/(1-AO23),1000000))</f>
        <v/>
      </c>
      <c r="AP32" s="380">
        <f>MIN(IFERROR(AP27/AP23,1000000),IFERROR(AP31/(1-AP23),1000000))</f>
        <v/>
      </c>
      <c r="AQ32" s="380">
        <f>MIN(IFERROR(AQ27/AQ23,1000000),IFERROR(AQ31/(1-AQ23),1000000))</f>
        <v/>
      </c>
      <c r="AR32" s="380">
        <f>MIN(IFERROR(AR27/AR23,1000000),IFERROR(AR31/(1-AR23),1000000))</f>
        <v/>
      </c>
      <c r="AS32" s="380">
        <f>MIN(IFERROR(AS27/AS23,1000000),IFERROR(AS31/(1-AS23),1000000))</f>
        <v/>
      </c>
      <c r="AT32" s="380">
        <f>MIN(IFERROR(AT27/AT23,1000000),IFERROR(AT31/(1-AT23),1000000))</f>
        <v/>
      </c>
      <c r="AU32" s="380">
        <f>MIN(IFERROR(AU27/AU23,1000000),IFERROR(AU31/(1-AU23),1000000))</f>
        <v/>
      </c>
      <c r="AV32" s="380">
        <f>MIN(IFERROR(AV27/AV23,1000000),IFERROR(AV31/(1-AV23),1000000))</f>
        <v/>
      </c>
      <c r="AW32" s="380">
        <f>MIN(IFERROR(AW27/AW23,1000000),IFERROR(AW31/(1-AW23),1000000))</f>
        <v/>
      </c>
      <c r="AX32" s="380">
        <f>MIN(IFERROR(AX27/AX23,1000000),IFERROR(AX31/(1-AX23),1000000))</f>
        <v/>
      </c>
      <c r="AY32" s="380">
        <f>MIN(IFERROR(AY27/AY23,1000000),IFERROR(AY31/(1-AY23),1000000))</f>
        <v/>
      </c>
      <c r="AZ32" s="380">
        <f>MIN(IFERROR(AZ27/AZ23,1000000),IFERROR(AZ31/(1-AZ23),1000000))</f>
        <v/>
      </c>
      <c r="BA32" s="380">
        <f>MIN(IFERROR(BA27/BA23,1000000),IFERROR(BA31/(1-BA23),1000000))</f>
        <v/>
      </c>
      <c r="BC32" s="378">
        <f>SUM(F32:Q32)</f>
        <v/>
      </c>
      <c r="BD32" s="378">
        <f>SUM(R32:AC32)</f>
        <v/>
      </c>
      <c r="BE32" s="378">
        <f>SUM(AD32:AO32)</f>
        <v/>
      </c>
      <c r="BF32" s="378">
        <f>SUM(AP32:BA32)</f>
        <v/>
      </c>
      <c r="BH32" s="370" t="inlineStr">
        <is>
          <t>how many we can actually sell: our own reps have to cover the direct share, installers the rest</t>
        </is>
      </c>
    </row>
    <row r="33">
      <c r="B33" s="375" t="inlineStr">
        <is>
          <t>Partner managers required</t>
        </is>
      </c>
      <c r="C33" s="376" t="inlineStr">
        <is>
          <t>FTE</t>
        </is>
      </c>
      <c r="F33" s="377">
        <f>ROUNDUP(F29/Assumptions!$F$168,0)</f>
        <v/>
      </c>
      <c r="G33" s="377">
        <f>ROUNDUP(G29/Assumptions!$F$168,0)</f>
        <v/>
      </c>
      <c r="H33" s="377">
        <f>ROUNDUP(H29/Assumptions!$F$168,0)</f>
        <v/>
      </c>
      <c r="I33" s="377">
        <f>ROUNDUP(I29/Assumptions!$F$168,0)</f>
        <v/>
      </c>
      <c r="J33" s="377">
        <f>ROUNDUP(J29/Assumptions!$F$168,0)</f>
        <v/>
      </c>
      <c r="K33" s="377">
        <f>ROUNDUP(K29/Assumptions!$F$168,0)</f>
        <v/>
      </c>
      <c r="L33" s="377">
        <f>ROUNDUP(L29/Assumptions!$F$168,0)</f>
        <v/>
      </c>
      <c r="M33" s="377">
        <f>ROUNDUP(M29/Assumptions!$F$168,0)</f>
        <v/>
      </c>
      <c r="N33" s="377">
        <f>ROUNDUP(N29/Assumptions!$F$168,0)</f>
        <v/>
      </c>
      <c r="O33" s="377">
        <f>ROUNDUP(O29/Assumptions!$F$168,0)</f>
        <v/>
      </c>
      <c r="P33" s="377">
        <f>ROUNDUP(P29/Assumptions!$F$168,0)</f>
        <v/>
      </c>
      <c r="Q33" s="377">
        <f>ROUNDUP(Q29/Assumptions!$F$168,0)</f>
        <v/>
      </c>
      <c r="R33" s="377">
        <f>ROUNDUP(R29/Assumptions!$F$168,0)</f>
        <v/>
      </c>
      <c r="S33" s="377">
        <f>ROUNDUP(S29/Assumptions!$F$168,0)</f>
        <v/>
      </c>
      <c r="T33" s="377">
        <f>ROUNDUP(T29/Assumptions!$F$168,0)</f>
        <v/>
      </c>
      <c r="U33" s="377">
        <f>ROUNDUP(U29/Assumptions!$F$168,0)</f>
        <v/>
      </c>
      <c r="V33" s="377">
        <f>ROUNDUP(V29/Assumptions!$F$168,0)</f>
        <v/>
      </c>
      <c r="W33" s="377">
        <f>ROUNDUP(W29/Assumptions!$F$168,0)</f>
        <v/>
      </c>
      <c r="X33" s="377">
        <f>ROUNDUP(X29/Assumptions!$F$168,0)</f>
        <v/>
      </c>
      <c r="Y33" s="377">
        <f>ROUNDUP(Y29/Assumptions!$F$168,0)</f>
        <v/>
      </c>
      <c r="Z33" s="377">
        <f>ROUNDUP(Z29/Assumptions!$F$168,0)</f>
        <v/>
      </c>
      <c r="AA33" s="377">
        <f>ROUNDUP(AA29/Assumptions!$F$168,0)</f>
        <v/>
      </c>
      <c r="AB33" s="377">
        <f>ROUNDUP(AB29/Assumptions!$F$168,0)</f>
        <v/>
      </c>
      <c r="AC33" s="377">
        <f>ROUNDUP(AC29/Assumptions!$F$168,0)</f>
        <v/>
      </c>
      <c r="AD33" s="377">
        <f>ROUNDUP(AD29/Assumptions!$F$168,0)</f>
        <v/>
      </c>
      <c r="AE33" s="377">
        <f>ROUNDUP(AE29/Assumptions!$F$168,0)</f>
        <v/>
      </c>
      <c r="AF33" s="377">
        <f>ROUNDUP(AF29/Assumptions!$F$168,0)</f>
        <v/>
      </c>
      <c r="AG33" s="377">
        <f>ROUNDUP(AG29/Assumptions!$F$168,0)</f>
        <v/>
      </c>
      <c r="AH33" s="377">
        <f>ROUNDUP(AH29/Assumptions!$F$168,0)</f>
        <v/>
      </c>
      <c r="AI33" s="377">
        <f>ROUNDUP(AI29/Assumptions!$F$168,0)</f>
        <v/>
      </c>
      <c r="AJ33" s="377">
        <f>ROUNDUP(AJ29/Assumptions!$F$168,0)</f>
        <v/>
      </c>
      <c r="AK33" s="377">
        <f>ROUNDUP(AK29/Assumptions!$F$168,0)</f>
        <v/>
      </c>
      <c r="AL33" s="377">
        <f>ROUNDUP(AL29/Assumptions!$F$168,0)</f>
        <v/>
      </c>
      <c r="AM33" s="377">
        <f>ROUNDUP(AM29/Assumptions!$F$168,0)</f>
        <v/>
      </c>
      <c r="AN33" s="377">
        <f>ROUNDUP(AN29/Assumptions!$F$168,0)</f>
        <v/>
      </c>
      <c r="AO33" s="377">
        <f>ROUNDUP(AO29/Assumptions!$F$168,0)</f>
        <v/>
      </c>
      <c r="AP33" s="377">
        <f>ROUNDUP(AP29/Assumptions!$F$168,0)</f>
        <v/>
      </c>
      <c r="AQ33" s="377">
        <f>ROUNDUP(AQ29/Assumptions!$F$168,0)</f>
        <v/>
      </c>
      <c r="AR33" s="377">
        <f>ROUNDUP(AR29/Assumptions!$F$168,0)</f>
        <v/>
      </c>
      <c r="AS33" s="377">
        <f>ROUNDUP(AS29/Assumptions!$F$168,0)</f>
        <v/>
      </c>
      <c r="AT33" s="377">
        <f>ROUNDUP(AT29/Assumptions!$F$168,0)</f>
        <v/>
      </c>
      <c r="AU33" s="377">
        <f>ROUNDUP(AU29/Assumptions!$F$168,0)</f>
        <v/>
      </c>
      <c r="AV33" s="377">
        <f>ROUNDUP(AV29/Assumptions!$F$168,0)</f>
        <v/>
      </c>
      <c r="AW33" s="377">
        <f>ROUNDUP(AW29/Assumptions!$F$168,0)</f>
        <v/>
      </c>
      <c r="AX33" s="377">
        <f>ROUNDUP(AX29/Assumptions!$F$168,0)</f>
        <v/>
      </c>
      <c r="AY33" s="377">
        <f>ROUNDUP(AY29/Assumptions!$F$168,0)</f>
        <v/>
      </c>
      <c r="AZ33" s="377">
        <f>ROUNDUP(AZ29/Assumptions!$F$168,0)</f>
        <v/>
      </c>
      <c r="BA33" s="377">
        <f>ROUNDUP(BA29/Assumptions!$F$168,0)</f>
        <v/>
      </c>
      <c r="BC33" s="378">
        <f>Q33</f>
        <v/>
      </c>
      <c r="BD33" s="378">
        <f>AC33</f>
        <v/>
      </c>
      <c r="BE33" s="378">
        <f>AO33</f>
        <v/>
      </c>
      <c r="BF33" s="378">
        <f>BA33</f>
        <v/>
      </c>
    </row>
    <row r="34"/>
    <row r="35"/>
    <row r="36">
      <c r="B36" s="374" t="inlineStr">
        <is>
          <t>BUILD CAPACITY  —  assembly partner first, in-house lines take over</t>
        </is>
      </c>
      <c r="C36" s="374" t="n"/>
      <c r="D36" s="374" t="n"/>
      <c r="E36" s="374" t="n"/>
      <c r="F36" s="374" t="n"/>
      <c r="G36" s="374" t="n"/>
      <c r="H36" s="374" t="n"/>
      <c r="I36" s="374" t="n"/>
      <c r="J36" s="374" t="n"/>
      <c r="K36" s="374" t="n"/>
      <c r="L36" s="374" t="n"/>
      <c r="M36" s="374" t="n"/>
      <c r="N36" s="374" t="n"/>
      <c r="O36" s="374" t="n"/>
      <c r="P36" s="374" t="n"/>
      <c r="Q36" s="374" t="n"/>
      <c r="R36" s="374" t="n"/>
      <c r="S36" s="374" t="n"/>
      <c r="T36" s="374" t="n"/>
      <c r="U36" s="374" t="n"/>
      <c r="V36" s="374" t="n"/>
      <c r="W36" s="374" t="n"/>
      <c r="X36" s="374" t="n"/>
      <c r="Y36" s="374" t="n"/>
      <c r="Z36" s="374" t="n"/>
      <c r="AA36" s="374" t="n"/>
      <c r="AB36" s="374" t="n"/>
      <c r="AC36" s="374" t="n"/>
      <c r="AD36" s="374" t="n"/>
      <c r="AE36" s="374" t="n"/>
      <c r="AF36" s="374" t="n"/>
      <c r="AG36" s="374" t="n"/>
      <c r="AH36" s="374" t="n"/>
      <c r="AI36" s="374" t="n"/>
      <c r="AJ36" s="374" t="n"/>
      <c r="AK36" s="374" t="n"/>
      <c r="AL36" s="374" t="n"/>
      <c r="AM36" s="374" t="n"/>
      <c r="AN36" s="374" t="n"/>
      <c r="AO36" s="374" t="n"/>
      <c r="AP36" s="374" t="n"/>
      <c r="AQ36" s="374" t="n"/>
      <c r="AR36" s="374" t="n"/>
      <c r="AS36" s="374" t="n"/>
      <c r="AT36" s="374" t="n"/>
      <c r="AU36" s="374" t="n"/>
      <c r="AV36" s="374" t="n"/>
      <c r="AW36" s="374" t="n"/>
      <c r="AX36" s="374" t="n"/>
      <c r="AY36" s="374" t="n"/>
      <c r="AZ36" s="374" t="n"/>
      <c r="BA36" s="374" t="n"/>
      <c r="BB36" s="374" t="n"/>
      <c r="BC36" s="374" t="n"/>
      <c r="BD36" s="374" t="n"/>
      <c r="BE36" s="374" t="n"/>
      <c r="BF36" s="374" t="n"/>
      <c r="BG36" s="374" t="n"/>
    </row>
    <row r="37">
      <c r="B37" s="375" t="inlineStr">
        <is>
          <t>Assembly partner capacity</t>
        </is>
      </c>
      <c r="C37" s="376" t="inlineStr">
        <is>
          <t>units/mo</t>
        </is>
      </c>
      <c r="F37" s="381">
        <f>Assumptions!$F$172</f>
        <v/>
      </c>
      <c r="G37" s="381">
        <f>Assumptions!$F$172</f>
        <v/>
      </c>
      <c r="H37" s="381">
        <f>Assumptions!$F$172</f>
        <v/>
      </c>
      <c r="I37" s="381">
        <f>Assumptions!$F$172</f>
        <v/>
      </c>
      <c r="J37" s="381">
        <f>Assumptions!$F$172</f>
        <v/>
      </c>
      <c r="K37" s="381">
        <f>Assumptions!$F$172</f>
        <v/>
      </c>
      <c r="L37" s="381">
        <f>Assumptions!$F$172</f>
        <v/>
      </c>
      <c r="M37" s="381">
        <f>Assumptions!$F$172</f>
        <v/>
      </c>
      <c r="N37" s="381">
        <f>Assumptions!$F$172</f>
        <v/>
      </c>
      <c r="O37" s="381">
        <f>Assumptions!$F$172</f>
        <v/>
      </c>
      <c r="P37" s="381">
        <f>Assumptions!$F$172</f>
        <v/>
      </c>
      <c r="Q37" s="381">
        <f>Assumptions!$F$172</f>
        <v/>
      </c>
      <c r="R37" s="381">
        <f>Assumptions!$F$172</f>
        <v/>
      </c>
      <c r="S37" s="381">
        <f>Assumptions!$F$172</f>
        <v/>
      </c>
      <c r="T37" s="381">
        <f>Assumptions!$F$172</f>
        <v/>
      </c>
      <c r="U37" s="381">
        <f>Assumptions!$F$172</f>
        <v/>
      </c>
      <c r="V37" s="381">
        <f>Assumptions!$F$172</f>
        <v/>
      </c>
      <c r="W37" s="381">
        <f>Assumptions!$F$172</f>
        <v/>
      </c>
      <c r="X37" s="381">
        <f>Assumptions!$F$172</f>
        <v/>
      </c>
      <c r="Y37" s="381">
        <f>Assumptions!$F$172</f>
        <v/>
      </c>
      <c r="Z37" s="381">
        <f>Assumptions!$F$172</f>
        <v/>
      </c>
      <c r="AA37" s="381">
        <f>Assumptions!$F$172</f>
        <v/>
      </c>
      <c r="AB37" s="381">
        <f>Assumptions!$F$172</f>
        <v/>
      </c>
      <c r="AC37" s="381">
        <f>Assumptions!$F$172</f>
        <v/>
      </c>
      <c r="AD37" s="381">
        <f>Assumptions!$F$172</f>
        <v/>
      </c>
      <c r="AE37" s="381">
        <f>Assumptions!$F$172</f>
        <v/>
      </c>
      <c r="AF37" s="381">
        <f>Assumptions!$F$172</f>
        <v/>
      </c>
      <c r="AG37" s="381">
        <f>Assumptions!$F$172</f>
        <v/>
      </c>
      <c r="AH37" s="381">
        <f>Assumptions!$F$172</f>
        <v/>
      </c>
      <c r="AI37" s="381">
        <f>Assumptions!$F$172</f>
        <v/>
      </c>
      <c r="AJ37" s="381">
        <f>Assumptions!$F$172</f>
        <v/>
      </c>
      <c r="AK37" s="381">
        <f>Assumptions!$F$172</f>
        <v/>
      </c>
      <c r="AL37" s="381">
        <f>Assumptions!$F$172</f>
        <v/>
      </c>
      <c r="AM37" s="381">
        <f>Assumptions!$F$172</f>
        <v/>
      </c>
      <c r="AN37" s="381">
        <f>Assumptions!$F$172</f>
        <v/>
      </c>
      <c r="AO37" s="381">
        <f>Assumptions!$F$172</f>
        <v/>
      </c>
      <c r="AP37" s="381">
        <f>Assumptions!$F$172</f>
        <v/>
      </c>
      <c r="AQ37" s="381">
        <f>Assumptions!$F$172</f>
        <v/>
      </c>
      <c r="AR37" s="381">
        <f>Assumptions!$F$172</f>
        <v/>
      </c>
      <c r="AS37" s="381">
        <f>Assumptions!$F$172</f>
        <v/>
      </c>
      <c r="AT37" s="381">
        <f>Assumptions!$F$172</f>
        <v/>
      </c>
      <c r="AU37" s="381">
        <f>Assumptions!$F$172</f>
        <v/>
      </c>
      <c r="AV37" s="381">
        <f>Assumptions!$F$172</f>
        <v/>
      </c>
      <c r="AW37" s="381">
        <f>Assumptions!$F$172</f>
        <v/>
      </c>
      <c r="AX37" s="381">
        <f>Assumptions!$F$172</f>
        <v/>
      </c>
      <c r="AY37" s="381">
        <f>Assumptions!$F$172</f>
        <v/>
      </c>
      <c r="AZ37" s="381">
        <f>Assumptions!$F$172</f>
        <v/>
      </c>
      <c r="BA37" s="381">
        <f>Assumptions!$F$172</f>
        <v/>
      </c>
      <c r="BC37" s="378">
        <f>SUM(F37:Q37)</f>
        <v/>
      </c>
      <c r="BD37" s="378">
        <f>SUM(R37:AC37)</f>
        <v/>
      </c>
      <c r="BE37" s="378">
        <f>SUM(AD37:AO37)</f>
        <v/>
      </c>
      <c r="BF37" s="378">
        <f>SUM(AP37:BA37)</f>
        <v/>
      </c>
    </row>
    <row r="38">
      <c r="B38" s="375" t="inlineStr">
        <is>
          <t>In-house lines live</t>
        </is>
      </c>
      <c r="C38" s="376" t="inlineStr">
        <is>
          <t>lines</t>
        </is>
      </c>
      <c r="F38" s="377">
        <f>IF(F$5&gt;=Assumptions!$F$173,1,0)+IF(F$5&gt;=Assumptions!$F$174,1,0)</f>
        <v/>
      </c>
      <c r="G38" s="377">
        <f>IF(G$5&gt;=Assumptions!$F$173,1,0)+IF(G$5&gt;=Assumptions!$F$174,1,0)</f>
        <v/>
      </c>
      <c r="H38" s="377">
        <f>IF(H$5&gt;=Assumptions!$F$173,1,0)+IF(H$5&gt;=Assumptions!$F$174,1,0)</f>
        <v/>
      </c>
      <c r="I38" s="377">
        <f>IF(I$5&gt;=Assumptions!$F$173,1,0)+IF(I$5&gt;=Assumptions!$F$174,1,0)</f>
        <v/>
      </c>
      <c r="J38" s="377">
        <f>IF(J$5&gt;=Assumptions!$F$173,1,0)+IF(J$5&gt;=Assumptions!$F$174,1,0)</f>
        <v/>
      </c>
      <c r="K38" s="377">
        <f>IF(K$5&gt;=Assumptions!$F$173,1,0)+IF(K$5&gt;=Assumptions!$F$174,1,0)</f>
        <v/>
      </c>
      <c r="L38" s="377">
        <f>IF(L$5&gt;=Assumptions!$F$173,1,0)+IF(L$5&gt;=Assumptions!$F$174,1,0)</f>
        <v/>
      </c>
      <c r="M38" s="377">
        <f>IF(M$5&gt;=Assumptions!$F$173,1,0)+IF(M$5&gt;=Assumptions!$F$174,1,0)</f>
        <v/>
      </c>
      <c r="N38" s="377">
        <f>IF(N$5&gt;=Assumptions!$F$173,1,0)+IF(N$5&gt;=Assumptions!$F$174,1,0)</f>
        <v/>
      </c>
      <c r="O38" s="377">
        <f>IF(O$5&gt;=Assumptions!$F$173,1,0)+IF(O$5&gt;=Assumptions!$F$174,1,0)</f>
        <v/>
      </c>
      <c r="P38" s="377">
        <f>IF(P$5&gt;=Assumptions!$F$173,1,0)+IF(P$5&gt;=Assumptions!$F$174,1,0)</f>
        <v/>
      </c>
      <c r="Q38" s="377">
        <f>IF(Q$5&gt;=Assumptions!$F$173,1,0)+IF(Q$5&gt;=Assumptions!$F$174,1,0)</f>
        <v/>
      </c>
      <c r="R38" s="377">
        <f>IF(R$5&gt;=Assumptions!$F$173,1,0)+IF(R$5&gt;=Assumptions!$F$174,1,0)</f>
        <v/>
      </c>
      <c r="S38" s="377">
        <f>IF(S$5&gt;=Assumptions!$F$173,1,0)+IF(S$5&gt;=Assumptions!$F$174,1,0)</f>
        <v/>
      </c>
      <c r="T38" s="377">
        <f>IF(T$5&gt;=Assumptions!$F$173,1,0)+IF(T$5&gt;=Assumptions!$F$174,1,0)</f>
        <v/>
      </c>
      <c r="U38" s="377">
        <f>IF(U$5&gt;=Assumptions!$F$173,1,0)+IF(U$5&gt;=Assumptions!$F$174,1,0)</f>
        <v/>
      </c>
      <c r="V38" s="377">
        <f>IF(V$5&gt;=Assumptions!$F$173,1,0)+IF(V$5&gt;=Assumptions!$F$174,1,0)</f>
        <v/>
      </c>
      <c r="W38" s="377">
        <f>IF(W$5&gt;=Assumptions!$F$173,1,0)+IF(W$5&gt;=Assumptions!$F$174,1,0)</f>
        <v/>
      </c>
      <c r="X38" s="377">
        <f>IF(X$5&gt;=Assumptions!$F$173,1,0)+IF(X$5&gt;=Assumptions!$F$174,1,0)</f>
        <v/>
      </c>
      <c r="Y38" s="377">
        <f>IF(Y$5&gt;=Assumptions!$F$173,1,0)+IF(Y$5&gt;=Assumptions!$F$174,1,0)</f>
        <v/>
      </c>
      <c r="Z38" s="377">
        <f>IF(Z$5&gt;=Assumptions!$F$173,1,0)+IF(Z$5&gt;=Assumptions!$F$174,1,0)</f>
        <v/>
      </c>
      <c r="AA38" s="377">
        <f>IF(AA$5&gt;=Assumptions!$F$173,1,0)+IF(AA$5&gt;=Assumptions!$F$174,1,0)</f>
        <v/>
      </c>
      <c r="AB38" s="377">
        <f>IF(AB$5&gt;=Assumptions!$F$173,1,0)+IF(AB$5&gt;=Assumptions!$F$174,1,0)</f>
        <v/>
      </c>
      <c r="AC38" s="377">
        <f>IF(AC$5&gt;=Assumptions!$F$173,1,0)+IF(AC$5&gt;=Assumptions!$F$174,1,0)</f>
        <v/>
      </c>
      <c r="AD38" s="377">
        <f>IF(AD$5&gt;=Assumptions!$F$173,1,0)+IF(AD$5&gt;=Assumptions!$F$174,1,0)</f>
        <v/>
      </c>
      <c r="AE38" s="377">
        <f>IF(AE$5&gt;=Assumptions!$F$173,1,0)+IF(AE$5&gt;=Assumptions!$F$174,1,0)</f>
        <v/>
      </c>
      <c r="AF38" s="377">
        <f>IF(AF$5&gt;=Assumptions!$F$173,1,0)+IF(AF$5&gt;=Assumptions!$F$174,1,0)</f>
        <v/>
      </c>
      <c r="AG38" s="377">
        <f>IF(AG$5&gt;=Assumptions!$F$173,1,0)+IF(AG$5&gt;=Assumptions!$F$174,1,0)</f>
        <v/>
      </c>
      <c r="AH38" s="377">
        <f>IF(AH$5&gt;=Assumptions!$F$173,1,0)+IF(AH$5&gt;=Assumptions!$F$174,1,0)</f>
        <v/>
      </c>
      <c r="AI38" s="377">
        <f>IF(AI$5&gt;=Assumptions!$F$173,1,0)+IF(AI$5&gt;=Assumptions!$F$174,1,0)</f>
        <v/>
      </c>
      <c r="AJ38" s="377">
        <f>IF(AJ$5&gt;=Assumptions!$F$173,1,0)+IF(AJ$5&gt;=Assumptions!$F$174,1,0)</f>
        <v/>
      </c>
      <c r="AK38" s="377">
        <f>IF(AK$5&gt;=Assumptions!$F$173,1,0)+IF(AK$5&gt;=Assumptions!$F$174,1,0)</f>
        <v/>
      </c>
      <c r="AL38" s="377">
        <f>IF(AL$5&gt;=Assumptions!$F$173,1,0)+IF(AL$5&gt;=Assumptions!$F$174,1,0)</f>
        <v/>
      </c>
      <c r="AM38" s="377">
        <f>IF(AM$5&gt;=Assumptions!$F$173,1,0)+IF(AM$5&gt;=Assumptions!$F$174,1,0)</f>
        <v/>
      </c>
      <c r="AN38" s="377">
        <f>IF(AN$5&gt;=Assumptions!$F$173,1,0)+IF(AN$5&gt;=Assumptions!$F$174,1,0)</f>
        <v/>
      </c>
      <c r="AO38" s="377">
        <f>IF(AO$5&gt;=Assumptions!$F$173,1,0)+IF(AO$5&gt;=Assumptions!$F$174,1,0)</f>
        <v/>
      </c>
      <c r="AP38" s="377">
        <f>IF(AP$5&gt;=Assumptions!$F$173,1,0)+IF(AP$5&gt;=Assumptions!$F$174,1,0)</f>
        <v/>
      </c>
      <c r="AQ38" s="377">
        <f>IF(AQ$5&gt;=Assumptions!$F$173,1,0)+IF(AQ$5&gt;=Assumptions!$F$174,1,0)</f>
        <v/>
      </c>
      <c r="AR38" s="377">
        <f>IF(AR$5&gt;=Assumptions!$F$173,1,0)+IF(AR$5&gt;=Assumptions!$F$174,1,0)</f>
        <v/>
      </c>
      <c r="AS38" s="377">
        <f>IF(AS$5&gt;=Assumptions!$F$173,1,0)+IF(AS$5&gt;=Assumptions!$F$174,1,0)</f>
        <v/>
      </c>
      <c r="AT38" s="377">
        <f>IF(AT$5&gt;=Assumptions!$F$173,1,0)+IF(AT$5&gt;=Assumptions!$F$174,1,0)</f>
        <v/>
      </c>
      <c r="AU38" s="377">
        <f>IF(AU$5&gt;=Assumptions!$F$173,1,0)+IF(AU$5&gt;=Assumptions!$F$174,1,0)</f>
        <v/>
      </c>
      <c r="AV38" s="377">
        <f>IF(AV$5&gt;=Assumptions!$F$173,1,0)+IF(AV$5&gt;=Assumptions!$F$174,1,0)</f>
        <v/>
      </c>
      <c r="AW38" s="377">
        <f>IF(AW$5&gt;=Assumptions!$F$173,1,0)+IF(AW$5&gt;=Assumptions!$F$174,1,0)</f>
        <v/>
      </c>
      <c r="AX38" s="377">
        <f>IF(AX$5&gt;=Assumptions!$F$173,1,0)+IF(AX$5&gt;=Assumptions!$F$174,1,0)</f>
        <v/>
      </c>
      <c r="AY38" s="377">
        <f>IF(AY$5&gt;=Assumptions!$F$173,1,0)+IF(AY$5&gt;=Assumptions!$F$174,1,0)</f>
        <v/>
      </c>
      <c r="AZ38" s="377">
        <f>IF(AZ$5&gt;=Assumptions!$F$173,1,0)+IF(AZ$5&gt;=Assumptions!$F$174,1,0)</f>
        <v/>
      </c>
      <c r="BA38" s="377">
        <f>IF(BA$5&gt;=Assumptions!$F$173,1,0)+IF(BA$5&gt;=Assumptions!$F$174,1,0)</f>
        <v/>
      </c>
      <c r="BC38" s="378">
        <f>Q38</f>
        <v/>
      </c>
      <c r="BD38" s="378">
        <f>AC38</f>
        <v/>
      </c>
      <c r="BE38" s="378">
        <f>AO38</f>
        <v/>
      </c>
      <c r="BF38" s="378">
        <f>BA38</f>
        <v/>
      </c>
    </row>
    <row r="39">
      <c r="B39" s="375" t="inlineStr">
        <is>
          <t>In-house capacity</t>
        </is>
      </c>
      <c r="C39" s="376" t="inlineStr">
        <is>
          <t>units/mo</t>
        </is>
      </c>
      <c r="F39" s="377">
        <f>F38*Assumptions!$F$175</f>
        <v/>
      </c>
      <c r="G39" s="377">
        <f>G38*Assumptions!$F$175</f>
        <v/>
      </c>
      <c r="H39" s="377">
        <f>H38*Assumptions!$F$175</f>
        <v/>
      </c>
      <c r="I39" s="377">
        <f>I38*Assumptions!$F$175</f>
        <v/>
      </c>
      <c r="J39" s="377">
        <f>J38*Assumptions!$F$175</f>
        <v/>
      </c>
      <c r="K39" s="377">
        <f>K38*Assumptions!$F$175</f>
        <v/>
      </c>
      <c r="L39" s="377">
        <f>L38*Assumptions!$F$175</f>
        <v/>
      </c>
      <c r="M39" s="377">
        <f>M38*Assumptions!$F$175</f>
        <v/>
      </c>
      <c r="N39" s="377">
        <f>N38*Assumptions!$F$175</f>
        <v/>
      </c>
      <c r="O39" s="377">
        <f>O38*Assumptions!$F$175</f>
        <v/>
      </c>
      <c r="P39" s="377">
        <f>P38*Assumptions!$F$175</f>
        <v/>
      </c>
      <c r="Q39" s="377">
        <f>Q38*Assumptions!$F$175</f>
        <v/>
      </c>
      <c r="R39" s="377">
        <f>R38*Assumptions!$F$175</f>
        <v/>
      </c>
      <c r="S39" s="377">
        <f>S38*Assumptions!$F$175</f>
        <v/>
      </c>
      <c r="T39" s="377">
        <f>T38*Assumptions!$F$175</f>
        <v/>
      </c>
      <c r="U39" s="377">
        <f>U38*Assumptions!$F$175</f>
        <v/>
      </c>
      <c r="V39" s="377">
        <f>V38*Assumptions!$F$175</f>
        <v/>
      </c>
      <c r="W39" s="377">
        <f>W38*Assumptions!$F$175</f>
        <v/>
      </c>
      <c r="X39" s="377">
        <f>X38*Assumptions!$F$175</f>
        <v/>
      </c>
      <c r="Y39" s="377">
        <f>Y38*Assumptions!$F$175</f>
        <v/>
      </c>
      <c r="Z39" s="377">
        <f>Z38*Assumptions!$F$175</f>
        <v/>
      </c>
      <c r="AA39" s="377">
        <f>AA38*Assumptions!$F$175</f>
        <v/>
      </c>
      <c r="AB39" s="377">
        <f>AB38*Assumptions!$F$175</f>
        <v/>
      </c>
      <c r="AC39" s="377">
        <f>AC38*Assumptions!$F$175</f>
        <v/>
      </c>
      <c r="AD39" s="377">
        <f>AD38*Assumptions!$F$175</f>
        <v/>
      </c>
      <c r="AE39" s="377">
        <f>AE38*Assumptions!$F$175</f>
        <v/>
      </c>
      <c r="AF39" s="377">
        <f>AF38*Assumptions!$F$175</f>
        <v/>
      </c>
      <c r="AG39" s="377">
        <f>AG38*Assumptions!$F$175</f>
        <v/>
      </c>
      <c r="AH39" s="377">
        <f>AH38*Assumptions!$F$175</f>
        <v/>
      </c>
      <c r="AI39" s="377">
        <f>AI38*Assumptions!$F$175</f>
        <v/>
      </c>
      <c r="AJ39" s="377">
        <f>AJ38*Assumptions!$F$175</f>
        <v/>
      </c>
      <c r="AK39" s="377">
        <f>AK38*Assumptions!$F$175</f>
        <v/>
      </c>
      <c r="AL39" s="377">
        <f>AL38*Assumptions!$F$175</f>
        <v/>
      </c>
      <c r="AM39" s="377">
        <f>AM38*Assumptions!$F$175</f>
        <v/>
      </c>
      <c r="AN39" s="377">
        <f>AN38*Assumptions!$F$175</f>
        <v/>
      </c>
      <c r="AO39" s="377">
        <f>AO38*Assumptions!$F$175</f>
        <v/>
      </c>
      <c r="AP39" s="377">
        <f>AP38*Assumptions!$F$175</f>
        <v/>
      </c>
      <c r="AQ39" s="377">
        <f>AQ38*Assumptions!$F$175</f>
        <v/>
      </c>
      <c r="AR39" s="377">
        <f>AR38*Assumptions!$F$175</f>
        <v/>
      </c>
      <c r="AS39" s="377">
        <f>AS38*Assumptions!$F$175</f>
        <v/>
      </c>
      <c r="AT39" s="377">
        <f>AT38*Assumptions!$F$175</f>
        <v/>
      </c>
      <c r="AU39" s="377">
        <f>AU38*Assumptions!$F$175</f>
        <v/>
      </c>
      <c r="AV39" s="377">
        <f>AV38*Assumptions!$F$175</f>
        <v/>
      </c>
      <c r="AW39" s="377">
        <f>AW38*Assumptions!$F$175</f>
        <v/>
      </c>
      <c r="AX39" s="377">
        <f>AX38*Assumptions!$F$175</f>
        <v/>
      </c>
      <c r="AY39" s="377">
        <f>AY38*Assumptions!$F$175</f>
        <v/>
      </c>
      <c r="AZ39" s="377">
        <f>AZ38*Assumptions!$F$175</f>
        <v/>
      </c>
      <c r="BA39" s="377">
        <f>BA38*Assumptions!$F$175</f>
        <v/>
      </c>
      <c r="BC39" s="378">
        <f>SUM(F39:Q39)</f>
        <v/>
      </c>
      <c r="BD39" s="378">
        <f>SUM(R39:AC39)</f>
        <v/>
      </c>
      <c r="BE39" s="378">
        <f>SUM(AD39:AO39)</f>
        <v/>
      </c>
      <c r="BF39" s="378">
        <f>SUM(AP39:BA39)</f>
        <v/>
      </c>
    </row>
    <row r="40">
      <c r="B40" s="379" t="inlineStr">
        <is>
          <t>TOTAL build capacity</t>
        </is>
      </c>
      <c r="C40" s="376" t="inlineStr">
        <is>
          <t>units/mo</t>
        </is>
      </c>
      <c r="F40" s="380">
        <f>F37+F39</f>
        <v/>
      </c>
      <c r="G40" s="380">
        <f>G37+G39</f>
        <v/>
      </c>
      <c r="H40" s="380">
        <f>H37+H39</f>
        <v/>
      </c>
      <c r="I40" s="380">
        <f>I37+I39</f>
        <v/>
      </c>
      <c r="J40" s="380">
        <f>J37+J39</f>
        <v/>
      </c>
      <c r="K40" s="380">
        <f>K37+K39</f>
        <v/>
      </c>
      <c r="L40" s="380">
        <f>L37+L39</f>
        <v/>
      </c>
      <c r="M40" s="380">
        <f>M37+M39</f>
        <v/>
      </c>
      <c r="N40" s="380">
        <f>N37+N39</f>
        <v/>
      </c>
      <c r="O40" s="380">
        <f>O37+O39</f>
        <v/>
      </c>
      <c r="P40" s="380">
        <f>P37+P39</f>
        <v/>
      </c>
      <c r="Q40" s="380">
        <f>Q37+Q39</f>
        <v/>
      </c>
      <c r="R40" s="380">
        <f>R37+R39</f>
        <v/>
      </c>
      <c r="S40" s="380">
        <f>S37+S39</f>
        <v/>
      </c>
      <c r="T40" s="380">
        <f>T37+T39</f>
        <v/>
      </c>
      <c r="U40" s="380">
        <f>U37+U39</f>
        <v/>
      </c>
      <c r="V40" s="380">
        <f>V37+V39</f>
        <v/>
      </c>
      <c r="W40" s="380">
        <f>W37+W39</f>
        <v/>
      </c>
      <c r="X40" s="380">
        <f>X37+X39</f>
        <v/>
      </c>
      <c r="Y40" s="380">
        <f>Y37+Y39</f>
        <v/>
      </c>
      <c r="Z40" s="380">
        <f>Z37+Z39</f>
        <v/>
      </c>
      <c r="AA40" s="380">
        <f>AA37+AA39</f>
        <v/>
      </c>
      <c r="AB40" s="380">
        <f>AB37+AB39</f>
        <v/>
      </c>
      <c r="AC40" s="380">
        <f>AC37+AC39</f>
        <v/>
      </c>
      <c r="AD40" s="380">
        <f>AD37+AD39</f>
        <v/>
      </c>
      <c r="AE40" s="380">
        <f>AE37+AE39</f>
        <v/>
      </c>
      <c r="AF40" s="380">
        <f>AF37+AF39</f>
        <v/>
      </c>
      <c r="AG40" s="380">
        <f>AG37+AG39</f>
        <v/>
      </c>
      <c r="AH40" s="380">
        <f>AH37+AH39</f>
        <v/>
      </c>
      <c r="AI40" s="380">
        <f>AI37+AI39</f>
        <v/>
      </c>
      <c r="AJ40" s="380">
        <f>AJ37+AJ39</f>
        <v/>
      </c>
      <c r="AK40" s="380">
        <f>AK37+AK39</f>
        <v/>
      </c>
      <c r="AL40" s="380">
        <f>AL37+AL39</f>
        <v/>
      </c>
      <c r="AM40" s="380">
        <f>AM37+AM39</f>
        <v/>
      </c>
      <c r="AN40" s="380">
        <f>AN37+AN39</f>
        <v/>
      </c>
      <c r="AO40" s="380">
        <f>AO37+AO39</f>
        <v/>
      </c>
      <c r="AP40" s="380">
        <f>AP37+AP39</f>
        <v/>
      </c>
      <c r="AQ40" s="380">
        <f>AQ37+AQ39</f>
        <v/>
      </c>
      <c r="AR40" s="380">
        <f>AR37+AR39</f>
        <v/>
      </c>
      <c r="AS40" s="380">
        <f>AS37+AS39</f>
        <v/>
      </c>
      <c r="AT40" s="380">
        <f>AT37+AT39</f>
        <v/>
      </c>
      <c r="AU40" s="380">
        <f>AU37+AU39</f>
        <v/>
      </c>
      <c r="AV40" s="380">
        <f>AV37+AV39</f>
        <v/>
      </c>
      <c r="AW40" s="380">
        <f>AW37+AW39</f>
        <v/>
      </c>
      <c r="AX40" s="380">
        <f>AX37+AX39</f>
        <v/>
      </c>
      <c r="AY40" s="380">
        <f>AY37+AY39</f>
        <v/>
      </c>
      <c r="AZ40" s="380">
        <f>AZ37+AZ39</f>
        <v/>
      </c>
      <c r="BA40" s="380">
        <f>BA37+BA39</f>
        <v/>
      </c>
      <c r="BC40" s="378">
        <f>SUM(F40:Q40)</f>
        <v/>
      </c>
      <c r="BD40" s="378">
        <f>SUM(R40:AC40)</f>
        <v/>
      </c>
      <c r="BE40" s="378">
        <f>SUM(AD40:AO40)</f>
        <v/>
      </c>
      <c r="BF40" s="378">
        <f>SUM(AP40:BA40)</f>
        <v/>
      </c>
    </row>
    <row r="41"/>
    <row r="42">
      <c r="B42" s="374" t="inlineStr">
        <is>
          <t>UNITS SOLD  —  and what stopped us selling more, month by month</t>
        </is>
      </c>
      <c r="C42" s="374" t="n"/>
      <c r="D42" s="374" t="n"/>
      <c r="E42" s="374" t="n"/>
      <c r="F42" s="374" t="n"/>
      <c r="G42" s="374" t="n"/>
      <c r="H42" s="374" t="n"/>
      <c r="I42" s="374" t="n"/>
      <c r="J42" s="374" t="n"/>
      <c r="K42" s="374" t="n"/>
      <c r="L42" s="374" t="n"/>
      <c r="M42" s="374" t="n"/>
      <c r="N42" s="374" t="n"/>
      <c r="O42" s="374" t="n"/>
      <c r="P42" s="374" t="n"/>
      <c r="Q42" s="374" t="n"/>
      <c r="R42" s="374" t="n"/>
      <c r="S42" s="374" t="n"/>
      <c r="T42" s="374" t="n"/>
      <c r="U42" s="374" t="n"/>
      <c r="V42" s="374" t="n"/>
      <c r="W42" s="374" t="n"/>
      <c r="X42" s="374" t="n"/>
      <c r="Y42" s="374" t="n"/>
      <c r="Z42" s="374" t="n"/>
      <c r="AA42" s="374" t="n"/>
      <c r="AB42" s="374" t="n"/>
      <c r="AC42" s="374" t="n"/>
      <c r="AD42" s="374" t="n"/>
      <c r="AE42" s="374" t="n"/>
      <c r="AF42" s="374" t="n"/>
      <c r="AG42" s="374" t="n"/>
      <c r="AH42" s="374" t="n"/>
      <c r="AI42" s="374" t="n"/>
      <c r="AJ42" s="374" t="n"/>
      <c r="AK42" s="374" t="n"/>
      <c r="AL42" s="374" t="n"/>
      <c r="AM42" s="374" t="n"/>
      <c r="AN42" s="374" t="n"/>
      <c r="AO42" s="374" t="n"/>
      <c r="AP42" s="374" t="n"/>
      <c r="AQ42" s="374" t="n"/>
      <c r="AR42" s="374" t="n"/>
      <c r="AS42" s="374" t="n"/>
      <c r="AT42" s="374" t="n"/>
      <c r="AU42" s="374" t="n"/>
      <c r="AV42" s="374" t="n"/>
      <c r="AW42" s="374" t="n"/>
      <c r="AX42" s="374" t="n"/>
      <c r="AY42" s="374" t="n"/>
      <c r="AZ42" s="374" t="n"/>
      <c r="BA42" s="374" t="n"/>
      <c r="BB42" s="374" t="n"/>
      <c r="BC42" s="374" t="n"/>
      <c r="BD42" s="374" t="n"/>
      <c r="BE42" s="374" t="n"/>
      <c r="BF42" s="374" t="n"/>
      <c r="BG42" s="374" t="n"/>
    </row>
    <row r="43">
      <c r="B43" s="379" t="inlineStr">
        <is>
          <t>UNITS SOLD</t>
        </is>
      </c>
      <c r="C43" s="376" t="inlineStr">
        <is>
          <t>units</t>
        </is>
      </c>
      <c r="F43" s="380">
        <f>ROUND(MIN(F19,F11,F32,F40),0)</f>
        <v/>
      </c>
      <c r="G43" s="380">
        <f>ROUND(MIN(G19,G11,G32,G40),0)</f>
        <v/>
      </c>
      <c r="H43" s="380">
        <f>ROUND(MIN(H19,H11,H32,H40),0)</f>
        <v/>
      </c>
      <c r="I43" s="380">
        <f>ROUND(MIN(I19,I11,I32,I40),0)</f>
        <v/>
      </c>
      <c r="J43" s="380">
        <f>ROUND(MIN(J19,J11,J32,J40),0)</f>
        <v/>
      </c>
      <c r="K43" s="380">
        <f>ROUND(MIN(K19,K11,K32,K40),0)</f>
        <v/>
      </c>
      <c r="L43" s="380">
        <f>ROUND(MIN(L19,L11,L32,L40),0)</f>
        <v/>
      </c>
      <c r="M43" s="380">
        <f>ROUND(MIN(M19,M11,M32,M40),0)</f>
        <v/>
      </c>
      <c r="N43" s="380">
        <f>ROUND(MIN(N19,N11,N32,N40),0)</f>
        <v/>
      </c>
      <c r="O43" s="380">
        <f>ROUND(MIN(O19,O11,O32,O40),0)</f>
        <v/>
      </c>
      <c r="P43" s="380">
        <f>ROUND(MIN(P19,P11,P32,P40),0)</f>
        <v/>
      </c>
      <c r="Q43" s="380">
        <f>ROUND(MIN(Q19,Q11,Q32,Q40),0)</f>
        <v/>
      </c>
      <c r="R43" s="380">
        <f>ROUND(MIN(R19,R11,R32,R40),0)</f>
        <v/>
      </c>
      <c r="S43" s="380">
        <f>ROUND(MIN(S19,S11,S32,S40),0)</f>
        <v/>
      </c>
      <c r="T43" s="380">
        <f>ROUND(MIN(T19,T11,T32,T40),0)</f>
        <v/>
      </c>
      <c r="U43" s="380">
        <f>ROUND(MIN(U19,U11,U32,U40),0)</f>
        <v/>
      </c>
      <c r="V43" s="380">
        <f>ROUND(MIN(V19,V11,V32,V40),0)</f>
        <v/>
      </c>
      <c r="W43" s="380">
        <f>ROUND(MIN(W19,W11,W32,W40),0)</f>
        <v/>
      </c>
      <c r="X43" s="380">
        <f>ROUND(MIN(X19,X11,X32,X40),0)</f>
        <v/>
      </c>
      <c r="Y43" s="380">
        <f>ROUND(MIN(Y19,Y11,Y32,Y40),0)</f>
        <v/>
      </c>
      <c r="Z43" s="380">
        <f>ROUND(MIN(Z19,Z11,Z32,Z40),0)</f>
        <v/>
      </c>
      <c r="AA43" s="380">
        <f>ROUND(MIN(AA19,AA11,AA32,AA40),0)</f>
        <v/>
      </c>
      <c r="AB43" s="380">
        <f>ROUND(MIN(AB19,AB11,AB32,AB40),0)</f>
        <v/>
      </c>
      <c r="AC43" s="380">
        <f>ROUND(MIN(AC19,AC11,AC32,AC40),0)</f>
        <v/>
      </c>
      <c r="AD43" s="380">
        <f>ROUND(MIN(AD19,AD11,AD32,AD40),0)</f>
        <v/>
      </c>
      <c r="AE43" s="380">
        <f>ROUND(MIN(AE19,AE11,AE32,AE40),0)</f>
        <v/>
      </c>
      <c r="AF43" s="380">
        <f>ROUND(MIN(AF19,AF11,AF32,AF40),0)</f>
        <v/>
      </c>
      <c r="AG43" s="380">
        <f>ROUND(MIN(AG19,AG11,AG32,AG40),0)</f>
        <v/>
      </c>
      <c r="AH43" s="380">
        <f>ROUND(MIN(AH19,AH11,AH32,AH40),0)</f>
        <v/>
      </c>
      <c r="AI43" s="380">
        <f>ROUND(MIN(AI19,AI11,AI32,AI40),0)</f>
        <v/>
      </c>
      <c r="AJ43" s="380">
        <f>ROUND(MIN(AJ19,AJ11,AJ32,AJ40),0)</f>
        <v/>
      </c>
      <c r="AK43" s="380">
        <f>ROUND(MIN(AK19,AK11,AK32,AK40),0)</f>
        <v/>
      </c>
      <c r="AL43" s="380">
        <f>ROUND(MIN(AL19,AL11,AL32,AL40),0)</f>
        <v/>
      </c>
      <c r="AM43" s="380">
        <f>ROUND(MIN(AM19,AM11,AM32,AM40),0)</f>
        <v/>
      </c>
      <c r="AN43" s="380">
        <f>ROUND(MIN(AN19,AN11,AN32,AN40),0)</f>
        <v/>
      </c>
      <c r="AO43" s="380">
        <f>ROUND(MIN(AO19,AO11,AO32,AO40),0)</f>
        <v/>
      </c>
      <c r="AP43" s="380">
        <f>ROUND(MIN(AP19,AP11,AP32,AP40),0)</f>
        <v/>
      </c>
      <c r="AQ43" s="380">
        <f>ROUND(MIN(AQ19,AQ11,AQ32,AQ40),0)</f>
        <v/>
      </c>
      <c r="AR43" s="380">
        <f>ROUND(MIN(AR19,AR11,AR32,AR40),0)</f>
        <v/>
      </c>
      <c r="AS43" s="380">
        <f>ROUND(MIN(AS19,AS11,AS32,AS40),0)</f>
        <v/>
      </c>
      <c r="AT43" s="380">
        <f>ROUND(MIN(AT19,AT11,AT32,AT40),0)</f>
        <v/>
      </c>
      <c r="AU43" s="380">
        <f>ROUND(MIN(AU19,AU11,AU32,AU40),0)</f>
        <v/>
      </c>
      <c r="AV43" s="380">
        <f>ROUND(MIN(AV19,AV11,AV32,AV40),0)</f>
        <v/>
      </c>
      <c r="AW43" s="380">
        <f>ROUND(MIN(AW19,AW11,AW32,AW40),0)</f>
        <v/>
      </c>
      <c r="AX43" s="380">
        <f>ROUND(MIN(AX19,AX11,AX32,AX40),0)</f>
        <v/>
      </c>
      <c r="AY43" s="380">
        <f>ROUND(MIN(AY19,AY11,AY32,AY40),0)</f>
        <v/>
      </c>
      <c r="AZ43" s="380">
        <f>ROUND(MIN(AZ19,AZ11,AZ32,AZ40),0)</f>
        <v/>
      </c>
      <c r="BA43" s="380">
        <f>ROUND(MIN(BA19,BA11,BA32,BA40),0)</f>
        <v/>
      </c>
      <c r="BC43" s="378">
        <f>SUM(F43:Q43)</f>
        <v/>
      </c>
      <c r="BD43" s="378">
        <f>SUM(R43:AC43)</f>
        <v/>
      </c>
      <c r="BE43" s="378">
        <f>SUM(AD43:AO43)</f>
        <v/>
      </c>
      <c r="BF43" s="378">
        <f>SUM(AP43:BA43)</f>
        <v/>
      </c>
      <c r="BH43" s="370" t="inlineStr">
        <is>
          <t>we sell the smallest of: what people want, what the market allows, what we can sell, what we can build</t>
        </is>
      </c>
    </row>
    <row r="44">
      <c r="B44" s="375" t="inlineStr">
        <is>
          <t>Why we did not sell more</t>
        </is>
      </c>
      <c r="C44" s="376" t="inlineStr"/>
      <c r="F44" s="389">
        <f>IF(F43&gt;=F40-0.5,"Build capacity",IF(F43&gt;=F32-0.5,"Sales capacity",IF(F43&gt;=F11-0.5,"Market ceiling","Demand")))</f>
        <v/>
      </c>
      <c r="G44" s="389">
        <f>IF(G43&gt;=G40-0.5,"Build capacity",IF(G43&gt;=G32-0.5,"Sales capacity",IF(G43&gt;=G11-0.5,"Market ceiling","Demand")))</f>
        <v/>
      </c>
      <c r="H44" s="389">
        <f>IF(H43&gt;=H40-0.5,"Build capacity",IF(H43&gt;=H32-0.5,"Sales capacity",IF(H43&gt;=H11-0.5,"Market ceiling","Demand")))</f>
        <v/>
      </c>
      <c r="I44" s="389">
        <f>IF(I43&gt;=I40-0.5,"Build capacity",IF(I43&gt;=I32-0.5,"Sales capacity",IF(I43&gt;=I11-0.5,"Market ceiling","Demand")))</f>
        <v/>
      </c>
      <c r="J44" s="389">
        <f>IF(J43&gt;=J40-0.5,"Build capacity",IF(J43&gt;=J32-0.5,"Sales capacity",IF(J43&gt;=J11-0.5,"Market ceiling","Demand")))</f>
        <v/>
      </c>
      <c r="K44" s="389">
        <f>IF(K43&gt;=K40-0.5,"Build capacity",IF(K43&gt;=K32-0.5,"Sales capacity",IF(K43&gt;=K11-0.5,"Market ceiling","Demand")))</f>
        <v/>
      </c>
      <c r="L44" s="389">
        <f>IF(L43&gt;=L40-0.5,"Build capacity",IF(L43&gt;=L32-0.5,"Sales capacity",IF(L43&gt;=L11-0.5,"Market ceiling","Demand")))</f>
        <v/>
      </c>
      <c r="M44" s="389">
        <f>IF(M43&gt;=M40-0.5,"Build capacity",IF(M43&gt;=M32-0.5,"Sales capacity",IF(M43&gt;=M11-0.5,"Market ceiling","Demand")))</f>
        <v/>
      </c>
      <c r="N44" s="389">
        <f>IF(N43&gt;=N40-0.5,"Build capacity",IF(N43&gt;=N32-0.5,"Sales capacity",IF(N43&gt;=N11-0.5,"Market ceiling","Demand")))</f>
        <v/>
      </c>
      <c r="O44" s="389">
        <f>IF(O43&gt;=O40-0.5,"Build capacity",IF(O43&gt;=O32-0.5,"Sales capacity",IF(O43&gt;=O11-0.5,"Market ceiling","Demand")))</f>
        <v/>
      </c>
      <c r="P44" s="389">
        <f>IF(P43&gt;=P40-0.5,"Build capacity",IF(P43&gt;=P32-0.5,"Sales capacity",IF(P43&gt;=P11-0.5,"Market ceiling","Demand")))</f>
        <v/>
      </c>
      <c r="Q44" s="389">
        <f>IF(Q43&gt;=Q40-0.5,"Build capacity",IF(Q43&gt;=Q32-0.5,"Sales capacity",IF(Q43&gt;=Q11-0.5,"Market ceiling","Demand")))</f>
        <v/>
      </c>
      <c r="R44" s="389">
        <f>IF(R43&gt;=R40-0.5,"Build capacity",IF(R43&gt;=R32-0.5,"Sales capacity",IF(R43&gt;=R11-0.5,"Market ceiling","Demand")))</f>
        <v/>
      </c>
      <c r="S44" s="389">
        <f>IF(S43&gt;=S40-0.5,"Build capacity",IF(S43&gt;=S32-0.5,"Sales capacity",IF(S43&gt;=S11-0.5,"Market ceiling","Demand")))</f>
        <v/>
      </c>
      <c r="T44" s="389">
        <f>IF(T43&gt;=T40-0.5,"Build capacity",IF(T43&gt;=T32-0.5,"Sales capacity",IF(T43&gt;=T11-0.5,"Market ceiling","Demand")))</f>
        <v/>
      </c>
      <c r="U44" s="389">
        <f>IF(U43&gt;=U40-0.5,"Build capacity",IF(U43&gt;=U32-0.5,"Sales capacity",IF(U43&gt;=U11-0.5,"Market ceiling","Demand")))</f>
        <v/>
      </c>
      <c r="V44" s="389">
        <f>IF(V43&gt;=V40-0.5,"Build capacity",IF(V43&gt;=V32-0.5,"Sales capacity",IF(V43&gt;=V11-0.5,"Market ceiling","Demand")))</f>
        <v/>
      </c>
      <c r="W44" s="389">
        <f>IF(W43&gt;=W40-0.5,"Build capacity",IF(W43&gt;=W32-0.5,"Sales capacity",IF(W43&gt;=W11-0.5,"Market ceiling","Demand")))</f>
        <v/>
      </c>
      <c r="X44" s="389">
        <f>IF(X43&gt;=X40-0.5,"Build capacity",IF(X43&gt;=X32-0.5,"Sales capacity",IF(X43&gt;=X11-0.5,"Market ceiling","Demand")))</f>
        <v/>
      </c>
      <c r="Y44" s="389">
        <f>IF(Y43&gt;=Y40-0.5,"Build capacity",IF(Y43&gt;=Y32-0.5,"Sales capacity",IF(Y43&gt;=Y11-0.5,"Market ceiling","Demand")))</f>
        <v/>
      </c>
      <c r="Z44" s="389">
        <f>IF(Z43&gt;=Z40-0.5,"Build capacity",IF(Z43&gt;=Z32-0.5,"Sales capacity",IF(Z43&gt;=Z11-0.5,"Market ceiling","Demand")))</f>
        <v/>
      </c>
      <c r="AA44" s="389">
        <f>IF(AA43&gt;=AA40-0.5,"Build capacity",IF(AA43&gt;=AA32-0.5,"Sales capacity",IF(AA43&gt;=AA11-0.5,"Market ceiling","Demand")))</f>
        <v/>
      </c>
      <c r="AB44" s="389">
        <f>IF(AB43&gt;=AB40-0.5,"Build capacity",IF(AB43&gt;=AB32-0.5,"Sales capacity",IF(AB43&gt;=AB11-0.5,"Market ceiling","Demand")))</f>
        <v/>
      </c>
      <c r="AC44" s="389">
        <f>IF(AC43&gt;=AC40-0.5,"Build capacity",IF(AC43&gt;=AC32-0.5,"Sales capacity",IF(AC43&gt;=AC11-0.5,"Market ceiling","Demand")))</f>
        <v/>
      </c>
      <c r="AD44" s="389">
        <f>IF(AD43&gt;=AD40-0.5,"Build capacity",IF(AD43&gt;=AD32-0.5,"Sales capacity",IF(AD43&gt;=AD11-0.5,"Market ceiling","Demand")))</f>
        <v/>
      </c>
      <c r="AE44" s="389">
        <f>IF(AE43&gt;=AE40-0.5,"Build capacity",IF(AE43&gt;=AE32-0.5,"Sales capacity",IF(AE43&gt;=AE11-0.5,"Market ceiling","Demand")))</f>
        <v/>
      </c>
      <c r="AF44" s="389">
        <f>IF(AF43&gt;=AF40-0.5,"Build capacity",IF(AF43&gt;=AF32-0.5,"Sales capacity",IF(AF43&gt;=AF11-0.5,"Market ceiling","Demand")))</f>
        <v/>
      </c>
      <c r="AG44" s="389">
        <f>IF(AG43&gt;=AG40-0.5,"Build capacity",IF(AG43&gt;=AG32-0.5,"Sales capacity",IF(AG43&gt;=AG11-0.5,"Market ceiling","Demand")))</f>
        <v/>
      </c>
      <c r="AH44" s="389">
        <f>IF(AH43&gt;=AH40-0.5,"Build capacity",IF(AH43&gt;=AH32-0.5,"Sales capacity",IF(AH43&gt;=AH11-0.5,"Market ceiling","Demand")))</f>
        <v/>
      </c>
      <c r="AI44" s="389">
        <f>IF(AI43&gt;=AI40-0.5,"Build capacity",IF(AI43&gt;=AI32-0.5,"Sales capacity",IF(AI43&gt;=AI11-0.5,"Market ceiling","Demand")))</f>
        <v/>
      </c>
      <c r="AJ44" s="389">
        <f>IF(AJ43&gt;=AJ40-0.5,"Build capacity",IF(AJ43&gt;=AJ32-0.5,"Sales capacity",IF(AJ43&gt;=AJ11-0.5,"Market ceiling","Demand")))</f>
        <v/>
      </c>
      <c r="AK44" s="389">
        <f>IF(AK43&gt;=AK40-0.5,"Build capacity",IF(AK43&gt;=AK32-0.5,"Sales capacity",IF(AK43&gt;=AK11-0.5,"Market ceiling","Demand")))</f>
        <v/>
      </c>
      <c r="AL44" s="389">
        <f>IF(AL43&gt;=AL40-0.5,"Build capacity",IF(AL43&gt;=AL32-0.5,"Sales capacity",IF(AL43&gt;=AL11-0.5,"Market ceiling","Demand")))</f>
        <v/>
      </c>
      <c r="AM44" s="389">
        <f>IF(AM43&gt;=AM40-0.5,"Build capacity",IF(AM43&gt;=AM32-0.5,"Sales capacity",IF(AM43&gt;=AM11-0.5,"Market ceiling","Demand")))</f>
        <v/>
      </c>
      <c r="AN44" s="389">
        <f>IF(AN43&gt;=AN40-0.5,"Build capacity",IF(AN43&gt;=AN32-0.5,"Sales capacity",IF(AN43&gt;=AN11-0.5,"Market ceiling","Demand")))</f>
        <v/>
      </c>
      <c r="AO44" s="389">
        <f>IF(AO43&gt;=AO40-0.5,"Build capacity",IF(AO43&gt;=AO32-0.5,"Sales capacity",IF(AO43&gt;=AO11-0.5,"Market ceiling","Demand")))</f>
        <v/>
      </c>
      <c r="AP44" s="389">
        <f>IF(AP43&gt;=AP40-0.5,"Build capacity",IF(AP43&gt;=AP32-0.5,"Sales capacity",IF(AP43&gt;=AP11-0.5,"Market ceiling","Demand")))</f>
        <v/>
      </c>
      <c r="AQ44" s="389">
        <f>IF(AQ43&gt;=AQ40-0.5,"Build capacity",IF(AQ43&gt;=AQ32-0.5,"Sales capacity",IF(AQ43&gt;=AQ11-0.5,"Market ceiling","Demand")))</f>
        <v/>
      </c>
      <c r="AR44" s="389">
        <f>IF(AR43&gt;=AR40-0.5,"Build capacity",IF(AR43&gt;=AR32-0.5,"Sales capacity",IF(AR43&gt;=AR11-0.5,"Market ceiling","Demand")))</f>
        <v/>
      </c>
      <c r="AS44" s="389">
        <f>IF(AS43&gt;=AS40-0.5,"Build capacity",IF(AS43&gt;=AS32-0.5,"Sales capacity",IF(AS43&gt;=AS11-0.5,"Market ceiling","Demand")))</f>
        <v/>
      </c>
      <c r="AT44" s="389">
        <f>IF(AT43&gt;=AT40-0.5,"Build capacity",IF(AT43&gt;=AT32-0.5,"Sales capacity",IF(AT43&gt;=AT11-0.5,"Market ceiling","Demand")))</f>
        <v/>
      </c>
      <c r="AU44" s="389">
        <f>IF(AU43&gt;=AU40-0.5,"Build capacity",IF(AU43&gt;=AU32-0.5,"Sales capacity",IF(AU43&gt;=AU11-0.5,"Market ceiling","Demand")))</f>
        <v/>
      </c>
      <c r="AV44" s="389">
        <f>IF(AV43&gt;=AV40-0.5,"Build capacity",IF(AV43&gt;=AV32-0.5,"Sales capacity",IF(AV43&gt;=AV11-0.5,"Market ceiling","Demand")))</f>
        <v/>
      </c>
      <c r="AW44" s="389">
        <f>IF(AW43&gt;=AW40-0.5,"Build capacity",IF(AW43&gt;=AW32-0.5,"Sales capacity",IF(AW43&gt;=AW11-0.5,"Market ceiling","Demand")))</f>
        <v/>
      </c>
      <c r="AX44" s="389">
        <f>IF(AX43&gt;=AX40-0.5,"Build capacity",IF(AX43&gt;=AX32-0.5,"Sales capacity",IF(AX43&gt;=AX11-0.5,"Market ceiling","Demand")))</f>
        <v/>
      </c>
      <c r="AY44" s="389">
        <f>IF(AY43&gt;=AY40-0.5,"Build capacity",IF(AY43&gt;=AY32-0.5,"Sales capacity",IF(AY43&gt;=AY11-0.5,"Market ceiling","Demand")))</f>
        <v/>
      </c>
      <c r="AZ44" s="389">
        <f>IF(AZ43&gt;=AZ40-0.5,"Build capacity",IF(AZ43&gt;=AZ32-0.5,"Sales capacity",IF(AZ43&gt;=AZ11-0.5,"Market ceiling","Demand")))</f>
        <v/>
      </c>
      <c r="BA44" s="389">
        <f>IF(BA43&gt;=BA40-0.5,"Build capacity",IF(BA43&gt;=BA32-0.5,"Sales capacity",IF(BA43&gt;=BA11-0.5,"Market ceiling","Demand")))</f>
        <v/>
      </c>
    </row>
    <row r="45">
      <c r="B45" s="375" t="inlineStr">
        <is>
          <t>Build capacity utilisation</t>
        </is>
      </c>
      <c r="C45" s="376" t="inlineStr">
        <is>
          <t>%</t>
        </is>
      </c>
      <c r="F45" s="390">
        <f>IFERROR(F43/F40,0)</f>
        <v/>
      </c>
      <c r="G45" s="390">
        <f>IFERROR(G43/G40,0)</f>
        <v/>
      </c>
      <c r="H45" s="390">
        <f>IFERROR(H43/H40,0)</f>
        <v/>
      </c>
      <c r="I45" s="390">
        <f>IFERROR(I43/I40,0)</f>
        <v/>
      </c>
      <c r="J45" s="390">
        <f>IFERROR(J43/J40,0)</f>
        <v/>
      </c>
      <c r="K45" s="390">
        <f>IFERROR(K43/K40,0)</f>
        <v/>
      </c>
      <c r="L45" s="390">
        <f>IFERROR(L43/L40,0)</f>
        <v/>
      </c>
      <c r="M45" s="390">
        <f>IFERROR(M43/M40,0)</f>
        <v/>
      </c>
      <c r="N45" s="390">
        <f>IFERROR(N43/N40,0)</f>
        <v/>
      </c>
      <c r="O45" s="390">
        <f>IFERROR(O43/O40,0)</f>
        <v/>
      </c>
      <c r="P45" s="390">
        <f>IFERROR(P43/P40,0)</f>
        <v/>
      </c>
      <c r="Q45" s="390">
        <f>IFERROR(Q43/Q40,0)</f>
        <v/>
      </c>
      <c r="R45" s="390">
        <f>IFERROR(R43/R40,0)</f>
        <v/>
      </c>
      <c r="S45" s="390">
        <f>IFERROR(S43/S40,0)</f>
        <v/>
      </c>
      <c r="T45" s="390">
        <f>IFERROR(T43/T40,0)</f>
        <v/>
      </c>
      <c r="U45" s="390">
        <f>IFERROR(U43/U40,0)</f>
        <v/>
      </c>
      <c r="V45" s="390">
        <f>IFERROR(V43/V40,0)</f>
        <v/>
      </c>
      <c r="W45" s="390">
        <f>IFERROR(W43/W40,0)</f>
        <v/>
      </c>
      <c r="X45" s="390">
        <f>IFERROR(X43/X40,0)</f>
        <v/>
      </c>
      <c r="Y45" s="390">
        <f>IFERROR(Y43/Y40,0)</f>
        <v/>
      </c>
      <c r="Z45" s="390">
        <f>IFERROR(Z43/Z40,0)</f>
        <v/>
      </c>
      <c r="AA45" s="390">
        <f>IFERROR(AA43/AA40,0)</f>
        <v/>
      </c>
      <c r="AB45" s="390">
        <f>IFERROR(AB43/AB40,0)</f>
        <v/>
      </c>
      <c r="AC45" s="390">
        <f>IFERROR(AC43/AC40,0)</f>
        <v/>
      </c>
      <c r="AD45" s="390">
        <f>IFERROR(AD43/AD40,0)</f>
        <v/>
      </c>
      <c r="AE45" s="390">
        <f>IFERROR(AE43/AE40,0)</f>
        <v/>
      </c>
      <c r="AF45" s="390">
        <f>IFERROR(AF43/AF40,0)</f>
        <v/>
      </c>
      <c r="AG45" s="390">
        <f>IFERROR(AG43/AG40,0)</f>
        <v/>
      </c>
      <c r="AH45" s="390">
        <f>IFERROR(AH43/AH40,0)</f>
        <v/>
      </c>
      <c r="AI45" s="390">
        <f>IFERROR(AI43/AI40,0)</f>
        <v/>
      </c>
      <c r="AJ45" s="390">
        <f>IFERROR(AJ43/AJ40,0)</f>
        <v/>
      </c>
      <c r="AK45" s="390">
        <f>IFERROR(AK43/AK40,0)</f>
        <v/>
      </c>
      <c r="AL45" s="390">
        <f>IFERROR(AL43/AL40,0)</f>
        <v/>
      </c>
      <c r="AM45" s="390">
        <f>IFERROR(AM43/AM40,0)</f>
        <v/>
      </c>
      <c r="AN45" s="390">
        <f>IFERROR(AN43/AN40,0)</f>
        <v/>
      </c>
      <c r="AO45" s="390">
        <f>IFERROR(AO43/AO40,0)</f>
        <v/>
      </c>
      <c r="AP45" s="390">
        <f>IFERROR(AP43/AP40,0)</f>
        <v/>
      </c>
      <c r="AQ45" s="390">
        <f>IFERROR(AQ43/AQ40,0)</f>
        <v/>
      </c>
      <c r="AR45" s="390">
        <f>IFERROR(AR43/AR40,0)</f>
        <v/>
      </c>
      <c r="AS45" s="390">
        <f>IFERROR(AS43/AS40,0)</f>
        <v/>
      </c>
      <c r="AT45" s="390">
        <f>IFERROR(AT43/AT40,0)</f>
        <v/>
      </c>
      <c r="AU45" s="390">
        <f>IFERROR(AU43/AU40,0)</f>
        <v/>
      </c>
      <c r="AV45" s="390">
        <f>IFERROR(AV43/AV40,0)</f>
        <v/>
      </c>
      <c r="AW45" s="390">
        <f>IFERROR(AW43/AW40,0)</f>
        <v/>
      </c>
      <c r="AX45" s="390">
        <f>IFERROR(AX43/AX40,0)</f>
        <v/>
      </c>
      <c r="AY45" s="390">
        <f>IFERROR(AY43/AY40,0)</f>
        <v/>
      </c>
      <c r="AZ45" s="390">
        <f>IFERROR(AZ43/AZ40,0)</f>
        <v/>
      </c>
      <c r="BA45" s="390">
        <f>IFERROR(BA43/BA40,0)</f>
        <v/>
      </c>
      <c r="BC45" s="383">
        <f>AVERAGE(F45:Q45)</f>
        <v/>
      </c>
      <c r="BD45" s="383">
        <f>AVERAGE(R45:AC45)</f>
        <v/>
      </c>
      <c r="BE45" s="383">
        <f>AVERAGE(AD45:AO45)</f>
        <v/>
      </c>
      <c r="BF45" s="383">
        <f>AVERAGE(AP45:BA45)</f>
        <v/>
      </c>
    </row>
    <row r="46">
      <c r="B46" s="375" t="inlineStr">
        <is>
          <t>Installed base, end of month</t>
        </is>
      </c>
      <c r="C46" s="376" t="inlineStr">
        <is>
          <t>units</t>
        </is>
      </c>
      <c r="F46" s="377">
        <f>F15+F43</f>
        <v/>
      </c>
      <c r="G46" s="377">
        <f>G15+G43</f>
        <v/>
      </c>
      <c r="H46" s="377">
        <f>H15+H43</f>
        <v/>
      </c>
      <c r="I46" s="377">
        <f>I15+I43</f>
        <v/>
      </c>
      <c r="J46" s="377">
        <f>J15+J43</f>
        <v/>
      </c>
      <c r="K46" s="377">
        <f>K15+K43</f>
        <v/>
      </c>
      <c r="L46" s="377">
        <f>L15+L43</f>
        <v/>
      </c>
      <c r="M46" s="377">
        <f>M15+M43</f>
        <v/>
      </c>
      <c r="N46" s="377">
        <f>N15+N43</f>
        <v/>
      </c>
      <c r="O46" s="377">
        <f>O15+O43</f>
        <v/>
      </c>
      <c r="P46" s="377">
        <f>P15+P43</f>
        <v/>
      </c>
      <c r="Q46" s="377">
        <f>Q15+Q43</f>
        <v/>
      </c>
      <c r="R46" s="377">
        <f>R15+R43</f>
        <v/>
      </c>
      <c r="S46" s="377">
        <f>S15+S43</f>
        <v/>
      </c>
      <c r="T46" s="377">
        <f>T15+T43</f>
        <v/>
      </c>
      <c r="U46" s="377">
        <f>U15+U43</f>
        <v/>
      </c>
      <c r="V46" s="377">
        <f>V15+V43</f>
        <v/>
      </c>
      <c r="W46" s="377">
        <f>W15+W43</f>
        <v/>
      </c>
      <c r="X46" s="377">
        <f>X15+X43</f>
        <v/>
      </c>
      <c r="Y46" s="377">
        <f>Y15+Y43</f>
        <v/>
      </c>
      <c r="Z46" s="377">
        <f>Z15+Z43</f>
        <v/>
      </c>
      <c r="AA46" s="377">
        <f>AA15+AA43</f>
        <v/>
      </c>
      <c r="AB46" s="377">
        <f>AB15+AB43</f>
        <v/>
      </c>
      <c r="AC46" s="377">
        <f>AC15+AC43</f>
        <v/>
      </c>
      <c r="AD46" s="377">
        <f>AD15+AD43</f>
        <v/>
      </c>
      <c r="AE46" s="377">
        <f>AE15+AE43</f>
        <v/>
      </c>
      <c r="AF46" s="377">
        <f>AF15+AF43</f>
        <v/>
      </c>
      <c r="AG46" s="377">
        <f>AG15+AG43</f>
        <v/>
      </c>
      <c r="AH46" s="377">
        <f>AH15+AH43</f>
        <v/>
      </c>
      <c r="AI46" s="377">
        <f>AI15+AI43</f>
        <v/>
      </c>
      <c r="AJ46" s="377">
        <f>AJ15+AJ43</f>
        <v/>
      </c>
      <c r="AK46" s="377">
        <f>AK15+AK43</f>
        <v/>
      </c>
      <c r="AL46" s="377">
        <f>AL15+AL43</f>
        <v/>
      </c>
      <c r="AM46" s="377">
        <f>AM15+AM43</f>
        <v/>
      </c>
      <c r="AN46" s="377">
        <f>AN15+AN43</f>
        <v/>
      </c>
      <c r="AO46" s="377">
        <f>AO15+AO43</f>
        <v/>
      </c>
      <c r="AP46" s="377">
        <f>AP15+AP43</f>
        <v/>
      </c>
      <c r="AQ46" s="377">
        <f>AQ15+AQ43</f>
        <v/>
      </c>
      <c r="AR46" s="377">
        <f>AR15+AR43</f>
        <v/>
      </c>
      <c r="AS46" s="377">
        <f>AS15+AS43</f>
        <v/>
      </c>
      <c r="AT46" s="377">
        <f>AT15+AT43</f>
        <v/>
      </c>
      <c r="AU46" s="377">
        <f>AU15+AU43</f>
        <v/>
      </c>
      <c r="AV46" s="377">
        <f>AV15+AV43</f>
        <v/>
      </c>
      <c r="AW46" s="377">
        <f>AW15+AW43</f>
        <v/>
      </c>
      <c r="AX46" s="377">
        <f>AX15+AX43</f>
        <v/>
      </c>
      <c r="AY46" s="377">
        <f>AY15+AY43</f>
        <v/>
      </c>
      <c r="AZ46" s="377">
        <f>AZ15+AZ43</f>
        <v/>
      </c>
      <c r="BA46" s="377">
        <f>BA15+BA43</f>
        <v/>
      </c>
      <c r="BC46" s="378">
        <f>Q46</f>
        <v/>
      </c>
      <c r="BD46" s="378">
        <f>AC46</f>
        <v/>
      </c>
      <c r="BE46" s="378">
        <f>AO46</f>
        <v/>
      </c>
      <c r="BF46" s="378">
        <f>BA46</f>
        <v/>
      </c>
    </row>
    <row r="47">
      <c r="B47" s="374" t="inlineStr">
        <is>
          <t>CONSEQUENCES  —  market share, installed base, and the org the plan needs</t>
        </is>
      </c>
      <c r="C47" s="374" t="n"/>
      <c r="D47" s="374" t="n"/>
      <c r="E47" s="374" t="n"/>
      <c r="F47" s="374" t="n"/>
      <c r="G47" s="374" t="n"/>
      <c r="H47" s="374" t="n"/>
      <c r="I47" s="374" t="n"/>
      <c r="J47" s="374" t="n"/>
      <c r="K47" s="374" t="n"/>
      <c r="L47" s="374" t="n"/>
      <c r="M47" s="374" t="n"/>
      <c r="N47" s="374" t="n"/>
      <c r="O47" s="374" t="n"/>
      <c r="P47" s="374" t="n"/>
      <c r="Q47" s="374" t="n"/>
      <c r="R47" s="374" t="n"/>
      <c r="S47" s="374" t="n"/>
      <c r="T47" s="374" t="n"/>
      <c r="U47" s="374" t="n"/>
      <c r="V47" s="374" t="n"/>
      <c r="W47" s="374" t="n"/>
      <c r="X47" s="374" t="n"/>
      <c r="Y47" s="374" t="n"/>
      <c r="Z47" s="374" t="n"/>
      <c r="AA47" s="374" t="n"/>
      <c r="AB47" s="374" t="n"/>
      <c r="AC47" s="374" t="n"/>
      <c r="AD47" s="374" t="n"/>
      <c r="AE47" s="374" t="n"/>
      <c r="AF47" s="374" t="n"/>
      <c r="AG47" s="374" t="n"/>
      <c r="AH47" s="374" t="n"/>
      <c r="AI47" s="374" t="n"/>
      <c r="AJ47" s="374" t="n"/>
      <c r="AK47" s="374" t="n"/>
      <c r="AL47" s="374" t="n"/>
      <c r="AM47" s="374" t="n"/>
      <c r="AN47" s="374" t="n"/>
      <c r="AO47" s="374" t="n"/>
      <c r="AP47" s="374" t="n"/>
      <c r="AQ47" s="374" t="n"/>
      <c r="AR47" s="374" t="n"/>
      <c r="AS47" s="374" t="n"/>
      <c r="AT47" s="374" t="n"/>
      <c r="AU47" s="374" t="n"/>
      <c r="AV47" s="374" t="n"/>
      <c r="AW47" s="374" t="n"/>
      <c r="AX47" s="374" t="n"/>
      <c r="AY47" s="374" t="n"/>
      <c r="AZ47" s="374" t="n"/>
      <c r="BA47" s="374" t="n"/>
      <c r="BB47" s="374" t="n"/>
      <c r="BC47" s="374" t="n"/>
      <c r="BD47" s="374" t="n"/>
      <c r="BE47" s="374" t="n"/>
      <c r="BF47" s="374" t="n"/>
      <c r="BG47" s="374" t="n"/>
    </row>
    <row r="48">
      <c r="B48" s="375" t="inlineStr">
        <is>
          <t>Implied share of serviceable market</t>
        </is>
      </c>
      <c r="C48" s="376" t="inlineStr">
        <is>
          <t>%</t>
        </is>
      </c>
      <c r="F48" s="390">
        <f>IFERROR(F43/F10,0)</f>
        <v/>
      </c>
      <c r="G48" s="390">
        <f>IFERROR(G43/G10,0)</f>
        <v/>
      </c>
      <c r="H48" s="390">
        <f>IFERROR(H43/H10,0)</f>
        <v/>
      </c>
      <c r="I48" s="390">
        <f>IFERROR(I43/I10,0)</f>
        <v/>
      </c>
      <c r="J48" s="390">
        <f>IFERROR(J43/J10,0)</f>
        <v/>
      </c>
      <c r="K48" s="390">
        <f>IFERROR(K43/K10,0)</f>
        <v/>
      </c>
      <c r="L48" s="390">
        <f>IFERROR(L43/L10,0)</f>
        <v/>
      </c>
      <c r="M48" s="390">
        <f>IFERROR(M43/M10,0)</f>
        <v/>
      </c>
      <c r="N48" s="390">
        <f>IFERROR(N43/N10,0)</f>
        <v/>
      </c>
      <c r="O48" s="390">
        <f>IFERROR(O43/O10,0)</f>
        <v/>
      </c>
      <c r="P48" s="390">
        <f>IFERROR(P43/P10,0)</f>
        <v/>
      </c>
      <c r="Q48" s="390">
        <f>IFERROR(Q43/Q10,0)</f>
        <v/>
      </c>
      <c r="R48" s="390">
        <f>IFERROR(R43/R10,0)</f>
        <v/>
      </c>
      <c r="S48" s="390">
        <f>IFERROR(S43/S10,0)</f>
        <v/>
      </c>
      <c r="T48" s="390">
        <f>IFERROR(T43/T10,0)</f>
        <v/>
      </c>
      <c r="U48" s="390">
        <f>IFERROR(U43/U10,0)</f>
        <v/>
      </c>
      <c r="V48" s="390">
        <f>IFERROR(V43/V10,0)</f>
        <v/>
      </c>
      <c r="W48" s="390">
        <f>IFERROR(W43/W10,0)</f>
        <v/>
      </c>
      <c r="X48" s="390">
        <f>IFERROR(X43/X10,0)</f>
        <v/>
      </c>
      <c r="Y48" s="390">
        <f>IFERROR(Y43/Y10,0)</f>
        <v/>
      </c>
      <c r="Z48" s="390">
        <f>IFERROR(Z43/Z10,0)</f>
        <v/>
      </c>
      <c r="AA48" s="390">
        <f>IFERROR(AA43/AA10,0)</f>
        <v/>
      </c>
      <c r="AB48" s="390">
        <f>IFERROR(AB43/AB10,0)</f>
        <v/>
      </c>
      <c r="AC48" s="390">
        <f>IFERROR(AC43/AC10,0)</f>
        <v/>
      </c>
      <c r="AD48" s="390">
        <f>IFERROR(AD43/AD10,0)</f>
        <v/>
      </c>
      <c r="AE48" s="390">
        <f>IFERROR(AE43/AE10,0)</f>
        <v/>
      </c>
      <c r="AF48" s="390">
        <f>IFERROR(AF43/AF10,0)</f>
        <v/>
      </c>
      <c r="AG48" s="390">
        <f>IFERROR(AG43/AG10,0)</f>
        <v/>
      </c>
      <c r="AH48" s="390">
        <f>IFERROR(AH43/AH10,0)</f>
        <v/>
      </c>
      <c r="AI48" s="390">
        <f>IFERROR(AI43/AI10,0)</f>
        <v/>
      </c>
      <c r="AJ48" s="390">
        <f>IFERROR(AJ43/AJ10,0)</f>
        <v/>
      </c>
      <c r="AK48" s="390">
        <f>IFERROR(AK43/AK10,0)</f>
        <v/>
      </c>
      <c r="AL48" s="390">
        <f>IFERROR(AL43/AL10,0)</f>
        <v/>
      </c>
      <c r="AM48" s="390">
        <f>IFERROR(AM43/AM10,0)</f>
        <v/>
      </c>
      <c r="AN48" s="390">
        <f>IFERROR(AN43/AN10,0)</f>
        <v/>
      </c>
      <c r="AO48" s="390">
        <f>IFERROR(AO43/AO10,0)</f>
        <v/>
      </c>
      <c r="AP48" s="390">
        <f>IFERROR(AP43/AP10,0)</f>
        <v/>
      </c>
      <c r="AQ48" s="390">
        <f>IFERROR(AQ43/AQ10,0)</f>
        <v/>
      </c>
      <c r="AR48" s="390">
        <f>IFERROR(AR43/AR10,0)</f>
        <v/>
      </c>
      <c r="AS48" s="390">
        <f>IFERROR(AS43/AS10,0)</f>
        <v/>
      </c>
      <c r="AT48" s="390">
        <f>IFERROR(AT43/AT10,0)</f>
        <v/>
      </c>
      <c r="AU48" s="390">
        <f>IFERROR(AU43/AU10,0)</f>
        <v/>
      </c>
      <c r="AV48" s="390">
        <f>IFERROR(AV43/AV10,0)</f>
        <v/>
      </c>
      <c r="AW48" s="390">
        <f>IFERROR(AW43/AW10,0)</f>
        <v/>
      </c>
      <c r="AX48" s="390">
        <f>IFERROR(AX43/AX10,0)</f>
        <v/>
      </c>
      <c r="AY48" s="390">
        <f>IFERROR(AY43/AY10,0)</f>
        <v/>
      </c>
      <c r="AZ48" s="390">
        <f>IFERROR(AZ43/AZ10,0)</f>
        <v/>
      </c>
      <c r="BA48" s="390">
        <f>IFERROR(BA43/BA10,0)</f>
        <v/>
      </c>
      <c r="BC48" s="383">
        <f>AVERAGE(F48:Q48)</f>
        <v/>
      </c>
      <c r="BD48" s="383">
        <f>AVERAGE(R48:AC48)</f>
        <v/>
      </c>
      <c r="BE48" s="383">
        <f>AVERAGE(AD48:AO48)</f>
        <v/>
      </c>
      <c r="BF48" s="383">
        <f>AVERAGE(AP48:BA48)</f>
        <v/>
      </c>
      <c r="BH48" s="370" t="inlineStr">
        <is>
          <t>the first number a VC computes — kept on the face of the model</t>
        </is>
      </c>
    </row>
    <row r="49">
      <c r="B49" s="375" t="inlineStr">
        <is>
          <t>Service technicians implied</t>
        </is>
      </c>
      <c r="C49" s="376" t="inlineStr">
        <is>
          <t>FTE</t>
        </is>
      </c>
      <c r="F49" s="377">
        <f>ROUNDUP(F46*(Assumptions!$E$117+Assumptions!$E$118)/Assumptions!$F$181,0)</f>
        <v/>
      </c>
      <c r="G49" s="377">
        <f>ROUNDUP(G46*(Assumptions!$E$117+Assumptions!$E$118)/Assumptions!$F$181,0)</f>
        <v/>
      </c>
      <c r="H49" s="377">
        <f>ROUNDUP(H46*(Assumptions!$E$117+Assumptions!$E$118)/Assumptions!$F$181,0)</f>
        <v/>
      </c>
      <c r="I49" s="377">
        <f>ROUNDUP(I46*(Assumptions!$E$117+Assumptions!$E$118)/Assumptions!$F$181,0)</f>
        <v/>
      </c>
      <c r="J49" s="377">
        <f>ROUNDUP(J46*(Assumptions!$E$117+Assumptions!$E$118)/Assumptions!$F$181,0)</f>
        <v/>
      </c>
      <c r="K49" s="377">
        <f>ROUNDUP(K46*(Assumptions!$E$117+Assumptions!$E$118)/Assumptions!$F$181,0)</f>
        <v/>
      </c>
      <c r="L49" s="377">
        <f>ROUNDUP(L46*(Assumptions!$E$117+Assumptions!$E$118)/Assumptions!$F$181,0)</f>
        <v/>
      </c>
      <c r="M49" s="377">
        <f>ROUNDUP(M46*(Assumptions!$E$117+Assumptions!$E$118)/Assumptions!$F$181,0)</f>
        <v/>
      </c>
      <c r="N49" s="377">
        <f>ROUNDUP(N46*(Assumptions!$E$117+Assumptions!$E$118)/Assumptions!$F$181,0)</f>
        <v/>
      </c>
      <c r="O49" s="377">
        <f>ROUNDUP(O46*(Assumptions!$E$117+Assumptions!$E$118)/Assumptions!$F$181,0)</f>
        <v/>
      </c>
      <c r="P49" s="377">
        <f>ROUNDUP(P46*(Assumptions!$E$117+Assumptions!$E$118)/Assumptions!$F$181,0)</f>
        <v/>
      </c>
      <c r="Q49" s="377">
        <f>ROUNDUP(Q46*(Assumptions!$E$117+Assumptions!$E$118)/Assumptions!$F$181,0)</f>
        <v/>
      </c>
      <c r="R49" s="377">
        <f>ROUNDUP(R46*(Assumptions!$E$117+Assumptions!$E$118)/Assumptions!$F$181,0)</f>
        <v/>
      </c>
      <c r="S49" s="377">
        <f>ROUNDUP(S46*(Assumptions!$E$117+Assumptions!$E$118)/Assumptions!$F$181,0)</f>
        <v/>
      </c>
      <c r="T49" s="377">
        <f>ROUNDUP(T46*(Assumptions!$E$117+Assumptions!$E$118)/Assumptions!$F$181,0)</f>
        <v/>
      </c>
      <c r="U49" s="377">
        <f>ROUNDUP(U46*(Assumptions!$E$117+Assumptions!$E$118)/Assumptions!$F$181,0)</f>
        <v/>
      </c>
      <c r="V49" s="377">
        <f>ROUNDUP(V46*(Assumptions!$E$117+Assumptions!$E$118)/Assumptions!$F$181,0)</f>
        <v/>
      </c>
      <c r="W49" s="377">
        <f>ROUNDUP(W46*(Assumptions!$E$117+Assumptions!$E$118)/Assumptions!$F$181,0)</f>
        <v/>
      </c>
      <c r="X49" s="377">
        <f>ROUNDUP(X46*(Assumptions!$E$117+Assumptions!$E$118)/Assumptions!$F$181,0)</f>
        <v/>
      </c>
      <c r="Y49" s="377">
        <f>ROUNDUP(Y46*(Assumptions!$E$117+Assumptions!$E$118)/Assumptions!$F$181,0)</f>
        <v/>
      </c>
      <c r="Z49" s="377">
        <f>ROUNDUP(Z46*(Assumptions!$E$117+Assumptions!$E$118)/Assumptions!$F$181,0)</f>
        <v/>
      </c>
      <c r="AA49" s="377">
        <f>ROUNDUP(AA46*(Assumptions!$E$117+Assumptions!$E$118)/Assumptions!$F$181,0)</f>
        <v/>
      </c>
      <c r="AB49" s="377">
        <f>ROUNDUP(AB46*(Assumptions!$E$117+Assumptions!$E$118)/Assumptions!$F$181,0)</f>
        <v/>
      </c>
      <c r="AC49" s="377">
        <f>ROUNDUP(AC46*(Assumptions!$E$117+Assumptions!$E$118)/Assumptions!$F$181,0)</f>
        <v/>
      </c>
      <c r="AD49" s="377">
        <f>ROUNDUP(AD46*(Assumptions!$E$117+Assumptions!$E$118)/Assumptions!$F$181,0)</f>
        <v/>
      </c>
      <c r="AE49" s="377">
        <f>ROUNDUP(AE46*(Assumptions!$E$117+Assumptions!$E$118)/Assumptions!$F$181,0)</f>
        <v/>
      </c>
      <c r="AF49" s="377">
        <f>ROUNDUP(AF46*(Assumptions!$E$117+Assumptions!$E$118)/Assumptions!$F$181,0)</f>
        <v/>
      </c>
      <c r="AG49" s="377">
        <f>ROUNDUP(AG46*(Assumptions!$E$117+Assumptions!$E$118)/Assumptions!$F$181,0)</f>
        <v/>
      </c>
      <c r="AH49" s="377">
        <f>ROUNDUP(AH46*(Assumptions!$E$117+Assumptions!$E$118)/Assumptions!$F$181,0)</f>
        <v/>
      </c>
      <c r="AI49" s="377">
        <f>ROUNDUP(AI46*(Assumptions!$E$117+Assumptions!$E$118)/Assumptions!$F$181,0)</f>
        <v/>
      </c>
      <c r="AJ49" s="377">
        <f>ROUNDUP(AJ46*(Assumptions!$E$117+Assumptions!$E$118)/Assumptions!$F$181,0)</f>
        <v/>
      </c>
      <c r="AK49" s="377">
        <f>ROUNDUP(AK46*(Assumptions!$E$117+Assumptions!$E$118)/Assumptions!$F$181,0)</f>
        <v/>
      </c>
      <c r="AL49" s="377">
        <f>ROUNDUP(AL46*(Assumptions!$E$117+Assumptions!$E$118)/Assumptions!$F$181,0)</f>
        <v/>
      </c>
      <c r="AM49" s="377">
        <f>ROUNDUP(AM46*(Assumptions!$E$117+Assumptions!$E$118)/Assumptions!$F$181,0)</f>
        <v/>
      </c>
      <c r="AN49" s="377">
        <f>ROUNDUP(AN46*(Assumptions!$E$117+Assumptions!$E$118)/Assumptions!$F$181,0)</f>
        <v/>
      </c>
      <c r="AO49" s="377">
        <f>ROUNDUP(AO46*(Assumptions!$E$117+Assumptions!$E$118)/Assumptions!$F$181,0)</f>
        <v/>
      </c>
      <c r="AP49" s="377">
        <f>ROUNDUP(AP46*(Assumptions!$E$117+Assumptions!$E$118)/Assumptions!$F$181,0)</f>
        <v/>
      </c>
      <c r="AQ49" s="377">
        <f>ROUNDUP(AQ46*(Assumptions!$E$117+Assumptions!$E$118)/Assumptions!$F$181,0)</f>
        <v/>
      </c>
      <c r="AR49" s="377">
        <f>ROUNDUP(AR46*(Assumptions!$E$117+Assumptions!$E$118)/Assumptions!$F$181,0)</f>
        <v/>
      </c>
      <c r="AS49" s="377">
        <f>ROUNDUP(AS46*(Assumptions!$E$117+Assumptions!$E$118)/Assumptions!$F$181,0)</f>
        <v/>
      </c>
      <c r="AT49" s="377">
        <f>ROUNDUP(AT46*(Assumptions!$E$117+Assumptions!$E$118)/Assumptions!$F$181,0)</f>
        <v/>
      </c>
      <c r="AU49" s="377">
        <f>ROUNDUP(AU46*(Assumptions!$E$117+Assumptions!$E$118)/Assumptions!$F$181,0)</f>
        <v/>
      </c>
      <c r="AV49" s="377">
        <f>ROUNDUP(AV46*(Assumptions!$E$117+Assumptions!$E$118)/Assumptions!$F$181,0)</f>
        <v/>
      </c>
      <c r="AW49" s="377">
        <f>ROUNDUP(AW46*(Assumptions!$E$117+Assumptions!$E$118)/Assumptions!$F$181,0)</f>
        <v/>
      </c>
      <c r="AX49" s="377">
        <f>ROUNDUP(AX46*(Assumptions!$E$117+Assumptions!$E$118)/Assumptions!$F$181,0)</f>
        <v/>
      </c>
      <c r="AY49" s="377">
        <f>ROUNDUP(AY46*(Assumptions!$E$117+Assumptions!$E$118)/Assumptions!$F$181,0)</f>
        <v/>
      </c>
      <c r="AZ49" s="377">
        <f>ROUNDUP(AZ46*(Assumptions!$E$117+Assumptions!$E$118)/Assumptions!$F$181,0)</f>
        <v/>
      </c>
      <c r="BA49" s="377">
        <f>ROUNDUP(BA46*(Assumptions!$E$117+Assumptions!$E$118)/Assumptions!$F$181,0)</f>
        <v/>
      </c>
      <c r="BC49" s="378">
        <f>Q49</f>
        <v/>
      </c>
      <c r="BD49" s="378">
        <f>AC49</f>
        <v/>
      </c>
      <c r="BE49" s="378">
        <f>AO49</f>
        <v/>
      </c>
      <c r="BF49" s="378">
        <f>BA49</f>
        <v/>
      </c>
      <c r="BH49" s="370" t="inlineStr">
        <is>
          <t>check only — field labour is already inside the ~50% service COGS, so it is not charged twice</t>
        </is>
      </c>
    </row>
    <row r="50"/>
    <row r="51"/>
    <row r="52"/>
    <row r="53"/>
    <row r="54"/>
    <row r="55"/>
    <row r="56">
      <c r="B56" s="374" t="inlineStr">
        <is>
          <t>ORGANISATION  —  the people this plan actually needs</t>
        </is>
      </c>
      <c r="C56" s="374" t="n"/>
      <c r="D56" s="374" t="n"/>
      <c r="E56" s="374" t="n"/>
      <c r="F56" s="374" t="n"/>
      <c r="G56" s="374" t="n"/>
      <c r="H56" s="374" t="n"/>
      <c r="I56" s="374" t="n"/>
      <c r="J56" s="374" t="n"/>
      <c r="K56" s="374" t="n"/>
      <c r="L56" s="374" t="n"/>
      <c r="M56" s="374" t="n"/>
      <c r="N56" s="374" t="n"/>
      <c r="O56" s="374" t="n"/>
      <c r="P56" s="374" t="n"/>
      <c r="Q56" s="374" t="n"/>
      <c r="R56" s="374" t="n"/>
      <c r="S56" s="374" t="n"/>
      <c r="T56" s="374" t="n"/>
      <c r="U56" s="374" t="n"/>
      <c r="V56" s="374" t="n"/>
      <c r="W56" s="374" t="n"/>
      <c r="X56" s="374" t="n"/>
      <c r="Y56" s="374" t="n"/>
      <c r="Z56" s="374" t="n"/>
      <c r="AA56" s="374" t="n"/>
      <c r="AB56" s="374" t="n"/>
      <c r="AC56" s="374" t="n"/>
      <c r="AD56" s="374" t="n"/>
      <c r="AE56" s="374" t="n"/>
      <c r="AF56" s="374" t="n"/>
      <c r="AG56" s="374" t="n"/>
      <c r="AH56" s="374" t="n"/>
      <c r="AI56" s="374" t="n"/>
      <c r="AJ56" s="374" t="n"/>
      <c r="AK56" s="374" t="n"/>
      <c r="AL56" s="374" t="n"/>
      <c r="AM56" s="374" t="n"/>
      <c r="AN56" s="374" t="n"/>
      <c r="AO56" s="374" t="n"/>
      <c r="AP56" s="374" t="n"/>
      <c r="AQ56" s="374" t="n"/>
      <c r="AR56" s="374" t="n"/>
      <c r="AS56" s="374" t="n"/>
      <c r="AT56" s="374" t="n"/>
      <c r="AU56" s="374" t="n"/>
      <c r="AV56" s="374" t="n"/>
      <c r="AW56" s="374" t="n"/>
      <c r="AX56" s="374" t="n"/>
      <c r="AY56" s="374" t="n"/>
      <c r="AZ56" s="374" t="n"/>
      <c r="BA56" s="374" t="n"/>
      <c r="BB56" s="374" t="n"/>
      <c r="BC56" s="374" t="n"/>
      <c r="BD56" s="374" t="n"/>
      <c r="BE56" s="374" t="n"/>
      <c r="BF56" s="374" t="n"/>
      <c r="BG56" s="374" t="n"/>
    </row>
    <row r="57">
      <c r="B57" s="375" t="inlineStr">
        <is>
          <t>Sales reps</t>
        </is>
      </c>
      <c r="C57" s="376" t="inlineStr">
        <is>
          <t>FTE</t>
        </is>
      </c>
      <c r="F57" s="386">
        <f>F25</f>
        <v/>
      </c>
      <c r="G57" s="386">
        <f>G25</f>
        <v/>
      </c>
      <c r="H57" s="386">
        <f>H25</f>
        <v/>
      </c>
      <c r="I57" s="386">
        <f>I25</f>
        <v/>
      </c>
      <c r="J57" s="386">
        <f>J25</f>
        <v/>
      </c>
      <c r="K57" s="386">
        <f>K25</f>
        <v/>
      </c>
      <c r="L57" s="386">
        <f>L25</f>
        <v/>
      </c>
      <c r="M57" s="386">
        <f>M25</f>
        <v/>
      </c>
      <c r="N57" s="386">
        <f>N25</f>
        <v/>
      </c>
      <c r="O57" s="386">
        <f>O25</f>
        <v/>
      </c>
      <c r="P57" s="386">
        <f>P25</f>
        <v/>
      </c>
      <c r="Q57" s="386">
        <f>Q25</f>
        <v/>
      </c>
      <c r="R57" s="386">
        <f>R25</f>
        <v/>
      </c>
      <c r="S57" s="386">
        <f>S25</f>
        <v/>
      </c>
      <c r="T57" s="386">
        <f>T25</f>
        <v/>
      </c>
      <c r="U57" s="386">
        <f>U25</f>
        <v/>
      </c>
      <c r="V57" s="386">
        <f>V25</f>
        <v/>
      </c>
      <c r="W57" s="386">
        <f>W25</f>
        <v/>
      </c>
      <c r="X57" s="386">
        <f>X25</f>
        <v/>
      </c>
      <c r="Y57" s="386">
        <f>Y25</f>
        <v/>
      </c>
      <c r="Z57" s="386">
        <f>Z25</f>
        <v/>
      </c>
      <c r="AA57" s="386">
        <f>AA25</f>
        <v/>
      </c>
      <c r="AB57" s="386">
        <f>AB25</f>
        <v/>
      </c>
      <c r="AC57" s="386">
        <f>AC25</f>
        <v/>
      </c>
      <c r="AD57" s="386">
        <f>AD25</f>
        <v/>
      </c>
      <c r="AE57" s="386">
        <f>AE25</f>
        <v/>
      </c>
      <c r="AF57" s="386">
        <f>AF25</f>
        <v/>
      </c>
      <c r="AG57" s="386">
        <f>AG25</f>
        <v/>
      </c>
      <c r="AH57" s="386">
        <f>AH25</f>
        <v/>
      </c>
      <c r="AI57" s="386">
        <f>AI25</f>
        <v/>
      </c>
      <c r="AJ57" s="386">
        <f>AJ25</f>
        <v/>
      </c>
      <c r="AK57" s="386">
        <f>AK25</f>
        <v/>
      </c>
      <c r="AL57" s="386">
        <f>AL25</f>
        <v/>
      </c>
      <c r="AM57" s="386">
        <f>AM25</f>
        <v/>
      </c>
      <c r="AN57" s="386">
        <f>AN25</f>
        <v/>
      </c>
      <c r="AO57" s="386">
        <f>AO25</f>
        <v/>
      </c>
      <c r="AP57" s="386">
        <f>AP25</f>
        <v/>
      </c>
      <c r="AQ57" s="386">
        <f>AQ25</f>
        <v/>
      </c>
      <c r="AR57" s="386">
        <f>AR25</f>
        <v/>
      </c>
      <c r="AS57" s="386">
        <f>AS25</f>
        <v/>
      </c>
      <c r="AT57" s="386">
        <f>AT25</f>
        <v/>
      </c>
      <c r="AU57" s="386">
        <f>AU25</f>
        <v/>
      </c>
      <c r="AV57" s="386">
        <f>AV25</f>
        <v/>
      </c>
      <c r="AW57" s="386">
        <f>AW25</f>
        <v/>
      </c>
      <c r="AX57" s="386">
        <f>AX25</f>
        <v/>
      </c>
      <c r="AY57" s="386">
        <f>AY25</f>
        <v/>
      </c>
      <c r="AZ57" s="386">
        <f>AZ25</f>
        <v/>
      </c>
      <c r="BA57" s="386">
        <f>BA25</f>
        <v/>
      </c>
      <c r="BC57" s="387">
        <f>Q57</f>
        <v/>
      </c>
      <c r="BD57" s="387">
        <f>AC57</f>
        <v/>
      </c>
      <c r="BE57" s="387">
        <f>AO57</f>
        <v/>
      </c>
      <c r="BF57" s="387">
        <f>BA57</f>
        <v/>
      </c>
    </row>
    <row r="58">
      <c r="B58" s="375" t="inlineStr">
        <is>
          <t>Partner managers</t>
        </is>
      </c>
      <c r="C58" s="376" t="inlineStr">
        <is>
          <t>FTE</t>
        </is>
      </c>
      <c r="F58" s="377">
        <f>F33</f>
        <v/>
      </c>
      <c r="G58" s="377">
        <f>G33</f>
        <v/>
      </c>
      <c r="H58" s="377">
        <f>H33</f>
        <v/>
      </c>
      <c r="I58" s="377">
        <f>I33</f>
        <v/>
      </c>
      <c r="J58" s="377">
        <f>J33</f>
        <v/>
      </c>
      <c r="K58" s="377">
        <f>K33</f>
        <v/>
      </c>
      <c r="L58" s="377">
        <f>L33</f>
        <v/>
      </c>
      <c r="M58" s="377">
        <f>M33</f>
        <v/>
      </c>
      <c r="N58" s="377">
        <f>N33</f>
        <v/>
      </c>
      <c r="O58" s="377">
        <f>O33</f>
        <v/>
      </c>
      <c r="P58" s="377">
        <f>P33</f>
        <v/>
      </c>
      <c r="Q58" s="377">
        <f>Q33</f>
        <v/>
      </c>
      <c r="R58" s="377">
        <f>R33</f>
        <v/>
      </c>
      <c r="S58" s="377">
        <f>S33</f>
        <v/>
      </c>
      <c r="T58" s="377">
        <f>T33</f>
        <v/>
      </c>
      <c r="U58" s="377">
        <f>U33</f>
        <v/>
      </c>
      <c r="V58" s="377">
        <f>V33</f>
        <v/>
      </c>
      <c r="W58" s="377">
        <f>W33</f>
        <v/>
      </c>
      <c r="X58" s="377">
        <f>X33</f>
        <v/>
      </c>
      <c r="Y58" s="377">
        <f>Y33</f>
        <v/>
      </c>
      <c r="Z58" s="377">
        <f>Z33</f>
        <v/>
      </c>
      <c r="AA58" s="377">
        <f>AA33</f>
        <v/>
      </c>
      <c r="AB58" s="377">
        <f>AB33</f>
        <v/>
      </c>
      <c r="AC58" s="377">
        <f>AC33</f>
        <v/>
      </c>
      <c r="AD58" s="377">
        <f>AD33</f>
        <v/>
      </c>
      <c r="AE58" s="377">
        <f>AE33</f>
        <v/>
      </c>
      <c r="AF58" s="377">
        <f>AF33</f>
        <v/>
      </c>
      <c r="AG58" s="377">
        <f>AG33</f>
        <v/>
      </c>
      <c r="AH58" s="377">
        <f>AH33</f>
        <v/>
      </c>
      <c r="AI58" s="377">
        <f>AI33</f>
        <v/>
      </c>
      <c r="AJ58" s="377">
        <f>AJ33</f>
        <v/>
      </c>
      <c r="AK58" s="377">
        <f>AK33</f>
        <v/>
      </c>
      <c r="AL58" s="377">
        <f>AL33</f>
        <v/>
      </c>
      <c r="AM58" s="377">
        <f>AM33</f>
        <v/>
      </c>
      <c r="AN58" s="377">
        <f>AN33</f>
        <v/>
      </c>
      <c r="AO58" s="377">
        <f>AO33</f>
        <v/>
      </c>
      <c r="AP58" s="377">
        <f>AP33</f>
        <v/>
      </c>
      <c r="AQ58" s="377">
        <f>AQ33</f>
        <v/>
      </c>
      <c r="AR58" s="377">
        <f>AR33</f>
        <v/>
      </c>
      <c r="AS58" s="377">
        <f>AS33</f>
        <v/>
      </c>
      <c r="AT58" s="377">
        <f>AT33</f>
        <v/>
      </c>
      <c r="AU58" s="377">
        <f>AU33</f>
        <v/>
      </c>
      <c r="AV58" s="377">
        <f>AV33</f>
        <v/>
      </c>
      <c r="AW58" s="377">
        <f>AW33</f>
        <v/>
      </c>
      <c r="AX58" s="377">
        <f>AX33</f>
        <v/>
      </c>
      <c r="AY58" s="377">
        <f>AY33</f>
        <v/>
      </c>
      <c r="AZ58" s="377">
        <f>AZ33</f>
        <v/>
      </c>
      <c r="BA58" s="377">
        <f>BA33</f>
        <v/>
      </c>
      <c r="BC58" s="378">
        <f>Q58</f>
        <v/>
      </c>
      <c r="BD58" s="378">
        <f>AC58</f>
        <v/>
      </c>
      <c r="BE58" s="378">
        <f>AO58</f>
        <v/>
      </c>
      <c r="BF58" s="378">
        <f>BA58</f>
        <v/>
      </c>
    </row>
    <row r="59">
      <c r="B59" s="375" t="inlineStr">
        <is>
          <t>Installer trainers</t>
        </is>
      </c>
      <c r="C59" s="376" t="inlineStr">
        <is>
          <t>FTE</t>
        </is>
      </c>
      <c r="F59" s="377">
        <f>ROUNDUP(F28*12/Assumptions!$F$188,0)</f>
        <v/>
      </c>
      <c r="G59" s="377">
        <f>ROUNDUP(G28*12/Assumptions!$F$188,0)</f>
        <v/>
      </c>
      <c r="H59" s="377">
        <f>ROUNDUP(H28*12/Assumptions!$F$188,0)</f>
        <v/>
      </c>
      <c r="I59" s="377">
        <f>ROUNDUP(I28*12/Assumptions!$F$188,0)</f>
        <v/>
      </c>
      <c r="J59" s="377">
        <f>ROUNDUP(J28*12/Assumptions!$F$188,0)</f>
        <v/>
      </c>
      <c r="K59" s="377">
        <f>ROUNDUP(K28*12/Assumptions!$F$188,0)</f>
        <v/>
      </c>
      <c r="L59" s="377">
        <f>ROUNDUP(L28*12/Assumptions!$F$188,0)</f>
        <v/>
      </c>
      <c r="M59" s="377">
        <f>ROUNDUP(M28*12/Assumptions!$F$188,0)</f>
        <v/>
      </c>
      <c r="N59" s="377">
        <f>ROUNDUP(N28*12/Assumptions!$F$188,0)</f>
        <v/>
      </c>
      <c r="O59" s="377">
        <f>ROUNDUP(O28*12/Assumptions!$F$188,0)</f>
        <v/>
      </c>
      <c r="P59" s="377">
        <f>ROUNDUP(P28*12/Assumptions!$F$188,0)</f>
        <v/>
      </c>
      <c r="Q59" s="377">
        <f>ROUNDUP(Q28*12/Assumptions!$F$188,0)</f>
        <v/>
      </c>
      <c r="R59" s="377">
        <f>ROUNDUP(R28*12/Assumptions!$F$188,0)</f>
        <v/>
      </c>
      <c r="S59" s="377">
        <f>ROUNDUP(S28*12/Assumptions!$F$188,0)</f>
        <v/>
      </c>
      <c r="T59" s="377">
        <f>ROUNDUP(T28*12/Assumptions!$F$188,0)</f>
        <v/>
      </c>
      <c r="U59" s="377">
        <f>ROUNDUP(U28*12/Assumptions!$F$188,0)</f>
        <v/>
      </c>
      <c r="V59" s="377">
        <f>ROUNDUP(V28*12/Assumptions!$F$188,0)</f>
        <v/>
      </c>
      <c r="W59" s="377">
        <f>ROUNDUP(W28*12/Assumptions!$F$188,0)</f>
        <v/>
      </c>
      <c r="X59" s="377">
        <f>ROUNDUP(X28*12/Assumptions!$F$188,0)</f>
        <v/>
      </c>
      <c r="Y59" s="377">
        <f>ROUNDUP(Y28*12/Assumptions!$F$188,0)</f>
        <v/>
      </c>
      <c r="Z59" s="377">
        <f>ROUNDUP(Z28*12/Assumptions!$F$188,0)</f>
        <v/>
      </c>
      <c r="AA59" s="377">
        <f>ROUNDUP(AA28*12/Assumptions!$F$188,0)</f>
        <v/>
      </c>
      <c r="AB59" s="377">
        <f>ROUNDUP(AB28*12/Assumptions!$F$188,0)</f>
        <v/>
      </c>
      <c r="AC59" s="377">
        <f>ROUNDUP(AC28*12/Assumptions!$F$188,0)</f>
        <v/>
      </c>
      <c r="AD59" s="377">
        <f>ROUNDUP(AD28*12/Assumptions!$F$188,0)</f>
        <v/>
      </c>
      <c r="AE59" s="377">
        <f>ROUNDUP(AE28*12/Assumptions!$F$188,0)</f>
        <v/>
      </c>
      <c r="AF59" s="377">
        <f>ROUNDUP(AF28*12/Assumptions!$F$188,0)</f>
        <v/>
      </c>
      <c r="AG59" s="377">
        <f>ROUNDUP(AG28*12/Assumptions!$F$188,0)</f>
        <v/>
      </c>
      <c r="AH59" s="377">
        <f>ROUNDUP(AH28*12/Assumptions!$F$188,0)</f>
        <v/>
      </c>
      <c r="AI59" s="377">
        <f>ROUNDUP(AI28*12/Assumptions!$F$188,0)</f>
        <v/>
      </c>
      <c r="AJ59" s="377">
        <f>ROUNDUP(AJ28*12/Assumptions!$F$188,0)</f>
        <v/>
      </c>
      <c r="AK59" s="377">
        <f>ROUNDUP(AK28*12/Assumptions!$F$188,0)</f>
        <v/>
      </c>
      <c r="AL59" s="377">
        <f>ROUNDUP(AL28*12/Assumptions!$F$188,0)</f>
        <v/>
      </c>
      <c r="AM59" s="377">
        <f>ROUNDUP(AM28*12/Assumptions!$F$188,0)</f>
        <v/>
      </c>
      <c r="AN59" s="377">
        <f>ROUNDUP(AN28*12/Assumptions!$F$188,0)</f>
        <v/>
      </c>
      <c r="AO59" s="377">
        <f>ROUNDUP(AO28*12/Assumptions!$F$188,0)</f>
        <v/>
      </c>
      <c r="AP59" s="377">
        <f>ROUNDUP(AP28*12/Assumptions!$F$188,0)</f>
        <v/>
      </c>
      <c r="AQ59" s="377">
        <f>ROUNDUP(AQ28*12/Assumptions!$F$188,0)</f>
        <v/>
      </c>
      <c r="AR59" s="377">
        <f>ROUNDUP(AR28*12/Assumptions!$F$188,0)</f>
        <v/>
      </c>
      <c r="AS59" s="377">
        <f>ROUNDUP(AS28*12/Assumptions!$F$188,0)</f>
        <v/>
      </c>
      <c r="AT59" s="377">
        <f>ROUNDUP(AT28*12/Assumptions!$F$188,0)</f>
        <v/>
      </c>
      <c r="AU59" s="377">
        <f>ROUNDUP(AU28*12/Assumptions!$F$188,0)</f>
        <v/>
      </c>
      <c r="AV59" s="377">
        <f>ROUNDUP(AV28*12/Assumptions!$F$188,0)</f>
        <v/>
      </c>
      <c r="AW59" s="377">
        <f>ROUNDUP(AW28*12/Assumptions!$F$188,0)</f>
        <v/>
      </c>
      <c r="AX59" s="377">
        <f>ROUNDUP(AX28*12/Assumptions!$F$188,0)</f>
        <v/>
      </c>
      <c r="AY59" s="377">
        <f>ROUNDUP(AY28*12/Assumptions!$F$188,0)</f>
        <v/>
      </c>
      <c r="AZ59" s="377">
        <f>ROUNDUP(AZ28*12/Assumptions!$F$188,0)</f>
        <v/>
      </c>
      <c r="BA59" s="377">
        <f>ROUNDUP(BA28*12/Assumptions!$F$188,0)</f>
        <v/>
      </c>
      <c r="BC59" s="378">
        <f>Q59</f>
        <v/>
      </c>
      <c r="BD59" s="378">
        <f>AC59</f>
        <v/>
      </c>
      <c r="BE59" s="378">
        <f>AO59</f>
        <v/>
      </c>
      <c r="BF59" s="378">
        <f>BA59</f>
        <v/>
      </c>
      <c r="BH59" s="370" t="inlineStr">
        <is>
          <t>290 installer partners have to be trained and certified before they can sell anything</t>
        </is>
      </c>
    </row>
    <row r="60">
      <c r="B60" s="375" t="inlineStr">
        <is>
          <t>Order desk / sales ops</t>
        </is>
      </c>
      <c r="C60" s="376" t="inlineStr">
        <is>
          <t>FTE</t>
        </is>
      </c>
      <c r="F60" s="377">
        <f>ROUNDUP(F43*12/Assumptions!$F$189,0)</f>
        <v/>
      </c>
      <c r="G60" s="377">
        <f>ROUNDUP(G43*12/Assumptions!$F$189,0)</f>
        <v/>
      </c>
      <c r="H60" s="377">
        <f>ROUNDUP(H43*12/Assumptions!$F$189,0)</f>
        <v/>
      </c>
      <c r="I60" s="377">
        <f>ROUNDUP(I43*12/Assumptions!$F$189,0)</f>
        <v/>
      </c>
      <c r="J60" s="377">
        <f>ROUNDUP(J43*12/Assumptions!$F$189,0)</f>
        <v/>
      </c>
      <c r="K60" s="377">
        <f>ROUNDUP(K43*12/Assumptions!$F$189,0)</f>
        <v/>
      </c>
      <c r="L60" s="377">
        <f>ROUNDUP(L43*12/Assumptions!$F$189,0)</f>
        <v/>
      </c>
      <c r="M60" s="377">
        <f>ROUNDUP(M43*12/Assumptions!$F$189,0)</f>
        <v/>
      </c>
      <c r="N60" s="377">
        <f>ROUNDUP(N43*12/Assumptions!$F$189,0)</f>
        <v/>
      </c>
      <c r="O60" s="377">
        <f>ROUNDUP(O43*12/Assumptions!$F$189,0)</f>
        <v/>
      </c>
      <c r="P60" s="377">
        <f>ROUNDUP(P43*12/Assumptions!$F$189,0)</f>
        <v/>
      </c>
      <c r="Q60" s="377">
        <f>ROUNDUP(Q43*12/Assumptions!$F$189,0)</f>
        <v/>
      </c>
      <c r="R60" s="377">
        <f>ROUNDUP(R43*12/Assumptions!$F$189,0)</f>
        <v/>
      </c>
      <c r="S60" s="377">
        <f>ROUNDUP(S43*12/Assumptions!$F$189,0)</f>
        <v/>
      </c>
      <c r="T60" s="377">
        <f>ROUNDUP(T43*12/Assumptions!$F$189,0)</f>
        <v/>
      </c>
      <c r="U60" s="377">
        <f>ROUNDUP(U43*12/Assumptions!$F$189,0)</f>
        <v/>
      </c>
      <c r="V60" s="377">
        <f>ROUNDUP(V43*12/Assumptions!$F$189,0)</f>
        <v/>
      </c>
      <c r="W60" s="377">
        <f>ROUNDUP(W43*12/Assumptions!$F$189,0)</f>
        <v/>
      </c>
      <c r="X60" s="377">
        <f>ROUNDUP(X43*12/Assumptions!$F$189,0)</f>
        <v/>
      </c>
      <c r="Y60" s="377">
        <f>ROUNDUP(Y43*12/Assumptions!$F$189,0)</f>
        <v/>
      </c>
      <c r="Z60" s="377">
        <f>ROUNDUP(Z43*12/Assumptions!$F$189,0)</f>
        <v/>
      </c>
      <c r="AA60" s="377">
        <f>ROUNDUP(AA43*12/Assumptions!$F$189,0)</f>
        <v/>
      </c>
      <c r="AB60" s="377">
        <f>ROUNDUP(AB43*12/Assumptions!$F$189,0)</f>
        <v/>
      </c>
      <c r="AC60" s="377">
        <f>ROUNDUP(AC43*12/Assumptions!$F$189,0)</f>
        <v/>
      </c>
      <c r="AD60" s="377">
        <f>ROUNDUP(AD43*12/Assumptions!$F$189,0)</f>
        <v/>
      </c>
      <c r="AE60" s="377">
        <f>ROUNDUP(AE43*12/Assumptions!$F$189,0)</f>
        <v/>
      </c>
      <c r="AF60" s="377">
        <f>ROUNDUP(AF43*12/Assumptions!$F$189,0)</f>
        <v/>
      </c>
      <c r="AG60" s="377">
        <f>ROUNDUP(AG43*12/Assumptions!$F$189,0)</f>
        <v/>
      </c>
      <c r="AH60" s="377">
        <f>ROUNDUP(AH43*12/Assumptions!$F$189,0)</f>
        <v/>
      </c>
      <c r="AI60" s="377">
        <f>ROUNDUP(AI43*12/Assumptions!$F$189,0)</f>
        <v/>
      </c>
      <c r="AJ60" s="377">
        <f>ROUNDUP(AJ43*12/Assumptions!$F$189,0)</f>
        <v/>
      </c>
      <c r="AK60" s="377">
        <f>ROUNDUP(AK43*12/Assumptions!$F$189,0)</f>
        <v/>
      </c>
      <c r="AL60" s="377">
        <f>ROUNDUP(AL43*12/Assumptions!$F$189,0)</f>
        <v/>
      </c>
      <c r="AM60" s="377">
        <f>ROUNDUP(AM43*12/Assumptions!$F$189,0)</f>
        <v/>
      </c>
      <c r="AN60" s="377">
        <f>ROUNDUP(AN43*12/Assumptions!$F$189,0)</f>
        <v/>
      </c>
      <c r="AO60" s="377">
        <f>ROUNDUP(AO43*12/Assumptions!$F$189,0)</f>
        <v/>
      </c>
      <c r="AP60" s="377">
        <f>ROUNDUP(AP43*12/Assumptions!$F$189,0)</f>
        <v/>
      </c>
      <c r="AQ60" s="377">
        <f>ROUNDUP(AQ43*12/Assumptions!$F$189,0)</f>
        <v/>
      </c>
      <c r="AR60" s="377">
        <f>ROUNDUP(AR43*12/Assumptions!$F$189,0)</f>
        <v/>
      </c>
      <c r="AS60" s="377">
        <f>ROUNDUP(AS43*12/Assumptions!$F$189,0)</f>
        <v/>
      </c>
      <c r="AT60" s="377">
        <f>ROUNDUP(AT43*12/Assumptions!$F$189,0)</f>
        <v/>
      </c>
      <c r="AU60" s="377">
        <f>ROUNDUP(AU43*12/Assumptions!$F$189,0)</f>
        <v/>
      </c>
      <c r="AV60" s="377">
        <f>ROUNDUP(AV43*12/Assumptions!$F$189,0)</f>
        <v/>
      </c>
      <c r="AW60" s="377">
        <f>ROUNDUP(AW43*12/Assumptions!$F$189,0)</f>
        <v/>
      </c>
      <c r="AX60" s="377">
        <f>ROUNDUP(AX43*12/Assumptions!$F$189,0)</f>
        <v/>
      </c>
      <c r="AY60" s="377">
        <f>ROUNDUP(AY43*12/Assumptions!$F$189,0)</f>
        <v/>
      </c>
      <c r="AZ60" s="377">
        <f>ROUNDUP(AZ43*12/Assumptions!$F$189,0)</f>
        <v/>
      </c>
      <c r="BA60" s="377">
        <f>ROUNDUP(BA43*12/Assumptions!$F$189,0)</f>
        <v/>
      </c>
      <c r="BC60" s="378">
        <f>Q60</f>
        <v/>
      </c>
      <c r="BD60" s="378">
        <f>AC60</f>
        <v/>
      </c>
      <c r="BE60" s="378">
        <f>AO60</f>
        <v/>
      </c>
      <c r="BF60" s="378">
        <f>BA60</f>
        <v/>
      </c>
    </row>
    <row r="61">
      <c r="B61" s="375" t="inlineStr">
        <is>
          <t>Marketing team</t>
        </is>
      </c>
      <c r="C61" s="376" t="inlineStr">
        <is>
          <t>FTE</t>
        </is>
      </c>
      <c r="F61" s="377">
        <f>2+ROUNDUP(F14*12/Assumptions!$F$190,0)</f>
        <v/>
      </c>
      <c r="G61" s="377">
        <f>2+ROUNDUP(G14*12/Assumptions!$F$190,0)</f>
        <v/>
      </c>
      <c r="H61" s="377">
        <f>2+ROUNDUP(H14*12/Assumptions!$F$190,0)</f>
        <v/>
      </c>
      <c r="I61" s="377">
        <f>2+ROUNDUP(I14*12/Assumptions!$F$190,0)</f>
        <v/>
      </c>
      <c r="J61" s="377">
        <f>2+ROUNDUP(J14*12/Assumptions!$F$190,0)</f>
        <v/>
      </c>
      <c r="K61" s="377">
        <f>2+ROUNDUP(K14*12/Assumptions!$F$190,0)</f>
        <v/>
      </c>
      <c r="L61" s="377">
        <f>2+ROUNDUP(L14*12/Assumptions!$F$190,0)</f>
        <v/>
      </c>
      <c r="M61" s="377">
        <f>2+ROUNDUP(M14*12/Assumptions!$F$190,0)</f>
        <v/>
      </c>
      <c r="N61" s="377">
        <f>2+ROUNDUP(N14*12/Assumptions!$F$190,0)</f>
        <v/>
      </c>
      <c r="O61" s="377">
        <f>2+ROUNDUP(O14*12/Assumptions!$F$190,0)</f>
        <v/>
      </c>
      <c r="P61" s="377">
        <f>2+ROUNDUP(P14*12/Assumptions!$F$190,0)</f>
        <v/>
      </c>
      <c r="Q61" s="377">
        <f>2+ROUNDUP(Q14*12/Assumptions!$F$190,0)</f>
        <v/>
      </c>
      <c r="R61" s="377">
        <f>2+ROUNDUP(R14*12/Assumptions!$F$190,0)</f>
        <v/>
      </c>
      <c r="S61" s="377">
        <f>2+ROUNDUP(S14*12/Assumptions!$F$190,0)</f>
        <v/>
      </c>
      <c r="T61" s="377">
        <f>2+ROUNDUP(T14*12/Assumptions!$F$190,0)</f>
        <v/>
      </c>
      <c r="U61" s="377">
        <f>2+ROUNDUP(U14*12/Assumptions!$F$190,0)</f>
        <v/>
      </c>
      <c r="V61" s="377">
        <f>2+ROUNDUP(V14*12/Assumptions!$F$190,0)</f>
        <v/>
      </c>
      <c r="W61" s="377">
        <f>2+ROUNDUP(W14*12/Assumptions!$F$190,0)</f>
        <v/>
      </c>
      <c r="X61" s="377">
        <f>2+ROUNDUP(X14*12/Assumptions!$F$190,0)</f>
        <v/>
      </c>
      <c r="Y61" s="377">
        <f>2+ROUNDUP(Y14*12/Assumptions!$F$190,0)</f>
        <v/>
      </c>
      <c r="Z61" s="377">
        <f>2+ROUNDUP(Z14*12/Assumptions!$F$190,0)</f>
        <v/>
      </c>
      <c r="AA61" s="377">
        <f>2+ROUNDUP(AA14*12/Assumptions!$F$190,0)</f>
        <v/>
      </c>
      <c r="AB61" s="377">
        <f>2+ROUNDUP(AB14*12/Assumptions!$F$190,0)</f>
        <v/>
      </c>
      <c r="AC61" s="377">
        <f>2+ROUNDUP(AC14*12/Assumptions!$F$190,0)</f>
        <v/>
      </c>
      <c r="AD61" s="377">
        <f>2+ROUNDUP(AD14*12/Assumptions!$F$190,0)</f>
        <v/>
      </c>
      <c r="AE61" s="377">
        <f>2+ROUNDUP(AE14*12/Assumptions!$F$190,0)</f>
        <v/>
      </c>
      <c r="AF61" s="377">
        <f>2+ROUNDUP(AF14*12/Assumptions!$F$190,0)</f>
        <v/>
      </c>
      <c r="AG61" s="377">
        <f>2+ROUNDUP(AG14*12/Assumptions!$F$190,0)</f>
        <v/>
      </c>
      <c r="AH61" s="377">
        <f>2+ROUNDUP(AH14*12/Assumptions!$F$190,0)</f>
        <v/>
      </c>
      <c r="AI61" s="377">
        <f>2+ROUNDUP(AI14*12/Assumptions!$F$190,0)</f>
        <v/>
      </c>
      <c r="AJ61" s="377">
        <f>2+ROUNDUP(AJ14*12/Assumptions!$F$190,0)</f>
        <v/>
      </c>
      <c r="AK61" s="377">
        <f>2+ROUNDUP(AK14*12/Assumptions!$F$190,0)</f>
        <v/>
      </c>
      <c r="AL61" s="377">
        <f>2+ROUNDUP(AL14*12/Assumptions!$F$190,0)</f>
        <v/>
      </c>
      <c r="AM61" s="377">
        <f>2+ROUNDUP(AM14*12/Assumptions!$F$190,0)</f>
        <v/>
      </c>
      <c r="AN61" s="377">
        <f>2+ROUNDUP(AN14*12/Assumptions!$F$190,0)</f>
        <v/>
      </c>
      <c r="AO61" s="377">
        <f>2+ROUNDUP(AO14*12/Assumptions!$F$190,0)</f>
        <v/>
      </c>
      <c r="AP61" s="377">
        <f>2+ROUNDUP(AP14*12/Assumptions!$F$190,0)</f>
        <v/>
      </c>
      <c r="AQ61" s="377">
        <f>2+ROUNDUP(AQ14*12/Assumptions!$F$190,0)</f>
        <v/>
      </c>
      <c r="AR61" s="377">
        <f>2+ROUNDUP(AR14*12/Assumptions!$F$190,0)</f>
        <v/>
      </c>
      <c r="AS61" s="377">
        <f>2+ROUNDUP(AS14*12/Assumptions!$F$190,0)</f>
        <v/>
      </c>
      <c r="AT61" s="377">
        <f>2+ROUNDUP(AT14*12/Assumptions!$F$190,0)</f>
        <v/>
      </c>
      <c r="AU61" s="377">
        <f>2+ROUNDUP(AU14*12/Assumptions!$F$190,0)</f>
        <v/>
      </c>
      <c r="AV61" s="377">
        <f>2+ROUNDUP(AV14*12/Assumptions!$F$190,0)</f>
        <v/>
      </c>
      <c r="AW61" s="377">
        <f>2+ROUNDUP(AW14*12/Assumptions!$F$190,0)</f>
        <v/>
      </c>
      <c r="AX61" s="377">
        <f>2+ROUNDUP(AX14*12/Assumptions!$F$190,0)</f>
        <v/>
      </c>
      <c r="AY61" s="377">
        <f>2+ROUNDUP(AY14*12/Assumptions!$F$190,0)</f>
        <v/>
      </c>
      <c r="AZ61" s="377">
        <f>2+ROUNDUP(AZ14*12/Assumptions!$F$190,0)</f>
        <v/>
      </c>
      <c r="BA61" s="377">
        <f>2+ROUNDUP(BA14*12/Assumptions!$F$190,0)</f>
        <v/>
      </c>
      <c r="BC61" s="378">
        <f>Q61</f>
        <v/>
      </c>
      <c r="BD61" s="378">
        <f>AC61</f>
        <v/>
      </c>
      <c r="BE61" s="378">
        <f>AO61</f>
        <v/>
      </c>
      <c r="BF61" s="378">
        <f>BA61</f>
        <v/>
      </c>
    </row>
    <row r="62">
      <c r="B62" s="379" t="inlineStr">
        <is>
          <t>Commercial team (S&amp;M)</t>
        </is>
      </c>
      <c r="C62" s="376" t="inlineStr">
        <is>
          <t>FTE</t>
        </is>
      </c>
      <c r="F62" s="380">
        <f>SUM(F57:F61)</f>
        <v/>
      </c>
      <c r="G62" s="380">
        <f>SUM(G57:G61)</f>
        <v/>
      </c>
      <c r="H62" s="380">
        <f>SUM(H57:H61)</f>
        <v/>
      </c>
      <c r="I62" s="380">
        <f>SUM(I57:I61)</f>
        <v/>
      </c>
      <c r="J62" s="380">
        <f>SUM(J57:J61)</f>
        <v/>
      </c>
      <c r="K62" s="380">
        <f>SUM(K57:K61)</f>
        <v/>
      </c>
      <c r="L62" s="380">
        <f>SUM(L57:L61)</f>
        <v/>
      </c>
      <c r="M62" s="380">
        <f>SUM(M57:M61)</f>
        <v/>
      </c>
      <c r="N62" s="380">
        <f>SUM(N57:N61)</f>
        <v/>
      </c>
      <c r="O62" s="380">
        <f>SUM(O57:O61)</f>
        <v/>
      </c>
      <c r="P62" s="380">
        <f>SUM(P57:P61)</f>
        <v/>
      </c>
      <c r="Q62" s="380">
        <f>SUM(Q57:Q61)</f>
        <v/>
      </c>
      <c r="R62" s="380">
        <f>SUM(R57:R61)</f>
        <v/>
      </c>
      <c r="S62" s="380">
        <f>SUM(S57:S61)</f>
        <v/>
      </c>
      <c r="T62" s="380">
        <f>SUM(T57:T61)</f>
        <v/>
      </c>
      <c r="U62" s="380">
        <f>SUM(U57:U61)</f>
        <v/>
      </c>
      <c r="V62" s="380">
        <f>SUM(V57:V61)</f>
        <v/>
      </c>
      <c r="W62" s="380">
        <f>SUM(W57:W61)</f>
        <v/>
      </c>
      <c r="X62" s="380">
        <f>SUM(X57:X61)</f>
        <v/>
      </c>
      <c r="Y62" s="380">
        <f>SUM(Y57:Y61)</f>
        <v/>
      </c>
      <c r="Z62" s="380">
        <f>SUM(Z57:Z61)</f>
        <v/>
      </c>
      <c r="AA62" s="380">
        <f>SUM(AA57:AA61)</f>
        <v/>
      </c>
      <c r="AB62" s="380">
        <f>SUM(AB57:AB61)</f>
        <v/>
      </c>
      <c r="AC62" s="380">
        <f>SUM(AC57:AC61)</f>
        <v/>
      </c>
      <c r="AD62" s="380">
        <f>SUM(AD57:AD61)</f>
        <v/>
      </c>
      <c r="AE62" s="380">
        <f>SUM(AE57:AE61)</f>
        <v/>
      </c>
      <c r="AF62" s="380">
        <f>SUM(AF57:AF61)</f>
        <v/>
      </c>
      <c r="AG62" s="380">
        <f>SUM(AG57:AG61)</f>
        <v/>
      </c>
      <c r="AH62" s="380">
        <f>SUM(AH57:AH61)</f>
        <v/>
      </c>
      <c r="AI62" s="380">
        <f>SUM(AI57:AI61)</f>
        <v/>
      </c>
      <c r="AJ62" s="380">
        <f>SUM(AJ57:AJ61)</f>
        <v/>
      </c>
      <c r="AK62" s="380">
        <f>SUM(AK57:AK61)</f>
        <v/>
      </c>
      <c r="AL62" s="380">
        <f>SUM(AL57:AL61)</f>
        <v/>
      </c>
      <c r="AM62" s="380">
        <f>SUM(AM57:AM61)</f>
        <v/>
      </c>
      <c r="AN62" s="380">
        <f>SUM(AN57:AN61)</f>
        <v/>
      </c>
      <c r="AO62" s="380">
        <f>SUM(AO57:AO61)</f>
        <v/>
      </c>
      <c r="AP62" s="380">
        <f>SUM(AP57:AP61)</f>
        <v/>
      </c>
      <c r="AQ62" s="380">
        <f>SUM(AQ57:AQ61)</f>
        <v/>
      </c>
      <c r="AR62" s="380">
        <f>SUM(AR57:AR61)</f>
        <v/>
      </c>
      <c r="AS62" s="380">
        <f>SUM(AS57:AS61)</f>
        <v/>
      </c>
      <c r="AT62" s="380">
        <f>SUM(AT57:AT61)</f>
        <v/>
      </c>
      <c r="AU62" s="380">
        <f>SUM(AU57:AU61)</f>
        <v/>
      </c>
      <c r="AV62" s="380">
        <f>SUM(AV57:AV61)</f>
        <v/>
      </c>
      <c r="AW62" s="380">
        <f>SUM(AW57:AW61)</f>
        <v/>
      </c>
      <c r="AX62" s="380">
        <f>SUM(AX57:AX61)</f>
        <v/>
      </c>
      <c r="AY62" s="380">
        <f>SUM(AY57:AY61)</f>
        <v/>
      </c>
      <c r="AZ62" s="380">
        <f>SUM(AZ57:AZ61)</f>
        <v/>
      </c>
      <c r="BA62" s="380">
        <f>SUM(BA57:BA61)</f>
        <v/>
      </c>
      <c r="BC62" s="378">
        <f>Q62</f>
        <v/>
      </c>
      <c r="BD62" s="378">
        <f>AC62</f>
        <v/>
      </c>
      <c r="BE62" s="378">
        <f>AO62</f>
        <v/>
      </c>
      <c r="BF62" s="378">
        <f>BA62</f>
        <v/>
      </c>
    </row>
    <row r="63">
      <c r="B63" s="375" t="inlineStr">
        <is>
          <t>Supply chain, planning &amp; logistics</t>
        </is>
      </c>
      <c r="C63" s="376" t="inlineStr">
        <is>
          <t>FTE</t>
        </is>
      </c>
      <c r="F63" s="377">
        <f>ROUNDUP(F43*12/Assumptions!$F$184,0)</f>
        <v/>
      </c>
      <c r="G63" s="377">
        <f>ROUNDUP(G43*12/Assumptions!$F$184,0)</f>
        <v/>
      </c>
      <c r="H63" s="377">
        <f>ROUNDUP(H43*12/Assumptions!$F$184,0)</f>
        <v/>
      </c>
      <c r="I63" s="377">
        <f>ROUNDUP(I43*12/Assumptions!$F$184,0)</f>
        <v/>
      </c>
      <c r="J63" s="377">
        <f>ROUNDUP(J43*12/Assumptions!$F$184,0)</f>
        <v/>
      </c>
      <c r="K63" s="377">
        <f>ROUNDUP(K43*12/Assumptions!$F$184,0)</f>
        <v/>
      </c>
      <c r="L63" s="377">
        <f>ROUNDUP(L43*12/Assumptions!$F$184,0)</f>
        <v/>
      </c>
      <c r="M63" s="377">
        <f>ROUNDUP(M43*12/Assumptions!$F$184,0)</f>
        <v/>
      </c>
      <c r="N63" s="377">
        <f>ROUNDUP(N43*12/Assumptions!$F$184,0)</f>
        <v/>
      </c>
      <c r="O63" s="377">
        <f>ROUNDUP(O43*12/Assumptions!$F$184,0)</f>
        <v/>
      </c>
      <c r="P63" s="377">
        <f>ROUNDUP(P43*12/Assumptions!$F$184,0)</f>
        <v/>
      </c>
      <c r="Q63" s="377">
        <f>ROUNDUP(Q43*12/Assumptions!$F$184,0)</f>
        <v/>
      </c>
      <c r="R63" s="377">
        <f>ROUNDUP(R43*12/Assumptions!$F$184,0)</f>
        <v/>
      </c>
      <c r="S63" s="377">
        <f>ROUNDUP(S43*12/Assumptions!$F$184,0)</f>
        <v/>
      </c>
      <c r="T63" s="377">
        <f>ROUNDUP(T43*12/Assumptions!$F$184,0)</f>
        <v/>
      </c>
      <c r="U63" s="377">
        <f>ROUNDUP(U43*12/Assumptions!$F$184,0)</f>
        <v/>
      </c>
      <c r="V63" s="377">
        <f>ROUNDUP(V43*12/Assumptions!$F$184,0)</f>
        <v/>
      </c>
      <c r="W63" s="377">
        <f>ROUNDUP(W43*12/Assumptions!$F$184,0)</f>
        <v/>
      </c>
      <c r="X63" s="377">
        <f>ROUNDUP(X43*12/Assumptions!$F$184,0)</f>
        <v/>
      </c>
      <c r="Y63" s="377">
        <f>ROUNDUP(Y43*12/Assumptions!$F$184,0)</f>
        <v/>
      </c>
      <c r="Z63" s="377">
        <f>ROUNDUP(Z43*12/Assumptions!$F$184,0)</f>
        <v/>
      </c>
      <c r="AA63" s="377">
        <f>ROUNDUP(AA43*12/Assumptions!$F$184,0)</f>
        <v/>
      </c>
      <c r="AB63" s="377">
        <f>ROUNDUP(AB43*12/Assumptions!$F$184,0)</f>
        <v/>
      </c>
      <c r="AC63" s="377">
        <f>ROUNDUP(AC43*12/Assumptions!$F$184,0)</f>
        <v/>
      </c>
      <c r="AD63" s="377">
        <f>ROUNDUP(AD43*12/Assumptions!$F$184,0)</f>
        <v/>
      </c>
      <c r="AE63" s="377">
        <f>ROUNDUP(AE43*12/Assumptions!$F$184,0)</f>
        <v/>
      </c>
      <c r="AF63" s="377">
        <f>ROUNDUP(AF43*12/Assumptions!$F$184,0)</f>
        <v/>
      </c>
      <c r="AG63" s="377">
        <f>ROUNDUP(AG43*12/Assumptions!$F$184,0)</f>
        <v/>
      </c>
      <c r="AH63" s="377">
        <f>ROUNDUP(AH43*12/Assumptions!$F$184,0)</f>
        <v/>
      </c>
      <c r="AI63" s="377">
        <f>ROUNDUP(AI43*12/Assumptions!$F$184,0)</f>
        <v/>
      </c>
      <c r="AJ63" s="377">
        <f>ROUNDUP(AJ43*12/Assumptions!$F$184,0)</f>
        <v/>
      </c>
      <c r="AK63" s="377">
        <f>ROUNDUP(AK43*12/Assumptions!$F$184,0)</f>
        <v/>
      </c>
      <c r="AL63" s="377">
        <f>ROUNDUP(AL43*12/Assumptions!$F$184,0)</f>
        <v/>
      </c>
      <c r="AM63" s="377">
        <f>ROUNDUP(AM43*12/Assumptions!$F$184,0)</f>
        <v/>
      </c>
      <c r="AN63" s="377">
        <f>ROUNDUP(AN43*12/Assumptions!$F$184,0)</f>
        <v/>
      </c>
      <c r="AO63" s="377">
        <f>ROUNDUP(AO43*12/Assumptions!$F$184,0)</f>
        <v/>
      </c>
      <c r="AP63" s="377">
        <f>ROUNDUP(AP43*12/Assumptions!$F$184,0)</f>
        <v/>
      </c>
      <c r="AQ63" s="377">
        <f>ROUNDUP(AQ43*12/Assumptions!$F$184,0)</f>
        <v/>
      </c>
      <c r="AR63" s="377">
        <f>ROUNDUP(AR43*12/Assumptions!$F$184,0)</f>
        <v/>
      </c>
      <c r="AS63" s="377">
        <f>ROUNDUP(AS43*12/Assumptions!$F$184,0)</f>
        <v/>
      </c>
      <c r="AT63" s="377">
        <f>ROUNDUP(AT43*12/Assumptions!$F$184,0)</f>
        <v/>
      </c>
      <c r="AU63" s="377">
        <f>ROUNDUP(AU43*12/Assumptions!$F$184,0)</f>
        <v/>
      </c>
      <c r="AV63" s="377">
        <f>ROUNDUP(AV43*12/Assumptions!$F$184,0)</f>
        <v/>
      </c>
      <c r="AW63" s="377">
        <f>ROUNDUP(AW43*12/Assumptions!$F$184,0)</f>
        <v/>
      </c>
      <c r="AX63" s="377">
        <f>ROUNDUP(AX43*12/Assumptions!$F$184,0)</f>
        <v/>
      </c>
      <c r="AY63" s="377">
        <f>ROUNDUP(AY43*12/Assumptions!$F$184,0)</f>
        <v/>
      </c>
      <c r="AZ63" s="377">
        <f>ROUNDUP(AZ43*12/Assumptions!$F$184,0)</f>
        <v/>
      </c>
      <c r="BA63" s="377">
        <f>ROUNDUP(BA43*12/Assumptions!$F$184,0)</f>
        <v/>
      </c>
      <c r="BC63" s="378">
        <f>Q63</f>
        <v/>
      </c>
      <c r="BD63" s="378">
        <f>AC63</f>
        <v/>
      </c>
      <c r="BE63" s="378">
        <f>AO63</f>
        <v/>
      </c>
      <c r="BF63" s="378">
        <f>BA63</f>
        <v/>
      </c>
      <c r="BH63" s="370" t="inlineStr">
        <is>
          <t>someone has to buy, plan and move EUR114m of components a year</t>
        </is>
      </c>
    </row>
    <row r="64">
      <c r="B64" s="375" t="inlineStr">
        <is>
          <t>Production operators</t>
        </is>
      </c>
      <c r="C64" s="376" t="inlineStr">
        <is>
          <t>FTE</t>
        </is>
      </c>
      <c r="F64" s="377">
        <f>F38*Assumptions!$F$185</f>
        <v/>
      </c>
      <c r="G64" s="377">
        <f>G38*Assumptions!$F$185</f>
        <v/>
      </c>
      <c r="H64" s="377">
        <f>H38*Assumptions!$F$185</f>
        <v/>
      </c>
      <c r="I64" s="377">
        <f>I38*Assumptions!$F$185</f>
        <v/>
      </c>
      <c r="J64" s="377">
        <f>J38*Assumptions!$F$185</f>
        <v/>
      </c>
      <c r="K64" s="377">
        <f>K38*Assumptions!$F$185</f>
        <v/>
      </c>
      <c r="L64" s="377">
        <f>L38*Assumptions!$F$185</f>
        <v/>
      </c>
      <c r="M64" s="377">
        <f>M38*Assumptions!$F$185</f>
        <v/>
      </c>
      <c r="N64" s="377">
        <f>N38*Assumptions!$F$185</f>
        <v/>
      </c>
      <c r="O64" s="377">
        <f>O38*Assumptions!$F$185</f>
        <v/>
      </c>
      <c r="P64" s="377">
        <f>P38*Assumptions!$F$185</f>
        <v/>
      </c>
      <c r="Q64" s="377">
        <f>Q38*Assumptions!$F$185</f>
        <v/>
      </c>
      <c r="R64" s="377">
        <f>R38*Assumptions!$F$185</f>
        <v/>
      </c>
      <c r="S64" s="377">
        <f>S38*Assumptions!$F$185</f>
        <v/>
      </c>
      <c r="T64" s="377">
        <f>T38*Assumptions!$F$185</f>
        <v/>
      </c>
      <c r="U64" s="377">
        <f>U38*Assumptions!$F$185</f>
        <v/>
      </c>
      <c r="V64" s="377">
        <f>V38*Assumptions!$F$185</f>
        <v/>
      </c>
      <c r="W64" s="377">
        <f>W38*Assumptions!$F$185</f>
        <v/>
      </c>
      <c r="X64" s="377">
        <f>X38*Assumptions!$F$185</f>
        <v/>
      </c>
      <c r="Y64" s="377">
        <f>Y38*Assumptions!$F$185</f>
        <v/>
      </c>
      <c r="Z64" s="377">
        <f>Z38*Assumptions!$F$185</f>
        <v/>
      </c>
      <c r="AA64" s="377">
        <f>AA38*Assumptions!$F$185</f>
        <v/>
      </c>
      <c r="AB64" s="377">
        <f>AB38*Assumptions!$F$185</f>
        <v/>
      </c>
      <c r="AC64" s="377">
        <f>AC38*Assumptions!$F$185</f>
        <v/>
      </c>
      <c r="AD64" s="377">
        <f>AD38*Assumptions!$F$185</f>
        <v/>
      </c>
      <c r="AE64" s="377">
        <f>AE38*Assumptions!$F$185</f>
        <v/>
      </c>
      <c r="AF64" s="377">
        <f>AF38*Assumptions!$F$185</f>
        <v/>
      </c>
      <c r="AG64" s="377">
        <f>AG38*Assumptions!$F$185</f>
        <v/>
      </c>
      <c r="AH64" s="377">
        <f>AH38*Assumptions!$F$185</f>
        <v/>
      </c>
      <c r="AI64" s="377">
        <f>AI38*Assumptions!$F$185</f>
        <v/>
      </c>
      <c r="AJ64" s="377">
        <f>AJ38*Assumptions!$F$185</f>
        <v/>
      </c>
      <c r="AK64" s="377">
        <f>AK38*Assumptions!$F$185</f>
        <v/>
      </c>
      <c r="AL64" s="377">
        <f>AL38*Assumptions!$F$185</f>
        <v/>
      </c>
      <c r="AM64" s="377">
        <f>AM38*Assumptions!$F$185</f>
        <v/>
      </c>
      <c r="AN64" s="377">
        <f>AN38*Assumptions!$F$185</f>
        <v/>
      </c>
      <c r="AO64" s="377">
        <f>AO38*Assumptions!$F$185</f>
        <v/>
      </c>
      <c r="AP64" s="377">
        <f>AP38*Assumptions!$F$185</f>
        <v/>
      </c>
      <c r="AQ64" s="377">
        <f>AQ38*Assumptions!$F$185</f>
        <v/>
      </c>
      <c r="AR64" s="377">
        <f>AR38*Assumptions!$F$185</f>
        <v/>
      </c>
      <c r="AS64" s="377">
        <f>AS38*Assumptions!$F$185</f>
        <v/>
      </c>
      <c r="AT64" s="377">
        <f>AT38*Assumptions!$F$185</f>
        <v/>
      </c>
      <c r="AU64" s="377">
        <f>AU38*Assumptions!$F$185</f>
        <v/>
      </c>
      <c r="AV64" s="377">
        <f>AV38*Assumptions!$F$185</f>
        <v/>
      </c>
      <c r="AW64" s="377">
        <f>AW38*Assumptions!$F$185</f>
        <v/>
      </c>
      <c r="AX64" s="377">
        <f>AX38*Assumptions!$F$185</f>
        <v/>
      </c>
      <c r="AY64" s="377">
        <f>AY38*Assumptions!$F$185</f>
        <v/>
      </c>
      <c r="AZ64" s="377">
        <f>AZ38*Assumptions!$F$185</f>
        <v/>
      </c>
      <c r="BA64" s="377">
        <f>BA38*Assumptions!$F$185</f>
        <v/>
      </c>
      <c r="BC64" s="378">
        <f>Q64</f>
        <v/>
      </c>
      <c r="BD64" s="378">
        <f>AC64</f>
        <v/>
      </c>
      <c r="BE64" s="378">
        <f>AO64</f>
        <v/>
      </c>
      <c r="BF64" s="378">
        <f>BA64</f>
        <v/>
      </c>
    </row>
    <row r="65">
      <c r="B65" s="375" t="inlineStr">
        <is>
          <t>Customer support</t>
        </is>
      </c>
      <c r="C65" s="376" t="inlineStr">
        <is>
          <t>FTE</t>
        </is>
      </c>
      <c r="F65" s="377">
        <f>ROUNDUP(F46/Assumptions!$F$186,0)</f>
        <v/>
      </c>
      <c r="G65" s="377">
        <f>ROUNDUP(G46/Assumptions!$F$186,0)</f>
        <v/>
      </c>
      <c r="H65" s="377">
        <f>ROUNDUP(H46/Assumptions!$F$186,0)</f>
        <v/>
      </c>
      <c r="I65" s="377">
        <f>ROUNDUP(I46/Assumptions!$F$186,0)</f>
        <v/>
      </c>
      <c r="J65" s="377">
        <f>ROUNDUP(J46/Assumptions!$F$186,0)</f>
        <v/>
      </c>
      <c r="K65" s="377">
        <f>ROUNDUP(K46/Assumptions!$F$186,0)</f>
        <v/>
      </c>
      <c r="L65" s="377">
        <f>ROUNDUP(L46/Assumptions!$F$186,0)</f>
        <v/>
      </c>
      <c r="M65" s="377">
        <f>ROUNDUP(M46/Assumptions!$F$186,0)</f>
        <v/>
      </c>
      <c r="N65" s="377">
        <f>ROUNDUP(N46/Assumptions!$F$186,0)</f>
        <v/>
      </c>
      <c r="O65" s="377">
        <f>ROUNDUP(O46/Assumptions!$F$186,0)</f>
        <v/>
      </c>
      <c r="P65" s="377">
        <f>ROUNDUP(P46/Assumptions!$F$186,0)</f>
        <v/>
      </c>
      <c r="Q65" s="377">
        <f>ROUNDUP(Q46/Assumptions!$F$186,0)</f>
        <v/>
      </c>
      <c r="R65" s="377">
        <f>ROUNDUP(R46/Assumptions!$F$186,0)</f>
        <v/>
      </c>
      <c r="S65" s="377">
        <f>ROUNDUP(S46/Assumptions!$F$186,0)</f>
        <v/>
      </c>
      <c r="T65" s="377">
        <f>ROUNDUP(T46/Assumptions!$F$186,0)</f>
        <v/>
      </c>
      <c r="U65" s="377">
        <f>ROUNDUP(U46/Assumptions!$F$186,0)</f>
        <v/>
      </c>
      <c r="V65" s="377">
        <f>ROUNDUP(V46/Assumptions!$F$186,0)</f>
        <v/>
      </c>
      <c r="W65" s="377">
        <f>ROUNDUP(W46/Assumptions!$F$186,0)</f>
        <v/>
      </c>
      <c r="X65" s="377">
        <f>ROUNDUP(X46/Assumptions!$F$186,0)</f>
        <v/>
      </c>
      <c r="Y65" s="377">
        <f>ROUNDUP(Y46/Assumptions!$F$186,0)</f>
        <v/>
      </c>
      <c r="Z65" s="377">
        <f>ROUNDUP(Z46/Assumptions!$F$186,0)</f>
        <v/>
      </c>
      <c r="AA65" s="377">
        <f>ROUNDUP(AA46/Assumptions!$F$186,0)</f>
        <v/>
      </c>
      <c r="AB65" s="377">
        <f>ROUNDUP(AB46/Assumptions!$F$186,0)</f>
        <v/>
      </c>
      <c r="AC65" s="377">
        <f>ROUNDUP(AC46/Assumptions!$F$186,0)</f>
        <v/>
      </c>
      <c r="AD65" s="377">
        <f>ROUNDUP(AD46/Assumptions!$F$186,0)</f>
        <v/>
      </c>
      <c r="AE65" s="377">
        <f>ROUNDUP(AE46/Assumptions!$F$186,0)</f>
        <v/>
      </c>
      <c r="AF65" s="377">
        <f>ROUNDUP(AF46/Assumptions!$F$186,0)</f>
        <v/>
      </c>
      <c r="AG65" s="377">
        <f>ROUNDUP(AG46/Assumptions!$F$186,0)</f>
        <v/>
      </c>
      <c r="AH65" s="377">
        <f>ROUNDUP(AH46/Assumptions!$F$186,0)</f>
        <v/>
      </c>
      <c r="AI65" s="377">
        <f>ROUNDUP(AI46/Assumptions!$F$186,0)</f>
        <v/>
      </c>
      <c r="AJ65" s="377">
        <f>ROUNDUP(AJ46/Assumptions!$F$186,0)</f>
        <v/>
      </c>
      <c r="AK65" s="377">
        <f>ROUNDUP(AK46/Assumptions!$F$186,0)</f>
        <v/>
      </c>
      <c r="AL65" s="377">
        <f>ROUNDUP(AL46/Assumptions!$F$186,0)</f>
        <v/>
      </c>
      <c r="AM65" s="377">
        <f>ROUNDUP(AM46/Assumptions!$F$186,0)</f>
        <v/>
      </c>
      <c r="AN65" s="377">
        <f>ROUNDUP(AN46/Assumptions!$F$186,0)</f>
        <v/>
      </c>
      <c r="AO65" s="377">
        <f>ROUNDUP(AO46/Assumptions!$F$186,0)</f>
        <v/>
      </c>
      <c r="AP65" s="377">
        <f>ROUNDUP(AP46/Assumptions!$F$186,0)</f>
        <v/>
      </c>
      <c r="AQ65" s="377">
        <f>ROUNDUP(AQ46/Assumptions!$F$186,0)</f>
        <v/>
      </c>
      <c r="AR65" s="377">
        <f>ROUNDUP(AR46/Assumptions!$F$186,0)</f>
        <v/>
      </c>
      <c r="AS65" s="377">
        <f>ROUNDUP(AS46/Assumptions!$F$186,0)</f>
        <v/>
      </c>
      <c r="AT65" s="377">
        <f>ROUNDUP(AT46/Assumptions!$F$186,0)</f>
        <v/>
      </c>
      <c r="AU65" s="377">
        <f>ROUNDUP(AU46/Assumptions!$F$186,0)</f>
        <v/>
      </c>
      <c r="AV65" s="377">
        <f>ROUNDUP(AV46/Assumptions!$F$186,0)</f>
        <v/>
      </c>
      <c r="AW65" s="377">
        <f>ROUNDUP(AW46/Assumptions!$F$186,0)</f>
        <v/>
      </c>
      <c r="AX65" s="377">
        <f>ROUNDUP(AX46/Assumptions!$F$186,0)</f>
        <v/>
      </c>
      <c r="AY65" s="377">
        <f>ROUNDUP(AY46/Assumptions!$F$186,0)</f>
        <v/>
      </c>
      <c r="AZ65" s="377">
        <f>ROUNDUP(AZ46/Assumptions!$F$186,0)</f>
        <v/>
      </c>
      <c r="BA65" s="377">
        <f>ROUNDUP(BA46/Assumptions!$F$186,0)</f>
        <v/>
      </c>
      <c r="BC65" s="378">
        <f>Q65</f>
        <v/>
      </c>
      <c r="BD65" s="378">
        <f>AC65</f>
        <v/>
      </c>
      <c r="BE65" s="378">
        <f>AO65</f>
        <v/>
      </c>
      <c r="BF65" s="378">
        <f>BA65</f>
        <v/>
      </c>
      <c r="BH65" s="370" t="inlineStr">
        <is>
          <t>inbound calls scale with the installed base, not with sales</t>
        </is>
      </c>
    </row>
    <row r="66">
      <c r="B66" s="375" t="inlineStr">
        <is>
          <t>Technical escalation</t>
        </is>
      </c>
      <c r="C66" s="376" t="inlineStr">
        <is>
          <t>FTE</t>
        </is>
      </c>
      <c r="F66" s="377">
        <f>ROUNDUP(F46/Assumptions!$F$187,0)</f>
        <v/>
      </c>
      <c r="G66" s="377">
        <f>ROUNDUP(G46/Assumptions!$F$187,0)</f>
        <v/>
      </c>
      <c r="H66" s="377">
        <f>ROUNDUP(H46/Assumptions!$F$187,0)</f>
        <v/>
      </c>
      <c r="I66" s="377">
        <f>ROUNDUP(I46/Assumptions!$F$187,0)</f>
        <v/>
      </c>
      <c r="J66" s="377">
        <f>ROUNDUP(J46/Assumptions!$F$187,0)</f>
        <v/>
      </c>
      <c r="K66" s="377">
        <f>ROUNDUP(K46/Assumptions!$F$187,0)</f>
        <v/>
      </c>
      <c r="L66" s="377">
        <f>ROUNDUP(L46/Assumptions!$F$187,0)</f>
        <v/>
      </c>
      <c r="M66" s="377">
        <f>ROUNDUP(M46/Assumptions!$F$187,0)</f>
        <v/>
      </c>
      <c r="N66" s="377">
        <f>ROUNDUP(N46/Assumptions!$F$187,0)</f>
        <v/>
      </c>
      <c r="O66" s="377">
        <f>ROUNDUP(O46/Assumptions!$F$187,0)</f>
        <v/>
      </c>
      <c r="P66" s="377">
        <f>ROUNDUP(P46/Assumptions!$F$187,0)</f>
        <v/>
      </c>
      <c r="Q66" s="377">
        <f>ROUNDUP(Q46/Assumptions!$F$187,0)</f>
        <v/>
      </c>
      <c r="R66" s="377">
        <f>ROUNDUP(R46/Assumptions!$F$187,0)</f>
        <v/>
      </c>
      <c r="S66" s="377">
        <f>ROUNDUP(S46/Assumptions!$F$187,0)</f>
        <v/>
      </c>
      <c r="T66" s="377">
        <f>ROUNDUP(T46/Assumptions!$F$187,0)</f>
        <v/>
      </c>
      <c r="U66" s="377">
        <f>ROUNDUP(U46/Assumptions!$F$187,0)</f>
        <v/>
      </c>
      <c r="V66" s="377">
        <f>ROUNDUP(V46/Assumptions!$F$187,0)</f>
        <v/>
      </c>
      <c r="W66" s="377">
        <f>ROUNDUP(W46/Assumptions!$F$187,0)</f>
        <v/>
      </c>
      <c r="X66" s="377">
        <f>ROUNDUP(X46/Assumptions!$F$187,0)</f>
        <v/>
      </c>
      <c r="Y66" s="377">
        <f>ROUNDUP(Y46/Assumptions!$F$187,0)</f>
        <v/>
      </c>
      <c r="Z66" s="377">
        <f>ROUNDUP(Z46/Assumptions!$F$187,0)</f>
        <v/>
      </c>
      <c r="AA66" s="377">
        <f>ROUNDUP(AA46/Assumptions!$F$187,0)</f>
        <v/>
      </c>
      <c r="AB66" s="377">
        <f>ROUNDUP(AB46/Assumptions!$F$187,0)</f>
        <v/>
      </c>
      <c r="AC66" s="377">
        <f>ROUNDUP(AC46/Assumptions!$F$187,0)</f>
        <v/>
      </c>
      <c r="AD66" s="377">
        <f>ROUNDUP(AD46/Assumptions!$F$187,0)</f>
        <v/>
      </c>
      <c r="AE66" s="377">
        <f>ROUNDUP(AE46/Assumptions!$F$187,0)</f>
        <v/>
      </c>
      <c r="AF66" s="377">
        <f>ROUNDUP(AF46/Assumptions!$F$187,0)</f>
        <v/>
      </c>
      <c r="AG66" s="377">
        <f>ROUNDUP(AG46/Assumptions!$F$187,0)</f>
        <v/>
      </c>
      <c r="AH66" s="377">
        <f>ROUNDUP(AH46/Assumptions!$F$187,0)</f>
        <v/>
      </c>
      <c r="AI66" s="377">
        <f>ROUNDUP(AI46/Assumptions!$F$187,0)</f>
        <v/>
      </c>
      <c r="AJ66" s="377">
        <f>ROUNDUP(AJ46/Assumptions!$F$187,0)</f>
        <v/>
      </c>
      <c r="AK66" s="377">
        <f>ROUNDUP(AK46/Assumptions!$F$187,0)</f>
        <v/>
      </c>
      <c r="AL66" s="377">
        <f>ROUNDUP(AL46/Assumptions!$F$187,0)</f>
        <v/>
      </c>
      <c r="AM66" s="377">
        <f>ROUNDUP(AM46/Assumptions!$F$187,0)</f>
        <v/>
      </c>
      <c r="AN66" s="377">
        <f>ROUNDUP(AN46/Assumptions!$F$187,0)</f>
        <v/>
      </c>
      <c r="AO66" s="377">
        <f>ROUNDUP(AO46/Assumptions!$F$187,0)</f>
        <v/>
      </c>
      <c r="AP66" s="377">
        <f>ROUNDUP(AP46/Assumptions!$F$187,0)</f>
        <v/>
      </c>
      <c r="AQ66" s="377">
        <f>ROUNDUP(AQ46/Assumptions!$F$187,0)</f>
        <v/>
      </c>
      <c r="AR66" s="377">
        <f>ROUNDUP(AR46/Assumptions!$F$187,0)</f>
        <v/>
      </c>
      <c r="AS66" s="377">
        <f>ROUNDUP(AS46/Assumptions!$F$187,0)</f>
        <v/>
      </c>
      <c r="AT66" s="377">
        <f>ROUNDUP(AT46/Assumptions!$F$187,0)</f>
        <v/>
      </c>
      <c r="AU66" s="377">
        <f>ROUNDUP(AU46/Assumptions!$F$187,0)</f>
        <v/>
      </c>
      <c r="AV66" s="377">
        <f>ROUNDUP(AV46/Assumptions!$F$187,0)</f>
        <v/>
      </c>
      <c r="AW66" s="377">
        <f>ROUNDUP(AW46/Assumptions!$F$187,0)</f>
        <v/>
      </c>
      <c r="AX66" s="377">
        <f>ROUNDUP(AX46/Assumptions!$F$187,0)</f>
        <v/>
      </c>
      <c r="AY66" s="377">
        <f>ROUNDUP(AY46/Assumptions!$F$187,0)</f>
        <v/>
      </c>
      <c r="AZ66" s="377">
        <f>ROUNDUP(AZ46/Assumptions!$F$187,0)</f>
        <v/>
      </c>
      <c r="BA66" s="377">
        <f>ROUNDUP(BA46/Assumptions!$F$187,0)</f>
        <v/>
      </c>
      <c r="BC66" s="378">
        <f>Q66</f>
        <v/>
      </c>
      <c r="BD66" s="378">
        <f>AC66</f>
        <v/>
      </c>
      <c r="BE66" s="378">
        <f>AO66</f>
        <v/>
      </c>
      <c r="BF66" s="378">
        <f>BA66</f>
        <v/>
      </c>
    </row>
    <row r="67">
      <c r="B67" s="375" t="inlineStr">
        <is>
          <t>Quality &amp; certification</t>
        </is>
      </c>
      <c r="C67" s="376" t="inlineStr">
        <is>
          <t>FTE</t>
        </is>
      </c>
      <c r="F67" s="377">
        <f>Assumptions!$F$191+Assumptions!$F$192*(1+IF(YEAR(F$5)&gt;=Assumptions!$F$137,2,0))-Assumptions!$F$192</f>
        <v/>
      </c>
      <c r="G67" s="377">
        <f>Assumptions!$F$191+Assumptions!$F$192*(1+IF(YEAR(G$5)&gt;=Assumptions!$F$137,2,0))-Assumptions!$F$192</f>
        <v/>
      </c>
      <c r="H67" s="377">
        <f>Assumptions!$F$191+Assumptions!$F$192*(1+IF(YEAR(H$5)&gt;=Assumptions!$F$137,2,0))-Assumptions!$F$192</f>
        <v/>
      </c>
      <c r="I67" s="377">
        <f>Assumptions!$F$191+Assumptions!$F$192*(1+IF(YEAR(I$5)&gt;=Assumptions!$F$137,2,0))-Assumptions!$F$192</f>
        <v/>
      </c>
      <c r="J67" s="377">
        <f>Assumptions!$F$191+Assumptions!$F$192*(1+IF(YEAR(J$5)&gt;=Assumptions!$F$137,2,0))-Assumptions!$F$192</f>
        <v/>
      </c>
      <c r="K67" s="377">
        <f>Assumptions!$F$191+Assumptions!$F$192*(1+IF(YEAR(K$5)&gt;=Assumptions!$F$137,2,0))-Assumptions!$F$192</f>
        <v/>
      </c>
      <c r="L67" s="377">
        <f>Assumptions!$F$191+Assumptions!$F$192*(1+IF(YEAR(L$5)&gt;=Assumptions!$F$137,2,0))-Assumptions!$F$192</f>
        <v/>
      </c>
      <c r="M67" s="377">
        <f>Assumptions!$F$191+Assumptions!$F$192*(1+IF(YEAR(M$5)&gt;=Assumptions!$F$137,2,0))-Assumptions!$F$192</f>
        <v/>
      </c>
      <c r="N67" s="377">
        <f>Assumptions!$F$191+Assumptions!$F$192*(1+IF(YEAR(N$5)&gt;=Assumptions!$F$137,2,0))-Assumptions!$F$192</f>
        <v/>
      </c>
      <c r="O67" s="377">
        <f>Assumptions!$F$191+Assumptions!$F$192*(1+IF(YEAR(O$5)&gt;=Assumptions!$F$137,2,0))-Assumptions!$F$192</f>
        <v/>
      </c>
      <c r="P67" s="377">
        <f>Assumptions!$F$191+Assumptions!$F$192*(1+IF(YEAR(P$5)&gt;=Assumptions!$F$137,2,0))-Assumptions!$F$192</f>
        <v/>
      </c>
      <c r="Q67" s="377">
        <f>Assumptions!$F$191+Assumptions!$F$192*(1+IF(YEAR(Q$5)&gt;=Assumptions!$F$137,2,0))-Assumptions!$F$192</f>
        <v/>
      </c>
      <c r="R67" s="377">
        <f>Assumptions!$F$191+Assumptions!$F$192*(1+IF(YEAR(R$5)&gt;=Assumptions!$F$137,2,0))-Assumptions!$F$192</f>
        <v/>
      </c>
      <c r="S67" s="377">
        <f>Assumptions!$F$191+Assumptions!$F$192*(1+IF(YEAR(S$5)&gt;=Assumptions!$F$137,2,0))-Assumptions!$F$192</f>
        <v/>
      </c>
      <c r="T67" s="377">
        <f>Assumptions!$F$191+Assumptions!$F$192*(1+IF(YEAR(T$5)&gt;=Assumptions!$F$137,2,0))-Assumptions!$F$192</f>
        <v/>
      </c>
      <c r="U67" s="377">
        <f>Assumptions!$F$191+Assumptions!$F$192*(1+IF(YEAR(U$5)&gt;=Assumptions!$F$137,2,0))-Assumptions!$F$192</f>
        <v/>
      </c>
      <c r="V67" s="377">
        <f>Assumptions!$F$191+Assumptions!$F$192*(1+IF(YEAR(V$5)&gt;=Assumptions!$F$137,2,0))-Assumptions!$F$192</f>
        <v/>
      </c>
      <c r="W67" s="377">
        <f>Assumptions!$F$191+Assumptions!$F$192*(1+IF(YEAR(W$5)&gt;=Assumptions!$F$137,2,0))-Assumptions!$F$192</f>
        <v/>
      </c>
      <c r="X67" s="377">
        <f>Assumptions!$F$191+Assumptions!$F$192*(1+IF(YEAR(X$5)&gt;=Assumptions!$F$137,2,0))-Assumptions!$F$192</f>
        <v/>
      </c>
      <c r="Y67" s="377">
        <f>Assumptions!$F$191+Assumptions!$F$192*(1+IF(YEAR(Y$5)&gt;=Assumptions!$F$137,2,0))-Assumptions!$F$192</f>
        <v/>
      </c>
      <c r="Z67" s="377">
        <f>Assumptions!$F$191+Assumptions!$F$192*(1+IF(YEAR(Z$5)&gt;=Assumptions!$F$137,2,0))-Assumptions!$F$192</f>
        <v/>
      </c>
      <c r="AA67" s="377">
        <f>Assumptions!$F$191+Assumptions!$F$192*(1+IF(YEAR(AA$5)&gt;=Assumptions!$F$137,2,0))-Assumptions!$F$192</f>
        <v/>
      </c>
      <c r="AB67" s="377">
        <f>Assumptions!$F$191+Assumptions!$F$192*(1+IF(YEAR(AB$5)&gt;=Assumptions!$F$137,2,0))-Assumptions!$F$192</f>
        <v/>
      </c>
      <c r="AC67" s="377">
        <f>Assumptions!$F$191+Assumptions!$F$192*(1+IF(YEAR(AC$5)&gt;=Assumptions!$F$137,2,0))-Assumptions!$F$192</f>
        <v/>
      </c>
      <c r="AD67" s="377">
        <f>Assumptions!$F$191+Assumptions!$F$192*(1+IF(YEAR(AD$5)&gt;=Assumptions!$F$137,2,0))-Assumptions!$F$192</f>
        <v/>
      </c>
      <c r="AE67" s="377">
        <f>Assumptions!$F$191+Assumptions!$F$192*(1+IF(YEAR(AE$5)&gt;=Assumptions!$F$137,2,0))-Assumptions!$F$192</f>
        <v/>
      </c>
      <c r="AF67" s="377">
        <f>Assumptions!$F$191+Assumptions!$F$192*(1+IF(YEAR(AF$5)&gt;=Assumptions!$F$137,2,0))-Assumptions!$F$192</f>
        <v/>
      </c>
      <c r="AG67" s="377">
        <f>Assumptions!$F$191+Assumptions!$F$192*(1+IF(YEAR(AG$5)&gt;=Assumptions!$F$137,2,0))-Assumptions!$F$192</f>
        <v/>
      </c>
      <c r="AH67" s="377">
        <f>Assumptions!$F$191+Assumptions!$F$192*(1+IF(YEAR(AH$5)&gt;=Assumptions!$F$137,2,0))-Assumptions!$F$192</f>
        <v/>
      </c>
      <c r="AI67" s="377">
        <f>Assumptions!$F$191+Assumptions!$F$192*(1+IF(YEAR(AI$5)&gt;=Assumptions!$F$137,2,0))-Assumptions!$F$192</f>
        <v/>
      </c>
      <c r="AJ67" s="377">
        <f>Assumptions!$F$191+Assumptions!$F$192*(1+IF(YEAR(AJ$5)&gt;=Assumptions!$F$137,2,0))-Assumptions!$F$192</f>
        <v/>
      </c>
      <c r="AK67" s="377">
        <f>Assumptions!$F$191+Assumptions!$F$192*(1+IF(YEAR(AK$5)&gt;=Assumptions!$F$137,2,0))-Assumptions!$F$192</f>
        <v/>
      </c>
      <c r="AL67" s="377">
        <f>Assumptions!$F$191+Assumptions!$F$192*(1+IF(YEAR(AL$5)&gt;=Assumptions!$F$137,2,0))-Assumptions!$F$192</f>
        <v/>
      </c>
      <c r="AM67" s="377">
        <f>Assumptions!$F$191+Assumptions!$F$192*(1+IF(YEAR(AM$5)&gt;=Assumptions!$F$137,2,0))-Assumptions!$F$192</f>
        <v/>
      </c>
      <c r="AN67" s="377">
        <f>Assumptions!$F$191+Assumptions!$F$192*(1+IF(YEAR(AN$5)&gt;=Assumptions!$F$137,2,0))-Assumptions!$F$192</f>
        <v/>
      </c>
      <c r="AO67" s="377">
        <f>Assumptions!$F$191+Assumptions!$F$192*(1+IF(YEAR(AO$5)&gt;=Assumptions!$F$137,2,0))-Assumptions!$F$192</f>
        <v/>
      </c>
      <c r="AP67" s="377">
        <f>Assumptions!$F$191+Assumptions!$F$192*(1+IF(YEAR(AP$5)&gt;=Assumptions!$F$137,2,0))-Assumptions!$F$192</f>
        <v/>
      </c>
      <c r="AQ67" s="377">
        <f>Assumptions!$F$191+Assumptions!$F$192*(1+IF(YEAR(AQ$5)&gt;=Assumptions!$F$137,2,0))-Assumptions!$F$192</f>
        <v/>
      </c>
      <c r="AR67" s="377">
        <f>Assumptions!$F$191+Assumptions!$F$192*(1+IF(YEAR(AR$5)&gt;=Assumptions!$F$137,2,0))-Assumptions!$F$192</f>
        <v/>
      </c>
      <c r="AS67" s="377">
        <f>Assumptions!$F$191+Assumptions!$F$192*(1+IF(YEAR(AS$5)&gt;=Assumptions!$F$137,2,0))-Assumptions!$F$192</f>
        <v/>
      </c>
      <c r="AT67" s="377">
        <f>Assumptions!$F$191+Assumptions!$F$192*(1+IF(YEAR(AT$5)&gt;=Assumptions!$F$137,2,0))-Assumptions!$F$192</f>
        <v/>
      </c>
      <c r="AU67" s="377">
        <f>Assumptions!$F$191+Assumptions!$F$192*(1+IF(YEAR(AU$5)&gt;=Assumptions!$F$137,2,0))-Assumptions!$F$192</f>
        <v/>
      </c>
      <c r="AV67" s="377">
        <f>Assumptions!$F$191+Assumptions!$F$192*(1+IF(YEAR(AV$5)&gt;=Assumptions!$F$137,2,0))-Assumptions!$F$192</f>
        <v/>
      </c>
      <c r="AW67" s="377">
        <f>Assumptions!$F$191+Assumptions!$F$192*(1+IF(YEAR(AW$5)&gt;=Assumptions!$F$137,2,0))-Assumptions!$F$192</f>
        <v/>
      </c>
      <c r="AX67" s="377">
        <f>Assumptions!$F$191+Assumptions!$F$192*(1+IF(YEAR(AX$5)&gt;=Assumptions!$F$137,2,0))-Assumptions!$F$192</f>
        <v/>
      </c>
      <c r="AY67" s="377">
        <f>Assumptions!$F$191+Assumptions!$F$192*(1+IF(YEAR(AY$5)&gt;=Assumptions!$F$137,2,0))-Assumptions!$F$192</f>
        <v/>
      </c>
      <c r="AZ67" s="377">
        <f>Assumptions!$F$191+Assumptions!$F$192*(1+IF(YEAR(AZ$5)&gt;=Assumptions!$F$137,2,0))-Assumptions!$F$192</f>
        <v/>
      </c>
      <c r="BA67" s="377">
        <f>Assumptions!$F$191+Assumptions!$F$192*(1+IF(YEAR(BA$5)&gt;=Assumptions!$F$137,2,0))-Assumptions!$F$192</f>
        <v/>
      </c>
      <c r="BC67" s="378">
        <f>Q67</f>
        <v/>
      </c>
      <c r="BD67" s="378">
        <f>AC67</f>
        <v/>
      </c>
      <c r="BE67" s="378">
        <f>AO67</f>
        <v/>
      </c>
      <c r="BF67" s="378">
        <f>BA67</f>
        <v/>
      </c>
      <c r="BH67" s="370" t="inlineStr">
        <is>
          <t>every new country needs its own certification work</t>
        </is>
      </c>
    </row>
    <row r="68">
      <c r="B68" s="375" t="inlineStr">
        <is>
          <t>R&amp;D — from the Personnel roster</t>
        </is>
      </c>
      <c r="C68" s="376" t="inlineStr">
        <is>
          <t>FTE</t>
        </is>
      </c>
      <c r="F68" s="377">
        <f>Personnel!AG257</f>
        <v/>
      </c>
      <c r="G68" s="377">
        <f>Personnel!AH257</f>
        <v/>
      </c>
      <c r="H68" s="377">
        <f>Personnel!AI257</f>
        <v/>
      </c>
      <c r="I68" s="377">
        <f>Personnel!AJ257</f>
        <v/>
      </c>
      <c r="J68" s="377">
        <f>Personnel!AK257</f>
        <v/>
      </c>
      <c r="K68" s="377">
        <f>Personnel!AL257</f>
        <v/>
      </c>
      <c r="L68" s="377">
        <f>Personnel!AM257</f>
        <v/>
      </c>
      <c r="M68" s="377">
        <f>Personnel!AN257</f>
        <v/>
      </c>
      <c r="N68" s="377">
        <f>Personnel!AO257</f>
        <v/>
      </c>
      <c r="O68" s="377">
        <f>Personnel!AP257</f>
        <v/>
      </c>
      <c r="P68" s="377">
        <f>Personnel!AQ257</f>
        <v/>
      </c>
      <c r="Q68" s="377">
        <f>Personnel!AR257</f>
        <v/>
      </c>
      <c r="R68" s="377">
        <f>Personnel!AS257</f>
        <v/>
      </c>
      <c r="S68" s="377">
        <f>Personnel!AT257</f>
        <v/>
      </c>
      <c r="T68" s="377">
        <f>Personnel!AU257</f>
        <v/>
      </c>
      <c r="U68" s="377">
        <f>Personnel!AV257</f>
        <v/>
      </c>
      <c r="V68" s="377">
        <f>Personnel!AW257</f>
        <v/>
      </c>
      <c r="W68" s="377">
        <f>Personnel!AX257</f>
        <v/>
      </c>
      <c r="X68" s="377">
        <f>Personnel!AY257</f>
        <v/>
      </c>
      <c r="Y68" s="377">
        <f>Personnel!AZ257</f>
        <v/>
      </c>
      <c r="Z68" s="377">
        <f>Personnel!BA257</f>
        <v/>
      </c>
      <c r="AA68" s="377">
        <f>Personnel!BB257</f>
        <v/>
      </c>
      <c r="AB68" s="377">
        <f>Personnel!BC257</f>
        <v/>
      </c>
      <c r="AC68" s="377">
        <f>Personnel!BD257</f>
        <v/>
      </c>
      <c r="AD68" s="377">
        <f>Personnel!BE257</f>
        <v/>
      </c>
      <c r="AE68" s="377">
        <f>Personnel!BF257</f>
        <v/>
      </c>
      <c r="AF68" s="377">
        <f>Personnel!BG257</f>
        <v/>
      </c>
      <c r="AG68" s="377">
        <f>Personnel!BH257</f>
        <v/>
      </c>
      <c r="AH68" s="377">
        <f>Personnel!BI257</f>
        <v/>
      </c>
      <c r="AI68" s="377">
        <f>Personnel!BJ257</f>
        <v/>
      </c>
      <c r="AJ68" s="377">
        <f>Personnel!BK257</f>
        <v/>
      </c>
      <c r="AK68" s="377">
        <f>Personnel!BL257</f>
        <v/>
      </c>
      <c r="AL68" s="377">
        <f>Personnel!BM257</f>
        <v/>
      </c>
      <c r="AM68" s="377">
        <f>Personnel!BN257</f>
        <v/>
      </c>
      <c r="AN68" s="377">
        <f>Personnel!BO257</f>
        <v/>
      </c>
      <c r="AO68" s="377">
        <f>Personnel!BP257</f>
        <v/>
      </c>
      <c r="AP68" s="377">
        <f>Personnel!BP257</f>
        <v/>
      </c>
      <c r="AQ68" s="377">
        <f>Personnel!BP257</f>
        <v/>
      </c>
      <c r="AR68" s="377">
        <f>Personnel!BP257</f>
        <v/>
      </c>
      <c r="AS68" s="377">
        <f>Personnel!BP257</f>
        <v/>
      </c>
      <c r="AT68" s="377">
        <f>Personnel!BP257</f>
        <v/>
      </c>
      <c r="AU68" s="377">
        <f>Personnel!BP257</f>
        <v/>
      </c>
      <c r="AV68" s="377">
        <f>Personnel!BP257</f>
        <v/>
      </c>
      <c r="AW68" s="377">
        <f>Personnel!BP257</f>
        <v/>
      </c>
      <c r="AX68" s="377">
        <f>Personnel!BP257</f>
        <v/>
      </c>
      <c r="AY68" s="377">
        <f>Personnel!BP257</f>
        <v/>
      </c>
      <c r="AZ68" s="377">
        <f>Personnel!BP257</f>
        <v/>
      </c>
      <c r="BA68" s="377">
        <f>Personnel!BP257</f>
        <v/>
      </c>
      <c r="BC68" s="378">
        <f>Q68</f>
        <v/>
      </c>
      <c r="BD68" s="378">
        <f>AC68</f>
        <v/>
      </c>
      <c r="BE68" s="378">
        <f>AO68</f>
        <v/>
      </c>
      <c r="BF68" s="378">
        <f>BA68</f>
        <v/>
      </c>
      <c r="BH68" s="370" t="inlineStr">
        <is>
          <t>a novel turbine product, the Twincycle, and certification for two new countries</t>
        </is>
      </c>
    </row>
    <row r="69">
      <c r="B69" s="375" t="inlineStr">
        <is>
          <t>G&amp;A — finance, HR, IT, legal, office</t>
        </is>
      </c>
      <c r="C69" s="376" t="inlineStr">
        <is>
          <t>FTE</t>
        </is>
      </c>
      <c r="F69" s="377">
        <f>ROUNDUP((F62+SUM(F63:F67)+F68)/Assumptions!$F$193,0)</f>
        <v/>
      </c>
      <c r="G69" s="377">
        <f>ROUNDUP((G62+SUM(G63:G67)+G68)/Assumptions!$F$193,0)</f>
        <v/>
      </c>
      <c r="H69" s="377">
        <f>ROUNDUP((H62+SUM(H63:H67)+H68)/Assumptions!$F$193,0)</f>
        <v/>
      </c>
      <c r="I69" s="377">
        <f>ROUNDUP((I62+SUM(I63:I67)+I68)/Assumptions!$F$193,0)</f>
        <v/>
      </c>
      <c r="J69" s="377">
        <f>ROUNDUP((J62+SUM(J63:J67)+J68)/Assumptions!$F$193,0)</f>
        <v/>
      </c>
      <c r="K69" s="377">
        <f>ROUNDUP((K62+SUM(K63:K67)+K68)/Assumptions!$F$193,0)</f>
        <v/>
      </c>
      <c r="L69" s="377">
        <f>ROUNDUP((L62+SUM(L63:L67)+L68)/Assumptions!$F$193,0)</f>
        <v/>
      </c>
      <c r="M69" s="377">
        <f>ROUNDUP((M62+SUM(M63:M67)+M68)/Assumptions!$F$193,0)</f>
        <v/>
      </c>
      <c r="N69" s="377">
        <f>ROUNDUP((N62+SUM(N63:N67)+N68)/Assumptions!$F$193,0)</f>
        <v/>
      </c>
      <c r="O69" s="377">
        <f>ROUNDUP((O62+SUM(O63:O67)+O68)/Assumptions!$F$193,0)</f>
        <v/>
      </c>
      <c r="P69" s="377">
        <f>ROUNDUP((P62+SUM(P63:P67)+P68)/Assumptions!$F$193,0)</f>
        <v/>
      </c>
      <c r="Q69" s="377">
        <f>ROUNDUP((Q62+SUM(Q63:Q67)+Q68)/Assumptions!$F$193,0)</f>
        <v/>
      </c>
      <c r="R69" s="377">
        <f>ROUNDUP((R62+SUM(R63:R67)+R68)/Assumptions!$F$193,0)</f>
        <v/>
      </c>
      <c r="S69" s="377">
        <f>ROUNDUP((S62+SUM(S63:S67)+S68)/Assumptions!$F$193,0)</f>
        <v/>
      </c>
      <c r="T69" s="377">
        <f>ROUNDUP((T62+SUM(T63:T67)+T68)/Assumptions!$F$193,0)</f>
        <v/>
      </c>
      <c r="U69" s="377">
        <f>ROUNDUP((U62+SUM(U63:U67)+U68)/Assumptions!$F$193,0)</f>
        <v/>
      </c>
      <c r="V69" s="377">
        <f>ROUNDUP((V62+SUM(V63:V67)+V68)/Assumptions!$F$193,0)</f>
        <v/>
      </c>
      <c r="W69" s="377">
        <f>ROUNDUP((W62+SUM(W63:W67)+W68)/Assumptions!$F$193,0)</f>
        <v/>
      </c>
      <c r="X69" s="377">
        <f>ROUNDUP((X62+SUM(X63:X67)+X68)/Assumptions!$F$193,0)</f>
        <v/>
      </c>
      <c r="Y69" s="377">
        <f>ROUNDUP((Y62+SUM(Y63:Y67)+Y68)/Assumptions!$F$193,0)</f>
        <v/>
      </c>
      <c r="Z69" s="377">
        <f>ROUNDUP((Z62+SUM(Z63:Z67)+Z68)/Assumptions!$F$193,0)</f>
        <v/>
      </c>
      <c r="AA69" s="377">
        <f>ROUNDUP((AA62+SUM(AA63:AA67)+AA68)/Assumptions!$F$193,0)</f>
        <v/>
      </c>
      <c r="AB69" s="377">
        <f>ROUNDUP((AB62+SUM(AB63:AB67)+AB68)/Assumptions!$F$193,0)</f>
        <v/>
      </c>
      <c r="AC69" s="377">
        <f>ROUNDUP((AC62+SUM(AC63:AC67)+AC68)/Assumptions!$F$193,0)</f>
        <v/>
      </c>
      <c r="AD69" s="377">
        <f>ROUNDUP((AD62+SUM(AD63:AD67)+AD68)/Assumptions!$F$193,0)</f>
        <v/>
      </c>
      <c r="AE69" s="377">
        <f>ROUNDUP((AE62+SUM(AE63:AE67)+AE68)/Assumptions!$F$193,0)</f>
        <v/>
      </c>
      <c r="AF69" s="377">
        <f>ROUNDUP((AF62+SUM(AF63:AF67)+AF68)/Assumptions!$F$193,0)</f>
        <v/>
      </c>
      <c r="AG69" s="377">
        <f>ROUNDUP((AG62+SUM(AG63:AG67)+AG68)/Assumptions!$F$193,0)</f>
        <v/>
      </c>
      <c r="AH69" s="377">
        <f>ROUNDUP((AH62+SUM(AH63:AH67)+AH68)/Assumptions!$F$193,0)</f>
        <v/>
      </c>
      <c r="AI69" s="377">
        <f>ROUNDUP((AI62+SUM(AI63:AI67)+AI68)/Assumptions!$F$193,0)</f>
        <v/>
      </c>
      <c r="AJ69" s="377">
        <f>ROUNDUP((AJ62+SUM(AJ63:AJ67)+AJ68)/Assumptions!$F$193,0)</f>
        <v/>
      </c>
      <c r="AK69" s="377">
        <f>ROUNDUP((AK62+SUM(AK63:AK67)+AK68)/Assumptions!$F$193,0)</f>
        <v/>
      </c>
      <c r="AL69" s="377">
        <f>ROUNDUP((AL62+SUM(AL63:AL67)+AL68)/Assumptions!$F$193,0)</f>
        <v/>
      </c>
      <c r="AM69" s="377">
        <f>ROUNDUP((AM62+SUM(AM63:AM67)+AM68)/Assumptions!$F$193,0)</f>
        <v/>
      </c>
      <c r="AN69" s="377">
        <f>ROUNDUP((AN62+SUM(AN63:AN67)+AN68)/Assumptions!$F$193,0)</f>
        <v/>
      </c>
      <c r="AO69" s="377">
        <f>ROUNDUP((AO62+SUM(AO63:AO67)+AO68)/Assumptions!$F$193,0)</f>
        <v/>
      </c>
      <c r="AP69" s="377">
        <f>ROUNDUP((AP62+SUM(AP63:AP67)+AP68)/Assumptions!$F$193,0)</f>
        <v/>
      </c>
      <c r="AQ69" s="377">
        <f>ROUNDUP((AQ62+SUM(AQ63:AQ67)+AQ68)/Assumptions!$F$193,0)</f>
        <v/>
      </c>
      <c r="AR69" s="377">
        <f>ROUNDUP((AR62+SUM(AR63:AR67)+AR68)/Assumptions!$F$193,0)</f>
        <v/>
      </c>
      <c r="AS69" s="377">
        <f>ROUNDUP((AS62+SUM(AS63:AS67)+AS68)/Assumptions!$F$193,0)</f>
        <v/>
      </c>
      <c r="AT69" s="377">
        <f>ROUNDUP((AT62+SUM(AT63:AT67)+AT68)/Assumptions!$F$193,0)</f>
        <v/>
      </c>
      <c r="AU69" s="377">
        <f>ROUNDUP((AU62+SUM(AU63:AU67)+AU68)/Assumptions!$F$193,0)</f>
        <v/>
      </c>
      <c r="AV69" s="377">
        <f>ROUNDUP((AV62+SUM(AV63:AV67)+AV68)/Assumptions!$F$193,0)</f>
        <v/>
      </c>
      <c r="AW69" s="377">
        <f>ROUNDUP((AW62+SUM(AW63:AW67)+AW68)/Assumptions!$F$193,0)</f>
        <v/>
      </c>
      <c r="AX69" s="377">
        <f>ROUNDUP((AX62+SUM(AX63:AX67)+AX68)/Assumptions!$F$193,0)</f>
        <v/>
      </c>
      <c r="AY69" s="377">
        <f>ROUNDUP((AY62+SUM(AY63:AY67)+AY68)/Assumptions!$F$193,0)</f>
        <v/>
      </c>
      <c r="AZ69" s="377">
        <f>ROUNDUP((AZ62+SUM(AZ63:AZ67)+AZ68)/Assumptions!$F$193,0)</f>
        <v/>
      </c>
      <c r="BA69" s="377">
        <f>ROUNDUP((BA62+SUM(BA63:BA67)+BA68)/Assumptions!$F$193,0)</f>
        <v/>
      </c>
      <c r="BC69" s="378">
        <f>Q69</f>
        <v/>
      </c>
      <c r="BD69" s="378">
        <f>AC69</f>
        <v/>
      </c>
      <c r="BE69" s="378">
        <f>AO69</f>
        <v/>
      </c>
      <c r="BF69" s="378">
        <f>BA69</f>
        <v/>
      </c>
    </row>
    <row r="70">
      <c r="B70" s="379" t="inlineStr">
        <is>
          <t>Operations, support &amp; G&amp;A</t>
        </is>
      </c>
      <c r="C70" s="376" t="inlineStr">
        <is>
          <t>FTE</t>
        </is>
      </c>
      <c r="F70" s="380">
        <f>SUM(F63:F67)+F69</f>
        <v/>
      </c>
      <c r="G70" s="380">
        <f>SUM(G63:G67)+G69</f>
        <v/>
      </c>
      <c r="H70" s="380">
        <f>SUM(H63:H67)+H69</f>
        <v/>
      </c>
      <c r="I70" s="380">
        <f>SUM(I63:I67)+I69</f>
        <v/>
      </c>
      <c r="J70" s="380">
        <f>SUM(J63:J67)+J69</f>
        <v/>
      </c>
      <c r="K70" s="380">
        <f>SUM(K63:K67)+K69</f>
        <v/>
      </c>
      <c r="L70" s="380">
        <f>SUM(L63:L67)+L69</f>
        <v/>
      </c>
      <c r="M70" s="380">
        <f>SUM(M63:M67)+M69</f>
        <v/>
      </c>
      <c r="N70" s="380">
        <f>SUM(N63:N67)+N69</f>
        <v/>
      </c>
      <c r="O70" s="380">
        <f>SUM(O63:O67)+O69</f>
        <v/>
      </c>
      <c r="P70" s="380">
        <f>SUM(P63:P67)+P69</f>
        <v/>
      </c>
      <c r="Q70" s="380">
        <f>SUM(Q63:Q67)+Q69</f>
        <v/>
      </c>
      <c r="R70" s="380">
        <f>SUM(R63:R67)+R69</f>
        <v/>
      </c>
      <c r="S70" s="380">
        <f>SUM(S63:S67)+S69</f>
        <v/>
      </c>
      <c r="T70" s="380">
        <f>SUM(T63:T67)+T69</f>
        <v/>
      </c>
      <c r="U70" s="380">
        <f>SUM(U63:U67)+U69</f>
        <v/>
      </c>
      <c r="V70" s="380">
        <f>SUM(V63:V67)+V69</f>
        <v/>
      </c>
      <c r="W70" s="380">
        <f>SUM(W63:W67)+W69</f>
        <v/>
      </c>
      <c r="X70" s="380">
        <f>SUM(X63:X67)+X69</f>
        <v/>
      </c>
      <c r="Y70" s="380">
        <f>SUM(Y63:Y67)+Y69</f>
        <v/>
      </c>
      <c r="Z70" s="380">
        <f>SUM(Z63:Z67)+Z69</f>
        <v/>
      </c>
      <c r="AA70" s="380">
        <f>SUM(AA63:AA67)+AA69</f>
        <v/>
      </c>
      <c r="AB70" s="380">
        <f>SUM(AB63:AB67)+AB69</f>
        <v/>
      </c>
      <c r="AC70" s="380">
        <f>SUM(AC63:AC67)+AC69</f>
        <v/>
      </c>
      <c r="AD70" s="380">
        <f>SUM(AD63:AD67)+AD69</f>
        <v/>
      </c>
      <c r="AE70" s="380">
        <f>SUM(AE63:AE67)+AE69</f>
        <v/>
      </c>
      <c r="AF70" s="380">
        <f>SUM(AF63:AF67)+AF69</f>
        <v/>
      </c>
      <c r="AG70" s="380">
        <f>SUM(AG63:AG67)+AG69</f>
        <v/>
      </c>
      <c r="AH70" s="380">
        <f>SUM(AH63:AH67)+AH69</f>
        <v/>
      </c>
      <c r="AI70" s="380">
        <f>SUM(AI63:AI67)+AI69</f>
        <v/>
      </c>
      <c r="AJ70" s="380">
        <f>SUM(AJ63:AJ67)+AJ69</f>
        <v/>
      </c>
      <c r="AK70" s="380">
        <f>SUM(AK63:AK67)+AK69</f>
        <v/>
      </c>
      <c r="AL70" s="380">
        <f>SUM(AL63:AL67)+AL69</f>
        <v/>
      </c>
      <c r="AM70" s="380">
        <f>SUM(AM63:AM67)+AM69</f>
        <v/>
      </c>
      <c r="AN70" s="380">
        <f>SUM(AN63:AN67)+AN69</f>
        <v/>
      </c>
      <c r="AO70" s="380">
        <f>SUM(AO63:AO67)+AO69</f>
        <v/>
      </c>
      <c r="AP70" s="380">
        <f>SUM(AP63:AP67)+AP69</f>
        <v/>
      </c>
      <c r="AQ70" s="380">
        <f>SUM(AQ63:AQ67)+AQ69</f>
        <v/>
      </c>
      <c r="AR70" s="380">
        <f>SUM(AR63:AR67)+AR69</f>
        <v/>
      </c>
      <c r="AS70" s="380">
        <f>SUM(AS63:AS67)+AS69</f>
        <v/>
      </c>
      <c r="AT70" s="380">
        <f>SUM(AT63:AT67)+AT69</f>
        <v/>
      </c>
      <c r="AU70" s="380">
        <f>SUM(AU63:AU67)+AU69</f>
        <v/>
      </c>
      <c r="AV70" s="380">
        <f>SUM(AV63:AV67)+AV69</f>
        <v/>
      </c>
      <c r="AW70" s="380">
        <f>SUM(AW63:AW67)+AW69</f>
        <v/>
      </c>
      <c r="AX70" s="380">
        <f>SUM(AX63:AX67)+AX69</f>
        <v/>
      </c>
      <c r="AY70" s="380">
        <f>SUM(AY63:AY67)+AY69</f>
        <v/>
      </c>
      <c r="AZ70" s="380">
        <f>SUM(AZ63:AZ67)+AZ69</f>
        <v/>
      </c>
      <c r="BA70" s="380">
        <f>SUM(BA63:BA67)+BA69</f>
        <v/>
      </c>
      <c r="BC70" s="378">
        <f>Q70</f>
        <v/>
      </c>
      <c r="BD70" s="378">
        <f>AC70</f>
        <v/>
      </c>
      <c r="BE70" s="378">
        <f>AO70</f>
        <v/>
      </c>
      <c r="BF70" s="378">
        <f>BA70</f>
        <v/>
      </c>
    </row>
    <row r="71">
      <c r="B71" s="379" t="inlineStr">
        <is>
          <t>TOTAL PEOPLE ON PAYROLL</t>
        </is>
      </c>
      <c r="C71" s="376" t="inlineStr">
        <is>
          <t>FTE</t>
        </is>
      </c>
      <c r="F71" s="380">
        <f>F62+F70+F68</f>
        <v/>
      </c>
      <c r="G71" s="380">
        <f>G62+G70+G68</f>
        <v/>
      </c>
      <c r="H71" s="380">
        <f>H62+H70+H68</f>
        <v/>
      </c>
      <c r="I71" s="380">
        <f>I62+I70+I68</f>
        <v/>
      </c>
      <c r="J71" s="380">
        <f>J62+J70+J68</f>
        <v/>
      </c>
      <c r="K71" s="380">
        <f>K62+K70+K68</f>
        <v/>
      </c>
      <c r="L71" s="380">
        <f>L62+L70+L68</f>
        <v/>
      </c>
      <c r="M71" s="380">
        <f>M62+M70+M68</f>
        <v/>
      </c>
      <c r="N71" s="380">
        <f>N62+N70+N68</f>
        <v/>
      </c>
      <c r="O71" s="380">
        <f>O62+O70+O68</f>
        <v/>
      </c>
      <c r="P71" s="380">
        <f>P62+P70+P68</f>
        <v/>
      </c>
      <c r="Q71" s="380">
        <f>Q62+Q70+Q68</f>
        <v/>
      </c>
      <c r="R71" s="380">
        <f>R62+R70+R68</f>
        <v/>
      </c>
      <c r="S71" s="380">
        <f>S62+S70+S68</f>
        <v/>
      </c>
      <c r="T71" s="380">
        <f>T62+T70+T68</f>
        <v/>
      </c>
      <c r="U71" s="380">
        <f>U62+U70+U68</f>
        <v/>
      </c>
      <c r="V71" s="380">
        <f>V62+V70+V68</f>
        <v/>
      </c>
      <c r="W71" s="380">
        <f>W62+W70+W68</f>
        <v/>
      </c>
      <c r="X71" s="380">
        <f>X62+X70+X68</f>
        <v/>
      </c>
      <c r="Y71" s="380">
        <f>Y62+Y70+Y68</f>
        <v/>
      </c>
      <c r="Z71" s="380">
        <f>Z62+Z70+Z68</f>
        <v/>
      </c>
      <c r="AA71" s="380">
        <f>AA62+AA70+AA68</f>
        <v/>
      </c>
      <c r="AB71" s="380">
        <f>AB62+AB70+AB68</f>
        <v/>
      </c>
      <c r="AC71" s="380">
        <f>AC62+AC70+AC68</f>
        <v/>
      </c>
      <c r="AD71" s="380">
        <f>AD62+AD70+AD68</f>
        <v/>
      </c>
      <c r="AE71" s="380">
        <f>AE62+AE70+AE68</f>
        <v/>
      </c>
      <c r="AF71" s="380">
        <f>AF62+AF70+AF68</f>
        <v/>
      </c>
      <c r="AG71" s="380">
        <f>AG62+AG70+AG68</f>
        <v/>
      </c>
      <c r="AH71" s="380">
        <f>AH62+AH70+AH68</f>
        <v/>
      </c>
      <c r="AI71" s="380">
        <f>AI62+AI70+AI68</f>
        <v/>
      </c>
      <c r="AJ71" s="380">
        <f>AJ62+AJ70+AJ68</f>
        <v/>
      </c>
      <c r="AK71" s="380">
        <f>AK62+AK70+AK68</f>
        <v/>
      </c>
      <c r="AL71" s="380">
        <f>AL62+AL70+AL68</f>
        <v/>
      </c>
      <c r="AM71" s="380">
        <f>AM62+AM70+AM68</f>
        <v/>
      </c>
      <c r="AN71" s="380">
        <f>AN62+AN70+AN68</f>
        <v/>
      </c>
      <c r="AO71" s="380">
        <f>AO62+AO70+AO68</f>
        <v/>
      </c>
      <c r="AP71" s="380">
        <f>AP62+AP70+AP68</f>
        <v/>
      </c>
      <c r="AQ71" s="380">
        <f>AQ62+AQ70+AQ68</f>
        <v/>
      </c>
      <c r="AR71" s="380">
        <f>AR62+AR70+AR68</f>
        <v/>
      </c>
      <c r="AS71" s="380">
        <f>AS62+AS70+AS68</f>
        <v/>
      </c>
      <c r="AT71" s="380">
        <f>AT62+AT70+AT68</f>
        <v/>
      </c>
      <c r="AU71" s="380">
        <f>AU62+AU70+AU68</f>
        <v/>
      </c>
      <c r="AV71" s="380">
        <f>AV62+AV70+AV68</f>
        <v/>
      </c>
      <c r="AW71" s="380">
        <f>AW62+AW70+AW68</f>
        <v/>
      </c>
      <c r="AX71" s="380">
        <f>AX62+AX70+AX68</f>
        <v/>
      </c>
      <c r="AY71" s="380">
        <f>AY62+AY70+AY68</f>
        <v/>
      </c>
      <c r="AZ71" s="380">
        <f>AZ62+AZ70+AZ68</f>
        <v/>
      </c>
      <c r="BA71" s="380">
        <f>BA62+BA70+BA68</f>
        <v/>
      </c>
      <c r="BC71" s="378">
        <f>Q71</f>
        <v/>
      </c>
      <c r="BD71" s="378">
        <f>AC71</f>
        <v/>
      </c>
      <c r="BE71" s="378">
        <f>AO71</f>
        <v/>
      </c>
      <c r="BF71" s="378">
        <f>BA71</f>
        <v/>
      </c>
    </row>
    <row r="72">
      <c r="B72" s="375" t="inlineStr">
        <is>
          <t>Field service technicians</t>
        </is>
      </c>
      <c r="C72" s="376" t="inlineStr">
        <is>
          <t>FTE</t>
        </is>
      </c>
      <c r="F72" s="377">
        <f>F49</f>
        <v/>
      </c>
      <c r="G72" s="377">
        <f>G49</f>
        <v/>
      </c>
      <c r="H72" s="377">
        <f>H49</f>
        <v/>
      </c>
      <c r="I72" s="377">
        <f>I49</f>
        <v/>
      </c>
      <c r="J72" s="377">
        <f>J49</f>
        <v/>
      </c>
      <c r="K72" s="377">
        <f>K49</f>
        <v/>
      </c>
      <c r="L72" s="377">
        <f>L49</f>
        <v/>
      </c>
      <c r="M72" s="377">
        <f>M49</f>
        <v/>
      </c>
      <c r="N72" s="377">
        <f>N49</f>
        <v/>
      </c>
      <c r="O72" s="377">
        <f>O49</f>
        <v/>
      </c>
      <c r="P72" s="377">
        <f>P49</f>
        <v/>
      </c>
      <c r="Q72" s="377">
        <f>Q49</f>
        <v/>
      </c>
      <c r="R72" s="377">
        <f>R49</f>
        <v/>
      </c>
      <c r="S72" s="377">
        <f>S49</f>
        <v/>
      </c>
      <c r="T72" s="377">
        <f>T49</f>
        <v/>
      </c>
      <c r="U72" s="377">
        <f>U49</f>
        <v/>
      </c>
      <c r="V72" s="377">
        <f>V49</f>
        <v/>
      </c>
      <c r="W72" s="377">
        <f>W49</f>
        <v/>
      </c>
      <c r="X72" s="377">
        <f>X49</f>
        <v/>
      </c>
      <c r="Y72" s="377">
        <f>Y49</f>
        <v/>
      </c>
      <c r="Z72" s="377">
        <f>Z49</f>
        <v/>
      </c>
      <c r="AA72" s="377">
        <f>AA49</f>
        <v/>
      </c>
      <c r="AB72" s="377">
        <f>AB49</f>
        <v/>
      </c>
      <c r="AC72" s="377">
        <f>AC49</f>
        <v/>
      </c>
      <c r="AD72" s="377">
        <f>AD49</f>
        <v/>
      </c>
      <c r="AE72" s="377">
        <f>AE49</f>
        <v/>
      </c>
      <c r="AF72" s="377">
        <f>AF49</f>
        <v/>
      </c>
      <c r="AG72" s="377">
        <f>AG49</f>
        <v/>
      </c>
      <c r="AH72" s="377">
        <f>AH49</f>
        <v/>
      </c>
      <c r="AI72" s="377">
        <f>AI49</f>
        <v/>
      </c>
      <c r="AJ72" s="377">
        <f>AJ49</f>
        <v/>
      </c>
      <c r="AK72" s="377">
        <f>AK49</f>
        <v/>
      </c>
      <c r="AL72" s="377">
        <f>AL49</f>
        <v/>
      </c>
      <c r="AM72" s="377">
        <f>AM49</f>
        <v/>
      </c>
      <c r="AN72" s="377">
        <f>AN49</f>
        <v/>
      </c>
      <c r="AO72" s="377">
        <f>AO49</f>
        <v/>
      </c>
      <c r="AP72" s="377">
        <f>AP49</f>
        <v/>
      </c>
      <c r="AQ72" s="377">
        <f>AQ49</f>
        <v/>
      </c>
      <c r="AR72" s="377">
        <f>AR49</f>
        <v/>
      </c>
      <c r="AS72" s="377">
        <f>AS49</f>
        <v/>
      </c>
      <c r="AT72" s="377">
        <f>AT49</f>
        <v/>
      </c>
      <c r="AU72" s="377">
        <f>AU49</f>
        <v/>
      </c>
      <c r="AV72" s="377">
        <f>AV49</f>
        <v/>
      </c>
      <c r="AW72" s="377">
        <f>AW49</f>
        <v/>
      </c>
      <c r="AX72" s="377">
        <f>AX49</f>
        <v/>
      </c>
      <c r="AY72" s="377">
        <f>AY49</f>
        <v/>
      </c>
      <c r="AZ72" s="377">
        <f>AZ49</f>
        <v/>
      </c>
      <c r="BA72" s="377">
        <f>BA49</f>
        <v/>
      </c>
      <c r="BC72" s="378">
        <f>Q72</f>
        <v/>
      </c>
      <c r="BD72" s="378">
        <f>AC72</f>
        <v/>
      </c>
      <c r="BE72" s="378">
        <f>AO72</f>
        <v/>
      </c>
      <c r="BF72" s="378">
        <f>BA72</f>
        <v/>
      </c>
      <c r="BH72" s="370" t="inlineStr">
        <is>
          <t>counted here but NOT charged again — their cost is already inside the ~50% service COGS</t>
        </is>
      </c>
    </row>
    <row r="73">
      <c r="B73" s="379" t="inlineStr">
        <is>
          <t>TOTAL HEADCOUNT</t>
        </is>
      </c>
      <c r="C73" s="376" t="inlineStr">
        <is>
          <t>FTE</t>
        </is>
      </c>
      <c r="F73" s="380">
        <f>F71+F72</f>
        <v/>
      </c>
      <c r="G73" s="380">
        <f>G71+G72</f>
        <v/>
      </c>
      <c r="H73" s="380">
        <f>H71+H72</f>
        <v/>
      </c>
      <c r="I73" s="380">
        <f>I71+I72</f>
        <v/>
      </c>
      <c r="J73" s="380">
        <f>J71+J72</f>
        <v/>
      </c>
      <c r="K73" s="380">
        <f>K71+K72</f>
        <v/>
      </c>
      <c r="L73" s="380">
        <f>L71+L72</f>
        <v/>
      </c>
      <c r="M73" s="380">
        <f>M71+M72</f>
        <v/>
      </c>
      <c r="N73" s="380">
        <f>N71+N72</f>
        <v/>
      </c>
      <c r="O73" s="380">
        <f>O71+O72</f>
        <v/>
      </c>
      <c r="P73" s="380">
        <f>P71+P72</f>
        <v/>
      </c>
      <c r="Q73" s="380">
        <f>Q71+Q72</f>
        <v/>
      </c>
      <c r="R73" s="380">
        <f>R71+R72</f>
        <v/>
      </c>
      <c r="S73" s="380">
        <f>S71+S72</f>
        <v/>
      </c>
      <c r="T73" s="380">
        <f>T71+T72</f>
        <v/>
      </c>
      <c r="U73" s="380">
        <f>U71+U72</f>
        <v/>
      </c>
      <c r="V73" s="380">
        <f>V71+V72</f>
        <v/>
      </c>
      <c r="W73" s="380">
        <f>W71+W72</f>
        <v/>
      </c>
      <c r="X73" s="380">
        <f>X71+X72</f>
        <v/>
      </c>
      <c r="Y73" s="380">
        <f>Y71+Y72</f>
        <v/>
      </c>
      <c r="Z73" s="380">
        <f>Z71+Z72</f>
        <v/>
      </c>
      <c r="AA73" s="380">
        <f>AA71+AA72</f>
        <v/>
      </c>
      <c r="AB73" s="380">
        <f>AB71+AB72</f>
        <v/>
      </c>
      <c r="AC73" s="380">
        <f>AC71+AC72</f>
        <v/>
      </c>
      <c r="AD73" s="380">
        <f>AD71+AD72</f>
        <v/>
      </c>
      <c r="AE73" s="380">
        <f>AE71+AE72</f>
        <v/>
      </c>
      <c r="AF73" s="380">
        <f>AF71+AF72</f>
        <v/>
      </c>
      <c r="AG73" s="380">
        <f>AG71+AG72</f>
        <v/>
      </c>
      <c r="AH73" s="380">
        <f>AH71+AH72</f>
        <v/>
      </c>
      <c r="AI73" s="380">
        <f>AI71+AI72</f>
        <v/>
      </c>
      <c r="AJ73" s="380">
        <f>AJ71+AJ72</f>
        <v/>
      </c>
      <c r="AK73" s="380">
        <f>AK71+AK72</f>
        <v/>
      </c>
      <c r="AL73" s="380">
        <f>AL71+AL72</f>
        <v/>
      </c>
      <c r="AM73" s="380">
        <f>AM71+AM72</f>
        <v/>
      </c>
      <c r="AN73" s="380">
        <f>AN71+AN72</f>
        <v/>
      </c>
      <c r="AO73" s="380">
        <f>AO71+AO72</f>
        <v/>
      </c>
      <c r="AP73" s="380">
        <f>AP71+AP72</f>
        <v/>
      </c>
      <c r="AQ73" s="380">
        <f>AQ71+AQ72</f>
        <v/>
      </c>
      <c r="AR73" s="380">
        <f>AR71+AR72</f>
        <v/>
      </c>
      <c r="AS73" s="380">
        <f>AS71+AS72</f>
        <v/>
      </c>
      <c r="AT73" s="380">
        <f>AT71+AT72</f>
        <v/>
      </c>
      <c r="AU73" s="380">
        <f>AU71+AU72</f>
        <v/>
      </c>
      <c r="AV73" s="380">
        <f>AV71+AV72</f>
        <v/>
      </c>
      <c r="AW73" s="380">
        <f>AW71+AW72</f>
        <v/>
      </c>
      <c r="AX73" s="380">
        <f>AX71+AX72</f>
        <v/>
      </c>
      <c r="AY73" s="380">
        <f>AY71+AY72</f>
        <v/>
      </c>
      <c r="AZ73" s="380">
        <f>AZ71+AZ72</f>
        <v/>
      </c>
      <c r="BA73" s="380">
        <f>BA71+BA72</f>
        <v/>
      </c>
      <c r="BC73" s="378">
        <f>Q73</f>
        <v/>
      </c>
      <c r="BD73" s="378">
        <f>AC73</f>
        <v/>
      </c>
      <c r="BE73" s="378">
        <f>AO73</f>
        <v/>
      </c>
      <c r="BF73" s="378">
        <f>BA73</f>
        <v/>
      </c>
    </row>
    <row r="74">
      <c r="B74" s="375" t="inlineStr">
        <is>
          <t>People in the Personnel tab today</t>
        </is>
      </c>
      <c r="C74" s="376" t="inlineStr">
        <is>
          <t>FTE</t>
        </is>
      </c>
      <c r="F74" s="381">
        <f>Personnel!AG260</f>
        <v/>
      </c>
      <c r="G74" s="381">
        <f>Personnel!AH260</f>
        <v/>
      </c>
      <c r="H74" s="381">
        <f>Personnel!AI260</f>
        <v/>
      </c>
      <c r="I74" s="381">
        <f>Personnel!AJ260</f>
        <v/>
      </c>
      <c r="J74" s="381">
        <f>Personnel!AK260</f>
        <v/>
      </c>
      <c r="K74" s="381">
        <f>Personnel!AL260</f>
        <v/>
      </c>
      <c r="L74" s="381">
        <f>Personnel!AM260</f>
        <v/>
      </c>
      <c r="M74" s="381">
        <f>Personnel!AN260</f>
        <v/>
      </c>
      <c r="N74" s="381">
        <f>Personnel!AO260</f>
        <v/>
      </c>
      <c r="O74" s="381">
        <f>Personnel!AP260</f>
        <v/>
      </c>
      <c r="P74" s="381">
        <f>Personnel!AQ260</f>
        <v/>
      </c>
      <c r="Q74" s="381">
        <f>Personnel!AR260</f>
        <v/>
      </c>
      <c r="R74" s="381">
        <f>Personnel!AS260</f>
        <v/>
      </c>
      <c r="S74" s="381">
        <f>Personnel!AT260</f>
        <v/>
      </c>
      <c r="T74" s="381">
        <f>Personnel!AU260</f>
        <v/>
      </c>
      <c r="U74" s="381">
        <f>Personnel!AV260</f>
        <v/>
      </c>
      <c r="V74" s="381">
        <f>Personnel!AW260</f>
        <v/>
      </c>
      <c r="W74" s="381">
        <f>Personnel!AX260</f>
        <v/>
      </c>
      <c r="X74" s="381">
        <f>Personnel!AY260</f>
        <v/>
      </c>
      <c r="Y74" s="381">
        <f>Personnel!AZ260</f>
        <v/>
      </c>
      <c r="Z74" s="381">
        <f>Personnel!BA260</f>
        <v/>
      </c>
      <c r="AA74" s="381">
        <f>Personnel!BB260</f>
        <v/>
      </c>
      <c r="AB74" s="381">
        <f>Personnel!BC260</f>
        <v/>
      </c>
      <c r="AC74" s="381">
        <f>Personnel!BD260</f>
        <v/>
      </c>
      <c r="AD74" s="381">
        <f>Personnel!BE260</f>
        <v/>
      </c>
      <c r="AE74" s="381">
        <f>Personnel!BF260</f>
        <v/>
      </c>
      <c r="AF74" s="381">
        <f>Personnel!BG260</f>
        <v/>
      </c>
      <c r="AG74" s="381">
        <f>Personnel!BH260</f>
        <v/>
      </c>
      <c r="AH74" s="381">
        <f>Personnel!BI260</f>
        <v/>
      </c>
      <c r="AI74" s="381">
        <f>Personnel!BJ260</f>
        <v/>
      </c>
      <c r="AJ74" s="381">
        <f>Personnel!BK260</f>
        <v/>
      </c>
      <c r="AK74" s="381">
        <f>Personnel!BL260</f>
        <v/>
      </c>
      <c r="AL74" s="381">
        <f>Personnel!BM260</f>
        <v/>
      </c>
      <c r="AM74" s="381">
        <f>Personnel!BN260</f>
        <v/>
      </c>
      <c r="AN74" s="381">
        <f>Personnel!BO260</f>
        <v/>
      </c>
      <c r="AO74" s="381">
        <f>Personnel!BP260</f>
        <v/>
      </c>
      <c r="AP74" s="381">
        <f>Personnel!BP260</f>
        <v/>
      </c>
      <c r="AQ74" s="381">
        <f>Personnel!BP260</f>
        <v/>
      </c>
      <c r="AR74" s="381">
        <f>Personnel!BP260</f>
        <v/>
      </c>
      <c r="AS74" s="381">
        <f>Personnel!BP260</f>
        <v/>
      </c>
      <c r="AT74" s="381">
        <f>Personnel!BP260</f>
        <v/>
      </c>
      <c r="AU74" s="381">
        <f>Personnel!BP260</f>
        <v/>
      </c>
      <c r="AV74" s="381">
        <f>Personnel!BP260</f>
        <v/>
      </c>
      <c r="AW74" s="381">
        <f>Personnel!BP260</f>
        <v/>
      </c>
      <c r="AX74" s="381">
        <f>Personnel!BP260</f>
        <v/>
      </c>
      <c r="AY74" s="381">
        <f>Personnel!BP260</f>
        <v/>
      </c>
      <c r="AZ74" s="381">
        <f>Personnel!BP260</f>
        <v/>
      </c>
      <c r="BA74" s="381">
        <f>Personnel!BP260</f>
        <v/>
      </c>
      <c r="BC74" s="378">
        <f>Q74</f>
        <v/>
      </c>
      <c r="BD74" s="378">
        <f>AC74</f>
        <v/>
      </c>
      <c r="BE74" s="378">
        <f>AO74</f>
        <v/>
      </c>
      <c r="BF74" s="378">
        <f>BA74</f>
        <v/>
      </c>
    </row>
    <row r="75">
      <c r="B75" s="379" t="inlineStr">
        <is>
          <t>Extra people the plan needs</t>
        </is>
      </c>
      <c r="C75" s="376" t="inlineStr">
        <is>
          <t>FTE</t>
        </is>
      </c>
      <c r="F75" s="380">
        <f>MAX(0,F71-F74)</f>
        <v/>
      </c>
      <c r="G75" s="380">
        <f>MAX(0,G71-G74)</f>
        <v/>
      </c>
      <c r="H75" s="380">
        <f>MAX(0,H71-H74)</f>
        <v/>
      </c>
      <c r="I75" s="380">
        <f>MAX(0,I71-I74)</f>
        <v/>
      </c>
      <c r="J75" s="380">
        <f>MAX(0,J71-J74)</f>
        <v/>
      </c>
      <c r="K75" s="380">
        <f>MAX(0,K71-K74)</f>
        <v/>
      </c>
      <c r="L75" s="380">
        <f>MAX(0,L71-L74)</f>
        <v/>
      </c>
      <c r="M75" s="380">
        <f>MAX(0,M71-M74)</f>
        <v/>
      </c>
      <c r="N75" s="380">
        <f>MAX(0,N71-N74)</f>
        <v/>
      </c>
      <c r="O75" s="380">
        <f>MAX(0,O71-O74)</f>
        <v/>
      </c>
      <c r="P75" s="380">
        <f>MAX(0,P71-P74)</f>
        <v/>
      </c>
      <c r="Q75" s="380">
        <f>MAX(0,Q71-Q74)</f>
        <v/>
      </c>
      <c r="R75" s="380">
        <f>MAX(0,R71-R74)</f>
        <v/>
      </c>
      <c r="S75" s="380">
        <f>MAX(0,S71-S74)</f>
        <v/>
      </c>
      <c r="T75" s="380">
        <f>MAX(0,T71-T74)</f>
        <v/>
      </c>
      <c r="U75" s="380">
        <f>MAX(0,U71-U74)</f>
        <v/>
      </c>
      <c r="V75" s="380">
        <f>MAX(0,V71-V74)</f>
        <v/>
      </c>
      <c r="W75" s="380">
        <f>MAX(0,W71-W74)</f>
        <v/>
      </c>
      <c r="X75" s="380">
        <f>MAX(0,X71-X74)</f>
        <v/>
      </c>
      <c r="Y75" s="380">
        <f>MAX(0,Y71-Y74)</f>
        <v/>
      </c>
      <c r="Z75" s="380">
        <f>MAX(0,Z71-Z74)</f>
        <v/>
      </c>
      <c r="AA75" s="380">
        <f>MAX(0,AA71-AA74)</f>
        <v/>
      </c>
      <c r="AB75" s="380">
        <f>MAX(0,AB71-AB74)</f>
        <v/>
      </c>
      <c r="AC75" s="380">
        <f>MAX(0,AC71-AC74)</f>
        <v/>
      </c>
      <c r="AD75" s="380">
        <f>MAX(0,AD71-AD74)</f>
        <v/>
      </c>
      <c r="AE75" s="380">
        <f>MAX(0,AE71-AE74)</f>
        <v/>
      </c>
      <c r="AF75" s="380">
        <f>MAX(0,AF71-AF74)</f>
        <v/>
      </c>
      <c r="AG75" s="380">
        <f>MAX(0,AG71-AG74)</f>
        <v/>
      </c>
      <c r="AH75" s="380">
        <f>MAX(0,AH71-AH74)</f>
        <v/>
      </c>
      <c r="AI75" s="380">
        <f>MAX(0,AI71-AI74)</f>
        <v/>
      </c>
      <c r="AJ75" s="380">
        <f>MAX(0,AJ71-AJ74)</f>
        <v/>
      </c>
      <c r="AK75" s="380">
        <f>MAX(0,AK71-AK74)</f>
        <v/>
      </c>
      <c r="AL75" s="380">
        <f>MAX(0,AL71-AL74)</f>
        <v/>
      </c>
      <c r="AM75" s="380">
        <f>MAX(0,AM71-AM74)</f>
        <v/>
      </c>
      <c r="AN75" s="380">
        <f>MAX(0,AN71-AN74)</f>
        <v/>
      </c>
      <c r="AO75" s="380">
        <f>MAX(0,AO71-AO74)</f>
        <v/>
      </c>
      <c r="AP75" s="380">
        <f>MAX(0,AP71-AP74)</f>
        <v/>
      </c>
      <c r="AQ75" s="380">
        <f>MAX(0,AQ71-AQ74)</f>
        <v/>
      </c>
      <c r="AR75" s="380">
        <f>MAX(0,AR71-AR74)</f>
        <v/>
      </c>
      <c r="AS75" s="380">
        <f>MAX(0,AS71-AS74)</f>
        <v/>
      </c>
      <c r="AT75" s="380">
        <f>MAX(0,AT71-AT74)</f>
        <v/>
      </c>
      <c r="AU75" s="380">
        <f>MAX(0,AU71-AU74)</f>
        <v/>
      </c>
      <c r="AV75" s="380">
        <f>MAX(0,AV71-AV74)</f>
        <v/>
      </c>
      <c r="AW75" s="380">
        <f>MAX(0,AW71-AW74)</f>
        <v/>
      </c>
      <c r="AX75" s="380">
        <f>MAX(0,AX71-AX74)</f>
        <v/>
      </c>
      <c r="AY75" s="380">
        <f>MAX(0,AY71-AY74)</f>
        <v/>
      </c>
      <c r="AZ75" s="380">
        <f>MAX(0,AZ71-AZ74)</f>
        <v/>
      </c>
      <c r="BA75" s="380">
        <f>MAX(0,BA71-BA74)</f>
        <v/>
      </c>
      <c r="BC75" s="378">
        <f>Q75</f>
        <v/>
      </c>
      <c r="BD75" s="378">
        <f>AC75</f>
        <v/>
      </c>
      <c r="BE75" s="378">
        <f>AO75</f>
        <v/>
      </c>
      <c r="BF75" s="378">
        <f>BA75</f>
        <v/>
      </c>
      <c r="BH75" s="370" t="inlineStr">
        <is>
          <t>should now be at or near zero: the people are in the Personnel tab. Anything left is a genuine gap between the plan and the roster.</t>
        </is>
      </c>
    </row>
    <row r="76"/>
    <row r="77">
      <c r="B77" s="374" t="inlineStr">
        <is>
          <t>COST  —  what that organisation costs, on top of the roster</t>
        </is>
      </c>
      <c r="C77" s="374" t="n"/>
      <c r="D77" s="374" t="n"/>
      <c r="E77" s="374" t="n"/>
      <c r="F77" s="374" t="n"/>
      <c r="G77" s="374" t="n"/>
      <c r="H77" s="374" t="n"/>
      <c r="I77" s="374" t="n"/>
      <c r="J77" s="374" t="n"/>
      <c r="K77" s="374" t="n"/>
      <c r="L77" s="374" t="n"/>
      <c r="M77" s="374" t="n"/>
      <c r="N77" s="374" t="n"/>
      <c r="O77" s="374" t="n"/>
      <c r="P77" s="374" t="n"/>
      <c r="Q77" s="374" t="n"/>
      <c r="R77" s="374" t="n"/>
      <c r="S77" s="374" t="n"/>
      <c r="T77" s="374" t="n"/>
      <c r="U77" s="374" t="n"/>
      <c r="V77" s="374" t="n"/>
      <c r="W77" s="374" t="n"/>
      <c r="X77" s="374" t="n"/>
      <c r="Y77" s="374" t="n"/>
      <c r="Z77" s="374" t="n"/>
      <c r="AA77" s="374" t="n"/>
      <c r="AB77" s="374" t="n"/>
      <c r="AC77" s="374" t="n"/>
      <c r="AD77" s="374" t="n"/>
      <c r="AE77" s="374" t="n"/>
      <c r="AF77" s="374" t="n"/>
      <c r="AG77" s="374" t="n"/>
      <c r="AH77" s="374" t="n"/>
      <c r="AI77" s="374" t="n"/>
      <c r="AJ77" s="374" t="n"/>
      <c r="AK77" s="374" t="n"/>
      <c r="AL77" s="374" t="n"/>
      <c r="AM77" s="374" t="n"/>
      <c r="AN77" s="374" t="n"/>
      <c r="AO77" s="374" t="n"/>
      <c r="AP77" s="374" t="n"/>
      <c r="AQ77" s="374" t="n"/>
      <c r="AR77" s="374" t="n"/>
      <c r="AS77" s="374" t="n"/>
      <c r="AT77" s="374" t="n"/>
      <c r="AU77" s="374" t="n"/>
      <c r="AV77" s="374" t="n"/>
      <c r="AW77" s="374" t="n"/>
      <c r="AX77" s="374" t="n"/>
      <c r="AY77" s="374" t="n"/>
      <c r="AZ77" s="374" t="n"/>
      <c r="BA77" s="374" t="n"/>
      <c r="BB77" s="374" t="n"/>
      <c r="BC77" s="374" t="n"/>
      <c r="BD77" s="374" t="n"/>
      <c r="BE77" s="374" t="n"/>
      <c r="BF77" s="374" t="n"/>
      <c r="BG77" s="374" t="n"/>
    </row>
    <row r="78">
      <c r="B78" s="375" t="inlineStr">
        <is>
          <t>Commercial team cost required</t>
        </is>
      </c>
      <c r="C78" s="376" t="inlineStr">
        <is>
          <t>check</t>
        </is>
      </c>
      <c r="F78" s="377">
        <f>F57*Assumptions!$F$169+F58*Assumptions!$F$170+(F59+F60+F61)*Assumptions!$F$195</f>
        <v/>
      </c>
      <c r="G78" s="377">
        <f>G57*Assumptions!$F$169+G58*Assumptions!$F$170+(G59+G60+G61)*Assumptions!$F$195</f>
        <v/>
      </c>
      <c r="H78" s="377">
        <f>H57*Assumptions!$F$169+H58*Assumptions!$F$170+(H59+H60+H61)*Assumptions!$F$195</f>
        <v/>
      </c>
      <c r="I78" s="377">
        <f>I57*Assumptions!$F$169+I58*Assumptions!$F$170+(I59+I60+I61)*Assumptions!$F$195</f>
        <v/>
      </c>
      <c r="J78" s="377">
        <f>J57*Assumptions!$F$169+J58*Assumptions!$F$170+(J59+J60+J61)*Assumptions!$F$195</f>
        <v/>
      </c>
      <c r="K78" s="377">
        <f>K57*Assumptions!$F$169+K58*Assumptions!$F$170+(K59+K60+K61)*Assumptions!$F$195</f>
        <v/>
      </c>
      <c r="L78" s="377">
        <f>L57*Assumptions!$F$169+L58*Assumptions!$F$170+(L59+L60+L61)*Assumptions!$F$195</f>
        <v/>
      </c>
      <c r="M78" s="377">
        <f>M57*Assumptions!$F$169+M58*Assumptions!$F$170+(M59+M60+M61)*Assumptions!$F$195</f>
        <v/>
      </c>
      <c r="N78" s="377">
        <f>N57*Assumptions!$F$169+N58*Assumptions!$F$170+(N59+N60+N61)*Assumptions!$F$195</f>
        <v/>
      </c>
      <c r="O78" s="377">
        <f>O57*Assumptions!$F$169+O58*Assumptions!$F$170+(O59+O60+O61)*Assumptions!$F$195</f>
        <v/>
      </c>
      <c r="P78" s="377">
        <f>P57*Assumptions!$F$169+P58*Assumptions!$F$170+(P59+P60+P61)*Assumptions!$F$195</f>
        <v/>
      </c>
      <c r="Q78" s="377">
        <f>Q57*Assumptions!$F$169+Q58*Assumptions!$F$170+(Q59+Q60+Q61)*Assumptions!$F$195</f>
        <v/>
      </c>
      <c r="R78" s="377">
        <f>R57*Assumptions!$F$169+R58*Assumptions!$F$170+(R59+R60+R61)*Assumptions!$F$195</f>
        <v/>
      </c>
      <c r="S78" s="377">
        <f>S57*Assumptions!$F$169+S58*Assumptions!$F$170+(S59+S60+S61)*Assumptions!$F$195</f>
        <v/>
      </c>
      <c r="T78" s="377">
        <f>T57*Assumptions!$F$169+T58*Assumptions!$F$170+(T59+T60+T61)*Assumptions!$F$195</f>
        <v/>
      </c>
      <c r="U78" s="377">
        <f>U57*Assumptions!$F$169+U58*Assumptions!$F$170+(U59+U60+U61)*Assumptions!$F$195</f>
        <v/>
      </c>
      <c r="V78" s="377">
        <f>V57*Assumptions!$F$169+V58*Assumptions!$F$170+(V59+V60+V61)*Assumptions!$F$195</f>
        <v/>
      </c>
      <c r="W78" s="377">
        <f>W57*Assumptions!$F$169+W58*Assumptions!$F$170+(W59+W60+W61)*Assumptions!$F$195</f>
        <v/>
      </c>
      <c r="X78" s="377">
        <f>X57*Assumptions!$F$169+X58*Assumptions!$F$170+(X59+X60+X61)*Assumptions!$F$195</f>
        <v/>
      </c>
      <c r="Y78" s="377">
        <f>Y57*Assumptions!$F$169+Y58*Assumptions!$F$170+(Y59+Y60+Y61)*Assumptions!$F$195</f>
        <v/>
      </c>
      <c r="Z78" s="377">
        <f>Z57*Assumptions!$F$169+Z58*Assumptions!$F$170+(Z59+Z60+Z61)*Assumptions!$F$195</f>
        <v/>
      </c>
      <c r="AA78" s="377">
        <f>AA57*Assumptions!$F$169+AA58*Assumptions!$F$170+(AA59+AA60+AA61)*Assumptions!$F$195</f>
        <v/>
      </c>
      <c r="AB78" s="377">
        <f>AB57*Assumptions!$F$169+AB58*Assumptions!$F$170+(AB59+AB60+AB61)*Assumptions!$F$195</f>
        <v/>
      </c>
      <c r="AC78" s="377">
        <f>AC57*Assumptions!$F$169+AC58*Assumptions!$F$170+(AC59+AC60+AC61)*Assumptions!$F$195</f>
        <v/>
      </c>
      <c r="AD78" s="377">
        <f>AD57*Assumptions!$F$169+AD58*Assumptions!$F$170+(AD59+AD60+AD61)*Assumptions!$F$195</f>
        <v/>
      </c>
      <c r="AE78" s="377">
        <f>AE57*Assumptions!$F$169+AE58*Assumptions!$F$170+(AE59+AE60+AE61)*Assumptions!$F$195</f>
        <v/>
      </c>
      <c r="AF78" s="377">
        <f>AF57*Assumptions!$F$169+AF58*Assumptions!$F$170+(AF59+AF60+AF61)*Assumptions!$F$195</f>
        <v/>
      </c>
      <c r="AG78" s="377">
        <f>AG57*Assumptions!$F$169+AG58*Assumptions!$F$170+(AG59+AG60+AG61)*Assumptions!$F$195</f>
        <v/>
      </c>
      <c r="AH78" s="377">
        <f>AH57*Assumptions!$F$169+AH58*Assumptions!$F$170+(AH59+AH60+AH61)*Assumptions!$F$195</f>
        <v/>
      </c>
      <c r="AI78" s="377">
        <f>AI57*Assumptions!$F$169+AI58*Assumptions!$F$170+(AI59+AI60+AI61)*Assumptions!$F$195</f>
        <v/>
      </c>
      <c r="AJ78" s="377">
        <f>AJ57*Assumptions!$F$169+AJ58*Assumptions!$F$170+(AJ59+AJ60+AJ61)*Assumptions!$F$195</f>
        <v/>
      </c>
      <c r="AK78" s="377">
        <f>AK57*Assumptions!$F$169+AK58*Assumptions!$F$170+(AK59+AK60+AK61)*Assumptions!$F$195</f>
        <v/>
      </c>
      <c r="AL78" s="377">
        <f>AL57*Assumptions!$F$169+AL58*Assumptions!$F$170+(AL59+AL60+AL61)*Assumptions!$F$195</f>
        <v/>
      </c>
      <c r="AM78" s="377">
        <f>AM57*Assumptions!$F$169+AM58*Assumptions!$F$170+(AM59+AM60+AM61)*Assumptions!$F$195</f>
        <v/>
      </c>
      <c r="AN78" s="377">
        <f>AN57*Assumptions!$F$169+AN58*Assumptions!$F$170+(AN59+AN60+AN61)*Assumptions!$F$195</f>
        <v/>
      </c>
      <c r="AO78" s="377">
        <f>AO57*Assumptions!$F$169+AO58*Assumptions!$F$170+(AO59+AO60+AO61)*Assumptions!$F$195</f>
        <v/>
      </c>
      <c r="AP78" s="377">
        <f>AP57*Assumptions!$F$169+AP58*Assumptions!$F$170+(AP59+AP60+AP61)*Assumptions!$F$195</f>
        <v/>
      </c>
      <c r="AQ78" s="377">
        <f>AQ57*Assumptions!$F$169+AQ58*Assumptions!$F$170+(AQ59+AQ60+AQ61)*Assumptions!$F$195</f>
        <v/>
      </c>
      <c r="AR78" s="377">
        <f>AR57*Assumptions!$F$169+AR58*Assumptions!$F$170+(AR59+AR60+AR61)*Assumptions!$F$195</f>
        <v/>
      </c>
      <c r="AS78" s="377">
        <f>AS57*Assumptions!$F$169+AS58*Assumptions!$F$170+(AS59+AS60+AS61)*Assumptions!$F$195</f>
        <v/>
      </c>
      <c r="AT78" s="377">
        <f>AT57*Assumptions!$F$169+AT58*Assumptions!$F$170+(AT59+AT60+AT61)*Assumptions!$F$195</f>
        <v/>
      </c>
      <c r="AU78" s="377">
        <f>AU57*Assumptions!$F$169+AU58*Assumptions!$F$170+(AU59+AU60+AU61)*Assumptions!$F$195</f>
        <v/>
      </c>
      <c r="AV78" s="377">
        <f>AV57*Assumptions!$F$169+AV58*Assumptions!$F$170+(AV59+AV60+AV61)*Assumptions!$F$195</f>
        <v/>
      </c>
      <c r="AW78" s="377">
        <f>AW57*Assumptions!$F$169+AW58*Assumptions!$F$170+(AW59+AW60+AW61)*Assumptions!$F$195</f>
        <v/>
      </c>
      <c r="AX78" s="377">
        <f>AX57*Assumptions!$F$169+AX58*Assumptions!$F$170+(AX59+AX60+AX61)*Assumptions!$F$195</f>
        <v/>
      </c>
      <c r="AY78" s="377">
        <f>AY57*Assumptions!$F$169+AY58*Assumptions!$F$170+(AY59+AY60+AY61)*Assumptions!$F$195</f>
        <v/>
      </c>
      <c r="AZ78" s="377">
        <f>AZ57*Assumptions!$F$169+AZ58*Assumptions!$F$170+(AZ59+AZ60+AZ61)*Assumptions!$F$195</f>
        <v/>
      </c>
      <c r="BA78" s="377">
        <f>BA57*Assumptions!$F$169+BA58*Assumptions!$F$170+(BA59+BA60+BA61)*Assumptions!$F$195</f>
        <v/>
      </c>
      <c r="BC78" s="378">
        <f>SUM(F78:Q78)</f>
        <v/>
      </c>
      <c r="BD78" s="378">
        <f>SUM(R78:AC78)</f>
        <v/>
      </c>
      <c r="BE78" s="378">
        <f>SUM(AD78:AO78)</f>
        <v/>
      </c>
      <c r="BF78" s="378">
        <f>SUM(AP78:BA78)</f>
        <v/>
      </c>
      <c r="BH78" t="inlineStr">
        <is>
          <t>required vs roster — a check on the Personnel tab, not a cost</t>
        </is>
      </c>
    </row>
    <row r="79">
      <c r="B79" s="375" t="inlineStr">
        <is>
          <t>S&amp;M cost already in the roster</t>
        </is>
      </c>
      <c r="C79" s="376" t="inlineStr">
        <is>
          <t>check</t>
        </is>
      </c>
      <c r="F79" s="381">
        <f>Personnel!AG252</f>
        <v/>
      </c>
      <c r="G79" s="381">
        <f>Personnel!AH252</f>
        <v/>
      </c>
      <c r="H79" s="381">
        <f>Personnel!AI252</f>
        <v/>
      </c>
      <c r="I79" s="381">
        <f>Personnel!AJ252</f>
        <v/>
      </c>
      <c r="J79" s="381">
        <f>Personnel!AK252</f>
        <v/>
      </c>
      <c r="K79" s="381">
        <f>Personnel!AL252</f>
        <v/>
      </c>
      <c r="L79" s="381">
        <f>Personnel!AM252</f>
        <v/>
      </c>
      <c r="M79" s="381">
        <f>Personnel!AN252</f>
        <v/>
      </c>
      <c r="N79" s="381">
        <f>Personnel!AO252</f>
        <v/>
      </c>
      <c r="O79" s="381">
        <f>Personnel!AP252</f>
        <v/>
      </c>
      <c r="P79" s="381">
        <f>Personnel!AQ252</f>
        <v/>
      </c>
      <c r="Q79" s="381">
        <f>Personnel!AR252</f>
        <v/>
      </c>
      <c r="R79" s="381">
        <f>Personnel!AS252</f>
        <v/>
      </c>
      <c r="S79" s="381">
        <f>Personnel!AT252</f>
        <v/>
      </c>
      <c r="T79" s="381">
        <f>Personnel!AU252</f>
        <v/>
      </c>
      <c r="U79" s="381">
        <f>Personnel!AV252</f>
        <v/>
      </c>
      <c r="V79" s="381">
        <f>Personnel!AW252</f>
        <v/>
      </c>
      <c r="W79" s="381">
        <f>Personnel!AX252</f>
        <v/>
      </c>
      <c r="X79" s="381">
        <f>Personnel!AY252</f>
        <v/>
      </c>
      <c r="Y79" s="381">
        <f>Personnel!AZ252</f>
        <v/>
      </c>
      <c r="Z79" s="381">
        <f>Personnel!BA252</f>
        <v/>
      </c>
      <c r="AA79" s="381">
        <f>Personnel!BB252</f>
        <v/>
      </c>
      <c r="AB79" s="381">
        <f>Personnel!BC252</f>
        <v/>
      </c>
      <c r="AC79" s="381">
        <f>Personnel!BD252</f>
        <v/>
      </c>
      <c r="AD79" s="381">
        <f>Personnel!BE252</f>
        <v/>
      </c>
      <c r="AE79" s="381">
        <f>Personnel!BF252</f>
        <v/>
      </c>
      <c r="AF79" s="381">
        <f>Personnel!BG252</f>
        <v/>
      </c>
      <c r="AG79" s="381">
        <f>Personnel!BH252</f>
        <v/>
      </c>
      <c r="AH79" s="381">
        <f>Personnel!BI252</f>
        <v/>
      </c>
      <c r="AI79" s="381">
        <f>Personnel!BJ252</f>
        <v/>
      </c>
      <c r="AJ79" s="381">
        <f>Personnel!BK252</f>
        <v/>
      </c>
      <c r="AK79" s="381">
        <f>Personnel!BL252</f>
        <v/>
      </c>
      <c r="AL79" s="381">
        <f>Personnel!BM252</f>
        <v/>
      </c>
      <c r="AM79" s="381">
        <f>Personnel!BN252</f>
        <v/>
      </c>
      <c r="AN79" s="381">
        <f>Personnel!BO252</f>
        <v/>
      </c>
      <c r="AO79" s="381">
        <f>Personnel!BP252</f>
        <v/>
      </c>
      <c r="AP79" s="381">
        <f>Personnel!BP252</f>
        <v/>
      </c>
      <c r="AQ79" s="381">
        <f>Personnel!BP252</f>
        <v/>
      </c>
      <c r="AR79" s="381">
        <f>Personnel!BP252</f>
        <v/>
      </c>
      <c r="AS79" s="381">
        <f>Personnel!BP252</f>
        <v/>
      </c>
      <c r="AT79" s="381">
        <f>Personnel!BP252</f>
        <v/>
      </c>
      <c r="AU79" s="381">
        <f>Personnel!BP252</f>
        <v/>
      </c>
      <c r="AV79" s="381">
        <f>Personnel!BP252</f>
        <v/>
      </c>
      <c r="AW79" s="381">
        <f>Personnel!BP252</f>
        <v/>
      </c>
      <c r="AX79" s="381">
        <f>Personnel!BP252</f>
        <v/>
      </c>
      <c r="AY79" s="381">
        <f>Personnel!BP252</f>
        <v/>
      </c>
      <c r="AZ79" s="381">
        <f>Personnel!BP252</f>
        <v/>
      </c>
      <c r="BA79" s="381">
        <f>Personnel!BP252</f>
        <v/>
      </c>
      <c r="BC79" s="378">
        <f>SUM(F79:Q79)</f>
        <v/>
      </c>
      <c r="BD79" s="378">
        <f>SUM(R79:AC79)</f>
        <v/>
      </c>
      <c r="BE79" s="378">
        <f>SUM(AD79:AO79)</f>
        <v/>
      </c>
      <c r="BF79" s="378">
        <f>SUM(AP79:BA79)</f>
        <v/>
      </c>
    </row>
    <row r="80">
      <c r="B80" s="379" t="inlineStr">
        <is>
          <t>S&amp;M people — required vs roster (check only)</t>
        </is>
      </c>
      <c r="C80" s="376" t="inlineStr">
        <is>
          <t>check</t>
        </is>
      </c>
      <c r="F80" s="380">
        <f>MAX(0,F78-F79)</f>
        <v/>
      </c>
      <c r="G80" s="380">
        <f>MAX(0,G78-G79)</f>
        <v/>
      </c>
      <c r="H80" s="380">
        <f>MAX(0,H78-H79)</f>
        <v/>
      </c>
      <c r="I80" s="380">
        <f>MAX(0,I78-I79)</f>
        <v/>
      </c>
      <c r="J80" s="380">
        <f>MAX(0,J78-J79)</f>
        <v/>
      </c>
      <c r="K80" s="380">
        <f>MAX(0,K78-K79)</f>
        <v/>
      </c>
      <c r="L80" s="380">
        <f>MAX(0,L78-L79)</f>
        <v/>
      </c>
      <c r="M80" s="380">
        <f>MAX(0,M78-M79)</f>
        <v/>
      </c>
      <c r="N80" s="380">
        <f>MAX(0,N78-N79)</f>
        <v/>
      </c>
      <c r="O80" s="380">
        <f>MAX(0,O78-O79)</f>
        <v/>
      </c>
      <c r="P80" s="380">
        <f>MAX(0,P78-P79)</f>
        <v/>
      </c>
      <c r="Q80" s="380">
        <f>MAX(0,Q78-Q79)</f>
        <v/>
      </c>
      <c r="R80" s="380">
        <f>MAX(0,R78-R79)</f>
        <v/>
      </c>
      <c r="S80" s="380">
        <f>MAX(0,S78-S79)</f>
        <v/>
      </c>
      <c r="T80" s="380">
        <f>MAX(0,T78-T79)</f>
        <v/>
      </c>
      <c r="U80" s="380">
        <f>MAX(0,U78-U79)</f>
        <v/>
      </c>
      <c r="V80" s="380">
        <f>MAX(0,V78-V79)</f>
        <v/>
      </c>
      <c r="W80" s="380">
        <f>MAX(0,W78-W79)</f>
        <v/>
      </c>
      <c r="X80" s="380">
        <f>MAX(0,X78-X79)</f>
        <v/>
      </c>
      <c r="Y80" s="380">
        <f>MAX(0,Y78-Y79)</f>
        <v/>
      </c>
      <c r="Z80" s="380">
        <f>MAX(0,Z78-Z79)</f>
        <v/>
      </c>
      <c r="AA80" s="380">
        <f>MAX(0,AA78-AA79)</f>
        <v/>
      </c>
      <c r="AB80" s="380">
        <f>MAX(0,AB78-AB79)</f>
        <v/>
      </c>
      <c r="AC80" s="380">
        <f>MAX(0,AC78-AC79)</f>
        <v/>
      </c>
      <c r="AD80" s="380">
        <f>MAX(0,AD78-AD79)</f>
        <v/>
      </c>
      <c r="AE80" s="380">
        <f>MAX(0,AE78-AE79)</f>
        <v/>
      </c>
      <c r="AF80" s="380">
        <f>MAX(0,AF78-AF79)</f>
        <v/>
      </c>
      <c r="AG80" s="380">
        <f>MAX(0,AG78-AG79)</f>
        <v/>
      </c>
      <c r="AH80" s="380">
        <f>MAX(0,AH78-AH79)</f>
        <v/>
      </c>
      <c r="AI80" s="380">
        <f>MAX(0,AI78-AI79)</f>
        <v/>
      </c>
      <c r="AJ80" s="380">
        <f>MAX(0,AJ78-AJ79)</f>
        <v/>
      </c>
      <c r="AK80" s="380">
        <f>MAX(0,AK78-AK79)</f>
        <v/>
      </c>
      <c r="AL80" s="380">
        <f>MAX(0,AL78-AL79)</f>
        <v/>
      </c>
      <c r="AM80" s="380">
        <f>MAX(0,AM78-AM79)</f>
        <v/>
      </c>
      <c r="AN80" s="380">
        <f>MAX(0,AN78-AN79)</f>
        <v/>
      </c>
      <c r="AO80" s="380">
        <f>MAX(0,AO78-AO79)</f>
        <v/>
      </c>
      <c r="AP80" s="380">
        <f>MAX(0,AP78-AP79)</f>
        <v/>
      </c>
      <c r="AQ80" s="380">
        <f>MAX(0,AQ78-AQ79)</f>
        <v/>
      </c>
      <c r="AR80" s="380">
        <f>MAX(0,AR78-AR79)</f>
        <v/>
      </c>
      <c r="AS80" s="380">
        <f>MAX(0,AS78-AS79)</f>
        <v/>
      </c>
      <c r="AT80" s="380">
        <f>MAX(0,AT78-AT79)</f>
        <v/>
      </c>
      <c r="AU80" s="380">
        <f>MAX(0,AU78-AU79)</f>
        <v/>
      </c>
      <c r="AV80" s="380">
        <f>MAX(0,AV78-AV79)</f>
        <v/>
      </c>
      <c r="AW80" s="380">
        <f>MAX(0,AW78-AW79)</f>
        <v/>
      </c>
      <c r="AX80" s="380">
        <f>MAX(0,AX78-AX79)</f>
        <v/>
      </c>
      <c r="AY80" s="380">
        <f>MAX(0,AY78-AY79)</f>
        <v/>
      </c>
      <c r="AZ80" s="380">
        <f>MAX(0,AZ78-AZ79)</f>
        <v/>
      </c>
      <c r="BA80" s="380">
        <f>MAX(0,BA78-BA79)</f>
        <v/>
      </c>
      <c r="BC80" s="378">
        <f>SUM(F80:Q80)</f>
        <v/>
      </c>
      <c r="BD80" s="378">
        <f>SUM(R80:AC80)</f>
        <v/>
      </c>
      <c r="BE80" s="378">
        <f>SUM(AD80:AO80)</f>
        <v/>
      </c>
      <c r="BF80" s="378">
        <f>SUM(AP80:BA80)</f>
        <v/>
      </c>
    </row>
    <row r="81">
      <c r="B81" s="375" t="inlineStr">
        <is>
          <t>Operations, support &amp; G&amp;A cost required</t>
        </is>
      </c>
      <c r="C81" s="376" t="inlineStr">
        <is>
          <t>check</t>
        </is>
      </c>
      <c r="F81" s="377">
        <f>(F63+F64)*Assumptions!$F$196+(F65+F66)*Assumptions!$F$197+(F67+F69)*Assumptions!$F$198</f>
        <v/>
      </c>
      <c r="G81" s="377">
        <f>(G63+G64)*Assumptions!$F$196+(G65+G66)*Assumptions!$F$197+(G67+G69)*Assumptions!$F$198</f>
        <v/>
      </c>
      <c r="H81" s="377">
        <f>(H63+H64)*Assumptions!$F$196+(H65+H66)*Assumptions!$F$197+(H67+H69)*Assumptions!$F$198</f>
        <v/>
      </c>
      <c r="I81" s="377">
        <f>(I63+I64)*Assumptions!$F$196+(I65+I66)*Assumptions!$F$197+(I67+I69)*Assumptions!$F$198</f>
        <v/>
      </c>
      <c r="J81" s="377">
        <f>(J63+J64)*Assumptions!$F$196+(J65+J66)*Assumptions!$F$197+(J67+J69)*Assumptions!$F$198</f>
        <v/>
      </c>
      <c r="K81" s="377">
        <f>(K63+K64)*Assumptions!$F$196+(K65+K66)*Assumptions!$F$197+(K67+K69)*Assumptions!$F$198</f>
        <v/>
      </c>
      <c r="L81" s="377">
        <f>(L63+L64)*Assumptions!$F$196+(L65+L66)*Assumptions!$F$197+(L67+L69)*Assumptions!$F$198</f>
        <v/>
      </c>
      <c r="M81" s="377">
        <f>(M63+M64)*Assumptions!$F$196+(M65+M66)*Assumptions!$F$197+(M67+M69)*Assumptions!$F$198</f>
        <v/>
      </c>
      <c r="N81" s="377">
        <f>(N63+N64)*Assumptions!$F$196+(N65+N66)*Assumptions!$F$197+(N67+N69)*Assumptions!$F$198</f>
        <v/>
      </c>
      <c r="O81" s="377">
        <f>(O63+O64)*Assumptions!$F$196+(O65+O66)*Assumptions!$F$197+(O67+O69)*Assumptions!$F$198</f>
        <v/>
      </c>
      <c r="P81" s="377">
        <f>(P63+P64)*Assumptions!$F$196+(P65+P66)*Assumptions!$F$197+(P67+P69)*Assumptions!$F$198</f>
        <v/>
      </c>
      <c r="Q81" s="377">
        <f>(Q63+Q64)*Assumptions!$F$196+(Q65+Q66)*Assumptions!$F$197+(Q67+Q69)*Assumptions!$F$198</f>
        <v/>
      </c>
      <c r="R81" s="377">
        <f>(R63+R64)*Assumptions!$F$196+(R65+R66)*Assumptions!$F$197+(R67+R69)*Assumptions!$F$198</f>
        <v/>
      </c>
      <c r="S81" s="377">
        <f>(S63+S64)*Assumptions!$F$196+(S65+S66)*Assumptions!$F$197+(S67+S69)*Assumptions!$F$198</f>
        <v/>
      </c>
      <c r="T81" s="377">
        <f>(T63+T64)*Assumptions!$F$196+(T65+T66)*Assumptions!$F$197+(T67+T69)*Assumptions!$F$198</f>
        <v/>
      </c>
      <c r="U81" s="377">
        <f>(U63+U64)*Assumptions!$F$196+(U65+U66)*Assumptions!$F$197+(U67+U69)*Assumptions!$F$198</f>
        <v/>
      </c>
      <c r="V81" s="377">
        <f>(V63+V64)*Assumptions!$F$196+(V65+V66)*Assumptions!$F$197+(V67+V69)*Assumptions!$F$198</f>
        <v/>
      </c>
      <c r="W81" s="377">
        <f>(W63+W64)*Assumptions!$F$196+(W65+W66)*Assumptions!$F$197+(W67+W69)*Assumptions!$F$198</f>
        <v/>
      </c>
      <c r="X81" s="377">
        <f>(X63+X64)*Assumptions!$F$196+(X65+X66)*Assumptions!$F$197+(X67+X69)*Assumptions!$F$198</f>
        <v/>
      </c>
      <c r="Y81" s="377">
        <f>(Y63+Y64)*Assumptions!$F$196+(Y65+Y66)*Assumptions!$F$197+(Y67+Y69)*Assumptions!$F$198</f>
        <v/>
      </c>
      <c r="Z81" s="377">
        <f>(Z63+Z64)*Assumptions!$F$196+(Z65+Z66)*Assumptions!$F$197+(Z67+Z69)*Assumptions!$F$198</f>
        <v/>
      </c>
      <c r="AA81" s="377">
        <f>(AA63+AA64)*Assumptions!$F$196+(AA65+AA66)*Assumptions!$F$197+(AA67+AA69)*Assumptions!$F$198</f>
        <v/>
      </c>
      <c r="AB81" s="377">
        <f>(AB63+AB64)*Assumptions!$F$196+(AB65+AB66)*Assumptions!$F$197+(AB67+AB69)*Assumptions!$F$198</f>
        <v/>
      </c>
      <c r="AC81" s="377">
        <f>(AC63+AC64)*Assumptions!$F$196+(AC65+AC66)*Assumptions!$F$197+(AC67+AC69)*Assumptions!$F$198</f>
        <v/>
      </c>
      <c r="AD81" s="377">
        <f>(AD63+AD64)*Assumptions!$F$196+(AD65+AD66)*Assumptions!$F$197+(AD67+AD69)*Assumptions!$F$198</f>
        <v/>
      </c>
      <c r="AE81" s="377">
        <f>(AE63+AE64)*Assumptions!$F$196+(AE65+AE66)*Assumptions!$F$197+(AE67+AE69)*Assumptions!$F$198</f>
        <v/>
      </c>
      <c r="AF81" s="377">
        <f>(AF63+AF64)*Assumptions!$F$196+(AF65+AF66)*Assumptions!$F$197+(AF67+AF69)*Assumptions!$F$198</f>
        <v/>
      </c>
      <c r="AG81" s="377">
        <f>(AG63+AG64)*Assumptions!$F$196+(AG65+AG66)*Assumptions!$F$197+(AG67+AG69)*Assumptions!$F$198</f>
        <v/>
      </c>
      <c r="AH81" s="377">
        <f>(AH63+AH64)*Assumptions!$F$196+(AH65+AH66)*Assumptions!$F$197+(AH67+AH69)*Assumptions!$F$198</f>
        <v/>
      </c>
      <c r="AI81" s="377">
        <f>(AI63+AI64)*Assumptions!$F$196+(AI65+AI66)*Assumptions!$F$197+(AI67+AI69)*Assumptions!$F$198</f>
        <v/>
      </c>
      <c r="AJ81" s="377">
        <f>(AJ63+AJ64)*Assumptions!$F$196+(AJ65+AJ66)*Assumptions!$F$197+(AJ67+AJ69)*Assumptions!$F$198</f>
        <v/>
      </c>
      <c r="AK81" s="377">
        <f>(AK63+AK64)*Assumptions!$F$196+(AK65+AK66)*Assumptions!$F$197+(AK67+AK69)*Assumptions!$F$198</f>
        <v/>
      </c>
      <c r="AL81" s="377">
        <f>(AL63+AL64)*Assumptions!$F$196+(AL65+AL66)*Assumptions!$F$197+(AL67+AL69)*Assumptions!$F$198</f>
        <v/>
      </c>
      <c r="AM81" s="377">
        <f>(AM63+AM64)*Assumptions!$F$196+(AM65+AM66)*Assumptions!$F$197+(AM67+AM69)*Assumptions!$F$198</f>
        <v/>
      </c>
      <c r="AN81" s="377">
        <f>(AN63+AN64)*Assumptions!$F$196+(AN65+AN66)*Assumptions!$F$197+(AN67+AN69)*Assumptions!$F$198</f>
        <v/>
      </c>
      <c r="AO81" s="377">
        <f>(AO63+AO64)*Assumptions!$F$196+(AO65+AO66)*Assumptions!$F$197+(AO67+AO69)*Assumptions!$F$198</f>
        <v/>
      </c>
      <c r="AP81" s="377">
        <f>(AP63+AP64)*Assumptions!$F$196+(AP65+AP66)*Assumptions!$F$197+(AP67+AP69)*Assumptions!$F$198</f>
        <v/>
      </c>
      <c r="AQ81" s="377">
        <f>(AQ63+AQ64)*Assumptions!$F$196+(AQ65+AQ66)*Assumptions!$F$197+(AQ67+AQ69)*Assumptions!$F$198</f>
        <v/>
      </c>
      <c r="AR81" s="377">
        <f>(AR63+AR64)*Assumptions!$F$196+(AR65+AR66)*Assumptions!$F$197+(AR67+AR69)*Assumptions!$F$198</f>
        <v/>
      </c>
      <c r="AS81" s="377">
        <f>(AS63+AS64)*Assumptions!$F$196+(AS65+AS66)*Assumptions!$F$197+(AS67+AS69)*Assumptions!$F$198</f>
        <v/>
      </c>
      <c r="AT81" s="377">
        <f>(AT63+AT64)*Assumptions!$F$196+(AT65+AT66)*Assumptions!$F$197+(AT67+AT69)*Assumptions!$F$198</f>
        <v/>
      </c>
      <c r="AU81" s="377">
        <f>(AU63+AU64)*Assumptions!$F$196+(AU65+AU66)*Assumptions!$F$197+(AU67+AU69)*Assumptions!$F$198</f>
        <v/>
      </c>
      <c r="AV81" s="377">
        <f>(AV63+AV64)*Assumptions!$F$196+(AV65+AV66)*Assumptions!$F$197+(AV67+AV69)*Assumptions!$F$198</f>
        <v/>
      </c>
      <c r="AW81" s="377">
        <f>(AW63+AW64)*Assumptions!$F$196+(AW65+AW66)*Assumptions!$F$197+(AW67+AW69)*Assumptions!$F$198</f>
        <v/>
      </c>
      <c r="AX81" s="377">
        <f>(AX63+AX64)*Assumptions!$F$196+(AX65+AX66)*Assumptions!$F$197+(AX67+AX69)*Assumptions!$F$198</f>
        <v/>
      </c>
      <c r="AY81" s="377">
        <f>(AY63+AY64)*Assumptions!$F$196+(AY65+AY66)*Assumptions!$F$197+(AY67+AY69)*Assumptions!$F$198</f>
        <v/>
      </c>
      <c r="AZ81" s="377">
        <f>(AZ63+AZ64)*Assumptions!$F$196+(AZ65+AZ66)*Assumptions!$F$197+(AZ67+AZ69)*Assumptions!$F$198</f>
        <v/>
      </c>
      <c r="BA81" s="377">
        <f>(BA63+BA64)*Assumptions!$F$196+(BA65+BA66)*Assumptions!$F$197+(BA67+BA69)*Assumptions!$F$198</f>
        <v/>
      </c>
      <c r="BC81" s="378">
        <f>SUM(F81:Q81)</f>
        <v/>
      </c>
      <c r="BD81" s="378">
        <f>SUM(R81:AC81)</f>
        <v/>
      </c>
      <c r="BE81" s="378">
        <f>SUM(AD81:AO81)</f>
        <v/>
      </c>
      <c r="BF81" s="378">
        <f>SUM(AP81:BA81)</f>
        <v/>
      </c>
    </row>
    <row r="82">
      <c r="B82" s="375" t="inlineStr">
        <is>
          <t>G&amp;A cost already in the roster</t>
        </is>
      </c>
      <c r="C82" s="376" t="inlineStr">
        <is>
          <t>check</t>
        </is>
      </c>
      <c r="F82" s="381">
        <f>Personnel!AG253</f>
        <v/>
      </c>
      <c r="G82" s="381">
        <f>Personnel!AH253</f>
        <v/>
      </c>
      <c r="H82" s="381">
        <f>Personnel!AI253</f>
        <v/>
      </c>
      <c r="I82" s="381">
        <f>Personnel!AJ253</f>
        <v/>
      </c>
      <c r="J82" s="381">
        <f>Personnel!AK253</f>
        <v/>
      </c>
      <c r="K82" s="381">
        <f>Personnel!AL253</f>
        <v/>
      </c>
      <c r="L82" s="381">
        <f>Personnel!AM253</f>
        <v/>
      </c>
      <c r="M82" s="381">
        <f>Personnel!AN253</f>
        <v/>
      </c>
      <c r="N82" s="381">
        <f>Personnel!AO253</f>
        <v/>
      </c>
      <c r="O82" s="381">
        <f>Personnel!AP253</f>
        <v/>
      </c>
      <c r="P82" s="381">
        <f>Personnel!AQ253</f>
        <v/>
      </c>
      <c r="Q82" s="381">
        <f>Personnel!AR253</f>
        <v/>
      </c>
      <c r="R82" s="381">
        <f>Personnel!AS253</f>
        <v/>
      </c>
      <c r="S82" s="381">
        <f>Personnel!AT253</f>
        <v/>
      </c>
      <c r="T82" s="381">
        <f>Personnel!AU253</f>
        <v/>
      </c>
      <c r="U82" s="381">
        <f>Personnel!AV253</f>
        <v/>
      </c>
      <c r="V82" s="381">
        <f>Personnel!AW253</f>
        <v/>
      </c>
      <c r="W82" s="381">
        <f>Personnel!AX253</f>
        <v/>
      </c>
      <c r="X82" s="381">
        <f>Personnel!AY253</f>
        <v/>
      </c>
      <c r="Y82" s="381">
        <f>Personnel!AZ253</f>
        <v/>
      </c>
      <c r="Z82" s="381">
        <f>Personnel!BA253</f>
        <v/>
      </c>
      <c r="AA82" s="381">
        <f>Personnel!BB253</f>
        <v/>
      </c>
      <c r="AB82" s="381">
        <f>Personnel!BC253</f>
        <v/>
      </c>
      <c r="AC82" s="381">
        <f>Personnel!BD253</f>
        <v/>
      </c>
      <c r="AD82" s="381">
        <f>Personnel!BE253</f>
        <v/>
      </c>
      <c r="AE82" s="381">
        <f>Personnel!BF253</f>
        <v/>
      </c>
      <c r="AF82" s="381">
        <f>Personnel!BG253</f>
        <v/>
      </c>
      <c r="AG82" s="381">
        <f>Personnel!BH253</f>
        <v/>
      </c>
      <c r="AH82" s="381">
        <f>Personnel!BI253</f>
        <v/>
      </c>
      <c r="AI82" s="381">
        <f>Personnel!BJ253</f>
        <v/>
      </c>
      <c r="AJ82" s="381">
        <f>Personnel!BK253</f>
        <v/>
      </c>
      <c r="AK82" s="381">
        <f>Personnel!BL253</f>
        <v/>
      </c>
      <c r="AL82" s="381">
        <f>Personnel!BM253</f>
        <v/>
      </c>
      <c r="AM82" s="381">
        <f>Personnel!BN253</f>
        <v/>
      </c>
      <c r="AN82" s="381">
        <f>Personnel!BO253</f>
        <v/>
      </c>
      <c r="AO82" s="381">
        <f>Personnel!BP253</f>
        <v/>
      </c>
      <c r="AP82" s="381">
        <f>Personnel!BP253</f>
        <v/>
      </c>
      <c r="AQ82" s="381">
        <f>Personnel!BP253</f>
        <v/>
      </c>
      <c r="AR82" s="381">
        <f>Personnel!BP253</f>
        <v/>
      </c>
      <c r="AS82" s="381">
        <f>Personnel!BP253</f>
        <v/>
      </c>
      <c r="AT82" s="381">
        <f>Personnel!BP253</f>
        <v/>
      </c>
      <c r="AU82" s="381">
        <f>Personnel!BP253</f>
        <v/>
      </c>
      <c r="AV82" s="381">
        <f>Personnel!BP253</f>
        <v/>
      </c>
      <c r="AW82" s="381">
        <f>Personnel!BP253</f>
        <v/>
      </c>
      <c r="AX82" s="381">
        <f>Personnel!BP253</f>
        <v/>
      </c>
      <c r="AY82" s="381">
        <f>Personnel!BP253</f>
        <v/>
      </c>
      <c r="AZ82" s="381">
        <f>Personnel!BP253</f>
        <v/>
      </c>
      <c r="BA82" s="381">
        <f>Personnel!BP253</f>
        <v/>
      </c>
      <c r="BC82" s="378">
        <f>SUM(F82:Q82)</f>
        <v/>
      </c>
      <c r="BD82" s="378">
        <f>SUM(R82:AC82)</f>
        <v/>
      </c>
      <c r="BE82" s="378">
        <f>SUM(AD82:AO82)</f>
        <v/>
      </c>
      <c r="BF82" s="378">
        <f>SUM(AP82:BA82)</f>
        <v/>
      </c>
    </row>
    <row r="83">
      <c r="B83" s="379" t="inlineStr">
        <is>
          <t>Ops &amp; G&amp;A people — required vs roster (check only)</t>
        </is>
      </c>
      <c r="C83" s="376" t="inlineStr">
        <is>
          <t>check</t>
        </is>
      </c>
      <c r="F83" s="380">
        <f>MAX(0,F81-F82)</f>
        <v/>
      </c>
      <c r="G83" s="380">
        <f>MAX(0,G81-G82)</f>
        <v/>
      </c>
      <c r="H83" s="380">
        <f>MAX(0,H81-H82)</f>
        <v/>
      </c>
      <c r="I83" s="380">
        <f>MAX(0,I81-I82)</f>
        <v/>
      </c>
      <c r="J83" s="380">
        <f>MAX(0,J81-J82)</f>
        <v/>
      </c>
      <c r="K83" s="380">
        <f>MAX(0,K81-K82)</f>
        <v/>
      </c>
      <c r="L83" s="380">
        <f>MAX(0,L81-L82)</f>
        <v/>
      </c>
      <c r="M83" s="380">
        <f>MAX(0,M81-M82)</f>
        <v/>
      </c>
      <c r="N83" s="380">
        <f>MAX(0,N81-N82)</f>
        <v/>
      </c>
      <c r="O83" s="380">
        <f>MAX(0,O81-O82)</f>
        <v/>
      </c>
      <c r="P83" s="380">
        <f>MAX(0,P81-P82)</f>
        <v/>
      </c>
      <c r="Q83" s="380">
        <f>MAX(0,Q81-Q82)</f>
        <v/>
      </c>
      <c r="R83" s="380">
        <f>MAX(0,R81-R82)</f>
        <v/>
      </c>
      <c r="S83" s="380">
        <f>MAX(0,S81-S82)</f>
        <v/>
      </c>
      <c r="T83" s="380">
        <f>MAX(0,T81-T82)</f>
        <v/>
      </c>
      <c r="U83" s="380">
        <f>MAX(0,U81-U82)</f>
        <v/>
      </c>
      <c r="V83" s="380">
        <f>MAX(0,V81-V82)</f>
        <v/>
      </c>
      <c r="W83" s="380">
        <f>MAX(0,W81-W82)</f>
        <v/>
      </c>
      <c r="X83" s="380">
        <f>MAX(0,X81-X82)</f>
        <v/>
      </c>
      <c r="Y83" s="380">
        <f>MAX(0,Y81-Y82)</f>
        <v/>
      </c>
      <c r="Z83" s="380">
        <f>MAX(0,Z81-Z82)</f>
        <v/>
      </c>
      <c r="AA83" s="380">
        <f>MAX(0,AA81-AA82)</f>
        <v/>
      </c>
      <c r="AB83" s="380">
        <f>MAX(0,AB81-AB82)</f>
        <v/>
      </c>
      <c r="AC83" s="380">
        <f>MAX(0,AC81-AC82)</f>
        <v/>
      </c>
      <c r="AD83" s="380">
        <f>MAX(0,AD81-AD82)</f>
        <v/>
      </c>
      <c r="AE83" s="380">
        <f>MAX(0,AE81-AE82)</f>
        <v/>
      </c>
      <c r="AF83" s="380">
        <f>MAX(0,AF81-AF82)</f>
        <v/>
      </c>
      <c r="AG83" s="380">
        <f>MAX(0,AG81-AG82)</f>
        <v/>
      </c>
      <c r="AH83" s="380">
        <f>MAX(0,AH81-AH82)</f>
        <v/>
      </c>
      <c r="AI83" s="380">
        <f>MAX(0,AI81-AI82)</f>
        <v/>
      </c>
      <c r="AJ83" s="380">
        <f>MAX(0,AJ81-AJ82)</f>
        <v/>
      </c>
      <c r="AK83" s="380">
        <f>MAX(0,AK81-AK82)</f>
        <v/>
      </c>
      <c r="AL83" s="380">
        <f>MAX(0,AL81-AL82)</f>
        <v/>
      </c>
      <c r="AM83" s="380">
        <f>MAX(0,AM81-AM82)</f>
        <v/>
      </c>
      <c r="AN83" s="380">
        <f>MAX(0,AN81-AN82)</f>
        <v/>
      </c>
      <c r="AO83" s="380">
        <f>MAX(0,AO81-AO82)</f>
        <v/>
      </c>
      <c r="AP83" s="380">
        <f>MAX(0,AP81-AP82)</f>
        <v/>
      </c>
      <c r="AQ83" s="380">
        <f>MAX(0,AQ81-AQ82)</f>
        <v/>
      </c>
      <c r="AR83" s="380">
        <f>MAX(0,AR81-AR82)</f>
        <v/>
      </c>
      <c r="AS83" s="380">
        <f>MAX(0,AS81-AS82)</f>
        <v/>
      </c>
      <c r="AT83" s="380">
        <f>MAX(0,AT81-AT82)</f>
        <v/>
      </c>
      <c r="AU83" s="380">
        <f>MAX(0,AU81-AU82)</f>
        <v/>
      </c>
      <c r="AV83" s="380">
        <f>MAX(0,AV81-AV82)</f>
        <v/>
      </c>
      <c r="AW83" s="380">
        <f>MAX(0,AW81-AW82)</f>
        <v/>
      </c>
      <c r="AX83" s="380">
        <f>MAX(0,AX81-AX82)</f>
        <v/>
      </c>
      <c r="AY83" s="380">
        <f>MAX(0,AY81-AY82)</f>
        <v/>
      </c>
      <c r="AZ83" s="380">
        <f>MAX(0,AZ81-AZ82)</f>
        <v/>
      </c>
      <c r="BA83" s="380">
        <f>MAX(0,BA81-BA82)</f>
        <v/>
      </c>
      <c r="BC83" s="378">
        <f>SUM(F83:Q83)</f>
        <v/>
      </c>
      <c r="BD83" s="378">
        <f>SUM(R83:AC83)</f>
        <v/>
      </c>
      <c r="BE83" s="378">
        <f>SUM(AD83:AO83)</f>
        <v/>
      </c>
      <c r="BF83" s="378">
        <f>SUM(AP83:BA83)</f>
        <v/>
      </c>
    </row>
    <row r="84">
      <c r="B84" s="375" t="inlineStr">
        <is>
          <t>Facilities, IT &amp; travel</t>
        </is>
      </c>
      <c r="C84" s="376" t="inlineStr">
        <is>
          <t>EUR/mo</t>
        </is>
      </c>
      <c r="F84" s="377">
        <f>F71*(Assumptions!$F$200+Assumptions!$F$201+Assumptions!$F$202)</f>
        <v/>
      </c>
      <c r="G84" s="377">
        <f>G71*(Assumptions!$F$200+Assumptions!$F$201+Assumptions!$F$202)</f>
        <v/>
      </c>
      <c r="H84" s="377">
        <f>H71*(Assumptions!$F$200+Assumptions!$F$201+Assumptions!$F$202)</f>
        <v/>
      </c>
      <c r="I84" s="377">
        <f>I71*(Assumptions!$F$200+Assumptions!$F$201+Assumptions!$F$202)</f>
        <v/>
      </c>
      <c r="J84" s="377">
        <f>J71*(Assumptions!$F$200+Assumptions!$F$201+Assumptions!$F$202)</f>
        <v/>
      </c>
      <c r="K84" s="377">
        <f>K71*(Assumptions!$F$200+Assumptions!$F$201+Assumptions!$F$202)</f>
        <v/>
      </c>
      <c r="L84" s="377">
        <f>L71*(Assumptions!$F$200+Assumptions!$F$201+Assumptions!$F$202)</f>
        <v/>
      </c>
      <c r="M84" s="377">
        <f>M71*(Assumptions!$F$200+Assumptions!$F$201+Assumptions!$F$202)</f>
        <v/>
      </c>
      <c r="N84" s="377">
        <f>N71*(Assumptions!$F$200+Assumptions!$F$201+Assumptions!$F$202)</f>
        <v/>
      </c>
      <c r="O84" s="377">
        <f>O71*(Assumptions!$F$200+Assumptions!$F$201+Assumptions!$F$202)</f>
        <v/>
      </c>
      <c r="P84" s="377">
        <f>P71*(Assumptions!$F$200+Assumptions!$F$201+Assumptions!$F$202)</f>
        <v/>
      </c>
      <c r="Q84" s="377">
        <f>Q71*(Assumptions!$F$200+Assumptions!$F$201+Assumptions!$F$202)</f>
        <v/>
      </c>
      <c r="R84" s="377">
        <f>R71*(Assumptions!$F$200+Assumptions!$F$201+Assumptions!$F$202)</f>
        <v/>
      </c>
      <c r="S84" s="377">
        <f>S71*(Assumptions!$F$200+Assumptions!$F$201+Assumptions!$F$202)</f>
        <v/>
      </c>
      <c r="T84" s="377">
        <f>T71*(Assumptions!$F$200+Assumptions!$F$201+Assumptions!$F$202)</f>
        <v/>
      </c>
      <c r="U84" s="377">
        <f>U71*(Assumptions!$F$200+Assumptions!$F$201+Assumptions!$F$202)</f>
        <v/>
      </c>
      <c r="V84" s="377">
        <f>V71*(Assumptions!$F$200+Assumptions!$F$201+Assumptions!$F$202)</f>
        <v/>
      </c>
      <c r="W84" s="377">
        <f>W71*(Assumptions!$F$200+Assumptions!$F$201+Assumptions!$F$202)</f>
        <v/>
      </c>
      <c r="X84" s="377">
        <f>X71*(Assumptions!$F$200+Assumptions!$F$201+Assumptions!$F$202)</f>
        <v/>
      </c>
      <c r="Y84" s="377">
        <f>Y71*(Assumptions!$F$200+Assumptions!$F$201+Assumptions!$F$202)</f>
        <v/>
      </c>
      <c r="Z84" s="377">
        <f>Z71*(Assumptions!$F$200+Assumptions!$F$201+Assumptions!$F$202)</f>
        <v/>
      </c>
      <c r="AA84" s="377">
        <f>AA71*(Assumptions!$F$200+Assumptions!$F$201+Assumptions!$F$202)</f>
        <v/>
      </c>
      <c r="AB84" s="377">
        <f>AB71*(Assumptions!$F$200+Assumptions!$F$201+Assumptions!$F$202)</f>
        <v/>
      </c>
      <c r="AC84" s="377">
        <f>AC71*(Assumptions!$F$200+Assumptions!$F$201+Assumptions!$F$202)</f>
        <v/>
      </c>
      <c r="AD84" s="377">
        <f>AD71*(Assumptions!$F$200+Assumptions!$F$201+Assumptions!$F$202)</f>
        <v/>
      </c>
      <c r="AE84" s="377">
        <f>AE71*(Assumptions!$F$200+Assumptions!$F$201+Assumptions!$F$202)</f>
        <v/>
      </c>
      <c r="AF84" s="377">
        <f>AF71*(Assumptions!$F$200+Assumptions!$F$201+Assumptions!$F$202)</f>
        <v/>
      </c>
      <c r="AG84" s="377">
        <f>AG71*(Assumptions!$F$200+Assumptions!$F$201+Assumptions!$F$202)</f>
        <v/>
      </c>
      <c r="AH84" s="377">
        <f>AH71*(Assumptions!$F$200+Assumptions!$F$201+Assumptions!$F$202)</f>
        <v/>
      </c>
      <c r="AI84" s="377">
        <f>AI71*(Assumptions!$F$200+Assumptions!$F$201+Assumptions!$F$202)</f>
        <v/>
      </c>
      <c r="AJ84" s="377">
        <f>AJ71*(Assumptions!$F$200+Assumptions!$F$201+Assumptions!$F$202)</f>
        <v/>
      </c>
      <c r="AK84" s="377">
        <f>AK71*(Assumptions!$F$200+Assumptions!$F$201+Assumptions!$F$202)</f>
        <v/>
      </c>
      <c r="AL84" s="377">
        <f>AL71*(Assumptions!$F$200+Assumptions!$F$201+Assumptions!$F$202)</f>
        <v/>
      </c>
      <c r="AM84" s="377">
        <f>AM71*(Assumptions!$F$200+Assumptions!$F$201+Assumptions!$F$202)</f>
        <v/>
      </c>
      <c r="AN84" s="377">
        <f>AN71*(Assumptions!$F$200+Assumptions!$F$201+Assumptions!$F$202)</f>
        <v/>
      </c>
      <c r="AO84" s="377">
        <f>AO71*(Assumptions!$F$200+Assumptions!$F$201+Assumptions!$F$202)</f>
        <v/>
      </c>
      <c r="AP84" s="377">
        <f>AP71*(Assumptions!$F$200+Assumptions!$F$201+Assumptions!$F$202)</f>
        <v/>
      </c>
      <c r="AQ84" s="377">
        <f>AQ71*(Assumptions!$F$200+Assumptions!$F$201+Assumptions!$F$202)</f>
        <v/>
      </c>
      <c r="AR84" s="377">
        <f>AR71*(Assumptions!$F$200+Assumptions!$F$201+Assumptions!$F$202)</f>
        <v/>
      </c>
      <c r="AS84" s="377">
        <f>AS71*(Assumptions!$F$200+Assumptions!$F$201+Assumptions!$F$202)</f>
        <v/>
      </c>
      <c r="AT84" s="377">
        <f>AT71*(Assumptions!$F$200+Assumptions!$F$201+Assumptions!$F$202)</f>
        <v/>
      </c>
      <c r="AU84" s="377">
        <f>AU71*(Assumptions!$F$200+Assumptions!$F$201+Assumptions!$F$202)</f>
        <v/>
      </c>
      <c r="AV84" s="377">
        <f>AV71*(Assumptions!$F$200+Assumptions!$F$201+Assumptions!$F$202)</f>
        <v/>
      </c>
      <c r="AW84" s="377">
        <f>AW71*(Assumptions!$F$200+Assumptions!$F$201+Assumptions!$F$202)</f>
        <v/>
      </c>
      <c r="AX84" s="377">
        <f>AX71*(Assumptions!$F$200+Assumptions!$F$201+Assumptions!$F$202)</f>
        <v/>
      </c>
      <c r="AY84" s="377">
        <f>AY71*(Assumptions!$F$200+Assumptions!$F$201+Assumptions!$F$202)</f>
        <v/>
      </c>
      <c r="AZ84" s="377">
        <f>AZ71*(Assumptions!$F$200+Assumptions!$F$201+Assumptions!$F$202)</f>
        <v/>
      </c>
      <c r="BA84" s="377">
        <f>BA71*(Assumptions!$F$200+Assumptions!$F$201+Assumptions!$F$202)</f>
        <v/>
      </c>
      <c r="BC84" s="378">
        <f>SUM(F84:Q84)</f>
        <v/>
      </c>
      <c r="BD84" s="378">
        <f>SUM(R84:AC84)</f>
        <v/>
      </c>
      <c r="BE84" s="378">
        <f>SUM(AD84:AO84)</f>
        <v/>
      </c>
      <c r="BF84" s="378">
        <f>SUM(AP84:BA84)</f>
        <v/>
      </c>
    </row>
    <row r="85">
      <c r="B85" s="375" t="inlineStr">
        <is>
          <t>Recruitment</t>
        </is>
      </c>
      <c r="C85" s="376" t="inlineStr">
        <is>
          <t>EUR/mo</t>
        </is>
      </c>
      <c r="F85" s="377">
        <f>0</f>
        <v/>
      </c>
      <c r="G85" s="377">
        <f>MAX(0,G71-F71)*Assumptions!$F$203</f>
        <v/>
      </c>
      <c r="H85" s="377">
        <f>MAX(0,H71-G71)*Assumptions!$F$203</f>
        <v/>
      </c>
      <c r="I85" s="377">
        <f>MAX(0,I71-H71)*Assumptions!$F$203</f>
        <v/>
      </c>
      <c r="J85" s="377">
        <f>MAX(0,J71-I71)*Assumptions!$F$203</f>
        <v/>
      </c>
      <c r="K85" s="377">
        <f>MAX(0,K71-J71)*Assumptions!$F$203</f>
        <v/>
      </c>
      <c r="L85" s="377">
        <f>MAX(0,L71-K71)*Assumptions!$F$203</f>
        <v/>
      </c>
      <c r="M85" s="377">
        <f>MAX(0,M71-L71)*Assumptions!$F$203</f>
        <v/>
      </c>
      <c r="N85" s="377">
        <f>MAX(0,N71-M71)*Assumptions!$F$203</f>
        <v/>
      </c>
      <c r="O85" s="377">
        <f>MAX(0,O71-N71)*Assumptions!$F$203</f>
        <v/>
      </c>
      <c r="P85" s="377">
        <f>MAX(0,P71-O71)*Assumptions!$F$203</f>
        <v/>
      </c>
      <c r="Q85" s="377">
        <f>MAX(0,Q71-P71)*Assumptions!$F$203</f>
        <v/>
      </c>
      <c r="R85" s="377">
        <f>MAX(0,R71-Q71)*Assumptions!$F$203</f>
        <v/>
      </c>
      <c r="S85" s="377">
        <f>MAX(0,S71-R71)*Assumptions!$F$203</f>
        <v/>
      </c>
      <c r="T85" s="377">
        <f>MAX(0,T71-S71)*Assumptions!$F$203</f>
        <v/>
      </c>
      <c r="U85" s="377">
        <f>MAX(0,U71-T71)*Assumptions!$F$203</f>
        <v/>
      </c>
      <c r="V85" s="377">
        <f>MAX(0,V71-U71)*Assumptions!$F$203</f>
        <v/>
      </c>
      <c r="W85" s="377">
        <f>MAX(0,W71-V71)*Assumptions!$F$203</f>
        <v/>
      </c>
      <c r="X85" s="377">
        <f>MAX(0,X71-W71)*Assumptions!$F$203</f>
        <v/>
      </c>
      <c r="Y85" s="377">
        <f>MAX(0,Y71-X71)*Assumptions!$F$203</f>
        <v/>
      </c>
      <c r="Z85" s="377">
        <f>MAX(0,Z71-Y71)*Assumptions!$F$203</f>
        <v/>
      </c>
      <c r="AA85" s="377">
        <f>MAX(0,AA71-Z71)*Assumptions!$F$203</f>
        <v/>
      </c>
      <c r="AB85" s="377">
        <f>MAX(0,AB71-AA71)*Assumptions!$F$203</f>
        <v/>
      </c>
      <c r="AC85" s="377">
        <f>MAX(0,AC71-AB71)*Assumptions!$F$203</f>
        <v/>
      </c>
      <c r="AD85" s="377">
        <f>MAX(0,AD71-AC71)*Assumptions!$F$203</f>
        <v/>
      </c>
      <c r="AE85" s="377">
        <f>MAX(0,AE71-AD71)*Assumptions!$F$203</f>
        <v/>
      </c>
      <c r="AF85" s="377">
        <f>MAX(0,AF71-AE71)*Assumptions!$F$203</f>
        <v/>
      </c>
      <c r="AG85" s="377">
        <f>MAX(0,AG71-AF71)*Assumptions!$F$203</f>
        <v/>
      </c>
      <c r="AH85" s="377">
        <f>MAX(0,AH71-AG71)*Assumptions!$F$203</f>
        <v/>
      </c>
      <c r="AI85" s="377">
        <f>MAX(0,AI71-AH71)*Assumptions!$F$203</f>
        <v/>
      </c>
      <c r="AJ85" s="377">
        <f>MAX(0,AJ71-AI71)*Assumptions!$F$203</f>
        <v/>
      </c>
      <c r="AK85" s="377">
        <f>MAX(0,AK71-AJ71)*Assumptions!$F$203</f>
        <v/>
      </c>
      <c r="AL85" s="377">
        <f>MAX(0,AL71-AK71)*Assumptions!$F$203</f>
        <v/>
      </c>
      <c r="AM85" s="377">
        <f>MAX(0,AM71-AL71)*Assumptions!$F$203</f>
        <v/>
      </c>
      <c r="AN85" s="377">
        <f>MAX(0,AN71-AM71)*Assumptions!$F$203</f>
        <v/>
      </c>
      <c r="AO85" s="377">
        <f>MAX(0,AO71-AN71)*Assumptions!$F$203</f>
        <v/>
      </c>
      <c r="AP85" s="377">
        <f>MAX(0,AP71-AO71)*Assumptions!$F$203</f>
        <v/>
      </c>
      <c r="AQ85" s="377">
        <f>MAX(0,AQ71-AP71)*Assumptions!$F$203</f>
        <v/>
      </c>
      <c r="AR85" s="377">
        <f>MAX(0,AR71-AQ71)*Assumptions!$F$203</f>
        <v/>
      </c>
      <c r="AS85" s="377">
        <f>MAX(0,AS71-AR71)*Assumptions!$F$203</f>
        <v/>
      </c>
      <c r="AT85" s="377">
        <f>MAX(0,AT71-AS71)*Assumptions!$F$203</f>
        <v/>
      </c>
      <c r="AU85" s="377">
        <f>MAX(0,AU71-AT71)*Assumptions!$F$203</f>
        <v/>
      </c>
      <c r="AV85" s="377">
        <f>MAX(0,AV71-AU71)*Assumptions!$F$203</f>
        <v/>
      </c>
      <c r="AW85" s="377">
        <f>MAX(0,AW71-AV71)*Assumptions!$F$203</f>
        <v/>
      </c>
      <c r="AX85" s="377">
        <f>MAX(0,AX71-AW71)*Assumptions!$F$203</f>
        <v/>
      </c>
      <c r="AY85" s="377">
        <f>MAX(0,AY71-AX71)*Assumptions!$F$203</f>
        <v/>
      </c>
      <c r="AZ85" s="377">
        <f>MAX(0,AZ71-AY71)*Assumptions!$F$203</f>
        <v/>
      </c>
      <c r="BA85" s="377">
        <f>MAX(0,BA71-AZ71)*Assumptions!$F$203</f>
        <v/>
      </c>
      <c r="BC85" s="378">
        <f>SUM(F85:Q85)</f>
        <v/>
      </c>
      <c r="BD85" s="378">
        <f>SUM(R85:AC85)</f>
        <v/>
      </c>
      <c r="BE85" s="378">
        <f>SUM(AD85:AO85)</f>
        <v/>
      </c>
      <c r="BF85" s="378">
        <f>SUM(AP85:BA85)</f>
        <v/>
      </c>
    </row>
    <row r="86">
      <c r="B86" s="375" t="inlineStr">
        <is>
          <t>Installer training &amp; demo units</t>
        </is>
      </c>
      <c r="C86" s="376" t="inlineStr">
        <is>
          <t>EUR/mo</t>
        </is>
      </c>
      <c r="F86" s="377">
        <f>F28*Assumptions!$F$204</f>
        <v/>
      </c>
      <c r="G86" s="377">
        <f>G28*Assumptions!$F$204</f>
        <v/>
      </c>
      <c r="H86" s="377">
        <f>H28*Assumptions!$F$204</f>
        <v/>
      </c>
      <c r="I86" s="377">
        <f>I28*Assumptions!$F$204</f>
        <v/>
      </c>
      <c r="J86" s="377">
        <f>J28*Assumptions!$F$204</f>
        <v/>
      </c>
      <c r="K86" s="377">
        <f>K28*Assumptions!$F$204</f>
        <v/>
      </c>
      <c r="L86" s="377">
        <f>L28*Assumptions!$F$204</f>
        <v/>
      </c>
      <c r="M86" s="377">
        <f>M28*Assumptions!$F$204</f>
        <v/>
      </c>
      <c r="N86" s="377">
        <f>N28*Assumptions!$F$204</f>
        <v/>
      </c>
      <c r="O86" s="377">
        <f>O28*Assumptions!$F$204</f>
        <v/>
      </c>
      <c r="P86" s="377">
        <f>P28*Assumptions!$F$204</f>
        <v/>
      </c>
      <c r="Q86" s="377">
        <f>Q28*Assumptions!$F$204</f>
        <v/>
      </c>
      <c r="R86" s="377">
        <f>R28*Assumptions!$F$204</f>
        <v/>
      </c>
      <c r="S86" s="377">
        <f>S28*Assumptions!$F$204</f>
        <v/>
      </c>
      <c r="T86" s="377">
        <f>T28*Assumptions!$F$204</f>
        <v/>
      </c>
      <c r="U86" s="377">
        <f>U28*Assumptions!$F$204</f>
        <v/>
      </c>
      <c r="V86" s="377">
        <f>V28*Assumptions!$F$204</f>
        <v/>
      </c>
      <c r="W86" s="377">
        <f>W28*Assumptions!$F$204</f>
        <v/>
      </c>
      <c r="X86" s="377">
        <f>X28*Assumptions!$F$204</f>
        <v/>
      </c>
      <c r="Y86" s="377">
        <f>Y28*Assumptions!$F$204</f>
        <v/>
      </c>
      <c r="Z86" s="377">
        <f>Z28*Assumptions!$F$204</f>
        <v/>
      </c>
      <c r="AA86" s="377">
        <f>AA28*Assumptions!$F$204</f>
        <v/>
      </c>
      <c r="AB86" s="377">
        <f>AB28*Assumptions!$F$204</f>
        <v/>
      </c>
      <c r="AC86" s="377">
        <f>AC28*Assumptions!$F$204</f>
        <v/>
      </c>
      <c r="AD86" s="377">
        <f>AD28*Assumptions!$F$204</f>
        <v/>
      </c>
      <c r="AE86" s="377">
        <f>AE28*Assumptions!$F$204</f>
        <v/>
      </c>
      <c r="AF86" s="377">
        <f>AF28*Assumptions!$F$204</f>
        <v/>
      </c>
      <c r="AG86" s="377">
        <f>AG28*Assumptions!$F$204</f>
        <v/>
      </c>
      <c r="AH86" s="377">
        <f>AH28*Assumptions!$F$204</f>
        <v/>
      </c>
      <c r="AI86" s="377">
        <f>AI28*Assumptions!$F$204</f>
        <v/>
      </c>
      <c r="AJ86" s="377">
        <f>AJ28*Assumptions!$F$204</f>
        <v/>
      </c>
      <c r="AK86" s="377">
        <f>AK28*Assumptions!$F$204</f>
        <v/>
      </c>
      <c r="AL86" s="377">
        <f>AL28*Assumptions!$F$204</f>
        <v/>
      </c>
      <c r="AM86" s="377">
        <f>AM28*Assumptions!$F$204</f>
        <v/>
      </c>
      <c r="AN86" s="377">
        <f>AN28*Assumptions!$F$204</f>
        <v/>
      </c>
      <c r="AO86" s="377">
        <f>AO28*Assumptions!$F$204</f>
        <v/>
      </c>
      <c r="AP86" s="377">
        <f>AP28*Assumptions!$F$204</f>
        <v/>
      </c>
      <c r="AQ86" s="377">
        <f>AQ28*Assumptions!$F$204</f>
        <v/>
      </c>
      <c r="AR86" s="377">
        <f>AR28*Assumptions!$F$204</f>
        <v/>
      </c>
      <c r="AS86" s="377">
        <f>AS28*Assumptions!$F$204</f>
        <v/>
      </c>
      <c r="AT86" s="377">
        <f>AT28*Assumptions!$F$204</f>
        <v/>
      </c>
      <c r="AU86" s="377">
        <f>AU28*Assumptions!$F$204</f>
        <v/>
      </c>
      <c r="AV86" s="377">
        <f>AV28*Assumptions!$F$204</f>
        <v/>
      </c>
      <c r="AW86" s="377">
        <f>AW28*Assumptions!$F$204</f>
        <v/>
      </c>
      <c r="AX86" s="377">
        <f>AX28*Assumptions!$F$204</f>
        <v/>
      </c>
      <c r="AY86" s="377">
        <f>AY28*Assumptions!$F$204</f>
        <v/>
      </c>
      <c r="AZ86" s="377">
        <f>AZ28*Assumptions!$F$204</f>
        <v/>
      </c>
      <c r="BA86" s="377">
        <f>BA28*Assumptions!$F$204</f>
        <v/>
      </c>
      <c r="BC86" s="378">
        <f>SUM(F86:Q86)</f>
        <v/>
      </c>
      <c r="BD86" s="378">
        <f>SUM(R86:AC86)</f>
        <v/>
      </c>
      <c r="BE86" s="378">
        <f>SUM(AD86:AO86)</f>
        <v/>
      </c>
      <c r="BF86" s="378">
        <f>SUM(AP86:BA86)</f>
        <v/>
      </c>
    </row>
    <row r="87">
      <c r="B87" s="375" t="inlineStr">
        <is>
          <t>In-house line facility &amp; maintenance</t>
        </is>
      </c>
      <c r="C87" s="376" t="inlineStr">
        <is>
          <t>EUR/mo</t>
        </is>
      </c>
      <c r="F87" s="377">
        <f>F38*Assumptions!$F$179</f>
        <v/>
      </c>
      <c r="G87" s="377">
        <f>G38*Assumptions!$F$179</f>
        <v/>
      </c>
      <c r="H87" s="377">
        <f>H38*Assumptions!$F$179</f>
        <v/>
      </c>
      <c r="I87" s="377">
        <f>I38*Assumptions!$F$179</f>
        <v/>
      </c>
      <c r="J87" s="377">
        <f>J38*Assumptions!$F$179</f>
        <v/>
      </c>
      <c r="K87" s="377">
        <f>K38*Assumptions!$F$179</f>
        <v/>
      </c>
      <c r="L87" s="377">
        <f>L38*Assumptions!$F$179</f>
        <v/>
      </c>
      <c r="M87" s="377">
        <f>M38*Assumptions!$F$179</f>
        <v/>
      </c>
      <c r="N87" s="377">
        <f>N38*Assumptions!$F$179</f>
        <v/>
      </c>
      <c r="O87" s="377">
        <f>O38*Assumptions!$F$179</f>
        <v/>
      </c>
      <c r="P87" s="377">
        <f>P38*Assumptions!$F$179</f>
        <v/>
      </c>
      <c r="Q87" s="377">
        <f>Q38*Assumptions!$F$179</f>
        <v/>
      </c>
      <c r="R87" s="377">
        <f>R38*Assumptions!$F$179</f>
        <v/>
      </c>
      <c r="S87" s="377">
        <f>S38*Assumptions!$F$179</f>
        <v/>
      </c>
      <c r="T87" s="377">
        <f>T38*Assumptions!$F$179</f>
        <v/>
      </c>
      <c r="U87" s="377">
        <f>U38*Assumptions!$F$179</f>
        <v/>
      </c>
      <c r="V87" s="377">
        <f>V38*Assumptions!$F$179</f>
        <v/>
      </c>
      <c r="W87" s="377">
        <f>W38*Assumptions!$F$179</f>
        <v/>
      </c>
      <c r="X87" s="377">
        <f>X38*Assumptions!$F$179</f>
        <v/>
      </c>
      <c r="Y87" s="377">
        <f>Y38*Assumptions!$F$179</f>
        <v/>
      </c>
      <c r="Z87" s="377">
        <f>Z38*Assumptions!$F$179</f>
        <v/>
      </c>
      <c r="AA87" s="377">
        <f>AA38*Assumptions!$F$179</f>
        <v/>
      </c>
      <c r="AB87" s="377">
        <f>AB38*Assumptions!$F$179</f>
        <v/>
      </c>
      <c r="AC87" s="377">
        <f>AC38*Assumptions!$F$179</f>
        <v/>
      </c>
      <c r="AD87" s="377">
        <f>AD38*Assumptions!$F$179</f>
        <v/>
      </c>
      <c r="AE87" s="377">
        <f>AE38*Assumptions!$F$179</f>
        <v/>
      </c>
      <c r="AF87" s="377">
        <f>AF38*Assumptions!$F$179</f>
        <v/>
      </c>
      <c r="AG87" s="377">
        <f>AG38*Assumptions!$F$179</f>
        <v/>
      </c>
      <c r="AH87" s="377">
        <f>AH38*Assumptions!$F$179</f>
        <v/>
      </c>
      <c r="AI87" s="377">
        <f>AI38*Assumptions!$F$179</f>
        <v/>
      </c>
      <c r="AJ87" s="377">
        <f>AJ38*Assumptions!$F$179</f>
        <v/>
      </c>
      <c r="AK87" s="377">
        <f>AK38*Assumptions!$F$179</f>
        <v/>
      </c>
      <c r="AL87" s="377">
        <f>AL38*Assumptions!$F$179</f>
        <v/>
      </c>
      <c r="AM87" s="377">
        <f>AM38*Assumptions!$F$179</f>
        <v/>
      </c>
      <c r="AN87" s="377">
        <f>AN38*Assumptions!$F$179</f>
        <v/>
      </c>
      <c r="AO87" s="377">
        <f>AO38*Assumptions!$F$179</f>
        <v/>
      </c>
      <c r="AP87" s="377">
        <f>AP38*Assumptions!$F$179</f>
        <v/>
      </c>
      <c r="AQ87" s="377">
        <f>AQ38*Assumptions!$F$179</f>
        <v/>
      </c>
      <c r="AR87" s="377">
        <f>AR38*Assumptions!$F$179</f>
        <v/>
      </c>
      <c r="AS87" s="377">
        <f>AS38*Assumptions!$F$179</f>
        <v/>
      </c>
      <c r="AT87" s="377">
        <f>AT38*Assumptions!$F$179</f>
        <v/>
      </c>
      <c r="AU87" s="377">
        <f>AU38*Assumptions!$F$179</f>
        <v/>
      </c>
      <c r="AV87" s="377">
        <f>AV38*Assumptions!$F$179</f>
        <v/>
      </c>
      <c r="AW87" s="377">
        <f>AW38*Assumptions!$F$179</f>
        <v/>
      </c>
      <c r="AX87" s="377">
        <f>AX38*Assumptions!$F$179</f>
        <v/>
      </c>
      <c r="AY87" s="377">
        <f>AY38*Assumptions!$F$179</f>
        <v/>
      </c>
      <c r="AZ87" s="377">
        <f>AZ38*Assumptions!$F$179</f>
        <v/>
      </c>
      <c r="BA87" s="377">
        <f>BA38*Assumptions!$F$179</f>
        <v/>
      </c>
      <c r="BC87" s="378">
        <f>SUM(F87:Q87)</f>
        <v/>
      </c>
      <c r="BD87" s="378">
        <f>SUM(R87:AC87)</f>
        <v/>
      </c>
      <c r="BE87" s="378">
        <f>SUM(AD87:AO87)</f>
        <v/>
      </c>
      <c r="BF87" s="378">
        <f>SUM(AP87:BA87)</f>
        <v/>
      </c>
    </row>
    <row r="88">
      <c r="B88" s="375" t="inlineStr">
        <is>
          <t>Entering a new country</t>
        </is>
      </c>
      <c r="C88" s="376" t="inlineStr">
        <is>
          <t>EUR/mo</t>
        </is>
      </c>
      <c r="F88" s="377">
        <f>IF(AND(YEAR(F$5)=Assumptions!$F$137,MONTH(F$5)=1),Assumptions!$F$206*2,0)</f>
        <v/>
      </c>
      <c r="G88" s="377">
        <f>IF(AND(YEAR(G$5)=Assumptions!$F$137,MONTH(G$5)=1),Assumptions!$F$206*2,0)</f>
        <v/>
      </c>
      <c r="H88" s="377">
        <f>IF(AND(YEAR(H$5)=Assumptions!$F$137,MONTH(H$5)=1),Assumptions!$F$206*2,0)</f>
        <v/>
      </c>
      <c r="I88" s="377">
        <f>IF(AND(YEAR(I$5)=Assumptions!$F$137,MONTH(I$5)=1),Assumptions!$F$206*2,0)</f>
        <v/>
      </c>
      <c r="J88" s="377">
        <f>IF(AND(YEAR(J$5)=Assumptions!$F$137,MONTH(J$5)=1),Assumptions!$F$206*2,0)</f>
        <v/>
      </c>
      <c r="K88" s="377">
        <f>IF(AND(YEAR(K$5)=Assumptions!$F$137,MONTH(K$5)=1),Assumptions!$F$206*2,0)</f>
        <v/>
      </c>
      <c r="L88" s="377">
        <f>IF(AND(YEAR(L$5)=Assumptions!$F$137,MONTH(L$5)=1),Assumptions!$F$206*2,0)</f>
        <v/>
      </c>
      <c r="M88" s="377">
        <f>IF(AND(YEAR(M$5)=Assumptions!$F$137,MONTH(M$5)=1),Assumptions!$F$206*2,0)</f>
        <v/>
      </c>
      <c r="N88" s="377">
        <f>IF(AND(YEAR(N$5)=Assumptions!$F$137,MONTH(N$5)=1),Assumptions!$F$206*2,0)</f>
        <v/>
      </c>
      <c r="O88" s="377">
        <f>IF(AND(YEAR(O$5)=Assumptions!$F$137,MONTH(O$5)=1),Assumptions!$F$206*2,0)</f>
        <v/>
      </c>
      <c r="P88" s="377">
        <f>IF(AND(YEAR(P$5)=Assumptions!$F$137,MONTH(P$5)=1),Assumptions!$F$206*2,0)</f>
        <v/>
      </c>
      <c r="Q88" s="377">
        <f>IF(AND(YEAR(Q$5)=Assumptions!$F$137,MONTH(Q$5)=1),Assumptions!$F$206*2,0)</f>
        <v/>
      </c>
      <c r="R88" s="377">
        <f>IF(AND(YEAR(R$5)=Assumptions!$F$137,MONTH(R$5)=1),Assumptions!$F$206*2,0)</f>
        <v/>
      </c>
      <c r="S88" s="377">
        <f>IF(AND(YEAR(S$5)=Assumptions!$F$137,MONTH(S$5)=1),Assumptions!$F$206*2,0)</f>
        <v/>
      </c>
      <c r="T88" s="377">
        <f>IF(AND(YEAR(T$5)=Assumptions!$F$137,MONTH(T$5)=1),Assumptions!$F$206*2,0)</f>
        <v/>
      </c>
      <c r="U88" s="377">
        <f>IF(AND(YEAR(U$5)=Assumptions!$F$137,MONTH(U$5)=1),Assumptions!$F$206*2,0)</f>
        <v/>
      </c>
      <c r="V88" s="377">
        <f>IF(AND(YEAR(V$5)=Assumptions!$F$137,MONTH(V$5)=1),Assumptions!$F$206*2,0)</f>
        <v/>
      </c>
      <c r="W88" s="377">
        <f>IF(AND(YEAR(W$5)=Assumptions!$F$137,MONTH(W$5)=1),Assumptions!$F$206*2,0)</f>
        <v/>
      </c>
      <c r="X88" s="377">
        <f>IF(AND(YEAR(X$5)=Assumptions!$F$137,MONTH(X$5)=1),Assumptions!$F$206*2,0)</f>
        <v/>
      </c>
      <c r="Y88" s="377">
        <f>IF(AND(YEAR(Y$5)=Assumptions!$F$137,MONTH(Y$5)=1),Assumptions!$F$206*2,0)</f>
        <v/>
      </c>
      <c r="Z88" s="377">
        <f>IF(AND(YEAR(Z$5)=Assumptions!$F$137,MONTH(Z$5)=1),Assumptions!$F$206*2,0)</f>
        <v/>
      </c>
      <c r="AA88" s="377">
        <f>IF(AND(YEAR(AA$5)=Assumptions!$F$137,MONTH(AA$5)=1),Assumptions!$F$206*2,0)</f>
        <v/>
      </c>
      <c r="AB88" s="377">
        <f>IF(AND(YEAR(AB$5)=Assumptions!$F$137,MONTH(AB$5)=1),Assumptions!$F$206*2,0)</f>
        <v/>
      </c>
      <c r="AC88" s="377">
        <f>IF(AND(YEAR(AC$5)=Assumptions!$F$137,MONTH(AC$5)=1),Assumptions!$F$206*2,0)</f>
        <v/>
      </c>
      <c r="AD88" s="377">
        <f>IF(AND(YEAR(AD$5)=Assumptions!$F$137,MONTH(AD$5)=1),Assumptions!$F$206*2,0)</f>
        <v/>
      </c>
      <c r="AE88" s="377">
        <f>IF(AND(YEAR(AE$5)=Assumptions!$F$137,MONTH(AE$5)=1),Assumptions!$F$206*2,0)</f>
        <v/>
      </c>
      <c r="AF88" s="377">
        <f>IF(AND(YEAR(AF$5)=Assumptions!$F$137,MONTH(AF$5)=1),Assumptions!$F$206*2,0)</f>
        <v/>
      </c>
      <c r="AG88" s="377">
        <f>IF(AND(YEAR(AG$5)=Assumptions!$F$137,MONTH(AG$5)=1),Assumptions!$F$206*2,0)</f>
        <v/>
      </c>
      <c r="AH88" s="377">
        <f>IF(AND(YEAR(AH$5)=Assumptions!$F$137,MONTH(AH$5)=1),Assumptions!$F$206*2,0)</f>
        <v/>
      </c>
      <c r="AI88" s="377">
        <f>IF(AND(YEAR(AI$5)=Assumptions!$F$137,MONTH(AI$5)=1),Assumptions!$F$206*2,0)</f>
        <v/>
      </c>
      <c r="AJ88" s="377">
        <f>IF(AND(YEAR(AJ$5)=Assumptions!$F$137,MONTH(AJ$5)=1),Assumptions!$F$206*2,0)</f>
        <v/>
      </c>
      <c r="AK88" s="377">
        <f>IF(AND(YEAR(AK$5)=Assumptions!$F$137,MONTH(AK$5)=1),Assumptions!$F$206*2,0)</f>
        <v/>
      </c>
      <c r="AL88" s="377">
        <f>IF(AND(YEAR(AL$5)=Assumptions!$F$137,MONTH(AL$5)=1),Assumptions!$F$206*2,0)</f>
        <v/>
      </c>
      <c r="AM88" s="377">
        <f>IF(AND(YEAR(AM$5)=Assumptions!$F$137,MONTH(AM$5)=1),Assumptions!$F$206*2,0)</f>
        <v/>
      </c>
      <c r="AN88" s="377">
        <f>IF(AND(YEAR(AN$5)=Assumptions!$F$137,MONTH(AN$5)=1),Assumptions!$F$206*2,0)</f>
        <v/>
      </c>
      <c r="AO88" s="377">
        <f>IF(AND(YEAR(AO$5)=Assumptions!$F$137,MONTH(AO$5)=1),Assumptions!$F$206*2,0)</f>
        <v/>
      </c>
      <c r="AP88" s="377">
        <f>IF(AND(YEAR(AP$5)=Assumptions!$F$137,MONTH(AP$5)=1),Assumptions!$F$206*2,0)</f>
        <v/>
      </c>
      <c r="AQ88" s="377">
        <f>IF(AND(YEAR(AQ$5)=Assumptions!$F$137,MONTH(AQ$5)=1),Assumptions!$F$206*2,0)</f>
        <v/>
      </c>
      <c r="AR88" s="377">
        <f>IF(AND(YEAR(AR$5)=Assumptions!$F$137,MONTH(AR$5)=1),Assumptions!$F$206*2,0)</f>
        <v/>
      </c>
      <c r="AS88" s="377">
        <f>IF(AND(YEAR(AS$5)=Assumptions!$F$137,MONTH(AS$5)=1),Assumptions!$F$206*2,0)</f>
        <v/>
      </c>
      <c r="AT88" s="377">
        <f>IF(AND(YEAR(AT$5)=Assumptions!$F$137,MONTH(AT$5)=1),Assumptions!$F$206*2,0)</f>
        <v/>
      </c>
      <c r="AU88" s="377">
        <f>IF(AND(YEAR(AU$5)=Assumptions!$F$137,MONTH(AU$5)=1),Assumptions!$F$206*2,0)</f>
        <v/>
      </c>
      <c r="AV88" s="377">
        <f>IF(AND(YEAR(AV$5)=Assumptions!$F$137,MONTH(AV$5)=1),Assumptions!$F$206*2,0)</f>
        <v/>
      </c>
      <c r="AW88" s="377">
        <f>IF(AND(YEAR(AW$5)=Assumptions!$F$137,MONTH(AW$5)=1),Assumptions!$F$206*2,0)</f>
        <v/>
      </c>
      <c r="AX88" s="377">
        <f>IF(AND(YEAR(AX$5)=Assumptions!$F$137,MONTH(AX$5)=1),Assumptions!$F$206*2,0)</f>
        <v/>
      </c>
      <c r="AY88" s="377">
        <f>IF(AND(YEAR(AY$5)=Assumptions!$F$137,MONTH(AY$5)=1),Assumptions!$F$206*2,0)</f>
        <v/>
      </c>
      <c r="AZ88" s="377">
        <f>IF(AND(YEAR(AZ$5)=Assumptions!$F$137,MONTH(AZ$5)=1),Assumptions!$F$206*2,0)</f>
        <v/>
      </c>
      <c r="BA88" s="377">
        <f>IF(AND(YEAR(BA$5)=Assumptions!$F$137,MONTH(BA$5)=1),Assumptions!$F$206*2,0)</f>
        <v/>
      </c>
      <c r="BC88" s="378">
        <f>SUM(F88:Q88)</f>
        <v/>
      </c>
      <c r="BD88" s="378">
        <f>SUM(R88:AC88)</f>
        <v/>
      </c>
      <c r="BE88" s="378">
        <f>SUM(AD88:AO88)</f>
        <v/>
      </c>
      <c r="BF88" s="378">
        <f>SUM(AP88:BA88)</f>
        <v/>
      </c>
    </row>
    <row r="89">
      <c r="B89" s="375" t="inlineStr">
        <is>
          <t>R&amp;D engineers — now hired in the Personnel tab (check only)</t>
        </is>
      </c>
      <c r="C89" s="376" t="inlineStr">
        <is>
          <t>EUR/mo</t>
        </is>
      </c>
      <c r="F89" s="377">
        <f>(IF(YEAR(F$5)=2027,Assumptions!$F$208,IF(YEAR(F$5)=2028,Assumptions!$F$209,IF(YEAR(F$5)=2029,Assumptions!$F$210,Assumptions!$F$211))))*Assumptions!$F$207</f>
        <v/>
      </c>
      <c r="G89" s="377">
        <f>(IF(YEAR(G$5)=2027,Assumptions!$F$208,IF(YEAR(G$5)=2028,Assumptions!$F$209,IF(YEAR(G$5)=2029,Assumptions!$F$210,Assumptions!$F$211))))*Assumptions!$F$207</f>
        <v/>
      </c>
      <c r="H89" s="377">
        <f>(IF(YEAR(H$5)=2027,Assumptions!$F$208,IF(YEAR(H$5)=2028,Assumptions!$F$209,IF(YEAR(H$5)=2029,Assumptions!$F$210,Assumptions!$F$211))))*Assumptions!$F$207</f>
        <v/>
      </c>
      <c r="I89" s="377">
        <f>(IF(YEAR(I$5)=2027,Assumptions!$F$208,IF(YEAR(I$5)=2028,Assumptions!$F$209,IF(YEAR(I$5)=2029,Assumptions!$F$210,Assumptions!$F$211))))*Assumptions!$F$207</f>
        <v/>
      </c>
      <c r="J89" s="377">
        <f>(IF(YEAR(J$5)=2027,Assumptions!$F$208,IF(YEAR(J$5)=2028,Assumptions!$F$209,IF(YEAR(J$5)=2029,Assumptions!$F$210,Assumptions!$F$211))))*Assumptions!$F$207</f>
        <v/>
      </c>
      <c r="K89" s="377">
        <f>(IF(YEAR(K$5)=2027,Assumptions!$F$208,IF(YEAR(K$5)=2028,Assumptions!$F$209,IF(YEAR(K$5)=2029,Assumptions!$F$210,Assumptions!$F$211))))*Assumptions!$F$207</f>
        <v/>
      </c>
      <c r="L89" s="377">
        <f>(IF(YEAR(L$5)=2027,Assumptions!$F$208,IF(YEAR(L$5)=2028,Assumptions!$F$209,IF(YEAR(L$5)=2029,Assumptions!$F$210,Assumptions!$F$211))))*Assumptions!$F$207</f>
        <v/>
      </c>
      <c r="M89" s="377">
        <f>(IF(YEAR(M$5)=2027,Assumptions!$F$208,IF(YEAR(M$5)=2028,Assumptions!$F$209,IF(YEAR(M$5)=2029,Assumptions!$F$210,Assumptions!$F$211))))*Assumptions!$F$207</f>
        <v/>
      </c>
      <c r="N89" s="377">
        <f>(IF(YEAR(N$5)=2027,Assumptions!$F$208,IF(YEAR(N$5)=2028,Assumptions!$F$209,IF(YEAR(N$5)=2029,Assumptions!$F$210,Assumptions!$F$211))))*Assumptions!$F$207</f>
        <v/>
      </c>
      <c r="O89" s="377">
        <f>(IF(YEAR(O$5)=2027,Assumptions!$F$208,IF(YEAR(O$5)=2028,Assumptions!$F$209,IF(YEAR(O$5)=2029,Assumptions!$F$210,Assumptions!$F$211))))*Assumptions!$F$207</f>
        <v/>
      </c>
      <c r="P89" s="377">
        <f>(IF(YEAR(P$5)=2027,Assumptions!$F$208,IF(YEAR(P$5)=2028,Assumptions!$F$209,IF(YEAR(P$5)=2029,Assumptions!$F$210,Assumptions!$F$211))))*Assumptions!$F$207</f>
        <v/>
      </c>
      <c r="Q89" s="377">
        <f>(IF(YEAR(Q$5)=2027,Assumptions!$F$208,IF(YEAR(Q$5)=2028,Assumptions!$F$209,IF(YEAR(Q$5)=2029,Assumptions!$F$210,Assumptions!$F$211))))*Assumptions!$F$207</f>
        <v/>
      </c>
      <c r="R89" s="377">
        <f>(IF(YEAR(R$5)=2027,Assumptions!$F$208,IF(YEAR(R$5)=2028,Assumptions!$F$209,IF(YEAR(R$5)=2029,Assumptions!$F$210,Assumptions!$F$211))))*Assumptions!$F$207</f>
        <v/>
      </c>
      <c r="S89" s="377">
        <f>(IF(YEAR(S$5)=2027,Assumptions!$F$208,IF(YEAR(S$5)=2028,Assumptions!$F$209,IF(YEAR(S$5)=2029,Assumptions!$F$210,Assumptions!$F$211))))*Assumptions!$F$207</f>
        <v/>
      </c>
      <c r="T89" s="377">
        <f>(IF(YEAR(T$5)=2027,Assumptions!$F$208,IF(YEAR(T$5)=2028,Assumptions!$F$209,IF(YEAR(T$5)=2029,Assumptions!$F$210,Assumptions!$F$211))))*Assumptions!$F$207</f>
        <v/>
      </c>
      <c r="U89" s="377">
        <f>(IF(YEAR(U$5)=2027,Assumptions!$F$208,IF(YEAR(U$5)=2028,Assumptions!$F$209,IF(YEAR(U$5)=2029,Assumptions!$F$210,Assumptions!$F$211))))*Assumptions!$F$207</f>
        <v/>
      </c>
      <c r="V89" s="377">
        <f>(IF(YEAR(V$5)=2027,Assumptions!$F$208,IF(YEAR(V$5)=2028,Assumptions!$F$209,IF(YEAR(V$5)=2029,Assumptions!$F$210,Assumptions!$F$211))))*Assumptions!$F$207</f>
        <v/>
      </c>
      <c r="W89" s="377">
        <f>(IF(YEAR(W$5)=2027,Assumptions!$F$208,IF(YEAR(W$5)=2028,Assumptions!$F$209,IF(YEAR(W$5)=2029,Assumptions!$F$210,Assumptions!$F$211))))*Assumptions!$F$207</f>
        <v/>
      </c>
      <c r="X89" s="377">
        <f>(IF(YEAR(X$5)=2027,Assumptions!$F$208,IF(YEAR(X$5)=2028,Assumptions!$F$209,IF(YEAR(X$5)=2029,Assumptions!$F$210,Assumptions!$F$211))))*Assumptions!$F$207</f>
        <v/>
      </c>
      <c r="Y89" s="377">
        <f>(IF(YEAR(Y$5)=2027,Assumptions!$F$208,IF(YEAR(Y$5)=2028,Assumptions!$F$209,IF(YEAR(Y$5)=2029,Assumptions!$F$210,Assumptions!$F$211))))*Assumptions!$F$207</f>
        <v/>
      </c>
      <c r="Z89" s="377">
        <f>(IF(YEAR(Z$5)=2027,Assumptions!$F$208,IF(YEAR(Z$5)=2028,Assumptions!$F$209,IF(YEAR(Z$5)=2029,Assumptions!$F$210,Assumptions!$F$211))))*Assumptions!$F$207</f>
        <v/>
      </c>
      <c r="AA89" s="377">
        <f>(IF(YEAR(AA$5)=2027,Assumptions!$F$208,IF(YEAR(AA$5)=2028,Assumptions!$F$209,IF(YEAR(AA$5)=2029,Assumptions!$F$210,Assumptions!$F$211))))*Assumptions!$F$207</f>
        <v/>
      </c>
      <c r="AB89" s="377">
        <f>(IF(YEAR(AB$5)=2027,Assumptions!$F$208,IF(YEAR(AB$5)=2028,Assumptions!$F$209,IF(YEAR(AB$5)=2029,Assumptions!$F$210,Assumptions!$F$211))))*Assumptions!$F$207</f>
        <v/>
      </c>
      <c r="AC89" s="377">
        <f>(IF(YEAR(AC$5)=2027,Assumptions!$F$208,IF(YEAR(AC$5)=2028,Assumptions!$F$209,IF(YEAR(AC$5)=2029,Assumptions!$F$210,Assumptions!$F$211))))*Assumptions!$F$207</f>
        <v/>
      </c>
      <c r="AD89" s="377">
        <f>(IF(YEAR(AD$5)=2027,Assumptions!$F$208,IF(YEAR(AD$5)=2028,Assumptions!$F$209,IF(YEAR(AD$5)=2029,Assumptions!$F$210,Assumptions!$F$211))))*Assumptions!$F$207</f>
        <v/>
      </c>
      <c r="AE89" s="377">
        <f>(IF(YEAR(AE$5)=2027,Assumptions!$F$208,IF(YEAR(AE$5)=2028,Assumptions!$F$209,IF(YEAR(AE$5)=2029,Assumptions!$F$210,Assumptions!$F$211))))*Assumptions!$F$207</f>
        <v/>
      </c>
      <c r="AF89" s="377">
        <f>(IF(YEAR(AF$5)=2027,Assumptions!$F$208,IF(YEAR(AF$5)=2028,Assumptions!$F$209,IF(YEAR(AF$5)=2029,Assumptions!$F$210,Assumptions!$F$211))))*Assumptions!$F$207</f>
        <v/>
      </c>
      <c r="AG89" s="377">
        <f>(IF(YEAR(AG$5)=2027,Assumptions!$F$208,IF(YEAR(AG$5)=2028,Assumptions!$F$209,IF(YEAR(AG$5)=2029,Assumptions!$F$210,Assumptions!$F$211))))*Assumptions!$F$207</f>
        <v/>
      </c>
      <c r="AH89" s="377">
        <f>(IF(YEAR(AH$5)=2027,Assumptions!$F$208,IF(YEAR(AH$5)=2028,Assumptions!$F$209,IF(YEAR(AH$5)=2029,Assumptions!$F$210,Assumptions!$F$211))))*Assumptions!$F$207</f>
        <v/>
      </c>
      <c r="AI89" s="377">
        <f>(IF(YEAR(AI$5)=2027,Assumptions!$F$208,IF(YEAR(AI$5)=2028,Assumptions!$F$209,IF(YEAR(AI$5)=2029,Assumptions!$F$210,Assumptions!$F$211))))*Assumptions!$F$207</f>
        <v/>
      </c>
      <c r="AJ89" s="377">
        <f>(IF(YEAR(AJ$5)=2027,Assumptions!$F$208,IF(YEAR(AJ$5)=2028,Assumptions!$F$209,IF(YEAR(AJ$5)=2029,Assumptions!$F$210,Assumptions!$F$211))))*Assumptions!$F$207</f>
        <v/>
      </c>
      <c r="AK89" s="377">
        <f>(IF(YEAR(AK$5)=2027,Assumptions!$F$208,IF(YEAR(AK$5)=2028,Assumptions!$F$209,IF(YEAR(AK$5)=2029,Assumptions!$F$210,Assumptions!$F$211))))*Assumptions!$F$207</f>
        <v/>
      </c>
      <c r="AL89" s="377">
        <f>(IF(YEAR(AL$5)=2027,Assumptions!$F$208,IF(YEAR(AL$5)=2028,Assumptions!$F$209,IF(YEAR(AL$5)=2029,Assumptions!$F$210,Assumptions!$F$211))))*Assumptions!$F$207</f>
        <v/>
      </c>
      <c r="AM89" s="377">
        <f>(IF(YEAR(AM$5)=2027,Assumptions!$F$208,IF(YEAR(AM$5)=2028,Assumptions!$F$209,IF(YEAR(AM$5)=2029,Assumptions!$F$210,Assumptions!$F$211))))*Assumptions!$F$207</f>
        <v/>
      </c>
      <c r="AN89" s="377">
        <f>(IF(YEAR(AN$5)=2027,Assumptions!$F$208,IF(YEAR(AN$5)=2028,Assumptions!$F$209,IF(YEAR(AN$5)=2029,Assumptions!$F$210,Assumptions!$F$211))))*Assumptions!$F$207</f>
        <v/>
      </c>
      <c r="AO89" s="377">
        <f>(IF(YEAR(AO$5)=2027,Assumptions!$F$208,IF(YEAR(AO$5)=2028,Assumptions!$F$209,IF(YEAR(AO$5)=2029,Assumptions!$F$210,Assumptions!$F$211))))*Assumptions!$F$207</f>
        <v/>
      </c>
      <c r="AP89" s="377">
        <f>(IF(YEAR(AP$5)=2027,Assumptions!$F$208,IF(YEAR(AP$5)=2028,Assumptions!$F$209,IF(YEAR(AP$5)=2029,Assumptions!$F$210,Assumptions!$F$211))))*Assumptions!$F$207</f>
        <v/>
      </c>
      <c r="AQ89" s="377">
        <f>(IF(YEAR(AQ$5)=2027,Assumptions!$F$208,IF(YEAR(AQ$5)=2028,Assumptions!$F$209,IF(YEAR(AQ$5)=2029,Assumptions!$F$210,Assumptions!$F$211))))*Assumptions!$F$207</f>
        <v/>
      </c>
      <c r="AR89" s="377">
        <f>(IF(YEAR(AR$5)=2027,Assumptions!$F$208,IF(YEAR(AR$5)=2028,Assumptions!$F$209,IF(YEAR(AR$5)=2029,Assumptions!$F$210,Assumptions!$F$211))))*Assumptions!$F$207</f>
        <v/>
      </c>
      <c r="AS89" s="377">
        <f>(IF(YEAR(AS$5)=2027,Assumptions!$F$208,IF(YEAR(AS$5)=2028,Assumptions!$F$209,IF(YEAR(AS$5)=2029,Assumptions!$F$210,Assumptions!$F$211))))*Assumptions!$F$207</f>
        <v/>
      </c>
      <c r="AT89" s="377">
        <f>(IF(YEAR(AT$5)=2027,Assumptions!$F$208,IF(YEAR(AT$5)=2028,Assumptions!$F$209,IF(YEAR(AT$5)=2029,Assumptions!$F$210,Assumptions!$F$211))))*Assumptions!$F$207</f>
        <v/>
      </c>
      <c r="AU89" s="377">
        <f>(IF(YEAR(AU$5)=2027,Assumptions!$F$208,IF(YEAR(AU$5)=2028,Assumptions!$F$209,IF(YEAR(AU$5)=2029,Assumptions!$F$210,Assumptions!$F$211))))*Assumptions!$F$207</f>
        <v/>
      </c>
      <c r="AV89" s="377">
        <f>(IF(YEAR(AV$5)=2027,Assumptions!$F$208,IF(YEAR(AV$5)=2028,Assumptions!$F$209,IF(YEAR(AV$5)=2029,Assumptions!$F$210,Assumptions!$F$211))))*Assumptions!$F$207</f>
        <v/>
      </c>
      <c r="AW89" s="377">
        <f>(IF(YEAR(AW$5)=2027,Assumptions!$F$208,IF(YEAR(AW$5)=2028,Assumptions!$F$209,IF(YEAR(AW$5)=2029,Assumptions!$F$210,Assumptions!$F$211))))*Assumptions!$F$207</f>
        <v/>
      </c>
      <c r="AX89" s="377">
        <f>(IF(YEAR(AX$5)=2027,Assumptions!$F$208,IF(YEAR(AX$5)=2028,Assumptions!$F$209,IF(YEAR(AX$5)=2029,Assumptions!$F$210,Assumptions!$F$211))))*Assumptions!$F$207</f>
        <v/>
      </c>
      <c r="AY89" s="377">
        <f>(IF(YEAR(AY$5)=2027,Assumptions!$F$208,IF(YEAR(AY$5)=2028,Assumptions!$F$209,IF(YEAR(AY$5)=2029,Assumptions!$F$210,Assumptions!$F$211))))*Assumptions!$F$207</f>
        <v/>
      </c>
      <c r="AZ89" s="377">
        <f>(IF(YEAR(AZ$5)=2027,Assumptions!$F$208,IF(YEAR(AZ$5)=2028,Assumptions!$F$209,IF(YEAR(AZ$5)=2029,Assumptions!$F$210,Assumptions!$F$211))))*Assumptions!$F$207</f>
        <v/>
      </c>
      <c r="BA89" s="377">
        <f>(IF(YEAR(BA$5)=2027,Assumptions!$F$208,IF(YEAR(BA$5)=2028,Assumptions!$F$209,IF(YEAR(BA$5)=2029,Assumptions!$F$210,Assumptions!$F$211))))*Assumptions!$F$207</f>
        <v/>
      </c>
      <c r="BC89" s="378">
        <f>SUM(F89:Q89)</f>
        <v/>
      </c>
      <c r="BD89" s="378">
        <f>SUM(R89:AC89)</f>
        <v/>
      </c>
      <c r="BE89" s="378">
        <f>SUM(AD89:AO89)</f>
        <v/>
      </c>
      <c r="BF89" s="378">
        <f>SUM(AP89:BA89)</f>
        <v/>
      </c>
    </row>
    <row r="90">
      <c r="B90" s="379" t="inlineStr">
        <is>
          <t>TOTAL EXTRA NON-PEOPLE COST</t>
        </is>
      </c>
      <c r="C90" s="376" t="inlineStr">
        <is>
          <t>EUR/mo</t>
        </is>
      </c>
      <c r="F90" s="380">
        <f>F84+F85+F86+F87+F88</f>
        <v/>
      </c>
      <c r="G90" s="380">
        <f>G84+G85+G86+G87+G88</f>
        <v/>
      </c>
      <c r="H90" s="380">
        <f>H84+H85+H86+H87+H88</f>
        <v/>
      </c>
      <c r="I90" s="380">
        <f>I84+I85+I86+I87+I88</f>
        <v/>
      </c>
      <c r="J90" s="380">
        <f>J84+J85+J86+J87+J88</f>
        <v/>
      </c>
      <c r="K90" s="380">
        <f>K84+K85+K86+K87+K88</f>
        <v/>
      </c>
      <c r="L90" s="380">
        <f>L84+L85+L86+L87+L88</f>
        <v/>
      </c>
      <c r="M90" s="380">
        <f>M84+M85+M86+M87+M88</f>
        <v/>
      </c>
      <c r="N90" s="380">
        <f>N84+N85+N86+N87+N88</f>
        <v/>
      </c>
      <c r="O90" s="380">
        <f>O84+O85+O86+O87+O88</f>
        <v/>
      </c>
      <c r="P90" s="380">
        <f>P84+P85+P86+P87+P88</f>
        <v/>
      </c>
      <c r="Q90" s="380">
        <f>Q84+Q85+Q86+Q87+Q88</f>
        <v/>
      </c>
      <c r="R90" s="380">
        <f>R84+R85+R86+R87+R88</f>
        <v/>
      </c>
      <c r="S90" s="380">
        <f>S84+S85+S86+S87+S88</f>
        <v/>
      </c>
      <c r="T90" s="380">
        <f>T84+T85+T86+T87+T88</f>
        <v/>
      </c>
      <c r="U90" s="380">
        <f>U84+U85+U86+U87+U88</f>
        <v/>
      </c>
      <c r="V90" s="380">
        <f>V84+V85+V86+V87+V88</f>
        <v/>
      </c>
      <c r="W90" s="380">
        <f>W84+W85+W86+W87+W88</f>
        <v/>
      </c>
      <c r="X90" s="380">
        <f>X84+X85+X86+X87+X88</f>
        <v/>
      </c>
      <c r="Y90" s="380">
        <f>Y84+Y85+Y86+Y87+Y88</f>
        <v/>
      </c>
      <c r="Z90" s="380">
        <f>Z84+Z85+Z86+Z87+Z88</f>
        <v/>
      </c>
      <c r="AA90" s="380">
        <f>AA84+AA85+AA86+AA87+AA88</f>
        <v/>
      </c>
      <c r="AB90" s="380">
        <f>AB84+AB85+AB86+AB87+AB88</f>
        <v/>
      </c>
      <c r="AC90" s="380">
        <f>AC84+AC85+AC86+AC87+AC88</f>
        <v/>
      </c>
      <c r="AD90" s="380">
        <f>AD84+AD85+AD86+AD87+AD88</f>
        <v/>
      </c>
      <c r="AE90" s="380">
        <f>AE84+AE85+AE86+AE87+AE88</f>
        <v/>
      </c>
      <c r="AF90" s="380">
        <f>AF84+AF85+AF86+AF87+AF88</f>
        <v/>
      </c>
      <c r="AG90" s="380">
        <f>AG84+AG85+AG86+AG87+AG88</f>
        <v/>
      </c>
      <c r="AH90" s="380">
        <f>AH84+AH85+AH86+AH87+AH88</f>
        <v/>
      </c>
      <c r="AI90" s="380">
        <f>AI84+AI85+AI86+AI87+AI88</f>
        <v/>
      </c>
      <c r="AJ90" s="380">
        <f>AJ84+AJ85+AJ86+AJ87+AJ88</f>
        <v/>
      </c>
      <c r="AK90" s="380">
        <f>AK84+AK85+AK86+AK87+AK88</f>
        <v/>
      </c>
      <c r="AL90" s="380">
        <f>AL84+AL85+AL86+AL87+AL88</f>
        <v/>
      </c>
      <c r="AM90" s="380">
        <f>AM84+AM85+AM86+AM87+AM88</f>
        <v/>
      </c>
      <c r="AN90" s="380">
        <f>AN84+AN85+AN86+AN87+AN88</f>
        <v/>
      </c>
      <c r="AO90" s="380">
        <f>AO84+AO85+AO86+AO87+AO88</f>
        <v/>
      </c>
      <c r="AP90" s="380">
        <f>AP84+AP85+AP86+AP87+AP88</f>
        <v/>
      </c>
      <c r="AQ90" s="380">
        <f>AQ84+AQ85+AQ86+AQ87+AQ88</f>
        <v/>
      </c>
      <c r="AR90" s="380">
        <f>AR84+AR85+AR86+AR87+AR88</f>
        <v/>
      </c>
      <c r="AS90" s="380">
        <f>AS84+AS85+AS86+AS87+AS88</f>
        <v/>
      </c>
      <c r="AT90" s="380">
        <f>AT84+AT85+AT86+AT87+AT88</f>
        <v/>
      </c>
      <c r="AU90" s="380">
        <f>AU84+AU85+AU86+AU87+AU88</f>
        <v/>
      </c>
      <c r="AV90" s="380">
        <f>AV84+AV85+AV86+AV87+AV88</f>
        <v/>
      </c>
      <c r="AW90" s="380">
        <f>AW84+AW85+AW86+AW87+AW88</f>
        <v/>
      </c>
      <c r="AX90" s="380">
        <f>AX84+AX85+AX86+AX87+AX88</f>
        <v/>
      </c>
      <c r="AY90" s="380">
        <f>AY84+AY85+AY86+AY87+AY88</f>
        <v/>
      </c>
      <c r="AZ90" s="380">
        <f>AZ84+AZ85+AZ86+AZ87+AZ88</f>
        <v/>
      </c>
      <c r="BA90" s="380">
        <f>BA84+BA85+BA86+BA87+BA88</f>
        <v/>
      </c>
      <c r="BC90" s="378">
        <f>BC84+BC85+BC86+BC87+BC88</f>
        <v/>
      </c>
      <c r="BD90" s="378">
        <f>BD84+BD85+BD86+BD87+BD88</f>
        <v/>
      </c>
      <c r="BE90" s="378">
        <f>BE84+BE85+BE86+BE87+BE88</f>
        <v/>
      </c>
      <c r="BF90" s="378">
        <f>BF84+BF85+BF86+BF87+BF88</f>
        <v/>
      </c>
      <c r="BH90" t="inlineStr">
        <is>
          <t>people are costed in the Personnel tab; only these overheads are added here</t>
        </is>
      </c>
    </row>
    <row r="91">
      <c r="B91" s="375" t="inlineStr">
        <is>
          <t>Warranty reserve above the BOM (goes to COGS)</t>
        </is>
      </c>
      <c r="C91" s="376" t="inlineStr">
        <is>
          <t>EUR/mo</t>
        </is>
      </c>
      <c r="F91" s="377">
        <f>F43*Assumptions!$F$205</f>
        <v/>
      </c>
      <c r="G91" s="377">
        <f>G43*Assumptions!$F$205</f>
        <v/>
      </c>
      <c r="H91" s="377">
        <f>H43*Assumptions!$F$205</f>
        <v/>
      </c>
      <c r="I91" s="377">
        <f>I43*Assumptions!$F$205</f>
        <v/>
      </c>
      <c r="J91" s="377">
        <f>J43*Assumptions!$F$205</f>
        <v/>
      </c>
      <c r="K91" s="377">
        <f>K43*Assumptions!$F$205</f>
        <v/>
      </c>
      <c r="L91" s="377">
        <f>L43*Assumptions!$F$205</f>
        <v/>
      </c>
      <c r="M91" s="377">
        <f>M43*Assumptions!$F$205</f>
        <v/>
      </c>
      <c r="N91" s="377">
        <f>N43*Assumptions!$F$205</f>
        <v/>
      </c>
      <c r="O91" s="377">
        <f>O43*Assumptions!$F$205</f>
        <v/>
      </c>
      <c r="P91" s="377">
        <f>P43*Assumptions!$F$205</f>
        <v/>
      </c>
      <c r="Q91" s="377">
        <f>Q43*Assumptions!$F$205</f>
        <v/>
      </c>
      <c r="R91" s="377">
        <f>R43*Assumptions!$F$205</f>
        <v/>
      </c>
      <c r="S91" s="377">
        <f>S43*Assumptions!$F$205</f>
        <v/>
      </c>
      <c r="T91" s="377">
        <f>T43*Assumptions!$F$205</f>
        <v/>
      </c>
      <c r="U91" s="377">
        <f>U43*Assumptions!$F$205</f>
        <v/>
      </c>
      <c r="V91" s="377">
        <f>V43*Assumptions!$F$205</f>
        <v/>
      </c>
      <c r="W91" s="377">
        <f>W43*Assumptions!$F$205</f>
        <v/>
      </c>
      <c r="X91" s="377">
        <f>X43*Assumptions!$F$205</f>
        <v/>
      </c>
      <c r="Y91" s="377">
        <f>Y43*Assumptions!$F$205</f>
        <v/>
      </c>
      <c r="Z91" s="377">
        <f>Z43*Assumptions!$F$205</f>
        <v/>
      </c>
      <c r="AA91" s="377">
        <f>AA43*Assumptions!$F$205</f>
        <v/>
      </c>
      <c r="AB91" s="377">
        <f>AB43*Assumptions!$F$205</f>
        <v/>
      </c>
      <c r="AC91" s="377">
        <f>AC43*Assumptions!$F$205</f>
        <v/>
      </c>
      <c r="AD91" s="377">
        <f>AD43*Assumptions!$F$205</f>
        <v/>
      </c>
      <c r="AE91" s="377">
        <f>AE43*Assumptions!$F$205</f>
        <v/>
      </c>
      <c r="AF91" s="377">
        <f>AF43*Assumptions!$F$205</f>
        <v/>
      </c>
      <c r="AG91" s="377">
        <f>AG43*Assumptions!$F$205</f>
        <v/>
      </c>
      <c r="AH91" s="377">
        <f>AH43*Assumptions!$F$205</f>
        <v/>
      </c>
      <c r="AI91" s="377">
        <f>AI43*Assumptions!$F$205</f>
        <v/>
      </c>
      <c r="AJ91" s="377">
        <f>AJ43*Assumptions!$F$205</f>
        <v/>
      </c>
      <c r="AK91" s="377">
        <f>AK43*Assumptions!$F$205</f>
        <v/>
      </c>
      <c r="AL91" s="377">
        <f>AL43*Assumptions!$F$205</f>
        <v/>
      </c>
      <c r="AM91" s="377">
        <f>AM43*Assumptions!$F$205</f>
        <v/>
      </c>
      <c r="AN91" s="377">
        <f>AN43*Assumptions!$F$205</f>
        <v/>
      </c>
      <c r="AO91" s="377">
        <f>AO43*Assumptions!$F$205</f>
        <v/>
      </c>
      <c r="AP91" s="377">
        <f>AP43*Assumptions!$F$205</f>
        <v/>
      </c>
      <c r="AQ91" s="377">
        <f>AQ43*Assumptions!$F$205</f>
        <v/>
      </c>
      <c r="AR91" s="377">
        <f>AR43*Assumptions!$F$205</f>
        <v/>
      </c>
      <c r="AS91" s="377">
        <f>AS43*Assumptions!$F$205</f>
        <v/>
      </c>
      <c r="AT91" s="377">
        <f>AT43*Assumptions!$F$205</f>
        <v/>
      </c>
      <c r="AU91" s="377">
        <f>AU43*Assumptions!$F$205</f>
        <v/>
      </c>
      <c r="AV91" s="377">
        <f>AV43*Assumptions!$F$205</f>
        <v/>
      </c>
      <c r="AW91" s="377">
        <f>AW43*Assumptions!$F$205</f>
        <v/>
      </c>
      <c r="AX91" s="377">
        <f>AX43*Assumptions!$F$205</f>
        <v/>
      </c>
      <c r="AY91" s="377">
        <f>AY43*Assumptions!$F$205</f>
        <v/>
      </c>
      <c r="AZ91" s="377">
        <f>AZ43*Assumptions!$F$205</f>
        <v/>
      </c>
      <c r="BA91" s="377">
        <f>BA43*Assumptions!$F$205</f>
        <v/>
      </c>
      <c r="BC91" s="378">
        <f>SUM(F91:Q91)</f>
        <v/>
      </c>
      <c r="BD91" s="378">
        <f>SUM(R91:AC91)</f>
        <v/>
      </c>
      <c r="BE91" s="378">
        <f>SUM(AD91:AO91)</f>
        <v/>
      </c>
      <c r="BF91" s="378">
        <f>SUM(AP91:BA91)</f>
        <v/>
      </c>
      <c r="BH91" s="370" t="inlineStr">
        <is>
          <t>the BOM already carries a 3% yield/warranty provision; this is the reserve on top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291"/>
  <sheetViews>
    <sheetView showGridLines="0"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4.43" defaultRowHeight="15" customHeight="1"/>
  <cols>
    <col width="5.29" customWidth="1" style="349" min="1" max="1"/>
    <col width="10.86" customWidth="1" style="349" min="2" max="2"/>
    <col width="34.71" customWidth="1" style="349" min="3" max="3"/>
    <col width="10.86" customWidth="1" style="349" min="4" max="4"/>
    <col outlineLevel="1" width="9.710000000000001" customWidth="1" style="349" min="5" max="5"/>
    <col outlineLevel="1" width="9.57" customWidth="1" style="349" min="6" max="6"/>
    <col outlineLevel="1" width="9.859999999999999" customWidth="1" style="349" min="7" max="7"/>
    <col outlineLevel="1" width="9.43" customWidth="1" style="349" min="8" max="8"/>
    <col outlineLevel="1" width="10" customWidth="1" style="349" min="9" max="9"/>
    <col outlineLevel="1" width="9.710000000000001" customWidth="1" style="349" min="10" max="10"/>
    <col outlineLevel="1" width="9.140000000000001" customWidth="1" style="349" min="11" max="11"/>
    <col outlineLevel="1" width="9.859999999999999" customWidth="1" style="349" min="12" max="12"/>
    <col outlineLevel="1" width="10" customWidth="1" style="349" min="13" max="13"/>
    <col outlineLevel="1" width="10.14" customWidth="1" style="349" min="14" max="15"/>
    <col outlineLevel="1" width="9.859999999999999" customWidth="1" style="349" min="16" max="16"/>
    <col width="9.710000000000001" customWidth="1" style="349" min="17" max="17"/>
    <col width="9.57" customWidth="1" style="349" min="18" max="18"/>
    <col width="9.710000000000001" customWidth="1" style="349" min="19" max="19"/>
    <col width="9.43" customWidth="1" style="349" min="20" max="20"/>
    <col width="10" customWidth="1" style="349" min="21" max="21"/>
    <col width="10.43" customWidth="1" style="349" min="22" max="22"/>
    <col width="9.43" customWidth="1" style="349" min="23" max="23"/>
    <col width="10" customWidth="1" style="349" min="24" max="24"/>
    <col width="11.14" customWidth="1" style="349" min="25" max="25"/>
    <col width="11.29" customWidth="1" style="349" min="26" max="26"/>
    <col width="10.57" customWidth="1" style="349" min="27" max="28"/>
    <col width="11" customWidth="1" style="349" min="29" max="29"/>
    <col width="10.57" customWidth="1" style="349" min="30" max="30"/>
    <col width="10.71" customWidth="1" style="349" min="31" max="31"/>
    <col width="10.57" customWidth="1" style="349" min="32" max="32"/>
    <col width="10.86" customWidth="1" style="349" min="33" max="34"/>
    <col width="10.57" customWidth="1" style="349" min="35" max="35"/>
    <col width="10.86" customWidth="1" style="349" min="36" max="36"/>
    <col width="11.14" customWidth="1" style="349" min="37" max="37"/>
    <col width="11" customWidth="1" style="349" min="38" max="39"/>
    <col width="10.86" customWidth="1" style="349" min="40" max="40"/>
    <col width="10.57" customWidth="1" style="349" min="41" max="42"/>
    <col width="10.86" customWidth="1" style="349" min="43" max="44"/>
    <col width="11" customWidth="1" style="349" min="45" max="45"/>
    <col width="10.86" customWidth="1" style="349" min="46" max="46"/>
    <col width="11" customWidth="1" style="349" min="47" max="47"/>
    <col width="10.86" customWidth="1" style="349" min="48" max="48"/>
    <col width="10.57" customWidth="1" style="349" min="49" max="49"/>
    <col width="11" customWidth="1" style="349" min="50" max="50"/>
    <col width="11.57" customWidth="1" style="349" min="51" max="51"/>
    <col width="11.29" customWidth="1" style="349" min="52" max="52"/>
    <col width="10.86" customWidth="1" style="349" min="53" max="54"/>
    <col width="11.29" customWidth="1" style="349" min="55" max="55"/>
    <col width="12.14" customWidth="1" style="349" min="56" max="56"/>
    <col width="11.57" customWidth="1" style="349" min="57" max="57"/>
    <col hidden="1" outlineLevel="1" width="12.57" customWidth="1" style="349" min="58" max="58"/>
    <col collapsed="1" width="10.86" customWidth="1" style="349" min="59" max="59"/>
    <col width="43" customWidth="1" style="349" min="60" max="60"/>
    <col width="10.86" customWidth="1" style="349" min="61" max="62"/>
  </cols>
  <sheetData>
    <row r="1" ht="15.75" customHeight="1" s="349">
      <c r="A1" s="7" t="inlineStr"/>
      <c r="B1" s="8" t="inlineStr">
        <is>
          <t>Tarnoc B.V. — Financial Statements (€)</t>
        </is>
      </c>
      <c r="C1" s="9" t="n"/>
      <c r="D1" s="10" t="n"/>
      <c r="E1" s="13" t="n"/>
      <c r="F1" s="13" t="n"/>
      <c r="G1" s="13" t="n"/>
      <c r="H1" s="13" t="n"/>
      <c r="I1" s="13" t="n"/>
      <c r="J1" s="13" t="n"/>
      <c r="K1" s="13" t="n"/>
      <c r="L1" s="13" t="n"/>
      <c r="M1" s="13" t="n"/>
      <c r="N1" s="13" t="n"/>
      <c r="O1" s="13" t="n"/>
      <c r="P1" s="13" t="n"/>
      <c r="Q1" s="13" t="n"/>
      <c r="R1" s="17" t="n"/>
      <c r="S1" s="18" t="n"/>
      <c r="T1" s="19" t="n"/>
      <c r="U1" s="13" t="n"/>
      <c r="V1" s="13" t="n"/>
      <c r="W1" s="13" t="n"/>
      <c r="X1" s="13" t="n"/>
      <c r="Y1" s="13" t="n"/>
      <c r="Z1" s="13" t="n"/>
      <c r="AA1" s="13" t="n"/>
      <c r="AB1" s="13" t="n"/>
      <c r="AC1" s="13" t="n"/>
      <c r="AD1" s="13" t="n"/>
      <c r="AE1" s="13" t="n"/>
      <c r="AF1" s="13" t="n"/>
      <c r="AG1" s="13" t="n"/>
      <c r="AH1" s="13" t="n"/>
      <c r="AI1" s="13" t="n"/>
      <c r="AJ1" s="13" t="n"/>
      <c r="AK1" s="13" t="n"/>
      <c r="AL1" s="13" t="n"/>
      <c r="AM1" s="13" t="n"/>
      <c r="AN1" s="13" t="n"/>
      <c r="AO1" s="13" t="n"/>
      <c r="AP1" s="13" t="n"/>
      <c r="AQ1" s="13" t="n"/>
      <c r="AR1" s="13" t="n"/>
      <c r="AS1" s="13" t="n"/>
      <c r="AT1" s="13" t="n"/>
      <c r="AU1" s="13" t="n"/>
      <c r="AV1" s="13" t="n"/>
      <c r="AW1" s="13" t="n"/>
      <c r="AX1" s="13" t="n"/>
      <c r="AY1" s="13" t="n"/>
      <c r="AZ1" s="17" t="n"/>
      <c r="BA1" s="31" t="n"/>
      <c r="BB1" s="17" t="n"/>
      <c r="BC1" s="17" t="n"/>
      <c r="BD1" s="17" t="n"/>
      <c r="BE1" s="17" t="n"/>
      <c r="BF1" s="17" t="n"/>
      <c r="BG1" s="35" t="n"/>
      <c r="BH1" s="35" t="n"/>
      <c r="BI1" s="35" t="n"/>
      <c r="BJ1" s="35" t="n"/>
    </row>
    <row r="2" ht="13.5" customHeight="1" s="349">
      <c r="A2" s="36" t="n"/>
      <c r="B2" s="37" t="n"/>
      <c r="C2" s="37" t="n"/>
      <c r="D2" s="37" t="n"/>
      <c r="E2" s="38" t="inlineStr">
        <is>
          <t>2025</t>
        </is>
      </c>
      <c r="F2" s="38" t="n"/>
      <c r="G2" s="38" t="n"/>
      <c r="H2" s="38" t="n"/>
      <c r="I2" s="38" t="n"/>
      <c r="J2" s="38" t="n"/>
      <c r="K2" s="38" t="n"/>
      <c r="L2" s="38" t="n"/>
      <c r="M2" s="38" t="n"/>
      <c r="N2" s="38" t="n"/>
      <c r="O2" s="38" t="n"/>
      <c r="P2" s="38" t="n"/>
      <c r="Q2" s="38" t="inlineStr">
        <is>
          <t>2026</t>
        </is>
      </c>
      <c r="R2" s="42" t="n"/>
      <c r="S2" s="44" t="n"/>
      <c r="T2" s="45" t="n"/>
      <c r="U2" s="38" t="n"/>
      <c r="V2" s="38" t="n"/>
      <c r="W2" s="38" t="n"/>
      <c r="X2" s="38" t="n"/>
      <c r="Y2" s="38" t="n"/>
      <c r="Z2" s="38" t="n"/>
      <c r="AA2" s="38" t="n"/>
      <c r="AB2" s="38" t="n"/>
      <c r="AC2" s="38" t="inlineStr">
        <is>
          <t>2027</t>
        </is>
      </c>
      <c r="AD2" s="38" t="n"/>
      <c r="AE2" s="38" t="n"/>
      <c r="AF2" s="38" t="n"/>
      <c r="AG2" s="38" t="n"/>
      <c r="AH2" s="38" t="n"/>
      <c r="AI2" s="38" t="n"/>
      <c r="AJ2" s="38" t="n"/>
      <c r="AK2" s="38" t="n"/>
      <c r="AL2" s="38" t="n"/>
      <c r="AM2" s="38" t="n"/>
      <c r="AN2" s="38" t="n"/>
      <c r="AO2" s="48" t="inlineStr">
        <is>
          <t>2028</t>
        </is>
      </c>
      <c r="AP2" s="48" t="n"/>
      <c r="AQ2" s="48" t="n"/>
      <c r="AR2" s="48" t="n"/>
      <c r="AS2" s="48" t="n"/>
      <c r="AT2" s="48" t="n"/>
      <c r="AU2" s="48" t="n"/>
      <c r="AV2" s="48" t="n"/>
      <c r="AW2" s="48" t="n"/>
      <c r="AX2" s="48" t="n"/>
      <c r="AY2" s="48" t="n"/>
      <c r="AZ2" s="51" t="n"/>
      <c r="BA2" s="52" t="n"/>
      <c r="BB2" s="51" t="n"/>
      <c r="BC2" s="51" t="n"/>
      <c r="BD2" s="51" t="n"/>
      <c r="BE2" s="51" t="n"/>
      <c r="BF2" s="51" t="n"/>
      <c r="BG2" s="53" t="n"/>
      <c r="BH2" s="53" t="n"/>
      <c r="BI2" s="53" t="n"/>
      <c r="BJ2" s="53" t="n"/>
    </row>
    <row r="3" ht="13.5" customHeight="1" s="349">
      <c r="A3" s="36" t="n"/>
      <c r="B3" s="37" t="n"/>
      <c r="C3" s="37" t="n"/>
      <c r="D3" s="37" t="n"/>
      <c r="E3" s="55" t="n">
        <v>45658</v>
      </c>
      <c r="F3" s="55" t="n">
        <v>45689</v>
      </c>
      <c r="G3" s="55" t="n">
        <v>45717</v>
      </c>
      <c r="H3" s="55" t="n">
        <v>45748</v>
      </c>
      <c r="I3" s="55" t="n">
        <v>45778</v>
      </c>
      <c r="J3" s="55" t="n">
        <v>45809</v>
      </c>
      <c r="K3" s="55" t="n">
        <v>45839</v>
      </c>
      <c r="L3" s="55" t="n">
        <v>45870</v>
      </c>
      <c r="M3" s="55" t="n">
        <v>45901</v>
      </c>
      <c r="N3" s="55" t="n">
        <v>45931</v>
      </c>
      <c r="O3" s="55" t="n">
        <v>45962</v>
      </c>
      <c r="P3" s="55" t="n">
        <v>45992</v>
      </c>
      <c r="Q3" s="55" t="n">
        <v>46023</v>
      </c>
      <c r="R3" s="55" t="n">
        <v>46054</v>
      </c>
      <c r="S3" s="55" t="n">
        <v>46082</v>
      </c>
      <c r="T3" s="55" t="n">
        <v>46113</v>
      </c>
      <c r="U3" s="55" t="n">
        <v>46143</v>
      </c>
      <c r="V3" s="55" t="n">
        <v>46174</v>
      </c>
      <c r="W3" s="55" t="n">
        <v>46204</v>
      </c>
      <c r="X3" s="55" t="n">
        <v>46235</v>
      </c>
      <c r="Y3" s="55" t="n">
        <v>46266</v>
      </c>
      <c r="Z3" s="55" t="n">
        <v>46296</v>
      </c>
      <c r="AA3" s="55" t="n">
        <v>46327</v>
      </c>
      <c r="AB3" s="55" t="n">
        <v>46357</v>
      </c>
      <c r="AC3" s="55" t="n">
        <v>46388</v>
      </c>
      <c r="AD3" s="55" t="n">
        <v>46419</v>
      </c>
      <c r="AE3" s="55" t="n">
        <v>46447</v>
      </c>
      <c r="AF3" s="55" t="n">
        <v>46478</v>
      </c>
      <c r="AG3" s="55" t="n">
        <v>46508</v>
      </c>
      <c r="AH3" s="55" t="n">
        <v>46539</v>
      </c>
      <c r="AI3" s="55" t="n">
        <v>46569</v>
      </c>
      <c r="AJ3" s="55" t="n">
        <v>46600</v>
      </c>
      <c r="AK3" s="55" t="n">
        <v>46631</v>
      </c>
      <c r="AL3" s="55" t="n">
        <v>46661</v>
      </c>
      <c r="AM3" s="55" t="n">
        <v>46692</v>
      </c>
      <c r="AN3" s="55" t="n">
        <v>46722</v>
      </c>
      <c r="AO3" s="55" t="n">
        <v>46753</v>
      </c>
      <c r="AP3" s="55" t="n">
        <v>46784</v>
      </c>
      <c r="AQ3" s="55" t="n">
        <v>46813</v>
      </c>
      <c r="AR3" s="55" t="n">
        <v>46844</v>
      </c>
      <c r="AS3" s="55" t="n">
        <v>46874</v>
      </c>
      <c r="AT3" s="55" t="n">
        <v>46905</v>
      </c>
      <c r="AU3" s="55" t="n">
        <v>46935</v>
      </c>
      <c r="AV3" s="55" t="n">
        <v>46966</v>
      </c>
      <c r="AW3" s="55" t="n">
        <v>46997</v>
      </c>
      <c r="AX3" s="55" t="n">
        <v>47027</v>
      </c>
      <c r="AY3" s="55" t="n">
        <v>47058</v>
      </c>
      <c r="AZ3" s="55" t="n">
        <v>47088</v>
      </c>
      <c r="BA3" s="52" t="n"/>
      <c r="BB3" s="65" t="n">
        <v>2025</v>
      </c>
      <c r="BC3" s="65" t="n">
        <v>2026</v>
      </c>
      <c r="BD3" s="65" t="n">
        <v>2027</v>
      </c>
      <c r="BE3" s="65" t="n">
        <v>2028</v>
      </c>
      <c r="BF3" s="65" t="n">
        <v>2029</v>
      </c>
      <c r="BG3" s="67" t="n"/>
      <c r="BH3" s="350" t="inlineStr">
        <is>
          <t>what this row does</t>
        </is>
      </c>
      <c r="BI3" s="67" t="n"/>
      <c r="BJ3" s="67" t="n"/>
    </row>
    <row r="4">
      <c r="A4" s="226" t="n"/>
      <c r="B4" s="233" t="n"/>
      <c r="C4" s="233" t="n"/>
      <c r="D4" s="233" t="n"/>
      <c r="E4" s="233" t="n"/>
      <c r="F4" s="233" t="n"/>
      <c r="G4" s="233" t="n"/>
      <c r="H4" s="233" t="n"/>
      <c r="I4" s="233" t="n"/>
      <c r="J4" s="233" t="n"/>
      <c r="K4" s="233" t="n"/>
      <c r="L4" s="233" t="n"/>
      <c r="M4" s="233" t="n"/>
      <c r="N4" s="233" t="n"/>
      <c r="O4" s="233" t="n"/>
      <c r="P4" s="233" t="n"/>
      <c r="Q4" s="233" t="n"/>
      <c r="R4" s="233" t="n"/>
      <c r="S4" s="233" t="n"/>
      <c r="T4" s="233" t="n"/>
      <c r="U4" s="233" t="n"/>
      <c r="V4" s="233" t="n"/>
      <c r="W4" s="233" t="n"/>
      <c r="X4" s="233" t="n"/>
      <c r="Y4" s="233" t="n"/>
      <c r="Z4" s="233" t="n"/>
      <c r="AA4" s="233" t="n"/>
      <c r="AB4" s="233" t="n"/>
      <c r="AC4" s="233" t="n"/>
      <c r="AD4" s="233" t="n"/>
      <c r="AE4" s="233" t="n"/>
      <c r="AF4" s="233" t="n"/>
      <c r="AG4" s="233" t="n"/>
      <c r="AH4" s="233" t="n"/>
      <c r="AI4" s="233" t="n"/>
      <c r="AJ4" s="233" t="n"/>
      <c r="AK4" s="233" t="n"/>
      <c r="AL4" s="233" t="n"/>
      <c r="AM4" s="233" t="n"/>
      <c r="AN4" s="233" t="n"/>
      <c r="AO4" s="233" t="n"/>
      <c r="AP4" s="233" t="n"/>
      <c r="AQ4" s="233" t="n"/>
      <c r="AR4" s="233" t="n"/>
      <c r="AS4" s="233" t="n"/>
      <c r="AT4" s="233" t="n"/>
      <c r="AU4" s="233" t="n"/>
      <c r="AV4" s="233" t="n"/>
      <c r="AW4" s="233" t="n"/>
      <c r="AX4" s="233" t="n"/>
      <c r="AY4" s="233" t="n"/>
      <c r="AZ4" s="233" t="n"/>
      <c r="BA4" s="226" t="n"/>
      <c r="BB4" s="233" t="n"/>
      <c r="BC4" s="233" t="n"/>
      <c r="BD4" s="233" t="n"/>
      <c r="BE4" s="233" t="n"/>
      <c r="BF4" s="233" t="n"/>
      <c r="BG4" s="226" t="n"/>
      <c r="BH4" s="350" t="n"/>
      <c r="BI4" s="226" t="n"/>
      <c r="BJ4" s="226" t="n"/>
    </row>
    <row r="5" ht="15.75" customHeight="1" s="349">
      <c r="A5" s="241" t="n"/>
      <c r="B5" s="73" t="inlineStr">
        <is>
          <t>PROFIT &amp; LOSS STATEMENT</t>
        </is>
      </c>
      <c r="C5" s="241" t="n"/>
      <c r="D5" s="241" t="n"/>
      <c r="E5" s="241" t="n"/>
      <c r="F5" s="241" t="n"/>
      <c r="G5" s="241" t="n"/>
      <c r="H5" s="241" t="n"/>
      <c r="I5" s="241" t="n"/>
      <c r="J5" s="241" t="n"/>
      <c r="K5" s="241" t="n"/>
      <c r="L5" s="241" t="n"/>
      <c r="M5" s="241" t="n"/>
      <c r="N5" s="241" t="n"/>
      <c r="O5" s="241" t="n"/>
      <c r="P5" s="241" t="n"/>
      <c r="Q5" s="241" t="n"/>
      <c r="R5" s="241" t="n"/>
      <c r="S5" s="241" t="n"/>
      <c r="T5" s="241" t="n"/>
      <c r="U5" s="241" t="n"/>
      <c r="V5" s="241" t="n"/>
      <c r="W5" s="241" t="n"/>
      <c r="X5" s="241" t="n"/>
      <c r="Y5" s="241" t="n"/>
      <c r="Z5" s="241" t="n"/>
      <c r="AA5" s="241" t="n"/>
      <c r="AB5" s="241" t="n"/>
      <c r="AC5" s="241" t="n"/>
      <c r="AD5" s="241" t="n"/>
      <c r="AE5" s="241" t="n"/>
      <c r="AF5" s="241" t="n"/>
      <c r="AG5" s="241" t="n"/>
      <c r="AH5" s="241" t="n"/>
      <c r="AI5" s="241" t="n"/>
      <c r="AJ5" s="241" t="n"/>
      <c r="AK5" s="241" t="n"/>
      <c r="AL5" s="241" t="n"/>
      <c r="AM5" s="241" t="n"/>
      <c r="AN5" s="241" t="n"/>
      <c r="AO5" s="241" t="n"/>
      <c r="AP5" s="241" t="n"/>
      <c r="AQ5" s="241" t="n"/>
      <c r="AR5" s="241" t="n"/>
      <c r="AS5" s="241" t="n"/>
      <c r="AT5" s="241" t="n"/>
      <c r="AU5" s="241" t="n"/>
      <c r="AV5" s="241" t="n"/>
      <c r="AW5" s="241" t="n"/>
      <c r="AX5" s="241" t="n"/>
      <c r="AY5" s="241" t="n"/>
      <c r="AZ5" s="241" t="n"/>
      <c r="BA5" s="241" t="n"/>
      <c r="BB5" s="241" t="n"/>
      <c r="BC5" s="241" t="n"/>
      <c r="BD5" s="241" t="n"/>
      <c r="BE5" s="241" t="n"/>
      <c r="BF5" s="241" t="n"/>
      <c r="BG5" s="241" t="n"/>
      <c r="BH5" s="83" t="n"/>
      <c r="BI5" s="241" t="n"/>
      <c r="BJ5" s="241" t="n"/>
    </row>
    <row r="6" ht="13.5" customHeight="1" s="349">
      <c r="A6" s="77" t="n"/>
      <c r="B6" s="79" t="inlineStr">
        <is>
          <t>Revenues</t>
        </is>
      </c>
      <c r="C6" s="80" t="n"/>
      <c r="D6" s="80" t="n"/>
      <c r="E6" s="80" t="n"/>
      <c r="F6" s="80" t="n"/>
      <c r="G6" s="80" t="n"/>
      <c r="H6" s="80" t="n"/>
      <c r="I6" s="80" t="n"/>
      <c r="J6" s="80" t="n"/>
      <c r="K6" s="80" t="n"/>
      <c r="L6" s="80" t="n"/>
      <c r="M6" s="80" t="n"/>
      <c r="N6" s="80" t="n"/>
      <c r="O6" s="80" t="n"/>
      <c r="P6" s="80" t="n"/>
      <c r="Q6" s="80" t="n"/>
      <c r="R6" s="84" t="n"/>
      <c r="S6" s="85" t="n"/>
      <c r="T6" s="86" t="n"/>
      <c r="U6" s="80" t="n"/>
      <c r="V6" s="80" t="n"/>
      <c r="W6" s="80" t="n"/>
      <c r="X6" s="80" t="n"/>
      <c r="Y6" s="80" t="n"/>
      <c r="Z6" s="80" t="n"/>
      <c r="AA6" s="80" t="n"/>
      <c r="AB6" s="80" t="n"/>
      <c r="AC6" s="80" t="n"/>
      <c r="AD6" s="80" t="n"/>
      <c r="AE6" s="80" t="n"/>
      <c r="AF6" s="80" t="n"/>
      <c r="AG6" s="80" t="n"/>
      <c r="AH6" s="80" t="n"/>
      <c r="AI6" s="80" t="n"/>
      <c r="AJ6" s="80" t="n"/>
      <c r="AK6" s="80" t="n"/>
      <c r="AL6" s="80" t="n"/>
      <c r="AM6" s="80" t="n"/>
      <c r="AN6" s="80" t="n"/>
      <c r="AO6" s="80" t="n"/>
      <c r="AP6" s="80" t="n"/>
      <c r="AQ6" s="80" t="n"/>
      <c r="AR6" s="80" t="n"/>
      <c r="AS6" s="80" t="n"/>
      <c r="AT6" s="80" t="n"/>
      <c r="AU6" s="80" t="n"/>
      <c r="AV6" s="80" t="n"/>
      <c r="AW6" s="80" t="n"/>
      <c r="AX6" s="80" t="n"/>
      <c r="AY6" s="80" t="n"/>
      <c r="AZ6" s="84" t="n"/>
      <c r="BA6" s="226" t="n"/>
      <c r="BB6" s="84" t="n"/>
      <c r="BC6" s="84" t="n"/>
      <c r="BD6" s="84" t="n"/>
      <c r="BE6" s="84" t="n"/>
      <c r="BF6" s="84" t="n"/>
      <c r="BG6" s="226" t="n"/>
      <c r="BH6" s="350" t="n"/>
      <c r="BI6" s="226" t="n"/>
      <c r="BJ6" s="226" t="n"/>
    </row>
    <row r="7" ht="15" customHeight="1" s="349">
      <c r="A7" s="226" t="n"/>
      <c r="B7" s="233" t="inlineStr">
        <is>
          <t xml:space="preserve">TTK </t>
        </is>
      </c>
      <c r="C7" s="233" t="n"/>
      <c r="D7" s="233" t="inlineStr">
        <is>
          <t>€</t>
        </is>
      </c>
      <c r="E7" s="241" t="n"/>
      <c r="F7" s="241" t="n"/>
      <c r="G7" s="241" t="n"/>
      <c r="H7" s="241" t="n"/>
      <c r="I7" s="241" t="n"/>
      <c r="J7" s="241" t="n"/>
      <c r="K7" s="241" t="n"/>
      <c r="L7" s="241" t="n"/>
      <c r="M7" s="241">
        <f>'Revenue Forecast'!M9</f>
        <v/>
      </c>
      <c r="N7" s="241">
        <f>'Revenue Forecast'!N9</f>
        <v/>
      </c>
      <c r="O7" s="241">
        <f>'Revenue Forecast'!O9</f>
        <v/>
      </c>
      <c r="P7" s="241">
        <f>'Revenue Forecast'!P9</f>
        <v/>
      </c>
      <c r="Q7" s="241">
        <f>'Revenue Forecast'!Q9</f>
        <v/>
      </c>
      <c r="R7" s="241">
        <f>'Revenue Forecast'!R9</f>
        <v/>
      </c>
      <c r="S7" s="241">
        <f>'Revenue Forecast'!S9</f>
        <v/>
      </c>
      <c r="T7" s="241">
        <f>'Revenue Forecast'!T9</f>
        <v/>
      </c>
      <c r="U7" s="241">
        <f>'Revenue Forecast'!U9</f>
        <v/>
      </c>
      <c r="V7" s="241">
        <f>'Revenue Forecast'!V9</f>
        <v/>
      </c>
      <c r="W7" s="241">
        <f>'Revenue Forecast'!W9</f>
        <v/>
      </c>
      <c r="X7" s="241">
        <f>'Revenue Forecast'!X9</f>
        <v/>
      </c>
      <c r="Y7" s="241">
        <f>'Revenue Forecast'!Y9</f>
        <v/>
      </c>
      <c r="Z7" s="241">
        <f>'Revenue Forecast'!Z9</f>
        <v/>
      </c>
      <c r="AA7" s="241">
        <f>'Revenue Forecast'!AA9</f>
        <v/>
      </c>
      <c r="AB7" s="241">
        <f>'Revenue Forecast'!AB9</f>
        <v/>
      </c>
      <c r="AC7" s="241">
        <f>'Revenue Forecast'!AC9</f>
        <v/>
      </c>
      <c r="AD7" s="241">
        <f>'Revenue Forecast'!AD9</f>
        <v/>
      </c>
      <c r="AE7" s="241">
        <f>'Revenue Forecast'!AE9</f>
        <v/>
      </c>
      <c r="AF7" s="241">
        <f>'Revenue Forecast'!AF9</f>
        <v/>
      </c>
      <c r="AG7" s="241">
        <f>'Revenue Forecast'!AG9</f>
        <v/>
      </c>
      <c r="AH7" s="241">
        <f>'Revenue Forecast'!AH9</f>
        <v/>
      </c>
      <c r="AI7" s="241">
        <f>'Revenue Forecast'!AI9</f>
        <v/>
      </c>
      <c r="AJ7" s="241">
        <f>'Revenue Forecast'!AJ9</f>
        <v/>
      </c>
      <c r="AK7" s="241">
        <f>'Revenue Forecast'!AK9</f>
        <v/>
      </c>
      <c r="AL7" s="241">
        <f>'Revenue Forecast'!AL9</f>
        <v/>
      </c>
      <c r="AM7" s="241">
        <f>'Revenue Forecast'!AM9</f>
        <v/>
      </c>
      <c r="AN7" s="241">
        <f>'Revenue Forecast'!AN9</f>
        <v/>
      </c>
      <c r="AO7" s="241">
        <f>'Revenue Forecast'!AO9</f>
        <v/>
      </c>
      <c r="AP7" s="241">
        <f>'Revenue Forecast'!AP9</f>
        <v/>
      </c>
      <c r="AQ7" s="241">
        <f>'Revenue Forecast'!AQ9</f>
        <v/>
      </c>
      <c r="AR7" s="241">
        <f>'Revenue Forecast'!AR9</f>
        <v/>
      </c>
      <c r="AS7" s="241">
        <f>'Revenue Forecast'!AS9</f>
        <v/>
      </c>
      <c r="AT7" s="241">
        <f>'Revenue Forecast'!AT9</f>
        <v/>
      </c>
      <c r="AU7" s="241">
        <f>'Revenue Forecast'!AU9</f>
        <v/>
      </c>
      <c r="AV7" s="241">
        <f>'Revenue Forecast'!AV9</f>
        <v/>
      </c>
      <c r="AW7" s="241">
        <f>'Revenue Forecast'!AW9</f>
        <v/>
      </c>
      <c r="AX7" s="241">
        <f>'Revenue Forecast'!AX9</f>
        <v/>
      </c>
      <c r="AY7" s="241">
        <f>'Revenue Forecast'!AY9</f>
        <v/>
      </c>
      <c r="AZ7" s="241">
        <f>'Revenue Forecast'!AZ9</f>
        <v/>
      </c>
      <c r="BA7" s="226" t="n"/>
      <c r="BB7" s="241">
        <f>sum(E7:P7)</f>
        <v/>
      </c>
      <c r="BC7" s="241">
        <f>sum(Q7:AB7)</f>
        <v/>
      </c>
      <c r="BD7" s="241">
        <f>sum(AC7:AN7)</f>
        <v/>
      </c>
      <c r="BE7" s="241">
        <f>sum(AO7:AZ7)</f>
        <v/>
      </c>
      <c r="BF7" s="241">
        <f>'Revenue Forecast'!BF9</f>
        <v/>
      </c>
      <c r="BG7" s="66" t="n"/>
      <c r="BH7" s="350" t="inlineStr">
        <is>
          <t>TTK revenue, pulled from the Revenue Forecast</t>
        </is>
      </c>
      <c r="BI7" s="66" t="n"/>
      <c r="BJ7" s="66" t="n"/>
    </row>
    <row r="8" ht="15" customHeight="1" s="349">
      <c r="A8" s="226" t="n"/>
      <c r="B8" s="233" t="inlineStr">
        <is>
          <t>Combi+</t>
        </is>
      </c>
      <c r="C8" s="233" t="n"/>
      <c r="D8" s="233" t="inlineStr">
        <is>
          <t>€</t>
        </is>
      </c>
      <c r="E8" s="241" t="n"/>
      <c r="F8" s="241" t="n"/>
      <c r="G8" s="241" t="n"/>
      <c r="H8" s="241" t="n"/>
      <c r="I8" s="241" t="n"/>
      <c r="J8" s="241" t="n"/>
      <c r="K8" s="241" t="n"/>
      <c r="L8" s="241" t="n"/>
      <c r="M8" s="241" t="n"/>
      <c r="N8" s="241" t="n"/>
      <c r="O8" s="241" t="n"/>
      <c r="P8" s="241" t="n"/>
      <c r="Q8" s="241">
        <f>'Revenue Forecast'!Q15</f>
        <v/>
      </c>
      <c r="R8" s="241">
        <f>'Revenue Forecast'!R15</f>
        <v/>
      </c>
      <c r="S8" s="241">
        <f>'Revenue Forecast'!S15</f>
        <v/>
      </c>
      <c r="T8" s="241">
        <f>'Revenue Forecast'!T15</f>
        <v/>
      </c>
      <c r="U8" s="241">
        <f>'Revenue Forecast'!U15</f>
        <v/>
      </c>
      <c r="V8" s="241">
        <f>'Revenue Forecast'!V15</f>
        <v/>
      </c>
      <c r="W8" s="241">
        <f>'Revenue Forecast'!W15</f>
        <v/>
      </c>
      <c r="X8" s="241">
        <f>'Revenue Forecast'!X15</f>
        <v/>
      </c>
      <c r="Y8" s="241">
        <f>'Revenue Forecast'!Y15</f>
        <v/>
      </c>
      <c r="Z8" s="241">
        <f>'Revenue Forecast'!Z15</f>
        <v/>
      </c>
      <c r="AA8" s="241">
        <f>'Revenue Forecast'!AA15</f>
        <v/>
      </c>
      <c r="AB8" s="241">
        <f>'Revenue Forecast'!AB15</f>
        <v/>
      </c>
      <c r="AC8" s="241">
        <f>'Revenue Forecast'!AC15</f>
        <v/>
      </c>
      <c r="AD8" s="241">
        <f>'Revenue Forecast'!AD15</f>
        <v/>
      </c>
      <c r="AE8" s="241">
        <f>'Revenue Forecast'!AE15</f>
        <v/>
      </c>
      <c r="AF8" s="241">
        <f>'Revenue Forecast'!AF15</f>
        <v/>
      </c>
      <c r="AG8" s="241">
        <f>'Revenue Forecast'!AG15</f>
        <v/>
      </c>
      <c r="AH8" s="241">
        <f>'Revenue Forecast'!AH15</f>
        <v/>
      </c>
      <c r="AI8" s="241">
        <f>'Revenue Forecast'!AI15</f>
        <v/>
      </c>
      <c r="AJ8" s="241">
        <f>'Revenue Forecast'!AJ15</f>
        <v/>
      </c>
      <c r="AK8" s="241">
        <f>'Revenue Forecast'!AK15</f>
        <v/>
      </c>
      <c r="AL8" s="241">
        <f>'Revenue Forecast'!AL15</f>
        <v/>
      </c>
      <c r="AM8" s="241">
        <f>'Revenue Forecast'!AM15</f>
        <v/>
      </c>
      <c r="AN8" s="241">
        <f>'Revenue Forecast'!AN15</f>
        <v/>
      </c>
      <c r="AO8" s="241">
        <f>'Revenue Forecast'!AO15</f>
        <v/>
      </c>
      <c r="AP8" s="241">
        <f>'Revenue Forecast'!AP15</f>
        <v/>
      </c>
      <c r="AQ8" s="241">
        <f>'Revenue Forecast'!AQ15</f>
        <v/>
      </c>
      <c r="AR8" s="241">
        <f>'Revenue Forecast'!AR15</f>
        <v/>
      </c>
      <c r="AS8" s="241">
        <f>'Revenue Forecast'!AS15</f>
        <v/>
      </c>
      <c r="AT8" s="241">
        <f>'Revenue Forecast'!AT15</f>
        <v/>
      </c>
      <c r="AU8" s="241">
        <f>'Revenue Forecast'!AU15</f>
        <v/>
      </c>
      <c r="AV8" s="241">
        <f>'Revenue Forecast'!AV15</f>
        <v/>
      </c>
      <c r="AW8" s="241">
        <f>'Revenue Forecast'!AW15</f>
        <v/>
      </c>
      <c r="AX8" s="241">
        <f>'Revenue Forecast'!AX15</f>
        <v/>
      </c>
      <c r="AY8" s="241">
        <f>'Revenue Forecast'!AY15</f>
        <v/>
      </c>
      <c r="AZ8" s="241">
        <f>'Revenue Forecast'!AZ15</f>
        <v/>
      </c>
      <c r="BA8" s="226" t="n"/>
      <c r="BB8" s="241">
        <f>'Revenue Forecast'!BB15</f>
        <v/>
      </c>
      <c r="BC8" s="241">
        <f>'Revenue Forecast'!BC15</f>
        <v/>
      </c>
      <c r="BD8" s="241">
        <f>'Revenue Forecast'!BD15</f>
        <v/>
      </c>
      <c r="BE8" s="241">
        <f>'Revenue Forecast'!BE15</f>
        <v/>
      </c>
      <c r="BF8" s="241">
        <f>'Revenue Forecast'!BF15</f>
        <v/>
      </c>
      <c r="BG8" s="66" t="n"/>
      <c r="BH8" s="350" t="inlineStr">
        <is>
          <t>Combi+ revenue, pulled from the Revenue Forecast</t>
        </is>
      </c>
      <c r="BI8" s="66" t="n"/>
      <c r="BJ8" s="66" t="n"/>
    </row>
    <row r="9" ht="15" customHeight="1" s="349">
      <c r="A9" s="226" t="n"/>
      <c r="B9" s="233" t="inlineStr">
        <is>
          <t>Other</t>
        </is>
      </c>
      <c r="C9" s="233" t="n"/>
      <c r="D9" s="233" t="inlineStr">
        <is>
          <t>€</t>
        </is>
      </c>
      <c r="E9" s="241" t="n"/>
      <c r="F9" s="241" t="n"/>
      <c r="G9" s="241" t="n"/>
      <c r="H9" s="241" t="n"/>
      <c r="I9" s="241" t="n"/>
      <c r="J9" s="241" t="n"/>
      <c r="K9" s="241" t="n"/>
      <c r="L9" s="241" t="n"/>
      <c r="M9" s="241">
        <f>'Revenue Forecast'!M19+'Revenue Forecast'!M24</f>
        <v/>
      </c>
      <c r="N9" s="241">
        <f>'Revenue Forecast'!N19+'Revenue Forecast'!N24</f>
        <v/>
      </c>
      <c r="O9" s="241">
        <f>'Revenue Forecast'!O19+'Revenue Forecast'!O24</f>
        <v/>
      </c>
      <c r="P9" s="241">
        <f>'Revenue Forecast'!P19+'Revenue Forecast'!P24</f>
        <v/>
      </c>
      <c r="Q9" s="241">
        <f>'Revenue Forecast'!Q19+'Revenue Forecast'!Q24</f>
        <v/>
      </c>
      <c r="R9" s="241">
        <f>'Revenue Forecast'!R19+'Revenue Forecast'!R24</f>
        <v/>
      </c>
      <c r="S9" s="241">
        <f>'Revenue Forecast'!S19+'Revenue Forecast'!S24</f>
        <v/>
      </c>
      <c r="T9" s="241">
        <f>'Revenue Forecast'!T19+'Revenue Forecast'!T24</f>
        <v/>
      </c>
      <c r="U9" s="241">
        <f>'Revenue Forecast'!U19+'Revenue Forecast'!U24</f>
        <v/>
      </c>
      <c r="V9" s="241">
        <f>'Revenue Forecast'!V19+'Revenue Forecast'!V24</f>
        <v/>
      </c>
      <c r="W9" s="241">
        <f>'Revenue Forecast'!W19+'Revenue Forecast'!W24</f>
        <v/>
      </c>
      <c r="X9" s="241">
        <f>'Revenue Forecast'!X19+'Revenue Forecast'!X24</f>
        <v/>
      </c>
      <c r="Y9" s="241">
        <f>'Revenue Forecast'!Y19+'Revenue Forecast'!Y24</f>
        <v/>
      </c>
      <c r="Z9" s="241">
        <f>'Revenue Forecast'!Z19+'Revenue Forecast'!Z24</f>
        <v/>
      </c>
      <c r="AA9" s="241">
        <f>'Revenue Forecast'!AA19+'Revenue Forecast'!AA24</f>
        <v/>
      </c>
      <c r="AB9" s="241">
        <f>'Revenue Forecast'!AB19+'Revenue Forecast'!AB24</f>
        <v/>
      </c>
      <c r="AC9" s="241">
        <f>'Revenue Forecast'!AC19+'Revenue Forecast'!AC24</f>
        <v/>
      </c>
      <c r="AD9" s="241">
        <f>'Revenue Forecast'!AD19+'Revenue Forecast'!AD24</f>
        <v/>
      </c>
      <c r="AE9" s="241">
        <f>'Revenue Forecast'!AE19+'Revenue Forecast'!AE24</f>
        <v/>
      </c>
      <c r="AF9" s="241">
        <f>'Revenue Forecast'!AF19+'Revenue Forecast'!AF24</f>
        <v/>
      </c>
      <c r="AG9" s="241">
        <f>'Revenue Forecast'!AG19+'Revenue Forecast'!AG24</f>
        <v/>
      </c>
      <c r="AH9" s="241">
        <f>'Revenue Forecast'!AH19+'Revenue Forecast'!AH24</f>
        <v/>
      </c>
      <c r="AI9" s="241">
        <f>'Revenue Forecast'!AI19+'Revenue Forecast'!AI24</f>
        <v/>
      </c>
      <c r="AJ9" s="241">
        <f>'Revenue Forecast'!AJ19+'Revenue Forecast'!AJ24</f>
        <v/>
      </c>
      <c r="AK9" s="241">
        <f>'Revenue Forecast'!AK19+'Revenue Forecast'!AK24</f>
        <v/>
      </c>
      <c r="AL9" s="241">
        <f>'Revenue Forecast'!AL19+'Revenue Forecast'!AL24</f>
        <v/>
      </c>
      <c r="AM9" s="241">
        <f>'Revenue Forecast'!AM19+'Revenue Forecast'!AM24</f>
        <v/>
      </c>
      <c r="AN9" s="241">
        <f>'Revenue Forecast'!AN19+'Revenue Forecast'!AN24</f>
        <v/>
      </c>
      <c r="AO9" s="241">
        <f>'Revenue Forecast'!AO19+'Revenue Forecast'!AO24</f>
        <v/>
      </c>
      <c r="AP9" s="241">
        <f>'Revenue Forecast'!AP19+'Revenue Forecast'!AP24</f>
        <v/>
      </c>
      <c r="AQ9" s="241">
        <f>'Revenue Forecast'!AQ19+'Revenue Forecast'!AQ24</f>
        <v/>
      </c>
      <c r="AR9" s="241">
        <f>'Revenue Forecast'!AR19+'Revenue Forecast'!AR24</f>
        <v/>
      </c>
      <c r="AS9" s="241">
        <f>'Revenue Forecast'!AS19+'Revenue Forecast'!AS24</f>
        <v/>
      </c>
      <c r="AT9" s="241">
        <f>'Revenue Forecast'!AT19+'Revenue Forecast'!AT24</f>
        <v/>
      </c>
      <c r="AU9" s="241">
        <f>'Revenue Forecast'!AU19+'Revenue Forecast'!AU24</f>
        <v/>
      </c>
      <c r="AV9" s="241">
        <f>'Revenue Forecast'!AV19+'Revenue Forecast'!AV24</f>
        <v/>
      </c>
      <c r="AW9" s="241">
        <f>'Revenue Forecast'!AW19+'Revenue Forecast'!AW24</f>
        <v/>
      </c>
      <c r="AX9" s="241">
        <f>'Revenue Forecast'!AX19+'Revenue Forecast'!AX24</f>
        <v/>
      </c>
      <c r="AY9" s="241">
        <f>'Revenue Forecast'!AY19+'Revenue Forecast'!AY24</f>
        <v/>
      </c>
      <c r="AZ9" s="241">
        <f>'Revenue Forecast'!AZ19+'Revenue Forecast'!AZ24</f>
        <v/>
      </c>
      <c r="BA9" s="226" t="n"/>
      <c r="BB9" s="241">
        <f>sum(E9:P9)</f>
        <v/>
      </c>
      <c r="BC9" s="241">
        <f>sum(Q9:AB9)</f>
        <v/>
      </c>
      <c r="BD9" s="241">
        <f>sum(AC9:AN9)</f>
        <v/>
      </c>
      <c r="BE9" s="241">
        <f>sum(AO9:AZ9)</f>
        <v/>
      </c>
      <c r="BF9" s="241">
        <f>'Revenue Forecast'!BF19+'Revenue Forecast'!BF24</f>
        <v/>
      </c>
      <c r="BG9" s="66" t="n"/>
      <c r="BH9" s="350" t="inlineStr">
        <is>
          <t>installation + service revenue from the Revenue Forecast</t>
        </is>
      </c>
      <c r="BI9" s="66" t="n"/>
      <c r="BJ9" s="66" t="n"/>
    </row>
    <row r="10" ht="15" customHeight="1" s="349">
      <c r="A10" s="226" t="n"/>
      <c r="B10" s="241" t="inlineStr">
        <is>
          <t>Subsidies &amp; grants</t>
        </is>
      </c>
      <c r="C10" s="233" t="n"/>
      <c r="D10" s="233" t="inlineStr">
        <is>
          <t>€</t>
        </is>
      </c>
      <c r="E10" s="241" t="n"/>
      <c r="F10" s="241" t="n"/>
      <c r="G10" s="241" t="n"/>
      <c r="H10" s="241" t="n"/>
      <c r="I10" s="241" t="n"/>
      <c r="J10" s="241" t="n"/>
      <c r="K10" s="241" t="n"/>
      <c r="L10" s="241" t="n"/>
      <c r="M10" s="241">
        <f>'Revenue Forecast'!M28</f>
        <v/>
      </c>
      <c r="N10" s="241">
        <f>'Revenue Forecast'!N28</f>
        <v/>
      </c>
      <c r="O10" s="241">
        <f>'Revenue Forecast'!O28</f>
        <v/>
      </c>
      <c r="P10" s="241">
        <f>'Revenue Forecast'!P28</f>
        <v/>
      </c>
      <c r="Q10" s="241">
        <f>'Revenue Forecast'!Q28</f>
        <v/>
      </c>
      <c r="R10" s="241">
        <f>'Revenue Forecast'!R28</f>
        <v/>
      </c>
      <c r="S10" s="241">
        <f>'Revenue Forecast'!S28</f>
        <v/>
      </c>
      <c r="T10" s="241" t="n">
        <v>0</v>
      </c>
      <c r="U10" s="241">
        <f>'Revenue Forecast'!U28</f>
        <v/>
      </c>
      <c r="V10" s="241">
        <f>'Revenue Forecast'!V28</f>
        <v/>
      </c>
      <c r="W10" s="241">
        <f>'Revenue Forecast'!W28</f>
        <v/>
      </c>
      <c r="X10" s="241">
        <f>'Revenue Forecast'!X28</f>
        <v/>
      </c>
      <c r="Y10" s="241">
        <f>'Revenue Forecast'!Y28</f>
        <v/>
      </c>
      <c r="Z10" s="241">
        <f>'Revenue Forecast'!Z28</f>
        <v/>
      </c>
      <c r="AA10" s="241">
        <f>'Revenue Forecast'!AA28</f>
        <v/>
      </c>
      <c r="AB10" s="241">
        <f>'Revenue Forecast'!AB28</f>
        <v/>
      </c>
      <c r="AC10" s="241">
        <f>'Revenue Forecast'!AC28</f>
        <v/>
      </c>
      <c r="AD10" s="241">
        <f>'Revenue Forecast'!AD28</f>
        <v/>
      </c>
      <c r="AE10" s="241">
        <f>'Revenue Forecast'!AE28</f>
        <v/>
      </c>
      <c r="AF10" s="241">
        <f>'Revenue Forecast'!AF28</f>
        <v/>
      </c>
      <c r="AG10" s="241">
        <f>'Revenue Forecast'!AG28</f>
        <v/>
      </c>
      <c r="AH10" s="241">
        <f>'Revenue Forecast'!AH28</f>
        <v/>
      </c>
      <c r="AI10" s="241">
        <f>'Revenue Forecast'!AI28</f>
        <v/>
      </c>
      <c r="AJ10" s="241">
        <f>'Revenue Forecast'!AJ28</f>
        <v/>
      </c>
      <c r="AK10" s="241">
        <f>'Revenue Forecast'!AK28</f>
        <v/>
      </c>
      <c r="AL10" s="241">
        <f>'Revenue Forecast'!AL28</f>
        <v/>
      </c>
      <c r="AM10" s="241">
        <f>'Revenue Forecast'!AM28</f>
        <v/>
      </c>
      <c r="AN10" s="241">
        <f>'Revenue Forecast'!AN28</f>
        <v/>
      </c>
      <c r="AO10" s="241">
        <f>'Revenue Forecast'!AO28</f>
        <v/>
      </c>
      <c r="AP10" s="241">
        <f>'Revenue Forecast'!AP28</f>
        <v/>
      </c>
      <c r="AQ10" s="241">
        <f>'Revenue Forecast'!AQ28</f>
        <v/>
      </c>
      <c r="AR10" s="241">
        <f>'Revenue Forecast'!AR28</f>
        <v/>
      </c>
      <c r="AS10" s="241">
        <f>'Revenue Forecast'!AS28</f>
        <v/>
      </c>
      <c r="AT10" s="241">
        <f>'Revenue Forecast'!AT28</f>
        <v/>
      </c>
      <c r="AU10" s="241">
        <f>'Revenue Forecast'!AU28</f>
        <v/>
      </c>
      <c r="AV10" s="241">
        <f>'Revenue Forecast'!AV28</f>
        <v/>
      </c>
      <c r="AW10" s="241">
        <f>'Revenue Forecast'!AW28</f>
        <v/>
      </c>
      <c r="AX10" s="241">
        <f>'Revenue Forecast'!AX28</f>
        <v/>
      </c>
      <c r="AY10" s="241">
        <f>'Revenue Forecast'!AY28</f>
        <v/>
      </c>
      <c r="AZ10" s="241">
        <f>'Revenue Forecast'!AZ28</f>
        <v/>
      </c>
      <c r="BA10" s="226" t="n"/>
      <c r="BB10" s="241">
        <f>sum(E10:P10)</f>
        <v/>
      </c>
      <c r="BC10" s="241">
        <f>sum(Q10:AB10)</f>
        <v/>
      </c>
      <c r="BD10" s="124" t="inlineStr">
        <is>
          <t>pm</t>
        </is>
      </c>
      <c r="BE10" s="124" t="inlineStr">
        <is>
          <t>pm</t>
        </is>
      </c>
      <c r="BF10" s="124" t="inlineStr">
        <is>
          <t>pm</t>
        </is>
      </c>
      <c r="BG10" s="66" t="n"/>
      <c r="BH10" s="350" t="inlineStr">
        <is>
          <t>subsidies from the Revenue Forecast. nothing budgeted</t>
        </is>
      </c>
      <c r="BI10" s="66" t="n"/>
      <c r="BJ10" s="66" t="n"/>
    </row>
    <row r="11" ht="12.75" customHeight="1" s="349">
      <c r="A11" s="125" t="n"/>
      <c r="B11" s="126" t="inlineStr">
        <is>
          <t>Total Revenue</t>
        </is>
      </c>
      <c r="C11" s="127" t="n"/>
      <c r="D11" s="126" t="inlineStr">
        <is>
          <t>€</t>
        </is>
      </c>
      <c r="E11" s="126" t="n"/>
      <c r="F11" s="126" t="n"/>
      <c r="G11" s="126" t="n"/>
      <c r="H11" s="126" t="n"/>
      <c r="I11" s="126" t="n"/>
      <c r="J11" s="126" t="n"/>
      <c r="K11" s="126" t="n"/>
      <c r="L11" s="126" t="n"/>
      <c r="M11" s="126">
        <f>'Revenue Forecast'!M30</f>
        <v/>
      </c>
      <c r="N11" s="126">
        <f>'Revenue Forecast'!N30</f>
        <v/>
      </c>
      <c r="O11" s="126">
        <f>'Revenue Forecast'!O30</f>
        <v/>
      </c>
      <c r="P11" s="126">
        <f>'Revenue Forecast'!P30</f>
        <v/>
      </c>
      <c r="Q11" s="126">
        <f>'Revenue Forecast'!Q30</f>
        <v/>
      </c>
      <c r="R11" s="126">
        <f>'Revenue Forecast'!R30</f>
        <v/>
      </c>
      <c r="S11" s="126">
        <f>'Revenue Forecast'!S30</f>
        <v/>
      </c>
      <c r="T11" s="126">
        <f>'Revenue Forecast'!T30</f>
        <v/>
      </c>
      <c r="U11" s="126">
        <f>'Revenue Forecast'!U30</f>
        <v/>
      </c>
      <c r="V11" s="126">
        <f>'Revenue Forecast'!V30</f>
        <v/>
      </c>
      <c r="W11" s="126">
        <f>'Revenue Forecast'!W30</f>
        <v/>
      </c>
      <c r="X11" s="126">
        <f>'Revenue Forecast'!X30</f>
        <v/>
      </c>
      <c r="Y11" s="126">
        <f>'Revenue Forecast'!Y30</f>
        <v/>
      </c>
      <c r="Z11" s="126">
        <f>'Revenue Forecast'!Z30</f>
        <v/>
      </c>
      <c r="AA11" s="126">
        <f>'Revenue Forecast'!AA30</f>
        <v/>
      </c>
      <c r="AB11" s="126">
        <f>'Revenue Forecast'!AB30</f>
        <v/>
      </c>
      <c r="AC11" s="126">
        <f>'Revenue Forecast'!AC30</f>
        <v/>
      </c>
      <c r="AD11" s="126">
        <f>'Revenue Forecast'!AD30</f>
        <v/>
      </c>
      <c r="AE11" s="126">
        <f>'Revenue Forecast'!AE30</f>
        <v/>
      </c>
      <c r="AF11" s="126">
        <f>'Revenue Forecast'!AF30</f>
        <v/>
      </c>
      <c r="AG11" s="126">
        <f>'Revenue Forecast'!AG30</f>
        <v/>
      </c>
      <c r="AH11" s="126">
        <f>'Revenue Forecast'!AH30</f>
        <v/>
      </c>
      <c r="AI11" s="126">
        <f>'Revenue Forecast'!AI30</f>
        <v/>
      </c>
      <c r="AJ11" s="126">
        <f>'Revenue Forecast'!AJ30</f>
        <v/>
      </c>
      <c r="AK11" s="126">
        <f>'Revenue Forecast'!AK30</f>
        <v/>
      </c>
      <c r="AL11" s="126">
        <f>'Revenue Forecast'!AL30</f>
        <v/>
      </c>
      <c r="AM11" s="126">
        <f>'Revenue Forecast'!AM30</f>
        <v/>
      </c>
      <c r="AN11" s="126">
        <f>'Revenue Forecast'!AN30</f>
        <v/>
      </c>
      <c r="AO11" s="126">
        <f>'Revenue Forecast'!AO30</f>
        <v/>
      </c>
      <c r="AP11" s="126">
        <f>'Revenue Forecast'!AP30</f>
        <v/>
      </c>
      <c r="AQ11" s="126">
        <f>'Revenue Forecast'!AQ30</f>
        <v/>
      </c>
      <c r="AR11" s="126">
        <f>'Revenue Forecast'!AR30</f>
        <v/>
      </c>
      <c r="AS11" s="126">
        <f>'Revenue Forecast'!AS30</f>
        <v/>
      </c>
      <c r="AT11" s="126">
        <f>'Revenue Forecast'!AT30</f>
        <v/>
      </c>
      <c r="AU11" s="126">
        <f>'Revenue Forecast'!AU30</f>
        <v/>
      </c>
      <c r="AV11" s="126">
        <f>'Revenue Forecast'!AV30</f>
        <v/>
      </c>
      <c r="AW11" s="126">
        <f>'Revenue Forecast'!AW30</f>
        <v/>
      </c>
      <c r="AX11" s="126">
        <f>'Revenue Forecast'!AX30</f>
        <v/>
      </c>
      <c r="AY11" s="126">
        <f>'Revenue Forecast'!AY30</f>
        <v/>
      </c>
      <c r="AZ11" s="126">
        <f>'Revenue Forecast'!AZ30</f>
        <v/>
      </c>
      <c r="BA11" s="133" t="n"/>
      <c r="BB11" s="134">
        <f>sum(E11:P11)</f>
        <v/>
      </c>
      <c r="BC11" s="134">
        <f>sum(Q11:AB11)</f>
        <v/>
      </c>
      <c r="BD11" s="134">
        <f>sum(AC11:AN11)</f>
        <v/>
      </c>
      <c r="BE11" s="134">
        <f>sum(AO11:AZ11)</f>
        <v/>
      </c>
      <c r="BF11" s="134">
        <f>sum(BF7:BF10)</f>
        <v/>
      </c>
      <c r="BG11" s="137" t="n"/>
      <c r="BH11" s="350" t="inlineStr">
        <is>
          <t>all the revenue lines added</t>
        </is>
      </c>
      <c r="BI11" s="137" t="n"/>
      <c r="BJ11" s="137" t="n"/>
    </row>
    <row r="12" ht="15" customHeight="1" s="349">
      <c r="A12" s="226" t="n"/>
      <c r="B12" s="138" t="n"/>
      <c r="C12" s="233" t="n"/>
      <c r="D12" s="138" t="n"/>
      <c r="E12" s="233" t="n"/>
      <c r="F12" s="233" t="n"/>
      <c r="G12" s="233" t="n"/>
      <c r="H12" s="233" t="n"/>
      <c r="I12" s="233" t="n"/>
      <c r="J12" s="233" t="n"/>
      <c r="K12" s="233" t="n"/>
      <c r="L12" s="233" t="n"/>
      <c r="M12" s="233" t="n"/>
      <c r="N12" s="233" t="n"/>
      <c r="O12" s="233" t="n"/>
      <c r="P12" s="233" t="n"/>
      <c r="Q12" s="233" t="n"/>
      <c r="R12" s="233" t="n"/>
      <c r="S12" s="233" t="n"/>
      <c r="T12" s="233" t="n"/>
      <c r="U12" s="233" t="n"/>
      <c r="V12" s="233" t="n"/>
      <c r="W12" s="233" t="n"/>
      <c r="X12" s="233" t="n"/>
      <c r="Y12" s="233" t="n"/>
      <c r="Z12" s="233" t="n"/>
      <c r="AA12" s="233" t="n"/>
      <c r="AB12" s="233" t="n"/>
      <c r="AC12" s="233" t="n"/>
      <c r="AD12" s="233" t="n"/>
      <c r="AE12" s="233" t="n"/>
      <c r="AF12" s="233" t="n"/>
      <c r="AG12" s="233" t="n"/>
      <c r="AH12" s="233" t="n"/>
      <c r="AI12" s="233" t="n"/>
      <c r="AJ12" s="233" t="n"/>
      <c r="AK12" s="233" t="n"/>
      <c r="AL12" s="233" t="n"/>
      <c r="AM12" s="233" t="n"/>
      <c r="AN12" s="233" t="n"/>
      <c r="AO12" s="233" t="n"/>
      <c r="AP12" s="233" t="n"/>
      <c r="AQ12" s="233" t="n"/>
      <c r="AR12" s="233" t="n"/>
      <c r="AS12" s="233" t="n"/>
      <c r="AT12" s="233" t="n"/>
      <c r="AU12" s="233" t="n"/>
      <c r="AV12" s="233" t="n"/>
      <c r="AW12" s="233" t="n"/>
      <c r="AX12" s="233" t="n"/>
      <c r="AY12" s="233" t="n"/>
      <c r="AZ12" s="233" t="n"/>
      <c r="BA12" s="226" t="n"/>
      <c r="BB12" s="233" t="n"/>
      <c r="BC12" s="233" t="n"/>
      <c r="BD12" s="233" t="n"/>
      <c r="BE12" s="233" t="n"/>
      <c r="BF12" s="233" t="n"/>
      <c r="BG12" s="226" t="n"/>
      <c r="BH12" s="350" t="n"/>
      <c r="BI12" s="226" t="n"/>
      <c r="BJ12" s="226" t="n"/>
    </row>
    <row r="13" ht="13.5" customHeight="1" s="349">
      <c r="A13" s="77" t="n"/>
      <c r="B13" s="79" t="inlineStr">
        <is>
          <t>Cost of goods sold</t>
        </is>
      </c>
      <c r="C13" s="80" t="n"/>
      <c r="D13" s="80" t="n"/>
      <c r="E13" s="80" t="n"/>
      <c r="F13" s="80" t="n"/>
      <c r="G13" s="80" t="n"/>
      <c r="H13" s="80" t="n"/>
      <c r="I13" s="80" t="n"/>
      <c r="J13" s="80" t="n"/>
      <c r="K13" s="80" t="n"/>
      <c r="L13" s="80" t="n"/>
      <c r="M13" s="80" t="n"/>
      <c r="N13" s="80" t="n"/>
      <c r="O13" s="80" t="n"/>
      <c r="P13" s="80" t="n"/>
      <c r="Q13" s="80" t="n"/>
      <c r="R13" s="84" t="n"/>
      <c r="S13" s="85" t="n"/>
      <c r="T13" s="86" t="n"/>
      <c r="U13" s="80" t="n"/>
      <c r="V13" s="80" t="n"/>
      <c r="W13" s="80" t="n"/>
      <c r="X13" s="80" t="n"/>
      <c r="Y13" s="80" t="n"/>
      <c r="Z13" s="80" t="n"/>
      <c r="AA13" s="80" t="n"/>
      <c r="AB13" s="80" t="n"/>
      <c r="AC13" s="80" t="n"/>
      <c r="AD13" s="80" t="n"/>
      <c r="AE13" s="80" t="n"/>
      <c r="AF13" s="80" t="n"/>
      <c r="AG13" s="80" t="n"/>
      <c r="AH13" s="80" t="n"/>
      <c r="AI13" s="80" t="n"/>
      <c r="AJ13" s="80" t="n"/>
      <c r="AK13" s="80" t="n"/>
      <c r="AL13" s="80" t="n"/>
      <c r="AM13" s="80" t="n"/>
      <c r="AN13" s="80" t="n"/>
      <c r="AO13" s="80" t="n"/>
      <c r="AP13" s="80" t="n"/>
      <c r="AQ13" s="80" t="n"/>
      <c r="AR13" s="80" t="n"/>
      <c r="AS13" s="80" t="n"/>
      <c r="AT13" s="80" t="n"/>
      <c r="AU13" s="80" t="n"/>
      <c r="AV13" s="80" t="n"/>
      <c r="AW13" s="80" t="n"/>
      <c r="AX13" s="80" t="n"/>
      <c r="AY13" s="80" t="n"/>
      <c r="AZ13" s="84" t="n"/>
      <c r="BA13" s="226" t="n"/>
      <c r="BB13" s="84" t="n"/>
      <c r="BC13" s="84" t="n"/>
      <c r="BD13" s="84" t="n"/>
      <c r="BE13" s="84" t="n"/>
      <c r="BF13" s="84" t="n"/>
      <c r="BG13" s="226" t="n"/>
      <c r="BH13" s="350" t="n"/>
      <c r="BI13" s="226" t="n"/>
      <c r="BJ13" s="226" t="n"/>
    </row>
    <row r="14" ht="15" customHeight="1" s="349">
      <c r="A14" s="226" t="n"/>
      <c r="B14" s="241" t="inlineStr">
        <is>
          <t>TTK</t>
        </is>
      </c>
      <c r="C14" s="233" t="n"/>
      <c r="D14" s="233" t="inlineStr">
        <is>
          <t>€</t>
        </is>
      </c>
      <c r="E14" s="241">
        <f>COGS!E9</f>
        <v/>
      </c>
      <c r="F14" s="241">
        <f>COGS!F9</f>
        <v/>
      </c>
      <c r="G14" s="241">
        <f>COGS!G9</f>
        <v/>
      </c>
      <c r="H14" s="241">
        <f>COGS!H9</f>
        <v/>
      </c>
      <c r="I14" s="241">
        <f>COGS!I9</f>
        <v/>
      </c>
      <c r="J14" s="241">
        <f>COGS!J9</f>
        <v/>
      </c>
      <c r="K14" s="241">
        <f>COGS!K9</f>
        <v/>
      </c>
      <c r="L14" s="241">
        <f>COGS!L9</f>
        <v/>
      </c>
      <c r="M14" s="241">
        <f>COGS!M9</f>
        <v/>
      </c>
      <c r="N14" s="241">
        <f>COGS!N9</f>
        <v/>
      </c>
      <c r="O14" s="241">
        <f>COGS!O9</f>
        <v/>
      </c>
      <c r="P14" s="241">
        <f>COGS!P9</f>
        <v/>
      </c>
      <c r="Q14" s="241">
        <f>COGS!Q9</f>
        <v/>
      </c>
      <c r="R14" s="241">
        <f>COGS!R9</f>
        <v/>
      </c>
      <c r="S14" s="241">
        <f>COGS!S9</f>
        <v/>
      </c>
      <c r="T14" s="241">
        <f>COGS!T9</f>
        <v/>
      </c>
      <c r="U14" s="241">
        <f>COGS!U9</f>
        <v/>
      </c>
      <c r="V14" s="241">
        <f>COGS!V9</f>
        <v/>
      </c>
      <c r="W14" s="241">
        <f>COGS!W9</f>
        <v/>
      </c>
      <c r="X14" s="241">
        <f>COGS!X9</f>
        <v/>
      </c>
      <c r="Y14" s="241">
        <f>COGS!Y9</f>
        <v/>
      </c>
      <c r="Z14" s="241">
        <f>COGS!Z9</f>
        <v/>
      </c>
      <c r="AA14" s="241">
        <f>COGS!AA9</f>
        <v/>
      </c>
      <c r="AB14" s="241">
        <f>COGS!AB9</f>
        <v/>
      </c>
      <c r="AC14" s="241">
        <f>COGS!AC9</f>
        <v/>
      </c>
      <c r="AD14" s="241">
        <f>COGS!AD9</f>
        <v/>
      </c>
      <c r="AE14" s="241">
        <f>COGS!AE9</f>
        <v/>
      </c>
      <c r="AF14" s="241">
        <f>COGS!AF9</f>
        <v/>
      </c>
      <c r="AG14" s="241">
        <f>COGS!AG9</f>
        <v/>
      </c>
      <c r="AH14" s="241">
        <f>COGS!AH9</f>
        <v/>
      </c>
      <c r="AI14" s="241">
        <f>COGS!AI9</f>
        <v/>
      </c>
      <c r="AJ14" s="241">
        <f>COGS!AJ9</f>
        <v/>
      </c>
      <c r="AK14" s="241">
        <f>COGS!AK9</f>
        <v/>
      </c>
      <c r="AL14" s="241">
        <f>COGS!AL9</f>
        <v/>
      </c>
      <c r="AM14" s="241">
        <f>COGS!AM9</f>
        <v/>
      </c>
      <c r="AN14" s="241">
        <f>COGS!AN9</f>
        <v/>
      </c>
      <c r="AO14" s="241">
        <f>COGS!AO9</f>
        <v/>
      </c>
      <c r="AP14" s="241">
        <f>COGS!AP9</f>
        <v/>
      </c>
      <c r="AQ14" s="241">
        <f>COGS!AQ9</f>
        <v/>
      </c>
      <c r="AR14" s="241">
        <f>COGS!AR9</f>
        <v/>
      </c>
      <c r="AS14" s="241">
        <f>COGS!AS9</f>
        <v/>
      </c>
      <c r="AT14" s="241">
        <f>COGS!AT9</f>
        <v/>
      </c>
      <c r="AU14" s="241">
        <f>COGS!AU9</f>
        <v/>
      </c>
      <c r="AV14" s="241">
        <f>COGS!AV9</f>
        <v/>
      </c>
      <c r="AW14" s="241">
        <f>COGS!AW9</f>
        <v/>
      </c>
      <c r="AX14" s="241">
        <f>COGS!AX9</f>
        <v/>
      </c>
      <c r="AY14" s="241">
        <f>COGS!AY9</f>
        <v/>
      </c>
      <c r="AZ14" s="241">
        <f>COGS!AZ9</f>
        <v/>
      </c>
      <c r="BA14" s="226" t="n"/>
      <c r="BB14" s="241">
        <f>sum(E14:P14)</f>
        <v/>
      </c>
      <c r="BC14" s="241">
        <f>sum(Q14:AB14)</f>
        <v/>
      </c>
      <c r="BD14" s="241">
        <f>sum(AC14:AN14)</f>
        <v/>
      </c>
      <c r="BE14" s="241">
        <f>sum(AO14:AZ14)</f>
        <v/>
      </c>
      <c r="BF14" s="241">
        <f>COGS!BF9</f>
        <v/>
      </c>
      <c r="BG14" s="66" t="n"/>
      <c r="BH14" s="350" t="inlineStr">
        <is>
          <t>TTK cost of sales, from the COGS tab</t>
        </is>
      </c>
      <c r="BI14" s="66" t="n"/>
      <c r="BJ14" s="66" t="n"/>
    </row>
    <row r="15" ht="15" customHeight="1" s="349">
      <c r="A15" s="226" t="n"/>
      <c r="B15" s="241" t="inlineStr">
        <is>
          <t>Combi+</t>
        </is>
      </c>
      <c r="C15" s="233" t="n"/>
      <c r="D15" s="233" t="inlineStr">
        <is>
          <t>€</t>
        </is>
      </c>
      <c r="E15" s="241" t="n"/>
      <c r="F15" s="241" t="n"/>
      <c r="G15" s="241" t="n"/>
      <c r="H15" s="241" t="n"/>
      <c r="I15" s="241" t="n"/>
      <c r="J15" s="241" t="n"/>
      <c r="K15" s="241" t="n"/>
      <c r="L15" s="241" t="n"/>
      <c r="M15" s="241" t="n"/>
      <c r="N15" s="241" t="n"/>
      <c r="O15" s="241" t="n"/>
      <c r="P15" s="241" t="n"/>
      <c r="Q15" s="241">
        <f>COGS!Q14</f>
        <v/>
      </c>
      <c r="R15" s="241">
        <f>COGS!R14</f>
        <v/>
      </c>
      <c r="S15" s="241">
        <f>COGS!S14</f>
        <v/>
      </c>
      <c r="T15" s="241">
        <f>COGS!T14</f>
        <v/>
      </c>
      <c r="U15" s="241">
        <f>COGS!U14</f>
        <v/>
      </c>
      <c r="V15" s="241">
        <f>COGS!V14</f>
        <v/>
      </c>
      <c r="W15" s="241">
        <f>COGS!W14</f>
        <v/>
      </c>
      <c r="X15" s="241">
        <f>COGS!X14</f>
        <v/>
      </c>
      <c r="Y15" s="241">
        <f>COGS!Y14</f>
        <v/>
      </c>
      <c r="Z15" s="241">
        <f>COGS!Z14</f>
        <v/>
      </c>
      <c r="AA15" s="241">
        <f>COGS!AA14</f>
        <v/>
      </c>
      <c r="AB15" s="241">
        <f>COGS!AB14</f>
        <v/>
      </c>
      <c r="AC15" s="241">
        <f>COGS!AC14</f>
        <v/>
      </c>
      <c r="AD15" s="241">
        <f>COGS!AD14</f>
        <v/>
      </c>
      <c r="AE15" s="241">
        <f>COGS!AE14</f>
        <v/>
      </c>
      <c r="AF15" s="241">
        <f>COGS!AF14</f>
        <v/>
      </c>
      <c r="AG15" s="241">
        <f>COGS!AG14</f>
        <v/>
      </c>
      <c r="AH15" s="241">
        <f>COGS!AH14</f>
        <v/>
      </c>
      <c r="AI15" s="241">
        <f>COGS!AI14</f>
        <v/>
      </c>
      <c r="AJ15" s="241">
        <f>COGS!AJ14</f>
        <v/>
      </c>
      <c r="AK15" s="241">
        <f>COGS!AK14</f>
        <v/>
      </c>
      <c r="AL15" s="241">
        <f>COGS!AL14</f>
        <v/>
      </c>
      <c r="AM15" s="241">
        <f>COGS!AM14</f>
        <v/>
      </c>
      <c r="AN15" s="241">
        <f>COGS!AN14</f>
        <v/>
      </c>
      <c r="AO15" s="241">
        <f>COGS!AO14</f>
        <v/>
      </c>
      <c r="AP15" s="241">
        <f>COGS!AP14</f>
        <v/>
      </c>
      <c r="AQ15" s="241">
        <f>COGS!AQ14</f>
        <v/>
      </c>
      <c r="AR15" s="241">
        <f>COGS!AR14</f>
        <v/>
      </c>
      <c r="AS15" s="241">
        <f>COGS!AS14</f>
        <v/>
      </c>
      <c r="AT15" s="241">
        <f>COGS!AT14</f>
        <v/>
      </c>
      <c r="AU15" s="241">
        <f>COGS!AU14</f>
        <v/>
      </c>
      <c r="AV15" s="241">
        <f>COGS!AV14</f>
        <v/>
      </c>
      <c r="AW15" s="241">
        <f>COGS!AW14</f>
        <v/>
      </c>
      <c r="AX15" s="241">
        <f>COGS!AX14</f>
        <v/>
      </c>
      <c r="AY15" s="241">
        <f>COGS!AY14</f>
        <v/>
      </c>
      <c r="AZ15" s="241">
        <f>COGS!AZ14</f>
        <v/>
      </c>
      <c r="BA15" s="226" t="n"/>
      <c r="BB15" s="241">
        <f>COGS!BB14</f>
        <v/>
      </c>
      <c r="BC15" s="241">
        <f>COGS!BC14</f>
        <v/>
      </c>
      <c r="BD15" s="241">
        <f>COGS!BD14</f>
        <v/>
      </c>
      <c r="BE15" s="241">
        <f>COGS!BE14</f>
        <v/>
      </c>
      <c r="BF15" s="241">
        <f>COGS!BF14</f>
        <v/>
      </c>
      <c r="BG15" s="66" t="n"/>
      <c r="BH15" s="350" t="inlineStr">
        <is>
          <t>Combi+ cost of sales, from COGS</t>
        </is>
      </c>
      <c r="BI15" s="66" t="n"/>
      <c r="BJ15" s="66" t="n"/>
    </row>
    <row r="16" ht="15" customHeight="1" s="349">
      <c r="A16" s="226" t="n"/>
      <c r="B16" s="241" t="inlineStr">
        <is>
          <t xml:space="preserve">Other </t>
        </is>
      </c>
      <c r="C16" s="233" t="n"/>
      <c r="D16" s="233" t="inlineStr">
        <is>
          <t>€</t>
        </is>
      </c>
      <c r="E16" s="241">
        <f>COGS!E17</f>
        <v/>
      </c>
      <c r="F16" s="241">
        <f>COGS!F17</f>
        <v/>
      </c>
      <c r="G16" s="241">
        <f>COGS!G17</f>
        <v/>
      </c>
      <c r="H16" s="241">
        <f>COGS!H17</f>
        <v/>
      </c>
      <c r="I16" s="241">
        <f>COGS!I17</f>
        <v/>
      </c>
      <c r="J16" s="241">
        <f>COGS!J17</f>
        <v/>
      </c>
      <c r="K16" s="241">
        <f>COGS!K17</f>
        <v/>
      </c>
      <c r="L16" s="241">
        <f>COGS!L17</f>
        <v/>
      </c>
      <c r="M16" s="241">
        <f>COGS!M17</f>
        <v/>
      </c>
      <c r="N16" s="241">
        <f>COGS!N17</f>
        <v/>
      </c>
      <c r="O16" s="241">
        <f>COGS!O17</f>
        <v/>
      </c>
      <c r="P16" s="241">
        <f>COGS!P17</f>
        <v/>
      </c>
      <c r="Q16" s="241">
        <f>COGS!Q17+COGS!Q20</f>
        <v/>
      </c>
      <c r="R16" s="241">
        <f>COGS!R17+COGS!R20</f>
        <v/>
      </c>
      <c r="S16" s="241">
        <f>COGS!S17+COGS!S20</f>
        <v/>
      </c>
      <c r="T16" s="241">
        <f>COGS!T17+COGS!T20</f>
        <v/>
      </c>
      <c r="U16" s="241">
        <f>COGS!U17+COGS!U20</f>
        <v/>
      </c>
      <c r="V16" s="241">
        <f>COGS!V17+COGS!V20</f>
        <v/>
      </c>
      <c r="W16" s="241">
        <f>COGS!W17+COGS!W20</f>
        <v/>
      </c>
      <c r="X16" s="241">
        <f>COGS!X17+COGS!X20</f>
        <v/>
      </c>
      <c r="Y16" s="241">
        <f>COGS!Y17+COGS!Y20</f>
        <v/>
      </c>
      <c r="Z16" s="241">
        <f>COGS!Z17+COGS!Z20</f>
        <v/>
      </c>
      <c r="AA16" s="241">
        <f>COGS!AA17+COGS!AA20</f>
        <v/>
      </c>
      <c r="AB16" s="241">
        <f>COGS!AB17+COGS!AB20</f>
        <v/>
      </c>
      <c r="AC16" s="241">
        <f>COGS!AC17+COGS!AC20</f>
        <v/>
      </c>
      <c r="AD16" s="241">
        <f>COGS!AD17+COGS!AD20</f>
        <v/>
      </c>
      <c r="AE16" s="241">
        <f>COGS!AE17+COGS!AE20</f>
        <v/>
      </c>
      <c r="AF16" s="241">
        <f>COGS!AF17+COGS!AF20</f>
        <v/>
      </c>
      <c r="AG16" s="241">
        <f>COGS!AG17+COGS!AG20</f>
        <v/>
      </c>
      <c r="AH16" s="241">
        <f>COGS!AH17+COGS!AH20</f>
        <v/>
      </c>
      <c r="AI16" s="241">
        <f>COGS!AI17+COGS!AI20</f>
        <v/>
      </c>
      <c r="AJ16" s="241">
        <f>COGS!AJ17+COGS!AJ20</f>
        <v/>
      </c>
      <c r="AK16" s="241">
        <f>COGS!AK17+COGS!AK20</f>
        <v/>
      </c>
      <c r="AL16" s="241">
        <f>COGS!AL17+COGS!AL20</f>
        <v/>
      </c>
      <c r="AM16" s="241">
        <f>COGS!AM17+COGS!AM20</f>
        <v/>
      </c>
      <c r="AN16" s="241">
        <f>COGS!AN17+COGS!AN20</f>
        <v/>
      </c>
      <c r="AO16" s="241">
        <f>COGS!AO17+COGS!AO20</f>
        <v/>
      </c>
      <c r="AP16" s="241">
        <f>COGS!AP17+COGS!AP20</f>
        <v/>
      </c>
      <c r="AQ16" s="241">
        <f>COGS!AQ17+COGS!AQ20</f>
        <v/>
      </c>
      <c r="AR16" s="241">
        <f>COGS!AR17+COGS!AR20</f>
        <v/>
      </c>
      <c r="AS16" s="241">
        <f>COGS!AS17+COGS!AS20</f>
        <v/>
      </c>
      <c r="AT16" s="241">
        <f>COGS!AT17+COGS!AT20</f>
        <v/>
      </c>
      <c r="AU16" s="241">
        <f>COGS!AU17+COGS!AU20</f>
        <v/>
      </c>
      <c r="AV16" s="241">
        <f>COGS!AV17+COGS!AV20</f>
        <v/>
      </c>
      <c r="AW16" s="241">
        <f>COGS!AW17+COGS!AW20</f>
        <v/>
      </c>
      <c r="AX16" s="241">
        <f>COGS!AX17+COGS!AX20</f>
        <v/>
      </c>
      <c r="AY16" s="241">
        <f>COGS!AY17+COGS!AY20</f>
        <v/>
      </c>
      <c r="AZ16" s="241">
        <f>COGS!AZ17+COGS!AZ20</f>
        <v/>
      </c>
      <c r="BA16" s="226" t="n"/>
      <c r="BB16" s="241">
        <f>sum(E16:P16)</f>
        <v/>
      </c>
      <c r="BC16" s="241">
        <f>sum(Q16:AB16)</f>
        <v/>
      </c>
      <c r="BD16" s="241">
        <f>sum(AC16:AN16)</f>
        <v/>
      </c>
      <c r="BE16" s="241">
        <f>sum(AO16:AZ16)</f>
        <v/>
      </c>
      <c r="BF16" s="241">
        <f>COGS!BF17+COGS!BF20</f>
        <v/>
      </c>
      <c r="BG16" s="66" t="n"/>
      <c r="BH16" s="350" t="inlineStr">
        <is>
          <t>installation + service costs, from COGS</t>
        </is>
      </c>
      <c r="BI16" s="66" t="n"/>
      <c r="BJ16" s="66" t="n"/>
    </row>
    <row r="17" ht="12.75" customHeight="1" s="349">
      <c r="A17" s="125" t="n"/>
      <c r="B17" s="126" t="inlineStr">
        <is>
          <t>Total COGS</t>
        </is>
      </c>
      <c r="C17" s="127" t="n"/>
      <c r="D17" s="126" t="inlineStr">
        <is>
          <t>€</t>
        </is>
      </c>
      <c r="E17" s="126" t="n"/>
      <c r="F17" s="126" t="n"/>
      <c r="G17" s="126" t="n"/>
      <c r="H17" s="126" t="n"/>
      <c r="I17" s="126" t="n"/>
      <c r="J17" s="126" t="n"/>
      <c r="K17" s="126" t="n"/>
      <c r="L17" s="126" t="n"/>
      <c r="M17" s="126">
        <f>COGS!M22</f>
        <v/>
      </c>
      <c r="N17" s="126">
        <f>COGS!N22</f>
        <v/>
      </c>
      <c r="O17" s="126">
        <f>COGS!O22</f>
        <v/>
      </c>
      <c r="P17" s="126">
        <f>COGS!P22</f>
        <v/>
      </c>
      <c r="Q17" s="126">
        <f>COGS!Q22</f>
        <v/>
      </c>
      <c r="R17" s="126">
        <f>COGS!R22</f>
        <v/>
      </c>
      <c r="S17" s="126">
        <f>COGS!S22</f>
        <v/>
      </c>
      <c r="T17" s="126">
        <f>COGS!T22</f>
        <v/>
      </c>
      <c r="U17" s="126">
        <f>COGS!U22</f>
        <v/>
      </c>
      <c r="V17" s="126">
        <f>COGS!V22</f>
        <v/>
      </c>
      <c r="W17" s="126">
        <f>COGS!W22</f>
        <v/>
      </c>
      <c r="X17" s="126">
        <f>COGS!X22</f>
        <v/>
      </c>
      <c r="Y17" s="126">
        <f>COGS!Y22</f>
        <v/>
      </c>
      <c r="Z17" s="126">
        <f>COGS!Z22</f>
        <v/>
      </c>
      <c r="AA17" s="126">
        <f>COGS!AA22</f>
        <v/>
      </c>
      <c r="AB17" s="126">
        <f>COGS!AB22</f>
        <v/>
      </c>
      <c r="AC17" s="126">
        <f>COGS!AC22</f>
        <v/>
      </c>
      <c r="AD17" s="126">
        <f>COGS!AD22</f>
        <v/>
      </c>
      <c r="AE17" s="126">
        <f>COGS!AE22</f>
        <v/>
      </c>
      <c r="AF17" s="126">
        <f>COGS!AF22</f>
        <v/>
      </c>
      <c r="AG17" s="126">
        <f>COGS!AG22</f>
        <v/>
      </c>
      <c r="AH17" s="126">
        <f>COGS!AH22</f>
        <v/>
      </c>
      <c r="AI17" s="126">
        <f>COGS!AI22</f>
        <v/>
      </c>
      <c r="AJ17" s="126">
        <f>COGS!AJ22</f>
        <v/>
      </c>
      <c r="AK17" s="126">
        <f>COGS!AK22</f>
        <v/>
      </c>
      <c r="AL17" s="126">
        <f>COGS!AL22</f>
        <v/>
      </c>
      <c r="AM17" s="126">
        <f>COGS!AM22</f>
        <v/>
      </c>
      <c r="AN17" s="126">
        <f>COGS!AN22</f>
        <v/>
      </c>
      <c r="AO17" s="126">
        <f>COGS!AO22</f>
        <v/>
      </c>
      <c r="AP17" s="126">
        <f>COGS!AP22</f>
        <v/>
      </c>
      <c r="AQ17" s="126">
        <f>COGS!AQ22</f>
        <v/>
      </c>
      <c r="AR17" s="126">
        <f>COGS!AR22</f>
        <v/>
      </c>
      <c r="AS17" s="126">
        <f>COGS!AS22</f>
        <v/>
      </c>
      <c r="AT17" s="126">
        <f>COGS!AT22</f>
        <v/>
      </c>
      <c r="AU17" s="126">
        <f>COGS!AU22</f>
        <v/>
      </c>
      <c r="AV17" s="126">
        <f>COGS!AV22</f>
        <v/>
      </c>
      <c r="AW17" s="126">
        <f>COGS!AW22</f>
        <v/>
      </c>
      <c r="AX17" s="126">
        <f>COGS!AX22</f>
        <v/>
      </c>
      <c r="AY17" s="126">
        <f>COGS!AY22</f>
        <v/>
      </c>
      <c r="AZ17" s="126">
        <f>COGS!AZ22</f>
        <v/>
      </c>
      <c r="BA17" s="133" t="n"/>
      <c r="BB17" s="134">
        <f>sum(E17:P17)</f>
        <v/>
      </c>
      <c r="BC17" s="134">
        <f>sum(Q17:AB17)</f>
        <v/>
      </c>
      <c r="BD17" s="134">
        <f>sum(AC17:AN17)</f>
        <v/>
      </c>
      <c r="BE17" s="134">
        <f>sum(AO17:AZ17)</f>
        <v/>
      </c>
      <c r="BF17" s="134">
        <f>sum(BF14:BF16)</f>
        <v/>
      </c>
      <c r="BG17" s="137" t="n"/>
      <c r="BH17" s="350" t="inlineStr">
        <is>
          <t>all the cost lines added</t>
        </is>
      </c>
      <c r="BI17" s="137" t="n"/>
      <c r="BJ17" s="137" t="n"/>
    </row>
    <row r="18" ht="12.75" customHeight="1" s="349">
      <c r="A18" s="77" t="n"/>
      <c r="B18" s="241" t="n"/>
      <c r="C18" s="233" t="n"/>
      <c r="D18" s="233" t="n"/>
      <c r="E18" s="203" t="n"/>
      <c r="F18" s="203" t="n"/>
      <c r="G18" s="203" t="n"/>
      <c r="H18" s="203" t="n"/>
      <c r="I18" s="203" t="n"/>
      <c r="J18" s="203" t="n"/>
      <c r="K18" s="203" t="n"/>
      <c r="L18" s="203" t="n"/>
      <c r="M18" s="203" t="n"/>
      <c r="N18" s="203" t="n"/>
      <c r="O18" s="203" t="n"/>
      <c r="P18" s="203" t="n"/>
      <c r="Q18" s="203" t="n"/>
      <c r="R18" s="203" t="n"/>
      <c r="S18" s="203" t="n"/>
      <c r="T18" s="203" t="n"/>
      <c r="U18" s="203" t="n"/>
      <c r="V18" s="203" t="n"/>
      <c r="W18" s="203" t="n"/>
      <c r="X18" s="203" t="n"/>
      <c r="Y18" s="203" t="n"/>
      <c r="Z18" s="203" t="n"/>
      <c r="AA18" s="203" t="n"/>
      <c r="AB18" s="203" t="n"/>
      <c r="AC18" s="203" t="n"/>
      <c r="AD18" s="203" t="n"/>
      <c r="AE18" s="203" t="n"/>
      <c r="AF18" s="203" t="n"/>
      <c r="AG18" s="203" t="n"/>
      <c r="AH18" s="203" t="n"/>
      <c r="AI18" s="203" t="n"/>
      <c r="AJ18" s="203" t="n"/>
      <c r="AK18" s="203" t="n"/>
      <c r="AL18" s="203" t="n"/>
      <c r="AM18" s="203" t="n"/>
      <c r="AN18" s="203" t="n"/>
      <c r="AO18" s="203" t="n"/>
      <c r="AP18" s="203" t="n"/>
      <c r="AQ18" s="203" t="n"/>
      <c r="AR18" s="203" t="n"/>
      <c r="AS18" s="203" t="n"/>
      <c r="AT18" s="203" t="n"/>
      <c r="AU18" s="203" t="n"/>
      <c r="AV18" s="203" t="n"/>
      <c r="AW18" s="203" t="n"/>
      <c r="AX18" s="203" t="n"/>
      <c r="AY18" s="203" t="n"/>
      <c r="AZ18" s="203" t="n"/>
      <c r="BA18" s="226" t="n"/>
      <c r="BB18" s="203" t="n"/>
      <c r="BC18" s="203" t="n"/>
      <c r="BD18" s="203" t="n"/>
      <c r="BE18" s="203" t="n"/>
      <c r="BF18" s="203" t="n"/>
      <c r="BG18" s="205" t="n"/>
      <c r="BH18" s="350" t="n"/>
      <c r="BI18" s="205" t="n"/>
      <c r="BJ18" s="205" t="n"/>
    </row>
    <row r="19" ht="12.75" customHeight="1" s="349">
      <c r="A19" s="206" t="n"/>
      <c r="B19" s="207" t="inlineStr">
        <is>
          <t>Gross Profit</t>
        </is>
      </c>
      <c r="C19" s="208" t="n"/>
      <c r="D19" s="208" t="n"/>
      <c r="E19" s="208" t="n"/>
      <c r="F19" s="208" t="n"/>
      <c r="G19" s="208" t="n"/>
      <c r="H19" s="208" t="n"/>
      <c r="I19" s="208" t="n"/>
      <c r="J19" s="208" t="n"/>
      <c r="K19" s="208" t="n"/>
      <c r="L19" s="208" t="n"/>
      <c r="M19" s="208" t="n"/>
      <c r="N19" s="208" t="n"/>
      <c r="O19" s="208" t="n"/>
      <c r="P19" s="208" t="n"/>
      <c r="Q19" s="208" t="n"/>
      <c r="R19" s="209" t="n"/>
      <c r="S19" s="210" t="n"/>
      <c r="T19" s="211" t="n"/>
      <c r="U19" s="208" t="n"/>
      <c r="V19" s="208" t="n"/>
      <c r="W19" s="208" t="n"/>
      <c r="X19" s="208" t="n"/>
      <c r="Y19" s="208" t="n"/>
      <c r="Z19" s="208" t="n"/>
      <c r="AA19" s="208" t="n"/>
      <c r="AB19" s="208" t="n"/>
      <c r="AC19" s="208" t="n"/>
      <c r="AD19" s="208" t="n"/>
      <c r="AE19" s="208" t="n"/>
      <c r="AF19" s="208" t="n"/>
      <c r="AG19" s="208" t="n"/>
      <c r="AH19" s="208" t="n"/>
      <c r="AI19" s="208" t="n"/>
      <c r="AJ19" s="208" t="n"/>
      <c r="AK19" s="208" t="n"/>
      <c r="AL19" s="208" t="n"/>
      <c r="AM19" s="208" t="n"/>
      <c r="AN19" s="208" t="n"/>
      <c r="AO19" s="208" t="n"/>
      <c r="AP19" s="208" t="n"/>
      <c r="AQ19" s="208" t="n"/>
      <c r="AR19" s="208" t="n"/>
      <c r="AS19" s="208" t="n"/>
      <c r="AT19" s="208" t="n"/>
      <c r="AU19" s="208" t="n"/>
      <c r="AV19" s="208" t="n"/>
      <c r="AW19" s="208" t="n"/>
      <c r="AX19" s="208" t="n"/>
      <c r="AY19" s="208" t="n"/>
      <c r="AZ19" s="209" t="n"/>
      <c r="BA19" s="212" t="n"/>
      <c r="BB19" s="209" t="n"/>
      <c r="BC19" s="209" t="n"/>
      <c r="BD19" s="209" t="n"/>
      <c r="BE19" s="209" t="n"/>
      <c r="BF19" s="209" t="n"/>
      <c r="BG19" s="212" t="n"/>
      <c r="BH19" s="350" t="n"/>
      <c r="BI19" s="212" t="n"/>
      <c r="BJ19" s="212" t="n"/>
    </row>
    <row r="20" ht="15" customHeight="1" s="349">
      <c r="A20" s="226" t="n"/>
      <c r="B20" s="241" t="inlineStr">
        <is>
          <t>TTK</t>
        </is>
      </c>
      <c r="C20" s="233" t="n"/>
      <c r="D20" s="233" t="inlineStr">
        <is>
          <t>€</t>
        </is>
      </c>
      <c r="E20" s="241" t="n"/>
      <c r="F20" s="241" t="n"/>
      <c r="G20" s="241" t="n"/>
      <c r="H20" s="241" t="n"/>
      <c r="I20" s="241" t="n"/>
      <c r="J20" s="241" t="n"/>
      <c r="K20" s="241" t="n"/>
      <c r="L20" s="241" t="n"/>
      <c r="M20" s="241" t="n"/>
      <c r="N20" s="241" t="n"/>
      <c r="O20" s="241" t="n"/>
      <c r="P20" s="241" t="n"/>
      <c r="Q20" s="241">
        <f>Q7-Q14</f>
        <v/>
      </c>
      <c r="R20" s="241">
        <f>R7-R14</f>
        <v/>
      </c>
      <c r="S20" s="241">
        <f>S7-S14</f>
        <v/>
      </c>
      <c r="T20" s="241">
        <f>T7-T14</f>
        <v/>
      </c>
      <c r="U20" s="241">
        <f>U7-U14</f>
        <v/>
      </c>
      <c r="V20" s="241">
        <f>V7-V14</f>
        <v/>
      </c>
      <c r="W20" s="241">
        <f>W7-W14</f>
        <v/>
      </c>
      <c r="X20" s="241">
        <f>X7-X14</f>
        <v/>
      </c>
      <c r="Y20" s="241">
        <f>Y7-Y14</f>
        <v/>
      </c>
      <c r="Z20" s="241">
        <f>Z7-Z14</f>
        <v/>
      </c>
      <c r="AA20" s="241">
        <f>AA7-AA14</f>
        <v/>
      </c>
      <c r="AB20" s="241">
        <f>AB7-AB14</f>
        <v/>
      </c>
      <c r="AC20" s="241">
        <f>AC7-AC14</f>
        <v/>
      </c>
      <c r="AD20" s="241">
        <f>AD7-AD14</f>
        <v/>
      </c>
      <c r="AE20" s="241">
        <f>AE7-AE14</f>
        <v/>
      </c>
      <c r="AF20" s="241">
        <f>AF7-AF14</f>
        <v/>
      </c>
      <c r="AG20" s="241">
        <f>AG7-AG14</f>
        <v/>
      </c>
      <c r="AH20" s="241">
        <f>AH7-AH14</f>
        <v/>
      </c>
      <c r="AI20" s="241">
        <f>AI7-AI14</f>
        <v/>
      </c>
      <c r="AJ20" s="241">
        <f>AJ7-AJ14</f>
        <v/>
      </c>
      <c r="AK20" s="241">
        <f>AK7-AK14</f>
        <v/>
      </c>
      <c r="AL20" s="241">
        <f>AL7-AL14</f>
        <v/>
      </c>
      <c r="AM20" s="241">
        <f>AM7-AM14</f>
        <v/>
      </c>
      <c r="AN20" s="241">
        <f>AN7-AN14</f>
        <v/>
      </c>
      <c r="AO20" s="241">
        <f>AO7-AO14</f>
        <v/>
      </c>
      <c r="AP20" s="241">
        <f>AP7-AP14</f>
        <v/>
      </c>
      <c r="AQ20" s="241">
        <f>AQ7-AQ14</f>
        <v/>
      </c>
      <c r="AR20" s="241">
        <f>AR7-AR14</f>
        <v/>
      </c>
      <c r="AS20" s="241">
        <f>AS7-AS14</f>
        <v/>
      </c>
      <c r="AT20" s="241">
        <f>AT7-AT14</f>
        <v/>
      </c>
      <c r="AU20" s="241">
        <f>AU7-AU14</f>
        <v/>
      </c>
      <c r="AV20" s="241">
        <f>AV7-AV14</f>
        <v/>
      </c>
      <c r="AW20" s="241">
        <f>AW7-AW14</f>
        <v/>
      </c>
      <c r="AX20" s="241">
        <f>AX7-AX14</f>
        <v/>
      </c>
      <c r="AY20" s="241">
        <f>AY7-AY14</f>
        <v/>
      </c>
      <c r="AZ20" s="241">
        <f>AZ7-AZ14</f>
        <v/>
      </c>
      <c r="BA20" s="226" t="n"/>
      <c r="BB20" s="241" t="n"/>
      <c r="BC20" s="241">
        <f>BC7-BC14</f>
        <v/>
      </c>
      <c r="BD20" s="241">
        <f>BD7-BD14</f>
        <v/>
      </c>
      <c r="BE20" s="241">
        <f>BE7-BE14</f>
        <v/>
      </c>
      <c r="BF20" s="241">
        <f>BF7-BF14</f>
        <v/>
      </c>
      <c r="BG20" s="66" t="n"/>
      <c r="BH20" s="350" t="inlineStr">
        <is>
          <t>TTK revenue minus TTK cost</t>
        </is>
      </c>
      <c r="BI20" s="66" t="n"/>
      <c r="BJ20" s="66" t="n"/>
    </row>
    <row r="21" ht="15" customHeight="1" s="349">
      <c r="A21" s="226" t="n"/>
      <c r="B21" s="241" t="inlineStr">
        <is>
          <t>Combi+</t>
        </is>
      </c>
      <c r="C21" s="233" t="n"/>
      <c r="D21" s="233" t="inlineStr">
        <is>
          <t>€</t>
        </is>
      </c>
      <c r="E21" s="241" t="n"/>
      <c r="F21" s="241" t="n"/>
      <c r="G21" s="241" t="n"/>
      <c r="H21" s="241" t="n"/>
      <c r="I21" s="241" t="n"/>
      <c r="J21" s="241" t="n"/>
      <c r="K21" s="241" t="n"/>
      <c r="L21" s="241" t="n"/>
      <c r="M21" s="241" t="n"/>
      <c r="N21" s="241" t="n"/>
      <c r="O21" s="241" t="n"/>
      <c r="P21" s="241" t="n"/>
      <c r="Q21" s="241">
        <f>Q8-Q15</f>
        <v/>
      </c>
      <c r="R21" s="241">
        <f>R8-R15</f>
        <v/>
      </c>
      <c r="S21" s="241">
        <f>S8-S15</f>
        <v/>
      </c>
      <c r="T21" s="241">
        <f>T8-T15</f>
        <v/>
      </c>
      <c r="U21" s="241">
        <f>U8-U15</f>
        <v/>
      </c>
      <c r="V21" s="241">
        <f>V8-V15</f>
        <v/>
      </c>
      <c r="W21" s="241">
        <f>W8-W15</f>
        <v/>
      </c>
      <c r="X21" s="241">
        <f>X8-X15</f>
        <v/>
      </c>
      <c r="Y21" s="241">
        <f>Y8-Y15</f>
        <v/>
      </c>
      <c r="Z21" s="241">
        <f>Z8-Z15</f>
        <v/>
      </c>
      <c r="AA21" s="241">
        <f>AA8-AA15</f>
        <v/>
      </c>
      <c r="AB21" s="241">
        <f>AB8-AB15</f>
        <v/>
      </c>
      <c r="AC21" s="241">
        <f>AC8-AC15</f>
        <v/>
      </c>
      <c r="AD21" s="241">
        <f>AD8-AD15</f>
        <v/>
      </c>
      <c r="AE21" s="241">
        <f>AE8-AE15</f>
        <v/>
      </c>
      <c r="AF21" s="241">
        <f>AF8-AF15</f>
        <v/>
      </c>
      <c r="AG21" s="241">
        <f>AG8-AG15</f>
        <v/>
      </c>
      <c r="AH21" s="241">
        <f>AH8-AH15</f>
        <v/>
      </c>
      <c r="AI21" s="241">
        <f>AI8-AI15</f>
        <v/>
      </c>
      <c r="AJ21" s="241">
        <f>AJ8-AJ15</f>
        <v/>
      </c>
      <c r="AK21" s="241">
        <f>AK8-AK15</f>
        <v/>
      </c>
      <c r="AL21" s="241">
        <f>AL8-AL15</f>
        <v/>
      </c>
      <c r="AM21" s="241">
        <f>AM8-AM15</f>
        <v/>
      </c>
      <c r="AN21" s="241">
        <f>AN8-AN15</f>
        <v/>
      </c>
      <c r="AO21" s="241">
        <f>AO8-AO15</f>
        <v/>
      </c>
      <c r="AP21" s="241">
        <f>AP8-AP15</f>
        <v/>
      </c>
      <c r="AQ21" s="241">
        <f>AQ8-AQ15</f>
        <v/>
      </c>
      <c r="AR21" s="241">
        <f>AR8-AR15</f>
        <v/>
      </c>
      <c r="AS21" s="241">
        <f>AS8-AS15</f>
        <v/>
      </c>
      <c r="AT21" s="241">
        <f>AT8-AT15</f>
        <v/>
      </c>
      <c r="AU21" s="241">
        <f>AU8-AU15</f>
        <v/>
      </c>
      <c r="AV21" s="241">
        <f>AV8-AV15</f>
        <v/>
      </c>
      <c r="AW21" s="241">
        <f>AW8-AW15</f>
        <v/>
      </c>
      <c r="AX21" s="241">
        <f>AX8-AX15</f>
        <v/>
      </c>
      <c r="AY21" s="241">
        <f>AY8-AY15</f>
        <v/>
      </c>
      <c r="AZ21" s="241">
        <f>AZ8-AZ15</f>
        <v/>
      </c>
      <c r="BA21" s="226" t="n"/>
      <c r="BB21" s="241" t="n"/>
      <c r="BC21" s="241">
        <f>BC8-BC15</f>
        <v/>
      </c>
      <c r="BD21" s="241">
        <f>BD8-BD15</f>
        <v/>
      </c>
      <c r="BE21" s="241">
        <f>BE8-BE15</f>
        <v/>
      </c>
      <c r="BF21" s="241">
        <f>BF8-BF15</f>
        <v/>
      </c>
      <c r="BG21" s="66" t="n"/>
      <c r="BH21" s="350" t="inlineStr">
        <is>
          <t>Combi+ revenue minus Combi+ cost</t>
        </is>
      </c>
      <c r="BI21" s="66" t="n"/>
      <c r="BJ21" s="66" t="n"/>
    </row>
    <row r="22" ht="15" customHeight="1" s="349">
      <c r="A22" s="226" t="n"/>
      <c r="B22" s="241" t="inlineStr">
        <is>
          <t xml:space="preserve">Other </t>
        </is>
      </c>
      <c r="C22" s="233" t="n"/>
      <c r="D22" s="233" t="inlineStr">
        <is>
          <t>€</t>
        </is>
      </c>
      <c r="E22" s="241" t="n"/>
      <c r="F22" s="241" t="n"/>
      <c r="G22" s="241" t="n"/>
      <c r="H22" s="241" t="n"/>
      <c r="I22" s="241" t="n"/>
      <c r="J22" s="241" t="n"/>
      <c r="K22" s="241" t="n"/>
      <c r="L22" s="241" t="n"/>
      <c r="M22" s="241" t="n"/>
      <c r="N22" s="241" t="n"/>
      <c r="O22" s="241" t="n"/>
      <c r="P22" s="241" t="n"/>
      <c r="Q22" s="241">
        <f>Q9-Q16</f>
        <v/>
      </c>
      <c r="R22" s="241">
        <f>R9-R16</f>
        <v/>
      </c>
      <c r="S22" s="241">
        <f>S9-S16</f>
        <v/>
      </c>
      <c r="T22" s="241">
        <f>T9-T16</f>
        <v/>
      </c>
      <c r="U22" s="241">
        <f>U9-U16</f>
        <v/>
      </c>
      <c r="V22" s="241">
        <f>V9-V16</f>
        <v/>
      </c>
      <c r="W22" s="241">
        <f>W9-W16</f>
        <v/>
      </c>
      <c r="X22" s="241">
        <f>X9-X16</f>
        <v/>
      </c>
      <c r="Y22" s="241">
        <f>Y9-Y16</f>
        <v/>
      </c>
      <c r="Z22" s="241">
        <f>Z9-Z16</f>
        <v/>
      </c>
      <c r="AA22" s="241">
        <f>AA9-AA16</f>
        <v/>
      </c>
      <c r="AB22" s="241">
        <f>AB9-AB16</f>
        <v/>
      </c>
      <c r="AC22" s="241">
        <f>AC9-AC16</f>
        <v/>
      </c>
      <c r="AD22" s="241">
        <f>AD9-AD16</f>
        <v/>
      </c>
      <c r="AE22" s="241">
        <f>AE9-AE16</f>
        <v/>
      </c>
      <c r="AF22" s="241">
        <f>AF9-AF16</f>
        <v/>
      </c>
      <c r="AG22" s="241">
        <f>AG9-AG16</f>
        <v/>
      </c>
      <c r="AH22" s="241">
        <f>AH9-AH16</f>
        <v/>
      </c>
      <c r="AI22" s="241">
        <f>AI9-AI16</f>
        <v/>
      </c>
      <c r="AJ22" s="241">
        <f>AJ9-AJ16</f>
        <v/>
      </c>
      <c r="AK22" s="241">
        <f>AK9-AK16</f>
        <v/>
      </c>
      <c r="AL22" s="241">
        <f>AL9-AL16</f>
        <v/>
      </c>
      <c r="AM22" s="241">
        <f>AM9-AM16</f>
        <v/>
      </c>
      <c r="AN22" s="241">
        <f>AN9-AN16</f>
        <v/>
      </c>
      <c r="AO22" s="241">
        <f>AO9-AO16</f>
        <v/>
      </c>
      <c r="AP22" s="241">
        <f>AP9-AP16</f>
        <v/>
      </c>
      <c r="AQ22" s="241">
        <f>AQ9-AQ16</f>
        <v/>
      </c>
      <c r="AR22" s="241">
        <f>AR9-AR16</f>
        <v/>
      </c>
      <c r="AS22" s="241">
        <f>AS9-AS16</f>
        <v/>
      </c>
      <c r="AT22" s="241">
        <f>AT9-AT16</f>
        <v/>
      </c>
      <c r="AU22" s="241">
        <f>AU9-AU16</f>
        <v/>
      </c>
      <c r="AV22" s="241">
        <f>AV9-AV16</f>
        <v/>
      </c>
      <c r="AW22" s="241">
        <f>AW9-AW16</f>
        <v/>
      </c>
      <c r="AX22" s="241">
        <f>AX9-AX16</f>
        <v/>
      </c>
      <c r="AY22" s="241">
        <f>AY9-AY16</f>
        <v/>
      </c>
      <c r="AZ22" s="241">
        <f>AZ9-AZ16</f>
        <v/>
      </c>
      <c r="BA22" s="226" t="n"/>
      <c r="BB22" s="241" t="n"/>
      <c r="BC22" s="241">
        <f>BC9-BC16</f>
        <v/>
      </c>
      <c r="BD22" s="241">
        <f>BD9-BD16</f>
        <v/>
      </c>
      <c r="BE22" s="241">
        <f>BE9-BE16</f>
        <v/>
      </c>
      <c r="BF22" s="241">
        <f>BF9-BF16</f>
        <v/>
      </c>
      <c r="BG22" s="66" t="n"/>
      <c r="BH22" s="350" t="inlineStr">
        <is>
          <t>installation + service revenue minus their cost</t>
        </is>
      </c>
      <c r="BI22" s="66" t="n"/>
      <c r="BJ22" s="66" t="n"/>
    </row>
    <row r="23" ht="12.75" customHeight="1" s="349">
      <c r="A23" s="125" t="n"/>
      <c r="B23" s="126" t="inlineStr">
        <is>
          <t>Gross Profit</t>
        </is>
      </c>
      <c r="C23" s="127" t="n"/>
      <c r="D23" s="126" t="inlineStr">
        <is>
          <t>€</t>
        </is>
      </c>
      <c r="E23" s="126" t="n"/>
      <c r="F23" s="126" t="n"/>
      <c r="G23" s="126" t="n"/>
      <c r="H23" s="126" t="n"/>
      <c r="I23" s="126" t="n"/>
      <c r="J23" s="126" t="n"/>
      <c r="K23" s="126" t="n"/>
      <c r="L23" s="126" t="n"/>
      <c r="M23" s="126">
        <f>M11-M17</f>
        <v/>
      </c>
      <c r="N23" s="126">
        <f>N11-N17</f>
        <v/>
      </c>
      <c r="O23" s="126">
        <f>O11-O17</f>
        <v/>
      </c>
      <c r="P23" s="126">
        <f>P11-P17</f>
        <v/>
      </c>
      <c r="Q23" s="126">
        <f>Q11-Q17</f>
        <v/>
      </c>
      <c r="R23" s="126">
        <f>R11-R17</f>
        <v/>
      </c>
      <c r="S23" s="126">
        <f>S11-S17</f>
        <v/>
      </c>
      <c r="T23" s="126">
        <f>T11-T17</f>
        <v/>
      </c>
      <c r="U23" s="126">
        <f>U11-U17</f>
        <v/>
      </c>
      <c r="V23" s="126">
        <f>V11-V17</f>
        <v/>
      </c>
      <c r="W23" s="126">
        <f>W11-W17</f>
        <v/>
      </c>
      <c r="X23" s="126">
        <f>X11-X17</f>
        <v/>
      </c>
      <c r="Y23" s="126">
        <f>Y11-Y17</f>
        <v/>
      </c>
      <c r="Z23" s="126">
        <f>Z11-Z17</f>
        <v/>
      </c>
      <c r="AA23" s="126">
        <f>AA11-AA17</f>
        <v/>
      </c>
      <c r="AB23" s="126">
        <f>AB11-AB17</f>
        <v/>
      </c>
      <c r="AC23" s="126">
        <f>AC11-AC17</f>
        <v/>
      </c>
      <c r="AD23" s="126">
        <f>AD11-AD17</f>
        <v/>
      </c>
      <c r="AE23" s="126">
        <f>AE11-AE17</f>
        <v/>
      </c>
      <c r="AF23" s="126">
        <f>AF11-AF17</f>
        <v/>
      </c>
      <c r="AG23" s="126">
        <f>AG11-AG17</f>
        <v/>
      </c>
      <c r="AH23" s="126">
        <f>AH11-AH17</f>
        <v/>
      </c>
      <c r="AI23" s="126">
        <f>AI11-AI17</f>
        <v/>
      </c>
      <c r="AJ23" s="126">
        <f>AJ11-AJ17</f>
        <v/>
      </c>
      <c r="AK23" s="126">
        <f>AK11-AK17</f>
        <v/>
      </c>
      <c r="AL23" s="126">
        <f>AL11-AL17</f>
        <v/>
      </c>
      <c r="AM23" s="126">
        <f>AM11-AM17</f>
        <v/>
      </c>
      <c r="AN23" s="126">
        <f>AN11-AN17</f>
        <v/>
      </c>
      <c r="AO23" s="126">
        <f>AO11-AO17</f>
        <v/>
      </c>
      <c r="AP23" s="126">
        <f>AP11-AP17</f>
        <v/>
      </c>
      <c r="AQ23" s="126">
        <f>AQ11-AQ17</f>
        <v/>
      </c>
      <c r="AR23" s="126">
        <f>AR11-AR17</f>
        <v/>
      </c>
      <c r="AS23" s="126">
        <f>AS11-AS17</f>
        <v/>
      </c>
      <c r="AT23" s="126">
        <f>AT11-AT17</f>
        <v/>
      </c>
      <c r="AU23" s="126">
        <f>AU11-AU17</f>
        <v/>
      </c>
      <c r="AV23" s="126">
        <f>AV11-AV17</f>
        <v/>
      </c>
      <c r="AW23" s="126">
        <f>AW11-AW17</f>
        <v/>
      </c>
      <c r="AX23" s="126">
        <f>AX11-AX17</f>
        <v/>
      </c>
      <c r="AY23" s="126">
        <f>AY11-AY17</f>
        <v/>
      </c>
      <c r="AZ23" s="134">
        <f>AZ11-AZ17</f>
        <v/>
      </c>
      <c r="BA23" s="133" t="n"/>
      <c r="BB23" s="134">
        <f>sum(E23:P23)</f>
        <v/>
      </c>
      <c r="BC23" s="134">
        <f>sum(Q23:AB23)</f>
        <v/>
      </c>
      <c r="BD23" s="134">
        <f>sum(AC23:AN23)</f>
        <v/>
      </c>
      <c r="BE23" s="134">
        <f>sum(AO23:AZ23)</f>
        <v/>
      </c>
      <c r="BF23" s="134">
        <f>BF11-BF17</f>
        <v/>
      </c>
      <c r="BG23" s="137" t="n"/>
      <c r="BH23" s="350" t="inlineStr">
        <is>
          <t>revenue minus cost of sales</t>
        </is>
      </c>
      <c r="BI23" s="137" t="n"/>
      <c r="BJ23" s="137" t="n"/>
    </row>
    <row r="24" ht="15" customHeight="1" s="349">
      <c r="A24" s="215" t="n"/>
      <c r="B24" s="216" t="inlineStr">
        <is>
          <t>Gross margin %</t>
        </is>
      </c>
      <c r="C24" s="217" t="n"/>
      <c r="D24" s="216" t="inlineStr">
        <is>
          <t>%</t>
        </is>
      </c>
      <c r="E24" s="216" t="n"/>
      <c r="F24" s="216" t="n"/>
      <c r="G24" s="216" t="n"/>
      <c r="H24" s="216" t="n"/>
      <c r="I24" s="216" t="n"/>
      <c r="J24" s="216" t="n"/>
      <c r="K24" s="216" t="n"/>
      <c r="L24" s="216" t="n"/>
      <c r="M24" s="216" t="n"/>
      <c r="N24" s="216" t="n"/>
      <c r="O24" s="216" t="n"/>
      <c r="P24" s="216" t="n"/>
      <c r="Q24" s="216" t="n"/>
      <c r="R24" s="216" t="n"/>
      <c r="S24" s="216" t="n"/>
      <c r="T24" s="216" t="n"/>
      <c r="U24" s="216" t="n"/>
      <c r="V24" s="216" t="n"/>
      <c r="W24" s="216" t="n"/>
      <c r="X24" s="216" t="n"/>
      <c r="Y24" s="216" t="n"/>
      <c r="Z24" s="216" t="n"/>
      <c r="AA24" s="216" t="n"/>
      <c r="AB24" s="216" t="n"/>
      <c r="AC24" s="216" t="n"/>
      <c r="AD24" s="216" t="n"/>
      <c r="AE24" s="216" t="n"/>
      <c r="AF24" s="216" t="n"/>
      <c r="AG24" s="216" t="n"/>
      <c r="AH24" s="216" t="n"/>
      <c r="AI24" s="216" t="n"/>
      <c r="AJ24" s="216" t="n"/>
      <c r="AK24" s="216" t="n"/>
      <c r="AL24" s="216" t="n"/>
      <c r="AM24" s="216" t="n"/>
      <c r="AN24" s="216" t="n"/>
      <c r="AO24" s="216" t="n"/>
      <c r="AP24" s="216" t="n"/>
      <c r="AQ24" s="216" t="n"/>
      <c r="AR24" s="216" t="n"/>
      <c r="AS24" s="216" t="n"/>
      <c r="AT24" s="216" t="n"/>
      <c r="AU24" s="216" t="n"/>
      <c r="AV24" s="216" t="n"/>
      <c r="AW24" s="216" t="n"/>
      <c r="AX24" s="216" t="n"/>
      <c r="AY24" s="216" t="n"/>
      <c r="AZ24" s="216" t="n"/>
      <c r="BA24" s="216" t="n"/>
      <c r="BB24" s="216" t="n"/>
      <c r="BC24" s="216" t="n"/>
      <c r="BD24" s="216">
        <f>BD23/BD11</f>
        <v/>
      </c>
      <c r="BE24" s="216">
        <f>BE23/BE11</f>
        <v/>
      </c>
      <c r="BF24" s="216">
        <f>BF23/BF11</f>
        <v/>
      </c>
      <c r="BG24" s="218" t="n"/>
      <c r="BH24" s="350" t="inlineStr">
        <is>
          <t>gross profit as a % of revenue (year columns only)</t>
        </is>
      </c>
      <c r="BI24" s="218" t="n"/>
      <c r="BJ24" s="218" t="n"/>
    </row>
    <row r="25" ht="15.75" customHeight="1" s="349">
      <c r="A25" s="226" t="n"/>
      <c r="B25" s="233" t="n"/>
      <c r="C25" s="233" t="n"/>
      <c r="D25" s="233" t="n"/>
      <c r="E25" s="233" t="n"/>
      <c r="F25" s="233" t="n"/>
      <c r="G25" s="233" t="n"/>
      <c r="H25" s="233" t="n"/>
      <c r="I25" s="233" t="n"/>
      <c r="J25" s="233" t="n"/>
      <c r="K25" s="233" t="n"/>
      <c r="L25" s="233" t="n"/>
      <c r="M25" s="233" t="n"/>
      <c r="N25" s="233" t="n"/>
      <c r="O25" s="233" t="n"/>
      <c r="P25" s="233" t="n"/>
      <c r="Q25" s="233" t="n"/>
      <c r="R25" s="233" t="n"/>
      <c r="S25" s="233" t="n"/>
      <c r="T25" s="233" t="n"/>
      <c r="U25" s="233" t="n"/>
      <c r="V25" s="233" t="n"/>
      <c r="W25" s="233" t="n"/>
      <c r="X25" s="233" t="n"/>
      <c r="Y25" s="233" t="n"/>
      <c r="Z25" s="233" t="n"/>
      <c r="AA25" s="233" t="n"/>
      <c r="AB25" s="233" t="n"/>
      <c r="AC25" s="233" t="n"/>
      <c r="AD25" s="233" t="n"/>
      <c r="AE25" s="233" t="n"/>
      <c r="AF25" s="233" t="n"/>
      <c r="AG25" s="233" t="n"/>
      <c r="AH25" s="233" t="n"/>
      <c r="AI25" s="233" t="n"/>
      <c r="AJ25" s="233" t="n"/>
      <c r="AK25" s="233" t="n"/>
      <c r="AL25" s="233" t="n"/>
      <c r="AM25" s="233" t="n"/>
      <c r="AN25" s="233" t="n"/>
      <c r="AO25" s="233" t="n"/>
      <c r="AP25" s="233" t="n"/>
      <c r="AQ25" s="233" t="n"/>
      <c r="AR25" s="233" t="n"/>
      <c r="AS25" s="233" t="n"/>
      <c r="AT25" s="233" t="n"/>
      <c r="AU25" s="233" t="n"/>
      <c r="AV25" s="233" t="n"/>
      <c r="AW25" s="233" t="n"/>
      <c r="AX25" s="233" t="n"/>
      <c r="AY25" s="233" t="n"/>
      <c r="AZ25" s="233" t="n"/>
      <c r="BA25" s="226" t="n"/>
      <c r="BB25" s="233" t="n"/>
      <c r="BC25" s="233" t="n"/>
      <c r="BD25" s="233" t="n"/>
      <c r="BE25" s="233" t="n"/>
      <c r="BF25" s="233" t="n"/>
      <c r="BG25" s="226" t="n"/>
      <c r="BH25" s="350" t="n"/>
      <c r="BI25" s="226" t="n"/>
      <c r="BJ25" s="226" t="n"/>
    </row>
    <row r="26" ht="13.5" customHeight="1" s="349">
      <c r="A26" s="77" t="n"/>
      <c r="B26" s="79" t="inlineStr">
        <is>
          <t>Operational expenses</t>
        </is>
      </c>
      <c r="C26" s="80" t="n"/>
      <c r="D26" s="80" t="n"/>
      <c r="E26" s="80" t="n"/>
      <c r="F26" s="80" t="n"/>
      <c r="G26" s="80" t="n"/>
      <c r="H26" s="80" t="n"/>
      <c r="I26" s="80" t="n"/>
      <c r="J26" s="80" t="n"/>
      <c r="K26" s="80" t="n"/>
      <c r="L26" s="80" t="n"/>
      <c r="M26" s="80" t="n"/>
      <c r="N26" s="80" t="n"/>
      <c r="O26" s="80" t="n"/>
      <c r="P26" s="80" t="n"/>
      <c r="Q26" s="80" t="n"/>
      <c r="R26" s="84" t="n"/>
      <c r="S26" s="85" t="n"/>
      <c r="T26" s="86" t="n"/>
      <c r="U26" s="80" t="n"/>
      <c r="V26" s="80" t="n"/>
      <c r="W26" s="80" t="n"/>
      <c r="X26" s="80" t="n"/>
      <c r="Y26" s="80" t="n"/>
      <c r="Z26" s="80" t="n"/>
      <c r="AA26" s="80" t="n"/>
      <c r="AB26" s="80" t="n"/>
      <c r="AC26" s="80" t="n"/>
      <c r="AD26" s="80" t="n"/>
      <c r="AE26" s="80" t="n"/>
      <c r="AF26" s="80" t="n"/>
      <c r="AG26" s="80" t="n"/>
      <c r="AH26" s="80" t="n"/>
      <c r="AI26" s="80" t="n"/>
      <c r="AJ26" s="80" t="n"/>
      <c r="AK26" s="80" t="n"/>
      <c r="AL26" s="80" t="n"/>
      <c r="AM26" s="80" t="n"/>
      <c r="AN26" s="80" t="n"/>
      <c r="AO26" s="80" t="n"/>
      <c r="AP26" s="80" t="n"/>
      <c r="AQ26" s="80" t="n"/>
      <c r="AR26" s="80" t="n"/>
      <c r="AS26" s="80" t="n"/>
      <c r="AT26" s="80" t="n"/>
      <c r="AU26" s="80" t="n"/>
      <c r="AV26" s="80" t="n"/>
      <c r="AW26" s="80" t="n"/>
      <c r="AX26" s="80" t="n"/>
      <c r="AY26" s="80" t="n"/>
      <c r="AZ26" s="84" t="n"/>
      <c r="BA26" s="226" t="n"/>
      <c r="BB26" s="84" t="n"/>
      <c r="BC26" s="84" t="n"/>
      <c r="BD26" s="84" t="n"/>
      <c r="BE26" s="84" t="n"/>
      <c r="BF26" s="84" t="n"/>
      <c r="BG26" s="226" t="n"/>
      <c r="BH26" s="350" t="n"/>
      <c r="BI26" s="226" t="n"/>
      <c r="BJ26" s="226" t="n"/>
    </row>
    <row r="27" ht="15" customHeight="1" s="349">
      <c r="A27" s="226" t="n"/>
      <c r="B27" s="241" t="inlineStr">
        <is>
          <t>R&amp;D</t>
        </is>
      </c>
      <c r="C27" s="233" t="n"/>
      <c r="D27" s="233" t="inlineStr">
        <is>
          <t>€</t>
        </is>
      </c>
      <c r="E27" s="241" t="n"/>
      <c r="F27" s="241" t="n"/>
      <c r="G27" s="241" t="n"/>
      <c r="H27" s="241" t="n"/>
      <c r="I27" s="241" t="n"/>
      <c r="J27" s="241" t="n"/>
      <c r="K27" s="241" t="n"/>
      <c r="L27" s="241" t="n"/>
      <c r="M27" s="241">
        <f>OPEX!O38</f>
        <v/>
      </c>
      <c r="N27" s="241">
        <f>OPEX!P38</f>
        <v/>
      </c>
      <c r="O27" s="241">
        <f>OPEX!Q38</f>
        <v/>
      </c>
      <c r="P27" s="241">
        <f>OPEX!R38</f>
        <v/>
      </c>
      <c r="Q27" s="241">
        <f>OPEX!S38</f>
        <v/>
      </c>
      <c r="R27" s="241">
        <f>OPEX!T38</f>
        <v/>
      </c>
      <c r="S27" s="241">
        <f>OPEX!U38</f>
        <v/>
      </c>
      <c r="T27" s="241">
        <f>OPEX!V38</f>
        <v/>
      </c>
      <c r="U27" s="241">
        <f>OPEX!W38</f>
        <v/>
      </c>
      <c r="V27" s="241">
        <f>OPEX!X38</f>
        <v/>
      </c>
      <c r="W27" s="241">
        <f>OPEX!Y38</f>
        <v/>
      </c>
      <c r="X27" s="241">
        <f>OPEX!Z38</f>
        <v/>
      </c>
      <c r="Y27" s="241">
        <f>OPEX!AA38</f>
        <v/>
      </c>
      <c r="Z27" s="241">
        <f>OPEX!AB38</f>
        <v/>
      </c>
      <c r="AA27" s="241">
        <f>OPEX!AC38</f>
        <v/>
      </c>
      <c r="AB27" s="241">
        <f>OPEX!AD38</f>
        <v/>
      </c>
      <c r="AC27" s="241">
        <f>OPEX!AE38</f>
        <v/>
      </c>
      <c r="AD27" s="241">
        <f>OPEX!AF38</f>
        <v/>
      </c>
      <c r="AE27" s="241">
        <f>OPEX!AG38</f>
        <v/>
      </c>
      <c r="AF27" s="241">
        <f>OPEX!AH38</f>
        <v/>
      </c>
      <c r="AG27" s="241">
        <f>OPEX!AI38</f>
        <v/>
      </c>
      <c r="AH27" s="241">
        <f>OPEX!AJ38</f>
        <v/>
      </c>
      <c r="AI27" s="241">
        <f>OPEX!AK38</f>
        <v/>
      </c>
      <c r="AJ27" s="241">
        <f>OPEX!AL38</f>
        <v/>
      </c>
      <c r="AK27" s="241">
        <f>OPEX!AM38</f>
        <v/>
      </c>
      <c r="AL27" s="241">
        <f>OPEX!AN38</f>
        <v/>
      </c>
      <c r="AM27" s="241">
        <f>OPEX!AO38</f>
        <v/>
      </c>
      <c r="AN27" s="241">
        <f>OPEX!AP38</f>
        <v/>
      </c>
      <c r="AO27" s="241">
        <f>OPEX!AQ38</f>
        <v/>
      </c>
      <c r="AP27" s="241">
        <f>OPEX!AR38</f>
        <v/>
      </c>
      <c r="AQ27" s="241">
        <f>OPEX!AS38</f>
        <v/>
      </c>
      <c r="AR27" s="241">
        <f>OPEX!AT38</f>
        <v/>
      </c>
      <c r="AS27" s="241">
        <f>OPEX!AU38</f>
        <v/>
      </c>
      <c r="AT27" s="241">
        <f>OPEX!AV38</f>
        <v/>
      </c>
      <c r="AU27" s="241">
        <f>OPEX!AW38</f>
        <v/>
      </c>
      <c r="AV27" s="241">
        <f>OPEX!AX38</f>
        <v/>
      </c>
      <c r="AW27" s="241">
        <f>OPEX!AY38</f>
        <v/>
      </c>
      <c r="AX27" s="241">
        <f>OPEX!AZ38</f>
        <v/>
      </c>
      <c r="AY27" s="241">
        <f>OPEX!BA38</f>
        <v/>
      </c>
      <c r="AZ27" s="241">
        <f>OPEX!BB38</f>
        <v/>
      </c>
      <c r="BA27" s="226" t="n"/>
      <c r="BB27" s="241">
        <f>sum(E27:P27)</f>
        <v/>
      </c>
      <c r="BC27" s="241">
        <f>sum(Q27:AB27)</f>
        <v/>
      </c>
      <c r="BD27" s="241">
        <f>sum(AC27:AN27)</f>
        <v/>
      </c>
      <c r="BE27" s="241">
        <f>sum(AO27:AZ27)</f>
        <v/>
      </c>
      <c r="BF27" s="241">
        <f>OPEX!BH38</f>
        <v/>
      </c>
      <c r="BG27" s="66" t="n"/>
      <c r="BH27" s="350" t="inlineStr">
        <is>
          <t>R&amp;D spend, people and other, from OPEX</t>
        </is>
      </c>
      <c r="BI27" s="66" t="n"/>
      <c r="BJ27" s="66" t="n"/>
    </row>
    <row r="28" ht="15.75" customHeight="1" s="349">
      <c r="A28" s="226" t="n"/>
      <c r="B28" s="241" t="inlineStr">
        <is>
          <t>S&amp;M</t>
        </is>
      </c>
      <c r="C28" s="233" t="n"/>
      <c r="D28" s="233" t="inlineStr">
        <is>
          <t>€</t>
        </is>
      </c>
      <c r="E28" s="241" t="n"/>
      <c r="F28" s="241" t="n"/>
      <c r="G28" s="241" t="n"/>
      <c r="H28" s="241" t="n"/>
      <c r="I28" s="241" t="n"/>
      <c r="J28" s="241" t="n"/>
      <c r="K28" s="241" t="n"/>
      <c r="L28" s="241" t="n"/>
      <c r="M28" s="241">
        <f>OPEX!O39</f>
        <v/>
      </c>
      <c r="N28" s="241">
        <f>OPEX!P39</f>
        <v/>
      </c>
      <c r="O28" s="241">
        <f>OPEX!Q39</f>
        <v/>
      </c>
      <c r="P28" s="241">
        <f>OPEX!R39</f>
        <v/>
      </c>
      <c r="Q28" s="241">
        <f>OPEX!S39</f>
        <v/>
      </c>
      <c r="R28" s="241">
        <f>OPEX!T39</f>
        <v/>
      </c>
      <c r="S28" s="241">
        <f>OPEX!U39</f>
        <v/>
      </c>
      <c r="T28" s="241">
        <f>OPEX!V39</f>
        <v/>
      </c>
      <c r="U28" s="241">
        <f>OPEX!W39</f>
        <v/>
      </c>
      <c r="V28" s="241">
        <f>OPEX!X39</f>
        <v/>
      </c>
      <c r="W28" s="241">
        <f>OPEX!Y39</f>
        <v/>
      </c>
      <c r="X28" s="241">
        <f>OPEX!Z39</f>
        <v/>
      </c>
      <c r="Y28" s="241">
        <f>OPEX!AA39</f>
        <v/>
      </c>
      <c r="Z28" s="241">
        <f>OPEX!AB39</f>
        <v/>
      </c>
      <c r="AA28" s="241">
        <f>OPEX!AC39</f>
        <v/>
      </c>
      <c r="AB28" s="241">
        <f>OPEX!AD39</f>
        <v/>
      </c>
      <c r="AC28" s="241">
        <f>OPEX!AE39</f>
        <v/>
      </c>
      <c r="AD28" s="241">
        <f>OPEX!AF39</f>
        <v/>
      </c>
      <c r="AE28" s="241">
        <f>OPEX!AG39</f>
        <v/>
      </c>
      <c r="AF28" s="241">
        <f>OPEX!AH39</f>
        <v/>
      </c>
      <c r="AG28" s="241">
        <f>OPEX!AI39</f>
        <v/>
      </c>
      <c r="AH28" s="241">
        <f>OPEX!AJ39</f>
        <v/>
      </c>
      <c r="AI28" s="241">
        <f>OPEX!AK39</f>
        <v/>
      </c>
      <c r="AJ28" s="241">
        <f>OPEX!AL39</f>
        <v/>
      </c>
      <c r="AK28" s="241">
        <f>OPEX!AM39</f>
        <v/>
      </c>
      <c r="AL28" s="241">
        <f>OPEX!AN39</f>
        <v/>
      </c>
      <c r="AM28" s="241">
        <f>OPEX!AO39</f>
        <v/>
      </c>
      <c r="AN28" s="241">
        <f>OPEX!AP39</f>
        <v/>
      </c>
      <c r="AO28" s="241">
        <f>OPEX!AQ39</f>
        <v/>
      </c>
      <c r="AP28" s="241">
        <f>OPEX!AR39</f>
        <v/>
      </c>
      <c r="AQ28" s="241">
        <f>OPEX!AS39</f>
        <v/>
      </c>
      <c r="AR28" s="241">
        <f>OPEX!AT39</f>
        <v/>
      </c>
      <c r="AS28" s="241">
        <f>OPEX!AU39</f>
        <v/>
      </c>
      <c r="AT28" s="241">
        <f>OPEX!AV39</f>
        <v/>
      </c>
      <c r="AU28" s="241">
        <f>OPEX!AW39</f>
        <v/>
      </c>
      <c r="AV28" s="241">
        <f>OPEX!AX39</f>
        <v/>
      </c>
      <c r="AW28" s="241">
        <f>OPEX!AY39</f>
        <v/>
      </c>
      <c r="AX28" s="241">
        <f>OPEX!AZ39</f>
        <v/>
      </c>
      <c r="AY28" s="241">
        <f>OPEX!BA39</f>
        <v/>
      </c>
      <c r="AZ28" s="241">
        <f>OPEX!BB39</f>
        <v/>
      </c>
      <c r="BA28" s="226" t="n"/>
      <c r="BB28" s="241">
        <f>sum(E28:P28)</f>
        <v/>
      </c>
      <c r="BC28" s="241">
        <f>sum(Q28:AB28)</f>
        <v/>
      </c>
      <c r="BD28" s="241">
        <f>sum(AC28:AN28)</f>
        <v/>
      </c>
      <c r="BE28" s="241">
        <f>sum(AO28:AZ28)</f>
        <v/>
      </c>
      <c r="BF28" s="241">
        <f>OPEX!BH39</f>
        <v/>
      </c>
      <c r="BG28" s="66" t="n"/>
      <c r="BH28" s="350" t="inlineStr">
        <is>
          <t>S&amp;M spend from OPEX</t>
        </is>
      </c>
      <c r="BI28" s="66" t="n"/>
      <c r="BJ28" s="66" t="n"/>
    </row>
    <row r="29" ht="15.75" customHeight="1" s="349">
      <c r="A29" s="226" t="n"/>
      <c r="B29" s="241" t="inlineStr">
        <is>
          <t>G&amp;A</t>
        </is>
      </c>
      <c r="C29" s="233" t="n"/>
      <c r="D29" s="233" t="inlineStr">
        <is>
          <t>€</t>
        </is>
      </c>
      <c r="E29" s="241" t="n"/>
      <c r="F29" s="241" t="n"/>
      <c r="G29" s="241" t="n"/>
      <c r="H29" s="241" t="n"/>
      <c r="I29" s="241" t="n"/>
      <c r="J29" s="241" t="n"/>
      <c r="K29" s="241" t="n"/>
      <c r="L29" s="241" t="n"/>
      <c r="M29" s="241">
        <f>OPEX!O40</f>
        <v/>
      </c>
      <c r="N29" s="241">
        <f>OPEX!P40</f>
        <v/>
      </c>
      <c r="O29" s="241">
        <f>OPEX!Q40</f>
        <v/>
      </c>
      <c r="P29" s="241">
        <f>OPEX!R40</f>
        <v/>
      </c>
      <c r="Q29" s="241">
        <f>OPEX!S40</f>
        <v/>
      </c>
      <c r="R29" s="241">
        <f>OPEX!T40</f>
        <v/>
      </c>
      <c r="S29" s="241">
        <f>OPEX!U40</f>
        <v/>
      </c>
      <c r="T29" s="241">
        <f>OPEX!V40</f>
        <v/>
      </c>
      <c r="U29" s="241">
        <f>OPEX!W40</f>
        <v/>
      </c>
      <c r="V29" s="241">
        <f>OPEX!X40</f>
        <v/>
      </c>
      <c r="W29" s="241">
        <f>OPEX!Y40</f>
        <v/>
      </c>
      <c r="X29" s="241">
        <f>OPEX!Z40</f>
        <v/>
      </c>
      <c r="Y29" s="241">
        <f>OPEX!AA40</f>
        <v/>
      </c>
      <c r="Z29" s="241">
        <f>OPEX!AB40</f>
        <v/>
      </c>
      <c r="AA29" s="241">
        <f>OPEX!AC40</f>
        <v/>
      </c>
      <c r="AB29" s="241">
        <f>OPEX!AD40</f>
        <v/>
      </c>
      <c r="AC29" s="241">
        <f>OPEX!AE40</f>
        <v/>
      </c>
      <c r="AD29" s="241">
        <f>OPEX!AF40</f>
        <v/>
      </c>
      <c r="AE29" s="241">
        <f>OPEX!AG40</f>
        <v/>
      </c>
      <c r="AF29" s="241">
        <f>OPEX!AH40</f>
        <v/>
      </c>
      <c r="AG29" s="241">
        <f>OPEX!AI40</f>
        <v/>
      </c>
      <c r="AH29" s="241">
        <f>OPEX!AJ40</f>
        <v/>
      </c>
      <c r="AI29" s="241">
        <f>OPEX!AK40</f>
        <v/>
      </c>
      <c r="AJ29" s="241">
        <f>OPEX!AL40</f>
        <v/>
      </c>
      <c r="AK29" s="241">
        <f>OPEX!AM40</f>
        <v/>
      </c>
      <c r="AL29" s="241">
        <f>OPEX!AN40</f>
        <v/>
      </c>
      <c r="AM29" s="241">
        <f>OPEX!AO40</f>
        <v/>
      </c>
      <c r="AN29" s="241">
        <f>OPEX!AP40</f>
        <v/>
      </c>
      <c r="AO29" s="241">
        <f>OPEX!AQ40</f>
        <v/>
      </c>
      <c r="AP29" s="241">
        <f>OPEX!AR40</f>
        <v/>
      </c>
      <c r="AQ29" s="241">
        <f>OPEX!AS40</f>
        <v/>
      </c>
      <c r="AR29" s="241">
        <f>OPEX!AT40</f>
        <v/>
      </c>
      <c r="AS29" s="241">
        <f>OPEX!AU40</f>
        <v/>
      </c>
      <c r="AT29" s="241">
        <f>OPEX!AV40</f>
        <v/>
      </c>
      <c r="AU29" s="241">
        <f>OPEX!AW40</f>
        <v/>
      </c>
      <c r="AV29" s="241">
        <f>OPEX!AX40</f>
        <v/>
      </c>
      <c r="AW29" s="241">
        <f>OPEX!AY40</f>
        <v/>
      </c>
      <c r="AX29" s="241">
        <f>OPEX!AZ40</f>
        <v/>
      </c>
      <c r="AY29" s="241">
        <f>OPEX!BA40</f>
        <v/>
      </c>
      <c r="AZ29" s="241">
        <f>OPEX!BB40</f>
        <v/>
      </c>
      <c r="BA29" s="226" t="n"/>
      <c r="BB29" s="241">
        <f>sum(E29:P29)</f>
        <v/>
      </c>
      <c r="BC29" s="241">
        <f>sum(Q29:AB29)</f>
        <v/>
      </c>
      <c r="BD29" s="241">
        <f>sum(AC29:AN29)</f>
        <v/>
      </c>
      <c r="BE29" s="241">
        <f>sum(AO29:AZ29)</f>
        <v/>
      </c>
      <c r="BF29" s="241">
        <f>OPEX!BH40</f>
        <v/>
      </c>
      <c r="BG29" s="66" t="n"/>
      <c r="BH29" s="350" t="inlineStr">
        <is>
          <t>G&amp;A spend from OPEX</t>
        </is>
      </c>
      <c r="BI29" s="66" t="n"/>
      <c r="BJ29" s="66" t="n"/>
    </row>
    <row r="30" ht="12.75" customHeight="1" s="349">
      <c r="A30" s="77" t="n"/>
      <c r="B30" s="227" t="inlineStr">
        <is>
          <t>Total OPEX</t>
        </is>
      </c>
      <c r="C30" s="228" t="n"/>
      <c r="D30" s="229" t="inlineStr">
        <is>
          <t>€</t>
        </is>
      </c>
      <c r="E30" s="227" t="n"/>
      <c r="F30" s="227" t="n"/>
      <c r="G30" s="227" t="n"/>
      <c r="H30" s="227" t="n"/>
      <c r="I30" s="227" t="n"/>
      <c r="J30" s="227" t="n"/>
      <c r="K30" s="227" t="n"/>
      <c r="L30" s="227" t="n"/>
      <c r="M30" s="227">
        <f>(M29+M28+M27)</f>
        <v/>
      </c>
      <c r="N30" s="227">
        <f>(N29+N28+N27)</f>
        <v/>
      </c>
      <c r="O30" s="227">
        <f>(O29+O28+O27)</f>
        <v/>
      </c>
      <c r="P30" s="227">
        <f>(P29+P28+P27)</f>
        <v/>
      </c>
      <c r="Q30" s="227">
        <f>(Q29+Q28+Q27)</f>
        <v/>
      </c>
      <c r="R30" s="230">
        <f>(R29+R28+R27)</f>
        <v/>
      </c>
      <c r="S30" s="231">
        <f>(S29+S28+S27)</f>
        <v/>
      </c>
      <c r="T30" s="232">
        <f>(T29+T28+T27)</f>
        <v/>
      </c>
      <c r="U30" s="227">
        <f>(U29+U28+U27)</f>
        <v/>
      </c>
      <c r="V30" s="227">
        <f>(V29+V28+V27)</f>
        <v/>
      </c>
      <c r="W30" s="227">
        <f>(W29+W28+W27)</f>
        <v/>
      </c>
      <c r="X30" s="227">
        <f>(X29+X28+X27)</f>
        <v/>
      </c>
      <c r="Y30" s="227">
        <f>(Y29+Y28+Y27)</f>
        <v/>
      </c>
      <c r="Z30" s="227">
        <f>(Z29+Z28+Z27)</f>
        <v/>
      </c>
      <c r="AA30" s="227">
        <f>(AA29+AA28+AA27)</f>
        <v/>
      </c>
      <c r="AB30" s="227">
        <f>(AB29+AB28+AB27)</f>
        <v/>
      </c>
      <c r="AC30" s="227">
        <f>(AC29+AC28+AC27)</f>
        <v/>
      </c>
      <c r="AD30" s="227">
        <f>(AD29+AD28+AD27)</f>
        <v/>
      </c>
      <c r="AE30" s="227">
        <f>(AE29+AE28+AE27)</f>
        <v/>
      </c>
      <c r="AF30" s="227">
        <f>(AF29+AF28+AF27)</f>
        <v/>
      </c>
      <c r="AG30" s="227">
        <f>(AG29+AG28+AG27)</f>
        <v/>
      </c>
      <c r="AH30" s="227">
        <f>(AH29+AH28+AH27)</f>
        <v/>
      </c>
      <c r="AI30" s="227">
        <f>(AI29+AI28+AI27)</f>
        <v/>
      </c>
      <c r="AJ30" s="227">
        <f>(AJ29+AJ28+AJ27)</f>
        <v/>
      </c>
      <c r="AK30" s="227">
        <f>(AK29+AK28+AK27)</f>
        <v/>
      </c>
      <c r="AL30" s="227">
        <f>(AL29+AL28+AL27)</f>
        <v/>
      </c>
      <c r="AM30" s="227">
        <f>(AM29+AM28+AM27)</f>
        <v/>
      </c>
      <c r="AN30" s="227">
        <f>(AN29+AN28+AN27)</f>
        <v/>
      </c>
      <c r="AO30" s="227">
        <f>(AO29+AO28+AO27)</f>
        <v/>
      </c>
      <c r="AP30" s="227">
        <f>(AP29+AP28+AP27)</f>
        <v/>
      </c>
      <c r="AQ30" s="227">
        <f>(AQ29+AQ28+AQ27)</f>
        <v/>
      </c>
      <c r="AR30" s="227">
        <f>(AR29+AR28+AR27)</f>
        <v/>
      </c>
      <c r="AS30" s="227">
        <f>(AS29+AS28+AS27)</f>
        <v/>
      </c>
      <c r="AT30" s="227">
        <f>(AT29+AT28+AT27)</f>
        <v/>
      </c>
      <c r="AU30" s="227">
        <f>(AU29+AU28+AU27)</f>
        <v/>
      </c>
      <c r="AV30" s="227">
        <f>(AV29+AV28+AV27)</f>
        <v/>
      </c>
      <c r="AW30" s="227">
        <f>(AW29+AW28+AW27)</f>
        <v/>
      </c>
      <c r="AX30" s="227">
        <f>(AX29+AX28+AX27)</f>
        <v/>
      </c>
      <c r="AY30" s="227">
        <f>(AY29+AY28+AY27)</f>
        <v/>
      </c>
      <c r="AZ30" s="230">
        <f>(AZ29+AZ28+AZ27)</f>
        <v/>
      </c>
      <c r="BA30" s="226" t="n"/>
      <c r="BB30" s="230">
        <f>sum(E30:P30)</f>
        <v/>
      </c>
      <c r="BC30" s="230">
        <f>sum(Q30:AB30)</f>
        <v/>
      </c>
      <c r="BD30" s="230">
        <f>sum(AC30:AN30)</f>
        <v/>
      </c>
      <c r="BE30" s="230">
        <f>sum(AO30:AZ30)</f>
        <v/>
      </c>
      <c r="BF30" s="230">
        <f>sum(BF27:BF29)</f>
        <v/>
      </c>
      <c r="BG30" s="205" t="n"/>
      <c r="BH30" s="350" t="inlineStr">
        <is>
          <t>the three OPEX lines added</t>
        </is>
      </c>
      <c r="BI30" s="205" t="n"/>
      <c r="BJ30" s="205" t="n"/>
    </row>
    <row r="31" ht="15.75" customHeight="1" s="349">
      <c r="A31" s="226" t="n"/>
      <c r="B31" s="233" t="n"/>
      <c r="C31" s="233" t="n"/>
      <c r="D31" s="233" t="n"/>
      <c r="E31" s="233" t="n"/>
      <c r="F31" s="233" t="n"/>
      <c r="G31" s="233" t="n"/>
      <c r="H31" s="233" t="n"/>
      <c r="I31" s="233" t="n"/>
      <c r="J31" s="233" t="n"/>
      <c r="K31" s="233" t="n"/>
      <c r="L31" s="233" t="n"/>
      <c r="M31" s="233" t="n"/>
      <c r="N31" s="233" t="n"/>
      <c r="O31" s="233" t="n"/>
      <c r="P31" s="233" t="n"/>
      <c r="Q31" s="233" t="n"/>
      <c r="R31" s="233" t="n"/>
      <c r="S31" s="233" t="n"/>
      <c r="T31" s="233" t="n"/>
      <c r="U31" s="233" t="n"/>
      <c r="V31" s="233" t="n"/>
      <c r="W31" s="233" t="n"/>
      <c r="X31" s="233" t="n"/>
      <c r="Y31" s="233" t="n"/>
      <c r="Z31" s="233" t="n"/>
      <c r="AA31" s="233" t="n"/>
      <c r="AB31" s="233" t="n"/>
      <c r="AC31" s="233" t="n"/>
      <c r="AD31" s="233" t="n"/>
      <c r="AE31" s="233" t="n"/>
      <c r="AF31" s="233" t="n"/>
      <c r="AG31" s="233" t="n"/>
      <c r="AH31" s="233" t="n"/>
      <c r="AI31" s="233" t="n"/>
      <c r="AJ31" s="233" t="n"/>
      <c r="AK31" s="233" t="n"/>
      <c r="AL31" s="233" t="n"/>
      <c r="AM31" s="233" t="n"/>
      <c r="AN31" s="233" t="n"/>
      <c r="AO31" s="233" t="n"/>
      <c r="AP31" s="233" t="n"/>
      <c r="AQ31" s="233" t="n"/>
      <c r="AR31" s="233" t="n"/>
      <c r="AS31" s="233" t="n"/>
      <c r="AT31" s="233" t="n"/>
      <c r="AU31" s="233" t="n"/>
      <c r="AV31" s="233" t="n"/>
      <c r="AW31" s="233" t="n"/>
      <c r="AX31" s="233" t="n"/>
      <c r="AY31" s="233" t="n"/>
      <c r="AZ31" s="233" t="n"/>
      <c r="BA31" s="226" t="n"/>
      <c r="BB31" s="233" t="n"/>
      <c r="BC31" s="233" t="n"/>
      <c r="BD31" s="233" t="n"/>
      <c r="BE31" s="233" t="n"/>
      <c r="BF31" s="233" t="n"/>
      <c r="BG31" s="226" t="n"/>
      <c r="BH31" s="350" t="n"/>
      <c r="BI31" s="226" t="n"/>
      <c r="BJ31" s="226" t="n"/>
    </row>
    <row r="32" ht="12.75" customHeight="1" s="349">
      <c r="A32" s="125" t="n"/>
      <c r="B32" s="126" t="inlineStr">
        <is>
          <t>EBITDA</t>
        </is>
      </c>
      <c r="C32" s="127" t="n"/>
      <c r="D32" s="126" t="inlineStr">
        <is>
          <t>€</t>
        </is>
      </c>
      <c r="E32" s="126" t="n"/>
      <c r="F32" s="126" t="n"/>
      <c r="G32" s="126" t="n"/>
      <c r="H32" s="126" t="n"/>
      <c r="I32" s="126" t="n"/>
      <c r="J32" s="126" t="n"/>
      <c r="K32" s="126" t="n"/>
      <c r="L32" s="126" t="n"/>
      <c r="M32" s="126">
        <f>M23-M30</f>
        <v/>
      </c>
      <c r="N32" s="126">
        <f>N23-N30</f>
        <v/>
      </c>
      <c r="O32" s="126">
        <f>O23-O30</f>
        <v/>
      </c>
      <c r="P32" s="126">
        <f>P23-P30</f>
        <v/>
      </c>
      <c r="Q32" s="126">
        <f>Q23-Q30</f>
        <v/>
      </c>
      <c r="R32" s="126">
        <f>R23-R30</f>
        <v/>
      </c>
      <c r="S32" s="126">
        <f>S23-S30</f>
        <v/>
      </c>
      <c r="T32" s="126">
        <f>T23-T30</f>
        <v/>
      </c>
      <c r="U32" s="126">
        <f>U23-U30</f>
        <v/>
      </c>
      <c r="V32" s="126">
        <f>V23-V30</f>
        <v/>
      </c>
      <c r="W32" s="126">
        <f>W23-W30</f>
        <v/>
      </c>
      <c r="X32" s="126">
        <f>X23-X30</f>
        <v/>
      </c>
      <c r="Y32" s="126">
        <f>Y23-Y30</f>
        <v/>
      </c>
      <c r="Z32" s="126">
        <f>Z23-Z30</f>
        <v/>
      </c>
      <c r="AA32" s="126">
        <f>AA23-AA30</f>
        <v/>
      </c>
      <c r="AB32" s="126">
        <f>AB23-AB30</f>
        <v/>
      </c>
      <c r="AC32" s="126">
        <f>AC23-AC30</f>
        <v/>
      </c>
      <c r="AD32" s="126">
        <f>AD23-AD30</f>
        <v/>
      </c>
      <c r="AE32" s="126">
        <f>AE23-AE30</f>
        <v/>
      </c>
      <c r="AF32" s="126">
        <f>AF23-AF30</f>
        <v/>
      </c>
      <c r="AG32" s="126">
        <f>AG23-AG30</f>
        <v/>
      </c>
      <c r="AH32" s="126">
        <f>AH23-AH30</f>
        <v/>
      </c>
      <c r="AI32" s="126">
        <f>AI23-AI30</f>
        <v/>
      </c>
      <c r="AJ32" s="126">
        <f>AJ23-AJ30</f>
        <v/>
      </c>
      <c r="AK32" s="126">
        <f>AK23-AK30</f>
        <v/>
      </c>
      <c r="AL32" s="126">
        <f>AL23-AL30</f>
        <v/>
      </c>
      <c r="AM32" s="126">
        <f>AM23-AM30</f>
        <v/>
      </c>
      <c r="AN32" s="126">
        <f>AN23-AN30</f>
        <v/>
      </c>
      <c r="AO32" s="126">
        <f>AO23-AO30</f>
        <v/>
      </c>
      <c r="AP32" s="126">
        <f>AP23-AP30</f>
        <v/>
      </c>
      <c r="AQ32" s="126">
        <f>AQ23-AQ30</f>
        <v/>
      </c>
      <c r="AR32" s="126">
        <f>AR23-AR30</f>
        <v/>
      </c>
      <c r="AS32" s="126">
        <f>AS23-AS30</f>
        <v/>
      </c>
      <c r="AT32" s="126">
        <f>AT23-AT30</f>
        <v/>
      </c>
      <c r="AU32" s="126">
        <f>AU23-AU30</f>
        <v/>
      </c>
      <c r="AV32" s="126">
        <f>AV23-AV30</f>
        <v/>
      </c>
      <c r="AW32" s="126">
        <f>AW23-AW30</f>
        <v/>
      </c>
      <c r="AX32" s="126">
        <f>AX23-AX30</f>
        <v/>
      </c>
      <c r="AY32" s="126">
        <f>AY23-AY30</f>
        <v/>
      </c>
      <c r="AZ32" s="134">
        <f>AZ23-AZ30</f>
        <v/>
      </c>
      <c r="BA32" s="133" t="n"/>
      <c r="BB32" s="134">
        <f>sum(E32:P32)</f>
        <v/>
      </c>
      <c r="BC32" s="134">
        <f>sum(Q32:AB32)</f>
        <v/>
      </c>
      <c r="BD32" s="134">
        <f>sum(AC32:AN32)</f>
        <v/>
      </c>
      <c r="BE32" s="134">
        <f>sum(AO32:AZ32)</f>
        <v/>
      </c>
      <c r="BF32" s="134">
        <f>BF23-BF30</f>
        <v/>
      </c>
      <c r="BG32" s="137" t="n"/>
      <c r="BH32" s="350" t="inlineStr">
        <is>
          <t>gross profit minus operating costs</t>
        </is>
      </c>
      <c r="BI32" s="137" t="n"/>
      <c r="BJ32" s="137" t="n"/>
    </row>
    <row r="33" ht="15.75" customHeight="1" s="349">
      <c r="A33" s="215" t="n"/>
      <c r="B33" s="216" t="inlineStr">
        <is>
          <t>EBITDA margin %</t>
        </is>
      </c>
      <c r="C33" s="217" t="n"/>
      <c r="D33" s="216" t="inlineStr">
        <is>
          <t>%</t>
        </is>
      </c>
      <c r="E33" s="216" t="n"/>
      <c r="F33" s="216" t="n"/>
      <c r="G33" s="216" t="n"/>
      <c r="H33" s="216" t="n"/>
      <c r="I33" s="216" t="n"/>
      <c r="J33" s="216" t="n"/>
      <c r="K33" s="216" t="n"/>
      <c r="L33" s="216" t="n"/>
      <c r="M33" s="216" t="n"/>
      <c r="N33" s="216" t="n"/>
      <c r="O33" s="216" t="n"/>
      <c r="P33" s="216" t="n"/>
      <c r="Q33" s="216" t="n"/>
      <c r="R33" s="216" t="n"/>
      <c r="S33" s="216" t="n"/>
      <c r="T33" s="216" t="n"/>
      <c r="U33" s="216" t="n"/>
      <c r="V33" s="216" t="n"/>
      <c r="W33" s="216" t="n"/>
      <c r="X33" s="216" t="n"/>
      <c r="Y33" s="216" t="n"/>
      <c r="Z33" s="216" t="n"/>
      <c r="AA33" s="216" t="n"/>
      <c r="AB33" s="216" t="n"/>
      <c r="AC33" s="216" t="n"/>
      <c r="AD33" s="216" t="n"/>
      <c r="AE33" s="216" t="n"/>
      <c r="AF33" s="216" t="n"/>
      <c r="AG33" s="216" t="n"/>
      <c r="AH33" s="216" t="n"/>
      <c r="AI33" s="216" t="n"/>
      <c r="AJ33" s="216" t="n"/>
      <c r="AK33" s="216" t="n"/>
      <c r="AL33" s="216" t="n"/>
      <c r="AM33" s="216" t="n"/>
      <c r="AN33" s="216" t="n"/>
      <c r="AO33" s="216" t="n"/>
      <c r="AP33" s="216" t="n"/>
      <c r="AQ33" s="216" t="n"/>
      <c r="AR33" s="216" t="n"/>
      <c r="AS33" s="216" t="n"/>
      <c r="AT33" s="216" t="n"/>
      <c r="AU33" s="216" t="n"/>
      <c r="AV33" s="216" t="n"/>
      <c r="AW33" s="216" t="n"/>
      <c r="AX33" s="216" t="n"/>
      <c r="AY33" s="216" t="n"/>
      <c r="AZ33" s="216" t="n"/>
      <c r="BA33" s="215" t="n"/>
      <c r="BB33" s="216" t="n"/>
      <c r="BC33" s="216" t="n"/>
      <c r="BD33" s="216" t="n"/>
      <c r="BE33" s="216">
        <f>BE32/BE11</f>
        <v/>
      </c>
      <c r="BF33" s="216">
        <f>BF32/BF11</f>
        <v/>
      </c>
      <c r="BG33" s="218" t="n"/>
      <c r="BH33" s="350" t="inlineStr">
        <is>
          <t>EBITDA as a % of revenue</t>
        </is>
      </c>
      <c r="BI33" s="218" t="n"/>
      <c r="BJ33" s="218" t="n"/>
    </row>
    <row r="34" ht="15.75" customHeight="1" s="349">
      <c r="A34" s="238" t="n"/>
      <c r="B34" s="239" t="n"/>
      <c r="C34" s="240" t="n"/>
      <c r="D34" s="239" t="n"/>
      <c r="E34" s="239" t="n"/>
      <c r="F34" s="239" t="n"/>
      <c r="G34" s="239" t="n"/>
      <c r="H34" s="239" t="n"/>
      <c r="I34" s="239" t="n"/>
      <c r="J34" s="239" t="n"/>
      <c r="K34" s="239" t="n"/>
      <c r="L34" s="239" t="n"/>
      <c r="M34" s="239" t="n"/>
      <c r="N34" s="239" t="n"/>
      <c r="O34" s="239" t="n"/>
      <c r="P34" s="239" t="n"/>
      <c r="Q34" s="239" t="n"/>
      <c r="R34" s="239" t="n"/>
      <c r="S34" s="239" t="n"/>
      <c r="T34" s="239" t="n"/>
      <c r="U34" s="239" t="n"/>
      <c r="V34" s="239" t="n"/>
      <c r="W34" s="239" t="n"/>
      <c r="X34" s="239" t="n"/>
      <c r="Y34" s="239" t="n"/>
      <c r="Z34" s="239" t="n"/>
      <c r="AA34" s="239" t="n"/>
      <c r="AB34" s="239" t="n"/>
      <c r="AC34" s="239" t="n"/>
      <c r="AD34" s="239" t="n"/>
      <c r="AE34" s="239" t="n"/>
      <c r="AF34" s="239" t="n"/>
      <c r="AG34" s="239" t="n"/>
      <c r="AH34" s="239" t="n"/>
      <c r="AI34" s="239" t="n"/>
      <c r="AJ34" s="239" t="n"/>
      <c r="AK34" s="239" t="n"/>
      <c r="AL34" s="239" t="n"/>
      <c r="AM34" s="239" t="n"/>
      <c r="AN34" s="239" t="n"/>
      <c r="AO34" s="239" t="n"/>
      <c r="AP34" s="239" t="n"/>
      <c r="AQ34" s="239" t="n"/>
      <c r="AR34" s="239" t="n"/>
      <c r="AS34" s="239" t="n"/>
      <c r="AT34" s="239" t="n"/>
      <c r="AU34" s="239" t="n"/>
      <c r="AV34" s="239" t="n"/>
      <c r="AW34" s="239" t="n"/>
      <c r="AX34" s="239" t="n"/>
      <c r="AY34" s="239" t="n"/>
      <c r="AZ34" s="239" t="n"/>
      <c r="BA34" s="238" t="n"/>
      <c r="BB34" s="239" t="n"/>
      <c r="BC34" s="239" t="n"/>
      <c r="BD34" s="239" t="n"/>
      <c r="BE34" s="239" t="n"/>
      <c r="BF34" s="239" t="n"/>
      <c r="BG34" s="242" t="n"/>
      <c r="BH34" s="350" t="n"/>
      <c r="BI34" s="242" t="n"/>
      <c r="BJ34" s="242" t="n"/>
    </row>
    <row r="35" ht="15.75" customHeight="1" s="349">
      <c r="A35" s="226" t="n"/>
      <c r="B35" s="241" t="inlineStr">
        <is>
          <t>Depreciation &amp; Amortisation</t>
        </is>
      </c>
      <c r="C35" s="233" t="n"/>
      <c r="D35" s="233" t="inlineStr">
        <is>
          <t>€</t>
        </is>
      </c>
      <c r="E35" s="241">
        <f>-SUM($E$53:E53)/(Assumptions!$D$128*12)</f>
        <v/>
      </c>
      <c r="F35" s="241">
        <f>-SUM($E$53:F53)/(Assumptions!$D$128*12)</f>
        <v/>
      </c>
      <c r="G35" s="241">
        <f>-SUM($E$53:G53)/(Assumptions!$D$128*12)</f>
        <v/>
      </c>
      <c r="H35" s="241">
        <f>-SUM($E$53:H53)/(Assumptions!$D$128*12)</f>
        <v/>
      </c>
      <c r="I35" s="241">
        <f>-SUM($E$53:I53)/(Assumptions!$D$128*12)</f>
        <v/>
      </c>
      <c r="J35" s="241">
        <f>-SUM($E$53:J53)/(Assumptions!$D$128*12)</f>
        <v/>
      </c>
      <c r="K35" s="241">
        <f>-SUM($E$53:K53)/(Assumptions!$D$128*12)</f>
        <v/>
      </c>
      <c r="L35" s="241">
        <f>-SUM($E$53:L53)/(Assumptions!$D$128*12)</f>
        <v/>
      </c>
      <c r="M35" s="241">
        <f>-SUM($E$53:M53)/(Assumptions!$D$128*12)</f>
        <v/>
      </c>
      <c r="N35" s="241">
        <f>-SUM($E$53:N53)/(Assumptions!$D$128*12)</f>
        <v/>
      </c>
      <c r="O35" s="241">
        <f>-SUM($E$53:O53)/(Assumptions!$D$128*12)</f>
        <v/>
      </c>
      <c r="P35" s="241">
        <f>-SUM($E$53:P53)/(Assumptions!$D$128*12)</f>
        <v/>
      </c>
      <c r="Q35" s="241">
        <f>-SUM($E$53:Q53)/(Assumptions!$D$128*12)</f>
        <v/>
      </c>
      <c r="R35" s="241">
        <f>-SUM($E$53:R53)/(Assumptions!$D$128*12)</f>
        <v/>
      </c>
      <c r="S35" s="241">
        <f>-SUM($E$53:S53)/(Assumptions!$D$128*12)</f>
        <v/>
      </c>
      <c r="T35" s="241">
        <f>-SUM($E$53:T53)/(Assumptions!$D$128*12)</f>
        <v/>
      </c>
      <c r="U35" s="241">
        <f>-SUM($E$53:U53)/(Assumptions!$D$128*12)</f>
        <v/>
      </c>
      <c r="V35" s="241">
        <f>-SUM($E$53:V53)/(Assumptions!$D$128*12)</f>
        <v/>
      </c>
      <c r="W35" s="241">
        <f>-SUM($E$53:W53)/(Assumptions!$D$128*12)</f>
        <v/>
      </c>
      <c r="X35" s="241">
        <f>-SUM($E$53:X53)/(Assumptions!$D$128*12)</f>
        <v/>
      </c>
      <c r="Y35" s="241">
        <f>-SUM($E$53:Y53)/(Assumptions!$D$128*12)</f>
        <v/>
      </c>
      <c r="Z35" s="241">
        <f>-SUM($E$53:Z53)/(Assumptions!$D$128*12)</f>
        <v/>
      </c>
      <c r="AA35" s="241">
        <f>-SUM($E$53:AA53)/(Assumptions!$D$128*12)</f>
        <v/>
      </c>
      <c r="AB35" s="241">
        <f>-SUM($E$53:AB53)/(Assumptions!$D$128*12)</f>
        <v/>
      </c>
      <c r="AC35" s="241">
        <f>-SUM($E$53:AC53)/(Assumptions!$D$128*12)</f>
        <v/>
      </c>
      <c r="AD35" s="241">
        <f>-SUM($E$53:AD53)/(Assumptions!$D$128*12)</f>
        <v/>
      </c>
      <c r="AE35" s="241">
        <f>-SUM($E$53:AE53)/(Assumptions!$D$128*12)</f>
        <v/>
      </c>
      <c r="AF35" s="241">
        <f>-SUM($E$53:AF53)/(Assumptions!$D$128*12)</f>
        <v/>
      </c>
      <c r="AG35" s="241">
        <f>-SUM($E$53:AG53)/(Assumptions!$D$128*12)</f>
        <v/>
      </c>
      <c r="AH35" s="241">
        <f>-SUM($E$53:AH53)/(Assumptions!$D$128*12)</f>
        <v/>
      </c>
      <c r="AI35" s="241">
        <f>-SUM($E$53:AI53)/(Assumptions!$D$128*12)</f>
        <v/>
      </c>
      <c r="AJ35" s="241">
        <f>-SUM($E$53:AJ53)/(Assumptions!$D$128*12)</f>
        <v/>
      </c>
      <c r="AK35" s="241">
        <f>-SUM($E$53:AK53)/(Assumptions!$D$128*12)</f>
        <v/>
      </c>
      <c r="AL35" s="241">
        <f>-SUM($E$53:AL53)/(Assumptions!$D$128*12)</f>
        <v/>
      </c>
      <c r="AM35" s="241">
        <f>-SUM($E$53:AM53)/(Assumptions!$D$128*12)</f>
        <v/>
      </c>
      <c r="AN35" s="241">
        <f>-SUM($E$53:AN53)/(Assumptions!$D$128*12)</f>
        <v/>
      </c>
      <c r="AO35" s="241">
        <f>-SUM($E$53:AO53)/(Assumptions!$D$128*12)</f>
        <v/>
      </c>
      <c r="AP35" s="241">
        <f>-SUM($E$53:AP53)/(Assumptions!$D$128*12)</f>
        <v/>
      </c>
      <c r="AQ35" s="241">
        <f>-SUM($E$53:AQ53)/(Assumptions!$D$128*12)</f>
        <v/>
      </c>
      <c r="AR35" s="241">
        <f>-SUM($E$53:AR53)/(Assumptions!$D$128*12)</f>
        <v/>
      </c>
      <c r="AS35" s="241">
        <f>-SUM($E$53:AS53)/(Assumptions!$D$128*12)</f>
        <v/>
      </c>
      <c r="AT35" s="241">
        <f>-SUM($E$53:AT53)/(Assumptions!$D$128*12)</f>
        <v/>
      </c>
      <c r="AU35" s="241">
        <f>-SUM($E$53:AU53)/(Assumptions!$D$128*12)</f>
        <v/>
      </c>
      <c r="AV35" s="241">
        <f>-SUM($E$53:AV53)/(Assumptions!$D$128*12)</f>
        <v/>
      </c>
      <c r="AW35" s="241">
        <f>-SUM($E$53:AW53)/(Assumptions!$D$128*12)</f>
        <v/>
      </c>
      <c r="AX35" s="241">
        <f>-SUM($E$53:AX53)/(Assumptions!$D$128*12)</f>
        <v/>
      </c>
      <c r="AY35" s="241">
        <f>-SUM($E$53:AY53)/(Assumptions!$D$128*12)</f>
        <v/>
      </c>
      <c r="AZ35" s="241">
        <f>-SUM($E$53:AZ53)/(Assumptions!$D$128*12)</f>
        <v/>
      </c>
      <c r="BA35" s="226" t="n"/>
      <c r="BB35" s="241">
        <f>sum(E35:P35)</f>
        <v/>
      </c>
      <c r="BC35" s="241">
        <f>sum(Q35:AB35)</f>
        <v/>
      </c>
      <c r="BD35" s="241">
        <f>sum(AC35:AN35)</f>
        <v/>
      </c>
      <c r="BE35" s="241">
        <f>sum(AO35:AZ35)</f>
        <v/>
      </c>
      <c r="BF35" s="241">
        <f>(-SUM($E$53:$AZ$53)+(-BF53)/2)/Assumptions!$D$128</f>
        <v/>
      </c>
      <c r="BG35" s="66" t="n"/>
      <c r="BH35" s="350" t="inlineStr">
        <is>
          <t>straight line on cumulative capex, blended life from Assumptions D128</t>
        </is>
      </c>
      <c r="BI35" s="66" t="n"/>
      <c r="BJ35" s="66" t="n"/>
    </row>
    <row r="36" ht="15.75" customHeight="1" s="349">
      <c r="A36" s="226" t="n"/>
      <c r="B36" s="241" t="inlineStr">
        <is>
          <t>Interest payments</t>
        </is>
      </c>
      <c r="C36" s="233" t="n"/>
      <c r="D36" s="233" t="inlineStr">
        <is>
          <t>€</t>
        </is>
      </c>
      <c r="E36" s="241" t="n"/>
      <c r="F36" s="241" t="n"/>
      <c r="G36" s="241" t="n"/>
      <c r="H36" s="241" t="n"/>
      <c r="I36" s="241" t="n"/>
      <c r="J36" s="241" t="n"/>
      <c r="K36" s="241" t="n"/>
      <c r="L36" s="241" t="n"/>
      <c r="M36" s="241" t="n">
        <v>0</v>
      </c>
      <c r="N36" s="241" t="n">
        <v>0</v>
      </c>
      <c r="O36" s="241" t="n">
        <v>0</v>
      </c>
      <c r="P36" s="241" t="n">
        <v>0</v>
      </c>
      <c r="Q36" s="241">
        <f>P82*Assumptions!$C$11/12</f>
        <v/>
      </c>
      <c r="R36" s="241">
        <f>Q82*Assumptions!$C$11/12</f>
        <v/>
      </c>
      <c r="S36" s="241">
        <f>R82*Assumptions!$C$11/12</f>
        <v/>
      </c>
      <c r="T36" s="241">
        <f>S82*Assumptions!$C$11/12</f>
        <v/>
      </c>
      <c r="U36" s="241">
        <f>T82*Assumptions!$C$11/12</f>
        <v/>
      </c>
      <c r="V36" s="241">
        <f>U82*Assumptions!$C$11/12</f>
        <v/>
      </c>
      <c r="W36" s="241">
        <f>V82*Assumptions!$C$11/12</f>
        <v/>
      </c>
      <c r="X36" s="241">
        <f>W82*Assumptions!$C$11/12</f>
        <v/>
      </c>
      <c r="Y36" s="241">
        <f>X82*Assumptions!$C$11/12</f>
        <v/>
      </c>
      <c r="Z36" s="241">
        <f>Y82*Assumptions!$C$11/12</f>
        <v/>
      </c>
      <c r="AA36" s="241">
        <f>Z82*Assumptions!$C$11/12</f>
        <v/>
      </c>
      <c r="AB36" s="241">
        <f>AA82*Assumptions!$C$11/12</f>
        <v/>
      </c>
      <c r="AC36" s="241">
        <f>AB82*Assumptions!$C$11/12</f>
        <v/>
      </c>
      <c r="AD36" s="241">
        <f>AC82*Assumptions!$C$11/12</f>
        <v/>
      </c>
      <c r="AE36" s="241">
        <f>AD82*Assumptions!$C$11/12</f>
        <v/>
      </c>
      <c r="AF36" s="241">
        <f>AE82*Assumptions!$C$11/12</f>
        <v/>
      </c>
      <c r="AG36" s="241">
        <f>AF82*Assumptions!$C$11/12</f>
        <v/>
      </c>
      <c r="AH36" s="241">
        <f>AG82*Assumptions!$C$11/12</f>
        <v/>
      </c>
      <c r="AI36" s="241">
        <f>AH82*Assumptions!$C$11/12</f>
        <v/>
      </c>
      <c r="AJ36" s="241">
        <f>AI82*Assumptions!$C$11/12</f>
        <v/>
      </c>
      <c r="AK36" s="241">
        <f>AJ82*Assumptions!$C$11/12</f>
        <v/>
      </c>
      <c r="AL36" s="241">
        <f>AK82*Assumptions!$C$11/12</f>
        <v/>
      </c>
      <c r="AM36" s="241">
        <f>AL82*Assumptions!$C$11/12</f>
        <v/>
      </c>
      <c r="AN36" s="241">
        <f>AM82*Assumptions!$C$11/12</f>
        <v/>
      </c>
      <c r="AO36" s="241">
        <f>AN82*Assumptions!$C$11/12</f>
        <v/>
      </c>
      <c r="AP36" s="241">
        <f>AO82*Assumptions!$C$11/12</f>
        <v/>
      </c>
      <c r="AQ36" s="241">
        <f>AP82*Assumptions!$C$11/12</f>
        <v/>
      </c>
      <c r="AR36" s="241">
        <f>AQ82*Assumptions!$C$11/12</f>
        <v/>
      </c>
      <c r="AS36" s="241">
        <f>AR82*Assumptions!$C$11/12</f>
        <v/>
      </c>
      <c r="AT36" s="241">
        <f>AS82*Assumptions!$C$11/12</f>
        <v/>
      </c>
      <c r="AU36" s="241">
        <f>AT82*Assumptions!$C$11/12</f>
        <v/>
      </c>
      <c r="AV36" s="241">
        <f>AU82*Assumptions!$C$11/12</f>
        <v/>
      </c>
      <c r="AW36" s="241">
        <f>AV82*Assumptions!$C$11/12</f>
        <v/>
      </c>
      <c r="AX36" s="241">
        <f>AW82*Assumptions!$C$11/12</f>
        <v/>
      </c>
      <c r="AY36" s="241">
        <f>AX82*Assumptions!$C$11/12</f>
        <v/>
      </c>
      <c r="AZ36" s="241">
        <f>AY82*Assumptions!$C$11/12</f>
        <v/>
      </c>
      <c r="BA36" s="226" t="n"/>
      <c r="BB36" s="233">
        <f>sum(E36:P36)</f>
        <v/>
      </c>
      <c r="BC36" s="233">
        <f>sum(Q36:AB36)</f>
        <v/>
      </c>
      <c r="BD36" s="233">
        <f>sum(AC36:AN36)</f>
        <v/>
      </c>
      <c r="BE36" s="233">
        <f>sum(AO36:AZ36)</f>
        <v/>
      </c>
      <c r="BF36" s="233">
        <f>BE82*Assumptions!$C$11/12</f>
        <v/>
      </c>
      <c r="BG36" s="226" t="n"/>
      <c r="BH36" s="350" t="inlineStr">
        <is>
          <t>interest on last month's loan balance, yearly rate divided by 12</t>
        </is>
      </c>
      <c r="BI36" s="226" t="n"/>
      <c r="BJ36" s="226" t="n"/>
    </row>
    <row r="37" ht="12.75" customHeight="1" s="349">
      <c r="A37" s="125" t="n"/>
      <c r="B37" s="126" t="inlineStr">
        <is>
          <t>EBT</t>
        </is>
      </c>
      <c r="C37" s="127" t="n"/>
      <c r="D37" s="126" t="inlineStr">
        <is>
          <t>€</t>
        </is>
      </c>
      <c r="E37" s="134" t="n"/>
      <c r="F37" s="134" t="n"/>
      <c r="G37" s="134" t="n"/>
      <c r="H37" s="134" t="n"/>
      <c r="I37" s="134" t="n"/>
      <c r="J37" s="134" t="n"/>
      <c r="K37" s="134" t="n"/>
      <c r="L37" s="134" t="n"/>
      <c r="M37" s="134">
        <f>M32-sum(M35:M36)</f>
        <v/>
      </c>
      <c r="N37" s="134">
        <f>N32-sum(N35:N36)</f>
        <v/>
      </c>
      <c r="O37" s="134">
        <f>O32-sum(O35:O36)</f>
        <v/>
      </c>
      <c r="P37" s="134">
        <f>P32-sum(P35:P36)</f>
        <v/>
      </c>
      <c r="Q37" s="134">
        <f>Q32-sum(Q35:Q36)</f>
        <v/>
      </c>
      <c r="R37" s="134">
        <f>R32-sum(R35:R36)</f>
        <v/>
      </c>
      <c r="S37" s="134">
        <f>S32-sum(S35:S36)</f>
        <v/>
      </c>
      <c r="T37" s="134">
        <f>T32-sum(T35:T36)</f>
        <v/>
      </c>
      <c r="U37" s="134">
        <f>U32-sum(U35:U36)</f>
        <v/>
      </c>
      <c r="V37" s="134">
        <f>V32-sum(V35:V36)</f>
        <v/>
      </c>
      <c r="W37" s="134">
        <f>W32-sum(W35:W36)</f>
        <v/>
      </c>
      <c r="X37" s="134">
        <f>X32-sum(X35:X36)</f>
        <v/>
      </c>
      <c r="Y37" s="134">
        <f>Y32-sum(Y35:Y36)</f>
        <v/>
      </c>
      <c r="Z37" s="134">
        <f>Z32-sum(Z35:Z36)</f>
        <v/>
      </c>
      <c r="AA37" s="134">
        <f>AA32-sum(AA35:AA36)</f>
        <v/>
      </c>
      <c r="AB37" s="134">
        <f>AB32-sum(AB35:AB36)</f>
        <v/>
      </c>
      <c r="AC37" s="134">
        <f>AC32-sum(AC35:AC36)</f>
        <v/>
      </c>
      <c r="AD37" s="134">
        <f>AD32-sum(AD35:AD36)</f>
        <v/>
      </c>
      <c r="AE37" s="134">
        <f>AE32-sum(AE35:AE36)</f>
        <v/>
      </c>
      <c r="AF37" s="134">
        <f>AF32-sum(AF35:AF36)</f>
        <v/>
      </c>
      <c r="AG37" s="134">
        <f>AG32-sum(AG35:AG36)</f>
        <v/>
      </c>
      <c r="AH37" s="134">
        <f>AH32-sum(AH35:AH36)</f>
        <v/>
      </c>
      <c r="AI37" s="134">
        <f>AI32-sum(AI35:AI36)</f>
        <v/>
      </c>
      <c r="AJ37" s="134">
        <f>AJ32-sum(AJ35:AJ36)</f>
        <v/>
      </c>
      <c r="AK37" s="134">
        <f>AK32-sum(AK35:AK36)</f>
        <v/>
      </c>
      <c r="AL37" s="134">
        <f>AL32-sum(AL35:AL36)</f>
        <v/>
      </c>
      <c r="AM37" s="134">
        <f>AM32-sum(AM35:AM36)</f>
        <v/>
      </c>
      <c r="AN37" s="134">
        <f>AN32-sum(AN35:AN36)</f>
        <v/>
      </c>
      <c r="AO37" s="134">
        <f>AO32-sum(AO35:AO36)</f>
        <v/>
      </c>
      <c r="AP37" s="134">
        <f>AP32-sum(AP35:AP36)</f>
        <v/>
      </c>
      <c r="AQ37" s="134">
        <f>AQ32-sum(AQ35:AQ36)</f>
        <v/>
      </c>
      <c r="AR37" s="134">
        <f>AR32-sum(AR35:AR36)</f>
        <v/>
      </c>
      <c r="AS37" s="134">
        <f>AS32-sum(AS35:AS36)</f>
        <v/>
      </c>
      <c r="AT37" s="134">
        <f>AT32-sum(AT35:AT36)</f>
        <v/>
      </c>
      <c r="AU37" s="134">
        <f>AU32-sum(AU35:AU36)</f>
        <v/>
      </c>
      <c r="AV37" s="134">
        <f>AV32-sum(AV35:AV36)</f>
        <v/>
      </c>
      <c r="AW37" s="134">
        <f>AW32-sum(AW35:AW36)</f>
        <v/>
      </c>
      <c r="AX37" s="134">
        <f>AX32-sum(AX35:AX36)</f>
        <v/>
      </c>
      <c r="AY37" s="134">
        <f>AY32-sum(AY35:AY36)</f>
        <v/>
      </c>
      <c r="AZ37" s="134">
        <f>AZ32-sum(AZ35:AZ36)</f>
        <v/>
      </c>
      <c r="BA37" s="133" t="n"/>
      <c r="BB37" s="134">
        <f>sum(E37:P37)</f>
        <v/>
      </c>
      <c r="BC37" s="134">
        <f>sum(Q37:AB37)</f>
        <v/>
      </c>
      <c r="BD37" s="134">
        <f>sum(AC37:AN37)</f>
        <v/>
      </c>
      <c r="BE37" s="134">
        <f>sum(AO37:AZ37)</f>
        <v/>
      </c>
      <c r="BF37" s="134">
        <f>BF32-sum(BF35:BF36)</f>
        <v/>
      </c>
      <c r="BG37" s="137" t="n"/>
      <c r="BH37" s="350" t="inlineStr">
        <is>
          <t>EBITDA minus depreciation and interest</t>
        </is>
      </c>
      <c r="BI37" s="137" t="n"/>
      <c r="BJ37" s="137" t="n"/>
    </row>
    <row r="38" ht="15.75" customHeight="1" s="349">
      <c r="A38" s="226" t="n"/>
      <c r="B38" s="241" t="n"/>
      <c r="C38" s="233" t="n"/>
      <c r="D38" s="138" t="n"/>
      <c r="E38" s="241" t="n"/>
      <c r="F38" s="241" t="n"/>
      <c r="G38" s="241" t="n"/>
      <c r="H38" s="241" t="n"/>
      <c r="I38" s="241" t="n"/>
      <c r="J38" s="241" t="n"/>
      <c r="K38" s="241" t="n"/>
      <c r="L38" s="241" t="n"/>
      <c r="M38" s="241" t="n"/>
      <c r="N38" s="241" t="n"/>
      <c r="O38" s="241" t="n"/>
      <c r="P38" s="241" t="n"/>
      <c r="Q38" s="241" t="n"/>
      <c r="R38" s="241" t="n"/>
      <c r="S38" s="241" t="n"/>
      <c r="T38" s="241" t="n"/>
      <c r="U38" s="241" t="n"/>
      <c r="V38" s="241" t="n"/>
      <c r="W38" s="241" t="n"/>
      <c r="X38" s="241" t="n"/>
      <c r="Y38" s="241" t="n"/>
      <c r="Z38" s="241" t="n"/>
      <c r="AA38" s="241" t="n"/>
      <c r="AB38" s="241" t="n"/>
      <c r="AC38" s="241" t="n"/>
      <c r="AD38" s="241" t="n"/>
      <c r="AE38" s="241" t="n"/>
      <c r="AF38" s="241" t="n"/>
      <c r="AG38" s="241" t="n"/>
      <c r="AH38" s="241" t="n"/>
      <c r="AI38" s="241" t="n"/>
      <c r="AJ38" s="241" t="n"/>
      <c r="AK38" s="241" t="n"/>
      <c r="AL38" s="241" t="n"/>
      <c r="AM38" s="241" t="n"/>
      <c r="AN38" s="241" t="n"/>
      <c r="AO38" s="241" t="n"/>
      <c r="AP38" s="241" t="n"/>
      <c r="AQ38" s="241" t="n"/>
      <c r="AR38" s="241" t="n"/>
      <c r="AS38" s="241" t="n"/>
      <c r="AT38" s="241" t="n"/>
      <c r="AU38" s="241" t="n"/>
      <c r="AV38" s="241" t="n"/>
      <c r="AW38" s="241" t="n"/>
      <c r="AX38" s="241" t="n"/>
      <c r="AY38" s="241" t="n"/>
      <c r="AZ38" s="241" t="n"/>
      <c r="BA38" s="226" t="n"/>
      <c r="BB38" s="216" t="n"/>
      <c r="BC38" s="216" t="n"/>
      <c r="BD38" s="216" t="n"/>
      <c r="BE38" s="216">
        <f>BE37/BE11</f>
        <v/>
      </c>
      <c r="BF38" s="216">
        <f>BF37/BF11</f>
        <v/>
      </c>
      <c r="BG38" s="66" t="n"/>
      <c r="BH38" s="350" t="inlineStr">
        <is>
          <t>profit before tax as a % of revenue</t>
        </is>
      </c>
      <c r="BI38" s="66" t="n"/>
      <c r="BJ38" s="66" t="n"/>
    </row>
    <row r="39" ht="15.75" customHeight="1" s="349">
      <c r="A39" s="226" t="n"/>
      <c r="B39" s="241" t="n"/>
      <c r="C39" s="233" t="n"/>
      <c r="D39" s="138" t="n"/>
      <c r="E39" s="241" t="n"/>
      <c r="F39" s="241" t="n"/>
      <c r="G39" s="241" t="n"/>
      <c r="H39" s="241" t="n"/>
      <c r="I39" s="241" t="n"/>
      <c r="J39" s="241" t="n"/>
      <c r="K39" s="241" t="n"/>
      <c r="L39" s="241" t="n"/>
      <c r="M39" s="241" t="n"/>
      <c r="N39" s="241" t="n"/>
      <c r="O39" s="241" t="n"/>
      <c r="P39" s="241" t="n"/>
      <c r="Q39" s="241" t="n"/>
      <c r="R39" s="241" t="n"/>
      <c r="S39" s="241" t="n"/>
      <c r="T39" s="241" t="n"/>
      <c r="U39" s="241" t="n"/>
      <c r="V39" s="241" t="n"/>
      <c r="W39" s="241" t="n"/>
      <c r="X39" s="241" t="n"/>
      <c r="Y39" s="241" t="n"/>
      <c r="Z39" s="241" t="n"/>
      <c r="AA39" s="241" t="n"/>
      <c r="AB39" s="241" t="n"/>
      <c r="AC39" s="241" t="n"/>
      <c r="AD39" s="241" t="n"/>
      <c r="AE39" s="241" t="n"/>
      <c r="AF39" s="241" t="n"/>
      <c r="AG39" s="241" t="n"/>
      <c r="AH39" s="241" t="n"/>
      <c r="AI39" s="241" t="n"/>
      <c r="AJ39" s="241" t="n"/>
      <c r="AK39" s="241" t="n"/>
      <c r="AL39" s="241" t="n"/>
      <c r="AM39" s="241" t="n"/>
      <c r="AN39" s="241" t="n"/>
      <c r="AO39" s="241" t="n"/>
      <c r="AP39" s="241" t="n"/>
      <c r="AQ39" s="241" t="n"/>
      <c r="AR39" s="241" t="n"/>
      <c r="AS39" s="241" t="n"/>
      <c r="AT39" s="241" t="n"/>
      <c r="AU39" s="241" t="n"/>
      <c r="AV39" s="241" t="n"/>
      <c r="AW39" s="241" t="n"/>
      <c r="AX39" s="241" t="n"/>
      <c r="AY39" s="241" t="n"/>
      <c r="AZ39" s="241" t="n"/>
      <c r="BA39" s="226" t="n"/>
      <c r="BB39" s="216" t="n"/>
      <c r="BC39" s="216" t="n"/>
      <c r="BD39" s="216" t="n"/>
      <c r="BE39" s="216" t="n"/>
      <c r="BF39" s="216" t="n"/>
      <c r="BG39" s="66" t="n"/>
      <c r="BH39" s="350" t="n"/>
      <c r="BI39" s="66" t="n"/>
      <c r="BJ39" s="66" t="n"/>
    </row>
    <row r="40" ht="15.75" customHeight="1" s="349">
      <c r="A40" s="226" t="n"/>
      <c r="B40" s="241" t="inlineStr">
        <is>
          <t>Income tax</t>
        </is>
      </c>
      <c r="C40" s="233" t="n"/>
      <c r="D40" s="233" t="inlineStr">
        <is>
          <t>€</t>
        </is>
      </c>
      <c r="E40" s="241" t="n"/>
      <c r="F40" s="241" t="n"/>
      <c r="G40" s="241" t="n"/>
      <c r="H40" s="241" t="n"/>
      <c r="I40" s="241" t="n"/>
      <c r="J40" s="241" t="n"/>
      <c r="K40" s="241" t="n"/>
      <c r="L40" s="241" t="n"/>
      <c r="M40" s="241" t="n">
        <v>0</v>
      </c>
      <c r="N40" s="241" t="n">
        <v>0</v>
      </c>
      <c r="O40" s="241" t="n">
        <v>0</v>
      </c>
      <c r="P40" s="241" t="n">
        <v>0</v>
      </c>
      <c r="Q40" s="241" t="n">
        <v>0</v>
      </c>
      <c r="R40" s="241" t="n">
        <v>0</v>
      </c>
      <c r="S40" s="241" t="n">
        <v>0</v>
      </c>
      <c r="T40" s="241" t="n">
        <v>0</v>
      </c>
      <c r="U40" s="241" t="n">
        <v>0</v>
      </c>
      <c r="V40" s="241" t="n">
        <v>0</v>
      </c>
      <c r="W40" s="241" t="n">
        <v>0</v>
      </c>
      <c r="X40" s="241" t="n">
        <v>0</v>
      </c>
      <c r="Y40" s="241" t="n">
        <v>0</v>
      </c>
      <c r="Z40" s="241" t="n">
        <v>0</v>
      </c>
      <c r="AA40" s="241" t="n">
        <v>0</v>
      </c>
      <c r="AB40" s="241" t="n">
        <v>0</v>
      </c>
      <c r="AC40" s="241" t="n">
        <v>0</v>
      </c>
      <c r="AD40" s="241" t="n">
        <v>0</v>
      </c>
      <c r="AE40" s="241" t="n">
        <v>0</v>
      </c>
      <c r="AF40" s="241" t="n">
        <v>0</v>
      </c>
      <c r="AG40" s="241" t="n">
        <v>0</v>
      </c>
      <c r="AH40" s="241" t="n">
        <v>0</v>
      </c>
      <c r="AI40" s="241" t="n">
        <v>0</v>
      </c>
      <c r="AJ40" s="241" t="n">
        <v>0</v>
      </c>
      <c r="AK40" s="241" t="n">
        <v>0</v>
      </c>
      <c r="AL40" s="241" t="n">
        <v>0</v>
      </c>
      <c r="AM40" s="241" t="n">
        <v>0</v>
      </c>
      <c r="AN40" s="241" t="n">
        <v>0</v>
      </c>
      <c r="AO40" s="241" t="n">
        <v>0</v>
      </c>
      <c r="AP40" s="241" t="n">
        <v>0</v>
      </c>
      <c r="AQ40" s="241" t="n">
        <v>0</v>
      </c>
      <c r="AR40" s="241" t="n">
        <v>0</v>
      </c>
      <c r="AS40" s="241" t="n">
        <v>0</v>
      </c>
      <c r="AT40" s="241" t="n">
        <v>0</v>
      </c>
      <c r="AU40" s="241" t="n">
        <v>0</v>
      </c>
      <c r="AV40" s="241" t="n">
        <v>0</v>
      </c>
      <c r="AW40" s="241" t="n">
        <v>0</v>
      </c>
      <c r="AX40" s="241" t="n">
        <v>0</v>
      </c>
      <c r="AY40" s="241" t="n">
        <v>0</v>
      </c>
      <c r="AZ40" s="241" t="n">
        <v>0</v>
      </c>
      <c r="BA40" s="226" t="n"/>
      <c r="BB40" s="241">
        <f>sum(E40:P40)</f>
        <v/>
      </c>
      <c r="BC40" s="241">
        <f>sum(Q40:AB40)</f>
        <v/>
      </c>
      <c r="BD40" s="241">
        <f>sum(AC40:AN40)</f>
        <v/>
      </c>
      <c r="BE40" s="241">
        <f>sum(AO40:AZ40)</f>
        <v/>
      </c>
      <c r="BF40" s="241">
        <f>(BF37-AZ44)*Assumptions!$C$10</f>
        <v/>
      </c>
      <c r="BG40" s="66" t="n"/>
      <c r="BH40" s="350" t="inlineStr">
        <is>
          <t>tax on profit, but only once the old losses below are used up</t>
        </is>
      </c>
      <c r="BI40" s="66" t="n"/>
      <c r="BJ40" s="66" t="n"/>
    </row>
    <row r="41" ht="12.75" customHeight="1" s="349">
      <c r="A41" s="125" t="n"/>
      <c r="B41" s="126" t="inlineStr">
        <is>
          <t>NET INCOME</t>
        </is>
      </c>
      <c r="C41" s="127" t="n"/>
      <c r="D41" s="126" t="inlineStr">
        <is>
          <t>€</t>
        </is>
      </c>
      <c r="E41" s="134" t="n"/>
      <c r="F41" s="134" t="n"/>
      <c r="G41" s="134" t="n"/>
      <c r="H41" s="134" t="n"/>
      <c r="I41" s="134" t="n"/>
      <c r="J41" s="134" t="n"/>
      <c r="K41" s="134" t="n"/>
      <c r="L41" s="134" t="n"/>
      <c r="M41" s="134">
        <f>M37-M40</f>
        <v/>
      </c>
      <c r="N41" s="134">
        <f>N37-N40</f>
        <v/>
      </c>
      <c r="O41" s="134">
        <f>O37-O40</f>
        <v/>
      </c>
      <c r="P41" s="134">
        <f>P37-P40</f>
        <v/>
      </c>
      <c r="Q41" s="134">
        <f>Q37-Q40</f>
        <v/>
      </c>
      <c r="R41" s="134">
        <f>R37-R40</f>
        <v/>
      </c>
      <c r="S41" s="134">
        <f>S37-S40</f>
        <v/>
      </c>
      <c r="T41" s="134">
        <f>T37-T40</f>
        <v/>
      </c>
      <c r="U41" s="134">
        <f>U37-U40</f>
        <v/>
      </c>
      <c r="V41" s="134">
        <f>V37-V40</f>
        <v/>
      </c>
      <c r="W41" s="134">
        <f>W37-W40</f>
        <v/>
      </c>
      <c r="X41" s="134">
        <f>X37-X40</f>
        <v/>
      </c>
      <c r="Y41" s="134">
        <f>Y37-Y40</f>
        <v/>
      </c>
      <c r="Z41" s="134">
        <f>Z37-Z40</f>
        <v/>
      </c>
      <c r="AA41" s="134">
        <f>AA37-AA40</f>
        <v/>
      </c>
      <c r="AB41" s="134">
        <f>AB37-AB40</f>
        <v/>
      </c>
      <c r="AC41" s="134">
        <f>AC37-AC40</f>
        <v/>
      </c>
      <c r="AD41" s="134">
        <f>AD37-AD40</f>
        <v/>
      </c>
      <c r="AE41" s="134">
        <f>AE37-AE40</f>
        <v/>
      </c>
      <c r="AF41" s="134">
        <f>AF37-AF40</f>
        <v/>
      </c>
      <c r="AG41" s="134">
        <f>AG37-AG40</f>
        <v/>
      </c>
      <c r="AH41" s="134">
        <f>AH37-AH40</f>
        <v/>
      </c>
      <c r="AI41" s="134">
        <f>AI37-AI40</f>
        <v/>
      </c>
      <c r="AJ41" s="134">
        <f>AJ37-AJ40</f>
        <v/>
      </c>
      <c r="AK41" s="134">
        <f>AK37-AK40</f>
        <v/>
      </c>
      <c r="AL41" s="134">
        <f>AL37-AL40</f>
        <v/>
      </c>
      <c r="AM41" s="134">
        <f>AM37-AM40</f>
        <v/>
      </c>
      <c r="AN41" s="134">
        <f>AN37-AN40</f>
        <v/>
      </c>
      <c r="AO41" s="134">
        <f>AO37-AO40</f>
        <v/>
      </c>
      <c r="AP41" s="134">
        <f>AP37-AP40</f>
        <v/>
      </c>
      <c r="AQ41" s="134">
        <f>AQ37-AQ40</f>
        <v/>
      </c>
      <c r="AR41" s="134">
        <f>AR37-AR40</f>
        <v/>
      </c>
      <c r="AS41" s="134">
        <f>AS37-AS40</f>
        <v/>
      </c>
      <c r="AT41" s="134">
        <f>AT37-AT40</f>
        <v/>
      </c>
      <c r="AU41" s="134">
        <f>AU37-AU40</f>
        <v/>
      </c>
      <c r="AV41" s="134">
        <f>AV37-AV40</f>
        <v/>
      </c>
      <c r="AW41" s="134">
        <f>AW37-AW40</f>
        <v/>
      </c>
      <c r="AX41" s="134">
        <f>AX37-AX40</f>
        <v/>
      </c>
      <c r="AY41" s="134">
        <f>AY37-AY40</f>
        <v/>
      </c>
      <c r="AZ41" s="134">
        <f>AZ37-AZ40</f>
        <v/>
      </c>
      <c r="BA41" s="133" t="n"/>
      <c r="BB41" s="134">
        <f>sum(E41:P41)</f>
        <v/>
      </c>
      <c r="BC41" s="134">
        <f>sum(Q41:AB41)</f>
        <v/>
      </c>
      <c r="BD41" s="134">
        <f>sum(AC41:AN41)</f>
        <v/>
      </c>
      <c r="BE41" s="134">
        <f>sum(AO41:AZ41)</f>
        <v/>
      </c>
      <c r="BF41" s="134">
        <f>BF37-BF40</f>
        <v/>
      </c>
      <c r="BG41" s="137" t="n"/>
      <c r="BH41" s="350" t="inlineStr">
        <is>
          <t>profit after tax</t>
        </is>
      </c>
      <c r="BI41" s="137" t="n"/>
      <c r="BJ41" s="137" t="n"/>
    </row>
    <row r="42" ht="15.75" customHeight="1" s="349">
      <c r="A42" s="226" t="n"/>
      <c r="B42" s="223" t="inlineStr">
        <is>
          <t>Profit margin %</t>
        </is>
      </c>
      <c r="C42" s="233" t="n"/>
      <c r="D42" s="233" t="n"/>
      <c r="E42" s="233" t="n"/>
      <c r="F42" s="233" t="n"/>
      <c r="G42" s="233" t="n"/>
      <c r="H42" s="233" t="n"/>
      <c r="I42" s="233" t="n"/>
      <c r="J42" s="233" t="n"/>
      <c r="K42" s="233" t="n"/>
      <c r="L42" s="233" t="n"/>
      <c r="M42" s="233" t="n"/>
      <c r="N42" s="233" t="n"/>
      <c r="O42" s="233" t="n"/>
      <c r="P42" s="233" t="n"/>
      <c r="Q42" s="233" t="n"/>
      <c r="R42" s="233" t="n"/>
      <c r="S42" s="233" t="n"/>
      <c r="T42" s="233" t="n"/>
      <c r="U42" s="233" t="n"/>
      <c r="V42" s="233" t="n"/>
      <c r="W42" s="233" t="n"/>
      <c r="X42" s="233" t="n"/>
      <c r="Y42" s="233" t="n"/>
      <c r="Z42" s="233" t="n"/>
      <c r="AA42" s="233" t="n"/>
      <c r="AB42" s="233" t="n"/>
      <c r="AC42" s="233" t="n"/>
      <c r="AD42" s="233" t="n"/>
      <c r="AE42" s="233" t="n"/>
      <c r="AF42" s="233" t="n"/>
      <c r="AG42" s="233" t="n"/>
      <c r="AH42" s="233" t="n"/>
      <c r="AI42" s="233" t="n"/>
      <c r="AJ42" s="233" t="n"/>
      <c r="AK42" s="233" t="n"/>
      <c r="AL42" s="233" t="n"/>
      <c r="AM42" s="233" t="n"/>
      <c r="AN42" s="233" t="n"/>
      <c r="AO42" s="233" t="n"/>
      <c r="AP42" s="233" t="n"/>
      <c r="AQ42" s="233" t="n"/>
      <c r="AR42" s="233" t="n"/>
      <c r="AS42" s="233" t="n"/>
      <c r="AT42" s="233" t="n"/>
      <c r="AU42" s="233" t="n"/>
      <c r="AV42" s="233" t="n"/>
      <c r="AW42" s="233" t="n"/>
      <c r="AX42" s="233" t="n"/>
      <c r="AY42" s="233" t="n"/>
      <c r="AZ42" s="233" t="n"/>
      <c r="BA42" s="226" t="n"/>
      <c r="BB42" s="233" t="n"/>
      <c r="BC42" s="233" t="n"/>
      <c r="BD42" s="217" t="n"/>
      <c r="BE42" s="216">
        <f>BE41/BE11</f>
        <v/>
      </c>
      <c r="BF42" s="216">
        <f>BF41/BF11</f>
        <v/>
      </c>
      <c r="BG42" s="226" t="n"/>
      <c r="BH42" s="350" t="inlineStr">
        <is>
          <t>net profit as a % of revenue</t>
        </is>
      </c>
      <c r="BI42" s="226" t="n"/>
      <c r="BJ42" s="226" t="n"/>
    </row>
    <row r="43" ht="15.75" customHeight="1" s="349">
      <c r="A43" s="226" t="n"/>
      <c r="B43" s="233" t="n"/>
      <c r="C43" s="233" t="n"/>
      <c r="D43" s="233" t="n"/>
      <c r="E43" s="233" t="n"/>
      <c r="F43" s="233" t="n"/>
      <c r="G43" s="233" t="n"/>
      <c r="H43" s="233" t="n"/>
      <c r="I43" s="233" t="n"/>
      <c r="J43" s="233" t="n"/>
      <c r="K43" s="233" t="n"/>
      <c r="L43" s="233" t="n"/>
      <c r="M43" s="233" t="n"/>
      <c r="N43" s="233" t="n"/>
      <c r="O43" s="233" t="n"/>
      <c r="P43" s="233" t="n"/>
      <c r="Q43" s="233" t="n"/>
      <c r="R43" s="233" t="n"/>
      <c r="S43" s="233" t="n"/>
      <c r="T43" s="233" t="n"/>
      <c r="U43" s="233" t="n"/>
      <c r="V43" s="233" t="n"/>
      <c r="W43" s="233" t="n"/>
      <c r="X43" s="233" t="n"/>
      <c r="Y43" s="233" t="n"/>
      <c r="Z43" s="233" t="n"/>
      <c r="AA43" s="233" t="n"/>
      <c r="AB43" s="233" t="n"/>
      <c r="AC43" s="233" t="n"/>
      <c r="AD43" s="233" t="n"/>
      <c r="AE43" s="233" t="n"/>
      <c r="AF43" s="233" t="n"/>
      <c r="AG43" s="233" t="n"/>
      <c r="AH43" s="233" t="n"/>
      <c r="AI43" s="233" t="n"/>
      <c r="AJ43" s="233" t="n"/>
      <c r="AK43" s="233" t="n"/>
      <c r="AL43" s="233" t="n"/>
      <c r="AM43" s="233" t="n"/>
      <c r="AN43" s="233" t="n"/>
      <c r="AO43" s="233" t="n"/>
      <c r="AP43" s="233" t="n"/>
      <c r="AQ43" s="233" t="n"/>
      <c r="AR43" s="233" t="n"/>
      <c r="AS43" s="233" t="n"/>
      <c r="AT43" s="233" t="n"/>
      <c r="AU43" s="233" t="n"/>
      <c r="AV43" s="233" t="n"/>
      <c r="AW43" s="233" t="n"/>
      <c r="AX43" s="233" t="n"/>
      <c r="AY43" s="233" t="n"/>
      <c r="AZ43" s="233" t="n"/>
      <c r="BA43" s="226" t="n"/>
      <c r="BB43" s="233" t="n"/>
      <c r="BC43" s="233" t="n"/>
      <c r="BD43" s="233" t="n"/>
      <c r="BE43" s="233" t="n"/>
      <c r="BF43" s="233" t="n"/>
      <c r="BG43" s="226" t="n"/>
      <c r="BH43" s="350" t="n"/>
      <c r="BI43" s="226" t="n"/>
      <c r="BJ43" s="226" t="n"/>
    </row>
    <row r="44" ht="15.75" customHeight="1" s="349">
      <c r="A44" s="249" t="n"/>
      <c r="B44" s="249" t="inlineStr">
        <is>
          <t xml:space="preserve">Tax carry over to be applied </t>
        </is>
      </c>
      <c r="C44" s="249" t="n"/>
      <c r="D44" s="249" t="n"/>
      <c r="E44" s="249" t="n"/>
      <c r="F44" s="249" t="n"/>
      <c r="G44" s="249" t="n"/>
      <c r="H44" s="249" t="n"/>
      <c r="I44" s="249" t="n"/>
      <c r="J44" s="249" t="n"/>
      <c r="K44" s="249" t="n"/>
      <c r="L44" s="249" t="n"/>
      <c r="M44" s="250" t="n">
        <v>108239</v>
      </c>
      <c r="N44" s="250">
        <f>M44+(-N41*Assumptions!$C$10)</f>
        <v/>
      </c>
      <c r="O44" s="250">
        <f>N44+(-O41*Assumptions!$C$10)</f>
        <v/>
      </c>
      <c r="P44" s="250">
        <f>O44+(-P41*Assumptions!$C$10)</f>
        <v/>
      </c>
      <c r="Q44" s="250">
        <f>P44+(-Q41*Assumptions!$C$10)</f>
        <v/>
      </c>
      <c r="R44" s="250">
        <f>Q44+(-R41*Assumptions!$C$10)</f>
        <v/>
      </c>
      <c r="S44" s="250">
        <f>R44+(-S41*Assumptions!$C$10)</f>
        <v/>
      </c>
      <c r="T44" s="250">
        <f>S44+(-T41*Assumptions!$C$10)</f>
        <v/>
      </c>
      <c r="U44" s="250">
        <f>T44+(-U41*Assumptions!$C$10)</f>
        <v/>
      </c>
      <c r="V44" s="250">
        <f>U44+(-V41*Assumptions!$C$10)</f>
        <v/>
      </c>
      <c r="W44" s="250">
        <f>V44+(-W41*Assumptions!$C$10)</f>
        <v/>
      </c>
      <c r="X44" s="250">
        <f>W44+(-X41*Assumptions!$C$10)</f>
        <v/>
      </c>
      <c r="Y44" s="250">
        <f>X44+(-Y41*Assumptions!$C$10)</f>
        <v/>
      </c>
      <c r="Z44" s="250">
        <f>Y44+(-Z41*Assumptions!$C$10)</f>
        <v/>
      </c>
      <c r="AA44" s="250">
        <f>Z44+(-AA41*Assumptions!$C$10)</f>
        <v/>
      </c>
      <c r="AB44" s="250">
        <f>AA44+(-AB41*Assumptions!$C$10)</f>
        <v/>
      </c>
      <c r="AC44" s="250">
        <f>AB44+(-AC41*Assumptions!$C$10)</f>
        <v/>
      </c>
      <c r="AD44" s="250">
        <f>AC44+(-AD41*Assumptions!$C$10)</f>
        <v/>
      </c>
      <c r="AE44" s="250">
        <f>AD44+(-AE41*Assumptions!$C$10)</f>
        <v/>
      </c>
      <c r="AF44" s="250">
        <f>AE44+(-AF41*Assumptions!$C$10)</f>
        <v/>
      </c>
      <c r="AG44" s="250">
        <f>AF44+(-AG41*Assumptions!$C$10)</f>
        <v/>
      </c>
      <c r="AH44" s="250">
        <f>AG44+(-AH41*Assumptions!$C$10)</f>
        <v/>
      </c>
      <c r="AI44" s="250">
        <f>AH44+(-AI41*Assumptions!$C$10)</f>
        <v/>
      </c>
      <c r="AJ44" s="250">
        <f>AI44+(-AJ41*Assumptions!$C$10)</f>
        <v/>
      </c>
      <c r="AK44" s="250">
        <f>AJ44+(-AK41*Assumptions!$C$10)</f>
        <v/>
      </c>
      <c r="AL44" s="250">
        <f>AK44+(-AL41*Assumptions!$C$10)</f>
        <v/>
      </c>
      <c r="AM44" s="250">
        <f>AL44+(-AM41*Assumptions!$C$10)</f>
        <v/>
      </c>
      <c r="AN44" s="250">
        <f>AM44+(-AN41*Assumptions!$C$10)</f>
        <v/>
      </c>
      <c r="AO44" s="250">
        <f>AN44+(-AO41*Assumptions!$C$10)</f>
        <v/>
      </c>
      <c r="AP44" s="250">
        <f>AO44+(-AP41*Assumptions!$C$10)</f>
        <v/>
      </c>
      <c r="AQ44" s="250">
        <f>AP44+(-AQ41*Assumptions!$C$10)</f>
        <v/>
      </c>
      <c r="AR44" s="250">
        <f>AQ44+(-AR41*Assumptions!$C$10)</f>
        <v/>
      </c>
      <c r="AS44" s="250">
        <f>AR44+(-AS41*Assumptions!$C$10)</f>
        <v/>
      </c>
      <c r="AT44" s="250">
        <f>AS44+(-AT41*Assumptions!$C$10)</f>
        <v/>
      </c>
      <c r="AU44" s="250">
        <f>AT44+(-AU41*Assumptions!$C$10)</f>
        <v/>
      </c>
      <c r="AV44" s="250">
        <f>AU44+(-AV41*Assumptions!$C$10)</f>
        <v/>
      </c>
      <c r="AW44" s="250">
        <f>AV44+(-AW41*Assumptions!$C$10)</f>
        <v/>
      </c>
      <c r="AX44" s="250">
        <f>AW44+(-AX41*Assumptions!$C$10)</f>
        <v/>
      </c>
      <c r="AY44" s="250">
        <f>AX44+(-AY41*Assumptions!$C$10)</f>
        <v/>
      </c>
      <c r="AZ44" s="250">
        <f>AY44+(-AZ41*Assumptions!$C$10)</f>
        <v/>
      </c>
      <c r="BA44" s="249" t="n"/>
      <c r="BB44" s="250" t="n"/>
      <c r="BC44" s="250" t="n"/>
      <c r="BD44" s="250" t="n"/>
      <c r="BE44" s="250" t="n"/>
      <c r="BF44" s="250" t="n"/>
      <c r="BG44" s="249" t="n"/>
      <c r="BH44" s="83" t="inlineStr">
        <is>
          <t>running pot of unused tax losses: grows in loss months, gets eaten when profitable</t>
        </is>
      </c>
      <c r="BI44" s="249" t="n"/>
      <c r="BJ44" s="249" t="n"/>
    </row>
    <row r="45" ht="15.75" customHeight="1" s="349">
      <c r="A45" s="226" t="n"/>
      <c r="B45" s="233" t="n"/>
      <c r="C45" s="233" t="n"/>
      <c r="D45" s="233" t="n"/>
      <c r="E45" s="233" t="n"/>
      <c r="F45" s="233" t="n"/>
      <c r="G45" s="233" t="n"/>
      <c r="H45" s="233" t="n"/>
      <c r="I45" s="233" t="n"/>
      <c r="J45" s="233" t="n"/>
      <c r="K45" s="233" t="n"/>
      <c r="L45" s="233" t="n"/>
      <c r="M45" s="233" t="n"/>
      <c r="N45" s="233" t="n"/>
      <c r="O45" s="233" t="n"/>
      <c r="P45" s="233" t="n"/>
      <c r="Q45" s="233" t="n"/>
      <c r="R45" s="233" t="n"/>
      <c r="S45" s="233" t="n"/>
      <c r="T45" s="233" t="n"/>
      <c r="U45" s="233" t="n"/>
      <c r="V45" s="233" t="n"/>
      <c r="W45" s="233" t="n"/>
      <c r="X45" s="233" t="n"/>
      <c r="Y45" s="233" t="n"/>
      <c r="Z45" s="233" t="n"/>
      <c r="AA45" s="233" t="n"/>
      <c r="AB45" s="233" t="n"/>
      <c r="AC45" s="233" t="n"/>
      <c r="AD45" s="233" t="n"/>
      <c r="AE45" s="233" t="n"/>
      <c r="AF45" s="233" t="n"/>
      <c r="AG45" s="233" t="n"/>
      <c r="AH45" s="233" t="n"/>
      <c r="AI45" s="233" t="n"/>
      <c r="AJ45" s="233" t="n"/>
      <c r="AK45" s="233" t="n"/>
      <c r="AL45" s="233" t="n"/>
      <c r="AM45" s="233" t="n"/>
      <c r="AN45" s="233" t="n"/>
      <c r="AO45" s="233" t="n"/>
      <c r="AP45" s="233" t="n"/>
      <c r="AQ45" s="233" t="n"/>
      <c r="AR45" s="233" t="n"/>
      <c r="AS45" s="233" t="n"/>
      <c r="AT45" s="233" t="n"/>
      <c r="AU45" s="233" t="n"/>
      <c r="AV45" s="233" t="n"/>
      <c r="AW45" s="233" t="n"/>
      <c r="AX45" s="233" t="n"/>
      <c r="AY45" s="233" t="n"/>
      <c r="AZ45" s="233" t="n"/>
      <c r="BA45" s="226" t="n"/>
      <c r="BB45" s="233" t="n"/>
      <c r="BC45" s="233" t="n"/>
      <c r="BD45" s="233" t="n"/>
      <c r="BE45" s="233" t="n"/>
      <c r="BF45" s="233" t="n"/>
      <c r="BG45" s="226" t="n"/>
      <c r="BH45" s="350" t="n"/>
      <c r="BI45" s="226" t="n"/>
      <c r="BJ45" s="226" t="n"/>
    </row>
    <row r="46" ht="15.75" customHeight="1" s="349">
      <c r="A46" s="241" t="n"/>
      <c r="B46" s="203" t="inlineStr">
        <is>
          <t>CASH FLOW STATEMENT</t>
        </is>
      </c>
      <c r="C46" s="241" t="n"/>
      <c r="D46" s="241" t="n"/>
      <c r="E46" s="203" t="n"/>
      <c r="F46" s="203" t="n"/>
      <c r="G46" s="203" t="n"/>
      <c r="H46" s="203" t="n"/>
      <c r="I46" s="203" t="n"/>
      <c r="J46" s="203" t="n"/>
      <c r="K46" s="203" t="n"/>
      <c r="L46" s="203" t="n"/>
      <c r="M46" s="203" t="n"/>
      <c r="N46" s="203" t="n"/>
      <c r="O46" s="203" t="n"/>
      <c r="P46" s="203" t="n"/>
      <c r="Q46" s="203" t="n"/>
      <c r="R46" s="203" t="n"/>
      <c r="S46" s="203" t="n"/>
      <c r="T46" s="203" t="n"/>
      <c r="U46" s="203" t="n"/>
      <c r="V46" s="203" t="n"/>
      <c r="W46" s="203" t="n"/>
      <c r="X46" s="203" t="n"/>
      <c r="Y46" s="203" t="n"/>
      <c r="Z46" s="203" t="n"/>
      <c r="AA46" s="203" t="n"/>
      <c r="AB46" s="203" t="n"/>
      <c r="AC46" s="203" t="n"/>
      <c r="AD46" s="203" t="n"/>
      <c r="AE46" s="203" t="n"/>
      <c r="AF46" s="203" t="n"/>
      <c r="AG46" s="203" t="n"/>
      <c r="AH46" s="203" t="n"/>
      <c r="AI46" s="203" t="n"/>
      <c r="AJ46" s="203" t="n"/>
      <c r="AK46" s="203" t="n"/>
      <c r="AL46" s="203" t="n"/>
      <c r="AM46" s="203" t="n"/>
      <c r="AN46" s="203" t="n"/>
      <c r="AO46" s="203" t="n"/>
      <c r="AP46" s="203" t="n"/>
      <c r="AQ46" s="203" t="n"/>
      <c r="AR46" s="203" t="n"/>
      <c r="AS46" s="203" t="n"/>
      <c r="AT46" s="203" t="n"/>
      <c r="AU46" s="203" t="n"/>
      <c r="AV46" s="203" t="n"/>
      <c r="AW46" s="203" t="n"/>
      <c r="AX46" s="203" t="n"/>
      <c r="AY46" s="203" t="n"/>
      <c r="AZ46" s="203" t="n"/>
      <c r="BA46" s="241" t="n"/>
      <c r="BB46" s="203" t="n"/>
      <c r="BC46" s="203" t="n"/>
      <c r="BD46" s="203" t="n"/>
      <c r="BE46" s="203" t="n"/>
      <c r="BF46" s="203" t="n"/>
      <c r="BG46" s="203" t="n"/>
      <c r="BH46" s="83" t="n"/>
      <c r="BI46" s="203" t="n"/>
      <c r="BJ46" s="203" t="n"/>
    </row>
    <row r="47" ht="15.75" customHeight="1" s="349">
      <c r="A47" s="226" t="n"/>
      <c r="B47" s="241" t="inlineStr">
        <is>
          <t>Net income</t>
        </is>
      </c>
      <c r="C47" s="233" t="n"/>
      <c r="D47" s="233" t="inlineStr">
        <is>
          <t>€</t>
        </is>
      </c>
      <c r="E47" s="251" t="n"/>
      <c r="F47" s="251" t="n"/>
      <c r="G47" s="251" t="n"/>
      <c r="H47" s="251" t="n"/>
      <c r="I47" s="251" t="n"/>
      <c r="J47" s="251" t="n"/>
      <c r="K47" s="251" t="n"/>
      <c r="L47" s="251" t="n"/>
      <c r="M47" s="241">
        <f>M41</f>
        <v/>
      </c>
      <c r="N47" s="241">
        <f>N41</f>
        <v/>
      </c>
      <c r="O47" s="241">
        <f>O41</f>
        <v/>
      </c>
      <c r="P47" s="241">
        <f>P41</f>
        <v/>
      </c>
      <c r="Q47" s="241">
        <f>Q41</f>
        <v/>
      </c>
      <c r="R47" s="241">
        <f>R41</f>
        <v/>
      </c>
      <c r="S47" s="241">
        <f>S41</f>
        <v/>
      </c>
      <c r="T47" s="241">
        <f>T41</f>
        <v/>
      </c>
      <c r="U47" s="241">
        <f>U41</f>
        <v/>
      </c>
      <c r="V47" s="241">
        <f>V41</f>
        <v/>
      </c>
      <c r="W47" s="241">
        <f>W41</f>
        <v/>
      </c>
      <c r="X47" s="241">
        <f>X41</f>
        <v/>
      </c>
      <c r="Y47" s="241">
        <f>Y41</f>
        <v/>
      </c>
      <c r="Z47" s="241">
        <f>Z41</f>
        <v/>
      </c>
      <c r="AA47" s="241">
        <f>AA41</f>
        <v/>
      </c>
      <c r="AB47" s="241">
        <f>AB41</f>
        <v/>
      </c>
      <c r="AC47" s="241">
        <f>AC41</f>
        <v/>
      </c>
      <c r="AD47" s="241">
        <f>AD41</f>
        <v/>
      </c>
      <c r="AE47" s="241">
        <f>AE41</f>
        <v/>
      </c>
      <c r="AF47" s="241">
        <f>AF41</f>
        <v/>
      </c>
      <c r="AG47" s="241">
        <f>AG41</f>
        <v/>
      </c>
      <c r="AH47" s="241">
        <f>AH41</f>
        <v/>
      </c>
      <c r="AI47" s="241">
        <f>AI41</f>
        <v/>
      </c>
      <c r="AJ47" s="241">
        <f>AJ41</f>
        <v/>
      </c>
      <c r="AK47" s="241">
        <f>AK41</f>
        <v/>
      </c>
      <c r="AL47" s="241">
        <f>AL41</f>
        <v/>
      </c>
      <c r="AM47" s="241">
        <f>AM41</f>
        <v/>
      </c>
      <c r="AN47" s="241">
        <f>AN41</f>
        <v/>
      </c>
      <c r="AO47" s="241">
        <f>AO41</f>
        <v/>
      </c>
      <c r="AP47" s="241">
        <f>AP41</f>
        <v/>
      </c>
      <c r="AQ47" s="241">
        <f>AQ41</f>
        <v/>
      </c>
      <c r="AR47" s="241">
        <f>AR41</f>
        <v/>
      </c>
      <c r="AS47" s="241">
        <f>AS41</f>
        <v/>
      </c>
      <c r="AT47" s="241">
        <f>AT41</f>
        <v/>
      </c>
      <c r="AU47" s="241">
        <f>AU41</f>
        <v/>
      </c>
      <c r="AV47" s="241">
        <f>AV41</f>
        <v/>
      </c>
      <c r="AW47" s="241">
        <f>AW41</f>
        <v/>
      </c>
      <c r="AX47" s="241">
        <f>AX41</f>
        <v/>
      </c>
      <c r="AY47" s="241">
        <f>AY41</f>
        <v/>
      </c>
      <c r="AZ47" s="241">
        <f>AZ41</f>
        <v/>
      </c>
      <c r="BA47" s="226" t="n"/>
      <c r="BB47" s="241">
        <f>sum(E47:P47)</f>
        <v/>
      </c>
      <c r="BC47" s="241">
        <f>sum(Q47:AB47)</f>
        <v/>
      </c>
      <c r="BD47" s="241">
        <f>sum(AC47:AN47)</f>
        <v/>
      </c>
      <c r="BE47" s="241">
        <f>sum(AO47:AZ47)</f>
        <v/>
      </c>
      <c r="BF47" s="241">
        <f>BF41</f>
        <v/>
      </c>
      <c r="BG47" s="66" t="n"/>
      <c r="BH47" s="350" t="inlineStr">
        <is>
          <t>cash flow starts from net income</t>
        </is>
      </c>
      <c r="BI47" s="66" t="n"/>
      <c r="BJ47" s="66" t="n"/>
    </row>
    <row r="48" ht="15.75" customHeight="1" s="349">
      <c r="A48" s="226" t="n"/>
      <c r="B48" s="241" t="inlineStr">
        <is>
          <t>Depreciation &amp; amortisation</t>
        </is>
      </c>
      <c r="C48" s="233" t="n"/>
      <c r="D48" s="233" t="inlineStr">
        <is>
          <t>€</t>
        </is>
      </c>
      <c r="E48" s="251">
        <f>E35</f>
        <v/>
      </c>
      <c r="F48" s="251">
        <f>F35</f>
        <v/>
      </c>
      <c r="G48" s="251">
        <f>G35</f>
        <v/>
      </c>
      <c r="H48" s="251">
        <f>H35</f>
        <v/>
      </c>
      <c r="I48" s="251">
        <f>I35</f>
        <v/>
      </c>
      <c r="J48" s="251">
        <f>J35</f>
        <v/>
      </c>
      <c r="K48" s="251">
        <f>K35</f>
        <v/>
      </c>
      <c r="L48" s="251">
        <f>L35</f>
        <v/>
      </c>
      <c r="M48" s="241">
        <f>M35</f>
        <v/>
      </c>
      <c r="N48" s="241">
        <f>N35</f>
        <v/>
      </c>
      <c r="O48" s="241">
        <f>O35</f>
        <v/>
      </c>
      <c r="P48" s="241">
        <f>P35</f>
        <v/>
      </c>
      <c r="Q48" s="241">
        <f>Q35</f>
        <v/>
      </c>
      <c r="R48" s="241">
        <f>R35</f>
        <v/>
      </c>
      <c r="S48" s="241">
        <f>S35</f>
        <v/>
      </c>
      <c r="T48" s="241">
        <f>T35</f>
        <v/>
      </c>
      <c r="U48" s="241">
        <f>U35</f>
        <v/>
      </c>
      <c r="V48" s="241">
        <f>V35</f>
        <v/>
      </c>
      <c r="W48" s="241">
        <f>W35</f>
        <v/>
      </c>
      <c r="X48" s="241">
        <f>X35</f>
        <v/>
      </c>
      <c r="Y48" s="241">
        <f>Y35</f>
        <v/>
      </c>
      <c r="Z48" s="241">
        <f>Z35</f>
        <v/>
      </c>
      <c r="AA48" s="241">
        <f>AA35</f>
        <v/>
      </c>
      <c r="AB48" s="241">
        <f>AB35</f>
        <v/>
      </c>
      <c r="AC48" s="241">
        <f>AC35</f>
        <v/>
      </c>
      <c r="AD48" s="241">
        <f>AD35</f>
        <v/>
      </c>
      <c r="AE48" s="241">
        <f>AE35</f>
        <v/>
      </c>
      <c r="AF48" s="241">
        <f>AF35</f>
        <v/>
      </c>
      <c r="AG48" s="241">
        <f>AG35</f>
        <v/>
      </c>
      <c r="AH48" s="241">
        <f>AH35</f>
        <v/>
      </c>
      <c r="AI48" s="241">
        <f>AI35</f>
        <v/>
      </c>
      <c r="AJ48" s="241">
        <f>AJ35</f>
        <v/>
      </c>
      <c r="AK48" s="241">
        <f>AK35</f>
        <v/>
      </c>
      <c r="AL48" s="241">
        <f>AL35</f>
        <v/>
      </c>
      <c r="AM48" s="241">
        <f>AM35</f>
        <v/>
      </c>
      <c r="AN48" s="241">
        <f>AN35</f>
        <v/>
      </c>
      <c r="AO48" s="241">
        <f>AO35</f>
        <v/>
      </c>
      <c r="AP48" s="241">
        <f>AP35</f>
        <v/>
      </c>
      <c r="AQ48" s="241">
        <f>AQ35</f>
        <v/>
      </c>
      <c r="AR48" s="241">
        <f>AR35</f>
        <v/>
      </c>
      <c r="AS48" s="241">
        <f>AS35</f>
        <v/>
      </c>
      <c r="AT48" s="241">
        <f>AT35</f>
        <v/>
      </c>
      <c r="AU48" s="241">
        <f>AU35</f>
        <v/>
      </c>
      <c r="AV48" s="241">
        <f>AV35</f>
        <v/>
      </c>
      <c r="AW48" s="241">
        <f>AW35</f>
        <v/>
      </c>
      <c r="AX48" s="241">
        <f>AX35</f>
        <v/>
      </c>
      <c r="AY48" s="241">
        <f>AY35</f>
        <v/>
      </c>
      <c r="AZ48" s="241">
        <f>AZ35</f>
        <v/>
      </c>
      <c r="BA48" s="226" t="n"/>
      <c r="BB48" s="241">
        <f>sum(E48:P48)</f>
        <v/>
      </c>
      <c r="BC48" s="241">
        <f>sum(Q48:AB48)</f>
        <v/>
      </c>
      <c r="BD48" s="241">
        <f>sum(AC48:AN48)</f>
        <v/>
      </c>
      <c r="BE48" s="241">
        <f>sum(AO48:AZ48)</f>
        <v/>
      </c>
      <c r="BF48" s="241">
        <f>BF35</f>
        <v/>
      </c>
      <c r="BG48" s="66" t="n"/>
      <c r="BH48" s="350" t="inlineStr">
        <is>
          <t>adds depreciation back, it isn't cash</t>
        </is>
      </c>
      <c r="BI48" s="66" t="n"/>
      <c r="BJ48" s="66" t="n"/>
    </row>
    <row r="49" ht="15.75" customHeight="1" s="349">
      <c r="A49" s="226" t="n"/>
      <c r="B49" s="241" t="inlineStr">
        <is>
          <t>Increase in accounts receivable (delta DSO)</t>
        </is>
      </c>
      <c r="C49" s="241" t="n"/>
      <c r="D49" s="233" t="inlineStr">
        <is>
          <t>€</t>
        </is>
      </c>
      <c r="E49" s="241" t="n"/>
      <c r="F49" s="241" t="n"/>
      <c r="G49" s="241" t="n"/>
      <c r="H49" s="241" t="n"/>
      <c r="I49" s="241" t="n"/>
      <c r="J49" s="241" t="n"/>
      <c r="K49" s="241" t="n"/>
      <c r="L49" s="241" t="n"/>
      <c r="M49" s="241" t="n">
        <v>0</v>
      </c>
      <c r="N49" s="241">
        <f>-(N68-M68)</f>
        <v/>
      </c>
      <c r="O49" s="241">
        <f>-(O68-N68)</f>
        <v/>
      </c>
      <c r="P49" s="241">
        <f>-(P68-O68)</f>
        <v/>
      </c>
      <c r="Q49" s="241">
        <f>-(Q68-P68)</f>
        <v/>
      </c>
      <c r="R49" s="241">
        <f>-(R68-Q68)</f>
        <v/>
      </c>
      <c r="S49" s="241">
        <f>-(S68-R68)</f>
        <v/>
      </c>
      <c r="T49" s="241">
        <f>-(T68-S68)</f>
        <v/>
      </c>
      <c r="U49" s="241">
        <f>-(U68-T68)</f>
        <v/>
      </c>
      <c r="V49" s="241">
        <f>-(V68-U68)</f>
        <v/>
      </c>
      <c r="W49" s="241">
        <f>-(W68-V68)</f>
        <v/>
      </c>
      <c r="X49" s="241">
        <f>-(X68-W68)</f>
        <v/>
      </c>
      <c r="Y49" s="241">
        <f>-(Y68-X68)</f>
        <v/>
      </c>
      <c r="Z49" s="241">
        <f>-(Z68-Y68)</f>
        <v/>
      </c>
      <c r="AA49" s="241">
        <f>-(AA68-Z68)</f>
        <v/>
      </c>
      <c r="AB49" s="241">
        <f>-(AB68-AA68)</f>
        <v/>
      </c>
      <c r="AC49" s="241">
        <f>-(AC68-AB68)</f>
        <v/>
      </c>
      <c r="AD49" s="241">
        <f>-(AD68-AC68)</f>
        <v/>
      </c>
      <c r="AE49" s="241">
        <f>-(AE68-AD68)</f>
        <v/>
      </c>
      <c r="AF49" s="241">
        <f>-(AF68-AE68)</f>
        <v/>
      </c>
      <c r="AG49" s="241">
        <f>-(AG68-AF68)</f>
        <v/>
      </c>
      <c r="AH49" s="241">
        <f>-(AH68-AG68)</f>
        <v/>
      </c>
      <c r="AI49" s="241">
        <f>-(AI68-AH68)</f>
        <v/>
      </c>
      <c r="AJ49" s="241">
        <f>-(AJ68-AI68)</f>
        <v/>
      </c>
      <c r="AK49" s="241">
        <f>-(AK68-AJ68)</f>
        <v/>
      </c>
      <c r="AL49" s="241">
        <f>-(AL68-AK68)</f>
        <v/>
      </c>
      <c r="AM49" s="241">
        <f>-(AM68-AL68)</f>
        <v/>
      </c>
      <c r="AN49" s="241">
        <f>-(AN68-AM68)</f>
        <v/>
      </c>
      <c r="AO49" s="241">
        <f>-(AO68-AN68)</f>
        <v/>
      </c>
      <c r="AP49" s="241">
        <f>-(AP68-AO68)</f>
        <v/>
      </c>
      <c r="AQ49" s="241">
        <f>-(AQ68-AP68)</f>
        <v/>
      </c>
      <c r="AR49" s="241">
        <f>-(AR68-AQ68)</f>
        <v/>
      </c>
      <c r="AS49" s="241">
        <f>-(AS68-AR68)</f>
        <v/>
      </c>
      <c r="AT49" s="241">
        <f>-(AT68-AS68)</f>
        <v/>
      </c>
      <c r="AU49" s="241">
        <f>-(AU68-AT68)</f>
        <v/>
      </c>
      <c r="AV49" s="241">
        <f>-(AV68-AU68)</f>
        <v/>
      </c>
      <c r="AW49" s="241">
        <f>-(AW68-AV68)</f>
        <v/>
      </c>
      <c r="AX49" s="241">
        <f>-(AX68-AW68)</f>
        <v/>
      </c>
      <c r="AY49" s="241">
        <f>-(AY68-AX68)</f>
        <v/>
      </c>
      <c r="AZ49" s="241">
        <f>-(AZ68-AY68)</f>
        <v/>
      </c>
      <c r="BA49" s="226" t="n"/>
      <c r="BB49" s="241">
        <f>sum(E49:P49)</f>
        <v/>
      </c>
      <c r="BC49" s="241">
        <f>sum(Q49:AB49)</f>
        <v/>
      </c>
      <c r="BD49" s="241">
        <f>sum(AC49:AN49)</f>
        <v/>
      </c>
      <c r="BE49" s="241">
        <f>sum(AO49:AZ49)</f>
        <v/>
      </c>
      <c r="BF49" s="241">
        <f>-(BF68-BE68)</f>
        <v/>
      </c>
      <c r="BG49" s="66" t="n"/>
      <c r="BH49" s="350" t="inlineStr">
        <is>
          <t>cash tied up when receivables grow, freed when they shrink</t>
        </is>
      </c>
      <c r="BI49" s="66" t="n"/>
      <c r="BJ49" s="66" t="n"/>
    </row>
    <row r="50" ht="15.75" customHeight="1" s="349">
      <c r="A50" s="226" t="n"/>
      <c r="B50" s="241" t="inlineStr">
        <is>
          <t>Increase in accounts payable (delta DPO)</t>
        </is>
      </c>
      <c r="C50" s="233" t="n"/>
      <c r="D50" s="233" t="inlineStr">
        <is>
          <t>€</t>
        </is>
      </c>
      <c r="E50" s="241" t="n"/>
      <c r="F50" s="241" t="n"/>
      <c r="G50" s="241" t="n"/>
      <c r="H50" s="241" t="n"/>
      <c r="I50" s="241" t="n"/>
      <c r="J50" s="241" t="n"/>
      <c r="K50" s="241" t="n"/>
      <c r="L50" s="241" t="n"/>
      <c r="M50" s="241" t="n">
        <v>0</v>
      </c>
      <c r="N50" s="241">
        <f>(N77-M77)</f>
        <v/>
      </c>
      <c r="O50" s="241">
        <f>(O77-N77)</f>
        <v/>
      </c>
      <c r="P50" s="241">
        <f>(P77-O77)</f>
        <v/>
      </c>
      <c r="Q50" s="241">
        <f>(Q77-P77)</f>
        <v/>
      </c>
      <c r="R50" s="241">
        <f>(R77-Q77)</f>
        <v/>
      </c>
      <c r="S50" s="241">
        <f>(S77-R77)</f>
        <v/>
      </c>
      <c r="T50" s="241">
        <f>(T77-S77)</f>
        <v/>
      </c>
      <c r="U50" s="241">
        <f>(U77-T77)</f>
        <v/>
      </c>
      <c r="V50" s="241">
        <f>(V77-U77)</f>
        <v/>
      </c>
      <c r="W50" s="241">
        <f>(W77-V77)</f>
        <v/>
      </c>
      <c r="X50" s="241">
        <f>(X77-W77)</f>
        <v/>
      </c>
      <c r="Y50" s="241">
        <f>(Y77-X77)</f>
        <v/>
      </c>
      <c r="Z50" s="241">
        <f>(Z77-Y77)</f>
        <v/>
      </c>
      <c r="AA50" s="241">
        <f>(AA77-Z77)</f>
        <v/>
      </c>
      <c r="AB50" s="241">
        <f>(AB77-AA77)</f>
        <v/>
      </c>
      <c r="AC50" s="241">
        <f>(AC77-AB77)</f>
        <v/>
      </c>
      <c r="AD50" s="241">
        <f>(AD77-AC77)</f>
        <v/>
      </c>
      <c r="AE50" s="241">
        <f>(AE77-AD77)</f>
        <v/>
      </c>
      <c r="AF50" s="241">
        <f>(AF77-AE77)</f>
        <v/>
      </c>
      <c r="AG50" s="241">
        <f>(AG77-AF77)</f>
        <v/>
      </c>
      <c r="AH50" s="241">
        <f>(AH77-AG77)</f>
        <v/>
      </c>
      <c r="AI50" s="241">
        <f>(AI77-AH77)</f>
        <v/>
      </c>
      <c r="AJ50" s="241">
        <f>(AJ77-AI77)</f>
        <v/>
      </c>
      <c r="AK50" s="241">
        <f>(AK77-AJ77)</f>
        <v/>
      </c>
      <c r="AL50" s="241">
        <f>(AL77-AK77)</f>
        <v/>
      </c>
      <c r="AM50" s="241">
        <f>(AM77-AL77)</f>
        <v/>
      </c>
      <c r="AN50" s="241">
        <f>(AN77-AM77)</f>
        <v/>
      </c>
      <c r="AO50" s="241">
        <f>(AO77-AN77)</f>
        <v/>
      </c>
      <c r="AP50" s="241">
        <f>(AP77-AO77)</f>
        <v/>
      </c>
      <c r="AQ50" s="241">
        <f>(AQ77-AP77)</f>
        <v/>
      </c>
      <c r="AR50" s="241">
        <f>(AR77-AQ77)</f>
        <v/>
      </c>
      <c r="AS50" s="241">
        <f>(AS77-AR77)</f>
        <v/>
      </c>
      <c r="AT50" s="241">
        <f>(AT77-AS77)</f>
        <v/>
      </c>
      <c r="AU50" s="241">
        <f>(AU77-AT77)</f>
        <v/>
      </c>
      <c r="AV50" s="241">
        <f>(AV77-AU77)</f>
        <v/>
      </c>
      <c r="AW50" s="241">
        <f>(AW77-AV77)</f>
        <v/>
      </c>
      <c r="AX50" s="241">
        <f>(AX77-AW77)</f>
        <v/>
      </c>
      <c r="AY50" s="241">
        <f>(AY77-AX77)</f>
        <v/>
      </c>
      <c r="AZ50" s="241">
        <f>(AZ77-AY77)</f>
        <v/>
      </c>
      <c r="BA50" s="66" t="n"/>
      <c r="BB50" s="241">
        <f>sum(E50:P50)</f>
        <v/>
      </c>
      <c r="BC50" s="241">
        <f>sum(Q50:AB50)</f>
        <v/>
      </c>
      <c r="BD50" s="241">
        <f>sum(AC50:AN50)</f>
        <v/>
      </c>
      <c r="BE50" s="241">
        <f>sum(AO50:AZ50)</f>
        <v/>
      </c>
      <c r="BF50" s="241">
        <f>BF77-BE77</f>
        <v/>
      </c>
      <c r="BG50" s="66" t="n"/>
      <c r="BH50" s="350" t="inlineStr">
        <is>
          <t>cash gained by paying suppliers later, used up when payables fall</t>
        </is>
      </c>
      <c r="BI50" s="66" t="n"/>
      <c r="BJ50" s="66" t="n"/>
    </row>
    <row r="51" ht="15.75" customHeight="1" s="349">
      <c r="A51" s="226" t="n"/>
      <c r="B51" s="241" t="inlineStr">
        <is>
          <t>Change in inventory (delta DIO)</t>
        </is>
      </c>
      <c r="C51" s="233" t="n"/>
      <c r="D51" s="233" t="inlineStr">
        <is>
          <t>€</t>
        </is>
      </c>
      <c r="E51" s="241" t="n"/>
      <c r="F51" s="241" t="n"/>
      <c r="G51" s="241" t="n"/>
      <c r="H51" s="241" t="n"/>
      <c r="I51" s="241" t="n"/>
      <c r="J51" s="241" t="n"/>
      <c r="K51" s="241" t="n"/>
      <c r="L51" s="241" t="n"/>
      <c r="M51" s="241" t="n">
        <v>0</v>
      </c>
      <c r="N51" s="241">
        <f>-(N69-M69)</f>
        <v/>
      </c>
      <c r="O51" s="241">
        <f>-(O69-N69)</f>
        <v/>
      </c>
      <c r="P51" s="241">
        <f>-(P69-O69)</f>
        <v/>
      </c>
      <c r="Q51" s="241">
        <f>-(Q69-P69)</f>
        <v/>
      </c>
      <c r="R51" s="241">
        <f>-(R69-Q69)</f>
        <v/>
      </c>
      <c r="S51" s="241">
        <f>-(S69-R69)</f>
        <v/>
      </c>
      <c r="T51" s="241">
        <f>-(T69-S69)</f>
        <v/>
      </c>
      <c r="U51" s="241">
        <f>-(U69-T69)</f>
        <v/>
      </c>
      <c r="V51" s="241">
        <f>-(V69-U69)</f>
        <v/>
      </c>
      <c r="W51" s="241">
        <f>-(W69-V69)</f>
        <v/>
      </c>
      <c r="X51" s="241">
        <f>-(X69-W69)</f>
        <v/>
      </c>
      <c r="Y51" s="241">
        <f>-(Y69-X69)</f>
        <v/>
      </c>
      <c r="Z51" s="241">
        <f>-(Z69-Y69)</f>
        <v/>
      </c>
      <c r="AA51" s="241">
        <f>-(AA69-Z69)</f>
        <v/>
      </c>
      <c r="AB51" s="241">
        <f>-(AB69-AA69)</f>
        <v/>
      </c>
      <c r="AC51" s="241">
        <f>-(AC69-AB69)</f>
        <v/>
      </c>
      <c r="AD51" s="241">
        <f>-(AD69-AC69)</f>
        <v/>
      </c>
      <c r="AE51" s="241">
        <f>-(AE69-AD69)</f>
        <v/>
      </c>
      <c r="AF51" s="241">
        <f>-(AF69-AE69)</f>
        <v/>
      </c>
      <c r="AG51" s="241">
        <f>-(AG69-AF69)</f>
        <v/>
      </c>
      <c r="AH51" s="241">
        <f>-(AH69-AG69)</f>
        <v/>
      </c>
      <c r="AI51" s="241">
        <f>-(AI69-AH69)</f>
        <v/>
      </c>
      <c r="AJ51" s="241">
        <f>-(AJ69-AI69)</f>
        <v/>
      </c>
      <c r="AK51" s="241">
        <f>-(AK69-AJ69)</f>
        <v/>
      </c>
      <c r="AL51" s="241">
        <f>-(AL69-AK69)</f>
        <v/>
      </c>
      <c r="AM51" s="241">
        <f>-(AM69-AL69)</f>
        <v/>
      </c>
      <c r="AN51" s="241">
        <f>-(AN69-AM69)</f>
        <v/>
      </c>
      <c r="AO51" s="241">
        <f>-(AO69-AN69)</f>
        <v/>
      </c>
      <c r="AP51" s="241">
        <f>-(AP69-AO69)</f>
        <v/>
      </c>
      <c r="AQ51" s="241">
        <f>-(AQ69-AP69)</f>
        <v/>
      </c>
      <c r="AR51" s="241">
        <f>-(AR69-AQ69)</f>
        <v/>
      </c>
      <c r="AS51" s="241">
        <f>-(AS69-AR69)</f>
        <v/>
      </c>
      <c r="AT51" s="241">
        <f>-(AT69-AS69)</f>
        <v/>
      </c>
      <c r="AU51" s="241">
        <f>-(AU69-AT69)</f>
        <v/>
      </c>
      <c r="AV51" s="241">
        <f>-(AV69-AU69)</f>
        <v/>
      </c>
      <c r="AW51" s="241">
        <f>-(AW69-AV69)</f>
        <v/>
      </c>
      <c r="AX51" s="241">
        <f>-(AX69-AW69)</f>
        <v/>
      </c>
      <c r="AY51" s="241">
        <f>-(AY69-AX69)</f>
        <v/>
      </c>
      <c r="AZ51" s="241">
        <f>-(AZ69-AY69)</f>
        <v/>
      </c>
      <c r="BA51" s="226" t="n"/>
      <c r="BB51" s="241">
        <f>sum(E51:P51)</f>
        <v/>
      </c>
      <c r="BC51" s="241">
        <f>sum(Q51:AB51)</f>
        <v/>
      </c>
      <c r="BD51" s="241">
        <f>sum(AC51:AN51)</f>
        <v/>
      </c>
      <c r="BE51" s="241">
        <f>sum(AO51:AZ51)</f>
        <v/>
      </c>
      <c r="BF51" s="241">
        <f>-(BF69-BE69)</f>
        <v/>
      </c>
      <c r="BG51" s="66" t="n"/>
      <c r="BH51" s="350" t="inlineStr">
        <is>
          <t>cash tied up in stock. days of stock is 0, so nothing moves</t>
        </is>
      </c>
      <c r="BI51" s="66" t="n"/>
      <c r="BJ51" s="66" t="n"/>
    </row>
    <row r="52" ht="12.75" customHeight="1" s="349">
      <c r="A52" s="77" t="n"/>
      <c r="B52" s="227" t="inlineStr">
        <is>
          <t>Cash from Operations</t>
        </is>
      </c>
      <c r="C52" s="228" t="n"/>
      <c r="D52" s="229" t="inlineStr">
        <is>
          <t>€</t>
        </is>
      </c>
      <c r="E52" s="227" t="n"/>
      <c r="F52" s="227" t="n"/>
      <c r="G52" s="227" t="n"/>
      <c r="H52" s="227" t="n"/>
      <c r="I52" s="227" t="n"/>
      <c r="J52" s="227" t="n"/>
      <c r="K52" s="227" t="n"/>
      <c r="L52" s="227" t="n"/>
      <c r="M52" s="227">
        <f>sum(M47:M51)</f>
        <v/>
      </c>
      <c r="N52" s="227">
        <f>sum(N47:N51)</f>
        <v/>
      </c>
      <c r="O52" s="227">
        <f>sum(O47:O51)</f>
        <v/>
      </c>
      <c r="P52" s="227">
        <f>sum(P47:P51)</f>
        <v/>
      </c>
      <c r="Q52" s="227">
        <f>sum(Q47:Q51)</f>
        <v/>
      </c>
      <c r="R52" s="227">
        <f>sum(R47:R51)</f>
        <v/>
      </c>
      <c r="S52" s="227">
        <f>sum(S47:S51)</f>
        <v/>
      </c>
      <c r="T52" s="227">
        <f>sum(T47:T51)</f>
        <v/>
      </c>
      <c r="U52" s="227">
        <f>sum(U47:U51)</f>
        <v/>
      </c>
      <c r="V52" s="227">
        <f>sum(V47:V51)</f>
        <v/>
      </c>
      <c r="W52" s="227">
        <f>sum(W47:W51)</f>
        <v/>
      </c>
      <c r="X52" s="227">
        <f>sum(X47:X51)</f>
        <v/>
      </c>
      <c r="Y52" s="227">
        <f>sum(Y47:Y51)</f>
        <v/>
      </c>
      <c r="Z52" s="227">
        <f>sum(Z47:Z51)</f>
        <v/>
      </c>
      <c r="AA52" s="227">
        <f>sum(AA47:AA51)</f>
        <v/>
      </c>
      <c r="AB52" s="227">
        <f>sum(AB47:AB51)</f>
        <v/>
      </c>
      <c r="AC52" s="227">
        <f>sum(AC47:AC51)</f>
        <v/>
      </c>
      <c r="AD52" s="227">
        <f>sum(AD47:AD51)</f>
        <v/>
      </c>
      <c r="AE52" s="227">
        <f>sum(AE47:AE51)</f>
        <v/>
      </c>
      <c r="AF52" s="227">
        <f>sum(AF47:AF51)</f>
        <v/>
      </c>
      <c r="AG52" s="227">
        <f>sum(AG47:AG51)</f>
        <v/>
      </c>
      <c r="AH52" s="227">
        <f>sum(AH47:AH51)</f>
        <v/>
      </c>
      <c r="AI52" s="227">
        <f>sum(AI47:AI51)</f>
        <v/>
      </c>
      <c r="AJ52" s="227">
        <f>sum(AJ47:AJ51)</f>
        <v/>
      </c>
      <c r="AK52" s="227">
        <f>sum(AK47:AK51)</f>
        <v/>
      </c>
      <c r="AL52" s="227">
        <f>sum(AL47:AL51)</f>
        <v/>
      </c>
      <c r="AM52" s="227">
        <f>sum(AM47:AM51)</f>
        <v/>
      </c>
      <c r="AN52" s="227">
        <f>sum(AN47:AN51)</f>
        <v/>
      </c>
      <c r="AO52" s="227">
        <f>sum(AO47:AO51)</f>
        <v/>
      </c>
      <c r="AP52" s="227">
        <f>sum(AP47:AP51)</f>
        <v/>
      </c>
      <c r="AQ52" s="227">
        <f>sum(AQ47:AQ51)</f>
        <v/>
      </c>
      <c r="AR52" s="227">
        <f>sum(AR47:AR51)</f>
        <v/>
      </c>
      <c r="AS52" s="227">
        <f>sum(AS47:AS51)</f>
        <v/>
      </c>
      <c r="AT52" s="227">
        <f>sum(AT47:AT51)</f>
        <v/>
      </c>
      <c r="AU52" s="227">
        <f>sum(AU47:AU51)</f>
        <v/>
      </c>
      <c r="AV52" s="227">
        <f>sum(AV47:AV51)</f>
        <v/>
      </c>
      <c r="AW52" s="227">
        <f>sum(AW47:AW51)</f>
        <v/>
      </c>
      <c r="AX52" s="227">
        <f>sum(AX47:AX51)</f>
        <v/>
      </c>
      <c r="AY52" s="227">
        <f>sum(AY47:AY51)</f>
        <v/>
      </c>
      <c r="AZ52" s="227">
        <f>sum(AZ47:AZ51)</f>
        <v/>
      </c>
      <c r="BA52" s="226" t="n"/>
      <c r="BB52" s="230">
        <f>sum(E52:P52)</f>
        <v/>
      </c>
      <c r="BC52" s="230">
        <f>sum(Q52:AB52)</f>
        <v/>
      </c>
      <c r="BD52" s="230">
        <f>sum(AC52:AN52)</f>
        <v/>
      </c>
      <c r="BE52" s="230">
        <f>sum(AO52:AZ52)</f>
        <v/>
      </c>
      <c r="BF52" s="230">
        <f>sum(BF47:BF51)</f>
        <v/>
      </c>
      <c r="BG52" s="205" t="n"/>
      <c r="BH52" s="350" t="inlineStr">
        <is>
          <t>net income plus all the working-capital swings</t>
        </is>
      </c>
      <c r="BI52" s="205" t="n"/>
      <c r="BJ52" s="205" t="n"/>
    </row>
    <row r="53" ht="15.75" customHeight="1" s="349">
      <c r="A53" s="226" t="n"/>
      <c r="B53" s="233" t="inlineStr">
        <is>
          <t>CAPEX</t>
        </is>
      </c>
      <c r="C53" s="241" t="n"/>
      <c r="D53" s="233" t="inlineStr">
        <is>
          <t>€</t>
        </is>
      </c>
      <c r="E53" s="251">
        <f>IFERROR(-HLOOKUP(YEAR(E$3),Assumptions!$D$124:$G$127,4,FALSE)/12,0)</f>
        <v/>
      </c>
      <c r="F53" s="251">
        <f>IFERROR(-HLOOKUP(YEAR(F$3),Assumptions!$D$124:$G$127,4,FALSE)/12,0)</f>
        <v/>
      </c>
      <c r="G53" s="251">
        <f>IFERROR(-HLOOKUP(YEAR(G$3),Assumptions!$D$124:$G$127,4,FALSE)/12,0)</f>
        <v/>
      </c>
      <c r="H53" s="251">
        <f>IFERROR(-HLOOKUP(YEAR(H$3),Assumptions!$D$124:$G$127,4,FALSE)/12,0)</f>
        <v/>
      </c>
      <c r="I53" s="251">
        <f>IFERROR(-HLOOKUP(YEAR(I$3),Assumptions!$D$124:$G$127,4,FALSE)/12,0)</f>
        <v/>
      </c>
      <c r="J53" s="251">
        <f>IFERROR(-HLOOKUP(YEAR(J$3),Assumptions!$D$124:$G$127,4,FALSE)/12,0)</f>
        <v/>
      </c>
      <c r="K53" s="251">
        <f>IFERROR(-HLOOKUP(YEAR(K$3),Assumptions!$D$124:$G$127,4,FALSE)/12,0)</f>
        <v/>
      </c>
      <c r="L53" s="251">
        <f>IFERROR(-HLOOKUP(YEAR(L$3),Assumptions!$D$124:$G$127,4,FALSE)/12,0)</f>
        <v/>
      </c>
      <c r="M53" s="241">
        <f>IFERROR(-HLOOKUP(YEAR(M$3),Assumptions!$D$124:$G$127,4,FALSE)/12,0)</f>
        <v/>
      </c>
      <c r="N53" s="241">
        <f>IFERROR(-HLOOKUP(YEAR(N$3),Assumptions!$D$124:$G$127,4,FALSE)/12,0)</f>
        <v/>
      </c>
      <c r="O53" s="241">
        <f>IFERROR(-HLOOKUP(YEAR(O$3),Assumptions!$D$124:$G$127,4,FALSE)/12,0)</f>
        <v/>
      </c>
      <c r="P53" s="241">
        <f>IFERROR(-HLOOKUP(YEAR(P$3),Assumptions!$D$124:$G$127,4,FALSE)/12,0)</f>
        <v/>
      </c>
      <c r="Q53" s="241">
        <f>IFERROR(-HLOOKUP(YEAR(Q$3),Assumptions!$D$124:$G$127,4,FALSE)/12,0)</f>
        <v/>
      </c>
      <c r="R53" s="241">
        <f>IFERROR(-HLOOKUP(YEAR(R$3),Assumptions!$D$124:$G$127,4,FALSE)/12,0)</f>
        <v/>
      </c>
      <c r="S53" s="241">
        <f>IFERROR(-HLOOKUP(YEAR(S$3),Assumptions!$D$124:$G$127,4,FALSE)/12,0)</f>
        <v/>
      </c>
      <c r="T53" s="241">
        <f>IFERROR(-HLOOKUP(YEAR(T$3),Assumptions!$D$124:$G$127,4,FALSE)/12,0)</f>
        <v/>
      </c>
      <c r="U53" s="241">
        <f>IFERROR(-HLOOKUP(YEAR(U$3),Assumptions!$D$124:$G$127,4,FALSE)/12,0)</f>
        <v/>
      </c>
      <c r="V53" s="241">
        <f>IFERROR(-HLOOKUP(YEAR(V$3),Assumptions!$D$124:$G$127,4,FALSE)/12,0)</f>
        <v/>
      </c>
      <c r="W53" s="241">
        <f>IFERROR(-HLOOKUP(YEAR(W$3),Assumptions!$D$124:$G$127,4,FALSE)/12,0)</f>
        <v/>
      </c>
      <c r="X53" s="241">
        <f>IFERROR(-HLOOKUP(YEAR(X$3),Assumptions!$D$124:$G$127,4,FALSE)/12,0)</f>
        <v/>
      </c>
      <c r="Y53" s="241">
        <f>IFERROR(-HLOOKUP(YEAR(Y$3),Assumptions!$D$124:$G$127,4,FALSE)/12,0)</f>
        <v/>
      </c>
      <c r="Z53" s="241">
        <f>IFERROR(-HLOOKUP(YEAR(Z$3),Assumptions!$D$124:$G$127,4,FALSE)/12,0)</f>
        <v/>
      </c>
      <c r="AA53" s="241">
        <f>IFERROR(-HLOOKUP(YEAR(AA$3),Assumptions!$D$124:$G$127,4,FALSE)/12,0)</f>
        <v/>
      </c>
      <c r="AB53" s="241">
        <f>IFERROR(-HLOOKUP(YEAR(AB$3),Assumptions!$D$124:$G$127,4,FALSE)/12,0)</f>
        <v/>
      </c>
      <c r="AC53" s="241">
        <f>IFERROR(-HLOOKUP(YEAR(AC$3),Assumptions!$D$124:$G$127,4,FALSE)/12,0)</f>
        <v/>
      </c>
      <c r="AD53" s="241">
        <f>IFERROR(-HLOOKUP(YEAR(AD$3),Assumptions!$D$124:$G$127,4,FALSE)/12,0)</f>
        <v/>
      </c>
      <c r="AE53" s="241">
        <f>IFERROR(-HLOOKUP(YEAR(AE$3),Assumptions!$D$124:$G$127,4,FALSE)/12,0)</f>
        <v/>
      </c>
      <c r="AF53" s="241">
        <f>IFERROR(-HLOOKUP(YEAR(AF$3),Assumptions!$D$124:$G$127,4,FALSE)/12,0)</f>
        <v/>
      </c>
      <c r="AG53" s="241">
        <f>IFERROR(-HLOOKUP(YEAR(AG$3),Assumptions!$D$124:$G$127,4,FALSE)/12,0)</f>
        <v/>
      </c>
      <c r="AH53" s="241">
        <f>IFERROR(-HLOOKUP(YEAR(AH$3),Assumptions!$D$124:$G$127,4,FALSE)/12,0)</f>
        <v/>
      </c>
      <c r="AI53" s="241">
        <f>IFERROR(-HLOOKUP(YEAR(AI$3),Assumptions!$D$124:$G$127,4,FALSE)/12,0)</f>
        <v/>
      </c>
      <c r="AJ53" s="241">
        <f>IFERROR(-HLOOKUP(YEAR(AJ$3),Assumptions!$D$124:$G$127,4,FALSE)/12,0)</f>
        <v/>
      </c>
      <c r="AK53" s="241">
        <f>IFERROR(-HLOOKUP(YEAR(AK$3),Assumptions!$D$124:$G$127,4,FALSE)/12,0)</f>
        <v/>
      </c>
      <c r="AL53" s="241">
        <f>IFERROR(-HLOOKUP(YEAR(AL$3),Assumptions!$D$124:$G$127,4,FALSE)/12,0)</f>
        <v/>
      </c>
      <c r="AM53" s="241">
        <f>IFERROR(-HLOOKUP(YEAR(AM$3),Assumptions!$D$124:$G$127,4,FALSE)/12,0)</f>
        <v/>
      </c>
      <c r="AN53" s="241">
        <f>IFERROR(-HLOOKUP(YEAR(AN$3),Assumptions!$D$124:$G$127,4,FALSE)/12,0)</f>
        <v/>
      </c>
      <c r="AO53" s="241">
        <f>IFERROR(-HLOOKUP(YEAR(AO$3),Assumptions!$D$124:$G$127,4,FALSE)/12,0)</f>
        <v/>
      </c>
      <c r="AP53" s="241">
        <f>IFERROR(-HLOOKUP(YEAR(AP$3),Assumptions!$D$124:$G$127,4,FALSE)/12,0)</f>
        <v/>
      </c>
      <c r="AQ53" s="241">
        <f>IFERROR(-HLOOKUP(YEAR(AQ$3),Assumptions!$D$124:$G$127,4,FALSE)/12,0)</f>
        <v/>
      </c>
      <c r="AR53" s="241">
        <f>IFERROR(-HLOOKUP(YEAR(AR$3),Assumptions!$D$124:$G$127,4,FALSE)/12,0)</f>
        <v/>
      </c>
      <c r="AS53" s="241">
        <f>IFERROR(-HLOOKUP(YEAR(AS$3),Assumptions!$D$124:$G$127,4,FALSE)/12,0)</f>
        <v/>
      </c>
      <c r="AT53" s="241">
        <f>IFERROR(-HLOOKUP(YEAR(AT$3),Assumptions!$D$124:$G$127,4,FALSE)/12,0)</f>
        <v/>
      </c>
      <c r="AU53" s="241">
        <f>IFERROR(-HLOOKUP(YEAR(AU$3),Assumptions!$D$124:$G$127,4,FALSE)/12,0)</f>
        <v/>
      </c>
      <c r="AV53" s="241">
        <f>IFERROR(-HLOOKUP(YEAR(AV$3),Assumptions!$D$124:$G$127,4,FALSE)/12,0)</f>
        <v/>
      </c>
      <c r="AW53" s="241">
        <f>IFERROR(-HLOOKUP(YEAR(AW$3),Assumptions!$D$124:$G$127,4,FALSE)/12,0)</f>
        <v/>
      </c>
      <c r="AX53" s="241">
        <f>IFERROR(-HLOOKUP(YEAR(AX$3),Assumptions!$D$124:$G$127,4,FALSE)/12,0)</f>
        <v/>
      </c>
      <c r="AY53" s="241">
        <f>IFERROR(-HLOOKUP(YEAR(AY$3),Assumptions!$D$124:$G$127,4,FALSE)/12,0)</f>
        <v/>
      </c>
      <c r="AZ53" s="241">
        <f>IFERROR(-HLOOKUP(YEAR(AZ$3),Assumptions!$D$124:$G$127,4,FALSE)/12,0)</f>
        <v/>
      </c>
      <c r="BA53" s="226" t="n"/>
      <c r="BB53" s="241">
        <f>sum(E53:P53)</f>
        <v/>
      </c>
      <c r="BC53" s="241">
        <f>sum(Q53:AB53)</f>
        <v/>
      </c>
      <c r="BD53" s="241">
        <f>sum(AC53:AN53)</f>
        <v/>
      </c>
      <c r="BE53" s="241">
        <f>sum(AO53:AZ53)</f>
        <v/>
      </c>
      <c r="BF53" s="241">
        <f>-Assumptions!$F$127</f>
        <v/>
      </c>
      <c r="BG53" s="66" t="n"/>
      <c r="BH53" s="350" t="inlineStr">
        <is>
          <t>staged capex from Assumptions rows 125-127, spread evenly over each year</t>
        </is>
      </c>
      <c r="BI53" s="66" t="n"/>
      <c r="BJ53" s="66" t="n"/>
    </row>
    <row r="54" ht="12.75" customHeight="1" s="349">
      <c r="A54" s="77" t="n"/>
      <c r="B54" s="227" t="inlineStr">
        <is>
          <t>Cash from Investing</t>
        </is>
      </c>
      <c r="C54" s="228" t="n"/>
      <c r="D54" s="228" t="n"/>
      <c r="E54" s="227" t="n"/>
      <c r="F54" s="227" t="n"/>
      <c r="G54" s="227" t="n"/>
      <c r="H54" s="227" t="n"/>
      <c r="I54" s="227" t="n"/>
      <c r="J54" s="227" t="n"/>
      <c r="K54" s="227" t="n"/>
      <c r="L54" s="227" t="n"/>
      <c r="M54" s="227">
        <f>M53</f>
        <v/>
      </c>
      <c r="N54" s="227">
        <f>N53</f>
        <v/>
      </c>
      <c r="O54" s="227">
        <f>O53</f>
        <v/>
      </c>
      <c r="P54" s="227">
        <f>P53</f>
        <v/>
      </c>
      <c r="Q54" s="227">
        <f>Q53</f>
        <v/>
      </c>
      <c r="R54" s="230">
        <f>R53</f>
        <v/>
      </c>
      <c r="S54" s="231">
        <f>S53</f>
        <v/>
      </c>
      <c r="T54" s="232">
        <f>T53</f>
        <v/>
      </c>
      <c r="U54" s="227">
        <f>U53</f>
        <v/>
      </c>
      <c r="V54" s="227">
        <f>V53</f>
        <v/>
      </c>
      <c r="W54" s="227">
        <f>W53</f>
        <v/>
      </c>
      <c r="X54" s="227">
        <f>X53</f>
        <v/>
      </c>
      <c r="Y54" s="227">
        <f>Y53</f>
        <v/>
      </c>
      <c r="Z54" s="227">
        <f>Z53</f>
        <v/>
      </c>
      <c r="AA54" s="227">
        <f>AA53</f>
        <v/>
      </c>
      <c r="AB54" s="227">
        <f>AB53</f>
        <v/>
      </c>
      <c r="AC54" s="227">
        <f>AC53</f>
        <v/>
      </c>
      <c r="AD54" s="227">
        <f>AD53</f>
        <v/>
      </c>
      <c r="AE54" s="227">
        <f>AE53</f>
        <v/>
      </c>
      <c r="AF54" s="227">
        <f>AF53</f>
        <v/>
      </c>
      <c r="AG54" s="227">
        <f>AG53</f>
        <v/>
      </c>
      <c r="AH54" s="227">
        <f>AH53</f>
        <v/>
      </c>
      <c r="AI54" s="227">
        <f>AI53</f>
        <v/>
      </c>
      <c r="AJ54" s="227">
        <f>AJ53</f>
        <v/>
      </c>
      <c r="AK54" s="227">
        <f>AK53</f>
        <v/>
      </c>
      <c r="AL54" s="227">
        <f>AL53</f>
        <v/>
      </c>
      <c r="AM54" s="227">
        <f>AM53</f>
        <v/>
      </c>
      <c r="AN54" s="227">
        <f>AN53</f>
        <v/>
      </c>
      <c r="AO54" s="227">
        <f>AO53</f>
        <v/>
      </c>
      <c r="AP54" s="227">
        <f>AP53</f>
        <v/>
      </c>
      <c r="AQ54" s="227">
        <f>AQ53</f>
        <v/>
      </c>
      <c r="AR54" s="227">
        <f>AR53</f>
        <v/>
      </c>
      <c r="AS54" s="227">
        <f>AS53</f>
        <v/>
      </c>
      <c r="AT54" s="227">
        <f>AT53</f>
        <v/>
      </c>
      <c r="AU54" s="227">
        <f>AU53</f>
        <v/>
      </c>
      <c r="AV54" s="227">
        <f>AV53</f>
        <v/>
      </c>
      <c r="AW54" s="227">
        <f>AW53</f>
        <v/>
      </c>
      <c r="AX54" s="227">
        <f>AX53</f>
        <v/>
      </c>
      <c r="AY54" s="227">
        <f>AY53</f>
        <v/>
      </c>
      <c r="AZ54" s="230">
        <f>AZ53</f>
        <v/>
      </c>
      <c r="BA54" s="226" t="n"/>
      <c r="BB54" s="230">
        <f>sum(E54:P54)</f>
        <v/>
      </c>
      <c r="BC54" s="230">
        <f>sum(Q54:AB54)</f>
        <v/>
      </c>
      <c r="BD54" s="230">
        <f>sum(AC54:AN54)</f>
        <v/>
      </c>
      <c r="BE54" s="230">
        <f>sum(AO54:AZ54)</f>
        <v/>
      </c>
      <c r="BF54" s="230">
        <f>BF53</f>
        <v/>
      </c>
      <c r="BG54" s="205" t="n"/>
      <c r="BH54" s="350" t="inlineStr">
        <is>
          <t>same as capex</t>
        </is>
      </c>
      <c r="BI54" s="205" t="n"/>
      <c r="BJ54" s="205" t="n"/>
    </row>
    <row r="55" ht="15.75" customHeight="1" s="349">
      <c r="A55" s="226" t="n"/>
      <c r="B55" s="241" t="inlineStr">
        <is>
          <t>Equity injection</t>
        </is>
      </c>
      <c r="C55" s="241" t="n"/>
      <c r="D55" s="241" t="inlineStr">
        <is>
          <t>€</t>
        </is>
      </c>
      <c r="E55" s="253" t="n"/>
      <c r="F55" s="253" t="n"/>
      <c r="G55" s="253" t="n"/>
      <c r="H55" s="253" t="n"/>
      <c r="I55" s="253" t="n"/>
      <c r="J55" s="253" t="n"/>
      <c r="K55" s="253" t="n"/>
      <c r="L55" s="253" t="n"/>
      <c r="M55" s="253" t="n"/>
      <c r="N55" s="253" t="n"/>
      <c r="O55" s="253" t="n"/>
      <c r="P55" s="253" t="n"/>
      <c r="Q55" s="253" t="n"/>
      <c r="R55" s="253" t="n"/>
      <c r="S55" s="253" t="n">
        <v>0</v>
      </c>
      <c r="T55" s="253" t="n"/>
      <c r="U55" s="253" t="n">
        <v>300000</v>
      </c>
      <c r="V55" s="253" t="n"/>
      <c r="W55" s="253" t="n"/>
      <c r="X55" s="253" t="n"/>
      <c r="Y55" s="253" t="n"/>
      <c r="Z55" s="253" t="n"/>
      <c r="AA55" s="253">
        <f>IF(Assumptions!$D$82=2,10000000,3000000)</f>
        <v/>
      </c>
      <c r="AB55" s="253" t="n"/>
      <c r="AC55" s="253" t="n"/>
      <c r="AD55" s="253" t="n"/>
      <c r="AE55" s="253" t="n"/>
      <c r="AF55" s="253" t="n"/>
      <c r="AG55" s="253" t="n"/>
      <c r="AH55" s="253" t="n"/>
      <c r="AI55" s="253" t="n"/>
      <c r="AJ55" s="253" t="n"/>
      <c r="AK55" s="253" t="n"/>
      <c r="AL55" s="253" t="n"/>
      <c r="AM55" s="253" t="n"/>
      <c r="AN55" s="253" t="n"/>
      <c r="AO55" s="253" t="n"/>
      <c r="AP55" s="253" t="n"/>
      <c r="AQ55" s="253" t="n"/>
      <c r="AR55" s="253" t="n"/>
      <c r="AS55" s="253" t="n"/>
      <c r="AT55" s="253" t="n"/>
      <c r="AU55" s="253" t="n"/>
      <c r="AV55" s="253" t="n"/>
      <c r="AW55" s="253" t="n"/>
      <c r="AX55" s="253" t="n"/>
      <c r="AY55" s="253" t="n"/>
      <c r="AZ55" s="253" t="n"/>
      <c r="BA55" s="226" t="n"/>
      <c r="BB55" s="241">
        <f>sum(E55:P55)</f>
        <v/>
      </c>
      <c r="BC55" s="241">
        <f>sum(Q55:AB55)</f>
        <v/>
      </c>
      <c r="BD55" s="241">
        <f>sum(AC55:AN55)</f>
        <v/>
      </c>
      <c r="BE55" s="241">
        <f>sum(AO55:AZ55)</f>
        <v/>
      </c>
      <c r="BF55" s="241" t="n">
        <v>0</v>
      </c>
      <c r="BG55" s="66" t="n"/>
      <c r="BH55" s="350" t="inlineStr">
        <is>
          <t>money in from shares: 300k May-26, then 3.0m (Base) or 10.0m (Aggressive) Nov-26</t>
        </is>
      </c>
      <c r="BI55" s="66" t="n"/>
      <c r="BJ55" s="66" t="n"/>
    </row>
    <row r="56" ht="15.75" customHeight="1" s="349">
      <c r="A56" s="226" t="n"/>
      <c r="B56" s="241" t="inlineStr">
        <is>
          <t>Loan (CLA)</t>
        </is>
      </c>
      <c r="C56" s="241" t="n"/>
      <c r="D56" s="241" t="inlineStr">
        <is>
          <t>€</t>
        </is>
      </c>
      <c r="E56" s="253" t="n"/>
      <c r="F56" s="253" t="n"/>
      <c r="G56" s="253" t="n"/>
      <c r="H56" s="253" t="n"/>
      <c r="I56" s="253" t="n"/>
      <c r="J56" s="253" t="n"/>
      <c r="K56" s="253" t="n"/>
      <c r="L56" s="253" t="n"/>
      <c r="M56" s="253" t="n"/>
      <c r="N56" s="253" t="n"/>
      <c r="O56" s="253" t="n"/>
      <c r="P56" s="253" t="n"/>
      <c r="Q56" s="253" t="n"/>
      <c r="R56" s="253" t="n"/>
      <c r="S56" s="253" t="n"/>
      <c r="T56" s="253" t="n"/>
      <c r="U56" s="253" t="n"/>
      <c r="V56" s="253" t="n"/>
      <c r="W56" s="253" t="n">
        <v>300000</v>
      </c>
      <c r="X56" s="253" t="n"/>
      <c r="Y56" s="253" t="n"/>
      <c r="Z56" s="253" t="n"/>
      <c r="AA56" s="253" t="n"/>
      <c r="AB56" s="253" t="n"/>
      <c r="AC56" s="258" t="n"/>
      <c r="AD56" s="253" t="n"/>
      <c r="AE56" s="253" t="n"/>
      <c r="AF56" s="253" t="n"/>
      <c r="AG56" s="253" t="n"/>
      <c r="AH56" s="253" t="n"/>
      <c r="AI56" s="253" t="n"/>
      <c r="AJ56" s="253" t="n"/>
      <c r="AK56" s="253" t="n"/>
      <c r="AL56" s="253" t="n"/>
      <c r="AM56" s="253" t="n"/>
      <c r="AN56" s="253" t="n"/>
      <c r="AO56" s="253" t="n"/>
      <c r="AP56" s="253" t="n"/>
      <c r="AQ56" s="253" t="n"/>
      <c r="AR56" s="253" t="n"/>
      <c r="AS56" s="253" t="n"/>
      <c r="AT56" s="253" t="n"/>
      <c r="AU56" s="253" t="n"/>
      <c r="AV56" s="253" t="n"/>
      <c r="AW56" s="253" t="n"/>
      <c r="AX56" s="253" t="n"/>
      <c r="AY56" s="253" t="n"/>
      <c r="AZ56" s="253" t="n"/>
      <c r="BA56" s="226" t="n"/>
      <c r="BB56" s="241">
        <f>sum(E56:P56)</f>
        <v/>
      </c>
      <c r="BC56" s="241">
        <f>sum(Q56:AB56)</f>
        <v/>
      </c>
      <c r="BD56" s="241">
        <f>sum(AC56:AN56)</f>
        <v/>
      </c>
      <c r="BE56" s="241">
        <f>sum(AO56:AZ56)</f>
        <v/>
      </c>
      <c r="BF56" s="241" t="n">
        <v>0</v>
      </c>
      <c r="BG56" s="66" t="n"/>
      <c r="BH56" s="350" t="inlineStr">
        <is>
          <t>CLA loan drawn, 300k in Jul-26</t>
        </is>
      </c>
      <c r="BI56" s="66" t="n"/>
      <c r="BJ56" s="66" t="n"/>
    </row>
    <row r="57" ht="15.75" customHeight="1" s="349">
      <c r="A57" s="226" t="n"/>
      <c r="B57" s="241" t="n"/>
      <c r="C57" s="241" t="n"/>
      <c r="D57" s="241" t="n"/>
      <c r="E57" s="253" t="n"/>
      <c r="F57" s="253" t="n"/>
      <c r="G57" s="253" t="n"/>
      <c r="H57" s="253" t="n"/>
      <c r="I57" s="253" t="n"/>
      <c r="J57" s="253" t="n"/>
      <c r="K57" s="253" t="n"/>
      <c r="L57" s="253" t="n"/>
      <c r="M57" s="253" t="n"/>
      <c r="N57" s="253" t="n"/>
      <c r="O57" s="253" t="n"/>
      <c r="P57" s="253" t="n"/>
      <c r="Q57" s="253" t="n"/>
      <c r="R57" s="253" t="n"/>
      <c r="S57" s="253" t="n"/>
      <c r="T57" s="253" t="n"/>
      <c r="U57" s="253" t="n"/>
      <c r="V57" s="253" t="n"/>
      <c r="W57" s="253" t="n"/>
      <c r="X57" s="253" t="n"/>
      <c r="Y57" s="253" t="n"/>
      <c r="Z57" s="253" t="n"/>
      <c r="AA57" s="253" t="n"/>
      <c r="AB57" s="253" t="n"/>
      <c r="AC57" s="258" t="n"/>
      <c r="AD57" s="253" t="n"/>
      <c r="AE57" s="253" t="n"/>
      <c r="AF57" s="253" t="n"/>
      <c r="AG57" s="253" t="n"/>
      <c r="AH57" s="253" t="n"/>
      <c r="AI57" s="253" t="n"/>
      <c r="AJ57" s="253" t="n"/>
      <c r="AK57" s="253" t="n"/>
      <c r="AL57" s="253" t="n"/>
      <c r="AM57" s="253" t="n"/>
      <c r="AN57" s="253" t="n"/>
      <c r="AO57" s="253" t="n"/>
      <c r="AP57" s="253" t="n"/>
      <c r="AQ57" s="253" t="n"/>
      <c r="AR57" s="253" t="n"/>
      <c r="AS57" s="253" t="n"/>
      <c r="AT57" s="253" t="n"/>
      <c r="AU57" s="253" t="n"/>
      <c r="AV57" s="253" t="n"/>
      <c r="AW57" s="253" t="n"/>
      <c r="AX57" s="253" t="n"/>
      <c r="AY57" s="253" t="n"/>
      <c r="AZ57" s="253" t="n"/>
      <c r="BA57" s="226" t="n"/>
      <c r="BB57" s="241" t="n"/>
      <c r="BC57" s="241" t="n"/>
      <c r="BD57" s="241" t="n"/>
      <c r="BE57" s="241" t="n"/>
      <c r="BF57" s="241" t="n"/>
      <c r="BG57" s="66" t="n"/>
      <c r="BH57" s="350" t="n"/>
      <c r="BI57" s="66" t="n"/>
      <c r="BJ57" s="66" t="n"/>
    </row>
    <row r="58" ht="12.75" customHeight="1" s="349">
      <c r="A58" s="77" t="n"/>
      <c r="B58" s="227" t="inlineStr">
        <is>
          <t>Cash from Financing</t>
        </is>
      </c>
      <c r="C58" s="228" t="n"/>
      <c r="D58" s="229" t="inlineStr">
        <is>
          <t>€</t>
        </is>
      </c>
      <c r="E58" s="227">
        <f>E55+E56+E57</f>
        <v/>
      </c>
      <c r="F58" s="227">
        <f>F55+F56+F57</f>
        <v/>
      </c>
      <c r="G58" s="227">
        <f>G55+G56+G57</f>
        <v/>
      </c>
      <c r="H58" s="227">
        <f>H55+H56+H57</f>
        <v/>
      </c>
      <c r="I58" s="227">
        <f>I55+I56+I57</f>
        <v/>
      </c>
      <c r="J58" s="227">
        <f>J55+J56+J57</f>
        <v/>
      </c>
      <c r="K58" s="227">
        <f>K55+K56+K57</f>
        <v/>
      </c>
      <c r="L58" s="227">
        <f>L55+L56+L57</f>
        <v/>
      </c>
      <c r="M58" s="227">
        <f>M55+M56+M57</f>
        <v/>
      </c>
      <c r="N58" s="227">
        <f>N55+N56+N57</f>
        <v/>
      </c>
      <c r="O58" s="227">
        <f>O55+O56+O57</f>
        <v/>
      </c>
      <c r="P58" s="227">
        <f>P55+P56+P57</f>
        <v/>
      </c>
      <c r="Q58" s="227">
        <f>Q55+Q56+Q57</f>
        <v/>
      </c>
      <c r="R58" s="230">
        <f>R55+R56+R57</f>
        <v/>
      </c>
      <c r="S58" s="231">
        <f>S55+S56+S57</f>
        <v/>
      </c>
      <c r="T58" s="232">
        <f>T55+T56+T57</f>
        <v/>
      </c>
      <c r="U58" s="227">
        <f>U55+U56+U57</f>
        <v/>
      </c>
      <c r="V58" s="227">
        <f>V55+V56+V57</f>
        <v/>
      </c>
      <c r="W58" s="227">
        <f>W55+W56+W57</f>
        <v/>
      </c>
      <c r="X58" s="227">
        <f>X55+X56+X57</f>
        <v/>
      </c>
      <c r="Y58" s="227">
        <f>Y55+Y56+Y57</f>
        <v/>
      </c>
      <c r="Z58" s="227">
        <f>Z55+Z56+Z57</f>
        <v/>
      </c>
      <c r="AA58" s="227">
        <f>AA55+AA56+AA57</f>
        <v/>
      </c>
      <c r="AB58" s="227">
        <f>AB55+AB56+AB57</f>
        <v/>
      </c>
      <c r="AC58" s="227">
        <f>AC55+AC56+AC57</f>
        <v/>
      </c>
      <c r="AD58" s="227">
        <f>AD55+AD56+AD57</f>
        <v/>
      </c>
      <c r="AE58" s="227">
        <f>AE55+AE56+AE57</f>
        <v/>
      </c>
      <c r="AF58" s="227">
        <f>AF55+AF56+AF57</f>
        <v/>
      </c>
      <c r="AG58" s="227">
        <f>AG55+AG56+AG57</f>
        <v/>
      </c>
      <c r="AH58" s="227">
        <f>AH55+AH56+AH57</f>
        <v/>
      </c>
      <c r="AI58" s="227">
        <f>AI55+AI56+AI57</f>
        <v/>
      </c>
      <c r="AJ58" s="227">
        <f>AJ55+AJ56+AJ57</f>
        <v/>
      </c>
      <c r="AK58" s="227">
        <f>AK55+AK56+AK57</f>
        <v/>
      </c>
      <c r="AL58" s="227">
        <f>AL55+AL56+AL57</f>
        <v/>
      </c>
      <c r="AM58" s="227">
        <f>AM55+AM56+AM57</f>
        <v/>
      </c>
      <c r="AN58" s="227">
        <f>AN55+AN56+AN57</f>
        <v/>
      </c>
      <c r="AO58" s="227">
        <f>AO55+AO56+AO57</f>
        <v/>
      </c>
      <c r="AP58" s="227">
        <f>AP55+AP56+AP57</f>
        <v/>
      </c>
      <c r="AQ58" s="227">
        <f>AQ55+AQ56+AQ57</f>
        <v/>
      </c>
      <c r="AR58" s="227">
        <f>AR55+AR56+AR57</f>
        <v/>
      </c>
      <c r="AS58" s="227">
        <f>AS55+AS56+AS57</f>
        <v/>
      </c>
      <c r="AT58" s="227">
        <f>AT55+AT56+AT57</f>
        <v/>
      </c>
      <c r="AU58" s="227">
        <f>AU55+AU56+AU57</f>
        <v/>
      </c>
      <c r="AV58" s="227">
        <f>AV55+AV56+AV57</f>
        <v/>
      </c>
      <c r="AW58" s="227">
        <f>AW55+AW56+AW57</f>
        <v/>
      </c>
      <c r="AX58" s="227">
        <f>AX55+AX56+AX57</f>
        <v/>
      </c>
      <c r="AY58" s="227">
        <f>AY55+AY56+AY57</f>
        <v/>
      </c>
      <c r="AZ58" s="230">
        <f>AZ55+AZ56+AZ57</f>
        <v/>
      </c>
      <c r="BA58" s="226" t="n"/>
      <c r="BB58" s="230">
        <f>sum(E58:P58)</f>
        <v/>
      </c>
      <c r="BC58" s="230">
        <f>sum(Q58:AB58)</f>
        <v/>
      </c>
      <c r="BD58" s="230">
        <f>sum(AC58:AN58)</f>
        <v/>
      </c>
      <c r="BE58" s="230">
        <f>sum(AO58:AZ58)</f>
        <v/>
      </c>
      <c r="BF58" s="230">
        <f>BF55+BF56+BF57</f>
        <v/>
      </c>
      <c r="BG58" s="205" t="n"/>
      <c r="BH58" s="350" t="inlineStr">
        <is>
          <t>equity plus loans in the month</t>
        </is>
      </c>
      <c r="BI58" s="205" t="n"/>
      <c r="BJ58" s="205" t="n"/>
    </row>
    <row r="59" ht="15.75" customHeight="1" s="349">
      <c r="A59" s="226" t="n"/>
      <c r="B59" s="233" t="n"/>
      <c r="C59" s="233" t="n"/>
      <c r="D59" s="233" t="n"/>
      <c r="E59" s="233" t="n"/>
      <c r="F59" s="233" t="n"/>
      <c r="G59" s="233" t="n"/>
      <c r="H59" s="233" t="n"/>
      <c r="I59" s="233" t="n"/>
      <c r="J59" s="233" t="n"/>
      <c r="K59" s="233" t="n"/>
      <c r="L59" s="233" t="n"/>
      <c r="M59" s="233" t="n"/>
      <c r="N59" s="233" t="n"/>
      <c r="O59" s="233" t="n"/>
      <c r="P59" s="233" t="n"/>
      <c r="Q59" s="233" t="n"/>
      <c r="R59" s="233" t="n"/>
      <c r="S59" s="233" t="n"/>
      <c r="T59" s="233" t="n"/>
      <c r="U59" s="233" t="n"/>
      <c r="V59" s="233" t="n"/>
      <c r="W59" s="233" t="n"/>
      <c r="X59" s="233" t="n"/>
      <c r="Y59" s="233" t="n"/>
      <c r="Z59" s="233" t="n"/>
      <c r="AA59" s="233" t="n"/>
      <c r="AB59" s="233" t="n"/>
      <c r="AC59" s="233" t="n"/>
      <c r="AD59" s="233" t="n"/>
      <c r="AE59" s="233" t="n"/>
      <c r="AF59" s="233" t="n"/>
      <c r="AG59" s="233" t="n"/>
      <c r="AH59" s="233" t="n"/>
      <c r="AI59" s="233" t="n"/>
      <c r="AJ59" s="233" t="n"/>
      <c r="AK59" s="233" t="n"/>
      <c r="AL59" s="233" t="n"/>
      <c r="AM59" s="233" t="n"/>
      <c r="AN59" s="233" t="n"/>
      <c r="AO59" s="233" t="n"/>
      <c r="AP59" s="233" t="n"/>
      <c r="AQ59" s="233" t="n"/>
      <c r="AR59" s="233" t="n"/>
      <c r="AS59" s="233" t="n"/>
      <c r="AT59" s="233" t="n"/>
      <c r="AU59" s="233" t="n"/>
      <c r="AV59" s="233" t="n"/>
      <c r="AW59" s="233" t="n"/>
      <c r="AX59" s="233" t="n"/>
      <c r="AY59" s="233" t="n"/>
      <c r="AZ59" s="233" t="n"/>
      <c r="BA59" s="226" t="n"/>
      <c r="BB59" s="233" t="n"/>
      <c r="BC59" s="233" t="n"/>
      <c r="BD59" s="233" t="n"/>
      <c r="BE59" s="233" t="n"/>
      <c r="BF59" s="233" t="n"/>
      <c r="BG59" s="226" t="n"/>
      <c r="BH59" s="350" t="n"/>
      <c r="BI59" s="226" t="n"/>
      <c r="BJ59" s="226" t="n"/>
    </row>
    <row r="60" ht="12.75" customHeight="1" s="349">
      <c r="A60" s="77" t="n"/>
      <c r="B60" s="227" t="inlineStr">
        <is>
          <t>Total Change in Cash</t>
        </is>
      </c>
      <c r="C60" s="228" t="n"/>
      <c r="D60" s="229" t="inlineStr">
        <is>
          <t>€</t>
        </is>
      </c>
      <c r="E60" s="227" t="n"/>
      <c r="F60" s="227" t="n"/>
      <c r="G60" s="227" t="n"/>
      <c r="H60" s="227" t="n"/>
      <c r="I60" s="227" t="n"/>
      <c r="J60" s="227" t="n"/>
      <c r="K60" s="227" t="n"/>
      <c r="L60" s="227" t="n"/>
      <c r="M60" s="227">
        <f>M52+M54+M58</f>
        <v/>
      </c>
      <c r="N60" s="227">
        <f>N52+N54+N58</f>
        <v/>
      </c>
      <c r="O60" s="227">
        <f>O52+O54+O58</f>
        <v/>
      </c>
      <c r="P60" s="227">
        <f>P52+P54+P58</f>
        <v/>
      </c>
      <c r="Q60" s="227">
        <f>Q52+Q54+Q58</f>
        <v/>
      </c>
      <c r="R60" s="230">
        <f>R52+R54+R58</f>
        <v/>
      </c>
      <c r="S60" s="231">
        <f>S52+S54+S58</f>
        <v/>
      </c>
      <c r="T60" s="232">
        <f>T52+T54+T58</f>
        <v/>
      </c>
      <c r="U60" s="227">
        <f>U52+U54+U58</f>
        <v/>
      </c>
      <c r="V60" s="227">
        <f>V52+V54+V58</f>
        <v/>
      </c>
      <c r="W60" s="227">
        <f>W52+W54+W58</f>
        <v/>
      </c>
      <c r="X60" s="227">
        <f>X52+X54+X58</f>
        <v/>
      </c>
      <c r="Y60" s="227">
        <f>Y52+Y54+Y58</f>
        <v/>
      </c>
      <c r="Z60" s="227">
        <f>Z52+Z54+Z58</f>
        <v/>
      </c>
      <c r="AA60" s="227">
        <f>AA52+AA54+AA58</f>
        <v/>
      </c>
      <c r="AB60" s="227">
        <f>AB52+AB54+AB58</f>
        <v/>
      </c>
      <c r="AC60" s="227">
        <f>AC52+AC54+AC58</f>
        <v/>
      </c>
      <c r="AD60" s="227">
        <f>AD52+AD54+AD58</f>
        <v/>
      </c>
      <c r="AE60" s="227">
        <f>AE52+AE54+AE58</f>
        <v/>
      </c>
      <c r="AF60" s="227">
        <f>AF52+AF54+AF58</f>
        <v/>
      </c>
      <c r="AG60" s="227">
        <f>AG52+AG54+AG58</f>
        <v/>
      </c>
      <c r="AH60" s="227">
        <f>AH52+AH54+AH58</f>
        <v/>
      </c>
      <c r="AI60" s="227">
        <f>AI52+AI54+AI58</f>
        <v/>
      </c>
      <c r="AJ60" s="227">
        <f>AJ52+AJ54+AJ58</f>
        <v/>
      </c>
      <c r="AK60" s="227">
        <f>AK52+AK54+AK58</f>
        <v/>
      </c>
      <c r="AL60" s="227">
        <f>AL52+AL54+AL58</f>
        <v/>
      </c>
      <c r="AM60" s="227">
        <f>AM52+AM54+AM58</f>
        <v/>
      </c>
      <c r="AN60" s="227">
        <f>AN52+AN54+AN58</f>
        <v/>
      </c>
      <c r="AO60" s="227">
        <f>AO52+AO54+AO58</f>
        <v/>
      </c>
      <c r="AP60" s="227">
        <f>AP52+AP54+AP58</f>
        <v/>
      </c>
      <c r="AQ60" s="227">
        <f>AQ52+AQ54+AQ58</f>
        <v/>
      </c>
      <c r="AR60" s="227">
        <f>AR52+AR54+AR58</f>
        <v/>
      </c>
      <c r="AS60" s="227">
        <f>AS52+AS54+AS58</f>
        <v/>
      </c>
      <c r="AT60" s="227">
        <f>AT52+AT54+AT58</f>
        <v/>
      </c>
      <c r="AU60" s="227">
        <f>AU52+AU54+AU58</f>
        <v/>
      </c>
      <c r="AV60" s="227">
        <f>AV52+AV54+AV58</f>
        <v/>
      </c>
      <c r="AW60" s="227">
        <f>AW52+AW54+AW58</f>
        <v/>
      </c>
      <c r="AX60" s="227">
        <f>AX52+AX54+AX58</f>
        <v/>
      </c>
      <c r="AY60" s="227">
        <f>AY52+AY54+AY58</f>
        <v/>
      </c>
      <c r="AZ60" s="230">
        <f>AZ52+AZ54+AZ58</f>
        <v/>
      </c>
      <c r="BA60" s="226" t="n"/>
      <c r="BB60" s="230">
        <f>BB58+BB54+BB52</f>
        <v/>
      </c>
      <c r="BC60" s="230">
        <f>BC58+BC54+BC52</f>
        <v/>
      </c>
      <c r="BD60" s="230">
        <f>BD58+BD54+BD52</f>
        <v/>
      </c>
      <c r="BE60" s="230">
        <f>BE58+BE54+BE52</f>
        <v/>
      </c>
      <c r="BF60" s="230">
        <f>BF58+BF54+BF52</f>
        <v/>
      </c>
      <c r="BG60" s="205" t="n"/>
      <c r="BH60" s="350" t="inlineStr">
        <is>
          <t>operating + investing + financing</t>
        </is>
      </c>
      <c r="BI60" s="205" t="n"/>
      <c r="BJ60" s="205" t="n"/>
    </row>
    <row r="61" ht="15.75" customHeight="1" s="349">
      <c r="A61" s="226" t="n"/>
      <c r="B61" s="241" t="inlineStr">
        <is>
          <t>Beginning cash balance</t>
        </is>
      </c>
      <c r="C61" s="233" t="n"/>
      <c r="D61" s="241" t="inlineStr">
        <is>
          <t>€</t>
        </is>
      </c>
      <c r="E61" s="251" t="n"/>
      <c r="F61" s="251" t="n"/>
      <c r="G61" s="251" t="n"/>
      <c r="H61" s="251" t="n"/>
      <c r="I61" s="251" t="n"/>
      <c r="J61" s="251" t="n"/>
      <c r="K61" s="251" t="n"/>
      <c r="L61" s="251" t="n"/>
      <c r="M61" s="251">
        <f>1111108+69465</f>
        <v/>
      </c>
      <c r="N61" s="241">
        <f>M62</f>
        <v/>
      </c>
      <c r="O61" s="241">
        <f>N62</f>
        <v/>
      </c>
      <c r="P61" s="241">
        <f>O62</f>
        <v/>
      </c>
      <c r="Q61" s="241">
        <f>P62</f>
        <v/>
      </c>
      <c r="R61" s="241">
        <f>Q62</f>
        <v/>
      </c>
      <c r="S61" s="241">
        <f>R62</f>
        <v/>
      </c>
      <c r="T61" s="241">
        <f>S62</f>
        <v/>
      </c>
      <c r="U61" s="241">
        <f>T62</f>
        <v/>
      </c>
      <c r="V61" s="241">
        <f>U62</f>
        <v/>
      </c>
      <c r="W61" s="241">
        <f>V62</f>
        <v/>
      </c>
      <c r="X61" s="241">
        <f>W62</f>
        <v/>
      </c>
      <c r="Y61" s="241">
        <f>X62</f>
        <v/>
      </c>
      <c r="Z61" s="241">
        <f>Y62</f>
        <v/>
      </c>
      <c r="AA61" s="241">
        <f>Z62</f>
        <v/>
      </c>
      <c r="AB61" s="241">
        <f>AA62</f>
        <v/>
      </c>
      <c r="AC61" s="241">
        <f>AB62</f>
        <v/>
      </c>
      <c r="AD61" s="241">
        <f>AC62</f>
        <v/>
      </c>
      <c r="AE61" s="241">
        <f>AD62</f>
        <v/>
      </c>
      <c r="AF61" s="241">
        <f>AE62</f>
        <v/>
      </c>
      <c r="AG61" s="241">
        <f>AF62</f>
        <v/>
      </c>
      <c r="AH61" s="241">
        <f>AG62</f>
        <v/>
      </c>
      <c r="AI61" s="241">
        <f>AH62</f>
        <v/>
      </c>
      <c r="AJ61" s="241">
        <f>AI62</f>
        <v/>
      </c>
      <c r="AK61" s="241">
        <f>AJ62</f>
        <v/>
      </c>
      <c r="AL61" s="241">
        <f>AK62</f>
        <v/>
      </c>
      <c r="AM61" s="241">
        <f>AL62</f>
        <v/>
      </c>
      <c r="AN61" s="241">
        <f>AM62</f>
        <v/>
      </c>
      <c r="AO61" s="241">
        <f>AN62</f>
        <v/>
      </c>
      <c r="AP61" s="241">
        <f>AO62</f>
        <v/>
      </c>
      <c r="AQ61" s="241">
        <f>AP62</f>
        <v/>
      </c>
      <c r="AR61" s="241">
        <f>AQ62</f>
        <v/>
      </c>
      <c r="AS61" s="241">
        <f>AR62</f>
        <v/>
      </c>
      <c r="AT61" s="241">
        <f>AS62</f>
        <v/>
      </c>
      <c r="AU61" s="241">
        <f>AT62</f>
        <v/>
      </c>
      <c r="AV61" s="241">
        <f>AU62</f>
        <v/>
      </c>
      <c r="AW61" s="241">
        <f>AV62</f>
        <v/>
      </c>
      <c r="AX61" s="241">
        <f>AW62</f>
        <v/>
      </c>
      <c r="AY61" s="241">
        <f>AX62</f>
        <v/>
      </c>
      <c r="AZ61" s="241">
        <f>AY62</f>
        <v/>
      </c>
      <c r="BA61" s="226" t="n"/>
      <c r="BB61" s="241">
        <f>BB60+BB62</f>
        <v/>
      </c>
      <c r="BC61" s="241">
        <f>Q61</f>
        <v/>
      </c>
      <c r="BD61" s="241">
        <f>AC61</f>
        <v/>
      </c>
      <c r="BE61" s="241">
        <f>AO61</f>
        <v/>
      </c>
      <c r="BF61" s="241">
        <f>AZ62</f>
        <v/>
      </c>
      <c r="BG61" s="66" t="n"/>
      <c r="BH61" s="350" t="inlineStr">
        <is>
          <t>last month's closing cash</t>
        </is>
      </c>
      <c r="BI61" s="66" t="n"/>
      <c r="BJ61" s="66" t="n"/>
    </row>
    <row r="62" ht="15.75" customHeight="1" s="349">
      <c r="A62" s="125" t="n"/>
      <c r="B62" s="126" t="inlineStr">
        <is>
          <t>Ending Cash Balance</t>
        </is>
      </c>
      <c r="C62" s="127" t="n"/>
      <c r="D62" s="126" t="inlineStr">
        <is>
          <t>€</t>
        </is>
      </c>
      <c r="E62" s="126" t="n"/>
      <c r="F62" s="126" t="n"/>
      <c r="G62" s="126" t="n"/>
      <c r="H62" s="126" t="n"/>
      <c r="I62" s="126" t="n"/>
      <c r="J62" s="126" t="n"/>
      <c r="K62" s="126" t="n"/>
      <c r="L62" s="126" t="n"/>
      <c r="M62" s="126">
        <f>M60+M61</f>
        <v/>
      </c>
      <c r="N62" s="126">
        <f>N61+N60</f>
        <v/>
      </c>
      <c r="O62" s="126">
        <f>O61+O60</f>
        <v/>
      </c>
      <c r="P62" s="126">
        <f>P61+P60</f>
        <v/>
      </c>
      <c r="Q62" s="126">
        <f>Q61+Q60</f>
        <v/>
      </c>
      <c r="R62" s="126">
        <f>R61+R60</f>
        <v/>
      </c>
      <c r="S62" s="126">
        <f>S61+S60</f>
        <v/>
      </c>
      <c r="T62" s="126">
        <f>T61+T60</f>
        <v/>
      </c>
      <c r="U62" s="126">
        <f>U61+U60</f>
        <v/>
      </c>
      <c r="V62" s="126">
        <f>V61+V60</f>
        <v/>
      </c>
      <c r="W62" s="126">
        <f>V62+W60</f>
        <v/>
      </c>
      <c r="X62" s="126">
        <f>X61+X60</f>
        <v/>
      </c>
      <c r="Y62" s="126">
        <f>Y61+Y60</f>
        <v/>
      </c>
      <c r="Z62" s="267">
        <f>Z61+Z60</f>
        <v/>
      </c>
      <c r="AA62" s="126">
        <f>AA61+AA60</f>
        <v/>
      </c>
      <c r="AB62" s="126">
        <f>AB61+AB60</f>
        <v/>
      </c>
      <c r="AC62" s="126">
        <f>AC61+AC60</f>
        <v/>
      </c>
      <c r="AD62" s="126">
        <f>AD61+AD60</f>
        <v/>
      </c>
      <c r="AE62" s="126">
        <f>AE61+AE60</f>
        <v/>
      </c>
      <c r="AF62" s="126">
        <f>AF61+AF60</f>
        <v/>
      </c>
      <c r="AG62" s="126">
        <f>AG61+AG60</f>
        <v/>
      </c>
      <c r="AH62" s="126">
        <f>AH61+AH60</f>
        <v/>
      </c>
      <c r="AI62" s="126">
        <f>AI61+AI60</f>
        <v/>
      </c>
      <c r="AJ62" s="126">
        <f>AJ61+AJ60</f>
        <v/>
      </c>
      <c r="AK62" s="126">
        <f>AK61+AK60</f>
        <v/>
      </c>
      <c r="AL62" s="126">
        <f>AL61+AL60</f>
        <v/>
      </c>
      <c r="AM62" s="126">
        <f>AM61+AM60</f>
        <v/>
      </c>
      <c r="AN62" s="126">
        <f>AN61+AN60</f>
        <v/>
      </c>
      <c r="AO62" s="126">
        <f>AO61+AO60</f>
        <v/>
      </c>
      <c r="AP62" s="126">
        <f>AP61+AP60</f>
        <v/>
      </c>
      <c r="AQ62" s="126">
        <f>AQ61+AQ60</f>
        <v/>
      </c>
      <c r="AR62" s="126">
        <f>AR61+AR60</f>
        <v/>
      </c>
      <c r="AS62" s="126">
        <f>AS61+AS60</f>
        <v/>
      </c>
      <c r="AT62" s="126">
        <f>AT61+AT60</f>
        <v/>
      </c>
      <c r="AU62" s="126">
        <f>AU61+AU60</f>
        <v/>
      </c>
      <c r="AV62" s="126">
        <f>AV61+AV60</f>
        <v/>
      </c>
      <c r="AW62" s="126">
        <f>AW61+AW60</f>
        <v/>
      </c>
      <c r="AX62" s="126">
        <f>AX61+AX60</f>
        <v/>
      </c>
      <c r="AY62" s="126">
        <f>AY61+AY60</f>
        <v/>
      </c>
      <c r="AZ62" s="134">
        <f>AZ61+AZ60</f>
        <v/>
      </c>
      <c r="BA62" s="133" t="n"/>
      <c r="BB62" s="134">
        <f>P62</f>
        <v/>
      </c>
      <c r="BC62" s="134">
        <f>BC60+BC61</f>
        <v/>
      </c>
      <c r="BD62" s="134">
        <f>BD60+BD61</f>
        <v/>
      </c>
      <c r="BE62" s="134">
        <f>BE60+BE61</f>
        <v/>
      </c>
      <c r="BF62" s="134">
        <f>BF60+BF61</f>
        <v/>
      </c>
      <c r="BG62" s="137" t="n"/>
      <c r="BH62" s="350" t="inlineStr">
        <is>
          <t>cash in minus cash out. this is the runway line to watch</t>
        </is>
      </c>
      <c r="BI62" s="137" t="n"/>
      <c r="BJ62" s="137" t="n"/>
    </row>
    <row r="63" ht="15.75" customHeight="1" s="349">
      <c r="A63" s="226" t="n"/>
      <c r="B63" s="233" t="n"/>
      <c r="C63" s="233" t="n"/>
      <c r="D63" s="233" t="n"/>
      <c r="E63" s="233" t="n"/>
      <c r="F63" s="233" t="n"/>
      <c r="G63" s="233" t="n"/>
      <c r="H63" s="233" t="n"/>
      <c r="I63" s="233" t="n"/>
      <c r="J63" s="233" t="n"/>
      <c r="K63" s="233" t="n"/>
      <c r="L63" s="233" t="n"/>
      <c r="M63" s="233" t="n"/>
      <c r="N63" s="233" t="n"/>
      <c r="O63" s="233" t="n"/>
      <c r="P63" s="233" t="n"/>
      <c r="Q63" s="233" t="n"/>
      <c r="R63" s="233" t="n"/>
      <c r="S63" s="233" t="n"/>
      <c r="T63" s="233" t="n"/>
      <c r="U63" s="233" t="n"/>
      <c r="V63" s="233" t="n"/>
      <c r="W63" s="233" t="n"/>
      <c r="X63" s="233" t="n"/>
      <c r="Y63" s="233" t="n"/>
      <c r="Z63" s="233" t="n"/>
      <c r="AA63" s="233" t="n"/>
      <c r="AB63" s="233" t="n"/>
      <c r="AC63" s="233" t="n"/>
      <c r="AD63" s="233" t="n"/>
      <c r="AE63" s="233" t="n"/>
      <c r="AF63" s="233" t="n"/>
      <c r="AG63" s="233" t="n"/>
      <c r="AH63" s="233" t="n"/>
      <c r="AI63" s="233" t="n"/>
      <c r="AJ63" s="233" t="n"/>
      <c r="AK63" s="233" t="n"/>
      <c r="AL63" s="233" t="n"/>
      <c r="AM63" s="233" t="n"/>
      <c r="AN63" s="233" t="n"/>
      <c r="AO63" s="233" t="n"/>
      <c r="AP63" s="233" t="n"/>
      <c r="AQ63" s="233" t="n"/>
      <c r="AR63" s="233" t="n"/>
      <c r="AS63" s="233" t="n"/>
      <c r="AT63" s="233" t="n"/>
      <c r="AU63" s="233" t="n"/>
      <c r="AV63" s="233" t="n"/>
      <c r="AW63" s="233" t="n"/>
      <c r="AX63" s="233" t="n"/>
      <c r="AY63" s="233" t="n"/>
      <c r="AZ63" s="233" t="n"/>
      <c r="BA63" s="226" t="n"/>
      <c r="BB63" s="233" t="n"/>
      <c r="BC63" s="233" t="n"/>
      <c r="BD63" s="233" t="n"/>
      <c r="BE63" s="233" t="n"/>
      <c r="BF63" s="233" t="n"/>
      <c r="BG63" s="226" t="n"/>
      <c r="BH63" s="350" t="n"/>
      <c r="BI63" s="226" t="n"/>
      <c r="BJ63" s="226" t="n"/>
    </row>
    <row r="64" ht="15.75" customHeight="1" s="349">
      <c r="A64" s="241" t="n"/>
      <c r="B64" s="203" t="inlineStr">
        <is>
          <t>BALANCE SHEET</t>
        </is>
      </c>
      <c r="C64" s="241" t="n"/>
      <c r="D64" s="241" t="n"/>
      <c r="E64" s="203" t="n"/>
      <c r="F64" s="203" t="n"/>
      <c r="G64" s="203" t="n"/>
      <c r="H64" s="203" t="n"/>
      <c r="I64" s="203" t="n"/>
      <c r="J64" s="203" t="n"/>
      <c r="K64" s="203" t="n"/>
      <c r="L64" s="203" t="n"/>
      <c r="M64" s="203" t="n"/>
      <c r="N64" s="203" t="n"/>
      <c r="O64" s="203" t="n"/>
      <c r="P64" s="203" t="n"/>
      <c r="Q64" s="203" t="n"/>
      <c r="R64" s="203" t="n"/>
      <c r="S64" s="203" t="n"/>
      <c r="T64" s="203" t="n"/>
      <c r="U64" s="233" t="n"/>
      <c r="V64" s="203" t="n"/>
      <c r="W64" s="203" t="n"/>
      <c r="X64" s="203" t="n"/>
      <c r="Y64" s="203" t="n"/>
      <c r="Z64" s="203" t="n"/>
      <c r="AA64" s="203" t="n"/>
      <c r="AB64" s="203" t="n"/>
      <c r="AC64" s="203" t="n"/>
      <c r="AD64" s="203" t="n"/>
      <c r="AE64" s="203" t="n"/>
      <c r="AF64" s="203" t="n"/>
      <c r="AG64" s="203" t="n"/>
      <c r="AH64" s="203" t="n"/>
      <c r="AI64" s="203" t="n"/>
      <c r="AJ64" s="203" t="n"/>
      <c r="AK64" s="203" t="n"/>
      <c r="AL64" s="203" t="n"/>
      <c r="AM64" s="203" t="n"/>
      <c r="AN64" s="203" t="n"/>
      <c r="AO64" s="203" t="n"/>
      <c r="AP64" s="203" t="n"/>
      <c r="AQ64" s="203" t="n"/>
      <c r="AR64" s="203" t="n"/>
      <c r="AS64" s="203" t="n"/>
      <c r="AT64" s="203" t="n"/>
      <c r="AU64" s="203" t="n"/>
      <c r="AV64" s="203" t="n"/>
      <c r="AW64" s="203" t="n"/>
      <c r="AX64" s="203" t="n"/>
      <c r="AY64" s="203" t="n"/>
      <c r="AZ64" s="203" t="n"/>
      <c r="BA64" s="241" t="n"/>
      <c r="BB64" s="203" t="n"/>
      <c r="BC64" s="203" t="n"/>
      <c r="BD64" s="203" t="n"/>
      <c r="BE64" s="203" t="n"/>
      <c r="BF64" s="203" t="n"/>
      <c r="BG64" s="203" t="n"/>
      <c r="BH64" s="83" t="n"/>
      <c r="BI64" s="203" t="n"/>
      <c r="BJ64" s="203" t="n"/>
    </row>
    <row r="65" ht="13.5" customHeight="1" s="349">
      <c r="A65" s="77" t="n"/>
      <c r="B65" s="79" t="inlineStr">
        <is>
          <t>ASSETS</t>
        </is>
      </c>
      <c r="C65" s="80" t="n"/>
      <c r="D65" s="80" t="n"/>
      <c r="E65" s="80" t="n"/>
      <c r="F65" s="80" t="n"/>
      <c r="G65" s="80" t="n"/>
      <c r="H65" s="80" t="n"/>
      <c r="I65" s="80" t="n"/>
      <c r="J65" s="80" t="n"/>
      <c r="K65" s="80" t="n"/>
      <c r="L65" s="80" t="n"/>
      <c r="M65" s="80" t="n"/>
      <c r="N65" s="80" t="n"/>
      <c r="O65" s="80" t="n"/>
      <c r="P65" s="80" t="n"/>
      <c r="Q65" s="80" t="n"/>
      <c r="R65" s="84" t="n"/>
      <c r="S65" s="85" t="n"/>
      <c r="T65" s="86" t="n"/>
      <c r="U65" s="80" t="n"/>
      <c r="V65" s="80" t="n"/>
      <c r="W65" s="80" t="n"/>
      <c r="X65" s="80" t="n"/>
      <c r="Y65" s="80" t="n"/>
      <c r="Z65" s="80" t="n"/>
      <c r="AA65" s="80" t="n"/>
      <c r="AB65" s="80" t="n"/>
      <c r="AC65" s="80" t="n"/>
      <c r="AD65" s="80" t="n"/>
      <c r="AE65" s="80" t="n"/>
      <c r="AF65" s="80" t="n"/>
      <c r="AG65" s="80" t="n"/>
      <c r="AH65" s="80" t="n"/>
      <c r="AI65" s="80" t="n"/>
      <c r="AJ65" s="80" t="n"/>
      <c r="AK65" s="80" t="n"/>
      <c r="AL65" s="80" t="n"/>
      <c r="AM65" s="80" t="n"/>
      <c r="AN65" s="80" t="n"/>
      <c r="AO65" s="80" t="n"/>
      <c r="AP65" s="80" t="n"/>
      <c r="AQ65" s="80" t="n"/>
      <c r="AR65" s="80" t="n"/>
      <c r="AS65" s="80" t="n"/>
      <c r="AT65" s="80" t="n"/>
      <c r="AU65" s="80" t="n"/>
      <c r="AV65" s="80" t="n"/>
      <c r="AW65" s="80" t="n"/>
      <c r="AX65" s="80" t="n"/>
      <c r="AY65" s="80" t="n"/>
      <c r="AZ65" s="84" t="n"/>
      <c r="BA65" s="226" t="n"/>
      <c r="BB65" s="84" t="n"/>
      <c r="BC65" s="84" t="n"/>
      <c r="BD65" s="84" t="n"/>
      <c r="BE65" s="84" t="n"/>
      <c r="BF65" s="84" t="n"/>
      <c r="BG65" s="226" t="n"/>
      <c r="BH65" s="350" t="n"/>
      <c r="BI65" s="226" t="n"/>
      <c r="BJ65" s="226" t="n"/>
    </row>
    <row r="66" ht="15.75" customHeight="1" s="349">
      <c r="A66" s="226" t="n"/>
      <c r="B66" s="241" t="inlineStr">
        <is>
          <t>Cash and cash equivalents</t>
        </is>
      </c>
      <c r="C66" s="233" t="n"/>
      <c r="D66" s="241" t="inlineStr">
        <is>
          <t>€</t>
        </is>
      </c>
      <c r="E66" s="241" t="n"/>
      <c r="F66" s="241" t="n"/>
      <c r="G66" s="241" t="n"/>
      <c r="H66" s="241" t="n"/>
      <c r="I66" s="241" t="n"/>
      <c r="J66" s="241" t="n"/>
      <c r="K66" s="241" t="n"/>
      <c r="L66" s="241" t="n"/>
      <c r="M66" s="241">
        <f>M62</f>
        <v/>
      </c>
      <c r="N66" s="241">
        <f>N62</f>
        <v/>
      </c>
      <c r="O66" s="241">
        <f>O62</f>
        <v/>
      </c>
      <c r="P66" s="241">
        <f>P62</f>
        <v/>
      </c>
      <c r="Q66" s="241">
        <f>Q62</f>
        <v/>
      </c>
      <c r="R66" s="241">
        <f>R62</f>
        <v/>
      </c>
      <c r="S66" s="241">
        <f>S62</f>
        <v/>
      </c>
      <c r="T66" s="241">
        <f>T62</f>
        <v/>
      </c>
      <c r="U66" s="241">
        <f>U62</f>
        <v/>
      </c>
      <c r="V66" s="241">
        <f>V62</f>
        <v/>
      </c>
      <c r="W66" s="241">
        <f>W62</f>
        <v/>
      </c>
      <c r="X66" s="241">
        <f>X62</f>
        <v/>
      </c>
      <c r="Y66" s="241">
        <f>Y62</f>
        <v/>
      </c>
      <c r="Z66" s="241">
        <f>Z62</f>
        <v/>
      </c>
      <c r="AA66" s="241">
        <f>AA62</f>
        <v/>
      </c>
      <c r="AB66" s="241">
        <f>AB62</f>
        <v/>
      </c>
      <c r="AC66" s="241">
        <f>AC62</f>
        <v/>
      </c>
      <c r="AD66" s="241">
        <f>AD62</f>
        <v/>
      </c>
      <c r="AE66" s="241">
        <f>AE62</f>
        <v/>
      </c>
      <c r="AF66" s="241">
        <f>AF62</f>
        <v/>
      </c>
      <c r="AG66" s="241">
        <f>AG62</f>
        <v/>
      </c>
      <c r="AH66" s="241">
        <f>AH62</f>
        <v/>
      </c>
      <c r="AI66" s="241">
        <f>AI62</f>
        <v/>
      </c>
      <c r="AJ66" s="241">
        <f>AJ62</f>
        <v/>
      </c>
      <c r="AK66" s="241">
        <f>AK62</f>
        <v/>
      </c>
      <c r="AL66" s="241">
        <f>AL62</f>
        <v/>
      </c>
      <c r="AM66" s="241">
        <f>AM62</f>
        <v/>
      </c>
      <c r="AN66" s="241">
        <f>AN62</f>
        <v/>
      </c>
      <c r="AO66" s="241">
        <f>AO62</f>
        <v/>
      </c>
      <c r="AP66" s="241">
        <f>AP62</f>
        <v/>
      </c>
      <c r="AQ66" s="241">
        <f>AQ62</f>
        <v/>
      </c>
      <c r="AR66" s="241">
        <f>AR62</f>
        <v/>
      </c>
      <c r="AS66" s="241">
        <f>AS62</f>
        <v/>
      </c>
      <c r="AT66" s="241">
        <f>AT62</f>
        <v/>
      </c>
      <c r="AU66" s="241">
        <f>AU62</f>
        <v/>
      </c>
      <c r="AV66" s="241">
        <f>AV62</f>
        <v/>
      </c>
      <c r="AW66" s="241">
        <f>AW62</f>
        <v/>
      </c>
      <c r="AX66" s="241">
        <f>AX62</f>
        <v/>
      </c>
      <c r="AY66" s="241">
        <f>AY62</f>
        <v/>
      </c>
      <c r="AZ66" s="241">
        <f>AZ62</f>
        <v/>
      </c>
      <c r="BA66" s="226" t="n"/>
      <c r="BB66" s="241">
        <f>P66</f>
        <v/>
      </c>
      <c r="BC66" s="241">
        <f>AB66</f>
        <v/>
      </c>
      <c r="BD66" s="241">
        <f>AN66</f>
        <v/>
      </c>
      <c r="BE66" s="241">
        <f>AZ66</f>
        <v/>
      </c>
      <c r="BF66" s="241">
        <f>BF62</f>
        <v/>
      </c>
      <c r="BG66" s="66" t="n"/>
      <c r="BH66" s="350" t="inlineStr">
        <is>
          <t>the closing cash from the cash flow above</t>
        </is>
      </c>
      <c r="BI66" s="66" t="n"/>
      <c r="BJ66" s="66" t="n"/>
    </row>
    <row r="67" ht="15.75" customHeight="1" s="349">
      <c r="A67" s="226" t="n"/>
      <c r="B67" s="241" t="inlineStr">
        <is>
          <t>Deferred tax assest ("carry forward")</t>
        </is>
      </c>
      <c r="C67" s="233" t="n"/>
      <c r="D67" s="241" t="inlineStr">
        <is>
          <t>€</t>
        </is>
      </c>
      <c r="E67" s="241" t="n"/>
      <c r="F67" s="241" t="n"/>
      <c r="G67" s="241" t="n"/>
      <c r="H67" s="241" t="n"/>
      <c r="I67" s="241" t="n"/>
      <c r="J67" s="241" t="n"/>
      <c r="K67" s="241" t="n"/>
      <c r="L67" s="241" t="n"/>
      <c r="M67" s="241">
        <f>M44</f>
        <v/>
      </c>
      <c r="N67" s="241">
        <f>N44</f>
        <v/>
      </c>
      <c r="O67" s="241">
        <f>O44</f>
        <v/>
      </c>
      <c r="P67" s="241">
        <f>P44</f>
        <v/>
      </c>
      <c r="Q67" s="241">
        <f>Q44</f>
        <v/>
      </c>
      <c r="R67" s="241">
        <f>R44</f>
        <v/>
      </c>
      <c r="S67" s="241">
        <f>S44</f>
        <v/>
      </c>
      <c r="T67" s="241">
        <f>T44</f>
        <v/>
      </c>
      <c r="U67" s="241">
        <f>U44</f>
        <v/>
      </c>
      <c r="V67" s="241">
        <f>V44</f>
        <v/>
      </c>
      <c r="W67" s="241">
        <f>W44</f>
        <v/>
      </c>
      <c r="X67" s="241">
        <f>X44</f>
        <v/>
      </c>
      <c r="Y67" s="241">
        <f>Y44</f>
        <v/>
      </c>
      <c r="Z67" s="241">
        <f>Z44</f>
        <v/>
      </c>
      <c r="AA67" s="241">
        <f>AA44</f>
        <v/>
      </c>
      <c r="AB67" s="241">
        <f>AB44</f>
        <v/>
      </c>
      <c r="AC67" s="241">
        <f>AC44</f>
        <v/>
      </c>
      <c r="AD67" s="241">
        <f>AD44</f>
        <v/>
      </c>
      <c r="AE67" s="241">
        <f>AE44</f>
        <v/>
      </c>
      <c r="AF67" s="241">
        <f>AF44</f>
        <v/>
      </c>
      <c r="AG67" s="241">
        <f>AG44</f>
        <v/>
      </c>
      <c r="AH67" s="241">
        <f>AH44</f>
        <v/>
      </c>
      <c r="AI67" s="241">
        <f>AI44</f>
        <v/>
      </c>
      <c r="AJ67" s="241">
        <f>AJ44</f>
        <v/>
      </c>
      <c r="AK67" s="241">
        <f>AK44</f>
        <v/>
      </c>
      <c r="AL67" s="241">
        <f>AL44</f>
        <v/>
      </c>
      <c r="AM67" s="241">
        <f>AM44</f>
        <v/>
      </c>
      <c r="AN67" s="241">
        <f>AN44</f>
        <v/>
      </c>
      <c r="AO67" s="241">
        <f>AO44</f>
        <v/>
      </c>
      <c r="AP67" s="241">
        <f>AP44</f>
        <v/>
      </c>
      <c r="AQ67" s="241">
        <f>AQ44</f>
        <v/>
      </c>
      <c r="AR67" s="241">
        <f>AR44</f>
        <v/>
      </c>
      <c r="AS67" s="241">
        <f>AS44</f>
        <v/>
      </c>
      <c r="AT67" s="241">
        <f>AT44</f>
        <v/>
      </c>
      <c r="AU67" s="241">
        <f>AU44</f>
        <v/>
      </c>
      <c r="AV67" s="241">
        <f>AV44</f>
        <v/>
      </c>
      <c r="AW67" s="241">
        <f>AW44</f>
        <v/>
      </c>
      <c r="AX67" s="241">
        <f>AX44</f>
        <v/>
      </c>
      <c r="AY67" s="241">
        <f>AY44</f>
        <v/>
      </c>
      <c r="AZ67" s="241">
        <f>AZ44</f>
        <v/>
      </c>
      <c r="BA67" s="226" t="n"/>
      <c r="BB67" s="241">
        <f>P67</f>
        <v/>
      </c>
      <c r="BC67" s="241">
        <f>AB67</f>
        <v/>
      </c>
      <c r="BD67" s="241">
        <f>AN67</f>
        <v/>
      </c>
      <c r="BE67" s="241">
        <f>AZ67</f>
        <v/>
      </c>
      <c r="BF67" s="241" t="n">
        <v>0</v>
      </c>
      <c r="BG67" s="66" t="n"/>
      <c r="BH67" s="350" t="inlineStr">
        <is>
          <t>unused tax losses, parked as an asset</t>
        </is>
      </c>
      <c r="BI67" s="66" t="n"/>
      <c r="BJ67" s="66" t="n"/>
    </row>
    <row r="68" ht="15.75" customHeight="1" s="349">
      <c r="A68" s="226" t="n"/>
      <c r="B68" s="241" t="inlineStr">
        <is>
          <t>Accounts receivable (DSO-based)</t>
        </is>
      </c>
      <c r="C68" s="233" t="n"/>
      <c r="D68" s="241" t="inlineStr">
        <is>
          <t>€</t>
        </is>
      </c>
      <c r="E68" s="241" t="n"/>
      <c r="F68" s="241" t="n"/>
      <c r="G68" s="241" t="n"/>
      <c r="H68" s="241" t="n"/>
      <c r="I68" s="241" t="n"/>
      <c r="J68" s="241" t="n"/>
      <c r="K68" s="241" t="n"/>
      <c r="L68" s="241" t="n"/>
      <c r="M68" s="241">
        <f>ABS(Assumptions!$D$15*(M11/30))</f>
        <v/>
      </c>
      <c r="N68" s="241">
        <f>ABS(Assumptions!$D$15*(N11/30))</f>
        <v/>
      </c>
      <c r="O68" s="241">
        <f>ABS(Assumptions!$D$15*(O11/30))</f>
        <v/>
      </c>
      <c r="P68" s="241">
        <f>ABS(Assumptions!$D$15*(P11/30))</f>
        <v/>
      </c>
      <c r="Q68" s="241">
        <f>ABS(Assumptions!$D$15*(Q11/30))</f>
        <v/>
      </c>
      <c r="R68" s="241">
        <f>ABS(Assumptions!$D$15*(R11/30))</f>
        <v/>
      </c>
      <c r="S68" s="241">
        <f>ABS(Assumptions!$D$15*(S11/30))</f>
        <v/>
      </c>
      <c r="T68" s="241">
        <f>ABS(Assumptions!$D$15*(T11/30))</f>
        <v/>
      </c>
      <c r="U68" s="241">
        <f>ABS(Assumptions!$D$15*(U11/30))</f>
        <v/>
      </c>
      <c r="V68" s="241">
        <f>ABS(Assumptions!$D$15*(V11/30))</f>
        <v/>
      </c>
      <c r="W68" s="241">
        <f>ABS(Assumptions!$D$15*(W11/30))</f>
        <v/>
      </c>
      <c r="X68" s="241">
        <f>ABS(Assumptions!$D$15*(X11/30))</f>
        <v/>
      </c>
      <c r="Y68" s="241">
        <f>ABS(Assumptions!$D$15*(Y11/30))</f>
        <v/>
      </c>
      <c r="Z68" s="241">
        <f>ABS(Assumptions!$D$15*(Z11/30))</f>
        <v/>
      </c>
      <c r="AA68" s="241">
        <f>ABS(Assumptions!$D$15*(AA11/30))</f>
        <v/>
      </c>
      <c r="AB68" s="241">
        <f>ABS(Assumptions!$D$15*(AB11/30))</f>
        <v/>
      </c>
      <c r="AC68" s="241">
        <f>ABS(Assumptions!$D$15*(AC11/30))</f>
        <v/>
      </c>
      <c r="AD68" s="241">
        <f>ABS(Assumptions!$D$15*(AD11/30))</f>
        <v/>
      </c>
      <c r="AE68" s="241">
        <f>ABS(Assumptions!$D$15*(AE11/30))</f>
        <v/>
      </c>
      <c r="AF68" s="241">
        <f>ABS(Assumptions!$D$15*(AF11/30))</f>
        <v/>
      </c>
      <c r="AG68" s="241">
        <f>ABS(Assumptions!$D$15*(AG11/30))</f>
        <v/>
      </c>
      <c r="AH68" s="241">
        <f>ABS(Assumptions!$D$15*(AH11/30))</f>
        <v/>
      </c>
      <c r="AI68" s="241">
        <f>ABS(Assumptions!$D$15*(AI11/30))</f>
        <v/>
      </c>
      <c r="AJ68" s="241">
        <f>ABS(Assumptions!$D$15*(AJ11/30))</f>
        <v/>
      </c>
      <c r="AK68" s="241">
        <f>ABS(Assumptions!$D$15*(AK11/30))</f>
        <v/>
      </c>
      <c r="AL68" s="241">
        <f>ABS(Assumptions!$D$15*(AL11/30))</f>
        <v/>
      </c>
      <c r="AM68" s="241">
        <f>ABS(Assumptions!$D$15*(AM11/30))</f>
        <v/>
      </c>
      <c r="AN68" s="241">
        <f>ABS(Assumptions!$D$15*(AN11/30))</f>
        <v/>
      </c>
      <c r="AO68" s="241">
        <f>ABS(Assumptions!$D$15*(AO11/30))</f>
        <v/>
      </c>
      <c r="AP68" s="241">
        <f>ABS(Assumptions!$D$15*(AP11/30))</f>
        <v/>
      </c>
      <c r="AQ68" s="241">
        <f>ABS(Assumptions!$D$15*(AQ11/30))</f>
        <v/>
      </c>
      <c r="AR68" s="241">
        <f>ABS(Assumptions!$D$15*(AR11/30))</f>
        <v/>
      </c>
      <c r="AS68" s="241">
        <f>ABS(Assumptions!$D$15*(AS11/30))</f>
        <v/>
      </c>
      <c r="AT68" s="241">
        <f>ABS(Assumptions!$D$15*(AT11/30))</f>
        <v/>
      </c>
      <c r="AU68" s="241">
        <f>ABS(Assumptions!$D$15*(AU11/30))</f>
        <v/>
      </c>
      <c r="AV68" s="241">
        <f>ABS(Assumptions!$D$15*(AV11/30))</f>
        <v/>
      </c>
      <c r="AW68" s="241">
        <f>ABS(Assumptions!$D$15*(AW11/30))</f>
        <v/>
      </c>
      <c r="AX68" s="241">
        <f>ABS(Assumptions!$D$15*(AX11/30))</f>
        <v/>
      </c>
      <c r="AY68" s="241">
        <f>ABS(Assumptions!$D$15*(AY11/30))</f>
        <v/>
      </c>
      <c r="AZ68" s="241">
        <f>ABS(Assumptions!$D$15*(AZ11/30))</f>
        <v/>
      </c>
      <c r="BA68" s="226" t="n"/>
      <c r="BB68" s="241">
        <f>P68</f>
        <v/>
      </c>
      <c r="BC68" s="241">
        <f>AB68</f>
        <v/>
      </c>
      <c r="BD68" s="241">
        <f>AN68</f>
        <v/>
      </c>
      <c r="BE68" s="241">
        <f>AZ68</f>
        <v/>
      </c>
      <c r="BF68" s="241">
        <f>Assumptions!$D$15/365*BF11</f>
        <v/>
      </c>
      <c r="BG68" s="66" t="n"/>
      <c r="BH68" s="350" t="inlineStr">
        <is>
          <t>receivables: DSO days' worth of revenue not collected yet</t>
        </is>
      </c>
      <c r="BI68" s="66" t="n"/>
      <c r="BJ68" s="66" t="n"/>
    </row>
    <row r="69" ht="15.75" customHeight="1" s="349">
      <c r="A69" s="226" t="n"/>
      <c r="B69" s="241" t="inlineStr">
        <is>
          <t>Inventory (DIO-based)</t>
        </is>
      </c>
      <c r="C69" s="233" t="n"/>
      <c r="D69" s="241" t="inlineStr">
        <is>
          <t>€</t>
        </is>
      </c>
      <c r="E69" s="241" t="n"/>
      <c r="F69" s="241" t="n"/>
      <c r="G69" s="241" t="n"/>
      <c r="H69" s="241" t="n"/>
      <c r="I69" s="241" t="n"/>
      <c r="J69" s="241" t="n"/>
      <c r="K69" s="241" t="n"/>
      <c r="L69" s="241" t="n"/>
      <c r="M69" s="241">
        <f>ABS(Assumptions!$D$17*(M17/30))</f>
        <v/>
      </c>
      <c r="N69" s="241">
        <f>ABS(Assumptions!$D$17*(N17/30))</f>
        <v/>
      </c>
      <c r="O69" s="241">
        <f>ABS(Assumptions!$D$17*(O17/30))</f>
        <v/>
      </c>
      <c r="P69" s="241">
        <f>ABS(Assumptions!$D$17*(P17/30))</f>
        <v/>
      </c>
      <c r="Q69" s="241">
        <f>ABS(Assumptions!$D$17*(Q17/30))</f>
        <v/>
      </c>
      <c r="R69" s="241">
        <f>ABS(Assumptions!$D$17*(R17/30))</f>
        <v/>
      </c>
      <c r="S69" s="241">
        <f>ABS(Assumptions!$D$17*(S17/30))</f>
        <v/>
      </c>
      <c r="T69" s="241">
        <f>ABS(Assumptions!$D$17*(T17/30))</f>
        <v/>
      </c>
      <c r="U69" s="241">
        <f>ABS(Assumptions!$D$17*(U17/30))</f>
        <v/>
      </c>
      <c r="V69" s="241">
        <f>ABS(Assumptions!$D$17*(V17/30))</f>
        <v/>
      </c>
      <c r="W69" s="241">
        <f>ABS(Assumptions!$D$17*(W17/30))</f>
        <v/>
      </c>
      <c r="X69" s="241">
        <f>ABS(Assumptions!$D$17*(X17/30))</f>
        <v/>
      </c>
      <c r="Y69" s="241">
        <f>ABS(Assumptions!$D$17*(Y17/30))</f>
        <v/>
      </c>
      <c r="Z69" s="241">
        <f>ABS(Assumptions!$D$17*(Z17/30))</f>
        <v/>
      </c>
      <c r="AA69" s="241">
        <f>ABS(Assumptions!$D$17*(AA17/30))</f>
        <v/>
      </c>
      <c r="AB69" s="241">
        <f>ABS(Assumptions!$D$17*(AB17/30))</f>
        <v/>
      </c>
      <c r="AC69" s="241">
        <f>ABS(Assumptions!$D$17*(AC17/30))</f>
        <v/>
      </c>
      <c r="AD69" s="241">
        <f>ABS(Assumptions!$D$17*(AD17/30))</f>
        <v/>
      </c>
      <c r="AE69" s="241">
        <f>ABS(Assumptions!$D$17*(AE17/30))</f>
        <v/>
      </c>
      <c r="AF69" s="241">
        <f>ABS(Assumptions!$D$17*(AF17/30))</f>
        <v/>
      </c>
      <c r="AG69" s="241">
        <f>ABS(Assumptions!$D$17*(AG17/30))</f>
        <v/>
      </c>
      <c r="AH69" s="241">
        <f>ABS(Assumptions!$D$17*(AH17/30))</f>
        <v/>
      </c>
      <c r="AI69" s="241">
        <f>ABS(Assumptions!$D$17*(AI17/30))</f>
        <v/>
      </c>
      <c r="AJ69" s="241">
        <f>ABS(Assumptions!$D$17*(AJ17/30))</f>
        <v/>
      </c>
      <c r="AK69" s="241">
        <f>ABS(Assumptions!$D$17*(AK17/30))</f>
        <v/>
      </c>
      <c r="AL69" s="241">
        <f>ABS(Assumptions!$D$17*(AL17/30))</f>
        <v/>
      </c>
      <c r="AM69" s="241">
        <f>ABS(Assumptions!$D$17*(AM17/30))</f>
        <v/>
      </c>
      <c r="AN69" s="241">
        <f>ABS(Assumptions!$D$17*(AN17/30))</f>
        <v/>
      </c>
      <c r="AO69" s="241">
        <f>ABS(Assumptions!$D$17*(AO17/30))</f>
        <v/>
      </c>
      <c r="AP69" s="241">
        <f>ABS(Assumptions!$D$17*(AP17/30))</f>
        <v/>
      </c>
      <c r="AQ69" s="241">
        <f>ABS(Assumptions!$D$17*(AQ17/30))</f>
        <v/>
      </c>
      <c r="AR69" s="241">
        <f>ABS(Assumptions!$D$17*(AR17/30))</f>
        <v/>
      </c>
      <c r="AS69" s="241">
        <f>ABS(Assumptions!$D$17*(AS17/30))</f>
        <v/>
      </c>
      <c r="AT69" s="241">
        <f>ABS(Assumptions!$D$17*(AT17/30))</f>
        <v/>
      </c>
      <c r="AU69" s="241">
        <f>ABS(Assumptions!$D$17*(AU17/30))</f>
        <v/>
      </c>
      <c r="AV69" s="241">
        <f>ABS(Assumptions!$D$17*(AV17/30))</f>
        <v/>
      </c>
      <c r="AW69" s="241">
        <f>ABS(Assumptions!$D$17*(AW17/30))</f>
        <v/>
      </c>
      <c r="AX69" s="241">
        <f>ABS(Assumptions!$D$17*(AX17/30))</f>
        <v/>
      </c>
      <c r="AY69" s="241">
        <f>ABS(Assumptions!$D$17*(AY17/30))</f>
        <v/>
      </c>
      <c r="AZ69" s="241">
        <f>ABS(Assumptions!$D$17*(AZ17/30))</f>
        <v/>
      </c>
      <c r="BA69" s="226" t="n"/>
      <c r="BB69" s="241">
        <f>P69</f>
        <v/>
      </c>
      <c r="BC69" s="241">
        <f>AB69</f>
        <v/>
      </c>
      <c r="BD69" s="241">
        <f>AN69</f>
        <v/>
      </c>
      <c r="BE69" s="241">
        <f>AZ69</f>
        <v/>
      </c>
      <c r="BF69" s="241">
        <f>Assumptions!$D$17/365*BF17</f>
        <v/>
      </c>
      <c r="BG69" s="66" t="n"/>
      <c r="BH69" s="350" t="inlineStr">
        <is>
          <t>inventory: days of stock x cost of sales. 0 days, so zero</t>
        </is>
      </c>
      <c r="BI69" s="66" t="n"/>
      <c r="BJ69" s="66" t="n"/>
    </row>
    <row r="70" ht="12.75" customHeight="1" s="349">
      <c r="A70" s="77" t="n"/>
      <c r="B70" s="227" t="inlineStr">
        <is>
          <t>Total Current Assets</t>
        </is>
      </c>
      <c r="C70" s="228" t="n"/>
      <c r="D70" s="229" t="inlineStr">
        <is>
          <t>€</t>
        </is>
      </c>
      <c r="E70" s="227" t="n"/>
      <c r="F70" s="227" t="n"/>
      <c r="G70" s="227" t="n"/>
      <c r="H70" s="227" t="n"/>
      <c r="I70" s="227" t="n"/>
      <c r="J70" s="227" t="n"/>
      <c r="K70" s="227" t="n"/>
      <c r="L70" s="227" t="n"/>
      <c r="M70" s="227">
        <f>sum(M66:M69)</f>
        <v/>
      </c>
      <c r="N70" s="227">
        <f>sum(N66:N69)</f>
        <v/>
      </c>
      <c r="O70" s="227">
        <f>sum(O66:O69)</f>
        <v/>
      </c>
      <c r="P70" s="227">
        <f>sum(P66:P69)</f>
        <v/>
      </c>
      <c r="Q70" s="227">
        <f>sum(Q66:Q69)</f>
        <v/>
      </c>
      <c r="R70" s="227">
        <f>sum(R66:R69)</f>
        <v/>
      </c>
      <c r="S70" s="227">
        <f>sum(S66:S69)</f>
        <v/>
      </c>
      <c r="T70" s="227">
        <f>sum(T66:T69)</f>
        <v/>
      </c>
      <c r="U70" s="227">
        <f>sum(U66:U69)</f>
        <v/>
      </c>
      <c r="V70" s="227">
        <f>sum(V66:V69)</f>
        <v/>
      </c>
      <c r="W70" s="227">
        <f>sum(W66:W69)</f>
        <v/>
      </c>
      <c r="X70" s="227">
        <f>sum(X66:X69)</f>
        <v/>
      </c>
      <c r="Y70" s="227">
        <f>sum(Y66:Y69)</f>
        <v/>
      </c>
      <c r="Z70" s="227">
        <f>sum(Z66:Z69)</f>
        <v/>
      </c>
      <c r="AA70" s="227">
        <f>sum(AA66:AA69)</f>
        <v/>
      </c>
      <c r="AB70" s="227">
        <f>sum(AB66:AB69)</f>
        <v/>
      </c>
      <c r="AC70" s="227">
        <f>sum(AC66:AC69)</f>
        <v/>
      </c>
      <c r="AD70" s="227">
        <f>sum(AD66:AD69)</f>
        <v/>
      </c>
      <c r="AE70" s="227">
        <f>sum(AE66:AE69)</f>
        <v/>
      </c>
      <c r="AF70" s="227">
        <f>sum(AF66:AF69)</f>
        <v/>
      </c>
      <c r="AG70" s="227">
        <f>sum(AG66:AG69)</f>
        <v/>
      </c>
      <c r="AH70" s="227">
        <f>sum(AH66:AH69)</f>
        <v/>
      </c>
      <c r="AI70" s="227">
        <f>sum(AI66:AI69)</f>
        <v/>
      </c>
      <c r="AJ70" s="227">
        <f>sum(AJ66:AJ69)</f>
        <v/>
      </c>
      <c r="AK70" s="227">
        <f>sum(AK66:AK69)</f>
        <v/>
      </c>
      <c r="AL70" s="227">
        <f>sum(AL66:AL69)</f>
        <v/>
      </c>
      <c r="AM70" s="227">
        <f>sum(AM66:AM69)</f>
        <v/>
      </c>
      <c r="AN70" s="227">
        <f>sum(AN66:AN69)</f>
        <v/>
      </c>
      <c r="AO70" s="227">
        <f>sum(AO66:AO69)</f>
        <v/>
      </c>
      <c r="AP70" s="227">
        <f>sum(AP66:AP69)</f>
        <v/>
      </c>
      <c r="AQ70" s="227">
        <f>sum(AQ66:AQ69)</f>
        <v/>
      </c>
      <c r="AR70" s="227">
        <f>sum(AR66:AR69)</f>
        <v/>
      </c>
      <c r="AS70" s="227">
        <f>sum(AS66:AS69)</f>
        <v/>
      </c>
      <c r="AT70" s="227">
        <f>sum(AT66:AT69)</f>
        <v/>
      </c>
      <c r="AU70" s="227">
        <f>sum(AU66:AU69)</f>
        <v/>
      </c>
      <c r="AV70" s="227">
        <f>sum(AV66:AV69)</f>
        <v/>
      </c>
      <c r="AW70" s="227">
        <f>sum(AW66:AW69)</f>
        <v/>
      </c>
      <c r="AX70" s="227">
        <f>sum(AX66:AX69)</f>
        <v/>
      </c>
      <c r="AY70" s="227">
        <f>sum(AY66:AY69)</f>
        <v/>
      </c>
      <c r="AZ70" s="227">
        <f>sum(AZ66:AZ69)</f>
        <v/>
      </c>
      <c r="BA70" s="226" t="n"/>
      <c r="BB70" s="230">
        <f>P70</f>
        <v/>
      </c>
      <c r="BC70" s="230">
        <f>AB70</f>
        <v/>
      </c>
      <c r="BD70" s="230">
        <f>AN70</f>
        <v/>
      </c>
      <c r="BE70" s="230">
        <f>AZ70</f>
        <v/>
      </c>
      <c r="BF70" s="230">
        <f>BF66+BF68+BF69</f>
        <v/>
      </c>
      <c r="BG70" s="205" t="n"/>
      <c r="BH70" s="350" t="inlineStr">
        <is>
          <t>cash + receivables + inventory</t>
        </is>
      </c>
      <c r="BI70" s="205" t="n"/>
      <c r="BJ70" s="205" t="n"/>
    </row>
    <row r="71" ht="15.75" customHeight="1" s="349">
      <c r="A71" s="226" t="n"/>
      <c r="B71" s="233" t="n"/>
      <c r="C71" s="233" t="n"/>
      <c r="D71" s="233" t="n"/>
      <c r="E71" s="233" t="n"/>
      <c r="F71" s="233" t="n"/>
      <c r="G71" s="233" t="n"/>
      <c r="H71" s="233" t="n"/>
      <c r="I71" s="233" t="n"/>
      <c r="J71" s="233" t="n"/>
      <c r="K71" s="233" t="n"/>
      <c r="L71" s="233" t="n"/>
      <c r="M71" s="233" t="n"/>
      <c r="N71" s="233" t="n"/>
      <c r="O71" s="233" t="n"/>
      <c r="P71" s="233" t="n"/>
      <c r="Q71" s="233" t="n"/>
      <c r="R71" s="233" t="n"/>
      <c r="S71" s="233" t="n"/>
      <c r="T71" s="233" t="n"/>
      <c r="U71" s="233" t="n"/>
      <c r="V71" s="233" t="n"/>
      <c r="W71" s="233" t="n"/>
      <c r="X71" s="233" t="n"/>
      <c r="Y71" s="233" t="n"/>
      <c r="Z71" s="233" t="n"/>
      <c r="AA71" s="233" t="n"/>
      <c r="AB71" s="233" t="n"/>
      <c r="AC71" s="233" t="n"/>
      <c r="AD71" s="233" t="n"/>
      <c r="AE71" s="233" t="n"/>
      <c r="AF71" s="233" t="n"/>
      <c r="AG71" s="233" t="n"/>
      <c r="AH71" s="233" t="n"/>
      <c r="AI71" s="233" t="n"/>
      <c r="AJ71" s="233" t="n"/>
      <c r="AK71" s="233" t="n"/>
      <c r="AL71" s="233" t="n"/>
      <c r="AM71" s="233" t="n"/>
      <c r="AN71" s="233" t="n"/>
      <c r="AO71" s="233" t="n"/>
      <c r="AP71" s="233" t="n"/>
      <c r="AQ71" s="233" t="n"/>
      <c r="AR71" s="233" t="n"/>
      <c r="AS71" s="233" t="n"/>
      <c r="AT71" s="233" t="n"/>
      <c r="AU71" s="233" t="n"/>
      <c r="AV71" s="233" t="n"/>
      <c r="AW71" s="233" t="n"/>
      <c r="AX71" s="233" t="n"/>
      <c r="AY71" s="233" t="n"/>
      <c r="AZ71" s="233" t="n"/>
      <c r="BA71" s="226" t="n"/>
      <c r="BB71" s="233" t="n"/>
      <c r="BC71" s="233" t="n"/>
      <c r="BD71" s="233" t="n"/>
      <c r="BE71" s="233" t="n"/>
      <c r="BF71" s="233" t="n"/>
      <c r="BG71" s="226" t="n"/>
      <c r="BH71" s="350" t="n"/>
      <c r="BI71" s="226" t="n"/>
      <c r="BJ71" s="226" t="n"/>
    </row>
    <row r="72" ht="15.75" customHeight="1" s="349">
      <c r="A72" s="226" t="n"/>
      <c r="B72" s="241" t="inlineStr">
        <is>
          <t xml:space="preserve">Net PP&amp;E </t>
        </is>
      </c>
      <c r="C72" s="233" t="n"/>
      <c r="D72" s="241" t="inlineStr">
        <is>
          <t>€</t>
        </is>
      </c>
      <c r="E72" s="241">
        <f>-SUM($E$53:E53)-SUM($E$35:E35)</f>
        <v/>
      </c>
      <c r="F72" s="241">
        <f>-SUM($E$53:F53)-SUM($E$35:F35)</f>
        <v/>
      </c>
      <c r="G72" s="241">
        <f>-SUM($E$53:G53)-SUM($E$35:G35)</f>
        <v/>
      </c>
      <c r="H72" s="241">
        <f>-SUM($E$53:H53)-SUM($E$35:H35)</f>
        <v/>
      </c>
      <c r="I72" s="241">
        <f>-SUM($E$53:I53)-SUM($E$35:I35)</f>
        <v/>
      </c>
      <c r="J72" s="241">
        <f>-SUM($E$53:J53)-SUM($E$35:J35)</f>
        <v/>
      </c>
      <c r="K72" s="241">
        <f>-SUM($E$53:K53)-SUM($E$35:K35)</f>
        <v/>
      </c>
      <c r="L72" s="241">
        <f>-SUM($E$53:L53)-SUM($E$35:L35)</f>
        <v/>
      </c>
      <c r="M72" s="241">
        <f>-SUM($E$53:M53)-SUM($E$35:M35)</f>
        <v/>
      </c>
      <c r="N72" s="241">
        <f>-SUM($E$53:N53)-SUM($E$35:N35)</f>
        <v/>
      </c>
      <c r="O72" s="241">
        <f>-SUM($E$53:O53)-SUM($E$35:O35)</f>
        <v/>
      </c>
      <c r="P72" s="241">
        <f>-SUM($E$53:P53)-SUM($E$35:P35)</f>
        <v/>
      </c>
      <c r="Q72" s="241">
        <f>-SUM($E$53:Q53)-SUM($E$35:Q35)</f>
        <v/>
      </c>
      <c r="R72" s="241">
        <f>-SUM($E$53:R53)-SUM($E$35:R35)</f>
        <v/>
      </c>
      <c r="S72" s="241">
        <f>-SUM($E$53:S53)-SUM($E$35:S35)</f>
        <v/>
      </c>
      <c r="T72" s="241">
        <f>-SUM($E$53:T53)-SUM($E$35:T35)</f>
        <v/>
      </c>
      <c r="U72" s="241">
        <f>-SUM($E$53:U53)-SUM($E$35:U35)</f>
        <v/>
      </c>
      <c r="V72" s="241">
        <f>-SUM($E$53:V53)-SUM($E$35:V35)</f>
        <v/>
      </c>
      <c r="W72" s="241">
        <f>-SUM($E$53:W53)-SUM($E$35:W35)</f>
        <v/>
      </c>
      <c r="X72" s="241">
        <f>-SUM($E$53:X53)-SUM($E$35:X35)</f>
        <v/>
      </c>
      <c r="Y72" s="241">
        <f>-SUM($E$53:Y53)-SUM($E$35:Y35)</f>
        <v/>
      </c>
      <c r="Z72" s="241">
        <f>-SUM($E$53:Z53)-SUM($E$35:Z35)</f>
        <v/>
      </c>
      <c r="AA72" s="241">
        <f>-SUM($E$53:AA53)-SUM($E$35:AA35)</f>
        <v/>
      </c>
      <c r="AB72" s="241">
        <f>-SUM($E$53:AB53)-SUM($E$35:AB35)</f>
        <v/>
      </c>
      <c r="AC72" s="241">
        <f>-SUM($E$53:AC53)-SUM($E$35:AC35)</f>
        <v/>
      </c>
      <c r="AD72" s="241">
        <f>-SUM($E$53:AD53)-SUM($E$35:AD35)</f>
        <v/>
      </c>
      <c r="AE72" s="241">
        <f>-SUM($E$53:AE53)-SUM($E$35:AE35)</f>
        <v/>
      </c>
      <c r="AF72" s="241">
        <f>-SUM($E$53:AF53)-SUM($E$35:AF35)</f>
        <v/>
      </c>
      <c r="AG72" s="241">
        <f>-SUM($E$53:AG53)-SUM($E$35:AG35)</f>
        <v/>
      </c>
      <c r="AH72" s="241">
        <f>-SUM($E$53:AH53)-SUM($E$35:AH35)</f>
        <v/>
      </c>
      <c r="AI72" s="241">
        <f>-SUM($E$53:AI53)-SUM($E$35:AI35)</f>
        <v/>
      </c>
      <c r="AJ72" s="241">
        <f>-SUM($E$53:AJ53)-SUM($E$35:AJ35)</f>
        <v/>
      </c>
      <c r="AK72" s="241">
        <f>-SUM($E$53:AK53)-SUM($E$35:AK35)</f>
        <v/>
      </c>
      <c r="AL72" s="241">
        <f>-SUM($E$53:AL53)-SUM($E$35:AL35)</f>
        <v/>
      </c>
      <c r="AM72" s="241">
        <f>-SUM($E$53:AM53)-SUM($E$35:AM35)</f>
        <v/>
      </c>
      <c r="AN72" s="241">
        <f>-SUM($E$53:AN53)-SUM($E$35:AN35)</f>
        <v/>
      </c>
      <c r="AO72" s="241">
        <f>-SUM($E$53:AO53)-SUM($E$35:AO35)</f>
        <v/>
      </c>
      <c r="AP72" s="241">
        <f>-SUM($E$53:AP53)-SUM($E$35:AP35)</f>
        <v/>
      </c>
      <c r="AQ72" s="241">
        <f>-SUM($E$53:AQ53)-SUM($E$35:AQ35)</f>
        <v/>
      </c>
      <c r="AR72" s="241">
        <f>-SUM($E$53:AR53)-SUM($E$35:AR35)</f>
        <v/>
      </c>
      <c r="AS72" s="241">
        <f>-SUM($E$53:AS53)-SUM($E$35:AS35)</f>
        <v/>
      </c>
      <c r="AT72" s="241">
        <f>-SUM($E$53:AT53)-SUM($E$35:AT35)</f>
        <v/>
      </c>
      <c r="AU72" s="241">
        <f>-SUM($E$53:AU53)-SUM($E$35:AU35)</f>
        <v/>
      </c>
      <c r="AV72" s="241">
        <f>-SUM($E$53:AV53)-SUM($E$35:AV35)</f>
        <v/>
      </c>
      <c r="AW72" s="241">
        <f>-SUM($E$53:AW53)-SUM($E$35:AW35)</f>
        <v/>
      </c>
      <c r="AX72" s="241">
        <f>-SUM($E$53:AX53)-SUM($E$35:AX35)</f>
        <v/>
      </c>
      <c r="AY72" s="241">
        <f>-SUM($E$53:AY53)-SUM($E$35:AY35)</f>
        <v/>
      </c>
      <c r="AZ72" s="241">
        <f>-SUM($E$53:AZ53)-SUM($E$35:AZ35)</f>
        <v/>
      </c>
      <c r="BA72" s="226" t="n"/>
      <c r="BB72" s="241">
        <f>P72</f>
        <v/>
      </c>
      <c r="BC72" s="241">
        <f>AB72</f>
        <v/>
      </c>
      <c r="BD72" s="241">
        <f>AN72</f>
        <v/>
      </c>
      <c r="BE72" s="241">
        <f>AZ72</f>
        <v/>
      </c>
      <c r="BF72" s="241">
        <f>BE72+(-BF53)-BF35</f>
        <v/>
      </c>
      <c r="BG72" s="66" t="n"/>
      <c r="BH72" s="350" t="inlineStr">
        <is>
          <t>cumulative capex less accumulated depreciation</t>
        </is>
      </c>
      <c r="BI72" s="66" t="n"/>
      <c r="BJ72" s="66" t="n"/>
    </row>
    <row r="73" ht="12.75" customHeight="1" s="349">
      <c r="A73" s="77" t="n"/>
      <c r="B73" s="227" t="inlineStr">
        <is>
          <t>Total Fixed Assets</t>
        </is>
      </c>
      <c r="C73" s="228" t="n"/>
      <c r="D73" s="229" t="inlineStr">
        <is>
          <t>€</t>
        </is>
      </c>
      <c r="E73" s="227" t="n"/>
      <c r="F73" s="227" t="n"/>
      <c r="G73" s="227" t="n"/>
      <c r="H73" s="227" t="n"/>
      <c r="I73" s="227" t="n"/>
      <c r="J73" s="227" t="n"/>
      <c r="K73" s="227" t="n"/>
      <c r="L73" s="227" t="n"/>
      <c r="M73" s="227">
        <f>M72</f>
        <v/>
      </c>
      <c r="N73" s="227">
        <f>N72</f>
        <v/>
      </c>
      <c r="O73" s="227">
        <f>O72</f>
        <v/>
      </c>
      <c r="P73" s="227">
        <f>P72</f>
        <v/>
      </c>
      <c r="Q73" s="227">
        <f>Q72</f>
        <v/>
      </c>
      <c r="R73" s="230">
        <f>R72</f>
        <v/>
      </c>
      <c r="S73" s="231">
        <f>S72</f>
        <v/>
      </c>
      <c r="T73" s="232">
        <f>T72</f>
        <v/>
      </c>
      <c r="U73" s="227">
        <f>U72</f>
        <v/>
      </c>
      <c r="V73" s="227">
        <f>V72</f>
        <v/>
      </c>
      <c r="W73" s="227">
        <f>W72</f>
        <v/>
      </c>
      <c r="X73" s="227">
        <f>X72</f>
        <v/>
      </c>
      <c r="Y73" s="227">
        <f>Y72</f>
        <v/>
      </c>
      <c r="Z73" s="227">
        <f>Z72</f>
        <v/>
      </c>
      <c r="AA73" s="227">
        <f>AA72</f>
        <v/>
      </c>
      <c r="AB73" s="227">
        <f>AB72</f>
        <v/>
      </c>
      <c r="AC73" s="227">
        <f>AC72</f>
        <v/>
      </c>
      <c r="AD73" s="227">
        <f>AD72</f>
        <v/>
      </c>
      <c r="AE73" s="227">
        <f>AE72</f>
        <v/>
      </c>
      <c r="AF73" s="227">
        <f>AF72</f>
        <v/>
      </c>
      <c r="AG73" s="227">
        <f>AG72</f>
        <v/>
      </c>
      <c r="AH73" s="227">
        <f>AH72</f>
        <v/>
      </c>
      <c r="AI73" s="227">
        <f>AI72</f>
        <v/>
      </c>
      <c r="AJ73" s="227">
        <f>AJ72</f>
        <v/>
      </c>
      <c r="AK73" s="227">
        <f>AK72</f>
        <v/>
      </c>
      <c r="AL73" s="227">
        <f>AL72</f>
        <v/>
      </c>
      <c r="AM73" s="227">
        <f>AM72</f>
        <v/>
      </c>
      <c r="AN73" s="227">
        <f>AN72</f>
        <v/>
      </c>
      <c r="AO73" s="227">
        <f>AO72</f>
        <v/>
      </c>
      <c r="AP73" s="227">
        <f>AP72</f>
        <v/>
      </c>
      <c r="AQ73" s="227">
        <f>AQ72</f>
        <v/>
      </c>
      <c r="AR73" s="227">
        <f>AR72</f>
        <v/>
      </c>
      <c r="AS73" s="227">
        <f>AS72</f>
        <v/>
      </c>
      <c r="AT73" s="227">
        <f>AT72</f>
        <v/>
      </c>
      <c r="AU73" s="227">
        <f>AU72</f>
        <v/>
      </c>
      <c r="AV73" s="227">
        <f>AV72</f>
        <v/>
      </c>
      <c r="AW73" s="227">
        <f>AW72</f>
        <v/>
      </c>
      <c r="AX73" s="227">
        <f>AX72</f>
        <v/>
      </c>
      <c r="AY73" s="227">
        <f>AY72</f>
        <v/>
      </c>
      <c r="AZ73" s="230">
        <f>AZ72</f>
        <v/>
      </c>
      <c r="BA73" s="226" t="n"/>
      <c r="BB73" s="230">
        <f>P73</f>
        <v/>
      </c>
      <c r="BC73" s="230">
        <f>AB73</f>
        <v/>
      </c>
      <c r="BD73" s="230">
        <f>AN73</f>
        <v/>
      </c>
      <c r="BE73" s="230">
        <f>AZ73</f>
        <v/>
      </c>
      <c r="BF73" s="230">
        <f>BF72</f>
        <v/>
      </c>
      <c r="BG73" s="205" t="n"/>
      <c r="BH73" s="350" t="inlineStr">
        <is>
          <t>same as net PP&amp;E</t>
        </is>
      </c>
      <c r="BI73" s="205" t="n"/>
      <c r="BJ73" s="205" t="n"/>
    </row>
    <row r="74" ht="15.75" customHeight="1" s="349">
      <c r="A74" s="125" t="n"/>
      <c r="B74" s="126" t="inlineStr">
        <is>
          <t>TOTAL ASSETS</t>
        </is>
      </c>
      <c r="C74" s="127" t="n"/>
      <c r="D74" s="126" t="inlineStr">
        <is>
          <t>€</t>
        </is>
      </c>
      <c r="E74" s="126" t="n"/>
      <c r="F74" s="126" t="n"/>
      <c r="G74" s="126" t="n"/>
      <c r="H74" s="126" t="n"/>
      <c r="I74" s="126" t="n"/>
      <c r="J74" s="126" t="n"/>
      <c r="K74" s="126" t="n"/>
      <c r="L74" s="126" t="n"/>
      <c r="M74" s="126">
        <f>M70+M73</f>
        <v/>
      </c>
      <c r="N74" s="126">
        <f>N70+N73</f>
        <v/>
      </c>
      <c r="O74" s="126">
        <f>O70+O73</f>
        <v/>
      </c>
      <c r="P74" s="126">
        <f>P70+P73</f>
        <v/>
      </c>
      <c r="Q74" s="126">
        <f>Q70+Q73</f>
        <v/>
      </c>
      <c r="R74" s="126">
        <f>R70+R73</f>
        <v/>
      </c>
      <c r="S74" s="126">
        <f>S70+S73</f>
        <v/>
      </c>
      <c r="T74" s="126">
        <f>T70+T73</f>
        <v/>
      </c>
      <c r="U74" s="126">
        <f>U70+U73</f>
        <v/>
      </c>
      <c r="V74" s="126">
        <f>V70+V73</f>
        <v/>
      </c>
      <c r="W74" s="126">
        <f>W70+W73</f>
        <v/>
      </c>
      <c r="X74" s="126">
        <f>X70+X73</f>
        <v/>
      </c>
      <c r="Y74" s="126">
        <f>Y70+Y73</f>
        <v/>
      </c>
      <c r="Z74" s="126">
        <f>Z70+Z73</f>
        <v/>
      </c>
      <c r="AA74" s="126">
        <f>AA70+AA73</f>
        <v/>
      </c>
      <c r="AB74" s="126">
        <f>AB70+AB73</f>
        <v/>
      </c>
      <c r="AC74" s="126">
        <f>AC70+AC73</f>
        <v/>
      </c>
      <c r="AD74" s="126">
        <f>AD70+AD73</f>
        <v/>
      </c>
      <c r="AE74" s="126">
        <f>AE70+AE73</f>
        <v/>
      </c>
      <c r="AF74" s="126">
        <f>AF70+AF73</f>
        <v/>
      </c>
      <c r="AG74" s="126">
        <f>AG70+AG73</f>
        <v/>
      </c>
      <c r="AH74" s="126">
        <f>AH70+AH73</f>
        <v/>
      </c>
      <c r="AI74" s="126">
        <f>AI70+AI73</f>
        <v/>
      </c>
      <c r="AJ74" s="126">
        <f>AJ70+AJ73</f>
        <v/>
      </c>
      <c r="AK74" s="126">
        <f>AK70+AK73</f>
        <v/>
      </c>
      <c r="AL74" s="126">
        <f>AL70+AL73</f>
        <v/>
      </c>
      <c r="AM74" s="126">
        <f>AM70+AM73</f>
        <v/>
      </c>
      <c r="AN74" s="126">
        <f>AN70+AN73</f>
        <v/>
      </c>
      <c r="AO74" s="126">
        <f>AO70+AO73</f>
        <v/>
      </c>
      <c r="AP74" s="126">
        <f>AP70+AP73</f>
        <v/>
      </c>
      <c r="AQ74" s="126">
        <f>AQ70+AQ73</f>
        <v/>
      </c>
      <c r="AR74" s="126">
        <f>AR70+AR73</f>
        <v/>
      </c>
      <c r="AS74" s="126">
        <f>AS70+AS73</f>
        <v/>
      </c>
      <c r="AT74" s="126">
        <f>AT70+AT73</f>
        <v/>
      </c>
      <c r="AU74" s="126">
        <f>AU70+AU73</f>
        <v/>
      </c>
      <c r="AV74" s="126">
        <f>AV70+AV73</f>
        <v/>
      </c>
      <c r="AW74" s="126">
        <f>AW70+AW73</f>
        <v/>
      </c>
      <c r="AX74" s="126">
        <f>AX70+AX73</f>
        <v/>
      </c>
      <c r="AY74" s="126">
        <f>AY70+AY73</f>
        <v/>
      </c>
      <c r="AZ74" s="134">
        <f>AZ70+AZ73</f>
        <v/>
      </c>
      <c r="BA74" s="133" t="n"/>
      <c r="BB74" s="134">
        <f>P74</f>
        <v/>
      </c>
      <c r="BC74" s="134">
        <f>AB74</f>
        <v/>
      </c>
      <c r="BD74" s="134">
        <f>AN74</f>
        <v/>
      </c>
      <c r="BE74" s="134">
        <f>AZ74</f>
        <v/>
      </c>
      <c r="BF74" s="134">
        <f>BF70+BF73</f>
        <v/>
      </c>
      <c r="BG74" s="137" t="n"/>
      <c r="BH74" s="350" t="inlineStr">
        <is>
          <t>current assets + fixed assets</t>
        </is>
      </c>
      <c r="BI74" s="137" t="n"/>
      <c r="BJ74" s="137" t="n"/>
    </row>
    <row r="75" ht="15.75" customHeight="1" s="349">
      <c r="A75" s="226" t="n"/>
      <c r="B75" s="233" t="n"/>
      <c r="C75" s="233" t="n"/>
      <c r="D75" s="233" t="n"/>
      <c r="E75" s="233" t="n"/>
      <c r="F75" s="233" t="n"/>
      <c r="G75" s="233" t="n"/>
      <c r="H75" s="233" t="n"/>
      <c r="I75" s="233" t="n"/>
      <c r="J75" s="233" t="n"/>
      <c r="K75" s="233" t="n"/>
      <c r="L75" s="233" t="n"/>
      <c r="M75" s="233" t="n"/>
      <c r="N75" s="233" t="n"/>
      <c r="O75" s="233" t="n"/>
      <c r="P75" s="233" t="n"/>
      <c r="Q75" s="233" t="n"/>
      <c r="R75" s="233" t="n"/>
      <c r="S75" s="233" t="n"/>
      <c r="T75" s="233" t="n"/>
      <c r="U75" s="233" t="n"/>
      <c r="V75" s="233" t="n"/>
      <c r="W75" s="233" t="n"/>
      <c r="X75" s="233" t="n"/>
      <c r="Y75" s="233" t="n"/>
      <c r="Z75" s="233" t="n"/>
      <c r="AA75" s="233" t="n"/>
      <c r="AB75" s="233" t="n"/>
      <c r="AC75" s="233" t="n"/>
      <c r="AD75" s="233" t="n"/>
      <c r="AE75" s="233" t="n"/>
      <c r="AF75" s="233" t="n"/>
      <c r="AG75" s="233" t="n"/>
      <c r="AH75" s="233" t="n"/>
      <c r="AI75" s="233" t="n"/>
      <c r="AJ75" s="233" t="n"/>
      <c r="AK75" s="233" t="n"/>
      <c r="AL75" s="233" t="n"/>
      <c r="AM75" s="233" t="n"/>
      <c r="AN75" s="233" t="n"/>
      <c r="AO75" s="233" t="n"/>
      <c r="AP75" s="233" t="n"/>
      <c r="AQ75" s="233" t="n"/>
      <c r="AR75" s="233" t="n"/>
      <c r="AS75" s="233" t="n"/>
      <c r="AT75" s="233" t="n"/>
      <c r="AU75" s="233" t="n"/>
      <c r="AV75" s="233" t="n"/>
      <c r="AW75" s="233" t="n"/>
      <c r="AX75" s="233" t="n"/>
      <c r="AY75" s="233" t="n"/>
      <c r="AZ75" s="233" t="n"/>
      <c r="BA75" s="226" t="n"/>
      <c r="BB75" s="233" t="n"/>
      <c r="BC75" s="233" t="n"/>
      <c r="BD75" s="233" t="n"/>
      <c r="BE75" s="233" t="n"/>
      <c r="BF75" s="233" t="n"/>
      <c r="BG75" s="226" t="n"/>
      <c r="BH75" s="350" t="n"/>
      <c r="BI75" s="226" t="n"/>
      <c r="BJ75" s="226" t="n"/>
    </row>
    <row r="76" ht="13.5" customHeight="1" s="349">
      <c r="A76" s="77" t="n"/>
      <c r="B76" s="79" t="inlineStr">
        <is>
          <t>EQUITY &amp; LIABILITIES</t>
        </is>
      </c>
      <c r="C76" s="80" t="n"/>
      <c r="D76" s="80" t="n"/>
      <c r="E76" s="80" t="n"/>
      <c r="F76" s="80" t="n"/>
      <c r="G76" s="80" t="n"/>
      <c r="H76" s="80" t="n"/>
      <c r="I76" s="80" t="n"/>
      <c r="J76" s="80" t="n"/>
      <c r="K76" s="80" t="n"/>
      <c r="L76" s="80" t="n"/>
      <c r="M76" s="80" t="n"/>
      <c r="N76" s="80" t="n"/>
      <c r="O76" s="80" t="n"/>
      <c r="P76" s="80" t="n"/>
      <c r="Q76" s="80" t="n"/>
      <c r="R76" s="84" t="n"/>
      <c r="S76" s="85" t="n"/>
      <c r="T76" s="86" t="n"/>
      <c r="U76" s="80" t="n"/>
      <c r="V76" s="80" t="n"/>
      <c r="W76" s="80" t="n"/>
      <c r="X76" s="80" t="n"/>
      <c r="Y76" s="80" t="n"/>
      <c r="Z76" s="80" t="n"/>
      <c r="AA76" s="80" t="n"/>
      <c r="AB76" s="80" t="n"/>
      <c r="AC76" s="80" t="n"/>
      <c r="AD76" s="80" t="n"/>
      <c r="AE76" s="80" t="n"/>
      <c r="AF76" s="80" t="n"/>
      <c r="AG76" s="80" t="n"/>
      <c r="AH76" s="80" t="n"/>
      <c r="AI76" s="80" t="n"/>
      <c r="AJ76" s="80" t="n"/>
      <c r="AK76" s="80" t="n"/>
      <c r="AL76" s="80" t="n"/>
      <c r="AM76" s="80" t="n"/>
      <c r="AN76" s="80" t="n"/>
      <c r="AO76" s="80" t="n"/>
      <c r="AP76" s="80" t="n"/>
      <c r="AQ76" s="80" t="n"/>
      <c r="AR76" s="80" t="n"/>
      <c r="AS76" s="80" t="n"/>
      <c r="AT76" s="80" t="n"/>
      <c r="AU76" s="80" t="n"/>
      <c r="AV76" s="80" t="n"/>
      <c r="AW76" s="80" t="n"/>
      <c r="AX76" s="80" t="n"/>
      <c r="AY76" s="80" t="n"/>
      <c r="AZ76" s="84" t="n"/>
      <c r="BA76" s="226" t="n"/>
      <c r="BB76" s="84" t="n"/>
      <c r="BC76" s="84" t="n"/>
      <c r="BD76" s="84" t="n"/>
      <c r="BE76" s="84" t="n"/>
      <c r="BF76" s="84" t="n"/>
      <c r="BG76" s="226" t="n"/>
      <c r="BH76" s="350" t="n"/>
      <c r="BI76" s="226" t="n"/>
      <c r="BJ76" s="226" t="n"/>
    </row>
    <row r="77" ht="15.75" customHeight="1" s="349">
      <c r="A77" s="226" t="n"/>
      <c r="B77" s="241" t="inlineStr">
        <is>
          <t>Accounts payable (DPO-based)</t>
        </is>
      </c>
      <c r="C77" s="233" t="n"/>
      <c r="D77" s="241" t="inlineStr">
        <is>
          <t>€</t>
        </is>
      </c>
      <c r="E77" s="241" t="n"/>
      <c r="F77" s="241" t="n"/>
      <c r="G77" s="241" t="n"/>
      <c r="H77" s="241" t="n"/>
      <c r="I77" s="241" t="n"/>
      <c r="J77" s="241" t="n"/>
      <c r="K77" s="241" t="n"/>
      <c r="L77" s="241" t="n"/>
      <c r="M77" s="241">
        <f>ABS(Assumptions!$D$16*(M17/30))</f>
        <v/>
      </c>
      <c r="N77" s="241">
        <f>ABS(Assumptions!$D$16*(N17/30))</f>
        <v/>
      </c>
      <c r="O77" s="241">
        <f>ABS(Assumptions!$D$16*(O17/30))</f>
        <v/>
      </c>
      <c r="P77" s="241">
        <f>ABS(Assumptions!$D$16*(P17/30))</f>
        <v/>
      </c>
      <c r="Q77" s="241">
        <f>ABS(Assumptions!$D$16*(Q17/30))</f>
        <v/>
      </c>
      <c r="R77" s="241">
        <f>ABS(Assumptions!$D$16*(R17/30))</f>
        <v/>
      </c>
      <c r="S77" s="241">
        <f>ABS(Assumptions!$D$16*(S17/30))</f>
        <v/>
      </c>
      <c r="T77" s="241">
        <f>ABS(Assumptions!$D$16*(T17/30))</f>
        <v/>
      </c>
      <c r="U77" s="241">
        <f>ABS(Assumptions!$D$16*(U17/30))</f>
        <v/>
      </c>
      <c r="V77" s="241">
        <f>ABS(Assumptions!$D$16*(V17/30))</f>
        <v/>
      </c>
      <c r="W77" s="241">
        <f>ABS(Assumptions!$D$16*(W17/30))</f>
        <v/>
      </c>
      <c r="X77" s="241">
        <f>ABS(Assumptions!$D$16*(X17/30))</f>
        <v/>
      </c>
      <c r="Y77" s="241">
        <f>ABS(Assumptions!$D$16*(Y17/30))</f>
        <v/>
      </c>
      <c r="Z77" s="241">
        <f>ABS(Assumptions!$D$16*(Z17/30))</f>
        <v/>
      </c>
      <c r="AA77" s="241">
        <f>ABS(Assumptions!$D$16*(AA17/30))</f>
        <v/>
      </c>
      <c r="AB77" s="241">
        <f>ABS(Assumptions!$D$16*(AB17/30))</f>
        <v/>
      </c>
      <c r="AC77" s="241">
        <f>ABS(Assumptions!$D$16*(AC17/30))</f>
        <v/>
      </c>
      <c r="AD77" s="241">
        <f>ABS(Assumptions!$D$16*(AD17/30))</f>
        <v/>
      </c>
      <c r="AE77" s="241">
        <f>ABS(Assumptions!$D$16*(AE17/30))</f>
        <v/>
      </c>
      <c r="AF77" s="241">
        <f>ABS(Assumptions!$D$16*(AF17/30))</f>
        <v/>
      </c>
      <c r="AG77" s="241">
        <f>ABS(Assumptions!$D$16*(AG17/30))</f>
        <v/>
      </c>
      <c r="AH77" s="241">
        <f>ABS(Assumptions!$D$16*(AH17/30))</f>
        <v/>
      </c>
      <c r="AI77" s="241">
        <f>ABS(Assumptions!$D$16*(AI17/30))</f>
        <v/>
      </c>
      <c r="AJ77" s="241">
        <f>ABS(Assumptions!$D$16*(AJ17/30))</f>
        <v/>
      </c>
      <c r="AK77" s="241">
        <f>ABS(Assumptions!$D$16*(AK17/30))</f>
        <v/>
      </c>
      <c r="AL77" s="241">
        <f>ABS(Assumptions!$D$16*(AL17/30))</f>
        <v/>
      </c>
      <c r="AM77" s="241">
        <f>ABS(Assumptions!$D$16*(AM17/30))</f>
        <v/>
      </c>
      <c r="AN77" s="241">
        <f>ABS(Assumptions!$D$16*(AN17/30))</f>
        <v/>
      </c>
      <c r="AO77" s="241">
        <f>ABS(Assumptions!$D$16*(AO17/30))</f>
        <v/>
      </c>
      <c r="AP77" s="241">
        <f>ABS(Assumptions!$D$16*(AP17/30))</f>
        <v/>
      </c>
      <c r="AQ77" s="241">
        <f>ABS(Assumptions!$D$16*(AQ17/30))</f>
        <v/>
      </c>
      <c r="AR77" s="241">
        <f>ABS(Assumptions!$D$16*(AR17/30))</f>
        <v/>
      </c>
      <c r="AS77" s="241">
        <f>ABS(Assumptions!$D$16*(AS17/30))</f>
        <v/>
      </c>
      <c r="AT77" s="241">
        <f>ABS(Assumptions!$D$16*(AT17/30))</f>
        <v/>
      </c>
      <c r="AU77" s="241">
        <f>ABS(Assumptions!$D$16*(AU17/30))</f>
        <v/>
      </c>
      <c r="AV77" s="241">
        <f>ABS(Assumptions!$D$16*(AV17/30))</f>
        <v/>
      </c>
      <c r="AW77" s="241">
        <f>ABS(Assumptions!$D$16*(AW17/30))</f>
        <v/>
      </c>
      <c r="AX77" s="241">
        <f>ABS(Assumptions!$D$16*(AX17/30))</f>
        <v/>
      </c>
      <c r="AY77" s="241">
        <f>ABS(Assumptions!$D$16*(AY17/30))</f>
        <v/>
      </c>
      <c r="AZ77" s="241">
        <f>ABS(Assumptions!$D$16*(AZ17/30))</f>
        <v/>
      </c>
      <c r="BA77" s="226" t="n"/>
      <c r="BB77" s="241">
        <f>P77</f>
        <v/>
      </c>
      <c r="BC77" s="241">
        <f>AB77</f>
        <v/>
      </c>
      <c r="BD77" s="241">
        <f>AN77</f>
        <v/>
      </c>
      <c r="BE77" s="241">
        <f>AZ77</f>
        <v/>
      </c>
      <c r="BF77" s="241">
        <f>Assumptions!$D$16/365*BF17</f>
        <v/>
      </c>
      <c r="BG77" s="66" t="n"/>
      <c r="BH77" s="350" t="inlineStr">
        <is>
          <t>payables: DPO days' worth of cost of sales not paid yet</t>
        </is>
      </c>
      <c r="BI77" s="66" t="n"/>
      <c r="BJ77" s="66" t="n"/>
    </row>
    <row r="78" ht="12.75" customHeight="1" s="349">
      <c r="A78" s="77" t="n"/>
      <c r="B78" s="227" t="inlineStr">
        <is>
          <t>Total Current Liabilities</t>
        </is>
      </c>
      <c r="C78" s="228" t="n"/>
      <c r="D78" s="229" t="inlineStr">
        <is>
          <t>€</t>
        </is>
      </c>
      <c r="E78" s="227" t="n"/>
      <c r="F78" s="227" t="n"/>
      <c r="G78" s="227" t="n"/>
      <c r="H78" s="227" t="n"/>
      <c r="I78" s="227" t="n"/>
      <c r="J78" s="227" t="n"/>
      <c r="K78" s="227" t="n"/>
      <c r="L78" s="227" t="n"/>
      <c r="M78" s="227">
        <f>sum(M77)</f>
        <v/>
      </c>
      <c r="N78" s="227">
        <f>sum(N77)</f>
        <v/>
      </c>
      <c r="O78" s="227">
        <f>sum(O77)</f>
        <v/>
      </c>
      <c r="P78" s="227">
        <f>sum(P77)</f>
        <v/>
      </c>
      <c r="Q78" s="227">
        <f>sum(Q77)</f>
        <v/>
      </c>
      <c r="R78" s="227">
        <f>sum(R77)</f>
        <v/>
      </c>
      <c r="S78" s="227">
        <f>sum(S77)</f>
        <v/>
      </c>
      <c r="T78" s="227">
        <f>sum(T77)</f>
        <v/>
      </c>
      <c r="U78" s="227">
        <f>sum(U77)</f>
        <v/>
      </c>
      <c r="V78" s="227">
        <f>sum(V77)</f>
        <v/>
      </c>
      <c r="W78" s="227">
        <f>sum(W77)</f>
        <v/>
      </c>
      <c r="X78" s="227">
        <f>sum(X77)</f>
        <v/>
      </c>
      <c r="Y78" s="227">
        <f>sum(Y77)</f>
        <v/>
      </c>
      <c r="Z78" s="227">
        <f>sum(Z77)</f>
        <v/>
      </c>
      <c r="AA78" s="227">
        <f>sum(AA77)</f>
        <v/>
      </c>
      <c r="AB78" s="227">
        <f>sum(AB77)</f>
        <v/>
      </c>
      <c r="AC78" s="227">
        <f>sum(AC77)</f>
        <v/>
      </c>
      <c r="AD78" s="227">
        <f>sum(AD77)</f>
        <v/>
      </c>
      <c r="AE78" s="227">
        <f>sum(AE77)</f>
        <v/>
      </c>
      <c r="AF78" s="227">
        <f>sum(AF77)</f>
        <v/>
      </c>
      <c r="AG78" s="227">
        <f>sum(AG77)</f>
        <v/>
      </c>
      <c r="AH78" s="227">
        <f>sum(AH77)</f>
        <v/>
      </c>
      <c r="AI78" s="227">
        <f>sum(AI77)</f>
        <v/>
      </c>
      <c r="AJ78" s="227">
        <f>sum(AJ77)</f>
        <v/>
      </c>
      <c r="AK78" s="227">
        <f>sum(AK77)</f>
        <v/>
      </c>
      <c r="AL78" s="227">
        <f>sum(AL77)</f>
        <v/>
      </c>
      <c r="AM78" s="227">
        <f>sum(AM77)</f>
        <v/>
      </c>
      <c r="AN78" s="227">
        <f>sum(AN77)</f>
        <v/>
      </c>
      <c r="AO78" s="227">
        <f>sum(AO77)</f>
        <v/>
      </c>
      <c r="AP78" s="227">
        <f>sum(AP77)</f>
        <v/>
      </c>
      <c r="AQ78" s="227">
        <f>sum(AQ77)</f>
        <v/>
      </c>
      <c r="AR78" s="227">
        <f>sum(AR77)</f>
        <v/>
      </c>
      <c r="AS78" s="227">
        <f>sum(AS77)</f>
        <v/>
      </c>
      <c r="AT78" s="227">
        <f>sum(AT77)</f>
        <v/>
      </c>
      <c r="AU78" s="227">
        <f>sum(AU77)</f>
        <v/>
      </c>
      <c r="AV78" s="227">
        <f>sum(AV77)</f>
        <v/>
      </c>
      <c r="AW78" s="227">
        <f>sum(AW77)</f>
        <v/>
      </c>
      <c r="AX78" s="227">
        <f>sum(AX77)</f>
        <v/>
      </c>
      <c r="AY78" s="227">
        <f>sum(AY77)</f>
        <v/>
      </c>
      <c r="AZ78" s="227">
        <f>sum(AZ77)</f>
        <v/>
      </c>
      <c r="BA78" s="226" t="n"/>
      <c r="BB78" s="230">
        <f>P78</f>
        <v/>
      </c>
      <c r="BC78" s="230">
        <f>AB78</f>
        <v/>
      </c>
      <c r="BD78" s="230">
        <f>AN78</f>
        <v/>
      </c>
      <c r="BE78" s="230">
        <f>AZ78</f>
        <v/>
      </c>
      <c r="BF78" s="230">
        <f>BF77</f>
        <v/>
      </c>
      <c r="BG78" s="205" t="n"/>
      <c r="BH78" s="350" t="inlineStr">
        <is>
          <t>same as payables</t>
        </is>
      </c>
      <c r="BI78" s="205" t="n"/>
      <c r="BJ78" s="205" t="n"/>
    </row>
    <row r="79" ht="15.75" customHeight="1" s="349">
      <c r="A79" s="226" t="n"/>
      <c r="B79" s="233" t="n"/>
      <c r="C79" s="233" t="n"/>
      <c r="D79" s="233" t="n"/>
      <c r="E79" s="233" t="n"/>
      <c r="F79" s="233" t="n"/>
      <c r="G79" s="233" t="n"/>
      <c r="H79" s="233" t="n"/>
      <c r="I79" s="233" t="n"/>
      <c r="J79" s="233" t="n"/>
      <c r="K79" s="233" t="n"/>
      <c r="L79" s="233" t="n"/>
      <c r="M79" s="233" t="n"/>
      <c r="N79" s="233" t="n"/>
      <c r="O79" s="233" t="n"/>
      <c r="P79" s="233" t="n"/>
      <c r="Q79" s="233" t="n"/>
      <c r="R79" s="233" t="n"/>
      <c r="S79" s="233" t="n"/>
      <c r="T79" s="233" t="n"/>
      <c r="U79" s="233" t="n"/>
      <c r="V79" s="233" t="n"/>
      <c r="W79" s="233" t="n"/>
      <c r="X79" s="233" t="n"/>
      <c r="Y79" s="233" t="n"/>
      <c r="Z79" s="233" t="n"/>
      <c r="AA79" s="233" t="n"/>
      <c r="AB79" s="233" t="n"/>
      <c r="AC79" s="233" t="n"/>
      <c r="AD79" s="233" t="n"/>
      <c r="AE79" s="233" t="n"/>
      <c r="AF79" s="233" t="n"/>
      <c r="AG79" s="233" t="n"/>
      <c r="AH79" s="233" t="n"/>
      <c r="AI79" s="233" t="n"/>
      <c r="AJ79" s="233" t="n"/>
      <c r="AK79" s="233" t="n"/>
      <c r="AL79" s="233" t="n"/>
      <c r="AM79" s="233" t="n"/>
      <c r="AN79" s="233" t="n"/>
      <c r="AO79" s="233" t="n"/>
      <c r="AP79" s="233" t="n"/>
      <c r="AQ79" s="233" t="n"/>
      <c r="AR79" s="233" t="n"/>
      <c r="AS79" s="233" t="n"/>
      <c r="AT79" s="233" t="n"/>
      <c r="AU79" s="233" t="n"/>
      <c r="AV79" s="233" t="n"/>
      <c r="AW79" s="233" t="n"/>
      <c r="AX79" s="233" t="n"/>
      <c r="AY79" s="233" t="n"/>
      <c r="AZ79" s="233" t="n"/>
      <c r="BA79" s="226" t="n"/>
      <c r="BB79" s="233" t="n"/>
      <c r="BC79" s="233" t="n"/>
      <c r="BD79" s="233" t="n"/>
      <c r="BE79" s="233" t="n"/>
      <c r="BF79" s="233" t="n"/>
      <c r="BG79" s="226" t="n"/>
      <c r="BH79" s="350" t="n"/>
      <c r="BI79" s="226" t="n"/>
      <c r="BJ79" s="226" t="n"/>
    </row>
    <row r="80" ht="15.75" customHeight="1" s="349">
      <c r="A80" s="226" t="n"/>
      <c r="B80" s="241" t="n"/>
      <c r="C80" s="233" t="n"/>
      <c r="D80" s="241" t="n"/>
      <c r="E80" s="241" t="n"/>
      <c r="F80" s="241" t="n"/>
      <c r="G80" s="241" t="n"/>
      <c r="H80" s="241" t="n"/>
      <c r="I80" s="241" t="n"/>
      <c r="J80" s="241" t="n"/>
      <c r="K80" s="241" t="n"/>
      <c r="L80" s="241" t="n"/>
      <c r="M80" s="241" t="n"/>
      <c r="N80" s="241" t="n"/>
      <c r="O80" s="241" t="n"/>
      <c r="P80" s="241" t="n"/>
      <c r="Q80" s="241" t="n"/>
      <c r="R80" s="241" t="n"/>
      <c r="S80" s="241" t="n"/>
      <c r="T80" s="241" t="n"/>
      <c r="U80" s="241" t="n"/>
      <c r="V80" s="241" t="n"/>
      <c r="W80" s="241" t="n"/>
      <c r="X80" s="241" t="n"/>
      <c r="Y80" s="241" t="n"/>
      <c r="Z80" s="241" t="n"/>
      <c r="AA80" s="241" t="n"/>
      <c r="AB80" s="241" t="n"/>
      <c r="AC80" s="241" t="n"/>
      <c r="AD80" s="241" t="n"/>
      <c r="AE80" s="241" t="n"/>
      <c r="AF80" s="241" t="n"/>
      <c r="AG80" s="241" t="n"/>
      <c r="AH80" s="241" t="n"/>
      <c r="AI80" s="241" t="n"/>
      <c r="AJ80" s="241" t="n"/>
      <c r="AK80" s="241" t="n"/>
      <c r="AL80" s="241" t="n"/>
      <c r="AM80" s="241" t="n"/>
      <c r="AN80" s="241" t="n"/>
      <c r="AO80" s="241" t="n"/>
      <c r="AP80" s="241" t="n"/>
      <c r="AQ80" s="241" t="n"/>
      <c r="AR80" s="241" t="n"/>
      <c r="AS80" s="241" t="n"/>
      <c r="AT80" s="241" t="n"/>
      <c r="AU80" s="241" t="n"/>
      <c r="AV80" s="241" t="n"/>
      <c r="AW80" s="241" t="n"/>
      <c r="AX80" s="241" t="n"/>
      <c r="AY80" s="241" t="n"/>
      <c r="AZ80" s="241" t="n"/>
      <c r="BA80" s="241" t="n"/>
      <c r="BB80" s="241" t="n"/>
      <c r="BC80" s="241" t="n"/>
      <c r="BD80" s="241" t="n"/>
      <c r="BE80" s="241" t="n"/>
      <c r="BF80" s="241" t="n"/>
      <c r="BG80" s="66" t="n"/>
      <c r="BH80" s="350" t="n"/>
      <c r="BI80" s="66" t="n"/>
      <c r="BJ80" s="66" t="n"/>
    </row>
    <row r="81" ht="15.75" customHeight="1" s="349">
      <c r="A81" s="226" t="n"/>
      <c r="B81" s="241" t="inlineStr">
        <is>
          <t>Loan (CLA)</t>
        </is>
      </c>
      <c r="C81" s="233" t="n"/>
      <c r="D81" s="241" t="inlineStr">
        <is>
          <t>€</t>
        </is>
      </c>
      <c r="E81" s="241" t="n"/>
      <c r="F81" s="241" t="n"/>
      <c r="G81" s="241" t="n"/>
      <c r="H81" s="241" t="n"/>
      <c r="I81" s="241" t="n"/>
      <c r="J81" s="241" t="n"/>
      <c r="K81" s="241" t="n"/>
      <c r="L81" s="241" t="n"/>
      <c r="M81" s="241" t="n"/>
      <c r="N81" s="241" t="n"/>
      <c r="O81" s="241" t="n"/>
      <c r="P81" s="241" t="n"/>
      <c r="Q81" s="241" t="n">
        <v>0</v>
      </c>
      <c r="R81" s="241" t="n">
        <v>0</v>
      </c>
      <c r="S81" s="241" t="n">
        <v>0</v>
      </c>
      <c r="T81" s="241" t="n">
        <v>0</v>
      </c>
      <c r="U81" s="241" t="n">
        <v>0</v>
      </c>
      <c r="V81" s="241">
        <f>V56</f>
        <v/>
      </c>
      <c r="W81" s="241">
        <f>V81+W56</f>
        <v/>
      </c>
      <c r="X81" s="241">
        <f>W81</f>
        <v/>
      </c>
      <c r="Y81" s="241">
        <f>X81</f>
        <v/>
      </c>
      <c r="Z81" s="241" t="n">
        <v>0</v>
      </c>
      <c r="AA81" s="241" t="n">
        <v>0</v>
      </c>
      <c r="AB81" s="241" t="n">
        <v>0</v>
      </c>
      <c r="AC81" s="241" t="n">
        <v>0</v>
      </c>
      <c r="AD81" s="241" t="n">
        <v>0</v>
      </c>
      <c r="AE81" s="241" t="n">
        <v>0</v>
      </c>
      <c r="AF81" s="241" t="n">
        <v>0</v>
      </c>
      <c r="AG81" s="241" t="n">
        <v>0</v>
      </c>
      <c r="AH81" s="241" t="n">
        <v>0</v>
      </c>
      <c r="AI81" s="241" t="n">
        <v>0</v>
      </c>
      <c r="AJ81" s="241" t="n">
        <v>0</v>
      </c>
      <c r="AK81" s="241" t="n">
        <v>0</v>
      </c>
      <c r="AL81" s="241" t="n">
        <v>0</v>
      </c>
      <c r="AM81" s="241" t="n">
        <v>0</v>
      </c>
      <c r="AN81" s="241" t="n">
        <v>0</v>
      </c>
      <c r="AO81" s="241" t="n">
        <v>0</v>
      </c>
      <c r="AP81" s="241" t="n">
        <v>0</v>
      </c>
      <c r="AQ81" s="241" t="n">
        <v>0</v>
      </c>
      <c r="AR81" s="241" t="n">
        <v>0</v>
      </c>
      <c r="AS81" s="241" t="n">
        <v>0</v>
      </c>
      <c r="AT81" s="241" t="n">
        <v>0</v>
      </c>
      <c r="AU81" s="241" t="n">
        <v>0</v>
      </c>
      <c r="AV81" s="241" t="n">
        <v>0</v>
      </c>
      <c r="AW81" s="241" t="n">
        <v>0</v>
      </c>
      <c r="AX81" s="241" t="n">
        <v>0</v>
      </c>
      <c r="AY81" s="241" t="n">
        <v>0</v>
      </c>
      <c r="AZ81" s="241" t="n">
        <v>0</v>
      </c>
      <c r="BA81" s="226" t="n"/>
      <c r="BB81" s="241" t="n">
        <v>0</v>
      </c>
      <c r="BC81" s="241">
        <f>AB81</f>
        <v/>
      </c>
      <c r="BD81" s="241">
        <f>AN81</f>
        <v/>
      </c>
      <c r="BE81" s="241">
        <f>AZ81</f>
        <v/>
      </c>
      <c r="BF81" s="241" t="n">
        <v>0</v>
      </c>
      <c r="BG81" s="66" t="n"/>
      <c r="BH81" s="350" t="inlineStr">
        <is>
          <t>CLA balance: a liability Jul-Sep 26, then it converts to shares</t>
        </is>
      </c>
      <c r="BI81" s="66" t="n"/>
      <c r="BJ81" s="66" t="n"/>
    </row>
    <row r="82" ht="15.75" customHeight="1" s="349">
      <c r="A82" s="226" t="n"/>
      <c r="B82" s="241" t="n"/>
      <c r="C82" s="233" t="n"/>
      <c r="D82" s="241" t="n"/>
      <c r="E82" s="241" t="n"/>
      <c r="F82" s="241" t="n"/>
      <c r="G82" s="241" t="n"/>
      <c r="H82" s="241" t="n"/>
      <c r="I82" s="241" t="n"/>
      <c r="J82" s="241" t="n"/>
      <c r="K82" s="241" t="n"/>
      <c r="L82" s="241" t="n"/>
      <c r="M82" s="241" t="n"/>
      <c r="N82" s="241" t="n"/>
      <c r="O82" s="241" t="n"/>
      <c r="P82" s="241" t="n"/>
      <c r="Q82" s="241" t="n"/>
      <c r="R82" s="241" t="n"/>
      <c r="S82" s="241" t="n"/>
      <c r="T82" s="241" t="n"/>
      <c r="U82" s="241" t="n"/>
      <c r="V82" s="241" t="n"/>
      <c r="W82" s="241" t="n"/>
      <c r="X82" s="241" t="n"/>
      <c r="Y82" s="241" t="n"/>
      <c r="Z82" s="241" t="n"/>
      <c r="AA82" s="241" t="n"/>
      <c r="AB82" s="241" t="n"/>
      <c r="AC82" s="241" t="n"/>
      <c r="AD82" s="241" t="n"/>
      <c r="AE82" s="241" t="n"/>
      <c r="AF82" s="241" t="n"/>
      <c r="AG82" s="241" t="n"/>
      <c r="AH82" s="241" t="n"/>
      <c r="AI82" s="241" t="n"/>
      <c r="AJ82" s="241" t="n"/>
      <c r="AK82" s="241" t="n"/>
      <c r="AL82" s="241" t="n"/>
      <c r="AM82" s="241" t="n"/>
      <c r="AN82" s="241" t="n"/>
      <c r="AO82" s="241" t="n"/>
      <c r="AP82" s="241" t="n"/>
      <c r="AQ82" s="241" t="n"/>
      <c r="AR82" s="241" t="n"/>
      <c r="AS82" s="241" t="n"/>
      <c r="AT82" s="241" t="n"/>
      <c r="AU82" s="241" t="n"/>
      <c r="AV82" s="241" t="n"/>
      <c r="AW82" s="241" t="n"/>
      <c r="AX82" s="241" t="n"/>
      <c r="AY82" s="241" t="n"/>
      <c r="AZ82" s="241" t="n"/>
      <c r="BA82" s="226" t="n"/>
      <c r="BB82" s="241" t="n"/>
      <c r="BC82" s="241" t="n"/>
      <c r="BD82" s="241" t="n"/>
      <c r="BE82" s="241" t="n"/>
      <c r="BF82" s="241" t="n"/>
      <c r="BG82" s="66" t="n"/>
      <c r="BH82" s="350" t="n"/>
      <c r="BI82" s="66" t="n"/>
      <c r="BJ82" s="66" t="n"/>
    </row>
    <row r="83" ht="12.75" customHeight="1" s="349">
      <c r="A83" s="77" t="n"/>
      <c r="B83" s="227" t="inlineStr">
        <is>
          <t>Total Long-Term Liabilities</t>
        </is>
      </c>
      <c r="C83" s="228" t="n"/>
      <c r="D83" s="229" t="inlineStr">
        <is>
          <t>€</t>
        </is>
      </c>
      <c r="E83" s="227">
        <f>E80+E81+E82</f>
        <v/>
      </c>
      <c r="F83" s="227">
        <f>F80+F81+F82</f>
        <v/>
      </c>
      <c r="G83" s="227">
        <f>G80+G81+G82</f>
        <v/>
      </c>
      <c r="H83" s="227">
        <f>H80+H81+H82</f>
        <v/>
      </c>
      <c r="I83" s="227">
        <f>I80+I81+I82</f>
        <v/>
      </c>
      <c r="J83" s="227">
        <f>J80+J81+J82</f>
        <v/>
      </c>
      <c r="K83" s="227">
        <f>K80+K81+K82</f>
        <v/>
      </c>
      <c r="L83" s="227">
        <f>L80+L81+L82</f>
        <v/>
      </c>
      <c r="M83" s="227">
        <f>M80+M81+M82</f>
        <v/>
      </c>
      <c r="N83" s="227">
        <f>N80+N81+N82</f>
        <v/>
      </c>
      <c r="O83" s="227">
        <f>O80+O81+O82</f>
        <v/>
      </c>
      <c r="P83" s="227">
        <f>P80+P81+P82</f>
        <v/>
      </c>
      <c r="Q83" s="227">
        <f>Q80+Q81+Q82</f>
        <v/>
      </c>
      <c r="R83" s="227">
        <f>R80+R81+R82</f>
        <v/>
      </c>
      <c r="S83" s="227">
        <f>S80+S81+S82</f>
        <v/>
      </c>
      <c r="T83" s="227">
        <f>T80+T81+T82</f>
        <v/>
      </c>
      <c r="U83" s="227">
        <f>U80+U81+U82</f>
        <v/>
      </c>
      <c r="V83" s="227">
        <f>V80+V81+V82</f>
        <v/>
      </c>
      <c r="W83" s="227">
        <f>W80+W81+W82</f>
        <v/>
      </c>
      <c r="X83" s="227">
        <f>X80+X81+X82</f>
        <v/>
      </c>
      <c r="Y83" s="227">
        <f>Y80+Y81+Y82</f>
        <v/>
      </c>
      <c r="Z83" s="227">
        <f>Z80+Z81+Z82</f>
        <v/>
      </c>
      <c r="AA83" s="227">
        <f>AA80+AA81+AA82</f>
        <v/>
      </c>
      <c r="AB83" s="227">
        <f>AB80+AB81+AB82</f>
        <v/>
      </c>
      <c r="AC83" s="227">
        <f>AC80+AC81+AC82</f>
        <v/>
      </c>
      <c r="AD83" s="227">
        <f>AD80+AD81+AD82</f>
        <v/>
      </c>
      <c r="AE83" s="227">
        <f>AE80+AE81+AE82</f>
        <v/>
      </c>
      <c r="AF83" s="227">
        <f>AF80+AF81+AF82</f>
        <v/>
      </c>
      <c r="AG83" s="227">
        <f>AG80+AG81+AG82</f>
        <v/>
      </c>
      <c r="AH83" s="227">
        <f>AH80+AH81+AH82</f>
        <v/>
      </c>
      <c r="AI83" s="227">
        <f>AI80+AI81+AI82</f>
        <v/>
      </c>
      <c r="AJ83" s="227">
        <f>AJ80+AJ81+AJ82</f>
        <v/>
      </c>
      <c r="AK83" s="227">
        <f>AK80+AK81+AK82</f>
        <v/>
      </c>
      <c r="AL83" s="227">
        <f>AL80+AL81+AL82</f>
        <v/>
      </c>
      <c r="AM83" s="227">
        <f>AM80+AM81+AM82</f>
        <v/>
      </c>
      <c r="AN83" s="227">
        <f>AN80+AN81+AN82</f>
        <v/>
      </c>
      <c r="AO83" s="227">
        <f>AO80+AO81+AO82</f>
        <v/>
      </c>
      <c r="AP83" s="227">
        <f>AP80+AP81+AP82</f>
        <v/>
      </c>
      <c r="AQ83" s="227">
        <f>AQ80+AQ81+AQ82</f>
        <v/>
      </c>
      <c r="AR83" s="227">
        <f>AR80+AR81+AR82</f>
        <v/>
      </c>
      <c r="AS83" s="227">
        <f>AS80+AS81+AS82</f>
        <v/>
      </c>
      <c r="AT83" s="227">
        <f>AT80+AT81+AT82</f>
        <v/>
      </c>
      <c r="AU83" s="227">
        <f>AU80+AU81+AU82</f>
        <v/>
      </c>
      <c r="AV83" s="227">
        <f>AV80+AV81+AV82</f>
        <v/>
      </c>
      <c r="AW83" s="227">
        <f>AW80+AW81+AW82</f>
        <v/>
      </c>
      <c r="AX83" s="227">
        <f>AX80+AX81+AX82</f>
        <v/>
      </c>
      <c r="AY83" s="227">
        <f>AY80+AY81+AY82</f>
        <v/>
      </c>
      <c r="AZ83" s="227">
        <f>AZ80+AZ81+AZ82</f>
        <v/>
      </c>
      <c r="BA83" s="226" t="n"/>
      <c r="BB83" s="230">
        <f>P83</f>
        <v/>
      </c>
      <c r="BC83" s="230">
        <f>AB83</f>
        <v/>
      </c>
      <c r="BD83" s="230">
        <f>AN83</f>
        <v/>
      </c>
      <c r="BE83" s="230">
        <f>AZ83</f>
        <v/>
      </c>
      <c r="BF83" s="230">
        <f>sum(BF80:BF82)</f>
        <v/>
      </c>
      <c r="BG83" s="205" t="n"/>
      <c r="BH83" s="350" t="inlineStr">
        <is>
          <t>all the long-term debt lines added</t>
        </is>
      </c>
      <c r="BI83" s="205" t="n"/>
      <c r="BJ83" s="205" t="n"/>
    </row>
    <row r="84" ht="15.75" customHeight="1" s="349">
      <c r="A84" s="226" t="n"/>
      <c r="B84" s="233" t="n"/>
      <c r="C84" s="233" t="n"/>
      <c r="D84" s="233" t="n"/>
      <c r="E84" s="233" t="n"/>
      <c r="F84" s="233" t="n"/>
      <c r="G84" s="233" t="n"/>
      <c r="H84" s="233" t="n"/>
      <c r="I84" s="233" t="n"/>
      <c r="J84" s="233" t="n"/>
      <c r="K84" s="233" t="n"/>
      <c r="L84" s="233" t="n"/>
      <c r="M84" s="233" t="n"/>
      <c r="N84" s="233" t="n"/>
      <c r="O84" s="233" t="n"/>
      <c r="P84" s="233" t="n"/>
      <c r="Q84" s="233" t="n"/>
      <c r="R84" s="233" t="n"/>
      <c r="S84" s="233" t="n"/>
      <c r="T84" s="233" t="n"/>
      <c r="U84" s="233" t="n"/>
      <c r="V84" s="233" t="n"/>
      <c r="W84" s="233" t="n"/>
      <c r="X84" s="233" t="n"/>
      <c r="Y84" s="233" t="n"/>
      <c r="Z84" s="233" t="n"/>
      <c r="AA84" s="233" t="n"/>
      <c r="AB84" s="233" t="n"/>
      <c r="AC84" s="233" t="n"/>
      <c r="AD84" s="233" t="n"/>
      <c r="AE84" s="233" t="n"/>
      <c r="AF84" s="233" t="n"/>
      <c r="AG84" s="233" t="n"/>
      <c r="AH84" s="233" t="n"/>
      <c r="AI84" s="233" t="n"/>
      <c r="AJ84" s="233" t="n"/>
      <c r="AK84" s="233" t="n"/>
      <c r="AL84" s="233" t="n"/>
      <c r="AM84" s="233" t="n"/>
      <c r="AN84" s="233" t="n"/>
      <c r="AO84" s="233" t="n"/>
      <c r="AP84" s="233" t="n"/>
      <c r="AQ84" s="233" t="n"/>
      <c r="AR84" s="233" t="n"/>
      <c r="AS84" s="233" t="n"/>
      <c r="AT84" s="233" t="n"/>
      <c r="AU84" s="233" t="n"/>
      <c r="AV84" s="233" t="n"/>
      <c r="AW84" s="233" t="n"/>
      <c r="AX84" s="233" t="n"/>
      <c r="AY84" s="233" t="n"/>
      <c r="AZ84" s="233" t="n"/>
      <c r="BA84" s="226" t="n"/>
      <c r="BB84" s="233" t="n"/>
      <c r="BC84" s="233" t="n"/>
      <c r="BD84" s="233" t="n"/>
      <c r="BE84" s="233" t="n"/>
      <c r="BF84" s="233" t="n"/>
      <c r="BG84" s="226" t="n"/>
      <c r="BH84" s="350" t="n"/>
      <c r="BI84" s="226" t="n"/>
      <c r="BJ84" s="226" t="n"/>
    </row>
    <row r="85" ht="15.75" customHeight="1" s="349">
      <c r="A85" s="226" t="n"/>
      <c r="B85" s="241" t="inlineStr">
        <is>
          <t>Share capital + premium</t>
        </is>
      </c>
      <c r="C85" s="233" t="n"/>
      <c r="D85" s="241" t="inlineStr">
        <is>
          <t>€</t>
        </is>
      </c>
      <c r="E85" s="241" t="n"/>
      <c r="F85" s="241" t="n"/>
      <c r="G85" s="241" t="n"/>
      <c r="H85" s="241" t="n"/>
      <c r="I85" s="241" t="n"/>
      <c r="J85" s="241" t="n"/>
      <c r="K85" s="241" t="n"/>
      <c r="L85" s="241" t="n"/>
      <c r="M85" s="241">
        <f>M61</f>
        <v/>
      </c>
      <c r="N85" s="241">
        <f>M85</f>
        <v/>
      </c>
      <c r="O85" s="241">
        <f>N85</f>
        <v/>
      </c>
      <c r="P85" s="241">
        <f>O85</f>
        <v/>
      </c>
      <c r="Q85" s="241">
        <f>P85</f>
        <v/>
      </c>
      <c r="R85" s="241">
        <f>Q85</f>
        <v/>
      </c>
      <c r="S85" s="241">
        <f>R85</f>
        <v/>
      </c>
      <c r="T85" s="241">
        <f>S85</f>
        <v/>
      </c>
      <c r="U85" s="241">
        <f>T85</f>
        <v/>
      </c>
      <c r="V85" s="241">
        <f>U85</f>
        <v/>
      </c>
      <c r="W85" s="241">
        <f>V85</f>
        <v/>
      </c>
      <c r="X85" s="241">
        <f>W85</f>
        <v/>
      </c>
      <c r="Y85" s="241">
        <f>X85</f>
        <v/>
      </c>
      <c r="Z85" s="241">
        <f>Y85+Y81</f>
        <v/>
      </c>
      <c r="AA85" s="241">
        <f>Z85</f>
        <v/>
      </c>
      <c r="AB85" s="241">
        <f>AA85</f>
        <v/>
      </c>
      <c r="AC85" s="241">
        <f>AB85</f>
        <v/>
      </c>
      <c r="AD85" s="241">
        <f>AC85</f>
        <v/>
      </c>
      <c r="AE85" s="241">
        <f>AD85</f>
        <v/>
      </c>
      <c r="AF85" s="241">
        <f>AE85</f>
        <v/>
      </c>
      <c r="AG85" s="241">
        <f>AF85</f>
        <v/>
      </c>
      <c r="AH85" s="241">
        <f>AG85</f>
        <v/>
      </c>
      <c r="AI85" s="241">
        <f>AH85</f>
        <v/>
      </c>
      <c r="AJ85" s="241">
        <f>AI85</f>
        <v/>
      </c>
      <c r="AK85" s="241">
        <f>AJ85</f>
        <v/>
      </c>
      <c r="AL85" s="241">
        <f>AK85</f>
        <v/>
      </c>
      <c r="AM85" s="241">
        <f>AL85</f>
        <v/>
      </c>
      <c r="AN85" s="241">
        <f>AM85</f>
        <v/>
      </c>
      <c r="AO85" s="241">
        <f>AN85</f>
        <v/>
      </c>
      <c r="AP85" s="241">
        <f>AO85</f>
        <v/>
      </c>
      <c r="AQ85" s="241">
        <f>AP85</f>
        <v/>
      </c>
      <c r="AR85" s="241">
        <f>AQ85</f>
        <v/>
      </c>
      <c r="AS85" s="241">
        <f>AR85</f>
        <v/>
      </c>
      <c r="AT85" s="241">
        <f>AS85</f>
        <v/>
      </c>
      <c r="AU85" s="241">
        <f>AT85</f>
        <v/>
      </c>
      <c r="AV85" s="241">
        <f>AU85</f>
        <v/>
      </c>
      <c r="AW85" s="241">
        <f>AV85</f>
        <v/>
      </c>
      <c r="AX85" s="241">
        <f>AW85</f>
        <v/>
      </c>
      <c r="AY85" s="241">
        <f>AX85</f>
        <v/>
      </c>
      <c r="AZ85" s="241">
        <f>AY85</f>
        <v/>
      </c>
      <c r="BA85" s="226" t="n"/>
      <c r="BB85" s="241">
        <f>P85</f>
        <v/>
      </c>
      <c r="BC85" s="241">
        <f>AB85</f>
        <v/>
      </c>
      <c r="BD85" s="241">
        <f>AN85</f>
        <v/>
      </c>
      <c r="BE85" s="241">
        <f>AZ85</f>
        <v/>
      </c>
      <c r="BF85" s="241">
        <f>BE85</f>
        <v/>
      </c>
      <c r="BG85" s="66" t="n"/>
      <c r="BH85" s="350" t="inlineStr">
        <is>
          <t>share capital, steps up when the CLA converts to shares</t>
        </is>
      </c>
      <c r="BI85" s="66" t="n"/>
      <c r="BJ85" s="66" t="n"/>
    </row>
    <row r="86" ht="15.75" customHeight="1" s="349">
      <c r="A86" s="226" t="n"/>
      <c r="B86" s="241" t="inlineStr">
        <is>
          <t>Cumulative equity injections</t>
        </is>
      </c>
      <c r="C86" s="233" t="n"/>
      <c r="D86" s="241" t="inlineStr">
        <is>
          <t>€</t>
        </is>
      </c>
      <c r="E86" s="241" t="n"/>
      <c r="F86" s="241" t="n"/>
      <c r="G86" s="241" t="n"/>
      <c r="H86" s="241" t="n"/>
      <c r="I86" s="241" t="n"/>
      <c r="J86" s="241" t="n"/>
      <c r="K86" s="241" t="n"/>
      <c r="L86" s="241" t="n"/>
      <c r="M86" s="241">
        <f>M55+M55</f>
        <v/>
      </c>
      <c r="N86" s="241">
        <f>M86+N55</f>
        <v/>
      </c>
      <c r="O86" s="241">
        <f>N86+O55</f>
        <v/>
      </c>
      <c r="P86" s="241">
        <f>O86+P55</f>
        <v/>
      </c>
      <c r="Q86" s="241">
        <f>P86+Q55</f>
        <v/>
      </c>
      <c r="R86" s="241">
        <f>Q86+R55</f>
        <v/>
      </c>
      <c r="S86" s="241">
        <f>R86+S55</f>
        <v/>
      </c>
      <c r="T86" s="241">
        <f>S86+T55</f>
        <v/>
      </c>
      <c r="U86" s="241">
        <f>T86+U55</f>
        <v/>
      </c>
      <c r="V86" s="241">
        <f>U86+V55</f>
        <v/>
      </c>
      <c r="W86" s="241">
        <f>V86+W55</f>
        <v/>
      </c>
      <c r="X86" s="241">
        <f>W86+X55</f>
        <v/>
      </c>
      <c r="Y86" s="241">
        <f>X86+Y55</f>
        <v/>
      </c>
      <c r="Z86" s="241">
        <f>Y86+Z55</f>
        <v/>
      </c>
      <c r="AA86" s="241">
        <f>Z86+AA55</f>
        <v/>
      </c>
      <c r="AB86" s="241">
        <f>AA86+AB55</f>
        <v/>
      </c>
      <c r="AC86" s="241">
        <f>AB86+AC55</f>
        <v/>
      </c>
      <c r="AD86" s="241">
        <f>AC86+AD55</f>
        <v/>
      </c>
      <c r="AE86" s="241">
        <f>AD86+AE55</f>
        <v/>
      </c>
      <c r="AF86" s="241">
        <f>AE86+AF55</f>
        <v/>
      </c>
      <c r="AG86" s="241">
        <f>AF86+AG55</f>
        <v/>
      </c>
      <c r="AH86" s="241">
        <f>AG86+AH55</f>
        <v/>
      </c>
      <c r="AI86" s="241">
        <f>AH86+AI55</f>
        <v/>
      </c>
      <c r="AJ86" s="241">
        <f>AI86+AJ55</f>
        <v/>
      </c>
      <c r="AK86" s="241">
        <f>AJ86+AK55</f>
        <v/>
      </c>
      <c r="AL86" s="241">
        <f>AK86+AL55</f>
        <v/>
      </c>
      <c r="AM86" s="241">
        <f>AL86+AM55</f>
        <v/>
      </c>
      <c r="AN86" s="241">
        <f>AM86+AN55</f>
        <v/>
      </c>
      <c r="AO86" s="241">
        <f>AN86+AO55</f>
        <v/>
      </c>
      <c r="AP86" s="241">
        <f>AO86+AP55</f>
        <v/>
      </c>
      <c r="AQ86" s="241">
        <f>AP86+AQ55</f>
        <v/>
      </c>
      <c r="AR86" s="241">
        <f>AQ86+AR55</f>
        <v/>
      </c>
      <c r="AS86" s="241">
        <f>AR86+AS55</f>
        <v/>
      </c>
      <c r="AT86" s="241">
        <f>AS86+AT55</f>
        <v/>
      </c>
      <c r="AU86" s="241">
        <f>AT86+AU55</f>
        <v/>
      </c>
      <c r="AV86" s="241">
        <f>AU86+AV55</f>
        <v/>
      </c>
      <c r="AW86" s="241">
        <f>AV86+AW55</f>
        <v/>
      </c>
      <c r="AX86" s="241">
        <f>AW86+AX55</f>
        <v/>
      </c>
      <c r="AY86" s="241">
        <f>AX86+AY55</f>
        <v/>
      </c>
      <c r="AZ86" s="241">
        <f>AY86+AZ55</f>
        <v/>
      </c>
      <c r="BA86" s="226" t="n"/>
      <c r="BB86" s="241">
        <f>P86</f>
        <v/>
      </c>
      <c r="BC86" s="241">
        <f>AB86</f>
        <v/>
      </c>
      <c r="BD86" s="241">
        <f>AN86</f>
        <v/>
      </c>
      <c r="BE86" s="241">
        <f>AZ86</f>
        <v/>
      </c>
      <c r="BF86" s="241">
        <f>BE86</f>
        <v/>
      </c>
      <c r="BG86" s="66" t="n"/>
      <c r="BH86" s="350" t="inlineStr">
        <is>
          <t>running total of cash put in by shareholders</t>
        </is>
      </c>
      <c r="BI86" s="66" t="n"/>
      <c r="BJ86" s="66" t="n"/>
    </row>
    <row r="87" ht="15.75" customHeight="1" s="349">
      <c r="A87" s="226" t="n"/>
      <c r="B87" s="241" t="inlineStr">
        <is>
          <t>Retained earnings (cumulative net income)</t>
        </is>
      </c>
      <c r="C87" s="233" t="n"/>
      <c r="D87" s="241" t="inlineStr">
        <is>
          <t>€</t>
        </is>
      </c>
      <c r="E87" s="241" t="n"/>
      <c r="F87" s="241" t="n"/>
      <c r="G87" s="241" t="n"/>
      <c r="H87" s="241" t="n"/>
      <c r="I87" s="241" t="n"/>
      <c r="J87" s="241" t="n"/>
      <c r="K87" s="241" t="n"/>
      <c r="L87" s="241" t="n"/>
      <c r="M87" s="241">
        <f>M47</f>
        <v/>
      </c>
      <c r="N87" s="241">
        <f>M87+N41</f>
        <v/>
      </c>
      <c r="O87" s="241">
        <f>N87+O41</f>
        <v/>
      </c>
      <c r="P87" s="241">
        <f>O87+P41</f>
        <v/>
      </c>
      <c r="Q87" s="241">
        <f>P87+Q41</f>
        <v/>
      </c>
      <c r="R87" s="241">
        <f>Q87+R41</f>
        <v/>
      </c>
      <c r="S87" s="241">
        <f>R87+S41</f>
        <v/>
      </c>
      <c r="T87" s="241">
        <f>S87+T41</f>
        <v/>
      </c>
      <c r="U87" s="241">
        <f>T87+U41</f>
        <v/>
      </c>
      <c r="V87" s="241">
        <f>U87+V41</f>
        <v/>
      </c>
      <c r="W87" s="241">
        <f>V87+W41</f>
        <v/>
      </c>
      <c r="X87" s="241">
        <f>W87+X41</f>
        <v/>
      </c>
      <c r="Y87" s="241">
        <f>X87+Y41</f>
        <v/>
      </c>
      <c r="Z87" s="241">
        <f>Y87+Z41</f>
        <v/>
      </c>
      <c r="AA87" s="241">
        <f>Z87+AA41</f>
        <v/>
      </c>
      <c r="AB87" s="241">
        <f>AA87+AB41</f>
        <v/>
      </c>
      <c r="AC87" s="241">
        <f>AB87+AC41</f>
        <v/>
      </c>
      <c r="AD87" s="241">
        <f>AC87+AD41</f>
        <v/>
      </c>
      <c r="AE87" s="241">
        <f>AD87+AE41</f>
        <v/>
      </c>
      <c r="AF87" s="241">
        <f>AE87+AF41</f>
        <v/>
      </c>
      <c r="AG87" s="241">
        <f>AF87+AG41</f>
        <v/>
      </c>
      <c r="AH87" s="241">
        <f>AG87+AH41</f>
        <v/>
      </c>
      <c r="AI87" s="241">
        <f>AH87+AI41</f>
        <v/>
      </c>
      <c r="AJ87" s="241">
        <f>AI87+AJ41</f>
        <v/>
      </c>
      <c r="AK87" s="241">
        <f>AJ87+AK41</f>
        <v/>
      </c>
      <c r="AL87" s="241">
        <f>AK87+AL41</f>
        <v/>
      </c>
      <c r="AM87" s="241">
        <f>AL87+AM41</f>
        <v/>
      </c>
      <c r="AN87" s="241">
        <f>AM87+AN41</f>
        <v/>
      </c>
      <c r="AO87" s="241">
        <f>AN87+AO41</f>
        <v/>
      </c>
      <c r="AP87" s="241">
        <f>AO87+AP41</f>
        <v/>
      </c>
      <c r="AQ87" s="241">
        <f>AP87+AQ41</f>
        <v/>
      </c>
      <c r="AR87" s="241">
        <f>AQ87+AR41</f>
        <v/>
      </c>
      <c r="AS87" s="241">
        <f>AR87+AS41</f>
        <v/>
      </c>
      <c r="AT87" s="241">
        <f>AS87+AT41</f>
        <v/>
      </c>
      <c r="AU87" s="241">
        <f>AT87+AU41</f>
        <v/>
      </c>
      <c r="AV87" s="241">
        <f>AU87+AV41</f>
        <v/>
      </c>
      <c r="AW87" s="241">
        <f>AV87+AW41</f>
        <v/>
      </c>
      <c r="AX87" s="241">
        <f>AW87+AX41</f>
        <v/>
      </c>
      <c r="AY87" s="241">
        <f>AX87+AY41</f>
        <v/>
      </c>
      <c r="AZ87" s="241">
        <f>AY87+AZ41</f>
        <v/>
      </c>
      <c r="BA87" s="226" t="n"/>
      <c r="BB87" s="241">
        <f>P87</f>
        <v/>
      </c>
      <c r="BC87" s="241">
        <f>AB87</f>
        <v/>
      </c>
      <c r="BD87" s="241">
        <f>AN87</f>
        <v/>
      </c>
      <c r="BE87" s="241">
        <f>AZ87</f>
        <v/>
      </c>
      <c r="BF87" s="241">
        <f>BE87+BF41</f>
        <v/>
      </c>
      <c r="BG87" s="66" t="n"/>
      <c r="BH87" s="350" t="inlineStr">
        <is>
          <t>retained earnings: last month's plus this month's profit</t>
        </is>
      </c>
      <c r="BI87" s="66" t="n"/>
      <c r="BJ87" s="66" t="n"/>
    </row>
    <row r="88" ht="12.75" customHeight="1" s="349">
      <c r="A88" s="77" t="n"/>
      <c r="B88" s="227" t="inlineStr">
        <is>
          <t>Total Equity</t>
        </is>
      </c>
      <c r="C88" s="228" t="n"/>
      <c r="D88" s="229" t="inlineStr">
        <is>
          <t>€</t>
        </is>
      </c>
      <c r="E88" s="227" t="n"/>
      <c r="F88" s="227" t="n"/>
      <c r="G88" s="227" t="n"/>
      <c r="H88" s="227" t="n"/>
      <c r="I88" s="227" t="n"/>
      <c r="J88" s="227" t="n"/>
      <c r="K88" s="227" t="n"/>
      <c r="L88" s="227" t="n"/>
      <c r="M88" s="227">
        <f>M85+M86+M87+M44</f>
        <v/>
      </c>
      <c r="N88" s="227">
        <f>N85+N86+N87+N44</f>
        <v/>
      </c>
      <c r="O88" s="227">
        <f>O85+O86+O87+O44</f>
        <v/>
      </c>
      <c r="P88" s="227">
        <f>P85+P86+P87+P44</f>
        <v/>
      </c>
      <c r="Q88" s="227">
        <f>Q85+Q86+Q87+Q44</f>
        <v/>
      </c>
      <c r="R88" s="227">
        <f>R85+R86+R87+R44</f>
        <v/>
      </c>
      <c r="S88" s="227">
        <f>S85+S86+S87+S44</f>
        <v/>
      </c>
      <c r="T88" s="227">
        <f>T85+T86+T87+T44</f>
        <v/>
      </c>
      <c r="U88" s="227">
        <f>U85+U86+U87+U44</f>
        <v/>
      </c>
      <c r="V88" s="227">
        <f>V85+V86+V87+V44</f>
        <v/>
      </c>
      <c r="W88" s="227">
        <f>W85+W86+W87+W44</f>
        <v/>
      </c>
      <c r="X88" s="227">
        <f>X85+X86+X87+X44</f>
        <v/>
      </c>
      <c r="Y88" s="227">
        <f>Y85+Y86+Y87+Y44</f>
        <v/>
      </c>
      <c r="Z88" s="227">
        <f>Z85+Z86+Z87+Z44</f>
        <v/>
      </c>
      <c r="AA88" s="227">
        <f>AA85+AA86+AA87+AA44</f>
        <v/>
      </c>
      <c r="AB88" s="227">
        <f>AB85+AB86+AB87+AB44</f>
        <v/>
      </c>
      <c r="AC88" s="227">
        <f>AC85+AC86+AC87+AC44</f>
        <v/>
      </c>
      <c r="AD88" s="227">
        <f>AD85+AD86+AD87+AD44</f>
        <v/>
      </c>
      <c r="AE88" s="227">
        <f>AE85+AE86+AE87+AE44</f>
        <v/>
      </c>
      <c r="AF88" s="227">
        <f>AF85+AF86+AF87+AF44</f>
        <v/>
      </c>
      <c r="AG88" s="227">
        <f>AG85+AG86+AG87+AG44</f>
        <v/>
      </c>
      <c r="AH88" s="227">
        <f>AH85+AH86+AH87+AH44</f>
        <v/>
      </c>
      <c r="AI88" s="227">
        <f>AI85+AI86+AI87+AI44</f>
        <v/>
      </c>
      <c r="AJ88" s="227">
        <f>AJ85+AJ86+AJ87+AJ44</f>
        <v/>
      </c>
      <c r="AK88" s="227">
        <f>AK85+AK86+AK87+AK44</f>
        <v/>
      </c>
      <c r="AL88" s="227">
        <f>AL85+AL86+AL87+AL44</f>
        <v/>
      </c>
      <c r="AM88" s="227">
        <f>AM85+AM86+AM87+AM44</f>
        <v/>
      </c>
      <c r="AN88" s="227">
        <f>AN85+AN86+AN87+AN44</f>
        <v/>
      </c>
      <c r="AO88" s="227">
        <f>AO85+AO86+AO87+AO44</f>
        <v/>
      </c>
      <c r="AP88" s="227">
        <f>AP85+AP86+AP87+AP44</f>
        <v/>
      </c>
      <c r="AQ88" s="227">
        <f>AQ85+AQ86+AQ87+AQ44</f>
        <v/>
      </c>
      <c r="AR88" s="227">
        <f>AR85+AR86+AR87+AR44</f>
        <v/>
      </c>
      <c r="AS88" s="227">
        <f>AS85+AS86+AS87+AS44</f>
        <v/>
      </c>
      <c r="AT88" s="227">
        <f>AT85+AT86+AT87+AT44</f>
        <v/>
      </c>
      <c r="AU88" s="227">
        <f>AU85+AU86+AU87+AU44</f>
        <v/>
      </c>
      <c r="AV88" s="227">
        <f>AV85+AV86+AV87+AV44</f>
        <v/>
      </c>
      <c r="AW88" s="227">
        <f>AW85+AW86+AW87+AW44</f>
        <v/>
      </c>
      <c r="AX88" s="227">
        <f>AX85+AX86+AX87+AX44</f>
        <v/>
      </c>
      <c r="AY88" s="227">
        <f>AY85+AY86+AY87+AY44</f>
        <v/>
      </c>
      <c r="AZ88" s="227">
        <f>AZ85+AZ86+AZ87+AZ44</f>
        <v/>
      </c>
      <c r="BA88" s="226" t="n"/>
      <c r="BB88" s="230">
        <f>P88</f>
        <v/>
      </c>
      <c r="BC88" s="230">
        <f>AB88</f>
        <v/>
      </c>
      <c r="BD88" s="230">
        <f>AN88</f>
        <v/>
      </c>
      <c r="BE88" s="230">
        <f>AZ88</f>
        <v/>
      </c>
      <c r="BF88" s="230">
        <f>sum(BF85:BF87)</f>
        <v/>
      </c>
      <c r="BG88" s="205" t="n"/>
      <c r="BH88" s="350" t="inlineStr">
        <is>
          <t>share capital + injections + retained earnings</t>
        </is>
      </c>
      <c r="BI88" s="205" t="n"/>
      <c r="BJ88" s="205" t="n"/>
    </row>
    <row r="89" ht="15.75" customHeight="1" s="349">
      <c r="A89" s="125" t="n"/>
      <c r="B89" s="126" t="inlineStr">
        <is>
          <t>TOTAL EQUITY &amp; LIABILITIES</t>
        </is>
      </c>
      <c r="C89" s="127" t="n"/>
      <c r="D89" s="126" t="inlineStr">
        <is>
          <t>€</t>
        </is>
      </c>
      <c r="E89" s="126" t="n"/>
      <c r="F89" s="126" t="n"/>
      <c r="G89" s="126" t="n"/>
      <c r="H89" s="126" t="n"/>
      <c r="I89" s="126" t="n"/>
      <c r="J89" s="126" t="n"/>
      <c r="K89" s="126" t="n"/>
      <c r="L89" s="126" t="n"/>
      <c r="M89" s="126">
        <f>M78+M83+M88</f>
        <v/>
      </c>
      <c r="N89" s="126">
        <f>N78+N83+N88</f>
        <v/>
      </c>
      <c r="O89" s="126">
        <f>O78+O83+O88</f>
        <v/>
      </c>
      <c r="P89" s="126">
        <f>P78+P83+P88</f>
        <v/>
      </c>
      <c r="Q89" s="126">
        <f>Q78+Q83+Q88</f>
        <v/>
      </c>
      <c r="R89" s="126">
        <f>R78+R83+R88</f>
        <v/>
      </c>
      <c r="S89" s="126">
        <f>S78+S83+S88</f>
        <v/>
      </c>
      <c r="T89" s="126">
        <f>T78+T83+T88</f>
        <v/>
      </c>
      <c r="U89" s="126">
        <f>U78+U83+U88</f>
        <v/>
      </c>
      <c r="V89" s="126">
        <f>V78+V83+V88</f>
        <v/>
      </c>
      <c r="W89" s="126">
        <f>W78+W83+W88</f>
        <v/>
      </c>
      <c r="X89" s="126">
        <f>X78+X83+X88</f>
        <v/>
      </c>
      <c r="Y89" s="126">
        <f>Y78+Y83+Y88</f>
        <v/>
      </c>
      <c r="Z89" s="126">
        <f>Z78+Z83+Z88</f>
        <v/>
      </c>
      <c r="AA89" s="126">
        <f>AA78+AA83+AA88</f>
        <v/>
      </c>
      <c r="AB89" s="126">
        <f>AB78+AB83+AB88</f>
        <v/>
      </c>
      <c r="AC89" s="126">
        <f>AC78+AC83+AC88</f>
        <v/>
      </c>
      <c r="AD89" s="126">
        <f>AD78+AD83+AD88</f>
        <v/>
      </c>
      <c r="AE89" s="126">
        <f>AE78+AE83+AE88</f>
        <v/>
      </c>
      <c r="AF89" s="126">
        <f>AF78+AF83+AF88</f>
        <v/>
      </c>
      <c r="AG89" s="126">
        <f>AG78+AG83+AG88</f>
        <v/>
      </c>
      <c r="AH89" s="126">
        <f>AH78+AH83+AH88</f>
        <v/>
      </c>
      <c r="AI89" s="126">
        <f>AI78+AI83+AI88</f>
        <v/>
      </c>
      <c r="AJ89" s="126">
        <f>AJ78+AJ83+AJ88</f>
        <v/>
      </c>
      <c r="AK89" s="126">
        <f>AK78+AK83+AK88</f>
        <v/>
      </c>
      <c r="AL89" s="126">
        <f>AL78+AL83+AL88</f>
        <v/>
      </c>
      <c r="AM89" s="126">
        <f>AM78+AM83+AM88</f>
        <v/>
      </c>
      <c r="AN89" s="126">
        <f>AN78+AN83+AN88</f>
        <v/>
      </c>
      <c r="AO89" s="126">
        <f>AO78+AO83+AO88</f>
        <v/>
      </c>
      <c r="AP89" s="126">
        <f>AP78+AP83+AP88</f>
        <v/>
      </c>
      <c r="AQ89" s="126">
        <f>AQ78+AQ83+AQ88</f>
        <v/>
      </c>
      <c r="AR89" s="126">
        <f>AR78+AR83+AR88</f>
        <v/>
      </c>
      <c r="AS89" s="126">
        <f>AS78+AS83+AS88</f>
        <v/>
      </c>
      <c r="AT89" s="126">
        <f>AT78+AT83+AT88</f>
        <v/>
      </c>
      <c r="AU89" s="126">
        <f>AU78+AU83+AU88</f>
        <v/>
      </c>
      <c r="AV89" s="126">
        <f>AV78+AV83+AV88</f>
        <v/>
      </c>
      <c r="AW89" s="126">
        <f>AW78+AW83+AW88</f>
        <v/>
      </c>
      <c r="AX89" s="126">
        <f>AX78+AX83+AX88</f>
        <v/>
      </c>
      <c r="AY89" s="126">
        <f>AY78+AY83+AY88</f>
        <v/>
      </c>
      <c r="AZ89" s="134">
        <f>AZ78+AZ83+AZ88</f>
        <v/>
      </c>
      <c r="BA89" s="133" t="n"/>
      <c r="BB89" s="134">
        <f>P89</f>
        <v/>
      </c>
      <c r="BC89" s="134">
        <f>AB89</f>
        <v/>
      </c>
      <c r="BD89" s="134">
        <f>AN89</f>
        <v/>
      </c>
      <c r="BE89" s="134">
        <f>AZ89</f>
        <v/>
      </c>
      <c r="BF89" s="134">
        <f>BF78+BF83+BF88</f>
        <v/>
      </c>
      <c r="BG89" s="137" t="n"/>
      <c r="BH89" s="350" t="inlineStr">
        <is>
          <t>liabilities plus equity</t>
        </is>
      </c>
      <c r="BI89" s="137" t="n"/>
      <c r="BJ89" s="137" t="n"/>
    </row>
    <row r="90" ht="15.75" customHeight="1" s="349">
      <c r="A90" s="226" t="n"/>
      <c r="B90" s="233" t="n"/>
      <c r="C90" s="233" t="n"/>
      <c r="D90" s="233" t="n"/>
      <c r="E90" s="233" t="n"/>
      <c r="F90" s="233" t="n"/>
      <c r="G90" s="233" t="n"/>
      <c r="H90" s="233" t="n"/>
      <c r="I90" s="233" t="n"/>
      <c r="J90" s="233" t="n"/>
      <c r="K90" s="233" t="n"/>
      <c r="L90" s="233" t="n"/>
      <c r="M90" s="233" t="n"/>
      <c r="N90" s="233" t="n"/>
      <c r="O90" s="233" t="n"/>
      <c r="P90" s="233" t="n"/>
      <c r="Q90" s="233" t="n"/>
      <c r="R90" s="233" t="n"/>
      <c r="S90" s="233" t="n"/>
      <c r="T90" s="233" t="n"/>
      <c r="U90" s="233" t="n"/>
      <c r="V90" s="233" t="n"/>
      <c r="W90" s="233" t="n"/>
      <c r="X90" s="233" t="n"/>
      <c r="Y90" s="233" t="n"/>
      <c r="Z90" s="233" t="n"/>
      <c r="AA90" s="233" t="n"/>
      <c r="AB90" s="233" t="n"/>
      <c r="AC90" s="233" t="n"/>
      <c r="AD90" s="233" t="n"/>
      <c r="AE90" s="233" t="n"/>
      <c r="AF90" s="233" t="n"/>
      <c r="AG90" s="233" t="n"/>
      <c r="AH90" s="233" t="n"/>
      <c r="AI90" s="233" t="n"/>
      <c r="AJ90" s="233" t="n"/>
      <c r="AK90" s="233" t="n"/>
      <c r="AL90" s="233" t="n"/>
      <c r="AM90" s="233" t="n"/>
      <c r="AN90" s="233" t="n"/>
      <c r="AO90" s="233" t="n"/>
      <c r="AP90" s="233" t="n"/>
      <c r="AQ90" s="233" t="n"/>
      <c r="AR90" s="233" t="n"/>
      <c r="AS90" s="233" t="n"/>
      <c r="AT90" s="233" t="n"/>
      <c r="AU90" s="233" t="n"/>
      <c r="AV90" s="233" t="n"/>
      <c r="AW90" s="233" t="n"/>
      <c r="AX90" s="233" t="n"/>
      <c r="AY90" s="233" t="n"/>
      <c r="AZ90" s="233" t="n"/>
      <c r="BA90" s="226" t="n"/>
      <c r="BB90" s="233" t="n"/>
      <c r="BC90" s="233" t="n"/>
      <c r="BD90" s="233" t="n"/>
      <c r="BE90" s="233" t="n"/>
      <c r="BF90" s="233" t="n"/>
      <c r="BG90" s="226" t="n"/>
      <c r="BH90" s="350" t="n"/>
      <c r="BI90" s="226" t="n"/>
      <c r="BJ90" s="226" t="n"/>
    </row>
    <row r="91" ht="15.75" customHeight="1" s="349">
      <c r="A91" s="226" t="n"/>
      <c r="B91" s="279" t="inlineStr">
        <is>
          <t>CHECK  (Total Assets − Total E&amp;L  =  0)</t>
        </is>
      </c>
      <c r="C91" s="233" t="n"/>
      <c r="D91" s="233" t="n"/>
      <c r="E91" s="279" t="n"/>
      <c r="F91" s="279" t="n"/>
      <c r="G91" s="279" t="n"/>
      <c r="H91" s="279" t="n"/>
      <c r="I91" s="279" t="n"/>
      <c r="J91" s="279" t="n"/>
      <c r="K91" s="279" t="n"/>
      <c r="L91" s="279" t="n"/>
      <c r="M91" s="279">
        <f>M74-M89</f>
        <v/>
      </c>
      <c r="N91" s="279">
        <f>N74-N89</f>
        <v/>
      </c>
      <c r="O91" s="279">
        <f>O74-O89</f>
        <v/>
      </c>
      <c r="P91" s="279">
        <f>P74-P89</f>
        <v/>
      </c>
      <c r="Q91" s="279">
        <f>Q74-Q89</f>
        <v/>
      </c>
      <c r="R91" s="279">
        <f>R74-R89</f>
        <v/>
      </c>
      <c r="S91" s="279">
        <f>S74-S89</f>
        <v/>
      </c>
      <c r="T91" s="279">
        <f>T74-T89</f>
        <v/>
      </c>
      <c r="U91" s="279">
        <f>U74-U89</f>
        <v/>
      </c>
      <c r="V91" s="279">
        <f>V74-V89</f>
        <v/>
      </c>
      <c r="W91" s="279">
        <f>W74-W89</f>
        <v/>
      </c>
      <c r="X91" s="279">
        <f>X74-X89</f>
        <v/>
      </c>
      <c r="Y91" s="279">
        <f>Y74-Y89</f>
        <v/>
      </c>
      <c r="Z91" s="279">
        <f>Z74-Z89</f>
        <v/>
      </c>
      <c r="AA91" s="279">
        <f>AA74-AA89</f>
        <v/>
      </c>
      <c r="AB91" s="279">
        <f>AB74-AB89</f>
        <v/>
      </c>
      <c r="AC91" s="279">
        <f>AC74-AC89</f>
        <v/>
      </c>
      <c r="AD91" s="279">
        <f>AD74-AD89</f>
        <v/>
      </c>
      <c r="AE91" s="279">
        <f>AE74-AE89</f>
        <v/>
      </c>
      <c r="AF91" s="279">
        <f>AF74-AF89</f>
        <v/>
      </c>
      <c r="AG91" s="279">
        <f>AG74-AG89</f>
        <v/>
      </c>
      <c r="AH91" s="279">
        <f>AH74-AH89</f>
        <v/>
      </c>
      <c r="AI91" s="279">
        <f>AI74-AI89</f>
        <v/>
      </c>
      <c r="AJ91" s="279">
        <f>AJ74-AJ89</f>
        <v/>
      </c>
      <c r="AK91" s="279">
        <f>AK74-AK89</f>
        <v/>
      </c>
      <c r="AL91" s="279">
        <f>AL74-AL89</f>
        <v/>
      </c>
      <c r="AM91" s="279">
        <f>AM74-AM89</f>
        <v/>
      </c>
      <c r="AN91" s="279">
        <f>AN74-AN89</f>
        <v/>
      </c>
      <c r="AO91" s="279">
        <f>AO74-AO89</f>
        <v/>
      </c>
      <c r="AP91" s="279">
        <f>AP74-AP89</f>
        <v/>
      </c>
      <c r="AQ91" s="279">
        <f>AQ74-AQ89</f>
        <v/>
      </c>
      <c r="AR91" s="279">
        <f>AR74-AR89</f>
        <v/>
      </c>
      <c r="AS91" s="279">
        <f>AS74-AS89</f>
        <v/>
      </c>
      <c r="AT91" s="279">
        <f>AT74-AT89</f>
        <v/>
      </c>
      <c r="AU91" s="279">
        <f>AU74-AU89</f>
        <v/>
      </c>
      <c r="AV91" s="279">
        <f>AV74-AV89</f>
        <v/>
      </c>
      <c r="AW91" s="279">
        <f>AW74-AW89</f>
        <v/>
      </c>
      <c r="AX91" s="279">
        <f>AX74-AX89</f>
        <v/>
      </c>
      <c r="AY91" s="279">
        <f>AY74-AY89</f>
        <v/>
      </c>
      <c r="AZ91" s="279">
        <f>AZ74-AZ89</f>
        <v/>
      </c>
      <c r="BA91" s="279" t="n"/>
      <c r="BB91" s="279">
        <f>BB74-BB89</f>
        <v/>
      </c>
      <c r="BC91" s="279">
        <f>BC74-BC89</f>
        <v/>
      </c>
      <c r="BD91" s="279">
        <f>BD74-BD89</f>
        <v/>
      </c>
      <c r="BE91" s="279">
        <f>BE74-BE89</f>
        <v/>
      </c>
      <c r="BF91" s="279">
        <f>BF74-BF89</f>
        <v/>
      </c>
      <c r="BG91" s="280" t="n"/>
      <c r="BH91" s="350" t="inlineStr">
        <is>
          <t>checks assets = liabilities + equity, must be 0</t>
        </is>
      </c>
      <c r="BI91" s="280" t="n"/>
      <c r="BJ91" s="280" t="n"/>
    </row>
    <row r="92" ht="15.75" customHeight="1" s="349">
      <c r="A92" s="226" t="n"/>
      <c r="B92" s="233" t="n"/>
      <c r="C92" s="233" t="n"/>
      <c r="D92" s="233" t="n"/>
      <c r="E92" s="233" t="n"/>
      <c r="F92" s="233" t="n"/>
      <c r="G92" s="233" t="n"/>
      <c r="H92" s="233" t="n"/>
      <c r="I92" s="233" t="n"/>
      <c r="J92" s="233" t="n"/>
      <c r="K92" s="233" t="n"/>
      <c r="L92" s="233" t="n"/>
      <c r="M92" s="233" t="n"/>
      <c r="N92" s="233" t="n"/>
      <c r="O92" s="233" t="n"/>
      <c r="P92" s="233" t="n"/>
      <c r="Q92" s="233" t="n"/>
      <c r="R92" s="233" t="n"/>
      <c r="S92" s="233" t="n"/>
      <c r="T92" s="233" t="n"/>
      <c r="U92" s="233" t="n"/>
      <c r="V92" s="233" t="n"/>
      <c r="W92" s="233" t="n"/>
      <c r="X92" s="233" t="n"/>
      <c r="Y92" s="233" t="n"/>
      <c r="Z92" s="233" t="n"/>
      <c r="AA92" s="233" t="n"/>
      <c r="AB92" s="233" t="n"/>
      <c r="AC92" s="233" t="n"/>
      <c r="AD92" s="233" t="n"/>
      <c r="AE92" s="233" t="n"/>
      <c r="AF92" s="233" t="n"/>
      <c r="AG92" s="233" t="n"/>
      <c r="AH92" s="233" t="n"/>
      <c r="AI92" s="233" t="n"/>
      <c r="AJ92" s="233" t="n"/>
      <c r="AK92" s="233" t="n"/>
      <c r="AL92" s="233" t="n"/>
      <c r="AM92" s="233" t="n"/>
      <c r="AN92" s="233" t="n"/>
      <c r="AO92" s="233" t="n"/>
      <c r="AP92" s="233" t="n"/>
      <c r="AQ92" s="233" t="n"/>
      <c r="AR92" s="233" t="n"/>
      <c r="AS92" s="233" t="n"/>
      <c r="AT92" s="233" t="n"/>
      <c r="AU92" s="233" t="n"/>
      <c r="AV92" s="233" t="n"/>
      <c r="AW92" s="233" t="n"/>
      <c r="AX92" s="233" t="n"/>
      <c r="AY92" s="233" t="n"/>
      <c r="AZ92" s="233" t="n"/>
      <c r="BA92" s="226" t="n"/>
      <c r="BB92" s="233" t="n"/>
      <c r="BC92" s="233" t="n"/>
      <c r="BD92" s="233" t="n"/>
      <c r="BE92" s="233" t="n"/>
      <c r="BF92" s="233" t="n"/>
      <c r="BG92" s="226" t="n"/>
      <c r="BH92" s="350" t="n"/>
      <c r="BI92" s="226" t="n"/>
      <c r="BJ92" s="226" t="n"/>
    </row>
    <row r="93" ht="15.75" customHeight="1" s="349">
      <c r="A93" s="226" t="n"/>
      <c r="B93" s="233" t="inlineStr">
        <is>
          <t>Cumulative turbineketels (helper)</t>
        </is>
      </c>
      <c r="C93" s="233" t="n"/>
      <c r="D93" s="233" t="n"/>
      <c r="E93" s="233">
        <f>'Revenue Forecast'!E34</f>
        <v/>
      </c>
      <c r="F93" s="233">
        <f>E93+'Revenue Forecast'!F34</f>
        <v/>
      </c>
      <c r="G93" s="233">
        <f>F93+'Revenue Forecast'!G34</f>
        <v/>
      </c>
      <c r="H93" s="233">
        <f>G93+'Revenue Forecast'!H34</f>
        <v/>
      </c>
      <c r="I93" s="233">
        <f>H93+'Revenue Forecast'!I34</f>
        <v/>
      </c>
      <c r="J93" s="233">
        <f>I93+'Revenue Forecast'!J34</f>
        <v/>
      </c>
      <c r="K93" s="233">
        <f>J93+'Revenue Forecast'!K34</f>
        <v/>
      </c>
      <c r="L93" s="233">
        <f>K93+'Revenue Forecast'!L34</f>
        <v/>
      </c>
      <c r="M93" s="233">
        <f>L93+'Revenue Forecast'!M34</f>
        <v/>
      </c>
      <c r="N93" s="233">
        <f>M93+'Revenue Forecast'!N34</f>
        <v/>
      </c>
      <c r="O93" s="233">
        <f>N93+'Revenue Forecast'!O34</f>
        <v/>
      </c>
      <c r="P93" s="233">
        <f>O93+'Revenue Forecast'!P34</f>
        <v/>
      </c>
      <c r="Q93" s="233">
        <f>P93+'Revenue Forecast'!Q34</f>
        <v/>
      </c>
      <c r="R93" s="233">
        <f>Q93+'Revenue Forecast'!R34</f>
        <v/>
      </c>
      <c r="S93" s="233">
        <f>R93+'Revenue Forecast'!S34</f>
        <v/>
      </c>
      <c r="T93" s="233">
        <f>S93+'Revenue Forecast'!T34</f>
        <v/>
      </c>
      <c r="U93" s="233">
        <f>T93+'Revenue Forecast'!U34</f>
        <v/>
      </c>
      <c r="V93" s="233">
        <f>U93+'Revenue Forecast'!V34</f>
        <v/>
      </c>
      <c r="W93" s="233">
        <f>V93+'Revenue Forecast'!W34</f>
        <v/>
      </c>
      <c r="X93" s="233">
        <f>W93+'Revenue Forecast'!X34</f>
        <v/>
      </c>
      <c r="Y93" s="233">
        <f>X93+'Revenue Forecast'!Y34</f>
        <v/>
      </c>
      <c r="Z93" s="233">
        <f>Y93+'Revenue Forecast'!Z34</f>
        <v/>
      </c>
      <c r="AA93" s="233">
        <f>Z93+'Revenue Forecast'!AA34</f>
        <v/>
      </c>
      <c r="AB93" s="233">
        <f>AA93+'Revenue Forecast'!AB34</f>
        <v/>
      </c>
      <c r="AC93" s="233">
        <f>AB93+'Revenue Forecast'!AC34</f>
        <v/>
      </c>
      <c r="AD93" s="233">
        <f>AC93+'Revenue Forecast'!AD34</f>
        <v/>
      </c>
      <c r="AE93" s="233">
        <f>AD93+'Revenue Forecast'!AE34</f>
        <v/>
      </c>
      <c r="AF93" s="233">
        <f>AE93+'Revenue Forecast'!AF34</f>
        <v/>
      </c>
      <c r="AG93" s="233">
        <f>AF93+'Revenue Forecast'!AG34</f>
        <v/>
      </c>
      <c r="AH93" s="233">
        <f>AG93+'Revenue Forecast'!AH34</f>
        <v/>
      </c>
      <c r="AI93" s="233">
        <f>AH93+'Revenue Forecast'!AI34</f>
        <v/>
      </c>
      <c r="AJ93" s="233">
        <f>AI93+'Revenue Forecast'!AJ34</f>
        <v/>
      </c>
      <c r="AK93" s="233">
        <f>AJ93+'Revenue Forecast'!AK34</f>
        <v/>
      </c>
      <c r="AL93" s="233">
        <f>AK93+'Revenue Forecast'!AL34</f>
        <v/>
      </c>
      <c r="AM93" s="233">
        <f>AL93+'Revenue Forecast'!AM34</f>
        <v/>
      </c>
      <c r="AN93" s="233">
        <f>AM93+'Revenue Forecast'!AN34</f>
        <v/>
      </c>
      <c r="AO93" s="233">
        <f>AN93+'Revenue Forecast'!AO34</f>
        <v/>
      </c>
      <c r="AP93" s="233">
        <f>AO93+'Revenue Forecast'!AP34</f>
        <v/>
      </c>
      <c r="AQ93" s="233">
        <f>AP93+'Revenue Forecast'!AQ34</f>
        <v/>
      </c>
      <c r="AR93" s="233">
        <f>AQ93+'Revenue Forecast'!AR34</f>
        <v/>
      </c>
      <c r="AS93" s="233">
        <f>AR93+'Revenue Forecast'!AS34</f>
        <v/>
      </c>
      <c r="AT93" s="233">
        <f>AS93+'Revenue Forecast'!AT34</f>
        <v/>
      </c>
      <c r="AU93" s="233">
        <f>AT93+'Revenue Forecast'!AU34</f>
        <v/>
      </c>
      <c r="AV93" s="233">
        <f>AU93+'Revenue Forecast'!AV34</f>
        <v/>
      </c>
      <c r="AW93" s="233">
        <f>AV93+'Revenue Forecast'!AW34</f>
        <v/>
      </c>
      <c r="AX93" s="233">
        <f>AW93+'Revenue Forecast'!AX34</f>
        <v/>
      </c>
      <c r="AY93" s="233">
        <f>AX93+'Revenue Forecast'!AY34</f>
        <v/>
      </c>
      <c r="AZ93" s="233">
        <f>AY93+'Revenue Forecast'!AZ34</f>
        <v/>
      </c>
      <c r="BA93" s="226" t="n"/>
      <c r="BB93" s="233" t="n"/>
      <c r="BC93" s="233" t="n"/>
      <c r="BD93" s="233" t="n"/>
      <c r="BE93" s="233" t="n"/>
      <c r="BF93" s="233" t="n"/>
      <c r="BG93" s="226" t="n"/>
      <c r="BH93" s="350" t="inlineStr">
        <is>
          <t>running count of ketels ever sold. feeds the COGS volume tiers</t>
        </is>
      </c>
      <c r="BI93" s="226" t="n"/>
      <c r="BJ93" s="226" t="n"/>
    </row>
    <row r="94" ht="15.75" customHeight="1" s="349">
      <c r="A94" s="226" t="n"/>
      <c r="B94" s="233" t="n"/>
      <c r="C94" s="233" t="n"/>
      <c r="D94" s="233" t="n"/>
      <c r="E94" s="233" t="n"/>
      <c r="F94" s="233" t="n"/>
      <c r="G94" s="233" t="n"/>
      <c r="H94" s="233" t="n"/>
      <c r="I94" s="233" t="n"/>
      <c r="J94" s="233" t="n"/>
      <c r="K94" s="233" t="n"/>
      <c r="L94" s="233" t="n"/>
      <c r="M94" s="233" t="n"/>
      <c r="N94" s="233" t="n"/>
      <c r="O94" s="233" t="n"/>
      <c r="P94" s="233" t="n"/>
      <c r="Q94" s="233" t="n"/>
      <c r="R94" s="233" t="n"/>
      <c r="S94" s="233" t="n"/>
      <c r="T94" s="233" t="n"/>
      <c r="U94" s="233" t="n"/>
      <c r="V94" s="233" t="n"/>
      <c r="W94" s="233" t="n"/>
      <c r="X94" s="233" t="n"/>
      <c r="Y94" s="233" t="n"/>
      <c r="Z94" s="233" t="n"/>
      <c r="AA94" s="233" t="n"/>
      <c r="AB94" s="233" t="n"/>
      <c r="AC94" s="233" t="n"/>
      <c r="AD94" s="233" t="n"/>
      <c r="AE94" s="233" t="n"/>
      <c r="AF94" s="233" t="n"/>
      <c r="AG94" s="233" t="n"/>
      <c r="AH94" s="233" t="n"/>
      <c r="AI94" s="233" t="n"/>
      <c r="AJ94" s="233" t="n"/>
      <c r="AK94" s="233" t="n"/>
      <c r="AL94" s="233" t="n"/>
      <c r="AM94" s="233" t="n"/>
      <c r="AN94" s="233" t="n"/>
      <c r="AO94" s="233" t="n"/>
      <c r="AP94" s="233" t="n"/>
      <c r="AQ94" s="233" t="n"/>
      <c r="AR94" s="233" t="n"/>
      <c r="AS94" s="233" t="n"/>
      <c r="AT94" s="233" t="n"/>
      <c r="AU94" s="233" t="n"/>
      <c r="AV94" s="233" t="n"/>
      <c r="AW94" s="233" t="n"/>
      <c r="AX94" s="233" t="n"/>
      <c r="AY94" s="233" t="n"/>
      <c r="AZ94" s="233" t="n"/>
      <c r="BA94" s="226" t="n"/>
      <c r="BB94" s="233" t="n"/>
      <c r="BC94" s="233" t="n"/>
      <c r="BD94" s="233" t="n"/>
      <c r="BE94" s="233" t="n"/>
      <c r="BF94" s="233" t="n"/>
      <c r="BG94" s="226" t="n"/>
      <c r="BH94" s="226" t="n"/>
      <c r="BI94" s="226" t="n"/>
      <c r="BJ94" s="226" t="n"/>
    </row>
    <row r="95" ht="15.75" customHeight="1" s="349">
      <c r="A95" s="31" t="n"/>
      <c r="B95" s="307" t="n"/>
      <c r="C95" s="307" t="n"/>
      <c r="D95" s="307" t="n"/>
      <c r="E95" s="307" t="n"/>
      <c r="F95" s="307" t="n"/>
      <c r="G95" s="307" t="n"/>
      <c r="H95" s="307" t="n"/>
      <c r="I95" s="307" t="n"/>
      <c r="J95" s="307" t="n"/>
      <c r="K95" s="307" t="n"/>
      <c r="L95" s="307" t="n"/>
      <c r="M95" s="307" t="n"/>
      <c r="N95" s="307" t="n"/>
      <c r="O95" s="307" t="n"/>
      <c r="P95" s="307" t="n"/>
      <c r="Q95" s="307" t="n"/>
      <c r="R95" s="307" t="n"/>
      <c r="S95" s="307" t="n"/>
      <c r="T95" s="307" t="n"/>
      <c r="U95" s="307" t="n"/>
      <c r="V95" s="307" t="n"/>
      <c r="W95" s="307" t="n"/>
      <c r="X95" s="307" t="n"/>
      <c r="Y95" s="307" t="n"/>
      <c r="Z95" s="307" t="n"/>
      <c r="AA95" s="307" t="n"/>
      <c r="AB95" s="307" t="n"/>
      <c r="AC95" s="307" t="n"/>
      <c r="AD95" s="307" t="n"/>
      <c r="AE95" s="307" t="n"/>
      <c r="AF95" s="307" t="n"/>
      <c r="AG95" s="307" t="n"/>
      <c r="AH95" s="307" t="n"/>
      <c r="AI95" s="307" t="n"/>
      <c r="AJ95" s="307" t="n"/>
      <c r="AK95" s="307" t="n"/>
      <c r="AL95" s="307" t="n"/>
      <c r="AM95" s="307" t="n"/>
      <c r="AN95" s="307" t="n"/>
      <c r="AO95" s="307" t="n"/>
      <c r="AP95" s="307" t="n"/>
      <c r="AQ95" s="307" t="n"/>
      <c r="AR95" s="307" t="n"/>
      <c r="AS95" s="307" t="n"/>
      <c r="AT95" s="307" t="n"/>
      <c r="AU95" s="307" t="n"/>
      <c r="AV95" s="307" t="n"/>
      <c r="AW95" s="307" t="n"/>
      <c r="AX95" s="307" t="n"/>
      <c r="AY95" s="307" t="n"/>
      <c r="AZ95" s="307" t="n"/>
      <c r="BA95" s="31" t="n"/>
      <c r="BB95" s="307" t="n"/>
      <c r="BC95" s="307" t="n"/>
      <c r="BD95" s="307" t="n"/>
      <c r="BE95" s="307" t="n"/>
      <c r="BF95" s="307" t="n"/>
      <c r="BG95" s="31" t="n"/>
      <c r="BH95" s="31" t="n"/>
      <c r="BI95" s="31" t="n"/>
      <c r="BJ95" s="31" t="n"/>
    </row>
    <row r="96" ht="15.75" customHeight="1" s="349">
      <c r="A96" s="31" t="n"/>
      <c r="B96" s="307" t="n"/>
      <c r="C96" s="307" t="n"/>
      <c r="D96" s="307" t="n"/>
      <c r="E96" s="307" t="n"/>
      <c r="F96" s="307" t="n"/>
      <c r="G96" s="307" t="n"/>
      <c r="H96" s="307" t="n"/>
      <c r="I96" s="307" t="n"/>
      <c r="J96" s="307" t="n"/>
      <c r="K96" s="307" t="n"/>
      <c r="L96" s="307" t="n"/>
      <c r="M96" s="307" t="n"/>
      <c r="N96" s="307" t="n"/>
      <c r="O96" s="307" t="n"/>
      <c r="P96" s="307" t="n"/>
      <c r="Q96" s="307" t="n"/>
      <c r="R96" s="307" t="n"/>
      <c r="S96" s="307" t="n"/>
      <c r="T96" s="307" t="n"/>
      <c r="U96" s="307" t="n"/>
      <c r="V96" s="307" t="n"/>
      <c r="W96" s="307" t="n"/>
      <c r="X96" s="307" t="n"/>
      <c r="Y96" s="307" t="n"/>
      <c r="Z96" s="307" t="n"/>
      <c r="AA96" s="307" t="n"/>
      <c r="AB96" s="307" t="n"/>
      <c r="AC96" s="307" t="n"/>
      <c r="AD96" s="307" t="n"/>
      <c r="AE96" s="307" t="n"/>
      <c r="AF96" s="307" t="n"/>
      <c r="AG96" s="307" t="n"/>
      <c r="AH96" s="307" t="n"/>
      <c r="AI96" s="307" t="n"/>
      <c r="AJ96" s="307" t="n"/>
      <c r="AK96" s="307" t="n"/>
      <c r="AL96" s="307" t="n"/>
      <c r="AM96" s="307" t="n"/>
      <c r="AN96" s="307" t="n"/>
      <c r="AO96" s="307" t="n"/>
      <c r="AP96" s="307" t="n"/>
      <c r="AQ96" s="307" t="n"/>
      <c r="AR96" s="307" t="n"/>
      <c r="AS96" s="307" t="n"/>
      <c r="AT96" s="307" t="n"/>
      <c r="AU96" s="307" t="n"/>
      <c r="AV96" s="307" t="n"/>
      <c r="AW96" s="307" t="n"/>
      <c r="AX96" s="307" t="n"/>
      <c r="AY96" s="307" t="n"/>
      <c r="AZ96" s="307" t="n"/>
      <c r="BA96" s="31" t="n"/>
      <c r="BB96" s="307" t="n"/>
      <c r="BC96" s="307" t="n"/>
      <c r="BD96" s="307" t="n"/>
      <c r="BE96" s="307" t="n"/>
      <c r="BF96" s="307" t="n"/>
      <c r="BG96" s="31" t="n"/>
      <c r="BH96" s="31" t="n"/>
      <c r="BI96" s="31" t="n"/>
      <c r="BJ96" s="31" t="n"/>
    </row>
    <row r="97" ht="15.75" customHeight="1" s="349">
      <c r="A97" s="31" t="n"/>
      <c r="B97" s="307" t="n"/>
      <c r="C97" s="307" t="n"/>
      <c r="D97" s="307" t="n"/>
      <c r="E97" s="307" t="n"/>
      <c r="F97" s="307" t="n"/>
      <c r="G97" s="307" t="n"/>
      <c r="H97" s="307" t="n"/>
      <c r="I97" s="307" t="n"/>
      <c r="J97" s="307" t="n"/>
      <c r="K97" s="307" t="n"/>
      <c r="L97" s="307" t="n"/>
      <c r="M97" s="307" t="n"/>
      <c r="N97" s="307" t="n"/>
      <c r="O97" s="307" t="n"/>
      <c r="P97" s="307" t="n"/>
      <c r="Q97" s="307" t="n"/>
      <c r="R97" s="307" t="n"/>
      <c r="S97" s="307" t="n"/>
      <c r="T97" s="307" t="n"/>
      <c r="U97" s="307" t="n"/>
      <c r="V97" s="307" t="n"/>
      <c r="W97" s="307" t="n"/>
      <c r="X97" s="307" t="n"/>
      <c r="Y97" s="307" t="n"/>
      <c r="Z97" s="307" t="n"/>
      <c r="AA97" s="307" t="n"/>
      <c r="AB97" s="307" t="n"/>
      <c r="AC97" s="307" t="n"/>
      <c r="AD97" s="307" t="n"/>
      <c r="AE97" s="307" t="n"/>
      <c r="AF97" s="307" t="n"/>
      <c r="AG97" s="307" t="n"/>
      <c r="AH97" s="307" t="n"/>
      <c r="AI97" s="307" t="n"/>
      <c r="AJ97" s="307" t="n"/>
      <c r="AK97" s="307" t="n"/>
      <c r="AL97" s="307" t="n"/>
      <c r="AM97" s="307" t="n"/>
      <c r="AN97" s="307" t="n"/>
      <c r="AO97" s="307" t="n"/>
      <c r="AP97" s="307" t="n"/>
      <c r="AQ97" s="307" t="n"/>
      <c r="AR97" s="307" t="n"/>
      <c r="AS97" s="307" t="n"/>
      <c r="AT97" s="307" t="n"/>
      <c r="AU97" s="307" t="n"/>
      <c r="AV97" s="307" t="n"/>
      <c r="AW97" s="307" t="n"/>
      <c r="AX97" s="307" t="n"/>
      <c r="AY97" s="307" t="n"/>
      <c r="AZ97" s="307" t="n"/>
      <c r="BA97" s="31" t="n"/>
      <c r="BB97" s="307" t="n"/>
      <c r="BC97" s="307" t="n"/>
      <c r="BD97" s="307" t="n"/>
      <c r="BE97" s="307" t="n"/>
      <c r="BF97" s="307" t="n"/>
      <c r="BG97" s="31" t="n"/>
      <c r="BH97" s="31" t="n"/>
      <c r="BI97" s="31" t="n"/>
      <c r="BJ97" s="31" t="n"/>
    </row>
    <row r="98" ht="15.75" customHeight="1" s="349">
      <c r="A98" s="31" t="n"/>
      <c r="B98" s="307" t="n"/>
      <c r="C98" s="307" t="n"/>
      <c r="D98" s="307" t="n"/>
      <c r="E98" s="307" t="n"/>
      <c r="F98" s="307" t="n"/>
      <c r="G98" s="307" t="n"/>
      <c r="H98" s="307" t="n"/>
      <c r="I98" s="307" t="n"/>
      <c r="J98" s="307" t="n"/>
      <c r="K98" s="307" t="n"/>
      <c r="L98" s="307" t="n"/>
      <c r="M98" s="307" t="n"/>
      <c r="N98" s="307" t="n"/>
      <c r="O98" s="307" t="n"/>
      <c r="P98" s="307" t="n"/>
      <c r="Q98" s="307" t="n"/>
      <c r="R98" s="307" t="n"/>
      <c r="S98" s="307" t="n"/>
      <c r="T98" s="307" t="n"/>
      <c r="U98" s="307" t="n"/>
      <c r="V98" s="307" t="n"/>
      <c r="W98" s="307" t="n"/>
      <c r="X98" s="307" t="n"/>
      <c r="Y98" s="307" t="n"/>
      <c r="Z98" s="307" t="n"/>
      <c r="AA98" s="307" t="n"/>
      <c r="AB98" s="307" t="n"/>
      <c r="AC98" s="307" t="n"/>
      <c r="AD98" s="307" t="n"/>
      <c r="AE98" s="307" t="n"/>
      <c r="AF98" s="307" t="n"/>
      <c r="AG98" s="307" t="n"/>
      <c r="AH98" s="307" t="n"/>
      <c r="AI98" s="307" t="n"/>
      <c r="AJ98" s="307" t="n"/>
      <c r="AK98" s="307" t="n"/>
      <c r="AL98" s="307" t="n"/>
      <c r="AM98" s="307" t="n"/>
      <c r="AN98" s="307" t="n"/>
      <c r="AO98" s="307" t="n"/>
      <c r="AP98" s="307" t="n"/>
      <c r="AQ98" s="307" t="n"/>
      <c r="AR98" s="307" t="n"/>
      <c r="AS98" s="307" t="n"/>
      <c r="AT98" s="307" t="n"/>
      <c r="AU98" s="307" t="n"/>
      <c r="AV98" s="307" t="n"/>
      <c r="AW98" s="307" t="n"/>
      <c r="AX98" s="307" t="n"/>
      <c r="AY98" s="307" t="n"/>
      <c r="AZ98" s="307" t="n"/>
      <c r="BA98" s="31" t="n"/>
      <c r="BB98" s="307" t="n"/>
      <c r="BC98" s="307" t="n"/>
      <c r="BD98" s="307" t="n"/>
      <c r="BE98" s="307" t="n"/>
      <c r="BF98" s="307" t="n"/>
      <c r="BG98" s="31" t="n"/>
      <c r="BH98" s="31" t="n"/>
      <c r="BI98" s="31" t="n"/>
      <c r="BJ98" s="31" t="n"/>
    </row>
    <row r="99" ht="15.75" customHeight="1" s="349">
      <c r="A99" s="31" t="n"/>
      <c r="B99" s="307" t="n"/>
      <c r="C99" s="307" t="n"/>
      <c r="D99" s="307" t="n"/>
      <c r="E99" s="307" t="n"/>
      <c r="F99" s="307" t="n"/>
      <c r="G99" s="307" t="n"/>
      <c r="H99" s="307" t="n"/>
      <c r="I99" s="307" t="n"/>
      <c r="J99" s="307" t="n"/>
      <c r="K99" s="307" t="n"/>
      <c r="L99" s="307" t="n"/>
      <c r="M99" s="307" t="n"/>
      <c r="N99" s="307" t="n"/>
      <c r="O99" s="307" t="n"/>
      <c r="P99" s="307" t="n"/>
      <c r="Q99" s="307" t="n"/>
      <c r="R99" s="307" t="n"/>
      <c r="S99" s="307" t="n"/>
      <c r="T99" s="307" t="n"/>
      <c r="U99" s="307" t="n"/>
      <c r="V99" s="307" t="n"/>
      <c r="W99" s="307" t="n"/>
      <c r="X99" s="307" t="n"/>
      <c r="Y99" s="307" t="n"/>
      <c r="Z99" s="307" t="n"/>
      <c r="AA99" s="307" t="n"/>
      <c r="AB99" s="307" t="n"/>
      <c r="AC99" s="307" t="n"/>
      <c r="AD99" s="307" t="n"/>
      <c r="AE99" s="307" t="n"/>
      <c r="AF99" s="307" t="n"/>
      <c r="AG99" s="307" t="n"/>
      <c r="AH99" s="307" t="n"/>
      <c r="AI99" s="307" t="n"/>
      <c r="AJ99" s="307" t="n"/>
      <c r="AK99" s="307" t="n"/>
      <c r="AL99" s="307" t="n"/>
      <c r="AM99" s="307" t="n"/>
      <c r="AN99" s="307" t="n"/>
      <c r="AO99" s="307" t="n"/>
      <c r="AP99" s="307" t="n"/>
      <c r="AQ99" s="307" t="n"/>
      <c r="AR99" s="307" t="n"/>
      <c r="AS99" s="307" t="n"/>
      <c r="AT99" s="307" t="n"/>
      <c r="AU99" s="307" t="n"/>
      <c r="AV99" s="307" t="n"/>
      <c r="AW99" s="307" t="n"/>
      <c r="AX99" s="307" t="n"/>
      <c r="AY99" s="307" t="n"/>
      <c r="AZ99" s="307" t="n"/>
      <c r="BA99" s="31" t="n"/>
      <c r="BB99" s="307" t="n"/>
      <c r="BC99" s="307" t="n"/>
      <c r="BD99" s="307" t="n"/>
      <c r="BE99" s="307" t="n"/>
      <c r="BF99" s="307" t="n"/>
      <c r="BG99" s="31" t="n"/>
      <c r="BH99" s="31" t="n"/>
      <c r="BI99" s="31" t="n"/>
      <c r="BJ99" s="31" t="n"/>
    </row>
    <row r="100" ht="15.75" customHeight="1" s="349">
      <c r="A100" s="31" t="n"/>
      <c r="B100" s="307" t="n"/>
      <c r="C100" s="307" t="n"/>
      <c r="D100" s="307" t="n"/>
      <c r="E100" s="307" t="n"/>
      <c r="F100" s="307" t="n"/>
      <c r="G100" s="307" t="n"/>
      <c r="H100" s="307" t="n"/>
      <c r="I100" s="307" t="n"/>
      <c r="J100" s="307" t="n"/>
      <c r="K100" s="307" t="n"/>
      <c r="L100" s="307" t="n"/>
      <c r="M100" s="307" t="n"/>
      <c r="N100" s="307" t="n"/>
      <c r="O100" s="307" t="n"/>
      <c r="P100" s="307" t="n"/>
      <c r="Q100" s="307" t="n"/>
      <c r="R100" s="307" t="n"/>
      <c r="S100" s="307" t="n"/>
      <c r="T100" s="307" t="n"/>
      <c r="U100" s="307" t="n"/>
      <c r="V100" s="307" t="n"/>
      <c r="W100" s="307" t="n"/>
      <c r="X100" s="307" t="n"/>
      <c r="Y100" s="307" t="n"/>
      <c r="Z100" s="307" t="n"/>
      <c r="AA100" s="307" t="n"/>
      <c r="AB100" s="307" t="n"/>
      <c r="AC100" s="307" t="n"/>
      <c r="AD100" s="307" t="n"/>
      <c r="AE100" s="307" t="n"/>
      <c r="AF100" s="307" t="n"/>
      <c r="AG100" s="307" t="n"/>
      <c r="AH100" s="307" t="n"/>
      <c r="AI100" s="307" t="n"/>
      <c r="AJ100" s="307" t="n"/>
      <c r="AK100" s="307" t="n"/>
      <c r="AL100" s="307" t="n"/>
      <c r="AM100" s="307" t="n"/>
      <c r="AN100" s="307" t="n"/>
      <c r="AO100" s="307" t="n"/>
      <c r="AP100" s="307" t="n"/>
      <c r="AQ100" s="307" t="n"/>
      <c r="AR100" s="307" t="n"/>
      <c r="AS100" s="307" t="n"/>
      <c r="AT100" s="307" t="n"/>
      <c r="AU100" s="307" t="n"/>
      <c r="AV100" s="307" t="n"/>
      <c r="AW100" s="307" t="n"/>
      <c r="AX100" s="307" t="n"/>
      <c r="AY100" s="307" t="n"/>
      <c r="AZ100" s="307" t="n"/>
      <c r="BA100" s="31" t="n"/>
      <c r="BB100" s="307" t="n"/>
      <c r="BC100" s="307" t="n"/>
      <c r="BD100" s="307" t="n"/>
      <c r="BE100" s="307" t="n"/>
      <c r="BF100" s="307" t="n"/>
      <c r="BG100" s="31" t="n"/>
      <c r="BH100" s="31" t="n"/>
      <c r="BI100" s="31" t="n"/>
      <c r="BJ100" s="31" t="n"/>
    </row>
    <row r="101" ht="15.75" customHeight="1" s="349">
      <c r="A101" s="31" t="n"/>
      <c r="B101" s="307" t="n"/>
      <c r="C101" s="307" t="n"/>
      <c r="D101" s="307" t="n"/>
      <c r="E101" s="307" t="n"/>
      <c r="F101" s="307" t="n"/>
      <c r="G101" s="307" t="n"/>
      <c r="H101" s="307" t="n"/>
      <c r="I101" s="307" t="n"/>
      <c r="J101" s="307" t="n"/>
      <c r="K101" s="307" t="n"/>
      <c r="L101" s="307" t="n"/>
      <c r="M101" s="307" t="n"/>
      <c r="N101" s="307" t="n"/>
      <c r="O101" s="307" t="n"/>
      <c r="P101" s="307" t="n"/>
      <c r="Q101" s="307" t="n"/>
      <c r="R101" s="307" t="n"/>
      <c r="S101" s="307" t="n"/>
      <c r="T101" s="307" t="n"/>
      <c r="U101" s="307" t="n"/>
      <c r="V101" s="307" t="n"/>
      <c r="W101" s="307" t="n"/>
      <c r="X101" s="307" t="n"/>
      <c r="Y101" s="307" t="n"/>
      <c r="Z101" s="307" t="n"/>
      <c r="AA101" s="307" t="n"/>
      <c r="AB101" s="307" t="n"/>
      <c r="AC101" s="307" t="n"/>
      <c r="AD101" s="307" t="n"/>
      <c r="AE101" s="307" t="n"/>
      <c r="AF101" s="307" t="n"/>
      <c r="AG101" s="307" t="n"/>
      <c r="AH101" s="307" t="n"/>
      <c r="AI101" s="307" t="n"/>
      <c r="AJ101" s="307" t="n"/>
      <c r="AK101" s="307" t="n"/>
      <c r="AL101" s="307" t="n"/>
      <c r="AM101" s="307" t="n"/>
      <c r="AN101" s="307" t="n"/>
      <c r="AO101" s="307" t="n"/>
      <c r="AP101" s="307" t="n"/>
      <c r="AQ101" s="307" t="n"/>
      <c r="AR101" s="307" t="n"/>
      <c r="AS101" s="307" t="n"/>
      <c r="AT101" s="307" t="n"/>
      <c r="AU101" s="307" t="n"/>
      <c r="AV101" s="307" t="n"/>
      <c r="AW101" s="307" t="n"/>
      <c r="AX101" s="307" t="n"/>
      <c r="AY101" s="307" t="n"/>
      <c r="AZ101" s="307" t="n"/>
      <c r="BA101" s="31" t="n"/>
      <c r="BB101" s="307" t="n"/>
      <c r="BC101" s="307" t="n"/>
      <c r="BD101" s="307" t="n"/>
      <c r="BE101" s="307" t="n"/>
      <c r="BF101" s="307" t="n"/>
      <c r="BG101" s="31" t="n"/>
      <c r="BH101" s="31" t="n"/>
      <c r="BI101" s="31" t="n"/>
      <c r="BJ101" s="31" t="n"/>
    </row>
    <row r="102" ht="15.75" customHeight="1" s="349">
      <c r="A102" s="31" t="n"/>
      <c r="B102" s="307" t="n"/>
      <c r="C102" s="307" t="n"/>
      <c r="D102" s="307" t="n"/>
      <c r="E102" s="307" t="n"/>
      <c r="F102" s="307" t="n"/>
      <c r="G102" s="307" t="n"/>
      <c r="H102" s="307" t="n"/>
      <c r="I102" s="307" t="n"/>
      <c r="J102" s="307" t="n"/>
      <c r="K102" s="307" t="n"/>
      <c r="L102" s="307" t="n"/>
      <c r="M102" s="307" t="n"/>
      <c r="N102" s="307" t="n"/>
      <c r="O102" s="307" t="n"/>
      <c r="P102" s="307" t="n"/>
      <c r="Q102" s="307" t="n"/>
      <c r="R102" s="307" t="n"/>
      <c r="S102" s="307" t="n"/>
      <c r="T102" s="307" t="n"/>
      <c r="U102" s="307" t="n"/>
      <c r="V102" s="307" t="n"/>
      <c r="W102" s="307" t="n"/>
      <c r="X102" s="307" t="n"/>
      <c r="Y102" s="307" t="n"/>
      <c r="Z102" s="307" t="n"/>
      <c r="AA102" s="307" t="n"/>
      <c r="AB102" s="307" t="n"/>
      <c r="AC102" s="307" t="n"/>
      <c r="AD102" s="307" t="n"/>
      <c r="AE102" s="307" t="n"/>
      <c r="AF102" s="307" t="n"/>
      <c r="AG102" s="307" t="n"/>
      <c r="AH102" s="307" t="n"/>
      <c r="AI102" s="307" t="n"/>
      <c r="AJ102" s="307" t="n"/>
      <c r="AK102" s="307" t="n"/>
      <c r="AL102" s="307" t="n"/>
      <c r="AM102" s="307" t="n"/>
      <c r="AN102" s="307" t="n"/>
      <c r="AO102" s="307" t="n"/>
      <c r="AP102" s="307" t="n"/>
      <c r="AQ102" s="307" t="n"/>
      <c r="AR102" s="307" t="n"/>
      <c r="AS102" s="307" t="n"/>
      <c r="AT102" s="307" t="n"/>
      <c r="AU102" s="307" t="n"/>
      <c r="AV102" s="307" t="n"/>
      <c r="AW102" s="307" t="n"/>
      <c r="AX102" s="307" t="n"/>
      <c r="AY102" s="307" t="n"/>
      <c r="AZ102" s="307" t="n"/>
      <c r="BA102" s="31" t="n"/>
      <c r="BB102" s="307" t="n"/>
      <c r="BC102" s="307" t="n"/>
      <c r="BD102" s="307" t="n"/>
      <c r="BE102" s="307" t="n"/>
      <c r="BF102" s="307" t="n"/>
      <c r="BG102" s="31" t="n"/>
      <c r="BH102" s="31" t="n"/>
      <c r="BI102" s="31" t="n"/>
      <c r="BJ102" s="31" t="n"/>
    </row>
    <row r="103" ht="15.75" customHeight="1" s="349">
      <c r="A103" s="31" t="n"/>
      <c r="B103" s="307" t="n"/>
      <c r="C103" s="307" t="n"/>
      <c r="D103" s="307" t="n"/>
      <c r="E103" s="307" t="n"/>
      <c r="F103" s="307" t="n"/>
      <c r="G103" s="307" t="n"/>
      <c r="H103" s="307" t="n"/>
      <c r="I103" s="307" t="n"/>
      <c r="J103" s="307" t="n"/>
      <c r="K103" s="307" t="n"/>
      <c r="L103" s="307" t="n"/>
      <c r="M103" s="307" t="n"/>
      <c r="N103" s="307" t="n"/>
      <c r="O103" s="307" t="n"/>
      <c r="P103" s="307" t="n"/>
      <c r="Q103" s="307" t="n"/>
      <c r="R103" s="307" t="n"/>
      <c r="S103" s="307" t="n"/>
      <c r="T103" s="307" t="n"/>
      <c r="U103" s="307" t="n"/>
      <c r="V103" s="307" t="n"/>
      <c r="W103" s="307" t="n"/>
      <c r="X103" s="307" t="n"/>
      <c r="Y103" s="307" t="n"/>
      <c r="Z103" s="307" t="n"/>
      <c r="AA103" s="307" t="n"/>
      <c r="AB103" s="307" t="n"/>
      <c r="AC103" s="307" t="n"/>
      <c r="AD103" s="307" t="n"/>
      <c r="AE103" s="307" t="n"/>
      <c r="AF103" s="307" t="n"/>
      <c r="AG103" s="307" t="n"/>
      <c r="AH103" s="307" t="n"/>
      <c r="AI103" s="307" t="n"/>
      <c r="AJ103" s="307" t="n"/>
      <c r="AK103" s="307" t="n"/>
      <c r="AL103" s="307" t="n"/>
      <c r="AM103" s="307" t="n"/>
      <c r="AN103" s="307" t="n"/>
      <c r="AO103" s="307" t="n"/>
      <c r="AP103" s="307" t="n"/>
      <c r="AQ103" s="307" t="n"/>
      <c r="AR103" s="307" t="n"/>
      <c r="AS103" s="307" t="n"/>
      <c r="AT103" s="307" t="n"/>
      <c r="AU103" s="307" t="n"/>
      <c r="AV103" s="307" t="n"/>
      <c r="AW103" s="307" t="n"/>
      <c r="AX103" s="307" t="n"/>
      <c r="AY103" s="307" t="n"/>
      <c r="AZ103" s="307" t="n"/>
      <c r="BA103" s="31" t="n"/>
      <c r="BB103" s="307" t="n"/>
      <c r="BC103" s="307" t="n"/>
      <c r="BD103" s="307" t="n"/>
      <c r="BE103" s="307" t="n"/>
      <c r="BF103" s="307" t="n"/>
      <c r="BG103" s="31" t="n"/>
      <c r="BH103" s="31" t="n"/>
      <c r="BI103" s="31" t="n"/>
      <c r="BJ103" s="31" t="n"/>
    </row>
    <row r="104" ht="15.75" customHeight="1" s="349">
      <c r="A104" s="31" t="n"/>
      <c r="B104" s="307" t="n"/>
      <c r="C104" s="307" t="n"/>
      <c r="D104" s="307" t="n"/>
      <c r="E104" s="307" t="n"/>
      <c r="F104" s="307" t="n"/>
      <c r="G104" s="307" t="n"/>
      <c r="H104" s="307" t="n"/>
      <c r="I104" s="307" t="n"/>
      <c r="J104" s="307" t="n"/>
      <c r="K104" s="307" t="n"/>
      <c r="L104" s="307" t="n"/>
      <c r="M104" s="307" t="n"/>
      <c r="N104" s="307" t="n"/>
      <c r="O104" s="307" t="n"/>
      <c r="P104" s="307" t="n"/>
      <c r="Q104" s="307" t="n"/>
      <c r="R104" s="307" t="n"/>
      <c r="S104" s="307" t="n"/>
      <c r="T104" s="307" t="n"/>
      <c r="U104" s="307" t="n"/>
      <c r="V104" s="307" t="n"/>
      <c r="W104" s="307" t="n"/>
      <c r="X104" s="307" t="n"/>
      <c r="Y104" s="307" t="n"/>
      <c r="Z104" s="307" t="n"/>
      <c r="AA104" s="307" t="n"/>
      <c r="AB104" s="307" t="n"/>
      <c r="AC104" s="307" t="n"/>
      <c r="AD104" s="307" t="n"/>
      <c r="AE104" s="307" t="n"/>
      <c r="AF104" s="307" t="n"/>
      <c r="AG104" s="307" t="n"/>
      <c r="AH104" s="307" t="n"/>
      <c r="AI104" s="307" t="n"/>
      <c r="AJ104" s="307" t="n"/>
      <c r="AK104" s="307" t="n"/>
      <c r="AL104" s="307" t="n"/>
      <c r="AM104" s="307" t="n"/>
      <c r="AN104" s="307" t="n"/>
      <c r="AO104" s="307" t="n"/>
      <c r="AP104" s="307" t="n"/>
      <c r="AQ104" s="307" t="n"/>
      <c r="AR104" s="307" t="n"/>
      <c r="AS104" s="307" t="n"/>
      <c r="AT104" s="307" t="n"/>
      <c r="AU104" s="307" t="n"/>
      <c r="AV104" s="307" t="n"/>
      <c r="AW104" s="307" t="n"/>
      <c r="AX104" s="307" t="n"/>
      <c r="AY104" s="307" t="n"/>
      <c r="AZ104" s="307" t="n"/>
      <c r="BA104" s="31" t="n"/>
      <c r="BB104" s="307" t="n"/>
      <c r="BC104" s="307" t="n"/>
      <c r="BD104" s="307" t="n"/>
      <c r="BE104" s="307" t="n"/>
      <c r="BF104" s="307" t="n"/>
      <c r="BG104" s="31" t="n"/>
      <c r="BH104" s="31" t="n"/>
      <c r="BI104" s="31" t="n"/>
      <c r="BJ104" s="31" t="n"/>
    </row>
    <row r="105" ht="15.75" customHeight="1" s="349">
      <c r="A105" s="31" t="n"/>
      <c r="B105" s="307" t="n"/>
      <c r="C105" s="307" t="n"/>
      <c r="D105" s="307" t="n"/>
      <c r="E105" s="307" t="n"/>
      <c r="F105" s="307" t="n"/>
      <c r="G105" s="307" t="n"/>
      <c r="H105" s="307" t="n"/>
      <c r="I105" s="307" t="n"/>
      <c r="J105" s="307" t="n"/>
      <c r="K105" s="307" t="n"/>
      <c r="L105" s="307" t="n"/>
      <c r="M105" s="307" t="n"/>
      <c r="N105" s="307" t="n"/>
      <c r="O105" s="307" t="n"/>
      <c r="P105" s="307" t="n"/>
      <c r="Q105" s="307" t="n"/>
      <c r="R105" s="307" t="n"/>
      <c r="S105" s="307" t="n"/>
      <c r="T105" s="307" t="n"/>
      <c r="U105" s="307" t="n"/>
      <c r="V105" s="307" t="n"/>
      <c r="W105" s="307" t="n"/>
      <c r="X105" s="307" t="n"/>
      <c r="Y105" s="307" t="n"/>
      <c r="Z105" s="307" t="n"/>
      <c r="AA105" s="307" t="n"/>
      <c r="AB105" s="307" t="n"/>
      <c r="AC105" s="307" t="n"/>
      <c r="AD105" s="307" t="n"/>
      <c r="AE105" s="307" t="n"/>
      <c r="AF105" s="307" t="n"/>
      <c r="AG105" s="307" t="n"/>
      <c r="AH105" s="307" t="n"/>
      <c r="AI105" s="307" t="n"/>
      <c r="AJ105" s="307" t="n"/>
      <c r="AK105" s="307" t="n"/>
      <c r="AL105" s="307" t="n"/>
      <c r="AM105" s="307" t="n"/>
      <c r="AN105" s="307" t="n"/>
      <c r="AO105" s="307" t="n"/>
      <c r="AP105" s="307" t="n"/>
      <c r="AQ105" s="307" t="n"/>
      <c r="AR105" s="307" t="n"/>
      <c r="AS105" s="307" t="n"/>
      <c r="AT105" s="307" t="n"/>
      <c r="AU105" s="307" t="n"/>
      <c r="AV105" s="307" t="n"/>
      <c r="AW105" s="307" t="n"/>
      <c r="AX105" s="307" t="n"/>
      <c r="AY105" s="307" t="n"/>
      <c r="AZ105" s="307" t="n"/>
      <c r="BA105" s="31" t="n"/>
      <c r="BB105" s="307" t="n"/>
      <c r="BC105" s="307" t="n"/>
      <c r="BD105" s="307" t="n"/>
      <c r="BE105" s="307" t="n"/>
      <c r="BF105" s="307" t="n"/>
      <c r="BG105" s="31" t="n"/>
      <c r="BH105" s="31" t="n"/>
      <c r="BI105" s="31" t="n"/>
      <c r="BJ105" s="31" t="n"/>
    </row>
    <row r="106" ht="15.75" customHeight="1" s="349">
      <c r="A106" s="31" t="n"/>
      <c r="B106" s="307" t="n"/>
      <c r="C106" s="307" t="n"/>
      <c r="D106" s="307" t="n"/>
      <c r="E106" s="307" t="n"/>
      <c r="F106" s="307" t="n"/>
      <c r="G106" s="307" t="n"/>
      <c r="H106" s="307" t="n"/>
      <c r="I106" s="307" t="n"/>
      <c r="J106" s="307" t="n"/>
      <c r="K106" s="307" t="n"/>
      <c r="L106" s="307" t="n"/>
      <c r="M106" s="307" t="n"/>
      <c r="N106" s="307" t="n"/>
      <c r="O106" s="307" t="n"/>
      <c r="P106" s="307" t="n"/>
      <c r="Q106" s="307" t="n"/>
      <c r="R106" s="307" t="n"/>
      <c r="S106" s="307" t="n"/>
      <c r="T106" s="307" t="n"/>
      <c r="U106" s="307" t="n"/>
      <c r="V106" s="307" t="n"/>
      <c r="W106" s="307" t="n"/>
      <c r="X106" s="307" t="n"/>
      <c r="Y106" s="307" t="n"/>
      <c r="Z106" s="307" t="n"/>
      <c r="AA106" s="307" t="n"/>
      <c r="AB106" s="307" t="n"/>
      <c r="AC106" s="307" t="n"/>
      <c r="AD106" s="307" t="n"/>
      <c r="AE106" s="307" t="n"/>
      <c r="AF106" s="307" t="n"/>
      <c r="AG106" s="307" t="n"/>
      <c r="AH106" s="307" t="n"/>
      <c r="AI106" s="307" t="n"/>
      <c r="AJ106" s="307" t="n"/>
      <c r="AK106" s="307" t="n"/>
      <c r="AL106" s="307" t="n"/>
      <c r="AM106" s="307" t="n"/>
      <c r="AN106" s="307" t="n"/>
      <c r="AO106" s="307" t="n"/>
      <c r="AP106" s="307" t="n"/>
      <c r="AQ106" s="307" t="n"/>
      <c r="AR106" s="307" t="n"/>
      <c r="AS106" s="307" t="n"/>
      <c r="AT106" s="307" t="n"/>
      <c r="AU106" s="307" t="n"/>
      <c r="AV106" s="307" t="n"/>
      <c r="AW106" s="307" t="n"/>
      <c r="AX106" s="307" t="n"/>
      <c r="AY106" s="307" t="n"/>
      <c r="AZ106" s="307" t="n"/>
      <c r="BA106" s="31" t="n"/>
      <c r="BB106" s="307" t="n"/>
      <c r="BC106" s="307" t="n"/>
      <c r="BD106" s="307" t="n"/>
      <c r="BE106" s="307" t="n"/>
      <c r="BF106" s="307" t="n"/>
      <c r="BG106" s="31" t="n"/>
      <c r="BH106" s="31" t="n"/>
      <c r="BI106" s="31" t="n"/>
      <c r="BJ106" s="31" t="n"/>
    </row>
    <row r="107" ht="15.75" customHeight="1" s="349">
      <c r="A107" s="31" t="n"/>
      <c r="B107" s="307" t="n"/>
      <c r="C107" s="307" t="n"/>
      <c r="D107" s="307" t="n"/>
      <c r="E107" s="307" t="n"/>
      <c r="F107" s="307" t="n"/>
      <c r="G107" s="307" t="n"/>
      <c r="H107" s="307" t="n"/>
      <c r="I107" s="307" t="n"/>
      <c r="J107" s="307" t="n"/>
      <c r="K107" s="307" t="n"/>
      <c r="L107" s="307" t="n"/>
      <c r="M107" s="307" t="n"/>
      <c r="N107" s="307" t="n"/>
      <c r="O107" s="307" t="n"/>
      <c r="P107" s="307" t="n"/>
      <c r="Q107" s="307" t="n"/>
      <c r="R107" s="307" t="n"/>
      <c r="S107" s="307" t="n"/>
      <c r="T107" s="307" t="n"/>
      <c r="U107" s="307" t="n"/>
      <c r="V107" s="307" t="n"/>
      <c r="W107" s="307" t="n"/>
      <c r="X107" s="307" t="n"/>
      <c r="Y107" s="307" t="n"/>
      <c r="Z107" s="307" t="n"/>
      <c r="AA107" s="307" t="n"/>
      <c r="AB107" s="307" t="n"/>
      <c r="AC107" s="307" t="n"/>
      <c r="AD107" s="307" t="n"/>
      <c r="AE107" s="307" t="n"/>
      <c r="AF107" s="307" t="n"/>
      <c r="AG107" s="307" t="n"/>
      <c r="AH107" s="307" t="n"/>
      <c r="AI107" s="307" t="n"/>
      <c r="AJ107" s="307" t="n"/>
      <c r="AK107" s="307" t="n"/>
      <c r="AL107" s="307" t="n"/>
      <c r="AM107" s="307" t="n"/>
      <c r="AN107" s="307" t="n"/>
      <c r="AO107" s="307" t="n"/>
      <c r="AP107" s="307" t="n"/>
      <c r="AQ107" s="307" t="n"/>
      <c r="AR107" s="307" t="n"/>
      <c r="AS107" s="307" t="n"/>
      <c r="AT107" s="307" t="n"/>
      <c r="AU107" s="307" t="n"/>
      <c r="AV107" s="307" t="n"/>
      <c r="AW107" s="307" t="n"/>
      <c r="AX107" s="307" t="n"/>
      <c r="AY107" s="307" t="n"/>
      <c r="AZ107" s="307" t="n"/>
      <c r="BA107" s="31" t="n"/>
      <c r="BB107" s="307" t="n"/>
      <c r="BC107" s="307" t="n"/>
      <c r="BD107" s="307" t="n"/>
      <c r="BE107" s="307" t="n"/>
      <c r="BF107" s="307" t="n"/>
      <c r="BG107" s="31" t="n"/>
      <c r="BH107" s="31" t="n"/>
      <c r="BI107" s="31" t="n"/>
      <c r="BJ107" s="31" t="n"/>
    </row>
    <row r="108" ht="15.75" customHeight="1" s="349">
      <c r="A108" s="31" t="n"/>
      <c r="B108" s="307" t="n"/>
      <c r="C108" s="307" t="n"/>
      <c r="D108" s="307" t="n"/>
      <c r="E108" s="307" t="n"/>
      <c r="F108" s="307" t="n"/>
      <c r="G108" s="307" t="n"/>
      <c r="H108" s="307" t="n"/>
      <c r="I108" s="307" t="n"/>
      <c r="J108" s="307" t="n"/>
      <c r="K108" s="307" t="n"/>
      <c r="L108" s="307" t="n"/>
      <c r="M108" s="307" t="n"/>
      <c r="N108" s="307" t="n"/>
      <c r="O108" s="307" t="n"/>
      <c r="P108" s="307" t="n"/>
      <c r="Q108" s="307" t="n"/>
      <c r="R108" s="307" t="n"/>
      <c r="S108" s="307" t="n"/>
      <c r="T108" s="307" t="n"/>
      <c r="U108" s="307" t="n"/>
      <c r="V108" s="307" t="n"/>
      <c r="W108" s="307" t="n"/>
      <c r="X108" s="307" t="n"/>
      <c r="Y108" s="307" t="n"/>
      <c r="Z108" s="307" t="n"/>
      <c r="AA108" s="307" t="n"/>
      <c r="AB108" s="307" t="n"/>
      <c r="AC108" s="307" t="n"/>
      <c r="AD108" s="307" t="n"/>
      <c r="AE108" s="307" t="n"/>
      <c r="AF108" s="307" t="n"/>
      <c r="AG108" s="307" t="n"/>
      <c r="AH108" s="307" t="n"/>
      <c r="AI108" s="307" t="n"/>
      <c r="AJ108" s="307" t="n"/>
      <c r="AK108" s="307" t="n"/>
      <c r="AL108" s="307" t="n"/>
      <c r="AM108" s="307" t="n"/>
      <c r="AN108" s="307" t="n"/>
      <c r="AO108" s="307" t="n"/>
      <c r="AP108" s="307" t="n"/>
      <c r="AQ108" s="307" t="n"/>
      <c r="AR108" s="307" t="n"/>
      <c r="AS108" s="307" t="n"/>
      <c r="AT108" s="307" t="n"/>
      <c r="AU108" s="307" t="n"/>
      <c r="AV108" s="307" t="n"/>
      <c r="AW108" s="307" t="n"/>
      <c r="AX108" s="307" t="n"/>
      <c r="AY108" s="307" t="n"/>
      <c r="AZ108" s="307" t="n"/>
      <c r="BA108" s="31" t="n"/>
      <c r="BB108" s="307" t="n"/>
      <c r="BC108" s="307" t="n"/>
      <c r="BD108" s="307" t="n"/>
      <c r="BE108" s="307" t="n"/>
      <c r="BF108" s="307" t="n"/>
      <c r="BG108" s="31" t="n"/>
      <c r="BH108" s="31" t="n"/>
      <c r="BI108" s="31" t="n"/>
      <c r="BJ108" s="31" t="n"/>
    </row>
    <row r="109" ht="15.75" customHeight="1" s="349">
      <c r="A109" s="31" t="n"/>
      <c r="B109" s="307" t="n"/>
      <c r="C109" s="307" t="n"/>
      <c r="D109" s="307" t="n"/>
      <c r="E109" s="307" t="n"/>
      <c r="F109" s="307" t="n"/>
      <c r="G109" s="307" t="n"/>
      <c r="H109" s="307" t="n"/>
      <c r="I109" s="307" t="n"/>
      <c r="J109" s="307" t="n"/>
      <c r="K109" s="307" t="n"/>
      <c r="L109" s="307" t="n"/>
      <c r="M109" s="307" t="n"/>
      <c r="N109" s="307" t="n"/>
      <c r="O109" s="307" t="n"/>
      <c r="P109" s="307" t="n"/>
      <c r="Q109" s="307" t="n"/>
      <c r="R109" s="307" t="n"/>
      <c r="S109" s="307" t="n"/>
      <c r="T109" s="307" t="n"/>
      <c r="U109" s="307" t="n"/>
      <c r="V109" s="307" t="n"/>
      <c r="W109" s="307" t="n"/>
      <c r="X109" s="307" t="n"/>
      <c r="Y109" s="307" t="n"/>
      <c r="Z109" s="307" t="n"/>
      <c r="AA109" s="307" t="n"/>
      <c r="AB109" s="307" t="n"/>
      <c r="AC109" s="307" t="n"/>
      <c r="AD109" s="307" t="n"/>
      <c r="AE109" s="307" t="n"/>
      <c r="AF109" s="307" t="n"/>
      <c r="AG109" s="307" t="n"/>
      <c r="AH109" s="307" t="n"/>
      <c r="AI109" s="307" t="n"/>
      <c r="AJ109" s="307" t="n"/>
      <c r="AK109" s="307" t="n"/>
      <c r="AL109" s="307" t="n"/>
      <c r="AM109" s="307" t="n"/>
      <c r="AN109" s="307" t="n"/>
      <c r="AO109" s="307" t="n"/>
      <c r="AP109" s="307" t="n"/>
      <c r="AQ109" s="307" t="n"/>
      <c r="AR109" s="307" t="n"/>
      <c r="AS109" s="307" t="n"/>
      <c r="AT109" s="307" t="n"/>
      <c r="AU109" s="307" t="n"/>
      <c r="AV109" s="307" t="n"/>
      <c r="AW109" s="307" t="n"/>
      <c r="AX109" s="307" t="n"/>
      <c r="AY109" s="307" t="n"/>
      <c r="AZ109" s="307" t="n"/>
      <c r="BA109" s="31" t="n"/>
      <c r="BB109" s="307" t="n"/>
      <c r="BC109" s="307" t="n"/>
      <c r="BD109" s="307" t="n"/>
      <c r="BE109" s="307" t="n"/>
      <c r="BF109" s="307" t="n"/>
      <c r="BG109" s="31" t="n"/>
      <c r="BH109" s="31" t="n"/>
      <c r="BI109" s="31" t="n"/>
      <c r="BJ109" s="31" t="n"/>
    </row>
    <row r="110" ht="15.75" customHeight="1" s="349">
      <c r="A110" s="31" t="n"/>
      <c r="B110" s="307" t="n"/>
      <c r="C110" s="307" t="n"/>
      <c r="D110" s="307" t="n"/>
      <c r="E110" s="307" t="n"/>
      <c r="F110" s="307" t="n"/>
      <c r="G110" s="307" t="n"/>
      <c r="H110" s="307" t="n"/>
      <c r="I110" s="307" t="n"/>
      <c r="J110" s="307" t="n"/>
      <c r="K110" s="307" t="n"/>
      <c r="L110" s="307" t="n"/>
      <c r="M110" s="307" t="n"/>
      <c r="N110" s="307" t="n"/>
      <c r="O110" s="307" t="n"/>
      <c r="P110" s="307" t="n"/>
      <c r="Q110" s="307" t="n"/>
      <c r="R110" s="307" t="n"/>
      <c r="S110" s="307" t="n"/>
      <c r="T110" s="307" t="n"/>
      <c r="U110" s="307" t="n"/>
      <c r="V110" s="307" t="n"/>
      <c r="W110" s="307" t="n"/>
      <c r="X110" s="307" t="n"/>
      <c r="Y110" s="307" t="n"/>
      <c r="Z110" s="307" t="n"/>
      <c r="AA110" s="307" t="n"/>
      <c r="AB110" s="307" t="n"/>
      <c r="AC110" s="307" t="n"/>
      <c r="AD110" s="307" t="n"/>
      <c r="AE110" s="307" t="n"/>
      <c r="AF110" s="307" t="n"/>
      <c r="AG110" s="307" t="n"/>
      <c r="AH110" s="307" t="n"/>
      <c r="AI110" s="307" t="n"/>
      <c r="AJ110" s="307" t="n"/>
      <c r="AK110" s="307" t="n"/>
      <c r="AL110" s="307" t="n"/>
      <c r="AM110" s="307" t="n"/>
      <c r="AN110" s="307" t="n"/>
      <c r="AO110" s="307" t="n"/>
      <c r="AP110" s="307" t="n"/>
      <c r="AQ110" s="307" t="n"/>
      <c r="AR110" s="307" t="n"/>
      <c r="AS110" s="307" t="n"/>
      <c r="AT110" s="307" t="n"/>
      <c r="AU110" s="307" t="n"/>
      <c r="AV110" s="307" t="n"/>
      <c r="AW110" s="307" t="n"/>
      <c r="AX110" s="307" t="n"/>
      <c r="AY110" s="307" t="n"/>
      <c r="AZ110" s="307" t="n"/>
      <c r="BA110" s="31" t="n"/>
      <c r="BB110" s="307" t="n"/>
      <c r="BC110" s="307" t="n"/>
      <c r="BD110" s="307" t="n"/>
      <c r="BE110" s="307" t="n"/>
      <c r="BF110" s="307" t="n"/>
      <c r="BG110" s="31" t="n"/>
      <c r="BH110" s="31" t="n"/>
      <c r="BI110" s="31" t="n"/>
      <c r="BJ110" s="31" t="n"/>
    </row>
    <row r="111" ht="15.75" customHeight="1" s="349">
      <c r="A111" s="31" t="n"/>
      <c r="B111" s="307" t="n"/>
      <c r="C111" s="307" t="n"/>
      <c r="D111" s="307" t="n"/>
      <c r="E111" s="307" t="n"/>
      <c r="F111" s="307" t="n"/>
      <c r="G111" s="307" t="n"/>
      <c r="H111" s="307" t="n"/>
      <c r="I111" s="307" t="n"/>
      <c r="J111" s="307" t="n"/>
      <c r="K111" s="307" t="n"/>
      <c r="L111" s="307" t="n"/>
      <c r="M111" s="307" t="n"/>
      <c r="N111" s="307" t="n"/>
      <c r="O111" s="307" t="n"/>
      <c r="P111" s="307" t="n"/>
      <c r="Q111" s="307" t="n"/>
      <c r="R111" s="307" t="n"/>
      <c r="S111" s="307" t="n"/>
      <c r="T111" s="307" t="n"/>
      <c r="U111" s="307" t="n"/>
      <c r="V111" s="307" t="n"/>
      <c r="W111" s="307" t="n"/>
      <c r="X111" s="307" t="n"/>
      <c r="Y111" s="307" t="n"/>
      <c r="Z111" s="307" t="n"/>
      <c r="AA111" s="307" t="n"/>
      <c r="AB111" s="307" t="n"/>
      <c r="AC111" s="307" t="n"/>
      <c r="AD111" s="307" t="n"/>
      <c r="AE111" s="307" t="n"/>
      <c r="AF111" s="307" t="n"/>
      <c r="AG111" s="307" t="n"/>
      <c r="AH111" s="307" t="n"/>
      <c r="AI111" s="307" t="n"/>
      <c r="AJ111" s="307" t="n"/>
      <c r="AK111" s="307" t="n"/>
      <c r="AL111" s="307" t="n"/>
      <c r="AM111" s="307" t="n"/>
      <c r="AN111" s="307" t="n"/>
      <c r="AO111" s="307" t="n"/>
      <c r="AP111" s="307" t="n"/>
      <c r="AQ111" s="307" t="n"/>
      <c r="AR111" s="307" t="n"/>
      <c r="AS111" s="307" t="n"/>
      <c r="AT111" s="307" t="n"/>
      <c r="AU111" s="307" t="n"/>
      <c r="AV111" s="307" t="n"/>
      <c r="AW111" s="307" t="n"/>
      <c r="AX111" s="307" t="n"/>
      <c r="AY111" s="307" t="n"/>
      <c r="AZ111" s="307" t="n"/>
      <c r="BA111" s="31" t="n"/>
      <c r="BB111" s="307" t="n"/>
      <c r="BC111" s="307" t="n"/>
      <c r="BD111" s="307" t="n"/>
      <c r="BE111" s="307" t="n"/>
      <c r="BF111" s="307" t="n"/>
      <c r="BG111" s="31" t="n"/>
      <c r="BH111" s="31" t="n"/>
      <c r="BI111" s="31" t="n"/>
      <c r="BJ111" s="31" t="n"/>
    </row>
    <row r="112" ht="15.75" customHeight="1" s="349">
      <c r="A112" s="31" t="n"/>
      <c r="B112" s="307" t="n"/>
      <c r="C112" s="307" t="n"/>
      <c r="D112" s="307" t="n"/>
      <c r="E112" s="307" t="n"/>
      <c r="F112" s="307" t="n"/>
      <c r="G112" s="307" t="n"/>
      <c r="H112" s="307" t="n"/>
      <c r="I112" s="307" t="n"/>
      <c r="J112" s="307" t="n"/>
      <c r="K112" s="307" t="n"/>
      <c r="L112" s="307" t="n"/>
      <c r="M112" s="307" t="n"/>
      <c r="N112" s="307" t="n"/>
      <c r="O112" s="307" t="n"/>
      <c r="P112" s="307" t="n"/>
      <c r="Q112" s="307" t="n"/>
      <c r="R112" s="307" t="n"/>
      <c r="S112" s="307" t="n"/>
      <c r="T112" s="307" t="n"/>
      <c r="U112" s="307" t="n"/>
      <c r="V112" s="307" t="n"/>
      <c r="W112" s="307" t="n"/>
      <c r="X112" s="307" t="n"/>
      <c r="Y112" s="307" t="n"/>
      <c r="Z112" s="307" t="n"/>
      <c r="AA112" s="307" t="n"/>
      <c r="AB112" s="307" t="n"/>
      <c r="AC112" s="307" t="n"/>
      <c r="AD112" s="307" t="n"/>
      <c r="AE112" s="307" t="n"/>
      <c r="AF112" s="307" t="n"/>
      <c r="AG112" s="307" t="n"/>
      <c r="AH112" s="307" t="n"/>
      <c r="AI112" s="307" t="n"/>
      <c r="AJ112" s="307" t="n"/>
      <c r="AK112" s="307" t="n"/>
      <c r="AL112" s="307" t="n"/>
      <c r="AM112" s="307" t="n"/>
      <c r="AN112" s="307" t="n"/>
      <c r="AO112" s="307" t="n"/>
      <c r="AP112" s="307" t="n"/>
      <c r="AQ112" s="307" t="n"/>
      <c r="AR112" s="307" t="n"/>
      <c r="AS112" s="307" t="n"/>
      <c r="AT112" s="307" t="n"/>
      <c r="AU112" s="307" t="n"/>
      <c r="AV112" s="307" t="n"/>
      <c r="AW112" s="307" t="n"/>
      <c r="AX112" s="307" t="n"/>
      <c r="AY112" s="307" t="n"/>
      <c r="AZ112" s="307" t="n"/>
      <c r="BA112" s="31" t="n"/>
      <c r="BB112" s="307" t="n"/>
      <c r="BC112" s="307" t="n"/>
      <c r="BD112" s="307" t="n"/>
      <c r="BE112" s="307" t="n"/>
      <c r="BF112" s="307" t="n"/>
      <c r="BG112" s="31" t="n"/>
      <c r="BH112" s="31" t="n"/>
      <c r="BI112" s="31" t="n"/>
      <c r="BJ112" s="31" t="n"/>
    </row>
    <row r="113" ht="15.75" customHeight="1" s="349">
      <c r="A113" s="31" t="n"/>
      <c r="B113" s="307" t="n"/>
      <c r="C113" s="307" t="n"/>
      <c r="D113" s="307" t="n"/>
      <c r="E113" s="307" t="n"/>
      <c r="F113" s="307" t="n"/>
      <c r="G113" s="307" t="n"/>
      <c r="H113" s="307" t="n"/>
      <c r="I113" s="307" t="n"/>
      <c r="J113" s="307" t="n"/>
      <c r="K113" s="307" t="n"/>
      <c r="L113" s="307" t="n"/>
      <c r="M113" s="307" t="n"/>
      <c r="N113" s="307" t="n"/>
      <c r="O113" s="307" t="n"/>
      <c r="P113" s="307" t="n"/>
      <c r="Q113" s="307" t="n"/>
      <c r="R113" s="307" t="n"/>
      <c r="S113" s="307" t="n"/>
      <c r="T113" s="307" t="n"/>
      <c r="U113" s="307" t="n"/>
      <c r="V113" s="307" t="n"/>
      <c r="W113" s="307" t="n"/>
      <c r="X113" s="307" t="n"/>
      <c r="Y113" s="307" t="n"/>
      <c r="Z113" s="307" t="n"/>
      <c r="AA113" s="307" t="n"/>
      <c r="AB113" s="307" t="n"/>
      <c r="AC113" s="307" t="n"/>
      <c r="AD113" s="307" t="n"/>
      <c r="AE113" s="307" t="n"/>
      <c r="AF113" s="307" t="n"/>
      <c r="AG113" s="307" t="n"/>
      <c r="AH113" s="307" t="n"/>
      <c r="AI113" s="307" t="n"/>
      <c r="AJ113" s="307" t="n"/>
      <c r="AK113" s="307" t="n"/>
      <c r="AL113" s="307" t="n"/>
      <c r="AM113" s="307" t="n"/>
      <c r="AN113" s="307" t="n"/>
      <c r="AO113" s="307" t="n"/>
      <c r="AP113" s="307" t="n"/>
      <c r="AQ113" s="307" t="n"/>
      <c r="AR113" s="307" t="n"/>
      <c r="AS113" s="307" t="n"/>
      <c r="AT113" s="307" t="n"/>
      <c r="AU113" s="307" t="n"/>
      <c r="AV113" s="307" t="n"/>
      <c r="AW113" s="307" t="n"/>
      <c r="AX113" s="307" t="n"/>
      <c r="AY113" s="307" t="n"/>
      <c r="AZ113" s="307" t="n"/>
      <c r="BA113" s="31" t="n"/>
      <c r="BB113" s="307" t="n"/>
      <c r="BC113" s="307" t="n"/>
      <c r="BD113" s="307" t="n"/>
      <c r="BE113" s="307" t="n"/>
      <c r="BF113" s="307" t="n"/>
      <c r="BG113" s="31" t="n"/>
      <c r="BH113" s="31" t="n"/>
      <c r="BI113" s="31" t="n"/>
      <c r="BJ113" s="31" t="n"/>
    </row>
    <row r="114" ht="15.75" customHeight="1" s="349">
      <c r="A114" s="31" t="n"/>
      <c r="B114" s="307" t="n"/>
      <c r="C114" s="307" t="n"/>
      <c r="D114" s="307" t="n"/>
      <c r="E114" s="307" t="n"/>
      <c r="F114" s="307" t="n"/>
      <c r="G114" s="307" t="n"/>
      <c r="H114" s="307" t="n"/>
      <c r="I114" s="307" t="n"/>
      <c r="J114" s="307" t="n"/>
      <c r="K114" s="307" t="n"/>
      <c r="L114" s="307" t="n"/>
      <c r="M114" s="307" t="n"/>
      <c r="N114" s="307" t="n"/>
      <c r="O114" s="307" t="n"/>
      <c r="P114" s="307" t="n"/>
      <c r="Q114" s="307" t="n"/>
      <c r="R114" s="307" t="n"/>
      <c r="S114" s="307" t="n"/>
      <c r="T114" s="307" t="n"/>
      <c r="U114" s="307" t="n"/>
      <c r="V114" s="307" t="n"/>
      <c r="W114" s="307" t="n"/>
      <c r="X114" s="307" t="n"/>
      <c r="Y114" s="307" t="n"/>
      <c r="Z114" s="307" t="n"/>
      <c r="AA114" s="307" t="n"/>
      <c r="AB114" s="307" t="n"/>
      <c r="AC114" s="307" t="n"/>
      <c r="AD114" s="307" t="n"/>
      <c r="AE114" s="307" t="n"/>
      <c r="AF114" s="307" t="n"/>
      <c r="AG114" s="307" t="n"/>
      <c r="AH114" s="307" t="n"/>
      <c r="AI114" s="307" t="n"/>
      <c r="AJ114" s="307" t="n"/>
      <c r="AK114" s="307" t="n"/>
      <c r="AL114" s="307" t="n"/>
      <c r="AM114" s="307" t="n"/>
      <c r="AN114" s="307" t="n"/>
      <c r="AO114" s="307" t="n"/>
      <c r="AP114" s="307" t="n"/>
      <c r="AQ114" s="307" t="n"/>
      <c r="AR114" s="307" t="n"/>
      <c r="AS114" s="307" t="n"/>
      <c r="AT114" s="307" t="n"/>
      <c r="AU114" s="307" t="n"/>
      <c r="AV114" s="307" t="n"/>
      <c r="AW114" s="307" t="n"/>
      <c r="AX114" s="307" t="n"/>
      <c r="AY114" s="307" t="n"/>
      <c r="AZ114" s="307" t="n"/>
      <c r="BA114" s="31" t="n"/>
      <c r="BB114" s="307" t="n"/>
      <c r="BC114" s="307" t="n"/>
      <c r="BD114" s="307" t="n"/>
      <c r="BE114" s="307" t="n"/>
      <c r="BF114" s="307" t="n"/>
      <c r="BG114" s="31" t="n"/>
      <c r="BH114" s="31" t="n"/>
      <c r="BI114" s="31" t="n"/>
      <c r="BJ114" s="31" t="n"/>
    </row>
    <row r="115" ht="15.75" customHeight="1" s="349">
      <c r="A115" s="31" t="n"/>
      <c r="B115" s="307" t="n"/>
      <c r="C115" s="307" t="n"/>
      <c r="D115" s="307" t="n"/>
      <c r="E115" s="307" t="n"/>
      <c r="F115" s="307" t="n"/>
      <c r="G115" s="307" t="n"/>
      <c r="H115" s="307" t="n"/>
      <c r="I115" s="307" t="n"/>
      <c r="J115" s="307" t="n"/>
      <c r="K115" s="307" t="n"/>
      <c r="L115" s="307" t="n"/>
      <c r="M115" s="307" t="n"/>
      <c r="N115" s="307" t="n"/>
      <c r="O115" s="307" t="n"/>
      <c r="P115" s="307" t="n"/>
      <c r="Q115" s="307" t="n"/>
      <c r="R115" s="307" t="n"/>
      <c r="S115" s="307" t="n"/>
      <c r="T115" s="307" t="n"/>
      <c r="U115" s="307" t="n"/>
      <c r="V115" s="307" t="n"/>
      <c r="W115" s="307" t="n"/>
      <c r="X115" s="307" t="n"/>
      <c r="Y115" s="307" t="n"/>
      <c r="Z115" s="307" t="n"/>
      <c r="AA115" s="307" t="n"/>
      <c r="AB115" s="307" t="n"/>
      <c r="AC115" s="307" t="n"/>
      <c r="AD115" s="307" t="n"/>
      <c r="AE115" s="307" t="n"/>
      <c r="AF115" s="307" t="n"/>
      <c r="AG115" s="307" t="n"/>
      <c r="AH115" s="307" t="n"/>
      <c r="AI115" s="307" t="n"/>
      <c r="AJ115" s="307" t="n"/>
      <c r="AK115" s="307" t="n"/>
      <c r="AL115" s="307" t="n"/>
      <c r="AM115" s="307" t="n"/>
      <c r="AN115" s="307" t="n"/>
      <c r="AO115" s="307" t="n"/>
      <c r="AP115" s="307" t="n"/>
      <c r="AQ115" s="307" t="n"/>
      <c r="AR115" s="307" t="n"/>
      <c r="AS115" s="307" t="n"/>
      <c r="AT115" s="307" t="n"/>
      <c r="AU115" s="307" t="n"/>
      <c r="AV115" s="307" t="n"/>
      <c r="AW115" s="307" t="n"/>
      <c r="AX115" s="307" t="n"/>
      <c r="AY115" s="307" t="n"/>
      <c r="AZ115" s="307" t="n"/>
      <c r="BA115" s="31" t="n"/>
      <c r="BB115" s="307" t="n"/>
      <c r="BC115" s="307" t="n"/>
      <c r="BD115" s="307" t="n"/>
      <c r="BE115" s="307" t="n"/>
      <c r="BF115" s="307" t="n"/>
      <c r="BG115" s="31" t="n"/>
      <c r="BH115" s="31" t="n"/>
      <c r="BI115" s="31" t="n"/>
      <c r="BJ115" s="31" t="n"/>
    </row>
    <row r="116" ht="15.75" customHeight="1" s="349">
      <c r="A116" s="31" t="n"/>
      <c r="B116" s="307" t="n"/>
      <c r="C116" s="307" t="n"/>
      <c r="D116" s="307" t="n"/>
      <c r="E116" s="307" t="n"/>
      <c r="F116" s="307" t="n"/>
      <c r="G116" s="307" t="n"/>
      <c r="H116" s="307" t="n"/>
      <c r="I116" s="307" t="n"/>
      <c r="J116" s="307" t="n"/>
      <c r="K116" s="307" t="n"/>
      <c r="L116" s="307" t="n"/>
      <c r="M116" s="307" t="n"/>
      <c r="N116" s="307" t="n"/>
      <c r="O116" s="307" t="n"/>
      <c r="P116" s="307" t="n"/>
      <c r="Q116" s="307" t="n"/>
      <c r="R116" s="307" t="n"/>
      <c r="S116" s="307" t="n"/>
      <c r="T116" s="307" t="n"/>
      <c r="U116" s="307" t="n"/>
      <c r="V116" s="307" t="n"/>
      <c r="W116" s="307" t="n"/>
      <c r="X116" s="307" t="n"/>
      <c r="Y116" s="307" t="n"/>
      <c r="Z116" s="307" t="n"/>
      <c r="AA116" s="307" t="n"/>
      <c r="AB116" s="307" t="n"/>
      <c r="AC116" s="307" t="n"/>
      <c r="AD116" s="307" t="n"/>
      <c r="AE116" s="307" t="n"/>
      <c r="AF116" s="307" t="n"/>
      <c r="AG116" s="307" t="n"/>
      <c r="AH116" s="307" t="n"/>
      <c r="AI116" s="307" t="n"/>
      <c r="AJ116" s="307" t="n"/>
      <c r="AK116" s="307" t="n"/>
      <c r="AL116" s="307" t="n"/>
      <c r="AM116" s="307" t="n"/>
      <c r="AN116" s="307" t="n"/>
      <c r="AO116" s="307" t="n"/>
      <c r="AP116" s="307" t="n"/>
      <c r="AQ116" s="307" t="n"/>
      <c r="AR116" s="307" t="n"/>
      <c r="AS116" s="307" t="n"/>
      <c r="AT116" s="307" t="n"/>
      <c r="AU116" s="307" t="n"/>
      <c r="AV116" s="307" t="n"/>
      <c r="AW116" s="307" t="n"/>
      <c r="AX116" s="307" t="n"/>
      <c r="AY116" s="307" t="n"/>
      <c r="AZ116" s="307" t="n"/>
      <c r="BA116" s="31" t="n"/>
      <c r="BB116" s="307" t="n"/>
      <c r="BC116" s="307" t="n"/>
      <c r="BD116" s="307" t="n"/>
      <c r="BE116" s="307" t="n"/>
      <c r="BF116" s="307" t="n"/>
      <c r="BG116" s="31" t="n"/>
      <c r="BH116" s="31" t="n"/>
      <c r="BI116" s="31" t="n"/>
      <c r="BJ116" s="31" t="n"/>
    </row>
    <row r="117" ht="15.75" customHeight="1" s="349">
      <c r="A117" s="31" t="n"/>
      <c r="B117" s="307" t="n"/>
      <c r="C117" s="307" t="n"/>
      <c r="D117" s="307" t="n"/>
      <c r="E117" s="307" t="n"/>
      <c r="F117" s="307" t="n"/>
      <c r="G117" s="307" t="n"/>
      <c r="H117" s="307" t="n"/>
      <c r="I117" s="307" t="n"/>
      <c r="J117" s="307" t="n"/>
      <c r="K117" s="307" t="n"/>
      <c r="L117" s="307" t="n"/>
      <c r="M117" s="307" t="n"/>
      <c r="N117" s="307" t="n"/>
      <c r="O117" s="307" t="n"/>
      <c r="P117" s="307" t="n"/>
      <c r="Q117" s="307" t="n"/>
      <c r="R117" s="307" t="n"/>
      <c r="S117" s="307" t="n"/>
      <c r="T117" s="307" t="n"/>
      <c r="U117" s="307" t="n"/>
      <c r="V117" s="307" t="n"/>
      <c r="W117" s="307" t="n"/>
      <c r="X117" s="307" t="n"/>
      <c r="Y117" s="307" t="n"/>
      <c r="Z117" s="307" t="n"/>
      <c r="AA117" s="307" t="n"/>
      <c r="AB117" s="307" t="n"/>
      <c r="AC117" s="307" t="n"/>
      <c r="AD117" s="307" t="n"/>
      <c r="AE117" s="307" t="n"/>
      <c r="AF117" s="307" t="n"/>
      <c r="AG117" s="307" t="n"/>
      <c r="AH117" s="307" t="n"/>
      <c r="AI117" s="307" t="n"/>
      <c r="AJ117" s="307" t="n"/>
      <c r="AK117" s="307" t="n"/>
      <c r="AL117" s="307" t="n"/>
      <c r="AM117" s="307" t="n"/>
      <c r="AN117" s="307" t="n"/>
      <c r="AO117" s="307" t="n"/>
      <c r="AP117" s="307" t="n"/>
      <c r="AQ117" s="307" t="n"/>
      <c r="AR117" s="307" t="n"/>
      <c r="AS117" s="307" t="n"/>
      <c r="AT117" s="307" t="n"/>
      <c r="AU117" s="307" t="n"/>
      <c r="AV117" s="307" t="n"/>
      <c r="AW117" s="307" t="n"/>
      <c r="AX117" s="307" t="n"/>
      <c r="AY117" s="307" t="n"/>
      <c r="AZ117" s="307" t="n"/>
      <c r="BA117" s="31" t="n"/>
      <c r="BB117" s="307" t="n"/>
      <c r="BC117" s="307" t="n"/>
      <c r="BD117" s="307" t="n"/>
      <c r="BE117" s="307" t="n"/>
      <c r="BF117" s="307" t="n"/>
      <c r="BG117" s="31" t="n"/>
      <c r="BH117" s="31" t="n"/>
      <c r="BI117" s="31" t="n"/>
      <c r="BJ117" s="31" t="n"/>
    </row>
    <row r="118" ht="15.75" customHeight="1" s="349">
      <c r="A118" s="31" t="n"/>
      <c r="B118" s="307" t="n"/>
      <c r="C118" s="307" t="n"/>
      <c r="D118" s="307" t="n"/>
      <c r="E118" s="307" t="n"/>
      <c r="F118" s="307" t="n"/>
      <c r="G118" s="307" t="n"/>
      <c r="H118" s="307" t="n"/>
      <c r="I118" s="307" t="n"/>
      <c r="J118" s="307" t="n"/>
      <c r="K118" s="307" t="n"/>
      <c r="L118" s="307" t="n"/>
      <c r="M118" s="307" t="n"/>
      <c r="N118" s="307" t="n"/>
      <c r="O118" s="307" t="n"/>
      <c r="P118" s="307" t="n"/>
      <c r="Q118" s="307" t="n"/>
      <c r="R118" s="307" t="n"/>
      <c r="S118" s="307" t="n"/>
      <c r="T118" s="307" t="n"/>
      <c r="U118" s="307" t="n"/>
      <c r="V118" s="307" t="n"/>
      <c r="W118" s="307" t="n"/>
      <c r="X118" s="307" t="n"/>
      <c r="Y118" s="307" t="n"/>
      <c r="Z118" s="307" t="n"/>
      <c r="AA118" s="307" t="n"/>
      <c r="AB118" s="307" t="n"/>
      <c r="AC118" s="307" t="n"/>
      <c r="AD118" s="307" t="n"/>
      <c r="AE118" s="307" t="n"/>
      <c r="AF118" s="307" t="n"/>
      <c r="AG118" s="307" t="n"/>
      <c r="AH118" s="307" t="n"/>
      <c r="AI118" s="307" t="n"/>
      <c r="AJ118" s="307" t="n"/>
      <c r="AK118" s="307" t="n"/>
      <c r="AL118" s="307" t="n"/>
      <c r="AM118" s="307" t="n"/>
      <c r="AN118" s="307" t="n"/>
      <c r="AO118" s="307" t="n"/>
      <c r="AP118" s="307" t="n"/>
      <c r="AQ118" s="307" t="n"/>
      <c r="AR118" s="307" t="n"/>
      <c r="AS118" s="307" t="n"/>
      <c r="AT118" s="307" t="n"/>
      <c r="AU118" s="307" t="n"/>
      <c r="AV118" s="307" t="n"/>
      <c r="AW118" s="307" t="n"/>
      <c r="AX118" s="307" t="n"/>
      <c r="AY118" s="307" t="n"/>
      <c r="AZ118" s="307" t="n"/>
      <c r="BA118" s="31" t="n"/>
      <c r="BB118" s="307" t="n"/>
      <c r="BC118" s="307" t="n"/>
      <c r="BD118" s="307" t="n"/>
      <c r="BE118" s="307" t="n"/>
      <c r="BF118" s="307" t="n"/>
      <c r="BG118" s="31" t="n"/>
      <c r="BH118" s="31" t="n"/>
      <c r="BI118" s="31" t="n"/>
      <c r="BJ118" s="31" t="n"/>
    </row>
    <row r="119" ht="15.75" customHeight="1" s="349">
      <c r="A119" s="31" t="n"/>
      <c r="B119" s="307" t="n"/>
      <c r="C119" s="307" t="n"/>
      <c r="D119" s="307" t="n"/>
      <c r="E119" s="307" t="n"/>
      <c r="F119" s="307" t="n"/>
      <c r="G119" s="307" t="n"/>
      <c r="H119" s="307" t="n"/>
      <c r="I119" s="307" t="n"/>
      <c r="J119" s="307" t="n"/>
      <c r="K119" s="307" t="n"/>
      <c r="L119" s="307" t="n"/>
      <c r="M119" s="307" t="n"/>
      <c r="N119" s="307" t="n"/>
      <c r="O119" s="307" t="n"/>
      <c r="P119" s="307" t="n"/>
      <c r="Q119" s="307" t="n"/>
      <c r="R119" s="307" t="n"/>
      <c r="S119" s="307" t="n"/>
      <c r="T119" s="307" t="n"/>
      <c r="U119" s="307" t="n"/>
      <c r="V119" s="307" t="n"/>
      <c r="W119" s="307" t="n"/>
      <c r="X119" s="307" t="n"/>
      <c r="Y119" s="307" t="n"/>
      <c r="Z119" s="307" t="n"/>
      <c r="AA119" s="307" t="n"/>
      <c r="AB119" s="307" t="n"/>
      <c r="AC119" s="307" t="n"/>
      <c r="AD119" s="307" t="n"/>
      <c r="AE119" s="307" t="n"/>
      <c r="AF119" s="307" t="n"/>
      <c r="AG119" s="307" t="n"/>
      <c r="AH119" s="307" t="n"/>
      <c r="AI119" s="307" t="n"/>
      <c r="AJ119" s="307" t="n"/>
      <c r="AK119" s="307" t="n"/>
      <c r="AL119" s="307" t="n"/>
      <c r="AM119" s="307" t="n"/>
      <c r="AN119" s="307" t="n"/>
      <c r="AO119" s="307" t="n"/>
      <c r="AP119" s="307" t="n"/>
      <c r="AQ119" s="307" t="n"/>
      <c r="AR119" s="307" t="n"/>
      <c r="AS119" s="307" t="n"/>
      <c r="AT119" s="307" t="n"/>
      <c r="AU119" s="307" t="n"/>
      <c r="AV119" s="307" t="n"/>
      <c r="AW119" s="307" t="n"/>
      <c r="AX119" s="307" t="n"/>
      <c r="AY119" s="307" t="n"/>
      <c r="AZ119" s="307" t="n"/>
      <c r="BA119" s="31" t="n"/>
      <c r="BB119" s="307" t="n"/>
      <c r="BC119" s="307" t="n"/>
      <c r="BD119" s="307" t="n"/>
      <c r="BE119" s="307" t="n"/>
      <c r="BF119" s="307" t="n"/>
      <c r="BG119" s="31" t="n"/>
      <c r="BH119" s="31" t="n"/>
      <c r="BI119" s="31" t="n"/>
      <c r="BJ119" s="31" t="n"/>
    </row>
    <row r="120" ht="15.75" customHeight="1" s="349">
      <c r="A120" s="31" t="n"/>
      <c r="B120" s="307" t="n"/>
      <c r="C120" s="307" t="n"/>
      <c r="D120" s="307" t="n"/>
      <c r="E120" s="307" t="n"/>
      <c r="F120" s="307" t="n"/>
      <c r="G120" s="307" t="n"/>
      <c r="H120" s="307" t="n"/>
      <c r="I120" s="307" t="n"/>
      <c r="J120" s="307" t="n"/>
      <c r="K120" s="307" t="n"/>
      <c r="L120" s="307" t="n"/>
      <c r="M120" s="307" t="n"/>
      <c r="N120" s="307" t="n"/>
      <c r="O120" s="307" t="n"/>
      <c r="P120" s="307" t="n"/>
      <c r="Q120" s="307" t="n"/>
      <c r="R120" s="307" t="n"/>
      <c r="S120" s="307" t="n"/>
      <c r="T120" s="307" t="n"/>
      <c r="U120" s="307" t="n"/>
      <c r="V120" s="307" t="n"/>
      <c r="W120" s="307" t="n"/>
      <c r="X120" s="307" t="n"/>
      <c r="Y120" s="307" t="n"/>
      <c r="Z120" s="307" t="n"/>
      <c r="AA120" s="307" t="n"/>
      <c r="AB120" s="307" t="n"/>
      <c r="AC120" s="307" t="n"/>
      <c r="AD120" s="307" t="n"/>
      <c r="AE120" s="307" t="n"/>
      <c r="AF120" s="307" t="n"/>
      <c r="AG120" s="307" t="n"/>
      <c r="AH120" s="307" t="n"/>
      <c r="AI120" s="307" t="n"/>
      <c r="AJ120" s="307" t="n"/>
      <c r="AK120" s="307" t="n"/>
      <c r="AL120" s="307" t="n"/>
      <c r="AM120" s="307" t="n"/>
      <c r="AN120" s="307" t="n"/>
      <c r="AO120" s="307" t="n"/>
      <c r="AP120" s="307" t="n"/>
      <c r="AQ120" s="307" t="n"/>
      <c r="AR120" s="307" t="n"/>
      <c r="AS120" s="307" t="n"/>
      <c r="AT120" s="307" t="n"/>
      <c r="AU120" s="307" t="n"/>
      <c r="AV120" s="307" t="n"/>
      <c r="AW120" s="307" t="n"/>
      <c r="AX120" s="307" t="n"/>
      <c r="AY120" s="307" t="n"/>
      <c r="AZ120" s="307" t="n"/>
      <c r="BA120" s="31" t="n"/>
      <c r="BB120" s="307" t="n"/>
      <c r="BC120" s="307" t="n"/>
      <c r="BD120" s="307" t="n"/>
      <c r="BE120" s="307" t="n"/>
      <c r="BF120" s="307" t="n"/>
      <c r="BG120" s="31" t="n"/>
      <c r="BH120" s="31" t="n"/>
      <c r="BI120" s="31" t="n"/>
      <c r="BJ120" s="31" t="n"/>
    </row>
    <row r="121" ht="15.75" customHeight="1" s="349">
      <c r="A121" s="31" t="n"/>
      <c r="B121" s="307" t="n"/>
      <c r="C121" s="307" t="n"/>
      <c r="D121" s="307" t="n"/>
      <c r="E121" s="307" t="n"/>
      <c r="F121" s="307" t="n"/>
      <c r="G121" s="307" t="n"/>
      <c r="H121" s="307" t="n"/>
      <c r="I121" s="307" t="n"/>
      <c r="J121" s="307" t="n"/>
      <c r="K121" s="307" t="n"/>
      <c r="L121" s="307" t="n"/>
      <c r="M121" s="307" t="n"/>
      <c r="N121" s="307" t="n"/>
      <c r="O121" s="307" t="n"/>
      <c r="P121" s="307" t="n"/>
      <c r="Q121" s="307" t="n"/>
      <c r="R121" s="307" t="n"/>
      <c r="S121" s="307" t="n"/>
      <c r="T121" s="307" t="n"/>
      <c r="U121" s="307" t="n"/>
      <c r="V121" s="307" t="n"/>
      <c r="W121" s="307" t="n"/>
      <c r="X121" s="307" t="n"/>
      <c r="Y121" s="307" t="n"/>
      <c r="Z121" s="307" t="n"/>
      <c r="AA121" s="307" t="n"/>
      <c r="AB121" s="307" t="n"/>
      <c r="AC121" s="307" t="n"/>
      <c r="AD121" s="307" t="n"/>
      <c r="AE121" s="307" t="n"/>
      <c r="AF121" s="307" t="n"/>
      <c r="AG121" s="307" t="n"/>
      <c r="AH121" s="307" t="n"/>
      <c r="AI121" s="307" t="n"/>
      <c r="AJ121" s="307" t="n"/>
      <c r="AK121" s="307" t="n"/>
      <c r="AL121" s="307" t="n"/>
      <c r="AM121" s="307" t="n"/>
      <c r="AN121" s="307" t="n"/>
      <c r="AO121" s="307" t="n"/>
      <c r="AP121" s="307" t="n"/>
      <c r="AQ121" s="307" t="n"/>
      <c r="AR121" s="307" t="n"/>
      <c r="AS121" s="307" t="n"/>
      <c r="AT121" s="307" t="n"/>
      <c r="AU121" s="307" t="n"/>
      <c r="AV121" s="307" t="n"/>
      <c r="AW121" s="307" t="n"/>
      <c r="AX121" s="307" t="n"/>
      <c r="AY121" s="307" t="n"/>
      <c r="AZ121" s="307" t="n"/>
      <c r="BA121" s="31" t="n"/>
      <c r="BB121" s="307" t="n"/>
      <c r="BC121" s="307" t="n"/>
      <c r="BD121" s="307" t="n"/>
      <c r="BE121" s="307" t="n"/>
      <c r="BF121" s="307" t="n"/>
      <c r="BG121" s="31" t="n"/>
      <c r="BH121" s="31" t="n"/>
      <c r="BI121" s="31" t="n"/>
      <c r="BJ121" s="31" t="n"/>
    </row>
    <row r="122" ht="15.75" customHeight="1" s="349">
      <c r="A122" s="31" t="n"/>
      <c r="B122" s="307" t="n"/>
      <c r="C122" s="307" t="n"/>
      <c r="D122" s="307" t="n"/>
      <c r="E122" s="307" t="n"/>
      <c r="F122" s="307" t="n"/>
      <c r="G122" s="307" t="n"/>
      <c r="H122" s="307" t="n"/>
      <c r="I122" s="307" t="n"/>
      <c r="J122" s="307" t="n"/>
      <c r="K122" s="307" t="n"/>
      <c r="L122" s="307" t="n"/>
      <c r="M122" s="307" t="n"/>
      <c r="N122" s="307" t="n"/>
      <c r="O122" s="307" t="n"/>
      <c r="P122" s="307" t="n"/>
      <c r="Q122" s="307" t="n"/>
      <c r="R122" s="307" t="n"/>
      <c r="S122" s="307" t="n"/>
      <c r="T122" s="307" t="n"/>
      <c r="U122" s="307" t="n"/>
      <c r="V122" s="307" t="n"/>
      <c r="W122" s="307" t="n"/>
      <c r="X122" s="307" t="n"/>
      <c r="Y122" s="307" t="n"/>
      <c r="Z122" s="307" t="n"/>
      <c r="AA122" s="307" t="n"/>
      <c r="AB122" s="307" t="n"/>
      <c r="AC122" s="307" t="n"/>
      <c r="AD122" s="307" t="n"/>
      <c r="AE122" s="307" t="n"/>
      <c r="AF122" s="307" t="n"/>
      <c r="AG122" s="307" t="n"/>
      <c r="AH122" s="307" t="n"/>
      <c r="AI122" s="307" t="n"/>
      <c r="AJ122" s="307" t="n"/>
      <c r="AK122" s="307" t="n"/>
      <c r="AL122" s="307" t="n"/>
      <c r="AM122" s="307" t="n"/>
      <c r="AN122" s="307" t="n"/>
      <c r="AO122" s="307" t="n"/>
      <c r="AP122" s="307" t="n"/>
      <c r="AQ122" s="307" t="n"/>
      <c r="AR122" s="307" t="n"/>
      <c r="AS122" s="307" t="n"/>
      <c r="AT122" s="307" t="n"/>
      <c r="AU122" s="307" t="n"/>
      <c r="AV122" s="307" t="n"/>
      <c r="AW122" s="307" t="n"/>
      <c r="AX122" s="307" t="n"/>
      <c r="AY122" s="307" t="n"/>
      <c r="AZ122" s="307" t="n"/>
      <c r="BA122" s="31" t="n"/>
      <c r="BB122" s="307" t="n"/>
      <c r="BC122" s="307" t="n"/>
      <c r="BD122" s="307" t="n"/>
      <c r="BE122" s="307" t="n"/>
      <c r="BF122" s="307" t="n"/>
      <c r="BG122" s="31" t="n"/>
      <c r="BH122" s="31" t="n"/>
      <c r="BI122" s="31" t="n"/>
      <c r="BJ122" s="31" t="n"/>
    </row>
    <row r="123" ht="15.75" customHeight="1" s="349">
      <c r="A123" s="31" t="n"/>
      <c r="B123" s="307" t="n"/>
      <c r="C123" s="307" t="n"/>
      <c r="D123" s="307" t="n"/>
      <c r="E123" s="307" t="n"/>
      <c r="F123" s="307" t="n"/>
      <c r="G123" s="307" t="n"/>
      <c r="H123" s="307" t="n"/>
      <c r="I123" s="307" t="n"/>
      <c r="J123" s="307" t="n"/>
      <c r="K123" s="307" t="n"/>
      <c r="L123" s="307" t="n"/>
      <c r="M123" s="307" t="n"/>
      <c r="N123" s="307" t="n"/>
      <c r="O123" s="307" t="n"/>
      <c r="P123" s="307" t="n"/>
      <c r="Q123" s="307" t="n"/>
      <c r="R123" s="307" t="n"/>
      <c r="S123" s="307" t="n"/>
      <c r="T123" s="307" t="n"/>
      <c r="U123" s="307" t="n"/>
      <c r="V123" s="307" t="n"/>
      <c r="W123" s="307" t="n"/>
      <c r="X123" s="307" t="n"/>
      <c r="Y123" s="307" t="n"/>
      <c r="Z123" s="307" t="n"/>
      <c r="AA123" s="307" t="n"/>
      <c r="AB123" s="307" t="n"/>
      <c r="AC123" s="307" t="n"/>
      <c r="AD123" s="307" t="n"/>
      <c r="AE123" s="307" t="n"/>
      <c r="AF123" s="307" t="n"/>
      <c r="AG123" s="307" t="n"/>
      <c r="AH123" s="307" t="n"/>
      <c r="AI123" s="307" t="n"/>
      <c r="AJ123" s="307" t="n"/>
      <c r="AK123" s="307" t="n"/>
      <c r="AL123" s="307" t="n"/>
      <c r="AM123" s="307" t="n"/>
      <c r="AN123" s="307" t="n"/>
      <c r="AO123" s="307" t="n"/>
      <c r="AP123" s="307" t="n"/>
      <c r="AQ123" s="307" t="n"/>
      <c r="AR123" s="307" t="n"/>
      <c r="AS123" s="307" t="n"/>
      <c r="AT123" s="307" t="n"/>
      <c r="AU123" s="307" t="n"/>
      <c r="AV123" s="307" t="n"/>
      <c r="AW123" s="307" t="n"/>
      <c r="AX123" s="307" t="n"/>
      <c r="AY123" s="307" t="n"/>
      <c r="AZ123" s="307" t="n"/>
      <c r="BA123" s="31" t="n"/>
      <c r="BB123" s="307" t="n"/>
      <c r="BC123" s="307" t="n"/>
      <c r="BD123" s="307" t="n"/>
      <c r="BE123" s="307" t="n"/>
      <c r="BF123" s="307" t="n"/>
      <c r="BG123" s="31" t="n"/>
      <c r="BH123" s="31" t="n"/>
      <c r="BI123" s="31" t="n"/>
      <c r="BJ123" s="31" t="n"/>
    </row>
    <row r="124" ht="15.75" customHeight="1" s="349">
      <c r="A124" s="31" t="n"/>
      <c r="B124" s="307" t="n"/>
      <c r="C124" s="307" t="n"/>
      <c r="D124" s="307" t="n"/>
      <c r="E124" s="307" t="n"/>
      <c r="F124" s="307" t="n"/>
      <c r="G124" s="307" t="n"/>
      <c r="H124" s="307" t="n"/>
      <c r="I124" s="307" t="n"/>
      <c r="J124" s="307" t="n"/>
      <c r="K124" s="307" t="n"/>
      <c r="L124" s="307" t="n"/>
      <c r="M124" s="307" t="n"/>
      <c r="N124" s="307" t="n"/>
      <c r="O124" s="307" t="n"/>
      <c r="P124" s="307" t="n"/>
      <c r="Q124" s="307" t="n"/>
      <c r="R124" s="307" t="n"/>
      <c r="S124" s="307" t="n"/>
      <c r="T124" s="307" t="n"/>
      <c r="U124" s="307" t="n"/>
      <c r="V124" s="307" t="n"/>
      <c r="W124" s="307" t="n"/>
      <c r="X124" s="307" t="n"/>
      <c r="Y124" s="307" t="n"/>
      <c r="Z124" s="307" t="n"/>
      <c r="AA124" s="307" t="n"/>
      <c r="AB124" s="307" t="n"/>
      <c r="AC124" s="307" t="n"/>
      <c r="AD124" s="307" t="n"/>
      <c r="AE124" s="307" t="n"/>
      <c r="AF124" s="307" t="n"/>
      <c r="AG124" s="307" t="n"/>
      <c r="AH124" s="307" t="n"/>
      <c r="AI124" s="307" t="n"/>
      <c r="AJ124" s="307" t="n"/>
      <c r="AK124" s="307" t="n"/>
      <c r="AL124" s="307" t="n"/>
      <c r="AM124" s="307" t="n"/>
      <c r="AN124" s="307" t="n"/>
      <c r="AO124" s="307" t="n"/>
      <c r="AP124" s="307" t="n"/>
      <c r="AQ124" s="307" t="n"/>
      <c r="AR124" s="307" t="n"/>
      <c r="AS124" s="307" t="n"/>
      <c r="AT124" s="307" t="n"/>
      <c r="AU124" s="307" t="n"/>
      <c r="AV124" s="307" t="n"/>
      <c r="AW124" s="307" t="n"/>
      <c r="AX124" s="307" t="n"/>
      <c r="AY124" s="307" t="n"/>
      <c r="AZ124" s="307" t="n"/>
      <c r="BA124" s="31" t="n"/>
      <c r="BB124" s="307" t="n"/>
      <c r="BC124" s="307" t="n"/>
      <c r="BD124" s="307" t="n"/>
      <c r="BE124" s="307" t="n"/>
      <c r="BF124" s="307" t="n"/>
      <c r="BG124" s="31" t="n"/>
      <c r="BH124" s="31" t="n"/>
      <c r="BI124" s="31" t="n"/>
      <c r="BJ124" s="31" t="n"/>
    </row>
    <row r="125" ht="15.75" customHeight="1" s="349">
      <c r="A125" s="31" t="n"/>
      <c r="B125" s="307" t="n"/>
      <c r="C125" s="307" t="n"/>
      <c r="D125" s="307" t="n"/>
      <c r="E125" s="307" t="n"/>
      <c r="F125" s="307" t="n"/>
      <c r="G125" s="307" t="n"/>
      <c r="H125" s="307" t="n"/>
      <c r="I125" s="307" t="n"/>
      <c r="J125" s="307" t="n"/>
      <c r="K125" s="307" t="n"/>
      <c r="L125" s="307" t="n"/>
      <c r="M125" s="307" t="n"/>
      <c r="N125" s="307" t="n"/>
      <c r="O125" s="307" t="n"/>
      <c r="P125" s="307" t="n"/>
      <c r="Q125" s="307" t="n"/>
      <c r="R125" s="307" t="n"/>
      <c r="S125" s="307" t="n"/>
      <c r="T125" s="307" t="n"/>
      <c r="U125" s="307" t="n"/>
      <c r="V125" s="307" t="n"/>
      <c r="W125" s="307" t="n"/>
      <c r="X125" s="307" t="n"/>
      <c r="Y125" s="307" t="n"/>
      <c r="Z125" s="307" t="n"/>
      <c r="AA125" s="307" t="n"/>
      <c r="AB125" s="307" t="n"/>
      <c r="AC125" s="307" t="n"/>
      <c r="AD125" s="307" t="n"/>
      <c r="AE125" s="307" t="n"/>
      <c r="AF125" s="307" t="n"/>
      <c r="AG125" s="307" t="n"/>
      <c r="AH125" s="307" t="n"/>
      <c r="AI125" s="307" t="n"/>
      <c r="AJ125" s="307" t="n"/>
      <c r="AK125" s="307" t="n"/>
      <c r="AL125" s="307" t="n"/>
      <c r="AM125" s="307" t="n"/>
      <c r="AN125" s="307" t="n"/>
      <c r="AO125" s="307" t="n"/>
      <c r="AP125" s="307" t="n"/>
      <c r="AQ125" s="307" t="n"/>
      <c r="AR125" s="307" t="n"/>
      <c r="AS125" s="307" t="n"/>
      <c r="AT125" s="307" t="n"/>
      <c r="AU125" s="307" t="n"/>
      <c r="AV125" s="307" t="n"/>
      <c r="AW125" s="307" t="n"/>
      <c r="AX125" s="307" t="n"/>
      <c r="AY125" s="307" t="n"/>
      <c r="AZ125" s="307" t="n"/>
      <c r="BA125" s="31" t="n"/>
      <c r="BB125" s="307" t="n"/>
      <c r="BC125" s="307" t="n"/>
      <c r="BD125" s="307" t="n"/>
      <c r="BE125" s="307" t="n"/>
      <c r="BF125" s="307" t="n"/>
      <c r="BG125" s="31" t="n"/>
      <c r="BH125" s="31" t="n"/>
      <c r="BI125" s="31" t="n"/>
      <c r="BJ125" s="31" t="n"/>
    </row>
    <row r="126" ht="15.75" customHeight="1" s="349">
      <c r="A126" s="31" t="n"/>
      <c r="B126" s="307" t="n"/>
      <c r="C126" s="307" t="n"/>
      <c r="D126" s="307" t="n"/>
      <c r="E126" s="307" t="n"/>
      <c r="F126" s="307" t="n"/>
      <c r="G126" s="307" t="n"/>
      <c r="H126" s="307" t="n"/>
      <c r="I126" s="307" t="n"/>
      <c r="J126" s="307" t="n"/>
      <c r="K126" s="307" t="n"/>
      <c r="L126" s="307" t="n"/>
      <c r="M126" s="307" t="n"/>
      <c r="N126" s="307" t="n"/>
      <c r="O126" s="307" t="n"/>
      <c r="P126" s="307" t="n"/>
      <c r="Q126" s="307" t="n"/>
      <c r="R126" s="307" t="n"/>
      <c r="S126" s="307" t="n"/>
      <c r="T126" s="307" t="n"/>
      <c r="U126" s="307" t="n"/>
      <c r="V126" s="307" t="n"/>
      <c r="W126" s="307" t="n"/>
      <c r="X126" s="307" t="n"/>
      <c r="Y126" s="307" t="n"/>
      <c r="Z126" s="307" t="n"/>
      <c r="AA126" s="307" t="n"/>
      <c r="AB126" s="307" t="n"/>
      <c r="AC126" s="307" t="n"/>
      <c r="AD126" s="307" t="n"/>
      <c r="AE126" s="307" t="n"/>
      <c r="AF126" s="307" t="n"/>
      <c r="AG126" s="307" t="n"/>
      <c r="AH126" s="307" t="n"/>
      <c r="AI126" s="307" t="n"/>
      <c r="AJ126" s="307" t="n"/>
      <c r="AK126" s="307" t="n"/>
      <c r="AL126" s="307" t="n"/>
      <c r="AM126" s="307" t="n"/>
      <c r="AN126" s="307" t="n"/>
      <c r="AO126" s="307" t="n"/>
      <c r="AP126" s="307" t="n"/>
      <c r="AQ126" s="307" t="n"/>
      <c r="AR126" s="307" t="n"/>
      <c r="AS126" s="307" t="n"/>
      <c r="AT126" s="307" t="n"/>
      <c r="AU126" s="307" t="n"/>
      <c r="AV126" s="307" t="n"/>
      <c r="AW126" s="307" t="n"/>
      <c r="AX126" s="307" t="n"/>
      <c r="AY126" s="307" t="n"/>
      <c r="AZ126" s="307" t="n"/>
      <c r="BA126" s="31" t="n"/>
      <c r="BB126" s="307" t="n"/>
      <c r="BC126" s="307" t="n"/>
      <c r="BD126" s="307" t="n"/>
      <c r="BE126" s="307" t="n"/>
      <c r="BF126" s="307" t="n"/>
      <c r="BG126" s="31" t="n"/>
      <c r="BH126" s="31" t="n"/>
      <c r="BI126" s="31" t="n"/>
      <c r="BJ126" s="31" t="n"/>
    </row>
    <row r="127" ht="15.75" customHeight="1" s="349">
      <c r="A127" s="31" t="n"/>
      <c r="B127" s="307" t="n"/>
      <c r="C127" s="307" t="n"/>
      <c r="D127" s="307" t="n"/>
      <c r="E127" s="307" t="n"/>
      <c r="F127" s="307" t="n"/>
      <c r="G127" s="307" t="n"/>
      <c r="H127" s="307" t="n"/>
      <c r="I127" s="307" t="n"/>
      <c r="J127" s="307" t="n"/>
      <c r="K127" s="307" t="n"/>
      <c r="L127" s="307" t="n"/>
      <c r="M127" s="307" t="n"/>
      <c r="N127" s="307" t="n"/>
      <c r="O127" s="307" t="n"/>
      <c r="P127" s="307" t="n"/>
      <c r="Q127" s="307" t="n"/>
      <c r="R127" s="307" t="n"/>
      <c r="S127" s="307" t="n"/>
      <c r="T127" s="307" t="n"/>
      <c r="U127" s="307" t="n"/>
      <c r="V127" s="307" t="n"/>
      <c r="W127" s="307" t="n"/>
      <c r="X127" s="307" t="n"/>
      <c r="Y127" s="307" t="n"/>
      <c r="Z127" s="307" t="n"/>
      <c r="AA127" s="307" t="n"/>
      <c r="AB127" s="307" t="n"/>
      <c r="AC127" s="307" t="n"/>
      <c r="AD127" s="307" t="n"/>
      <c r="AE127" s="307" t="n"/>
      <c r="AF127" s="307" t="n"/>
      <c r="AG127" s="307" t="n"/>
      <c r="AH127" s="307" t="n"/>
      <c r="AI127" s="307" t="n"/>
      <c r="AJ127" s="307" t="n"/>
      <c r="AK127" s="307" t="n"/>
      <c r="AL127" s="307" t="n"/>
      <c r="AM127" s="307" t="n"/>
      <c r="AN127" s="307" t="n"/>
      <c r="AO127" s="307" t="n"/>
      <c r="AP127" s="307" t="n"/>
      <c r="AQ127" s="307" t="n"/>
      <c r="AR127" s="307" t="n"/>
      <c r="AS127" s="307" t="n"/>
      <c r="AT127" s="307" t="n"/>
      <c r="AU127" s="307" t="n"/>
      <c r="AV127" s="307" t="n"/>
      <c r="AW127" s="307" t="n"/>
      <c r="AX127" s="307" t="n"/>
      <c r="AY127" s="307" t="n"/>
      <c r="AZ127" s="307" t="n"/>
      <c r="BA127" s="31" t="n"/>
      <c r="BB127" s="307" t="n"/>
      <c r="BC127" s="307" t="n"/>
      <c r="BD127" s="307" t="n"/>
      <c r="BE127" s="307" t="n"/>
      <c r="BF127" s="307" t="n"/>
      <c r="BG127" s="31" t="n"/>
      <c r="BH127" s="31" t="n"/>
      <c r="BI127" s="31" t="n"/>
      <c r="BJ127" s="31" t="n"/>
    </row>
    <row r="128" ht="15.75" customHeight="1" s="349">
      <c r="A128" s="31" t="n"/>
      <c r="B128" s="307" t="n"/>
      <c r="C128" s="307" t="n"/>
      <c r="D128" s="307" t="n"/>
      <c r="E128" s="307" t="n"/>
      <c r="F128" s="307" t="n"/>
      <c r="G128" s="307" t="n"/>
      <c r="H128" s="307" t="n"/>
      <c r="I128" s="307" t="n"/>
      <c r="J128" s="307" t="n"/>
      <c r="K128" s="307" t="n"/>
      <c r="L128" s="307" t="n"/>
      <c r="M128" s="307" t="n"/>
      <c r="N128" s="307" t="n"/>
      <c r="O128" s="307" t="n"/>
      <c r="P128" s="307" t="n"/>
      <c r="Q128" s="307" t="n"/>
      <c r="R128" s="307" t="n"/>
      <c r="S128" s="307" t="n"/>
      <c r="T128" s="307" t="n"/>
      <c r="U128" s="307" t="n"/>
      <c r="V128" s="307" t="n"/>
      <c r="W128" s="307" t="n"/>
      <c r="X128" s="307" t="n"/>
      <c r="Y128" s="307" t="n"/>
      <c r="Z128" s="307" t="n"/>
      <c r="AA128" s="307" t="n"/>
      <c r="AB128" s="307" t="n"/>
      <c r="AC128" s="307" t="n"/>
      <c r="AD128" s="307" t="n"/>
      <c r="AE128" s="307" t="n"/>
      <c r="AF128" s="307" t="n"/>
      <c r="AG128" s="307" t="n"/>
      <c r="AH128" s="307" t="n"/>
      <c r="AI128" s="307" t="n"/>
      <c r="AJ128" s="307" t="n"/>
      <c r="AK128" s="307" t="n"/>
      <c r="AL128" s="307" t="n"/>
      <c r="AM128" s="307" t="n"/>
      <c r="AN128" s="307" t="n"/>
      <c r="AO128" s="307" t="n"/>
      <c r="AP128" s="307" t="n"/>
      <c r="AQ128" s="307" t="n"/>
      <c r="AR128" s="307" t="n"/>
      <c r="AS128" s="307" t="n"/>
      <c r="AT128" s="307" t="n"/>
      <c r="AU128" s="307" t="n"/>
      <c r="AV128" s="307" t="n"/>
      <c r="AW128" s="307" t="n"/>
      <c r="AX128" s="307" t="n"/>
      <c r="AY128" s="307" t="n"/>
      <c r="AZ128" s="307" t="n"/>
      <c r="BA128" s="31" t="n"/>
      <c r="BB128" s="307" t="n"/>
      <c r="BC128" s="307" t="n"/>
      <c r="BD128" s="307" t="n"/>
      <c r="BE128" s="307" t="n"/>
      <c r="BF128" s="307" t="n"/>
      <c r="BG128" s="31" t="n"/>
      <c r="BH128" s="31" t="n"/>
      <c r="BI128" s="31" t="n"/>
      <c r="BJ128" s="31" t="n"/>
    </row>
    <row r="129" ht="15.75" customHeight="1" s="349">
      <c r="A129" s="31" t="n"/>
      <c r="B129" s="307" t="n"/>
      <c r="C129" s="307" t="n"/>
      <c r="D129" s="307" t="n"/>
      <c r="E129" s="307" t="n"/>
      <c r="F129" s="307" t="n"/>
      <c r="G129" s="307" t="n"/>
      <c r="H129" s="307" t="n"/>
      <c r="I129" s="307" t="n"/>
      <c r="J129" s="307" t="n"/>
      <c r="K129" s="307" t="n"/>
      <c r="L129" s="307" t="n"/>
      <c r="M129" s="307" t="n"/>
      <c r="N129" s="307" t="n"/>
      <c r="O129" s="307" t="n"/>
      <c r="P129" s="307" t="n"/>
      <c r="Q129" s="307" t="n"/>
      <c r="R129" s="307" t="n"/>
      <c r="S129" s="307" t="n"/>
      <c r="T129" s="307" t="n"/>
      <c r="U129" s="307" t="n"/>
      <c r="V129" s="307" t="n"/>
      <c r="W129" s="307" t="n"/>
      <c r="X129" s="307" t="n"/>
      <c r="Y129" s="307" t="n"/>
      <c r="Z129" s="307" t="n"/>
      <c r="AA129" s="307" t="n"/>
      <c r="AB129" s="307" t="n"/>
      <c r="AC129" s="307" t="n"/>
      <c r="AD129" s="307" t="n"/>
      <c r="AE129" s="307" t="n"/>
      <c r="AF129" s="307" t="n"/>
      <c r="AG129" s="307" t="n"/>
      <c r="AH129" s="307" t="n"/>
      <c r="AI129" s="307" t="n"/>
      <c r="AJ129" s="307" t="n"/>
      <c r="AK129" s="307" t="n"/>
      <c r="AL129" s="307" t="n"/>
      <c r="AM129" s="307" t="n"/>
      <c r="AN129" s="307" t="n"/>
      <c r="AO129" s="307" t="n"/>
      <c r="AP129" s="307" t="n"/>
      <c r="AQ129" s="307" t="n"/>
      <c r="AR129" s="307" t="n"/>
      <c r="AS129" s="307" t="n"/>
      <c r="AT129" s="307" t="n"/>
      <c r="AU129" s="307" t="n"/>
      <c r="AV129" s="307" t="n"/>
      <c r="AW129" s="307" t="n"/>
      <c r="AX129" s="307" t="n"/>
      <c r="AY129" s="307" t="n"/>
      <c r="AZ129" s="307" t="n"/>
      <c r="BA129" s="31" t="n"/>
      <c r="BB129" s="307" t="n"/>
      <c r="BC129" s="307" t="n"/>
      <c r="BD129" s="307" t="n"/>
      <c r="BE129" s="307" t="n"/>
      <c r="BF129" s="307" t="n"/>
      <c r="BG129" s="31" t="n"/>
      <c r="BH129" s="31" t="n"/>
      <c r="BI129" s="31" t="n"/>
      <c r="BJ129" s="31" t="n"/>
    </row>
    <row r="130" ht="15.75" customHeight="1" s="349">
      <c r="A130" s="31" t="n"/>
      <c r="B130" s="307" t="n"/>
      <c r="C130" s="307" t="n"/>
      <c r="D130" s="307" t="n"/>
      <c r="E130" s="307" t="n"/>
      <c r="F130" s="307" t="n"/>
      <c r="G130" s="307" t="n"/>
      <c r="H130" s="307" t="n"/>
      <c r="I130" s="307" t="n"/>
      <c r="J130" s="307" t="n"/>
      <c r="K130" s="307" t="n"/>
      <c r="L130" s="307" t="n"/>
      <c r="M130" s="307" t="n"/>
      <c r="N130" s="307" t="n"/>
      <c r="O130" s="307" t="n"/>
      <c r="P130" s="307" t="n"/>
      <c r="Q130" s="307" t="n"/>
      <c r="R130" s="307" t="n"/>
      <c r="S130" s="307" t="n"/>
      <c r="T130" s="307" t="n"/>
      <c r="U130" s="307" t="n"/>
      <c r="V130" s="307" t="n"/>
      <c r="W130" s="307" t="n"/>
      <c r="X130" s="307" t="n"/>
      <c r="Y130" s="307" t="n"/>
      <c r="Z130" s="307" t="n"/>
      <c r="AA130" s="307" t="n"/>
      <c r="AB130" s="307" t="n"/>
      <c r="AC130" s="307" t="n"/>
      <c r="AD130" s="307" t="n"/>
      <c r="AE130" s="307" t="n"/>
      <c r="AF130" s="307" t="n"/>
      <c r="AG130" s="307" t="n"/>
      <c r="AH130" s="307" t="n"/>
      <c r="AI130" s="307" t="n"/>
      <c r="AJ130" s="307" t="n"/>
      <c r="AK130" s="307" t="n"/>
      <c r="AL130" s="307" t="n"/>
      <c r="AM130" s="307" t="n"/>
      <c r="AN130" s="307" t="n"/>
      <c r="AO130" s="307" t="n"/>
      <c r="AP130" s="307" t="n"/>
      <c r="AQ130" s="307" t="n"/>
      <c r="AR130" s="307" t="n"/>
      <c r="AS130" s="307" t="n"/>
      <c r="AT130" s="307" t="n"/>
      <c r="AU130" s="307" t="n"/>
      <c r="AV130" s="307" t="n"/>
      <c r="AW130" s="307" t="n"/>
      <c r="AX130" s="307" t="n"/>
      <c r="AY130" s="307" t="n"/>
      <c r="AZ130" s="307" t="n"/>
      <c r="BA130" s="31" t="n"/>
      <c r="BB130" s="307" t="n"/>
      <c r="BC130" s="307" t="n"/>
      <c r="BD130" s="307" t="n"/>
      <c r="BE130" s="307" t="n"/>
      <c r="BF130" s="307" t="n"/>
      <c r="BG130" s="31" t="n"/>
      <c r="BH130" s="31" t="n"/>
      <c r="BI130" s="31" t="n"/>
      <c r="BJ130" s="31" t="n"/>
    </row>
    <row r="131" ht="15.75" customHeight="1" s="349">
      <c r="A131" s="31" t="n"/>
      <c r="B131" s="307" t="n"/>
      <c r="C131" s="307" t="n"/>
      <c r="D131" s="307" t="n"/>
      <c r="E131" s="307" t="n"/>
      <c r="F131" s="307" t="n"/>
      <c r="G131" s="307" t="n"/>
      <c r="H131" s="307" t="n"/>
      <c r="I131" s="307" t="n"/>
      <c r="J131" s="307" t="n"/>
      <c r="K131" s="307" t="n"/>
      <c r="L131" s="307" t="n"/>
      <c r="M131" s="307" t="n"/>
      <c r="N131" s="307" t="n"/>
      <c r="O131" s="307" t="n"/>
      <c r="P131" s="307" t="n"/>
      <c r="Q131" s="307" t="n"/>
      <c r="R131" s="307" t="n"/>
      <c r="S131" s="307" t="n"/>
      <c r="T131" s="307" t="n"/>
      <c r="U131" s="307" t="n"/>
      <c r="V131" s="307" t="n"/>
      <c r="W131" s="307" t="n"/>
      <c r="X131" s="307" t="n"/>
      <c r="Y131" s="307" t="n"/>
      <c r="Z131" s="307" t="n"/>
      <c r="AA131" s="307" t="n"/>
      <c r="AB131" s="307" t="n"/>
      <c r="AC131" s="307" t="n"/>
      <c r="AD131" s="307" t="n"/>
      <c r="AE131" s="307" t="n"/>
      <c r="AF131" s="307" t="n"/>
      <c r="AG131" s="307" t="n"/>
      <c r="AH131" s="307" t="n"/>
      <c r="AI131" s="307" t="n"/>
      <c r="AJ131" s="307" t="n"/>
      <c r="AK131" s="307" t="n"/>
      <c r="AL131" s="307" t="n"/>
      <c r="AM131" s="307" t="n"/>
      <c r="AN131" s="307" t="n"/>
      <c r="AO131" s="307" t="n"/>
      <c r="AP131" s="307" t="n"/>
      <c r="AQ131" s="307" t="n"/>
      <c r="AR131" s="307" t="n"/>
      <c r="AS131" s="307" t="n"/>
      <c r="AT131" s="307" t="n"/>
      <c r="AU131" s="307" t="n"/>
      <c r="AV131" s="307" t="n"/>
      <c r="AW131" s="307" t="n"/>
      <c r="AX131" s="307" t="n"/>
      <c r="AY131" s="307" t="n"/>
      <c r="AZ131" s="307" t="n"/>
      <c r="BA131" s="31" t="n"/>
      <c r="BB131" s="307" t="n"/>
      <c r="BC131" s="307" t="n"/>
      <c r="BD131" s="307" t="n"/>
      <c r="BE131" s="307" t="n"/>
      <c r="BF131" s="307" t="n"/>
      <c r="BG131" s="31" t="n"/>
      <c r="BH131" s="31" t="n"/>
      <c r="BI131" s="31" t="n"/>
      <c r="BJ131" s="31" t="n"/>
    </row>
    <row r="132" ht="15.75" customHeight="1" s="349">
      <c r="A132" s="31" t="n"/>
      <c r="B132" s="307" t="n"/>
      <c r="C132" s="307" t="n"/>
      <c r="D132" s="307" t="n"/>
      <c r="E132" s="307" t="n"/>
      <c r="F132" s="307" t="n"/>
      <c r="G132" s="307" t="n"/>
      <c r="H132" s="307" t="n"/>
      <c r="I132" s="307" t="n"/>
      <c r="J132" s="307" t="n"/>
      <c r="K132" s="307" t="n"/>
      <c r="L132" s="307" t="n"/>
      <c r="M132" s="307" t="n"/>
      <c r="N132" s="307" t="n"/>
      <c r="O132" s="307" t="n"/>
      <c r="P132" s="307" t="n"/>
      <c r="Q132" s="307" t="n"/>
      <c r="R132" s="307" t="n"/>
      <c r="S132" s="307" t="n"/>
      <c r="T132" s="307" t="n"/>
      <c r="U132" s="307" t="n"/>
      <c r="V132" s="307" t="n"/>
      <c r="W132" s="307" t="n"/>
      <c r="X132" s="307" t="n"/>
      <c r="Y132" s="307" t="n"/>
      <c r="Z132" s="307" t="n"/>
      <c r="AA132" s="307" t="n"/>
      <c r="AB132" s="307" t="n"/>
      <c r="AC132" s="307" t="n"/>
      <c r="AD132" s="307" t="n"/>
      <c r="AE132" s="307" t="n"/>
      <c r="AF132" s="307" t="n"/>
      <c r="AG132" s="307" t="n"/>
      <c r="AH132" s="307" t="n"/>
      <c r="AI132" s="307" t="n"/>
      <c r="AJ132" s="307" t="n"/>
      <c r="AK132" s="307" t="n"/>
      <c r="AL132" s="307" t="n"/>
      <c r="AM132" s="307" t="n"/>
      <c r="AN132" s="307" t="n"/>
      <c r="AO132" s="307" t="n"/>
      <c r="AP132" s="307" t="n"/>
      <c r="AQ132" s="307" t="n"/>
      <c r="AR132" s="307" t="n"/>
      <c r="AS132" s="307" t="n"/>
      <c r="AT132" s="307" t="n"/>
      <c r="AU132" s="307" t="n"/>
      <c r="AV132" s="307" t="n"/>
      <c r="AW132" s="307" t="n"/>
      <c r="AX132" s="307" t="n"/>
      <c r="AY132" s="307" t="n"/>
      <c r="AZ132" s="307" t="n"/>
      <c r="BA132" s="31" t="n"/>
      <c r="BB132" s="307" t="n"/>
      <c r="BC132" s="307" t="n"/>
      <c r="BD132" s="307" t="n"/>
      <c r="BE132" s="307" t="n"/>
      <c r="BF132" s="307" t="n"/>
      <c r="BG132" s="31" t="n"/>
      <c r="BH132" s="31" t="n"/>
      <c r="BI132" s="31" t="n"/>
      <c r="BJ132" s="31" t="n"/>
    </row>
    <row r="133" ht="15.75" customHeight="1" s="349">
      <c r="A133" s="31" t="n"/>
      <c r="B133" s="307" t="n"/>
      <c r="C133" s="307" t="n"/>
      <c r="D133" s="307" t="n"/>
      <c r="E133" s="307" t="n"/>
      <c r="F133" s="307" t="n"/>
      <c r="G133" s="307" t="n"/>
      <c r="H133" s="307" t="n"/>
      <c r="I133" s="307" t="n"/>
      <c r="J133" s="307" t="n"/>
      <c r="K133" s="307" t="n"/>
      <c r="L133" s="307" t="n"/>
      <c r="M133" s="307" t="n"/>
      <c r="N133" s="307" t="n"/>
      <c r="O133" s="307" t="n"/>
      <c r="P133" s="307" t="n"/>
      <c r="Q133" s="307" t="n"/>
      <c r="R133" s="307" t="n"/>
      <c r="S133" s="307" t="n"/>
      <c r="T133" s="307" t="n"/>
      <c r="U133" s="307" t="n"/>
      <c r="V133" s="307" t="n"/>
      <c r="W133" s="307" t="n"/>
      <c r="X133" s="307" t="n"/>
      <c r="Y133" s="307" t="n"/>
      <c r="Z133" s="307" t="n"/>
      <c r="AA133" s="307" t="n"/>
      <c r="AB133" s="307" t="n"/>
      <c r="AC133" s="307" t="n"/>
      <c r="AD133" s="307" t="n"/>
      <c r="AE133" s="307" t="n"/>
      <c r="AF133" s="307" t="n"/>
      <c r="AG133" s="307" t="n"/>
      <c r="AH133" s="307" t="n"/>
      <c r="AI133" s="307" t="n"/>
      <c r="AJ133" s="307" t="n"/>
      <c r="AK133" s="307" t="n"/>
      <c r="AL133" s="307" t="n"/>
      <c r="AM133" s="307" t="n"/>
      <c r="AN133" s="307" t="n"/>
      <c r="AO133" s="307" t="n"/>
      <c r="AP133" s="307" t="n"/>
      <c r="AQ133" s="307" t="n"/>
      <c r="AR133" s="307" t="n"/>
      <c r="AS133" s="307" t="n"/>
      <c r="AT133" s="307" t="n"/>
      <c r="AU133" s="307" t="n"/>
      <c r="AV133" s="307" t="n"/>
      <c r="AW133" s="307" t="n"/>
      <c r="AX133" s="307" t="n"/>
      <c r="AY133" s="307" t="n"/>
      <c r="AZ133" s="307" t="n"/>
      <c r="BA133" s="31" t="n"/>
      <c r="BB133" s="307" t="n"/>
      <c r="BC133" s="307" t="n"/>
      <c r="BD133" s="307" t="n"/>
      <c r="BE133" s="307" t="n"/>
      <c r="BF133" s="307" t="n"/>
      <c r="BG133" s="31" t="n"/>
      <c r="BH133" s="31" t="n"/>
      <c r="BI133" s="31" t="n"/>
      <c r="BJ133" s="31" t="n"/>
    </row>
    <row r="134" ht="15.75" customHeight="1" s="349">
      <c r="A134" s="31" t="n"/>
      <c r="B134" s="307" t="n"/>
      <c r="C134" s="307" t="n"/>
      <c r="D134" s="307" t="n"/>
      <c r="E134" s="307" t="n"/>
      <c r="F134" s="307" t="n"/>
      <c r="G134" s="307" t="n"/>
      <c r="H134" s="307" t="n"/>
      <c r="I134" s="307" t="n"/>
      <c r="J134" s="307" t="n"/>
      <c r="K134" s="307" t="n"/>
      <c r="L134" s="307" t="n"/>
      <c r="M134" s="307" t="n"/>
      <c r="N134" s="307" t="n"/>
      <c r="O134" s="307" t="n"/>
      <c r="P134" s="307" t="n"/>
      <c r="Q134" s="307" t="n"/>
      <c r="R134" s="307" t="n"/>
      <c r="S134" s="307" t="n"/>
      <c r="T134" s="307" t="n"/>
      <c r="U134" s="307" t="n"/>
      <c r="V134" s="307" t="n"/>
      <c r="W134" s="307" t="n"/>
      <c r="X134" s="307" t="n"/>
      <c r="Y134" s="307" t="n"/>
      <c r="Z134" s="307" t="n"/>
      <c r="AA134" s="307" t="n"/>
      <c r="AB134" s="307" t="n"/>
      <c r="AC134" s="307" t="n"/>
      <c r="AD134" s="307" t="n"/>
      <c r="AE134" s="307" t="n"/>
      <c r="AF134" s="307" t="n"/>
      <c r="AG134" s="307" t="n"/>
      <c r="AH134" s="307" t="n"/>
      <c r="AI134" s="307" t="n"/>
      <c r="AJ134" s="307" t="n"/>
      <c r="AK134" s="307" t="n"/>
      <c r="AL134" s="307" t="n"/>
      <c r="AM134" s="307" t="n"/>
      <c r="AN134" s="307" t="n"/>
      <c r="AO134" s="307" t="n"/>
      <c r="AP134" s="307" t="n"/>
      <c r="AQ134" s="307" t="n"/>
      <c r="AR134" s="307" t="n"/>
      <c r="AS134" s="307" t="n"/>
      <c r="AT134" s="307" t="n"/>
      <c r="AU134" s="307" t="n"/>
      <c r="AV134" s="307" t="n"/>
      <c r="AW134" s="307" t="n"/>
      <c r="AX134" s="307" t="n"/>
      <c r="AY134" s="307" t="n"/>
      <c r="AZ134" s="307" t="n"/>
      <c r="BA134" s="31" t="n"/>
      <c r="BB134" s="307" t="n"/>
      <c r="BC134" s="307" t="n"/>
      <c r="BD134" s="307" t="n"/>
      <c r="BE134" s="307" t="n"/>
      <c r="BF134" s="307" t="n"/>
      <c r="BG134" s="31" t="n"/>
      <c r="BH134" s="31" t="n"/>
      <c r="BI134" s="31" t="n"/>
      <c r="BJ134" s="31" t="n"/>
    </row>
    <row r="135" ht="15.75" customHeight="1" s="349">
      <c r="A135" s="31" t="n"/>
      <c r="B135" s="307" t="n"/>
      <c r="C135" s="307" t="n"/>
      <c r="D135" s="307" t="n"/>
      <c r="E135" s="307" t="n"/>
      <c r="F135" s="307" t="n"/>
      <c r="G135" s="307" t="n"/>
      <c r="H135" s="307" t="n"/>
      <c r="I135" s="307" t="n"/>
      <c r="J135" s="307" t="n"/>
      <c r="K135" s="307" t="n"/>
      <c r="L135" s="307" t="n"/>
      <c r="M135" s="307" t="n"/>
      <c r="N135" s="307" t="n"/>
      <c r="O135" s="307" t="n"/>
      <c r="P135" s="307" t="n"/>
      <c r="Q135" s="307" t="n"/>
      <c r="R135" s="307" t="n"/>
      <c r="S135" s="307" t="n"/>
      <c r="T135" s="307" t="n"/>
      <c r="U135" s="307" t="n"/>
      <c r="V135" s="307" t="n"/>
      <c r="W135" s="307" t="n"/>
      <c r="X135" s="307" t="n"/>
      <c r="Y135" s="307" t="n"/>
      <c r="Z135" s="307" t="n"/>
      <c r="AA135" s="307" t="n"/>
      <c r="AB135" s="307" t="n"/>
      <c r="AC135" s="307" t="n"/>
      <c r="AD135" s="307" t="n"/>
      <c r="AE135" s="307" t="n"/>
      <c r="AF135" s="307" t="n"/>
      <c r="AG135" s="307" t="n"/>
      <c r="AH135" s="307" t="n"/>
      <c r="AI135" s="307" t="n"/>
      <c r="AJ135" s="307" t="n"/>
      <c r="AK135" s="307" t="n"/>
      <c r="AL135" s="307" t="n"/>
      <c r="AM135" s="307" t="n"/>
      <c r="AN135" s="307" t="n"/>
      <c r="AO135" s="307" t="n"/>
      <c r="AP135" s="307" t="n"/>
      <c r="AQ135" s="307" t="n"/>
      <c r="AR135" s="307" t="n"/>
      <c r="AS135" s="307" t="n"/>
      <c r="AT135" s="307" t="n"/>
      <c r="AU135" s="307" t="n"/>
      <c r="AV135" s="307" t="n"/>
      <c r="AW135" s="307" t="n"/>
      <c r="AX135" s="307" t="n"/>
      <c r="AY135" s="307" t="n"/>
      <c r="AZ135" s="307" t="n"/>
      <c r="BA135" s="31" t="n"/>
      <c r="BB135" s="307" t="n"/>
      <c r="BC135" s="307" t="n"/>
      <c r="BD135" s="307" t="n"/>
      <c r="BE135" s="307" t="n"/>
      <c r="BF135" s="307" t="n"/>
      <c r="BG135" s="31" t="n"/>
      <c r="BH135" s="31" t="n"/>
      <c r="BI135" s="31" t="n"/>
      <c r="BJ135" s="31" t="n"/>
    </row>
    <row r="136" ht="15.75" customHeight="1" s="349">
      <c r="A136" s="31" t="n"/>
      <c r="B136" s="307" t="n"/>
      <c r="C136" s="307" t="n"/>
      <c r="D136" s="307" t="n"/>
      <c r="E136" s="307" t="n"/>
      <c r="F136" s="307" t="n"/>
      <c r="G136" s="307" t="n"/>
      <c r="H136" s="307" t="n"/>
      <c r="I136" s="307" t="n"/>
      <c r="J136" s="307" t="n"/>
      <c r="K136" s="307" t="n"/>
      <c r="L136" s="307" t="n"/>
      <c r="M136" s="307" t="n"/>
      <c r="N136" s="307" t="n"/>
      <c r="O136" s="307" t="n"/>
      <c r="P136" s="307" t="n"/>
      <c r="Q136" s="307" t="n"/>
      <c r="R136" s="307" t="n"/>
      <c r="S136" s="307" t="n"/>
      <c r="T136" s="307" t="n"/>
      <c r="U136" s="307" t="n"/>
      <c r="V136" s="307" t="n"/>
      <c r="W136" s="307" t="n"/>
      <c r="X136" s="307" t="n"/>
      <c r="Y136" s="307" t="n"/>
      <c r="Z136" s="307" t="n"/>
      <c r="AA136" s="307" t="n"/>
      <c r="AB136" s="307" t="n"/>
      <c r="AC136" s="307" t="n"/>
      <c r="AD136" s="307" t="n"/>
      <c r="AE136" s="307" t="n"/>
      <c r="AF136" s="307" t="n"/>
      <c r="AG136" s="307" t="n"/>
      <c r="AH136" s="307" t="n"/>
      <c r="AI136" s="307" t="n"/>
      <c r="AJ136" s="307" t="n"/>
      <c r="AK136" s="307" t="n"/>
      <c r="AL136" s="307" t="n"/>
      <c r="AM136" s="307" t="n"/>
      <c r="AN136" s="307" t="n"/>
      <c r="AO136" s="307" t="n"/>
      <c r="AP136" s="307" t="n"/>
      <c r="AQ136" s="307" t="n"/>
      <c r="AR136" s="307" t="n"/>
      <c r="AS136" s="307" t="n"/>
      <c r="AT136" s="307" t="n"/>
      <c r="AU136" s="307" t="n"/>
      <c r="AV136" s="307" t="n"/>
      <c r="AW136" s="307" t="n"/>
      <c r="AX136" s="307" t="n"/>
      <c r="AY136" s="307" t="n"/>
      <c r="AZ136" s="307" t="n"/>
      <c r="BA136" s="31" t="n"/>
      <c r="BB136" s="307" t="n"/>
      <c r="BC136" s="307" t="n"/>
      <c r="BD136" s="307" t="n"/>
      <c r="BE136" s="307" t="n"/>
      <c r="BF136" s="307" t="n"/>
      <c r="BG136" s="31" t="n"/>
      <c r="BH136" s="31" t="n"/>
      <c r="BI136" s="31" t="n"/>
      <c r="BJ136" s="31" t="n"/>
    </row>
    <row r="137" ht="15.75" customHeight="1" s="349">
      <c r="A137" s="31" t="n"/>
      <c r="B137" s="307" t="n"/>
      <c r="C137" s="307" t="n"/>
      <c r="D137" s="307" t="n"/>
      <c r="E137" s="307" t="n"/>
      <c r="F137" s="307" t="n"/>
      <c r="G137" s="307" t="n"/>
      <c r="H137" s="307" t="n"/>
      <c r="I137" s="307" t="n"/>
      <c r="J137" s="307" t="n"/>
      <c r="K137" s="307" t="n"/>
      <c r="L137" s="307" t="n"/>
      <c r="M137" s="307" t="n"/>
      <c r="N137" s="307" t="n"/>
      <c r="O137" s="307" t="n"/>
      <c r="P137" s="307" t="n"/>
      <c r="Q137" s="307" t="n"/>
      <c r="R137" s="307" t="n"/>
      <c r="S137" s="307" t="n"/>
      <c r="T137" s="307" t="n"/>
      <c r="U137" s="307" t="n"/>
      <c r="V137" s="307" t="n"/>
      <c r="W137" s="307" t="n"/>
      <c r="X137" s="307" t="n"/>
      <c r="Y137" s="307" t="n"/>
      <c r="Z137" s="307" t="n"/>
      <c r="AA137" s="307" t="n"/>
      <c r="AB137" s="307" t="n"/>
      <c r="AC137" s="307" t="n"/>
      <c r="AD137" s="307" t="n"/>
      <c r="AE137" s="307" t="n"/>
      <c r="AF137" s="307" t="n"/>
      <c r="AG137" s="307" t="n"/>
      <c r="AH137" s="307" t="n"/>
      <c r="AI137" s="307" t="n"/>
      <c r="AJ137" s="307" t="n"/>
      <c r="AK137" s="307" t="n"/>
      <c r="AL137" s="307" t="n"/>
      <c r="AM137" s="307" t="n"/>
      <c r="AN137" s="307" t="n"/>
      <c r="AO137" s="307" t="n"/>
      <c r="AP137" s="307" t="n"/>
      <c r="AQ137" s="307" t="n"/>
      <c r="AR137" s="307" t="n"/>
      <c r="AS137" s="307" t="n"/>
      <c r="AT137" s="307" t="n"/>
      <c r="AU137" s="307" t="n"/>
      <c r="AV137" s="307" t="n"/>
      <c r="AW137" s="307" t="n"/>
      <c r="AX137" s="307" t="n"/>
      <c r="AY137" s="307" t="n"/>
      <c r="AZ137" s="307" t="n"/>
      <c r="BA137" s="31" t="n"/>
      <c r="BB137" s="307" t="n"/>
      <c r="BC137" s="307" t="n"/>
      <c r="BD137" s="307" t="n"/>
      <c r="BE137" s="307" t="n"/>
      <c r="BF137" s="307" t="n"/>
      <c r="BG137" s="31" t="n"/>
      <c r="BH137" s="31" t="n"/>
      <c r="BI137" s="31" t="n"/>
      <c r="BJ137" s="31" t="n"/>
    </row>
    <row r="138" ht="15.75" customHeight="1" s="349">
      <c r="A138" s="31" t="n"/>
      <c r="B138" s="307" t="n"/>
      <c r="C138" s="307" t="n"/>
      <c r="D138" s="307" t="n"/>
      <c r="E138" s="307" t="n"/>
      <c r="F138" s="307" t="n"/>
      <c r="G138" s="307" t="n"/>
      <c r="H138" s="307" t="n"/>
      <c r="I138" s="307" t="n"/>
      <c r="J138" s="307" t="n"/>
      <c r="K138" s="307" t="n"/>
      <c r="L138" s="307" t="n"/>
      <c r="M138" s="307" t="n"/>
      <c r="N138" s="307" t="n"/>
      <c r="O138" s="307" t="n"/>
      <c r="P138" s="307" t="n"/>
      <c r="Q138" s="307" t="n"/>
      <c r="R138" s="307" t="n"/>
      <c r="S138" s="307" t="n"/>
      <c r="T138" s="307" t="n"/>
      <c r="U138" s="307" t="n"/>
      <c r="V138" s="307" t="n"/>
      <c r="W138" s="307" t="n"/>
      <c r="X138" s="307" t="n"/>
      <c r="Y138" s="307" t="n"/>
      <c r="Z138" s="307" t="n"/>
      <c r="AA138" s="307" t="n"/>
      <c r="AB138" s="307" t="n"/>
      <c r="AC138" s="307" t="n"/>
      <c r="AD138" s="307" t="n"/>
      <c r="AE138" s="307" t="n"/>
      <c r="AF138" s="307" t="n"/>
      <c r="AG138" s="307" t="n"/>
      <c r="AH138" s="307" t="n"/>
      <c r="AI138" s="307" t="n"/>
      <c r="AJ138" s="307" t="n"/>
      <c r="AK138" s="307" t="n"/>
      <c r="AL138" s="307" t="n"/>
      <c r="AM138" s="307" t="n"/>
      <c r="AN138" s="307" t="n"/>
      <c r="AO138" s="307" t="n"/>
      <c r="AP138" s="307" t="n"/>
      <c r="AQ138" s="307" t="n"/>
      <c r="AR138" s="307" t="n"/>
      <c r="AS138" s="307" t="n"/>
      <c r="AT138" s="307" t="n"/>
      <c r="AU138" s="307" t="n"/>
      <c r="AV138" s="307" t="n"/>
      <c r="AW138" s="307" t="n"/>
      <c r="AX138" s="307" t="n"/>
      <c r="AY138" s="307" t="n"/>
      <c r="AZ138" s="307" t="n"/>
      <c r="BA138" s="31" t="n"/>
      <c r="BB138" s="307" t="n"/>
      <c r="BC138" s="307" t="n"/>
      <c r="BD138" s="307" t="n"/>
      <c r="BE138" s="307" t="n"/>
      <c r="BF138" s="307" t="n"/>
      <c r="BG138" s="31" t="n"/>
      <c r="BH138" s="31" t="n"/>
      <c r="BI138" s="31" t="n"/>
      <c r="BJ138" s="31" t="n"/>
    </row>
    <row r="139" ht="15.75" customHeight="1" s="349">
      <c r="A139" s="31" t="n"/>
      <c r="B139" s="307" t="n"/>
      <c r="C139" s="307" t="n"/>
      <c r="D139" s="307" t="n"/>
      <c r="E139" s="307" t="n"/>
      <c r="F139" s="307" t="n"/>
      <c r="G139" s="307" t="n"/>
      <c r="H139" s="307" t="n"/>
      <c r="I139" s="307" t="n"/>
      <c r="J139" s="307" t="n"/>
      <c r="K139" s="307" t="n"/>
      <c r="L139" s="307" t="n"/>
      <c r="M139" s="307" t="n"/>
      <c r="N139" s="307" t="n"/>
      <c r="O139" s="307" t="n"/>
      <c r="P139" s="307" t="n"/>
      <c r="Q139" s="307" t="n"/>
      <c r="R139" s="307" t="n"/>
      <c r="S139" s="307" t="n"/>
      <c r="T139" s="307" t="n"/>
      <c r="U139" s="307" t="n"/>
      <c r="V139" s="307" t="n"/>
      <c r="W139" s="307" t="n"/>
      <c r="X139" s="307" t="n"/>
      <c r="Y139" s="307" t="n"/>
      <c r="Z139" s="307" t="n"/>
      <c r="AA139" s="307" t="n"/>
      <c r="AB139" s="307" t="n"/>
      <c r="AC139" s="307" t="n"/>
      <c r="AD139" s="307" t="n"/>
      <c r="AE139" s="307" t="n"/>
      <c r="AF139" s="307" t="n"/>
      <c r="AG139" s="307" t="n"/>
      <c r="AH139" s="307" t="n"/>
      <c r="AI139" s="307" t="n"/>
      <c r="AJ139" s="307" t="n"/>
      <c r="AK139" s="307" t="n"/>
      <c r="AL139" s="307" t="n"/>
      <c r="AM139" s="307" t="n"/>
      <c r="AN139" s="307" t="n"/>
      <c r="AO139" s="307" t="n"/>
      <c r="AP139" s="307" t="n"/>
      <c r="AQ139" s="307" t="n"/>
      <c r="AR139" s="307" t="n"/>
      <c r="AS139" s="307" t="n"/>
      <c r="AT139" s="307" t="n"/>
      <c r="AU139" s="307" t="n"/>
      <c r="AV139" s="307" t="n"/>
      <c r="AW139" s="307" t="n"/>
      <c r="AX139" s="307" t="n"/>
      <c r="AY139" s="307" t="n"/>
      <c r="AZ139" s="307" t="n"/>
      <c r="BA139" s="31" t="n"/>
      <c r="BB139" s="307" t="n"/>
      <c r="BC139" s="307" t="n"/>
      <c r="BD139" s="307" t="n"/>
      <c r="BE139" s="307" t="n"/>
      <c r="BF139" s="307" t="n"/>
      <c r="BG139" s="31" t="n"/>
      <c r="BH139" s="31" t="n"/>
      <c r="BI139" s="31" t="n"/>
      <c r="BJ139" s="31" t="n"/>
    </row>
    <row r="140" ht="15.75" customHeight="1" s="349">
      <c r="A140" s="31" t="n"/>
      <c r="B140" s="307" t="n"/>
      <c r="C140" s="307" t="n"/>
      <c r="D140" s="307" t="n"/>
      <c r="E140" s="307" t="n"/>
      <c r="F140" s="307" t="n"/>
      <c r="G140" s="307" t="n"/>
      <c r="H140" s="307" t="n"/>
      <c r="I140" s="307" t="n"/>
      <c r="J140" s="307" t="n"/>
      <c r="K140" s="307" t="n"/>
      <c r="L140" s="307" t="n"/>
      <c r="M140" s="307" t="n"/>
      <c r="N140" s="307" t="n"/>
      <c r="O140" s="307" t="n"/>
      <c r="P140" s="307" t="n"/>
      <c r="Q140" s="307" t="n"/>
      <c r="R140" s="307" t="n"/>
      <c r="S140" s="307" t="n"/>
      <c r="T140" s="307" t="n"/>
      <c r="U140" s="307" t="n"/>
      <c r="V140" s="307" t="n"/>
      <c r="W140" s="307" t="n"/>
      <c r="X140" s="307" t="n"/>
      <c r="Y140" s="307" t="n"/>
      <c r="Z140" s="307" t="n"/>
      <c r="AA140" s="307" t="n"/>
      <c r="AB140" s="307" t="n"/>
      <c r="AC140" s="307" t="n"/>
      <c r="AD140" s="307" t="n"/>
      <c r="AE140" s="307" t="n"/>
      <c r="AF140" s="307" t="n"/>
      <c r="AG140" s="307" t="n"/>
      <c r="AH140" s="307" t="n"/>
      <c r="AI140" s="307" t="n"/>
      <c r="AJ140" s="307" t="n"/>
      <c r="AK140" s="307" t="n"/>
      <c r="AL140" s="307" t="n"/>
      <c r="AM140" s="307" t="n"/>
      <c r="AN140" s="307" t="n"/>
      <c r="AO140" s="307" t="n"/>
      <c r="AP140" s="307" t="n"/>
      <c r="AQ140" s="307" t="n"/>
      <c r="AR140" s="307" t="n"/>
      <c r="AS140" s="307" t="n"/>
      <c r="AT140" s="307" t="n"/>
      <c r="AU140" s="307" t="n"/>
      <c r="AV140" s="307" t="n"/>
      <c r="AW140" s="307" t="n"/>
      <c r="AX140" s="307" t="n"/>
      <c r="AY140" s="307" t="n"/>
      <c r="AZ140" s="307" t="n"/>
      <c r="BA140" s="31" t="n"/>
      <c r="BB140" s="307" t="n"/>
      <c r="BC140" s="307" t="n"/>
      <c r="BD140" s="307" t="n"/>
      <c r="BE140" s="307" t="n"/>
      <c r="BF140" s="307" t="n"/>
      <c r="BG140" s="31" t="n"/>
      <c r="BH140" s="31" t="n"/>
      <c r="BI140" s="31" t="n"/>
      <c r="BJ140" s="31" t="n"/>
    </row>
    <row r="141" ht="15.75" customHeight="1" s="349">
      <c r="A141" s="31" t="n"/>
      <c r="B141" s="307" t="n"/>
      <c r="C141" s="307" t="n"/>
      <c r="D141" s="307" t="n"/>
      <c r="E141" s="307" t="n"/>
      <c r="F141" s="307" t="n"/>
      <c r="G141" s="307" t="n"/>
      <c r="H141" s="307" t="n"/>
      <c r="I141" s="307" t="n"/>
      <c r="J141" s="307" t="n"/>
      <c r="K141" s="307" t="n"/>
      <c r="L141" s="307" t="n"/>
      <c r="M141" s="307" t="n"/>
      <c r="N141" s="307" t="n"/>
      <c r="O141" s="307" t="n"/>
      <c r="P141" s="307" t="n"/>
      <c r="Q141" s="307" t="n"/>
      <c r="R141" s="307" t="n"/>
      <c r="S141" s="307" t="n"/>
      <c r="T141" s="307" t="n"/>
      <c r="U141" s="307" t="n"/>
      <c r="V141" s="307" t="n"/>
      <c r="W141" s="307" t="n"/>
      <c r="X141" s="307" t="n"/>
      <c r="Y141" s="307" t="n"/>
      <c r="Z141" s="307" t="n"/>
      <c r="AA141" s="307" t="n"/>
      <c r="AB141" s="307" t="n"/>
      <c r="AC141" s="307" t="n"/>
      <c r="AD141" s="307" t="n"/>
      <c r="AE141" s="307" t="n"/>
      <c r="AF141" s="307" t="n"/>
      <c r="AG141" s="307" t="n"/>
      <c r="AH141" s="307" t="n"/>
      <c r="AI141" s="307" t="n"/>
      <c r="AJ141" s="307" t="n"/>
      <c r="AK141" s="307" t="n"/>
      <c r="AL141" s="307" t="n"/>
      <c r="AM141" s="307" t="n"/>
      <c r="AN141" s="307" t="n"/>
      <c r="AO141" s="307" t="n"/>
      <c r="AP141" s="307" t="n"/>
      <c r="AQ141" s="307" t="n"/>
      <c r="AR141" s="307" t="n"/>
      <c r="AS141" s="307" t="n"/>
      <c r="AT141" s="307" t="n"/>
      <c r="AU141" s="307" t="n"/>
      <c r="AV141" s="307" t="n"/>
      <c r="AW141" s="307" t="n"/>
      <c r="AX141" s="307" t="n"/>
      <c r="AY141" s="307" t="n"/>
      <c r="AZ141" s="307" t="n"/>
      <c r="BA141" s="31" t="n"/>
      <c r="BB141" s="307" t="n"/>
      <c r="BC141" s="307" t="n"/>
      <c r="BD141" s="307" t="n"/>
      <c r="BE141" s="307" t="n"/>
      <c r="BF141" s="307" t="n"/>
      <c r="BG141" s="31" t="n"/>
      <c r="BH141" s="31" t="n"/>
      <c r="BI141" s="31" t="n"/>
      <c r="BJ141" s="31" t="n"/>
    </row>
    <row r="142" ht="15.75" customHeight="1" s="349">
      <c r="A142" s="31" t="n"/>
      <c r="B142" s="307" t="n"/>
      <c r="C142" s="307" t="n"/>
      <c r="D142" s="307" t="n"/>
      <c r="E142" s="307" t="n"/>
      <c r="F142" s="307" t="n"/>
      <c r="G142" s="307" t="n"/>
      <c r="H142" s="307" t="n"/>
      <c r="I142" s="307" t="n"/>
      <c r="J142" s="307" t="n"/>
      <c r="K142" s="307" t="n"/>
      <c r="L142" s="307" t="n"/>
      <c r="M142" s="307" t="n"/>
      <c r="N142" s="307" t="n"/>
      <c r="O142" s="307" t="n"/>
      <c r="P142" s="307" t="n"/>
      <c r="Q142" s="307" t="n"/>
      <c r="R142" s="307" t="n"/>
      <c r="S142" s="307" t="n"/>
      <c r="T142" s="307" t="n"/>
      <c r="U142" s="307" t="n"/>
      <c r="V142" s="307" t="n"/>
      <c r="W142" s="307" t="n"/>
      <c r="X142" s="307" t="n"/>
      <c r="Y142" s="307" t="n"/>
      <c r="Z142" s="307" t="n"/>
      <c r="AA142" s="307" t="n"/>
      <c r="AB142" s="307" t="n"/>
      <c r="AC142" s="307" t="n"/>
      <c r="AD142" s="307" t="n"/>
      <c r="AE142" s="307" t="n"/>
      <c r="AF142" s="307" t="n"/>
      <c r="AG142" s="307" t="n"/>
      <c r="AH142" s="307" t="n"/>
      <c r="AI142" s="307" t="n"/>
      <c r="AJ142" s="307" t="n"/>
      <c r="AK142" s="307" t="n"/>
      <c r="AL142" s="307" t="n"/>
      <c r="AM142" s="307" t="n"/>
      <c r="AN142" s="307" t="n"/>
      <c r="AO142" s="307" t="n"/>
      <c r="AP142" s="307" t="n"/>
      <c r="AQ142" s="307" t="n"/>
      <c r="AR142" s="307" t="n"/>
      <c r="AS142" s="307" t="n"/>
      <c r="AT142" s="307" t="n"/>
      <c r="AU142" s="307" t="n"/>
      <c r="AV142" s="307" t="n"/>
      <c r="AW142" s="307" t="n"/>
      <c r="AX142" s="307" t="n"/>
      <c r="AY142" s="307" t="n"/>
      <c r="AZ142" s="307" t="n"/>
      <c r="BA142" s="31" t="n"/>
      <c r="BB142" s="307" t="n"/>
      <c r="BC142" s="307" t="n"/>
      <c r="BD142" s="307" t="n"/>
      <c r="BE142" s="307" t="n"/>
      <c r="BF142" s="307" t="n"/>
      <c r="BG142" s="31" t="n"/>
      <c r="BH142" s="31" t="n"/>
      <c r="BI142" s="31" t="n"/>
      <c r="BJ142" s="31" t="n"/>
    </row>
    <row r="143" ht="15.75" customHeight="1" s="349">
      <c r="A143" s="31" t="n"/>
      <c r="B143" s="307" t="n"/>
      <c r="C143" s="307" t="n"/>
      <c r="D143" s="307" t="n"/>
      <c r="E143" s="307" t="n"/>
      <c r="F143" s="307" t="n"/>
      <c r="G143" s="307" t="n"/>
      <c r="H143" s="307" t="n"/>
      <c r="I143" s="307" t="n"/>
      <c r="J143" s="307" t="n"/>
      <c r="K143" s="307" t="n"/>
      <c r="L143" s="307" t="n"/>
      <c r="M143" s="307" t="n"/>
      <c r="N143" s="307" t="n"/>
      <c r="O143" s="307" t="n"/>
      <c r="P143" s="307" t="n"/>
      <c r="Q143" s="307" t="n"/>
      <c r="R143" s="307" t="n"/>
      <c r="S143" s="307" t="n"/>
      <c r="T143" s="307" t="n"/>
      <c r="U143" s="307" t="n"/>
      <c r="V143" s="307" t="n"/>
      <c r="W143" s="307" t="n"/>
      <c r="X143" s="307" t="n"/>
      <c r="Y143" s="307" t="n"/>
      <c r="Z143" s="307" t="n"/>
      <c r="AA143" s="307" t="n"/>
      <c r="AB143" s="307" t="n"/>
      <c r="AC143" s="307" t="n"/>
      <c r="AD143" s="307" t="n"/>
      <c r="AE143" s="307" t="n"/>
      <c r="AF143" s="307" t="n"/>
      <c r="AG143" s="307" t="n"/>
      <c r="AH143" s="307" t="n"/>
      <c r="AI143" s="307" t="n"/>
      <c r="AJ143" s="307" t="n"/>
      <c r="AK143" s="307" t="n"/>
      <c r="AL143" s="307" t="n"/>
      <c r="AM143" s="307" t="n"/>
      <c r="AN143" s="307" t="n"/>
      <c r="AO143" s="307" t="n"/>
      <c r="AP143" s="307" t="n"/>
      <c r="AQ143" s="307" t="n"/>
      <c r="AR143" s="307" t="n"/>
      <c r="AS143" s="307" t="n"/>
      <c r="AT143" s="307" t="n"/>
      <c r="AU143" s="307" t="n"/>
      <c r="AV143" s="307" t="n"/>
      <c r="AW143" s="307" t="n"/>
      <c r="AX143" s="307" t="n"/>
      <c r="AY143" s="307" t="n"/>
      <c r="AZ143" s="307" t="n"/>
      <c r="BA143" s="31" t="n"/>
      <c r="BB143" s="307" t="n"/>
      <c r="BC143" s="307" t="n"/>
      <c r="BD143" s="307" t="n"/>
      <c r="BE143" s="307" t="n"/>
      <c r="BF143" s="307" t="n"/>
      <c r="BG143" s="31" t="n"/>
      <c r="BH143" s="31" t="n"/>
      <c r="BI143" s="31" t="n"/>
      <c r="BJ143" s="31" t="n"/>
    </row>
    <row r="144" ht="15.75" customHeight="1" s="349">
      <c r="A144" s="31" t="n"/>
      <c r="B144" s="307" t="n"/>
      <c r="C144" s="307" t="n"/>
      <c r="D144" s="307" t="n"/>
      <c r="E144" s="307" t="n"/>
      <c r="F144" s="307" t="n"/>
      <c r="G144" s="307" t="n"/>
      <c r="H144" s="307" t="n"/>
      <c r="I144" s="307" t="n"/>
      <c r="J144" s="307" t="n"/>
      <c r="K144" s="307" t="n"/>
      <c r="L144" s="307" t="n"/>
      <c r="M144" s="307" t="n"/>
      <c r="N144" s="307" t="n"/>
      <c r="O144" s="307" t="n"/>
      <c r="P144" s="307" t="n"/>
      <c r="Q144" s="307" t="n"/>
      <c r="R144" s="307" t="n"/>
      <c r="S144" s="307" t="n"/>
      <c r="T144" s="307" t="n"/>
      <c r="U144" s="307" t="n"/>
      <c r="V144" s="307" t="n"/>
      <c r="W144" s="307" t="n"/>
      <c r="X144" s="307" t="n"/>
      <c r="Y144" s="307" t="n"/>
      <c r="Z144" s="307" t="n"/>
      <c r="AA144" s="307" t="n"/>
      <c r="AB144" s="307" t="n"/>
      <c r="AC144" s="307" t="n"/>
      <c r="AD144" s="307" t="n"/>
      <c r="AE144" s="307" t="n"/>
      <c r="AF144" s="307" t="n"/>
      <c r="AG144" s="307" t="n"/>
      <c r="AH144" s="307" t="n"/>
      <c r="AI144" s="307" t="n"/>
      <c r="AJ144" s="307" t="n"/>
      <c r="AK144" s="307" t="n"/>
      <c r="AL144" s="307" t="n"/>
      <c r="AM144" s="307" t="n"/>
      <c r="AN144" s="307" t="n"/>
      <c r="AO144" s="307" t="n"/>
      <c r="AP144" s="307" t="n"/>
      <c r="AQ144" s="307" t="n"/>
      <c r="AR144" s="307" t="n"/>
      <c r="AS144" s="307" t="n"/>
      <c r="AT144" s="307" t="n"/>
      <c r="AU144" s="307" t="n"/>
      <c r="AV144" s="307" t="n"/>
      <c r="AW144" s="307" t="n"/>
      <c r="AX144" s="307" t="n"/>
      <c r="AY144" s="307" t="n"/>
      <c r="AZ144" s="307" t="n"/>
      <c r="BA144" s="31" t="n"/>
      <c r="BB144" s="307" t="n"/>
      <c r="BC144" s="307" t="n"/>
      <c r="BD144" s="307" t="n"/>
      <c r="BE144" s="307" t="n"/>
      <c r="BF144" s="307" t="n"/>
      <c r="BG144" s="31" t="n"/>
      <c r="BH144" s="31" t="n"/>
      <c r="BI144" s="31" t="n"/>
      <c r="BJ144" s="31" t="n"/>
    </row>
    <row r="145" ht="15.75" customHeight="1" s="349">
      <c r="A145" s="31" t="n"/>
      <c r="B145" s="307" t="n"/>
      <c r="C145" s="307" t="n"/>
      <c r="D145" s="307" t="n"/>
      <c r="E145" s="307" t="n"/>
      <c r="F145" s="307" t="n"/>
      <c r="G145" s="307" t="n"/>
      <c r="H145" s="307" t="n"/>
      <c r="I145" s="307" t="n"/>
      <c r="J145" s="307" t="n"/>
      <c r="K145" s="307" t="n"/>
      <c r="L145" s="307" t="n"/>
      <c r="M145" s="307" t="n"/>
      <c r="N145" s="307" t="n"/>
      <c r="O145" s="307" t="n"/>
      <c r="P145" s="307" t="n"/>
      <c r="Q145" s="307" t="n"/>
      <c r="R145" s="307" t="n"/>
      <c r="S145" s="307" t="n"/>
      <c r="T145" s="307" t="n"/>
      <c r="U145" s="307" t="n"/>
      <c r="V145" s="307" t="n"/>
      <c r="W145" s="307" t="n"/>
      <c r="X145" s="307" t="n"/>
      <c r="Y145" s="307" t="n"/>
      <c r="Z145" s="307" t="n"/>
      <c r="AA145" s="307" t="n"/>
      <c r="AB145" s="307" t="n"/>
      <c r="AC145" s="307" t="n"/>
      <c r="AD145" s="307" t="n"/>
      <c r="AE145" s="307" t="n"/>
      <c r="AF145" s="307" t="n"/>
      <c r="AG145" s="307" t="n"/>
      <c r="AH145" s="307" t="n"/>
      <c r="AI145" s="307" t="n"/>
      <c r="AJ145" s="307" t="n"/>
      <c r="AK145" s="307" t="n"/>
      <c r="AL145" s="307" t="n"/>
      <c r="AM145" s="307" t="n"/>
      <c r="AN145" s="307" t="n"/>
      <c r="AO145" s="307" t="n"/>
      <c r="AP145" s="307" t="n"/>
      <c r="AQ145" s="307" t="n"/>
      <c r="AR145" s="307" t="n"/>
      <c r="AS145" s="307" t="n"/>
      <c r="AT145" s="307" t="n"/>
      <c r="AU145" s="307" t="n"/>
      <c r="AV145" s="307" t="n"/>
      <c r="AW145" s="307" t="n"/>
      <c r="AX145" s="307" t="n"/>
      <c r="AY145" s="307" t="n"/>
      <c r="AZ145" s="307" t="n"/>
      <c r="BA145" s="31" t="n"/>
      <c r="BB145" s="307" t="n"/>
      <c r="BC145" s="307" t="n"/>
      <c r="BD145" s="307" t="n"/>
      <c r="BE145" s="307" t="n"/>
      <c r="BF145" s="307" t="n"/>
      <c r="BG145" s="31" t="n"/>
      <c r="BH145" s="31" t="n"/>
      <c r="BI145" s="31" t="n"/>
      <c r="BJ145" s="31" t="n"/>
    </row>
    <row r="146" ht="15.75" customHeight="1" s="349">
      <c r="A146" s="31" t="n"/>
      <c r="B146" s="307" t="n"/>
      <c r="C146" s="307" t="n"/>
      <c r="D146" s="307" t="n"/>
      <c r="E146" s="307" t="n"/>
      <c r="F146" s="307" t="n"/>
      <c r="G146" s="307" t="n"/>
      <c r="H146" s="307" t="n"/>
      <c r="I146" s="307" t="n"/>
      <c r="J146" s="307" t="n"/>
      <c r="K146" s="307" t="n"/>
      <c r="L146" s="307" t="n"/>
      <c r="M146" s="307" t="n"/>
      <c r="N146" s="307" t="n"/>
      <c r="O146" s="307" t="n"/>
      <c r="P146" s="307" t="n"/>
      <c r="Q146" s="307" t="n"/>
      <c r="R146" s="307" t="n"/>
      <c r="S146" s="307" t="n"/>
      <c r="T146" s="307" t="n"/>
      <c r="U146" s="307" t="n"/>
      <c r="V146" s="307" t="n"/>
      <c r="W146" s="307" t="n"/>
      <c r="X146" s="307" t="n"/>
      <c r="Y146" s="307" t="n"/>
      <c r="Z146" s="307" t="n"/>
      <c r="AA146" s="307" t="n"/>
      <c r="AB146" s="307" t="n"/>
      <c r="AC146" s="307" t="n"/>
      <c r="AD146" s="307" t="n"/>
      <c r="AE146" s="307" t="n"/>
      <c r="AF146" s="307" t="n"/>
      <c r="AG146" s="307" t="n"/>
      <c r="AH146" s="307" t="n"/>
      <c r="AI146" s="307" t="n"/>
      <c r="AJ146" s="307" t="n"/>
      <c r="AK146" s="307" t="n"/>
      <c r="AL146" s="307" t="n"/>
      <c r="AM146" s="307" t="n"/>
      <c r="AN146" s="307" t="n"/>
      <c r="AO146" s="307" t="n"/>
      <c r="AP146" s="307" t="n"/>
      <c r="AQ146" s="307" t="n"/>
      <c r="AR146" s="307" t="n"/>
      <c r="AS146" s="307" t="n"/>
      <c r="AT146" s="307" t="n"/>
      <c r="AU146" s="307" t="n"/>
      <c r="AV146" s="307" t="n"/>
      <c r="AW146" s="307" t="n"/>
      <c r="AX146" s="307" t="n"/>
      <c r="AY146" s="307" t="n"/>
      <c r="AZ146" s="307" t="n"/>
      <c r="BA146" s="31" t="n"/>
      <c r="BB146" s="307" t="n"/>
      <c r="BC146" s="307" t="n"/>
      <c r="BD146" s="307" t="n"/>
      <c r="BE146" s="307" t="n"/>
      <c r="BF146" s="307" t="n"/>
      <c r="BG146" s="31" t="n"/>
      <c r="BH146" s="31" t="n"/>
      <c r="BI146" s="31" t="n"/>
      <c r="BJ146" s="31" t="n"/>
    </row>
    <row r="147" ht="15.75" customHeight="1" s="349">
      <c r="A147" s="31" t="n"/>
      <c r="B147" s="307" t="n"/>
      <c r="C147" s="307" t="n"/>
      <c r="D147" s="307" t="n"/>
      <c r="E147" s="307" t="n"/>
      <c r="F147" s="307" t="n"/>
      <c r="G147" s="307" t="n"/>
      <c r="H147" s="307" t="n"/>
      <c r="I147" s="307" t="n"/>
      <c r="J147" s="307" t="n"/>
      <c r="K147" s="307" t="n"/>
      <c r="L147" s="307" t="n"/>
      <c r="M147" s="307" t="n"/>
      <c r="N147" s="307" t="n"/>
      <c r="O147" s="307" t="n"/>
      <c r="P147" s="307" t="n"/>
      <c r="Q147" s="307" t="n"/>
      <c r="R147" s="307" t="n"/>
      <c r="S147" s="307" t="n"/>
      <c r="T147" s="307" t="n"/>
      <c r="U147" s="307" t="n"/>
      <c r="V147" s="307" t="n"/>
      <c r="W147" s="307" t="n"/>
      <c r="X147" s="307" t="n"/>
      <c r="Y147" s="307" t="n"/>
      <c r="Z147" s="307" t="n"/>
      <c r="AA147" s="307" t="n"/>
      <c r="AB147" s="307" t="n"/>
      <c r="AC147" s="307" t="n"/>
      <c r="AD147" s="307" t="n"/>
      <c r="AE147" s="307" t="n"/>
      <c r="AF147" s="307" t="n"/>
      <c r="AG147" s="307" t="n"/>
      <c r="AH147" s="307" t="n"/>
      <c r="AI147" s="307" t="n"/>
      <c r="AJ147" s="307" t="n"/>
      <c r="AK147" s="307" t="n"/>
      <c r="AL147" s="307" t="n"/>
      <c r="AM147" s="307" t="n"/>
      <c r="AN147" s="307" t="n"/>
      <c r="AO147" s="307" t="n"/>
      <c r="AP147" s="307" t="n"/>
      <c r="AQ147" s="307" t="n"/>
      <c r="AR147" s="307" t="n"/>
      <c r="AS147" s="307" t="n"/>
      <c r="AT147" s="307" t="n"/>
      <c r="AU147" s="307" t="n"/>
      <c r="AV147" s="307" t="n"/>
      <c r="AW147" s="307" t="n"/>
      <c r="AX147" s="307" t="n"/>
      <c r="AY147" s="307" t="n"/>
      <c r="AZ147" s="307" t="n"/>
      <c r="BA147" s="31" t="n"/>
      <c r="BB147" s="307" t="n"/>
      <c r="BC147" s="307" t="n"/>
      <c r="BD147" s="307" t="n"/>
      <c r="BE147" s="307" t="n"/>
      <c r="BF147" s="307" t="n"/>
      <c r="BG147" s="31" t="n"/>
      <c r="BH147" s="31" t="n"/>
      <c r="BI147" s="31" t="n"/>
      <c r="BJ147" s="31" t="n"/>
    </row>
    <row r="148" ht="15.75" customHeight="1" s="349">
      <c r="A148" s="31" t="n"/>
      <c r="B148" s="307" t="n"/>
      <c r="C148" s="307" t="n"/>
      <c r="D148" s="307" t="n"/>
      <c r="E148" s="307" t="n"/>
      <c r="F148" s="307" t="n"/>
      <c r="G148" s="307" t="n"/>
      <c r="H148" s="307" t="n"/>
      <c r="I148" s="307" t="n"/>
      <c r="J148" s="307" t="n"/>
      <c r="K148" s="307" t="n"/>
      <c r="L148" s="307" t="n"/>
      <c r="M148" s="307" t="n"/>
      <c r="N148" s="307" t="n"/>
      <c r="O148" s="307" t="n"/>
      <c r="P148" s="307" t="n"/>
      <c r="Q148" s="307" t="n"/>
      <c r="R148" s="307" t="n"/>
      <c r="S148" s="307" t="n"/>
      <c r="T148" s="307" t="n"/>
      <c r="U148" s="307" t="n"/>
      <c r="V148" s="307" t="n"/>
      <c r="W148" s="307" t="n"/>
      <c r="X148" s="307" t="n"/>
      <c r="Y148" s="307" t="n"/>
      <c r="Z148" s="307" t="n"/>
      <c r="AA148" s="307" t="n"/>
      <c r="AB148" s="307" t="n"/>
      <c r="AC148" s="307" t="n"/>
      <c r="AD148" s="307" t="n"/>
      <c r="AE148" s="307" t="n"/>
      <c r="AF148" s="307" t="n"/>
      <c r="AG148" s="307" t="n"/>
      <c r="AH148" s="307" t="n"/>
      <c r="AI148" s="307" t="n"/>
      <c r="AJ148" s="307" t="n"/>
      <c r="AK148" s="307" t="n"/>
      <c r="AL148" s="307" t="n"/>
      <c r="AM148" s="307" t="n"/>
      <c r="AN148" s="307" t="n"/>
      <c r="AO148" s="307" t="n"/>
      <c r="AP148" s="307" t="n"/>
      <c r="AQ148" s="307" t="n"/>
      <c r="AR148" s="307" t="n"/>
      <c r="AS148" s="307" t="n"/>
      <c r="AT148" s="307" t="n"/>
      <c r="AU148" s="307" t="n"/>
      <c r="AV148" s="307" t="n"/>
      <c r="AW148" s="307" t="n"/>
      <c r="AX148" s="307" t="n"/>
      <c r="AY148" s="307" t="n"/>
      <c r="AZ148" s="307" t="n"/>
      <c r="BA148" s="31" t="n"/>
      <c r="BB148" s="307" t="n"/>
      <c r="BC148" s="307" t="n"/>
      <c r="BD148" s="307" t="n"/>
      <c r="BE148" s="307" t="n"/>
      <c r="BF148" s="307" t="n"/>
      <c r="BG148" s="31" t="n"/>
      <c r="BH148" s="31" t="n"/>
      <c r="BI148" s="31" t="n"/>
      <c r="BJ148" s="31" t="n"/>
    </row>
    <row r="149" ht="15.75" customHeight="1" s="349">
      <c r="A149" s="31" t="n"/>
      <c r="B149" s="307" t="n"/>
      <c r="C149" s="307" t="n"/>
      <c r="D149" s="307" t="n"/>
      <c r="E149" s="307" t="n"/>
      <c r="F149" s="307" t="n"/>
      <c r="G149" s="307" t="n"/>
      <c r="H149" s="307" t="n"/>
      <c r="I149" s="307" t="n"/>
      <c r="J149" s="307" t="n"/>
      <c r="K149" s="307" t="n"/>
      <c r="L149" s="307" t="n"/>
      <c r="M149" s="307" t="n"/>
      <c r="N149" s="307" t="n"/>
      <c r="O149" s="307" t="n"/>
      <c r="P149" s="307" t="n"/>
      <c r="Q149" s="307" t="n"/>
      <c r="R149" s="307" t="n"/>
      <c r="S149" s="307" t="n"/>
      <c r="T149" s="307" t="n"/>
      <c r="U149" s="307" t="n"/>
      <c r="V149" s="307" t="n"/>
      <c r="W149" s="307" t="n"/>
      <c r="X149" s="307" t="n"/>
      <c r="Y149" s="307" t="n"/>
      <c r="Z149" s="307" t="n"/>
      <c r="AA149" s="307" t="n"/>
      <c r="AB149" s="307" t="n"/>
      <c r="AC149" s="307" t="n"/>
      <c r="AD149" s="307" t="n"/>
      <c r="AE149" s="307" t="n"/>
      <c r="AF149" s="307" t="n"/>
      <c r="AG149" s="307" t="n"/>
      <c r="AH149" s="307" t="n"/>
      <c r="AI149" s="307" t="n"/>
      <c r="AJ149" s="307" t="n"/>
      <c r="AK149" s="307" t="n"/>
      <c r="AL149" s="307" t="n"/>
      <c r="AM149" s="307" t="n"/>
      <c r="AN149" s="307" t="n"/>
      <c r="AO149" s="307" t="n"/>
      <c r="AP149" s="307" t="n"/>
      <c r="AQ149" s="307" t="n"/>
      <c r="AR149" s="307" t="n"/>
      <c r="AS149" s="307" t="n"/>
      <c r="AT149" s="307" t="n"/>
      <c r="AU149" s="307" t="n"/>
      <c r="AV149" s="307" t="n"/>
      <c r="AW149" s="307" t="n"/>
      <c r="AX149" s="307" t="n"/>
      <c r="AY149" s="307" t="n"/>
      <c r="AZ149" s="307" t="n"/>
      <c r="BA149" s="31" t="n"/>
      <c r="BB149" s="307" t="n"/>
      <c r="BC149" s="307" t="n"/>
      <c r="BD149" s="307" t="n"/>
      <c r="BE149" s="307" t="n"/>
      <c r="BF149" s="307" t="n"/>
      <c r="BG149" s="31" t="n"/>
      <c r="BH149" s="31" t="n"/>
      <c r="BI149" s="31" t="n"/>
      <c r="BJ149" s="31" t="n"/>
    </row>
    <row r="150" ht="15.75" customHeight="1" s="349">
      <c r="A150" s="31" t="n"/>
      <c r="B150" s="307" t="n"/>
      <c r="C150" s="307" t="n"/>
      <c r="D150" s="307" t="n"/>
      <c r="E150" s="307" t="n"/>
      <c r="F150" s="307" t="n"/>
      <c r="G150" s="307" t="n"/>
      <c r="H150" s="307" t="n"/>
      <c r="I150" s="307" t="n"/>
      <c r="J150" s="307" t="n"/>
      <c r="K150" s="307" t="n"/>
      <c r="L150" s="307" t="n"/>
      <c r="M150" s="307" t="n"/>
      <c r="N150" s="307" t="n"/>
      <c r="O150" s="307" t="n"/>
      <c r="P150" s="307" t="n"/>
      <c r="Q150" s="307" t="n"/>
      <c r="R150" s="307" t="n"/>
      <c r="S150" s="307" t="n"/>
      <c r="T150" s="307" t="n"/>
      <c r="U150" s="307" t="n"/>
      <c r="V150" s="307" t="n"/>
      <c r="W150" s="307" t="n"/>
      <c r="X150" s="307" t="n"/>
      <c r="Y150" s="307" t="n"/>
      <c r="Z150" s="307" t="n"/>
      <c r="AA150" s="307" t="n"/>
      <c r="AB150" s="307" t="n"/>
      <c r="AC150" s="307" t="n"/>
      <c r="AD150" s="307" t="n"/>
      <c r="AE150" s="307" t="n"/>
      <c r="AF150" s="307" t="n"/>
      <c r="AG150" s="307" t="n"/>
      <c r="AH150" s="307" t="n"/>
      <c r="AI150" s="307" t="n"/>
      <c r="AJ150" s="307" t="n"/>
      <c r="AK150" s="307" t="n"/>
      <c r="AL150" s="307" t="n"/>
      <c r="AM150" s="307" t="n"/>
      <c r="AN150" s="307" t="n"/>
      <c r="AO150" s="307" t="n"/>
      <c r="AP150" s="307" t="n"/>
      <c r="AQ150" s="307" t="n"/>
      <c r="AR150" s="307" t="n"/>
      <c r="AS150" s="307" t="n"/>
      <c r="AT150" s="307" t="n"/>
      <c r="AU150" s="307" t="n"/>
      <c r="AV150" s="307" t="n"/>
      <c r="AW150" s="307" t="n"/>
      <c r="AX150" s="307" t="n"/>
      <c r="AY150" s="307" t="n"/>
      <c r="AZ150" s="307" t="n"/>
      <c r="BA150" s="31" t="n"/>
      <c r="BB150" s="307" t="n"/>
      <c r="BC150" s="307" t="n"/>
      <c r="BD150" s="307" t="n"/>
      <c r="BE150" s="307" t="n"/>
      <c r="BF150" s="307" t="n"/>
      <c r="BG150" s="31" t="n"/>
      <c r="BH150" s="31" t="n"/>
      <c r="BI150" s="31" t="n"/>
      <c r="BJ150" s="31" t="n"/>
    </row>
    <row r="151" ht="15.75" customHeight="1" s="349">
      <c r="A151" s="31" t="n"/>
      <c r="B151" s="307" t="n"/>
      <c r="C151" s="307" t="n"/>
      <c r="D151" s="307" t="n"/>
      <c r="E151" s="307" t="n"/>
      <c r="F151" s="307" t="n"/>
      <c r="G151" s="307" t="n"/>
      <c r="H151" s="307" t="n"/>
      <c r="I151" s="307" t="n"/>
      <c r="J151" s="307" t="n"/>
      <c r="K151" s="307" t="n"/>
      <c r="L151" s="307" t="n"/>
      <c r="M151" s="307" t="n"/>
      <c r="N151" s="307" t="n"/>
      <c r="O151" s="307" t="n"/>
      <c r="P151" s="307" t="n"/>
      <c r="Q151" s="307" t="n"/>
      <c r="R151" s="307" t="n"/>
      <c r="S151" s="307" t="n"/>
      <c r="T151" s="307" t="n"/>
      <c r="U151" s="307" t="n"/>
      <c r="V151" s="307" t="n"/>
      <c r="W151" s="307" t="n"/>
      <c r="X151" s="307" t="n"/>
      <c r="Y151" s="307" t="n"/>
      <c r="Z151" s="307" t="n"/>
      <c r="AA151" s="307" t="n"/>
      <c r="AB151" s="307" t="n"/>
      <c r="AC151" s="307" t="n"/>
      <c r="AD151" s="307" t="n"/>
      <c r="AE151" s="307" t="n"/>
      <c r="AF151" s="307" t="n"/>
      <c r="AG151" s="307" t="n"/>
      <c r="AH151" s="307" t="n"/>
      <c r="AI151" s="307" t="n"/>
      <c r="AJ151" s="307" t="n"/>
      <c r="AK151" s="307" t="n"/>
      <c r="AL151" s="307" t="n"/>
      <c r="AM151" s="307" t="n"/>
      <c r="AN151" s="307" t="n"/>
      <c r="AO151" s="307" t="n"/>
      <c r="AP151" s="307" t="n"/>
      <c r="AQ151" s="307" t="n"/>
      <c r="AR151" s="307" t="n"/>
      <c r="AS151" s="307" t="n"/>
      <c r="AT151" s="307" t="n"/>
      <c r="AU151" s="307" t="n"/>
      <c r="AV151" s="307" t="n"/>
      <c r="AW151" s="307" t="n"/>
      <c r="AX151" s="307" t="n"/>
      <c r="AY151" s="307" t="n"/>
      <c r="AZ151" s="307" t="n"/>
      <c r="BA151" s="31" t="n"/>
      <c r="BB151" s="307" t="n"/>
      <c r="BC151" s="307" t="n"/>
      <c r="BD151" s="307" t="n"/>
      <c r="BE151" s="307" t="n"/>
      <c r="BF151" s="307" t="n"/>
      <c r="BG151" s="31" t="n"/>
      <c r="BH151" s="31" t="n"/>
      <c r="BI151" s="31" t="n"/>
      <c r="BJ151" s="31" t="n"/>
    </row>
    <row r="152" ht="15.75" customHeight="1" s="349">
      <c r="A152" s="31" t="n"/>
      <c r="B152" s="307" t="n"/>
      <c r="C152" s="307" t="n"/>
      <c r="D152" s="307" t="n"/>
      <c r="E152" s="307" t="n"/>
      <c r="F152" s="307" t="n"/>
      <c r="G152" s="307" t="n"/>
      <c r="H152" s="307" t="n"/>
      <c r="I152" s="307" t="n"/>
      <c r="J152" s="307" t="n"/>
      <c r="K152" s="307" t="n"/>
      <c r="L152" s="307" t="n"/>
      <c r="M152" s="307" t="n"/>
      <c r="N152" s="307" t="n"/>
      <c r="O152" s="307" t="n"/>
      <c r="P152" s="307" t="n"/>
      <c r="Q152" s="307" t="n"/>
      <c r="R152" s="307" t="n"/>
      <c r="S152" s="307" t="n"/>
      <c r="T152" s="307" t="n"/>
      <c r="U152" s="307" t="n"/>
      <c r="V152" s="307" t="n"/>
      <c r="W152" s="307" t="n"/>
      <c r="X152" s="307" t="n"/>
      <c r="Y152" s="307" t="n"/>
      <c r="Z152" s="307" t="n"/>
      <c r="AA152" s="307" t="n"/>
      <c r="AB152" s="307" t="n"/>
      <c r="AC152" s="307" t="n"/>
      <c r="AD152" s="307" t="n"/>
      <c r="AE152" s="307" t="n"/>
      <c r="AF152" s="307" t="n"/>
      <c r="AG152" s="307" t="n"/>
      <c r="AH152" s="307" t="n"/>
      <c r="AI152" s="307" t="n"/>
      <c r="AJ152" s="307" t="n"/>
      <c r="AK152" s="307" t="n"/>
      <c r="AL152" s="307" t="n"/>
      <c r="AM152" s="307" t="n"/>
      <c r="AN152" s="307" t="n"/>
      <c r="AO152" s="307" t="n"/>
      <c r="AP152" s="307" t="n"/>
      <c r="AQ152" s="307" t="n"/>
      <c r="AR152" s="307" t="n"/>
      <c r="AS152" s="307" t="n"/>
      <c r="AT152" s="307" t="n"/>
      <c r="AU152" s="307" t="n"/>
      <c r="AV152" s="307" t="n"/>
      <c r="AW152" s="307" t="n"/>
      <c r="AX152" s="307" t="n"/>
      <c r="AY152" s="307" t="n"/>
      <c r="AZ152" s="307" t="n"/>
      <c r="BA152" s="31" t="n"/>
      <c r="BB152" s="307" t="n"/>
      <c r="BC152" s="307" t="n"/>
      <c r="BD152" s="307" t="n"/>
      <c r="BE152" s="307" t="n"/>
      <c r="BF152" s="307" t="n"/>
      <c r="BG152" s="31" t="n"/>
      <c r="BH152" s="31" t="n"/>
      <c r="BI152" s="31" t="n"/>
      <c r="BJ152" s="31" t="n"/>
    </row>
    <row r="153" ht="15.75" customHeight="1" s="349">
      <c r="A153" s="31" t="n"/>
      <c r="B153" s="307" t="n"/>
      <c r="C153" s="307" t="n"/>
      <c r="D153" s="307" t="n"/>
      <c r="E153" s="307" t="n"/>
      <c r="F153" s="307" t="n"/>
      <c r="G153" s="307" t="n"/>
      <c r="H153" s="307" t="n"/>
      <c r="I153" s="307" t="n"/>
      <c r="J153" s="307" t="n"/>
      <c r="K153" s="307" t="n"/>
      <c r="L153" s="307" t="n"/>
      <c r="M153" s="307" t="n"/>
      <c r="N153" s="307" t="n"/>
      <c r="O153" s="307" t="n"/>
      <c r="P153" s="307" t="n"/>
      <c r="Q153" s="307" t="n"/>
      <c r="R153" s="307" t="n"/>
      <c r="S153" s="307" t="n"/>
      <c r="T153" s="307" t="n"/>
      <c r="U153" s="307" t="n"/>
      <c r="V153" s="307" t="n"/>
      <c r="W153" s="307" t="n"/>
      <c r="X153" s="307" t="n"/>
      <c r="Y153" s="307" t="n"/>
      <c r="Z153" s="307" t="n"/>
      <c r="AA153" s="307" t="n"/>
      <c r="AB153" s="307" t="n"/>
      <c r="AC153" s="307" t="n"/>
      <c r="AD153" s="307" t="n"/>
      <c r="AE153" s="307" t="n"/>
      <c r="AF153" s="307" t="n"/>
      <c r="AG153" s="307" t="n"/>
      <c r="AH153" s="307" t="n"/>
      <c r="AI153" s="307" t="n"/>
      <c r="AJ153" s="307" t="n"/>
      <c r="AK153" s="307" t="n"/>
      <c r="AL153" s="307" t="n"/>
      <c r="AM153" s="307" t="n"/>
      <c r="AN153" s="307" t="n"/>
      <c r="AO153" s="307" t="n"/>
      <c r="AP153" s="307" t="n"/>
      <c r="AQ153" s="307" t="n"/>
      <c r="AR153" s="307" t="n"/>
      <c r="AS153" s="307" t="n"/>
      <c r="AT153" s="307" t="n"/>
      <c r="AU153" s="307" t="n"/>
      <c r="AV153" s="307" t="n"/>
      <c r="AW153" s="307" t="n"/>
      <c r="AX153" s="307" t="n"/>
      <c r="AY153" s="307" t="n"/>
      <c r="AZ153" s="307" t="n"/>
      <c r="BA153" s="31" t="n"/>
      <c r="BB153" s="307" t="n"/>
      <c r="BC153" s="307" t="n"/>
      <c r="BD153" s="307" t="n"/>
      <c r="BE153" s="307" t="n"/>
      <c r="BF153" s="307" t="n"/>
      <c r="BG153" s="31" t="n"/>
      <c r="BH153" s="31" t="n"/>
      <c r="BI153" s="31" t="n"/>
      <c r="BJ153" s="31" t="n"/>
    </row>
    <row r="154" ht="15.75" customHeight="1" s="349">
      <c r="A154" s="31" t="n"/>
      <c r="B154" s="307" t="n"/>
      <c r="C154" s="307" t="n"/>
      <c r="D154" s="307" t="n"/>
      <c r="E154" s="307" t="n"/>
      <c r="F154" s="307" t="n"/>
      <c r="G154" s="307" t="n"/>
      <c r="H154" s="307" t="n"/>
      <c r="I154" s="307" t="n"/>
      <c r="J154" s="307" t="n"/>
      <c r="K154" s="307" t="n"/>
      <c r="L154" s="307" t="n"/>
      <c r="M154" s="307" t="n"/>
      <c r="N154" s="307" t="n"/>
      <c r="O154" s="307" t="n"/>
      <c r="P154" s="307" t="n"/>
      <c r="Q154" s="307" t="n"/>
      <c r="R154" s="307" t="n"/>
      <c r="S154" s="307" t="n"/>
      <c r="T154" s="307" t="n"/>
      <c r="U154" s="307" t="n"/>
      <c r="V154" s="307" t="n"/>
      <c r="W154" s="307" t="n"/>
      <c r="X154" s="307" t="n"/>
      <c r="Y154" s="307" t="n"/>
      <c r="Z154" s="307" t="n"/>
      <c r="AA154" s="307" t="n"/>
      <c r="AB154" s="307" t="n"/>
      <c r="AC154" s="307" t="n"/>
      <c r="AD154" s="307" t="n"/>
      <c r="AE154" s="307" t="n"/>
      <c r="AF154" s="307" t="n"/>
      <c r="AG154" s="307" t="n"/>
      <c r="AH154" s="307" t="n"/>
      <c r="AI154" s="307" t="n"/>
      <c r="AJ154" s="307" t="n"/>
      <c r="AK154" s="307" t="n"/>
      <c r="AL154" s="307" t="n"/>
      <c r="AM154" s="307" t="n"/>
      <c r="AN154" s="307" t="n"/>
      <c r="AO154" s="307" t="n"/>
      <c r="AP154" s="307" t="n"/>
      <c r="AQ154" s="307" t="n"/>
      <c r="AR154" s="307" t="n"/>
      <c r="AS154" s="307" t="n"/>
      <c r="AT154" s="307" t="n"/>
      <c r="AU154" s="307" t="n"/>
      <c r="AV154" s="307" t="n"/>
      <c r="AW154" s="307" t="n"/>
      <c r="AX154" s="307" t="n"/>
      <c r="AY154" s="307" t="n"/>
      <c r="AZ154" s="307" t="n"/>
      <c r="BA154" s="31" t="n"/>
      <c r="BB154" s="307" t="n"/>
      <c r="BC154" s="307" t="n"/>
      <c r="BD154" s="307" t="n"/>
      <c r="BE154" s="307" t="n"/>
      <c r="BF154" s="307" t="n"/>
      <c r="BG154" s="31" t="n"/>
      <c r="BH154" s="31" t="n"/>
      <c r="BI154" s="31" t="n"/>
      <c r="BJ154" s="31" t="n"/>
    </row>
    <row r="155" ht="15.75" customHeight="1" s="349">
      <c r="A155" s="31" t="n"/>
      <c r="B155" s="307" t="n"/>
      <c r="C155" s="307" t="n"/>
      <c r="D155" s="307" t="n"/>
      <c r="E155" s="307" t="n"/>
      <c r="F155" s="307" t="n"/>
      <c r="G155" s="307" t="n"/>
      <c r="H155" s="307" t="n"/>
      <c r="I155" s="307" t="n"/>
      <c r="J155" s="307" t="n"/>
      <c r="K155" s="307" t="n"/>
      <c r="L155" s="307" t="n"/>
      <c r="M155" s="307" t="n"/>
      <c r="N155" s="307" t="n"/>
      <c r="O155" s="307" t="n"/>
      <c r="P155" s="307" t="n"/>
      <c r="Q155" s="307" t="n"/>
      <c r="R155" s="307" t="n"/>
      <c r="S155" s="307" t="n"/>
      <c r="T155" s="307" t="n"/>
      <c r="U155" s="307" t="n"/>
      <c r="V155" s="307" t="n"/>
      <c r="W155" s="307" t="n"/>
      <c r="X155" s="307" t="n"/>
      <c r="Y155" s="307" t="n"/>
      <c r="Z155" s="307" t="n"/>
      <c r="AA155" s="307" t="n"/>
      <c r="AB155" s="307" t="n"/>
      <c r="AC155" s="307" t="n"/>
      <c r="AD155" s="307" t="n"/>
      <c r="AE155" s="307" t="n"/>
      <c r="AF155" s="307" t="n"/>
      <c r="AG155" s="307" t="n"/>
      <c r="AH155" s="307" t="n"/>
      <c r="AI155" s="307" t="n"/>
      <c r="AJ155" s="307" t="n"/>
      <c r="AK155" s="307" t="n"/>
      <c r="AL155" s="307" t="n"/>
      <c r="AM155" s="307" t="n"/>
      <c r="AN155" s="307" t="n"/>
      <c r="AO155" s="307" t="n"/>
      <c r="AP155" s="307" t="n"/>
      <c r="AQ155" s="307" t="n"/>
      <c r="AR155" s="307" t="n"/>
      <c r="AS155" s="307" t="n"/>
      <c r="AT155" s="307" t="n"/>
      <c r="AU155" s="307" t="n"/>
      <c r="AV155" s="307" t="n"/>
      <c r="AW155" s="307" t="n"/>
      <c r="AX155" s="307" t="n"/>
      <c r="AY155" s="307" t="n"/>
      <c r="AZ155" s="307" t="n"/>
      <c r="BA155" s="31" t="n"/>
      <c r="BB155" s="307" t="n"/>
      <c r="BC155" s="307" t="n"/>
      <c r="BD155" s="307" t="n"/>
      <c r="BE155" s="307" t="n"/>
      <c r="BF155" s="307" t="n"/>
      <c r="BG155" s="31" t="n"/>
      <c r="BH155" s="31" t="n"/>
      <c r="BI155" s="31" t="n"/>
      <c r="BJ155" s="31" t="n"/>
    </row>
    <row r="156" ht="15.75" customHeight="1" s="349">
      <c r="A156" s="31" t="n"/>
      <c r="B156" s="307" t="n"/>
      <c r="C156" s="307" t="n"/>
      <c r="D156" s="307" t="n"/>
      <c r="E156" s="307" t="n"/>
      <c r="F156" s="307" t="n"/>
      <c r="G156" s="307" t="n"/>
      <c r="H156" s="307" t="n"/>
      <c r="I156" s="307" t="n"/>
      <c r="J156" s="307" t="n"/>
      <c r="K156" s="307" t="n"/>
      <c r="L156" s="307" t="n"/>
      <c r="M156" s="307" t="n"/>
      <c r="N156" s="307" t="n"/>
      <c r="O156" s="307" t="n"/>
      <c r="P156" s="307" t="n"/>
      <c r="Q156" s="307" t="n"/>
      <c r="R156" s="307" t="n"/>
      <c r="S156" s="307" t="n"/>
      <c r="T156" s="307" t="n"/>
      <c r="U156" s="307" t="n"/>
      <c r="V156" s="307" t="n"/>
      <c r="W156" s="307" t="n"/>
      <c r="X156" s="307" t="n"/>
      <c r="Y156" s="307" t="n"/>
      <c r="Z156" s="307" t="n"/>
      <c r="AA156" s="307" t="n"/>
      <c r="AB156" s="307" t="n"/>
      <c r="AC156" s="307" t="n"/>
      <c r="AD156" s="307" t="n"/>
      <c r="AE156" s="307" t="n"/>
      <c r="AF156" s="307" t="n"/>
      <c r="AG156" s="307" t="n"/>
      <c r="AH156" s="307" t="n"/>
      <c r="AI156" s="307" t="n"/>
      <c r="AJ156" s="307" t="n"/>
      <c r="AK156" s="307" t="n"/>
      <c r="AL156" s="307" t="n"/>
      <c r="AM156" s="307" t="n"/>
      <c r="AN156" s="307" t="n"/>
      <c r="AO156" s="307" t="n"/>
      <c r="AP156" s="307" t="n"/>
      <c r="AQ156" s="307" t="n"/>
      <c r="AR156" s="307" t="n"/>
      <c r="AS156" s="307" t="n"/>
      <c r="AT156" s="307" t="n"/>
      <c r="AU156" s="307" t="n"/>
      <c r="AV156" s="307" t="n"/>
      <c r="AW156" s="307" t="n"/>
      <c r="AX156" s="307" t="n"/>
      <c r="AY156" s="307" t="n"/>
      <c r="AZ156" s="307" t="n"/>
      <c r="BA156" s="31" t="n"/>
      <c r="BB156" s="307" t="n"/>
      <c r="BC156" s="307" t="n"/>
      <c r="BD156" s="307" t="n"/>
      <c r="BE156" s="307" t="n"/>
      <c r="BF156" s="307" t="n"/>
      <c r="BG156" s="31" t="n"/>
      <c r="BH156" s="31" t="n"/>
      <c r="BI156" s="31" t="n"/>
      <c r="BJ156" s="31" t="n"/>
    </row>
    <row r="157" ht="15.75" customHeight="1" s="349">
      <c r="A157" s="31" t="n"/>
      <c r="B157" s="307" t="n"/>
      <c r="C157" s="307" t="n"/>
      <c r="D157" s="307" t="n"/>
      <c r="E157" s="307" t="n"/>
      <c r="F157" s="307" t="n"/>
      <c r="G157" s="307" t="n"/>
      <c r="H157" s="307" t="n"/>
      <c r="I157" s="307" t="n"/>
      <c r="J157" s="307" t="n"/>
      <c r="K157" s="307" t="n"/>
      <c r="L157" s="307" t="n"/>
      <c r="M157" s="307" t="n"/>
      <c r="N157" s="307" t="n"/>
      <c r="O157" s="307" t="n"/>
      <c r="P157" s="307" t="n"/>
      <c r="Q157" s="307" t="n"/>
      <c r="R157" s="307" t="n"/>
      <c r="S157" s="307" t="n"/>
      <c r="T157" s="307" t="n"/>
      <c r="U157" s="307" t="n"/>
      <c r="V157" s="307" t="n"/>
      <c r="W157" s="307" t="n"/>
      <c r="X157" s="307" t="n"/>
      <c r="Y157" s="307" t="n"/>
      <c r="Z157" s="307" t="n"/>
      <c r="AA157" s="307" t="n"/>
      <c r="AB157" s="307" t="n"/>
      <c r="AC157" s="307" t="n"/>
      <c r="AD157" s="307" t="n"/>
      <c r="AE157" s="307" t="n"/>
      <c r="AF157" s="307" t="n"/>
      <c r="AG157" s="307" t="n"/>
      <c r="AH157" s="307" t="n"/>
      <c r="AI157" s="307" t="n"/>
      <c r="AJ157" s="307" t="n"/>
      <c r="AK157" s="307" t="n"/>
      <c r="AL157" s="307" t="n"/>
      <c r="AM157" s="307" t="n"/>
      <c r="AN157" s="307" t="n"/>
      <c r="AO157" s="307" t="n"/>
      <c r="AP157" s="307" t="n"/>
      <c r="AQ157" s="307" t="n"/>
      <c r="AR157" s="307" t="n"/>
      <c r="AS157" s="307" t="n"/>
      <c r="AT157" s="307" t="n"/>
      <c r="AU157" s="307" t="n"/>
      <c r="AV157" s="307" t="n"/>
      <c r="AW157" s="307" t="n"/>
      <c r="AX157" s="307" t="n"/>
      <c r="AY157" s="307" t="n"/>
      <c r="AZ157" s="307" t="n"/>
      <c r="BA157" s="31" t="n"/>
      <c r="BB157" s="307" t="n"/>
      <c r="BC157" s="307" t="n"/>
      <c r="BD157" s="307" t="n"/>
      <c r="BE157" s="307" t="n"/>
      <c r="BF157" s="307" t="n"/>
      <c r="BG157" s="31" t="n"/>
      <c r="BH157" s="31" t="n"/>
      <c r="BI157" s="31" t="n"/>
      <c r="BJ157" s="31" t="n"/>
    </row>
    <row r="158" ht="15.75" customHeight="1" s="349">
      <c r="A158" s="31" t="n"/>
      <c r="B158" s="307" t="n"/>
      <c r="C158" s="307" t="n"/>
      <c r="D158" s="307" t="n"/>
      <c r="E158" s="307" t="n"/>
      <c r="F158" s="307" t="n"/>
      <c r="G158" s="307" t="n"/>
      <c r="H158" s="307" t="n"/>
      <c r="I158" s="307" t="n"/>
      <c r="J158" s="307" t="n"/>
      <c r="K158" s="307" t="n"/>
      <c r="L158" s="307" t="n"/>
      <c r="M158" s="307" t="n"/>
      <c r="N158" s="307" t="n"/>
      <c r="O158" s="307" t="n"/>
      <c r="P158" s="307" t="n"/>
      <c r="Q158" s="307" t="n"/>
      <c r="R158" s="307" t="n"/>
      <c r="S158" s="307" t="n"/>
      <c r="T158" s="307" t="n"/>
      <c r="U158" s="307" t="n"/>
      <c r="V158" s="307" t="n"/>
      <c r="W158" s="307" t="n"/>
      <c r="X158" s="307" t="n"/>
      <c r="Y158" s="307" t="n"/>
      <c r="Z158" s="307" t="n"/>
      <c r="AA158" s="307" t="n"/>
      <c r="AB158" s="307" t="n"/>
      <c r="AC158" s="307" t="n"/>
      <c r="AD158" s="307" t="n"/>
      <c r="AE158" s="307" t="n"/>
      <c r="AF158" s="307" t="n"/>
      <c r="AG158" s="307" t="n"/>
      <c r="AH158" s="307" t="n"/>
      <c r="AI158" s="307" t="n"/>
      <c r="AJ158" s="307" t="n"/>
      <c r="AK158" s="307" t="n"/>
      <c r="AL158" s="307" t="n"/>
      <c r="AM158" s="307" t="n"/>
      <c r="AN158" s="307" t="n"/>
      <c r="AO158" s="307" t="n"/>
      <c r="AP158" s="307" t="n"/>
      <c r="AQ158" s="307" t="n"/>
      <c r="AR158" s="307" t="n"/>
      <c r="AS158" s="307" t="n"/>
      <c r="AT158" s="307" t="n"/>
      <c r="AU158" s="307" t="n"/>
      <c r="AV158" s="307" t="n"/>
      <c r="AW158" s="307" t="n"/>
      <c r="AX158" s="307" t="n"/>
      <c r="AY158" s="307" t="n"/>
      <c r="AZ158" s="307" t="n"/>
      <c r="BA158" s="31" t="n"/>
      <c r="BB158" s="307" t="n"/>
      <c r="BC158" s="307" t="n"/>
      <c r="BD158" s="307" t="n"/>
      <c r="BE158" s="307" t="n"/>
      <c r="BF158" s="307" t="n"/>
      <c r="BG158" s="31" t="n"/>
      <c r="BH158" s="31" t="n"/>
      <c r="BI158" s="31" t="n"/>
      <c r="BJ158" s="31" t="n"/>
    </row>
    <row r="159" ht="15.75" customHeight="1" s="349">
      <c r="A159" s="31" t="n"/>
      <c r="B159" s="307" t="n"/>
      <c r="C159" s="307" t="n"/>
      <c r="D159" s="307" t="n"/>
      <c r="E159" s="307" t="n"/>
      <c r="F159" s="307" t="n"/>
      <c r="G159" s="307" t="n"/>
      <c r="H159" s="307" t="n"/>
      <c r="I159" s="307" t="n"/>
      <c r="J159" s="307" t="n"/>
      <c r="K159" s="307" t="n"/>
      <c r="L159" s="307" t="n"/>
      <c r="M159" s="307" t="n"/>
      <c r="N159" s="307" t="n"/>
      <c r="O159" s="307" t="n"/>
      <c r="P159" s="307" t="n"/>
      <c r="Q159" s="307" t="n"/>
      <c r="R159" s="307" t="n"/>
      <c r="S159" s="307" t="n"/>
      <c r="T159" s="307" t="n"/>
      <c r="U159" s="307" t="n"/>
      <c r="V159" s="307" t="n"/>
      <c r="W159" s="307" t="n"/>
      <c r="X159" s="307" t="n"/>
      <c r="Y159" s="307" t="n"/>
      <c r="Z159" s="307" t="n"/>
      <c r="AA159" s="307" t="n"/>
      <c r="AB159" s="307" t="n"/>
      <c r="AC159" s="307" t="n"/>
      <c r="AD159" s="307" t="n"/>
      <c r="AE159" s="307" t="n"/>
      <c r="AF159" s="307" t="n"/>
      <c r="AG159" s="307" t="n"/>
      <c r="AH159" s="307" t="n"/>
      <c r="AI159" s="307" t="n"/>
      <c r="AJ159" s="307" t="n"/>
      <c r="AK159" s="307" t="n"/>
      <c r="AL159" s="307" t="n"/>
      <c r="AM159" s="307" t="n"/>
      <c r="AN159" s="307" t="n"/>
      <c r="AO159" s="307" t="n"/>
      <c r="AP159" s="307" t="n"/>
      <c r="AQ159" s="307" t="n"/>
      <c r="AR159" s="307" t="n"/>
      <c r="AS159" s="307" t="n"/>
      <c r="AT159" s="307" t="n"/>
      <c r="AU159" s="307" t="n"/>
      <c r="AV159" s="307" t="n"/>
      <c r="AW159" s="307" t="n"/>
      <c r="AX159" s="307" t="n"/>
      <c r="AY159" s="307" t="n"/>
      <c r="AZ159" s="307" t="n"/>
      <c r="BA159" s="31" t="n"/>
      <c r="BB159" s="307" t="n"/>
      <c r="BC159" s="307" t="n"/>
      <c r="BD159" s="307" t="n"/>
      <c r="BE159" s="307" t="n"/>
      <c r="BF159" s="307" t="n"/>
      <c r="BG159" s="31" t="n"/>
      <c r="BH159" s="31" t="n"/>
      <c r="BI159" s="31" t="n"/>
      <c r="BJ159" s="31" t="n"/>
    </row>
    <row r="160" ht="15.75" customHeight="1" s="349">
      <c r="A160" s="31" t="n"/>
      <c r="B160" s="307" t="n"/>
      <c r="C160" s="307" t="n"/>
      <c r="D160" s="307" t="n"/>
      <c r="E160" s="307" t="n"/>
      <c r="F160" s="307" t="n"/>
      <c r="G160" s="307" t="n"/>
      <c r="H160" s="307" t="n"/>
      <c r="I160" s="307" t="n"/>
      <c r="J160" s="307" t="n"/>
      <c r="K160" s="307" t="n"/>
      <c r="L160" s="307" t="n"/>
      <c r="M160" s="307" t="n"/>
      <c r="N160" s="307" t="n"/>
      <c r="O160" s="307" t="n"/>
      <c r="P160" s="307" t="n"/>
      <c r="Q160" s="307" t="n"/>
      <c r="R160" s="307" t="n"/>
      <c r="S160" s="307" t="n"/>
      <c r="T160" s="307" t="n"/>
      <c r="U160" s="307" t="n"/>
      <c r="V160" s="307" t="n"/>
      <c r="W160" s="307" t="n"/>
      <c r="X160" s="307" t="n"/>
      <c r="Y160" s="307" t="n"/>
      <c r="Z160" s="307" t="n"/>
      <c r="AA160" s="307" t="n"/>
      <c r="AB160" s="307" t="n"/>
      <c r="AC160" s="307" t="n"/>
      <c r="AD160" s="307" t="n"/>
      <c r="AE160" s="307" t="n"/>
      <c r="AF160" s="307" t="n"/>
      <c r="AG160" s="307" t="n"/>
      <c r="AH160" s="307" t="n"/>
      <c r="AI160" s="307" t="n"/>
      <c r="AJ160" s="307" t="n"/>
      <c r="AK160" s="307" t="n"/>
      <c r="AL160" s="307" t="n"/>
      <c r="AM160" s="307" t="n"/>
      <c r="AN160" s="307" t="n"/>
      <c r="AO160" s="307" t="n"/>
      <c r="AP160" s="307" t="n"/>
      <c r="AQ160" s="307" t="n"/>
      <c r="AR160" s="307" t="n"/>
      <c r="AS160" s="307" t="n"/>
      <c r="AT160" s="307" t="n"/>
      <c r="AU160" s="307" t="n"/>
      <c r="AV160" s="307" t="n"/>
      <c r="AW160" s="307" t="n"/>
      <c r="AX160" s="307" t="n"/>
      <c r="AY160" s="307" t="n"/>
      <c r="AZ160" s="307" t="n"/>
      <c r="BA160" s="31" t="n"/>
      <c r="BB160" s="307" t="n"/>
      <c r="BC160" s="307" t="n"/>
      <c r="BD160" s="307" t="n"/>
      <c r="BE160" s="307" t="n"/>
      <c r="BF160" s="307" t="n"/>
      <c r="BG160" s="31" t="n"/>
      <c r="BH160" s="31" t="n"/>
      <c r="BI160" s="31" t="n"/>
      <c r="BJ160" s="31" t="n"/>
    </row>
    <row r="161" ht="15.75" customHeight="1" s="349">
      <c r="A161" s="31" t="n"/>
      <c r="B161" s="307" t="n"/>
      <c r="C161" s="307" t="n"/>
      <c r="D161" s="307" t="n"/>
      <c r="E161" s="307" t="n"/>
      <c r="F161" s="307" t="n"/>
      <c r="G161" s="307" t="n"/>
      <c r="H161" s="307" t="n"/>
      <c r="I161" s="307" t="n"/>
      <c r="J161" s="307" t="n"/>
      <c r="K161" s="307" t="n"/>
      <c r="L161" s="307" t="n"/>
      <c r="M161" s="307" t="n"/>
      <c r="N161" s="307" t="n"/>
      <c r="O161" s="307" t="n"/>
      <c r="P161" s="307" t="n"/>
      <c r="Q161" s="307" t="n"/>
      <c r="R161" s="307" t="n"/>
      <c r="S161" s="307" t="n"/>
      <c r="T161" s="307" t="n"/>
      <c r="U161" s="307" t="n"/>
      <c r="V161" s="307" t="n"/>
      <c r="W161" s="307" t="n"/>
      <c r="X161" s="307" t="n"/>
      <c r="Y161" s="307" t="n"/>
      <c r="Z161" s="307" t="n"/>
      <c r="AA161" s="307" t="n"/>
      <c r="AB161" s="307" t="n"/>
      <c r="AC161" s="307" t="n"/>
      <c r="AD161" s="307" t="n"/>
      <c r="AE161" s="307" t="n"/>
      <c r="AF161" s="307" t="n"/>
      <c r="AG161" s="307" t="n"/>
      <c r="AH161" s="307" t="n"/>
      <c r="AI161" s="307" t="n"/>
      <c r="AJ161" s="307" t="n"/>
      <c r="AK161" s="307" t="n"/>
      <c r="AL161" s="307" t="n"/>
      <c r="AM161" s="307" t="n"/>
      <c r="AN161" s="307" t="n"/>
      <c r="AO161" s="307" t="n"/>
      <c r="AP161" s="307" t="n"/>
      <c r="AQ161" s="307" t="n"/>
      <c r="AR161" s="307" t="n"/>
      <c r="AS161" s="307" t="n"/>
      <c r="AT161" s="307" t="n"/>
      <c r="AU161" s="307" t="n"/>
      <c r="AV161" s="307" t="n"/>
      <c r="AW161" s="307" t="n"/>
      <c r="AX161" s="307" t="n"/>
      <c r="AY161" s="307" t="n"/>
      <c r="AZ161" s="307" t="n"/>
      <c r="BA161" s="31" t="n"/>
      <c r="BB161" s="307" t="n"/>
      <c r="BC161" s="307" t="n"/>
      <c r="BD161" s="307" t="n"/>
      <c r="BE161" s="307" t="n"/>
      <c r="BF161" s="307" t="n"/>
      <c r="BG161" s="31" t="n"/>
      <c r="BH161" s="31" t="n"/>
      <c r="BI161" s="31" t="n"/>
      <c r="BJ161" s="31" t="n"/>
    </row>
    <row r="162" ht="15.75" customHeight="1" s="349">
      <c r="A162" s="31" t="n"/>
      <c r="B162" s="307" t="n"/>
      <c r="C162" s="307" t="n"/>
      <c r="D162" s="307" t="n"/>
      <c r="E162" s="307" t="n"/>
      <c r="F162" s="307" t="n"/>
      <c r="G162" s="307" t="n"/>
      <c r="H162" s="307" t="n"/>
      <c r="I162" s="307" t="n"/>
      <c r="J162" s="307" t="n"/>
      <c r="K162" s="307" t="n"/>
      <c r="L162" s="307" t="n"/>
      <c r="M162" s="307" t="n"/>
      <c r="N162" s="307" t="n"/>
      <c r="O162" s="307" t="n"/>
      <c r="P162" s="307" t="n"/>
      <c r="Q162" s="307" t="n"/>
      <c r="R162" s="307" t="n"/>
      <c r="S162" s="307" t="n"/>
      <c r="T162" s="307" t="n"/>
      <c r="U162" s="307" t="n"/>
      <c r="V162" s="307" t="n"/>
      <c r="W162" s="307" t="n"/>
      <c r="X162" s="307" t="n"/>
      <c r="Y162" s="307" t="n"/>
      <c r="Z162" s="307" t="n"/>
      <c r="AA162" s="307" t="n"/>
      <c r="AB162" s="307" t="n"/>
      <c r="AC162" s="307" t="n"/>
      <c r="AD162" s="307" t="n"/>
      <c r="AE162" s="307" t="n"/>
      <c r="AF162" s="307" t="n"/>
      <c r="AG162" s="307" t="n"/>
      <c r="AH162" s="307" t="n"/>
      <c r="AI162" s="307" t="n"/>
      <c r="AJ162" s="307" t="n"/>
      <c r="AK162" s="307" t="n"/>
      <c r="AL162" s="307" t="n"/>
      <c r="AM162" s="307" t="n"/>
      <c r="AN162" s="307" t="n"/>
      <c r="AO162" s="307" t="n"/>
      <c r="AP162" s="307" t="n"/>
      <c r="AQ162" s="307" t="n"/>
      <c r="AR162" s="307" t="n"/>
      <c r="AS162" s="307" t="n"/>
      <c r="AT162" s="307" t="n"/>
      <c r="AU162" s="307" t="n"/>
      <c r="AV162" s="307" t="n"/>
      <c r="AW162" s="307" t="n"/>
      <c r="AX162" s="307" t="n"/>
      <c r="AY162" s="307" t="n"/>
      <c r="AZ162" s="307" t="n"/>
      <c r="BA162" s="31" t="n"/>
      <c r="BB162" s="307" t="n"/>
      <c r="BC162" s="307" t="n"/>
      <c r="BD162" s="307" t="n"/>
      <c r="BE162" s="307" t="n"/>
      <c r="BF162" s="307" t="n"/>
      <c r="BG162" s="31" t="n"/>
      <c r="BH162" s="31" t="n"/>
      <c r="BI162" s="31" t="n"/>
      <c r="BJ162" s="31" t="n"/>
    </row>
    <row r="163" ht="15.75" customHeight="1" s="349">
      <c r="A163" s="31" t="n"/>
      <c r="B163" s="307" t="n"/>
      <c r="C163" s="307" t="n"/>
      <c r="D163" s="307" t="n"/>
      <c r="E163" s="307" t="n"/>
      <c r="F163" s="307" t="n"/>
      <c r="G163" s="307" t="n"/>
      <c r="H163" s="307" t="n"/>
      <c r="I163" s="307" t="n"/>
      <c r="J163" s="307" t="n"/>
      <c r="K163" s="307" t="n"/>
      <c r="L163" s="307" t="n"/>
      <c r="M163" s="307" t="n"/>
      <c r="N163" s="307" t="n"/>
      <c r="O163" s="307" t="n"/>
      <c r="P163" s="307" t="n"/>
      <c r="Q163" s="307" t="n"/>
      <c r="R163" s="307" t="n"/>
      <c r="S163" s="307" t="n"/>
      <c r="T163" s="307" t="n"/>
      <c r="U163" s="307" t="n"/>
      <c r="V163" s="307" t="n"/>
      <c r="W163" s="307" t="n"/>
      <c r="X163" s="307" t="n"/>
      <c r="Y163" s="307" t="n"/>
      <c r="Z163" s="307" t="n"/>
      <c r="AA163" s="307" t="n"/>
      <c r="AB163" s="307" t="n"/>
      <c r="AC163" s="307" t="n"/>
      <c r="AD163" s="307" t="n"/>
      <c r="AE163" s="307" t="n"/>
      <c r="AF163" s="307" t="n"/>
      <c r="AG163" s="307" t="n"/>
      <c r="AH163" s="307" t="n"/>
      <c r="AI163" s="307" t="n"/>
      <c r="AJ163" s="307" t="n"/>
      <c r="AK163" s="307" t="n"/>
      <c r="AL163" s="307" t="n"/>
      <c r="AM163" s="307" t="n"/>
      <c r="AN163" s="307" t="n"/>
      <c r="AO163" s="307" t="n"/>
      <c r="AP163" s="307" t="n"/>
      <c r="AQ163" s="307" t="n"/>
      <c r="AR163" s="307" t="n"/>
      <c r="AS163" s="307" t="n"/>
      <c r="AT163" s="307" t="n"/>
      <c r="AU163" s="307" t="n"/>
      <c r="AV163" s="307" t="n"/>
      <c r="AW163" s="307" t="n"/>
      <c r="AX163" s="307" t="n"/>
      <c r="AY163" s="307" t="n"/>
      <c r="AZ163" s="307" t="n"/>
      <c r="BA163" s="31" t="n"/>
      <c r="BB163" s="307" t="n"/>
      <c r="BC163" s="307" t="n"/>
      <c r="BD163" s="307" t="n"/>
      <c r="BE163" s="307" t="n"/>
      <c r="BF163" s="307" t="n"/>
      <c r="BG163" s="31" t="n"/>
      <c r="BH163" s="31" t="n"/>
      <c r="BI163" s="31" t="n"/>
      <c r="BJ163" s="31" t="n"/>
    </row>
    <row r="164" ht="15.75" customHeight="1" s="349">
      <c r="A164" s="31" t="n"/>
      <c r="B164" s="307" t="n"/>
      <c r="C164" s="307" t="n"/>
      <c r="D164" s="307" t="n"/>
      <c r="E164" s="307" t="n"/>
      <c r="F164" s="307" t="n"/>
      <c r="G164" s="307" t="n"/>
      <c r="H164" s="307" t="n"/>
      <c r="I164" s="307" t="n"/>
      <c r="J164" s="307" t="n"/>
      <c r="K164" s="307" t="n"/>
      <c r="L164" s="307" t="n"/>
      <c r="M164" s="307" t="n"/>
      <c r="N164" s="307" t="n"/>
      <c r="O164" s="307" t="n"/>
      <c r="P164" s="307" t="n"/>
      <c r="Q164" s="307" t="n"/>
      <c r="R164" s="307" t="n"/>
      <c r="S164" s="307" t="n"/>
      <c r="T164" s="307" t="n"/>
      <c r="U164" s="307" t="n"/>
      <c r="V164" s="307" t="n"/>
      <c r="W164" s="307" t="n"/>
      <c r="X164" s="307" t="n"/>
      <c r="Y164" s="307" t="n"/>
      <c r="Z164" s="307" t="n"/>
      <c r="AA164" s="307" t="n"/>
      <c r="AB164" s="307" t="n"/>
      <c r="AC164" s="307" t="n"/>
      <c r="AD164" s="307" t="n"/>
      <c r="AE164" s="307" t="n"/>
      <c r="AF164" s="307" t="n"/>
      <c r="AG164" s="307" t="n"/>
      <c r="AH164" s="307" t="n"/>
      <c r="AI164" s="307" t="n"/>
      <c r="AJ164" s="307" t="n"/>
      <c r="AK164" s="307" t="n"/>
      <c r="AL164" s="307" t="n"/>
      <c r="AM164" s="307" t="n"/>
      <c r="AN164" s="307" t="n"/>
      <c r="AO164" s="307" t="n"/>
      <c r="AP164" s="307" t="n"/>
      <c r="AQ164" s="307" t="n"/>
      <c r="AR164" s="307" t="n"/>
      <c r="AS164" s="307" t="n"/>
      <c r="AT164" s="307" t="n"/>
      <c r="AU164" s="307" t="n"/>
      <c r="AV164" s="307" t="n"/>
      <c r="AW164" s="307" t="n"/>
      <c r="AX164" s="307" t="n"/>
      <c r="AY164" s="307" t="n"/>
      <c r="AZ164" s="307" t="n"/>
      <c r="BA164" s="31" t="n"/>
      <c r="BB164" s="307" t="n"/>
      <c r="BC164" s="307" t="n"/>
      <c r="BD164" s="307" t="n"/>
      <c r="BE164" s="307" t="n"/>
      <c r="BF164" s="307" t="n"/>
      <c r="BG164" s="31" t="n"/>
      <c r="BH164" s="31" t="n"/>
      <c r="BI164" s="31" t="n"/>
      <c r="BJ164" s="31" t="n"/>
    </row>
    <row r="165" ht="15.75" customHeight="1" s="349">
      <c r="A165" s="31" t="n"/>
      <c r="B165" s="307" t="n"/>
      <c r="C165" s="307" t="n"/>
      <c r="D165" s="307" t="n"/>
      <c r="E165" s="307" t="n"/>
      <c r="F165" s="307" t="n"/>
      <c r="G165" s="307" t="n"/>
      <c r="H165" s="307" t="n"/>
      <c r="I165" s="307" t="n"/>
      <c r="J165" s="307" t="n"/>
      <c r="K165" s="307" t="n"/>
      <c r="L165" s="307" t="n"/>
      <c r="M165" s="307" t="n"/>
      <c r="N165" s="307" t="n"/>
      <c r="O165" s="307" t="n"/>
      <c r="P165" s="307" t="n"/>
      <c r="Q165" s="307" t="n"/>
      <c r="R165" s="307" t="n"/>
      <c r="S165" s="307" t="n"/>
      <c r="T165" s="307" t="n"/>
      <c r="U165" s="307" t="n"/>
      <c r="V165" s="307" t="n"/>
      <c r="W165" s="307" t="n"/>
      <c r="X165" s="307" t="n"/>
      <c r="Y165" s="307" t="n"/>
      <c r="Z165" s="307" t="n"/>
      <c r="AA165" s="307" t="n"/>
      <c r="AB165" s="307" t="n"/>
      <c r="AC165" s="307" t="n"/>
      <c r="AD165" s="307" t="n"/>
      <c r="AE165" s="307" t="n"/>
      <c r="AF165" s="307" t="n"/>
      <c r="AG165" s="307" t="n"/>
      <c r="AH165" s="307" t="n"/>
      <c r="AI165" s="307" t="n"/>
      <c r="AJ165" s="307" t="n"/>
      <c r="AK165" s="307" t="n"/>
      <c r="AL165" s="307" t="n"/>
      <c r="AM165" s="307" t="n"/>
      <c r="AN165" s="307" t="n"/>
      <c r="AO165" s="307" t="n"/>
      <c r="AP165" s="307" t="n"/>
      <c r="AQ165" s="307" t="n"/>
      <c r="AR165" s="307" t="n"/>
      <c r="AS165" s="307" t="n"/>
      <c r="AT165" s="307" t="n"/>
      <c r="AU165" s="307" t="n"/>
      <c r="AV165" s="307" t="n"/>
      <c r="AW165" s="307" t="n"/>
      <c r="AX165" s="307" t="n"/>
      <c r="AY165" s="307" t="n"/>
      <c r="AZ165" s="307" t="n"/>
      <c r="BA165" s="31" t="n"/>
      <c r="BB165" s="307" t="n"/>
      <c r="BC165" s="307" t="n"/>
      <c r="BD165" s="307" t="n"/>
      <c r="BE165" s="307" t="n"/>
      <c r="BF165" s="307" t="n"/>
      <c r="BG165" s="31" t="n"/>
      <c r="BH165" s="31" t="n"/>
      <c r="BI165" s="31" t="n"/>
      <c r="BJ165" s="31" t="n"/>
    </row>
    <row r="166" ht="15.75" customHeight="1" s="349">
      <c r="A166" s="31" t="n"/>
      <c r="B166" s="307" t="n"/>
      <c r="C166" s="307" t="n"/>
      <c r="D166" s="307" t="n"/>
      <c r="E166" s="307" t="n"/>
      <c r="F166" s="307" t="n"/>
      <c r="G166" s="307" t="n"/>
      <c r="H166" s="307" t="n"/>
      <c r="I166" s="307" t="n"/>
      <c r="J166" s="307" t="n"/>
      <c r="K166" s="307" t="n"/>
      <c r="L166" s="307" t="n"/>
      <c r="M166" s="307" t="n"/>
      <c r="N166" s="307" t="n"/>
      <c r="O166" s="307" t="n"/>
      <c r="P166" s="307" t="n"/>
      <c r="Q166" s="307" t="n"/>
      <c r="R166" s="307" t="n"/>
      <c r="S166" s="307" t="n"/>
      <c r="T166" s="307" t="n"/>
      <c r="U166" s="307" t="n"/>
      <c r="V166" s="307" t="n"/>
      <c r="W166" s="307" t="n"/>
      <c r="X166" s="307" t="n"/>
      <c r="Y166" s="307" t="n"/>
      <c r="Z166" s="307" t="n"/>
      <c r="AA166" s="307" t="n"/>
      <c r="AB166" s="307" t="n"/>
      <c r="AC166" s="307" t="n"/>
      <c r="AD166" s="307" t="n"/>
      <c r="AE166" s="307" t="n"/>
      <c r="AF166" s="307" t="n"/>
      <c r="AG166" s="307" t="n"/>
      <c r="AH166" s="307" t="n"/>
      <c r="AI166" s="307" t="n"/>
      <c r="AJ166" s="307" t="n"/>
      <c r="AK166" s="307" t="n"/>
      <c r="AL166" s="307" t="n"/>
      <c r="AM166" s="307" t="n"/>
      <c r="AN166" s="307" t="n"/>
      <c r="AO166" s="307" t="n"/>
      <c r="AP166" s="307" t="n"/>
      <c r="AQ166" s="307" t="n"/>
      <c r="AR166" s="307" t="n"/>
      <c r="AS166" s="307" t="n"/>
      <c r="AT166" s="307" t="n"/>
      <c r="AU166" s="307" t="n"/>
      <c r="AV166" s="307" t="n"/>
      <c r="AW166" s="307" t="n"/>
      <c r="AX166" s="307" t="n"/>
      <c r="AY166" s="307" t="n"/>
      <c r="AZ166" s="307" t="n"/>
      <c r="BA166" s="31" t="n"/>
      <c r="BB166" s="307" t="n"/>
      <c r="BC166" s="307" t="n"/>
      <c r="BD166" s="307" t="n"/>
      <c r="BE166" s="307" t="n"/>
      <c r="BF166" s="307" t="n"/>
      <c r="BG166" s="31" t="n"/>
      <c r="BH166" s="31" t="n"/>
      <c r="BI166" s="31" t="n"/>
      <c r="BJ166" s="31" t="n"/>
    </row>
    <row r="167" ht="15.75" customHeight="1" s="349">
      <c r="A167" s="31" t="n"/>
      <c r="B167" s="307" t="n"/>
      <c r="C167" s="307" t="n"/>
      <c r="D167" s="307" t="n"/>
      <c r="E167" s="307" t="n"/>
      <c r="F167" s="307" t="n"/>
      <c r="G167" s="307" t="n"/>
      <c r="H167" s="307" t="n"/>
      <c r="I167" s="307" t="n"/>
      <c r="J167" s="307" t="n"/>
      <c r="K167" s="307" t="n"/>
      <c r="L167" s="307" t="n"/>
      <c r="M167" s="307" t="n"/>
      <c r="N167" s="307" t="n"/>
      <c r="O167" s="307" t="n"/>
      <c r="P167" s="307" t="n"/>
      <c r="Q167" s="307" t="n"/>
      <c r="R167" s="307" t="n"/>
      <c r="S167" s="307" t="n"/>
      <c r="T167" s="307" t="n"/>
      <c r="U167" s="307" t="n"/>
      <c r="V167" s="307" t="n"/>
      <c r="W167" s="307" t="n"/>
      <c r="X167" s="307" t="n"/>
      <c r="Y167" s="307" t="n"/>
      <c r="Z167" s="307" t="n"/>
      <c r="AA167" s="307" t="n"/>
      <c r="AB167" s="307" t="n"/>
      <c r="AC167" s="307" t="n"/>
      <c r="AD167" s="307" t="n"/>
      <c r="AE167" s="307" t="n"/>
      <c r="AF167" s="307" t="n"/>
      <c r="AG167" s="307" t="n"/>
      <c r="AH167" s="307" t="n"/>
      <c r="AI167" s="307" t="n"/>
      <c r="AJ167" s="307" t="n"/>
      <c r="AK167" s="307" t="n"/>
      <c r="AL167" s="307" t="n"/>
      <c r="AM167" s="307" t="n"/>
      <c r="AN167" s="307" t="n"/>
      <c r="AO167" s="307" t="n"/>
      <c r="AP167" s="307" t="n"/>
      <c r="AQ167" s="307" t="n"/>
      <c r="AR167" s="307" t="n"/>
      <c r="AS167" s="307" t="n"/>
      <c r="AT167" s="307" t="n"/>
      <c r="AU167" s="307" t="n"/>
      <c r="AV167" s="307" t="n"/>
      <c r="AW167" s="307" t="n"/>
      <c r="AX167" s="307" t="n"/>
      <c r="AY167" s="307" t="n"/>
      <c r="AZ167" s="307" t="n"/>
      <c r="BA167" s="31" t="n"/>
      <c r="BB167" s="307" t="n"/>
      <c r="BC167" s="307" t="n"/>
      <c r="BD167" s="307" t="n"/>
      <c r="BE167" s="307" t="n"/>
      <c r="BF167" s="307" t="n"/>
      <c r="BG167" s="31" t="n"/>
      <c r="BH167" s="31" t="n"/>
      <c r="BI167" s="31" t="n"/>
      <c r="BJ167" s="31" t="n"/>
    </row>
    <row r="168" ht="15.75" customHeight="1" s="349">
      <c r="A168" s="31" t="n"/>
      <c r="B168" s="307" t="n"/>
      <c r="C168" s="307" t="n"/>
      <c r="D168" s="307" t="n"/>
      <c r="E168" s="307" t="n"/>
      <c r="F168" s="307" t="n"/>
      <c r="G168" s="307" t="n"/>
      <c r="H168" s="307" t="n"/>
      <c r="I168" s="307" t="n"/>
      <c r="J168" s="307" t="n"/>
      <c r="K168" s="307" t="n"/>
      <c r="L168" s="307" t="n"/>
      <c r="M168" s="307" t="n"/>
      <c r="N168" s="307" t="n"/>
      <c r="O168" s="307" t="n"/>
      <c r="P168" s="307" t="n"/>
      <c r="Q168" s="307" t="n"/>
      <c r="R168" s="307" t="n"/>
      <c r="S168" s="307" t="n"/>
      <c r="T168" s="307" t="n"/>
      <c r="U168" s="307" t="n"/>
      <c r="V168" s="307" t="n"/>
      <c r="W168" s="307" t="n"/>
      <c r="X168" s="307" t="n"/>
      <c r="Y168" s="307" t="n"/>
      <c r="Z168" s="307" t="n"/>
      <c r="AA168" s="307" t="n"/>
      <c r="AB168" s="307" t="n"/>
      <c r="AC168" s="307" t="n"/>
      <c r="AD168" s="307" t="n"/>
      <c r="AE168" s="307" t="n"/>
      <c r="AF168" s="307" t="n"/>
      <c r="AG168" s="307" t="n"/>
      <c r="AH168" s="307" t="n"/>
      <c r="AI168" s="307" t="n"/>
      <c r="AJ168" s="307" t="n"/>
      <c r="AK168" s="307" t="n"/>
      <c r="AL168" s="307" t="n"/>
      <c r="AM168" s="307" t="n"/>
      <c r="AN168" s="307" t="n"/>
      <c r="AO168" s="307" t="n"/>
      <c r="AP168" s="307" t="n"/>
      <c r="AQ168" s="307" t="n"/>
      <c r="AR168" s="307" t="n"/>
      <c r="AS168" s="307" t="n"/>
      <c r="AT168" s="307" t="n"/>
      <c r="AU168" s="307" t="n"/>
      <c r="AV168" s="307" t="n"/>
      <c r="AW168" s="307" t="n"/>
      <c r="AX168" s="307" t="n"/>
      <c r="AY168" s="307" t="n"/>
      <c r="AZ168" s="307" t="n"/>
      <c r="BA168" s="31" t="n"/>
      <c r="BB168" s="307" t="n"/>
      <c r="BC168" s="307" t="n"/>
      <c r="BD168" s="307" t="n"/>
      <c r="BE168" s="307" t="n"/>
      <c r="BF168" s="307" t="n"/>
      <c r="BG168" s="31" t="n"/>
      <c r="BH168" s="31" t="n"/>
      <c r="BI168" s="31" t="n"/>
      <c r="BJ168" s="31" t="n"/>
    </row>
    <row r="169" ht="15.75" customHeight="1" s="349">
      <c r="A169" s="31" t="n"/>
      <c r="B169" s="307" t="n"/>
      <c r="C169" s="307" t="n"/>
      <c r="D169" s="307" t="n"/>
      <c r="E169" s="307" t="n"/>
      <c r="F169" s="307" t="n"/>
      <c r="G169" s="307" t="n"/>
      <c r="H169" s="307" t="n"/>
      <c r="I169" s="307" t="n"/>
      <c r="J169" s="307" t="n"/>
      <c r="K169" s="307" t="n"/>
      <c r="L169" s="307" t="n"/>
      <c r="M169" s="307" t="n"/>
      <c r="N169" s="307" t="n"/>
      <c r="O169" s="307" t="n"/>
      <c r="P169" s="307" t="n"/>
      <c r="Q169" s="307" t="n"/>
      <c r="R169" s="307" t="n"/>
      <c r="S169" s="307" t="n"/>
      <c r="T169" s="307" t="n"/>
      <c r="U169" s="307" t="n"/>
      <c r="V169" s="307" t="n"/>
      <c r="W169" s="307" t="n"/>
      <c r="X169" s="307" t="n"/>
      <c r="Y169" s="307" t="n"/>
      <c r="Z169" s="307" t="n"/>
      <c r="AA169" s="307" t="n"/>
      <c r="AB169" s="307" t="n"/>
      <c r="AC169" s="307" t="n"/>
      <c r="AD169" s="307" t="n"/>
      <c r="AE169" s="307" t="n"/>
      <c r="AF169" s="307" t="n"/>
      <c r="AG169" s="307" t="n"/>
      <c r="AH169" s="307" t="n"/>
      <c r="AI169" s="307" t="n"/>
      <c r="AJ169" s="307" t="n"/>
      <c r="AK169" s="307" t="n"/>
      <c r="AL169" s="307" t="n"/>
      <c r="AM169" s="307" t="n"/>
      <c r="AN169" s="307" t="n"/>
      <c r="AO169" s="307" t="n"/>
      <c r="AP169" s="307" t="n"/>
      <c r="AQ169" s="307" t="n"/>
      <c r="AR169" s="307" t="n"/>
      <c r="AS169" s="307" t="n"/>
      <c r="AT169" s="307" t="n"/>
      <c r="AU169" s="307" t="n"/>
      <c r="AV169" s="307" t="n"/>
      <c r="AW169" s="307" t="n"/>
      <c r="AX169" s="307" t="n"/>
      <c r="AY169" s="307" t="n"/>
      <c r="AZ169" s="307" t="n"/>
      <c r="BA169" s="31" t="n"/>
      <c r="BB169" s="307" t="n"/>
      <c r="BC169" s="307" t="n"/>
      <c r="BD169" s="307" t="n"/>
      <c r="BE169" s="307" t="n"/>
      <c r="BF169" s="307" t="n"/>
      <c r="BG169" s="31" t="n"/>
      <c r="BH169" s="31" t="n"/>
      <c r="BI169" s="31" t="n"/>
      <c r="BJ169" s="31" t="n"/>
    </row>
    <row r="170" ht="15.75" customHeight="1" s="349">
      <c r="A170" s="31" t="n"/>
      <c r="B170" s="307" t="n"/>
      <c r="C170" s="307" t="n"/>
      <c r="D170" s="307" t="n"/>
      <c r="E170" s="307" t="n"/>
      <c r="F170" s="307" t="n"/>
      <c r="G170" s="307" t="n"/>
      <c r="H170" s="307" t="n"/>
      <c r="I170" s="307" t="n"/>
      <c r="J170" s="307" t="n"/>
      <c r="K170" s="307" t="n"/>
      <c r="L170" s="307" t="n"/>
      <c r="M170" s="307" t="n"/>
      <c r="N170" s="307" t="n"/>
      <c r="O170" s="307" t="n"/>
      <c r="P170" s="307" t="n"/>
      <c r="Q170" s="307" t="n"/>
      <c r="R170" s="307" t="n"/>
      <c r="S170" s="307" t="n"/>
      <c r="T170" s="307" t="n"/>
      <c r="U170" s="307" t="n"/>
      <c r="V170" s="307" t="n"/>
      <c r="W170" s="307" t="n"/>
      <c r="X170" s="307" t="n"/>
      <c r="Y170" s="307" t="n"/>
      <c r="Z170" s="307" t="n"/>
      <c r="AA170" s="307" t="n"/>
      <c r="AB170" s="307" t="n"/>
      <c r="AC170" s="307" t="n"/>
      <c r="AD170" s="307" t="n"/>
      <c r="AE170" s="307" t="n"/>
      <c r="AF170" s="307" t="n"/>
      <c r="AG170" s="307" t="n"/>
      <c r="AH170" s="307" t="n"/>
      <c r="AI170" s="307" t="n"/>
      <c r="AJ170" s="307" t="n"/>
      <c r="AK170" s="307" t="n"/>
      <c r="AL170" s="307" t="n"/>
      <c r="AM170" s="307" t="n"/>
      <c r="AN170" s="307" t="n"/>
      <c r="AO170" s="307" t="n"/>
      <c r="AP170" s="307" t="n"/>
      <c r="AQ170" s="307" t="n"/>
      <c r="AR170" s="307" t="n"/>
      <c r="AS170" s="307" t="n"/>
      <c r="AT170" s="307" t="n"/>
      <c r="AU170" s="307" t="n"/>
      <c r="AV170" s="307" t="n"/>
      <c r="AW170" s="307" t="n"/>
      <c r="AX170" s="307" t="n"/>
      <c r="AY170" s="307" t="n"/>
      <c r="AZ170" s="307" t="n"/>
      <c r="BA170" s="31" t="n"/>
      <c r="BB170" s="307" t="n"/>
      <c r="BC170" s="307" t="n"/>
      <c r="BD170" s="307" t="n"/>
      <c r="BE170" s="307" t="n"/>
      <c r="BF170" s="307" t="n"/>
      <c r="BG170" s="31" t="n"/>
      <c r="BH170" s="31" t="n"/>
      <c r="BI170" s="31" t="n"/>
      <c r="BJ170" s="31" t="n"/>
    </row>
    <row r="171" ht="15.75" customHeight="1" s="349">
      <c r="A171" s="31" t="n"/>
      <c r="B171" s="307" t="n"/>
      <c r="C171" s="307" t="n"/>
      <c r="D171" s="307" t="n"/>
      <c r="E171" s="307" t="n"/>
      <c r="F171" s="307" t="n"/>
      <c r="G171" s="307" t="n"/>
      <c r="H171" s="307" t="n"/>
      <c r="I171" s="307" t="n"/>
      <c r="J171" s="307" t="n"/>
      <c r="K171" s="307" t="n"/>
      <c r="L171" s="307" t="n"/>
      <c r="M171" s="307" t="n"/>
      <c r="N171" s="307" t="n"/>
      <c r="O171" s="307" t="n"/>
      <c r="P171" s="307" t="n"/>
      <c r="Q171" s="307" t="n"/>
      <c r="R171" s="307" t="n"/>
      <c r="S171" s="307" t="n"/>
      <c r="T171" s="307" t="n"/>
      <c r="U171" s="307" t="n"/>
      <c r="V171" s="307" t="n"/>
      <c r="W171" s="307" t="n"/>
      <c r="X171" s="307" t="n"/>
      <c r="Y171" s="307" t="n"/>
      <c r="Z171" s="307" t="n"/>
      <c r="AA171" s="307" t="n"/>
      <c r="AB171" s="307" t="n"/>
      <c r="AC171" s="307" t="n"/>
      <c r="AD171" s="307" t="n"/>
      <c r="AE171" s="307" t="n"/>
      <c r="AF171" s="307" t="n"/>
      <c r="AG171" s="307" t="n"/>
      <c r="AH171" s="307" t="n"/>
      <c r="AI171" s="307" t="n"/>
      <c r="AJ171" s="307" t="n"/>
      <c r="AK171" s="307" t="n"/>
      <c r="AL171" s="307" t="n"/>
      <c r="AM171" s="307" t="n"/>
      <c r="AN171" s="307" t="n"/>
      <c r="AO171" s="307" t="n"/>
      <c r="AP171" s="307" t="n"/>
      <c r="AQ171" s="307" t="n"/>
      <c r="AR171" s="307" t="n"/>
      <c r="AS171" s="307" t="n"/>
      <c r="AT171" s="307" t="n"/>
      <c r="AU171" s="307" t="n"/>
      <c r="AV171" s="307" t="n"/>
      <c r="AW171" s="307" t="n"/>
      <c r="AX171" s="307" t="n"/>
      <c r="AY171" s="307" t="n"/>
      <c r="AZ171" s="307" t="n"/>
      <c r="BA171" s="31" t="n"/>
      <c r="BB171" s="307" t="n"/>
      <c r="BC171" s="307" t="n"/>
      <c r="BD171" s="307" t="n"/>
      <c r="BE171" s="307" t="n"/>
      <c r="BF171" s="307" t="n"/>
      <c r="BG171" s="31" t="n"/>
      <c r="BH171" s="31" t="n"/>
      <c r="BI171" s="31" t="n"/>
      <c r="BJ171" s="31" t="n"/>
    </row>
    <row r="172" ht="15.75" customHeight="1" s="349">
      <c r="A172" s="31" t="n"/>
      <c r="B172" s="307" t="n"/>
      <c r="C172" s="307" t="n"/>
      <c r="D172" s="307" t="n"/>
      <c r="E172" s="307" t="n"/>
      <c r="F172" s="307" t="n"/>
      <c r="G172" s="307" t="n"/>
      <c r="H172" s="307" t="n"/>
      <c r="I172" s="307" t="n"/>
      <c r="J172" s="307" t="n"/>
      <c r="K172" s="307" t="n"/>
      <c r="L172" s="307" t="n"/>
      <c r="M172" s="307" t="n"/>
      <c r="N172" s="307" t="n"/>
      <c r="O172" s="307" t="n"/>
      <c r="P172" s="307" t="n"/>
      <c r="Q172" s="307" t="n"/>
      <c r="R172" s="307" t="n"/>
      <c r="S172" s="307" t="n"/>
      <c r="T172" s="307" t="n"/>
      <c r="U172" s="307" t="n"/>
      <c r="V172" s="307" t="n"/>
      <c r="W172" s="307" t="n"/>
      <c r="X172" s="307" t="n"/>
      <c r="Y172" s="307" t="n"/>
      <c r="Z172" s="307" t="n"/>
      <c r="AA172" s="307" t="n"/>
      <c r="AB172" s="307" t="n"/>
      <c r="AC172" s="307" t="n"/>
      <c r="AD172" s="307" t="n"/>
      <c r="AE172" s="307" t="n"/>
      <c r="AF172" s="307" t="n"/>
      <c r="AG172" s="307" t="n"/>
      <c r="AH172" s="307" t="n"/>
      <c r="AI172" s="307" t="n"/>
      <c r="AJ172" s="307" t="n"/>
      <c r="AK172" s="307" t="n"/>
      <c r="AL172" s="307" t="n"/>
      <c r="AM172" s="307" t="n"/>
      <c r="AN172" s="307" t="n"/>
      <c r="AO172" s="307" t="n"/>
      <c r="AP172" s="307" t="n"/>
      <c r="AQ172" s="307" t="n"/>
      <c r="AR172" s="307" t="n"/>
      <c r="AS172" s="307" t="n"/>
      <c r="AT172" s="307" t="n"/>
      <c r="AU172" s="307" t="n"/>
      <c r="AV172" s="307" t="n"/>
      <c r="AW172" s="307" t="n"/>
      <c r="AX172" s="307" t="n"/>
      <c r="AY172" s="307" t="n"/>
      <c r="AZ172" s="307" t="n"/>
      <c r="BA172" s="31" t="n"/>
      <c r="BB172" s="307" t="n"/>
      <c r="BC172" s="307" t="n"/>
      <c r="BD172" s="307" t="n"/>
      <c r="BE172" s="307" t="n"/>
      <c r="BF172" s="307" t="n"/>
      <c r="BG172" s="31" t="n"/>
      <c r="BH172" s="31" t="n"/>
      <c r="BI172" s="31" t="n"/>
      <c r="BJ172" s="31" t="n"/>
    </row>
    <row r="173" ht="15.75" customHeight="1" s="349">
      <c r="A173" s="31" t="n"/>
      <c r="B173" s="307" t="n"/>
      <c r="C173" s="307" t="n"/>
      <c r="D173" s="307" t="n"/>
      <c r="E173" s="307" t="n"/>
      <c r="F173" s="307" t="n"/>
      <c r="G173" s="307" t="n"/>
      <c r="H173" s="307" t="n"/>
      <c r="I173" s="307" t="n"/>
      <c r="J173" s="307" t="n"/>
      <c r="K173" s="307" t="n"/>
      <c r="L173" s="307" t="n"/>
      <c r="M173" s="307" t="n"/>
      <c r="N173" s="307" t="n"/>
      <c r="O173" s="307" t="n"/>
      <c r="P173" s="307" t="n"/>
      <c r="Q173" s="307" t="n"/>
      <c r="R173" s="307" t="n"/>
      <c r="S173" s="307" t="n"/>
      <c r="T173" s="307" t="n"/>
      <c r="U173" s="307" t="n"/>
      <c r="V173" s="307" t="n"/>
      <c r="W173" s="307" t="n"/>
      <c r="X173" s="307" t="n"/>
      <c r="Y173" s="307" t="n"/>
      <c r="Z173" s="307" t="n"/>
      <c r="AA173" s="307" t="n"/>
      <c r="AB173" s="307" t="n"/>
      <c r="AC173" s="307" t="n"/>
      <c r="AD173" s="307" t="n"/>
      <c r="AE173" s="307" t="n"/>
      <c r="AF173" s="307" t="n"/>
      <c r="AG173" s="307" t="n"/>
      <c r="AH173" s="307" t="n"/>
      <c r="AI173" s="307" t="n"/>
      <c r="AJ173" s="307" t="n"/>
      <c r="AK173" s="307" t="n"/>
      <c r="AL173" s="307" t="n"/>
      <c r="AM173" s="307" t="n"/>
      <c r="AN173" s="307" t="n"/>
      <c r="AO173" s="307" t="n"/>
      <c r="AP173" s="307" t="n"/>
      <c r="AQ173" s="307" t="n"/>
      <c r="AR173" s="307" t="n"/>
      <c r="AS173" s="307" t="n"/>
      <c r="AT173" s="307" t="n"/>
      <c r="AU173" s="307" t="n"/>
      <c r="AV173" s="307" t="n"/>
      <c r="AW173" s="307" t="n"/>
      <c r="AX173" s="307" t="n"/>
      <c r="AY173" s="307" t="n"/>
      <c r="AZ173" s="307" t="n"/>
      <c r="BA173" s="31" t="n"/>
      <c r="BB173" s="307" t="n"/>
      <c r="BC173" s="307" t="n"/>
      <c r="BD173" s="307" t="n"/>
      <c r="BE173" s="307" t="n"/>
      <c r="BF173" s="307" t="n"/>
      <c r="BG173" s="31" t="n"/>
      <c r="BH173" s="31" t="n"/>
      <c r="BI173" s="31" t="n"/>
      <c r="BJ173" s="31" t="n"/>
    </row>
    <row r="174" ht="15.75" customHeight="1" s="349">
      <c r="A174" s="31" t="n"/>
      <c r="B174" s="307" t="n"/>
      <c r="C174" s="307" t="n"/>
      <c r="D174" s="307" t="n"/>
      <c r="E174" s="307" t="n"/>
      <c r="F174" s="307" t="n"/>
      <c r="G174" s="307" t="n"/>
      <c r="H174" s="307" t="n"/>
      <c r="I174" s="307" t="n"/>
      <c r="J174" s="307" t="n"/>
      <c r="K174" s="307" t="n"/>
      <c r="L174" s="307" t="n"/>
      <c r="M174" s="307" t="n"/>
      <c r="N174" s="307" t="n"/>
      <c r="O174" s="307" t="n"/>
      <c r="P174" s="307" t="n"/>
      <c r="Q174" s="307" t="n"/>
      <c r="R174" s="307" t="n"/>
      <c r="S174" s="307" t="n"/>
      <c r="T174" s="307" t="n"/>
      <c r="U174" s="307" t="n"/>
      <c r="V174" s="307" t="n"/>
      <c r="W174" s="307" t="n"/>
      <c r="X174" s="307" t="n"/>
      <c r="Y174" s="307" t="n"/>
      <c r="Z174" s="307" t="n"/>
      <c r="AA174" s="307" t="n"/>
      <c r="AB174" s="307" t="n"/>
      <c r="AC174" s="307" t="n"/>
      <c r="AD174" s="307" t="n"/>
      <c r="AE174" s="307" t="n"/>
      <c r="AF174" s="307" t="n"/>
      <c r="AG174" s="307" t="n"/>
      <c r="AH174" s="307" t="n"/>
      <c r="AI174" s="307" t="n"/>
      <c r="AJ174" s="307" t="n"/>
      <c r="AK174" s="307" t="n"/>
      <c r="AL174" s="307" t="n"/>
      <c r="AM174" s="307" t="n"/>
      <c r="AN174" s="307" t="n"/>
      <c r="AO174" s="307" t="n"/>
      <c r="AP174" s="307" t="n"/>
      <c r="AQ174" s="307" t="n"/>
      <c r="AR174" s="307" t="n"/>
      <c r="AS174" s="307" t="n"/>
      <c r="AT174" s="307" t="n"/>
      <c r="AU174" s="307" t="n"/>
      <c r="AV174" s="307" t="n"/>
      <c r="AW174" s="307" t="n"/>
      <c r="AX174" s="307" t="n"/>
      <c r="AY174" s="307" t="n"/>
      <c r="AZ174" s="307" t="n"/>
      <c r="BA174" s="31" t="n"/>
      <c r="BB174" s="307" t="n"/>
      <c r="BC174" s="307" t="n"/>
      <c r="BD174" s="307" t="n"/>
      <c r="BE174" s="307" t="n"/>
      <c r="BF174" s="307" t="n"/>
      <c r="BG174" s="31" t="n"/>
      <c r="BH174" s="31" t="n"/>
      <c r="BI174" s="31" t="n"/>
      <c r="BJ174" s="31" t="n"/>
    </row>
    <row r="175" ht="15.75" customHeight="1" s="349">
      <c r="A175" s="31" t="n"/>
      <c r="B175" s="307" t="n"/>
      <c r="C175" s="307" t="n"/>
      <c r="D175" s="307" t="n"/>
      <c r="E175" s="307" t="n"/>
      <c r="F175" s="307" t="n"/>
      <c r="G175" s="307" t="n"/>
      <c r="H175" s="307" t="n"/>
      <c r="I175" s="307" t="n"/>
      <c r="J175" s="307" t="n"/>
      <c r="K175" s="307" t="n"/>
      <c r="L175" s="307" t="n"/>
      <c r="M175" s="307" t="n"/>
      <c r="N175" s="307" t="n"/>
      <c r="O175" s="307" t="n"/>
      <c r="P175" s="307" t="n"/>
      <c r="Q175" s="307" t="n"/>
      <c r="R175" s="307" t="n"/>
      <c r="S175" s="307" t="n"/>
      <c r="T175" s="307" t="n"/>
      <c r="U175" s="307" t="n"/>
      <c r="V175" s="307" t="n"/>
      <c r="W175" s="307" t="n"/>
      <c r="X175" s="307" t="n"/>
      <c r="Y175" s="307" t="n"/>
      <c r="Z175" s="307" t="n"/>
      <c r="AA175" s="307" t="n"/>
      <c r="AB175" s="307" t="n"/>
      <c r="AC175" s="307" t="n"/>
      <c r="AD175" s="307" t="n"/>
      <c r="AE175" s="307" t="n"/>
      <c r="AF175" s="307" t="n"/>
      <c r="AG175" s="307" t="n"/>
      <c r="AH175" s="307" t="n"/>
      <c r="AI175" s="307" t="n"/>
      <c r="AJ175" s="307" t="n"/>
      <c r="AK175" s="307" t="n"/>
      <c r="AL175" s="307" t="n"/>
      <c r="AM175" s="307" t="n"/>
      <c r="AN175" s="307" t="n"/>
      <c r="AO175" s="307" t="n"/>
      <c r="AP175" s="307" t="n"/>
      <c r="AQ175" s="307" t="n"/>
      <c r="AR175" s="307" t="n"/>
      <c r="AS175" s="307" t="n"/>
      <c r="AT175" s="307" t="n"/>
      <c r="AU175" s="307" t="n"/>
      <c r="AV175" s="307" t="n"/>
      <c r="AW175" s="307" t="n"/>
      <c r="AX175" s="307" t="n"/>
      <c r="AY175" s="307" t="n"/>
      <c r="AZ175" s="307" t="n"/>
      <c r="BA175" s="31" t="n"/>
      <c r="BB175" s="307" t="n"/>
      <c r="BC175" s="307" t="n"/>
      <c r="BD175" s="307" t="n"/>
      <c r="BE175" s="307" t="n"/>
      <c r="BF175" s="307" t="n"/>
      <c r="BG175" s="31" t="n"/>
      <c r="BH175" s="31" t="n"/>
      <c r="BI175" s="31" t="n"/>
      <c r="BJ175" s="31" t="n"/>
    </row>
    <row r="176" ht="15.75" customHeight="1" s="349">
      <c r="A176" s="31" t="n"/>
      <c r="B176" s="307" t="n"/>
      <c r="C176" s="307" t="n"/>
      <c r="D176" s="307" t="n"/>
      <c r="E176" s="307" t="n"/>
      <c r="F176" s="307" t="n"/>
      <c r="G176" s="307" t="n"/>
      <c r="H176" s="307" t="n"/>
      <c r="I176" s="307" t="n"/>
      <c r="J176" s="307" t="n"/>
      <c r="K176" s="307" t="n"/>
      <c r="L176" s="307" t="n"/>
      <c r="M176" s="307" t="n"/>
      <c r="N176" s="307" t="n"/>
      <c r="O176" s="307" t="n"/>
      <c r="P176" s="307" t="n"/>
      <c r="Q176" s="307" t="n"/>
      <c r="R176" s="307" t="n"/>
      <c r="S176" s="307" t="n"/>
      <c r="T176" s="307" t="n"/>
      <c r="U176" s="307" t="n"/>
      <c r="V176" s="307" t="n"/>
      <c r="W176" s="307" t="n"/>
      <c r="X176" s="307" t="n"/>
      <c r="Y176" s="307" t="n"/>
      <c r="Z176" s="307" t="n"/>
      <c r="AA176" s="307" t="n"/>
      <c r="AB176" s="307" t="n"/>
      <c r="AC176" s="307" t="n"/>
      <c r="AD176" s="307" t="n"/>
      <c r="AE176" s="307" t="n"/>
      <c r="AF176" s="307" t="n"/>
      <c r="AG176" s="307" t="n"/>
      <c r="AH176" s="307" t="n"/>
      <c r="AI176" s="307" t="n"/>
      <c r="AJ176" s="307" t="n"/>
      <c r="AK176" s="307" t="n"/>
      <c r="AL176" s="307" t="n"/>
      <c r="AM176" s="307" t="n"/>
      <c r="AN176" s="307" t="n"/>
      <c r="AO176" s="307" t="n"/>
      <c r="AP176" s="307" t="n"/>
      <c r="AQ176" s="307" t="n"/>
      <c r="AR176" s="307" t="n"/>
      <c r="AS176" s="307" t="n"/>
      <c r="AT176" s="307" t="n"/>
      <c r="AU176" s="307" t="n"/>
      <c r="AV176" s="307" t="n"/>
      <c r="AW176" s="307" t="n"/>
      <c r="AX176" s="307" t="n"/>
      <c r="AY176" s="307" t="n"/>
      <c r="AZ176" s="307" t="n"/>
      <c r="BA176" s="31" t="n"/>
      <c r="BB176" s="307" t="n"/>
      <c r="BC176" s="307" t="n"/>
      <c r="BD176" s="307" t="n"/>
      <c r="BE176" s="307" t="n"/>
      <c r="BF176" s="307" t="n"/>
      <c r="BG176" s="31" t="n"/>
      <c r="BH176" s="31" t="n"/>
      <c r="BI176" s="31" t="n"/>
      <c r="BJ176" s="31" t="n"/>
    </row>
    <row r="177" ht="15.75" customHeight="1" s="349">
      <c r="A177" s="31" t="n"/>
      <c r="B177" s="307" t="n"/>
      <c r="C177" s="307" t="n"/>
      <c r="D177" s="307" t="n"/>
      <c r="E177" s="307" t="n"/>
      <c r="F177" s="307" t="n"/>
      <c r="G177" s="307" t="n"/>
      <c r="H177" s="307" t="n"/>
      <c r="I177" s="307" t="n"/>
      <c r="J177" s="307" t="n"/>
      <c r="K177" s="307" t="n"/>
      <c r="L177" s="307" t="n"/>
      <c r="M177" s="307" t="n"/>
      <c r="N177" s="307" t="n"/>
      <c r="O177" s="307" t="n"/>
      <c r="P177" s="307" t="n"/>
      <c r="Q177" s="307" t="n"/>
      <c r="R177" s="307" t="n"/>
      <c r="S177" s="307" t="n"/>
      <c r="T177" s="307" t="n"/>
      <c r="U177" s="307" t="n"/>
      <c r="V177" s="307" t="n"/>
      <c r="W177" s="307" t="n"/>
      <c r="X177" s="307" t="n"/>
      <c r="Y177" s="307" t="n"/>
      <c r="Z177" s="307" t="n"/>
      <c r="AA177" s="307" t="n"/>
      <c r="AB177" s="307" t="n"/>
      <c r="AC177" s="307" t="n"/>
      <c r="AD177" s="307" t="n"/>
      <c r="AE177" s="307" t="n"/>
      <c r="AF177" s="307" t="n"/>
      <c r="AG177" s="307" t="n"/>
      <c r="AH177" s="307" t="n"/>
      <c r="AI177" s="307" t="n"/>
      <c r="AJ177" s="307" t="n"/>
      <c r="AK177" s="307" t="n"/>
      <c r="AL177" s="307" t="n"/>
      <c r="AM177" s="307" t="n"/>
      <c r="AN177" s="307" t="n"/>
      <c r="AO177" s="307" t="n"/>
      <c r="AP177" s="307" t="n"/>
      <c r="AQ177" s="307" t="n"/>
      <c r="AR177" s="307" t="n"/>
      <c r="AS177" s="307" t="n"/>
      <c r="AT177" s="307" t="n"/>
      <c r="AU177" s="307" t="n"/>
      <c r="AV177" s="307" t="n"/>
      <c r="AW177" s="307" t="n"/>
      <c r="AX177" s="307" t="n"/>
      <c r="AY177" s="307" t="n"/>
      <c r="AZ177" s="307" t="n"/>
      <c r="BA177" s="31" t="n"/>
      <c r="BB177" s="307" t="n"/>
      <c r="BC177" s="307" t="n"/>
      <c r="BD177" s="307" t="n"/>
      <c r="BE177" s="307" t="n"/>
      <c r="BF177" s="307" t="n"/>
      <c r="BG177" s="31" t="n"/>
      <c r="BH177" s="31" t="n"/>
      <c r="BI177" s="31" t="n"/>
      <c r="BJ177" s="31" t="n"/>
    </row>
    <row r="178" ht="15.75" customHeight="1" s="349">
      <c r="A178" s="31" t="n"/>
      <c r="B178" s="307" t="n"/>
      <c r="C178" s="307" t="n"/>
      <c r="D178" s="307" t="n"/>
      <c r="E178" s="307" t="n"/>
      <c r="F178" s="307" t="n"/>
      <c r="G178" s="307" t="n"/>
      <c r="H178" s="307" t="n"/>
      <c r="I178" s="307" t="n"/>
      <c r="J178" s="307" t="n"/>
      <c r="K178" s="307" t="n"/>
      <c r="L178" s="307" t="n"/>
      <c r="M178" s="307" t="n"/>
      <c r="N178" s="307" t="n"/>
      <c r="O178" s="307" t="n"/>
      <c r="P178" s="307" t="n"/>
      <c r="Q178" s="307" t="n"/>
      <c r="R178" s="307" t="n"/>
      <c r="S178" s="307" t="n"/>
      <c r="T178" s="307" t="n"/>
      <c r="U178" s="307" t="n"/>
      <c r="V178" s="307" t="n"/>
      <c r="W178" s="307" t="n"/>
      <c r="X178" s="307" t="n"/>
      <c r="Y178" s="307" t="n"/>
      <c r="Z178" s="307" t="n"/>
      <c r="AA178" s="307" t="n"/>
      <c r="AB178" s="307" t="n"/>
      <c r="AC178" s="307" t="n"/>
      <c r="AD178" s="307" t="n"/>
      <c r="AE178" s="307" t="n"/>
      <c r="AF178" s="307" t="n"/>
      <c r="AG178" s="307" t="n"/>
      <c r="AH178" s="307" t="n"/>
      <c r="AI178" s="307" t="n"/>
      <c r="AJ178" s="307" t="n"/>
      <c r="AK178" s="307" t="n"/>
      <c r="AL178" s="307" t="n"/>
      <c r="AM178" s="307" t="n"/>
      <c r="AN178" s="307" t="n"/>
      <c r="AO178" s="307" t="n"/>
      <c r="AP178" s="307" t="n"/>
      <c r="AQ178" s="307" t="n"/>
      <c r="AR178" s="307" t="n"/>
      <c r="AS178" s="307" t="n"/>
      <c r="AT178" s="307" t="n"/>
      <c r="AU178" s="307" t="n"/>
      <c r="AV178" s="307" t="n"/>
      <c r="AW178" s="307" t="n"/>
      <c r="AX178" s="307" t="n"/>
      <c r="AY178" s="307" t="n"/>
      <c r="AZ178" s="307" t="n"/>
      <c r="BA178" s="31" t="n"/>
      <c r="BB178" s="307" t="n"/>
      <c r="BC178" s="307" t="n"/>
      <c r="BD178" s="307" t="n"/>
      <c r="BE178" s="307" t="n"/>
      <c r="BF178" s="307" t="n"/>
      <c r="BG178" s="31" t="n"/>
      <c r="BH178" s="31" t="n"/>
      <c r="BI178" s="31" t="n"/>
      <c r="BJ178" s="31" t="n"/>
    </row>
    <row r="179" ht="15.75" customHeight="1" s="349">
      <c r="A179" s="31" t="n"/>
      <c r="B179" s="307" t="n"/>
      <c r="C179" s="307" t="n"/>
      <c r="D179" s="307" t="n"/>
      <c r="E179" s="307" t="n"/>
      <c r="F179" s="307" t="n"/>
      <c r="G179" s="307" t="n"/>
      <c r="H179" s="307" t="n"/>
      <c r="I179" s="307" t="n"/>
      <c r="J179" s="307" t="n"/>
      <c r="K179" s="307" t="n"/>
      <c r="L179" s="307" t="n"/>
      <c r="M179" s="307" t="n"/>
      <c r="N179" s="307" t="n"/>
      <c r="O179" s="307" t="n"/>
      <c r="P179" s="307" t="n"/>
      <c r="Q179" s="307" t="n"/>
      <c r="R179" s="307" t="n"/>
      <c r="S179" s="307" t="n"/>
      <c r="T179" s="307" t="n"/>
      <c r="U179" s="307" t="n"/>
      <c r="V179" s="307" t="n"/>
      <c r="W179" s="307" t="n"/>
      <c r="X179" s="307" t="n"/>
      <c r="Y179" s="307" t="n"/>
      <c r="Z179" s="307" t="n"/>
      <c r="AA179" s="307" t="n"/>
      <c r="AB179" s="307" t="n"/>
      <c r="AC179" s="307" t="n"/>
      <c r="AD179" s="307" t="n"/>
      <c r="AE179" s="307" t="n"/>
      <c r="AF179" s="307" t="n"/>
      <c r="AG179" s="307" t="n"/>
      <c r="AH179" s="307" t="n"/>
      <c r="AI179" s="307" t="n"/>
      <c r="AJ179" s="307" t="n"/>
      <c r="AK179" s="307" t="n"/>
      <c r="AL179" s="307" t="n"/>
      <c r="AM179" s="307" t="n"/>
      <c r="AN179" s="307" t="n"/>
      <c r="AO179" s="307" t="n"/>
      <c r="AP179" s="307" t="n"/>
      <c r="AQ179" s="307" t="n"/>
      <c r="AR179" s="307" t="n"/>
      <c r="AS179" s="307" t="n"/>
      <c r="AT179" s="307" t="n"/>
      <c r="AU179" s="307" t="n"/>
      <c r="AV179" s="307" t="n"/>
      <c r="AW179" s="307" t="n"/>
      <c r="AX179" s="307" t="n"/>
      <c r="AY179" s="307" t="n"/>
      <c r="AZ179" s="307" t="n"/>
      <c r="BA179" s="31" t="n"/>
      <c r="BB179" s="307" t="n"/>
      <c r="BC179" s="307" t="n"/>
      <c r="BD179" s="307" t="n"/>
      <c r="BE179" s="307" t="n"/>
      <c r="BF179" s="307" t="n"/>
      <c r="BG179" s="31" t="n"/>
      <c r="BH179" s="31" t="n"/>
      <c r="BI179" s="31" t="n"/>
      <c r="BJ179" s="31" t="n"/>
    </row>
    <row r="180" ht="15.75" customHeight="1" s="349">
      <c r="A180" s="31" t="n"/>
      <c r="B180" s="307" t="n"/>
      <c r="C180" s="307" t="n"/>
      <c r="D180" s="307" t="n"/>
      <c r="E180" s="307" t="n"/>
      <c r="F180" s="307" t="n"/>
      <c r="G180" s="307" t="n"/>
      <c r="H180" s="307" t="n"/>
      <c r="I180" s="307" t="n"/>
      <c r="J180" s="307" t="n"/>
      <c r="K180" s="307" t="n"/>
      <c r="L180" s="307" t="n"/>
      <c r="M180" s="307" t="n"/>
      <c r="N180" s="307" t="n"/>
      <c r="O180" s="307" t="n"/>
      <c r="P180" s="307" t="n"/>
      <c r="Q180" s="307" t="n"/>
      <c r="R180" s="307" t="n"/>
      <c r="S180" s="307" t="n"/>
      <c r="T180" s="307" t="n"/>
      <c r="U180" s="307" t="n"/>
      <c r="V180" s="307" t="n"/>
      <c r="W180" s="307" t="n"/>
      <c r="X180" s="307" t="n"/>
      <c r="Y180" s="307" t="n"/>
      <c r="Z180" s="307" t="n"/>
      <c r="AA180" s="307" t="n"/>
      <c r="AB180" s="307" t="n"/>
      <c r="AC180" s="307" t="n"/>
      <c r="AD180" s="307" t="n"/>
      <c r="AE180" s="307" t="n"/>
      <c r="AF180" s="307" t="n"/>
      <c r="AG180" s="307" t="n"/>
      <c r="AH180" s="307" t="n"/>
      <c r="AI180" s="307" t="n"/>
      <c r="AJ180" s="307" t="n"/>
      <c r="AK180" s="307" t="n"/>
      <c r="AL180" s="307" t="n"/>
      <c r="AM180" s="307" t="n"/>
      <c r="AN180" s="307" t="n"/>
      <c r="AO180" s="307" t="n"/>
      <c r="AP180" s="307" t="n"/>
      <c r="AQ180" s="307" t="n"/>
      <c r="AR180" s="307" t="n"/>
      <c r="AS180" s="307" t="n"/>
      <c r="AT180" s="307" t="n"/>
      <c r="AU180" s="307" t="n"/>
      <c r="AV180" s="307" t="n"/>
      <c r="AW180" s="307" t="n"/>
      <c r="AX180" s="307" t="n"/>
      <c r="AY180" s="307" t="n"/>
      <c r="AZ180" s="307" t="n"/>
      <c r="BA180" s="31" t="n"/>
      <c r="BB180" s="307" t="n"/>
      <c r="BC180" s="307" t="n"/>
      <c r="BD180" s="307" t="n"/>
      <c r="BE180" s="307" t="n"/>
      <c r="BF180" s="307" t="n"/>
      <c r="BG180" s="31" t="n"/>
      <c r="BH180" s="31" t="n"/>
      <c r="BI180" s="31" t="n"/>
      <c r="BJ180" s="31" t="n"/>
    </row>
    <row r="181" ht="15.75" customHeight="1" s="349">
      <c r="A181" s="31" t="n"/>
      <c r="B181" s="307" t="n"/>
      <c r="C181" s="307" t="n"/>
      <c r="D181" s="307" t="n"/>
      <c r="E181" s="307" t="n"/>
      <c r="F181" s="307" t="n"/>
      <c r="G181" s="307" t="n"/>
      <c r="H181" s="307" t="n"/>
      <c r="I181" s="307" t="n"/>
      <c r="J181" s="307" t="n"/>
      <c r="K181" s="307" t="n"/>
      <c r="L181" s="307" t="n"/>
      <c r="M181" s="307" t="n"/>
      <c r="N181" s="307" t="n"/>
      <c r="O181" s="307" t="n"/>
      <c r="P181" s="307" t="n"/>
      <c r="Q181" s="307" t="n"/>
      <c r="R181" s="307" t="n"/>
      <c r="S181" s="307" t="n"/>
      <c r="T181" s="307" t="n"/>
      <c r="U181" s="307" t="n"/>
      <c r="V181" s="307" t="n"/>
      <c r="W181" s="307" t="n"/>
      <c r="X181" s="307" t="n"/>
      <c r="Y181" s="307" t="n"/>
      <c r="Z181" s="307" t="n"/>
      <c r="AA181" s="307" t="n"/>
      <c r="AB181" s="307" t="n"/>
      <c r="AC181" s="307" t="n"/>
      <c r="AD181" s="307" t="n"/>
      <c r="AE181" s="307" t="n"/>
      <c r="AF181" s="307" t="n"/>
      <c r="AG181" s="307" t="n"/>
      <c r="AH181" s="307" t="n"/>
      <c r="AI181" s="307" t="n"/>
      <c r="AJ181" s="307" t="n"/>
      <c r="AK181" s="307" t="n"/>
      <c r="AL181" s="307" t="n"/>
      <c r="AM181" s="307" t="n"/>
      <c r="AN181" s="307" t="n"/>
      <c r="AO181" s="307" t="n"/>
      <c r="AP181" s="307" t="n"/>
      <c r="AQ181" s="307" t="n"/>
      <c r="AR181" s="307" t="n"/>
      <c r="AS181" s="307" t="n"/>
      <c r="AT181" s="307" t="n"/>
      <c r="AU181" s="307" t="n"/>
      <c r="AV181" s="307" t="n"/>
      <c r="AW181" s="307" t="n"/>
      <c r="AX181" s="307" t="n"/>
      <c r="AY181" s="307" t="n"/>
      <c r="AZ181" s="307" t="n"/>
      <c r="BA181" s="31" t="n"/>
      <c r="BB181" s="307" t="n"/>
      <c r="BC181" s="307" t="n"/>
      <c r="BD181" s="307" t="n"/>
      <c r="BE181" s="307" t="n"/>
      <c r="BF181" s="307" t="n"/>
      <c r="BG181" s="31" t="n"/>
      <c r="BH181" s="31" t="n"/>
      <c r="BI181" s="31" t="n"/>
      <c r="BJ181" s="31" t="n"/>
    </row>
    <row r="182" ht="15.75" customHeight="1" s="349">
      <c r="A182" s="31" t="n"/>
      <c r="B182" s="307" t="n"/>
      <c r="C182" s="307" t="n"/>
      <c r="D182" s="307" t="n"/>
      <c r="E182" s="307" t="n"/>
      <c r="F182" s="307" t="n"/>
      <c r="G182" s="307" t="n"/>
      <c r="H182" s="307" t="n"/>
      <c r="I182" s="307" t="n"/>
      <c r="J182" s="307" t="n"/>
      <c r="K182" s="307" t="n"/>
      <c r="L182" s="307" t="n"/>
      <c r="M182" s="307" t="n"/>
      <c r="N182" s="307" t="n"/>
      <c r="O182" s="307" t="n"/>
      <c r="P182" s="307" t="n"/>
      <c r="Q182" s="307" t="n"/>
      <c r="R182" s="307" t="n"/>
      <c r="S182" s="307" t="n"/>
      <c r="T182" s="307" t="n"/>
      <c r="U182" s="307" t="n"/>
      <c r="V182" s="307" t="n"/>
      <c r="W182" s="307" t="n"/>
      <c r="X182" s="307" t="n"/>
      <c r="Y182" s="307" t="n"/>
      <c r="Z182" s="307" t="n"/>
      <c r="AA182" s="307" t="n"/>
      <c r="AB182" s="307" t="n"/>
      <c r="AC182" s="307" t="n"/>
      <c r="AD182" s="307" t="n"/>
      <c r="AE182" s="307" t="n"/>
      <c r="AF182" s="307" t="n"/>
      <c r="AG182" s="307" t="n"/>
      <c r="AH182" s="307" t="n"/>
      <c r="AI182" s="307" t="n"/>
      <c r="AJ182" s="307" t="n"/>
      <c r="AK182" s="307" t="n"/>
      <c r="AL182" s="307" t="n"/>
      <c r="AM182" s="307" t="n"/>
      <c r="AN182" s="307" t="n"/>
      <c r="AO182" s="307" t="n"/>
      <c r="AP182" s="307" t="n"/>
      <c r="AQ182" s="307" t="n"/>
      <c r="AR182" s="307" t="n"/>
      <c r="AS182" s="307" t="n"/>
      <c r="AT182" s="307" t="n"/>
      <c r="AU182" s="307" t="n"/>
      <c r="AV182" s="307" t="n"/>
      <c r="AW182" s="307" t="n"/>
      <c r="AX182" s="307" t="n"/>
      <c r="AY182" s="307" t="n"/>
      <c r="AZ182" s="307" t="n"/>
      <c r="BA182" s="31" t="n"/>
      <c r="BB182" s="307" t="n"/>
      <c r="BC182" s="307" t="n"/>
      <c r="BD182" s="307" t="n"/>
      <c r="BE182" s="307" t="n"/>
      <c r="BF182" s="307" t="n"/>
      <c r="BG182" s="31" t="n"/>
      <c r="BH182" s="31" t="n"/>
      <c r="BI182" s="31" t="n"/>
      <c r="BJ182" s="31" t="n"/>
    </row>
    <row r="183" ht="15.75" customHeight="1" s="349">
      <c r="A183" s="31" t="n"/>
      <c r="B183" s="307" t="n"/>
      <c r="C183" s="307" t="n"/>
      <c r="D183" s="307" t="n"/>
      <c r="E183" s="307" t="n"/>
      <c r="F183" s="307" t="n"/>
      <c r="G183" s="307" t="n"/>
      <c r="H183" s="307" t="n"/>
      <c r="I183" s="307" t="n"/>
      <c r="J183" s="307" t="n"/>
      <c r="K183" s="307" t="n"/>
      <c r="L183" s="307" t="n"/>
      <c r="M183" s="307" t="n"/>
      <c r="N183" s="307" t="n"/>
      <c r="O183" s="307" t="n"/>
      <c r="P183" s="307" t="n"/>
      <c r="Q183" s="307" t="n"/>
      <c r="R183" s="307" t="n"/>
      <c r="S183" s="307" t="n"/>
      <c r="T183" s="307" t="n"/>
      <c r="U183" s="307" t="n"/>
      <c r="V183" s="307" t="n"/>
      <c r="W183" s="307" t="n"/>
      <c r="X183" s="307" t="n"/>
      <c r="Y183" s="307" t="n"/>
      <c r="Z183" s="307" t="n"/>
      <c r="AA183" s="307" t="n"/>
      <c r="AB183" s="307" t="n"/>
      <c r="AC183" s="307" t="n"/>
      <c r="AD183" s="307" t="n"/>
      <c r="AE183" s="307" t="n"/>
      <c r="AF183" s="307" t="n"/>
      <c r="AG183" s="307" t="n"/>
      <c r="AH183" s="307" t="n"/>
      <c r="AI183" s="307" t="n"/>
      <c r="AJ183" s="307" t="n"/>
      <c r="AK183" s="307" t="n"/>
      <c r="AL183" s="307" t="n"/>
      <c r="AM183" s="307" t="n"/>
      <c r="AN183" s="307" t="n"/>
      <c r="AO183" s="307" t="n"/>
      <c r="AP183" s="307" t="n"/>
      <c r="AQ183" s="307" t="n"/>
      <c r="AR183" s="307" t="n"/>
      <c r="AS183" s="307" t="n"/>
      <c r="AT183" s="307" t="n"/>
      <c r="AU183" s="307" t="n"/>
      <c r="AV183" s="307" t="n"/>
      <c r="AW183" s="307" t="n"/>
      <c r="AX183" s="307" t="n"/>
      <c r="AY183" s="307" t="n"/>
      <c r="AZ183" s="307" t="n"/>
      <c r="BA183" s="31" t="n"/>
      <c r="BB183" s="307" t="n"/>
      <c r="BC183" s="307" t="n"/>
      <c r="BD183" s="307" t="n"/>
      <c r="BE183" s="307" t="n"/>
      <c r="BF183" s="307" t="n"/>
      <c r="BG183" s="31" t="n"/>
      <c r="BH183" s="31" t="n"/>
      <c r="BI183" s="31" t="n"/>
      <c r="BJ183" s="31" t="n"/>
    </row>
    <row r="184" ht="15.75" customHeight="1" s="349">
      <c r="A184" s="31" t="n"/>
      <c r="B184" s="307" t="n"/>
      <c r="C184" s="307" t="n"/>
      <c r="D184" s="307" t="n"/>
      <c r="E184" s="307" t="n"/>
      <c r="F184" s="307" t="n"/>
      <c r="G184" s="307" t="n"/>
      <c r="H184" s="307" t="n"/>
      <c r="I184" s="307" t="n"/>
      <c r="J184" s="307" t="n"/>
      <c r="K184" s="307" t="n"/>
      <c r="L184" s="307" t="n"/>
      <c r="M184" s="307" t="n"/>
      <c r="N184" s="307" t="n"/>
      <c r="O184" s="307" t="n"/>
      <c r="P184" s="307" t="n"/>
      <c r="Q184" s="307" t="n"/>
      <c r="R184" s="307" t="n"/>
      <c r="S184" s="307" t="n"/>
      <c r="T184" s="307" t="n"/>
      <c r="U184" s="307" t="n"/>
      <c r="V184" s="307" t="n"/>
      <c r="W184" s="307" t="n"/>
      <c r="X184" s="307" t="n"/>
      <c r="Y184" s="307" t="n"/>
      <c r="Z184" s="307" t="n"/>
      <c r="AA184" s="307" t="n"/>
      <c r="AB184" s="307" t="n"/>
      <c r="AC184" s="307" t="n"/>
      <c r="AD184" s="307" t="n"/>
      <c r="AE184" s="307" t="n"/>
      <c r="AF184" s="307" t="n"/>
      <c r="AG184" s="307" t="n"/>
      <c r="AH184" s="307" t="n"/>
      <c r="AI184" s="307" t="n"/>
      <c r="AJ184" s="307" t="n"/>
      <c r="AK184" s="307" t="n"/>
      <c r="AL184" s="307" t="n"/>
      <c r="AM184" s="307" t="n"/>
      <c r="AN184" s="307" t="n"/>
      <c r="AO184" s="307" t="n"/>
      <c r="AP184" s="307" t="n"/>
      <c r="AQ184" s="307" t="n"/>
      <c r="AR184" s="307" t="n"/>
      <c r="AS184" s="307" t="n"/>
      <c r="AT184" s="307" t="n"/>
      <c r="AU184" s="307" t="n"/>
      <c r="AV184" s="307" t="n"/>
      <c r="AW184" s="307" t="n"/>
      <c r="AX184" s="307" t="n"/>
      <c r="AY184" s="307" t="n"/>
      <c r="AZ184" s="307" t="n"/>
      <c r="BA184" s="31" t="n"/>
      <c r="BB184" s="307" t="n"/>
      <c r="BC184" s="307" t="n"/>
      <c r="BD184" s="307" t="n"/>
      <c r="BE184" s="307" t="n"/>
      <c r="BF184" s="307" t="n"/>
      <c r="BG184" s="31" t="n"/>
      <c r="BH184" s="31" t="n"/>
      <c r="BI184" s="31" t="n"/>
      <c r="BJ184" s="31" t="n"/>
    </row>
    <row r="185" ht="15.75" customHeight="1" s="349">
      <c r="A185" s="31" t="n"/>
      <c r="B185" s="307" t="n"/>
      <c r="C185" s="307" t="n"/>
      <c r="D185" s="307" t="n"/>
      <c r="E185" s="307" t="n"/>
      <c r="F185" s="307" t="n"/>
      <c r="G185" s="307" t="n"/>
      <c r="H185" s="307" t="n"/>
      <c r="I185" s="307" t="n"/>
      <c r="J185" s="307" t="n"/>
      <c r="K185" s="307" t="n"/>
      <c r="L185" s="307" t="n"/>
      <c r="M185" s="307" t="n"/>
      <c r="N185" s="307" t="n"/>
      <c r="O185" s="307" t="n"/>
      <c r="P185" s="307" t="n"/>
      <c r="Q185" s="307" t="n"/>
      <c r="R185" s="307" t="n"/>
      <c r="S185" s="307" t="n"/>
      <c r="T185" s="307" t="n"/>
      <c r="U185" s="307" t="n"/>
      <c r="V185" s="307" t="n"/>
      <c r="W185" s="307" t="n"/>
      <c r="X185" s="307" t="n"/>
      <c r="Y185" s="307" t="n"/>
      <c r="Z185" s="307" t="n"/>
      <c r="AA185" s="307" t="n"/>
      <c r="AB185" s="307" t="n"/>
      <c r="AC185" s="307" t="n"/>
      <c r="AD185" s="307" t="n"/>
      <c r="AE185" s="307" t="n"/>
      <c r="AF185" s="307" t="n"/>
      <c r="AG185" s="307" t="n"/>
      <c r="AH185" s="307" t="n"/>
      <c r="AI185" s="307" t="n"/>
      <c r="AJ185" s="307" t="n"/>
      <c r="AK185" s="307" t="n"/>
      <c r="AL185" s="307" t="n"/>
      <c r="AM185" s="307" t="n"/>
      <c r="AN185" s="307" t="n"/>
      <c r="AO185" s="307" t="n"/>
      <c r="AP185" s="307" t="n"/>
      <c r="AQ185" s="307" t="n"/>
      <c r="AR185" s="307" t="n"/>
      <c r="AS185" s="307" t="n"/>
      <c r="AT185" s="307" t="n"/>
      <c r="AU185" s="307" t="n"/>
      <c r="AV185" s="307" t="n"/>
      <c r="AW185" s="307" t="n"/>
      <c r="AX185" s="307" t="n"/>
      <c r="AY185" s="307" t="n"/>
      <c r="AZ185" s="307" t="n"/>
      <c r="BA185" s="31" t="n"/>
      <c r="BB185" s="307" t="n"/>
      <c r="BC185" s="307" t="n"/>
      <c r="BD185" s="307" t="n"/>
      <c r="BE185" s="307" t="n"/>
      <c r="BF185" s="307" t="n"/>
      <c r="BG185" s="31" t="n"/>
      <c r="BH185" s="31" t="n"/>
      <c r="BI185" s="31" t="n"/>
      <c r="BJ185" s="31" t="n"/>
    </row>
    <row r="186" ht="15.75" customHeight="1" s="349">
      <c r="A186" s="31" t="n"/>
      <c r="B186" s="307" t="n"/>
      <c r="C186" s="307" t="n"/>
      <c r="D186" s="307" t="n"/>
      <c r="E186" s="307" t="n"/>
      <c r="F186" s="307" t="n"/>
      <c r="G186" s="307" t="n"/>
      <c r="H186" s="307" t="n"/>
      <c r="I186" s="307" t="n"/>
      <c r="J186" s="307" t="n"/>
      <c r="K186" s="307" t="n"/>
      <c r="L186" s="307" t="n"/>
      <c r="M186" s="307" t="n"/>
      <c r="N186" s="307" t="n"/>
      <c r="O186" s="307" t="n"/>
      <c r="P186" s="307" t="n"/>
      <c r="Q186" s="307" t="n"/>
      <c r="R186" s="307" t="n"/>
      <c r="S186" s="307" t="n"/>
      <c r="T186" s="307" t="n"/>
      <c r="U186" s="307" t="n"/>
      <c r="V186" s="307" t="n"/>
      <c r="W186" s="307" t="n"/>
      <c r="X186" s="307" t="n"/>
      <c r="Y186" s="307" t="n"/>
      <c r="Z186" s="307" t="n"/>
      <c r="AA186" s="307" t="n"/>
      <c r="AB186" s="307" t="n"/>
      <c r="AC186" s="307" t="n"/>
      <c r="AD186" s="307" t="n"/>
      <c r="AE186" s="307" t="n"/>
      <c r="AF186" s="307" t="n"/>
      <c r="AG186" s="307" t="n"/>
      <c r="AH186" s="307" t="n"/>
      <c r="AI186" s="307" t="n"/>
      <c r="AJ186" s="307" t="n"/>
      <c r="AK186" s="307" t="n"/>
      <c r="AL186" s="307" t="n"/>
      <c r="AM186" s="307" t="n"/>
      <c r="AN186" s="307" t="n"/>
      <c r="AO186" s="307" t="n"/>
      <c r="AP186" s="307" t="n"/>
      <c r="AQ186" s="307" t="n"/>
      <c r="AR186" s="307" t="n"/>
      <c r="AS186" s="307" t="n"/>
      <c r="AT186" s="307" t="n"/>
      <c r="AU186" s="307" t="n"/>
      <c r="AV186" s="307" t="n"/>
      <c r="AW186" s="307" t="n"/>
      <c r="AX186" s="307" t="n"/>
      <c r="AY186" s="307" t="n"/>
      <c r="AZ186" s="307" t="n"/>
      <c r="BA186" s="31" t="n"/>
      <c r="BB186" s="307" t="n"/>
      <c r="BC186" s="307" t="n"/>
      <c r="BD186" s="307" t="n"/>
      <c r="BE186" s="307" t="n"/>
      <c r="BF186" s="307" t="n"/>
      <c r="BG186" s="31" t="n"/>
      <c r="BH186" s="31" t="n"/>
      <c r="BI186" s="31" t="n"/>
      <c r="BJ186" s="31" t="n"/>
    </row>
    <row r="187" ht="15.75" customHeight="1" s="349">
      <c r="A187" s="31" t="n"/>
      <c r="B187" s="307" t="n"/>
      <c r="C187" s="307" t="n"/>
      <c r="D187" s="307" t="n"/>
      <c r="E187" s="307" t="n"/>
      <c r="F187" s="307" t="n"/>
      <c r="G187" s="307" t="n"/>
      <c r="H187" s="307" t="n"/>
      <c r="I187" s="307" t="n"/>
      <c r="J187" s="307" t="n"/>
      <c r="K187" s="307" t="n"/>
      <c r="L187" s="307" t="n"/>
      <c r="M187" s="307" t="n"/>
      <c r="N187" s="307" t="n"/>
      <c r="O187" s="307" t="n"/>
      <c r="P187" s="307" t="n"/>
      <c r="Q187" s="307" t="n"/>
      <c r="R187" s="307" t="n"/>
      <c r="S187" s="307" t="n"/>
      <c r="T187" s="307" t="n"/>
      <c r="U187" s="307" t="n"/>
      <c r="V187" s="307" t="n"/>
      <c r="W187" s="307" t="n"/>
      <c r="X187" s="307" t="n"/>
      <c r="Y187" s="307" t="n"/>
      <c r="Z187" s="307" t="n"/>
      <c r="AA187" s="307" t="n"/>
      <c r="AB187" s="307" t="n"/>
      <c r="AC187" s="307" t="n"/>
      <c r="AD187" s="307" t="n"/>
      <c r="AE187" s="307" t="n"/>
      <c r="AF187" s="307" t="n"/>
      <c r="AG187" s="307" t="n"/>
      <c r="AH187" s="307" t="n"/>
      <c r="AI187" s="307" t="n"/>
      <c r="AJ187" s="307" t="n"/>
      <c r="AK187" s="307" t="n"/>
      <c r="AL187" s="307" t="n"/>
      <c r="AM187" s="307" t="n"/>
      <c r="AN187" s="307" t="n"/>
      <c r="AO187" s="307" t="n"/>
      <c r="AP187" s="307" t="n"/>
      <c r="AQ187" s="307" t="n"/>
      <c r="AR187" s="307" t="n"/>
      <c r="AS187" s="307" t="n"/>
      <c r="AT187" s="307" t="n"/>
      <c r="AU187" s="307" t="n"/>
      <c r="AV187" s="307" t="n"/>
      <c r="AW187" s="307" t="n"/>
      <c r="AX187" s="307" t="n"/>
      <c r="AY187" s="307" t="n"/>
      <c r="AZ187" s="307" t="n"/>
      <c r="BA187" s="31" t="n"/>
      <c r="BB187" s="307" t="n"/>
      <c r="BC187" s="307" t="n"/>
      <c r="BD187" s="307" t="n"/>
      <c r="BE187" s="307" t="n"/>
      <c r="BF187" s="307" t="n"/>
      <c r="BG187" s="31" t="n"/>
      <c r="BH187" s="31" t="n"/>
      <c r="BI187" s="31" t="n"/>
      <c r="BJ187" s="31" t="n"/>
    </row>
    <row r="188" ht="15.75" customHeight="1" s="349">
      <c r="A188" s="31" t="n"/>
      <c r="B188" s="307" t="n"/>
      <c r="C188" s="307" t="n"/>
      <c r="D188" s="307" t="n"/>
      <c r="E188" s="307" t="n"/>
      <c r="F188" s="307" t="n"/>
      <c r="G188" s="307" t="n"/>
      <c r="H188" s="307" t="n"/>
      <c r="I188" s="307" t="n"/>
      <c r="J188" s="307" t="n"/>
      <c r="K188" s="307" t="n"/>
      <c r="L188" s="307" t="n"/>
      <c r="M188" s="307" t="n"/>
      <c r="N188" s="307" t="n"/>
      <c r="O188" s="307" t="n"/>
      <c r="P188" s="307" t="n"/>
      <c r="Q188" s="307" t="n"/>
      <c r="R188" s="307" t="n"/>
      <c r="S188" s="307" t="n"/>
      <c r="T188" s="307" t="n"/>
      <c r="U188" s="307" t="n"/>
      <c r="V188" s="307" t="n"/>
      <c r="W188" s="307" t="n"/>
      <c r="X188" s="307" t="n"/>
      <c r="Y188" s="307" t="n"/>
      <c r="Z188" s="307" t="n"/>
      <c r="AA188" s="307" t="n"/>
      <c r="AB188" s="307" t="n"/>
      <c r="AC188" s="307" t="n"/>
      <c r="AD188" s="307" t="n"/>
      <c r="AE188" s="307" t="n"/>
      <c r="AF188" s="307" t="n"/>
      <c r="AG188" s="307" t="n"/>
      <c r="AH188" s="307" t="n"/>
      <c r="AI188" s="307" t="n"/>
      <c r="AJ188" s="307" t="n"/>
      <c r="AK188" s="307" t="n"/>
      <c r="AL188" s="307" t="n"/>
      <c r="AM188" s="307" t="n"/>
      <c r="AN188" s="307" t="n"/>
      <c r="AO188" s="307" t="n"/>
      <c r="AP188" s="307" t="n"/>
      <c r="AQ188" s="307" t="n"/>
      <c r="AR188" s="307" t="n"/>
      <c r="AS188" s="307" t="n"/>
      <c r="AT188" s="307" t="n"/>
      <c r="AU188" s="307" t="n"/>
      <c r="AV188" s="307" t="n"/>
      <c r="AW188" s="307" t="n"/>
      <c r="AX188" s="307" t="n"/>
      <c r="AY188" s="307" t="n"/>
      <c r="AZ188" s="307" t="n"/>
      <c r="BA188" s="31" t="n"/>
      <c r="BB188" s="307" t="n"/>
      <c r="BC188" s="307" t="n"/>
      <c r="BD188" s="307" t="n"/>
      <c r="BE188" s="307" t="n"/>
      <c r="BF188" s="307" t="n"/>
      <c r="BG188" s="31" t="n"/>
      <c r="BH188" s="31" t="n"/>
      <c r="BI188" s="31" t="n"/>
      <c r="BJ188" s="31" t="n"/>
    </row>
    <row r="189" ht="15.75" customHeight="1" s="349">
      <c r="A189" s="31" t="n"/>
      <c r="B189" s="307" t="n"/>
      <c r="C189" s="307" t="n"/>
      <c r="D189" s="307" t="n"/>
      <c r="E189" s="307" t="n"/>
      <c r="F189" s="307" t="n"/>
      <c r="G189" s="307" t="n"/>
      <c r="H189" s="307" t="n"/>
      <c r="I189" s="307" t="n"/>
      <c r="J189" s="307" t="n"/>
      <c r="K189" s="307" t="n"/>
      <c r="L189" s="307" t="n"/>
      <c r="M189" s="307" t="n"/>
      <c r="N189" s="307" t="n"/>
      <c r="O189" s="307" t="n"/>
      <c r="P189" s="307" t="n"/>
      <c r="Q189" s="307" t="n"/>
      <c r="R189" s="307" t="n"/>
      <c r="S189" s="307" t="n"/>
      <c r="T189" s="307" t="n"/>
      <c r="U189" s="307" t="n"/>
      <c r="V189" s="307" t="n"/>
      <c r="W189" s="307" t="n"/>
      <c r="X189" s="307" t="n"/>
      <c r="Y189" s="307" t="n"/>
      <c r="Z189" s="307" t="n"/>
      <c r="AA189" s="307" t="n"/>
      <c r="AB189" s="307" t="n"/>
      <c r="AC189" s="307" t="n"/>
      <c r="AD189" s="307" t="n"/>
      <c r="AE189" s="307" t="n"/>
      <c r="AF189" s="307" t="n"/>
      <c r="AG189" s="307" t="n"/>
      <c r="AH189" s="307" t="n"/>
      <c r="AI189" s="307" t="n"/>
      <c r="AJ189" s="307" t="n"/>
      <c r="AK189" s="307" t="n"/>
      <c r="AL189" s="307" t="n"/>
      <c r="AM189" s="307" t="n"/>
      <c r="AN189" s="307" t="n"/>
      <c r="AO189" s="307" t="n"/>
      <c r="AP189" s="307" t="n"/>
      <c r="AQ189" s="307" t="n"/>
      <c r="AR189" s="307" t="n"/>
      <c r="AS189" s="307" t="n"/>
      <c r="AT189" s="307" t="n"/>
      <c r="AU189" s="307" t="n"/>
      <c r="AV189" s="307" t="n"/>
      <c r="AW189" s="307" t="n"/>
      <c r="AX189" s="307" t="n"/>
      <c r="AY189" s="307" t="n"/>
      <c r="AZ189" s="307" t="n"/>
      <c r="BA189" s="31" t="n"/>
      <c r="BB189" s="307" t="n"/>
      <c r="BC189" s="307" t="n"/>
      <c r="BD189" s="307" t="n"/>
      <c r="BE189" s="307" t="n"/>
      <c r="BF189" s="307" t="n"/>
      <c r="BG189" s="31" t="n"/>
      <c r="BH189" s="31" t="n"/>
      <c r="BI189" s="31" t="n"/>
      <c r="BJ189" s="31" t="n"/>
    </row>
    <row r="190" ht="15.75" customHeight="1" s="349">
      <c r="A190" s="31" t="n"/>
      <c r="B190" s="307" t="n"/>
      <c r="C190" s="307" t="n"/>
      <c r="D190" s="307" t="n"/>
      <c r="E190" s="307" t="n"/>
      <c r="F190" s="307" t="n"/>
      <c r="G190" s="307" t="n"/>
      <c r="H190" s="307" t="n"/>
      <c r="I190" s="307" t="n"/>
      <c r="J190" s="307" t="n"/>
      <c r="K190" s="307" t="n"/>
      <c r="L190" s="307" t="n"/>
      <c r="M190" s="307" t="n"/>
      <c r="N190" s="307" t="n"/>
      <c r="O190" s="307" t="n"/>
      <c r="P190" s="307" t="n"/>
      <c r="Q190" s="307" t="n"/>
      <c r="R190" s="307" t="n"/>
      <c r="S190" s="307" t="n"/>
      <c r="T190" s="307" t="n"/>
      <c r="U190" s="307" t="n"/>
      <c r="V190" s="307" t="n"/>
      <c r="W190" s="307" t="n"/>
      <c r="X190" s="307" t="n"/>
      <c r="Y190" s="307" t="n"/>
      <c r="Z190" s="307" t="n"/>
      <c r="AA190" s="307" t="n"/>
      <c r="AB190" s="307" t="n"/>
      <c r="AC190" s="307" t="n"/>
      <c r="AD190" s="307" t="n"/>
      <c r="AE190" s="307" t="n"/>
      <c r="AF190" s="307" t="n"/>
      <c r="AG190" s="307" t="n"/>
      <c r="AH190" s="307" t="n"/>
      <c r="AI190" s="307" t="n"/>
      <c r="AJ190" s="307" t="n"/>
      <c r="AK190" s="307" t="n"/>
      <c r="AL190" s="307" t="n"/>
      <c r="AM190" s="307" t="n"/>
      <c r="AN190" s="307" t="n"/>
      <c r="AO190" s="307" t="n"/>
      <c r="AP190" s="307" t="n"/>
      <c r="AQ190" s="307" t="n"/>
      <c r="AR190" s="307" t="n"/>
      <c r="AS190" s="307" t="n"/>
      <c r="AT190" s="307" t="n"/>
      <c r="AU190" s="307" t="n"/>
      <c r="AV190" s="307" t="n"/>
      <c r="AW190" s="307" t="n"/>
      <c r="AX190" s="307" t="n"/>
      <c r="AY190" s="307" t="n"/>
      <c r="AZ190" s="307" t="n"/>
      <c r="BA190" s="31" t="n"/>
      <c r="BB190" s="307" t="n"/>
      <c r="BC190" s="307" t="n"/>
      <c r="BD190" s="307" t="n"/>
      <c r="BE190" s="307" t="n"/>
      <c r="BF190" s="307" t="n"/>
      <c r="BG190" s="31" t="n"/>
      <c r="BH190" s="31" t="n"/>
      <c r="BI190" s="31" t="n"/>
      <c r="BJ190" s="31" t="n"/>
    </row>
    <row r="191" ht="15.75" customHeight="1" s="349">
      <c r="A191" s="31" t="n"/>
      <c r="B191" s="307" t="n"/>
      <c r="C191" s="307" t="n"/>
      <c r="D191" s="307" t="n"/>
      <c r="E191" s="307" t="n"/>
      <c r="F191" s="307" t="n"/>
      <c r="G191" s="307" t="n"/>
      <c r="H191" s="307" t="n"/>
      <c r="I191" s="307" t="n"/>
      <c r="J191" s="307" t="n"/>
      <c r="K191" s="307" t="n"/>
      <c r="L191" s="307" t="n"/>
      <c r="M191" s="307" t="n"/>
      <c r="N191" s="307" t="n"/>
      <c r="O191" s="307" t="n"/>
      <c r="P191" s="307" t="n"/>
      <c r="Q191" s="307" t="n"/>
      <c r="R191" s="307" t="n"/>
      <c r="S191" s="307" t="n"/>
      <c r="T191" s="307" t="n"/>
      <c r="U191" s="307" t="n"/>
      <c r="V191" s="307" t="n"/>
      <c r="W191" s="307" t="n"/>
      <c r="X191" s="307" t="n"/>
      <c r="Y191" s="307" t="n"/>
      <c r="Z191" s="307" t="n"/>
      <c r="AA191" s="307" t="n"/>
      <c r="AB191" s="307" t="n"/>
      <c r="AC191" s="307" t="n"/>
      <c r="AD191" s="307" t="n"/>
      <c r="AE191" s="307" t="n"/>
      <c r="AF191" s="307" t="n"/>
      <c r="AG191" s="307" t="n"/>
      <c r="AH191" s="307" t="n"/>
      <c r="AI191" s="307" t="n"/>
      <c r="AJ191" s="307" t="n"/>
      <c r="AK191" s="307" t="n"/>
      <c r="AL191" s="307" t="n"/>
      <c r="AM191" s="307" t="n"/>
      <c r="AN191" s="307" t="n"/>
      <c r="AO191" s="307" t="n"/>
      <c r="AP191" s="307" t="n"/>
      <c r="AQ191" s="307" t="n"/>
      <c r="AR191" s="307" t="n"/>
      <c r="AS191" s="307" t="n"/>
      <c r="AT191" s="307" t="n"/>
      <c r="AU191" s="307" t="n"/>
      <c r="AV191" s="307" t="n"/>
      <c r="AW191" s="307" t="n"/>
      <c r="AX191" s="307" t="n"/>
      <c r="AY191" s="307" t="n"/>
      <c r="AZ191" s="307" t="n"/>
      <c r="BA191" s="31" t="n"/>
      <c r="BB191" s="307" t="n"/>
      <c r="BC191" s="307" t="n"/>
      <c r="BD191" s="307" t="n"/>
      <c r="BE191" s="307" t="n"/>
      <c r="BF191" s="307" t="n"/>
      <c r="BG191" s="31" t="n"/>
      <c r="BH191" s="31" t="n"/>
      <c r="BI191" s="31" t="n"/>
      <c r="BJ191" s="31" t="n"/>
    </row>
    <row r="192" ht="15.75" customHeight="1" s="349">
      <c r="A192" s="31" t="n"/>
      <c r="B192" s="307" t="n"/>
      <c r="C192" s="307" t="n"/>
      <c r="D192" s="307" t="n"/>
      <c r="E192" s="307" t="n"/>
      <c r="F192" s="307" t="n"/>
      <c r="G192" s="307" t="n"/>
      <c r="H192" s="307" t="n"/>
      <c r="I192" s="307" t="n"/>
      <c r="J192" s="307" t="n"/>
      <c r="K192" s="307" t="n"/>
      <c r="L192" s="307" t="n"/>
      <c r="M192" s="307" t="n"/>
      <c r="N192" s="307" t="n"/>
      <c r="O192" s="307" t="n"/>
      <c r="P192" s="307" t="n"/>
      <c r="Q192" s="307" t="n"/>
      <c r="R192" s="307" t="n"/>
      <c r="S192" s="307" t="n"/>
      <c r="T192" s="307" t="n"/>
      <c r="U192" s="307" t="n"/>
      <c r="V192" s="307" t="n"/>
      <c r="W192" s="307" t="n"/>
      <c r="X192" s="307" t="n"/>
      <c r="Y192" s="307" t="n"/>
      <c r="Z192" s="307" t="n"/>
      <c r="AA192" s="307" t="n"/>
      <c r="AB192" s="307" t="n"/>
      <c r="AC192" s="307" t="n"/>
      <c r="AD192" s="307" t="n"/>
      <c r="AE192" s="307" t="n"/>
      <c r="AF192" s="307" t="n"/>
      <c r="AG192" s="307" t="n"/>
      <c r="AH192" s="307" t="n"/>
      <c r="AI192" s="307" t="n"/>
      <c r="AJ192" s="307" t="n"/>
      <c r="AK192" s="307" t="n"/>
      <c r="AL192" s="307" t="n"/>
      <c r="AM192" s="307" t="n"/>
      <c r="AN192" s="307" t="n"/>
      <c r="AO192" s="307" t="n"/>
      <c r="AP192" s="307" t="n"/>
      <c r="AQ192" s="307" t="n"/>
      <c r="AR192" s="307" t="n"/>
      <c r="AS192" s="307" t="n"/>
      <c r="AT192" s="307" t="n"/>
      <c r="AU192" s="307" t="n"/>
      <c r="AV192" s="307" t="n"/>
      <c r="AW192" s="307" t="n"/>
      <c r="AX192" s="307" t="n"/>
      <c r="AY192" s="307" t="n"/>
      <c r="AZ192" s="307" t="n"/>
      <c r="BA192" s="31" t="n"/>
      <c r="BB192" s="307" t="n"/>
      <c r="BC192" s="307" t="n"/>
      <c r="BD192" s="307" t="n"/>
      <c r="BE192" s="307" t="n"/>
      <c r="BF192" s="307" t="n"/>
      <c r="BG192" s="31" t="n"/>
      <c r="BH192" s="31" t="n"/>
      <c r="BI192" s="31" t="n"/>
      <c r="BJ192" s="31" t="n"/>
    </row>
    <row r="193" ht="15.75" customHeight="1" s="349">
      <c r="A193" s="31" t="n"/>
      <c r="B193" s="307" t="n"/>
      <c r="C193" s="307" t="n"/>
      <c r="D193" s="307" t="n"/>
      <c r="E193" s="307" t="n"/>
      <c r="F193" s="307" t="n"/>
      <c r="G193" s="307" t="n"/>
      <c r="H193" s="307" t="n"/>
      <c r="I193" s="307" t="n"/>
      <c r="J193" s="307" t="n"/>
      <c r="K193" s="307" t="n"/>
      <c r="L193" s="307" t="n"/>
      <c r="M193" s="307" t="n"/>
      <c r="N193" s="307" t="n"/>
      <c r="O193" s="307" t="n"/>
      <c r="P193" s="307" t="n"/>
      <c r="Q193" s="307" t="n"/>
      <c r="R193" s="307" t="n"/>
      <c r="S193" s="307" t="n"/>
      <c r="T193" s="307" t="n"/>
      <c r="U193" s="307" t="n"/>
      <c r="V193" s="307" t="n"/>
      <c r="W193" s="307" t="n"/>
      <c r="X193" s="307" t="n"/>
      <c r="Y193" s="307" t="n"/>
      <c r="Z193" s="307" t="n"/>
      <c r="AA193" s="307" t="n"/>
      <c r="AB193" s="307" t="n"/>
      <c r="AC193" s="307" t="n"/>
      <c r="AD193" s="307" t="n"/>
      <c r="AE193" s="307" t="n"/>
      <c r="AF193" s="307" t="n"/>
      <c r="AG193" s="307" t="n"/>
      <c r="AH193" s="307" t="n"/>
      <c r="AI193" s="307" t="n"/>
      <c r="AJ193" s="307" t="n"/>
      <c r="AK193" s="307" t="n"/>
      <c r="AL193" s="307" t="n"/>
      <c r="AM193" s="307" t="n"/>
      <c r="AN193" s="307" t="n"/>
      <c r="AO193" s="307" t="n"/>
      <c r="AP193" s="307" t="n"/>
      <c r="AQ193" s="307" t="n"/>
      <c r="AR193" s="307" t="n"/>
      <c r="AS193" s="307" t="n"/>
      <c r="AT193" s="307" t="n"/>
      <c r="AU193" s="307" t="n"/>
      <c r="AV193" s="307" t="n"/>
      <c r="AW193" s="307" t="n"/>
      <c r="AX193" s="307" t="n"/>
      <c r="AY193" s="307" t="n"/>
      <c r="AZ193" s="307" t="n"/>
      <c r="BA193" s="31" t="n"/>
      <c r="BB193" s="307" t="n"/>
      <c r="BC193" s="307" t="n"/>
      <c r="BD193" s="307" t="n"/>
      <c r="BE193" s="307" t="n"/>
      <c r="BF193" s="307" t="n"/>
      <c r="BG193" s="31" t="n"/>
      <c r="BH193" s="31" t="n"/>
      <c r="BI193" s="31" t="n"/>
      <c r="BJ193" s="31" t="n"/>
    </row>
    <row r="194" ht="15.75" customHeight="1" s="349">
      <c r="A194" s="31" t="n"/>
      <c r="B194" s="307" t="n"/>
      <c r="C194" s="307" t="n"/>
      <c r="D194" s="307" t="n"/>
      <c r="E194" s="307" t="n"/>
      <c r="F194" s="307" t="n"/>
      <c r="G194" s="307" t="n"/>
      <c r="H194" s="307" t="n"/>
      <c r="I194" s="307" t="n"/>
      <c r="J194" s="307" t="n"/>
      <c r="K194" s="307" t="n"/>
      <c r="L194" s="307" t="n"/>
      <c r="M194" s="307" t="n"/>
      <c r="N194" s="307" t="n"/>
      <c r="O194" s="307" t="n"/>
      <c r="P194" s="307" t="n"/>
      <c r="Q194" s="307" t="n"/>
      <c r="R194" s="307" t="n"/>
      <c r="S194" s="307" t="n"/>
      <c r="T194" s="307" t="n"/>
      <c r="U194" s="307" t="n"/>
      <c r="V194" s="307" t="n"/>
      <c r="W194" s="307" t="n"/>
      <c r="X194" s="307" t="n"/>
      <c r="Y194" s="307" t="n"/>
      <c r="Z194" s="307" t="n"/>
      <c r="AA194" s="307" t="n"/>
      <c r="AB194" s="307" t="n"/>
      <c r="AC194" s="307" t="n"/>
      <c r="AD194" s="307" t="n"/>
      <c r="AE194" s="307" t="n"/>
      <c r="AF194" s="307" t="n"/>
      <c r="AG194" s="307" t="n"/>
      <c r="AH194" s="307" t="n"/>
      <c r="AI194" s="307" t="n"/>
      <c r="AJ194" s="307" t="n"/>
      <c r="AK194" s="307" t="n"/>
      <c r="AL194" s="307" t="n"/>
      <c r="AM194" s="307" t="n"/>
      <c r="AN194" s="307" t="n"/>
      <c r="AO194" s="307" t="n"/>
      <c r="AP194" s="307" t="n"/>
      <c r="AQ194" s="307" t="n"/>
      <c r="AR194" s="307" t="n"/>
      <c r="AS194" s="307" t="n"/>
      <c r="AT194" s="307" t="n"/>
      <c r="AU194" s="307" t="n"/>
      <c r="AV194" s="307" t="n"/>
      <c r="AW194" s="307" t="n"/>
      <c r="AX194" s="307" t="n"/>
      <c r="AY194" s="307" t="n"/>
      <c r="AZ194" s="307" t="n"/>
      <c r="BA194" s="31" t="n"/>
      <c r="BB194" s="307" t="n"/>
      <c r="BC194" s="307" t="n"/>
      <c r="BD194" s="307" t="n"/>
      <c r="BE194" s="307" t="n"/>
      <c r="BF194" s="307" t="n"/>
      <c r="BG194" s="31" t="n"/>
      <c r="BH194" s="31" t="n"/>
      <c r="BI194" s="31" t="n"/>
      <c r="BJ194" s="31" t="n"/>
    </row>
    <row r="195" ht="15.75" customHeight="1" s="349">
      <c r="A195" s="31" t="n"/>
      <c r="B195" s="307" t="n"/>
      <c r="C195" s="307" t="n"/>
      <c r="D195" s="307" t="n"/>
      <c r="E195" s="307" t="n"/>
      <c r="F195" s="307" t="n"/>
      <c r="G195" s="307" t="n"/>
      <c r="H195" s="307" t="n"/>
      <c r="I195" s="307" t="n"/>
      <c r="J195" s="307" t="n"/>
      <c r="K195" s="307" t="n"/>
      <c r="L195" s="307" t="n"/>
      <c r="M195" s="307" t="n"/>
      <c r="N195" s="307" t="n"/>
      <c r="O195" s="307" t="n"/>
      <c r="P195" s="307" t="n"/>
      <c r="Q195" s="307" t="n"/>
      <c r="R195" s="307" t="n"/>
      <c r="S195" s="307" t="n"/>
      <c r="T195" s="307" t="n"/>
      <c r="U195" s="307" t="n"/>
      <c r="V195" s="307" t="n"/>
      <c r="W195" s="307" t="n"/>
      <c r="X195" s="307" t="n"/>
      <c r="Y195" s="307" t="n"/>
      <c r="Z195" s="307" t="n"/>
      <c r="AA195" s="307" t="n"/>
      <c r="AB195" s="307" t="n"/>
      <c r="AC195" s="307" t="n"/>
      <c r="AD195" s="307" t="n"/>
      <c r="AE195" s="307" t="n"/>
      <c r="AF195" s="307" t="n"/>
      <c r="AG195" s="307" t="n"/>
      <c r="AH195" s="307" t="n"/>
      <c r="AI195" s="307" t="n"/>
      <c r="AJ195" s="307" t="n"/>
      <c r="AK195" s="307" t="n"/>
      <c r="AL195" s="307" t="n"/>
      <c r="AM195" s="307" t="n"/>
      <c r="AN195" s="307" t="n"/>
      <c r="AO195" s="307" t="n"/>
      <c r="AP195" s="307" t="n"/>
      <c r="AQ195" s="307" t="n"/>
      <c r="AR195" s="307" t="n"/>
      <c r="AS195" s="307" t="n"/>
      <c r="AT195" s="307" t="n"/>
      <c r="AU195" s="307" t="n"/>
      <c r="AV195" s="307" t="n"/>
      <c r="AW195" s="307" t="n"/>
      <c r="AX195" s="307" t="n"/>
      <c r="AY195" s="307" t="n"/>
      <c r="AZ195" s="307" t="n"/>
      <c r="BA195" s="31" t="n"/>
      <c r="BB195" s="307" t="n"/>
      <c r="BC195" s="307" t="n"/>
      <c r="BD195" s="307" t="n"/>
      <c r="BE195" s="307" t="n"/>
      <c r="BF195" s="307" t="n"/>
      <c r="BG195" s="31" t="n"/>
      <c r="BH195" s="31" t="n"/>
      <c r="BI195" s="31" t="n"/>
      <c r="BJ195" s="31" t="n"/>
    </row>
    <row r="196" ht="15.75" customHeight="1" s="349">
      <c r="A196" s="31" t="n"/>
      <c r="B196" s="307" t="n"/>
      <c r="C196" s="307" t="n"/>
      <c r="D196" s="307" t="n"/>
      <c r="E196" s="307" t="n"/>
      <c r="F196" s="307" t="n"/>
      <c r="G196" s="307" t="n"/>
      <c r="H196" s="307" t="n"/>
      <c r="I196" s="307" t="n"/>
      <c r="J196" s="307" t="n"/>
      <c r="K196" s="307" t="n"/>
      <c r="L196" s="307" t="n"/>
      <c r="M196" s="307" t="n"/>
      <c r="N196" s="307" t="n"/>
      <c r="O196" s="307" t="n"/>
      <c r="P196" s="307" t="n"/>
      <c r="Q196" s="307" t="n"/>
      <c r="R196" s="307" t="n"/>
      <c r="S196" s="307" t="n"/>
      <c r="T196" s="307" t="n"/>
      <c r="U196" s="307" t="n"/>
      <c r="V196" s="307" t="n"/>
      <c r="W196" s="307" t="n"/>
      <c r="X196" s="307" t="n"/>
      <c r="Y196" s="307" t="n"/>
      <c r="Z196" s="307" t="n"/>
      <c r="AA196" s="307" t="n"/>
      <c r="AB196" s="307" t="n"/>
      <c r="AC196" s="307" t="n"/>
      <c r="AD196" s="307" t="n"/>
      <c r="AE196" s="307" t="n"/>
      <c r="AF196" s="307" t="n"/>
      <c r="AG196" s="307" t="n"/>
      <c r="AH196" s="307" t="n"/>
      <c r="AI196" s="307" t="n"/>
      <c r="AJ196" s="307" t="n"/>
      <c r="AK196" s="307" t="n"/>
      <c r="AL196" s="307" t="n"/>
      <c r="AM196" s="307" t="n"/>
      <c r="AN196" s="307" t="n"/>
      <c r="AO196" s="307" t="n"/>
      <c r="AP196" s="307" t="n"/>
      <c r="AQ196" s="307" t="n"/>
      <c r="AR196" s="307" t="n"/>
      <c r="AS196" s="307" t="n"/>
      <c r="AT196" s="307" t="n"/>
      <c r="AU196" s="307" t="n"/>
      <c r="AV196" s="307" t="n"/>
      <c r="AW196" s="307" t="n"/>
      <c r="AX196" s="307" t="n"/>
      <c r="AY196" s="307" t="n"/>
      <c r="AZ196" s="307" t="n"/>
      <c r="BA196" s="31" t="n"/>
      <c r="BB196" s="307" t="n"/>
      <c r="BC196" s="307" t="n"/>
      <c r="BD196" s="307" t="n"/>
      <c r="BE196" s="307" t="n"/>
      <c r="BF196" s="307" t="n"/>
      <c r="BG196" s="31" t="n"/>
      <c r="BH196" s="31" t="n"/>
      <c r="BI196" s="31" t="n"/>
      <c r="BJ196" s="31" t="n"/>
    </row>
    <row r="197" ht="15.75" customHeight="1" s="349">
      <c r="A197" s="31" t="n"/>
      <c r="B197" s="307" t="n"/>
      <c r="C197" s="307" t="n"/>
      <c r="D197" s="307" t="n"/>
      <c r="E197" s="307" t="n"/>
      <c r="F197" s="307" t="n"/>
      <c r="G197" s="307" t="n"/>
      <c r="H197" s="307" t="n"/>
      <c r="I197" s="307" t="n"/>
      <c r="J197" s="307" t="n"/>
      <c r="K197" s="307" t="n"/>
      <c r="L197" s="307" t="n"/>
      <c r="M197" s="307" t="n"/>
      <c r="N197" s="307" t="n"/>
      <c r="O197" s="307" t="n"/>
      <c r="P197" s="307" t="n"/>
      <c r="Q197" s="307" t="n"/>
      <c r="R197" s="307" t="n"/>
      <c r="S197" s="307" t="n"/>
      <c r="T197" s="307" t="n"/>
      <c r="U197" s="307" t="n"/>
      <c r="V197" s="307" t="n"/>
      <c r="W197" s="307" t="n"/>
      <c r="X197" s="307" t="n"/>
      <c r="Y197" s="307" t="n"/>
      <c r="Z197" s="307" t="n"/>
      <c r="AA197" s="307" t="n"/>
      <c r="AB197" s="307" t="n"/>
      <c r="AC197" s="307" t="n"/>
      <c r="AD197" s="307" t="n"/>
      <c r="AE197" s="307" t="n"/>
      <c r="AF197" s="307" t="n"/>
      <c r="AG197" s="307" t="n"/>
      <c r="AH197" s="307" t="n"/>
      <c r="AI197" s="307" t="n"/>
      <c r="AJ197" s="307" t="n"/>
      <c r="AK197" s="307" t="n"/>
      <c r="AL197" s="307" t="n"/>
      <c r="AM197" s="307" t="n"/>
      <c r="AN197" s="307" t="n"/>
      <c r="AO197" s="307" t="n"/>
      <c r="AP197" s="307" t="n"/>
      <c r="AQ197" s="307" t="n"/>
      <c r="AR197" s="307" t="n"/>
      <c r="AS197" s="307" t="n"/>
      <c r="AT197" s="307" t="n"/>
      <c r="AU197" s="307" t="n"/>
      <c r="AV197" s="307" t="n"/>
      <c r="AW197" s="307" t="n"/>
      <c r="AX197" s="307" t="n"/>
      <c r="AY197" s="307" t="n"/>
      <c r="AZ197" s="307" t="n"/>
      <c r="BA197" s="31" t="n"/>
      <c r="BB197" s="307" t="n"/>
      <c r="BC197" s="307" t="n"/>
      <c r="BD197" s="307" t="n"/>
      <c r="BE197" s="307" t="n"/>
      <c r="BF197" s="307" t="n"/>
      <c r="BG197" s="31" t="n"/>
      <c r="BH197" s="31" t="n"/>
      <c r="BI197" s="31" t="n"/>
      <c r="BJ197" s="31" t="n"/>
    </row>
    <row r="198" ht="15.75" customHeight="1" s="349">
      <c r="A198" s="31" t="n"/>
      <c r="B198" s="307" t="n"/>
      <c r="C198" s="307" t="n"/>
      <c r="D198" s="307" t="n"/>
      <c r="E198" s="307" t="n"/>
      <c r="F198" s="307" t="n"/>
      <c r="G198" s="307" t="n"/>
      <c r="H198" s="307" t="n"/>
      <c r="I198" s="307" t="n"/>
      <c r="J198" s="307" t="n"/>
      <c r="K198" s="307" t="n"/>
      <c r="L198" s="307" t="n"/>
      <c r="M198" s="307" t="n"/>
      <c r="N198" s="307" t="n"/>
      <c r="O198" s="307" t="n"/>
      <c r="P198" s="307" t="n"/>
      <c r="Q198" s="307" t="n"/>
      <c r="R198" s="307" t="n"/>
      <c r="S198" s="307" t="n"/>
      <c r="T198" s="307" t="n"/>
      <c r="U198" s="307" t="n"/>
      <c r="V198" s="307" t="n"/>
      <c r="W198" s="307" t="n"/>
      <c r="X198" s="307" t="n"/>
      <c r="Y198" s="307" t="n"/>
      <c r="Z198" s="307" t="n"/>
      <c r="AA198" s="307" t="n"/>
      <c r="AB198" s="307" t="n"/>
      <c r="AC198" s="307" t="n"/>
      <c r="AD198" s="307" t="n"/>
      <c r="AE198" s="307" t="n"/>
      <c r="AF198" s="307" t="n"/>
      <c r="AG198" s="307" t="n"/>
      <c r="AH198" s="307" t="n"/>
      <c r="AI198" s="307" t="n"/>
      <c r="AJ198" s="307" t="n"/>
      <c r="AK198" s="307" t="n"/>
      <c r="AL198" s="307" t="n"/>
      <c r="AM198" s="307" t="n"/>
      <c r="AN198" s="307" t="n"/>
      <c r="AO198" s="307" t="n"/>
      <c r="AP198" s="307" t="n"/>
      <c r="AQ198" s="307" t="n"/>
      <c r="AR198" s="307" t="n"/>
      <c r="AS198" s="307" t="n"/>
      <c r="AT198" s="307" t="n"/>
      <c r="AU198" s="307" t="n"/>
      <c r="AV198" s="307" t="n"/>
      <c r="AW198" s="307" t="n"/>
      <c r="AX198" s="307" t="n"/>
      <c r="AY198" s="307" t="n"/>
      <c r="AZ198" s="307" t="n"/>
      <c r="BA198" s="31" t="n"/>
      <c r="BB198" s="307" t="n"/>
      <c r="BC198" s="307" t="n"/>
      <c r="BD198" s="307" t="n"/>
      <c r="BE198" s="307" t="n"/>
      <c r="BF198" s="307" t="n"/>
      <c r="BG198" s="31" t="n"/>
      <c r="BH198" s="31" t="n"/>
      <c r="BI198" s="31" t="n"/>
      <c r="BJ198" s="31" t="n"/>
    </row>
    <row r="199" ht="15.75" customHeight="1" s="349">
      <c r="A199" s="31" t="n"/>
      <c r="B199" s="307" t="n"/>
      <c r="C199" s="307" t="n"/>
      <c r="D199" s="307" t="n"/>
      <c r="E199" s="307" t="n"/>
      <c r="F199" s="307" t="n"/>
      <c r="G199" s="307" t="n"/>
      <c r="H199" s="307" t="n"/>
      <c r="I199" s="307" t="n"/>
      <c r="J199" s="307" t="n"/>
      <c r="K199" s="307" t="n"/>
      <c r="L199" s="307" t="n"/>
      <c r="M199" s="307" t="n"/>
      <c r="N199" s="307" t="n"/>
      <c r="O199" s="307" t="n"/>
      <c r="P199" s="307" t="n"/>
      <c r="Q199" s="307" t="n"/>
      <c r="R199" s="307" t="n"/>
      <c r="S199" s="307" t="n"/>
      <c r="T199" s="307" t="n"/>
      <c r="U199" s="307" t="n"/>
      <c r="V199" s="307" t="n"/>
      <c r="W199" s="307" t="n"/>
      <c r="X199" s="307" t="n"/>
      <c r="Y199" s="307" t="n"/>
      <c r="Z199" s="307" t="n"/>
      <c r="AA199" s="307" t="n"/>
      <c r="AB199" s="307" t="n"/>
      <c r="AC199" s="307" t="n"/>
      <c r="AD199" s="307" t="n"/>
      <c r="AE199" s="307" t="n"/>
      <c r="AF199" s="307" t="n"/>
      <c r="AG199" s="307" t="n"/>
      <c r="AH199" s="307" t="n"/>
      <c r="AI199" s="307" t="n"/>
      <c r="AJ199" s="307" t="n"/>
      <c r="AK199" s="307" t="n"/>
      <c r="AL199" s="307" t="n"/>
      <c r="AM199" s="307" t="n"/>
      <c r="AN199" s="307" t="n"/>
      <c r="AO199" s="307" t="n"/>
      <c r="AP199" s="307" t="n"/>
      <c r="AQ199" s="307" t="n"/>
      <c r="AR199" s="307" t="n"/>
      <c r="AS199" s="307" t="n"/>
      <c r="AT199" s="307" t="n"/>
      <c r="AU199" s="307" t="n"/>
      <c r="AV199" s="307" t="n"/>
      <c r="AW199" s="307" t="n"/>
      <c r="AX199" s="307" t="n"/>
      <c r="AY199" s="307" t="n"/>
      <c r="AZ199" s="307" t="n"/>
      <c r="BA199" s="31" t="n"/>
      <c r="BB199" s="307" t="n"/>
      <c r="BC199" s="307" t="n"/>
      <c r="BD199" s="307" t="n"/>
      <c r="BE199" s="307" t="n"/>
      <c r="BF199" s="307" t="n"/>
      <c r="BG199" s="31" t="n"/>
      <c r="BH199" s="31" t="n"/>
      <c r="BI199" s="31" t="n"/>
      <c r="BJ199" s="31" t="n"/>
    </row>
    <row r="200" ht="15.75" customHeight="1" s="349">
      <c r="A200" s="31" t="n"/>
      <c r="B200" s="307" t="n"/>
      <c r="C200" s="307" t="n"/>
      <c r="D200" s="307" t="n"/>
      <c r="E200" s="307" t="n"/>
      <c r="F200" s="307" t="n"/>
      <c r="G200" s="307" t="n"/>
      <c r="H200" s="307" t="n"/>
      <c r="I200" s="307" t="n"/>
      <c r="J200" s="307" t="n"/>
      <c r="K200" s="307" t="n"/>
      <c r="L200" s="307" t="n"/>
      <c r="M200" s="307" t="n"/>
      <c r="N200" s="307" t="n"/>
      <c r="O200" s="307" t="n"/>
      <c r="P200" s="307" t="n"/>
      <c r="Q200" s="307" t="n"/>
      <c r="R200" s="307" t="n"/>
      <c r="S200" s="307" t="n"/>
      <c r="T200" s="307" t="n"/>
      <c r="U200" s="307" t="n"/>
      <c r="V200" s="307" t="n"/>
      <c r="W200" s="307" t="n"/>
      <c r="X200" s="307" t="n"/>
      <c r="Y200" s="307" t="n"/>
      <c r="Z200" s="307" t="n"/>
      <c r="AA200" s="307" t="n"/>
      <c r="AB200" s="307" t="n"/>
      <c r="AC200" s="307" t="n"/>
      <c r="AD200" s="307" t="n"/>
      <c r="AE200" s="307" t="n"/>
      <c r="AF200" s="307" t="n"/>
      <c r="AG200" s="307" t="n"/>
      <c r="AH200" s="307" t="n"/>
      <c r="AI200" s="307" t="n"/>
      <c r="AJ200" s="307" t="n"/>
      <c r="AK200" s="307" t="n"/>
      <c r="AL200" s="307" t="n"/>
      <c r="AM200" s="307" t="n"/>
      <c r="AN200" s="307" t="n"/>
      <c r="AO200" s="307" t="n"/>
      <c r="AP200" s="307" t="n"/>
      <c r="AQ200" s="307" t="n"/>
      <c r="AR200" s="307" t="n"/>
      <c r="AS200" s="307" t="n"/>
      <c r="AT200" s="307" t="n"/>
      <c r="AU200" s="307" t="n"/>
      <c r="AV200" s="307" t="n"/>
      <c r="AW200" s="307" t="n"/>
      <c r="AX200" s="307" t="n"/>
      <c r="AY200" s="307" t="n"/>
      <c r="AZ200" s="307" t="n"/>
      <c r="BA200" s="31" t="n"/>
      <c r="BB200" s="307" t="n"/>
      <c r="BC200" s="307" t="n"/>
      <c r="BD200" s="307" t="n"/>
      <c r="BE200" s="307" t="n"/>
      <c r="BF200" s="307" t="n"/>
      <c r="BG200" s="31" t="n"/>
      <c r="BH200" s="31" t="n"/>
      <c r="BI200" s="31" t="n"/>
      <c r="BJ200" s="31" t="n"/>
    </row>
    <row r="201" ht="15.75" customHeight="1" s="349">
      <c r="A201" s="31" t="n"/>
      <c r="B201" s="307" t="n"/>
      <c r="C201" s="307" t="n"/>
      <c r="D201" s="307" t="n"/>
      <c r="E201" s="307" t="n"/>
      <c r="F201" s="307" t="n"/>
      <c r="G201" s="307" t="n"/>
      <c r="H201" s="307" t="n"/>
      <c r="I201" s="307" t="n"/>
      <c r="J201" s="307" t="n"/>
      <c r="K201" s="307" t="n"/>
      <c r="L201" s="307" t="n"/>
      <c r="M201" s="307" t="n"/>
      <c r="N201" s="307" t="n"/>
      <c r="O201" s="307" t="n"/>
      <c r="P201" s="307" t="n"/>
      <c r="Q201" s="307" t="n"/>
      <c r="R201" s="307" t="n"/>
      <c r="S201" s="307" t="n"/>
      <c r="T201" s="307" t="n"/>
      <c r="U201" s="307" t="n"/>
      <c r="V201" s="307" t="n"/>
      <c r="W201" s="307" t="n"/>
      <c r="X201" s="307" t="n"/>
      <c r="Y201" s="307" t="n"/>
      <c r="Z201" s="307" t="n"/>
      <c r="AA201" s="307" t="n"/>
      <c r="AB201" s="307" t="n"/>
      <c r="AC201" s="307" t="n"/>
      <c r="AD201" s="307" t="n"/>
      <c r="AE201" s="307" t="n"/>
      <c r="AF201" s="307" t="n"/>
      <c r="AG201" s="307" t="n"/>
      <c r="AH201" s="307" t="n"/>
      <c r="AI201" s="307" t="n"/>
      <c r="AJ201" s="307" t="n"/>
      <c r="AK201" s="307" t="n"/>
      <c r="AL201" s="307" t="n"/>
      <c r="AM201" s="307" t="n"/>
      <c r="AN201" s="307" t="n"/>
      <c r="AO201" s="307" t="n"/>
      <c r="AP201" s="307" t="n"/>
      <c r="AQ201" s="307" t="n"/>
      <c r="AR201" s="307" t="n"/>
      <c r="AS201" s="307" t="n"/>
      <c r="AT201" s="307" t="n"/>
      <c r="AU201" s="307" t="n"/>
      <c r="AV201" s="307" t="n"/>
      <c r="AW201" s="307" t="n"/>
      <c r="AX201" s="307" t="n"/>
      <c r="AY201" s="307" t="n"/>
      <c r="AZ201" s="307" t="n"/>
      <c r="BA201" s="31" t="n"/>
      <c r="BB201" s="307" t="n"/>
      <c r="BC201" s="307" t="n"/>
      <c r="BD201" s="307" t="n"/>
      <c r="BE201" s="307" t="n"/>
      <c r="BF201" s="307" t="n"/>
      <c r="BG201" s="31" t="n"/>
      <c r="BH201" s="31" t="n"/>
      <c r="BI201" s="31" t="n"/>
      <c r="BJ201" s="31" t="n"/>
    </row>
    <row r="202" ht="15.75" customHeight="1" s="349">
      <c r="A202" s="31" t="n"/>
      <c r="B202" s="307" t="n"/>
      <c r="C202" s="307" t="n"/>
      <c r="D202" s="307" t="n"/>
      <c r="E202" s="307" t="n"/>
      <c r="F202" s="307" t="n"/>
      <c r="G202" s="307" t="n"/>
      <c r="H202" s="307" t="n"/>
      <c r="I202" s="307" t="n"/>
      <c r="J202" s="307" t="n"/>
      <c r="K202" s="307" t="n"/>
      <c r="L202" s="307" t="n"/>
      <c r="M202" s="307" t="n"/>
      <c r="N202" s="307" t="n"/>
      <c r="O202" s="307" t="n"/>
      <c r="P202" s="307" t="n"/>
      <c r="Q202" s="307" t="n"/>
      <c r="R202" s="307" t="n"/>
      <c r="S202" s="307" t="n"/>
      <c r="T202" s="307" t="n"/>
      <c r="U202" s="307" t="n"/>
      <c r="V202" s="307" t="n"/>
      <c r="W202" s="307" t="n"/>
      <c r="X202" s="307" t="n"/>
      <c r="Y202" s="307" t="n"/>
      <c r="Z202" s="307" t="n"/>
      <c r="AA202" s="307" t="n"/>
      <c r="AB202" s="307" t="n"/>
      <c r="AC202" s="307" t="n"/>
      <c r="AD202" s="307" t="n"/>
      <c r="AE202" s="307" t="n"/>
      <c r="AF202" s="307" t="n"/>
      <c r="AG202" s="307" t="n"/>
      <c r="AH202" s="307" t="n"/>
      <c r="AI202" s="307" t="n"/>
      <c r="AJ202" s="307" t="n"/>
      <c r="AK202" s="307" t="n"/>
      <c r="AL202" s="307" t="n"/>
      <c r="AM202" s="307" t="n"/>
      <c r="AN202" s="307" t="n"/>
      <c r="AO202" s="307" t="n"/>
      <c r="AP202" s="307" t="n"/>
      <c r="AQ202" s="307" t="n"/>
      <c r="AR202" s="307" t="n"/>
      <c r="AS202" s="307" t="n"/>
      <c r="AT202" s="307" t="n"/>
      <c r="AU202" s="307" t="n"/>
      <c r="AV202" s="307" t="n"/>
      <c r="AW202" s="307" t="n"/>
      <c r="AX202" s="307" t="n"/>
      <c r="AY202" s="307" t="n"/>
      <c r="AZ202" s="307" t="n"/>
      <c r="BA202" s="31" t="n"/>
      <c r="BB202" s="307" t="n"/>
      <c r="BC202" s="307" t="n"/>
      <c r="BD202" s="307" t="n"/>
      <c r="BE202" s="307" t="n"/>
      <c r="BF202" s="307" t="n"/>
      <c r="BG202" s="31" t="n"/>
      <c r="BH202" s="31" t="n"/>
      <c r="BI202" s="31" t="n"/>
      <c r="BJ202" s="31" t="n"/>
    </row>
    <row r="203" ht="15.75" customHeight="1" s="349">
      <c r="A203" s="31" t="n"/>
      <c r="B203" s="307" t="n"/>
      <c r="C203" s="307" t="n"/>
      <c r="D203" s="307" t="n"/>
      <c r="E203" s="307" t="n"/>
      <c r="F203" s="307" t="n"/>
      <c r="G203" s="307" t="n"/>
      <c r="H203" s="307" t="n"/>
      <c r="I203" s="307" t="n"/>
      <c r="J203" s="307" t="n"/>
      <c r="K203" s="307" t="n"/>
      <c r="L203" s="307" t="n"/>
      <c r="M203" s="307" t="n"/>
      <c r="N203" s="307" t="n"/>
      <c r="O203" s="307" t="n"/>
      <c r="P203" s="307" t="n"/>
      <c r="Q203" s="307" t="n"/>
      <c r="R203" s="307" t="n"/>
      <c r="S203" s="307" t="n"/>
      <c r="T203" s="307" t="n"/>
      <c r="U203" s="307" t="n"/>
      <c r="V203" s="307" t="n"/>
      <c r="W203" s="307" t="n"/>
      <c r="X203" s="307" t="n"/>
      <c r="Y203" s="307" t="n"/>
      <c r="Z203" s="307" t="n"/>
      <c r="AA203" s="307" t="n"/>
      <c r="AB203" s="307" t="n"/>
      <c r="AC203" s="307" t="n"/>
      <c r="AD203" s="307" t="n"/>
      <c r="AE203" s="307" t="n"/>
      <c r="AF203" s="307" t="n"/>
      <c r="AG203" s="307" t="n"/>
      <c r="AH203" s="307" t="n"/>
      <c r="AI203" s="307" t="n"/>
      <c r="AJ203" s="307" t="n"/>
      <c r="AK203" s="307" t="n"/>
      <c r="AL203" s="307" t="n"/>
      <c r="AM203" s="307" t="n"/>
      <c r="AN203" s="307" t="n"/>
      <c r="AO203" s="307" t="n"/>
      <c r="AP203" s="307" t="n"/>
      <c r="AQ203" s="307" t="n"/>
      <c r="AR203" s="307" t="n"/>
      <c r="AS203" s="307" t="n"/>
      <c r="AT203" s="307" t="n"/>
      <c r="AU203" s="307" t="n"/>
      <c r="AV203" s="307" t="n"/>
      <c r="AW203" s="307" t="n"/>
      <c r="AX203" s="307" t="n"/>
      <c r="AY203" s="307" t="n"/>
      <c r="AZ203" s="307" t="n"/>
      <c r="BA203" s="31" t="n"/>
      <c r="BB203" s="307" t="n"/>
      <c r="BC203" s="307" t="n"/>
      <c r="BD203" s="307" t="n"/>
      <c r="BE203" s="307" t="n"/>
      <c r="BF203" s="307" t="n"/>
      <c r="BG203" s="31" t="n"/>
      <c r="BH203" s="31" t="n"/>
      <c r="BI203" s="31" t="n"/>
      <c r="BJ203" s="31" t="n"/>
    </row>
    <row r="204" ht="15.75" customHeight="1" s="349">
      <c r="A204" s="31" t="n"/>
      <c r="B204" s="307" t="n"/>
      <c r="C204" s="307" t="n"/>
      <c r="D204" s="307" t="n"/>
      <c r="E204" s="307" t="n"/>
      <c r="F204" s="307" t="n"/>
      <c r="G204" s="307" t="n"/>
      <c r="H204" s="307" t="n"/>
      <c r="I204" s="307" t="n"/>
      <c r="J204" s="307" t="n"/>
      <c r="K204" s="307" t="n"/>
      <c r="L204" s="307" t="n"/>
      <c r="M204" s="307" t="n"/>
      <c r="N204" s="307" t="n"/>
      <c r="O204" s="307" t="n"/>
      <c r="P204" s="307" t="n"/>
      <c r="Q204" s="307" t="n"/>
      <c r="R204" s="307" t="n"/>
      <c r="S204" s="307" t="n"/>
      <c r="T204" s="307" t="n"/>
      <c r="U204" s="307" t="n"/>
      <c r="V204" s="307" t="n"/>
      <c r="W204" s="307" t="n"/>
      <c r="X204" s="307" t="n"/>
      <c r="Y204" s="307" t="n"/>
      <c r="Z204" s="307" t="n"/>
      <c r="AA204" s="307" t="n"/>
      <c r="AB204" s="307" t="n"/>
      <c r="AC204" s="307" t="n"/>
      <c r="AD204" s="307" t="n"/>
      <c r="AE204" s="307" t="n"/>
      <c r="AF204" s="307" t="n"/>
      <c r="AG204" s="307" t="n"/>
      <c r="AH204" s="307" t="n"/>
      <c r="AI204" s="307" t="n"/>
      <c r="AJ204" s="307" t="n"/>
      <c r="AK204" s="307" t="n"/>
      <c r="AL204" s="307" t="n"/>
      <c r="AM204" s="307" t="n"/>
      <c r="AN204" s="307" t="n"/>
      <c r="AO204" s="307" t="n"/>
      <c r="AP204" s="307" t="n"/>
      <c r="AQ204" s="307" t="n"/>
      <c r="AR204" s="307" t="n"/>
      <c r="AS204" s="307" t="n"/>
      <c r="AT204" s="307" t="n"/>
      <c r="AU204" s="307" t="n"/>
      <c r="AV204" s="307" t="n"/>
      <c r="AW204" s="307" t="n"/>
      <c r="AX204" s="307" t="n"/>
      <c r="AY204" s="307" t="n"/>
      <c r="AZ204" s="307" t="n"/>
      <c r="BA204" s="31" t="n"/>
      <c r="BB204" s="307" t="n"/>
      <c r="BC204" s="307" t="n"/>
      <c r="BD204" s="307" t="n"/>
      <c r="BE204" s="307" t="n"/>
      <c r="BF204" s="307" t="n"/>
      <c r="BG204" s="31" t="n"/>
      <c r="BH204" s="31" t="n"/>
      <c r="BI204" s="31" t="n"/>
      <c r="BJ204" s="31" t="n"/>
    </row>
    <row r="205" ht="15.75" customHeight="1" s="349">
      <c r="A205" s="31" t="n"/>
      <c r="B205" s="307" t="n"/>
      <c r="C205" s="307" t="n"/>
      <c r="D205" s="307" t="n"/>
      <c r="E205" s="307" t="n"/>
      <c r="F205" s="307" t="n"/>
      <c r="G205" s="307" t="n"/>
      <c r="H205" s="307" t="n"/>
      <c r="I205" s="307" t="n"/>
      <c r="J205" s="307" t="n"/>
      <c r="K205" s="307" t="n"/>
      <c r="L205" s="307" t="n"/>
      <c r="M205" s="307" t="n"/>
      <c r="N205" s="307" t="n"/>
      <c r="O205" s="307" t="n"/>
      <c r="P205" s="307" t="n"/>
      <c r="Q205" s="307" t="n"/>
      <c r="R205" s="307" t="n"/>
      <c r="S205" s="307" t="n"/>
      <c r="T205" s="307" t="n"/>
      <c r="U205" s="307" t="n"/>
      <c r="V205" s="307" t="n"/>
      <c r="W205" s="307" t="n"/>
      <c r="X205" s="307" t="n"/>
      <c r="Y205" s="307" t="n"/>
      <c r="Z205" s="307" t="n"/>
      <c r="AA205" s="307" t="n"/>
      <c r="AB205" s="307" t="n"/>
      <c r="AC205" s="307" t="n"/>
      <c r="AD205" s="307" t="n"/>
      <c r="AE205" s="307" t="n"/>
      <c r="AF205" s="307" t="n"/>
      <c r="AG205" s="307" t="n"/>
      <c r="AH205" s="307" t="n"/>
      <c r="AI205" s="307" t="n"/>
      <c r="AJ205" s="307" t="n"/>
      <c r="AK205" s="307" t="n"/>
      <c r="AL205" s="307" t="n"/>
      <c r="AM205" s="307" t="n"/>
      <c r="AN205" s="307" t="n"/>
      <c r="AO205" s="307" t="n"/>
      <c r="AP205" s="307" t="n"/>
      <c r="AQ205" s="307" t="n"/>
      <c r="AR205" s="307" t="n"/>
      <c r="AS205" s="307" t="n"/>
      <c r="AT205" s="307" t="n"/>
      <c r="AU205" s="307" t="n"/>
      <c r="AV205" s="307" t="n"/>
      <c r="AW205" s="307" t="n"/>
      <c r="AX205" s="307" t="n"/>
      <c r="AY205" s="307" t="n"/>
      <c r="AZ205" s="307" t="n"/>
      <c r="BA205" s="31" t="n"/>
      <c r="BB205" s="307" t="n"/>
      <c r="BC205" s="307" t="n"/>
      <c r="BD205" s="307" t="n"/>
      <c r="BE205" s="307" t="n"/>
      <c r="BF205" s="307" t="n"/>
      <c r="BG205" s="31" t="n"/>
      <c r="BH205" s="31" t="n"/>
      <c r="BI205" s="31" t="n"/>
      <c r="BJ205" s="31" t="n"/>
    </row>
    <row r="206" ht="15.75" customHeight="1" s="349">
      <c r="A206" s="31" t="n"/>
      <c r="B206" s="307" t="n"/>
      <c r="C206" s="307" t="n"/>
      <c r="D206" s="307" t="n"/>
      <c r="E206" s="307" t="n"/>
      <c r="F206" s="307" t="n"/>
      <c r="G206" s="307" t="n"/>
      <c r="H206" s="307" t="n"/>
      <c r="I206" s="307" t="n"/>
      <c r="J206" s="307" t="n"/>
      <c r="K206" s="307" t="n"/>
      <c r="L206" s="307" t="n"/>
      <c r="M206" s="307" t="n"/>
      <c r="N206" s="307" t="n"/>
      <c r="O206" s="307" t="n"/>
      <c r="P206" s="307" t="n"/>
      <c r="Q206" s="307" t="n"/>
      <c r="R206" s="307" t="n"/>
      <c r="S206" s="307" t="n"/>
      <c r="T206" s="307" t="n"/>
      <c r="U206" s="307" t="n"/>
      <c r="V206" s="307" t="n"/>
      <c r="W206" s="307" t="n"/>
      <c r="X206" s="307" t="n"/>
      <c r="Y206" s="307" t="n"/>
      <c r="Z206" s="307" t="n"/>
      <c r="AA206" s="307" t="n"/>
      <c r="AB206" s="307" t="n"/>
      <c r="AC206" s="307" t="n"/>
      <c r="AD206" s="307" t="n"/>
      <c r="AE206" s="307" t="n"/>
      <c r="AF206" s="307" t="n"/>
      <c r="AG206" s="307" t="n"/>
      <c r="AH206" s="307" t="n"/>
      <c r="AI206" s="307" t="n"/>
      <c r="AJ206" s="307" t="n"/>
      <c r="AK206" s="307" t="n"/>
      <c r="AL206" s="307" t="n"/>
      <c r="AM206" s="307" t="n"/>
      <c r="AN206" s="307" t="n"/>
      <c r="AO206" s="307" t="n"/>
      <c r="AP206" s="307" t="n"/>
      <c r="AQ206" s="307" t="n"/>
      <c r="AR206" s="307" t="n"/>
      <c r="AS206" s="307" t="n"/>
      <c r="AT206" s="307" t="n"/>
      <c r="AU206" s="307" t="n"/>
      <c r="AV206" s="307" t="n"/>
      <c r="AW206" s="307" t="n"/>
      <c r="AX206" s="307" t="n"/>
      <c r="AY206" s="307" t="n"/>
      <c r="AZ206" s="307" t="n"/>
      <c r="BA206" s="31" t="n"/>
      <c r="BB206" s="307" t="n"/>
      <c r="BC206" s="307" t="n"/>
      <c r="BD206" s="307" t="n"/>
      <c r="BE206" s="307" t="n"/>
      <c r="BF206" s="307" t="n"/>
      <c r="BG206" s="31" t="n"/>
      <c r="BH206" s="31" t="n"/>
      <c r="BI206" s="31" t="n"/>
      <c r="BJ206" s="31" t="n"/>
    </row>
    <row r="207" ht="15.75" customHeight="1" s="349">
      <c r="A207" s="31" t="n"/>
      <c r="B207" s="307" t="n"/>
      <c r="C207" s="307" t="n"/>
      <c r="D207" s="307" t="n"/>
      <c r="E207" s="307" t="n"/>
      <c r="F207" s="307" t="n"/>
      <c r="G207" s="307" t="n"/>
      <c r="H207" s="307" t="n"/>
      <c r="I207" s="307" t="n"/>
      <c r="J207" s="307" t="n"/>
      <c r="K207" s="307" t="n"/>
      <c r="L207" s="307" t="n"/>
      <c r="M207" s="307" t="n"/>
      <c r="N207" s="307" t="n"/>
      <c r="O207" s="307" t="n"/>
      <c r="P207" s="307" t="n"/>
      <c r="Q207" s="307" t="n"/>
      <c r="R207" s="307" t="n"/>
      <c r="S207" s="307" t="n"/>
      <c r="T207" s="307" t="n"/>
      <c r="U207" s="307" t="n"/>
      <c r="V207" s="307" t="n"/>
      <c r="W207" s="307" t="n"/>
      <c r="X207" s="307" t="n"/>
      <c r="Y207" s="307" t="n"/>
      <c r="Z207" s="307" t="n"/>
      <c r="AA207" s="307" t="n"/>
      <c r="AB207" s="307" t="n"/>
      <c r="AC207" s="307" t="n"/>
      <c r="AD207" s="307" t="n"/>
      <c r="AE207" s="307" t="n"/>
      <c r="AF207" s="307" t="n"/>
      <c r="AG207" s="307" t="n"/>
      <c r="AH207" s="307" t="n"/>
      <c r="AI207" s="307" t="n"/>
      <c r="AJ207" s="307" t="n"/>
      <c r="AK207" s="307" t="n"/>
      <c r="AL207" s="307" t="n"/>
      <c r="AM207" s="307" t="n"/>
      <c r="AN207" s="307" t="n"/>
      <c r="AO207" s="307" t="n"/>
      <c r="AP207" s="307" t="n"/>
      <c r="AQ207" s="307" t="n"/>
      <c r="AR207" s="307" t="n"/>
      <c r="AS207" s="307" t="n"/>
      <c r="AT207" s="307" t="n"/>
      <c r="AU207" s="307" t="n"/>
      <c r="AV207" s="307" t="n"/>
      <c r="AW207" s="307" t="n"/>
      <c r="AX207" s="307" t="n"/>
      <c r="AY207" s="307" t="n"/>
      <c r="AZ207" s="307" t="n"/>
      <c r="BA207" s="31" t="n"/>
      <c r="BB207" s="307" t="n"/>
      <c r="BC207" s="307" t="n"/>
      <c r="BD207" s="307" t="n"/>
      <c r="BE207" s="307" t="n"/>
      <c r="BF207" s="307" t="n"/>
      <c r="BG207" s="31" t="n"/>
      <c r="BH207" s="31" t="n"/>
      <c r="BI207" s="31" t="n"/>
      <c r="BJ207" s="31" t="n"/>
    </row>
    <row r="208" ht="15.75" customHeight="1" s="349">
      <c r="A208" s="31" t="n"/>
      <c r="B208" s="307" t="n"/>
      <c r="C208" s="307" t="n"/>
      <c r="D208" s="307" t="n"/>
      <c r="E208" s="307" t="n"/>
      <c r="F208" s="307" t="n"/>
      <c r="G208" s="307" t="n"/>
      <c r="H208" s="307" t="n"/>
      <c r="I208" s="307" t="n"/>
      <c r="J208" s="307" t="n"/>
      <c r="K208" s="307" t="n"/>
      <c r="L208" s="307" t="n"/>
      <c r="M208" s="307" t="n"/>
      <c r="N208" s="307" t="n"/>
      <c r="O208" s="307" t="n"/>
      <c r="P208" s="307" t="n"/>
      <c r="Q208" s="307" t="n"/>
      <c r="R208" s="307" t="n"/>
      <c r="S208" s="307" t="n"/>
      <c r="T208" s="307" t="n"/>
      <c r="U208" s="307" t="n"/>
      <c r="V208" s="307" t="n"/>
      <c r="W208" s="307" t="n"/>
      <c r="X208" s="307" t="n"/>
      <c r="Y208" s="307" t="n"/>
      <c r="Z208" s="307" t="n"/>
      <c r="AA208" s="307" t="n"/>
      <c r="AB208" s="307" t="n"/>
      <c r="AC208" s="307" t="n"/>
      <c r="AD208" s="307" t="n"/>
      <c r="AE208" s="307" t="n"/>
      <c r="AF208" s="307" t="n"/>
      <c r="AG208" s="307" t="n"/>
      <c r="AH208" s="307" t="n"/>
      <c r="AI208" s="307" t="n"/>
      <c r="AJ208" s="307" t="n"/>
      <c r="AK208" s="307" t="n"/>
      <c r="AL208" s="307" t="n"/>
      <c r="AM208" s="307" t="n"/>
      <c r="AN208" s="307" t="n"/>
      <c r="AO208" s="307" t="n"/>
      <c r="AP208" s="307" t="n"/>
      <c r="AQ208" s="307" t="n"/>
      <c r="AR208" s="307" t="n"/>
      <c r="AS208" s="307" t="n"/>
      <c r="AT208" s="307" t="n"/>
      <c r="AU208" s="307" t="n"/>
      <c r="AV208" s="307" t="n"/>
      <c r="AW208" s="307" t="n"/>
      <c r="AX208" s="307" t="n"/>
      <c r="AY208" s="307" t="n"/>
      <c r="AZ208" s="307" t="n"/>
      <c r="BA208" s="31" t="n"/>
      <c r="BB208" s="307" t="n"/>
      <c r="BC208" s="307" t="n"/>
      <c r="BD208" s="307" t="n"/>
      <c r="BE208" s="307" t="n"/>
      <c r="BF208" s="307" t="n"/>
      <c r="BG208" s="31" t="n"/>
      <c r="BH208" s="31" t="n"/>
      <c r="BI208" s="31" t="n"/>
      <c r="BJ208" s="31" t="n"/>
    </row>
    <row r="209" ht="15.75" customHeight="1" s="349">
      <c r="A209" s="31" t="n"/>
      <c r="B209" s="307" t="n"/>
      <c r="C209" s="307" t="n"/>
      <c r="D209" s="307" t="n"/>
      <c r="E209" s="307" t="n"/>
      <c r="F209" s="307" t="n"/>
      <c r="G209" s="307" t="n"/>
      <c r="H209" s="307" t="n"/>
      <c r="I209" s="307" t="n"/>
      <c r="J209" s="307" t="n"/>
      <c r="K209" s="307" t="n"/>
      <c r="L209" s="307" t="n"/>
      <c r="M209" s="307" t="n"/>
      <c r="N209" s="307" t="n"/>
      <c r="O209" s="307" t="n"/>
      <c r="P209" s="307" t="n"/>
      <c r="Q209" s="307" t="n"/>
      <c r="R209" s="307" t="n"/>
      <c r="S209" s="307" t="n"/>
      <c r="T209" s="307" t="n"/>
      <c r="U209" s="307" t="n"/>
      <c r="V209" s="307" t="n"/>
      <c r="W209" s="307" t="n"/>
      <c r="X209" s="307" t="n"/>
      <c r="Y209" s="307" t="n"/>
      <c r="Z209" s="307" t="n"/>
      <c r="AA209" s="307" t="n"/>
      <c r="AB209" s="307" t="n"/>
      <c r="AC209" s="307" t="n"/>
      <c r="AD209" s="307" t="n"/>
      <c r="AE209" s="307" t="n"/>
      <c r="AF209" s="307" t="n"/>
      <c r="AG209" s="307" t="n"/>
      <c r="AH209" s="307" t="n"/>
      <c r="AI209" s="307" t="n"/>
      <c r="AJ209" s="307" t="n"/>
      <c r="AK209" s="307" t="n"/>
      <c r="AL209" s="307" t="n"/>
      <c r="AM209" s="307" t="n"/>
      <c r="AN209" s="307" t="n"/>
      <c r="AO209" s="307" t="n"/>
      <c r="AP209" s="307" t="n"/>
      <c r="AQ209" s="307" t="n"/>
      <c r="AR209" s="307" t="n"/>
      <c r="AS209" s="307" t="n"/>
      <c r="AT209" s="307" t="n"/>
      <c r="AU209" s="307" t="n"/>
      <c r="AV209" s="307" t="n"/>
      <c r="AW209" s="307" t="n"/>
      <c r="AX209" s="307" t="n"/>
      <c r="AY209" s="307" t="n"/>
      <c r="AZ209" s="307" t="n"/>
      <c r="BA209" s="31" t="n"/>
      <c r="BB209" s="307" t="n"/>
      <c r="BC209" s="307" t="n"/>
      <c r="BD209" s="307" t="n"/>
      <c r="BE209" s="307" t="n"/>
      <c r="BF209" s="307" t="n"/>
      <c r="BG209" s="31" t="n"/>
      <c r="BH209" s="31" t="n"/>
      <c r="BI209" s="31" t="n"/>
      <c r="BJ209" s="31" t="n"/>
    </row>
    <row r="210" ht="15.75" customHeight="1" s="349">
      <c r="A210" s="31" t="n"/>
      <c r="B210" s="307" t="n"/>
      <c r="C210" s="307" t="n"/>
      <c r="D210" s="307" t="n"/>
      <c r="E210" s="307" t="n"/>
      <c r="F210" s="307" t="n"/>
      <c r="G210" s="307" t="n"/>
      <c r="H210" s="307" t="n"/>
      <c r="I210" s="307" t="n"/>
      <c r="J210" s="307" t="n"/>
      <c r="K210" s="307" t="n"/>
      <c r="L210" s="307" t="n"/>
      <c r="M210" s="307" t="n"/>
      <c r="N210" s="307" t="n"/>
      <c r="O210" s="307" t="n"/>
      <c r="P210" s="307" t="n"/>
      <c r="Q210" s="307" t="n"/>
      <c r="R210" s="307" t="n"/>
      <c r="S210" s="307" t="n"/>
      <c r="T210" s="307" t="n"/>
      <c r="U210" s="307" t="n"/>
      <c r="V210" s="307" t="n"/>
      <c r="W210" s="307" t="n"/>
      <c r="X210" s="307" t="n"/>
      <c r="Y210" s="307" t="n"/>
      <c r="Z210" s="307" t="n"/>
      <c r="AA210" s="307" t="n"/>
      <c r="AB210" s="307" t="n"/>
      <c r="AC210" s="307" t="n"/>
      <c r="AD210" s="307" t="n"/>
      <c r="AE210" s="307" t="n"/>
      <c r="AF210" s="307" t="n"/>
      <c r="AG210" s="307" t="n"/>
      <c r="AH210" s="307" t="n"/>
      <c r="AI210" s="307" t="n"/>
      <c r="AJ210" s="307" t="n"/>
      <c r="AK210" s="307" t="n"/>
      <c r="AL210" s="307" t="n"/>
      <c r="AM210" s="307" t="n"/>
      <c r="AN210" s="307" t="n"/>
      <c r="AO210" s="307" t="n"/>
      <c r="AP210" s="307" t="n"/>
      <c r="AQ210" s="307" t="n"/>
      <c r="AR210" s="307" t="n"/>
      <c r="AS210" s="307" t="n"/>
      <c r="AT210" s="307" t="n"/>
      <c r="AU210" s="307" t="n"/>
      <c r="AV210" s="307" t="n"/>
      <c r="AW210" s="307" t="n"/>
      <c r="AX210" s="307" t="n"/>
      <c r="AY210" s="307" t="n"/>
      <c r="AZ210" s="307" t="n"/>
      <c r="BA210" s="31" t="n"/>
      <c r="BB210" s="307" t="n"/>
      <c r="BC210" s="307" t="n"/>
      <c r="BD210" s="307" t="n"/>
      <c r="BE210" s="307" t="n"/>
      <c r="BF210" s="307" t="n"/>
      <c r="BG210" s="31" t="n"/>
      <c r="BH210" s="31" t="n"/>
      <c r="BI210" s="31" t="n"/>
      <c r="BJ210" s="31" t="n"/>
    </row>
    <row r="211" ht="15.75" customHeight="1" s="349">
      <c r="A211" s="31" t="n"/>
      <c r="B211" s="307" t="n"/>
      <c r="C211" s="307" t="n"/>
      <c r="D211" s="307" t="n"/>
      <c r="E211" s="307" t="n"/>
      <c r="F211" s="307" t="n"/>
      <c r="G211" s="307" t="n"/>
      <c r="H211" s="307" t="n"/>
      <c r="I211" s="307" t="n"/>
      <c r="J211" s="307" t="n"/>
      <c r="K211" s="307" t="n"/>
      <c r="L211" s="307" t="n"/>
      <c r="M211" s="307" t="n"/>
      <c r="N211" s="307" t="n"/>
      <c r="O211" s="307" t="n"/>
      <c r="P211" s="307" t="n"/>
      <c r="Q211" s="307" t="n"/>
      <c r="R211" s="307" t="n"/>
      <c r="S211" s="307" t="n"/>
      <c r="T211" s="307" t="n"/>
      <c r="U211" s="307" t="n"/>
      <c r="V211" s="307" t="n"/>
      <c r="W211" s="307" t="n"/>
      <c r="X211" s="307" t="n"/>
      <c r="Y211" s="307" t="n"/>
      <c r="Z211" s="307" t="n"/>
      <c r="AA211" s="307" t="n"/>
      <c r="AB211" s="307" t="n"/>
      <c r="AC211" s="307" t="n"/>
      <c r="AD211" s="307" t="n"/>
      <c r="AE211" s="307" t="n"/>
      <c r="AF211" s="307" t="n"/>
      <c r="AG211" s="307" t="n"/>
      <c r="AH211" s="307" t="n"/>
      <c r="AI211" s="307" t="n"/>
      <c r="AJ211" s="307" t="n"/>
      <c r="AK211" s="307" t="n"/>
      <c r="AL211" s="307" t="n"/>
      <c r="AM211" s="307" t="n"/>
      <c r="AN211" s="307" t="n"/>
      <c r="AO211" s="307" t="n"/>
      <c r="AP211" s="307" t="n"/>
      <c r="AQ211" s="307" t="n"/>
      <c r="AR211" s="307" t="n"/>
      <c r="AS211" s="307" t="n"/>
      <c r="AT211" s="307" t="n"/>
      <c r="AU211" s="307" t="n"/>
      <c r="AV211" s="307" t="n"/>
      <c r="AW211" s="307" t="n"/>
      <c r="AX211" s="307" t="n"/>
      <c r="AY211" s="307" t="n"/>
      <c r="AZ211" s="307" t="n"/>
      <c r="BA211" s="31" t="n"/>
      <c r="BB211" s="307" t="n"/>
      <c r="BC211" s="307" t="n"/>
      <c r="BD211" s="307" t="n"/>
      <c r="BE211" s="307" t="n"/>
      <c r="BF211" s="307" t="n"/>
      <c r="BG211" s="31" t="n"/>
      <c r="BH211" s="31" t="n"/>
      <c r="BI211" s="31" t="n"/>
      <c r="BJ211" s="31" t="n"/>
    </row>
    <row r="212" ht="15.75" customHeight="1" s="349">
      <c r="A212" s="31" t="n"/>
      <c r="B212" s="307" t="n"/>
      <c r="C212" s="307" t="n"/>
      <c r="D212" s="307" t="n"/>
      <c r="E212" s="307" t="n"/>
      <c r="F212" s="307" t="n"/>
      <c r="G212" s="307" t="n"/>
      <c r="H212" s="307" t="n"/>
      <c r="I212" s="307" t="n"/>
      <c r="J212" s="307" t="n"/>
      <c r="K212" s="307" t="n"/>
      <c r="L212" s="307" t="n"/>
      <c r="M212" s="307" t="n"/>
      <c r="N212" s="307" t="n"/>
      <c r="O212" s="307" t="n"/>
      <c r="P212" s="307" t="n"/>
      <c r="Q212" s="307" t="n"/>
      <c r="R212" s="307" t="n"/>
      <c r="S212" s="307" t="n"/>
      <c r="T212" s="307" t="n"/>
      <c r="U212" s="307" t="n"/>
      <c r="V212" s="307" t="n"/>
      <c r="W212" s="307" t="n"/>
      <c r="X212" s="307" t="n"/>
      <c r="Y212" s="307" t="n"/>
      <c r="Z212" s="307" t="n"/>
      <c r="AA212" s="307" t="n"/>
      <c r="AB212" s="307" t="n"/>
      <c r="AC212" s="307" t="n"/>
      <c r="AD212" s="307" t="n"/>
      <c r="AE212" s="307" t="n"/>
      <c r="AF212" s="307" t="n"/>
      <c r="AG212" s="307" t="n"/>
      <c r="AH212" s="307" t="n"/>
      <c r="AI212" s="307" t="n"/>
      <c r="AJ212" s="307" t="n"/>
      <c r="AK212" s="307" t="n"/>
      <c r="AL212" s="307" t="n"/>
      <c r="AM212" s="307" t="n"/>
      <c r="AN212" s="307" t="n"/>
      <c r="AO212" s="307" t="n"/>
      <c r="AP212" s="307" t="n"/>
      <c r="AQ212" s="307" t="n"/>
      <c r="AR212" s="307" t="n"/>
      <c r="AS212" s="307" t="n"/>
      <c r="AT212" s="307" t="n"/>
      <c r="AU212" s="307" t="n"/>
      <c r="AV212" s="307" t="n"/>
      <c r="AW212" s="307" t="n"/>
      <c r="AX212" s="307" t="n"/>
      <c r="AY212" s="307" t="n"/>
      <c r="AZ212" s="307" t="n"/>
      <c r="BA212" s="31" t="n"/>
      <c r="BB212" s="307" t="n"/>
      <c r="BC212" s="307" t="n"/>
      <c r="BD212" s="307" t="n"/>
      <c r="BE212" s="307" t="n"/>
      <c r="BF212" s="307" t="n"/>
      <c r="BG212" s="31" t="n"/>
      <c r="BH212" s="31" t="n"/>
      <c r="BI212" s="31" t="n"/>
      <c r="BJ212" s="31" t="n"/>
    </row>
    <row r="213" ht="15.75" customHeight="1" s="349">
      <c r="A213" s="31" t="n"/>
      <c r="B213" s="307" t="n"/>
      <c r="C213" s="307" t="n"/>
      <c r="D213" s="307" t="n"/>
      <c r="E213" s="307" t="n"/>
      <c r="F213" s="307" t="n"/>
      <c r="G213" s="307" t="n"/>
      <c r="H213" s="307" t="n"/>
      <c r="I213" s="307" t="n"/>
      <c r="J213" s="307" t="n"/>
      <c r="K213" s="307" t="n"/>
      <c r="L213" s="307" t="n"/>
      <c r="M213" s="307" t="n"/>
      <c r="N213" s="307" t="n"/>
      <c r="O213" s="307" t="n"/>
      <c r="P213" s="307" t="n"/>
      <c r="Q213" s="307" t="n"/>
      <c r="R213" s="307" t="n"/>
      <c r="S213" s="307" t="n"/>
      <c r="T213" s="307" t="n"/>
      <c r="U213" s="307" t="n"/>
      <c r="V213" s="307" t="n"/>
      <c r="W213" s="307" t="n"/>
      <c r="X213" s="307" t="n"/>
      <c r="Y213" s="307" t="n"/>
      <c r="Z213" s="307" t="n"/>
      <c r="AA213" s="307" t="n"/>
      <c r="AB213" s="307" t="n"/>
      <c r="AC213" s="307" t="n"/>
      <c r="AD213" s="307" t="n"/>
      <c r="AE213" s="307" t="n"/>
      <c r="AF213" s="307" t="n"/>
      <c r="AG213" s="307" t="n"/>
      <c r="AH213" s="307" t="n"/>
      <c r="AI213" s="307" t="n"/>
      <c r="AJ213" s="307" t="n"/>
      <c r="AK213" s="307" t="n"/>
      <c r="AL213" s="307" t="n"/>
      <c r="AM213" s="307" t="n"/>
      <c r="AN213" s="307" t="n"/>
      <c r="AO213" s="307" t="n"/>
      <c r="AP213" s="307" t="n"/>
      <c r="AQ213" s="307" t="n"/>
      <c r="AR213" s="307" t="n"/>
      <c r="AS213" s="307" t="n"/>
      <c r="AT213" s="307" t="n"/>
      <c r="AU213" s="307" t="n"/>
      <c r="AV213" s="307" t="n"/>
      <c r="AW213" s="307" t="n"/>
      <c r="AX213" s="307" t="n"/>
      <c r="AY213" s="307" t="n"/>
      <c r="AZ213" s="307" t="n"/>
      <c r="BA213" s="31" t="n"/>
      <c r="BB213" s="307" t="n"/>
      <c r="BC213" s="307" t="n"/>
      <c r="BD213" s="307" t="n"/>
      <c r="BE213" s="307" t="n"/>
      <c r="BF213" s="307" t="n"/>
      <c r="BG213" s="31" t="n"/>
      <c r="BH213" s="31" t="n"/>
      <c r="BI213" s="31" t="n"/>
      <c r="BJ213" s="31" t="n"/>
    </row>
    <row r="214" ht="15.75" customHeight="1" s="349">
      <c r="A214" s="31" t="n"/>
      <c r="B214" s="307" t="n"/>
      <c r="C214" s="307" t="n"/>
      <c r="D214" s="307" t="n"/>
      <c r="E214" s="307" t="n"/>
      <c r="F214" s="307" t="n"/>
      <c r="G214" s="307" t="n"/>
      <c r="H214" s="307" t="n"/>
      <c r="I214" s="307" t="n"/>
      <c r="J214" s="307" t="n"/>
      <c r="K214" s="307" t="n"/>
      <c r="L214" s="307" t="n"/>
      <c r="M214" s="307" t="n"/>
      <c r="N214" s="307" t="n"/>
      <c r="O214" s="307" t="n"/>
      <c r="P214" s="307" t="n"/>
      <c r="Q214" s="307" t="n"/>
      <c r="R214" s="307" t="n"/>
      <c r="S214" s="307" t="n"/>
      <c r="T214" s="307" t="n"/>
      <c r="U214" s="307" t="n"/>
      <c r="V214" s="307" t="n"/>
      <c r="W214" s="307" t="n"/>
      <c r="X214" s="307" t="n"/>
      <c r="Y214" s="307" t="n"/>
      <c r="Z214" s="307" t="n"/>
      <c r="AA214" s="307" t="n"/>
      <c r="AB214" s="307" t="n"/>
      <c r="AC214" s="307" t="n"/>
      <c r="AD214" s="307" t="n"/>
      <c r="AE214" s="307" t="n"/>
      <c r="AF214" s="307" t="n"/>
      <c r="AG214" s="307" t="n"/>
      <c r="AH214" s="307" t="n"/>
      <c r="AI214" s="307" t="n"/>
      <c r="AJ214" s="307" t="n"/>
      <c r="AK214" s="307" t="n"/>
      <c r="AL214" s="307" t="n"/>
      <c r="AM214" s="307" t="n"/>
      <c r="AN214" s="307" t="n"/>
      <c r="AO214" s="307" t="n"/>
      <c r="AP214" s="307" t="n"/>
      <c r="AQ214" s="307" t="n"/>
      <c r="AR214" s="307" t="n"/>
      <c r="AS214" s="307" t="n"/>
      <c r="AT214" s="307" t="n"/>
      <c r="AU214" s="307" t="n"/>
      <c r="AV214" s="307" t="n"/>
      <c r="AW214" s="307" t="n"/>
      <c r="AX214" s="307" t="n"/>
      <c r="AY214" s="307" t="n"/>
      <c r="AZ214" s="307" t="n"/>
      <c r="BA214" s="31" t="n"/>
      <c r="BB214" s="307" t="n"/>
      <c r="BC214" s="307" t="n"/>
      <c r="BD214" s="307" t="n"/>
      <c r="BE214" s="307" t="n"/>
      <c r="BF214" s="307" t="n"/>
      <c r="BG214" s="31" t="n"/>
      <c r="BH214" s="31" t="n"/>
      <c r="BI214" s="31" t="n"/>
      <c r="BJ214" s="31" t="n"/>
    </row>
    <row r="215" ht="15.75" customHeight="1" s="349">
      <c r="A215" s="31" t="n"/>
      <c r="B215" s="307" t="n"/>
      <c r="C215" s="307" t="n"/>
      <c r="D215" s="307" t="n"/>
      <c r="E215" s="307" t="n"/>
      <c r="F215" s="307" t="n"/>
      <c r="G215" s="307" t="n"/>
      <c r="H215" s="307" t="n"/>
      <c r="I215" s="307" t="n"/>
      <c r="J215" s="307" t="n"/>
      <c r="K215" s="307" t="n"/>
      <c r="L215" s="307" t="n"/>
      <c r="M215" s="307" t="n"/>
      <c r="N215" s="307" t="n"/>
      <c r="O215" s="307" t="n"/>
      <c r="P215" s="307" t="n"/>
      <c r="Q215" s="307" t="n"/>
      <c r="R215" s="307" t="n"/>
      <c r="S215" s="307" t="n"/>
      <c r="T215" s="307" t="n"/>
      <c r="U215" s="307" t="n"/>
      <c r="V215" s="307" t="n"/>
      <c r="W215" s="307" t="n"/>
      <c r="X215" s="307" t="n"/>
      <c r="Y215" s="307" t="n"/>
      <c r="Z215" s="307" t="n"/>
      <c r="AA215" s="307" t="n"/>
      <c r="AB215" s="307" t="n"/>
      <c r="AC215" s="307" t="n"/>
      <c r="AD215" s="307" t="n"/>
      <c r="AE215" s="307" t="n"/>
      <c r="AF215" s="307" t="n"/>
      <c r="AG215" s="307" t="n"/>
      <c r="AH215" s="307" t="n"/>
      <c r="AI215" s="307" t="n"/>
      <c r="AJ215" s="307" t="n"/>
      <c r="AK215" s="307" t="n"/>
      <c r="AL215" s="307" t="n"/>
      <c r="AM215" s="307" t="n"/>
      <c r="AN215" s="307" t="n"/>
      <c r="AO215" s="307" t="n"/>
      <c r="AP215" s="307" t="n"/>
      <c r="AQ215" s="307" t="n"/>
      <c r="AR215" s="307" t="n"/>
      <c r="AS215" s="307" t="n"/>
      <c r="AT215" s="307" t="n"/>
      <c r="AU215" s="307" t="n"/>
      <c r="AV215" s="307" t="n"/>
      <c r="AW215" s="307" t="n"/>
      <c r="AX215" s="307" t="n"/>
      <c r="AY215" s="307" t="n"/>
      <c r="AZ215" s="307" t="n"/>
      <c r="BA215" s="31" t="n"/>
      <c r="BB215" s="307" t="n"/>
      <c r="BC215" s="307" t="n"/>
      <c r="BD215" s="307" t="n"/>
      <c r="BE215" s="307" t="n"/>
      <c r="BF215" s="307" t="n"/>
      <c r="BG215" s="31" t="n"/>
      <c r="BH215" s="31" t="n"/>
      <c r="BI215" s="31" t="n"/>
      <c r="BJ215" s="31" t="n"/>
    </row>
    <row r="216" ht="15.75" customHeight="1" s="349">
      <c r="A216" s="31" t="n"/>
      <c r="B216" s="307" t="n"/>
      <c r="C216" s="307" t="n"/>
      <c r="D216" s="307" t="n"/>
      <c r="E216" s="307" t="n"/>
      <c r="F216" s="307" t="n"/>
      <c r="G216" s="307" t="n"/>
      <c r="H216" s="307" t="n"/>
      <c r="I216" s="307" t="n"/>
      <c r="J216" s="307" t="n"/>
      <c r="K216" s="307" t="n"/>
      <c r="L216" s="307" t="n"/>
      <c r="M216" s="307" t="n"/>
      <c r="N216" s="307" t="n"/>
      <c r="O216" s="307" t="n"/>
      <c r="P216" s="307" t="n"/>
      <c r="Q216" s="307" t="n"/>
      <c r="R216" s="307" t="n"/>
      <c r="S216" s="307" t="n"/>
      <c r="T216" s="307" t="n"/>
      <c r="U216" s="307" t="n"/>
      <c r="V216" s="307" t="n"/>
      <c r="W216" s="307" t="n"/>
      <c r="X216" s="307" t="n"/>
      <c r="Y216" s="307" t="n"/>
      <c r="Z216" s="307" t="n"/>
      <c r="AA216" s="307" t="n"/>
      <c r="AB216" s="307" t="n"/>
      <c r="AC216" s="307" t="n"/>
      <c r="AD216" s="307" t="n"/>
      <c r="AE216" s="307" t="n"/>
      <c r="AF216" s="307" t="n"/>
      <c r="AG216" s="307" t="n"/>
      <c r="AH216" s="307" t="n"/>
      <c r="AI216" s="307" t="n"/>
      <c r="AJ216" s="307" t="n"/>
      <c r="AK216" s="307" t="n"/>
      <c r="AL216" s="307" t="n"/>
      <c r="AM216" s="307" t="n"/>
      <c r="AN216" s="307" t="n"/>
      <c r="AO216" s="307" t="n"/>
      <c r="AP216" s="307" t="n"/>
      <c r="AQ216" s="307" t="n"/>
      <c r="AR216" s="307" t="n"/>
      <c r="AS216" s="307" t="n"/>
      <c r="AT216" s="307" t="n"/>
      <c r="AU216" s="307" t="n"/>
      <c r="AV216" s="307" t="n"/>
      <c r="AW216" s="307" t="n"/>
      <c r="AX216" s="307" t="n"/>
      <c r="AY216" s="307" t="n"/>
      <c r="AZ216" s="307" t="n"/>
      <c r="BA216" s="31" t="n"/>
      <c r="BB216" s="307" t="n"/>
      <c r="BC216" s="307" t="n"/>
      <c r="BD216" s="307" t="n"/>
      <c r="BE216" s="307" t="n"/>
      <c r="BF216" s="307" t="n"/>
      <c r="BG216" s="31" t="n"/>
      <c r="BH216" s="31" t="n"/>
      <c r="BI216" s="31" t="n"/>
      <c r="BJ216" s="31" t="n"/>
    </row>
    <row r="217" ht="15.75" customHeight="1" s="349">
      <c r="A217" s="31" t="n"/>
      <c r="B217" s="307" t="n"/>
      <c r="C217" s="307" t="n"/>
      <c r="D217" s="307" t="n"/>
      <c r="E217" s="307" t="n"/>
      <c r="F217" s="307" t="n"/>
      <c r="G217" s="307" t="n"/>
      <c r="H217" s="307" t="n"/>
      <c r="I217" s="307" t="n"/>
      <c r="J217" s="307" t="n"/>
      <c r="K217" s="307" t="n"/>
      <c r="L217" s="307" t="n"/>
      <c r="M217" s="307" t="n"/>
      <c r="N217" s="307" t="n"/>
      <c r="O217" s="307" t="n"/>
      <c r="P217" s="307" t="n"/>
      <c r="Q217" s="307" t="n"/>
      <c r="R217" s="307" t="n"/>
      <c r="S217" s="307" t="n"/>
      <c r="T217" s="307" t="n"/>
      <c r="U217" s="307" t="n"/>
      <c r="V217" s="307" t="n"/>
      <c r="W217" s="307" t="n"/>
      <c r="X217" s="307" t="n"/>
      <c r="Y217" s="307" t="n"/>
      <c r="Z217" s="307" t="n"/>
      <c r="AA217" s="307" t="n"/>
      <c r="AB217" s="307" t="n"/>
      <c r="AC217" s="307" t="n"/>
      <c r="AD217" s="307" t="n"/>
      <c r="AE217" s="307" t="n"/>
      <c r="AF217" s="307" t="n"/>
      <c r="AG217" s="307" t="n"/>
      <c r="AH217" s="307" t="n"/>
      <c r="AI217" s="307" t="n"/>
      <c r="AJ217" s="307" t="n"/>
      <c r="AK217" s="307" t="n"/>
      <c r="AL217" s="307" t="n"/>
      <c r="AM217" s="307" t="n"/>
      <c r="AN217" s="307" t="n"/>
      <c r="AO217" s="307" t="n"/>
      <c r="AP217" s="307" t="n"/>
      <c r="AQ217" s="307" t="n"/>
      <c r="AR217" s="307" t="n"/>
      <c r="AS217" s="307" t="n"/>
      <c r="AT217" s="307" t="n"/>
      <c r="AU217" s="307" t="n"/>
      <c r="AV217" s="307" t="n"/>
      <c r="AW217" s="307" t="n"/>
      <c r="AX217" s="307" t="n"/>
      <c r="AY217" s="307" t="n"/>
      <c r="AZ217" s="307" t="n"/>
      <c r="BA217" s="31" t="n"/>
      <c r="BB217" s="307" t="n"/>
      <c r="BC217" s="307" t="n"/>
      <c r="BD217" s="307" t="n"/>
      <c r="BE217" s="307" t="n"/>
      <c r="BF217" s="307" t="n"/>
      <c r="BG217" s="31" t="n"/>
      <c r="BH217" s="31" t="n"/>
      <c r="BI217" s="31" t="n"/>
      <c r="BJ217" s="31" t="n"/>
    </row>
    <row r="218" ht="15.75" customHeight="1" s="349">
      <c r="A218" s="31" t="n"/>
      <c r="B218" s="307" t="n"/>
      <c r="C218" s="307" t="n"/>
      <c r="D218" s="307" t="n"/>
      <c r="E218" s="307" t="n"/>
      <c r="F218" s="307" t="n"/>
      <c r="G218" s="307" t="n"/>
      <c r="H218" s="307" t="n"/>
      <c r="I218" s="307" t="n"/>
      <c r="J218" s="307" t="n"/>
      <c r="K218" s="307" t="n"/>
      <c r="L218" s="307" t="n"/>
      <c r="M218" s="307" t="n"/>
      <c r="N218" s="307" t="n"/>
      <c r="O218" s="307" t="n"/>
      <c r="P218" s="307" t="n"/>
      <c r="Q218" s="307" t="n"/>
      <c r="R218" s="307" t="n"/>
      <c r="S218" s="307" t="n"/>
      <c r="T218" s="307" t="n"/>
      <c r="U218" s="307" t="n"/>
      <c r="V218" s="307" t="n"/>
      <c r="W218" s="307" t="n"/>
      <c r="X218" s="307" t="n"/>
      <c r="Y218" s="307" t="n"/>
      <c r="Z218" s="307" t="n"/>
      <c r="AA218" s="307" t="n"/>
      <c r="AB218" s="307" t="n"/>
      <c r="AC218" s="307" t="n"/>
      <c r="AD218" s="307" t="n"/>
      <c r="AE218" s="307" t="n"/>
      <c r="AF218" s="307" t="n"/>
      <c r="AG218" s="307" t="n"/>
      <c r="AH218" s="307" t="n"/>
      <c r="AI218" s="307" t="n"/>
      <c r="AJ218" s="307" t="n"/>
      <c r="AK218" s="307" t="n"/>
      <c r="AL218" s="307" t="n"/>
      <c r="AM218" s="307" t="n"/>
      <c r="AN218" s="307" t="n"/>
      <c r="AO218" s="307" t="n"/>
      <c r="AP218" s="307" t="n"/>
      <c r="AQ218" s="307" t="n"/>
      <c r="AR218" s="307" t="n"/>
      <c r="AS218" s="307" t="n"/>
      <c r="AT218" s="307" t="n"/>
      <c r="AU218" s="307" t="n"/>
      <c r="AV218" s="307" t="n"/>
      <c r="AW218" s="307" t="n"/>
      <c r="AX218" s="307" t="n"/>
      <c r="AY218" s="307" t="n"/>
      <c r="AZ218" s="307" t="n"/>
      <c r="BA218" s="31" t="n"/>
      <c r="BB218" s="307" t="n"/>
      <c r="BC218" s="307" t="n"/>
      <c r="BD218" s="307" t="n"/>
      <c r="BE218" s="307" t="n"/>
      <c r="BF218" s="307" t="n"/>
      <c r="BG218" s="31" t="n"/>
      <c r="BH218" s="31" t="n"/>
      <c r="BI218" s="31" t="n"/>
      <c r="BJ218" s="31" t="n"/>
    </row>
    <row r="219" ht="15.75" customHeight="1" s="349">
      <c r="A219" s="31" t="n"/>
      <c r="B219" s="307" t="n"/>
      <c r="C219" s="307" t="n"/>
      <c r="D219" s="307" t="n"/>
      <c r="E219" s="307" t="n"/>
      <c r="F219" s="307" t="n"/>
      <c r="G219" s="307" t="n"/>
      <c r="H219" s="307" t="n"/>
      <c r="I219" s="307" t="n"/>
      <c r="J219" s="307" t="n"/>
      <c r="K219" s="307" t="n"/>
      <c r="L219" s="307" t="n"/>
      <c r="M219" s="307" t="n"/>
      <c r="N219" s="307" t="n"/>
      <c r="O219" s="307" t="n"/>
      <c r="P219" s="307" t="n"/>
      <c r="Q219" s="307" t="n"/>
      <c r="R219" s="307" t="n"/>
      <c r="S219" s="307" t="n"/>
      <c r="T219" s="307" t="n"/>
      <c r="U219" s="307" t="n"/>
      <c r="V219" s="307" t="n"/>
      <c r="W219" s="307" t="n"/>
      <c r="X219" s="307" t="n"/>
      <c r="Y219" s="307" t="n"/>
      <c r="Z219" s="307" t="n"/>
      <c r="AA219" s="307" t="n"/>
      <c r="AB219" s="307" t="n"/>
      <c r="AC219" s="307" t="n"/>
      <c r="AD219" s="307" t="n"/>
      <c r="AE219" s="307" t="n"/>
      <c r="AF219" s="307" t="n"/>
      <c r="AG219" s="307" t="n"/>
      <c r="AH219" s="307" t="n"/>
      <c r="AI219" s="307" t="n"/>
      <c r="AJ219" s="307" t="n"/>
      <c r="AK219" s="307" t="n"/>
      <c r="AL219" s="307" t="n"/>
      <c r="AM219" s="307" t="n"/>
      <c r="AN219" s="307" t="n"/>
      <c r="AO219" s="307" t="n"/>
      <c r="AP219" s="307" t="n"/>
      <c r="AQ219" s="307" t="n"/>
      <c r="AR219" s="307" t="n"/>
      <c r="AS219" s="307" t="n"/>
      <c r="AT219" s="307" t="n"/>
      <c r="AU219" s="307" t="n"/>
      <c r="AV219" s="307" t="n"/>
      <c r="AW219" s="307" t="n"/>
      <c r="AX219" s="307" t="n"/>
      <c r="AY219" s="307" t="n"/>
      <c r="AZ219" s="307" t="n"/>
      <c r="BA219" s="31" t="n"/>
      <c r="BB219" s="307" t="n"/>
      <c r="BC219" s="307" t="n"/>
      <c r="BD219" s="307" t="n"/>
      <c r="BE219" s="307" t="n"/>
      <c r="BF219" s="307" t="n"/>
      <c r="BG219" s="31" t="n"/>
      <c r="BH219" s="31" t="n"/>
      <c r="BI219" s="31" t="n"/>
      <c r="BJ219" s="31" t="n"/>
    </row>
    <row r="220" ht="15.75" customHeight="1" s="349">
      <c r="A220" s="31" t="n"/>
      <c r="B220" s="307" t="n"/>
      <c r="C220" s="307" t="n"/>
      <c r="D220" s="307" t="n"/>
      <c r="E220" s="307" t="n"/>
      <c r="F220" s="307" t="n"/>
      <c r="G220" s="307" t="n"/>
      <c r="H220" s="307" t="n"/>
      <c r="I220" s="307" t="n"/>
      <c r="J220" s="307" t="n"/>
      <c r="K220" s="307" t="n"/>
      <c r="L220" s="307" t="n"/>
      <c r="M220" s="307" t="n"/>
      <c r="N220" s="307" t="n"/>
      <c r="O220" s="307" t="n"/>
      <c r="P220" s="307" t="n"/>
      <c r="Q220" s="307" t="n"/>
      <c r="R220" s="307" t="n"/>
      <c r="S220" s="307" t="n"/>
      <c r="T220" s="307" t="n"/>
      <c r="U220" s="307" t="n"/>
      <c r="V220" s="307" t="n"/>
      <c r="W220" s="307" t="n"/>
      <c r="X220" s="307" t="n"/>
      <c r="Y220" s="307" t="n"/>
      <c r="Z220" s="307" t="n"/>
      <c r="AA220" s="307" t="n"/>
      <c r="AB220" s="307" t="n"/>
      <c r="AC220" s="307" t="n"/>
      <c r="AD220" s="307" t="n"/>
      <c r="AE220" s="307" t="n"/>
      <c r="AF220" s="307" t="n"/>
      <c r="AG220" s="307" t="n"/>
      <c r="AH220" s="307" t="n"/>
      <c r="AI220" s="307" t="n"/>
      <c r="AJ220" s="307" t="n"/>
      <c r="AK220" s="307" t="n"/>
      <c r="AL220" s="307" t="n"/>
      <c r="AM220" s="307" t="n"/>
      <c r="AN220" s="307" t="n"/>
      <c r="AO220" s="307" t="n"/>
      <c r="AP220" s="307" t="n"/>
      <c r="AQ220" s="307" t="n"/>
      <c r="AR220" s="307" t="n"/>
      <c r="AS220" s="307" t="n"/>
      <c r="AT220" s="307" t="n"/>
      <c r="AU220" s="307" t="n"/>
      <c r="AV220" s="307" t="n"/>
      <c r="AW220" s="307" t="n"/>
      <c r="AX220" s="307" t="n"/>
      <c r="AY220" s="307" t="n"/>
      <c r="AZ220" s="307" t="n"/>
      <c r="BA220" s="31" t="n"/>
      <c r="BB220" s="307" t="n"/>
      <c r="BC220" s="307" t="n"/>
      <c r="BD220" s="307" t="n"/>
      <c r="BE220" s="307" t="n"/>
      <c r="BF220" s="307" t="n"/>
      <c r="BG220" s="31" t="n"/>
      <c r="BH220" s="31" t="n"/>
      <c r="BI220" s="31" t="n"/>
      <c r="BJ220" s="31" t="n"/>
    </row>
    <row r="221" ht="15.75" customHeight="1" s="349">
      <c r="A221" s="31" t="n"/>
      <c r="B221" s="307" t="n"/>
      <c r="C221" s="307" t="n"/>
      <c r="D221" s="307" t="n"/>
      <c r="E221" s="307" t="n"/>
      <c r="F221" s="307" t="n"/>
      <c r="G221" s="307" t="n"/>
      <c r="H221" s="307" t="n"/>
      <c r="I221" s="307" t="n"/>
      <c r="J221" s="307" t="n"/>
      <c r="K221" s="307" t="n"/>
      <c r="L221" s="307" t="n"/>
      <c r="M221" s="307" t="n"/>
      <c r="N221" s="307" t="n"/>
      <c r="O221" s="307" t="n"/>
      <c r="P221" s="307" t="n"/>
      <c r="Q221" s="307" t="n"/>
      <c r="R221" s="307" t="n"/>
      <c r="S221" s="307" t="n"/>
      <c r="T221" s="307" t="n"/>
      <c r="U221" s="307" t="n"/>
      <c r="V221" s="307" t="n"/>
      <c r="W221" s="307" t="n"/>
      <c r="X221" s="307" t="n"/>
      <c r="Y221" s="307" t="n"/>
      <c r="Z221" s="307" t="n"/>
      <c r="AA221" s="307" t="n"/>
      <c r="AB221" s="307" t="n"/>
      <c r="AC221" s="307" t="n"/>
      <c r="AD221" s="307" t="n"/>
      <c r="AE221" s="307" t="n"/>
      <c r="AF221" s="307" t="n"/>
      <c r="AG221" s="307" t="n"/>
      <c r="AH221" s="307" t="n"/>
      <c r="AI221" s="307" t="n"/>
      <c r="AJ221" s="307" t="n"/>
      <c r="AK221" s="307" t="n"/>
      <c r="AL221" s="307" t="n"/>
      <c r="AM221" s="307" t="n"/>
      <c r="AN221" s="307" t="n"/>
      <c r="AO221" s="307" t="n"/>
      <c r="AP221" s="307" t="n"/>
      <c r="AQ221" s="307" t="n"/>
      <c r="AR221" s="307" t="n"/>
      <c r="AS221" s="307" t="n"/>
      <c r="AT221" s="307" t="n"/>
      <c r="AU221" s="307" t="n"/>
      <c r="AV221" s="307" t="n"/>
      <c r="AW221" s="307" t="n"/>
      <c r="AX221" s="307" t="n"/>
      <c r="AY221" s="307" t="n"/>
      <c r="AZ221" s="307" t="n"/>
      <c r="BA221" s="31" t="n"/>
      <c r="BB221" s="307" t="n"/>
      <c r="BC221" s="307" t="n"/>
      <c r="BD221" s="307" t="n"/>
      <c r="BE221" s="307" t="n"/>
      <c r="BF221" s="307" t="n"/>
      <c r="BG221" s="31" t="n"/>
      <c r="BH221" s="31" t="n"/>
      <c r="BI221" s="31" t="n"/>
      <c r="BJ221" s="31" t="n"/>
    </row>
    <row r="222" ht="15.75" customHeight="1" s="349">
      <c r="A222" s="31" t="n"/>
      <c r="B222" s="307" t="n"/>
      <c r="C222" s="307" t="n"/>
      <c r="D222" s="307" t="n"/>
      <c r="E222" s="307" t="n"/>
      <c r="F222" s="307" t="n"/>
      <c r="G222" s="307" t="n"/>
      <c r="H222" s="307" t="n"/>
      <c r="I222" s="307" t="n"/>
      <c r="J222" s="307" t="n"/>
      <c r="K222" s="307" t="n"/>
      <c r="L222" s="307" t="n"/>
      <c r="M222" s="307" t="n"/>
      <c r="N222" s="307" t="n"/>
      <c r="O222" s="307" t="n"/>
      <c r="P222" s="307" t="n"/>
      <c r="Q222" s="307" t="n"/>
      <c r="R222" s="307" t="n"/>
      <c r="S222" s="307" t="n"/>
      <c r="T222" s="307" t="n"/>
      <c r="U222" s="307" t="n"/>
      <c r="V222" s="307" t="n"/>
      <c r="W222" s="307" t="n"/>
      <c r="X222" s="307" t="n"/>
      <c r="Y222" s="307" t="n"/>
      <c r="Z222" s="307" t="n"/>
      <c r="AA222" s="307" t="n"/>
      <c r="AB222" s="307" t="n"/>
      <c r="AC222" s="307" t="n"/>
      <c r="AD222" s="307" t="n"/>
      <c r="AE222" s="307" t="n"/>
      <c r="AF222" s="307" t="n"/>
      <c r="AG222" s="307" t="n"/>
      <c r="AH222" s="307" t="n"/>
      <c r="AI222" s="307" t="n"/>
      <c r="AJ222" s="307" t="n"/>
      <c r="AK222" s="307" t="n"/>
      <c r="AL222" s="307" t="n"/>
      <c r="AM222" s="307" t="n"/>
      <c r="AN222" s="307" t="n"/>
      <c r="AO222" s="307" t="n"/>
      <c r="AP222" s="307" t="n"/>
      <c r="AQ222" s="307" t="n"/>
      <c r="AR222" s="307" t="n"/>
      <c r="AS222" s="307" t="n"/>
      <c r="AT222" s="307" t="n"/>
      <c r="AU222" s="307" t="n"/>
      <c r="AV222" s="307" t="n"/>
      <c r="AW222" s="307" t="n"/>
      <c r="AX222" s="307" t="n"/>
      <c r="AY222" s="307" t="n"/>
      <c r="AZ222" s="307" t="n"/>
      <c r="BA222" s="31" t="n"/>
      <c r="BB222" s="307" t="n"/>
      <c r="BC222" s="307" t="n"/>
      <c r="BD222" s="307" t="n"/>
      <c r="BE222" s="307" t="n"/>
      <c r="BF222" s="307" t="n"/>
      <c r="BG222" s="31" t="n"/>
      <c r="BH222" s="31" t="n"/>
      <c r="BI222" s="31" t="n"/>
      <c r="BJ222" s="31" t="n"/>
    </row>
    <row r="223" ht="15.75" customHeight="1" s="349">
      <c r="A223" s="31" t="n"/>
      <c r="B223" s="307" t="n"/>
      <c r="C223" s="307" t="n"/>
      <c r="D223" s="307" t="n"/>
      <c r="E223" s="307" t="n"/>
      <c r="F223" s="307" t="n"/>
      <c r="G223" s="307" t="n"/>
      <c r="H223" s="307" t="n"/>
      <c r="I223" s="307" t="n"/>
      <c r="J223" s="307" t="n"/>
      <c r="K223" s="307" t="n"/>
      <c r="L223" s="307" t="n"/>
      <c r="M223" s="307" t="n"/>
      <c r="N223" s="307" t="n"/>
      <c r="O223" s="307" t="n"/>
      <c r="P223" s="307" t="n"/>
      <c r="Q223" s="307" t="n"/>
      <c r="R223" s="307" t="n"/>
      <c r="S223" s="307" t="n"/>
      <c r="T223" s="307" t="n"/>
      <c r="U223" s="307" t="n"/>
      <c r="V223" s="307" t="n"/>
      <c r="W223" s="307" t="n"/>
      <c r="X223" s="307" t="n"/>
      <c r="Y223" s="307" t="n"/>
      <c r="Z223" s="307" t="n"/>
      <c r="AA223" s="307" t="n"/>
      <c r="AB223" s="307" t="n"/>
      <c r="AC223" s="307" t="n"/>
      <c r="AD223" s="307" t="n"/>
      <c r="AE223" s="307" t="n"/>
      <c r="AF223" s="307" t="n"/>
      <c r="AG223" s="307" t="n"/>
      <c r="AH223" s="307" t="n"/>
      <c r="AI223" s="307" t="n"/>
      <c r="AJ223" s="307" t="n"/>
      <c r="AK223" s="307" t="n"/>
      <c r="AL223" s="307" t="n"/>
      <c r="AM223" s="307" t="n"/>
      <c r="AN223" s="307" t="n"/>
      <c r="AO223" s="307" t="n"/>
      <c r="AP223" s="307" t="n"/>
      <c r="AQ223" s="307" t="n"/>
      <c r="AR223" s="307" t="n"/>
      <c r="AS223" s="307" t="n"/>
      <c r="AT223" s="307" t="n"/>
      <c r="AU223" s="307" t="n"/>
      <c r="AV223" s="307" t="n"/>
      <c r="AW223" s="307" t="n"/>
      <c r="AX223" s="307" t="n"/>
      <c r="AY223" s="307" t="n"/>
      <c r="AZ223" s="307" t="n"/>
      <c r="BA223" s="31" t="n"/>
      <c r="BB223" s="307" t="n"/>
      <c r="BC223" s="307" t="n"/>
      <c r="BD223" s="307" t="n"/>
      <c r="BE223" s="307" t="n"/>
      <c r="BF223" s="307" t="n"/>
      <c r="BG223" s="31" t="n"/>
      <c r="BH223" s="31" t="n"/>
      <c r="BI223" s="31" t="n"/>
      <c r="BJ223" s="31" t="n"/>
    </row>
    <row r="224" ht="15.75" customHeight="1" s="349">
      <c r="A224" s="31" t="n"/>
      <c r="B224" s="307" t="n"/>
      <c r="C224" s="307" t="n"/>
      <c r="D224" s="307" t="n"/>
      <c r="E224" s="307" t="n"/>
      <c r="F224" s="307" t="n"/>
      <c r="G224" s="307" t="n"/>
      <c r="H224" s="307" t="n"/>
      <c r="I224" s="307" t="n"/>
      <c r="J224" s="307" t="n"/>
      <c r="K224" s="307" t="n"/>
      <c r="L224" s="307" t="n"/>
      <c r="M224" s="307" t="n"/>
      <c r="N224" s="307" t="n"/>
      <c r="O224" s="307" t="n"/>
      <c r="P224" s="307" t="n"/>
      <c r="Q224" s="307" t="n"/>
      <c r="R224" s="307" t="n"/>
      <c r="S224" s="307" t="n"/>
      <c r="T224" s="307" t="n"/>
      <c r="U224" s="307" t="n"/>
      <c r="V224" s="307" t="n"/>
      <c r="W224" s="307" t="n"/>
      <c r="X224" s="307" t="n"/>
      <c r="Y224" s="307" t="n"/>
      <c r="Z224" s="307" t="n"/>
      <c r="AA224" s="307" t="n"/>
      <c r="AB224" s="307" t="n"/>
      <c r="AC224" s="307" t="n"/>
      <c r="AD224" s="307" t="n"/>
      <c r="AE224" s="307" t="n"/>
      <c r="AF224" s="307" t="n"/>
      <c r="AG224" s="307" t="n"/>
      <c r="AH224" s="307" t="n"/>
      <c r="AI224" s="307" t="n"/>
      <c r="AJ224" s="307" t="n"/>
      <c r="AK224" s="307" t="n"/>
      <c r="AL224" s="307" t="n"/>
      <c r="AM224" s="307" t="n"/>
      <c r="AN224" s="307" t="n"/>
      <c r="AO224" s="307" t="n"/>
      <c r="AP224" s="307" t="n"/>
      <c r="AQ224" s="307" t="n"/>
      <c r="AR224" s="307" t="n"/>
      <c r="AS224" s="307" t="n"/>
      <c r="AT224" s="307" t="n"/>
      <c r="AU224" s="307" t="n"/>
      <c r="AV224" s="307" t="n"/>
      <c r="AW224" s="307" t="n"/>
      <c r="AX224" s="307" t="n"/>
      <c r="AY224" s="307" t="n"/>
      <c r="AZ224" s="307" t="n"/>
      <c r="BA224" s="31" t="n"/>
      <c r="BB224" s="307" t="n"/>
      <c r="BC224" s="307" t="n"/>
      <c r="BD224" s="307" t="n"/>
      <c r="BE224" s="307" t="n"/>
      <c r="BF224" s="307" t="n"/>
      <c r="BG224" s="31" t="n"/>
      <c r="BH224" s="31" t="n"/>
      <c r="BI224" s="31" t="n"/>
      <c r="BJ224" s="31" t="n"/>
    </row>
    <row r="225" ht="15.75" customHeight="1" s="349">
      <c r="A225" s="31" t="n"/>
      <c r="B225" s="307" t="n"/>
      <c r="C225" s="307" t="n"/>
      <c r="D225" s="307" t="n"/>
      <c r="E225" s="307" t="n"/>
      <c r="F225" s="307" t="n"/>
      <c r="G225" s="307" t="n"/>
      <c r="H225" s="307" t="n"/>
      <c r="I225" s="307" t="n"/>
      <c r="J225" s="307" t="n"/>
      <c r="K225" s="307" t="n"/>
      <c r="L225" s="307" t="n"/>
      <c r="M225" s="307" t="n"/>
      <c r="N225" s="307" t="n"/>
      <c r="O225" s="307" t="n"/>
      <c r="P225" s="307" t="n"/>
      <c r="Q225" s="307" t="n"/>
      <c r="R225" s="307" t="n"/>
      <c r="S225" s="307" t="n"/>
      <c r="T225" s="307" t="n"/>
      <c r="U225" s="307" t="n"/>
      <c r="V225" s="307" t="n"/>
      <c r="W225" s="307" t="n"/>
      <c r="X225" s="307" t="n"/>
      <c r="Y225" s="307" t="n"/>
      <c r="Z225" s="307" t="n"/>
      <c r="AA225" s="307" t="n"/>
      <c r="AB225" s="307" t="n"/>
      <c r="AC225" s="307" t="n"/>
      <c r="AD225" s="307" t="n"/>
      <c r="AE225" s="307" t="n"/>
      <c r="AF225" s="307" t="n"/>
      <c r="AG225" s="307" t="n"/>
      <c r="AH225" s="307" t="n"/>
      <c r="AI225" s="307" t="n"/>
      <c r="AJ225" s="307" t="n"/>
      <c r="AK225" s="307" t="n"/>
      <c r="AL225" s="307" t="n"/>
      <c r="AM225" s="307" t="n"/>
      <c r="AN225" s="307" t="n"/>
      <c r="AO225" s="307" t="n"/>
      <c r="AP225" s="307" t="n"/>
      <c r="AQ225" s="307" t="n"/>
      <c r="AR225" s="307" t="n"/>
      <c r="AS225" s="307" t="n"/>
      <c r="AT225" s="307" t="n"/>
      <c r="AU225" s="307" t="n"/>
      <c r="AV225" s="307" t="n"/>
      <c r="AW225" s="307" t="n"/>
      <c r="AX225" s="307" t="n"/>
      <c r="AY225" s="307" t="n"/>
      <c r="AZ225" s="307" t="n"/>
      <c r="BA225" s="31" t="n"/>
      <c r="BB225" s="307" t="n"/>
      <c r="BC225" s="307" t="n"/>
      <c r="BD225" s="307" t="n"/>
      <c r="BE225" s="307" t="n"/>
      <c r="BF225" s="307" t="n"/>
      <c r="BG225" s="31" t="n"/>
      <c r="BH225" s="31" t="n"/>
      <c r="BI225" s="31" t="n"/>
      <c r="BJ225" s="31" t="n"/>
    </row>
    <row r="226" ht="15.75" customHeight="1" s="349">
      <c r="A226" s="31" t="n"/>
      <c r="B226" s="307" t="n"/>
      <c r="C226" s="307" t="n"/>
      <c r="D226" s="307" t="n"/>
      <c r="E226" s="307" t="n"/>
      <c r="F226" s="307" t="n"/>
      <c r="G226" s="307" t="n"/>
      <c r="H226" s="307" t="n"/>
      <c r="I226" s="307" t="n"/>
      <c r="J226" s="307" t="n"/>
      <c r="K226" s="307" t="n"/>
      <c r="L226" s="307" t="n"/>
      <c r="M226" s="307" t="n"/>
      <c r="N226" s="307" t="n"/>
      <c r="O226" s="307" t="n"/>
      <c r="P226" s="307" t="n"/>
      <c r="Q226" s="307" t="n"/>
      <c r="R226" s="307" t="n"/>
      <c r="S226" s="307" t="n"/>
      <c r="T226" s="307" t="n"/>
      <c r="U226" s="307" t="n"/>
      <c r="V226" s="307" t="n"/>
      <c r="W226" s="307" t="n"/>
      <c r="X226" s="307" t="n"/>
      <c r="Y226" s="307" t="n"/>
      <c r="Z226" s="307" t="n"/>
      <c r="AA226" s="307" t="n"/>
      <c r="AB226" s="307" t="n"/>
      <c r="AC226" s="307" t="n"/>
      <c r="AD226" s="307" t="n"/>
      <c r="AE226" s="307" t="n"/>
      <c r="AF226" s="307" t="n"/>
      <c r="AG226" s="307" t="n"/>
      <c r="AH226" s="307" t="n"/>
      <c r="AI226" s="307" t="n"/>
      <c r="AJ226" s="307" t="n"/>
      <c r="AK226" s="307" t="n"/>
      <c r="AL226" s="307" t="n"/>
      <c r="AM226" s="307" t="n"/>
      <c r="AN226" s="307" t="n"/>
      <c r="AO226" s="307" t="n"/>
      <c r="AP226" s="307" t="n"/>
      <c r="AQ226" s="307" t="n"/>
      <c r="AR226" s="307" t="n"/>
      <c r="AS226" s="307" t="n"/>
      <c r="AT226" s="307" t="n"/>
      <c r="AU226" s="307" t="n"/>
      <c r="AV226" s="307" t="n"/>
      <c r="AW226" s="307" t="n"/>
      <c r="AX226" s="307" t="n"/>
      <c r="AY226" s="307" t="n"/>
      <c r="AZ226" s="307" t="n"/>
      <c r="BA226" s="31" t="n"/>
      <c r="BB226" s="307" t="n"/>
      <c r="BC226" s="307" t="n"/>
      <c r="BD226" s="307" t="n"/>
      <c r="BE226" s="307" t="n"/>
      <c r="BF226" s="307" t="n"/>
      <c r="BG226" s="31" t="n"/>
      <c r="BH226" s="31" t="n"/>
      <c r="BI226" s="31" t="n"/>
      <c r="BJ226" s="31" t="n"/>
    </row>
    <row r="227" ht="15.75" customHeight="1" s="349">
      <c r="A227" s="31" t="n"/>
      <c r="B227" s="307" t="n"/>
      <c r="C227" s="307" t="n"/>
      <c r="D227" s="307" t="n"/>
      <c r="E227" s="307" t="n"/>
      <c r="F227" s="307" t="n"/>
      <c r="G227" s="307" t="n"/>
      <c r="H227" s="307" t="n"/>
      <c r="I227" s="307" t="n"/>
      <c r="J227" s="307" t="n"/>
      <c r="K227" s="307" t="n"/>
      <c r="L227" s="307" t="n"/>
      <c r="M227" s="307" t="n"/>
      <c r="N227" s="307" t="n"/>
      <c r="O227" s="307" t="n"/>
      <c r="P227" s="307" t="n"/>
      <c r="Q227" s="307" t="n"/>
      <c r="R227" s="307" t="n"/>
      <c r="S227" s="307" t="n"/>
      <c r="T227" s="307" t="n"/>
      <c r="U227" s="307" t="n"/>
      <c r="V227" s="307" t="n"/>
      <c r="W227" s="307" t="n"/>
      <c r="X227" s="307" t="n"/>
      <c r="Y227" s="307" t="n"/>
      <c r="Z227" s="307" t="n"/>
      <c r="AA227" s="307" t="n"/>
      <c r="AB227" s="307" t="n"/>
      <c r="AC227" s="307" t="n"/>
      <c r="AD227" s="307" t="n"/>
      <c r="AE227" s="307" t="n"/>
      <c r="AF227" s="307" t="n"/>
      <c r="AG227" s="307" t="n"/>
      <c r="AH227" s="307" t="n"/>
      <c r="AI227" s="307" t="n"/>
      <c r="AJ227" s="307" t="n"/>
      <c r="AK227" s="307" t="n"/>
      <c r="AL227" s="307" t="n"/>
      <c r="AM227" s="307" t="n"/>
      <c r="AN227" s="307" t="n"/>
      <c r="AO227" s="307" t="n"/>
      <c r="AP227" s="307" t="n"/>
      <c r="AQ227" s="307" t="n"/>
      <c r="AR227" s="307" t="n"/>
      <c r="AS227" s="307" t="n"/>
      <c r="AT227" s="307" t="n"/>
      <c r="AU227" s="307" t="n"/>
      <c r="AV227" s="307" t="n"/>
      <c r="AW227" s="307" t="n"/>
      <c r="AX227" s="307" t="n"/>
      <c r="AY227" s="307" t="n"/>
      <c r="AZ227" s="307" t="n"/>
      <c r="BA227" s="31" t="n"/>
      <c r="BB227" s="307" t="n"/>
      <c r="BC227" s="307" t="n"/>
      <c r="BD227" s="307" t="n"/>
      <c r="BE227" s="307" t="n"/>
      <c r="BF227" s="307" t="n"/>
      <c r="BG227" s="31" t="n"/>
      <c r="BH227" s="31" t="n"/>
      <c r="BI227" s="31" t="n"/>
      <c r="BJ227" s="31" t="n"/>
    </row>
    <row r="228" ht="15.75" customHeight="1" s="349">
      <c r="A228" s="31" t="n"/>
      <c r="B228" s="307" t="n"/>
      <c r="C228" s="307" t="n"/>
      <c r="D228" s="307" t="n"/>
      <c r="E228" s="307" t="n"/>
      <c r="F228" s="307" t="n"/>
      <c r="G228" s="307" t="n"/>
      <c r="H228" s="307" t="n"/>
      <c r="I228" s="307" t="n"/>
      <c r="J228" s="307" t="n"/>
      <c r="K228" s="307" t="n"/>
      <c r="L228" s="307" t="n"/>
      <c r="M228" s="307" t="n"/>
      <c r="N228" s="307" t="n"/>
      <c r="O228" s="307" t="n"/>
      <c r="P228" s="307" t="n"/>
      <c r="Q228" s="307" t="n"/>
      <c r="R228" s="307" t="n"/>
      <c r="S228" s="307" t="n"/>
      <c r="T228" s="307" t="n"/>
      <c r="U228" s="307" t="n"/>
      <c r="V228" s="307" t="n"/>
      <c r="W228" s="307" t="n"/>
      <c r="X228" s="307" t="n"/>
      <c r="Y228" s="307" t="n"/>
      <c r="Z228" s="307" t="n"/>
      <c r="AA228" s="307" t="n"/>
      <c r="AB228" s="307" t="n"/>
      <c r="AC228" s="307" t="n"/>
      <c r="AD228" s="307" t="n"/>
      <c r="AE228" s="307" t="n"/>
      <c r="AF228" s="307" t="n"/>
      <c r="AG228" s="307" t="n"/>
      <c r="AH228" s="307" t="n"/>
      <c r="AI228" s="307" t="n"/>
      <c r="AJ228" s="307" t="n"/>
      <c r="AK228" s="307" t="n"/>
      <c r="AL228" s="307" t="n"/>
      <c r="AM228" s="307" t="n"/>
      <c r="AN228" s="307" t="n"/>
      <c r="AO228" s="307" t="n"/>
      <c r="AP228" s="307" t="n"/>
      <c r="AQ228" s="307" t="n"/>
      <c r="AR228" s="307" t="n"/>
      <c r="AS228" s="307" t="n"/>
      <c r="AT228" s="307" t="n"/>
      <c r="AU228" s="307" t="n"/>
      <c r="AV228" s="307" t="n"/>
      <c r="AW228" s="307" t="n"/>
      <c r="AX228" s="307" t="n"/>
      <c r="AY228" s="307" t="n"/>
      <c r="AZ228" s="307" t="n"/>
      <c r="BA228" s="31" t="n"/>
      <c r="BB228" s="307" t="n"/>
      <c r="BC228" s="307" t="n"/>
      <c r="BD228" s="307" t="n"/>
      <c r="BE228" s="307" t="n"/>
      <c r="BF228" s="307" t="n"/>
      <c r="BG228" s="31" t="n"/>
      <c r="BH228" s="31" t="n"/>
      <c r="BI228" s="31" t="n"/>
      <c r="BJ228" s="31" t="n"/>
    </row>
    <row r="229" ht="15.75" customHeight="1" s="349">
      <c r="A229" s="31" t="n"/>
      <c r="B229" s="307" t="n"/>
      <c r="C229" s="307" t="n"/>
      <c r="D229" s="307" t="n"/>
      <c r="E229" s="307" t="n"/>
      <c r="F229" s="307" t="n"/>
      <c r="G229" s="307" t="n"/>
      <c r="H229" s="307" t="n"/>
      <c r="I229" s="307" t="n"/>
      <c r="J229" s="307" t="n"/>
      <c r="K229" s="307" t="n"/>
      <c r="L229" s="307" t="n"/>
      <c r="M229" s="307" t="n"/>
      <c r="N229" s="307" t="n"/>
      <c r="O229" s="307" t="n"/>
      <c r="P229" s="307" t="n"/>
      <c r="Q229" s="307" t="n"/>
      <c r="R229" s="307" t="n"/>
      <c r="S229" s="307" t="n"/>
      <c r="T229" s="307" t="n"/>
      <c r="U229" s="307" t="n"/>
      <c r="V229" s="307" t="n"/>
      <c r="W229" s="307" t="n"/>
      <c r="X229" s="307" t="n"/>
      <c r="Y229" s="307" t="n"/>
      <c r="Z229" s="307" t="n"/>
      <c r="AA229" s="307" t="n"/>
      <c r="AB229" s="307" t="n"/>
      <c r="AC229" s="307" t="n"/>
      <c r="AD229" s="307" t="n"/>
      <c r="AE229" s="307" t="n"/>
      <c r="AF229" s="307" t="n"/>
      <c r="AG229" s="307" t="n"/>
      <c r="AH229" s="307" t="n"/>
      <c r="AI229" s="307" t="n"/>
      <c r="AJ229" s="307" t="n"/>
      <c r="AK229" s="307" t="n"/>
      <c r="AL229" s="307" t="n"/>
      <c r="AM229" s="307" t="n"/>
      <c r="AN229" s="307" t="n"/>
      <c r="AO229" s="307" t="n"/>
      <c r="AP229" s="307" t="n"/>
      <c r="AQ229" s="307" t="n"/>
      <c r="AR229" s="307" t="n"/>
      <c r="AS229" s="307" t="n"/>
      <c r="AT229" s="307" t="n"/>
      <c r="AU229" s="307" t="n"/>
      <c r="AV229" s="307" t="n"/>
      <c r="AW229" s="307" t="n"/>
      <c r="AX229" s="307" t="n"/>
      <c r="AY229" s="307" t="n"/>
      <c r="AZ229" s="307" t="n"/>
      <c r="BA229" s="31" t="n"/>
      <c r="BB229" s="307" t="n"/>
      <c r="BC229" s="307" t="n"/>
      <c r="BD229" s="307" t="n"/>
      <c r="BE229" s="307" t="n"/>
      <c r="BF229" s="307" t="n"/>
      <c r="BG229" s="31" t="n"/>
      <c r="BH229" s="31" t="n"/>
      <c r="BI229" s="31" t="n"/>
      <c r="BJ229" s="31" t="n"/>
    </row>
    <row r="230" ht="15.75" customHeight="1" s="349">
      <c r="A230" s="31" t="n"/>
      <c r="B230" s="307" t="n"/>
      <c r="C230" s="307" t="n"/>
      <c r="D230" s="307" t="n"/>
      <c r="E230" s="307" t="n"/>
      <c r="F230" s="307" t="n"/>
      <c r="G230" s="307" t="n"/>
      <c r="H230" s="307" t="n"/>
      <c r="I230" s="307" t="n"/>
      <c r="J230" s="307" t="n"/>
      <c r="K230" s="307" t="n"/>
      <c r="L230" s="307" t="n"/>
      <c r="M230" s="307" t="n"/>
      <c r="N230" s="307" t="n"/>
      <c r="O230" s="307" t="n"/>
      <c r="P230" s="307" t="n"/>
      <c r="Q230" s="307" t="n"/>
      <c r="R230" s="307" t="n"/>
      <c r="S230" s="307" t="n"/>
      <c r="T230" s="307" t="n"/>
      <c r="U230" s="307" t="n"/>
      <c r="V230" s="307" t="n"/>
      <c r="W230" s="307" t="n"/>
      <c r="X230" s="307" t="n"/>
      <c r="Y230" s="307" t="n"/>
      <c r="Z230" s="307" t="n"/>
      <c r="AA230" s="307" t="n"/>
      <c r="AB230" s="307" t="n"/>
      <c r="AC230" s="307" t="n"/>
      <c r="AD230" s="307" t="n"/>
      <c r="AE230" s="307" t="n"/>
      <c r="AF230" s="307" t="n"/>
      <c r="AG230" s="307" t="n"/>
      <c r="AH230" s="307" t="n"/>
      <c r="AI230" s="307" t="n"/>
      <c r="AJ230" s="307" t="n"/>
      <c r="AK230" s="307" t="n"/>
      <c r="AL230" s="307" t="n"/>
      <c r="AM230" s="307" t="n"/>
      <c r="AN230" s="307" t="n"/>
      <c r="AO230" s="307" t="n"/>
      <c r="AP230" s="307" t="n"/>
      <c r="AQ230" s="307" t="n"/>
      <c r="AR230" s="307" t="n"/>
      <c r="AS230" s="307" t="n"/>
      <c r="AT230" s="307" t="n"/>
      <c r="AU230" s="307" t="n"/>
      <c r="AV230" s="307" t="n"/>
      <c r="AW230" s="307" t="n"/>
      <c r="AX230" s="307" t="n"/>
      <c r="AY230" s="307" t="n"/>
      <c r="AZ230" s="307" t="n"/>
      <c r="BA230" s="31" t="n"/>
      <c r="BB230" s="307" t="n"/>
      <c r="BC230" s="307" t="n"/>
      <c r="BD230" s="307" t="n"/>
      <c r="BE230" s="307" t="n"/>
      <c r="BF230" s="307" t="n"/>
      <c r="BG230" s="31" t="n"/>
      <c r="BH230" s="31" t="n"/>
      <c r="BI230" s="31" t="n"/>
      <c r="BJ230" s="31" t="n"/>
    </row>
    <row r="231" ht="15.75" customHeight="1" s="349">
      <c r="A231" s="31" t="n"/>
      <c r="B231" s="307" t="n"/>
      <c r="C231" s="307" t="n"/>
      <c r="D231" s="307" t="n"/>
      <c r="E231" s="307" t="n"/>
      <c r="F231" s="307" t="n"/>
      <c r="G231" s="307" t="n"/>
      <c r="H231" s="307" t="n"/>
      <c r="I231" s="307" t="n"/>
      <c r="J231" s="307" t="n"/>
      <c r="K231" s="307" t="n"/>
      <c r="L231" s="307" t="n"/>
      <c r="M231" s="307" t="n"/>
      <c r="N231" s="307" t="n"/>
      <c r="O231" s="307" t="n"/>
      <c r="P231" s="307" t="n"/>
      <c r="Q231" s="307" t="n"/>
      <c r="R231" s="307" t="n"/>
      <c r="S231" s="307" t="n"/>
      <c r="T231" s="307" t="n"/>
      <c r="U231" s="307" t="n"/>
      <c r="V231" s="307" t="n"/>
      <c r="W231" s="307" t="n"/>
      <c r="X231" s="307" t="n"/>
      <c r="Y231" s="307" t="n"/>
      <c r="Z231" s="307" t="n"/>
      <c r="AA231" s="307" t="n"/>
      <c r="AB231" s="307" t="n"/>
      <c r="AC231" s="307" t="n"/>
      <c r="AD231" s="307" t="n"/>
      <c r="AE231" s="307" t="n"/>
      <c r="AF231" s="307" t="n"/>
      <c r="AG231" s="307" t="n"/>
      <c r="AH231" s="307" t="n"/>
      <c r="AI231" s="307" t="n"/>
      <c r="AJ231" s="307" t="n"/>
      <c r="AK231" s="307" t="n"/>
      <c r="AL231" s="307" t="n"/>
      <c r="AM231" s="307" t="n"/>
      <c r="AN231" s="307" t="n"/>
      <c r="AO231" s="307" t="n"/>
      <c r="AP231" s="307" t="n"/>
      <c r="AQ231" s="307" t="n"/>
      <c r="AR231" s="307" t="n"/>
      <c r="AS231" s="307" t="n"/>
      <c r="AT231" s="307" t="n"/>
      <c r="AU231" s="307" t="n"/>
      <c r="AV231" s="307" t="n"/>
      <c r="AW231" s="307" t="n"/>
      <c r="AX231" s="307" t="n"/>
      <c r="AY231" s="307" t="n"/>
      <c r="AZ231" s="307" t="n"/>
      <c r="BA231" s="31" t="n"/>
      <c r="BB231" s="307" t="n"/>
      <c r="BC231" s="307" t="n"/>
      <c r="BD231" s="307" t="n"/>
      <c r="BE231" s="307" t="n"/>
      <c r="BF231" s="307" t="n"/>
      <c r="BG231" s="31" t="n"/>
      <c r="BH231" s="31" t="n"/>
      <c r="BI231" s="31" t="n"/>
      <c r="BJ231" s="31" t="n"/>
    </row>
    <row r="232" ht="15.75" customHeight="1" s="349">
      <c r="A232" s="31" t="n"/>
      <c r="B232" s="307" t="n"/>
      <c r="C232" s="307" t="n"/>
      <c r="D232" s="307" t="n"/>
      <c r="E232" s="307" t="n"/>
      <c r="F232" s="307" t="n"/>
      <c r="G232" s="307" t="n"/>
      <c r="H232" s="307" t="n"/>
      <c r="I232" s="307" t="n"/>
      <c r="J232" s="307" t="n"/>
      <c r="K232" s="307" t="n"/>
      <c r="L232" s="307" t="n"/>
      <c r="M232" s="307" t="n"/>
      <c r="N232" s="307" t="n"/>
      <c r="O232" s="307" t="n"/>
      <c r="P232" s="307" t="n"/>
      <c r="Q232" s="307" t="n"/>
      <c r="R232" s="307" t="n"/>
      <c r="S232" s="307" t="n"/>
      <c r="T232" s="307" t="n"/>
      <c r="U232" s="307" t="n"/>
      <c r="V232" s="307" t="n"/>
      <c r="W232" s="307" t="n"/>
      <c r="X232" s="307" t="n"/>
      <c r="Y232" s="307" t="n"/>
      <c r="Z232" s="307" t="n"/>
      <c r="AA232" s="307" t="n"/>
      <c r="AB232" s="307" t="n"/>
      <c r="AC232" s="307" t="n"/>
      <c r="AD232" s="307" t="n"/>
      <c r="AE232" s="307" t="n"/>
      <c r="AF232" s="307" t="n"/>
      <c r="AG232" s="307" t="n"/>
      <c r="AH232" s="307" t="n"/>
      <c r="AI232" s="307" t="n"/>
      <c r="AJ232" s="307" t="n"/>
      <c r="AK232" s="307" t="n"/>
      <c r="AL232" s="307" t="n"/>
      <c r="AM232" s="307" t="n"/>
      <c r="AN232" s="307" t="n"/>
      <c r="AO232" s="307" t="n"/>
      <c r="AP232" s="307" t="n"/>
      <c r="AQ232" s="307" t="n"/>
      <c r="AR232" s="307" t="n"/>
      <c r="AS232" s="307" t="n"/>
      <c r="AT232" s="307" t="n"/>
      <c r="AU232" s="307" t="n"/>
      <c r="AV232" s="307" t="n"/>
      <c r="AW232" s="307" t="n"/>
      <c r="AX232" s="307" t="n"/>
      <c r="AY232" s="307" t="n"/>
      <c r="AZ232" s="307" t="n"/>
      <c r="BA232" s="31" t="n"/>
      <c r="BB232" s="307" t="n"/>
      <c r="BC232" s="307" t="n"/>
      <c r="BD232" s="307" t="n"/>
      <c r="BE232" s="307" t="n"/>
      <c r="BF232" s="307" t="n"/>
      <c r="BG232" s="31" t="n"/>
      <c r="BH232" s="31" t="n"/>
      <c r="BI232" s="31" t="n"/>
      <c r="BJ232" s="31" t="n"/>
    </row>
    <row r="233" ht="15.75" customHeight="1" s="349">
      <c r="A233" s="31" t="n"/>
      <c r="B233" s="307" t="n"/>
      <c r="C233" s="307" t="n"/>
      <c r="D233" s="307" t="n"/>
      <c r="E233" s="307" t="n"/>
      <c r="F233" s="307" t="n"/>
      <c r="G233" s="307" t="n"/>
      <c r="H233" s="307" t="n"/>
      <c r="I233" s="307" t="n"/>
      <c r="J233" s="307" t="n"/>
      <c r="K233" s="307" t="n"/>
      <c r="L233" s="307" t="n"/>
      <c r="M233" s="307" t="n"/>
      <c r="N233" s="307" t="n"/>
      <c r="O233" s="307" t="n"/>
      <c r="P233" s="307" t="n"/>
      <c r="Q233" s="307" t="n"/>
      <c r="R233" s="307" t="n"/>
      <c r="S233" s="307" t="n"/>
      <c r="T233" s="307" t="n"/>
      <c r="U233" s="307" t="n"/>
      <c r="V233" s="307" t="n"/>
      <c r="W233" s="307" t="n"/>
      <c r="X233" s="307" t="n"/>
      <c r="Y233" s="307" t="n"/>
      <c r="Z233" s="307" t="n"/>
      <c r="AA233" s="307" t="n"/>
      <c r="AB233" s="307" t="n"/>
      <c r="AC233" s="307" t="n"/>
      <c r="AD233" s="307" t="n"/>
      <c r="AE233" s="307" t="n"/>
      <c r="AF233" s="307" t="n"/>
      <c r="AG233" s="307" t="n"/>
      <c r="AH233" s="307" t="n"/>
      <c r="AI233" s="307" t="n"/>
      <c r="AJ233" s="307" t="n"/>
      <c r="AK233" s="307" t="n"/>
      <c r="AL233" s="307" t="n"/>
      <c r="AM233" s="307" t="n"/>
      <c r="AN233" s="307" t="n"/>
      <c r="AO233" s="307" t="n"/>
      <c r="AP233" s="307" t="n"/>
      <c r="AQ233" s="307" t="n"/>
      <c r="AR233" s="307" t="n"/>
      <c r="AS233" s="307" t="n"/>
      <c r="AT233" s="307" t="n"/>
      <c r="AU233" s="307" t="n"/>
      <c r="AV233" s="307" t="n"/>
      <c r="AW233" s="307" t="n"/>
      <c r="AX233" s="307" t="n"/>
      <c r="AY233" s="307" t="n"/>
      <c r="AZ233" s="307" t="n"/>
      <c r="BA233" s="31" t="n"/>
      <c r="BB233" s="307" t="n"/>
      <c r="BC233" s="307" t="n"/>
      <c r="BD233" s="307" t="n"/>
      <c r="BE233" s="307" t="n"/>
      <c r="BF233" s="307" t="n"/>
      <c r="BG233" s="31" t="n"/>
      <c r="BH233" s="31" t="n"/>
      <c r="BI233" s="31" t="n"/>
      <c r="BJ233" s="31" t="n"/>
    </row>
    <row r="234" ht="15.75" customHeight="1" s="349">
      <c r="A234" s="31" t="n"/>
      <c r="B234" s="307" t="n"/>
      <c r="C234" s="307" t="n"/>
      <c r="D234" s="307" t="n"/>
      <c r="E234" s="307" t="n"/>
      <c r="F234" s="307" t="n"/>
      <c r="G234" s="307" t="n"/>
      <c r="H234" s="307" t="n"/>
      <c r="I234" s="307" t="n"/>
      <c r="J234" s="307" t="n"/>
      <c r="K234" s="307" t="n"/>
      <c r="L234" s="307" t="n"/>
      <c r="M234" s="307" t="n"/>
      <c r="N234" s="307" t="n"/>
      <c r="O234" s="307" t="n"/>
      <c r="P234" s="307" t="n"/>
      <c r="Q234" s="307" t="n"/>
      <c r="R234" s="307" t="n"/>
      <c r="S234" s="307" t="n"/>
      <c r="T234" s="307" t="n"/>
      <c r="U234" s="307" t="n"/>
      <c r="V234" s="307" t="n"/>
      <c r="W234" s="307" t="n"/>
      <c r="X234" s="307" t="n"/>
      <c r="Y234" s="307" t="n"/>
      <c r="Z234" s="307" t="n"/>
      <c r="AA234" s="307" t="n"/>
      <c r="AB234" s="307" t="n"/>
      <c r="AC234" s="307" t="n"/>
      <c r="AD234" s="307" t="n"/>
      <c r="AE234" s="307" t="n"/>
      <c r="AF234" s="307" t="n"/>
      <c r="AG234" s="307" t="n"/>
      <c r="AH234" s="307" t="n"/>
      <c r="AI234" s="307" t="n"/>
      <c r="AJ234" s="307" t="n"/>
      <c r="AK234" s="307" t="n"/>
      <c r="AL234" s="307" t="n"/>
      <c r="AM234" s="307" t="n"/>
      <c r="AN234" s="307" t="n"/>
      <c r="AO234" s="307" t="n"/>
      <c r="AP234" s="307" t="n"/>
      <c r="AQ234" s="307" t="n"/>
      <c r="AR234" s="307" t="n"/>
      <c r="AS234" s="307" t="n"/>
      <c r="AT234" s="307" t="n"/>
      <c r="AU234" s="307" t="n"/>
      <c r="AV234" s="307" t="n"/>
      <c r="AW234" s="307" t="n"/>
      <c r="AX234" s="307" t="n"/>
      <c r="AY234" s="307" t="n"/>
      <c r="AZ234" s="307" t="n"/>
      <c r="BA234" s="31" t="n"/>
      <c r="BB234" s="307" t="n"/>
      <c r="BC234" s="307" t="n"/>
      <c r="BD234" s="307" t="n"/>
      <c r="BE234" s="307" t="n"/>
      <c r="BF234" s="307" t="n"/>
      <c r="BG234" s="31" t="n"/>
      <c r="BH234" s="31" t="n"/>
      <c r="BI234" s="31" t="n"/>
      <c r="BJ234" s="31" t="n"/>
    </row>
    <row r="235" ht="15.75" customHeight="1" s="349">
      <c r="A235" s="31" t="n"/>
      <c r="B235" s="307" t="n"/>
      <c r="C235" s="307" t="n"/>
      <c r="D235" s="307" t="n"/>
      <c r="E235" s="307" t="n"/>
      <c r="F235" s="307" t="n"/>
      <c r="G235" s="307" t="n"/>
      <c r="H235" s="307" t="n"/>
      <c r="I235" s="307" t="n"/>
      <c r="J235" s="307" t="n"/>
      <c r="K235" s="307" t="n"/>
      <c r="L235" s="307" t="n"/>
      <c r="M235" s="307" t="n"/>
      <c r="N235" s="307" t="n"/>
      <c r="O235" s="307" t="n"/>
      <c r="P235" s="307" t="n"/>
      <c r="Q235" s="307" t="n"/>
      <c r="R235" s="307" t="n"/>
      <c r="S235" s="307" t="n"/>
      <c r="T235" s="307" t="n"/>
      <c r="U235" s="307" t="n"/>
      <c r="V235" s="307" t="n"/>
      <c r="W235" s="307" t="n"/>
      <c r="X235" s="307" t="n"/>
      <c r="Y235" s="307" t="n"/>
      <c r="Z235" s="307" t="n"/>
      <c r="AA235" s="307" t="n"/>
      <c r="AB235" s="307" t="n"/>
      <c r="AC235" s="307" t="n"/>
      <c r="AD235" s="307" t="n"/>
      <c r="AE235" s="307" t="n"/>
      <c r="AF235" s="307" t="n"/>
      <c r="AG235" s="307" t="n"/>
      <c r="AH235" s="307" t="n"/>
      <c r="AI235" s="307" t="n"/>
      <c r="AJ235" s="307" t="n"/>
      <c r="AK235" s="307" t="n"/>
      <c r="AL235" s="307" t="n"/>
      <c r="AM235" s="307" t="n"/>
      <c r="AN235" s="307" t="n"/>
      <c r="AO235" s="307" t="n"/>
      <c r="AP235" s="307" t="n"/>
      <c r="AQ235" s="307" t="n"/>
      <c r="AR235" s="307" t="n"/>
      <c r="AS235" s="307" t="n"/>
      <c r="AT235" s="307" t="n"/>
      <c r="AU235" s="307" t="n"/>
      <c r="AV235" s="307" t="n"/>
      <c r="AW235" s="307" t="n"/>
      <c r="AX235" s="307" t="n"/>
      <c r="AY235" s="307" t="n"/>
      <c r="AZ235" s="307" t="n"/>
      <c r="BA235" s="31" t="n"/>
      <c r="BB235" s="307" t="n"/>
      <c r="BC235" s="307" t="n"/>
      <c r="BD235" s="307" t="n"/>
      <c r="BE235" s="307" t="n"/>
      <c r="BF235" s="307" t="n"/>
      <c r="BG235" s="31" t="n"/>
      <c r="BH235" s="31" t="n"/>
      <c r="BI235" s="31" t="n"/>
      <c r="BJ235" s="31" t="n"/>
    </row>
    <row r="236" ht="15.75" customHeight="1" s="349">
      <c r="A236" s="31" t="n"/>
      <c r="B236" s="307" t="n"/>
      <c r="C236" s="307" t="n"/>
      <c r="D236" s="307" t="n"/>
      <c r="E236" s="307" t="n"/>
      <c r="F236" s="307" t="n"/>
      <c r="G236" s="307" t="n"/>
      <c r="H236" s="307" t="n"/>
      <c r="I236" s="307" t="n"/>
      <c r="J236" s="307" t="n"/>
      <c r="K236" s="307" t="n"/>
      <c r="L236" s="307" t="n"/>
      <c r="M236" s="307" t="n"/>
      <c r="N236" s="307" t="n"/>
      <c r="O236" s="307" t="n"/>
      <c r="P236" s="307" t="n"/>
      <c r="Q236" s="307" t="n"/>
      <c r="R236" s="307" t="n"/>
      <c r="S236" s="307" t="n"/>
      <c r="T236" s="307" t="n"/>
      <c r="U236" s="307" t="n"/>
      <c r="V236" s="307" t="n"/>
      <c r="W236" s="307" t="n"/>
      <c r="X236" s="307" t="n"/>
      <c r="Y236" s="307" t="n"/>
      <c r="Z236" s="307" t="n"/>
      <c r="AA236" s="307" t="n"/>
      <c r="AB236" s="307" t="n"/>
      <c r="AC236" s="307" t="n"/>
      <c r="AD236" s="307" t="n"/>
      <c r="AE236" s="307" t="n"/>
      <c r="AF236" s="307" t="n"/>
      <c r="AG236" s="307" t="n"/>
      <c r="AH236" s="307" t="n"/>
      <c r="AI236" s="307" t="n"/>
      <c r="AJ236" s="307" t="n"/>
      <c r="AK236" s="307" t="n"/>
      <c r="AL236" s="307" t="n"/>
      <c r="AM236" s="307" t="n"/>
      <c r="AN236" s="307" t="n"/>
      <c r="AO236" s="307" t="n"/>
      <c r="AP236" s="307" t="n"/>
      <c r="AQ236" s="307" t="n"/>
      <c r="AR236" s="307" t="n"/>
      <c r="AS236" s="307" t="n"/>
      <c r="AT236" s="307" t="n"/>
      <c r="AU236" s="307" t="n"/>
      <c r="AV236" s="307" t="n"/>
      <c r="AW236" s="307" t="n"/>
      <c r="AX236" s="307" t="n"/>
      <c r="AY236" s="307" t="n"/>
      <c r="AZ236" s="307" t="n"/>
      <c r="BA236" s="31" t="n"/>
      <c r="BB236" s="307" t="n"/>
      <c r="BC236" s="307" t="n"/>
      <c r="BD236" s="307" t="n"/>
      <c r="BE236" s="307" t="n"/>
      <c r="BF236" s="307" t="n"/>
      <c r="BG236" s="31" t="n"/>
      <c r="BH236" s="31" t="n"/>
      <c r="BI236" s="31" t="n"/>
      <c r="BJ236" s="31" t="n"/>
    </row>
    <row r="237" ht="15.75" customHeight="1" s="349">
      <c r="A237" s="31" t="n"/>
      <c r="B237" s="307" t="n"/>
      <c r="C237" s="307" t="n"/>
      <c r="D237" s="307" t="n"/>
      <c r="E237" s="307" t="n"/>
      <c r="F237" s="307" t="n"/>
      <c r="G237" s="307" t="n"/>
      <c r="H237" s="307" t="n"/>
      <c r="I237" s="307" t="n"/>
      <c r="J237" s="307" t="n"/>
      <c r="K237" s="307" t="n"/>
      <c r="L237" s="307" t="n"/>
      <c r="M237" s="307" t="n"/>
      <c r="N237" s="307" t="n"/>
      <c r="O237" s="307" t="n"/>
      <c r="P237" s="307" t="n"/>
      <c r="Q237" s="307" t="n"/>
      <c r="R237" s="307" t="n"/>
      <c r="S237" s="307" t="n"/>
      <c r="T237" s="307" t="n"/>
      <c r="U237" s="307" t="n"/>
      <c r="V237" s="307" t="n"/>
      <c r="W237" s="307" t="n"/>
      <c r="X237" s="307" t="n"/>
      <c r="Y237" s="307" t="n"/>
      <c r="Z237" s="307" t="n"/>
      <c r="AA237" s="307" t="n"/>
      <c r="AB237" s="307" t="n"/>
      <c r="AC237" s="307" t="n"/>
      <c r="AD237" s="307" t="n"/>
      <c r="AE237" s="307" t="n"/>
      <c r="AF237" s="307" t="n"/>
      <c r="AG237" s="307" t="n"/>
      <c r="AH237" s="307" t="n"/>
      <c r="AI237" s="307" t="n"/>
      <c r="AJ237" s="307" t="n"/>
      <c r="AK237" s="307" t="n"/>
      <c r="AL237" s="307" t="n"/>
      <c r="AM237" s="307" t="n"/>
      <c r="AN237" s="307" t="n"/>
      <c r="AO237" s="307" t="n"/>
      <c r="AP237" s="307" t="n"/>
      <c r="AQ237" s="307" t="n"/>
      <c r="AR237" s="307" t="n"/>
      <c r="AS237" s="307" t="n"/>
      <c r="AT237" s="307" t="n"/>
      <c r="AU237" s="307" t="n"/>
      <c r="AV237" s="307" t="n"/>
      <c r="AW237" s="307" t="n"/>
      <c r="AX237" s="307" t="n"/>
      <c r="AY237" s="307" t="n"/>
      <c r="AZ237" s="307" t="n"/>
      <c r="BA237" s="31" t="n"/>
      <c r="BB237" s="307" t="n"/>
      <c r="BC237" s="307" t="n"/>
      <c r="BD237" s="307" t="n"/>
      <c r="BE237" s="307" t="n"/>
      <c r="BF237" s="307" t="n"/>
      <c r="BG237" s="31" t="n"/>
      <c r="BH237" s="31" t="n"/>
      <c r="BI237" s="31" t="n"/>
      <c r="BJ237" s="31" t="n"/>
    </row>
    <row r="238" ht="15.75" customHeight="1" s="349">
      <c r="A238" s="31" t="n"/>
      <c r="B238" s="307" t="n"/>
      <c r="C238" s="307" t="n"/>
      <c r="D238" s="307" t="n"/>
      <c r="E238" s="307" t="n"/>
      <c r="F238" s="307" t="n"/>
      <c r="G238" s="307" t="n"/>
      <c r="H238" s="307" t="n"/>
      <c r="I238" s="307" t="n"/>
      <c r="J238" s="307" t="n"/>
      <c r="K238" s="307" t="n"/>
      <c r="L238" s="307" t="n"/>
      <c r="M238" s="307" t="n"/>
      <c r="N238" s="307" t="n"/>
      <c r="O238" s="307" t="n"/>
      <c r="P238" s="307" t="n"/>
      <c r="Q238" s="307" t="n"/>
      <c r="R238" s="307" t="n"/>
      <c r="S238" s="307" t="n"/>
      <c r="T238" s="307" t="n"/>
      <c r="U238" s="307" t="n"/>
      <c r="V238" s="307" t="n"/>
      <c r="W238" s="307" t="n"/>
      <c r="X238" s="307" t="n"/>
      <c r="Y238" s="307" t="n"/>
      <c r="Z238" s="307" t="n"/>
      <c r="AA238" s="307" t="n"/>
      <c r="AB238" s="307" t="n"/>
      <c r="AC238" s="307" t="n"/>
      <c r="AD238" s="307" t="n"/>
      <c r="AE238" s="307" t="n"/>
      <c r="AF238" s="307" t="n"/>
      <c r="AG238" s="307" t="n"/>
      <c r="AH238" s="307" t="n"/>
      <c r="AI238" s="307" t="n"/>
      <c r="AJ238" s="307" t="n"/>
      <c r="AK238" s="307" t="n"/>
      <c r="AL238" s="307" t="n"/>
      <c r="AM238" s="307" t="n"/>
      <c r="AN238" s="307" t="n"/>
      <c r="AO238" s="307" t="n"/>
      <c r="AP238" s="307" t="n"/>
      <c r="AQ238" s="307" t="n"/>
      <c r="AR238" s="307" t="n"/>
      <c r="AS238" s="307" t="n"/>
      <c r="AT238" s="307" t="n"/>
      <c r="AU238" s="307" t="n"/>
      <c r="AV238" s="307" t="n"/>
      <c r="AW238" s="307" t="n"/>
      <c r="AX238" s="307" t="n"/>
      <c r="AY238" s="307" t="n"/>
      <c r="AZ238" s="307" t="n"/>
      <c r="BA238" s="31" t="n"/>
      <c r="BB238" s="307" t="n"/>
      <c r="BC238" s="307" t="n"/>
      <c r="BD238" s="307" t="n"/>
      <c r="BE238" s="307" t="n"/>
      <c r="BF238" s="307" t="n"/>
      <c r="BG238" s="31" t="n"/>
      <c r="BH238" s="31" t="n"/>
      <c r="BI238" s="31" t="n"/>
      <c r="BJ238" s="31" t="n"/>
    </row>
    <row r="239" ht="15.75" customHeight="1" s="349">
      <c r="A239" s="31" t="n"/>
      <c r="B239" s="307" t="n"/>
      <c r="C239" s="307" t="n"/>
      <c r="D239" s="307" t="n"/>
      <c r="E239" s="307" t="n"/>
      <c r="F239" s="307" t="n"/>
      <c r="G239" s="307" t="n"/>
      <c r="H239" s="307" t="n"/>
      <c r="I239" s="307" t="n"/>
      <c r="J239" s="307" t="n"/>
      <c r="K239" s="307" t="n"/>
      <c r="L239" s="307" t="n"/>
      <c r="M239" s="307" t="n"/>
      <c r="N239" s="307" t="n"/>
      <c r="O239" s="307" t="n"/>
      <c r="P239" s="307" t="n"/>
      <c r="Q239" s="307" t="n"/>
      <c r="R239" s="307" t="n"/>
      <c r="S239" s="307" t="n"/>
      <c r="T239" s="307" t="n"/>
      <c r="U239" s="307" t="n"/>
      <c r="V239" s="307" t="n"/>
      <c r="W239" s="307" t="n"/>
      <c r="X239" s="307" t="n"/>
      <c r="Y239" s="307" t="n"/>
      <c r="Z239" s="307" t="n"/>
      <c r="AA239" s="307" t="n"/>
      <c r="AB239" s="307" t="n"/>
      <c r="AC239" s="307" t="n"/>
      <c r="AD239" s="307" t="n"/>
      <c r="AE239" s="307" t="n"/>
      <c r="AF239" s="307" t="n"/>
      <c r="AG239" s="307" t="n"/>
      <c r="AH239" s="307" t="n"/>
      <c r="AI239" s="307" t="n"/>
      <c r="AJ239" s="307" t="n"/>
      <c r="AK239" s="307" t="n"/>
      <c r="AL239" s="307" t="n"/>
      <c r="AM239" s="307" t="n"/>
      <c r="AN239" s="307" t="n"/>
      <c r="AO239" s="307" t="n"/>
      <c r="AP239" s="307" t="n"/>
      <c r="AQ239" s="307" t="n"/>
      <c r="AR239" s="307" t="n"/>
      <c r="AS239" s="307" t="n"/>
      <c r="AT239" s="307" t="n"/>
      <c r="AU239" s="307" t="n"/>
      <c r="AV239" s="307" t="n"/>
      <c r="AW239" s="307" t="n"/>
      <c r="AX239" s="307" t="n"/>
      <c r="AY239" s="307" t="n"/>
      <c r="AZ239" s="307" t="n"/>
      <c r="BA239" s="31" t="n"/>
      <c r="BB239" s="307" t="n"/>
      <c r="BC239" s="307" t="n"/>
      <c r="BD239" s="307" t="n"/>
      <c r="BE239" s="307" t="n"/>
      <c r="BF239" s="307" t="n"/>
      <c r="BG239" s="31" t="n"/>
      <c r="BH239" s="31" t="n"/>
      <c r="BI239" s="31" t="n"/>
      <c r="BJ239" s="31" t="n"/>
    </row>
    <row r="240" ht="15.75" customHeight="1" s="349">
      <c r="A240" s="31" t="n"/>
      <c r="B240" s="307" t="n"/>
      <c r="C240" s="307" t="n"/>
      <c r="D240" s="307" t="n"/>
      <c r="E240" s="307" t="n"/>
      <c r="F240" s="307" t="n"/>
      <c r="G240" s="307" t="n"/>
      <c r="H240" s="307" t="n"/>
      <c r="I240" s="307" t="n"/>
      <c r="J240" s="307" t="n"/>
      <c r="K240" s="307" t="n"/>
      <c r="L240" s="307" t="n"/>
      <c r="M240" s="307" t="n"/>
      <c r="N240" s="307" t="n"/>
      <c r="O240" s="307" t="n"/>
      <c r="P240" s="307" t="n"/>
      <c r="Q240" s="307" t="n"/>
      <c r="R240" s="307" t="n"/>
      <c r="S240" s="307" t="n"/>
      <c r="T240" s="307" t="n"/>
      <c r="U240" s="307" t="n"/>
      <c r="V240" s="307" t="n"/>
      <c r="W240" s="307" t="n"/>
      <c r="X240" s="307" t="n"/>
      <c r="Y240" s="307" t="n"/>
      <c r="Z240" s="307" t="n"/>
      <c r="AA240" s="307" t="n"/>
      <c r="AB240" s="307" t="n"/>
      <c r="AC240" s="307" t="n"/>
      <c r="AD240" s="307" t="n"/>
      <c r="AE240" s="307" t="n"/>
      <c r="AF240" s="307" t="n"/>
      <c r="AG240" s="307" t="n"/>
      <c r="AH240" s="307" t="n"/>
      <c r="AI240" s="307" t="n"/>
      <c r="AJ240" s="307" t="n"/>
      <c r="AK240" s="307" t="n"/>
      <c r="AL240" s="307" t="n"/>
      <c r="AM240" s="307" t="n"/>
      <c r="AN240" s="307" t="n"/>
      <c r="AO240" s="307" t="n"/>
      <c r="AP240" s="307" t="n"/>
      <c r="AQ240" s="307" t="n"/>
      <c r="AR240" s="307" t="n"/>
      <c r="AS240" s="307" t="n"/>
      <c r="AT240" s="307" t="n"/>
      <c r="AU240" s="307" t="n"/>
      <c r="AV240" s="307" t="n"/>
      <c r="AW240" s="307" t="n"/>
      <c r="AX240" s="307" t="n"/>
      <c r="AY240" s="307" t="n"/>
      <c r="AZ240" s="307" t="n"/>
      <c r="BA240" s="31" t="n"/>
      <c r="BB240" s="307" t="n"/>
      <c r="BC240" s="307" t="n"/>
      <c r="BD240" s="307" t="n"/>
      <c r="BE240" s="307" t="n"/>
      <c r="BF240" s="307" t="n"/>
      <c r="BG240" s="31" t="n"/>
      <c r="BH240" s="31" t="n"/>
      <c r="BI240" s="31" t="n"/>
      <c r="BJ240" s="31" t="n"/>
    </row>
    <row r="241" ht="15.75" customHeight="1" s="349">
      <c r="A241" s="31" t="n"/>
      <c r="B241" s="307" t="n"/>
      <c r="C241" s="307" t="n"/>
      <c r="D241" s="307" t="n"/>
      <c r="E241" s="307" t="n"/>
      <c r="F241" s="307" t="n"/>
      <c r="G241" s="307" t="n"/>
      <c r="H241" s="307" t="n"/>
      <c r="I241" s="307" t="n"/>
      <c r="J241" s="307" t="n"/>
      <c r="K241" s="307" t="n"/>
      <c r="L241" s="307" t="n"/>
      <c r="M241" s="307" t="n"/>
      <c r="N241" s="307" t="n"/>
      <c r="O241" s="307" t="n"/>
      <c r="P241" s="307" t="n"/>
      <c r="Q241" s="307" t="n"/>
      <c r="R241" s="307" t="n"/>
      <c r="S241" s="307" t="n"/>
      <c r="T241" s="307" t="n"/>
      <c r="U241" s="307" t="n"/>
      <c r="V241" s="307" t="n"/>
      <c r="W241" s="307" t="n"/>
      <c r="X241" s="307" t="n"/>
      <c r="Y241" s="307" t="n"/>
      <c r="Z241" s="307" t="n"/>
      <c r="AA241" s="307" t="n"/>
      <c r="AB241" s="307" t="n"/>
      <c r="AC241" s="307" t="n"/>
      <c r="AD241" s="307" t="n"/>
      <c r="AE241" s="307" t="n"/>
      <c r="AF241" s="307" t="n"/>
      <c r="AG241" s="307" t="n"/>
      <c r="AH241" s="307" t="n"/>
      <c r="AI241" s="307" t="n"/>
      <c r="AJ241" s="307" t="n"/>
      <c r="AK241" s="307" t="n"/>
      <c r="AL241" s="307" t="n"/>
      <c r="AM241" s="307" t="n"/>
      <c r="AN241" s="307" t="n"/>
      <c r="AO241" s="307" t="n"/>
      <c r="AP241" s="307" t="n"/>
      <c r="AQ241" s="307" t="n"/>
      <c r="AR241" s="307" t="n"/>
      <c r="AS241" s="307" t="n"/>
      <c r="AT241" s="307" t="n"/>
      <c r="AU241" s="307" t="n"/>
      <c r="AV241" s="307" t="n"/>
      <c r="AW241" s="307" t="n"/>
      <c r="AX241" s="307" t="n"/>
      <c r="AY241" s="307" t="n"/>
      <c r="AZ241" s="307" t="n"/>
      <c r="BA241" s="31" t="n"/>
      <c r="BB241" s="307" t="n"/>
      <c r="BC241" s="307" t="n"/>
      <c r="BD241" s="307" t="n"/>
      <c r="BE241" s="307" t="n"/>
      <c r="BF241" s="307" t="n"/>
      <c r="BG241" s="31" t="n"/>
      <c r="BH241" s="31" t="n"/>
      <c r="BI241" s="31" t="n"/>
      <c r="BJ241" s="31" t="n"/>
    </row>
    <row r="242" ht="15.75" customHeight="1" s="349">
      <c r="A242" s="31" t="n"/>
      <c r="B242" s="307" t="n"/>
      <c r="C242" s="307" t="n"/>
      <c r="D242" s="307" t="n"/>
      <c r="E242" s="307" t="n"/>
      <c r="F242" s="307" t="n"/>
      <c r="G242" s="307" t="n"/>
      <c r="H242" s="307" t="n"/>
      <c r="I242" s="307" t="n"/>
      <c r="J242" s="307" t="n"/>
      <c r="K242" s="307" t="n"/>
      <c r="L242" s="307" t="n"/>
      <c r="M242" s="307" t="n"/>
      <c r="N242" s="307" t="n"/>
      <c r="O242" s="307" t="n"/>
      <c r="P242" s="307" t="n"/>
      <c r="Q242" s="307" t="n"/>
      <c r="R242" s="307" t="n"/>
      <c r="S242" s="307" t="n"/>
      <c r="T242" s="307" t="n"/>
      <c r="U242" s="307" t="n"/>
      <c r="V242" s="307" t="n"/>
      <c r="W242" s="307" t="n"/>
      <c r="X242" s="307" t="n"/>
      <c r="Y242" s="307" t="n"/>
      <c r="Z242" s="307" t="n"/>
      <c r="AA242" s="307" t="n"/>
      <c r="AB242" s="307" t="n"/>
      <c r="AC242" s="307" t="n"/>
      <c r="AD242" s="307" t="n"/>
      <c r="AE242" s="307" t="n"/>
      <c r="AF242" s="307" t="n"/>
      <c r="AG242" s="307" t="n"/>
      <c r="AH242" s="307" t="n"/>
      <c r="AI242" s="307" t="n"/>
      <c r="AJ242" s="307" t="n"/>
      <c r="AK242" s="307" t="n"/>
      <c r="AL242" s="307" t="n"/>
      <c r="AM242" s="307" t="n"/>
      <c r="AN242" s="307" t="n"/>
      <c r="AO242" s="307" t="n"/>
      <c r="AP242" s="307" t="n"/>
      <c r="AQ242" s="307" t="n"/>
      <c r="AR242" s="307" t="n"/>
      <c r="AS242" s="307" t="n"/>
      <c r="AT242" s="307" t="n"/>
      <c r="AU242" s="307" t="n"/>
      <c r="AV242" s="307" t="n"/>
      <c r="AW242" s="307" t="n"/>
      <c r="AX242" s="307" t="n"/>
      <c r="AY242" s="307" t="n"/>
      <c r="AZ242" s="307" t="n"/>
      <c r="BA242" s="31" t="n"/>
      <c r="BB242" s="307" t="n"/>
      <c r="BC242" s="307" t="n"/>
      <c r="BD242" s="307" t="n"/>
      <c r="BE242" s="307" t="n"/>
      <c r="BF242" s="307" t="n"/>
      <c r="BG242" s="31" t="n"/>
      <c r="BH242" s="31" t="n"/>
      <c r="BI242" s="31" t="n"/>
      <c r="BJ242" s="31" t="n"/>
    </row>
    <row r="243" ht="15.75" customHeight="1" s="349">
      <c r="A243" s="31" t="n"/>
      <c r="B243" s="307" t="n"/>
      <c r="C243" s="307" t="n"/>
      <c r="D243" s="307" t="n"/>
      <c r="E243" s="307" t="n"/>
      <c r="F243" s="307" t="n"/>
      <c r="G243" s="307" t="n"/>
      <c r="H243" s="307" t="n"/>
      <c r="I243" s="307" t="n"/>
      <c r="J243" s="307" t="n"/>
      <c r="K243" s="307" t="n"/>
      <c r="L243" s="307" t="n"/>
      <c r="M243" s="307" t="n"/>
      <c r="N243" s="307" t="n"/>
      <c r="O243" s="307" t="n"/>
      <c r="P243" s="307" t="n"/>
      <c r="Q243" s="307" t="n"/>
      <c r="R243" s="307" t="n"/>
      <c r="S243" s="307" t="n"/>
      <c r="T243" s="307" t="n"/>
      <c r="U243" s="307" t="n"/>
      <c r="V243" s="307" t="n"/>
      <c r="W243" s="307" t="n"/>
      <c r="X243" s="307" t="n"/>
      <c r="Y243" s="307" t="n"/>
      <c r="Z243" s="307" t="n"/>
      <c r="AA243" s="307" t="n"/>
      <c r="AB243" s="307" t="n"/>
      <c r="AC243" s="307" t="n"/>
      <c r="AD243" s="307" t="n"/>
      <c r="AE243" s="307" t="n"/>
      <c r="AF243" s="307" t="n"/>
      <c r="AG243" s="307" t="n"/>
      <c r="AH243" s="307" t="n"/>
      <c r="AI243" s="307" t="n"/>
      <c r="AJ243" s="307" t="n"/>
      <c r="AK243" s="307" t="n"/>
      <c r="AL243" s="307" t="n"/>
      <c r="AM243" s="307" t="n"/>
      <c r="AN243" s="307" t="n"/>
      <c r="AO243" s="307" t="n"/>
      <c r="AP243" s="307" t="n"/>
      <c r="AQ243" s="307" t="n"/>
      <c r="AR243" s="307" t="n"/>
      <c r="AS243" s="307" t="n"/>
      <c r="AT243" s="307" t="n"/>
      <c r="AU243" s="307" t="n"/>
      <c r="AV243" s="307" t="n"/>
      <c r="AW243" s="307" t="n"/>
      <c r="AX243" s="307" t="n"/>
      <c r="AY243" s="307" t="n"/>
      <c r="AZ243" s="307" t="n"/>
      <c r="BA243" s="31" t="n"/>
      <c r="BB243" s="307" t="n"/>
      <c r="BC243" s="307" t="n"/>
      <c r="BD243" s="307" t="n"/>
      <c r="BE243" s="307" t="n"/>
      <c r="BF243" s="307" t="n"/>
      <c r="BG243" s="31" t="n"/>
      <c r="BH243" s="31" t="n"/>
      <c r="BI243" s="31" t="n"/>
      <c r="BJ243" s="31" t="n"/>
    </row>
    <row r="244" ht="15.75" customHeight="1" s="349">
      <c r="A244" s="31" t="n"/>
      <c r="B244" s="307" t="n"/>
      <c r="C244" s="307" t="n"/>
      <c r="D244" s="307" t="n"/>
      <c r="E244" s="307" t="n"/>
      <c r="F244" s="307" t="n"/>
      <c r="G244" s="307" t="n"/>
      <c r="H244" s="307" t="n"/>
      <c r="I244" s="307" t="n"/>
      <c r="J244" s="307" t="n"/>
      <c r="K244" s="307" t="n"/>
      <c r="L244" s="307" t="n"/>
      <c r="M244" s="307" t="n"/>
      <c r="N244" s="307" t="n"/>
      <c r="O244" s="307" t="n"/>
      <c r="P244" s="307" t="n"/>
      <c r="Q244" s="307" t="n"/>
      <c r="R244" s="307" t="n"/>
      <c r="S244" s="307" t="n"/>
      <c r="T244" s="307" t="n"/>
      <c r="U244" s="307" t="n"/>
      <c r="V244" s="307" t="n"/>
      <c r="W244" s="307" t="n"/>
      <c r="X244" s="307" t="n"/>
      <c r="Y244" s="307" t="n"/>
      <c r="Z244" s="307" t="n"/>
      <c r="AA244" s="307" t="n"/>
      <c r="AB244" s="307" t="n"/>
      <c r="AC244" s="307" t="n"/>
      <c r="AD244" s="307" t="n"/>
      <c r="AE244" s="307" t="n"/>
      <c r="AF244" s="307" t="n"/>
      <c r="AG244" s="307" t="n"/>
      <c r="AH244" s="307" t="n"/>
      <c r="AI244" s="307" t="n"/>
      <c r="AJ244" s="307" t="n"/>
      <c r="AK244" s="307" t="n"/>
      <c r="AL244" s="307" t="n"/>
      <c r="AM244" s="307" t="n"/>
      <c r="AN244" s="307" t="n"/>
      <c r="AO244" s="307" t="n"/>
      <c r="AP244" s="307" t="n"/>
      <c r="AQ244" s="307" t="n"/>
      <c r="AR244" s="307" t="n"/>
      <c r="AS244" s="307" t="n"/>
      <c r="AT244" s="307" t="n"/>
      <c r="AU244" s="307" t="n"/>
      <c r="AV244" s="307" t="n"/>
      <c r="AW244" s="307" t="n"/>
      <c r="AX244" s="307" t="n"/>
      <c r="AY244" s="307" t="n"/>
      <c r="AZ244" s="307" t="n"/>
      <c r="BA244" s="31" t="n"/>
      <c r="BB244" s="307" t="n"/>
      <c r="BC244" s="307" t="n"/>
      <c r="BD244" s="307" t="n"/>
      <c r="BE244" s="307" t="n"/>
      <c r="BF244" s="307" t="n"/>
      <c r="BG244" s="31" t="n"/>
      <c r="BH244" s="31" t="n"/>
      <c r="BI244" s="31" t="n"/>
      <c r="BJ244" s="31" t="n"/>
    </row>
    <row r="245" ht="15.75" customHeight="1" s="349">
      <c r="A245" s="31" t="n"/>
      <c r="B245" s="307" t="n"/>
      <c r="C245" s="307" t="n"/>
      <c r="D245" s="307" t="n"/>
      <c r="E245" s="307" t="n"/>
      <c r="F245" s="307" t="n"/>
      <c r="G245" s="307" t="n"/>
      <c r="H245" s="307" t="n"/>
      <c r="I245" s="307" t="n"/>
      <c r="J245" s="307" t="n"/>
      <c r="K245" s="307" t="n"/>
      <c r="L245" s="307" t="n"/>
      <c r="M245" s="307" t="n"/>
      <c r="N245" s="307" t="n"/>
      <c r="O245" s="307" t="n"/>
      <c r="P245" s="307" t="n"/>
      <c r="Q245" s="307" t="n"/>
      <c r="R245" s="307" t="n"/>
      <c r="S245" s="307" t="n"/>
      <c r="T245" s="307" t="n"/>
      <c r="U245" s="307" t="n"/>
      <c r="V245" s="307" t="n"/>
      <c r="W245" s="307" t="n"/>
      <c r="X245" s="307" t="n"/>
      <c r="Y245" s="307" t="n"/>
      <c r="Z245" s="307" t="n"/>
      <c r="AA245" s="307" t="n"/>
      <c r="AB245" s="307" t="n"/>
      <c r="AC245" s="307" t="n"/>
      <c r="AD245" s="307" t="n"/>
      <c r="AE245" s="307" t="n"/>
      <c r="AF245" s="307" t="n"/>
      <c r="AG245" s="307" t="n"/>
      <c r="AH245" s="307" t="n"/>
      <c r="AI245" s="307" t="n"/>
      <c r="AJ245" s="307" t="n"/>
      <c r="AK245" s="307" t="n"/>
      <c r="AL245" s="307" t="n"/>
      <c r="AM245" s="307" t="n"/>
      <c r="AN245" s="307" t="n"/>
      <c r="AO245" s="307" t="n"/>
      <c r="AP245" s="307" t="n"/>
      <c r="AQ245" s="307" t="n"/>
      <c r="AR245" s="307" t="n"/>
      <c r="AS245" s="307" t="n"/>
      <c r="AT245" s="307" t="n"/>
      <c r="AU245" s="307" t="n"/>
      <c r="AV245" s="307" t="n"/>
      <c r="AW245" s="307" t="n"/>
      <c r="AX245" s="307" t="n"/>
      <c r="AY245" s="307" t="n"/>
      <c r="AZ245" s="307" t="n"/>
      <c r="BA245" s="31" t="n"/>
      <c r="BB245" s="307" t="n"/>
      <c r="BC245" s="307" t="n"/>
      <c r="BD245" s="307" t="n"/>
      <c r="BE245" s="307" t="n"/>
      <c r="BF245" s="307" t="n"/>
      <c r="BG245" s="31" t="n"/>
      <c r="BH245" s="31" t="n"/>
      <c r="BI245" s="31" t="n"/>
      <c r="BJ245" s="31" t="n"/>
    </row>
    <row r="246" ht="15.75" customHeight="1" s="349">
      <c r="A246" s="31" t="n"/>
      <c r="B246" s="307" t="n"/>
      <c r="C246" s="307" t="n"/>
      <c r="D246" s="307" t="n"/>
      <c r="E246" s="307" t="n"/>
      <c r="F246" s="307" t="n"/>
      <c r="G246" s="307" t="n"/>
      <c r="H246" s="307" t="n"/>
      <c r="I246" s="307" t="n"/>
      <c r="J246" s="307" t="n"/>
      <c r="K246" s="307" t="n"/>
      <c r="L246" s="307" t="n"/>
      <c r="M246" s="307" t="n"/>
      <c r="N246" s="307" t="n"/>
      <c r="O246" s="307" t="n"/>
      <c r="P246" s="307" t="n"/>
      <c r="Q246" s="307" t="n"/>
      <c r="R246" s="307" t="n"/>
      <c r="S246" s="307" t="n"/>
      <c r="T246" s="307" t="n"/>
      <c r="U246" s="307" t="n"/>
      <c r="V246" s="307" t="n"/>
      <c r="W246" s="307" t="n"/>
      <c r="X246" s="307" t="n"/>
      <c r="Y246" s="307" t="n"/>
      <c r="Z246" s="307" t="n"/>
      <c r="AA246" s="307" t="n"/>
      <c r="AB246" s="307" t="n"/>
      <c r="AC246" s="307" t="n"/>
      <c r="AD246" s="307" t="n"/>
      <c r="AE246" s="307" t="n"/>
      <c r="AF246" s="307" t="n"/>
      <c r="AG246" s="307" t="n"/>
      <c r="AH246" s="307" t="n"/>
      <c r="AI246" s="307" t="n"/>
      <c r="AJ246" s="307" t="n"/>
      <c r="AK246" s="307" t="n"/>
      <c r="AL246" s="307" t="n"/>
      <c r="AM246" s="307" t="n"/>
      <c r="AN246" s="307" t="n"/>
      <c r="AO246" s="307" t="n"/>
      <c r="AP246" s="307" t="n"/>
      <c r="AQ246" s="307" t="n"/>
      <c r="AR246" s="307" t="n"/>
      <c r="AS246" s="307" t="n"/>
      <c r="AT246" s="307" t="n"/>
      <c r="AU246" s="307" t="n"/>
      <c r="AV246" s="307" t="n"/>
      <c r="AW246" s="307" t="n"/>
      <c r="AX246" s="307" t="n"/>
      <c r="AY246" s="307" t="n"/>
      <c r="AZ246" s="307" t="n"/>
      <c r="BA246" s="31" t="n"/>
      <c r="BB246" s="307" t="n"/>
      <c r="BC246" s="307" t="n"/>
      <c r="BD246" s="307" t="n"/>
      <c r="BE246" s="307" t="n"/>
      <c r="BF246" s="307" t="n"/>
      <c r="BG246" s="31" t="n"/>
      <c r="BH246" s="31" t="n"/>
      <c r="BI246" s="31" t="n"/>
      <c r="BJ246" s="31" t="n"/>
    </row>
    <row r="247" ht="15.75" customHeight="1" s="349">
      <c r="A247" s="31" t="n"/>
      <c r="B247" s="307" t="n"/>
      <c r="C247" s="307" t="n"/>
      <c r="D247" s="307" t="n"/>
      <c r="E247" s="307" t="n"/>
      <c r="F247" s="307" t="n"/>
      <c r="G247" s="307" t="n"/>
      <c r="H247" s="307" t="n"/>
      <c r="I247" s="307" t="n"/>
      <c r="J247" s="307" t="n"/>
      <c r="K247" s="307" t="n"/>
      <c r="L247" s="307" t="n"/>
      <c r="M247" s="307" t="n"/>
      <c r="N247" s="307" t="n"/>
      <c r="O247" s="307" t="n"/>
      <c r="P247" s="307" t="n"/>
      <c r="Q247" s="307" t="n"/>
      <c r="R247" s="307" t="n"/>
      <c r="S247" s="307" t="n"/>
      <c r="T247" s="307" t="n"/>
      <c r="U247" s="307" t="n"/>
      <c r="V247" s="307" t="n"/>
      <c r="W247" s="307" t="n"/>
      <c r="X247" s="307" t="n"/>
      <c r="Y247" s="307" t="n"/>
      <c r="Z247" s="307" t="n"/>
      <c r="AA247" s="307" t="n"/>
      <c r="AB247" s="307" t="n"/>
      <c r="AC247" s="307" t="n"/>
      <c r="AD247" s="307" t="n"/>
      <c r="AE247" s="307" t="n"/>
      <c r="AF247" s="307" t="n"/>
      <c r="AG247" s="307" t="n"/>
      <c r="AH247" s="307" t="n"/>
      <c r="AI247" s="307" t="n"/>
      <c r="AJ247" s="307" t="n"/>
      <c r="AK247" s="307" t="n"/>
      <c r="AL247" s="307" t="n"/>
      <c r="AM247" s="307" t="n"/>
      <c r="AN247" s="307" t="n"/>
      <c r="AO247" s="307" t="n"/>
      <c r="AP247" s="307" t="n"/>
      <c r="AQ247" s="307" t="n"/>
      <c r="AR247" s="307" t="n"/>
      <c r="AS247" s="307" t="n"/>
      <c r="AT247" s="307" t="n"/>
      <c r="AU247" s="307" t="n"/>
      <c r="AV247" s="307" t="n"/>
      <c r="AW247" s="307" t="n"/>
      <c r="AX247" s="307" t="n"/>
      <c r="AY247" s="307" t="n"/>
      <c r="AZ247" s="307" t="n"/>
      <c r="BA247" s="31" t="n"/>
      <c r="BB247" s="307" t="n"/>
      <c r="BC247" s="307" t="n"/>
      <c r="BD247" s="307" t="n"/>
      <c r="BE247" s="307" t="n"/>
      <c r="BF247" s="307" t="n"/>
      <c r="BG247" s="31" t="n"/>
      <c r="BH247" s="31" t="n"/>
      <c r="BI247" s="31" t="n"/>
      <c r="BJ247" s="31" t="n"/>
    </row>
    <row r="248" ht="15.75" customHeight="1" s="349">
      <c r="A248" s="31" t="n"/>
      <c r="B248" s="307" t="n"/>
      <c r="C248" s="307" t="n"/>
      <c r="D248" s="307" t="n"/>
      <c r="E248" s="307" t="n"/>
      <c r="F248" s="307" t="n"/>
      <c r="G248" s="307" t="n"/>
      <c r="H248" s="307" t="n"/>
      <c r="I248" s="307" t="n"/>
      <c r="J248" s="307" t="n"/>
      <c r="K248" s="307" t="n"/>
      <c r="L248" s="307" t="n"/>
      <c r="M248" s="307" t="n"/>
      <c r="N248" s="307" t="n"/>
      <c r="O248" s="307" t="n"/>
      <c r="P248" s="307" t="n"/>
      <c r="Q248" s="307" t="n"/>
      <c r="R248" s="307" t="n"/>
      <c r="S248" s="307" t="n"/>
      <c r="T248" s="307" t="n"/>
      <c r="U248" s="307" t="n"/>
      <c r="V248" s="307" t="n"/>
      <c r="W248" s="307" t="n"/>
      <c r="X248" s="307" t="n"/>
      <c r="Y248" s="307" t="n"/>
      <c r="Z248" s="307" t="n"/>
      <c r="AA248" s="307" t="n"/>
      <c r="AB248" s="307" t="n"/>
      <c r="AC248" s="307" t="n"/>
      <c r="AD248" s="307" t="n"/>
      <c r="AE248" s="307" t="n"/>
      <c r="AF248" s="307" t="n"/>
      <c r="AG248" s="307" t="n"/>
      <c r="AH248" s="307" t="n"/>
      <c r="AI248" s="307" t="n"/>
      <c r="AJ248" s="307" t="n"/>
      <c r="AK248" s="307" t="n"/>
      <c r="AL248" s="307" t="n"/>
      <c r="AM248" s="307" t="n"/>
      <c r="AN248" s="307" t="n"/>
      <c r="AO248" s="307" t="n"/>
      <c r="AP248" s="307" t="n"/>
      <c r="AQ248" s="307" t="n"/>
      <c r="AR248" s="307" t="n"/>
      <c r="AS248" s="307" t="n"/>
      <c r="AT248" s="307" t="n"/>
      <c r="AU248" s="307" t="n"/>
      <c r="AV248" s="307" t="n"/>
      <c r="AW248" s="307" t="n"/>
      <c r="AX248" s="307" t="n"/>
      <c r="AY248" s="307" t="n"/>
      <c r="AZ248" s="307" t="n"/>
      <c r="BA248" s="31" t="n"/>
      <c r="BB248" s="307" t="n"/>
      <c r="BC248" s="307" t="n"/>
      <c r="BD248" s="307" t="n"/>
      <c r="BE248" s="307" t="n"/>
      <c r="BF248" s="307" t="n"/>
      <c r="BG248" s="31" t="n"/>
      <c r="BH248" s="31" t="n"/>
      <c r="BI248" s="31" t="n"/>
      <c r="BJ248" s="31" t="n"/>
    </row>
    <row r="249" ht="15.75" customHeight="1" s="349">
      <c r="A249" s="31" t="n"/>
      <c r="B249" s="307" t="n"/>
      <c r="C249" s="307" t="n"/>
      <c r="D249" s="307" t="n"/>
      <c r="E249" s="307" t="n"/>
      <c r="F249" s="307" t="n"/>
      <c r="G249" s="307" t="n"/>
      <c r="H249" s="307" t="n"/>
      <c r="I249" s="307" t="n"/>
      <c r="J249" s="307" t="n"/>
      <c r="K249" s="307" t="n"/>
      <c r="L249" s="307" t="n"/>
      <c r="M249" s="307" t="n"/>
      <c r="N249" s="307" t="n"/>
      <c r="O249" s="307" t="n"/>
      <c r="P249" s="307" t="n"/>
      <c r="Q249" s="307" t="n"/>
      <c r="R249" s="307" t="n"/>
      <c r="S249" s="307" t="n"/>
      <c r="T249" s="307" t="n"/>
      <c r="U249" s="307" t="n"/>
      <c r="V249" s="307" t="n"/>
      <c r="W249" s="307" t="n"/>
      <c r="X249" s="307" t="n"/>
      <c r="Y249" s="307" t="n"/>
      <c r="Z249" s="307" t="n"/>
      <c r="AA249" s="307" t="n"/>
      <c r="AB249" s="307" t="n"/>
      <c r="AC249" s="307" t="n"/>
      <c r="AD249" s="307" t="n"/>
      <c r="AE249" s="307" t="n"/>
      <c r="AF249" s="307" t="n"/>
      <c r="AG249" s="307" t="n"/>
      <c r="AH249" s="307" t="n"/>
      <c r="AI249" s="307" t="n"/>
      <c r="AJ249" s="307" t="n"/>
      <c r="AK249" s="307" t="n"/>
      <c r="AL249" s="307" t="n"/>
      <c r="AM249" s="307" t="n"/>
      <c r="AN249" s="307" t="n"/>
      <c r="AO249" s="307" t="n"/>
      <c r="AP249" s="307" t="n"/>
      <c r="AQ249" s="307" t="n"/>
      <c r="AR249" s="307" t="n"/>
      <c r="AS249" s="307" t="n"/>
      <c r="AT249" s="307" t="n"/>
      <c r="AU249" s="307" t="n"/>
      <c r="AV249" s="307" t="n"/>
      <c r="AW249" s="307" t="n"/>
      <c r="AX249" s="307" t="n"/>
      <c r="AY249" s="307" t="n"/>
      <c r="AZ249" s="307" t="n"/>
      <c r="BA249" s="31" t="n"/>
      <c r="BB249" s="307" t="n"/>
      <c r="BC249" s="307" t="n"/>
      <c r="BD249" s="307" t="n"/>
      <c r="BE249" s="307" t="n"/>
      <c r="BF249" s="307" t="n"/>
      <c r="BG249" s="31" t="n"/>
      <c r="BH249" s="31" t="n"/>
      <c r="BI249" s="31" t="n"/>
      <c r="BJ249" s="31" t="n"/>
    </row>
    <row r="250" ht="15.75" customHeight="1" s="349">
      <c r="A250" s="31" t="n"/>
      <c r="B250" s="307" t="n"/>
      <c r="C250" s="307" t="n"/>
      <c r="D250" s="307" t="n"/>
      <c r="E250" s="307" t="n"/>
      <c r="F250" s="307" t="n"/>
      <c r="G250" s="307" t="n"/>
      <c r="H250" s="307" t="n"/>
      <c r="I250" s="307" t="n"/>
      <c r="J250" s="307" t="n"/>
      <c r="K250" s="307" t="n"/>
      <c r="L250" s="307" t="n"/>
      <c r="M250" s="307" t="n"/>
      <c r="N250" s="307" t="n"/>
      <c r="O250" s="307" t="n"/>
      <c r="P250" s="307" t="n"/>
      <c r="Q250" s="307" t="n"/>
      <c r="R250" s="307" t="n"/>
      <c r="S250" s="307" t="n"/>
      <c r="T250" s="307" t="n"/>
      <c r="U250" s="307" t="n"/>
      <c r="V250" s="307" t="n"/>
      <c r="W250" s="307" t="n"/>
      <c r="X250" s="307" t="n"/>
      <c r="Y250" s="307" t="n"/>
      <c r="Z250" s="307" t="n"/>
      <c r="AA250" s="307" t="n"/>
      <c r="AB250" s="307" t="n"/>
      <c r="AC250" s="307" t="n"/>
      <c r="AD250" s="307" t="n"/>
      <c r="AE250" s="307" t="n"/>
      <c r="AF250" s="307" t="n"/>
      <c r="AG250" s="307" t="n"/>
      <c r="AH250" s="307" t="n"/>
      <c r="AI250" s="307" t="n"/>
      <c r="AJ250" s="307" t="n"/>
      <c r="AK250" s="307" t="n"/>
      <c r="AL250" s="307" t="n"/>
      <c r="AM250" s="307" t="n"/>
      <c r="AN250" s="307" t="n"/>
      <c r="AO250" s="307" t="n"/>
      <c r="AP250" s="307" t="n"/>
      <c r="AQ250" s="307" t="n"/>
      <c r="AR250" s="307" t="n"/>
      <c r="AS250" s="307" t="n"/>
      <c r="AT250" s="307" t="n"/>
      <c r="AU250" s="307" t="n"/>
      <c r="AV250" s="307" t="n"/>
      <c r="AW250" s="307" t="n"/>
      <c r="AX250" s="307" t="n"/>
      <c r="AY250" s="307" t="n"/>
      <c r="AZ250" s="307" t="n"/>
      <c r="BA250" s="31" t="n"/>
      <c r="BB250" s="307" t="n"/>
      <c r="BC250" s="307" t="n"/>
      <c r="BD250" s="307" t="n"/>
      <c r="BE250" s="307" t="n"/>
      <c r="BF250" s="307" t="n"/>
      <c r="BG250" s="31" t="n"/>
      <c r="BH250" s="31" t="n"/>
      <c r="BI250" s="31" t="n"/>
      <c r="BJ250" s="31" t="n"/>
    </row>
    <row r="251" ht="15.75" customHeight="1" s="349">
      <c r="A251" s="31" t="n"/>
      <c r="B251" s="307" t="n"/>
      <c r="C251" s="307" t="n"/>
      <c r="D251" s="307" t="n"/>
      <c r="E251" s="307" t="n"/>
      <c r="F251" s="307" t="n"/>
      <c r="G251" s="307" t="n"/>
      <c r="H251" s="307" t="n"/>
      <c r="I251" s="307" t="n"/>
      <c r="J251" s="307" t="n"/>
      <c r="K251" s="307" t="n"/>
      <c r="L251" s="307" t="n"/>
      <c r="M251" s="307" t="n"/>
      <c r="N251" s="307" t="n"/>
      <c r="O251" s="307" t="n"/>
      <c r="P251" s="307" t="n"/>
      <c r="Q251" s="307" t="n"/>
      <c r="R251" s="307" t="n"/>
      <c r="S251" s="307" t="n"/>
      <c r="T251" s="307" t="n"/>
      <c r="U251" s="307" t="n"/>
      <c r="V251" s="307" t="n"/>
      <c r="W251" s="307" t="n"/>
      <c r="X251" s="307" t="n"/>
      <c r="Y251" s="307" t="n"/>
      <c r="Z251" s="307" t="n"/>
      <c r="AA251" s="307" t="n"/>
      <c r="AB251" s="307" t="n"/>
      <c r="AC251" s="307" t="n"/>
      <c r="AD251" s="307" t="n"/>
      <c r="AE251" s="307" t="n"/>
      <c r="AF251" s="307" t="n"/>
      <c r="AG251" s="307" t="n"/>
      <c r="AH251" s="307" t="n"/>
      <c r="AI251" s="307" t="n"/>
      <c r="AJ251" s="307" t="n"/>
      <c r="AK251" s="307" t="n"/>
      <c r="AL251" s="307" t="n"/>
      <c r="AM251" s="307" t="n"/>
      <c r="AN251" s="307" t="n"/>
      <c r="AO251" s="307" t="n"/>
      <c r="AP251" s="307" t="n"/>
      <c r="AQ251" s="307" t="n"/>
      <c r="AR251" s="307" t="n"/>
      <c r="AS251" s="307" t="n"/>
      <c r="AT251" s="307" t="n"/>
      <c r="AU251" s="307" t="n"/>
      <c r="AV251" s="307" t="n"/>
      <c r="AW251" s="307" t="n"/>
      <c r="AX251" s="307" t="n"/>
      <c r="AY251" s="307" t="n"/>
      <c r="AZ251" s="307" t="n"/>
      <c r="BA251" s="31" t="n"/>
      <c r="BB251" s="307" t="n"/>
      <c r="BC251" s="307" t="n"/>
      <c r="BD251" s="307" t="n"/>
      <c r="BE251" s="307" t="n"/>
      <c r="BF251" s="307" t="n"/>
      <c r="BG251" s="31" t="n"/>
      <c r="BH251" s="31" t="n"/>
      <c r="BI251" s="31" t="n"/>
      <c r="BJ251" s="31" t="n"/>
    </row>
    <row r="252" ht="15.75" customHeight="1" s="349">
      <c r="A252" s="31" t="n"/>
      <c r="B252" s="307" t="n"/>
      <c r="C252" s="307" t="n"/>
      <c r="D252" s="307" t="n"/>
      <c r="E252" s="307" t="n"/>
      <c r="F252" s="307" t="n"/>
      <c r="G252" s="307" t="n"/>
      <c r="H252" s="307" t="n"/>
      <c r="I252" s="307" t="n"/>
      <c r="J252" s="307" t="n"/>
      <c r="K252" s="307" t="n"/>
      <c r="L252" s="307" t="n"/>
      <c r="M252" s="307" t="n"/>
      <c r="N252" s="307" t="n"/>
      <c r="O252" s="307" t="n"/>
      <c r="P252" s="307" t="n"/>
      <c r="Q252" s="307" t="n"/>
      <c r="R252" s="307" t="n"/>
      <c r="S252" s="307" t="n"/>
      <c r="T252" s="307" t="n"/>
      <c r="U252" s="307" t="n"/>
      <c r="V252" s="307" t="n"/>
      <c r="W252" s="307" t="n"/>
      <c r="X252" s="307" t="n"/>
      <c r="Y252" s="307" t="n"/>
      <c r="Z252" s="307" t="n"/>
      <c r="AA252" s="307" t="n"/>
      <c r="AB252" s="307" t="n"/>
      <c r="AC252" s="307" t="n"/>
      <c r="AD252" s="307" t="n"/>
      <c r="AE252" s="307" t="n"/>
      <c r="AF252" s="307" t="n"/>
      <c r="AG252" s="307" t="n"/>
      <c r="AH252" s="307" t="n"/>
      <c r="AI252" s="307" t="n"/>
      <c r="AJ252" s="307" t="n"/>
      <c r="AK252" s="307" t="n"/>
      <c r="AL252" s="307" t="n"/>
      <c r="AM252" s="307" t="n"/>
      <c r="AN252" s="307" t="n"/>
      <c r="AO252" s="307" t="n"/>
      <c r="AP252" s="307" t="n"/>
      <c r="AQ252" s="307" t="n"/>
      <c r="AR252" s="307" t="n"/>
      <c r="AS252" s="307" t="n"/>
      <c r="AT252" s="307" t="n"/>
      <c r="AU252" s="307" t="n"/>
      <c r="AV252" s="307" t="n"/>
      <c r="AW252" s="307" t="n"/>
      <c r="AX252" s="307" t="n"/>
      <c r="AY252" s="307" t="n"/>
      <c r="AZ252" s="307" t="n"/>
      <c r="BA252" s="31" t="n"/>
      <c r="BB252" s="307" t="n"/>
      <c r="BC252" s="307" t="n"/>
      <c r="BD252" s="307" t="n"/>
      <c r="BE252" s="307" t="n"/>
      <c r="BF252" s="307" t="n"/>
      <c r="BG252" s="31" t="n"/>
      <c r="BH252" s="31" t="n"/>
      <c r="BI252" s="31" t="n"/>
      <c r="BJ252" s="31" t="n"/>
    </row>
    <row r="253" ht="15.75" customHeight="1" s="349">
      <c r="A253" s="31" t="n"/>
      <c r="B253" s="307" t="n"/>
      <c r="C253" s="307" t="n"/>
      <c r="D253" s="307" t="n"/>
      <c r="E253" s="307" t="n"/>
      <c r="F253" s="307" t="n"/>
      <c r="G253" s="307" t="n"/>
      <c r="H253" s="307" t="n"/>
      <c r="I253" s="307" t="n"/>
      <c r="J253" s="307" t="n"/>
      <c r="K253" s="307" t="n"/>
      <c r="L253" s="307" t="n"/>
      <c r="M253" s="307" t="n"/>
      <c r="N253" s="307" t="n"/>
      <c r="O253" s="307" t="n"/>
      <c r="P253" s="307" t="n"/>
      <c r="Q253" s="307" t="n"/>
      <c r="R253" s="307" t="n"/>
      <c r="S253" s="307" t="n"/>
      <c r="T253" s="307" t="n"/>
      <c r="U253" s="307" t="n"/>
      <c r="V253" s="307" t="n"/>
      <c r="W253" s="307" t="n"/>
      <c r="X253" s="307" t="n"/>
      <c r="Y253" s="307" t="n"/>
      <c r="Z253" s="307" t="n"/>
      <c r="AA253" s="307" t="n"/>
      <c r="AB253" s="307" t="n"/>
      <c r="AC253" s="307" t="n"/>
      <c r="AD253" s="307" t="n"/>
      <c r="AE253" s="307" t="n"/>
      <c r="AF253" s="307" t="n"/>
      <c r="AG253" s="307" t="n"/>
      <c r="AH253" s="307" t="n"/>
      <c r="AI253" s="307" t="n"/>
      <c r="AJ253" s="307" t="n"/>
      <c r="AK253" s="307" t="n"/>
      <c r="AL253" s="307" t="n"/>
      <c r="AM253" s="307" t="n"/>
      <c r="AN253" s="307" t="n"/>
      <c r="AO253" s="307" t="n"/>
      <c r="AP253" s="307" t="n"/>
      <c r="AQ253" s="307" t="n"/>
      <c r="AR253" s="307" t="n"/>
      <c r="AS253" s="307" t="n"/>
      <c r="AT253" s="307" t="n"/>
      <c r="AU253" s="307" t="n"/>
      <c r="AV253" s="307" t="n"/>
      <c r="AW253" s="307" t="n"/>
      <c r="AX253" s="307" t="n"/>
      <c r="AY253" s="307" t="n"/>
      <c r="AZ253" s="307" t="n"/>
      <c r="BA253" s="31" t="n"/>
      <c r="BB253" s="307" t="n"/>
      <c r="BC253" s="307" t="n"/>
      <c r="BD253" s="307" t="n"/>
      <c r="BE253" s="307" t="n"/>
      <c r="BF253" s="307" t="n"/>
      <c r="BG253" s="31" t="n"/>
      <c r="BH253" s="31" t="n"/>
      <c r="BI253" s="31" t="n"/>
      <c r="BJ253" s="31" t="n"/>
    </row>
    <row r="254" ht="15.75" customHeight="1" s="349">
      <c r="A254" s="31" t="n"/>
      <c r="B254" s="307" t="n"/>
      <c r="C254" s="307" t="n"/>
      <c r="D254" s="307" t="n"/>
      <c r="E254" s="307" t="n"/>
      <c r="F254" s="307" t="n"/>
      <c r="G254" s="307" t="n"/>
      <c r="H254" s="307" t="n"/>
      <c r="I254" s="307" t="n"/>
      <c r="J254" s="307" t="n"/>
      <c r="K254" s="307" t="n"/>
      <c r="L254" s="307" t="n"/>
      <c r="M254" s="307" t="n"/>
      <c r="N254" s="307" t="n"/>
      <c r="O254" s="307" t="n"/>
      <c r="P254" s="307" t="n"/>
      <c r="Q254" s="307" t="n"/>
      <c r="R254" s="307" t="n"/>
      <c r="S254" s="307" t="n"/>
      <c r="T254" s="307" t="n"/>
      <c r="U254" s="307" t="n"/>
      <c r="V254" s="307" t="n"/>
      <c r="W254" s="307" t="n"/>
      <c r="X254" s="307" t="n"/>
      <c r="Y254" s="307" t="n"/>
      <c r="Z254" s="307" t="n"/>
      <c r="AA254" s="307" t="n"/>
      <c r="AB254" s="307" t="n"/>
      <c r="AC254" s="307" t="n"/>
      <c r="AD254" s="307" t="n"/>
      <c r="AE254" s="307" t="n"/>
      <c r="AF254" s="307" t="n"/>
      <c r="AG254" s="307" t="n"/>
      <c r="AH254" s="307" t="n"/>
      <c r="AI254" s="307" t="n"/>
      <c r="AJ254" s="307" t="n"/>
      <c r="AK254" s="307" t="n"/>
      <c r="AL254" s="307" t="n"/>
      <c r="AM254" s="307" t="n"/>
      <c r="AN254" s="307" t="n"/>
      <c r="AO254" s="307" t="n"/>
      <c r="AP254" s="307" t="n"/>
      <c r="AQ254" s="307" t="n"/>
      <c r="AR254" s="307" t="n"/>
      <c r="AS254" s="307" t="n"/>
      <c r="AT254" s="307" t="n"/>
      <c r="AU254" s="307" t="n"/>
      <c r="AV254" s="307" t="n"/>
      <c r="AW254" s="307" t="n"/>
      <c r="AX254" s="307" t="n"/>
      <c r="AY254" s="307" t="n"/>
      <c r="AZ254" s="307" t="n"/>
      <c r="BA254" s="31" t="n"/>
      <c r="BB254" s="307" t="n"/>
      <c r="BC254" s="307" t="n"/>
      <c r="BD254" s="307" t="n"/>
      <c r="BE254" s="307" t="n"/>
      <c r="BF254" s="307" t="n"/>
      <c r="BG254" s="31" t="n"/>
      <c r="BH254" s="31" t="n"/>
      <c r="BI254" s="31" t="n"/>
      <c r="BJ254" s="31" t="n"/>
    </row>
    <row r="255" ht="15.75" customHeight="1" s="349">
      <c r="A255" s="31" t="n"/>
      <c r="B255" s="307" t="n"/>
      <c r="C255" s="307" t="n"/>
      <c r="D255" s="307" t="n"/>
      <c r="E255" s="307" t="n"/>
      <c r="F255" s="307" t="n"/>
      <c r="G255" s="307" t="n"/>
      <c r="H255" s="307" t="n"/>
      <c r="I255" s="307" t="n"/>
      <c r="J255" s="307" t="n"/>
      <c r="K255" s="307" t="n"/>
      <c r="L255" s="307" t="n"/>
      <c r="M255" s="307" t="n"/>
      <c r="N255" s="307" t="n"/>
      <c r="O255" s="307" t="n"/>
      <c r="P255" s="307" t="n"/>
      <c r="Q255" s="307" t="n"/>
      <c r="R255" s="307" t="n"/>
      <c r="S255" s="307" t="n"/>
      <c r="T255" s="307" t="n"/>
      <c r="U255" s="307" t="n"/>
      <c r="V255" s="307" t="n"/>
      <c r="W255" s="307" t="n"/>
      <c r="X255" s="307" t="n"/>
      <c r="Y255" s="307" t="n"/>
      <c r="Z255" s="307" t="n"/>
      <c r="AA255" s="307" t="n"/>
      <c r="AB255" s="307" t="n"/>
      <c r="AC255" s="307" t="n"/>
      <c r="AD255" s="307" t="n"/>
      <c r="AE255" s="307" t="n"/>
      <c r="AF255" s="307" t="n"/>
      <c r="AG255" s="307" t="n"/>
      <c r="AH255" s="307" t="n"/>
      <c r="AI255" s="307" t="n"/>
      <c r="AJ255" s="307" t="n"/>
      <c r="AK255" s="307" t="n"/>
      <c r="AL255" s="307" t="n"/>
      <c r="AM255" s="307" t="n"/>
      <c r="AN255" s="307" t="n"/>
      <c r="AO255" s="307" t="n"/>
      <c r="AP255" s="307" t="n"/>
      <c r="AQ255" s="307" t="n"/>
      <c r="AR255" s="307" t="n"/>
      <c r="AS255" s="307" t="n"/>
      <c r="AT255" s="307" t="n"/>
      <c r="AU255" s="307" t="n"/>
      <c r="AV255" s="307" t="n"/>
      <c r="AW255" s="307" t="n"/>
      <c r="AX255" s="307" t="n"/>
      <c r="AY255" s="307" t="n"/>
      <c r="AZ255" s="307" t="n"/>
      <c r="BA255" s="31" t="n"/>
      <c r="BB255" s="307" t="n"/>
      <c r="BC255" s="307" t="n"/>
      <c r="BD255" s="307" t="n"/>
      <c r="BE255" s="307" t="n"/>
      <c r="BF255" s="307" t="n"/>
      <c r="BG255" s="31" t="n"/>
      <c r="BH255" s="31" t="n"/>
      <c r="BI255" s="31" t="n"/>
      <c r="BJ255" s="31" t="n"/>
    </row>
    <row r="256" ht="15.75" customHeight="1" s="349">
      <c r="A256" s="31" t="n"/>
      <c r="B256" s="307" t="n"/>
      <c r="C256" s="307" t="n"/>
      <c r="D256" s="307" t="n"/>
      <c r="E256" s="307" t="n"/>
      <c r="F256" s="307" t="n"/>
      <c r="G256" s="307" t="n"/>
      <c r="H256" s="307" t="n"/>
      <c r="I256" s="307" t="n"/>
      <c r="J256" s="307" t="n"/>
      <c r="K256" s="307" t="n"/>
      <c r="L256" s="307" t="n"/>
      <c r="M256" s="307" t="n"/>
      <c r="N256" s="307" t="n"/>
      <c r="O256" s="307" t="n"/>
      <c r="P256" s="307" t="n"/>
      <c r="Q256" s="307" t="n"/>
      <c r="R256" s="307" t="n"/>
      <c r="S256" s="307" t="n"/>
      <c r="T256" s="307" t="n"/>
      <c r="U256" s="307" t="n"/>
      <c r="V256" s="307" t="n"/>
      <c r="W256" s="307" t="n"/>
      <c r="X256" s="307" t="n"/>
      <c r="Y256" s="307" t="n"/>
      <c r="Z256" s="307" t="n"/>
      <c r="AA256" s="307" t="n"/>
      <c r="AB256" s="307" t="n"/>
      <c r="AC256" s="307" t="n"/>
      <c r="AD256" s="307" t="n"/>
      <c r="AE256" s="307" t="n"/>
      <c r="AF256" s="307" t="n"/>
      <c r="AG256" s="307" t="n"/>
      <c r="AH256" s="307" t="n"/>
      <c r="AI256" s="307" t="n"/>
      <c r="AJ256" s="307" t="n"/>
      <c r="AK256" s="307" t="n"/>
      <c r="AL256" s="307" t="n"/>
      <c r="AM256" s="307" t="n"/>
      <c r="AN256" s="307" t="n"/>
      <c r="AO256" s="307" t="n"/>
      <c r="AP256" s="307" t="n"/>
      <c r="AQ256" s="307" t="n"/>
      <c r="AR256" s="307" t="n"/>
      <c r="AS256" s="307" t="n"/>
      <c r="AT256" s="307" t="n"/>
      <c r="AU256" s="307" t="n"/>
      <c r="AV256" s="307" t="n"/>
      <c r="AW256" s="307" t="n"/>
      <c r="AX256" s="307" t="n"/>
      <c r="AY256" s="307" t="n"/>
      <c r="AZ256" s="307" t="n"/>
      <c r="BA256" s="31" t="n"/>
      <c r="BB256" s="307" t="n"/>
      <c r="BC256" s="307" t="n"/>
      <c r="BD256" s="307" t="n"/>
      <c r="BE256" s="307" t="n"/>
      <c r="BF256" s="307" t="n"/>
      <c r="BG256" s="31" t="n"/>
      <c r="BH256" s="31" t="n"/>
      <c r="BI256" s="31" t="n"/>
      <c r="BJ256" s="31" t="n"/>
    </row>
    <row r="257" ht="15.75" customHeight="1" s="349">
      <c r="A257" s="31" t="n"/>
      <c r="B257" s="307" t="n"/>
      <c r="C257" s="307" t="n"/>
      <c r="D257" s="307" t="n"/>
      <c r="E257" s="307" t="n"/>
      <c r="F257" s="307" t="n"/>
      <c r="G257" s="307" t="n"/>
      <c r="H257" s="307" t="n"/>
      <c r="I257" s="307" t="n"/>
      <c r="J257" s="307" t="n"/>
      <c r="K257" s="307" t="n"/>
      <c r="L257" s="307" t="n"/>
      <c r="M257" s="307" t="n"/>
      <c r="N257" s="307" t="n"/>
      <c r="O257" s="307" t="n"/>
      <c r="P257" s="307" t="n"/>
      <c r="Q257" s="307" t="n"/>
      <c r="R257" s="307" t="n"/>
      <c r="S257" s="307" t="n"/>
      <c r="T257" s="307" t="n"/>
      <c r="U257" s="307" t="n"/>
      <c r="V257" s="307" t="n"/>
      <c r="W257" s="307" t="n"/>
      <c r="X257" s="307" t="n"/>
      <c r="Y257" s="307" t="n"/>
      <c r="Z257" s="307" t="n"/>
      <c r="AA257" s="307" t="n"/>
      <c r="AB257" s="307" t="n"/>
      <c r="AC257" s="307" t="n"/>
      <c r="AD257" s="307" t="n"/>
      <c r="AE257" s="307" t="n"/>
      <c r="AF257" s="307" t="n"/>
      <c r="AG257" s="307" t="n"/>
      <c r="AH257" s="307" t="n"/>
      <c r="AI257" s="307" t="n"/>
      <c r="AJ257" s="307" t="n"/>
      <c r="AK257" s="307" t="n"/>
      <c r="AL257" s="307" t="n"/>
      <c r="AM257" s="307" t="n"/>
      <c r="AN257" s="307" t="n"/>
      <c r="AO257" s="307" t="n"/>
      <c r="AP257" s="307" t="n"/>
      <c r="AQ257" s="307" t="n"/>
      <c r="AR257" s="307" t="n"/>
      <c r="AS257" s="307" t="n"/>
      <c r="AT257" s="307" t="n"/>
      <c r="AU257" s="307" t="n"/>
      <c r="AV257" s="307" t="n"/>
      <c r="AW257" s="307" t="n"/>
      <c r="AX257" s="307" t="n"/>
      <c r="AY257" s="307" t="n"/>
      <c r="AZ257" s="307" t="n"/>
      <c r="BA257" s="31" t="n"/>
      <c r="BB257" s="307" t="n"/>
      <c r="BC257" s="307" t="n"/>
      <c r="BD257" s="307" t="n"/>
      <c r="BE257" s="307" t="n"/>
      <c r="BF257" s="307" t="n"/>
      <c r="BG257" s="31" t="n"/>
      <c r="BH257" s="31" t="n"/>
      <c r="BI257" s="31" t="n"/>
      <c r="BJ257" s="31" t="n"/>
    </row>
    <row r="258" ht="15.75" customHeight="1" s="349">
      <c r="A258" s="31" t="n"/>
      <c r="B258" s="307" t="n"/>
      <c r="C258" s="307" t="n"/>
      <c r="D258" s="307" t="n"/>
      <c r="E258" s="307" t="n"/>
      <c r="F258" s="307" t="n"/>
      <c r="G258" s="307" t="n"/>
      <c r="H258" s="307" t="n"/>
      <c r="I258" s="307" t="n"/>
      <c r="J258" s="307" t="n"/>
      <c r="K258" s="307" t="n"/>
      <c r="L258" s="307" t="n"/>
      <c r="M258" s="307" t="n"/>
      <c r="N258" s="307" t="n"/>
      <c r="O258" s="307" t="n"/>
      <c r="P258" s="307" t="n"/>
      <c r="Q258" s="307" t="n"/>
      <c r="R258" s="307" t="n"/>
      <c r="S258" s="307" t="n"/>
      <c r="T258" s="307" t="n"/>
      <c r="U258" s="307" t="n"/>
      <c r="V258" s="307" t="n"/>
      <c r="W258" s="307" t="n"/>
      <c r="X258" s="307" t="n"/>
      <c r="Y258" s="307" t="n"/>
      <c r="Z258" s="307" t="n"/>
      <c r="AA258" s="307" t="n"/>
      <c r="AB258" s="307" t="n"/>
      <c r="AC258" s="307" t="n"/>
      <c r="AD258" s="307" t="n"/>
      <c r="AE258" s="307" t="n"/>
      <c r="AF258" s="307" t="n"/>
      <c r="AG258" s="307" t="n"/>
      <c r="AH258" s="307" t="n"/>
      <c r="AI258" s="307" t="n"/>
      <c r="AJ258" s="307" t="n"/>
      <c r="AK258" s="307" t="n"/>
      <c r="AL258" s="307" t="n"/>
      <c r="AM258" s="307" t="n"/>
      <c r="AN258" s="307" t="n"/>
      <c r="AO258" s="307" t="n"/>
      <c r="AP258" s="307" t="n"/>
      <c r="AQ258" s="307" t="n"/>
      <c r="AR258" s="307" t="n"/>
      <c r="AS258" s="307" t="n"/>
      <c r="AT258" s="307" t="n"/>
      <c r="AU258" s="307" t="n"/>
      <c r="AV258" s="307" t="n"/>
      <c r="AW258" s="307" t="n"/>
      <c r="AX258" s="307" t="n"/>
      <c r="AY258" s="307" t="n"/>
      <c r="AZ258" s="307" t="n"/>
      <c r="BA258" s="31" t="n"/>
      <c r="BB258" s="307" t="n"/>
      <c r="BC258" s="307" t="n"/>
      <c r="BD258" s="307" t="n"/>
      <c r="BE258" s="307" t="n"/>
      <c r="BF258" s="307" t="n"/>
      <c r="BG258" s="31" t="n"/>
      <c r="BH258" s="31" t="n"/>
      <c r="BI258" s="31" t="n"/>
      <c r="BJ258" s="31" t="n"/>
    </row>
    <row r="259" ht="15.75" customHeight="1" s="349">
      <c r="A259" s="31" t="n"/>
      <c r="B259" s="307" t="n"/>
      <c r="C259" s="307" t="n"/>
      <c r="D259" s="307" t="n"/>
      <c r="E259" s="307" t="n"/>
      <c r="F259" s="307" t="n"/>
      <c r="G259" s="307" t="n"/>
      <c r="H259" s="307" t="n"/>
      <c r="I259" s="307" t="n"/>
      <c r="J259" s="307" t="n"/>
      <c r="K259" s="307" t="n"/>
      <c r="L259" s="307" t="n"/>
      <c r="M259" s="307" t="n"/>
      <c r="N259" s="307" t="n"/>
      <c r="O259" s="307" t="n"/>
      <c r="P259" s="307" t="n"/>
      <c r="Q259" s="307" t="n"/>
      <c r="R259" s="307" t="n"/>
      <c r="S259" s="307" t="n"/>
      <c r="T259" s="307" t="n"/>
      <c r="U259" s="307" t="n"/>
      <c r="V259" s="307" t="n"/>
      <c r="W259" s="307" t="n"/>
      <c r="X259" s="307" t="n"/>
      <c r="Y259" s="307" t="n"/>
      <c r="Z259" s="307" t="n"/>
      <c r="AA259" s="307" t="n"/>
      <c r="AB259" s="307" t="n"/>
      <c r="AC259" s="307" t="n"/>
      <c r="AD259" s="307" t="n"/>
      <c r="AE259" s="307" t="n"/>
      <c r="AF259" s="307" t="n"/>
      <c r="AG259" s="307" t="n"/>
      <c r="AH259" s="307" t="n"/>
      <c r="AI259" s="307" t="n"/>
      <c r="AJ259" s="307" t="n"/>
      <c r="AK259" s="307" t="n"/>
      <c r="AL259" s="307" t="n"/>
      <c r="AM259" s="307" t="n"/>
      <c r="AN259" s="307" t="n"/>
      <c r="AO259" s="307" t="n"/>
      <c r="AP259" s="307" t="n"/>
      <c r="AQ259" s="307" t="n"/>
      <c r="AR259" s="307" t="n"/>
      <c r="AS259" s="307" t="n"/>
      <c r="AT259" s="307" t="n"/>
      <c r="AU259" s="307" t="n"/>
      <c r="AV259" s="307" t="n"/>
      <c r="AW259" s="307" t="n"/>
      <c r="AX259" s="307" t="n"/>
      <c r="AY259" s="307" t="n"/>
      <c r="AZ259" s="307" t="n"/>
      <c r="BA259" s="31" t="n"/>
      <c r="BB259" s="307" t="n"/>
      <c r="BC259" s="307" t="n"/>
      <c r="BD259" s="307" t="n"/>
      <c r="BE259" s="307" t="n"/>
      <c r="BF259" s="307" t="n"/>
      <c r="BG259" s="31" t="n"/>
      <c r="BH259" s="31" t="n"/>
      <c r="BI259" s="31" t="n"/>
      <c r="BJ259" s="31" t="n"/>
    </row>
    <row r="260" ht="15.75" customHeight="1" s="349">
      <c r="A260" s="31" t="n"/>
      <c r="B260" s="307" t="n"/>
      <c r="C260" s="307" t="n"/>
      <c r="D260" s="307" t="n"/>
      <c r="E260" s="307" t="n"/>
      <c r="F260" s="307" t="n"/>
      <c r="G260" s="307" t="n"/>
      <c r="H260" s="307" t="n"/>
      <c r="I260" s="307" t="n"/>
      <c r="J260" s="307" t="n"/>
      <c r="K260" s="307" t="n"/>
      <c r="L260" s="307" t="n"/>
      <c r="M260" s="307" t="n"/>
      <c r="N260" s="307" t="n"/>
      <c r="O260" s="307" t="n"/>
      <c r="P260" s="307" t="n"/>
      <c r="Q260" s="307" t="n"/>
      <c r="R260" s="307" t="n"/>
      <c r="S260" s="307" t="n"/>
      <c r="T260" s="307" t="n"/>
      <c r="U260" s="307" t="n"/>
      <c r="V260" s="307" t="n"/>
      <c r="W260" s="307" t="n"/>
      <c r="X260" s="307" t="n"/>
      <c r="Y260" s="307" t="n"/>
      <c r="Z260" s="307" t="n"/>
      <c r="AA260" s="307" t="n"/>
      <c r="AB260" s="307" t="n"/>
      <c r="AC260" s="307" t="n"/>
      <c r="AD260" s="307" t="n"/>
      <c r="AE260" s="307" t="n"/>
      <c r="AF260" s="307" t="n"/>
      <c r="AG260" s="307" t="n"/>
      <c r="AH260" s="307" t="n"/>
      <c r="AI260" s="307" t="n"/>
      <c r="AJ260" s="307" t="n"/>
      <c r="AK260" s="307" t="n"/>
      <c r="AL260" s="307" t="n"/>
      <c r="AM260" s="307" t="n"/>
      <c r="AN260" s="307" t="n"/>
      <c r="AO260" s="307" t="n"/>
      <c r="AP260" s="307" t="n"/>
      <c r="AQ260" s="307" t="n"/>
      <c r="AR260" s="307" t="n"/>
      <c r="AS260" s="307" t="n"/>
      <c r="AT260" s="307" t="n"/>
      <c r="AU260" s="307" t="n"/>
      <c r="AV260" s="307" t="n"/>
      <c r="AW260" s="307" t="n"/>
      <c r="AX260" s="307" t="n"/>
      <c r="AY260" s="307" t="n"/>
      <c r="AZ260" s="307" t="n"/>
      <c r="BA260" s="31" t="n"/>
      <c r="BB260" s="307" t="n"/>
      <c r="BC260" s="307" t="n"/>
      <c r="BD260" s="307" t="n"/>
      <c r="BE260" s="307" t="n"/>
      <c r="BF260" s="307" t="n"/>
      <c r="BG260" s="31" t="n"/>
      <c r="BH260" s="31" t="n"/>
      <c r="BI260" s="31" t="n"/>
      <c r="BJ260" s="31" t="n"/>
    </row>
    <row r="261" ht="15.75" customHeight="1" s="349">
      <c r="A261" s="31" t="n"/>
      <c r="B261" s="307" t="n"/>
      <c r="C261" s="307" t="n"/>
      <c r="D261" s="307" t="n"/>
      <c r="E261" s="307" t="n"/>
      <c r="F261" s="307" t="n"/>
      <c r="G261" s="307" t="n"/>
      <c r="H261" s="307" t="n"/>
      <c r="I261" s="307" t="n"/>
      <c r="J261" s="307" t="n"/>
      <c r="K261" s="307" t="n"/>
      <c r="L261" s="307" t="n"/>
      <c r="M261" s="307" t="n"/>
      <c r="N261" s="307" t="n"/>
      <c r="O261" s="307" t="n"/>
      <c r="P261" s="307" t="n"/>
      <c r="Q261" s="307" t="n"/>
      <c r="R261" s="307" t="n"/>
      <c r="S261" s="307" t="n"/>
      <c r="T261" s="307" t="n"/>
      <c r="U261" s="307" t="n"/>
      <c r="V261" s="307" t="n"/>
      <c r="W261" s="307" t="n"/>
      <c r="X261" s="307" t="n"/>
      <c r="Y261" s="307" t="n"/>
      <c r="Z261" s="307" t="n"/>
      <c r="AA261" s="307" t="n"/>
      <c r="AB261" s="307" t="n"/>
      <c r="AC261" s="307" t="n"/>
      <c r="AD261" s="307" t="n"/>
      <c r="AE261" s="307" t="n"/>
      <c r="AF261" s="307" t="n"/>
      <c r="AG261" s="307" t="n"/>
      <c r="AH261" s="307" t="n"/>
      <c r="AI261" s="307" t="n"/>
      <c r="AJ261" s="307" t="n"/>
      <c r="AK261" s="307" t="n"/>
      <c r="AL261" s="307" t="n"/>
      <c r="AM261" s="307" t="n"/>
      <c r="AN261" s="307" t="n"/>
      <c r="AO261" s="307" t="n"/>
      <c r="AP261" s="307" t="n"/>
      <c r="AQ261" s="307" t="n"/>
      <c r="AR261" s="307" t="n"/>
      <c r="AS261" s="307" t="n"/>
      <c r="AT261" s="307" t="n"/>
      <c r="AU261" s="307" t="n"/>
      <c r="AV261" s="307" t="n"/>
      <c r="AW261" s="307" t="n"/>
      <c r="AX261" s="307" t="n"/>
      <c r="AY261" s="307" t="n"/>
      <c r="AZ261" s="307" t="n"/>
      <c r="BA261" s="31" t="n"/>
      <c r="BB261" s="307" t="n"/>
      <c r="BC261" s="307" t="n"/>
      <c r="BD261" s="307" t="n"/>
      <c r="BE261" s="307" t="n"/>
      <c r="BF261" s="307" t="n"/>
      <c r="BG261" s="31" t="n"/>
      <c r="BH261" s="31" t="n"/>
      <c r="BI261" s="31" t="n"/>
      <c r="BJ261" s="31" t="n"/>
    </row>
    <row r="262" ht="15.75" customHeight="1" s="349">
      <c r="A262" s="31" t="n"/>
      <c r="B262" s="307" t="n"/>
      <c r="C262" s="307" t="n"/>
      <c r="D262" s="307" t="n"/>
      <c r="E262" s="307" t="n"/>
      <c r="F262" s="307" t="n"/>
      <c r="G262" s="307" t="n"/>
      <c r="H262" s="307" t="n"/>
      <c r="I262" s="307" t="n"/>
      <c r="J262" s="307" t="n"/>
      <c r="K262" s="307" t="n"/>
      <c r="L262" s="307" t="n"/>
      <c r="M262" s="307" t="n"/>
      <c r="N262" s="307" t="n"/>
      <c r="O262" s="307" t="n"/>
      <c r="P262" s="307" t="n"/>
      <c r="Q262" s="307" t="n"/>
      <c r="R262" s="307" t="n"/>
      <c r="S262" s="307" t="n"/>
      <c r="T262" s="307" t="n"/>
      <c r="U262" s="307" t="n"/>
      <c r="V262" s="307" t="n"/>
      <c r="W262" s="307" t="n"/>
      <c r="X262" s="307" t="n"/>
      <c r="Y262" s="307" t="n"/>
      <c r="Z262" s="307" t="n"/>
      <c r="AA262" s="307" t="n"/>
      <c r="AB262" s="307" t="n"/>
      <c r="AC262" s="307" t="n"/>
      <c r="AD262" s="307" t="n"/>
      <c r="AE262" s="307" t="n"/>
      <c r="AF262" s="307" t="n"/>
      <c r="AG262" s="307" t="n"/>
      <c r="AH262" s="307" t="n"/>
      <c r="AI262" s="307" t="n"/>
      <c r="AJ262" s="307" t="n"/>
      <c r="AK262" s="307" t="n"/>
      <c r="AL262" s="307" t="n"/>
      <c r="AM262" s="307" t="n"/>
      <c r="AN262" s="307" t="n"/>
      <c r="AO262" s="307" t="n"/>
      <c r="AP262" s="307" t="n"/>
      <c r="AQ262" s="307" t="n"/>
      <c r="AR262" s="307" t="n"/>
      <c r="AS262" s="307" t="n"/>
      <c r="AT262" s="307" t="n"/>
      <c r="AU262" s="307" t="n"/>
      <c r="AV262" s="307" t="n"/>
      <c r="AW262" s="307" t="n"/>
      <c r="AX262" s="307" t="n"/>
      <c r="AY262" s="307" t="n"/>
      <c r="AZ262" s="307" t="n"/>
      <c r="BA262" s="31" t="n"/>
      <c r="BB262" s="307" t="n"/>
      <c r="BC262" s="307" t="n"/>
      <c r="BD262" s="307" t="n"/>
      <c r="BE262" s="307" t="n"/>
      <c r="BF262" s="307" t="n"/>
      <c r="BG262" s="31" t="n"/>
      <c r="BH262" s="31" t="n"/>
      <c r="BI262" s="31" t="n"/>
      <c r="BJ262" s="31" t="n"/>
    </row>
    <row r="263" ht="15.75" customHeight="1" s="349">
      <c r="A263" s="31" t="n"/>
      <c r="B263" s="307" t="n"/>
      <c r="C263" s="307" t="n"/>
      <c r="D263" s="307" t="n"/>
      <c r="E263" s="307" t="n"/>
      <c r="F263" s="307" t="n"/>
      <c r="G263" s="307" t="n"/>
      <c r="H263" s="307" t="n"/>
      <c r="I263" s="307" t="n"/>
      <c r="J263" s="307" t="n"/>
      <c r="K263" s="307" t="n"/>
      <c r="L263" s="307" t="n"/>
      <c r="M263" s="307" t="n"/>
      <c r="N263" s="307" t="n"/>
      <c r="O263" s="307" t="n"/>
      <c r="P263" s="307" t="n"/>
      <c r="Q263" s="307" t="n"/>
      <c r="R263" s="307" t="n"/>
      <c r="S263" s="307" t="n"/>
      <c r="T263" s="307" t="n"/>
      <c r="U263" s="307" t="n"/>
      <c r="V263" s="307" t="n"/>
      <c r="W263" s="307" t="n"/>
      <c r="X263" s="307" t="n"/>
      <c r="Y263" s="307" t="n"/>
      <c r="Z263" s="307" t="n"/>
      <c r="AA263" s="307" t="n"/>
      <c r="AB263" s="307" t="n"/>
      <c r="AC263" s="307" t="n"/>
      <c r="AD263" s="307" t="n"/>
      <c r="AE263" s="307" t="n"/>
      <c r="AF263" s="307" t="n"/>
      <c r="AG263" s="307" t="n"/>
      <c r="AH263" s="307" t="n"/>
      <c r="AI263" s="307" t="n"/>
      <c r="AJ263" s="307" t="n"/>
      <c r="AK263" s="307" t="n"/>
      <c r="AL263" s="307" t="n"/>
      <c r="AM263" s="307" t="n"/>
      <c r="AN263" s="307" t="n"/>
      <c r="AO263" s="307" t="n"/>
      <c r="AP263" s="307" t="n"/>
      <c r="AQ263" s="307" t="n"/>
      <c r="AR263" s="307" t="n"/>
      <c r="AS263" s="307" t="n"/>
      <c r="AT263" s="307" t="n"/>
      <c r="AU263" s="307" t="n"/>
      <c r="AV263" s="307" t="n"/>
      <c r="AW263" s="307" t="n"/>
      <c r="AX263" s="307" t="n"/>
      <c r="AY263" s="307" t="n"/>
      <c r="AZ263" s="307" t="n"/>
      <c r="BA263" s="31" t="n"/>
      <c r="BB263" s="307" t="n"/>
      <c r="BC263" s="307" t="n"/>
      <c r="BD263" s="307" t="n"/>
      <c r="BE263" s="307" t="n"/>
      <c r="BF263" s="307" t="n"/>
      <c r="BG263" s="31" t="n"/>
      <c r="BH263" s="31" t="n"/>
      <c r="BI263" s="31" t="n"/>
      <c r="BJ263" s="31" t="n"/>
    </row>
    <row r="264" ht="15.75" customHeight="1" s="349">
      <c r="A264" s="31" t="n"/>
      <c r="B264" s="307" t="n"/>
      <c r="C264" s="307" t="n"/>
      <c r="D264" s="307" t="n"/>
      <c r="E264" s="307" t="n"/>
      <c r="F264" s="307" t="n"/>
      <c r="G264" s="307" t="n"/>
      <c r="H264" s="307" t="n"/>
      <c r="I264" s="307" t="n"/>
      <c r="J264" s="307" t="n"/>
      <c r="K264" s="307" t="n"/>
      <c r="L264" s="307" t="n"/>
      <c r="M264" s="307" t="n"/>
      <c r="N264" s="307" t="n"/>
      <c r="O264" s="307" t="n"/>
      <c r="P264" s="307" t="n"/>
      <c r="Q264" s="307" t="n"/>
      <c r="R264" s="307" t="n"/>
      <c r="S264" s="307" t="n"/>
      <c r="T264" s="307" t="n"/>
      <c r="U264" s="307" t="n"/>
      <c r="V264" s="307" t="n"/>
      <c r="W264" s="307" t="n"/>
      <c r="X264" s="307" t="n"/>
      <c r="Y264" s="307" t="n"/>
      <c r="Z264" s="307" t="n"/>
      <c r="AA264" s="307" t="n"/>
      <c r="AB264" s="307" t="n"/>
      <c r="AC264" s="307" t="n"/>
      <c r="AD264" s="307" t="n"/>
      <c r="AE264" s="307" t="n"/>
      <c r="AF264" s="307" t="n"/>
      <c r="AG264" s="307" t="n"/>
      <c r="AH264" s="307" t="n"/>
      <c r="AI264" s="307" t="n"/>
      <c r="AJ264" s="307" t="n"/>
      <c r="AK264" s="307" t="n"/>
      <c r="AL264" s="307" t="n"/>
      <c r="AM264" s="307" t="n"/>
      <c r="AN264" s="307" t="n"/>
      <c r="AO264" s="307" t="n"/>
      <c r="AP264" s="307" t="n"/>
      <c r="AQ264" s="307" t="n"/>
      <c r="AR264" s="307" t="n"/>
      <c r="AS264" s="307" t="n"/>
      <c r="AT264" s="307" t="n"/>
      <c r="AU264" s="307" t="n"/>
      <c r="AV264" s="307" t="n"/>
      <c r="AW264" s="307" t="n"/>
      <c r="AX264" s="307" t="n"/>
      <c r="AY264" s="307" t="n"/>
      <c r="AZ264" s="307" t="n"/>
      <c r="BA264" s="31" t="n"/>
      <c r="BB264" s="307" t="n"/>
      <c r="BC264" s="307" t="n"/>
      <c r="BD264" s="307" t="n"/>
      <c r="BE264" s="307" t="n"/>
      <c r="BF264" s="307" t="n"/>
      <c r="BG264" s="31" t="n"/>
      <c r="BH264" s="31" t="n"/>
      <c r="BI264" s="31" t="n"/>
      <c r="BJ264" s="31" t="n"/>
    </row>
    <row r="265" ht="15.75" customHeight="1" s="349">
      <c r="A265" s="31" t="n"/>
      <c r="B265" s="307" t="n"/>
      <c r="C265" s="307" t="n"/>
      <c r="D265" s="307" t="n"/>
      <c r="E265" s="307" t="n"/>
      <c r="F265" s="307" t="n"/>
      <c r="G265" s="307" t="n"/>
      <c r="H265" s="307" t="n"/>
      <c r="I265" s="307" t="n"/>
      <c r="J265" s="307" t="n"/>
      <c r="K265" s="307" t="n"/>
      <c r="L265" s="307" t="n"/>
      <c r="M265" s="307" t="n"/>
      <c r="N265" s="307" t="n"/>
      <c r="O265" s="307" t="n"/>
      <c r="P265" s="307" t="n"/>
      <c r="Q265" s="307" t="n"/>
      <c r="R265" s="307" t="n"/>
      <c r="S265" s="307" t="n"/>
      <c r="T265" s="307" t="n"/>
      <c r="U265" s="307" t="n"/>
      <c r="V265" s="307" t="n"/>
      <c r="W265" s="307" t="n"/>
      <c r="X265" s="307" t="n"/>
      <c r="Y265" s="307" t="n"/>
      <c r="Z265" s="307" t="n"/>
      <c r="AA265" s="307" t="n"/>
      <c r="AB265" s="307" t="n"/>
      <c r="AC265" s="307" t="n"/>
      <c r="AD265" s="307" t="n"/>
      <c r="AE265" s="307" t="n"/>
      <c r="AF265" s="307" t="n"/>
      <c r="AG265" s="307" t="n"/>
      <c r="AH265" s="307" t="n"/>
      <c r="AI265" s="307" t="n"/>
      <c r="AJ265" s="307" t="n"/>
      <c r="AK265" s="307" t="n"/>
      <c r="AL265" s="307" t="n"/>
      <c r="AM265" s="307" t="n"/>
      <c r="AN265" s="307" t="n"/>
      <c r="AO265" s="307" t="n"/>
      <c r="AP265" s="307" t="n"/>
      <c r="AQ265" s="307" t="n"/>
      <c r="AR265" s="307" t="n"/>
      <c r="AS265" s="307" t="n"/>
      <c r="AT265" s="307" t="n"/>
      <c r="AU265" s="307" t="n"/>
      <c r="AV265" s="307" t="n"/>
      <c r="AW265" s="307" t="n"/>
      <c r="AX265" s="307" t="n"/>
      <c r="AY265" s="307" t="n"/>
      <c r="AZ265" s="307" t="n"/>
      <c r="BA265" s="31" t="n"/>
      <c r="BB265" s="307" t="n"/>
      <c r="BC265" s="307" t="n"/>
      <c r="BD265" s="307" t="n"/>
      <c r="BE265" s="307" t="n"/>
      <c r="BF265" s="307" t="n"/>
      <c r="BG265" s="31" t="n"/>
      <c r="BH265" s="31" t="n"/>
      <c r="BI265" s="31" t="n"/>
      <c r="BJ265" s="31" t="n"/>
    </row>
    <row r="266" ht="15.75" customHeight="1" s="349">
      <c r="A266" s="31" t="n"/>
      <c r="B266" s="307" t="n"/>
      <c r="C266" s="307" t="n"/>
      <c r="D266" s="307" t="n"/>
      <c r="E266" s="307" t="n"/>
      <c r="F266" s="307" t="n"/>
      <c r="G266" s="307" t="n"/>
      <c r="H266" s="307" t="n"/>
      <c r="I266" s="307" t="n"/>
      <c r="J266" s="307" t="n"/>
      <c r="K266" s="307" t="n"/>
      <c r="L266" s="307" t="n"/>
      <c r="M266" s="307" t="n"/>
      <c r="N266" s="307" t="n"/>
      <c r="O266" s="307" t="n"/>
      <c r="P266" s="307" t="n"/>
      <c r="Q266" s="307" t="n"/>
      <c r="R266" s="307" t="n"/>
      <c r="S266" s="307" t="n"/>
      <c r="T266" s="307" t="n"/>
      <c r="U266" s="307" t="n"/>
      <c r="V266" s="307" t="n"/>
      <c r="W266" s="307" t="n"/>
      <c r="X266" s="307" t="n"/>
      <c r="Y266" s="307" t="n"/>
      <c r="Z266" s="307" t="n"/>
      <c r="AA266" s="307" t="n"/>
      <c r="AB266" s="307" t="n"/>
      <c r="AC266" s="307" t="n"/>
      <c r="AD266" s="307" t="n"/>
      <c r="AE266" s="307" t="n"/>
      <c r="AF266" s="307" t="n"/>
      <c r="AG266" s="307" t="n"/>
      <c r="AH266" s="307" t="n"/>
      <c r="AI266" s="307" t="n"/>
      <c r="AJ266" s="307" t="n"/>
      <c r="AK266" s="307" t="n"/>
      <c r="AL266" s="307" t="n"/>
      <c r="AM266" s="307" t="n"/>
      <c r="AN266" s="307" t="n"/>
      <c r="AO266" s="307" t="n"/>
      <c r="AP266" s="307" t="n"/>
      <c r="AQ266" s="307" t="n"/>
      <c r="AR266" s="307" t="n"/>
      <c r="AS266" s="307" t="n"/>
      <c r="AT266" s="307" t="n"/>
      <c r="AU266" s="307" t="n"/>
      <c r="AV266" s="307" t="n"/>
      <c r="AW266" s="307" t="n"/>
      <c r="AX266" s="307" t="n"/>
      <c r="AY266" s="307" t="n"/>
      <c r="AZ266" s="307" t="n"/>
      <c r="BA266" s="31" t="n"/>
      <c r="BB266" s="307" t="n"/>
      <c r="BC266" s="307" t="n"/>
      <c r="BD266" s="307" t="n"/>
      <c r="BE266" s="307" t="n"/>
      <c r="BF266" s="307" t="n"/>
      <c r="BG266" s="31" t="n"/>
      <c r="BH266" s="31" t="n"/>
      <c r="BI266" s="31" t="n"/>
      <c r="BJ266" s="31" t="n"/>
    </row>
    <row r="267" ht="15.75" customHeight="1" s="349">
      <c r="A267" s="31" t="n"/>
      <c r="B267" s="307" t="n"/>
      <c r="C267" s="307" t="n"/>
      <c r="D267" s="307" t="n"/>
      <c r="E267" s="307" t="n"/>
      <c r="F267" s="307" t="n"/>
      <c r="G267" s="307" t="n"/>
      <c r="H267" s="307" t="n"/>
      <c r="I267" s="307" t="n"/>
      <c r="J267" s="307" t="n"/>
      <c r="K267" s="307" t="n"/>
      <c r="L267" s="307" t="n"/>
      <c r="M267" s="307" t="n"/>
      <c r="N267" s="307" t="n"/>
      <c r="O267" s="307" t="n"/>
      <c r="P267" s="307" t="n"/>
      <c r="Q267" s="307" t="n"/>
      <c r="R267" s="307" t="n"/>
      <c r="S267" s="307" t="n"/>
      <c r="T267" s="307" t="n"/>
      <c r="U267" s="307" t="n"/>
      <c r="V267" s="307" t="n"/>
      <c r="W267" s="307" t="n"/>
      <c r="X267" s="307" t="n"/>
      <c r="Y267" s="307" t="n"/>
      <c r="Z267" s="307" t="n"/>
      <c r="AA267" s="307" t="n"/>
      <c r="AB267" s="307" t="n"/>
      <c r="AC267" s="307" t="n"/>
      <c r="AD267" s="307" t="n"/>
      <c r="AE267" s="307" t="n"/>
      <c r="AF267" s="307" t="n"/>
      <c r="AG267" s="307" t="n"/>
      <c r="AH267" s="307" t="n"/>
      <c r="AI267" s="307" t="n"/>
      <c r="AJ267" s="307" t="n"/>
      <c r="AK267" s="307" t="n"/>
      <c r="AL267" s="307" t="n"/>
      <c r="AM267" s="307" t="n"/>
      <c r="AN267" s="307" t="n"/>
      <c r="AO267" s="307" t="n"/>
      <c r="AP267" s="307" t="n"/>
      <c r="AQ267" s="307" t="n"/>
      <c r="AR267" s="307" t="n"/>
      <c r="AS267" s="307" t="n"/>
      <c r="AT267" s="307" t="n"/>
      <c r="AU267" s="307" t="n"/>
      <c r="AV267" s="307" t="n"/>
      <c r="AW267" s="307" t="n"/>
      <c r="AX267" s="307" t="n"/>
      <c r="AY267" s="307" t="n"/>
      <c r="AZ267" s="307" t="n"/>
      <c r="BA267" s="31" t="n"/>
      <c r="BB267" s="307" t="n"/>
      <c r="BC267" s="307" t="n"/>
      <c r="BD267" s="307" t="n"/>
      <c r="BE267" s="307" t="n"/>
      <c r="BF267" s="307" t="n"/>
      <c r="BG267" s="31" t="n"/>
      <c r="BH267" s="31" t="n"/>
      <c r="BI267" s="31" t="n"/>
      <c r="BJ267" s="31" t="n"/>
    </row>
    <row r="268" ht="15.75" customHeight="1" s="349">
      <c r="A268" s="31" t="n"/>
      <c r="B268" s="307" t="n"/>
      <c r="C268" s="307" t="n"/>
      <c r="D268" s="307" t="n"/>
      <c r="E268" s="307" t="n"/>
      <c r="F268" s="307" t="n"/>
      <c r="G268" s="307" t="n"/>
      <c r="H268" s="307" t="n"/>
      <c r="I268" s="307" t="n"/>
      <c r="J268" s="307" t="n"/>
      <c r="K268" s="307" t="n"/>
      <c r="L268" s="307" t="n"/>
      <c r="M268" s="307" t="n"/>
      <c r="N268" s="307" t="n"/>
      <c r="O268" s="307" t="n"/>
      <c r="P268" s="307" t="n"/>
      <c r="Q268" s="307" t="n"/>
      <c r="R268" s="307" t="n"/>
      <c r="S268" s="307" t="n"/>
      <c r="T268" s="307" t="n"/>
      <c r="U268" s="307" t="n"/>
      <c r="V268" s="307" t="n"/>
      <c r="W268" s="307" t="n"/>
      <c r="X268" s="307" t="n"/>
      <c r="Y268" s="307" t="n"/>
      <c r="Z268" s="307" t="n"/>
      <c r="AA268" s="307" t="n"/>
      <c r="AB268" s="307" t="n"/>
      <c r="AC268" s="307" t="n"/>
      <c r="AD268" s="307" t="n"/>
      <c r="AE268" s="307" t="n"/>
      <c r="AF268" s="307" t="n"/>
      <c r="AG268" s="307" t="n"/>
      <c r="AH268" s="307" t="n"/>
      <c r="AI268" s="307" t="n"/>
      <c r="AJ268" s="307" t="n"/>
      <c r="AK268" s="307" t="n"/>
      <c r="AL268" s="307" t="n"/>
      <c r="AM268" s="307" t="n"/>
      <c r="AN268" s="307" t="n"/>
      <c r="AO268" s="307" t="n"/>
      <c r="AP268" s="307" t="n"/>
      <c r="AQ268" s="307" t="n"/>
      <c r="AR268" s="307" t="n"/>
      <c r="AS268" s="307" t="n"/>
      <c r="AT268" s="307" t="n"/>
      <c r="AU268" s="307" t="n"/>
      <c r="AV268" s="307" t="n"/>
      <c r="AW268" s="307" t="n"/>
      <c r="AX268" s="307" t="n"/>
      <c r="AY268" s="307" t="n"/>
      <c r="AZ268" s="307" t="n"/>
      <c r="BA268" s="31" t="n"/>
      <c r="BB268" s="307" t="n"/>
      <c r="BC268" s="307" t="n"/>
      <c r="BD268" s="307" t="n"/>
      <c r="BE268" s="307" t="n"/>
      <c r="BF268" s="307" t="n"/>
      <c r="BG268" s="31" t="n"/>
      <c r="BH268" s="31" t="n"/>
      <c r="BI268" s="31" t="n"/>
      <c r="BJ268" s="31" t="n"/>
    </row>
    <row r="269" ht="15.75" customHeight="1" s="349">
      <c r="A269" s="31" t="n"/>
      <c r="B269" s="307" t="n"/>
      <c r="C269" s="307" t="n"/>
      <c r="D269" s="307" t="n"/>
      <c r="E269" s="307" t="n"/>
      <c r="F269" s="307" t="n"/>
      <c r="G269" s="307" t="n"/>
      <c r="H269" s="307" t="n"/>
      <c r="I269" s="307" t="n"/>
      <c r="J269" s="307" t="n"/>
      <c r="K269" s="307" t="n"/>
      <c r="L269" s="307" t="n"/>
      <c r="M269" s="307" t="n"/>
      <c r="N269" s="307" t="n"/>
      <c r="O269" s="307" t="n"/>
      <c r="P269" s="307" t="n"/>
      <c r="Q269" s="307" t="n"/>
      <c r="R269" s="307" t="n"/>
      <c r="S269" s="307" t="n"/>
      <c r="T269" s="307" t="n"/>
      <c r="U269" s="307" t="n"/>
      <c r="V269" s="307" t="n"/>
      <c r="W269" s="307" t="n"/>
      <c r="X269" s="307" t="n"/>
      <c r="Y269" s="307" t="n"/>
      <c r="Z269" s="307" t="n"/>
      <c r="AA269" s="307" t="n"/>
      <c r="AB269" s="307" t="n"/>
      <c r="AC269" s="307" t="n"/>
      <c r="AD269" s="307" t="n"/>
      <c r="AE269" s="307" t="n"/>
      <c r="AF269" s="307" t="n"/>
      <c r="AG269" s="307" t="n"/>
      <c r="AH269" s="307" t="n"/>
      <c r="AI269" s="307" t="n"/>
      <c r="AJ269" s="307" t="n"/>
      <c r="AK269" s="307" t="n"/>
      <c r="AL269" s="307" t="n"/>
      <c r="AM269" s="307" t="n"/>
      <c r="AN269" s="307" t="n"/>
      <c r="AO269" s="307" t="n"/>
      <c r="AP269" s="307" t="n"/>
      <c r="AQ269" s="307" t="n"/>
      <c r="AR269" s="307" t="n"/>
      <c r="AS269" s="307" t="n"/>
      <c r="AT269" s="307" t="n"/>
      <c r="AU269" s="307" t="n"/>
      <c r="AV269" s="307" t="n"/>
      <c r="AW269" s="307" t="n"/>
      <c r="AX269" s="307" t="n"/>
      <c r="AY269" s="307" t="n"/>
      <c r="AZ269" s="307" t="n"/>
      <c r="BA269" s="31" t="n"/>
      <c r="BB269" s="307" t="n"/>
      <c r="BC269" s="307" t="n"/>
      <c r="BD269" s="307" t="n"/>
      <c r="BE269" s="307" t="n"/>
      <c r="BF269" s="307" t="n"/>
      <c r="BG269" s="31" t="n"/>
      <c r="BH269" s="31" t="n"/>
      <c r="BI269" s="31" t="n"/>
      <c r="BJ269" s="31" t="n"/>
    </row>
    <row r="270" ht="15.75" customHeight="1" s="349">
      <c r="A270" s="31" t="n"/>
      <c r="B270" s="307" t="n"/>
      <c r="C270" s="307" t="n"/>
      <c r="D270" s="307" t="n"/>
      <c r="E270" s="307" t="n"/>
      <c r="F270" s="307" t="n"/>
      <c r="G270" s="307" t="n"/>
      <c r="H270" s="307" t="n"/>
      <c r="I270" s="307" t="n"/>
      <c r="J270" s="307" t="n"/>
      <c r="K270" s="307" t="n"/>
      <c r="L270" s="307" t="n"/>
      <c r="M270" s="307" t="n"/>
      <c r="N270" s="307" t="n"/>
      <c r="O270" s="307" t="n"/>
      <c r="P270" s="307" t="n"/>
      <c r="Q270" s="307" t="n"/>
      <c r="R270" s="307" t="n"/>
      <c r="S270" s="307" t="n"/>
      <c r="T270" s="307" t="n"/>
      <c r="U270" s="307" t="n"/>
      <c r="V270" s="307" t="n"/>
      <c r="W270" s="307" t="n"/>
      <c r="X270" s="307" t="n"/>
      <c r="Y270" s="307" t="n"/>
      <c r="Z270" s="307" t="n"/>
      <c r="AA270" s="307" t="n"/>
      <c r="AB270" s="307" t="n"/>
      <c r="AC270" s="307" t="n"/>
      <c r="AD270" s="307" t="n"/>
      <c r="AE270" s="307" t="n"/>
      <c r="AF270" s="307" t="n"/>
      <c r="AG270" s="307" t="n"/>
      <c r="AH270" s="307" t="n"/>
      <c r="AI270" s="307" t="n"/>
      <c r="AJ270" s="307" t="n"/>
      <c r="AK270" s="307" t="n"/>
      <c r="AL270" s="307" t="n"/>
      <c r="AM270" s="307" t="n"/>
      <c r="AN270" s="307" t="n"/>
      <c r="AO270" s="307" t="n"/>
      <c r="AP270" s="307" t="n"/>
      <c r="AQ270" s="307" t="n"/>
      <c r="AR270" s="307" t="n"/>
      <c r="AS270" s="307" t="n"/>
      <c r="AT270" s="307" t="n"/>
      <c r="AU270" s="307" t="n"/>
      <c r="AV270" s="307" t="n"/>
      <c r="AW270" s="307" t="n"/>
      <c r="AX270" s="307" t="n"/>
      <c r="AY270" s="307" t="n"/>
      <c r="AZ270" s="307" t="n"/>
      <c r="BA270" s="31" t="n"/>
      <c r="BB270" s="307" t="n"/>
      <c r="BC270" s="307" t="n"/>
      <c r="BD270" s="307" t="n"/>
      <c r="BE270" s="307" t="n"/>
      <c r="BF270" s="307" t="n"/>
      <c r="BG270" s="31" t="n"/>
      <c r="BH270" s="31" t="n"/>
      <c r="BI270" s="31" t="n"/>
      <c r="BJ270" s="31" t="n"/>
    </row>
    <row r="271" ht="15.75" customHeight="1" s="349">
      <c r="A271" s="31" t="n"/>
      <c r="B271" s="307" t="n"/>
      <c r="C271" s="307" t="n"/>
      <c r="D271" s="307" t="n"/>
      <c r="E271" s="307" t="n"/>
      <c r="F271" s="307" t="n"/>
      <c r="G271" s="307" t="n"/>
      <c r="H271" s="307" t="n"/>
      <c r="I271" s="307" t="n"/>
      <c r="J271" s="307" t="n"/>
      <c r="K271" s="307" t="n"/>
      <c r="L271" s="307" t="n"/>
      <c r="M271" s="307" t="n"/>
      <c r="N271" s="307" t="n"/>
      <c r="O271" s="307" t="n"/>
      <c r="P271" s="307" t="n"/>
      <c r="Q271" s="307" t="n"/>
      <c r="R271" s="307" t="n"/>
      <c r="S271" s="307" t="n"/>
      <c r="T271" s="307" t="n"/>
      <c r="U271" s="307" t="n"/>
      <c r="V271" s="307" t="n"/>
      <c r="W271" s="307" t="n"/>
      <c r="X271" s="307" t="n"/>
      <c r="Y271" s="307" t="n"/>
      <c r="Z271" s="307" t="n"/>
      <c r="AA271" s="307" t="n"/>
      <c r="AB271" s="307" t="n"/>
      <c r="AC271" s="307" t="n"/>
      <c r="AD271" s="307" t="n"/>
      <c r="AE271" s="307" t="n"/>
      <c r="AF271" s="307" t="n"/>
      <c r="AG271" s="307" t="n"/>
      <c r="AH271" s="307" t="n"/>
      <c r="AI271" s="307" t="n"/>
      <c r="AJ271" s="307" t="n"/>
      <c r="AK271" s="307" t="n"/>
      <c r="AL271" s="307" t="n"/>
      <c r="AM271" s="307" t="n"/>
      <c r="AN271" s="307" t="n"/>
      <c r="AO271" s="307" t="n"/>
      <c r="AP271" s="307" t="n"/>
      <c r="AQ271" s="307" t="n"/>
      <c r="AR271" s="307" t="n"/>
      <c r="AS271" s="307" t="n"/>
      <c r="AT271" s="307" t="n"/>
      <c r="AU271" s="307" t="n"/>
      <c r="AV271" s="307" t="n"/>
      <c r="AW271" s="307" t="n"/>
      <c r="AX271" s="307" t="n"/>
      <c r="AY271" s="307" t="n"/>
      <c r="AZ271" s="307" t="n"/>
      <c r="BA271" s="31" t="n"/>
      <c r="BB271" s="307" t="n"/>
      <c r="BC271" s="307" t="n"/>
      <c r="BD271" s="307" t="n"/>
      <c r="BE271" s="307" t="n"/>
      <c r="BF271" s="307" t="n"/>
      <c r="BG271" s="31" t="n"/>
      <c r="BH271" s="31" t="n"/>
      <c r="BI271" s="31" t="n"/>
      <c r="BJ271" s="31" t="n"/>
    </row>
    <row r="272" ht="15.75" customHeight="1" s="349">
      <c r="A272" s="31" t="n"/>
      <c r="B272" s="307" t="n"/>
      <c r="C272" s="307" t="n"/>
      <c r="D272" s="307" t="n"/>
      <c r="E272" s="307" t="n"/>
      <c r="F272" s="307" t="n"/>
      <c r="G272" s="307" t="n"/>
      <c r="H272" s="307" t="n"/>
      <c r="I272" s="307" t="n"/>
      <c r="J272" s="307" t="n"/>
      <c r="K272" s="307" t="n"/>
      <c r="L272" s="307" t="n"/>
      <c r="M272" s="307" t="n"/>
      <c r="N272" s="307" t="n"/>
      <c r="O272" s="307" t="n"/>
      <c r="P272" s="307" t="n"/>
      <c r="Q272" s="307" t="n"/>
      <c r="R272" s="307" t="n"/>
      <c r="S272" s="307" t="n"/>
      <c r="T272" s="307" t="n"/>
      <c r="U272" s="307" t="n"/>
      <c r="V272" s="307" t="n"/>
      <c r="W272" s="307" t="n"/>
      <c r="X272" s="307" t="n"/>
      <c r="Y272" s="307" t="n"/>
      <c r="Z272" s="307" t="n"/>
      <c r="AA272" s="307" t="n"/>
      <c r="AB272" s="307" t="n"/>
      <c r="AC272" s="307" t="n"/>
      <c r="AD272" s="307" t="n"/>
      <c r="AE272" s="307" t="n"/>
      <c r="AF272" s="307" t="n"/>
      <c r="AG272" s="307" t="n"/>
      <c r="AH272" s="307" t="n"/>
      <c r="AI272" s="307" t="n"/>
      <c r="AJ272" s="307" t="n"/>
      <c r="AK272" s="307" t="n"/>
      <c r="AL272" s="307" t="n"/>
      <c r="AM272" s="307" t="n"/>
      <c r="AN272" s="307" t="n"/>
      <c r="AO272" s="307" t="n"/>
      <c r="AP272" s="307" t="n"/>
      <c r="AQ272" s="307" t="n"/>
      <c r="AR272" s="307" t="n"/>
      <c r="AS272" s="307" t="n"/>
      <c r="AT272" s="307" t="n"/>
      <c r="AU272" s="307" t="n"/>
      <c r="AV272" s="307" t="n"/>
      <c r="AW272" s="307" t="n"/>
      <c r="AX272" s="307" t="n"/>
      <c r="AY272" s="307" t="n"/>
      <c r="AZ272" s="307" t="n"/>
      <c r="BA272" s="31" t="n"/>
      <c r="BB272" s="307" t="n"/>
      <c r="BC272" s="307" t="n"/>
      <c r="BD272" s="307" t="n"/>
      <c r="BE272" s="307" t="n"/>
      <c r="BF272" s="307" t="n"/>
      <c r="BG272" s="31" t="n"/>
      <c r="BH272" s="31" t="n"/>
      <c r="BI272" s="31" t="n"/>
      <c r="BJ272" s="31" t="n"/>
    </row>
    <row r="273" ht="15.75" customHeight="1" s="349">
      <c r="A273" s="31" t="n"/>
      <c r="B273" s="307" t="n"/>
      <c r="C273" s="307" t="n"/>
      <c r="D273" s="307" t="n"/>
      <c r="E273" s="307" t="n"/>
      <c r="F273" s="307" t="n"/>
      <c r="G273" s="307" t="n"/>
      <c r="H273" s="307" t="n"/>
      <c r="I273" s="307" t="n"/>
      <c r="J273" s="307" t="n"/>
      <c r="K273" s="307" t="n"/>
      <c r="L273" s="307" t="n"/>
      <c r="M273" s="307" t="n"/>
      <c r="N273" s="307" t="n"/>
      <c r="O273" s="307" t="n"/>
      <c r="P273" s="307" t="n"/>
      <c r="Q273" s="307" t="n"/>
      <c r="R273" s="307" t="n"/>
      <c r="S273" s="307" t="n"/>
      <c r="T273" s="307" t="n"/>
      <c r="U273" s="307" t="n"/>
      <c r="V273" s="307" t="n"/>
      <c r="W273" s="307" t="n"/>
      <c r="X273" s="307" t="n"/>
      <c r="Y273" s="307" t="n"/>
      <c r="Z273" s="307" t="n"/>
      <c r="AA273" s="307" t="n"/>
      <c r="AB273" s="307" t="n"/>
      <c r="AC273" s="307" t="n"/>
      <c r="AD273" s="307" t="n"/>
      <c r="AE273" s="307" t="n"/>
      <c r="AF273" s="307" t="n"/>
      <c r="AG273" s="307" t="n"/>
      <c r="AH273" s="307" t="n"/>
      <c r="AI273" s="307" t="n"/>
      <c r="AJ273" s="307" t="n"/>
      <c r="AK273" s="307" t="n"/>
      <c r="AL273" s="307" t="n"/>
      <c r="AM273" s="307" t="n"/>
      <c r="AN273" s="307" t="n"/>
      <c r="AO273" s="307" t="n"/>
      <c r="AP273" s="307" t="n"/>
      <c r="AQ273" s="307" t="n"/>
      <c r="AR273" s="307" t="n"/>
      <c r="AS273" s="307" t="n"/>
      <c r="AT273" s="307" t="n"/>
      <c r="AU273" s="307" t="n"/>
      <c r="AV273" s="307" t="n"/>
      <c r="AW273" s="307" t="n"/>
      <c r="AX273" s="307" t="n"/>
      <c r="AY273" s="307" t="n"/>
      <c r="AZ273" s="307" t="n"/>
      <c r="BA273" s="31" t="n"/>
      <c r="BB273" s="307" t="n"/>
      <c r="BC273" s="307" t="n"/>
      <c r="BD273" s="307" t="n"/>
      <c r="BE273" s="307" t="n"/>
      <c r="BF273" s="307" t="n"/>
      <c r="BG273" s="31" t="n"/>
      <c r="BH273" s="31" t="n"/>
      <c r="BI273" s="31" t="n"/>
      <c r="BJ273" s="31" t="n"/>
    </row>
    <row r="274" ht="15.75" customHeight="1" s="349">
      <c r="A274" s="31" t="n"/>
      <c r="B274" s="307" t="n"/>
      <c r="C274" s="307" t="n"/>
      <c r="D274" s="307" t="n"/>
      <c r="E274" s="307" t="n"/>
      <c r="F274" s="307" t="n"/>
      <c r="G274" s="307" t="n"/>
      <c r="H274" s="307" t="n"/>
      <c r="I274" s="307" t="n"/>
      <c r="J274" s="307" t="n"/>
      <c r="K274" s="307" t="n"/>
      <c r="L274" s="307" t="n"/>
      <c r="M274" s="307" t="n"/>
      <c r="N274" s="307" t="n"/>
      <c r="O274" s="307" t="n"/>
      <c r="P274" s="307" t="n"/>
      <c r="Q274" s="307" t="n"/>
      <c r="R274" s="307" t="n"/>
      <c r="S274" s="307" t="n"/>
      <c r="T274" s="307" t="n"/>
      <c r="U274" s="307" t="n"/>
      <c r="V274" s="307" t="n"/>
      <c r="W274" s="307" t="n"/>
      <c r="X274" s="307" t="n"/>
      <c r="Y274" s="307" t="n"/>
      <c r="Z274" s="307" t="n"/>
      <c r="AA274" s="307" t="n"/>
      <c r="AB274" s="307" t="n"/>
      <c r="AC274" s="307" t="n"/>
      <c r="AD274" s="307" t="n"/>
      <c r="AE274" s="307" t="n"/>
      <c r="AF274" s="307" t="n"/>
      <c r="AG274" s="307" t="n"/>
      <c r="AH274" s="307" t="n"/>
      <c r="AI274" s="307" t="n"/>
      <c r="AJ274" s="307" t="n"/>
      <c r="AK274" s="307" t="n"/>
      <c r="AL274" s="307" t="n"/>
      <c r="AM274" s="307" t="n"/>
      <c r="AN274" s="307" t="n"/>
      <c r="AO274" s="307" t="n"/>
      <c r="AP274" s="307" t="n"/>
      <c r="AQ274" s="307" t="n"/>
      <c r="AR274" s="307" t="n"/>
      <c r="AS274" s="307" t="n"/>
      <c r="AT274" s="307" t="n"/>
      <c r="AU274" s="307" t="n"/>
      <c r="AV274" s="307" t="n"/>
      <c r="AW274" s="307" t="n"/>
      <c r="AX274" s="307" t="n"/>
      <c r="AY274" s="307" t="n"/>
      <c r="AZ274" s="307" t="n"/>
      <c r="BA274" s="31" t="n"/>
      <c r="BB274" s="307" t="n"/>
      <c r="BC274" s="307" t="n"/>
      <c r="BD274" s="307" t="n"/>
      <c r="BE274" s="307" t="n"/>
      <c r="BF274" s="307" t="n"/>
      <c r="BG274" s="31" t="n"/>
      <c r="BH274" s="31" t="n"/>
      <c r="BI274" s="31" t="n"/>
      <c r="BJ274" s="31" t="n"/>
    </row>
    <row r="275" ht="15.75" customHeight="1" s="349">
      <c r="A275" s="31" t="n"/>
      <c r="B275" s="307" t="n"/>
      <c r="C275" s="307" t="n"/>
      <c r="D275" s="307" t="n"/>
      <c r="E275" s="307" t="n"/>
      <c r="F275" s="307" t="n"/>
      <c r="G275" s="307" t="n"/>
      <c r="H275" s="307" t="n"/>
      <c r="I275" s="307" t="n"/>
      <c r="J275" s="307" t="n"/>
      <c r="K275" s="307" t="n"/>
      <c r="L275" s="307" t="n"/>
      <c r="M275" s="307" t="n"/>
      <c r="N275" s="307" t="n"/>
      <c r="O275" s="307" t="n"/>
      <c r="P275" s="307" t="n"/>
      <c r="Q275" s="307" t="n"/>
      <c r="R275" s="307" t="n"/>
      <c r="S275" s="307" t="n"/>
      <c r="T275" s="307" t="n"/>
      <c r="U275" s="307" t="n"/>
      <c r="V275" s="307" t="n"/>
      <c r="W275" s="307" t="n"/>
      <c r="X275" s="307" t="n"/>
      <c r="Y275" s="307" t="n"/>
      <c r="Z275" s="307" t="n"/>
      <c r="AA275" s="307" t="n"/>
      <c r="AB275" s="307" t="n"/>
      <c r="AC275" s="307" t="n"/>
      <c r="AD275" s="307" t="n"/>
      <c r="AE275" s="307" t="n"/>
      <c r="AF275" s="307" t="n"/>
      <c r="AG275" s="307" t="n"/>
      <c r="AH275" s="307" t="n"/>
      <c r="AI275" s="307" t="n"/>
      <c r="AJ275" s="307" t="n"/>
      <c r="AK275" s="307" t="n"/>
      <c r="AL275" s="307" t="n"/>
      <c r="AM275" s="307" t="n"/>
      <c r="AN275" s="307" t="n"/>
      <c r="AO275" s="307" t="n"/>
      <c r="AP275" s="307" t="n"/>
      <c r="AQ275" s="307" t="n"/>
      <c r="AR275" s="307" t="n"/>
      <c r="AS275" s="307" t="n"/>
      <c r="AT275" s="307" t="n"/>
      <c r="AU275" s="307" t="n"/>
      <c r="AV275" s="307" t="n"/>
      <c r="AW275" s="307" t="n"/>
      <c r="AX275" s="307" t="n"/>
      <c r="AY275" s="307" t="n"/>
      <c r="AZ275" s="307" t="n"/>
      <c r="BA275" s="31" t="n"/>
      <c r="BB275" s="307" t="n"/>
      <c r="BC275" s="307" t="n"/>
      <c r="BD275" s="307" t="n"/>
      <c r="BE275" s="307" t="n"/>
      <c r="BF275" s="307" t="n"/>
      <c r="BG275" s="31" t="n"/>
      <c r="BH275" s="31" t="n"/>
      <c r="BI275" s="31" t="n"/>
      <c r="BJ275" s="31" t="n"/>
    </row>
    <row r="276" ht="15.75" customHeight="1" s="349">
      <c r="A276" s="31" t="n"/>
      <c r="B276" s="307" t="n"/>
      <c r="C276" s="307" t="n"/>
      <c r="D276" s="307" t="n"/>
      <c r="E276" s="307" t="n"/>
      <c r="F276" s="307" t="n"/>
      <c r="G276" s="307" t="n"/>
      <c r="H276" s="307" t="n"/>
      <c r="I276" s="307" t="n"/>
      <c r="J276" s="307" t="n"/>
      <c r="K276" s="307" t="n"/>
      <c r="L276" s="307" t="n"/>
      <c r="M276" s="307" t="n"/>
      <c r="N276" s="307" t="n"/>
      <c r="O276" s="307" t="n"/>
      <c r="P276" s="307" t="n"/>
      <c r="Q276" s="307" t="n"/>
      <c r="R276" s="307" t="n"/>
      <c r="S276" s="307" t="n"/>
      <c r="T276" s="307" t="n"/>
      <c r="U276" s="307" t="n"/>
      <c r="V276" s="307" t="n"/>
      <c r="W276" s="307" t="n"/>
      <c r="X276" s="307" t="n"/>
      <c r="Y276" s="307" t="n"/>
      <c r="Z276" s="307" t="n"/>
      <c r="AA276" s="307" t="n"/>
      <c r="AB276" s="307" t="n"/>
      <c r="AC276" s="307" t="n"/>
      <c r="AD276" s="307" t="n"/>
      <c r="AE276" s="307" t="n"/>
      <c r="AF276" s="307" t="n"/>
      <c r="AG276" s="307" t="n"/>
      <c r="AH276" s="307" t="n"/>
      <c r="AI276" s="307" t="n"/>
      <c r="AJ276" s="307" t="n"/>
      <c r="AK276" s="307" t="n"/>
      <c r="AL276" s="307" t="n"/>
      <c r="AM276" s="307" t="n"/>
      <c r="AN276" s="307" t="n"/>
      <c r="AO276" s="307" t="n"/>
      <c r="AP276" s="307" t="n"/>
      <c r="AQ276" s="307" t="n"/>
      <c r="AR276" s="307" t="n"/>
      <c r="AS276" s="307" t="n"/>
      <c r="AT276" s="307" t="n"/>
      <c r="AU276" s="307" t="n"/>
      <c r="AV276" s="307" t="n"/>
      <c r="AW276" s="307" t="n"/>
      <c r="AX276" s="307" t="n"/>
      <c r="AY276" s="307" t="n"/>
      <c r="AZ276" s="307" t="n"/>
      <c r="BA276" s="31" t="n"/>
      <c r="BB276" s="307" t="n"/>
      <c r="BC276" s="307" t="n"/>
      <c r="BD276" s="307" t="n"/>
      <c r="BE276" s="307" t="n"/>
      <c r="BF276" s="307" t="n"/>
      <c r="BG276" s="31" t="n"/>
      <c r="BH276" s="31" t="n"/>
      <c r="BI276" s="31" t="n"/>
      <c r="BJ276" s="31" t="n"/>
    </row>
    <row r="277" ht="15.75" customHeight="1" s="349">
      <c r="A277" s="31" t="n"/>
      <c r="B277" s="307" t="n"/>
      <c r="C277" s="307" t="n"/>
      <c r="D277" s="307" t="n"/>
      <c r="E277" s="307" t="n"/>
      <c r="F277" s="307" t="n"/>
      <c r="G277" s="307" t="n"/>
      <c r="H277" s="307" t="n"/>
      <c r="I277" s="307" t="n"/>
      <c r="J277" s="307" t="n"/>
      <c r="K277" s="307" t="n"/>
      <c r="L277" s="307" t="n"/>
      <c r="M277" s="307" t="n"/>
      <c r="N277" s="307" t="n"/>
      <c r="O277" s="307" t="n"/>
      <c r="P277" s="307" t="n"/>
      <c r="Q277" s="307" t="n"/>
      <c r="R277" s="307" t="n"/>
      <c r="S277" s="307" t="n"/>
      <c r="T277" s="307" t="n"/>
      <c r="U277" s="307" t="n"/>
      <c r="V277" s="307" t="n"/>
      <c r="W277" s="307" t="n"/>
      <c r="X277" s="307" t="n"/>
      <c r="Y277" s="307" t="n"/>
      <c r="Z277" s="307" t="n"/>
      <c r="AA277" s="307" t="n"/>
      <c r="AB277" s="307" t="n"/>
      <c r="AC277" s="307" t="n"/>
      <c r="AD277" s="307" t="n"/>
      <c r="AE277" s="307" t="n"/>
      <c r="AF277" s="307" t="n"/>
      <c r="AG277" s="307" t="n"/>
      <c r="AH277" s="307" t="n"/>
      <c r="AI277" s="307" t="n"/>
      <c r="AJ277" s="307" t="n"/>
      <c r="AK277" s="307" t="n"/>
      <c r="AL277" s="307" t="n"/>
      <c r="AM277" s="307" t="n"/>
      <c r="AN277" s="307" t="n"/>
      <c r="AO277" s="307" t="n"/>
      <c r="AP277" s="307" t="n"/>
      <c r="AQ277" s="307" t="n"/>
      <c r="AR277" s="307" t="n"/>
      <c r="AS277" s="307" t="n"/>
      <c r="AT277" s="307" t="n"/>
      <c r="AU277" s="307" t="n"/>
      <c r="AV277" s="307" t="n"/>
      <c r="AW277" s="307" t="n"/>
      <c r="AX277" s="307" t="n"/>
      <c r="AY277" s="307" t="n"/>
      <c r="AZ277" s="307" t="n"/>
      <c r="BA277" s="31" t="n"/>
      <c r="BB277" s="307" t="n"/>
      <c r="BC277" s="307" t="n"/>
      <c r="BD277" s="307" t="n"/>
      <c r="BE277" s="307" t="n"/>
      <c r="BF277" s="307" t="n"/>
      <c r="BG277" s="31" t="n"/>
      <c r="BH277" s="31" t="n"/>
      <c r="BI277" s="31" t="n"/>
      <c r="BJ277" s="31" t="n"/>
    </row>
    <row r="278" ht="15.75" customHeight="1" s="349">
      <c r="A278" s="31" t="n"/>
      <c r="B278" s="307" t="n"/>
      <c r="C278" s="307" t="n"/>
      <c r="D278" s="307" t="n"/>
      <c r="E278" s="307" t="n"/>
      <c r="F278" s="307" t="n"/>
      <c r="G278" s="307" t="n"/>
      <c r="H278" s="307" t="n"/>
      <c r="I278" s="307" t="n"/>
      <c r="J278" s="307" t="n"/>
      <c r="K278" s="307" t="n"/>
      <c r="L278" s="307" t="n"/>
      <c r="M278" s="307" t="n"/>
      <c r="N278" s="307" t="n"/>
      <c r="O278" s="307" t="n"/>
      <c r="P278" s="307" t="n"/>
      <c r="Q278" s="307" t="n"/>
      <c r="R278" s="307" t="n"/>
      <c r="S278" s="307" t="n"/>
      <c r="T278" s="307" t="n"/>
      <c r="U278" s="307" t="n"/>
      <c r="V278" s="307" t="n"/>
      <c r="W278" s="307" t="n"/>
      <c r="X278" s="307" t="n"/>
      <c r="Y278" s="307" t="n"/>
      <c r="Z278" s="307" t="n"/>
      <c r="AA278" s="307" t="n"/>
      <c r="AB278" s="307" t="n"/>
      <c r="AC278" s="307" t="n"/>
      <c r="AD278" s="307" t="n"/>
      <c r="AE278" s="307" t="n"/>
      <c r="AF278" s="307" t="n"/>
      <c r="AG278" s="307" t="n"/>
      <c r="AH278" s="307" t="n"/>
      <c r="AI278" s="307" t="n"/>
      <c r="AJ278" s="307" t="n"/>
      <c r="AK278" s="307" t="n"/>
      <c r="AL278" s="307" t="n"/>
      <c r="AM278" s="307" t="n"/>
      <c r="AN278" s="307" t="n"/>
      <c r="AO278" s="307" t="n"/>
      <c r="AP278" s="307" t="n"/>
      <c r="AQ278" s="307" t="n"/>
      <c r="AR278" s="307" t="n"/>
      <c r="AS278" s="307" t="n"/>
      <c r="AT278" s="307" t="n"/>
      <c r="AU278" s="307" t="n"/>
      <c r="AV278" s="307" t="n"/>
      <c r="AW278" s="307" t="n"/>
      <c r="AX278" s="307" t="n"/>
      <c r="AY278" s="307" t="n"/>
      <c r="AZ278" s="307" t="n"/>
      <c r="BA278" s="31" t="n"/>
      <c r="BB278" s="307" t="n"/>
      <c r="BC278" s="307" t="n"/>
      <c r="BD278" s="307" t="n"/>
      <c r="BE278" s="307" t="n"/>
      <c r="BF278" s="307" t="n"/>
      <c r="BG278" s="31" t="n"/>
      <c r="BH278" s="31" t="n"/>
      <c r="BI278" s="31" t="n"/>
      <c r="BJ278" s="31" t="n"/>
    </row>
    <row r="279" ht="15.75" customHeight="1" s="349">
      <c r="A279" s="31" t="n"/>
      <c r="B279" s="307" t="n"/>
      <c r="C279" s="307" t="n"/>
      <c r="D279" s="307" t="n"/>
      <c r="E279" s="307" t="n"/>
      <c r="F279" s="307" t="n"/>
      <c r="G279" s="307" t="n"/>
      <c r="H279" s="307" t="n"/>
      <c r="I279" s="307" t="n"/>
      <c r="J279" s="307" t="n"/>
      <c r="K279" s="307" t="n"/>
      <c r="L279" s="307" t="n"/>
      <c r="M279" s="307" t="n"/>
      <c r="N279" s="307" t="n"/>
      <c r="O279" s="307" t="n"/>
      <c r="P279" s="307" t="n"/>
      <c r="Q279" s="307" t="n"/>
      <c r="R279" s="307" t="n"/>
      <c r="S279" s="307" t="n"/>
      <c r="T279" s="307" t="n"/>
      <c r="U279" s="307" t="n"/>
      <c r="V279" s="307" t="n"/>
      <c r="W279" s="307" t="n"/>
      <c r="X279" s="307" t="n"/>
      <c r="Y279" s="307" t="n"/>
      <c r="Z279" s="307" t="n"/>
      <c r="AA279" s="307" t="n"/>
      <c r="AB279" s="307" t="n"/>
      <c r="AC279" s="307" t="n"/>
      <c r="AD279" s="307" t="n"/>
      <c r="AE279" s="307" t="n"/>
      <c r="AF279" s="307" t="n"/>
      <c r="AG279" s="307" t="n"/>
      <c r="AH279" s="307" t="n"/>
      <c r="AI279" s="307" t="n"/>
      <c r="AJ279" s="307" t="n"/>
      <c r="AK279" s="307" t="n"/>
      <c r="AL279" s="307" t="n"/>
      <c r="AM279" s="307" t="n"/>
      <c r="AN279" s="307" t="n"/>
      <c r="AO279" s="307" t="n"/>
      <c r="AP279" s="307" t="n"/>
      <c r="AQ279" s="307" t="n"/>
      <c r="AR279" s="307" t="n"/>
      <c r="AS279" s="307" t="n"/>
      <c r="AT279" s="307" t="n"/>
      <c r="AU279" s="307" t="n"/>
      <c r="AV279" s="307" t="n"/>
      <c r="AW279" s="307" t="n"/>
      <c r="AX279" s="307" t="n"/>
      <c r="AY279" s="307" t="n"/>
      <c r="AZ279" s="307" t="n"/>
      <c r="BA279" s="31" t="n"/>
      <c r="BB279" s="307" t="n"/>
      <c r="BC279" s="307" t="n"/>
      <c r="BD279" s="307" t="n"/>
      <c r="BE279" s="307" t="n"/>
      <c r="BF279" s="307" t="n"/>
      <c r="BG279" s="31" t="n"/>
      <c r="BH279" s="31" t="n"/>
      <c r="BI279" s="31" t="n"/>
      <c r="BJ279" s="31" t="n"/>
    </row>
    <row r="280" ht="15.75" customHeight="1" s="349">
      <c r="A280" s="31" t="n"/>
      <c r="B280" s="307" t="n"/>
      <c r="C280" s="307" t="n"/>
      <c r="D280" s="307" t="n"/>
      <c r="E280" s="307" t="n"/>
      <c r="F280" s="307" t="n"/>
      <c r="G280" s="307" t="n"/>
      <c r="H280" s="307" t="n"/>
      <c r="I280" s="307" t="n"/>
      <c r="J280" s="307" t="n"/>
      <c r="K280" s="307" t="n"/>
      <c r="L280" s="307" t="n"/>
      <c r="M280" s="307" t="n"/>
      <c r="N280" s="307" t="n"/>
      <c r="O280" s="307" t="n"/>
      <c r="P280" s="307" t="n"/>
      <c r="Q280" s="307" t="n"/>
      <c r="R280" s="307" t="n"/>
      <c r="S280" s="307" t="n"/>
      <c r="T280" s="307" t="n"/>
      <c r="U280" s="307" t="n"/>
      <c r="V280" s="307" t="n"/>
      <c r="W280" s="307" t="n"/>
      <c r="X280" s="307" t="n"/>
      <c r="Y280" s="307" t="n"/>
      <c r="Z280" s="307" t="n"/>
      <c r="AA280" s="307" t="n"/>
      <c r="AB280" s="307" t="n"/>
      <c r="AC280" s="307" t="n"/>
      <c r="AD280" s="307" t="n"/>
      <c r="AE280" s="307" t="n"/>
      <c r="AF280" s="307" t="n"/>
      <c r="AG280" s="307" t="n"/>
      <c r="AH280" s="307" t="n"/>
      <c r="AI280" s="307" t="n"/>
      <c r="AJ280" s="307" t="n"/>
      <c r="AK280" s="307" t="n"/>
      <c r="AL280" s="307" t="n"/>
      <c r="AM280" s="307" t="n"/>
      <c r="AN280" s="307" t="n"/>
      <c r="AO280" s="307" t="n"/>
      <c r="AP280" s="307" t="n"/>
      <c r="AQ280" s="307" t="n"/>
      <c r="AR280" s="307" t="n"/>
      <c r="AS280" s="307" t="n"/>
      <c r="AT280" s="307" t="n"/>
      <c r="AU280" s="307" t="n"/>
      <c r="AV280" s="307" t="n"/>
      <c r="AW280" s="307" t="n"/>
      <c r="AX280" s="307" t="n"/>
      <c r="AY280" s="307" t="n"/>
      <c r="AZ280" s="307" t="n"/>
      <c r="BA280" s="31" t="n"/>
      <c r="BB280" s="307" t="n"/>
      <c r="BC280" s="307" t="n"/>
      <c r="BD280" s="307" t="n"/>
      <c r="BE280" s="307" t="n"/>
      <c r="BF280" s="307" t="n"/>
      <c r="BG280" s="31" t="n"/>
      <c r="BH280" s="31" t="n"/>
      <c r="BI280" s="31" t="n"/>
      <c r="BJ280" s="31" t="n"/>
    </row>
    <row r="281" ht="15.75" customHeight="1" s="349">
      <c r="A281" s="31" t="n"/>
      <c r="B281" s="307" t="n"/>
      <c r="C281" s="307" t="n"/>
      <c r="D281" s="307" t="n"/>
      <c r="E281" s="307" t="n"/>
      <c r="F281" s="307" t="n"/>
      <c r="G281" s="307" t="n"/>
      <c r="H281" s="307" t="n"/>
      <c r="I281" s="307" t="n"/>
      <c r="J281" s="307" t="n"/>
      <c r="K281" s="307" t="n"/>
      <c r="L281" s="307" t="n"/>
      <c r="M281" s="307" t="n"/>
      <c r="N281" s="307" t="n"/>
      <c r="O281" s="307" t="n"/>
      <c r="P281" s="307" t="n"/>
      <c r="Q281" s="307" t="n"/>
      <c r="R281" s="307" t="n"/>
      <c r="S281" s="307" t="n"/>
      <c r="T281" s="307" t="n"/>
      <c r="U281" s="307" t="n"/>
      <c r="V281" s="307" t="n"/>
      <c r="W281" s="307" t="n"/>
      <c r="X281" s="307" t="n"/>
      <c r="Y281" s="307" t="n"/>
      <c r="Z281" s="307" t="n"/>
      <c r="AA281" s="307" t="n"/>
      <c r="AB281" s="307" t="n"/>
      <c r="AC281" s="307" t="n"/>
      <c r="AD281" s="307" t="n"/>
      <c r="AE281" s="307" t="n"/>
      <c r="AF281" s="307" t="n"/>
      <c r="AG281" s="307" t="n"/>
      <c r="AH281" s="307" t="n"/>
      <c r="AI281" s="307" t="n"/>
      <c r="AJ281" s="307" t="n"/>
      <c r="AK281" s="307" t="n"/>
      <c r="AL281" s="307" t="n"/>
      <c r="AM281" s="307" t="n"/>
      <c r="AN281" s="307" t="n"/>
      <c r="AO281" s="307" t="n"/>
      <c r="AP281" s="307" t="n"/>
      <c r="AQ281" s="307" t="n"/>
      <c r="AR281" s="307" t="n"/>
      <c r="AS281" s="307" t="n"/>
      <c r="AT281" s="307" t="n"/>
      <c r="AU281" s="307" t="n"/>
      <c r="AV281" s="307" t="n"/>
      <c r="AW281" s="307" t="n"/>
      <c r="AX281" s="307" t="n"/>
      <c r="AY281" s="307" t="n"/>
      <c r="AZ281" s="307" t="n"/>
      <c r="BA281" s="31" t="n"/>
      <c r="BB281" s="307" t="n"/>
      <c r="BC281" s="307" t="n"/>
      <c r="BD281" s="307" t="n"/>
      <c r="BE281" s="307" t="n"/>
      <c r="BF281" s="307" t="n"/>
      <c r="BG281" s="31" t="n"/>
      <c r="BH281" s="31" t="n"/>
      <c r="BI281" s="31" t="n"/>
      <c r="BJ281" s="31" t="n"/>
    </row>
    <row r="282" ht="15.75" customHeight="1" s="349">
      <c r="A282" s="31" t="n"/>
      <c r="B282" s="307" t="n"/>
      <c r="C282" s="307" t="n"/>
      <c r="D282" s="307" t="n"/>
      <c r="E282" s="307" t="n"/>
      <c r="F282" s="307" t="n"/>
      <c r="G282" s="307" t="n"/>
      <c r="H282" s="307" t="n"/>
      <c r="I282" s="307" t="n"/>
      <c r="J282" s="307" t="n"/>
      <c r="K282" s="307" t="n"/>
      <c r="L282" s="307" t="n"/>
      <c r="M282" s="307" t="n"/>
      <c r="N282" s="307" t="n"/>
      <c r="O282" s="307" t="n"/>
      <c r="P282" s="307" t="n"/>
      <c r="Q282" s="307" t="n"/>
      <c r="R282" s="307" t="n"/>
      <c r="S282" s="307" t="n"/>
      <c r="T282" s="307" t="n"/>
      <c r="U282" s="307" t="n"/>
      <c r="V282" s="307" t="n"/>
      <c r="W282" s="307" t="n"/>
      <c r="X282" s="307" t="n"/>
      <c r="Y282" s="307" t="n"/>
      <c r="Z282" s="307" t="n"/>
      <c r="AA282" s="307" t="n"/>
      <c r="AB282" s="307" t="n"/>
      <c r="AC282" s="307" t="n"/>
      <c r="AD282" s="307" t="n"/>
      <c r="AE282" s="307" t="n"/>
      <c r="AF282" s="307" t="n"/>
      <c r="AG282" s="307" t="n"/>
      <c r="AH282" s="307" t="n"/>
      <c r="AI282" s="307" t="n"/>
      <c r="AJ282" s="307" t="n"/>
      <c r="AK282" s="307" t="n"/>
      <c r="AL282" s="307" t="n"/>
      <c r="AM282" s="307" t="n"/>
      <c r="AN282" s="307" t="n"/>
      <c r="AO282" s="307" t="n"/>
      <c r="AP282" s="307" t="n"/>
      <c r="AQ282" s="307" t="n"/>
      <c r="AR282" s="307" t="n"/>
      <c r="AS282" s="307" t="n"/>
      <c r="AT282" s="307" t="n"/>
      <c r="AU282" s="307" t="n"/>
      <c r="AV282" s="307" t="n"/>
      <c r="AW282" s="307" t="n"/>
      <c r="AX282" s="307" t="n"/>
      <c r="AY282" s="307" t="n"/>
      <c r="AZ282" s="307" t="n"/>
      <c r="BA282" s="31" t="n"/>
      <c r="BB282" s="307" t="n"/>
      <c r="BC282" s="307" t="n"/>
      <c r="BD282" s="307" t="n"/>
      <c r="BE282" s="307" t="n"/>
      <c r="BF282" s="307" t="n"/>
      <c r="BG282" s="31" t="n"/>
      <c r="BH282" s="31" t="n"/>
      <c r="BI282" s="31" t="n"/>
      <c r="BJ282" s="31" t="n"/>
    </row>
    <row r="283" ht="15.75" customHeight="1" s="349">
      <c r="A283" s="31" t="n"/>
      <c r="B283" s="307" t="n"/>
      <c r="C283" s="307" t="n"/>
      <c r="D283" s="307" t="n"/>
      <c r="E283" s="307" t="n"/>
      <c r="F283" s="307" t="n"/>
      <c r="G283" s="307" t="n"/>
      <c r="H283" s="307" t="n"/>
      <c r="I283" s="307" t="n"/>
      <c r="J283" s="307" t="n"/>
      <c r="K283" s="307" t="n"/>
      <c r="L283" s="307" t="n"/>
      <c r="M283" s="307" t="n"/>
      <c r="N283" s="307" t="n"/>
      <c r="O283" s="307" t="n"/>
      <c r="P283" s="307" t="n"/>
      <c r="Q283" s="307" t="n"/>
      <c r="R283" s="307" t="n"/>
      <c r="S283" s="307" t="n"/>
      <c r="T283" s="307" t="n"/>
      <c r="U283" s="307" t="n"/>
      <c r="V283" s="307" t="n"/>
      <c r="W283" s="307" t="n"/>
      <c r="X283" s="307" t="n"/>
      <c r="Y283" s="307" t="n"/>
      <c r="Z283" s="307" t="n"/>
      <c r="AA283" s="307" t="n"/>
      <c r="AB283" s="307" t="n"/>
      <c r="AC283" s="307" t="n"/>
      <c r="AD283" s="307" t="n"/>
      <c r="AE283" s="307" t="n"/>
      <c r="AF283" s="307" t="n"/>
      <c r="AG283" s="307" t="n"/>
      <c r="AH283" s="307" t="n"/>
      <c r="AI283" s="307" t="n"/>
      <c r="AJ283" s="307" t="n"/>
      <c r="AK283" s="307" t="n"/>
      <c r="AL283" s="307" t="n"/>
      <c r="AM283" s="307" t="n"/>
      <c r="AN283" s="307" t="n"/>
      <c r="AO283" s="307" t="n"/>
      <c r="AP283" s="307" t="n"/>
      <c r="AQ283" s="307" t="n"/>
      <c r="AR283" s="307" t="n"/>
      <c r="AS283" s="307" t="n"/>
      <c r="AT283" s="307" t="n"/>
      <c r="AU283" s="307" t="n"/>
      <c r="AV283" s="307" t="n"/>
      <c r="AW283" s="307" t="n"/>
      <c r="AX283" s="307" t="n"/>
      <c r="AY283" s="307" t="n"/>
      <c r="AZ283" s="307" t="n"/>
      <c r="BA283" s="31" t="n"/>
      <c r="BB283" s="307" t="n"/>
      <c r="BC283" s="307" t="n"/>
      <c r="BD283" s="307" t="n"/>
      <c r="BE283" s="307" t="n"/>
      <c r="BF283" s="307" t="n"/>
      <c r="BG283" s="31" t="n"/>
      <c r="BH283" s="31" t="n"/>
      <c r="BI283" s="31" t="n"/>
      <c r="BJ283" s="31" t="n"/>
    </row>
    <row r="284" ht="15.75" customHeight="1" s="349">
      <c r="A284" s="31" t="n"/>
      <c r="B284" s="307" t="n"/>
      <c r="C284" s="307" t="n"/>
      <c r="D284" s="307" t="n"/>
      <c r="E284" s="307" t="n"/>
      <c r="F284" s="307" t="n"/>
      <c r="G284" s="307" t="n"/>
      <c r="H284" s="307" t="n"/>
      <c r="I284" s="307" t="n"/>
      <c r="J284" s="307" t="n"/>
      <c r="K284" s="307" t="n"/>
      <c r="L284" s="307" t="n"/>
      <c r="M284" s="307" t="n"/>
      <c r="N284" s="307" t="n"/>
      <c r="O284" s="307" t="n"/>
      <c r="P284" s="307" t="n"/>
      <c r="Q284" s="307" t="n"/>
      <c r="R284" s="307" t="n"/>
      <c r="S284" s="307" t="n"/>
      <c r="T284" s="307" t="n"/>
      <c r="U284" s="307" t="n"/>
      <c r="V284" s="307" t="n"/>
      <c r="W284" s="307" t="n"/>
      <c r="X284" s="307" t="n"/>
      <c r="Y284" s="307" t="n"/>
      <c r="Z284" s="307" t="n"/>
      <c r="AA284" s="307" t="n"/>
      <c r="AB284" s="307" t="n"/>
      <c r="AC284" s="307" t="n"/>
      <c r="AD284" s="307" t="n"/>
      <c r="AE284" s="307" t="n"/>
      <c r="AF284" s="307" t="n"/>
      <c r="AG284" s="307" t="n"/>
      <c r="AH284" s="307" t="n"/>
      <c r="AI284" s="307" t="n"/>
      <c r="AJ284" s="307" t="n"/>
      <c r="AK284" s="307" t="n"/>
      <c r="AL284" s="307" t="n"/>
      <c r="AM284" s="307" t="n"/>
      <c r="AN284" s="307" t="n"/>
      <c r="AO284" s="307" t="n"/>
      <c r="AP284" s="307" t="n"/>
      <c r="AQ284" s="307" t="n"/>
      <c r="AR284" s="307" t="n"/>
      <c r="AS284" s="307" t="n"/>
      <c r="AT284" s="307" t="n"/>
      <c r="AU284" s="307" t="n"/>
      <c r="AV284" s="307" t="n"/>
      <c r="AW284" s="307" t="n"/>
      <c r="AX284" s="307" t="n"/>
      <c r="AY284" s="307" t="n"/>
      <c r="AZ284" s="307" t="n"/>
      <c r="BA284" s="31" t="n"/>
      <c r="BB284" s="307" t="n"/>
      <c r="BC284" s="307" t="n"/>
      <c r="BD284" s="307" t="n"/>
      <c r="BE284" s="307" t="n"/>
      <c r="BF284" s="307" t="n"/>
      <c r="BG284" s="31" t="n"/>
      <c r="BH284" s="31" t="n"/>
      <c r="BI284" s="31" t="n"/>
      <c r="BJ284" s="31" t="n"/>
    </row>
    <row r="285" ht="15.75" customHeight="1" s="349">
      <c r="A285" s="31" t="n"/>
      <c r="B285" s="307" t="n"/>
      <c r="C285" s="307" t="n"/>
      <c r="D285" s="307" t="n"/>
      <c r="E285" s="307" t="n"/>
      <c r="F285" s="307" t="n"/>
      <c r="G285" s="307" t="n"/>
      <c r="H285" s="307" t="n"/>
      <c r="I285" s="307" t="n"/>
      <c r="J285" s="307" t="n"/>
      <c r="K285" s="307" t="n"/>
      <c r="L285" s="307" t="n"/>
      <c r="M285" s="307" t="n"/>
      <c r="N285" s="307" t="n"/>
      <c r="O285" s="307" t="n"/>
      <c r="P285" s="307" t="n"/>
      <c r="Q285" s="307" t="n"/>
      <c r="R285" s="307" t="n"/>
      <c r="S285" s="307" t="n"/>
      <c r="T285" s="307" t="n"/>
      <c r="U285" s="307" t="n"/>
      <c r="V285" s="307" t="n"/>
      <c r="W285" s="307" t="n"/>
      <c r="X285" s="307" t="n"/>
      <c r="Y285" s="307" t="n"/>
      <c r="Z285" s="307" t="n"/>
      <c r="AA285" s="307" t="n"/>
      <c r="AB285" s="307" t="n"/>
      <c r="AC285" s="307" t="n"/>
      <c r="AD285" s="307" t="n"/>
      <c r="AE285" s="307" t="n"/>
      <c r="AF285" s="307" t="n"/>
      <c r="AG285" s="307" t="n"/>
      <c r="AH285" s="307" t="n"/>
      <c r="AI285" s="307" t="n"/>
      <c r="AJ285" s="307" t="n"/>
      <c r="AK285" s="307" t="n"/>
      <c r="AL285" s="307" t="n"/>
      <c r="AM285" s="307" t="n"/>
      <c r="AN285" s="307" t="n"/>
      <c r="AO285" s="307" t="n"/>
      <c r="AP285" s="307" t="n"/>
      <c r="AQ285" s="307" t="n"/>
      <c r="AR285" s="307" t="n"/>
      <c r="AS285" s="307" t="n"/>
      <c r="AT285" s="307" t="n"/>
      <c r="AU285" s="307" t="n"/>
      <c r="AV285" s="307" t="n"/>
      <c r="AW285" s="307" t="n"/>
      <c r="AX285" s="307" t="n"/>
      <c r="AY285" s="307" t="n"/>
      <c r="AZ285" s="307" t="n"/>
      <c r="BA285" s="31" t="n"/>
      <c r="BB285" s="307" t="n"/>
      <c r="BC285" s="307" t="n"/>
      <c r="BD285" s="307" t="n"/>
      <c r="BE285" s="307" t="n"/>
      <c r="BF285" s="307" t="n"/>
      <c r="BG285" s="31" t="n"/>
      <c r="BH285" s="31" t="n"/>
      <c r="BI285" s="31" t="n"/>
      <c r="BJ285" s="31" t="n"/>
    </row>
    <row r="286" ht="15.75" customHeight="1" s="349">
      <c r="A286" s="31" t="n"/>
      <c r="B286" s="307" t="n"/>
      <c r="C286" s="307" t="n"/>
      <c r="D286" s="307" t="n"/>
      <c r="E286" s="307" t="n"/>
      <c r="F286" s="307" t="n"/>
      <c r="G286" s="307" t="n"/>
      <c r="H286" s="307" t="n"/>
      <c r="I286" s="307" t="n"/>
      <c r="J286" s="307" t="n"/>
      <c r="K286" s="307" t="n"/>
      <c r="L286" s="307" t="n"/>
      <c r="M286" s="307" t="n"/>
      <c r="N286" s="307" t="n"/>
      <c r="O286" s="307" t="n"/>
      <c r="P286" s="307" t="n"/>
      <c r="Q286" s="307" t="n"/>
      <c r="R286" s="307" t="n"/>
      <c r="S286" s="307" t="n"/>
      <c r="T286" s="307" t="n"/>
      <c r="U286" s="307" t="n"/>
      <c r="V286" s="307" t="n"/>
      <c r="W286" s="307" t="n"/>
      <c r="X286" s="307" t="n"/>
      <c r="Y286" s="307" t="n"/>
      <c r="Z286" s="307" t="n"/>
      <c r="AA286" s="307" t="n"/>
      <c r="AB286" s="307" t="n"/>
      <c r="AC286" s="307" t="n"/>
      <c r="AD286" s="307" t="n"/>
      <c r="AE286" s="307" t="n"/>
      <c r="AF286" s="307" t="n"/>
      <c r="AG286" s="307" t="n"/>
      <c r="AH286" s="307" t="n"/>
      <c r="AI286" s="307" t="n"/>
      <c r="AJ286" s="307" t="n"/>
      <c r="AK286" s="307" t="n"/>
      <c r="AL286" s="307" t="n"/>
      <c r="AM286" s="307" t="n"/>
      <c r="AN286" s="307" t="n"/>
      <c r="AO286" s="307" t="n"/>
      <c r="AP286" s="307" t="n"/>
      <c r="AQ286" s="307" t="n"/>
      <c r="AR286" s="307" t="n"/>
      <c r="AS286" s="307" t="n"/>
      <c r="AT286" s="307" t="n"/>
      <c r="AU286" s="307" t="n"/>
      <c r="AV286" s="307" t="n"/>
      <c r="AW286" s="307" t="n"/>
      <c r="AX286" s="307" t="n"/>
      <c r="AY286" s="307" t="n"/>
      <c r="AZ286" s="307" t="n"/>
      <c r="BA286" s="31" t="n"/>
      <c r="BB286" s="307" t="n"/>
      <c r="BC286" s="307" t="n"/>
      <c r="BD286" s="307" t="n"/>
      <c r="BE286" s="307" t="n"/>
      <c r="BF286" s="307" t="n"/>
      <c r="BG286" s="31" t="n"/>
      <c r="BH286" s="31" t="n"/>
      <c r="BI286" s="31" t="n"/>
      <c r="BJ286" s="31" t="n"/>
    </row>
    <row r="287" ht="15.75" customHeight="1" s="349">
      <c r="A287" s="31" t="n"/>
      <c r="B287" s="307" t="n"/>
      <c r="C287" s="307" t="n"/>
      <c r="D287" s="307" t="n"/>
      <c r="E287" s="307" t="n"/>
      <c r="F287" s="307" t="n"/>
      <c r="G287" s="307" t="n"/>
      <c r="H287" s="307" t="n"/>
      <c r="I287" s="307" t="n"/>
      <c r="J287" s="307" t="n"/>
      <c r="K287" s="307" t="n"/>
      <c r="L287" s="307" t="n"/>
      <c r="M287" s="307" t="n"/>
      <c r="N287" s="307" t="n"/>
      <c r="O287" s="307" t="n"/>
      <c r="P287" s="307" t="n"/>
      <c r="Q287" s="307" t="n"/>
      <c r="R287" s="307" t="n"/>
      <c r="S287" s="307" t="n"/>
      <c r="T287" s="307" t="n"/>
      <c r="U287" s="307" t="n"/>
      <c r="V287" s="307" t="n"/>
      <c r="W287" s="307" t="n"/>
      <c r="X287" s="307" t="n"/>
      <c r="Y287" s="307" t="n"/>
      <c r="Z287" s="307" t="n"/>
      <c r="AA287" s="307" t="n"/>
      <c r="AB287" s="307" t="n"/>
      <c r="AC287" s="307" t="n"/>
      <c r="AD287" s="307" t="n"/>
      <c r="AE287" s="307" t="n"/>
      <c r="AF287" s="307" t="n"/>
      <c r="AG287" s="307" t="n"/>
      <c r="AH287" s="307" t="n"/>
      <c r="AI287" s="307" t="n"/>
      <c r="AJ287" s="307" t="n"/>
      <c r="AK287" s="307" t="n"/>
      <c r="AL287" s="307" t="n"/>
      <c r="AM287" s="307" t="n"/>
      <c r="AN287" s="307" t="n"/>
      <c r="AO287" s="307" t="n"/>
      <c r="AP287" s="307" t="n"/>
      <c r="AQ287" s="307" t="n"/>
      <c r="AR287" s="307" t="n"/>
      <c r="AS287" s="307" t="n"/>
      <c r="AT287" s="307" t="n"/>
      <c r="AU287" s="307" t="n"/>
      <c r="AV287" s="307" t="n"/>
      <c r="AW287" s="307" t="n"/>
      <c r="AX287" s="307" t="n"/>
      <c r="AY287" s="307" t="n"/>
      <c r="AZ287" s="307" t="n"/>
      <c r="BA287" s="31" t="n"/>
      <c r="BB287" s="307" t="n"/>
      <c r="BC287" s="307" t="n"/>
      <c r="BD287" s="307" t="n"/>
      <c r="BE287" s="307" t="n"/>
      <c r="BF287" s="307" t="n"/>
      <c r="BG287" s="31" t="n"/>
      <c r="BH287" s="31" t="n"/>
      <c r="BI287" s="31" t="n"/>
      <c r="BJ287" s="31" t="n"/>
    </row>
    <row r="288" ht="15.75" customHeight="1" s="349">
      <c r="A288" s="31" t="n"/>
      <c r="B288" s="307" t="n"/>
      <c r="C288" s="307" t="n"/>
      <c r="D288" s="307" t="n"/>
      <c r="E288" s="307" t="n"/>
      <c r="F288" s="307" t="n"/>
      <c r="G288" s="307" t="n"/>
      <c r="H288" s="307" t="n"/>
      <c r="I288" s="307" t="n"/>
      <c r="J288" s="307" t="n"/>
      <c r="K288" s="307" t="n"/>
      <c r="L288" s="307" t="n"/>
      <c r="M288" s="307" t="n"/>
      <c r="N288" s="307" t="n"/>
      <c r="O288" s="307" t="n"/>
      <c r="P288" s="307" t="n"/>
      <c r="Q288" s="307" t="n"/>
      <c r="R288" s="307" t="n"/>
      <c r="S288" s="307" t="n"/>
      <c r="T288" s="307" t="n"/>
      <c r="U288" s="307" t="n"/>
      <c r="V288" s="307" t="n"/>
      <c r="W288" s="307" t="n"/>
      <c r="X288" s="307" t="n"/>
      <c r="Y288" s="307" t="n"/>
      <c r="Z288" s="307" t="n"/>
      <c r="AA288" s="307" t="n"/>
      <c r="AB288" s="307" t="n"/>
      <c r="AC288" s="307" t="n"/>
      <c r="AD288" s="307" t="n"/>
      <c r="AE288" s="307" t="n"/>
      <c r="AF288" s="307" t="n"/>
      <c r="AG288" s="307" t="n"/>
      <c r="AH288" s="307" t="n"/>
      <c r="AI288" s="307" t="n"/>
      <c r="AJ288" s="307" t="n"/>
      <c r="AK288" s="307" t="n"/>
      <c r="AL288" s="307" t="n"/>
      <c r="AM288" s="307" t="n"/>
      <c r="AN288" s="307" t="n"/>
      <c r="AO288" s="307" t="n"/>
      <c r="AP288" s="307" t="n"/>
      <c r="AQ288" s="307" t="n"/>
      <c r="AR288" s="307" t="n"/>
      <c r="AS288" s="307" t="n"/>
      <c r="AT288" s="307" t="n"/>
      <c r="AU288" s="307" t="n"/>
      <c r="AV288" s="307" t="n"/>
      <c r="AW288" s="307" t="n"/>
      <c r="AX288" s="307" t="n"/>
      <c r="AY288" s="307" t="n"/>
      <c r="AZ288" s="307" t="n"/>
      <c r="BA288" s="31" t="n"/>
      <c r="BB288" s="307" t="n"/>
      <c r="BC288" s="307" t="n"/>
      <c r="BD288" s="307" t="n"/>
      <c r="BE288" s="307" t="n"/>
      <c r="BF288" s="307" t="n"/>
      <c r="BG288" s="31" t="n"/>
      <c r="BH288" s="31" t="n"/>
      <c r="BI288" s="31" t="n"/>
      <c r="BJ288" s="31" t="n"/>
    </row>
    <row r="289" ht="15.75" customHeight="1" s="349">
      <c r="A289" s="31" t="n"/>
      <c r="B289" s="307" t="n"/>
      <c r="C289" s="307" t="n"/>
      <c r="D289" s="307" t="n"/>
      <c r="E289" s="307" t="n"/>
      <c r="F289" s="307" t="n"/>
      <c r="G289" s="307" t="n"/>
      <c r="H289" s="307" t="n"/>
      <c r="I289" s="307" t="n"/>
      <c r="J289" s="307" t="n"/>
      <c r="K289" s="307" t="n"/>
      <c r="L289" s="307" t="n"/>
      <c r="M289" s="307" t="n"/>
      <c r="N289" s="307" t="n"/>
      <c r="O289" s="307" t="n"/>
      <c r="P289" s="307" t="n"/>
      <c r="Q289" s="307" t="n"/>
      <c r="R289" s="307" t="n"/>
      <c r="S289" s="307" t="n"/>
      <c r="T289" s="307" t="n"/>
      <c r="U289" s="307" t="n"/>
      <c r="V289" s="307" t="n"/>
      <c r="W289" s="307" t="n"/>
      <c r="X289" s="307" t="n"/>
      <c r="Y289" s="307" t="n"/>
      <c r="Z289" s="307" t="n"/>
      <c r="AA289" s="307" t="n"/>
      <c r="AB289" s="307" t="n"/>
      <c r="AC289" s="307" t="n"/>
      <c r="AD289" s="307" t="n"/>
      <c r="AE289" s="307" t="n"/>
      <c r="AF289" s="307" t="n"/>
      <c r="AG289" s="307" t="n"/>
      <c r="AH289" s="307" t="n"/>
      <c r="AI289" s="307" t="n"/>
      <c r="AJ289" s="307" t="n"/>
      <c r="AK289" s="307" t="n"/>
      <c r="AL289" s="307" t="n"/>
      <c r="AM289" s="307" t="n"/>
      <c r="AN289" s="307" t="n"/>
      <c r="AO289" s="307" t="n"/>
      <c r="AP289" s="307" t="n"/>
      <c r="AQ289" s="307" t="n"/>
      <c r="AR289" s="307" t="n"/>
      <c r="AS289" s="307" t="n"/>
      <c r="AT289" s="307" t="n"/>
      <c r="AU289" s="307" t="n"/>
      <c r="AV289" s="307" t="n"/>
      <c r="AW289" s="307" t="n"/>
      <c r="AX289" s="307" t="n"/>
      <c r="AY289" s="307" t="n"/>
      <c r="AZ289" s="307" t="n"/>
      <c r="BA289" s="31" t="n"/>
      <c r="BB289" s="307" t="n"/>
      <c r="BC289" s="307" t="n"/>
      <c r="BD289" s="307" t="n"/>
      <c r="BE289" s="307" t="n"/>
      <c r="BF289" s="307" t="n"/>
      <c r="BG289" s="31" t="n"/>
      <c r="BH289" s="31" t="n"/>
      <c r="BI289" s="31" t="n"/>
      <c r="BJ289" s="31" t="n"/>
    </row>
    <row r="290" ht="15.75" customHeight="1" s="349">
      <c r="A290" s="31" t="n"/>
      <c r="B290" s="307" t="n"/>
      <c r="C290" s="307" t="n"/>
      <c r="D290" s="307" t="n"/>
      <c r="E290" s="307" t="n"/>
      <c r="F290" s="307" t="n"/>
      <c r="G290" s="307" t="n"/>
      <c r="H290" s="307" t="n"/>
      <c r="I290" s="307" t="n"/>
      <c r="J290" s="307" t="n"/>
      <c r="K290" s="307" t="n"/>
      <c r="L290" s="307" t="n"/>
      <c r="M290" s="307" t="n"/>
      <c r="N290" s="307" t="n"/>
      <c r="O290" s="307" t="n"/>
      <c r="P290" s="307" t="n"/>
      <c r="Q290" s="307" t="n"/>
      <c r="R290" s="307" t="n"/>
      <c r="S290" s="307" t="n"/>
      <c r="T290" s="307" t="n"/>
      <c r="U290" s="307" t="n"/>
      <c r="V290" s="307" t="n"/>
      <c r="W290" s="307" t="n"/>
      <c r="X290" s="307" t="n"/>
      <c r="Y290" s="307" t="n"/>
      <c r="Z290" s="307" t="n"/>
      <c r="AA290" s="307" t="n"/>
      <c r="AB290" s="307" t="n"/>
      <c r="AC290" s="307" t="n"/>
      <c r="AD290" s="307" t="n"/>
      <c r="AE290" s="307" t="n"/>
      <c r="AF290" s="307" t="n"/>
      <c r="AG290" s="307" t="n"/>
      <c r="AH290" s="307" t="n"/>
      <c r="AI290" s="307" t="n"/>
      <c r="AJ290" s="307" t="n"/>
      <c r="AK290" s="307" t="n"/>
      <c r="AL290" s="307" t="n"/>
      <c r="AM290" s="307" t="n"/>
      <c r="AN290" s="307" t="n"/>
      <c r="AO290" s="307" t="n"/>
      <c r="AP290" s="307" t="n"/>
      <c r="AQ290" s="307" t="n"/>
      <c r="AR290" s="307" t="n"/>
      <c r="AS290" s="307" t="n"/>
      <c r="AT290" s="307" t="n"/>
      <c r="AU290" s="307" t="n"/>
      <c r="AV290" s="307" t="n"/>
      <c r="AW290" s="307" t="n"/>
      <c r="AX290" s="307" t="n"/>
      <c r="AY290" s="307" t="n"/>
      <c r="AZ290" s="307" t="n"/>
      <c r="BA290" s="31" t="n"/>
      <c r="BB290" s="307" t="n"/>
      <c r="BC290" s="307" t="n"/>
      <c r="BD290" s="307" t="n"/>
      <c r="BE290" s="307" t="n"/>
      <c r="BF290" s="307" t="n"/>
      <c r="BG290" s="31" t="n"/>
      <c r="BH290" s="31" t="n"/>
      <c r="BI290" s="31" t="n"/>
      <c r="BJ290" s="31" t="n"/>
    </row>
    <row r="291" ht="15.75" customHeight="1" s="349">
      <c r="A291" s="31" t="n"/>
      <c r="B291" s="307" t="n"/>
      <c r="C291" s="307" t="n"/>
      <c r="D291" s="307" t="n"/>
      <c r="E291" s="307" t="n"/>
      <c r="F291" s="307" t="n"/>
      <c r="G291" s="307" t="n"/>
      <c r="H291" s="307" t="n"/>
      <c r="I291" s="307" t="n"/>
      <c r="J291" s="307" t="n"/>
      <c r="K291" s="307" t="n"/>
      <c r="L291" s="307" t="n"/>
      <c r="M291" s="307" t="n"/>
      <c r="N291" s="307" t="n"/>
      <c r="O291" s="307" t="n"/>
      <c r="P291" s="307" t="n"/>
      <c r="Q291" s="307" t="n"/>
      <c r="R291" s="307" t="n"/>
      <c r="S291" s="307" t="n"/>
      <c r="T291" s="307" t="n"/>
      <c r="U291" s="307" t="n"/>
      <c r="V291" s="307" t="n"/>
      <c r="W291" s="307" t="n"/>
      <c r="X291" s="307" t="n"/>
      <c r="Y291" s="307" t="n"/>
      <c r="Z291" s="307" t="n"/>
      <c r="AA291" s="307" t="n"/>
      <c r="AB291" s="307" t="n"/>
      <c r="AC291" s="307" t="n"/>
      <c r="AD291" s="307" t="n"/>
      <c r="AE291" s="307" t="n"/>
      <c r="AF291" s="307" t="n"/>
      <c r="AG291" s="307" t="n"/>
      <c r="AH291" s="307" t="n"/>
      <c r="AI291" s="307" t="n"/>
      <c r="AJ291" s="307" t="n"/>
      <c r="AK291" s="307" t="n"/>
      <c r="AL291" s="307" t="n"/>
      <c r="AM291" s="307" t="n"/>
      <c r="AN291" s="307" t="n"/>
      <c r="AO291" s="307" t="n"/>
      <c r="AP291" s="307" t="n"/>
      <c r="AQ291" s="307" t="n"/>
      <c r="AR291" s="307" t="n"/>
      <c r="AS291" s="307" t="n"/>
      <c r="AT291" s="307" t="n"/>
      <c r="AU291" s="307" t="n"/>
      <c r="AV291" s="307" t="n"/>
      <c r="AW291" s="307" t="n"/>
      <c r="AX291" s="307" t="n"/>
      <c r="AY291" s="307" t="n"/>
      <c r="AZ291" s="307" t="n"/>
      <c r="BA291" s="31" t="n"/>
      <c r="BB291" s="307" t="n"/>
      <c r="BC291" s="307" t="n"/>
      <c r="BD291" s="307" t="n"/>
      <c r="BE291" s="307" t="n"/>
      <c r="BF291" s="307" t="n"/>
      <c r="BG291" s="31" t="n"/>
      <c r="BH291" s="31" t="n"/>
      <c r="BI291" s="31" t="n"/>
      <c r="BJ291" s="31" t="n"/>
    </row>
    <row r="292" ht="15.75" customHeight="1" s="349"/>
    <row r="293" ht="15.75" customHeight="1" s="349"/>
    <row r="294" ht="15.75" customHeight="1" s="349"/>
    <row r="295" ht="15.75" customHeight="1" s="349"/>
    <row r="296" ht="15.75" customHeight="1" s="349"/>
    <row r="297" ht="15.75" customHeight="1" s="349"/>
    <row r="298" ht="15.75" customHeight="1" s="349"/>
    <row r="299" ht="15.75" customHeight="1" s="349"/>
    <row r="300" ht="15.75" customHeight="1" s="349"/>
    <row r="301" ht="15.75" customHeight="1" s="349"/>
    <row r="302" ht="15.75" customHeight="1" s="349"/>
    <row r="303" ht="15.75" customHeight="1" s="349"/>
    <row r="304" ht="15.75" customHeight="1" s="349"/>
    <row r="305" ht="15.75" customHeight="1" s="349"/>
    <row r="306" ht="15.75" customHeight="1" s="349"/>
    <row r="307" ht="15.75" customHeight="1" s="349"/>
    <row r="308" ht="15.75" customHeight="1" s="349"/>
    <row r="309" ht="15.75" customHeight="1" s="349"/>
    <row r="310" ht="15.75" customHeight="1" s="349"/>
    <row r="311" ht="15.75" customHeight="1" s="349"/>
    <row r="312" ht="15.75" customHeight="1" s="349"/>
    <row r="313" ht="15.75" customHeight="1" s="349"/>
    <row r="314" ht="15.75" customHeight="1" s="349"/>
    <row r="315" ht="15.75" customHeight="1" s="349"/>
    <row r="316" ht="15.75" customHeight="1" s="349"/>
    <row r="317" ht="15.75" customHeight="1" s="349"/>
    <row r="318" ht="15.75" customHeight="1" s="349"/>
    <row r="319" ht="15.75" customHeight="1" s="349"/>
    <row r="320" ht="15.75" customHeight="1" s="349"/>
    <row r="321" ht="15.75" customHeight="1" s="349"/>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row r="994" ht="15.75" customHeight="1" s="349"/>
    <row r="995" ht="15.75" customHeight="1" s="349"/>
    <row r="996" ht="15.75" customHeight="1" s="349"/>
    <row r="997" ht="15.75" customHeight="1" s="349"/>
    <row r="998" ht="15.75" customHeight="1" s="349"/>
    <row r="999" ht="15.75" customHeight="1" s="349"/>
    <row r="1000" ht="15.75" customHeight="1" s="349"/>
    <row r="1001" ht="15.75" customHeight="1" s="349"/>
    <row r="1002" ht="15.75" customHeight="1" s="349"/>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BJ234"/>
  <sheetViews>
    <sheetView showGridLines="0" workbookViewId="0">
      <pane xSplit="4" topLeftCell="E1" activePane="topRight" state="frozen"/>
      <selection pane="topRight" activeCell="F2" sqref="F2"/>
    </sheetView>
  </sheetViews>
  <sheetFormatPr baseColWidth="8" defaultColWidth="14.43" defaultRowHeight="15" customHeight="1"/>
  <cols>
    <col width="2" customWidth="1" style="349" min="1" max="1"/>
    <col width="32" customWidth="1" style="349" min="2" max="2"/>
    <col width="21.43" customWidth="1" style="349" min="3" max="3"/>
    <col width="5" customWidth="1" style="349" min="4" max="4"/>
    <col hidden="1" outlineLevel="1" width="9.710000000000001" customWidth="1" style="349" min="5" max="5"/>
    <col hidden="1" outlineLevel="1" width="9.57" customWidth="1" style="349" min="6" max="6"/>
    <col hidden="1" outlineLevel="1" width="9.859999999999999" customWidth="1" style="349" min="7" max="7"/>
    <col hidden="1" outlineLevel="1" width="9.43" customWidth="1" style="349" min="8" max="8"/>
    <col hidden="1" outlineLevel="1" width="10" customWidth="1" style="349" min="9" max="9"/>
    <col hidden="1" outlineLevel="1" width="9.710000000000001" customWidth="1" style="349" min="10" max="10"/>
    <col hidden="1" outlineLevel="1" width="9.140000000000001" customWidth="1" style="349" min="11" max="11"/>
    <col hidden="1" outlineLevel="1" width="9.859999999999999" customWidth="1" style="349" min="12" max="13"/>
    <col hidden="1" outlineLevel="1" width="9.57" customWidth="1" style="349" min="14" max="14"/>
    <col hidden="1" outlineLevel="1" width="9.859999999999999" customWidth="1" style="349" min="15" max="16"/>
    <col width="9.710000000000001" customWidth="1" style="349" min="17" max="17"/>
    <col width="9.57" customWidth="1" style="349" min="18" max="18"/>
    <col width="9.710000000000001" customWidth="1" style="349" min="19" max="19"/>
    <col width="9.43" customWidth="1" style="349" min="20" max="20"/>
    <col width="10" customWidth="1" style="349" min="21" max="21"/>
    <col width="9.710000000000001" customWidth="1" style="349" min="22" max="22"/>
    <col width="9.140000000000001" customWidth="1" style="349" min="23" max="23"/>
    <col width="9.859999999999999" customWidth="1" style="349" min="24" max="25"/>
    <col width="9.57" customWidth="1" style="349" min="26" max="26"/>
    <col width="9.859999999999999" customWidth="1" style="349" min="27" max="28"/>
    <col width="9.43" customWidth="1" style="349" min="29" max="30"/>
    <col width="9.57" customWidth="1" style="349" min="31" max="31"/>
    <col width="9.289999999999999" customWidth="1" style="349" min="32" max="32"/>
    <col width="9.859999999999999" customWidth="1" style="349" min="33" max="33"/>
    <col width="9.57" customWidth="1" style="349" min="34" max="34"/>
    <col width="10.57" customWidth="1" style="349" min="35" max="35"/>
    <col width="10.29" customWidth="1" style="349" min="36" max="36"/>
    <col width="10.57" customWidth="1" style="349" min="37" max="37"/>
    <col width="10.86" customWidth="1" style="349" min="38" max="38"/>
    <col width="10.43" customWidth="1" style="349" min="39" max="39"/>
    <col width="10.14" customWidth="1" style="349" min="40" max="40"/>
    <col width="10.43" customWidth="1" style="349" min="41" max="41"/>
    <col width="10.14" customWidth="1" style="349" min="42" max="42"/>
    <col width="10.86" customWidth="1" style="349" min="43" max="43"/>
    <col width="10.71" customWidth="1" style="349" min="44" max="45"/>
    <col width="10.86" customWidth="1" style="349" min="46" max="46"/>
    <col width="10.57" customWidth="1" style="349" min="47" max="48"/>
    <col width="10.86" customWidth="1" style="349" min="49" max="52"/>
    <col width="7.57" customWidth="1" style="349" min="54" max="54"/>
    <col width="8.43" customWidth="1" style="349" min="55" max="55"/>
    <col width="11.43" customWidth="1" style="349" min="56" max="56"/>
    <col width="12.14" customWidth="1" style="349" min="57" max="57"/>
    <col width="12.71" customWidth="1" style="349" min="58" max="58"/>
    <col width="43" customWidth="1" style="349" min="60" max="60"/>
  </cols>
  <sheetData>
    <row r="1" ht="15.75" customHeight="1" s="349">
      <c r="A1" s="9" t="inlineStr">
        <is>
          <t> </t>
        </is>
      </c>
      <c r="B1" s="8" t="inlineStr">
        <is>
          <t>Tarnoc B.V. — Revenue Forecast (€, ex VAT unless noted)</t>
        </is>
      </c>
      <c r="C1" s="13" t="n"/>
      <c r="D1" s="13" t="n"/>
      <c r="E1" s="13" t="n"/>
      <c r="F1" s="13" t="n"/>
      <c r="G1" s="13" t="n"/>
      <c r="H1" s="13" t="n"/>
      <c r="I1" s="13" t="n"/>
      <c r="J1" s="13" t="n"/>
      <c r="K1" s="13" t="n"/>
      <c r="L1" s="13" t="n"/>
      <c r="M1" s="13" t="n"/>
      <c r="N1" s="13" t="n"/>
      <c r="O1" s="13" t="n"/>
      <c r="P1" s="13" t="n"/>
      <c r="Q1" s="13" t="n"/>
      <c r="R1" s="13" t="n"/>
      <c r="S1" s="13" t="n"/>
      <c r="T1" s="13" t="n"/>
      <c r="U1" s="13" t="n"/>
      <c r="V1" s="13" t="n"/>
      <c r="W1" s="13" t="n"/>
      <c r="X1" s="13" t="n"/>
      <c r="Y1" s="13" t="n"/>
      <c r="Z1" s="13" t="n"/>
      <c r="AA1" s="13" t="n"/>
      <c r="AB1" s="13" t="n"/>
      <c r="AC1" s="13" t="n"/>
      <c r="AD1" s="13" t="n"/>
      <c r="AE1" s="13" t="n"/>
      <c r="AF1" s="13" t="n"/>
      <c r="AG1" s="13" t="n"/>
      <c r="AH1" s="13" t="n"/>
      <c r="AI1" s="13" t="n"/>
      <c r="AJ1" s="13" t="n"/>
      <c r="AK1" s="13" t="n"/>
      <c r="AL1" s="13" t="n"/>
      <c r="AM1" s="13" t="n"/>
      <c r="AN1" s="13" t="n"/>
      <c r="AO1" s="18" t="n"/>
      <c r="AP1" s="18" t="n"/>
      <c r="AQ1" s="18" t="n"/>
      <c r="AR1" s="18" t="n"/>
      <c r="AS1" s="18" t="n"/>
      <c r="AT1" s="18" t="n"/>
      <c r="AU1" s="18" t="n"/>
      <c r="AV1" s="18" t="n"/>
      <c r="AW1" s="18" t="n"/>
      <c r="AX1" s="18" t="n"/>
      <c r="AY1" s="18" t="n"/>
      <c r="AZ1" s="18" t="n"/>
      <c r="BA1" s="307" t="n"/>
      <c r="BB1" s="9" t="n"/>
      <c r="BC1" s="78" t="n"/>
      <c r="BD1" s="78" t="n"/>
      <c r="BE1" s="78" t="n"/>
      <c r="BF1" s="78" t="n"/>
      <c r="BG1" s="31" t="n"/>
      <c r="BH1" s="31" t="n"/>
      <c r="BI1" s="31" t="n"/>
      <c r="BJ1" s="31" t="n"/>
    </row>
    <row r="2" ht="13.5" customHeight="1" s="349">
      <c r="A2" s="37" t="n"/>
      <c r="B2" s="95" t="n"/>
      <c r="C2" s="95" t="n"/>
      <c r="D2" s="95" t="n"/>
      <c r="E2" s="38" t="inlineStr">
        <is>
          <t>2025</t>
        </is>
      </c>
      <c r="F2" s="38" t="n"/>
      <c r="G2" s="38" t="n"/>
      <c r="H2" s="38" t="n"/>
      <c r="I2" s="38" t="n"/>
      <c r="J2" s="38" t="n"/>
      <c r="K2" s="38" t="n"/>
      <c r="L2" s="38" t="n"/>
      <c r="M2" s="38" t="n"/>
      <c r="N2" s="38" t="n"/>
      <c r="O2" s="38" t="n"/>
      <c r="P2" s="38" t="n"/>
      <c r="Q2" s="38" t="inlineStr">
        <is>
          <t>2026</t>
        </is>
      </c>
      <c r="R2" s="38" t="n"/>
      <c r="S2" s="38" t="n"/>
      <c r="T2" s="38" t="n"/>
      <c r="U2" s="38" t="n"/>
      <c r="V2" s="38" t="n"/>
      <c r="W2" s="38" t="n"/>
      <c r="X2" s="38" t="n"/>
      <c r="Y2" s="38" t="n"/>
      <c r="Z2" s="38" t="n"/>
      <c r="AA2" s="38" t="n"/>
      <c r="AB2" s="38" t="n"/>
      <c r="AC2" s="38" t="inlineStr">
        <is>
          <t>2027</t>
        </is>
      </c>
      <c r="AD2" s="38" t="n"/>
      <c r="AE2" s="38" t="n"/>
      <c r="AF2" s="38" t="n"/>
      <c r="AG2" s="38" t="n"/>
      <c r="AH2" s="38" t="n"/>
      <c r="AI2" s="38" t="n"/>
      <c r="AJ2" s="38" t="n"/>
      <c r="AK2" s="38" t="n"/>
      <c r="AL2" s="38" t="n"/>
      <c r="AM2" s="38" t="n"/>
      <c r="AN2" s="38" t="n"/>
      <c r="AO2" s="38" t="inlineStr">
        <is>
          <t>2028</t>
        </is>
      </c>
      <c r="AP2" s="38" t="n"/>
      <c r="AQ2" s="38" t="n"/>
      <c r="AR2" s="38" t="n"/>
      <c r="AS2" s="38" t="n"/>
      <c r="AT2" s="38" t="n"/>
      <c r="AU2" s="38" t="n"/>
      <c r="AV2" s="38" t="n"/>
      <c r="AW2" s="38" t="n"/>
      <c r="AX2" s="38" t="n"/>
      <c r="AY2" s="38" t="n"/>
      <c r="AZ2" s="38" t="n"/>
      <c r="BA2" s="98" t="n"/>
      <c r="BB2" s="38" t="n"/>
      <c r="BC2" s="38" t="n"/>
      <c r="BD2" s="38" t="n"/>
      <c r="BE2" s="38" t="n"/>
      <c r="BF2" s="38" t="n"/>
      <c r="BG2" s="100" t="n"/>
      <c r="BH2" s="100" t="n"/>
      <c r="BI2" s="100" t="n"/>
      <c r="BJ2" s="100" t="n"/>
    </row>
    <row r="3" ht="13.5" customHeight="1" s="349">
      <c r="A3" s="37" t="n"/>
      <c r="B3" s="95" t="n"/>
      <c r="C3" s="95" t="n"/>
      <c r="D3" s="95" t="n"/>
      <c r="E3" s="55" t="n">
        <v>45658</v>
      </c>
      <c r="F3" s="55" t="n">
        <v>45689</v>
      </c>
      <c r="G3" s="55" t="n">
        <v>45717</v>
      </c>
      <c r="H3" s="55" t="n">
        <v>45748</v>
      </c>
      <c r="I3" s="55" t="n">
        <v>45778</v>
      </c>
      <c r="J3" s="55" t="n">
        <v>45809</v>
      </c>
      <c r="K3" s="55" t="n">
        <v>45839</v>
      </c>
      <c r="L3" s="55" t="n">
        <v>45870</v>
      </c>
      <c r="M3" s="55" t="n">
        <v>45901</v>
      </c>
      <c r="N3" s="55" t="n">
        <v>45931</v>
      </c>
      <c r="O3" s="55" t="n">
        <v>45962</v>
      </c>
      <c r="P3" s="55" t="n">
        <v>45992</v>
      </c>
      <c r="Q3" s="55" t="n">
        <v>46023</v>
      </c>
      <c r="R3" s="55" t="n">
        <v>46054</v>
      </c>
      <c r="S3" s="55" t="n">
        <v>46082</v>
      </c>
      <c r="T3" s="55" t="n">
        <v>46113</v>
      </c>
      <c r="U3" s="55" t="n">
        <v>46143</v>
      </c>
      <c r="V3" s="55" t="n">
        <v>46174</v>
      </c>
      <c r="W3" s="55" t="n">
        <v>46204</v>
      </c>
      <c r="X3" s="55" t="n">
        <v>46235</v>
      </c>
      <c r="Y3" s="55" t="n">
        <v>46266</v>
      </c>
      <c r="Z3" s="55" t="n">
        <v>46296</v>
      </c>
      <c r="AA3" s="55" t="n">
        <v>46327</v>
      </c>
      <c r="AB3" s="55" t="n">
        <v>46357</v>
      </c>
      <c r="AC3" s="55" t="n">
        <v>46388</v>
      </c>
      <c r="AD3" s="55" t="n">
        <v>46419</v>
      </c>
      <c r="AE3" s="55" t="n">
        <v>46447</v>
      </c>
      <c r="AF3" s="55" t="n">
        <v>46478</v>
      </c>
      <c r="AG3" s="55" t="n">
        <v>46508</v>
      </c>
      <c r="AH3" s="55" t="n">
        <v>46539</v>
      </c>
      <c r="AI3" s="55" t="n">
        <v>46569</v>
      </c>
      <c r="AJ3" s="55" t="n">
        <v>46600</v>
      </c>
      <c r="AK3" s="55" t="n">
        <v>46631</v>
      </c>
      <c r="AL3" s="55" t="n">
        <v>46661</v>
      </c>
      <c r="AM3" s="55" t="n">
        <v>46692</v>
      </c>
      <c r="AN3" s="55" t="n">
        <v>46722</v>
      </c>
      <c r="AO3" s="55" t="n">
        <v>46753</v>
      </c>
      <c r="AP3" s="55" t="n">
        <v>46784</v>
      </c>
      <c r="AQ3" s="55" t="n">
        <v>46813</v>
      </c>
      <c r="AR3" s="55" t="n">
        <v>46844</v>
      </c>
      <c r="AS3" s="55" t="n">
        <v>46874</v>
      </c>
      <c r="AT3" s="55" t="n">
        <v>46905</v>
      </c>
      <c r="AU3" s="55" t="n">
        <v>46935</v>
      </c>
      <c r="AV3" s="55" t="n">
        <v>46966</v>
      </c>
      <c r="AW3" s="55" t="n">
        <v>46997</v>
      </c>
      <c r="AX3" s="55" t="n">
        <v>47027</v>
      </c>
      <c r="AY3" s="55" t="n">
        <v>47058</v>
      </c>
      <c r="AZ3" s="55" t="n">
        <v>47088</v>
      </c>
      <c r="BA3" s="98" t="n"/>
      <c r="BB3" s="38" t="n">
        <v>2025</v>
      </c>
      <c r="BC3" s="38" t="n">
        <v>2026</v>
      </c>
      <c r="BD3" s="38" t="n">
        <v>2027</v>
      </c>
      <c r="BE3" s="38" t="n">
        <v>2028</v>
      </c>
      <c r="BF3" s="38" t="n">
        <v>2029</v>
      </c>
      <c r="BG3" s="53" t="n"/>
      <c r="BH3" s="350" t="inlineStr">
        <is>
          <t>what this row does</t>
        </is>
      </c>
      <c r="BI3" s="53" t="n"/>
      <c r="BJ3" s="53" t="n"/>
    </row>
    <row r="4">
      <c r="A4" s="307" t="n"/>
      <c r="B4" s="307" t="n"/>
      <c r="C4" s="307" t="n"/>
      <c r="D4" s="307" t="n"/>
      <c r="E4" s="233" t="n"/>
      <c r="F4" s="233" t="n"/>
      <c r="G4" s="233" t="n"/>
      <c r="H4" s="233" t="n"/>
      <c r="I4" s="233" t="n"/>
      <c r="J4" s="233" t="n"/>
      <c r="K4" s="233" t="n"/>
      <c r="L4" s="233" t="n"/>
      <c r="M4" s="233" t="n"/>
      <c r="N4" s="233" t="n"/>
      <c r="O4" s="233" t="n"/>
      <c r="P4" s="233" t="n"/>
      <c r="Q4" s="233" t="n"/>
      <c r="R4" s="233" t="n"/>
      <c r="S4" s="233" t="n"/>
      <c r="T4" s="233" t="n"/>
      <c r="U4" s="233" t="n"/>
      <c r="V4" s="233" t="n"/>
      <c r="W4" s="233" t="n"/>
      <c r="X4" s="233" t="n"/>
      <c r="Y4" s="233" t="n"/>
      <c r="Z4" s="233" t="n"/>
      <c r="AA4" s="233" t="n"/>
      <c r="AB4" s="102" t="n">
        <v>2</v>
      </c>
      <c r="AC4" s="102" t="n">
        <v>3</v>
      </c>
      <c r="AD4" s="102" t="n">
        <v>4</v>
      </c>
      <c r="AE4" s="102" t="n">
        <v>5</v>
      </c>
      <c r="AF4" s="102" t="n">
        <v>6</v>
      </c>
      <c r="AG4" s="102" t="n">
        <v>7</v>
      </c>
      <c r="AH4" s="102" t="n">
        <v>8</v>
      </c>
      <c r="AI4" s="102" t="n">
        <v>9</v>
      </c>
      <c r="AJ4" s="102" t="n">
        <v>10</v>
      </c>
      <c r="AK4" s="102" t="n">
        <v>11</v>
      </c>
      <c r="AL4" s="102" t="n">
        <v>12</v>
      </c>
      <c r="AM4" s="102" t="n">
        <v>13</v>
      </c>
      <c r="AN4" s="102" t="n">
        <v>14</v>
      </c>
      <c r="AO4" s="102" t="n">
        <v>15</v>
      </c>
      <c r="AP4" s="102" t="n">
        <v>16</v>
      </c>
      <c r="AQ4" s="102" t="n">
        <v>17</v>
      </c>
      <c r="AR4" s="102" t="n">
        <v>18</v>
      </c>
      <c r="AS4" s="102" t="n">
        <v>19</v>
      </c>
      <c r="AT4" s="102" t="n">
        <v>20</v>
      </c>
      <c r="AU4" s="102" t="n">
        <v>21</v>
      </c>
      <c r="AV4" s="102" t="n">
        <v>22</v>
      </c>
      <c r="AW4" s="102" t="n">
        <v>23</v>
      </c>
      <c r="AX4" s="102" t="n">
        <v>24</v>
      </c>
      <c r="AY4" s="102" t="n">
        <v>25</v>
      </c>
      <c r="AZ4" s="102" t="n">
        <v>26</v>
      </c>
      <c r="BA4" s="233" t="n"/>
      <c r="BB4" s="233" t="n"/>
      <c r="BC4" s="233" t="n"/>
      <c r="BD4" s="233" t="n"/>
      <c r="BE4" s="233" t="n"/>
      <c r="BF4" s="233" t="n"/>
      <c r="BG4" s="226" t="n"/>
      <c r="BH4" s="350" t="n"/>
      <c r="BI4" s="226" t="n"/>
      <c r="BJ4" s="226" t="n"/>
    </row>
    <row r="5" ht="13.5" customHeight="1" s="349">
      <c r="A5" s="104" t="n"/>
      <c r="B5" s="105" t="inlineStr">
        <is>
          <t>TURBINEKETEL (TTK)</t>
        </is>
      </c>
      <c r="C5" s="104" t="n"/>
      <c r="D5" s="104" t="n"/>
      <c r="E5" s="80" t="n"/>
      <c r="F5" s="80" t="n"/>
      <c r="G5" s="80" t="n"/>
      <c r="H5" s="80" t="n"/>
      <c r="I5" s="80" t="n"/>
      <c r="J5" s="80" t="n"/>
      <c r="K5" s="80" t="n"/>
      <c r="L5" s="80" t="n"/>
      <c r="M5" s="80" t="n"/>
      <c r="N5" s="80" t="n"/>
      <c r="O5" s="80" t="n"/>
      <c r="P5" s="80" t="n"/>
      <c r="Q5" s="80" t="n"/>
      <c r="R5" s="80" t="n"/>
      <c r="S5" s="80" t="n"/>
      <c r="T5" s="80" t="n"/>
      <c r="U5" s="80" t="n"/>
      <c r="V5" s="80" t="n"/>
      <c r="W5" s="80" t="n"/>
      <c r="X5" s="80" t="n"/>
      <c r="Y5" s="80" t="n"/>
      <c r="Z5" s="80" t="n"/>
      <c r="AA5" s="80" t="n"/>
      <c r="AB5" s="80" t="n"/>
      <c r="AC5" s="80" t="n"/>
      <c r="AD5" s="80" t="n"/>
      <c r="AE5" s="80" t="n"/>
      <c r="AF5" s="80" t="n"/>
      <c r="AG5" s="80" t="n"/>
      <c r="AH5" s="80" t="n"/>
      <c r="AI5" s="80" t="n"/>
      <c r="AJ5" s="80" t="n"/>
      <c r="AK5" s="80" t="n"/>
      <c r="AL5" s="80" t="n"/>
      <c r="AM5" s="80" t="n"/>
      <c r="AN5" s="80" t="n"/>
      <c r="AO5" s="80" t="n"/>
      <c r="AP5" s="80" t="n"/>
      <c r="AQ5" s="80" t="n"/>
      <c r="AR5" s="80" t="n"/>
      <c r="AS5" s="80" t="n"/>
      <c r="AT5" s="80" t="n"/>
      <c r="AU5" s="80" t="n"/>
      <c r="AV5" s="80" t="n"/>
      <c r="AW5" s="80" t="n"/>
      <c r="AX5" s="80" t="n"/>
      <c r="AY5" s="80" t="n"/>
      <c r="AZ5" s="80" t="n"/>
      <c r="BA5" s="233" t="n"/>
      <c r="BB5" s="80" t="n"/>
      <c r="BC5" s="85" t="n"/>
      <c r="BD5" s="85" t="n"/>
      <c r="BE5" s="85" t="n"/>
      <c r="BF5" s="85" t="n"/>
      <c r="BG5" s="226" t="n"/>
      <c r="BH5" s="350" t="n"/>
      <c r="BI5" s="226" t="n"/>
      <c r="BJ5" s="226" t="n"/>
    </row>
    <row r="6" ht="15" customHeight="1" s="349">
      <c r="A6" s="108" t="n"/>
      <c r="B6" s="108" t="inlineStr">
        <is>
          <t>TTK units sold</t>
        </is>
      </c>
      <c r="C6" s="108" t="n"/>
      <c r="D6" s="108" t="inlineStr">
        <is>
          <t>#</t>
        </is>
      </c>
      <c r="E6" s="108" t="n">
        <v>0</v>
      </c>
      <c r="F6" s="108" t="n">
        <v>0</v>
      </c>
      <c r="G6" s="108" t="n">
        <v>0</v>
      </c>
      <c r="H6" s="108" t="n">
        <v>0</v>
      </c>
      <c r="I6" s="108" t="n">
        <v>0</v>
      </c>
      <c r="J6" s="108" t="n">
        <v>0</v>
      </c>
      <c r="K6" s="108" t="n">
        <v>0</v>
      </c>
      <c r="L6" s="108" t="n">
        <v>0</v>
      </c>
      <c r="M6" s="108" t="n">
        <v>0</v>
      </c>
      <c r="N6" s="108" t="n">
        <v>0</v>
      </c>
      <c r="O6" s="108" t="n">
        <v>0</v>
      </c>
      <c r="P6" s="108" t="n">
        <v>0</v>
      </c>
      <c r="Q6" s="108" t="n">
        <v>0</v>
      </c>
      <c r="R6" s="108" t="n">
        <v>0</v>
      </c>
      <c r="S6" s="108" t="n">
        <v>0</v>
      </c>
      <c r="T6" s="108" t="n">
        <v>0</v>
      </c>
      <c r="U6" s="108" t="n">
        <v>0</v>
      </c>
      <c r="V6" s="108" t="n">
        <v>0</v>
      </c>
      <c r="W6" s="108" t="n">
        <v>0</v>
      </c>
      <c r="X6" s="108" t="n">
        <v>0</v>
      </c>
      <c r="Y6" s="108" t="n">
        <v>0</v>
      </c>
      <c r="Z6" s="108" t="n">
        <v>0</v>
      </c>
      <c r="AA6" s="108" t="n">
        <v>0</v>
      </c>
      <c r="AB6" s="108" t="n">
        <v>0</v>
      </c>
      <c r="AC6" s="108">
        <f>'Growth Engine'!F43*Assumptions!$H$23</f>
        <v/>
      </c>
      <c r="AD6" s="108">
        <f>'Growth Engine'!G43*Assumptions!$H$23</f>
        <v/>
      </c>
      <c r="AE6" s="108">
        <f>'Growth Engine'!H43*Assumptions!$H$23</f>
        <v/>
      </c>
      <c r="AF6" s="108">
        <f>'Growth Engine'!I43*Assumptions!$H$23</f>
        <v/>
      </c>
      <c r="AG6" s="108">
        <f>'Growth Engine'!J43*Assumptions!$H$23</f>
        <v/>
      </c>
      <c r="AH6" s="108">
        <f>'Growth Engine'!K43*Assumptions!$H$23</f>
        <v/>
      </c>
      <c r="AI6" s="108">
        <f>'Growth Engine'!L43*Assumptions!$H$23</f>
        <v/>
      </c>
      <c r="AJ6" s="108">
        <f>'Growth Engine'!M43*Assumptions!$H$23</f>
        <v/>
      </c>
      <c r="AK6" s="108">
        <f>'Growth Engine'!N43*Assumptions!$H$23</f>
        <v/>
      </c>
      <c r="AL6" s="108">
        <f>'Growth Engine'!O43*Assumptions!$H$23</f>
        <v/>
      </c>
      <c r="AM6" s="108">
        <f>'Growth Engine'!P43*Assumptions!$H$23</f>
        <v/>
      </c>
      <c r="AN6" s="108">
        <f>'Growth Engine'!Q43*Assumptions!$H$23</f>
        <v/>
      </c>
      <c r="AO6" s="108">
        <f>'Growth Engine'!R43*Assumptions!$H$23</f>
        <v/>
      </c>
      <c r="AP6" s="108">
        <f>'Growth Engine'!S43*Assumptions!$H$23</f>
        <v/>
      </c>
      <c r="AQ6" s="108">
        <f>'Growth Engine'!T43*Assumptions!$H$23</f>
        <v/>
      </c>
      <c r="AR6" s="108">
        <f>'Growth Engine'!U43*Assumptions!$H$23</f>
        <v/>
      </c>
      <c r="AS6" s="108">
        <f>'Growth Engine'!V43*Assumptions!$H$23</f>
        <v/>
      </c>
      <c r="AT6" s="108">
        <f>'Growth Engine'!W43*Assumptions!$H$23</f>
        <v/>
      </c>
      <c r="AU6" s="108">
        <f>'Growth Engine'!X43*Assumptions!$H$23</f>
        <v/>
      </c>
      <c r="AV6" s="108">
        <f>'Growth Engine'!Y43*Assumptions!$H$23</f>
        <v/>
      </c>
      <c r="AW6" s="108">
        <f>'Growth Engine'!Z43*Assumptions!$H$23</f>
        <v/>
      </c>
      <c r="AX6" s="108">
        <f>'Growth Engine'!AA43*Assumptions!$H$23</f>
        <v/>
      </c>
      <c r="AY6" s="108">
        <f>'Growth Engine'!AB43*Assumptions!$H$23</f>
        <v/>
      </c>
      <c r="AZ6" s="108">
        <f>'Growth Engine'!AC43*Assumptions!$H$23</f>
        <v/>
      </c>
      <c r="BA6" s="108" t="n"/>
      <c r="BB6" s="108">
        <f>SUM(E6:P6)</f>
        <v/>
      </c>
      <c r="BC6" s="108">
        <f>SUM(Q6:AB6)</f>
        <v/>
      </c>
      <c r="BD6" s="108">
        <f>SUM(AC6:AN6)</f>
        <v/>
      </c>
      <c r="BE6" s="108">
        <f>SUM(AO6:AZ6)</f>
        <v/>
      </c>
      <c r="BF6" s="128">
        <f>Assumptions!$F$23</f>
        <v/>
      </c>
      <c r="BG6" s="108" t="n"/>
      <c r="BH6" s="83" t="inlineStr">
        <is>
          <t>units from the Growth Engine tab x the TTK share of the mix (Assumptions H23)</t>
        </is>
      </c>
      <c r="BI6" s="108" t="n"/>
      <c r="BJ6" s="108" t="n"/>
    </row>
    <row r="7" ht="15" customHeight="1" s="349">
      <c r="A7" s="241" t="n"/>
      <c r="B7" s="241" t="inlineStr">
        <is>
          <t>TTK Revenue</t>
        </is>
      </c>
      <c r="C7" s="241" t="n"/>
      <c r="D7" s="241" t="inlineStr">
        <is>
          <t>€</t>
        </is>
      </c>
      <c r="E7" s="241" t="n"/>
      <c r="F7" s="241" t="n"/>
      <c r="G7" s="241" t="n"/>
      <c r="H7" s="241" t="n"/>
      <c r="I7" s="241" t="n"/>
      <c r="J7" s="241" t="n"/>
      <c r="K7" s="241" t="n"/>
      <c r="L7" s="241" t="n"/>
      <c r="M7" s="241" t="n"/>
      <c r="N7" s="241" t="n"/>
      <c r="O7" s="241" t="n"/>
      <c r="P7" s="241" t="n"/>
      <c r="Q7" s="241">
        <f>Q6*Assumptions!$C$29</f>
        <v/>
      </c>
      <c r="R7" s="241">
        <f>R6*Assumptions!$C$29</f>
        <v/>
      </c>
      <c r="S7" s="241">
        <f>S6*Assumptions!$C$29</f>
        <v/>
      </c>
      <c r="T7" s="241">
        <f>T6*Assumptions!$C$29</f>
        <v/>
      </c>
      <c r="U7" s="241">
        <f>U6*Assumptions!$C$29</f>
        <v/>
      </c>
      <c r="V7" s="241">
        <f>V6*Assumptions!$C$29</f>
        <v/>
      </c>
      <c r="W7" s="241">
        <f>W6*Assumptions!$C$29</f>
        <v/>
      </c>
      <c r="X7" s="241">
        <f>X6*Assumptions!$C$29</f>
        <v/>
      </c>
      <c r="Y7" s="241">
        <f>Y6*Assumptions!$C$29</f>
        <v/>
      </c>
      <c r="Z7" s="241">
        <f>Z6*Assumptions!$C$29</f>
        <v/>
      </c>
      <c r="AA7" s="241">
        <f>AA6*Assumptions!$C$29</f>
        <v/>
      </c>
      <c r="AB7" s="241">
        <f>AB6*Assumptions!$C$29</f>
        <v/>
      </c>
      <c r="AC7" s="241">
        <f>AC6*Assumptions!$C$29</f>
        <v/>
      </c>
      <c r="AD7" s="241">
        <f>AD6*Assumptions!$C$29</f>
        <v/>
      </c>
      <c r="AE7" s="241">
        <f>AE6*Assumptions!$C$29</f>
        <v/>
      </c>
      <c r="AF7" s="241">
        <f>AF6*Assumptions!$C$29</f>
        <v/>
      </c>
      <c r="AG7" s="241">
        <f>AG6*Assumptions!$C$29</f>
        <v/>
      </c>
      <c r="AH7" s="241">
        <f>AH6*Assumptions!$C$29</f>
        <v/>
      </c>
      <c r="AI7" s="241">
        <f>AI6*Assumptions!$C$29</f>
        <v/>
      </c>
      <c r="AJ7" s="241">
        <f>AJ6*Assumptions!$C$29</f>
        <v/>
      </c>
      <c r="AK7" s="241">
        <f>AK6*Assumptions!$C$29</f>
        <v/>
      </c>
      <c r="AL7" s="241">
        <f>AL6*Assumptions!$C$29</f>
        <v/>
      </c>
      <c r="AM7" s="241">
        <f>AM6*Assumptions!$C$29</f>
        <v/>
      </c>
      <c r="AN7" s="241">
        <f>AN6*Assumptions!$C$29</f>
        <v/>
      </c>
      <c r="AO7" s="241">
        <f>AO6*Assumptions!$C$29</f>
        <v/>
      </c>
      <c r="AP7" s="241">
        <f>AP6*Assumptions!$C$29</f>
        <v/>
      </c>
      <c r="AQ7" s="241">
        <f>AQ6*Assumptions!$C$29</f>
        <v/>
      </c>
      <c r="AR7" s="241">
        <f>AR6*Assumptions!$C$29</f>
        <v/>
      </c>
      <c r="AS7" s="241">
        <f>AS6*Assumptions!$C$29</f>
        <v/>
      </c>
      <c r="AT7" s="241">
        <f>AT6*Assumptions!$C$29</f>
        <v/>
      </c>
      <c r="AU7" s="241">
        <f>AU6*Assumptions!$C$29</f>
        <v/>
      </c>
      <c r="AV7" s="241">
        <f>AV6*Assumptions!$C$29</f>
        <v/>
      </c>
      <c r="AW7" s="241">
        <f>AW6*Assumptions!$C$29</f>
        <v/>
      </c>
      <c r="AX7" s="241">
        <f>AX6*Assumptions!$C$29</f>
        <v/>
      </c>
      <c r="AY7" s="241">
        <f>AY6*Assumptions!$C$29</f>
        <v/>
      </c>
      <c r="AZ7" s="241">
        <f>AZ6*Assumptions!$C$29</f>
        <v/>
      </c>
      <c r="BA7" s="241" t="n"/>
      <c r="BB7" s="233">
        <f>SUM(E7:P7)</f>
        <v/>
      </c>
      <c r="BC7" s="233">
        <f>SUM(Q7:AB7)</f>
        <v/>
      </c>
      <c r="BD7" s="233">
        <f>SUM(AC7:AN7)</f>
        <v/>
      </c>
      <c r="BE7" s="233">
        <f>SUM(AO7:AZ7)</f>
        <v/>
      </c>
      <c r="BF7" s="241">
        <f>BF6*Assumptions!$C$29</f>
        <v/>
      </c>
      <c r="BG7" s="241" t="n"/>
      <c r="BH7" s="83" t="inlineStr">
        <is>
          <t>units x TTK price</t>
        </is>
      </c>
      <c r="BI7" s="241" t="n"/>
      <c r="BJ7" s="241" t="n"/>
    </row>
    <row r="8" ht="15" customHeight="1" s="349">
      <c r="A8" s="241" t="n"/>
      <c r="B8" s="241" t="inlineStr">
        <is>
          <t>TTK upsell</t>
        </is>
      </c>
      <c r="C8" s="241" t="n"/>
      <c r="D8" s="241" t="inlineStr">
        <is>
          <t>€</t>
        </is>
      </c>
      <c r="E8" s="241" t="n"/>
      <c r="F8" s="241" t="n"/>
      <c r="G8" s="241" t="n"/>
      <c r="H8" s="241" t="n"/>
      <c r="I8" s="241" t="n"/>
      <c r="J8" s="241" t="n"/>
      <c r="K8" s="241" t="n"/>
      <c r="L8" s="241" t="n"/>
      <c r="M8" s="241" t="n"/>
      <c r="N8" s="241" t="n"/>
      <c r="O8" s="241" t="n"/>
      <c r="P8" s="241" t="n"/>
      <c r="Q8" s="241">
        <f>Q6*SUMPRODUCT(Assumptions!$E$112:$F$114)</f>
        <v/>
      </c>
      <c r="R8" s="241">
        <f>R6*SUMPRODUCT(Assumptions!$E$112:$F$114)</f>
        <v/>
      </c>
      <c r="S8" s="241">
        <f>S6*SUMPRODUCT(Assumptions!$E$112:$F$114)</f>
        <v/>
      </c>
      <c r="T8" s="241">
        <f>T6*SUMPRODUCT(Assumptions!$E$112:$F$114)</f>
        <v/>
      </c>
      <c r="U8" s="241">
        <f>U6*SUMPRODUCT(Assumptions!$E$112:$F$114)</f>
        <v/>
      </c>
      <c r="V8" s="241">
        <f>V6*SUMPRODUCT(Assumptions!$E$112:$F$114)</f>
        <v/>
      </c>
      <c r="W8" s="241">
        <f>W6*SUMPRODUCT(Assumptions!$E$112:$F$114)</f>
        <v/>
      </c>
      <c r="X8" s="241">
        <f>X6*SUMPRODUCT(Assumptions!$E$112:$F$114)</f>
        <v/>
      </c>
      <c r="Y8" s="241">
        <f>Y6*SUMPRODUCT(Assumptions!$E$112:$F$114)</f>
        <v/>
      </c>
      <c r="Z8" s="241">
        <f>Z6*SUMPRODUCT(Assumptions!$E$112:$F$114)</f>
        <v/>
      </c>
      <c r="AA8" s="241">
        <f>AA6*SUMPRODUCT(Assumptions!$E$112:$F$114)</f>
        <v/>
      </c>
      <c r="AB8" s="241">
        <f>AB6*SUMPRODUCT(Assumptions!$E$112:$F$114)</f>
        <v/>
      </c>
      <c r="AC8" s="241">
        <f>AC6*SUMPRODUCT(Assumptions!$E$112:$E$114,Assumptions!$F$112:$F$114)</f>
        <v/>
      </c>
      <c r="AD8" s="241">
        <f>AD6*SUMPRODUCT(Assumptions!$E$112:$E$114,Assumptions!$F$112:$F$114)</f>
        <v/>
      </c>
      <c r="AE8" s="241">
        <f>AE6*SUMPRODUCT(Assumptions!$E$112:$E$114,Assumptions!$F$112:$F$114)</f>
        <v/>
      </c>
      <c r="AF8" s="241">
        <f>AF6*SUMPRODUCT(Assumptions!$E$112:$E$114,Assumptions!$F$112:$F$114)</f>
        <v/>
      </c>
      <c r="AG8" s="241">
        <f>AG6*SUMPRODUCT(Assumptions!$E$112:$E$114,Assumptions!$F$112:$F$114)</f>
        <v/>
      </c>
      <c r="AH8" s="241">
        <f>AH6*SUMPRODUCT(Assumptions!$E$112:$E$114,Assumptions!$F$112:$F$114)</f>
        <v/>
      </c>
      <c r="AI8" s="241">
        <f>AI6*SUMPRODUCT(Assumptions!$E$112:$E$114,Assumptions!$F$112:$F$114)</f>
        <v/>
      </c>
      <c r="AJ8" s="241">
        <f>AJ6*SUMPRODUCT(Assumptions!$E$112:$E$114,Assumptions!$F$112:$F$114)</f>
        <v/>
      </c>
      <c r="AK8" s="241">
        <f>AK6*SUMPRODUCT(Assumptions!$E$112:$E$114,Assumptions!$F$112:$F$114)</f>
        <v/>
      </c>
      <c r="AL8" s="241">
        <f>AL6*SUMPRODUCT(Assumptions!$E$112:$E$114,Assumptions!$F$112:$F$114)</f>
        <v/>
      </c>
      <c r="AM8" s="241">
        <f>AM6*SUMPRODUCT(Assumptions!$E$112:$E$114,Assumptions!$F$112:$F$114)</f>
        <v/>
      </c>
      <c r="AN8" s="241">
        <f>AN6*SUMPRODUCT(Assumptions!$E$112:$E$114,Assumptions!$F$112:$F$114)</f>
        <v/>
      </c>
      <c r="AO8" s="241">
        <f>AO6*SUMPRODUCT(Assumptions!$E$112:$E$114,Assumptions!$F$112:$F$114)</f>
        <v/>
      </c>
      <c r="AP8" s="241">
        <f>AP6*SUMPRODUCT(Assumptions!$E$112:$E$114,Assumptions!$F$112:$F$114)</f>
        <v/>
      </c>
      <c r="AQ8" s="241">
        <f>AQ6*SUMPRODUCT(Assumptions!$E$112:$E$114,Assumptions!$F$112:$F$114)</f>
        <v/>
      </c>
      <c r="AR8" s="241">
        <f>AR6*SUMPRODUCT(Assumptions!$E$112:$E$114,Assumptions!$F$112:$F$114)</f>
        <v/>
      </c>
      <c r="AS8" s="241">
        <f>AS6*SUMPRODUCT(Assumptions!$E$112:$E$114,Assumptions!$F$112:$F$114)</f>
        <v/>
      </c>
      <c r="AT8" s="241">
        <f>AT6*SUMPRODUCT(Assumptions!$E$112:$E$114,Assumptions!$F$112:$F$114)</f>
        <v/>
      </c>
      <c r="AU8" s="241">
        <f>AU6*SUMPRODUCT(Assumptions!$E$112:$E$114,Assumptions!$F$112:$F$114)</f>
        <v/>
      </c>
      <c r="AV8" s="241">
        <f>AV6*SUMPRODUCT(Assumptions!$E$112:$E$114,Assumptions!$F$112:$F$114)</f>
        <v/>
      </c>
      <c r="AW8" s="241">
        <f>AW6*SUMPRODUCT(Assumptions!$E$112:$E$114,Assumptions!$F$112:$F$114)</f>
        <v/>
      </c>
      <c r="AX8" s="241">
        <f>AX6*SUMPRODUCT(Assumptions!$E$112:$E$114,Assumptions!$F$112:$F$114)</f>
        <v/>
      </c>
      <c r="AY8" s="241">
        <f>AY6*SUMPRODUCT(Assumptions!$E$112:$E$114,Assumptions!$F$112:$F$114)</f>
        <v/>
      </c>
      <c r="AZ8" s="241">
        <f>AZ6*SUMPRODUCT(Assumptions!$E$112:$E$114,Assumptions!$F$112:$F$114)</f>
        <v/>
      </c>
      <c r="BA8" s="241" t="n"/>
      <c r="BB8" s="233">
        <f>SUM(E8:P8)</f>
        <v/>
      </c>
      <c r="BC8" s="233">
        <f>SUM(Q8:AB8)</f>
        <v/>
      </c>
      <c r="BD8" s="233">
        <f>SUM(AC8:AN8)</f>
        <v/>
      </c>
      <c r="BE8" s="233">
        <f>SUM(AO8:AZ8)</f>
        <v/>
      </c>
      <c r="BF8" s="241">
        <f>BF6*SUMPRODUCT(Assumptions!$E$112:$E$114,Assumptions!$F$112:$F$114)</f>
        <v/>
      </c>
      <c r="BG8" s="241" t="n"/>
      <c r="BH8" s="83" t="inlineStr">
        <is>
          <t>units x average upsell basket (attach % x price)</t>
        </is>
      </c>
      <c r="BI8" s="241" t="n"/>
      <c r="BJ8" s="241" t="n"/>
    </row>
    <row r="9" ht="12.75" customHeight="1" s="349">
      <c r="A9" s="307" t="n"/>
      <c r="B9" s="144" t="inlineStr">
        <is>
          <t>Total TTK Revenue</t>
        </is>
      </c>
      <c r="C9" s="105" t="n"/>
      <c r="D9" s="144" t="inlineStr">
        <is>
          <t>€</t>
        </is>
      </c>
      <c r="E9" s="79" t="n"/>
      <c r="F9" s="79" t="n"/>
      <c r="G9" s="79" t="n"/>
      <c r="H9" s="79" t="n"/>
      <c r="I9" s="79" t="n"/>
      <c r="J9" s="79" t="n"/>
      <c r="K9" s="79" t="n"/>
      <c r="L9" s="79" t="n"/>
      <c r="M9" s="79" t="n"/>
      <c r="N9" s="79" t="n"/>
      <c r="O9" s="79" t="n"/>
      <c r="P9" s="79" t="n"/>
      <c r="Q9" s="79">
        <f>sum(Q7:Q8)</f>
        <v/>
      </c>
      <c r="R9" s="79">
        <f>sum(R7:R8)</f>
        <v/>
      </c>
      <c r="S9" s="79">
        <f>sum(S7:S8)</f>
        <v/>
      </c>
      <c r="T9" s="79">
        <f>sum(T7:T8)</f>
        <v/>
      </c>
      <c r="U9" s="79">
        <f>sum(U7:U8)</f>
        <v/>
      </c>
      <c r="V9" s="79">
        <f>sum(V7:V8)</f>
        <v/>
      </c>
      <c r="W9" s="79">
        <f>sum(W7:W8)</f>
        <v/>
      </c>
      <c r="X9" s="79">
        <f>sum(X7:X8)</f>
        <v/>
      </c>
      <c r="Y9" s="79">
        <f>sum(Y7:Y8)</f>
        <v/>
      </c>
      <c r="Z9" s="79">
        <f>sum(Z7:Z8)</f>
        <v/>
      </c>
      <c r="AA9" s="79">
        <f>sum(AA7:AA8)</f>
        <v/>
      </c>
      <c r="AB9" s="79">
        <f>sum(AB7:AB8)</f>
        <v/>
      </c>
      <c r="AC9" s="79">
        <f>sum(AC7:AC8)</f>
        <v/>
      </c>
      <c r="AD9" s="79">
        <f>sum(AD7:AD8)</f>
        <v/>
      </c>
      <c r="AE9" s="79">
        <f>sum(AE7:AE8)</f>
        <v/>
      </c>
      <c r="AF9" s="79">
        <f>sum(AF7:AF8)</f>
        <v/>
      </c>
      <c r="AG9" s="79">
        <f>sum(AG7:AG8)</f>
        <v/>
      </c>
      <c r="AH9" s="79">
        <f>sum(AH7:AH8)</f>
        <v/>
      </c>
      <c r="AI9" s="79">
        <f>sum(AI7:AI8)</f>
        <v/>
      </c>
      <c r="AJ9" s="79">
        <f>sum(AJ7:AJ8)</f>
        <v/>
      </c>
      <c r="AK9" s="79">
        <f>sum(AK7:AK8)</f>
        <v/>
      </c>
      <c r="AL9" s="79">
        <f>sum(AL7:AL8)</f>
        <v/>
      </c>
      <c r="AM9" s="79">
        <f>sum(AM7:AM8)</f>
        <v/>
      </c>
      <c r="AN9" s="79">
        <f>sum(AN7:AN8)</f>
        <v/>
      </c>
      <c r="AO9" s="79">
        <f>sum(AO7:AO8)</f>
        <v/>
      </c>
      <c r="AP9" s="79">
        <f>sum(AP7:AP8)</f>
        <v/>
      </c>
      <c r="AQ9" s="79">
        <f>sum(AQ7:AQ8)</f>
        <v/>
      </c>
      <c r="AR9" s="79">
        <f>sum(AR7:AR8)</f>
        <v/>
      </c>
      <c r="AS9" s="79">
        <f>sum(AS7:AS8)</f>
        <v/>
      </c>
      <c r="AT9" s="79">
        <f>sum(AT7:AT8)</f>
        <v/>
      </c>
      <c r="AU9" s="79">
        <f>sum(AU7:AU8)</f>
        <v/>
      </c>
      <c r="AV9" s="79">
        <f>sum(AV7:AV8)</f>
        <v/>
      </c>
      <c r="AW9" s="79">
        <f>sum(AW7:AW8)</f>
        <v/>
      </c>
      <c r="AX9" s="79">
        <f>sum(AX7:AX8)</f>
        <v/>
      </c>
      <c r="AY9" s="79">
        <f>sum(AY7:AY8)</f>
        <v/>
      </c>
      <c r="AZ9" s="79">
        <f>sum(AZ7:AZ8)</f>
        <v/>
      </c>
      <c r="BA9" s="156" t="n"/>
      <c r="BB9" s="157">
        <f>SUM(E9:P9)</f>
        <v/>
      </c>
      <c r="BC9" s="157">
        <f>SUM(Q9:AB9)</f>
        <v/>
      </c>
      <c r="BD9" s="157">
        <f>SUM(AC9:AN9)</f>
        <v/>
      </c>
      <c r="BE9" s="157">
        <f>SUM(AO9:AZ9)</f>
        <v/>
      </c>
      <c r="BF9" s="157">
        <f>SUM(BF7:BF8)</f>
        <v/>
      </c>
      <c r="BG9" s="158" t="n"/>
      <c r="BH9" s="350" t="inlineStr">
        <is>
          <t>machine revenue + upsells</t>
        </is>
      </c>
      <c r="BI9" s="158" t="n"/>
      <c r="BJ9" s="158" t="n"/>
    </row>
    <row r="10">
      <c r="A10" s="307" t="n"/>
      <c r="B10" s="307" t="n"/>
      <c r="C10" s="307" t="n"/>
      <c r="D10" s="307" t="n"/>
      <c r="E10" s="233" t="n"/>
      <c r="F10" s="233" t="n"/>
      <c r="G10" s="233" t="n"/>
      <c r="H10" s="233" t="n"/>
      <c r="I10" s="233" t="n"/>
      <c r="J10" s="233" t="n"/>
      <c r="K10" s="233" t="n"/>
      <c r="L10" s="233" t="n"/>
      <c r="M10" s="233" t="n"/>
      <c r="N10" s="233" t="n"/>
      <c r="O10" s="233" t="n"/>
      <c r="P10" s="233" t="n"/>
      <c r="Q10" s="159" t="n"/>
      <c r="R10" s="159" t="n"/>
      <c r="S10" s="159" t="n"/>
      <c r="T10" s="159" t="n"/>
      <c r="U10" s="159" t="n"/>
      <c r="V10" s="159" t="n"/>
      <c r="W10" s="159" t="n"/>
      <c r="X10" s="159" t="n"/>
      <c r="Y10" s="159" t="n"/>
      <c r="Z10" s="159" t="n"/>
      <c r="AA10" s="159" t="n"/>
      <c r="AB10" s="159" t="n"/>
      <c r="AC10" s="159" t="n"/>
      <c r="AD10" s="159" t="n"/>
      <c r="AE10" s="159" t="n"/>
      <c r="AF10" s="159" t="n"/>
      <c r="AG10" s="159" t="n"/>
      <c r="AH10" s="159" t="n"/>
      <c r="AI10" s="159" t="n"/>
      <c r="AJ10" s="159" t="n"/>
      <c r="AK10" s="159" t="n"/>
      <c r="AL10" s="159" t="n"/>
      <c r="AM10" s="159" t="n"/>
      <c r="AN10" s="159" t="n"/>
      <c r="AO10" s="159" t="n"/>
      <c r="AP10" s="159" t="n"/>
      <c r="AQ10" s="159" t="n"/>
      <c r="AR10" s="159" t="n"/>
      <c r="AS10" s="159" t="n"/>
      <c r="AT10" s="159" t="n"/>
      <c r="AU10" s="159" t="n"/>
      <c r="AV10" s="159" t="n"/>
      <c r="AW10" s="159" t="n"/>
      <c r="AX10" s="159" t="n"/>
      <c r="AY10" s="159" t="n"/>
      <c r="AZ10" s="159" t="n"/>
      <c r="BA10" s="233" t="n"/>
      <c r="BB10" s="233" t="n"/>
      <c r="BC10" s="233" t="n"/>
      <c r="BD10" s="233" t="n"/>
      <c r="BE10" s="233" t="n"/>
      <c r="BF10" s="233" t="n"/>
      <c r="BG10" s="226" t="n"/>
      <c r="BH10" s="350" t="n"/>
      <c r="BI10" s="226" t="n"/>
      <c r="BJ10" s="226" t="n"/>
    </row>
    <row r="11" ht="12.75" customHeight="1" s="349">
      <c r="A11" s="104" t="n"/>
      <c r="B11" s="105" t="inlineStr">
        <is>
          <t>COMBI+</t>
        </is>
      </c>
      <c r="C11" s="104" t="n"/>
      <c r="D11" s="104" t="n"/>
      <c r="E11" s="80" t="n"/>
      <c r="F11" s="80" t="n"/>
      <c r="G11" s="80" t="n"/>
      <c r="H11" s="80" t="n"/>
      <c r="I11" s="80" t="n"/>
      <c r="J11" s="80" t="n"/>
      <c r="K11" s="80" t="n"/>
      <c r="L11" s="80" t="n"/>
      <c r="M11" s="80" t="n"/>
      <c r="N11" s="80" t="n"/>
      <c r="O11" s="80" t="n"/>
      <c r="P11" s="80" t="n"/>
      <c r="Q11" s="80" t="n"/>
      <c r="R11" s="80" t="n"/>
      <c r="S11" s="80" t="n"/>
      <c r="T11" s="80" t="n"/>
      <c r="U11" s="80" t="n"/>
      <c r="V11" s="80" t="n"/>
      <c r="W11" s="80" t="n"/>
      <c r="X11" s="80" t="n"/>
      <c r="Y11" s="80" t="n"/>
      <c r="Z11" s="80" t="n"/>
      <c r="AA11" s="80" t="n"/>
      <c r="AB11" s="80" t="n"/>
      <c r="AC11" s="80" t="n"/>
      <c r="AD11" s="80" t="n"/>
      <c r="AE11" s="80" t="n"/>
      <c r="AF11" s="80" t="n"/>
      <c r="AG11" s="80" t="n"/>
      <c r="AH11" s="80" t="n"/>
      <c r="AI11" s="80" t="n"/>
      <c r="AJ11" s="80" t="n"/>
      <c r="AK11" s="80" t="n"/>
      <c r="AL11" s="80" t="n"/>
      <c r="AM11" s="80" t="n"/>
      <c r="AN11" s="80" t="n"/>
      <c r="AO11" s="80" t="n"/>
      <c r="AP11" s="80" t="n"/>
      <c r="AQ11" s="80" t="n"/>
      <c r="AR11" s="80" t="n"/>
      <c r="AS11" s="80" t="n"/>
      <c r="AT11" s="80" t="n"/>
      <c r="AU11" s="80" t="n"/>
      <c r="AV11" s="80" t="n"/>
      <c r="AW11" s="80" t="n"/>
      <c r="AX11" s="80" t="n"/>
      <c r="AY11" s="80" t="n"/>
      <c r="AZ11" s="80" t="n"/>
      <c r="BA11" s="233" t="n"/>
      <c r="BB11" s="85" t="n"/>
      <c r="BC11" s="85" t="n"/>
      <c r="BD11" s="85" t="n"/>
      <c r="BE11" s="85" t="n"/>
      <c r="BF11" s="85" t="n"/>
      <c r="BG11" s="226" t="n"/>
      <c r="BH11" s="350" t="n"/>
      <c r="BI11" s="226" t="n"/>
      <c r="BJ11" s="226" t="n"/>
    </row>
    <row r="12" ht="12.75" customHeight="1" s="349">
      <c r="A12" s="108" t="n"/>
      <c r="B12" s="108" t="inlineStr">
        <is>
          <t>Combi+ units sold</t>
        </is>
      </c>
      <c r="C12" s="108" t="n"/>
      <c r="D12" s="108" t="inlineStr">
        <is>
          <t>#</t>
        </is>
      </c>
      <c r="E12" s="108" t="n">
        <v>0</v>
      </c>
      <c r="F12" s="108" t="n">
        <v>0</v>
      </c>
      <c r="G12" s="108" t="n">
        <v>0</v>
      </c>
      <c r="H12" s="108" t="n">
        <v>0</v>
      </c>
      <c r="I12" s="108" t="n">
        <v>0</v>
      </c>
      <c r="J12" s="108" t="n">
        <v>0</v>
      </c>
      <c r="K12" s="108" t="n">
        <v>0</v>
      </c>
      <c r="L12" s="108" t="n">
        <v>0</v>
      </c>
      <c r="M12" s="108" t="n">
        <v>0</v>
      </c>
      <c r="N12" s="108" t="n">
        <v>0</v>
      </c>
      <c r="O12" s="108" t="n">
        <v>0</v>
      </c>
      <c r="P12" s="108" t="n">
        <v>0</v>
      </c>
      <c r="Q12" s="108" t="n">
        <v>0</v>
      </c>
      <c r="R12" s="108" t="n">
        <v>0</v>
      </c>
      <c r="S12" s="108" t="n">
        <v>0</v>
      </c>
      <c r="T12" s="108" t="n">
        <v>0</v>
      </c>
      <c r="U12" s="108" t="n">
        <v>0</v>
      </c>
      <c r="V12" s="108" t="n">
        <v>0</v>
      </c>
      <c r="W12" s="108" t="n">
        <v>0</v>
      </c>
      <c r="X12" s="108" t="n">
        <v>0</v>
      </c>
      <c r="Y12" s="108" t="n">
        <v>0</v>
      </c>
      <c r="Z12" s="108" t="n">
        <v>0</v>
      </c>
      <c r="AA12" s="108" t="n">
        <v>0</v>
      </c>
      <c r="AB12" s="108" t="n">
        <v>0</v>
      </c>
      <c r="AC12" s="108">
        <f>'Growth Engine'!F43*Assumptions!$H$24</f>
        <v/>
      </c>
      <c r="AD12" s="108">
        <f>'Growth Engine'!G43*Assumptions!$H$24</f>
        <v/>
      </c>
      <c r="AE12" s="108">
        <f>'Growth Engine'!H43*Assumptions!$H$24</f>
        <v/>
      </c>
      <c r="AF12" s="108">
        <f>'Growth Engine'!I43*Assumptions!$H$24</f>
        <v/>
      </c>
      <c r="AG12" s="108">
        <f>'Growth Engine'!J43*Assumptions!$H$24</f>
        <v/>
      </c>
      <c r="AH12" s="108">
        <f>'Growth Engine'!K43*Assumptions!$H$24</f>
        <v/>
      </c>
      <c r="AI12" s="108">
        <f>'Growth Engine'!L43*Assumptions!$H$24</f>
        <v/>
      </c>
      <c r="AJ12" s="108">
        <f>'Growth Engine'!M43*Assumptions!$H$24</f>
        <v/>
      </c>
      <c r="AK12" s="108">
        <f>'Growth Engine'!N43*Assumptions!$H$24</f>
        <v/>
      </c>
      <c r="AL12" s="108">
        <f>'Growth Engine'!O43*Assumptions!$H$24</f>
        <v/>
      </c>
      <c r="AM12" s="108">
        <f>'Growth Engine'!P43*Assumptions!$H$24</f>
        <v/>
      </c>
      <c r="AN12" s="108">
        <f>'Growth Engine'!Q43*Assumptions!$H$24</f>
        <v/>
      </c>
      <c r="AO12" s="108">
        <f>'Growth Engine'!R43*Assumptions!$H$24</f>
        <v/>
      </c>
      <c r="AP12" s="108">
        <f>'Growth Engine'!S43*Assumptions!$H$24</f>
        <v/>
      </c>
      <c r="AQ12" s="108">
        <f>'Growth Engine'!T43*Assumptions!$H$24</f>
        <v/>
      </c>
      <c r="AR12" s="108">
        <f>'Growth Engine'!U43*Assumptions!$H$24</f>
        <v/>
      </c>
      <c r="AS12" s="108">
        <f>'Growth Engine'!V43*Assumptions!$H$24</f>
        <v/>
      </c>
      <c r="AT12" s="108">
        <f>'Growth Engine'!W43*Assumptions!$H$24</f>
        <v/>
      </c>
      <c r="AU12" s="108">
        <f>'Growth Engine'!X43*Assumptions!$H$24</f>
        <v/>
      </c>
      <c r="AV12" s="108">
        <f>'Growth Engine'!Y43*Assumptions!$H$24</f>
        <v/>
      </c>
      <c r="AW12" s="108">
        <f>'Growth Engine'!Z43*Assumptions!$H$24</f>
        <v/>
      </c>
      <c r="AX12" s="108">
        <f>'Growth Engine'!AA43*Assumptions!$H$24</f>
        <v/>
      </c>
      <c r="AY12" s="108">
        <f>'Growth Engine'!AB43*Assumptions!$H$24</f>
        <v/>
      </c>
      <c r="AZ12" s="108">
        <f>'Growth Engine'!AC43*Assumptions!$H$24</f>
        <v/>
      </c>
      <c r="BA12" s="108" t="n"/>
      <c r="BB12" s="108">
        <f>SUM(E12:P12)</f>
        <v/>
      </c>
      <c r="BC12" s="108">
        <f>SUM(Q12:AB12)</f>
        <v/>
      </c>
      <c r="BD12" s="108">
        <f>SUM(AC12:AN12)</f>
        <v/>
      </c>
      <c r="BE12" s="108">
        <f>SUM(AO12:AZ12)</f>
        <v/>
      </c>
      <c r="BF12" s="108">
        <f>Assumptions!$F$24</f>
        <v/>
      </c>
      <c r="BG12" s="108" t="n"/>
      <c r="BH12" s="83" t="inlineStr">
        <is>
          <t>units from the Growth Engine tab x the Combi+ share of the mix (Assumptions H24)</t>
        </is>
      </c>
      <c r="BI12" s="108" t="n"/>
      <c r="BJ12" s="108" t="n"/>
    </row>
    <row r="13" ht="12.75" customHeight="1" s="349">
      <c r="A13" s="241" t="n"/>
      <c r="B13" s="241" t="inlineStr">
        <is>
          <t>Combi+ Revenue</t>
        </is>
      </c>
      <c r="C13" s="241" t="n"/>
      <c r="D13" s="241" t="inlineStr">
        <is>
          <t>€</t>
        </is>
      </c>
      <c r="E13" s="241" t="n"/>
      <c r="F13" s="241" t="n"/>
      <c r="G13" s="241" t="n"/>
      <c r="H13" s="241" t="n"/>
      <c r="I13" s="241" t="n"/>
      <c r="J13" s="241" t="n"/>
      <c r="K13" s="241" t="n"/>
      <c r="L13" s="241" t="n"/>
      <c r="M13" s="241" t="n"/>
      <c r="N13" s="241" t="n"/>
      <c r="O13" s="241" t="n"/>
      <c r="P13" s="241" t="n"/>
      <c r="Q13" s="241">
        <f>Q12*Assumptions!$C$31</f>
        <v/>
      </c>
      <c r="R13" s="241">
        <f>R12*Assumptions!$C$31</f>
        <v/>
      </c>
      <c r="S13" s="241">
        <f>S12*Assumptions!$C$31</f>
        <v/>
      </c>
      <c r="T13" s="241">
        <f>T12*Assumptions!$C$31</f>
        <v/>
      </c>
      <c r="U13" s="241">
        <f>U12*Assumptions!$C$31</f>
        <v/>
      </c>
      <c r="V13" s="241">
        <f>V12*Assumptions!$C$31</f>
        <v/>
      </c>
      <c r="W13" s="241">
        <f>W12*Assumptions!$C$31</f>
        <v/>
      </c>
      <c r="X13" s="241">
        <f>X12*Assumptions!$C$31</f>
        <v/>
      </c>
      <c r="Y13" s="241">
        <f>Y12*Assumptions!$C$31</f>
        <v/>
      </c>
      <c r="Z13" s="241">
        <f>Z12*Assumptions!$C$31</f>
        <v/>
      </c>
      <c r="AA13" s="241">
        <f>AA12*Assumptions!$C$31</f>
        <v/>
      </c>
      <c r="AB13" s="241">
        <f>AB12*Assumptions!$C$31</f>
        <v/>
      </c>
      <c r="AC13" s="241">
        <f>AC12*Assumptions!$C$31</f>
        <v/>
      </c>
      <c r="AD13" s="241">
        <f>AD12*Assumptions!$C$31</f>
        <v/>
      </c>
      <c r="AE13" s="241">
        <f>AE12*Assumptions!$C$31</f>
        <v/>
      </c>
      <c r="AF13" s="241">
        <f>AF12*Assumptions!$C$31</f>
        <v/>
      </c>
      <c r="AG13" s="241">
        <f>AG12*Assumptions!$C$31</f>
        <v/>
      </c>
      <c r="AH13" s="241">
        <f>AH12*Assumptions!$C$31</f>
        <v/>
      </c>
      <c r="AI13" s="241">
        <f>AI12*Assumptions!$C$31</f>
        <v/>
      </c>
      <c r="AJ13" s="241">
        <f>AJ12*Assumptions!$C$31</f>
        <v/>
      </c>
      <c r="AK13" s="241">
        <f>AK12*Assumptions!$C$31</f>
        <v/>
      </c>
      <c r="AL13" s="241">
        <f>AL12*Assumptions!$C$31</f>
        <v/>
      </c>
      <c r="AM13" s="241">
        <f>AM12*Assumptions!$C$31</f>
        <v/>
      </c>
      <c r="AN13" s="241">
        <f>AN12*Assumptions!$C$31</f>
        <v/>
      </c>
      <c r="AO13" s="241">
        <f>AO12*Assumptions!$C$31</f>
        <v/>
      </c>
      <c r="AP13" s="241">
        <f>AP12*Assumptions!$C$31</f>
        <v/>
      </c>
      <c r="AQ13" s="241">
        <f>AQ12*Assumptions!$C$31</f>
        <v/>
      </c>
      <c r="AR13" s="241">
        <f>AR12*Assumptions!$C$31</f>
        <v/>
      </c>
      <c r="AS13" s="241">
        <f>AS12*Assumptions!$C$31</f>
        <v/>
      </c>
      <c r="AT13" s="241">
        <f>AT12*Assumptions!$C$31</f>
        <v/>
      </c>
      <c r="AU13" s="241">
        <f>AU12*Assumptions!$C$31</f>
        <v/>
      </c>
      <c r="AV13" s="241">
        <f>AV12*Assumptions!$C$31</f>
        <v/>
      </c>
      <c r="AW13" s="241">
        <f>AW12*Assumptions!$C$31</f>
        <v/>
      </c>
      <c r="AX13" s="241">
        <f>AX12*Assumptions!$C$31</f>
        <v/>
      </c>
      <c r="AY13" s="241">
        <f>AY12*Assumptions!$C$31</f>
        <v/>
      </c>
      <c r="AZ13" s="241">
        <f>AZ12*Assumptions!$C$31</f>
        <v/>
      </c>
      <c r="BA13" s="241" t="n"/>
      <c r="BB13" s="233">
        <f>SUM(E13:P13)</f>
        <v/>
      </c>
      <c r="BC13" s="233">
        <f>SUM(Q13:AB13)</f>
        <v/>
      </c>
      <c r="BD13" s="233">
        <f>SUM(AC13:AN13)</f>
        <v/>
      </c>
      <c r="BE13" s="233">
        <f>SUM(AO13:AZ13)</f>
        <v/>
      </c>
      <c r="BF13" s="241">
        <f>BF12*Assumptions!$C$31</f>
        <v/>
      </c>
      <c r="BG13" s="241" t="n"/>
      <c r="BH13" s="83" t="inlineStr">
        <is>
          <t>units x Combi+ price (ketel + outdoor unit)</t>
        </is>
      </c>
      <c r="BI13" s="241" t="n"/>
      <c r="BJ13" s="241" t="n"/>
    </row>
    <row r="14" ht="12.75" customHeight="1" s="349">
      <c r="A14" s="241" t="n"/>
      <c r="B14" s="241" t="inlineStr">
        <is>
          <t>Combi+ upsell</t>
        </is>
      </c>
      <c r="C14" s="241" t="n"/>
      <c r="D14" s="241" t="inlineStr">
        <is>
          <t>€</t>
        </is>
      </c>
      <c r="E14" s="241" t="n"/>
      <c r="F14" s="241" t="n"/>
      <c r="G14" s="241" t="n"/>
      <c r="H14" s="241" t="n"/>
      <c r="I14" s="241" t="n"/>
      <c r="J14" s="241" t="n"/>
      <c r="K14" s="241" t="n"/>
      <c r="L14" s="241" t="n"/>
      <c r="M14" s="241" t="n"/>
      <c r="N14" s="241" t="n"/>
      <c r="O14" s="241" t="n"/>
      <c r="P14" s="241" t="n"/>
      <c r="Q14" s="241">
        <f>Q12*SUMPRODUCT(Assumptions!$E$112:$E$114,Assumptions!$F$112:$F$114)</f>
        <v/>
      </c>
      <c r="R14" s="241">
        <f>R12*SUMPRODUCT(Assumptions!$E$112:$E$114,Assumptions!$F$112:$F$114)</f>
        <v/>
      </c>
      <c r="S14" s="241">
        <f>S12*SUMPRODUCT(Assumptions!$E$112:$E$114,Assumptions!$F$112:$F$114)</f>
        <v/>
      </c>
      <c r="T14" s="241">
        <f>T12*SUMPRODUCT(Assumptions!$E$112:$E$114,Assumptions!$F$112:$F$114)</f>
        <v/>
      </c>
      <c r="U14" s="241">
        <f>U12*SUMPRODUCT(Assumptions!$E$112:$E$114,Assumptions!$F$112:$F$114)</f>
        <v/>
      </c>
      <c r="V14" s="241">
        <f>V12*SUMPRODUCT(Assumptions!$E$112:$E$114,Assumptions!$F$112:$F$114)</f>
        <v/>
      </c>
      <c r="W14" s="241">
        <f>W12*SUMPRODUCT(Assumptions!$E$112:$E$114,Assumptions!$F$112:$F$114)</f>
        <v/>
      </c>
      <c r="X14" s="241">
        <f>X12*SUMPRODUCT(Assumptions!$E$112:$E$114,Assumptions!$F$112:$F$114)</f>
        <v/>
      </c>
      <c r="Y14" s="241">
        <f>Y12*SUMPRODUCT(Assumptions!$E$112:$E$114,Assumptions!$F$112:$F$114)</f>
        <v/>
      </c>
      <c r="Z14" s="241">
        <f>Z12*SUMPRODUCT(Assumptions!$E$112:$E$114,Assumptions!$F$112:$F$114)</f>
        <v/>
      </c>
      <c r="AA14" s="241">
        <f>AA12*SUMPRODUCT(Assumptions!$E$112:$E$114,Assumptions!$F$112:$F$114)</f>
        <v/>
      </c>
      <c r="AB14" s="241">
        <f>AB12*SUMPRODUCT(Assumptions!$E$112:$E$114,Assumptions!$F$112:$F$114)</f>
        <v/>
      </c>
      <c r="AC14" s="241">
        <f>AC12*SUMPRODUCT(Assumptions!$E$112:$E$114,Assumptions!$F$112:$F$114)</f>
        <v/>
      </c>
      <c r="AD14" s="241">
        <f>AD12*SUMPRODUCT(Assumptions!$E$112:$E$114,Assumptions!$F$112:$F$114)</f>
        <v/>
      </c>
      <c r="AE14" s="241">
        <f>AE12*SUMPRODUCT(Assumptions!$E$112:$E$114,Assumptions!$F$112:$F$114)</f>
        <v/>
      </c>
      <c r="AF14" s="241">
        <f>AF12*SUMPRODUCT(Assumptions!$E$112:$E$114,Assumptions!$F$112:$F$114)</f>
        <v/>
      </c>
      <c r="AG14" s="241">
        <f>AG12*SUMPRODUCT(Assumptions!$E$112:$E$114,Assumptions!$F$112:$F$114)</f>
        <v/>
      </c>
      <c r="AH14" s="241">
        <f>AH12*SUMPRODUCT(Assumptions!$E$112:$E$114,Assumptions!$F$112:$F$114)</f>
        <v/>
      </c>
      <c r="AI14" s="241">
        <f>AI12*SUMPRODUCT(Assumptions!$E$112:$E$114,Assumptions!$F$112:$F$114)</f>
        <v/>
      </c>
      <c r="AJ14" s="241">
        <f>AJ12*SUMPRODUCT(Assumptions!$E$112:$E$114,Assumptions!$F$112:$F$114)</f>
        <v/>
      </c>
      <c r="AK14" s="241">
        <f>AK12*SUMPRODUCT(Assumptions!$E$112:$E$114,Assumptions!$F$112:$F$114)</f>
        <v/>
      </c>
      <c r="AL14" s="241">
        <f>AL12*SUMPRODUCT(Assumptions!$E$112:$E$114,Assumptions!$F$112:$F$114)</f>
        <v/>
      </c>
      <c r="AM14" s="241">
        <f>AM12*SUMPRODUCT(Assumptions!$E$112:$E$114,Assumptions!$F$112:$F$114)</f>
        <v/>
      </c>
      <c r="AN14" s="241">
        <f>AN12*SUMPRODUCT(Assumptions!$E$112:$E$114,Assumptions!$F$112:$F$114)</f>
        <v/>
      </c>
      <c r="AO14" s="241">
        <f>AO12*SUMPRODUCT(Assumptions!$E$112:$E$114,Assumptions!$F$112:$F$114)</f>
        <v/>
      </c>
      <c r="AP14" s="241">
        <f>AP12*SUMPRODUCT(Assumptions!$E$112:$E$114,Assumptions!$F$112:$F$114)</f>
        <v/>
      </c>
      <c r="AQ14" s="241">
        <f>AQ12*SUMPRODUCT(Assumptions!$E$112:$E$114,Assumptions!$F$112:$F$114)</f>
        <v/>
      </c>
      <c r="AR14" s="241">
        <f>AR12*SUMPRODUCT(Assumptions!$E$112:$E$114,Assumptions!$F$112:$F$114)</f>
        <v/>
      </c>
      <c r="AS14" s="241">
        <f>AS12*SUMPRODUCT(Assumptions!$E$112:$E$114,Assumptions!$F$112:$F$114)</f>
        <v/>
      </c>
      <c r="AT14" s="241">
        <f>AT12*SUMPRODUCT(Assumptions!$E$112:$E$114,Assumptions!$F$112:$F$114)</f>
        <v/>
      </c>
      <c r="AU14" s="241">
        <f>AU12*SUMPRODUCT(Assumptions!$E$112:$E$114,Assumptions!$F$112:$F$114)</f>
        <v/>
      </c>
      <c r="AV14" s="241">
        <f>AV12*SUMPRODUCT(Assumptions!$E$112:$E$114,Assumptions!$F$112:$F$114)</f>
        <v/>
      </c>
      <c r="AW14" s="241">
        <f>AW12*SUMPRODUCT(Assumptions!$E$112:$E$114,Assumptions!$F$112:$F$114)</f>
        <v/>
      </c>
      <c r="AX14" s="241">
        <f>AX12*SUMPRODUCT(Assumptions!$E$112:$E$114,Assumptions!$F$112:$F$114)</f>
        <v/>
      </c>
      <c r="AY14" s="241">
        <f>AY12*SUMPRODUCT(Assumptions!$E$112:$E$114,Assumptions!$F$112:$F$114)</f>
        <v/>
      </c>
      <c r="AZ14" s="241">
        <f>AZ12*SUMPRODUCT(Assumptions!$E$112:$E$114,Assumptions!$F$112:$F$114)</f>
        <v/>
      </c>
      <c r="BA14" s="241" t="n"/>
      <c r="BB14" s="233">
        <f>SUM(E14:P14)</f>
        <v/>
      </c>
      <c r="BC14" s="233">
        <f>SUM(Q14:AB14)</f>
        <v/>
      </c>
      <c r="BD14" s="233">
        <f>SUM(AC14:AN14)</f>
        <v/>
      </c>
      <c r="BE14" s="233">
        <f>SUM(AO14:AZ14)</f>
        <v/>
      </c>
      <c r="BF14" s="241">
        <f>BF12*SUMPRODUCT(Assumptions!$E$112:$E$114,Assumptions!$F$112:$F$114)</f>
        <v/>
      </c>
      <c r="BG14" s="241" t="n"/>
      <c r="BH14" s="83" t="inlineStr">
        <is>
          <t>units x average upsell basket</t>
        </is>
      </c>
      <c r="BI14" s="241" t="n"/>
      <c r="BJ14" s="241" t="n"/>
    </row>
    <row r="15" ht="12.75" customHeight="1" s="349">
      <c r="A15" s="200" t="n"/>
      <c r="B15" s="144" t="inlineStr">
        <is>
          <t>Total Combi+ Revenue</t>
        </is>
      </c>
      <c r="C15" s="105" t="n"/>
      <c r="D15" s="144" t="inlineStr">
        <is>
          <t>€</t>
        </is>
      </c>
      <c r="E15" s="79" t="n"/>
      <c r="F15" s="79" t="n"/>
      <c r="G15" s="79" t="n"/>
      <c r="H15" s="79" t="n"/>
      <c r="I15" s="79" t="n"/>
      <c r="J15" s="79" t="n"/>
      <c r="K15" s="79" t="n"/>
      <c r="L15" s="79" t="n"/>
      <c r="M15" s="79" t="n"/>
      <c r="N15" s="79" t="n"/>
      <c r="O15" s="79" t="n"/>
      <c r="P15" s="79" t="n"/>
      <c r="Q15" s="79">
        <f>sum(Q13:Q14)</f>
        <v/>
      </c>
      <c r="R15" s="79">
        <f>sum(R13:R14)</f>
        <v/>
      </c>
      <c r="S15" s="79">
        <f>sum(S13:S14)</f>
        <v/>
      </c>
      <c r="T15" s="79">
        <f>sum(T13:T14)</f>
        <v/>
      </c>
      <c r="U15" s="79">
        <f>sum(U13:U14)</f>
        <v/>
      </c>
      <c r="V15" s="79">
        <f>sum(V13:V14)</f>
        <v/>
      </c>
      <c r="W15" s="79">
        <f>sum(W13:W14)</f>
        <v/>
      </c>
      <c r="X15" s="79">
        <f>sum(X13:X14)</f>
        <v/>
      </c>
      <c r="Y15" s="79">
        <f>sum(Y13:Y14)</f>
        <v/>
      </c>
      <c r="Z15" s="79">
        <f>sum(Z13:Z14)</f>
        <v/>
      </c>
      <c r="AA15" s="79">
        <f>sum(AA13:AA14)</f>
        <v/>
      </c>
      <c r="AB15" s="79">
        <f>sum(AB13:AB14)</f>
        <v/>
      </c>
      <c r="AC15" s="79">
        <f>sum(AC13:AC14)</f>
        <v/>
      </c>
      <c r="AD15" s="79">
        <f>sum(AD13:AD14)</f>
        <v/>
      </c>
      <c r="AE15" s="79">
        <f>sum(AE13:AE14)</f>
        <v/>
      </c>
      <c r="AF15" s="79">
        <f>sum(AF13:AF14)</f>
        <v/>
      </c>
      <c r="AG15" s="79">
        <f>sum(AG13:AG14)</f>
        <v/>
      </c>
      <c r="AH15" s="79">
        <f>sum(AH13:AH14)</f>
        <v/>
      </c>
      <c r="AI15" s="79">
        <f>sum(AI13:AI14)</f>
        <v/>
      </c>
      <c r="AJ15" s="79">
        <f>sum(AJ13:AJ14)</f>
        <v/>
      </c>
      <c r="AK15" s="79">
        <f>sum(AK13:AK14)</f>
        <v/>
      </c>
      <c r="AL15" s="79">
        <f>sum(AL13:AL14)</f>
        <v/>
      </c>
      <c r="AM15" s="79">
        <f>sum(AM13:AM14)</f>
        <v/>
      </c>
      <c r="AN15" s="79">
        <f>sum(AN13:AN14)</f>
        <v/>
      </c>
      <c r="AO15" s="79">
        <f>sum(AO13:AO14)</f>
        <v/>
      </c>
      <c r="AP15" s="79">
        <f>sum(AP13:AP14)</f>
        <v/>
      </c>
      <c r="AQ15" s="79">
        <f>sum(AQ13:AQ14)</f>
        <v/>
      </c>
      <c r="AR15" s="79">
        <f>sum(AR13:AR14)</f>
        <v/>
      </c>
      <c r="AS15" s="79">
        <f>sum(AS13:AS14)</f>
        <v/>
      </c>
      <c r="AT15" s="79">
        <f>sum(AT13:AT14)</f>
        <v/>
      </c>
      <c r="AU15" s="79">
        <f>sum(AU13:AU14)</f>
        <v/>
      </c>
      <c r="AV15" s="79">
        <f>sum(AV13:AV14)</f>
        <v/>
      </c>
      <c r="AW15" s="79">
        <f>sum(AW13:AW14)</f>
        <v/>
      </c>
      <c r="AX15" s="79">
        <f>sum(AX13:AX14)</f>
        <v/>
      </c>
      <c r="AY15" s="79">
        <f>sum(AY13:AY14)</f>
        <v/>
      </c>
      <c r="AZ15" s="79">
        <f>sum(AZ13:AZ14)</f>
        <v/>
      </c>
      <c r="BA15" s="156" t="n"/>
      <c r="BB15" s="157">
        <f>SUM(E15:P15)</f>
        <v/>
      </c>
      <c r="BC15" s="157">
        <f>SUM(Q15:AB15)</f>
        <v/>
      </c>
      <c r="BD15" s="157">
        <f>SUM(AC15:AN15)</f>
        <v/>
      </c>
      <c r="BE15" s="157">
        <f>SUM(AO15:AZ15)</f>
        <v/>
      </c>
      <c r="BF15" s="157">
        <f>sum(BF13:BF14)</f>
        <v/>
      </c>
      <c r="BG15" s="158" t="n"/>
      <c r="BH15" s="350" t="inlineStr">
        <is>
          <t>machine revenue + upsells</t>
        </is>
      </c>
      <c r="BI15" s="158" t="n"/>
      <c r="BJ15" s="158" t="n"/>
    </row>
    <row r="16" ht="15.75" customHeight="1" s="349">
      <c r="A16" s="307" t="n"/>
      <c r="B16" s="307" t="n"/>
      <c r="C16" s="307" t="n"/>
      <c r="D16" s="307" t="n"/>
      <c r="E16" s="233" t="n"/>
      <c r="F16" s="233" t="n"/>
      <c r="G16" s="233" t="n"/>
      <c r="H16" s="233" t="n"/>
      <c r="I16" s="233" t="n"/>
      <c r="J16" s="233" t="n"/>
      <c r="K16" s="233" t="n"/>
      <c r="L16" s="233" t="n"/>
      <c r="M16" s="233" t="n"/>
      <c r="N16" s="233" t="n"/>
      <c r="O16" s="233" t="n"/>
      <c r="P16" s="233" t="n"/>
      <c r="Q16" s="233" t="n"/>
      <c r="R16" s="233" t="n"/>
      <c r="S16" s="233" t="n"/>
      <c r="T16" s="233" t="n"/>
      <c r="U16" s="233" t="n"/>
      <c r="V16" s="233" t="n"/>
      <c r="W16" s="233" t="n"/>
      <c r="X16" s="233" t="n"/>
      <c r="Y16" s="233" t="n"/>
      <c r="Z16" s="233" t="n"/>
      <c r="AA16" s="233" t="n"/>
      <c r="AB16" s="233" t="n"/>
      <c r="AC16" s="233" t="n"/>
      <c r="AD16" s="233" t="n"/>
      <c r="AE16" s="233" t="n"/>
      <c r="AF16" s="233" t="n"/>
      <c r="AG16" s="233" t="n"/>
      <c r="AH16" s="233" t="n"/>
      <c r="AI16" s="233" t="n"/>
      <c r="AJ16" s="233" t="n"/>
      <c r="AK16" s="233" t="n"/>
      <c r="AL16" s="233" t="n"/>
      <c r="AM16" s="233" t="n"/>
      <c r="AN16" s="233" t="n"/>
      <c r="AO16" s="233" t="n"/>
      <c r="AP16" s="233" t="n"/>
      <c r="AQ16" s="233" t="n"/>
      <c r="AR16" s="233" t="n"/>
      <c r="AS16" s="233" t="n"/>
      <c r="AT16" s="233" t="n"/>
      <c r="AU16" s="233" t="n"/>
      <c r="AV16" s="233" t="n"/>
      <c r="AW16" s="233" t="n"/>
      <c r="AX16" s="233" t="n"/>
      <c r="AY16" s="233" t="n"/>
      <c r="AZ16" s="233" t="n"/>
      <c r="BA16" s="233" t="n"/>
      <c r="BB16" s="233" t="n"/>
      <c r="BC16" s="233" t="n"/>
      <c r="BD16" s="233" t="n"/>
      <c r="BE16" s="233" t="n"/>
      <c r="BF16" s="233" t="n"/>
      <c r="BG16" s="226" t="n"/>
      <c r="BH16" s="350" t="n"/>
      <c r="BI16" s="226" t="n"/>
      <c r="BJ16" s="226" t="n"/>
    </row>
    <row r="17" ht="13.5" customHeight="1" s="349">
      <c r="A17" s="104" t="n"/>
      <c r="B17" s="105" t="inlineStr">
        <is>
          <t>INSTALLATION REVENUES</t>
        </is>
      </c>
      <c r="C17" s="104" t="n"/>
      <c r="D17" s="144" t="inlineStr">
        <is>
          <t>€</t>
        </is>
      </c>
      <c r="E17" s="80" t="n"/>
      <c r="F17" s="80" t="n"/>
      <c r="G17" s="80" t="n"/>
      <c r="H17" s="80" t="n"/>
      <c r="I17" s="80" t="n"/>
      <c r="J17" s="80" t="n"/>
      <c r="K17" s="80" t="n"/>
      <c r="L17" s="80" t="n"/>
      <c r="M17" s="80" t="n"/>
      <c r="N17" s="80" t="n"/>
      <c r="O17" s="80" t="n"/>
      <c r="P17" s="80" t="n"/>
      <c r="Q17" s="80" t="n"/>
      <c r="R17" s="80" t="n"/>
      <c r="S17" s="80" t="n"/>
      <c r="T17" s="80" t="n"/>
      <c r="U17" s="80" t="n"/>
      <c r="V17" s="80" t="n"/>
      <c r="W17" s="80" t="n"/>
      <c r="X17" s="80" t="n"/>
      <c r="Y17" s="80" t="n"/>
      <c r="Z17" s="80" t="n"/>
      <c r="AA17" s="80" t="n"/>
      <c r="AB17" s="80" t="n"/>
      <c r="AC17" s="80" t="n"/>
      <c r="AD17" s="80" t="n"/>
      <c r="AE17" s="80" t="n"/>
      <c r="AF17" s="80" t="n"/>
      <c r="AG17" s="80" t="n"/>
      <c r="AH17" s="80" t="n"/>
      <c r="AI17" s="80" t="n"/>
      <c r="AJ17" s="80" t="n"/>
      <c r="AK17" s="80" t="n"/>
      <c r="AL17" s="80" t="n"/>
      <c r="AM17" s="80" t="n"/>
      <c r="AN17" s="80" t="n"/>
      <c r="AO17" s="80" t="n"/>
      <c r="AP17" s="80" t="n"/>
      <c r="AQ17" s="80" t="n"/>
      <c r="AR17" s="80" t="n"/>
      <c r="AS17" s="80" t="n"/>
      <c r="AT17" s="80" t="n"/>
      <c r="AU17" s="80" t="n"/>
      <c r="AV17" s="80" t="n"/>
      <c r="AW17" s="80" t="n"/>
      <c r="AX17" s="80" t="n"/>
      <c r="AY17" s="80" t="n"/>
      <c r="AZ17" s="80" t="n"/>
      <c r="BA17" s="233" t="n"/>
      <c r="BB17" s="85" t="n"/>
      <c r="BC17" s="85" t="n"/>
      <c r="BD17" s="85" t="n"/>
      <c r="BE17" s="85" t="n"/>
      <c r="BF17" s="85" t="n"/>
      <c r="BG17" s="226" t="n"/>
      <c r="BH17" s="350" t="n"/>
      <c r="BI17" s="226" t="n"/>
      <c r="BJ17" s="226" t="n"/>
    </row>
    <row r="18" ht="15" customHeight="1" s="349">
      <c r="A18" s="219" t="n"/>
      <c r="B18" s="220" t="inlineStr">
        <is>
          <t>Units installed</t>
        </is>
      </c>
      <c r="C18" s="219" t="n"/>
      <c r="D18" s="108" t="inlineStr">
        <is>
          <t>#</t>
        </is>
      </c>
      <c r="E18" s="221">
        <f>E6+E12</f>
        <v/>
      </c>
      <c r="F18" s="221">
        <f>F6+F12</f>
        <v/>
      </c>
      <c r="G18" s="221">
        <f>G6+G12</f>
        <v/>
      </c>
      <c r="H18" s="221">
        <f>H6+H12</f>
        <v/>
      </c>
      <c r="I18" s="221">
        <f>I6+I12</f>
        <v/>
      </c>
      <c r="J18" s="221">
        <f>J6+J12</f>
        <v/>
      </c>
      <c r="K18" s="221">
        <f>K6+K12</f>
        <v/>
      </c>
      <c r="L18" s="221">
        <f>L6+L12</f>
        <v/>
      </c>
      <c r="M18" s="221">
        <f>M6+M12</f>
        <v/>
      </c>
      <c r="N18" s="221">
        <f>N6+N12</f>
        <v/>
      </c>
      <c r="O18" s="221">
        <f>O6+O12</f>
        <v/>
      </c>
      <c r="P18" s="221">
        <f>P6+P12</f>
        <v/>
      </c>
      <c r="Q18" s="108">
        <f>Q6+Q12</f>
        <v/>
      </c>
      <c r="R18" s="108">
        <f>R6+R12</f>
        <v/>
      </c>
      <c r="S18" s="108">
        <f>S6+S12</f>
        <v/>
      </c>
      <c r="T18" s="108">
        <f>T6+T12</f>
        <v/>
      </c>
      <c r="U18" s="108">
        <f>U6+U12</f>
        <v/>
      </c>
      <c r="V18" s="108">
        <f>V6+V12</f>
        <v/>
      </c>
      <c r="W18" s="108">
        <f>W6+W12</f>
        <v/>
      </c>
      <c r="X18" s="108">
        <f>X6+X12</f>
        <v/>
      </c>
      <c r="Y18" s="108">
        <f>Y6+Y12</f>
        <v/>
      </c>
      <c r="Z18" s="108">
        <f>Z6+Z12</f>
        <v/>
      </c>
      <c r="AA18" s="108">
        <f>AA6+AA12</f>
        <v/>
      </c>
      <c r="AB18" s="108">
        <f>AB6+AB12</f>
        <v/>
      </c>
      <c r="AC18" s="108">
        <f>AC6+AC12</f>
        <v/>
      </c>
      <c r="AD18" s="108">
        <f>AD6+AD12</f>
        <v/>
      </c>
      <c r="AE18" s="108">
        <f>AE6+AE12</f>
        <v/>
      </c>
      <c r="AF18" s="108">
        <f>AF6+AF12</f>
        <v/>
      </c>
      <c r="AG18" s="108">
        <f>AG6+AG12</f>
        <v/>
      </c>
      <c r="AH18" s="108">
        <f>AH6+AH12</f>
        <v/>
      </c>
      <c r="AI18" s="108">
        <f>AI6+AI12</f>
        <v/>
      </c>
      <c r="AJ18" s="108">
        <f>AJ6+AJ12</f>
        <v/>
      </c>
      <c r="AK18" s="108">
        <f>AK6+AK12</f>
        <v/>
      </c>
      <c r="AL18" s="108">
        <f>AL6+AL12</f>
        <v/>
      </c>
      <c r="AM18" s="108">
        <f>AM6+AM12</f>
        <v/>
      </c>
      <c r="AN18" s="108">
        <f>AN6+AN12</f>
        <v/>
      </c>
      <c r="AO18" s="108">
        <f>AO6+AO12</f>
        <v/>
      </c>
      <c r="AP18" s="108">
        <f>AP6+AP12</f>
        <v/>
      </c>
      <c r="AQ18" s="108">
        <f>AQ6+AQ12</f>
        <v/>
      </c>
      <c r="AR18" s="108">
        <f>AR6+AR12</f>
        <v/>
      </c>
      <c r="AS18" s="108">
        <f>AS6+AS12</f>
        <v/>
      </c>
      <c r="AT18" s="108">
        <f>AT6+AT12</f>
        <v/>
      </c>
      <c r="AU18" s="108">
        <f>AU6+AU12</f>
        <v/>
      </c>
      <c r="AV18" s="108">
        <f>AV6+AV12</f>
        <v/>
      </c>
      <c r="AW18" s="108">
        <f>AW6+AW12</f>
        <v/>
      </c>
      <c r="AX18" s="108">
        <f>AX6+AX12</f>
        <v/>
      </c>
      <c r="AY18" s="108">
        <f>AY6+AY12</f>
        <v/>
      </c>
      <c r="AZ18" s="108">
        <f>AZ6+AZ12</f>
        <v/>
      </c>
      <c r="BA18" s="222" t="n"/>
      <c r="BB18" s="222">
        <f>SUM(E18:P18)</f>
        <v/>
      </c>
      <c r="BC18" s="222">
        <f>SUM(Q18:AB18)</f>
        <v/>
      </c>
      <c r="BD18" s="222">
        <f>SUM(AC18:AN18)</f>
        <v/>
      </c>
      <c r="BE18" s="222">
        <f>SUM(AO18:AZ18)</f>
        <v/>
      </c>
      <c r="BF18" s="222">
        <f>BF6+BF12</f>
        <v/>
      </c>
      <c r="BG18" s="225" t="n"/>
      <c r="BH18" s="350" t="inlineStr">
        <is>
          <t>TTK + Combi+ units. every unit sold gets installed</t>
        </is>
      </c>
      <c r="BI18" s="225" t="n"/>
      <c r="BJ18" s="225" t="n"/>
    </row>
    <row r="19" ht="12.75" customHeight="1" s="349">
      <c r="A19" s="200" t="n"/>
      <c r="B19" s="144" t="inlineStr">
        <is>
          <t>Total Installation Revenue</t>
        </is>
      </c>
      <c r="C19" s="105" t="n"/>
      <c r="D19" s="144" t="inlineStr">
        <is>
          <t>€</t>
        </is>
      </c>
      <c r="E19" s="79">
        <f>E6*Assumptions!$C$33+E12*Assumptions!$C$34</f>
        <v/>
      </c>
      <c r="F19" s="79">
        <f>F6*Assumptions!$C$33+F12*Assumptions!$C$34</f>
        <v/>
      </c>
      <c r="G19" s="79">
        <f>G6*Assumptions!$C$33+G12*Assumptions!$C$34</f>
        <v/>
      </c>
      <c r="H19" s="79">
        <f>H6*Assumptions!$C$33+H12*Assumptions!$C$34</f>
        <v/>
      </c>
      <c r="I19" s="79">
        <f>I6*Assumptions!$C$33+I12*Assumptions!$C$34</f>
        <v/>
      </c>
      <c r="J19" s="79">
        <f>J6*Assumptions!$C$33+J12*Assumptions!$C$34</f>
        <v/>
      </c>
      <c r="K19" s="79">
        <f>K6*Assumptions!$C$33+K12*Assumptions!$C$34</f>
        <v/>
      </c>
      <c r="L19" s="79">
        <f>L6*Assumptions!$C$33+L12*Assumptions!$C$34</f>
        <v/>
      </c>
      <c r="M19" s="79">
        <f>M6*Assumptions!$C$33+M12*Assumptions!$C$34</f>
        <v/>
      </c>
      <c r="N19" s="79">
        <f>N6*Assumptions!$C$33+N12*Assumptions!$C$34</f>
        <v/>
      </c>
      <c r="O19" s="79">
        <f>O6*Assumptions!$C$33+O12*Assumptions!$C$34</f>
        <v/>
      </c>
      <c r="P19" s="79">
        <f>P6*Assumptions!$C$33+P12*Assumptions!$C$34</f>
        <v/>
      </c>
      <c r="Q19" s="79">
        <f>Q6*Assumptions!$C$33+Q12*Assumptions!$C$34</f>
        <v/>
      </c>
      <c r="R19" s="79">
        <f>R6*Assumptions!$C$33+R12*Assumptions!$C$34</f>
        <v/>
      </c>
      <c r="S19" s="79">
        <f>S6*Assumptions!$C$33+S12*Assumptions!$C$34</f>
        <v/>
      </c>
      <c r="T19" s="79">
        <f>T6*Assumptions!$C$33+T12*Assumptions!$C$34</f>
        <v/>
      </c>
      <c r="U19" s="79">
        <f>U6*Assumptions!$C$33+U12*Assumptions!$C$34</f>
        <v/>
      </c>
      <c r="V19" s="79">
        <f>V6*Assumptions!$C$33+V12*Assumptions!$C$34</f>
        <v/>
      </c>
      <c r="W19" s="79">
        <f>W6*Assumptions!$C$33+W12*Assumptions!$C$34</f>
        <v/>
      </c>
      <c r="X19" s="79">
        <f>X6*Assumptions!$C$33+X12*Assumptions!$C$34</f>
        <v/>
      </c>
      <c r="Y19" s="79">
        <f>Y6*Assumptions!$C$33+Y12*Assumptions!$C$34</f>
        <v/>
      </c>
      <c r="Z19" s="79">
        <f>Z6*Assumptions!$C$33+Z12*Assumptions!$C$34</f>
        <v/>
      </c>
      <c r="AA19" s="79">
        <f>AA6*Assumptions!$C$33+AA12*Assumptions!$C$34</f>
        <v/>
      </c>
      <c r="AB19" s="79">
        <f>AB6*Assumptions!$C$33+AB12*Assumptions!$C$34</f>
        <v/>
      </c>
      <c r="AC19" s="79">
        <f>AC6*Assumptions!$C$33+AC12*Assumptions!$C$34</f>
        <v/>
      </c>
      <c r="AD19" s="79">
        <f>AD6*Assumptions!$C$33+AD12*Assumptions!$C$34</f>
        <v/>
      </c>
      <c r="AE19" s="79">
        <f>AE6*Assumptions!$C$33+AE12*Assumptions!$C$34</f>
        <v/>
      </c>
      <c r="AF19" s="79">
        <f>AF6*Assumptions!$C$33+AF12*Assumptions!$C$34</f>
        <v/>
      </c>
      <c r="AG19" s="79">
        <f>AG6*Assumptions!$C$33+AG12*Assumptions!$C$34</f>
        <v/>
      </c>
      <c r="AH19" s="79">
        <f>AH6*Assumptions!$C$33+AH12*Assumptions!$C$34</f>
        <v/>
      </c>
      <c r="AI19" s="79">
        <f>AI6*Assumptions!$C$33+AI12*Assumptions!$C$34</f>
        <v/>
      </c>
      <c r="AJ19" s="79">
        <f>AJ6*Assumptions!$C$33+AJ12*Assumptions!$C$34</f>
        <v/>
      </c>
      <c r="AK19" s="79">
        <f>AK6*Assumptions!$C$33+AK12*Assumptions!$C$34</f>
        <v/>
      </c>
      <c r="AL19" s="79">
        <f>AL6*Assumptions!$C$33+AL12*Assumptions!$C$34</f>
        <v/>
      </c>
      <c r="AM19" s="79">
        <f>AM6*Assumptions!$C$33+AM12*Assumptions!$C$34</f>
        <v/>
      </c>
      <c r="AN19" s="79">
        <f>AN6*Assumptions!$C$33+AN12*Assumptions!$C$34</f>
        <v/>
      </c>
      <c r="AO19" s="79">
        <f>AO6*Assumptions!$C$33+AO12*Assumptions!$C$34</f>
        <v/>
      </c>
      <c r="AP19" s="79">
        <f>AP6*Assumptions!$C$33+AP12*Assumptions!$C$34</f>
        <v/>
      </c>
      <c r="AQ19" s="79">
        <f>AQ6*Assumptions!$C$33+AQ12*Assumptions!$C$34</f>
        <v/>
      </c>
      <c r="AR19" s="79">
        <f>AR6*Assumptions!$C$33+AR12*Assumptions!$C$34</f>
        <v/>
      </c>
      <c r="AS19" s="79">
        <f>AS6*Assumptions!$C$33+AS12*Assumptions!$C$34</f>
        <v/>
      </c>
      <c r="AT19" s="79">
        <f>AT6*Assumptions!$C$33+AT12*Assumptions!$C$34</f>
        <v/>
      </c>
      <c r="AU19" s="79">
        <f>AU6*Assumptions!$C$33+AU12*Assumptions!$C$34</f>
        <v/>
      </c>
      <c r="AV19" s="79">
        <f>AV6*Assumptions!$C$33+AV12*Assumptions!$C$34</f>
        <v/>
      </c>
      <c r="AW19" s="79">
        <f>AW6*Assumptions!$C$33+AW12*Assumptions!$C$34</f>
        <v/>
      </c>
      <c r="AX19" s="79">
        <f>AX6*Assumptions!$C$33+AX12*Assumptions!$C$34</f>
        <v/>
      </c>
      <c r="AY19" s="79">
        <f>AY6*Assumptions!$C$33+AY12*Assumptions!$C$34</f>
        <v/>
      </c>
      <c r="AZ19" s="79">
        <f>AZ6*Assumptions!$C$33+AZ12*Assumptions!$C$34</f>
        <v/>
      </c>
      <c r="BA19" s="156" t="n"/>
      <c r="BB19" s="157">
        <f>SUM(E19:P19)</f>
        <v/>
      </c>
      <c r="BC19" s="157">
        <f>SUM(Q19:AB19)</f>
        <v/>
      </c>
      <c r="BD19" s="157">
        <f>SUM(AC19:AN19)</f>
        <v/>
      </c>
      <c r="BE19" s="157">
        <f>SUM(AO19:AZ19)</f>
        <v/>
      </c>
      <c r="BF19" s="79">
        <f>BF6*Assumptions!$C$33+BF12*Assumptions!$C$34</f>
        <v/>
      </c>
      <c r="BG19" s="158" t="n"/>
      <c r="BH19" s="350" t="inlineStr">
        <is>
          <t>units x installation price per product. pass-through, cost is the same</t>
        </is>
      </c>
      <c r="BI19" s="158" t="n"/>
      <c r="BJ19" s="158" t="n"/>
    </row>
    <row r="20" ht="15.75" customHeight="1" s="349">
      <c r="A20" s="307" t="n"/>
      <c r="B20" s="307" t="n"/>
      <c r="C20" s="307" t="n"/>
      <c r="D20" s="307" t="n"/>
      <c r="E20" s="233" t="n"/>
      <c r="F20" s="233" t="n"/>
      <c r="G20" s="233" t="n"/>
      <c r="H20" s="233" t="n"/>
      <c r="I20" s="233" t="n"/>
      <c r="J20" s="233" t="n"/>
      <c r="K20" s="233" t="n"/>
      <c r="L20" s="233" t="n"/>
      <c r="M20" s="233" t="n"/>
      <c r="N20" s="233" t="n"/>
      <c r="O20" s="233" t="n"/>
      <c r="P20" s="233" t="n"/>
      <c r="Q20" s="233" t="n"/>
      <c r="R20" s="233" t="n"/>
      <c r="S20" s="233" t="n"/>
      <c r="T20" s="233" t="n"/>
      <c r="U20" s="233" t="n"/>
      <c r="V20" s="233" t="n"/>
      <c r="W20" s="233" t="n"/>
      <c r="X20" s="233" t="n"/>
      <c r="Y20" s="233" t="n"/>
      <c r="Z20" s="233" t="n"/>
      <c r="AA20" s="233" t="n"/>
      <c r="AB20" s="233" t="n"/>
      <c r="AC20" s="233" t="n"/>
      <c r="AD20" s="233" t="n"/>
      <c r="AE20" s="233" t="n"/>
      <c r="AF20" s="233" t="n"/>
      <c r="AG20" s="233" t="n"/>
      <c r="AH20" s="233" t="n"/>
      <c r="AI20" s="233" t="n"/>
      <c r="AJ20" s="233" t="n"/>
      <c r="AK20" s="233" t="n"/>
      <c r="AL20" s="233" t="n"/>
      <c r="AM20" s="233" t="n"/>
      <c r="AN20" s="233" t="n"/>
      <c r="AO20" s="233" t="n"/>
      <c r="AP20" s="233" t="n"/>
      <c r="AQ20" s="233" t="n"/>
      <c r="AR20" s="233" t="n"/>
      <c r="AS20" s="233" t="n"/>
      <c r="AT20" s="233" t="n"/>
      <c r="AU20" s="233" t="n"/>
      <c r="AV20" s="233" t="n"/>
      <c r="AW20" s="233" t="n"/>
      <c r="AX20" s="233" t="n"/>
      <c r="AY20" s="233" t="n"/>
      <c r="AZ20" s="233" t="n"/>
      <c r="BA20" s="233" t="n"/>
      <c r="BB20" s="233" t="n"/>
      <c r="BC20" s="233" t="n"/>
      <c r="BD20" s="233" t="n"/>
      <c r="BE20" s="233" t="n"/>
      <c r="BF20" s="233" t="n"/>
      <c r="BG20" s="226" t="n"/>
      <c r="BH20" s="350" t="n"/>
      <c r="BI20" s="226" t="n"/>
      <c r="BJ20" s="226" t="n"/>
    </row>
    <row r="21" ht="13.5" customHeight="1" s="349">
      <c r="A21" s="104" t="n"/>
      <c r="B21" s="105" t="inlineStr">
        <is>
          <t>SERVICE REVENUES</t>
        </is>
      </c>
      <c r="C21" s="104" t="n"/>
      <c r="D21" s="104" t="n"/>
      <c r="E21" s="80" t="n"/>
      <c r="F21" s="80" t="n"/>
      <c r="G21" s="80" t="n"/>
      <c r="H21" s="80" t="n"/>
      <c r="I21" s="80" t="n"/>
      <c r="J21" s="80" t="n"/>
      <c r="K21" s="80" t="n"/>
      <c r="L21" s="80" t="n"/>
      <c r="M21" s="80" t="n"/>
      <c r="N21" s="80" t="n"/>
      <c r="O21" s="80" t="n"/>
      <c r="P21" s="80" t="n"/>
      <c r="Q21" s="80" t="n"/>
      <c r="R21" s="80" t="n"/>
      <c r="S21" s="80" t="n"/>
      <c r="T21" s="80" t="n"/>
      <c r="U21" s="80" t="n"/>
      <c r="V21" s="80" t="n"/>
      <c r="W21" s="80" t="n"/>
      <c r="X21" s="80" t="n"/>
      <c r="Y21" s="80" t="n"/>
      <c r="Z21" s="80" t="n"/>
      <c r="AA21" s="80" t="n"/>
      <c r="AB21" s="80" t="n"/>
      <c r="AC21" s="80" t="n"/>
      <c r="AD21" s="80" t="n"/>
      <c r="AE21" s="80" t="n"/>
      <c r="AF21" s="80" t="n"/>
      <c r="AG21" s="80" t="n"/>
      <c r="AH21" s="80" t="n"/>
      <c r="AI21" s="80" t="n"/>
      <c r="AJ21" s="80" t="n"/>
      <c r="AK21" s="80" t="n"/>
      <c r="AL21" s="80" t="n"/>
      <c r="AM21" s="80" t="n"/>
      <c r="AN21" s="80" t="n"/>
      <c r="AO21" s="80" t="n"/>
      <c r="AP21" s="80" t="n"/>
      <c r="AQ21" s="80" t="n"/>
      <c r="AR21" s="80" t="n"/>
      <c r="AS21" s="80" t="n"/>
      <c r="AT21" s="80" t="n"/>
      <c r="AU21" s="80" t="n"/>
      <c r="AV21" s="80" t="n"/>
      <c r="AW21" s="80" t="n"/>
      <c r="AX21" s="80" t="n"/>
      <c r="AY21" s="80" t="n"/>
      <c r="AZ21" s="80" t="n"/>
      <c r="BA21" s="233" t="n"/>
      <c r="BB21" s="85" t="n"/>
      <c r="BC21" s="85" t="n"/>
      <c r="BD21" s="85" t="n"/>
      <c r="BE21" s="85" t="n"/>
      <c r="BF21" s="85" t="n"/>
      <c r="BG21" s="226" t="n"/>
      <c r="BH21" s="350" t="n"/>
      <c r="BI21" s="226" t="n"/>
      <c r="BJ21" s="226" t="n"/>
    </row>
    <row r="22" ht="15" customHeight="1" s="349">
      <c r="A22" s="219" t="n"/>
      <c r="B22" s="220" t="inlineStr">
        <is>
          <t>Installed base (TTK)</t>
        </is>
      </c>
      <c r="C22" s="219" t="n"/>
      <c r="D22" s="108" t="inlineStr">
        <is>
          <t>#</t>
        </is>
      </c>
      <c r="E22" s="221" t="n"/>
      <c r="F22" s="221" t="n"/>
      <c r="G22" s="221" t="n"/>
      <c r="H22" s="221" t="n"/>
      <c r="I22" s="221" t="n"/>
      <c r="J22" s="221" t="n"/>
      <c r="K22" s="221" t="n"/>
      <c r="L22" s="221" t="n"/>
      <c r="M22" s="221" t="n"/>
      <c r="N22" s="221" t="n"/>
      <c r="O22" s="221" t="n"/>
      <c r="P22" s="221" t="n"/>
      <c r="Q22" s="108">
        <f>Q6</f>
        <v/>
      </c>
      <c r="R22" s="108">
        <f>R6</f>
        <v/>
      </c>
      <c r="S22" s="108">
        <f>S6</f>
        <v/>
      </c>
      <c r="T22" s="108">
        <f>T6</f>
        <v/>
      </c>
      <c r="U22" s="108">
        <f>U6</f>
        <v/>
      </c>
      <c r="V22" s="108">
        <f>V6</f>
        <v/>
      </c>
      <c r="W22" s="108">
        <f>W6</f>
        <v/>
      </c>
      <c r="X22" s="108">
        <f>X6</f>
        <v/>
      </c>
      <c r="Y22" s="108">
        <f>Y6</f>
        <v/>
      </c>
      <c r="Z22" s="108">
        <f>Z6</f>
        <v/>
      </c>
      <c r="AA22" s="108">
        <f>AA6</f>
        <v/>
      </c>
      <c r="AB22" s="108">
        <f>AB6</f>
        <v/>
      </c>
      <c r="AC22" s="108">
        <f>AC6</f>
        <v/>
      </c>
      <c r="AD22" s="108">
        <f>AC22+AD6</f>
        <v/>
      </c>
      <c r="AE22" s="108">
        <f>AD22+AE6</f>
        <v/>
      </c>
      <c r="AF22" s="108">
        <f>AE22+AF6</f>
        <v/>
      </c>
      <c r="AG22" s="108">
        <f>AF22+AG6</f>
        <v/>
      </c>
      <c r="AH22" s="108">
        <f>AG22+AH6</f>
        <v/>
      </c>
      <c r="AI22" s="108">
        <f>AH22+AI6</f>
        <v/>
      </c>
      <c r="AJ22" s="108">
        <f>AI22+AJ6</f>
        <v/>
      </c>
      <c r="AK22" s="108">
        <f>AJ22+AK6</f>
        <v/>
      </c>
      <c r="AL22" s="108">
        <f>AK22+AL6</f>
        <v/>
      </c>
      <c r="AM22" s="108">
        <f>AL22+AM6</f>
        <v/>
      </c>
      <c r="AN22" s="108">
        <f>AM22+AN6</f>
        <v/>
      </c>
      <c r="AO22" s="108">
        <f>AN22+AO6</f>
        <v/>
      </c>
      <c r="AP22" s="108">
        <f>AO22+AP6</f>
        <v/>
      </c>
      <c r="AQ22" s="108">
        <f>AP22+AQ6</f>
        <v/>
      </c>
      <c r="AR22" s="108">
        <f>AQ22+AR6</f>
        <v/>
      </c>
      <c r="AS22" s="108">
        <f>AR22+AS6</f>
        <v/>
      </c>
      <c r="AT22" s="108">
        <f>AS22+AT6</f>
        <v/>
      </c>
      <c r="AU22" s="108">
        <f>AT22+AU6</f>
        <v/>
      </c>
      <c r="AV22" s="108">
        <f>AU22+AV6</f>
        <v/>
      </c>
      <c r="AW22" s="108">
        <f>AV22+AW6</f>
        <v/>
      </c>
      <c r="AX22" s="108">
        <f>AW22+AX6</f>
        <v/>
      </c>
      <c r="AY22" s="108">
        <f>AX22+AY6</f>
        <v/>
      </c>
      <c r="AZ22" s="108">
        <f>AY22+AZ6</f>
        <v/>
      </c>
      <c r="BA22" s="222" t="n"/>
      <c r="BB22" s="222">
        <f>SUM(E22:P22)</f>
        <v/>
      </c>
      <c r="BC22" s="222">
        <f>SUM(Q22:AB22)</f>
        <v/>
      </c>
      <c r="BD22" s="222">
        <f>AN22</f>
        <v/>
      </c>
      <c r="BE22" s="222">
        <f>AZ22</f>
        <v/>
      </c>
      <c r="BF22" s="222">
        <f>BE22+($BF$18*Assumptions!$H$23)</f>
        <v/>
      </c>
      <c r="BG22" s="225" t="n"/>
      <c r="BH22" s="350" t="inlineStr">
        <is>
          <t>TTK machines out in the field: last month's base + this month's sales</t>
        </is>
      </c>
      <c r="BI22" s="225" t="n"/>
      <c r="BJ22" s="225" t="n"/>
    </row>
    <row r="23" ht="15" customHeight="1" s="349">
      <c r="A23" s="219" t="n"/>
      <c r="B23" s="220" t="inlineStr">
        <is>
          <t>Installed base (Combi+)</t>
        </is>
      </c>
      <c r="C23" s="219" t="n"/>
      <c r="D23" s="108" t="n"/>
      <c r="E23" s="221" t="n"/>
      <c r="F23" s="221" t="n"/>
      <c r="G23" s="221" t="n"/>
      <c r="H23" s="221" t="n"/>
      <c r="I23" s="221" t="n"/>
      <c r="J23" s="221" t="n"/>
      <c r="K23" s="221" t="n"/>
      <c r="L23" s="221" t="n"/>
      <c r="M23" s="221" t="n"/>
      <c r="N23" s="221" t="n"/>
      <c r="O23" s="221" t="n"/>
      <c r="P23" s="221" t="n"/>
      <c r="Q23" s="108">
        <f>Q12</f>
        <v/>
      </c>
      <c r="R23" s="108">
        <f>R12</f>
        <v/>
      </c>
      <c r="S23" s="108">
        <f>S12</f>
        <v/>
      </c>
      <c r="T23" s="108">
        <f>T12</f>
        <v/>
      </c>
      <c r="U23" s="108">
        <f>U12</f>
        <v/>
      </c>
      <c r="V23" s="108">
        <f>V12</f>
        <v/>
      </c>
      <c r="W23" s="108">
        <f>W12</f>
        <v/>
      </c>
      <c r="X23" s="108">
        <f>X12</f>
        <v/>
      </c>
      <c r="Y23" s="108">
        <f>Y12</f>
        <v/>
      </c>
      <c r="Z23" s="108">
        <f>Z12</f>
        <v/>
      </c>
      <c r="AA23" s="108">
        <f>AA12</f>
        <v/>
      </c>
      <c r="AB23" s="108">
        <f>AB12</f>
        <v/>
      </c>
      <c r="AC23" s="108">
        <f>AC12</f>
        <v/>
      </c>
      <c r="AD23" s="108">
        <f>AC23+AD12</f>
        <v/>
      </c>
      <c r="AE23" s="108">
        <f>AD23+AE12</f>
        <v/>
      </c>
      <c r="AF23" s="108">
        <f>AE23+AF12</f>
        <v/>
      </c>
      <c r="AG23" s="108">
        <f>AF23+AG12</f>
        <v/>
      </c>
      <c r="AH23" s="108">
        <f>AG23+AH12</f>
        <v/>
      </c>
      <c r="AI23" s="108">
        <f>AH23+AI12</f>
        <v/>
      </c>
      <c r="AJ23" s="108">
        <f>AI23+AJ12</f>
        <v/>
      </c>
      <c r="AK23" s="108">
        <f>AJ23+AK12</f>
        <v/>
      </c>
      <c r="AL23" s="108">
        <f>AK23+AL12</f>
        <v/>
      </c>
      <c r="AM23" s="108">
        <f>AL23+AM12</f>
        <v/>
      </c>
      <c r="AN23" s="108">
        <f>AM23+AN12</f>
        <v/>
      </c>
      <c r="AO23" s="108">
        <f>AN23+AO12</f>
        <v/>
      </c>
      <c r="AP23" s="108">
        <f>AO23+AP12</f>
        <v/>
      </c>
      <c r="AQ23" s="108">
        <f>AP23+AQ12</f>
        <v/>
      </c>
      <c r="AR23" s="108">
        <f>AQ23+AR12</f>
        <v/>
      </c>
      <c r="AS23" s="108">
        <f>AR23+AS12</f>
        <v/>
      </c>
      <c r="AT23" s="108">
        <f>AS23+AT12</f>
        <v/>
      </c>
      <c r="AU23" s="108">
        <f>AT23+AU12</f>
        <v/>
      </c>
      <c r="AV23" s="108">
        <f>AU23+AV12</f>
        <v/>
      </c>
      <c r="AW23" s="108">
        <f>AV23+AW12</f>
        <v/>
      </c>
      <c r="AX23" s="108">
        <f>AW23+AX12</f>
        <v/>
      </c>
      <c r="AY23" s="108">
        <f>AX23+AY12</f>
        <v/>
      </c>
      <c r="AZ23" s="108">
        <f>AY23+AZ12</f>
        <v/>
      </c>
      <c r="BA23" s="222" t="n"/>
      <c r="BB23" s="222">
        <f>SUM(E23:P23)</f>
        <v/>
      </c>
      <c r="BC23" s="222">
        <f>SUM(Q23:AB23)</f>
        <v/>
      </c>
      <c r="BD23" s="222">
        <f>AN23</f>
        <v/>
      </c>
      <c r="BE23" s="222">
        <f>AZ23</f>
        <v/>
      </c>
      <c r="BF23" s="222">
        <f>BE23+($BF$18*Assumptions!$H$24)</f>
        <v/>
      </c>
      <c r="BG23" s="225" t="n"/>
      <c r="BH23" s="350" t="inlineStr">
        <is>
          <t>Combi+ machines out in the field, same running total</t>
        </is>
      </c>
      <c r="BI23" s="225" t="n"/>
      <c r="BJ23" s="225" t="n"/>
    </row>
    <row r="24" ht="12.75" customHeight="1" s="349">
      <c r="A24" s="200" t="n"/>
      <c r="B24" s="144" t="inlineStr">
        <is>
          <t>Total Service Revenue</t>
        </is>
      </c>
      <c r="C24" s="105" t="n"/>
      <c r="D24" s="144" t="inlineStr">
        <is>
          <t>€</t>
        </is>
      </c>
      <c r="E24" s="79" t="n"/>
      <c r="F24" s="79" t="n"/>
      <c r="G24" s="79" t="n"/>
      <c r="H24" s="79" t="n"/>
      <c r="I24" s="79" t="n"/>
      <c r="J24" s="79" t="n"/>
      <c r="K24" s="79" t="n"/>
      <c r="L24" s="79" t="n"/>
      <c r="M24" s="79" t="n"/>
      <c r="N24" s="79" t="n"/>
      <c r="O24" s="79" t="n"/>
      <c r="P24" s="79" t="n"/>
      <c r="Q24" s="79">
        <f>Q34*SUMPRODUCT(Assumptions!$E$120:$E$121,Assumptions!$F$120:$F$121)</f>
        <v/>
      </c>
      <c r="R24" s="79">
        <f>R34*SUMPRODUCT(Assumptions!$E$120:$E$121,Assumptions!$F$120:$F$121)</f>
        <v/>
      </c>
      <c r="S24" s="79">
        <f>S34*SUMPRODUCT(Assumptions!$E$120:$E$121,Assumptions!$F$120:$F$121)</f>
        <v/>
      </c>
      <c r="T24" s="79">
        <f>T34*SUMPRODUCT(Assumptions!$E$120:$E$121,Assumptions!$F$120:$F$121)</f>
        <v/>
      </c>
      <c r="U24" s="79">
        <f>U34*SUMPRODUCT(Assumptions!$E$120:$E$121,Assumptions!$F$120:$F$121)</f>
        <v/>
      </c>
      <c r="V24" s="79">
        <f>V34*SUMPRODUCT(Assumptions!$E$120:$E$121,Assumptions!$F$120:$F$121)</f>
        <v/>
      </c>
      <c r="W24" s="79">
        <f>W34*SUMPRODUCT(Assumptions!$E$120:$E$121,Assumptions!$F$120:$F$121)</f>
        <v/>
      </c>
      <c r="X24" s="79">
        <f>X34*SUMPRODUCT(Assumptions!$E$120:$E$121,Assumptions!$F$120:$F$121)</f>
        <v/>
      </c>
      <c r="Y24" s="79">
        <f>Y34*SUMPRODUCT(Assumptions!$E$120:$E$121,Assumptions!$F$120:$F$121)</f>
        <v/>
      </c>
      <c r="Z24" s="79">
        <f>Z34*SUMPRODUCT(Assumptions!$E$120:$E$121,Assumptions!$F$120:$F$121)</f>
        <v/>
      </c>
      <c r="AA24" s="79">
        <f>AA34*SUMPRODUCT(Assumptions!$E$120:$E$121,Assumptions!$F$120:$F$121)</f>
        <v/>
      </c>
      <c r="AB24" s="79">
        <f>AB34*SUMPRODUCT(Assumptions!$E$120:$E$121,Assumptions!$F$120:$F$121)</f>
        <v/>
      </c>
      <c r="AC24" s="79">
        <f>AC34*SUMPRODUCT(Assumptions!$E$120:$E$121,Assumptions!$F$120:$F$121)+Q24</f>
        <v/>
      </c>
      <c r="AD24" s="79">
        <f>AD34*SUMPRODUCT(Assumptions!$E$120:$E$121,Assumptions!$F$120:$F$121)+R24</f>
        <v/>
      </c>
      <c r="AE24" s="79">
        <f>AE34*SUMPRODUCT(Assumptions!$E$120:$E$121,Assumptions!$F$120:$F$121)+S24</f>
        <v/>
      </c>
      <c r="AF24" s="79">
        <f>AF34*SUMPRODUCT(Assumptions!$E$120:$E$121,Assumptions!$F$120:$F$121)+T24</f>
        <v/>
      </c>
      <c r="AG24" s="79">
        <f>AG34*SUMPRODUCT(Assumptions!$E$120:$E$121,Assumptions!$F$120:$F$121)+U24</f>
        <v/>
      </c>
      <c r="AH24" s="79">
        <f>AH34*SUMPRODUCT(Assumptions!$E$120:$E$121,Assumptions!$F$120:$F$121)+V24</f>
        <v/>
      </c>
      <c r="AI24" s="79">
        <f>AI34*SUMPRODUCT(Assumptions!$E$120:$E$121,Assumptions!$F$120:$F$121)+W24</f>
        <v/>
      </c>
      <c r="AJ24" s="79">
        <f>AJ34*SUMPRODUCT(Assumptions!$E$120:$E$121,Assumptions!$F$120:$F$121)+X24</f>
        <v/>
      </c>
      <c r="AK24" s="79">
        <f>AK34*SUMPRODUCT(Assumptions!$E$120:$E$121,Assumptions!$F$120:$F$121)+Y24</f>
        <v/>
      </c>
      <c r="AL24" s="79">
        <f>AL34*SUMPRODUCT(Assumptions!$E$120:$E$121,Assumptions!$F$120:$F$121)+Z24</f>
        <v/>
      </c>
      <c r="AM24" s="79">
        <f>AM34*SUMPRODUCT(Assumptions!$E$120:$E$121,Assumptions!$F$120:$F$121)+AA24</f>
        <v/>
      </c>
      <c r="AN24" s="79">
        <f>AN34*SUMPRODUCT(Assumptions!$E$120:$E$121,Assumptions!$F$120:$F$121)+AB24</f>
        <v/>
      </c>
      <c r="AO24" s="79">
        <f>AO34*SUMPRODUCT(Assumptions!$E$120:$E$121,Assumptions!$F$120:$F$121)+AC24</f>
        <v/>
      </c>
      <c r="AP24" s="79">
        <f>AP34*SUMPRODUCT(Assumptions!$E$120:$E$121,Assumptions!$F$120:$F$121)+AD24</f>
        <v/>
      </c>
      <c r="AQ24" s="79">
        <f>AQ34*SUMPRODUCT(Assumptions!$E$120:$E$121,Assumptions!$F$120:$F$121)+AE24</f>
        <v/>
      </c>
      <c r="AR24" s="79">
        <f>AR34*SUMPRODUCT(Assumptions!$E$120:$E$121,Assumptions!$F$120:$F$121)+AF24</f>
        <v/>
      </c>
      <c r="AS24" s="79">
        <f>AS34*SUMPRODUCT(Assumptions!$E$120:$E$121,Assumptions!$F$120:$F$121)+AG24</f>
        <v/>
      </c>
      <c r="AT24" s="79">
        <f>AT34*SUMPRODUCT(Assumptions!$E$120:$E$121,Assumptions!$F$120:$F$121)+AH24</f>
        <v/>
      </c>
      <c r="AU24" s="79">
        <f>AU34*SUMPRODUCT(Assumptions!$E$120:$E$121,Assumptions!$F$120:$F$121)+AI24</f>
        <v/>
      </c>
      <c r="AV24" s="79">
        <f>AV34*SUMPRODUCT(Assumptions!$E$120:$E$121,Assumptions!$F$120:$F$121)+AJ24</f>
        <v/>
      </c>
      <c r="AW24" s="79">
        <f>AW34*SUMPRODUCT(Assumptions!$E$120:$E$121,Assumptions!$F$120:$F$121)+AK24</f>
        <v/>
      </c>
      <c r="AX24" s="79">
        <f>AX34*SUMPRODUCT(Assumptions!$E$120:$E$121,Assumptions!$F$120:$F$121)+AL24</f>
        <v/>
      </c>
      <c r="AY24" s="79">
        <f>AY34*SUMPRODUCT(Assumptions!$E$120:$E$121,Assumptions!$F$120:$F$121)+AM24</f>
        <v/>
      </c>
      <c r="AZ24" s="79">
        <f>AZ34*SUMPRODUCT(Assumptions!$E$120:$E$121,Assumptions!$F$120:$F$121)+AN24</f>
        <v/>
      </c>
      <c r="BA24" s="156" t="n"/>
      <c r="BB24" s="157">
        <f>SUM(E24:P24)</f>
        <v/>
      </c>
      <c r="BC24" s="157">
        <f>SUM(Q24:AB24)</f>
        <v/>
      </c>
      <c r="BD24" s="157">
        <f>SUM(AC24:AN24)</f>
        <v/>
      </c>
      <c r="BE24" s="157">
        <f>SUM(AO24:AZ24)</f>
        <v/>
      </c>
      <c r="BF24" s="79">
        <f>BF34*SUMPRODUCT(Assumptions!$E$120:$E$121,Assumptions!$F$120:$F$121)+BE24</f>
        <v/>
      </c>
      <c r="BG24" s="226" t="n"/>
      <c r="BH24" s="350" t="inlineStr">
        <is>
          <t>this month's units x service rate + the same month last year, so contracts keep stacking as the base grows. 2029 adds all of 2028 on top</t>
        </is>
      </c>
      <c r="BI24" s="226" t="n"/>
      <c r="BJ24" s="226" t="n"/>
    </row>
    <row r="25" ht="13.5" customHeight="1" s="349">
      <c r="A25" s="147" t="n"/>
      <c r="C25" s="307" t="n"/>
      <c r="D25" s="307" t="n"/>
      <c r="E25" s="233" t="n"/>
      <c r="F25" s="233" t="n"/>
      <c r="G25" s="233" t="n"/>
      <c r="H25" s="233" t="n"/>
      <c r="I25" s="233" t="n"/>
      <c r="J25" s="233" t="n"/>
      <c r="K25" s="233" t="n"/>
      <c r="L25" s="233" t="n"/>
      <c r="M25" s="233" t="n"/>
      <c r="N25" s="233" t="n"/>
      <c r="O25" s="233" t="n"/>
      <c r="P25" s="233" t="n"/>
      <c r="Q25" s="233" t="n"/>
      <c r="R25" s="233" t="n"/>
      <c r="S25" s="233" t="n"/>
      <c r="T25" s="233" t="n"/>
      <c r="U25" s="233" t="n"/>
      <c r="V25" s="233" t="n"/>
      <c r="W25" s="233" t="n"/>
      <c r="X25" s="233" t="n"/>
      <c r="Y25" s="233" t="n"/>
      <c r="Z25" s="233" t="n"/>
      <c r="AA25" s="233" t="n"/>
      <c r="AB25" s="233" t="n"/>
      <c r="AC25" s="233" t="n"/>
      <c r="AD25" s="233" t="n"/>
      <c r="AE25" s="233" t="n"/>
      <c r="AF25" s="233" t="n"/>
      <c r="AG25" s="233" t="n"/>
      <c r="AH25" s="233" t="n"/>
      <c r="AI25" s="233" t="n"/>
      <c r="AJ25" s="233" t="n"/>
      <c r="AK25" s="233" t="n"/>
      <c r="AL25" s="233" t="n"/>
      <c r="AM25" s="233" t="n"/>
      <c r="AN25" s="233" t="n"/>
      <c r="AO25" s="233" t="n"/>
      <c r="AP25" s="233" t="n"/>
      <c r="AQ25" s="233" t="n"/>
      <c r="AR25" s="233" t="n"/>
      <c r="AS25" s="233" t="n"/>
      <c r="AT25" s="233" t="n"/>
      <c r="AU25" s="233" t="n"/>
      <c r="AV25" s="233" t="n"/>
      <c r="AW25" s="233" t="n"/>
      <c r="AX25" s="233" t="n"/>
      <c r="AY25" s="233" t="n"/>
      <c r="AZ25" s="233" t="n"/>
      <c r="BA25" s="233" t="n"/>
      <c r="BB25" s="233" t="n"/>
      <c r="BC25" s="233" t="n"/>
      <c r="BD25" s="233" t="n"/>
      <c r="BE25" s="233" t="n"/>
      <c r="BF25" s="233" t="n"/>
      <c r="BG25" s="226" t="n"/>
      <c r="BH25" s="350" t="n"/>
      <c r="BI25" s="226" t="n"/>
      <c r="BJ25" s="226" t="n"/>
    </row>
    <row r="26" ht="13.5" customHeight="1" s="349">
      <c r="A26" s="79" t="n"/>
      <c r="B26" s="79" t="inlineStr">
        <is>
          <t>SUBSIDIES &amp; GRANTS</t>
        </is>
      </c>
      <c r="C26" s="79" t="n"/>
      <c r="D26" s="79" t="n"/>
      <c r="E26" s="79" t="n"/>
      <c r="F26" s="79" t="n"/>
      <c r="G26" s="79" t="n"/>
      <c r="H26" s="79" t="n"/>
      <c r="I26" s="79" t="n"/>
      <c r="J26" s="79" t="n"/>
      <c r="K26" s="79" t="n"/>
      <c r="L26" s="79" t="n"/>
      <c r="M26" s="79" t="n"/>
      <c r="N26" s="79" t="n"/>
      <c r="O26" s="79" t="n"/>
      <c r="P26" s="79" t="n"/>
      <c r="Q26" s="79" t="n"/>
      <c r="R26" s="79" t="n"/>
      <c r="S26" s="79" t="n"/>
      <c r="T26" s="79" t="n"/>
      <c r="U26" s="79" t="n"/>
      <c r="V26" s="79" t="n"/>
      <c r="W26" s="79" t="n"/>
      <c r="X26" s="79" t="n"/>
      <c r="Y26" s="79" t="n"/>
      <c r="Z26" s="79" t="n"/>
      <c r="AA26" s="79" t="n"/>
      <c r="AB26" s="79" t="n"/>
      <c r="AC26" s="79" t="n"/>
      <c r="AD26" s="79" t="n"/>
      <c r="AE26" s="79" t="n"/>
      <c r="AF26" s="79" t="n"/>
      <c r="AG26" s="79" t="n"/>
      <c r="AH26" s="79" t="n"/>
      <c r="AI26" s="79" t="n"/>
      <c r="AJ26" s="79" t="n"/>
      <c r="AK26" s="79" t="n"/>
      <c r="AL26" s="79" t="n"/>
      <c r="AM26" s="79" t="n"/>
      <c r="AN26" s="79" t="n"/>
      <c r="AO26" s="79" t="n"/>
      <c r="AP26" s="79" t="n"/>
      <c r="AQ26" s="79" t="n"/>
      <c r="AR26" s="79" t="n"/>
      <c r="AS26" s="79" t="n"/>
      <c r="AT26" s="79" t="n"/>
      <c r="AU26" s="79" t="n"/>
      <c r="AV26" s="79" t="n"/>
      <c r="AW26" s="79" t="n"/>
      <c r="AX26" s="79" t="n"/>
      <c r="AY26" s="79" t="n"/>
      <c r="AZ26" s="79" t="n"/>
      <c r="BA26" s="79" t="n"/>
      <c r="BB26" s="79" t="n"/>
      <c r="BC26" s="79" t="n"/>
      <c r="BD26" s="79" t="n"/>
      <c r="BE26" s="79" t="n"/>
      <c r="BF26" s="79" t="n"/>
      <c r="BG26" s="226" t="n"/>
      <c r="BH26" s="350" t="n"/>
      <c r="BI26" s="226" t="n"/>
      <c r="BJ26" s="226" t="n"/>
    </row>
    <row r="27" ht="15" customHeight="1" s="349">
      <c r="A27" s="307" t="n"/>
      <c r="B27" s="237" t="inlineStr">
        <is>
          <t>All other</t>
        </is>
      </c>
      <c r="C27" s="307" t="n"/>
      <c r="D27" s="241" t="inlineStr">
        <is>
          <t>€</t>
        </is>
      </c>
      <c r="E27" s="241" t="n">
        <v>0</v>
      </c>
      <c r="F27" s="241" t="n">
        <v>0</v>
      </c>
      <c r="G27" s="241" t="n">
        <v>0</v>
      </c>
      <c r="H27" s="241" t="n">
        <v>0</v>
      </c>
      <c r="I27" s="241" t="n">
        <v>0</v>
      </c>
      <c r="J27" s="241" t="n">
        <v>0</v>
      </c>
      <c r="K27" s="241" t="n">
        <v>0</v>
      </c>
      <c r="L27" s="241" t="n">
        <v>0</v>
      </c>
      <c r="M27" s="241" t="n">
        <v>0</v>
      </c>
      <c r="N27" s="241" t="n">
        <v>19480</v>
      </c>
      <c r="O27" s="241" t="n">
        <v>78000</v>
      </c>
      <c r="P27" s="241" t="n">
        <v>0</v>
      </c>
      <c r="Q27" s="241" t="n">
        <v>0</v>
      </c>
      <c r="R27" s="241" t="n">
        <v>0</v>
      </c>
      <c r="S27" s="241" t="n">
        <v>0</v>
      </c>
      <c r="T27" s="241" t="n">
        <v>0</v>
      </c>
      <c r="U27" s="241" t="n">
        <v>0</v>
      </c>
      <c r="V27" s="241" t="n">
        <v>0</v>
      </c>
      <c r="W27" s="241" t="n">
        <v>0</v>
      </c>
      <c r="X27" s="241" t="n">
        <v>106782</v>
      </c>
      <c r="Y27" s="241" t="n">
        <v>0</v>
      </c>
      <c r="Z27" s="241" t="n">
        <v>0</v>
      </c>
      <c r="AA27" s="241" t="n">
        <v>0</v>
      </c>
      <c r="AB27" s="241" t="n">
        <v>0</v>
      </c>
      <c r="AC27" s="241" t="n">
        <v>0</v>
      </c>
      <c r="AD27" s="241" t="n">
        <v>0</v>
      </c>
      <c r="AE27" s="241" t="n">
        <v>0</v>
      </c>
      <c r="AF27" s="241" t="n">
        <v>0</v>
      </c>
      <c r="AG27" s="241" t="n">
        <v>0</v>
      </c>
      <c r="AH27" s="241" t="n">
        <v>0</v>
      </c>
      <c r="AI27" s="241" t="n">
        <v>0</v>
      </c>
      <c r="AJ27" s="241" t="n">
        <v>0</v>
      </c>
      <c r="AK27" s="241" t="n">
        <v>0</v>
      </c>
      <c r="AL27" s="241" t="n">
        <v>0</v>
      </c>
      <c r="AM27" s="241" t="n">
        <v>0</v>
      </c>
      <c r="AN27" s="241" t="n">
        <v>0</v>
      </c>
      <c r="AO27" s="241" t="n">
        <v>0</v>
      </c>
      <c r="AP27" s="241" t="n">
        <v>0</v>
      </c>
      <c r="AQ27" s="241" t="n">
        <v>0</v>
      </c>
      <c r="AR27" s="241" t="n">
        <v>0</v>
      </c>
      <c r="AS27" s="241" t="n">
        <v>0</v>
      </c>
      <c r="AT27" s="241" t="n">
        <v>0</v>
      </c>
      <c r="AU27" s="241" t="n">
        <v>0</v>
      </c>
      <c r="AV27" s="241" t="n">
        <v>0</v>
      </c>
      <c r="AW27" s="241" t="n">
        <v>0</v>
      </c>
      <c r="AX27" s="241" t="n">
        <v>0</v>
      </c>
      <c r="AY27" s="241" t="n">
        <v>0</v>
      </c>
      <c r="AZ27" s="241" t="n">
        <v>0</v>
      </c>
      <c r="BA27" s="233" t="n"/>
      <c r="BB27" s="233">
        <f>SUM(E27:P27)</f>
        <v/>
      </c>
      <c r="BC27" s="233">
        <f>SUM(Q27:AB27)</f>
        <v/>
      </c>
      <c r="BD27" s="233">
        <f>SUM(AC27:AN27)</f>
        <v/>
      </c>
      <c r="BE27" s="233">
        <f>SUM(AO27:AZ27)</f>
        <v/>
      </c>
      <c r="BF27" s="233" t="n">
        <v>0</v>
      </c>
      <c r="BG27" s="226" t="n"/>
      <c r="BH27" s="350" t="inlineStr">
        <is>
          <t>nothing budgeted. the year columns just add the months up</t>
        </is>
      </c>
      <c r="BI27" s="226" t="n"/>
      <c r="BJ27" s="226" t="n"/>
    </row>
    <row r="28" ht="12.75" customHeight="1" s="349">
      <c r="A28" s="200" t="n"/>
      <c r="B28" s="243" t="inlineStr">
        <is>
          <t>Total Subsidies &amp; Grants</t>
        </is>
      </c>
      <c r="C28" s="244" t="n"/>
      <c r="D28" s="144" t="inlineStr">
        <is>
          <t>€</t>
        </is>
      </c>
      <c r="E28" s="227">
        <f>sum(E27)</f>
        <v/>
      </c>
      <c r="F28" s="227">
        <f>sum(F27)</f>
        <v/>
      </c>
      <c r="G28" s="227">
        <f>sum(G27)</f>
        <v/>
      </c>
      <c r="H28" s="227">
        <f>sum(H27)</f>
        <v/>
      </c>
      <c r="I28" s="227">
        <f>sum(I27)</f>
        <v/>
      </c>
      <c r="J28" s="227">
        <f>sum(J27)</f>
        <v/>
      </c>
      <c r="K28" s="227">
        <f>sum(K27)</f>
        <v/>
      </c>
      <c r="L28" s="227">
        <f>sum(L27)</f>
        <v/>
      </c>
      <c r="M28" s="227">
        <f>sum(M27)</f>
        <v/>
      </c>
      <c r="N28" s="227">
        <f>sum(N27)</f>
        <v/>
      </c>
      <c r="O28" s="227">
        <f>sum(O27)</f>
        <v/>
      </c>
      <c r="P28" s="227">
        <f>sum(P27)</f>
        <v/>
      </c>
      <c r="Q28" s="227">
        <f>sum(Q27)</f>
        <v/>
      </c>
      <c r="R28" s="227">
        <f>sum(R27)</f>
        <v/>
      </c>
      <c r="S28" s="227">
        <f>sum(S27)</f>
        <v/>
      </c>
      <c r="T28" s="227">
        <f>sum(T27)</f>
        <v/>
      </c>
      <c r="U28" s="227">
        <f>sum(U27)</f>
        <v/>
      </c>
      <c r="V28" s="227">
        <f>sum(V27)</f>
        <v/>
      </c>
      <c r="W28" s="227">
        <f>sum(W27)</f>
        <v/>
      </c>
      <c r="X28" s="227">
        <f>sum(X27)</f>
        <v/>
      </c>
      <c r="Y28" s="227">
        <f>sum(Y27)</f>
        <v/>
      </c>
      <c r="Z28" s="227">
        <f>sum(Z27)</f>
        <v/>
      </c>
      <c r="AA28" s="227">
        <f>sum(AA27)</f>
        <v/>
      </c>
      <c r="AB28" s="227">
        <f>sum(AB27)</f>
        <v/>
      </c>
      <c r="AC28" s="227">
        <f>sum(AC27)</f>
        <v/>
      </c>
      <c r="AD28" s="227">
        <f>sum(AD27)</f>
        <v/>
      </c>
      <c r="AE28" s="227">
        <f>sum(AE27)</f>
        <v/>
      </c>
      <c r="AF28" s="227">
        <f>sum(AF27)</f>
        <v/>
      </c>
      <c r="AG28" s="227">
        <f>sum(AG27)</f>
        <v/>
      </c>
      <c r="AH28" s="227">
        <f>sum(AH27)</f>
        <v/>
      </c>
      <c r="AI28" s="227">
        <f>sum(AI27)</f>
        <v/>
      </c>
      <c r="AJ28" s="227">
        <f>sum(AJ27)</f>
        <v/>
      </c>
      <c r="AK28" s="227">
        <f>sum(AK27)</f>
        <v/>
      </c>
      <c r="AL28" s="227">
        <f>sum(AL27)</f>
        <v/>
      </c>
      <c r="AM28" s="227">
        <f>sum(AM27)</f>
        <v/>
      </c>
      <c r="AN28" s="227">
        <f>sum(AN27)</f>
        <v/>
      </c>
      <c r="AO28" s="227">
        <f>sum(AO27)</f>
        <v/>
      </c>
      <c r="AP28" s="227">
        <f>sum(AP27)</f>
        <v/>
      </c>
      <c r="AQ28" s="227">
        <f>sum(AQ27)</f>
        <v/>
      </c>
      <c r="AR28" s="227">
        <f>sum(AR27)</f>
        <v/>
      </c>
      <c r="AS28" s="227">
        <f>sum(AS27)</f>
        <v/>
      </c>
      <c r="AT28" s="227">
        <f>sum(AT27)</f>
        <v/>
      </c>
      <c r="AU28" s="227">
        <f>sum(AU27)</f>
        <v/>
      </c>
      <c r="AV28" s="227">
        <f>sum(AV27)</f>
        <v/>
      </c>
      <c r="AW28" s="227">
        <f>sum(AW27)</f>
        <v/>
      </c>
      <c r="AX28" s="227">
        <f>sum(AX27)</f>
        <v/>
      </c>
      <c r="AY28" s="227">
        <f>sum(AY27)</f>
        <v/>
      </c>
      <c r="AZ28" s="227">
        <f>sum(AZ27)</f>
        <v/>
      </c>
      <c r="BA28" s="156" t="n"/>
      <c r="BB28" s="229">
        <f>SUM(E28:P28)</f>
        <v/>
      </c>
      <c r="BC28" s="245">
        <f>SUM(Q28:AB28)</f>
        <v/>
      </c>
      <c r="BD28" s="245">
        <f>BD27</f>
        <v/>
      </c>
      <c r="BE28" s="245">
        <f>BE27</f>
        <v/>
      </c>
      <c r="BF28" s="245">
        <f>BF27</f>
        <v/>
      </c>
      <c r="BG28" s="226" t="n"/>
      <c r="BH28" s="350" t="inlineStr">
        <is>
          <t>same as the line above</t>
        </is>
      </c>
      <c r="BI28" s="226" t="n"/>
      <c r="BJ28" s="226" t="n"/>
    </row>
    <row r="29" ht="15.75" customHeight="1" s="349">
      <c r="A29" s="307" t="n"/>
      <c r="B29" s="307" t="n"/>
      <c r="C29" s="307" t="n"/>
      <c r="D29" s="307" t="n"/>
      <c r="E29" s="307" t="n"/>
      <c r="F29" s="307" t="n"/>
      <c r="G29" s="307" t="n"/>
      <c r="H29" s="307" t="n"/>
      <c r="I29" s="307" t="n"/>
      <c r="J29" s="307" t="n"/>
      <c r="K29" s="307" t="n"/>
      <c r="L29" s="307" t="n"/>
      <c r="M29" s="307" t="n"/>
      <c r="N29" s="307" t="n"/>
      <c r="O29" s="307" t="n"/>
      <c r="P29" s="307" t="n"/>
      <c r="Q29" s="307" t="n"/>
      <c r="R29" s="307" t="n"/>
      <c r="S29" s="307" t="n"/>
      <c r="T29" s="307" t="n"/>
      <c r="U29" s="307" t="n"/>
      <c r="V29" s="307" t="n"/>
      <c r="W29" s="307" t="n"/>
      <c r="X29" s="307" t="n"/>
      <c r="Y29" s="307" t="n"/>
      <c r="Z29" s="307" t="n"/>
      <c r="AA29" s="307" t="n"/>
      <c r="AB29" s="307" t="n"/>
      <c r="AC29" s="307" t="n"/>
      <c r="AD29" s="307" t="n"/>
      <c r="AE29" s="307" t="n"/>
      <c r="AF29" s="307" t="n"/>
      <c r="AG29" s="307" t="n"/>
      <c r="AH29" s="307" t="n"/>
      <c r="AI29" s="307" t="n"/>
      <c r="AJ29" s="307" t="n"/>
      <c r="AK29" s="307" t="n"/>
      <c r="AL29" s="307" t="n"/>
      <c r="AM29" s="307" t="n"/>
      <c r="AN29" s="307" t="n"/>
      <c r="AO29" s="307" t="n"/>
      <c r="AP29" s="307" t="n"/>
      <c r="AQ29" s="307" t="n"/>
      <c r="AR29" s="307" t="n"/>
      <c r="AS29" s="307" t="n"/>
      <c r="AT29" s="307" t="n"/>
      <c r="AU29" s="307" t="n"/>
      <c r="AV29" s="307" t="n"/>
      <c r="AW29" s="307" t="n"/>
      <c r="AX29" s="307" t="n"/>
      <c r="AY29" s="307" t="n"/>
      <c r="AZ29" s="307" t="n"/>
      <c r="BA29" s="307" t="n"/>
      <c r="BB29" s="307" t="n"/>
      <c r="BC29" s="307" t="n"/>
      <c r="BD29" s="307" t="n"/>
      <c r="BE29" s="307" t="n"/>
      <c r="BF29" s="307" t="n"/>
      <c r="BG29" s="31" t="n"/>
      <c r="BH29" s="350" t="n"/>
      <c r="BI29" s="31" t="n"/>
      <c r="BJ29" s="31" t="n"/>
    </row>
    <row r="30" ht="15.75" customHeight="1" s="349">
      <c r="A30" s="246" t="n"/>
      <c r="B30" s="247" t="inlineStr">
        <is>
          <t>TOTAL REVENUE</t>
        </is>
      </c>
      <c r="C30" s="246" t="n"/>
      <c r="D30" s="246" t="n"/>
      <c r="E30" s="248">
        <f>E9+E15+E19+E24+E28</f>
        <v/>
      </c>
      <c r="F30" s="248">
        <f>F9+F15+F19+F24+F28</f>
        <v/>
      </c>
      <c r="G30" s="248">
        <f>G9+G15+G19+G24+G28</f>
        <v/>
      </c>
      <c r="H30" s="248">
        <f>H9+H15+H19+H24+H28</f>
        <v/>
      </c>
      <c r="I30" s="248">
        <f>I9+I15+I19+I24+I28</f>
        <v/>
      </c>
      <c r="J30" s="248">
        <f>J9+J15+J19+J24+J28</f>
        <v/>
      </c>
      <c r="K30" s="248">
        <f>K9+K15+K19+K24+K28</f>
        <v/>
      </c>
      <c r="L30" s="248">
        <f>L9+L15+L19+L24+L28</f>
        <v/>
      </c>
      <c r="M30" s="248">
        <f>M9+M15+M19+M24+M28</f>
        <v/>
      </c>
      <c r="N30" s="248">
        <f>N9+N15+N19+N24+N28</f>
        <v/>
      </c>
      <c r="O30" s="248">
        <f>O9+O15+O19+O24+O28</f>
        <v/>
      </c>
      <c r="P30" s="248">
        <f>P9+P15+P19+P24+P28</f>
        <v/>
      </c>
      <c r="Q30" s="248">
        <f>Q9+Q15+Q19+Q24+Q28</f>
        <v/>
      </c>
      <c r="R30" s="248">
        <f>R9+R15+R19+R24+R28</f>
        <v/>
      </c>
      <c r="S30" s="248">
        <f>S9+S15+S19+S24+S28</f>
        <v/>
      </c>
      <c r="T30" s="248">
        <f>T9+T15+T19+T24+T28</f>
        <v/>
      </c>
      <c r="U30" s="248">
        <f>U9+U15+U19+U24+U28</f>
        <v/>
      </c>
      <c r="V30" s="248">
        <f>V9+V15+V19+V24+V28</f>
        <v/>
      </c>
      <c r="W30" s="248">
        <f>W9+W15+W19+W24+W28</f>
        <v/>
      </c>
      <c r="X30" s="248">
        <f>X9+X15+X19+X24+X28</f>
        <v/>
      </c>
      <c r="Y30" s="248">
        <f>Y9+Y15+Y19+Y24+Y28</f>
        <v/>
      </c>
      <c r="Z30" s="248">
        <f>Z9+Z15+Z19+Z24+Z28</f>
        <v/>
      </c>
      <c r="AA30" s="248">
        <f>AA9+AA15+AA19+AA24+AA28</f>
        <v/>
      </c>
      <c r="AB30" s="248">
        <f>AB9+AB15+AB19+AB24+AB28</f>
        <v/>
      </c>
      <c r="AC30" s="248">
        <f>AC9+AC15+AC19+AC24+AC28</f>
        <v/>
      </c>
      <c r="AD30" s="248">
        <f>AD9+AD15+AD19+AD24+AD28</f>
        <v/>
      </c>
      <c r="AE30" s="248">
        <f>AE9+AE15+AE19+AE24+AE28</f>
        <v/>
      </c>
      <c r="AF30" s="248">
        <f>AF9+AF15+AF19+AF24+AF28</f>
        <v/>
      </c>
      <c r="AG30" s="248">
        <f>AG9+AG15+AG19+AG24+AG28</f>
        <v/>
      </c>
      <c r="AH30" s="248">
        <f>AH9+AH15+AH19+AH24+AH28</f>
        <v/>
      </c>
      <c r="AI30" s="248">
        <f>AI9+AI15+AI19+AI24+AI28</f>
        <v/>
      </c>
      <c r="AJ30" s="248">
        <f>AJ9+AJ15+AJ19+AJ24+AJ28</f>
        <v/>
      </c>
      <c r="AK30" s="248">
        <f>AK9+AK15+AK19+AK24+AK28</f>
        <v/>
      </c>
      <c r="AL30" s="248">
        <f>AL9+AL15+AL19+AL24+AL28</f>
        <v/>
      </c>
      <c r="AM30" s="248">
        <f>AM9+AM15+AM19+AM24+AM28</f>
        <v/>
      </c>
      <c r="AN30" s="248">
        <f>AN9+AN15+AN19+AN24+AN28</f>
        <v/>
      </c>
      <c r="AO30" s="248">
        <f>AO9+AO15+AO19+AO24+AO28</f>
        <v/>
      </c>
      <c r="AP30" s="248">
        <f>AP9+AP15+AP19+AP24+AP28</f>
        <v/>
      </c>
      <c r="AQ30" s="248">
        <f>AQ9+AQ15+AQ19+AQ24+AQ28</f>
        <v/>
      </c>
      <c r="AR30" s="248">
        <f>AR9+AR15+AR19+AR24+AR28</f>
        <v/>
      </c>
      <c r="AS30" s="248">
        <f>AS9+AS15+AS19+AS24+AS28</f>
        <v/>
      </c>
      <c r="AT30" s="248">
        <f>AT9+AT15+AT19+AT24+AT28</f>
        <v/>
      </c>
      <c r="AU30" s="248">
        <f>AU9+AU15+AU19+AU24+AU28</f>
        <v/>
      </c>
      <c r="AV30" s="248">
        <f>AV9+AV15+AV19+AV24+AV28</f>
        <v/>
      </c>
      <c r="AW30" s="248">
        <f>AW9+AW15+AW19+AW24+AW28</f>
        <v/>
      </c>
      <c r="AX30" s="248">
        <f>AX9+AX15+AX19+AX24+AX28</f>
        <v/>
      </c>
      <c r="AY30" s="248">
        <f>AY9+AY15+AY19+AY24+AY28</f>
        <v/>
      </c>
      <c r="AZ30" s="248">
        <f>AZ9+AZ15+AZ19+AZ24+AZ28</f>
        <v/>
      </c>
      <c r="BA30" s="154" t="n"/>
      <c r="BB30" s="248">
        <f>BB9+BB15+BB19+BB24+BB28</f>
        <v/>
      </c>
      <c r="BC30" s="248">
        <f>BC9+BC15+BC19+BC24+BC28</f>
        <v/>
      </c>
      <c r="BD30" s="248">
        <f>SUM(AC30:AN30)</f>
        <v/>
      </c>
      <c r="BE30" s="248">
        <f>SUM(AO30:AZ30)</f>
        <v/>
      </c>
      <c r="BF30" s="248">
        <f>BF9+BF15+BF19+BF24+BF28</f>
        <v/>
      </c>
      <c r="BG30" s="137" t="n"/>
      <c r="BH30" s="350" t="inlineStr">
        <is>
          <t>everything added: TTK + Combi+ + installation + service + subsidies</t>
        </is>
      </c>
      <c r="BI30" s="137" t="n"/>
      <c r="BJ30" s="137" t="n"/>
    </row>
    <row r="31" ht="15.75" customHeight="1" s="349">
      <c r="A31" s="307" t="n"/>
      <c r="B31" s="307" t="n"/>
      <c r="C31" s="307" t="n"/>
      <c r="D31" s="307" t="n"/>
      <c r="E31" s="307" t="n"/>
      <c r="F31" s="307" t="n"/>
      <c r="G31" s="307" t="n"/>
      <c r="H31" s="307" t="n"/>
      <c r="I31" s="307" t="n"/>
      <c r="J31" s="307" t="n"/>
      <c r="K31" s="307" t="n"/>
      <c r="L31" s="307" t="n"/>
      <c r="M31" s="307" t="n"/>
      <c r="N31" s="307" t="n"/>
      <c r="O31" s="307" t="n"/>
      <c r="P31" s="307" t="n"/>
      <c r="Q31" s="307" t="n"/>
      <c r="R31" s="307" t="n"/>
      <c r="S31" s="307" t="n"/>
      <c r="T31" s="307" t="n"/>
      <c r="U31" s="307" t="n"/>
      <c r="V31" s="307" t="n"/>
      <c r="W31" s="307" t="n"/>
      <c r="X31" s="307" t="n"/>
      <c r="Y31" s="307" t="n"/>
      <c r="Z31" s="307" t="n"/>
      <c r="AA31" s="307" t="n"/>
      <c r="AB31" s="307" t="n"/>
      <c r="AC31" s="307" t="n"/>
      <c r="AD31" s="307" t="n"/>
      <c r="AE31" s="307" t="n"/>
      <c r="AF31" s="307" t="n"/>
      <c r="AG31" s="307" t="n"/>
      <c r="AH31" s="307" t="n"/>
      <c r="AI31" s="307" t="n"/>
      <c r="AJ31" s="307" t="n"/>
      <c r="AK31" s="307" t="n"/>
      <c r="AL31" s="307" t="n"/>
      <c r="AM31" s="307" t="n"/>
      <c r="AN31" s="307" t="n"/>
      <c r="AO31" s="307" t="n"/>
      <c r="AP31" s="307" t="n"/>
      <c r="AQ31" s="307" t="n"/>
      <c r="AR31" s="307" t="n"/>
      <c r="AS31" s="307" t="n"/>
      <c r="AT31" s="307" t="n"/>
      <c r="AU31" s="307" t="n"/>
      <c r="AV31" s="307" t="n"/>
      <c r="AW31" s="307" t="n"/>
      <c r="AX31" s="307" t="n"/>
      <c r="AY31" s="307" t="n"/>
      <c r="AZ31" s="307" t="n"/>
      <c r="BA31" s="307" t="n"/>
      <c r="BB31" s="307" t="n"/>
      <c r="BC31" s="307" t="n"/>
      <c r="BD31" s="307" t="n"/>
      <c r="BE31" s="307" t="n"/>
      <c r="BF31" s="307" t="n"/>
      <c r="BG31" s="31" t="n"/>
      <c r="BH31" s="350" t="n"/>
      <c r="BI31" s="31" t="n"/>
      <c r="BJ31" s="31" t="n"/>
    </row>
    <row r="32" ht="15.75" customHeight="1" s="349">
      <c r="A32" s="307" t="n"/>
      <c r="B32" s="307" t="n"/>
      <c r="C32" s="307" t="n"/>
      <c r="D32" s="307" t="n"/>
      <c r="E32" s="307" t="n"/>
      <c r="F32" s="307" t="n"/>
      <c r="G32" s="307" t="n"/>
      <c r="H32" s="307" t="n"/>
      <c r="I32" s="307" t="n"/>
      <c r="J32" s="307" t="n"/>
      <c r="K32" s="307" t="n"/>
      <c r="L32" s="307" t="n"/>
      <c r="M32" s="307" t="n"/>
      <c r="N32" s="307" t="n"/>
      <c r="O32" s="307" t="n"/>
      <c r="P32" s="307" t="n"/>
      <c r="Q32" s="307" t="n"/>
      <c r="R32" s="307" t="n"/>
      <c r="S32" s="307" t="n"/>
      <c r="T32" s="307" t="n"/>
      <c r="U32" s="307" t="n"/>
      <c r="V32" s="307" t="n"/>
      <c r="W32" s="307" t="n"/>
      <c r="X32" s="307" t="n"/>
      <c r="Y32" s="307" t="n"/>
      <c r="Z32" s="307" t="n"/>
      <c r="AA32" s="307" t="n"/>
      <c r="AB32" s="307" t="n"/>
      <c r="AC32" s="307" t="n"/>
      <c r="AD32" s="307" t="n"/>
      <c r="AE32" s="307" t="n"/>
      <c r="AF32" s="307" t="n"/>
      <c r="AG32" s="307" t="n"/>
      <c r="AH32" s="307" t="n"/>
      <c r="AI32" s="307" t="n"/>
      <c r="AJ32" s="307" t="n"/>
      <c r="AK32" s="307" t="n"/>
      <c r="AL32" s="307" t="n"/>
      <c r="AM32" s="307" t="n"/>
      <c r="AN32" s="307" t="n"/>
      <c r="AO32" s="307" t="n"/>
      <c r="AP32" s="307" t="n"/>
      <c r="AQ32" s="307" t="n"/>
      <c r="AR32" s="307" t="n"/>
      <c r="AS32" s="307" t="n"/>
      <c r="AT32" s="307" t="n"/>
      <c r="AU32" s="307" t="n"/>
      <c r="AV32" s="307" t="n"/>
      <c r="AW32" s="307" t="n"/>
      <c r="AX32" s="307" t="n"/>
      <c r="AY32" s="307" t="n"/>
      <c r="AZ32" s="307" t="n"/>
      <c r="BA32" s="307" t="n"/>
      <c r="BB32" s="307" t="n"/>
      <c r="BC32" s="307" t="n"/>
      <c r="BD32" s="307" t="n"/>
      <c r="BE32" s="307" t="n"/>
      <c r="BF32" s="307" t="n"/>
      <c r="BG32" s="31" t="n"/>
      <c r="BH32" s="350" t="n"/>
      <c r="BI32" s="31" t="n"/>
      <c r="BJ32" s="31" t="n"/>
    </row>
    <row r="33" outlineLevel="1" ht="15.75" customHeight="1" s="349">
      <c r="A33" s="200" t="n"/>
      <c r="B33" s="200" t="inlineStr">
        <is>
          <t>Installed Base</t>
        </is>
      </c>
      <c r="C33" s="200" t="n"/>
      <c r="D33" s="200" t="n"/>
      <c r="E33" s="156">
        <f>sum(E22:E23)</f>
        <v/>
      </c>
      <c r="F33" s="156">
        <f>sum(F22:F23)</f>
        <v/>
      </c>
      <c r="G33" s="156">
        <f>sum(G22:G23)</f>
        <v/>
      </c>
      <c r="H33" s="156">
        <f>sum(H22:H23)</f>
        <v/>
      </c>
      <c r="I33" s="156">
        <f>sum(I22:I23)</f>
        <v/>
      </c>
      <c r="J33" s="156">
        <f>sum(J22:J23)</f>
        <v/>
      </c>
      <c r="K33" s="156">
        <f>sum(K22:K23)</f>
        <v/>
      </c>
      <c r="L33" s="156">
        <f>sum(L22:L23)</f>
        <v/>
      </c>
      <c r="M33" s="156">
        <f>sum(M22:M23)</f>
        <v/>
      </c>
      <c r="N33" s="156">
        <f>sum(N22:N23)</f>
        <v/>
      </c>
      <c r="O33" s="156">
        <f>sum(O22:O23)</f>
        <v/>
      </c>
      <c r="P33" s="156">
        <f>sum(P22:P23)</f>
        <v/>
      </c>
      <c r="Q33" s="156">
        <f>sum(Q22:Q23)</f>
        <v/>
      </c>
      <c r="R33" s="156">
        <f>sum(R22:R23)</f>
        <v/>
      </c>
      <c r="S33" s="156">
        <f>sum(S22:S23)</f>
        <v/>
      </c>
      <c r="T33" s="156">
        <f>sum(T22:T23)</f>
        <v/>
      </c>
      <c r="U33" s="156">
        <f>sum(U22:U23)</f>
        <v/>
      </c>
      <c r="V33" s="156">
        <f>sum(V22:V23)</f>
        <v/>
      </c>
      <c r="W33" s="156">
        <f>sum(W22:W23)</f>
        <v/>
      </c>
      <c r="X33" s="156">
        <f>sum(X22:X23)</f>
        <v/>
      </c>
      <c r="Y33" s="156">
        <f>sum(Y22:Y23)</f>
        <v/>
      </c>
      <c r="Z33" s="156">
        <f>sum(Z22:Z23)</f>
        <v/>
      </c>
      <c r="AA33" s="156">
        <f>sum(AA22:AA23)</f>
        <v/>
      </c>
      <c r="AB33" s="156">
        <f>sum(AB22:AB23)</f>
        <v/>
      </c>
      <c r="AC33" s="156">
        <f>sum(AC22:AC23)</f>
        <v/>
      </c>
      <c r="AD33" s="156">
        <f>sum(AD22:AD23)</f>
        <v/>
      </c>
      <c r="AE33" s="156">
        <f>sum(AE22:AE23)</f>
        <v/>
      </c>
      <c r="AF33" s="156">
        <f>sum(AF22:AF23)</f>
        <v/>
      </c>
      <c r="AG33" s="156">
        <f>sum(AG22:AG23)</f>
        <v/>
      </c>
      <c r="AH33" s="156">
        <f>sum(AH22:AH23)</f>
        <v/>
      </c>
      <c r="AI33" s="156">
        <f>sum(AI22:AI23)</f>
        <v/>
      </c>
      <c r="AJ33" s="156">
        <f>sum(AJ22:AJ23)</f>
        <v/>
      </c>
      <c r="AK33" s="156">
        <f>sum(AK22:AK23)</f>
        <v/>
      </c>
      <c r="AL33" s="156">
        <f>sum(AL22:AL23)</f>
        <v/>
      </c>
      <c r="AM33" s="156">
        <f>sum(AM22:AM23)</f>
        <v/>
      </c>
      <c r="AN33" s="156">
        <f>sum(AN22:AN23)</f>
        <v/>
      </c>
      <c r="AO33" s="156">
        <f>sum(AO22:AO23)</f>
        <v/>
      </c>
      <c r="AP33" s="156">
        <f>sum(AP22:AP23)</f>
        <v/>
      </c>
      <c r="AQ33" s="156">
        <f>sum(AQ22:AQ23)</f>
        <v/>
      </c>
      <c r="AR33" s="156">
        <f>sum(AR22:AR23)</f>
        <v/>
      </c>
      <c r="AS33" s="156">
        <f>sum(AS22:AS23)</f>
        <v/>
      </c>
      <c r="AT33" s="156">
        <f>sum(AT22:AT23)</f>
        <v/>
      </c>
      <c r="AU33" s="156">
        <f>sum(AU22:AU23)</f>
        <v/>
      </c>
      <c r="AV33" s="156">
        <f>sum(AV22:AV23)</f>
        <v/>
      </c>
      <c r="AW33" s="156">
        <f>sum(AW22:AW23)</f>
        <v/>
      </c>
      <c r="AX33" s="156">
        <f>sum(AX22:AX23)</f>
        <v/>
      </c>
      <c r="AY33" s="156">
        <f>sum(AY22:AY23)</f>
        <v/>
      </c>
      <c r="AZ33" s="156">
        <f>sum(AZ22:AZ23)</f>
        <v/>
      </c>
      <c r="BA33" s="200" t="n"/>
      <c r="BB33" s="156">
        <f>sum(BB22:BB23)</f>
        <v/>
      </c>
      <c r="BC33" s="156">
        <f>sum(BC22:BC23)</f>
        <v/>
      </c>
      <c r="BD33" s="156">
        <f>sum(BD22:BD23)</f>
        <v/>
      </c>
      <c r="BE33" s="156">
        <f>sum(BE22:BE23)</f>
        <v/>
      </c>
      <c r="BF33" s="156">
        <f>sum(BF22:BF23)</f>
        <v/>
      </c>
      <c r="BG33" s="151" t="n"/>
      <c r="BH33" s="350" t="inlineStr">
        <is>
          <t>total machines in the field (TTK + Combi+)</t>
        </is>
      </c>
      <c r="BI33" s="151" t="n"/>
      <c r="BJ33" s="151" t="n"/>
    </row>
    <row r="34" outlineLevel="1" ht="15.75" customHeight="1" s="349">
      <c r="A34" s="200" t="n"/>
      <c r="B34" s="200" t="inlineStr">
        <is>
          <t>Units sold</t>
        </is>
      </c>
      <c r="C34" s="200" t="n"/>
      <c r="D34" s="200" t="inlineStr">
        <is>
          <t>#</t>
        </is>
      </c>
      <c r="E34" s="156">
        <f>E6+E12</f>
        <v/>
      </c>
      <c r="F34" s="156">
        <f>F6+F12</f>
        <v/>
      </c>
      <c r="G34" s="156">
        <f>G6+G12</f>
        <v/>
      </c>
      <c r="H34" s="156">
        <f>H6+H12</f>
        <v/>
      </c>
      <c r="I34" s="156">
        <f>I6+I12</f>
        <v/>
      </c>
      <c r="J34" s="156">
        <f>J6+J12</f>
        <v/>
      </c>
      <c r="K34" s="156">
        <f>K6+K12</f>
        <v/>
      </c>
      <c r="L34" s="156">
        <f>L6+L12</f>
        <v/>
      </c>
      <c r="M34" s="156">
        <f>M6+M12</f>
        <v/>
      </c>
      <c r="N34" s="156">
        <f>N6+N12</f>
        <v/>
      </c>
      <c r="O34" s="156">
        <f>O6+O12</f>
        <v/>
      </c>
      <c r="P34" s="156">
        <f>P6+P12</f>
        <v/>
      </c>
      <c r="Q34" s="156">
        <f>Q6+Q12</f>
        <v/>
      </c>
      <c r="R34" s="156">
        <f>R6+R12</f>
        <v/>
      </c>
      <c r="S34" s="156">
        <f>S6+S12</f>
        <v/>
      </c>
      <c r="T34" s="156">
        <f>T6+T12</f>
        <v/>
      </c>
      <c r="U34" s="156">
        <f>U6+U12</f>
        <v/>
      </c>
      <c r="V34" s="156">
        <f>V6+V12</f>
        <v/>
      </c>
      <c r="W34" s="156">
        <f>W6+W12</f>
        <v/>
      </c>
      <c r="X34" s="156">
        <f>X6+X12</f>
        <v/>
      </c>
      <c r="Y34" s="156">
        <f>Y6+Y12</f>
        <v/>
      </c>
      <c r="Z34" s="156">
        <f>Z6+Z12</f>
        <v/>
      </c>
      <c r="AA34" s="156">
        <f>AA6+AA12</f>
        <v/>
      </c>
      <c r="AB34" s="156">
        <f>AB6+AB12</f>
        <v/>
      </c>
      <c r="AC34" s="156">
        <f>AC6+AC12</f>
        <v/>
      </c>
      <c r="AD34" s="156">
        <f>AD6+AD12</f>
        <v/>
      </c>
      <c r="AE34" s="156">
        <f>AE6+AE12</f>
        <v/>
      </c>
      <c r="AF34" s="156">
        <f>AF6+AF12</f>
        <v/>
      </c>
      <c r="AG34" s="156">
        <f>AG6+AG12</f>
        <v/>
      </c>
      <c r="AH34" s="156">
        <f>AH6+AH12</f>
        <v/>
      </c>
      <c r="AI34" s="156">
        <f>AI6+AI12</f>
        <v/>
      </c>
      <c r="AJ34" s="156">
        <f>AJ6+AJ12</f>
        <v/>
      </c>
      <c r="AK34" s="156">
        <f>AK6+AK12</f>
        <v/>
      </c>
      <c r="AL34" s="156">
        <f>AL6+AL12</f>
        <v/>
      </c>
      <c r="AM34" s="156">
        <f>AM6+AM12</f>
        <v/>
      </c>
      <c r="AN34" s="156">
        <f>AN6+AN12</f>
        <v/>
      </c>
      <c r="AO34" s="156">
        <f>AO6+AO12</f>
        <v/>
      </c>
      <c r="AP34" s="156">
        <f>AP6+AP12</f>
        <v/>
      </c>
      <c r="AQ34" s="156">
        <f>AQ6+AQ12</f>
        <v/>
      </c>
      <c r="AR34" s="156">
        <f>AR6+AR12</f>
        <v/>
      </c>
      <c r="AS34" s="156">
        <f>AS6+AS12</f>
        <v/>
      </c>
      <c r="AT34" s="156">
        <f>AT6+AT12</f>
        <v/>
      </c>
      <c r="AU34" s="156">
        <f>AU6+AU12</f>
        <v/>
      </c>
      <c r="AV34" s="156">
        <f>AV6+AV12</f>
        <v/>
      </c>
      <c r="AW34" s="156">
        <f>AW6+AW12</f>
        <v/>
      </c>
      <c r="AX34" s="156">
        <f>AX6+AX12</f>
        <v/>
      </c>
      <c r="AY34" s="156">
        <f>AY6+AY12</f>
        <v/>
      </c>
      <c r="AZ34" s="156">
        <f>AZ6+AZ12</f>
        <v/>
      </c>
      <c r="BA34" s="156" t="n"/>
      <c r="BB34" s="156" t="n">
        <v>0</v>
      </c>
      <c r="BC34" s="156" t="n">
        <v>0</v>
      </c>
      <c r="BD34" s="156">
        <f>SUM(AC34:AN34)</f>
        <v/>
      </c>
      <c r="BE34" s="156">
        <f>SUM(AO34:AZ34)</f>
        <v/>
      </c>
      <c r="BF34" s="156">
        <f>BF18</f>
        <v/>
      </c>
      <c r="BG34" s="158" t="n"/>
      <c r="BH34" s="350" t="inlineStr">
        <is>
          <t>units sold this period. the COGS volume tiers look at this row</t>
        </is>
      </c>
      <c r="BI34" s="158" t="n"/>
      <c r="BJ34" s="158" t="n"/>
    </row>
    <row r="35" ht="15.75" customHeight="1" s="349">
      <c r="A35" s="307" t="n"/>
      <c r="B35" s="307" t="n"/>
      <c r="C35" s="307" t="n"/>
      <c r="D35" s="307" t="n"/>
      <c r="E35" s="307" t="n"/>
      <c r="F35" s="307" t="n"/>
      <c r="G35" s="307" t="n"/>
      <c r="H35" s="307" t="n"/>
      <c r="I35" s="307" t="n"/>
      <c r="J35" s="307" t="n"/>
      <c r="K35" s="307" t="n"/>
      <c r="L35" s="307" t="n"/>
      <c r="M35" s="307" t="n"/>
      <c r="N35" s="307" t="n"/>
      <c r="O35" s="307" t="n"/>
      <c r="P35" s="307" t="n"/>
      <c r="Q35" s="307" t="n"/>
      <c r="R35" s="307" t="n"/>
      <c r="S35" s="307" t="n"/>
      <c r="T35" s="307" t="n"/>
      <c r="U35" s="307" t="n"/>
      <c r="V35" s="307" t="n"/>
      <c r="W35" s="307" t="n"/>
      <c r="X35" s="307" t="n"/>
      <c r="Y35" s="307" t="n"/>
      <c r="Z35" s="307" t="n"/>
      <c r="AA35" s="307" t="n"/>
      <c r="AB35" s="307" t="n"/>
      <c r="AC35" s="307" t="n"/>
      <c r="AD35" s="307" t="n"/>
      <c r="AE35" s="307" t="n"/>
      <c r="AF35" s="307" t="n"/>
      <c r="AG35" s="307" t="n"/>
      <c r="AH35" s="307" t="n"/>
      <c r="AI35" s="307" t="n"/>
      <c r="AJ35" s="307" t="n"/>
      <c r="AK35" s="307" t="n"/>
      <c r="AL35" s="307" t="n"/>
      <c r="AM35" s="307" t="n"/>
      <c r="AN35" s="307" t="n"/>
      <c r="AO35" s="307" t="n"/>
      <c r="AP35" s="307" t="n"/>
      <c r="AQ35" s="307" t="n"/>
      <c r="AR35" s="307" t="n"/>
      <c r="AS35" s="307" t="n"/>
      <c r="AT35" s="307" t="n"/>
      <c r="AU35" s="307" t="n"/>
      <c r="AV35" s="307" t="n"/>
      <c r="AW35" s="307" t="n"/>
      <c r="AX35" s="307" t="n"/>
      <c r="AY35" s="307" t="n"/>
      <c r="AZ35" s="307" t="n"/>
      <c r="BA35" s="307" t="n"/>
      <c r="BB35" s="307" t="n"/>
      <c r="BC35" s="307" t="n"/>
      <c r="BD35" s="307" t="n"/>
      <c r="BE35" s="307" t="n"/>
      <c r="BF35" s="307" t="n"/>
      <c r="BG35" s="31" t="n"/>
      <c r="BH35" s="31" t="n"/>
      <c r="BI35" s="31" t="n"/>
      <c r="BJ35" s="31" t="n"/>
    </row>
    <row r="36" ht="15.75" customHeight="1" s="349">
      <c r="A36" s="307" t="n"/>
      <c r="B36" s="307" t="n"/>
      <c r="C36" s="307" t="n"/>
      <c r="D36" s="307" t="n"/>
      <c r="E36" s="307" t="n"/>
      <c r="F36" s="307" t="n"/>
      <c r="G36" s="307" t="n"/>
      <c r="H36" s="307" t="n"/>
      <c r="I36" s="307" t="n"/>
      <c r="J36" s="307" t="n"/>
      <c r="K36" s="307" t="n"/>
      <c r="L36" s="307" t="n"/>
      <c r="M36" s="307" t="n"/>
      <c r="N36" s="307" t="n"/>
      <c r="O36" s="307" t="n"/>
      <c r="P36" s="307" t="n"/>
      <c r="Q36" s="307" t="n"/>
      <c r="R36" s="307" t="n"/>
      <c r="S36" s="307" t="n"/>
      <c r="T36" s="307" t="n"/>
      <c r="U36" s="307" t="n"/>
      <c r="V36" s="307" t="n"/>
      <c r="W36" s="307" t="n"/>
      <c r="X36" s="307" t="n"/>
      <c r="Y36" s="307" t="n"/>
      <c r="Z36" s="307" t="n"/>
      <c r="AA36" s="307" t="n"/>
      <c r="AB36" s="307" t="n"/>
      <c r="AC36" s="307" t="n"/>
      <c r="AD36" s="307" t="n"/>
      <c r="AE36" s="307" t="n"/>
      <c r="AF36" s="307" t="n"/>
      <c r="AG36" s="307" t="n"/>
      <c r="AH36" s="307" t="n"/>
      <c r="AI36" s="307" t="n"/>
      <c r="AJ36" s="307" t="n"/>
      <c r="AK36" s="307" t="n"/>
      <c r="AL36" s="307" t="n"/>
      <c r="AM36" s="307" t="n"/>
      <c r="AN36" s="307" t="n"/>
      <c r="AO36" s="307" t="n"/>
      <c r="AP36" s="307" t="n"/>
      <c r="AQ36" s="307" t="n"/>
      <c r="AR36" s="307" t="n"/>
      <c r="AS36" s="307" t="n"/>
      <c r="AT36" s="307" t="n"/>
      <c r="AU36" s="307" t="n"/>
      <c r="AV36" s="307" t="n"/>
      <c r="AW36" s="307" t="n"/>
      <c r="AX36" s="307" t="n"/>
      <c r="AY36" s="307" t="n"/>
      <c r="AZ36" s="307" t="n"/>
      <c r="BA36" s="307" t="n"/>
      <c r="BB36" s="307" t="n"/>
      <c r="BC36" s="307" t="n"/>
      <c r="BD36" s="307" t="n"/>
      <c r="BE36" s="217" t="n"/>
      <c r="BF36" s="307" t="n"/>
      <c r="BG36" s="31" t="n"/>
      <c r="BH36" s="31" t="n"/>
      <c r="BI36" s="31" t="n"/>
      <c r="BJ36" s="31" t="n"/>
    </row>
    <row r="37" ht="15.75" customHeight="1" s="349">
      <c r="A37" s="307" t="n"/>
      <c r="B37" s="307" t="n"/>
      <c r="C37" s="307" t="n"/>
      <c r="D37" s="307" t="n"/>
      <c r="E37" s="307" t="n"/>
      <c r="F37" s="307" t="n"/>
      <c r="G37" s="307" t="n"/>
      <c r="H37" s="307" t="n"/>
      <c r="I37" s="307" t="n"/>
      <c r="J37" s="307" t="n"/>
      <c r="K37" s="307" t="n"/>
      <c r="L37" s="307" t="n"/>
      <c r="M37" s="307" t="n"/>
      <c r="N37" s="307" t="n"/>
      <c r="O37" s="307" t="n"/>
      <c r="P37" s="307" t="n"/>
      <c r="Q37" s="307" t="n"/>
      <c r="R37" s="307" t="n"/>
      <c r="S37" s="307" t="n"/>
      <c r="T37" s="307" t="n"/>
      <c r="U37" s="307" t="n"/>
      <c r="V37" s="307" t="n"/>
      <c r="W37" s="307" t="n"/>
      <c r="X37" s="307" t="n"/>
      <c r="Y37" s="307" t="n"/>
      <c r="Z37" s="307" t="n"/>
      <c r="AA37" s="307" t="n"/>
      <c r="AB37" s="307" t="n"/>
      <c r="AC37" s="307" t="n"/>
      <c r="AD37" s="307" t="n"/>
      <c r="AE37" s="307" t="n"/>
      <c r="AF37" s="307" t="n"/>
      <c r="AG37" s="307" t="n"/>
      <c r="AH37" s="307" t="n"/>
      <c r="AI37" s="307" t="n"/>
      <c r="AJ37" s="307" t="n"/>
      <c r="AK37" s="307" t="n"/>
      <c r="AL37" s="307" t="n"/>
      <c r="AM37" s="307" t="n"/>
      <c r="AN37" s="307" t="n"/>
      <c r="AO37" s="307" t="n"/>
      <c r="AP37" s="307" t="n"/>
      <c r="AQ37" s="307" t="n"/>
      <c r="AR37" s="307" t="n"/>
      <c r="AS37" s="307" t="n"/>
      <c r="AT37" s="307" t="n"/>
      <c r="AU37" s="307" t="n"/>
      <c r="AV37" s="307" t="n"/>
      <c r="AW37" s="307" t="n"/>
      <c r="AX37" s="307" t="n"/>
      <c r="AY37" s="307" t="n"/>
      <c r="AZ37" s="307" t="n"/>
      <c r="BA37" s="307" t="n"/>
      <c r="BB37" s="307" t="n"/>
      <c r="BC37" s="307" t="n"/>
      <c r="BD37" s="307" t="n"/>
      <c r="BE37" s="217" t="n"/>
      <c r="BF37" s="307" t="n"/>
      <c r="BG37" s="31" t="n"/>
      <c r="BH37" s="31" t="n"/>
      <c r="BI37" s="31" t="n"/>
      <c r="BJ37" s="31" t="n"/>
    </row>
    <row r="38" ht="15.75" customHeight="1" s="349">
      <c r="A38" s="307" t="n"/>
      <c r="B38" s="307" t="n"/>
      <c r="C38" s="307" t="n"/>
      <c r="D38" s="307" t="n"/>
      <c r="E38" s="307" t="n"/>
      <c r="F38" s="307" t="n"/>
      <c r="G38" s="307" t="n"/>
      <c r="H38" s="307" t="n"/>
      <c r="I38" s="307" t="n"/>
      <c r="J38" s="307" t="n"/>
      <c r="K38" s="307" t="n"/>
      <c r="L38" s="307" t="n"/>
      <c r="M38" s="307" t="n"/>
      <c r="N38" s="307" t="n"/>
      <c r="O38" s="307" t="n"/>
      <c r="P38" s="307" t="n"/>
      <c r="Q38" s="307" t="n"/>
      <c r="R38" s="307" t="n"/>
      <c r="S38" s="307" t="n"/>
      <c r="T38" s="307" t="n"/>
      <c r="U38" s="307" t="n"/>
      <c r="V38" s="307" t="n"/>
      <c r="W38" s="307" t="n"/>
      <c r="X38" s="307" t="n"/>
      <c r="Y38" s="307" t="n"/>
      <c r="Z38" s="307" t="n"/>
      <c r="AA38" s="307" t="n"/>
      <c r="AB38" s="307" t="n"/>
      <c r="AC38" s="307" t="n"/>
      <c r="AD38" s="307" t="n"/>
      <c r="AE38" s="307" t="n"/>
      <c r="AF38" s="307" t="n"/>
      <c r="AG38" s="307" t="n"/>
      <c r="AH38" s="307" t="n"/>
      <c r="AI38" s="307" t="n"/>
      <c r="AJ38" s="307" t="n"/>
      <c r="AK38" s="307" t="n"/>
      <c r="AL38" s="307" t="n"/>
      <c r="AM38" s="307" t="n"/>
      <c r="AN38" s="307" t="n"/>
      <c r="AO38" s="307" t="n"/>
      <c r="AP38" s="307" t="n"/>
      <c r="AQ38" s="307" t="n"/>
      <c r="AR38" s="307" t="n"/>
      <c r="AS38" s="307" t="n"/>
      <c r="AT38" s="307" t="n"/>
      <c r="AU38" s="307" t="n"/>
      <c r="AV38" s="307" t="n"/>
      <c r="AW38" s="307" t="n"/>
      <c r="AY38" s="307" t="n"/>
      <c r="AZ38" s="307" t="n"/>
      <c r="BA38" s="307" t="n"/>
      <c r="BB38" s="307" t="n"/>
      <c r="BC38" s="307" t="n"/>
      <c r="BD38" s="217" t="n"/>
      <c r="BE38" s="217" t="n"/>
      <c r="BF38" s="307" t="n"/>
      <c r="BG38" s="31" t="n"/>
      <c r="BH38" s="31" t="n"/>
      <c r="BI38" s="31" t="n"/>
      <c r="BJ38" s="31" t="n"/>
    </row>
    <row r="39" ht="15.75" customHeight="1" s="349">
      <c r="A39" s="307" t="n"/>
      <c r="B39" s="307" t="n"/>
      <c r="C39" s="307" t="n"/>
      <c r="D39" s="307" t="n"/>
      <c r="E39" s="307" t="n"/>
      <c r="F39" s="307" t="n"/>
      <c r="G39" s="307" t="n"/>
      <c r="H39" s="307" t="n"/>
      <c r="I39" s="307" t="n"/>
      <c r="J39" s="307" t="n"/>
      <c r="K39" s="307" t="n"/>
      <c r="L39" s="307" t="n"/>
      <c r="M39" s="307" t="n"/>
      <c r="N39" s="307" t="n"/>
      <c r="O39" s="307" t="n"/>
      <c r="P39" s="307" t="n"/>
      <c r="Q39" s="307" t="n"/>
      <c r="R39" s="307" t="n"/>
      <c r="S39" s="307" t="n"/>
      <c r="T39" s="307" t="n"/>
      <c r="U39" s="307" t="n"/>
      <c r="V39" s="307" t="n"/>
      <c r="W39" s="307" t="n"/>
      <c r="X39" s="307" t="n"/>
      <c r="Y39" s="307" t="n"/>
      <c r="Z39" s="307" t="n"/>
      <c r="AA39" s="307" t="n"/>
      <c r="AB39" s="307" t="n"/>
      <c r="AC39" s="307" t="n"/>
      <c r="AD39" s="307" t="n"/>
      <c r="AE39" s="307" t="n"/>
      <c r="AF39" s="307" t="n"/>
      <c r="AG39" s="307" t="n"/>
      <c r="AH39" s="307" t="n"/>
      <c r="AI39" s="307" t="n"/>
      <c r="AJ39" s="307" t="n"/>
      <c r="AK39" s="307" t="n"/>
      <c r="AL39" s="307" t="n"/>
      <c r="AM39" s="307" t="n"/>
      <c r="AN39" s="307" t="n"/>
      <c r="AO39" s="307" t="n"/>
      <c r="AP39" s="307" t="n"/>
      <c r="AQ39" s="307" t="n"/>
      <c r="AR39" s="307" t="n"/>
      <c r="AS39" s="307" t="n"/>
      <c r="AT39" s="307" t="n"/>
      <c r="AU39" s="307" t="n"/>
      <c r="AV39" s="307" t="n"/>
      <c r="AW39" s="307" t="n"/>
      <c r="AX39" s="307" t="n"/>
      <c r="AY39" s="307" t="n"/>
      <c r="AZ39" s="307" t="n"/>
      <c r="BA39" s="307" t="n"/>
      <c r="BB39" s="307" t="n"/>
      <c r="BC39" s="307" t="n"/>
      <c r="BD39" s="217" t="n"/>
      <c r="BE39" s="217" t="n"/>
      <c r="BF39" s="307" t="n"/>
      <c r="BG39" s="31" t="n"/>
      <c r="BH39" s="31" t="n"/>
      <c r="BI39" s="31" t="n"/>
      <c r="BJ39" s="31" t="n"/>
    </row>
    <row r="40" ht="15.75" customHeight="1" s="349">
      <c r="A40" s="307" t="n"/>
      <c r="B40" s="307" t="n"/>
      <c r="C40" s="307" t="n"/>
      <c r="D40" s="307" t="n"/>
      <c r="E40" s="307" t="n"/>
      <c r="F40" s="307" t="n"/>
      <c r="G40" s="307" t="n"/>
      <c r="H40" s="307" t="n"/>
      <c r="I40" s="307" t="n"/>
      <c r="J40" s="307" t="n"/>
      <c r="K40" s="307" t="n"/>
      <c r="L40" s="307" t="n"/>
      <c r="M40" s="307" t="n"/>
      <c r="N40" s="307" t="n"/>
      <c r="O40" s="307" t="n"/>
      <c r="P40" s="307" t="n"/>
      <c r="Q40" s="307" t="n"/>
      <c r="R40" s="307" t="n"/>
      <c r="S40" s="307" t="n"/>
      <c r="T40" s="307" t="n"/>
      <c r="U40" s="307" t="n"/>
      <c r="V40" s="307" t="n"/>
      <c r="W40" s="307" t="n"/>
      <c r="X40" s="307" t="n"/>
      <c r="Y40" s="307" t="n"/>
      <c r="Z40" s="307" t="n"/>
      <c r="AA40" s="307" t="n"/>
      <c r="AB40" s="307" t="n"/>
      <c r="AC40" s="307" t="n"/>
      <c r="AD40" s="307" t="n"/>
      <c r="AE40" s="307" t="n"/>
      <c r="AF40" s="307" t="n"/>
      <c r="AG40" s="307" t="n"/>
      <c r="AH40" s="307" t="n"/>
      <c r="AI40" s="307" t="n"/>
      <c r="AJ40" s="307" t="n"/>
      <c r="AK40" s="307" t="n"/>
      <c r="AL40" s="307" t="n"/>
      <c r="AM40" s="307" t="n"/>
      <c r="AN40" s="307" t="n"/>
      <c r="AO40" s="307" t="n"/>
      <c r="AP40" s="307" t="n"/>
      <c r="AQ40" s="307" t="n"/>
      <c r="AR40" s="307" t="n"/>
      <c r="AS40" s="307" t="n"/>
      <c r="AT40" s="307" t="n"/>
      <c r="AU40" s="307" t="n"/>
      <c r="AV40" s="307" t="n"/>
      <c r="AW40" s="307" t="n"/>
      <c r="AX40" s="307" t="n"/>
      <c r="AY40" s="307" t="n"/>
      <c r="AZ40" s="307" t="n"/>
      <c r="BA40" s="307" t="n"/>
      <c r="BB40" s="307" t="n"/>
      <c r="BC40" s="307" t="n"/>
      <c r="BD40" s="307" t="n"/>
      <c r="BE40" s="307" t="n"/>
      <c r="BF40" s="307" t="n"/>
      <c r="BG40" s="31" t="n"/>
      <c r="BH40" s="31" t="n"/>
      <c r="BI40" s="31" t="n"/>
      <c r="BJ40" s="31" t="n"/>
    </row>
    <row r="41" ht="15.75" customHeight="1" s="349">
      <c r="A41" s="307" t="n"/>
      <c r="B41" s="307" t="n"/>
      <c r="C41" s="307" t="n"/>
      <c r="D41" s="307" t="n"/>
      <c r="E41" s="307" t="n"/>
      <c r="F41" s="307" t="n"/>
      <c r="G41" s="307" t="n"/>
      <c r="H41" s="307" t="n"/>
      <c r="I41" s="307" t="n"/>
      <c r="J41" s="307" t="n"/>
      <c r="K41" s="307" t="n"/>
      <c r="L41" s="307" t="n"/>
      <c r="M41" s="307" t="n"/>
      <c r="N41" s="307" t="n"/>
      <c r="O41" s="307" t="n"/>
      <c r="P41" s="307" t="n"/>
      <c r="Q41" s="307" t="n"/>
      <c r="R41" s="307" t="n"/>
      <c r="S41" s="307" t="n"/>
      <c r="T41" s="307" t="n"/>
      <c r="U41" s="307" t="n"/>
      <c r="V41" s="307" t="n"/>
      <c r="W41" s="307" t="n"/>
      <c r="X41" s="307" t="n"/>
      <c r="Y41" s="307" t="n"/>
      <c r="Z41" s="307" t="n"/>
      <c r="AA41" s="307" t="n"/>
      <c r="AB41" s="307" t="n"/>
      <c r="AC41" s="307" t="n"/>
      <c r="AD41" s="307" t="n"/>
      <c r="AE41" s="307" t="n"/>
      <c r="AF41" s="307" t="n"/>
      <c r="AG41" s="307" t="n"/>
      <c r="AH41" s="307" t="n"/>
      <c r="AI41" s="307" t="n"/>
      <c r="AJ41" s="307" t="n"/>
      <c r="AK41" s="307" t="n"/>
      <c r="AL41" s="307" t="n"/>
      <c r="AM41" s="307" t="n"/>
      <c r="AN41" s="307" t="n"/>
      <c r="AO41" s="307" t="n"/>
      <c r="AP41" s="307" t="n"/>
      <c r="AQ41" s="307" t="n"/>
      <c r="AR41" s="307" t="n"/>
      <c r="AS41" s="307" t="n"/>
      <c r="AT41" s="307" t="n"/>
      <c r="AU41" s="307" t="n"/>
      <c r="AV41" s="307" t="n"/>
      <c r="AW41" s="307" t="n"/>
      <c r="AX41" s="307" t="n"/>
      <c r="AY41" s="307" t="n"/>
      <c r="AZ41" s="307" t="n"/>
      <c r="BA41" s="307" t="n"/>
      <c r="BB41" s="307" t="n"/>
      <c r="BC41" s="307" t="n"/>
      <c r="BD41" s="307" t="n"/>
      <c r="BE41" s="307" t="n"/>
      <c r="BF41" s="307" t="n"/>
      <c r="BG41" s="31" t="n"/>
      <c r="BH41" s="31" t="n"/>
      <c r="BI41" s="31" t="n"/>
      <c r="BJ41" s="31" t="n"/>
    </row>
    <row r="42" ht="15.75" customHeight="1" s="349">
      <c r="A42" s="307" t="n"/>
      <c r="B42" s="307" t="n"/>
      <c r="C42" s="307" t="n"/>
      <c r="D42" s="307" t="n"/>
      <c r="E42" s="307" t="n"/>
      <c r="F42" s="307" t="n"/>
      <c r="G42" s="307" t="n"/>
      <c r="H42" s="307" t="n"/>
      <c r="I42" s="307" t="n"/>
      <c r="J42" s="307" t="n"/>
      <c r="K42" s="307" t="n"/>
      <c r="L42" s="307" t="n"/>
      <c r="M42" s="307" t="n"/>
      <c r="N42" s="307" t="n"/>
      <c r="O42" s="307" t="n"/>
      <c r="P42" s="307" t="n"/>
      <c r="Q42" s="307" t="n"/>
      <c r="R42" s="307" t="n"/>
      <c r="S42" s="307" t="n"/>
      <c r="T42" s="307" t="n"/>
      <c r="U42" s="307" t="n"/>
      <c r="V42" s="307" t="n"/>
      <c r="W42" s="307" t="n"/>
      <c r="X42" s="307" t="n"/>
      <c r="Y42" s="307" t="n"/>
      <c r="Z42" s="307" t="n"/>
      <c r="AA42" s="307" t="n"/>
      <c r="AB42" s="307" t="n"/>
      <c r="AC42" s="307" t="n"/>
      <c r="AD42" s="307" t="n"/>
      <c r="AE42" s="307" t="n"/>
      <c r="AF42" s="307" t="n"/>
      <c r="AG42" s="307" t="n"/>
      <c r="AH42" s="307" t="n"/>
      <c r="AI42" s="307" t="n"/>
      <c r="AJ42" s="307" t="n"/>
      <c r="AK42" s="307" t="n"/>
      <c r="AL42" s="307" t="n"/>
      <c r="AM42" s="307" t="n"/>
      <c r="AN42" s="307" t="n"/>
      <c r="AO42" s="307" t="n"/>
      <c r="AP42" s="307" t="n"/>
      <c r="AQ42" s="307" t="n"/>
      <c r="AR42" s="307" t="n"/>
      <c r="AS42" s="307" t="n"/>
      <c r="AT42" s="307" t="n"/>
      <c r="AU42" s="307" t="n"/>
      <c r="AV42" s="307" t="n"/>
      <c r="AW42" s="307" t="n"/>
      <c r="AX42" s="307" t="n"/>
      <c r="AY42" s="307" t="n"/>
      <c r="AZ42" s="307" t="n"/>
      <c r="BA42" s="307" t="n"/>
      <c r="BB42" s="307" t="n"/>
      <c r="BC42" s="307" t="n"/>
      <c r="BD42" s="307" t="n"/>
      <c r="BE42" s="307" t="n"/>
      <c r="BF42" s="307" t="n"/>
      <c r="BG42" s="31" t="n"/>
      <c r="BH42" s="31" t="n"/>
      <c r="BI42" s="31" t="n"/>
      <c r="BJ42" s="31" t="n"/>
    </row>
    <row r="43" ht="15.75" customHeight="1" s="349">
      <c r="A43" s="307" t="n"/>
      <c r="B43" s="307" t="n"/>
      <c r="C43" s="307" t="n"/>
      <c r="D43" s="307" t="n"/>
      <c r="E43" s="307" t="n"/>
      <c r="F43" s="307" t="n"/>
      <c r="G43" s="307" t="n"/>
      <c r="H43" s="307" t="n"/>
      <c r="I43" s="307" t="n"/>
      <c r="J43" s="307" t="n"/>
      <c r="K43" s="307" t="n"/>
      <c r="L43" s="307" t="n"/>
      <c r="M43" s="307" t="n"/>
      <c r="N43" s="307" t="n"/>
      <c r="O43" s="307" t="n"/>
      <c r="P43" s="307" t="n"/>
      <c r="Q43" s="307" t="n"/>
      <c r="R43" s="307" t="n"/>
      <c r="S43" s="307" t="n"/>
      <c r="T43" s="307" t="n"/>
      <c r="U43" s="307" t="n"/>
      <c r="V43" s="307" t="n"/>
      <c r="W43" s="307" t="n"/>
      <c r="X43" s="307" t="n"/>
      <c r="Y43" s="307" t="n"/>
      <c r="Z43" s="307" t="n"/>
      <c r="AA43" s="307" t="n"/>
      <c r="AB43" s="307" t="n"/>
      <c r="AC43" s="307" t="n"/>
      <c r="AD43" s="307" t="n"/>
      <c r="AE43" s="307" t="n"/>
      <c r="AF43" s="307" t="n"/>
      <c r="AG43" s="307" t="n"/>
      <c r="AH43" s="307" t="n"/>
      <c r="AI43" s="307" t="n"/>
      <c r="AJ43" s="307" t="n"/>
      <c r="AK43" s="307" t="n"/>
      <c r="AL43" s="307" t="n"/>
      <c r="AM43" s="307" t="n"/>
      <c r="AN43" s="307" t="n"/>
      <c r="AO43" s="307" t="n"/>
      <c r="AP43" s="307" t="n"/>
      <c r="AQ43" s="307" t="n"/>
      <c r="AR43" s="307" t="n"/>
      <c r="AS43" s="307" t="n"/>
      <c r="AT43" s="307" t="n"/>
      <c r="AU43" s="307" t="n"/>
      <c r="AV43" s="307" t="n"/>
      <c r="AW43" s="307" t="n"/>
      <c r="AX43" s="307" t="n"/>
      <c r="AY43" s="307" t="n"/>
      <c r="AZ43" s="307" t="n"/>
      <c r="BA43" s="307" t="n"/>
      <c r="BB43" s="307" t="n"/>
      <c r="BC43" s="307" t="n"/>
      <c r="BD43" s="307" t="n"/>
      <c r="BE43" s="307" t="n"/>
      <c r="BF43" s="307" t="n"/>
      <c r="BG43" s="31" t="n"/>
      <c r="BH43" s="31" t="n"/>
      <c r="BI43" s="31" t="n"/>
      <c r="BJ43" s="31" t="n"/>
    </row>
    <row r="44" ht="15.75" customHeight="1" s="349">
      <c r="A44" s="307" t="n"/>
      <c r="B44" s="307" t="n"/>
      <c r="C44" s="307" t="n"/>
      <c r="D44" s="307" t="n"/>
      <c r="E44" s="307" t="n"/>
      <c r="F44" s="307" t="n"/>
      <c r="G44" s="307" t="n"/>
      <c r="H44" s="307" t="n"/>
      <c r="I44" s="307" t="n"/>
      <c r="J44" s="307" t="n"/>
      <c r="K44" s="307" t="n"/>
      <c r="L44" s="307" t="n"/>
      <c r="M44" s="307" t="n"/>
      <c r="N44" s="307" t="n"/>
      <c r="O44" s="307" t="n"/>
      <c r="P44" s="307" t="n"/>
      <c r="Q44" s="307" t="n"/>
      <c r="R44" s="307" t="n"/>
      <c r="S44" s="307" t="n"/>
      <c r="T44" s="307" t="n"/>
      <c r="U44" s="307" t="n"/>
      <c r="V44" s="307" t="n"/>
      <c r="W44" s="307" t="n"/>
      <c r="X44" s="307" t="n"/>
      <c r="Y44" s="307" t="n"/>
      <c r="Z44" s="307" t="n"/>
      <c r="AA44" s="307" t="n"/>
      <c r="AB44" s="307" t="n"/>
      <c r="AC44" s="307" t="n"/>
      <c r="AD44" s="307" t="n"/>
      <c r="AE44" s="307" t="n"/>
      <c r="AF44" s="307" t="n"/>
      <c r="AG44" s="307" t="n"/>
      <c r="AH44" s="307" t="n"/>
      <c r="AI44" s="307" t="n"/>
      <c r="AJ44" s="307" t="n"/>
      <c r="AK44" s="307" t="n"/>
      <c r="AL44" s="307" t="n"/>
      <c r="AM44" s="307" t="n"/>
      <c r="AN44" s="307" t="n"/>
      <c r="AO44" s="307" t="n"/>
      <c r="AP44" s="307" t="n"/>
      <c r="AQ44" s="307" t="n"/>
      <c r="AR44" s="307" t="n"/>
      <c r="AS44" s="307" t="n"/>
      <c r="AT44" s="307" t="n"/>
      <c r="AU44" s="307" t="n"/>
      <c r="AV44" s="307" t="n"/>
      <c r="AW44" s="307" t="n"/>
      <c r="AX44" s="307" t="n"/>
      <c r="AY44" s="307" t="n"/>
      <c r="AZ44" s="307" t="n"/>
      <c r="BA44" s="307" t="n"/>
      <c r="BB44" s="307" t="n"/>
      <c r="BC44" s="307" t="n"/>
      <c r="BD44" s="307" t="n"/>
      <c r="BE44" s="307" t="n"/>
      <c r="BF44" s="307" t="n"/>
      <c r="BG44" s="31" t="n"/>
      <c r="BH44" s="31" t="n"/>
      <c r="BI44" s="31" t="n"/>
      <c r="BJ44" s="31" t="n"/>
    </row>
    <row r="45" ht="15.75" customHeight="1" s="349">
      <c r="A45" s="307" t="n"/>
      <c r="B45" s="307" t="n"/>
      <c r="C45" s="307" t="n"/>
      <c r="D45" s="307" t="n"/>
      <c r="E45" s="307" t="n"/>
      <c r="F45" s="307" t="n"/>
      <c r="G45" s="307" t="n"/>
      <c r="H45" s="307" t="n"/>
      <c r="I45" s="307" t="n"/>
      <c r="J45" s="307" t="n"/>
      <c r="K45" s="307" t="n"/>
      <c r="L45" s="307" t="n"/>
      <c r="M45" s="307" t="n"/>
      <c r="N45" s="307" t="n"/>
      <c r="O45" s="307" t="n"/>
      <c r="P45" s="307" t="n"/>
      <c r="Q45" s="307" t="n"/>
      <c r="R45" s="307" t="n"/>
      <c r="S45" s="307" t="n"/>
      <c r="T45" s="307" t="n"/>
      <c r="U45" s="307" t="n"/>
      <c r="V45" s="307" t="n"/>
      <c r="W45" s="307" t="n"/>
      <c r="X45" s="307" t="n"/>
      <c r="Y45" s="307" t="n"/>
      <c r="Z45" s="307" t="n"/>
      <c r="AA45" s="307" t="n"/>
      <c r="AB45" s="307" t="n"/>
      <c r="AC45" s="307" t="n"/>
      <c r="AD45" s="307" t="n"/>
      <c r="AE45" s="307" t="n"/>
      <c r="AF45" s="307" t="n"/>
      <c r="AG45" s="307" t="n"/>
      <c r="AH45" s="307" t="n"/>
      <c r="AI45" s="307" t="n"/>
      <c r="AJ45" s="307" t="n"/>
      <c r="AK45" s="307" t="n"/>
      <c r="AL45" s="307" t="n"/>
      <c r="AM45" s="307" t="n"/>
      <c r="AN45" s="307" t="n"/>
      <c r="AO45" s="307" t="n"/>
      <c r="AP45" s="307" t="n"/>
      <c r="AQ45" s="307" t="n"/>
      <c r="AR45" s="307" t="n"/>
      <c r="AS45" s="307" t="n"/>
      <c r="AT45" s="307" t="n"/>
      <c r="AU45" s="307" t="n"/>
      <c r="AV45" s="307" t="n"/>
      <c r="AW45" s="307" t="n"/>
      <c r="AX45" s="307" t="n"/>
      <c r="AY45" s="307" t="n"/>
      <c r="AZ45" s="307" t="n"/>
      <c r="BA45" s="307" t="n"/>
      <c r="BB45" s="307" t="n"/>
      <c r="BC45" s="307" t="n"/>
      <c r="BD45" s="307" t="n"/>
      <c r="BE45" s="307" t="n"/>
      <c r="BF45" s="307" t="n"/>
      <c r="BG45" s="31" t="n"/>
      <c r="BH45" s="31" t="n"/>
      <c r="BI45" s="31" t="n"/>
      <c r="BJ45" s="31" t="n"/>
    </row>
    <row r="46" ht="15.75" customHeight="1" s="349">
      <c r="A46" s="307" t="n"/>
      <c r="B46" s="307" t="n"/>
      <c r="C46" s="307" t="n"/>
      <c r="D46" s="307" t="n"/>
      <c r="E46" s="307" t="n"/>
      <c r="F46" s="307" t="n"/>
      <c r="G46" s="307" t="n"/>
      <c r="H46" s="307" t="n"/>
      <c r="I46" s="307" t="n"/>
      <c r="J46" s="307" t="n"/>
      <c r="K46" s="307" t="n"/>
      <c r="L46" s="307" t="n"/>
      <c r="M46" s="307" t="n"/>
      <c r="N46" s="307" t="n"/>
      <c r="O46" s="307" t="n"/>
      <c r="P46" s="307" t="n"/>
      <c r="Q46" s="307" t="n"/>
      <c r="R46" s="307" t="n"/>
      <c r="S46" s="307" t="n"/>
      <c r="T46" s="307" t="n"/>
      <c r="U46" s="307" t="n"/>
      <c r="V46" s="307" t="n"/>
      <c r="W46" s="307" t="n"/>
      <c r="X46" s="307" t="n"/>
      <c r="Y46" s="307" t="n"/>
      <c r="Z46" s="307" t="n"/>
      <c r="AA46" s="307" t="n"/>
      <c r="AB46" s="307" t="n"/>
      <c r="AC46" s="307" t="n"/>
      <c r="AD46" s="307" t="n"/>
      <c r="AE46" s="307" t="n"/>
      <c r="AF46" s="307" t="n"/>
      <c r="AG46" s="307" t="n"/>
      <c r="AH46" s="307" t="n"/>
      <c r="AI46" s="307" t="n"/>
      <c r="AJ46" s="307" t="n"/>
      <c r="AK46" s="307" t="n"/>
      <c r="AL46" s="307" t="n"/>
      <c r="AM46" s="307" t="n"/>
      <c r="AN46" s="307" t="n"/>
      <c r="AO46" s="307" t="n"/>
      <c r="AP46" s="307" t="n"/>
      <c r="AQ46" s="307" t="n"/>
      <c r="AR46" s="307" t="n"/>
      <c r="AS46" s="307" t="n"/>
      <c r="AT46" s="307" t="n"/>
      <c r="AU46" s="307" t="n"/>
      <c r="AV46" s="307" t="n"/>
      <c r="AW46" s="307" t="n"/>
      <c r="AX46" s="307" t="n"/>
      <c r="AY46" s="307" t="n"/>
      <c r="AZ46" s="307" t="n"/>
      <c r="BA46" s="307" t="n"/>
      <c r="BB46" s="307" t="n"/>
      <c r="BC46" s="307" t="n"/>
      <c r="BD46" s="307" t="n"/>
      <c r="BE46" s="307" t="n"/>
      <c r="BF46" s="307" t="n"/>
      <c r="BG46" s="31" t="n"/>
      <c r="BH46" s="31" t="n"/>
      <c r="BI46" s="31" t="n"/>
      <c r="BJ46" s="31" t="n"/>
    </row>
    <row r="47" ht="15.75" customHeight="1" s="349">
      <c r="A47" s="307" t="n"/>
      <c r="B47" s="307" t="n"/>
      <c r="C47" s="307" t="n"/>
      <c r="D47" s="307" t="n"/>
      <c r="E47" s="307" t="n"/>
      <c r="F47" s="307" t="n"/>
      <c r="G47" s="307" t="n"/>
      <c r="H47" s="307" t="n"/>
      <c r="I47" s="307" t="n"/>
      <c r="J47" s="307" t="n"/>
      <c r="K47" s="307" t="n"/>
      <c r="L47" s="307" t="n"/>
      <c r="M47" s="307" t="n"/>
      <c r="N47" s="307" t="n"/>
      <c r="O47" s="307" t="n"/>
      <c r="P47" s="307" t="n"/>
      <c r="Q47" s="307" t="n"/>
      <c r="R47" s="307" t="n"/>
      <c r="S47" s="307" t="n"/>
      <c r="T47" s="307" t="n"/>
      <c r="U47" s="307" t="n"/>
      <c r="V47" s="307" t="n"/>
      <c r="W47" s="307" t="n"/>
      <c r="X47" s="307" t="n"/>
      <c r="Y47" s="307" t="n"/>
      <c r="Z47" s="307" t="n"/>
      <c r="AA47" s="307" t="n"/>
      <c r="AB47" s="307" t="n"/>
      <c r="AC47" s="307" t="n"/>
      <c r="AD47" s="307" t="n"/>
      <c r="AE47" s="307" t="n"/>
      <c r="AF47" s="307" t="n"/>
      <c r="AG47" s="307" t="n"/>
      <c r="AH47" s="307" t="n"/>
      <c r="AI47" s="307" t="n"/>
      <c r="AJ47" s="307" t="n"/>
      <c r="AK47" s="307" t="n"/>
      <c r="AL47" s="307" t="n"/>
      <c r="AM47" s="307" t="n"/>
      <c r="AN47" s="307" t="n"/>
      <c r="AO47" s="307" t="n"/>
      <c r="AP47" s="307" t="n"/>
      <c r="AQ47" s="307" t="n"/>
      <c r="AR47" s="307" t="n"/>
      <c r="AS47" s="307" t="n"/>
      <c r="AT47" s="307" t="n"/>
      <c r="AU47" s="307" t="n"/>
      <c r="AV47" s="307" t="n"/>
      <c r="AW47" s="307" t="n"/>
      <c r="AX47" s="307" t="n"/>
      <c r="AY47" s="307" t="n"/>
      <c r="AZ47" s="307" t="n"/>
      <c r="BA47" s="307" t="n"/>
      <c r="BB47" s="307" t="n"/>
      <c r="BC47" s="307" t="n"/>
      <c r="BD47" s="307" t="n"/>
      <c r="BE47" s="307" t="n"/>
      <c r="BF47" s="307" t="n"/>
      <c r="BG47" s="31" t="n"/>
      <c r="BH47" s="31" t="n"/>
      <c r="BI47" s="31" t="n"/>
      <c r="BJ47" s="31" t="n"/>
    </row>
    <row r="48" ht="15.75" customHeight="1" s="349">
      <c r="A48" s="307" t="n"/>
      <c r="B48" s="307" t="n"/>
      <c r="C48" s="307" t="n"/>
      <c r="D48" s="307" t="n"/>
      <c r="E48" s="307" t="n"/>
      <c r="F48" s="307" t="n"/>
      <c r="G48" s="307" t="n"/>
      <c r="H48" s="307" t="n"/>
      <c r="I48" s="307" t="n"/>
      <c r="J48" s="307" t="n"/>
      <c r="K48" s="307" t="n"/>
      <c r="L48" s="307" t="n"/>
      <c r="M48" s="307" t="n"/>
      <c r="N48" s="307" t="n"/>
      <c r="O48" s="307" t="n"/>
      <c r="P48" s="307" t="n"/>
      <c r="Q48" s="307" t="n"/>
      <c r="R48" s="307" t="n"/>
      <c r="S48" s="307" t="n"/>
      <c r="T48" s="307" t="n"/>
      <c r="U48" s="307" t="n"/>
      <c r="V48" s="307" t="n"/>
      <c r="W48" s="307" t="n"/>
      <c r="X48" s="307" t="n"/>
      <c r="Y48" s="307" t="n"/>
      <c r="Z48" s="307" t="n"/>
      <c r="AA48" s="307" t="n"/>
      <c r="AB48" s="307" t="n"/>
      <c r="AC48" s="307" t="n"/>
      <c r="AD48" s="307" t="n"/>
      <c r="AE48" s="307" t="n"/>
      <c r="AF48" s="307" t="n"/>
      <c r="AG48" s="307" t="n"/>
      <c r="AH48" s="307" t="n"/>
      <c r="AI48" s="307" t="n"/>
      <c r="AJ48" s="307" t="n"/>
      <c r="AK48" s="307" t="n"/>
      <c r="AL48" s="307" t="n"/>
      <c r="AM48" s="307" t="n"/>
      <c r="AN48" s="307" t="n"/>
      <c r="AO48" s="307" t="n"/>
      <c r="AP48" s="307" t="n"/>
      <c r="AQ48" s="307" t="n"/>
      <c r="AR48" s="307" t="n"/>
      <c r="AS48" s="307" t="n"/>
      <c r="AT48" s="307" t="n"/>
      <c r="AU48" s="307" t="n"/>
      <c r="AV48" s="307" t="n"/>
      <c r="AW48" s="307" t="n"/>
      <c r="AX48" s="307" t="n"/>
      <c r="AY48" s="307" t="n"/>
      <c r="AZ48" s="307" t="n"/>
      <c r="BA48" s="307" t="n"/>
      <c r="BB48" s="307" t="n"/>
      <c r="BC48" s="307" t="n"/>
      <c r="BD48" s="307" t="n"/>
      <c r="BE48" s="307" t="n"/>
      <c r="BF48" s="307" t="n"/>
      <c r="BG48" s="31" t="n"/>
      <c r="BH48" s="31" t="n"/>
      <c r="BI48" s="31" t="n"/>
      <c r="BJ48" s="31" t="n"/>
    </row>
    <row r="49" ht="15.75" customHeight="1" s="349">
      <c r="A49" s="307" t="n"/>
      <c r="B49" s="307" t="n"/>
      <c r="C49" s="307" t="n"/>
      <c r="D49" s="307" t="n"/>
      <c r="E49" s="307" t="n"/>
      <c r="F49" s="307" t="n"/>
      <c r="G49" s="307" t="n"/>
      <c r="H49" s="307" t="n"/>
      <c r="I49" s="307" t="n"/>
      <c r="J49" s="307" t="n"/>
      <c r="K49" s="307" t="n"/>
      <c r="L49" s="307" t="n"/>
      <c r="M49" s="307" t="n"/>
      <c r="N49" s="307" t="n"/>
      <c r="O49" s="307" t="n"/>
      <c r="P49" s="307" t="n"/>
      <c r="Q49" s="307" t="n"/>
      <c r="R49" s="307" t="n"/>
      <c r="S49" s="307" t="n"/>
      <c r="T49" s="307" t="n"/>
      <c r="U49" s="307" t="n"/>
      <c r="V49" s="307" t="n"/>
      <c r="W49" s="307" t="n"/>
      <c r="X49" s="307" t="n"/>
      <c r="Y49" s="307" t="n"/>
      <c r="Z49" s="307" t="n"/>
      <c r="AA49" s="307" t="n"/>
      <c r="AB49" s="307" t="n"/>
      <c r="AC49" s="307" t="n"/>
      <c r="AD49" s="307" t="n"/>
      <c r="AE49" s="307" t="n"/>
      <c r="AF49" s="307" t="n"/>
      <c r="AG49" s="307" t="n"/>
      <c r="AH49" s="307" t="n"/>
      <c r="AI49" s="307" t="n"/>
      <c r="AJ49" s="307" t="n"/>
      <c r="AK49" s="307" t="n"/>
      <c r="AL49" s="307" t="n"/>
      <c r="AM49" s="307" t="n"/>
      <c r="AN49" s="307" t="n"/>
      <c r="AO49" s="307" t="n"/>
      <c r="AP49" s="307" t="n"/>
      <c r="AQ49" s="307" t="n"/>
      <c r="AR49" s="307" t="n"/>
      <c r="AS49" s="307" t="n"/>
      <c r="AT49" s="307" t="n"/>
      <c r="AU49" s="307" t="n"/>
      <c r="AV49" s="307" t="n"/>
      <c r="AW49" s="307" t="n"/>
      <c r="AX49" s="307" t="n"/>
      <c r="AY49" s="307" t="n"/>
      <c r="AZ49" s="307" t="n"/>
      <c r="BA49" s="307" t="n"/>
      <c r="BB49" s="307" t="n"/>
      <c r="BC49" s="307" t="n"/>
      <c r="BD49" s="307" t="n"/>
      <c r="BE49" s="307" t="n"/>
      <c r="BF49" s="307" t="n"/>
      <c r="BG49" s="31" t="n"/>
      <c r="BH49" s="31" t="n"/>
      <c r="BI49" s="31" t="n"/>
      <c r="BJ49" s="31" t="n"/>
    </row>
    <row r="50" ht="15.75" customHeight="1" s="349">
      <c r="A50" s="307" t="n"/>
      <c r="B50" s="307" t="n"/>
      <c r="C50" s="307" t="n"/>
      <c r="D50" s="307" t="n"/>
      <c r="E50" s="307" t="n"/>
      <c r="F50" s="307" t="n"/>
      <c r="G50" s="307" t="n"/>
      <c r="H50" s="307" t="n"/>
      <c r="I50" s="307" t="n"/>
      <c r="J50" s="307" t="n"/>
      <c r="K50" s="307" t="n"/>
      <c r="L50" s="307" t="n"/>
      <c r="M50" s="307" t="n"/>
      <c r="N50" s="307" t="n"/>
      <c r="O50" s="307" t="n"/>
      <c r="P50" s="307" t="n"/>
      <c r="Q50" s="307" t="n"/>
      <c r="R50" s="307" t="n"/>
      <c r="S50" s="307" t="n"/>
      <c r="T50" s="307" t="n"/>
      <c r="U50" s="307" t="n"/>
      <c r="V50" s="307" t="n"/>
      <c r="W50" s="307" t="n"/>
      <c r="X50" s="307" t="n"/>
      <c r="Y50" s="307" t="n"/>
      <c r="Z50" s="307" t="n"/>
      <c r="AA50" s="307" t="n"/>
      <c r="AB50" s="307" t="n"/>
      <c r="AC50" s="307" t="n"/>
      <c r="AD50" s="307" t="n"/>
      <c r="AE50" s="307" t="n"/>
      <c r="AF50" s="307" t="n"/>
      <c r="AG50" s="307" t="n"/>
      <c r="AH50" s="307" t="n"/>
      <c r="AI50" s="307" t="n"/>
      <c r="AJ50" s="307" t="n"/>
      <c r="AK50" s="307" t="n"/>
      <c r="AL50" s="307" t="n"/>
      <c r="AM50" s="307" t="n"/>
      <c r="AN50" s="307" t="n"/>
      <c r="AO50" s="307" t="n"/>
      <c r="AP50" s="307" t="n"/>
      <c r="AQ50" s="307" t="n"/>
      <c r="AR50" s="307" t="n"/>
      <c r="AS50" s="307" t="n"/>
      <c r="AT50" s="307" t="n"/>
      <c r="AU50" s="307" t="n"/>
      <c r="AV50" s="307" t="n"/>
      <c r="AW50" s="307" t="n"/>
      <c r="AX50" s="307" t="n"/>
      <c r="AY50" s="307" t="n"/>
      <c r="AZ50" s="307" t="n"/>
      <c r="BA50" s="307" t="n"/>
      <c r="BB50" s="307" t="n"/>
      <c r="BC50" s="307" t="n"/>
      <c r="BD50" s="307" t="n"/>
      <c r="BE50" s="307" t="n"/>
      <c r="BF50" s="307" t="n"/>
      <c r="BG50" s="31" t="n"/>
      <c r="BH50" s="31" t="n"/>
      <c r="BI50" s="31" t="n"/>
      <c r="BJ50" s="31" t="n"/>
    </row>
    <row r="51" ht="15.75" customHeight="1" s="349">
      <c r="A51" s="307" t="n"/>
      <c r="B51" s="307" t="n"/>
      <c r="C51" s="307" t="n"/>
      <c r="D51" s="307" t="n"/>
      <c r="E51" s="307" t="n"/>
      <c r="F51" s="307" t="n"/>
      <c r="G51" s="307" t="n"/>
      <c r="H51" s="307" t="n"/>
      <c r="I51" s="307" t="n"/>
      <c r="J51" s="307" t="n"/>
      <c r="K51" s="307" t="n"/>
      <c r="L51" s="307" t="n"/>
      <c r="M51" s="307" t="n"/>
      <c r="N51" s="307" t="n"/>
      <c r="O51" s="307" t="n"/>
      <c r="P51" s="307" t="n"/>
      <c r="Q51" s="307" t="n"/>
      <c r="R51" s="307" t="n"/>
      <c r="S51" s="307" t="n"/>
      <c r="T51" s="307" t="n"/>
      <c r="U51" s="307" t="n"/>
      <c r="V51" s="307" t="n"/>
      <c r="W51" s="307" t="n"/>
      <c r="X51" s="307" t="n"/>
      <c r="Y51" s="307" t="n"/>
      <c r="Z51" s="307" t="n"/>
      <c r="AA51" s="307" t="n"/>
      <c r="AB51" s="307" t="n"/>
      <c r="AC51" s="307" t="n"/>
      <c r="AD51" s="307" t="n"/>
      <c r="AE51" s="307" t="n"/>
      <c r="AF51" s="307" t="n"/>
      <c r="AG51" s="307" t="n"/>
      <c r="AH51" s="307" t="n"/>
      <c r="AI51" s="307" t="n"/>
      <c r="AJ51" s="307" t="n"/>
      <c r="AK51" s="307" t="n"/>
      <c r="AL51" s="307" t="n"/>
      <c r="AM51" s="307" t="n"/>
      <c r="AN51" s="307" t="n"/>
      <c r="AO51" s="307" t="n"/>
      <c r="AP51" s="307" t="n"/>
      <c r="AQ51" s="307" t="n"/>
      <c r="AR51" s="307" t="n"/>
      <c r="AS51" s="307" t="n"/>
      <c r="AT51" s="307" t="n"/>
      <c r="AU51" s="307" t="n"/>
      <c r="AV51" s="307" t="n"/>
      <c r="AW51" s="307" t="n"/>
      <c r="AX51" s="307" t="n"/>
      <c r="AY51" s="307" t="n"/>
      <c r="AZ51" s="307" t="n"/>
      <c r="BA51" s="307" t="n"/>
      <c r="BB51" s="307" t="n"/>
      <c r="BC51" s="307" t="n"/>
      <c r="BD51" s="307" t="n"/>
      <c r="BE51" s="307" t="n"/>
      <c r="BF51" s="307" t="n"/>
      <c r="BG51" s="31" t="n"/>
      <c r="BH51" s="31" t="n"/>
      <c r="BI51" s="31" t="n"/>
      <c r="BJ51" s="31" t="n"/>
    </row>
    <row r="52" ht="15.75" customHeight="1" s="349">
      <c r="A52" s="307" t="n"/>
      <c r="B52" s="307" t="n"/>
      <c r="C52" s="307" t="n"/>
      <c r="D52" s="307" t="n"/>
      <c r="E52" s="307" t="n"/>
      <c r="F52" s="307" t="n"/>
      <c r="G52" s="307" t="n"/>
      <c r="H52" s="307" t="n"/>
      <c r="I52" s="307" t="n"/>
      <c r="J52" s="307" t="n"/>
      <c r="K52" s="307" t="n"/>
      <c r="L52" s="307" t="n"/>
      <c r="M52" s="307" t="n"/>
      <c r="N52" s="307" t="n"/>
      <c r="O52" s="307" t="n"/>
      <c r="P52" s="307" t="n"/>
      <c r="Q52" s="307" t="n"/>
      <c r="R52" s="307" t="n"/>
      <c r="S52" s="307" t="n"/>
      <c r="T52" s="307" t="n"/>
      <c r="U52" s="307" t="n"/>
      <c r="V52" s="307" t="n"/>
      <c r="W52" s="307" t="n"/>
      <c r="X52" s="307" t="n"/>
      <c r="Y52" s="307" t="n"/>
      <c r="Z52" s="307" t="n"/>
      <c r="AA52" s="307" t="n"/>
      <c r="AB52" s="307" t="n"/>
      <c r="AC52" s="307" t="n"/>
      <c r="AD52" s="307" t="n"/>
      <c r="AE52" s="307" t="n"/>
      <c r="AF52" s="307" t="n"/>
      <c r="AG52" s="307" t="n"/>
      <c r="AH52" s="307" t="n"/>
      <c r="AI52" s="307" t="n"/>
      <c r="AJ52" s="307" t="n"/>
      <c r="AK52" s="307" t="n"/>
      <c r="AL52" s="307" t="n"/>
      <c r="AM52" s="307" t="n"/>
      <c r="AN52" s="307" t="n"/>
      <c r="AO52" s="307" t="n"/>
      <c r="AP52" s="307" t="n"/>
      <c r="AQ52" s="307" t="n"/>
      <c r="AR52" s="307" t="n"/>
      <c r="AS52" s="307" t="n"/>
      <c r="AT52" s="307" t="n"/>
      <c r="AU52" s="307" t="n"/>
      <c r="AV52" s="307" t="n"/>
      <c r="AW52" s="307" t="n"/>
      <c r="AX52" s="307" t="n"/>
      <c r="AY52" s="307" t="n"/>
      <c r="AZ52" s="307" t="n"/>
      <c r="BA52" s="307" t="n"/>
      <c r="BB52" s="307" t="n"/>
      <c r="BC52" s="307" t="n"/>
      <c r="BD52" s="307" t="n"/>
      <c r="BE52" s="307" t="n"/>
      <c r="BF52" s="307" t="n"/>
      <c r="BG52" s="31" t="n"/>
      <c r="BH52" s="31" t="n"/>
      <c r="BI52" s="31" t="n"/>
      <c r="BJ52" s="31" t="n"/>
    </row>
    <row r="53" ht="15.75" customHeight="1" s="349">
      <c r="A53" s="307" t="n"/>
      <c r="B53" s="307" t="n"/>
      <c r="C53" s="307" t="n"/>
      <c r="D53" s="307" t="n"/>
      <c r="E53" s="307" t="n"/>
      <c r="F53" s="307" t="n"/>
      <c r="G53" s="307" t="n"/>
      <c r="H53" s="307" t="n"/>
      <c r="I53" s="307" t="n"/>
      <c r="J53" s="307" t="n"/>
      <c r="K53" s="307" t="n"/>
      <c r="L53" s="307" t="n"/>
      <c r="M53" s="307" t="n"/>
      <c r="N53" s="307" t="n"/>
      <c r="O53" s="307" t="n"/>
      <c r="P53" s="307" t="n"/>
      <c r="Q53" s="307" t="n"/>
      <c r="R53" s="307" t="n"/>
      <c r="S53" s="307" t="n"/>
      <c r="T53" s="307" t="n"/>
      <c r="U53" s="307" t="n"/>
      <c r="V53" s="307" t="n"/>
      <c r="W53" s="307" t="n"/>
      <c r="X53" s="307" t="n"/>
      <c r="Y53" s="307" t="n"/>
      <c r="Z53" s="307" t="n"/>
      <c r="AA53" s="307" t="n"/>
      <c r="AB53" s="307" t="n"/>
      <c r="AC53" s="307" t="n"/>
      <c r="AD53" s="307" t="n"/>
      <c r="AE53" s="307" t="n"/>
      <c r="AF53" s="307" t="n"/>
      <c r="AG53" s="307" t="n"/>
      <c r="AH53" s="307" t="n"/>
      <c r="AI53" s="307" t="n"/>
      <c r="AJ53" s="307" t="n"/>
      <c r="AK53" s="307" t="n"/>
      <c r="AL53" s="307" t="n"/>
      <c r="AM53" s="307" t="n"/>
      <c r="AN53" s="307" t="n"/>
      <c r="AO53" s="307" t="n"/>
      <c r="AP53" s="307" t="n"/>
      <c r="AQ53" s="307" t="n"/>
      <c r="AR53" s="307" t="n"/>
      <c r="AS53" s="307" t="n"/>
      <c r="AT53" s="307" t="n"/>
      <c r="AU53" s="307" t="n"/>
      <c r="AV53" s="307" t="n"/>
      <c r="AW53" s="307" t="n"/>
      <c r="AX53" s="307" t="n"/>
      <c r="AY53" s="307" t="n"/>
      <c r="AZ53" s="307" t="n"/>
      <c r="BA53" s="307" t="n"/>
      <c r="BB53" s="307" t="n"/>
      <c r="BC53" s="307" t="n"/>
      <c r="BD53" s="307" t="n"/>
      <c r="BE53" s="307" t="n"/>
      <c r="BF53" s="307" t="n"/>
      <c r="BG53" s="31" t="n"/>
      <c r="BH53" s="31" t="n"/>
      <c r="BI53" s="31" t="n"/>
      <c r="BJ53" s="31" t="n"/>
    </row>
    <row r="54" ht="15.75" customHeight="1" s="349">
      <c r="A54" s="307" t="n"/>
      <c r="B54" s="307" t="n"/>
      <c r="C54" s="307" t="n"/>
      <c r="D54" s="307" t="n"/>
      <c r="E54" s="307" t="n"/>
      <c r="F54" s="307" t="n"/>
      <c r="G54" s="307" t="n"/>
      <c r="H54" s="307" t="n"/>
      <c r="I54" s="307" t="n"/>
      <c r="J54" s="307" t="n"/>
      <c r="K54" s="307" t="n"/>
      <c r="L54" s="307" t="n"/>
      <c r="M54" s="307" t="n"/>
      <c r="N54" s="307" t="n"/>
      <c r="O54" s="307" t="n"/>
      <c r="P54" s="307" t="n"/>
      <c r="Q54" s="307" t="n"/>
      <c r="R54" s="307" t="n"/>
      <c r="S54" s="307" t="n"/>
      <c r="T54" s="307" t="n"/>
      <c r="U54" s="307" t="n"/>
      <c r="V54" s="307" t="n"/>
      <c r="W54" s="307" t="n"/>
      <c r="X54" s="307" t="n"/>
      <c r="Y54" s="307" t="n"/>
      <c r="Z54" s="307" t="n"/>
      <c r="AA54" s="307" t="n"/>
      <c r="AB54" s="307" t="n"/>
      <c r="AC54" s="307" t="n"/>
      <c r="AD54" s="307" t="n"/>
      <c r="AE54" s="307" t="n"/>
      <c r="AF54" s="307" t="n"/>
      <c r="AG54" s="307" t="n"/>
      <c r="AH54" s="307" t="n"/>
      <c r="AI54" s="307" t="n"/>
      <c r="AJ54" s="307" t="n"/>
      <c r="AK54" s="307" t="n"/>
      <c r="AL54" s="307" t="n"/>
      <c r="AM54" s="307" t="n"/>
      <c r="AN54" s="307" t="n"/>
      <c r="AO54" s="307" t="n"/>
      <c r="AP54" s="307" t="n"/>
      <c r="AQ54" s="307" t="n"/>
      <c r="AR54" s="307" t="n"/>
      <c r="AS54" s="307" t="n"/>
      <c r="AT54" s="307" t="n"/>
      <c r="AU54" s="307" t="n"/>
      <c r="AV54" s="307" t="n"/>
      <c r="AW54" s="307" t="n"/>
      <c r="AX54" s="307" t="n"/>
      <c r="AY54" s="307" t="n"/>
      <c r="AZ54" s="307" t="n"/>
      <c r="BA54" s="307" t="n"/>
      <c r="BB54" s="307" t="n"/>
      <c r="BC54" s="307" t="n"/>
      <c r="BD54" s="307" t="n"/>
      <c r="BE54" s="307" t="n"/>
      <c r="BF54" s="307" t="n"/>
      <c r="BG54" s="31" t="n"/>
      <c r="BH54" s="31" t="n"/>
      <c r="BI54" s="31" t="n"/>
      <c r="BJ54" s="31" t="n"/>
    </row>
    <row r="55" ht="15.75" customHeight="1" s="349">
      <c r="A55" s="307" t="n"/>
      <c r="B55" s="307" t="n"/>
      <c r="C55" s="307" t="n"/>
      <c r="D55" s="307" t="n"/>
      <c r="E55" s="307" t="n"/>
      <c r="F55" s="307" t="n"/>
      <c r="G55" s="307" t="n"/>
      <c r="H55" s="307" t="n"/>
      <c r="I55" s="307" t="n"/>
      <c r="J55" s="307" t="n"/>
      <c r="K55" s="307" t="n"/>
      <c r="L55" s="307" t="n"/>
      <c r="M55" s="307" t="n"/>
      <c r="N55" s="307" t="n"/>
      <c r="O55" s="307" t="n"/>
      <c r="P55" s="307" t="n"/>
      <c r="Q55" s="307" t="n"/>
      <c r="R55" s="307" t="n"/>
      <c r="S55" s="307" t="n"/>
      <c r="T55" s="307" t="n"/>
      <c r="U55" s="307" t="n"/>
      <c r="V55" s="307" t="n"/>
      <c r="W55" s="307" t="n"/>
      <c r="X55" s="307" t="n"/>
      <c r="Y55" s="307" t="n"/>
      <c r="Z55" s="307" t="n"/>
      <c r="AA55" s="307" t="n"/>
      <c r="AB55" s="307" t="n"/>
      <c r="AC55" s="307" t="n"/>
      <c r="AD55" s="307" t="n"/>
      <c r="AE55" s="307" t="n"/>
      <c r="AF55" s="307" t="n"/>
      <c r="AG55" s="307" t="n"/>
      <c r="AH55" s="307" t="n"/>
      <c r="AI55" s="307" t="n"/>
      <c r="AJ55" s="307" t="n"/>
      <c r="AK55" s="307" t="n"/>
      <c r="AL55" s="307" t="n"/>
      <c r="AM55" s="307" t="n"/>
      <c r="AN55" s="307" t="n"/>
      <c r="AO55" s="307" t="n"/>
      <c r="AP55" s="307" t="n"/>
      <c r="AQ55" s="307" t="n"/>
      <c r="AR55" s="307" t="n"/>
      <c r="AS55" s="307" t="n"/>
      <c r="AT55" s="307" t="n"/>
      <c r="AU55" s="307" t="n"/>
      <c r="AV55" s="307" t="n"/>
      <c r="AW55" s="307" t="n"/>
      <c r="AX55" s="307" t="n"/>
      <c r="AY55" s="307" t="n"/>
      <c r="AZ55" s="307" t="n"/>
      <c r="BA55" s="307" t="n"/>
      <c r="BB55" s="307" t="n"/>
      <c r="BC55" s="307" t="n"/>
      <c r="BD55" s="307" t="n"/>
      <c r="BE55" s="307" t="n"/>
      <c r="BF55" s="307" t="n"/>
      <c r="BG55" s="31" t="n"/>
      <c r="BH55" s="31" t="n"/>
      <c r="BI55" s="31" t="n"/>
      <c r="BJ55" s="31" t="n"/>
    </row>
    <row r="56" ht="15.75" customHeight="1" s="349">
      <c r="A56" s="307" t="n"/>
      <c r="B56" s="307" t="n"/>
      <c r="C56" s="307" t="n"/>
      <c r="D56" s="307" t="n"/>
      <c r="E56" s="307" t="n"/>
      <c r="F56" s="307" t="n"/>
      <c r="G56" s="307" t="n"/>
      <c r="H56" s="307" t="n"/>
      <c r="I56" s="307" t="n"/>
      <c r="J56" s="307" t="n"/>
      <c r="K56" s="307" t="n"/>
      <c r="L56" s="307" t="n"/>
      <c r="M56" s="307" t="n"/>
      <c r="N56" s="307" t="n"/>
      <c r="O56" s="307" t="n"/>
      <c r="P56" s="307" t="n"/>
      <c r="Q56" s="307" t="n"/>
      <c r="R56" s="307" t="n"/>
      <c r="S56" s="307" t="n"/>
      <c r="T56" s="307" t="n"/>
      <c r="U56" s="307" t="n"/>
      <c r="V56" s="307" t="n"/>
      <c r="W56" s="307" t="n"/>
      <c r="X56" s="307" t="n"/>
      <c r="Y56" s="307" t="n"/>
      <c r="Z56" s="307" t="n"/>
      <c r="AA56" s="307" t="n"/>
      <c r="AB56" s="307" t="n"/>
      <c r="AC56" s="307" t="n"/>
      <c r="AD56" s="307" t="n"/>
      <c r="AE56" s="307" t="n"/>
      <c r="AF56" s="307" t="n"/>
      <c r="AG56" s="307" t="n"/>
      <c r="AH56" s="307" t="n"/>
      <c r="AI56" s="307" t="n"/>
      <c r="AJ56" s="307" t="n"/>
      <c r="AK56" s="307" t="n"/>
      <c r="AL56" s="307" t="n"/>
      <c r="AM56" s="307" t="n"/>
      <c r="AN56" s="307" t="n"/>
      <c r="AO56" s="307" t="n"/>
      <c r="AP56" s="307" t="n"/>
      <c r="AQ56" s="307" t="n"/>
      <c r="AR56" s="307" t="n"/>
      <c r="AS56" s="307" t="n"/>
      <c r="AT56" s="307" t="n"/>
      <c r="AU56" s="307" t="n"/>
      <c r="AV56" s="307" t="n"/>
      <c r="AW56" s="307" t="n"/>
      <c r="AX56" s="307" t="n"/>
      <c r="AY56" s="307" t="n"/>
      <c r="AZ56" s="307" t="n"/>
      <c r="BA56" s="307" t="n"/>
      <c r="BB56" s="307" t="n"/>
      <c r="BC56" s="307" t="n"/>
      <c r="BD56" s="307" t="n"/>
      <c r="BE56" s="307" t="n"/>
      <c r="BF56" s="307" t="n"/>
      <c r="BG56" s="31" t="n"/>
      <c r="BH56" s="31" t="n"/>
      <c r="BI56" s="31" t="n"/>
      <c r="BJ56" s="31" t="n"/>
    </row>
    <row r="57" ht="15.75" customHeight="1" s="349">
      <c r="A57" s="307" t="n"/>
      <c r="B57" s="307" t="n"/>
      <c r="C57" s="307" t="n"/>
      <c r="D57" s="307" t="n"/>
      <c r="E57" s="307" t="n"/>
      <c r="F57" s="307" t="n"/>
      <c r="G57" s="307" t="n"/>
      <c r="H57" s="307" t="n"/>
      <c r="I57" s="307" t="n"/>
      <c r="J57" s="307" t="n"/>
      <c r="K57" s="307" t="n"/>
      <c r="L57" s="307" t="n"/>
      <c r="M57" s="307" t="n"/>
      <c r="N57" s="307" t="n"/>
      <c r="O57" s="307" t="n"/>
      <c r="P57" s="307" t="n"/>
      <c r="Q57" s="307" t="n"/>
      <c r="R57" s="307" t="n"/>
      <c r="S57" s="307" t="n"/>
      <c r="T57" s="307" t="n"/>
      <c r="U57" s="307" t="n"/>
      <c r="V57" s="307" t="n"/>
      <c r="W57" s="307" t="n"/>
      <c r="X57" s="307" t="n"/>
      <c r="Y57" s="307" t="n"/>
      <c r="Z57" s="307" t="n"/>
      <c r="AA57" s="307" t="n"/>
      <c r="AB57" s="307" t="n"/>
      <c r="AC57" s="307" t="n"/>
      <c r="AD57" s="307" t="n"/>
      <c r="AE57" s="307" t="n"/>
      <c r="AF57" s="307" t="n"/>
      <c r="AG57" s="307" t="n"/>
      <c r="AH57" s="307" t="n"/>
      <c r="AI57" s="307" t="n"/>
      <c r="AJ57" s="307" t="n"/>
      <c r="AK57" s="307" t="n"/>
      <c r="AL57" s="307" t="n"/>
      <c r="AM57" s="307" t="n"/>
      <c r="AN57" s="307" t="n"/>
      <c r="AO57" s="307" t="n"/>
      <c r="AP57" s="307" t="n"/>
      <c r="AQ57" s="307" t="n"/>
      <c r="AR57" s="307" t="n"/>
      <c r="AS57" s="307" t="n"/>
      <c r="AT57" s="307" t="n"/>
      <c r="AU57" s="307" t="n"/>
      <c r="AV57" s="307" t="n"/>
      <c r="AW57" s="307" t="n"/>
      <c r="AX57" s="307" t="n"/>
      <c r="AY57" s="307" t="n"/>
      <c r="AZ57" s="307" t="n"/>
      <c r="BA57" s="307" t="n"/>
      <c r="BB57" s="307" t="n"/>
      <c r="BC57" s="307" t="n"/>
      <c r="BD57" s="307" t="n"/>
      <c r="BE57" s="307" t="n"/>
      <c r="BF57" s="307" t="n"/>
      <c r="BG57" s="31" t="n"/>
      <c r="BH57" s="31" t="n"/>
      <c r="BI57" s="31" t="n"/>
      <c r="BJ57" s="31" t="n"/>
    </row>
    <row r="58" ht="15.75" customHeight="1" s="349">
      <c r="A58" s="307" t="n"/>
      <c r="B58" s="307" t="n"/>
      <c r="C58" s="307" t="n"/>
      <c r="D58" s="307" t="n"/>
      <c r="E58" s="307" t="n"/>
      <c r="F58" s="307" t="n"/>
      <c r="G58" s="307" t="n"/>
      <c r="H58" s="307" t="n"/>
      <c r="I58" s="307" t="n"/>
      <c r="J58" s="307" t="n"/>
      <c r="K58" s="307" t="n"/>
      <c r="L58" s="307" t="n"/>
      <c r="M58" s="307" t="n"/>
      <c r="N58" s="307" t="n"/>
      <c r="O58" s="307" t="n"/>
      <c r="P58" s="307" t="n"/>
      <c r="Q58" s="307" t="n"/>
      <c r="R58" s="307" t="n"/>
      <c r="S58" s="307" t="n"/>
      <c r="T58" s="307" t="n"/>
      <c r="U58" s="307" t="n"/>
      <c r="V58" s="307" t="n"/>
      <c r="W58" s="307" t="n"/>
      <c r="X58" s="307" t="n"/>
      <c r="Y58" s="307" t="n"/>
      <c r="Z58" s="307" t="n"/>
      <c r="AA58" s="307" t="n"/>
      <c r="AB58" s="307" t="n"/>
      <c r="AC58" s="307" t="n"/>
      <c r="AD58" s="307" t="n"/>
      <c r="AE58" s="307" t="n"/>
      <c r="AF58" s="307" t="n"/>
      <c r="AG58" s="307" t="n"/>
      <c r="AH58" s="307" t="n"/>
      <c r="AI58" s="307" t="n"/>
      <c r="AJ58" s="307" t="n"/>
      <c r="AK58" s="307" t="n"/>
      <c r="AL58" s="307" t="n"/>
      <c r="AM58" s="307" t="n"/>
      <c r="AN58" s="307" t="n"/>
      <c r="AO58" s="307" t="n"/>
      <c r="AP58" s="307" t="n"/>
      <c r="AQ58" s="307" t="n"/>
      <c r="AR58" s="307" t="n"/>
      <c r="AS58" s="307" t="n"/>
      <c r="AT58" s="307" t="n"/>
      <c r="AU58" s="307" t="n"/>
      <c r="AV58" s="307" t="n"/>
      <c r="AW58" s="307" t="n"/>
      <c r="AX58" s="307" t="n"/>
      <c r="AY58" s="307" t="n"/>
      <c r="AZ58" s="307" t="n"/>
      <c r="BA58" s="307" t="n"/>
      <c r="BB58" s="307" t="n"/>
      <c r="BC58" s="307" t="n"/>
      <c r="BD58" s="307" t="n"/>
      <c r="BE58" s="307" t="n"/>
      <c r="BF58" s="307" t="n"/>
      <c r="BG58" s="31" t="n"/>
      <c r="BH58" s="31" t="n"/>
      <c r="BI58" s="31" t="n"/>
      <c r="BJ58" s="31" t="n"/>
    </row>
    <row r="59" ht="15.75" customHeight="1" s="349">
      <c r="A59" s="307" t="n"/>
      <c r="B59" s="307" t="n"/>
      <c r="C59" s="307" t="n"/>
      <c r="D59" s="307" t="n"/>
      <c r="E59" s="307" t="n"/>
      <c r="F59" s="307" t="n"/>
      <c r="G59" s="307" t="n"/>
      <c r="H59" s="307" t="n"/>
      <c r="I59" s="307" t="n"/>
      <c r="J59" s="307" t="n"/>
      <c r="K59" s="307" t="n"/>
      <c r="L59" s="307" t="n"/>
      <c r="M59" s="307" t="n"/>
      <c r="N59" s="307" t="n"/>
      <c r="O59" s="307" t="n"/>
      <c r="P59" s="307" t="n"/>
      <c r="Q59" s="307" t="n"/>
      <c r="R59" s="307" t="n"/>
      <c r="S59" s="307" t="n"/>
      <c r="T59" s="307" t="n"/>
      <c r="U59" s="307" t="n"/>
      <c r="V59" s="307" t="n"/>
      <c r="W59" s="307" t="n"/>
      <c r="X59" s="307" t="n"/>
      <c r="Y59" s="307" t="n"/>
      <c r="Z59" s="307" t="n"/>
      <c r="AA59" s="307" t="n"/>
      <c r="AB59" s="307" t="n"/>
      <c r="AC59" s="307" t="n"/>
      <c r="AD59" s="307" t="n"/>
      <c r="AE59" s="307" t="n"/>
      <c r="AF59" s="307" t="n"/>
      <c r="AG59" s="307" t="n"/>
      <c r="AH59" s="307" t="n"/>
      <c r="AI59" s="307" t="n"/>
      <c r="AJ59" s="307" t="n"/>
      <c r="AK59" s="307" t="n"/>
      <c r="AL59" s="307" t="n"/>
      <c r="AM59" s="307" t="n"/>
      <c r="AN59" s="307" t="n"/>
      <c r="AO59" s="307" t="n"/>
      <c r="AP59" s="307" t="n"/>
      <c r="AQ59" s="307" t="n"/>
      <c r="AR59" s="307" t="n"/>
      <c r="AS59" s="307" t="n"/>
      <c r="AT59" s="307" t="n"/>
      <c r="AU59" s="307" t="n"/>
      <c r="AV59" s="307" t="n"/>
      <c r="AW59" s="307" t="n"/>
      <c r="AX59" s="307" t="n"/>
      <c r="AY59" s="307" t="n"/>
      <c r="AZ59" s="307" t="n"/>
      <c r="BA59" s="307" t="n"/>
      <c r="BB59" s="307" t="n"/>
      <c r="BC59" s="307" t="n"/>
      <c r="BD59" s="307" t="n"/>
      <c r="BE59" s="307" t="n"/>
      <c r="BF59" s="307" t="n"/>
      <c r="BG59" s="31" t="n"/>
      <c r="BH59" s="31" t="n"/>
      <c r="BI59" s="31" t="n"/>
      <c r="BJ59" s="31" t="n"/>
    </row>
    <row r="60" ht="15.75" customHeight="1" s="349">
      <c r="A60" s="307" t="n"/>
      <c r="B60" s="307" t="n"/>
      <c r="C60" s="307" t="n"/>
      <c r="D60" s="307" t="n"/>
      <c r="E60" s="307" t="n"/>
      <c r="F60" s="307" t="n"/>
      <c r="G60" s="307" t="n"/>
      <c r="H60" s="307" t="n"/>
      <c r="I60" s="307" t="n"/>
      <c r="J60" s="307" t="n"/>
      <c r="K60" s="307" t="n"/>
      <c r="L60" s="307" t="n"/>
      <c r="M60" s="307" t="n"/>
      <c r="N60" s="307" t="n"/>
      <c r="O60" s="307" t="n"/>
      <c r="P60" s="307" t="n"/>
      <c r="Q60" s="307" t="n"/>
      <c r="R60" s="307" t="n"/>
      <c r="S60" s="307" t="n"/>
      <c r="T60" s="307" t="n"/>
      <c r="U60" s="307" t="n"/>
      <c r="V60" s="307" t="n"/>
      <c r="W60" s="307" t="n"/>
      <c r="X60" s="307" t="n"/>
      <c r="Y60" s="307" t="n"/>
      <c r="Z60" s="307" t="n"/>
      <c r="AA60" s="307" t="n"/>
      <c r="AB60" s="307" t="n"/>
      <c r="AC60" s="307" t="n"/>
      <c r="AD60" s="307" t="n"/>
      <c r="AE60" s="307" t="n"/>
      <c r="AF60" s="307" t="n"/>
      <c r="AG60" s="307" t="n"/>
      <c r="AH60" s="307" t="n"/>
      <c r="AI60" s="307" t="n"/>
      <c r="AJ60" s="307" t="n"/>
      <c r="AK60" s="307" t="n"/>
      <c r="AL60" s="307" t="n"/>
      <c r="AM60" s="307" t="n"/>
      <c r="AN60" s="307" t="n"/>
      <c r="AO60" s="307" t="n"/>
      <c r="AP60" s="307" t="n"/>
      <c r="AQ60" s="307" t="n"/>
      <c r="AR60" s="307" t="n"/>
      <c r="AS60" s="307" t="n"/>
      <c r="AT60" s="307" t="n"/>
      <c r="AU60" s="307" t="n"/>
      <c r="AV60" s="307" t="n"/>
      <c r="AW60" s="307" t="n"/>
      <c r="AX60" s="307" t="n"/>
      <c r="AY60" s="307" t="n"/>
      <c r="AZ60" s="307" t="n"/>
      <c r="BA60" s="307" t="n"/>
      <c r="BB60" s="307" t="n"/>
      <c r="BC60" s="307" t="n"/>
      <c r="BD60" s="307" t="n"/>
      <c r="BE60" s="307" t="n"/>
      <c r="BF60" s="307" t="n"/>
      <c r="BG60" s="31" t="n"/>
      <c r="BH60" s="31" t="n"/>
      <c r="BI60" s="31" t="n"/>
      <c r="BJ60" s="31" t="n"/>
    </row>
    <row r="61" ht="15.75" customHeight="1" s="349">
      <c r="A61" s="307" t="n"/>
      <c r="B61" s="307" t="n"/>
      <c r="C61" s="307" t="n"/>
      <c r="D61" s="307" t="n"/>
      <c r="E61" s="307" t="n"/>
      <c r="F61" s="307" t="n"/>
      <c r="G61" s="307" t="n"/>
      <c r="H61" s="307" t="n"/>
      <c r="I61" s="307" t="n"/>
      <c r="J61" s="307" t="n"/>
      <c r="K61" s="307" t="n"/>
      <c r="L61" s="307" t="n"/>
      <c r="M61" s="307" t="n"/>
      <c r="N61" s="307" t="n"/>
      <c r="O61" s="307" t="n"/>
      <c r="P61" s="307" t="n"/>
      <c r="Q61" s="307" t="n"/>
      <c r="R61" s="307" t="n"/>
      <c r="S61" s="307" t="n"/>
      <c r="T61" s="307" t="n"/>
      <c r="U61" s="307" t="n"/>
      <c r="V61" s="307" t="n"/>
      <c r="W61" s="307" t="n"/>
      <c r="X61" s="307" t="n"/>
      <c r="Y61" s="307" t="n"/>
      <c r="Z61" s="307" t="n"/>
      <c r="AA61" s="307" t="n"/>
      <c r="AB61" s="307" t="n"/>
      <c r="AC61" s="307" t="n"/>
      <c r="AD61" s="307" t="n"/>
      <c r="AE61" s="307" t="n"/>
      <c r="AF61" s="307" t="n"/>
      <c r="AG61" s="307" t="n"/>
      <c r="AH61" s="307" t="n"/>
      <c r="AI61" s="307" t="n"/>
      <c r="AJ61" s="307" t="n"/>
      <c r="AK61" s="307" t="n"/>
      <c r="AL61" s="307" t="n"/>
      <c r="AM61" s="307" t="n"/>
      <c r="AN61" s="307" t="n"/>
      <c r="AO61" s="307" t="n"/>
      <c r="AP61" s="307" t="n"/>
      <c r="AQ61" s="307" t="n"/>
      <c r="AR61" s="307" t="n"/>
      <c r="AS61" s="307" t="n"/>
      <c r="AT61" s="307" t="n"/>
      <c r="AU61" s="307" t="n"/>
      <c r="AV61" s="307" t="n"/>
      <c r="AW61" s="307" t="n"/>
      <c r="AX61" s="307" t="n"/>
      <c r="AY61" s="307" t="n"/>
      <c r="AZ61" s="307" t="n"/>
      <c r="BA61" s="307" t="n"/>
      <c r="BB61" s="307" t="n"/>
      <c r="BC61" s="307" t="n"/>
      <c r="BD61" s="307" t="n"/>
      <c r="BE61" s="307" t="n"/>
      <c r="BF61" s="307" t="n"/>
      <c r="BG61" s="31" t="n"/>
      <c r="BH61" s="31" t="n"/>
      <c r="BI61" s="31" t="n"/>
      <c r="BJ61" s="31" t="n"/>
    </row>
    <row r="62" ht="15.75" customHeight="1" s="349">
      <c r="A62" s="307" t="n"/>
      <c r="B62" s="307" t="n"/>
      <c r="C62" s="307" t="n"/>
      <c r="D62" s="307" t="n"/>
      <c r="E62" s="307" t="n"/>
      <c r="F62" s="307" t="n"/>
      <c r="G62" s="307" t="n"/>
      <c r="H62" s="307" t="n"/>
      <c r="I62" s="307" t="n"/>
      <c r="J62" s="307" t="n"/>
      <c r="K62" s="307" t="n"/>
      <c r="L62" s="307" t="n"/>
      <c r="M62" s="307" t="n"/>
      <c r="N62" s="307" t="n"/>
      <c r="O62" s="307" t="n"/>
      <c r="P62" s="307" t="n"/>
      <c r="Q62" s="307" t="n"/>
      <c r="R62" s="307" t="n"/>
      <c r="S62" s="307" t="n"/>
      <c r="T62" s="307" t="n"/>
      <c r="U62" s="307" t="n"/>
      <c r="V62" s="307" t="n"/>
      <c r="W62" s="307" t="n"/>
      <c r="X62" s="307" t="n"/>
      <c r="Y62" s="307" t="n"/>
      <c r="Z62" s="307" t="n"/>
      <c r="AA62" s="307" t="n"/>
      <c r="AB62" s="307" t="n"/>
      <c r="AC62" s="307" t="n"/>
      <c r="AD62" s="307" t="n"/>
      <c r="AE62" s="307" t="n"/>
      <c r="AF62" s="307" t="n"/>
      <c r="AG62" s="307" t="n"/>
      <c r="AH62" s="307" t="n"/>
      <c r="AI62" s="307" t="n"/>
      <c r="AJ62" s="307" t="n"/>
      <c r="AK62" s="307" t="n"/>
      <c r="AL62" s="307" t="n"/>
      <c r="AM62" s="307" t="n"/>
      <c r="AN62" s="307" t="n"/>
      <c r="AO62" s="307" t="n"/>
      <c r="AP62" s="307" t="n"/>
      <c r="AQ62" s="307" t="n"/>
      <c r="AR62" s="307" t="n"/>
      <c r="AS62" s="307" t="n"/>
      <c r="AT62" s="307" t="n"/>
      <c r="AU62" s="307" t="n"/>
      <c r="AV62" s="307" t="n"/>
      <c r="AW62" s="307" t="n"/>
      <c r="AX62" s="307" t="n"/>
      <c r="AY62" s="307" t="n"/>
      <c r="AZ62" s="307" t="n"/>
      <c r="BA62" s="307" t="n"/>
      <c r="BB62" s="307" t="n"/>
      <c r="BC62" s="307" t="n"/>
      <c r="BD62" s="307" t="n"/>
      <c r="BE62" s="307" t="n"/>
      <c r="BF62" s="307" t="n"/>
      <c r="BG62" s="31" t="n"/>
      <c r="BH62" s="31" t="n"/>
      <c r="BI62" s="31" t="n"/>
      <c r="BJ62" s="31" t="n"/>
    </row>
    <row r="63" ht="15.75" customHeight="1" s="349">
      <c r="A63" s="307" t="n"/>
      <c r="B63" s="307" t="n"/>
      <c r="C63" s="307" t="n"/>
      <c r="D63" s="307" t="n"/>
      <c r="E63" s="307" t="n"/>
      <c r="F63" s="307" t="n"/>
      <c r="G63" s="307" t="n"/>
      <c r="H63" s="307" t="n"/>
      <c r="I63" s="307" t="n"/>
      <c r="J63" s="307" t="n"/>
      <c r="K63" s="307" t="n"/>
      <c r="L63" s="307" t="n"/>
      <c r="M63" s="307" t="n"/>
      <c r="N63" s="307" t="n"/>
      <c r="O63" s="307" t="n"/>
      <c r="P63" s="307" t="n"/>
      <c r="Q63" s="307" t="n"/>
      <c r="R63" s="307" t="n"/>
      <c r="S63" s="307" t="n"/>
      <c r="T63" s="307" t="n"/>
      <c r="U63" s="307" t="n"/>
      <c r="V63" s="307" t="n"/>
      <c r="W63" s="307" t="n"/>
      <c r="X63" s="307" t="n"/>
      <c r="Y63" s="307" t="n"/>
      <c r="Z63" s="307" t="n"/>
      <c r="AA63" s="307" t="n"/>
      <c r="AB63" s="307" t="n"/>
      <c r="AC63" s="307" t="n"/>
      <c r="AD63" s="307" t="n"/>
      <c r="AE63" s="307" t="n"/>
      <c r="AF63" s="307" t="n"/>
      <c r="AG63" s="307" t="n"/>
      <c r="AH63" s="307" t="n"/>
      <c r="AI63" s="307" t="n"/>
      <c r="AJ63" s="307" t="n"/>
      <c r="AK63" s="307" t="n"/>
      <c r="AL63" s="307" t="n"/>
      <c r="AM63" s="307" t="n"/>
      <c r="AN63" s="307" t="n"/>
      <c r="AO63" s="307" t="n"/>
      <c r="AP63" s="307" t="n"/>
      <c r="AQ63" s="307" t="n"/>
      <c r="AR63" s="307" t="n"/>
      <c r="AS63" s="307" t="n"/>
      <c r="AT63" s="307" t="n"/>
      <c r="AU63" s="307" t="n"/>
      <c r="AV63" s="307" t="n"/>
      <c r="AW63" s="307" t="n"/>
      <c r="AX63" s="307" t="n"/>
      <c r="AY63" s="307" t="n"/>
      <c r="AZ63" s="307" t="n"/>
      <c r="BA63" s="307" t="n"/>
      <c r="BB63" s="307" t="n"/>
      <c r="BC63" s="307" t="n"/>
      <c r="BD63" s="307" t="n"/>
      <c r="BE63" s="307" t="n"/>
      <c r="BF63" s="307" t="n"/>
      <c r="BG63" s="31" t="n"/>
      <c r="BH63" s="31" t="n"/>
      <c r="BI63" s="31" t="n"/>
      <c r="BJ63" s="31" t="n"/>
    </row>
    <row r="64" ht="15.75" customHeight="1" s="349">
      <c r="A64" s="307" t="n"/>
      <c r="B64" s="307" t="n"/>
      <c r="C64" s="307" t="n"/>
      <c r="D64" s="307" t="n"/>
      <c r="E64" s="307" t="n"/>
      <c r="F64" s="307" t="n"/>
      <c r="G64" s="307" t="n"/>
      <c r="H64" s="307" t="n"/>
      <c r="I64" s="307" t="n"/>
      <c r="J64" s="307" t="n"/>
      <c r="K64" s="307" t="n"/>
      <c r="L64" s="307" t="n"/>
      <c r="M64" s="307" t="n"/>
      <c r="N64" s="307" t="n"/>
      <c r="O64" s="307" t="n"/>
      <c r="P64" s="307" t="n"/>
      <c r="Q64" s="307" t="n"/>
      <c r="R64" s="307" t="n"/>
      <c r="S64" s="307" t="n"/>
      <c r="T64" s="307" t="n"/>
      <c r="U64" s="307" t="n"/>
      <c r="V64" s="307" t="n"/>
      <c r="W64" s="307" t="n"/>
      <c r="X64" s="307" t="n"/>
      <c r="Y64" s="307" t="n"/>
      <c r="Z64" s="307" t="n"/>
      <c r="AA64" s="307" t="n"/>
      <c r="AB64" s="307" t="n"/>
      <c r="AC64" s="307" t="n"/>
      <c r="AD64" s="307" t="n"/>
      <c r="AE64" s="307" t="n"/>
      <c r="AF64" s="307" t="n"/>
      <c r="AG64" s="307" t="n"/>
      <c r="AH64" s="307" t="n"/>
      <c r="AI64" s="307" t="n"/>
      <c r="AJ64" s="307" t="n"/>
      <c r="AK64" s="307" t="n"/>
      <c r="AL64" s="307" t="n"/>
      <c r="AM64" s="307" t="n"/>
      <c r="AN64" s="307" t="n"/>
      <c r="AO64" s="307" t="n"/>
      <c r="AP64" s="307" t="n"/>
      <c r="AQ64" s="307" t="n"/>
      <c r="AR64" s="307" t="n"/>
      <c r="AS64" s="307" t="n"/>
      <c r="AT64" s="307" t="n"/>
      <c r="AU64" s="307" t="n"/>
      <c r="AV64" s="307" t="n"/>
      <c r="AW64" s="307" t="n"/>
      <c r="AX64" s="307" t="n"/>
      <c r="AY64" s="307" t="n"/>
      <c r="AZ64" s="307" t="n"/>
      <c r="BA64" s="307" t="n"/>
      <c r="BB64" s="307" t="n"/>
      <c r="BC64" s="307" t="n"/>
      <c r="BD64" s="307" t="n"/>
      <c r="BE64" s="307" t="n"/>
      <c r="BF64" s="307" t="n"/>
      <c r="BG64" s="31" t="n"/>
      <c r="BH64" s="31" t="n"/>
      <c r="BI64" s="31" t="n"/>
      <c r="BJ64" s="31" t="n"/>
    </row>
    <row r="65" ht="15.75" customHeight="1" s="349">
      <c r="A65" s="307" t="n"/>
      <c r="B65" s="307" t="n"/>
      <c r="C65" s="307" t="n"/>
      <c r="D65" s="307" t="n"/>
      <c r="E65" s="307" t="n"/>
      <c r="F65" s="307" t="n"/>
      <c r="G65" s="307" t="n"/>
      <c r="H65" s="307" t="n"/>
      <c r="I65" s="307" t="n"/>
      <c r="J65" s="307" t="n"/>
      <c r="K65" s="307" t="n"/>
      <c r="L65" s="307" t="n"/>
      <c r="M65" s="307" t="n"/>
      <c r="N65" s="307" t="n"/>
      <c r="O65" s="307" t="n"/>
      <c r="P65" s="307" t="n"/>
      <c r="Q65" s="307" t="n"/>
      <c r="R65" s="307" t="n"/>
      <c r="S65" s="307" t="n"/>
      <c r="T65" s="307" t="n"/>
      <c r="U65" s="307" t="n"/>
      <c r="V65" s="307" t="n"/>
      <c r="W65" s="307" t="n"/>
      <c r="X65" s="307" t="n"/>
      <c r="Y65" s="307" t="n"/>
      <c r="Z65" s="307" t="n"/>
      <c r="AA65" s="307" t="n"/>
      <c r="AB65" s="307" t="n"/>
      <c r="AC65" s="307" t="n"/>
      <c r="AD65" s="307" t="n"/>
      <c r="AE65" s="307" t="n"/>
      <c r="AF65" s="307" t="n"/>
      <c r="AG65" s="307" t="n"/>
      <c r="AH65" s="307" t="n"/>
      <c r="AI65" s="307" t="n"/>
      <c r="AJ65" s="307" t="n"/>
      <c r="AK65" s="307" t="n"/>
      <c r="AL65" s="307" t="n"/>
      <c r="AM65" s="307" t="n"/>
      <c r="AN65" s="307" t="n"/>
      <c r="AO65" s="307" t="n"/>
      <c r="AP65" s="307" t="n"/>
      <c r="AQ65" s="307" t="n"/>
      <c r="AR65" s="307" t="n"/>
      <c r="AS65" s="307" t="n"/>
      <c r="AT65" s="307" t="n"/>
      <c r="AU65" s="307" t="n"/>
      <c r="AV65" s="307" t="n"/>
      <c r="AW65" s="307" t="n"/>
      <c r="AX65" s="307" t="n"/>
      <c r="AY65" s="307" t="n"/>
      <c r="AZ65" s="307" t="n"/>
      <c r="BA65" s="307" t="n"/>
      <c r="BB65" s="307" t="n"/>
      <c r="BC65" s="307" t="n"/>
      <c r="BD65" s="307" t="n"/>
      <c r="BE65" s="307" t="n"/>
      <c r="BF65" s="307" t="n"/>
      <c r="BG65" s="31" t="n"/>
      <c r="BH65" s="31" t="n"/>
      <c r="BI65" s="31" t="n"/>
      <c r="BJ65" s="31" t="n"/>
    </row>
    <row r="66" ht="15.75" customHeight="1" s="349">
      <c r="A66" s="307" t="n"/>
      <c r="B66" s="307" t="n"/>
      <c r="C66" s="307" t="n"/>
      <c r="D66" s="307" t="n"/>
      <c r="E66" s="307" t="n"/>
      <c r="F66" s="307" t="n"/>
      <c r="G66" s="307" t="n"/>
      <c r="H66" s="307" t="n"/>
      <c r="I66" s="307" t="n"/>
      <c r="J66" s="307" t="n"/>
      <c r="K66" s="307" t="n"/>
      <c r="L66" s="307" t="n"/>
      <c r="M66" s="307" t="n"/>
      <c r="N66" s="307" t="n"/>
      <c r="O66" s="307" t="n"/>
      <c r="P66" s="307" t="n"/>
      <c r="Q66" s="307" t="n"/>
      <c r="R66" s="307" t="n"/>
      <c r="S66" s="307" t="n"/>
      <c r="T66" s="307" t="n"/>
      <c r="U66" s="307" t="n"/>
      <c r="V66" s="307" t="n"/>
      <c r="W66" s="307" t="n"/>
      <c r="X66" s="307" t="n"/>
      <c r="Y66" s="307" t="n"/>
      <c r="Z66" s="307" t="n"/>
      <c r="AA66" s="307" t="n"/>
      <c r="AB66" s="307" t="n"/>
      <c r="AC66" s="307" t="n"/>
      <c r="AD66" s="307" t="n"/>
      <c r="AE66" s="307" t="n"/>
      <c r="AF66" s="307" t="n"/>
      <c r="AG66" s="307" t="n"/>
      <c r="AH66" s="307" t="n"/>
      <c r="AI66" s="307" t="n"/>
      <c r="AJ66" s="307" t="n"/>
      <c r="AK66" s="307" t="n"/>
      <c r="AL66" s="307" t="n"/>
      <c r="AM66" s="307" t="n"/>
      <c r="AN66" s="307" t="n"/>
      <c r="AO66" s="307" t="n"/>
      <c r="AP66" s="307" t="n"/>
      <c r="AQ66" s="307" t="n"/>
      <c r="AR66" s="307" t="n"/>
      <c r="AS66" s="307" t="n"/>
      <c r="AT66" s="307" t="n"/>
      <c r="AU66" s="307" t="n"/>
      <c r="AV66" s="307" t="n"/>
      <c r="AW66" s="307" t="n"/>
      <c r="AX66" s="307" t="n"/>
      <c r="AY66" s="307" t="n"/>
      <c r="AZ66" s="307" t="n"/>
      <c r="BA66" s="307" t="n"/>
      <c r="BB66" s="307" t="n"/>
      <c r="BC66" s="307" t="n"/>
      <c r="BD66" s="307" t="n"/>
      <c r="BE66" s="307" t="n"/>
      <c r="BF66" s="307" t="n"/>
      <c r="BG66" s="31" t="n"/>
      <c r="BH66" s="31" t="n"/>
      <c r="BI66" s="31" t="n"/>
      <c r="BJ66" s="31" t="n"/>
    </row>
    <row r="67" ht="15.75" customHeight="1" s="349">
      <c r="A67" s="307" t="n"/>
      <c r="B67" s="307" t="n"/>
      <c r="C67" s="307" t="n"/>
      <c r="D67" s="307" t="n"/>
      <c r="E67" s="307" t="n"/>
      <c r="F67" s="307" t="n"/>
      <c r="G67" s="307" t="n"/>
      <c r="H67" s="307" t="n"/>
      <c r="I67" s="307" t="n"/>
      <c r="J67" s="307" t="n"/>
      <c r="K67" s="307" t="n"/>
      <c r="L67" s="307" t="n"/>
      <c r="M67" s="307" t="n"/>
      <c r="N67" s="307" t="n"/>
      <c r="O67" s="307" t="n"/>
      <c r="P67" s="307" t="n"/>
      <c r="Q67" s="307" t="n"/>
      <c r="R67" s="307" t="n"/>
      <c r="S67" s="307" t="n"/>
      <c r="T67" s="307" t="n"/>
      <c r="U67" s="307" t="n"/>
      <c r="V67" s="307" t="n"/>
      <c r="W67" s="307" t="n"/>
      <c r="X67" s="307" t="n"/>
      <c r="Y67" s="307" t="n"/>
      <c r="Z67" s="307" t="n"/>
      <c r="AA67" s="307" t="n"/>
      <c r="AB67" s="307" t="n"/>
      <c r="AC67" s="307" t="n"/>
      <c r="AD67" s="307" t="n"/>
      <c r="AE67" s="307" t="n"/>
      <c r="AF67" s="307" t="n"/>
      <c r="AG67" s="307" t="n"/>
      <c r="AH67" s="307" t="n"/>
      <c r="AI67" s="307" t="n"/>
      <c r="AJ67" s="307" t="n"/>
      <c r="AK67" s="307" t="n"/>
      <c r="AL67" s="307" t="n"/>
      <c r="AM67" s="307" t="n"/>
      <c r="AN67" s="307" t="n"/>
      <c r="AO67" s="307" t="n"/>
      <c r="AP67" s="307" t="n"/>
      <c r="AQ67" s="307" t="n"/>
      <c r="AR67" s="307" t="n"/>
      <c r="AS67" s="307" t="n"/>
      <c r="AT67" s="307" t="n"/>
      <c r="AU67" s="307" t="n"/>
      <c r="AV67" s="307" t="n"/>
      <c r="AW67" s="307" t="n"/>
      <c r="AX67" s="307" t="n"/>
      <c r="AY67" s="307" t="n"/>
      <c r="AZ67" s="307" t="n"/>
      <c r="BA67" s="307" t="n"/>
      <c r="BB67" s="307" t="n"/>
      <c r="BC67" s="307" t="n"/>
      <c r="BD67" s="307" t="n"/>
      <c r="BE67" s="307" t="n"/>
      <c r="BF67" s="307" t="n"/>
      <c r="BG67" s="31" t="n"/>
      <c r="BH67" s="31" t="n"/>
      <c r="BI67" s="31" t="n"/>
      <c r="BJ67" s="31" t="n"/>
    </row>
    <row r="68" ht="15.75" customHeight="1" s="349">
      <c r="A68" s="307" t="n"/>
      <c r="B68" s="307" t="n"/>
      <c r="C68" s="307" t="n"/>
      <c r="D68" s="307" t="n"/>
      <c r="E68" s="307" t="n"/>
      <c r="F68" s="307" t="n"/>
      <c r="G68" s="307" t="n"/>
      <c r="H68" s="307" t="n"/>
      <c r="I68" s="307" t="n"/>
      <c r="J68" s="307" t="n"/>
      <c r="K68" s="307" t="n"/>
      <c r="L68" s="307" t="n"/>
      <c r="M68" s="307" t="n"/>
      <c r="N68" s="307" t="n"/>
      <c r="O68" s="307" t="n"/>
      <c r="P68" s="307" t="n"/>
      <c r="Q68" s="307" t="n"/>
      <c r="R68" s="307" t="n"/>
      <c r="S68" s="307" t="n"/>
      <c r="T68" s="307" t="n"/>
      <c r="U68" s="307" t="n"/>
      <c r="V68" s="307" t="n"/>
      <c r="W68" s="307" t="n"/>
      <c r="X68" s="307" t="n"/>
      <c r="Y68" s="307" t="n"/>
      <c r="Z68" s="307" t="n"/>
      <c r="AA68" s="307" t="n"/>
      <c r="AB68" s="307" t="n"/>
      <c r="AC68" s="307" t="n"/>
      <c r="AD68" s="307" t="n"/>
      <c r="AE68" s="307" t="n"/>
      <c r="AF68" s="307" t="n"/>
      <c r="AG68" s="307" t="n"/>
      <c r="AH68" s="307" t="n"/>
      <c r="AI68" s="307" t="n"/>
      <c r="AJ68" s="307" t="n"/>
      <c r="AK68" s="307" t="n"/>
      <c r="AL68" s="307" t="n"/>
      <c r="AM68" s="307" t="n"/>
      <c r="AN68" s="307" t="n"/>
      <c r="AO68" s="307" t="n"/>
      <c r="AP68" s="307" t="n"/>
      <c r="AQ68" s="307" t="n"/>
      <c r="AR68" s="307" t="n"/>
      <c r="AS68" s="307" t="n"/>
      <c r="AT68" s="307" t="n"/>
      <c r="AU68" s="307" t="n"/>
      <c r="AV68" s="307" t="n"/>
      <c r="AW68" s="307" t="n"/>
      <c r="AX68" s="307" t="n"/>
      <c r="AY68" s="307" t="n"/>
      <c r="AZ68" s="307" t="n"/>
      <c r="BA68" s="307" t="n"/>
      <c r="BB68" s="307" t="n"/>
      <c r="BC68" s="307" t="n"/>
      <c r="BD68" s="307" t="n"/>
      <c r="BE68" s="307" t="n"/>
      <c r="BF68" s="307" t="n"/>
      <c r="BG68" s="31" t="n"/>
      <c r="BH68" s="31" t="n"/>
      <c r="BI68" s="31" t="n"/>
      <c r="BJ68" s="31" t="n"/>
    </row>
    <row r="69" ht="15.75" customHeight="1" s="349">
      <c r="A69" s="307" t="n"/>
      <c r="B69" s="307" t="n"/>
      <c r="C69" s="307" t="n"/>
      <c r="D69" s="307" t="n"/>
      <c r="E69" s="307" t="n"/>
      <c r="F69" s="307" t="n"/>
      <c r="G69" s="307" t="n"/>
      <c r="H69" s="307" t="n"/>
      <c r="I69" s="307" t="n"/>
      <c r="J69" s="307" t="n"/>
      <c r="K69" s="307" t="n"/>
      <c r="L69" s="307" t="n"/>
      <c r="M69" s="307" t="n"/>
      <c r="N69" s="307" t="n"/>
      <c r="O69" s="307" t="n"/>
      <c r="P69" s="307" t="n"/>
      <c r="Q69" s="307" t="n"/>
      <c r="R69" s="307" t="n"/>
      <c r="S69" s="307" t="n"/>
      <c r="T69" s="307" t="n"/>
      <c r="U69" s="307" t="n"/>
      <c r="V69" s="307" t="n"/>
      <c r="W69" s="307" t="n"/>
      <c r="X69" s="307" t="n"/>
      <c r="Y69" s="307" t="n"/>
      <c r="Z69" s="307" t="n"/>
      <c r="AA69" s="307" t="n"/>
      <c r="AB69" s="307" t="n"/>
      <c r="AC69" s="307" t="n"/>
      <c r="AD69" s="307" t="n"/>
      <c r="AE69" s="307" t="n"/>
      <c r="AF69" s="307" t="n"/>
      <c r="AG69" s="307" t="n"/>
      <c r="AH69" s="307" t="n"/>
      <c r="AI69" s="307" t="n"/>
      <c r="AJ69" s="307" t="n"/>
      <c r="AK69" s="307" t="n"/>
      <c r="AL69" s="307" t="n"/>
      <c r="AM69" s="307" t="n"/>
      <c r="AN69" s="307" t="n"/>
      <c r="AO69" s="307" t="n"/>
      <c r="AP69" s="307" t="n"/>
      <c r="AQ69" s="307" t="n"/>
      <c r="AR69" s="307" t="n"/>
      <c r="AS69" s="307" t="n"/>
      <c r="AT69" s="307" t="n"/>
      <c r="AU69" s="307" t="n"/>
      <c r="AV69" s="307" t="n"/>
      <c r="AW69" s="307" t="n"/>
      <c r="AX69" s="307" t="n"/>
      <c r="AY69" s="307" t="n"/>
      <c r="AZ69" s="307" t="n"/>
      <c r="BA69" s="307" t="n"/>
      <c r="BB69" s="307" t="n"/>
      <c r="BC69" s="307" t="n"/>
      <c r="BD69" s="307" t="n"/>
      <c r="BE69" s="307" t="n"/>
      <c r="BF69" s="307" t="n"/>
      <c r="BG69" s="31" t="n"/>
      <c r="BH69" s="31" t="n"/>
      <c r="BI69" s="31" t="n"/>
      <c r="BJ69" s="31" t="n"/>
    </row>
    <row r="70" ht="15.75" customHeight="1" s="349">
      <c r="A70" s="307" t="n"/>
      <c r="B70" s="307" t="n"/>
      <c r="C70" s="307" t="n"/>
      <c r="D70" s="307" t="n"/>
      <c r="E70" s="307" t="n"/>
      <c r="F70" s="307" t="n"/>
      <c r="G70" s="307" t="n"/>
      <c r="H70" s="307" t="n"/>
      <c r="I70" s="307" t="n"/>
      <c r="J70" s="307" t="n"/>
      <c r="K70" s="307" t="n"/>
      <c r="L70" s="307" t="n"/>
      <c r="M70" s="307" t="n"/>
      <c r="N70" s="307" t="n"/>
      <c r="O70" s="307" t="n"/>
      <c r="P70" s="307" t="n"/>
      <c r="Q70" s="307" t="n"/>
      <c r="R70" s="307" t="n"/>
      <c r="S70" s="307" t="n"/>
      <c r="T70" s="307" t="n"/>
      <c r="U70" s="307" t="n"/>
      <c r="V70" s="307" t="n"/>
      <c r="W70" s="307" t="n"/>
      <c r="X70" s="307" t="n"/>
      <c r="Y70" s="307" t="n"/>
      <c r="Z70" s="307" t="n"/>
      <c r="AA70" s="307" t="n"/>
      <c r="AB70" s="307" t="n"/>
      <c r="AC70" s="307" t="n"/>
      <c r="AD70" s="307" t="n"/>
      <c r="AE70" s="307" t="n"/>
      <c r="AF70" s="307" t="n"/>
      <c r="AG70" s="307" t="n"/>
      <c r="AH70" s="307" t="n"/>
      <c r="AI70" s="307" t="n"/>
      <c r="AJ70" s="307" t="n"/>
      <c r="AK70" s="307" t="n"/>
      <c r="AL70" s="307" t="n"/>
      <c r="AM70" s="307" t="n"/>
      <c r="AN70" s="307" t="n"/>
      <c r="AO70" s="307" t="n"/>
      <c r="AP70" s="307" t="n"/>
      <c r="AQ70" s="307" t="n"/>
      <c r="AR70" s="307" t="n"/>
      <c r="AS70" s="307" t="n"/>
      <c r="AT70" s="307" t="n"/>
      <c r="AU70" s="307" t="n"/>
      <c r="AV70" s="307" t="n"/>
      <c r="AW70" s="307" t="n"/>
      <c r="AX70" s="307" t="n"/>
      <c r="AY70" s="307" t="n"/>
      <c r="AZ70" s="307" t="n"/>
      <c r="BA70" s="307" t="n"/>
      <c r="BB70" s="307" t="n"/>
      <c r="BC70" s="307" t="n"/>
      <c r="BD70" s="307" t="n"/>
      <c r="BE70" s="307" t="n"/>
      <c r="BF70" s="307" t="n"/>
      <c r="BG70" s="31" t="n"/>
      <c r="BH70" s="31" t="n"/>
      <c r="BI70" s="31" t="n"/>
      <c r="BJ70" s="31" t="n"/>
    </row>
    <row r="71" ht="15.75" customHeight="1" s="349">
      <c r="A71" s="307" t="n"/>
      <c r="B71" s="307" t="n"/>
      <c r="C71" s="307" t="n"/>
      <c r="D71" s="307" t="n"/>
      <c r="E71" s="307" t="n"/>
      <c r="F71" s="307" t="n"/>
      <c r="G71" s="307" t="n"/>
      <c r="H71" s="307" t="n"/>
      <c r="I71" s="307" t="n"/>
      <c r="J71" s="307" t="n"/>
      <c r="K71" s="307" t="n"/>
      <c r="L71" s="307" t="n"/>
      <c r="M71" s="307" t="n"/>
      <c r="N71" s="307" t="n"/>
      <c r="O71" s="307" t="n"/>
      <c r="P71" s="307" t="n"/>
      <c r="Q71" s="307" t="n"/>
      <c r="R71" s="307" t="n"/>
      <c r="S71" s="307" t="n"/>
      <c r="T71" s="307" t="n"/>
      <c r="U71" s="307" t="n"/>
      <c r="V71" s="307" t="n"/>
      <c r="W71" s="307" t="n"/>
      <c r="X71" s="307" t="n"/>
      <c r="Y71" s="307" t="n"/>
      <c r="Z71" s="307" t="n"/>
      <c r="AA71" s="307" t="n"/>
      <c r="AB71" s="307" t="n"/>
      <c r="AC71" s="307" t="n"/>
      <c r="AD71" s="307" t="n"/>
      <c r="AE71" s="307" t="n"/>
      <c r="AF71" s="307" t="n"/>
      <c r="AG71" s="307" t="n"/>
      <c r="AH71" s="307" t="n"/>
      <c r="AI71" s="307" t="n"/>
      <c r="AJ71" s="307" t="n"/>
      <c r="AK71" s="307" t="n"/>
      <c r="AL71" s="307" t="n"/>
      <c r="AM71" s="307" t="n"/>
      <c r="AN71" s="307" t="n"/>
      <c r="AO71" s="307" t="n"/>
      <c r="AP71" s="307" t="n"/>
      <c r="AQ71" s="307" t="n"/>
      <c r="AR71" s="307" t="n"/>
      <c r="AS71" s="307" t="n"/>
      <c r="AT71" s="307" t="n"/>
      <c r="AU71" s="307" t="n"/>
      <c r="AV71" s="307" t="n"/>
      <c r="AW71" s="307" t="n"/>
      <c r="AX71" s="307" t="n"/>
      <c r="AY71" s="307" t="n"/>
      <c r="AZ71" s="307" t="n"/>
      <c r="BA71" s="307" t="n"/>
      <c r="BB71" s="307" t="n"/>
      <c r="BC71" s="307" t="n"/>
      <c r="BD71" s="307" t="n"/>
      <c r="BE71" s="307" t="n"/>
      <c r="BF71" s="307" t="n"/>
      <c r="BG71" s="31" t="n"/>
      <c r="BH71" s="31" t="n"/>
      <c r="BI71" s="31" t="n"/>
      <c r="BJ71" s="31" t="n"/>
    </row>
    <row r="72" ht="15.75" customHeight="1" s="349">
      <c r="A72" s="307" t="n"/>
      <c r="B72" s="307" t="n"/>
      <c r="C72" s="307" t="n"/>
      <c r="D72" s="307" t="n"/>
      <c r="E72" s="307" t="n"/>
      <c r="F72" s="307" t="n"/>
      <c r="G72" s="307" t="n"/>
      <c r="H72" s="307" t="n"/>
      <c r="I72" s="307" t="n"/>
      <c r="J72" s="307" t="n"/>
      <c r="K72" s="307" t="n"/>
      <c r="L72" s="307" t="n"/>
      <c r="M72" s="307" t="n"/>
      <c r="N72" s="307" t="n"/>
      <c r="O72" s="307" t="n"/>
      <c r="P72" s="307" t="n"/>
      <c r="Q72" s="307" t="n"/>
      <c r="R72" s="307" t="n"/>
      <c r="S72" s="307" t="n"/>
      <c r="T72" s="307" t="n"/>
      <c r="U72" s="307" t="n"/>
      <c r="V72" s="307" t="n"/>
      <c r="W72" s="307" t="n"/>
      <c r="X72" s="307" t="n"/>
      <c r="Y72" s="307" t="n"/>
      <c r="Z72" s="307" t="n"/>
      <c r="AA72" s="307" t="n"/>
      <c r="AB72" s="307" t="n"/>
      <c r="AC72" s="307" t="n"/>
      <c r="AD72" s="307" t="n"/>
      <c r="AE72" s="307" t="n"/>
      <c r="AF72" s="307" t="n"/>
      <c r="AG72" s="307" t="n"/>
      <c r="AH72" s="307" t="n"/>
      <c r="AI72" s="307" t="n"/>
      <c r="AJ72" s="307" t="n"/>
      <c r="AK72" s="307" t="n"/>
      <c r="AL72" s="307" t="n"/>
      <c r="AM72" s="307" t="n"/>
      <c r="AN72" s="307" t="n"/>
      <c r="AO72" s="307" t="n"/>
      <c r="AP72" s="307" t="n"/>
      <c r="AQ72" s="307" t="n"/>
      <c r="AR72" s="307" t="n"/>
      <c r="AS72" s="307" t="n"/>
      <c r="AT72" s="307" t="n"/>
      <c r="AU72" s="307" t="n"/>
      <c r="AV72" s="307" t="n"/>
      <c r="AW72" s="307" t="n"/>
      <c r="AX72" s="307" t="n"/>
      <c r="AY72" s="307" t="n"/>
      <c r="AZ72" s="307" t="n"/>
      <c r="BA72" s="307" t="n"/>
      <c r="BB72" s="307" t="n"/>
      <c r="BC72" s="307" t="n"/>
      <c r="BD72" s="307" t="n"/>
      <c r="BE72" s="307" t="n"/>
      <c r="BF72" s="307" t="n"/>
      <c r="BG72" s="31" t="n"/>
      <c r="BH72" s="31" t="n"/>
      <c r="BI72" s="31" t="n"/>
      <c r="BJ72" s="31" t="n"/>
    </row>
    <row r="73" ht="15.75" customHeight="1" s="349">
      <c r="A73" s="307" t="n"/>
      <c r="B73" s="307" t="n"/>
      <c r="C73" s="307" t="n"/>
      <c r="D73" s="307" t="n"/>
      <c r="E73" s="307" t="n"/>
      <c r="F73" s="307" t="n"/>
      <c r="G73" s="307" t="n"/>
      <c r="H73" s="307" t="n"/>
      <c r="I73" s="307" t="n"/>
      <c r="J73" s="307" t="n"/>
      <c r="K73" s="307" t="n"/>
      <c r="L73" s="307" t="n"/>
      <c r="M73" s="307" t="n"/>
      <c r="N73" s="307" t="n"/>
      <c r="O73" s="307" t="n"/>
      <c r="P73" s="307" t="n"/>
      <c r="Q73" s="307" t="n"/>
      <c r="R73" s="307" t="n"/>
      <c r="S73" s="307" t="n"/>
      <c r="T73" s="307" t="n"/>
      <c r="U73" s="307" t="n"/>
      <c r="V73" s="307" t="n"/>
      <c r="W73" s="307" t="n"/>
      <c r="X73" s="307" t="n"/>
      <c r="Y73" s="307" t="n"/>
      <c r="Z73" s="307" t="n"/>
      <c r="AA73" s="307" t="n"/>
      <c r="AB73" s="307" t="n"/>
      <c r="AC73" s="307" t="n"/>
      <c r="AD73" s="307" t="n"/>
      <c r="AE73" s="307" t="n"/>
      <c r="AF73" s="307" t="n"/>
      <c r="AG73" s="307" t="n"/>
      <c r="AH73" s="307" t="n"/>
      <c r="AI73" s="307" t="n"/>
      <c r="AJ73" s="307" t="n"/>
      <c r="AK73" s="307" t="n"/>
      <c r="AL73" s="307" t="n"/>
      <c r="AM73" s="307" t="n"/>
      <c r="AN73" s="307" t="n"/>
      <c r="AO73" s="307" t="n"/>
      <c r="AP73" s="307" t="n"/>
      <c r="AQ73" s="307" t="n"/>
      <c r="AR73" s="307" t="n"/>
      <c r="AS73" s="307" t="n"/>
      <c r="AT73" s="307" t="n"/>
      <c r="AU73" s="307" t="n"/>
      <c r="AV73" s="307" t="n"/>
      <c r="AW73" s="307" t="n"/>
      <c r="AX73" s="307" t="n"/>
      <c r="AY73" s="307" t="n"/>
      <c r="AZ73" s="307" t="n"/>
      <c r="BA73" s="307" t="n"/>
      <c r="BB73" s="307" t="n"/>
      <c r="BC73" s="307" t="n"/>
      <c r="BD73" s="307" t="n"/>
      <c r="BE73" s="307" t="n"/>
      <c r="BF73" s="307" t="n"/>
      <c r="BG73" s="31" t="n"/>
      <c r="BH73" s="31" t="n"/>
      <c r="BI73" s="31" t="n"/>
      <c r="BJ73" s="31" t="n"/>
    </row>
    <row r="74" ht="15.75" customHeight="1" s="349">
      <c r="A74" s="307" t="n"/>
      <c r="B74" s="307" t="n"/>
      <c r="C74" s="307" t="n"/>
      <c r="D74" s="307" t="n"/>
      <c r="E74" s="307" t="n"/>
      <c r="F74" s="307" t="n"/>
      <c r="G74" s="307" t="n"/>
      <c r="H74" s="307" t="n"/>
      <c r="I74" s="307" t="n"/>
      <c r="J74" s="307" t="n"/>
      <c r="K74" s="307" t="n"/>
      <c r="L74" s="307" t="n"/>
      <c r="M74" s="307" t="n"/>
      <c r="N74" s="307" t="n"/>
      <c r="O74" s="307" t="n"/>
      <c r="P74" s="307" t="n"/>
      <c r="Q74" s="307" t="n"/>
      <c r="R74" s="307" t="n"/>
      <c r="S74" s="307" t="n"/>
      <c r="T74" s="307" t="n"/>
      <c r="U74" s="307" t="n"/>
      <c r="V74" s="307" t="n"/>
      <c r="W74" s="307" t="n"/>
      <c r="X74" s="307" t="n"/>
      <c r="Y74" s="307" t="n"/>
      <c r="Z74" s="307" t="n"/>
      <c r="AA74" s="307" t="n"/>
      <c r="AB74" s="307" t="n"/>
      <c r="AC74" s="307" t="n"/>
      <c r="AD74" s="307" t="n"/>
      <c r="AE74" s="307" t="n"/>
      <c r="AF74" s="307" t="n"/>
      <c r="AG74" s="307" t="n"/>
      <c r="AH74" s="307" t="n"/>
      <c r="AI74" s="307" t="n"/>
      <c r="AJ74" s="307" t="n"/>
      <c r="AK74" s="307" t="n"/>
      <c r="AL74" s="307" t="n"/>
      <c r="AM74" s="307" t="n"/>
      <c r="AN74" s="307" t="n"/>
      <c r="AO74" s="307" t="n"/>
      <c r="AP74" s="307" t="n"/>
      <c r="AQ74" s="307" t="n"/>
      <c r="AR74" s="307" t="n"/>
      <c r="AS74" s="307" t="n"/>
      <c r="AT74" s="307" t="n"/>
      <c r="AU74" s="307" t="n"/>
      <c r="AV74" s="307" t="n"/>
      <c r="AW74" s="307" t="n"/>
      <c r="AX74" s="307" t="n"/>
      <c r="AY74" s="307" t="n"/>
      <c r="AZ74" s="307" t="n"/>
      <c r="BA74" s="307" t="n"/>
      <c r="BB74" s="307" t="n"/>
      <c r="BC74" s="307" t="n"/>
      <c r="BD74" s="307" t="n"/>
      <c r="BE74" s="307" t="n"/>
      <c r="BF74" s="307" t="n"/>
      <c r="BG74" s="31" t="n"/>
      <c r="BH74" s="31" t="n"/>
      <c r="BI74" s="31" t="n"/>
      <c r="BJ74" s="31" t="n"/>
    </row>
    <row r="75" ht="15.75" customHeight="1" s="349">
      <c r="A75" s="307" t="n"/>
      <c r="B75" s="307" t="n"/>
      <c r="C75" s="307" t="n"/>
      <c r="D75" s="307" t="n"/>
      <c r="E75" s="307" t="n"/>
      <c r="F75" s="307" t="n"/>
      <c r="G75" s="307" t="n"/>
      <c r="H75" s="307" t="n"/>
      <c r="I75" s="307" t="n"/>
      <c r="J75" s="307" t="n"/>
      <c r="K75" s="307" t="n"/>
      <c r="L75" s="307" t="n"/>
      <c r="M75" s="307" t="n"/>
      <c r="N75" s="307" t="n"/>
      <c r="O75" s="307" t="n"/>
      <c r="P75" s="307" t="n"/>
      <c r="Q75" s="307" t="n"/>
      <c r="R75" s="307" t="n"/>
      <c r="S75" s="307" t="n"/>
      <c r="T75" s="307" t="n"/>
      <c r="U75" s="307" t="n"/>
      <c r="V75" s="307" t="n"/>
      <c r="W75" s="307" t="n"/>
      <c r="X75" s="307" t="n"/>
      <c r="Y75" s="307" t="n"/>
      <c r="Z75" s="307" t="n"/>
      <c r="AA75" s="307" t="n"/>
      <c r="AB75" s="307" t="n"/>
      <c r="AC75" s="307" t="n"/>
      <c r="AD75" s="307" t="n"/>
      <c r="AE75" s="307" t="n"/>
      <c r="AF75" s="307" t="n"/>
      <c r="AG75" s="307" t="n"/>
      <c r="AH75" s="307" t="n"/>
      <c r="AI75" s="307" t="n"/>
      <c r="AJ75" s="307" t="n"/>
      <c r="AK75" s="307" t="n"/>
      <c r="AL75" s="307" t="n"/>
      <c r="AM75" s="307" t="n"/>
      <c r="AN75" s="307" t="n"/>
      <c r="AO75" s="307" t="n"/>
      <c r="AP75" s="307" t="n"/>
      <c r="AQ75" s="307" t="n"/>
      <c r="AR75" s="307" t="n"/>
      <c r="AS75" s="307" t="n"/>
      <c r="AT75" s="307" t="n"/>
      <c r="AU75" s="307" t="n"/>
      <c r="AV75" s="307" t="n"/>
      <c r="AW75" s="307" t="n"/>
      <c r="AX75" s="307" t="n"/>
      <c r="AY75" s="307" t="n"/>
      <c r="AZ75" s="307" t="n"/>
      <c r="BA75" s="307" t="n"/>
      <c r="BB75" s="307" t="n"/>
      <c r="BC75" s="307" t="n"/>
      <c r="BD75" s="307" t="n"/>
      <c r="BE75" s="307" t="n"/>
      <c r="BF75" s="307" t="n"/>
      <c r="BG75" s="31" t="n"/>
      <c r="BH75" s="31" t="n"/>
      <c r="BI75" s="31" t="n"/>
      <c r="BJ75" s="31" t="n"/>
    </row>
    <row r="76" ht="15.75" customHeight="1" s="349">
      <c r="A76" s="307" t="n"/>
      <c r="B76" s="307" t="n"/>
      <c r="C76" s="307" t="n"/>
      <c r="D76" s="307" t="n"/>
      <c r="E76" s="307" t="n"/>
      <c r="F76" s="307" t="n"/>
      <c r="G76" s="307" t="n"/>
      <c r="H76" s="307" t="n"/>
      <c r="I76" s="307" t="n"/>
      <c r="J76" s="307" t="n"/>
      <c r="K76" s="307" t="n"/>
      <c r="L76" s="307" t="n"/>
      <c r="M76" s="307" t="n"/>
      <c r="N76" s="307" t="n"/>
      <c r="O76" s="307" t="n"/>
      <c r="P76" s="307" t="n"/>
      <c r="Q76" s="307" t="n"/>
      <c r="R76" s="307" t="n"/>
      <c r="S76" s="307" t="n"/>
      <c r="T76" s="307" t="n"/>
      <c r="U76" s="307" t="n"/>
      <c r="V76" s="307" t="n"/>
      <c r="W76" s="307" t="n"/>
      <c r="X76" s="307" t="n"/>
      <c r="Y76" s="307" t="n"/>
      <c r="Z76" s="307" t="n"/>
      <c r="AA76" s="307" t="n"/>
      <c r="AB76" s="307" t="n"/>
      <c r="AC76" s="307" t="n"/>
      <c r="AD76" s="307" t="n"/>
      <c r="AE76" s="307" t="n"/>
      <c r="AF76" s="307" t="n"/>
      <c r="AG76" s="307" t="n"/>
      <c r="AH76" s="307" t="n"/>
      <c r="AI76" s="307" t="n"/>
      <c r="AJ76" s="307" t="n"/>
      <c r="AK76" s="307" t="n"/>
      <c r="AL76" s="307" t="n"/>
      <c r="AM76" s="307" t="n"/>
      <c r="AN76" s="307" t="n"/>
      <c r="AO76" s="307" t="n"/>
      <c r="AP76" s="307" t="n"/>
      <c r="AQ76" s="307" t="n"/>
      <c r="AR76" s="307" t="n"/>
      <c r="AS76" s="307" t="n"/>
      <c r="AT76" s="307" t="n"/>
      <c r="AU76" s="307" t="n"/>
      <c r="AV76" s="307" t="n"/>
      <c r="AW76" s="307" t="n"/>
      <c r="AX76" s="307" t="n"/>
      <c r="AY76" s="307" t="n"/>
      <c r="AZ76" s="307" t="n"/>
      <c r="BA76" s="307" t="n"/>
      <c r="BB76" s="307" t="n"/>
      <c r="BC76" s="307" t="n"/>
      <c r="BD76" s="307" t="n"/>
      <c r="BE76" s="307" t="n"/>
      <c r="BF76" s="307" t="n"/>
      <c r="BG76" s="31" t="n"/>
      <c r="BH76" s="31" t="n"/>
      <c r="BI76" s="31" t="n"/>
      <c r="BJ76" s="31" t="n"/>
    </row>
    <row r="77" ht="15.75" customHeight="1" s="349">
      <c r="A77" s="307" t="n"/>
      <c r="B77" s="307" t="n"/>
      <c r="C77" s="307" t="n"/>
      <c r="D77" s="307" t="n"/>
      <c r="E77" s="307" t="n"/>
      <c r="F77" s="307" t="n"/>
      <c r="G77" s="307" t="n"/>
      <c r="H77" s="307" t="n"/>
      <c r="I77" s="307" t="n"/>
      <c r="J77" s="307" t="n"/>
      <c r="K77" s="307" t="n"/>
      <c r="L77" s="307" t="n"/>
      <c r="M77" s="307" t="n"/>
      <c r="N77" s="307" t="n"/>
      <c r="O77" s="307" t="n"/>
      <c r="P77" s="307" t="n"/>
      <c r="Q77" s="307" t="n"/>
      <c r="R77" s="307" t="n"/>
      <c r="S77" s="307" t="n"/>
      <c r="T77" s="307" t="n"/>
      <c r="U77" s="307" t="n"/>
      <c r="V77" s="307" t="n"/>
      <c r="W77" s="307" t="n"/>
      <c r="X77" s="307" t="n"/>
      <c r="Y77" s="307" t="n"/>
      <c r="Z77" s="307" t="n"/>
      <c r="AA77" s="307" t="n"/>
      <c r="AB77" s="307" t="n"/>
      <c r="AC77" s="307" t="n"/>
      <c r="AD77" s="307" t="n"/>
      <c r="AE77" s="307" t="n"/>
      <c r="AF77" s="307" t="n"/>
      <c r="AG77" s="307" t="n"/>
      <c r="AH77" s="307" t="n"/>
      <c r="AI77" s="307" t="n"/>
      <c r="AJ77" s="307" t="n"/>
      <c r="AK77" s="307" t="n"/>
      <c r="AL77" s="307" t="n"/>
      <c r="AM77" s="307" t="n"/>
      <c r="AN77" s="307" t="n"/>
      <c r="AO77" s="307" t="n"/>
      <c r="AP77" s="307" t="n"/>
      <c r="AQ77" s="307" t="n"/>
      <c r="AR77" s="307" t="n"/>
      <c r="AS77" s="307" t="n"/>
      <c r="AT77" s="307" t="n"/>
      <c r="AU77" s="307" t="n"/>
      <c r="AV77" s="307" t="n"/>
      <c r="AW77" s="307" t="n"/>
      <c r="AX77" s="307" t="n"/>
      <c r="AY77" s="307" t="n"/>
      <c r="AZ77" s="307" t="n"/>
      <c r="BA77" s="307" t="n"/>
      <c r="BB77" s="307" t="n"/>
      <c r="BC77" s="307" t="n"/>
      <c r="BD77" s="307" t="n"/>
      <c r="BE77" s="307" t="n"/>
      <c r="BF77" s="307" t="n"/>
      <c r="BG77" s="31" t="n"/>
      <c r="BH77" s="31" t="n"/>
      <c r="BI77" s="31" t="n"/>
      <c r="BJ77" s="31" t="n"/>
    </row>
    <row r="78" ht="15.75" customHeight="1" s="349">
      <c r="A78" s="307" t="n"/>
      <c r="B78" s="307" t="n"/>
      <c r="C78" s="307" t="n"/>
      <c r="D78" s="307" t="n"/>
      <c r="E78" s="307" t="n"/>
      <c r="F78" s="307" t="n"/>
      <c r="G78" s="307" t="n"/>
      <c r="H78" s="307" t="n"/>
      <c r="I78" s="307" t="n"/>
      <c r="J78" s="307" t="n"/>
      <c r="K78" s="307" t="n"/>
      <c r="L78" s="307" t="n"/>
      <c r="M78" s="307" t="n"/>
      <c r="N78" s="307" t="n"/>
      <c r="O78" s="307" t="n"/>
      <c r="P78" s="307" t="n"/>
      <c r="Q78" s="307" t="n"/>
      <c r="R78" s="307" t="n"/>
      <c r="S78" s="307" t="n"/>
      <c r="T78" s="307" t="n"/>
      <c r="U78" s="307" t="n"/>
      <c r="V78" s="307" t="n"/>
      <c r="W78" s="307" t="n"/>
      <c r="X78" s="307" t="n"/>
      <c r="Y78" s="307" t="n"/>
      <c r="Z78" s="307" t="n"/>
      <c r="AA78" s="307" t="n"/>
      <c r="AB78" s="307" t="n"/>
      <c r="AC78" s="307" t="n"/>
      <c r="AD78" s="307" t="n"/>
      <c r="AE78" s="307" t="n"/>
      <c r="AF78" s="307" t="n"/>
      <c r="AG78" s="307" t="n"/>
      <c r="AH78" s="307" t="n"/>
      <c r="AI78" s="307" t="n"/>
      <c r="AJ78" s="307" t="n"/>
      <c r="AK78" s="307" t="n"/>
      <c r="AL78" s="307" t="n"/>
      <c r="AM78" s="307" t="n"/>
      <c r="AN78" s="307" t="n"/>
      <c r="AO78" s="307" t="n"/>
      <c r="AP78" s="307" t="n"/>
      <c r="AQ78" s="307" t="n"/>
      <c r="AR78" s="307" t="n"/>
      <c r="AS78" s="307" t="n"/>
      <c r="AT78" s="307" t="n"/>
      <c r="AU78" s="307" t="n"/>
      <c r="AV78" s="307" t="n"/>
      <c r="AW78" s="307" t="n"/>
      <c r="AX78" s="307" t="n"/>
      <c r="AY78" s="307" t="n"/>
      <c r="AZ78" s="307" t="n"/>
      <c r="BA78" s="307" t="n"/>
      <c r="BB78" s="307" t="n"/>
      <c r="BC78" s="307" t="n"/>
      <c r="BD78" s="307" t="n"/>
      <c r="BE78" s="307" t="n"/>
      <c r="BF78" s="307" t="n"/>
      <c r="BG78" s="31" t="n"/>
      <c r="BH78" s="31" t="n"/>
      <c r="BI78" s="31" t="n"/>
      <c r="BJ78" s="31" t="n"/>
    </row>
    <row r="79" ht="15.75" customHeight="1" s="349">
      <c r="A79" s="307" t="n"/>
      <c r="B79" s="307" t="n"/>
      <c r="C79" s="307" t="n"/>
      <c r="D79" s="307" t="n"/>
      <c r="E79" s="307" t="n"/>
      <c r="F79" s="307" t="n"/>
      <c r="G79" s="307" t="n"/>
      <c r="H79" s="307" t="n"/>
      <c r="I79" s="307" t="n"/>
      <c r="J79" s="307" t="n"/>
      <c r="K79" s="307" t="n"/>
      <c r="L79" s="307" t="n"/>
      <c r="M79" s="307" t="n"/>
      <c r="N79" s="307" t="n"/>
      <c r="O79" s="307" t="n"/>
      <c r="P79" s="307" t="n"/>
      <c r="Q79" s="307" t="n"/>
      <c r="R79" s="307" t="n"/>
      <c r="S79" s="307" t="n"/>
      <c r="T79" s="307" t="n"/>
      <c r="U79" s="307" t="n"/>
      <c r="V79" s="307" t="n"/>
      <c r="W79" s="307" t="n"/>
      <c r="X79" s="307" t="n"/>
      <c r="Y79" s="307" t="n"/>
      <c r="Z79" s="307" t="n"/>
      <c r="AA79" s="307" t="n"/>
      <c r="AB79" s="307" t="n"/>
      <c r="AC79" s="307" t="n"/>
      <c r="AD79" s="307" t="n"/>
      <c r="AE79" s="307" t="n"/>
      <c r="AF79" s="307" t="n"/>
      <c r="AG79" s="307" t="n"/>
      <c r="AH79" s="307" t="n"/>
      <c r="AI79" s="307" t="n"/>
      <c r="AJ79" s="307" t="n"/>
      <c r="AK79" s="307" t="n"/>
      <c r="AL79" s="307" t="n"/>
      <c r="AM79" s="307" t="n"/>
      <c r="AN79" s="307" t="n"/>
      <c r="AO79" s="307" t="n"/>
      <c r="AP79" s="307" t="n"/>
      <c r="AQ79" s="307" t="n"/>
      <c r="AR79" s="307" t="n"/>
      <c r="AS79" s="307" t="n"/>
      <c r="AT79" s="307" t="n"/>
      <c r="AU79" s="307" t="n"/>
      <c r="AV79" s="307" t="n"/>
      <c r="AW79" s="307" t="n"/>
      <c r="AX79" s="307" t="n"/>
      <c r="AY79" s="307" t="n"/>
      <c r="AZ79" s="307" t="n"/>
      <c r="BA79" s="307" t="n"/>
      <c r="BB79" s="307" t="n"/>
      <c r="BC79" s="307" t="n"/>
      <c r="BD79" s="307" t="n"/>
      <c r="BE79" s="307" t="n"/>
      <c r="BF79" s="307" t="n"/>
      <c r="BG79" s="31" t="n"/>
      <c r="BH79" s="31" t="n"/>
      <c r="BI79" s="31" t="n"/>
      <c r="BJ79" s="31" t="n"/>
    </row>
    <row r="80" ht="15.75" customHeight="1" s="349">
      <c r="A80" s="307" t="n"/>
      <c r="B80" s="307" t="n"/>
      <c r="C80" s="307" t="n"/>
      <c r="D80" s="307" t="n"/>
      <c r="E80" s="307" t="n"/>
      <c r="F80" s="307" t="n"/>
      <c r="G80" s="307" t="n"/>
      <c r="H80" s="307" t="n"/>
      <c r="I80" s="307" t="n"/>
      <c r="J80" s="307" t="n"/>
      <c r="K80" s="307" t="n"/>
      <c r="L80" s="307" t="n"/>
      <c r="M80" s="307" t="n"/>
      <c r="N80" s="307" t="n"/>
      <c r="O80" s="307" t="n"/>
      <c r="P80" s="307" t="n"/>
      <c r="Q80" s="307" t="n"/>
      <c r="R80" s="307" t="n"/>
      <c r="S80" s="307" t="n"/>
      <c r="T80" s="307" t="n"/>
      <c r="U80" s="307" t="n"/>
      <c r="V80" s="307" t="n"/>
      <c r="W80" s="307" t="n"/>
      <c r="X80" s="307" t="n"/>
      <c r="Y80" s="307" t="n"/>
      <c r="Z80" s="307" t="n"/>
      <c r="AA80" s="307" t="n"/>
      <c r="AB80" s="307" t="n"/>
      <c r="AC80" s="307" t="n"/>
      <c r="AD80" s="307" t="n"/>
      <c r="AE80" s="307" t="n"/>
      <c r="AF80" s="307" t="n"/>
      <c r="AG80" s="307" t="n"/>
      <c r="AH80" s="307" t="n"/>
      <c r="AI80" s="307" t="n"/>
      <c r="AJ80" s="307" t="n"/>
      <c r="AK80" s="307" t="n"/>
      <c r="AL80" s="307" t="n"/>
      <c r="AM80" s="307" t="n"/>
      <c r="AN80" s="307" t="n"/>
      <c r="AO80" s="307" t="n"/>
      <c r="AP80" s="307" t="n"/>
      <c r="AQ80" s="307" t="n"/>
      <c r="AR80" s="307" t="n"/>
      <c r="AS80" s="307" t="n"/>
      <c r="AT80" s="307" t="n"/>
      <c r="AU80" s="307" t="n"/>
      <c r="AV80" s="307" t="n"/>
      <c r="AW80" s="307" t="n"/>
      <c r="AX80" s="307" t="n"/>
      <c r="AY80" s="307" t="n"/>
      <c r="AZ80" s="307" t="n"/>
      <c r="BA80" s="307" t="n"/>
      <c r="BB80" s="307" t="n"/>
      <c r="BC80" s="307" t="n"/>
      <c r="BD80" s="307" t="n"/>
      <c r="BE80" s="307" t="n"/>
      <c r="BF80" s="307" t="n"/>
      <c r="BG80" s="31" t="n"/>
      <c r="BH80" s="31" t="n"/>
      <c r="BI80" s="31" t="n"/>
      <c r="BJ80" s="31" t="n"/>
    </row>
    <row r="81" ht="15.75" customHeight="1" s="349">
      <c r="A81" s="307" t="n"/>
      <c r="B81" s="307" t="n"/>
      <c r="C81" s="307" t="n"/>
      <c r="D81" s="307" t="n"/>
      <c r="E81" s="307" t="n"/>
      <c r="F81" s="307" t="n"/>
      <c r="G81" s="307" t="n"/>
      <c r="H81" s="307" t="n"/>
      <c r="I81" s="307" t="n"/>
      <c r="J81" s="307" t="n"/>
      <c r="K81" s="307" t="n"/>
      <c r="L81" s="307" t="n"/>
      <c r="M81" s="307" t="n"/>
      <c r="N81" s="307" t="n"/>
      <c r="O81" s="307" t="n"/>
      <c r="P81" s="307" t="n"/>
      <c r="Q81" s="307" t="n"/>
      <c r="R81" s="307" t="n"/>
      <c r="S81" s="307" t="n"/>
      <c r="T81" s="307" t="n"/>
      <c r="U81" s="307" t="n"/>
      <c r="V81" s="307" t="n"/>
      <c r="W81" s="307" t="n"/>
      <c r="X81" s="307" t="n"/>
      <c r="Y81" s="307" t="n"/>
      <c r="Z81" s="307" t="n"/>
      <c r="AA81" s="307" t="n"/>
      <c r="AB81" s="307" t="n"/>
      <c r="AC81" s="307" t="n"/>
      <c r="AD81" s="307" t="n"/>
      <c r="AE81" s="307" t="n"/>
      <c r="AF81" s="307" t="n"/>
      <c r="AG81" s="307" t="n"/>
      <c r="AH81" s="307" t="n"/>
      <c r="AI81" s="307" t="n"/>
      <c r="AJ81" s="307" t="n"/>
      <c r="AK81" s="307" t="n"/>
      <c r="AL81" s="307" t="n"/>
      <c r="AM81" s="307" t="n"/>
      <c r="AN81" s="307" t="n"/>
      <c r="AO81" s="307" t="n"/>
      <c r="AP81" s="307" t="n"/>
      <c r="AQ81" s="307" t="n"/>
      <c r="AR81" s="307" t="n"/>
      <c r="AS81" s="307" t="n"/>
      <c r="AT81" s="307" t="n"/>
      <c r="AU81" s="307" t="n"/>
      <c r="AV81" s="307" t="n"/>
      <c r="AW81" s="307" t="n"/>
      <c r="AX81" s="307" t="n"/>
      <c r="AY81" s="307" t="n"/>
      <c r="AZ81" s="307" t="n"/>
      <c r="BA81" s="307" t="n"/>
      <c r="BB81" s="307" t="n"/>
      <c r="BC81" s="307" t="n"/>
      <c r="BD81" s="307" t="n"/>
      <c r="BE81" s="307" t="n"/>
      <c r="BF81" s="307" t="n"/>
      <c r="BG81" s="31" t="n"/>
      <c r="BH81" s="31" t="n"/>
      <c r="BI81" s="31" t="n"/>
      <c r="BJ81" s="31" t="n"/>
    </row>
    <row r="82" ht="15.75" customHeight="1" s="349">
      <c r="A82" s="307" t="n"/>
      <c r="B82" s="307" t="n"/>
      <c r="C82" s="307" t="n"/>
      <c r="D82" s="307" t="n"/>
      <c r="E82" s="307" t="n"/>
      <c r="F82" s="307" t="n"/>
      <c r="G82" s="307" t="n"/>
      <c r="H82" s="307" t="n"/>
      <c r="I82" s="307" t="n"/>
      <c r="J82" s="307" t="n"/>
      <c r="K82" s="307" t="n"/>
      <c r="L82" s="307" t="n"/>
      <c r="M82" s="307" t="n"/>
      <c r="N82" s="307" t="n"/>
      <c r="O82" s="307" t="n"/>
      <c r="P82" s="307" t="n"/>
      <c r="Q82" s="307" t="n"/>
      <c r="R82" s="307" t="n"/>
      <c r="S82" s="307" t="n"/>
      <c r="T82" s="307" t="n"/>
      <c r="U82" s="307" t="n"/>
      <c r="V82" s="307" t="n"/>
      <c r="W82" s="307" t="n"/>
      <c r="X82" s="307" t="n"/>
      <c r="Y82" s="307" t="n"/>
      <c r="Z82" s="307" t="n"/>
      <c r="AA82" s="307" t="n"/>
      <c r="AB82" s="307" t="n"/>
      <c r="AC82" s="307" t="n"/>
      <c r="AD82" s="307" t="n"/>
      <c r="AE82" s="307" t="n"/>
      <c r="AF82" s="307" t="n"/>
      <c r="AG82" s="307" t="n"/>
      <c r="AH82" s="307" t="n"/>
      <c r="AI82" s="307" t="n"/>
      <c r="AJ82" s="307" t="n"/>
      <c r="AK82" s="307" t="n"/>
      <c r="AL82" s="307" t="n"/>
      <c r="AM82" s="307" t="n"/>
      <c r="AN82" s="307" t="n"/>
      <c r="AO82" s="307" t="n"/>
      <c r="AP82" s="307" t="n"/>
      <c r="AQ82" s="307" t="n"/>
      <c r="AR82" s="307" t="n"/>
      <c r="AS82" s="307" t="n"/>
      <c r="AT82" s="307" t="n"/>
      <c r="AU82" s="307" t="n"/>
      <c r="AV82" s="307" t="n"/>
      <c r="AW82" s="307" t="n"/>
      <c r="AX82" s="307" t="n"/>
      <c r="AY82" s="307" t="n"/>
      <c r="AZ82" s="307" t="n"/>
      <c r="BA82" s="307" t="n"/>
      <c r="BB82" s="307" t="n"/>
      <c r="BC82" s="307" t="n"/>
      <c r="BD82" s="307" t="n"/>
      <c r="BE82" s="307" t="n"/>
      <c r="BF82" s="307" t="n"/>
      <c r="BG82" s="31" t="n"/>
      <c r="BH82" s="31" t="n"/>
      <c r="BI82" s="31" t="n"/>
      <c r="BJ82" s="31" t="n"/>
    </row>
    <row r="83" ht="15.75" customHeight="1" s="349">
      <c r="A83" s="307" t="n"/>
      <c r="B83" s="307" t="n"/>
      <c r="C83" s="307" t="n"/>
      <c r="D83" s="307" t="n"/>
      <c r="E83" s="307" t="n"/>
      <c r="F83" s="307" t="n"/>
      <c r="G83" s="307" t="n"/>
      <c r="H83" s="307" t="n"/>
      <c r="I83" s="307" t="n"/>
      <c r="J83" s="307" t="n"/>
      <c r="K83" s="307" t="n"/>
      <c r="L83" s="307" t="n"/>
      <c r="M83" s="307" t="n"/>
      <c r="N83" s="307" t="n"/>
      <c r="O83" s="307" t="n"/>
      <c r="P83" s="307" t="n"/>
      <c r="Q83" s="307" t="n"/>
      <c r="R83" s="307" t="n"/>
      <c r="S83" s="307" t="n"/>
      <c r="T83" s="307" t="n"/>
      <c r="U83" s="307" t="n"/>
      <c r="V83" s="307" t="n"/>
      <c r="W83" s="307" t="n"/>
      <c r="X83" s="307" t="n"/>
      <c r="Y83" s="307" t="n"/>
      <c r="Z83" s="307" t="n"/>
      <c r="AA83" s="307" t="n"/>
      <c r="AB83" s="307" t="n"/>
      <c r="AC83" s="307" t="n"/>
      <c r="AD83" s="307" t="n"/>
      <c r="AE83" s="307" t="n"/>
      <c r="AF83" s="307" t="n"/>
      <c r="AG83" s="307" t="n"/>
      <c r="AH83" s="307" t="n"/>
      <c r="AI83" s="307" t="n"/>
      <c r="AJ83" s="307" t="n"/>
      <c r="AK83" s="307" t="n"/>
      <c r="AL83" s="307" t="n"/>
      <c r="AM83" s="307" t="n"/>
      <c r="AN83" s="307" t="n"/>
      <c r="AO83" s="307" t="n"/>
      <c r="AP83" s="307" t="n"/>
      <c r="AQ83" s="307" t="n"/>
      <c r="AR83" s="307" t="n"/>
      <c r="AS83" s="307" t="n"/>
      <c r="AT83" s="307" t="n"/>
      <c r="AU83" s="307" t="n"/>
      <c r="AV83" s="307" t="n"/>
      <c r="AW83" s="307" t="n"/>
      <c r="AX83" s="307" t="n"/>
      <c r="AY83" s="307" t="n"/>
      <c r="AZ83" s="307" t="n"/>
      <c r="BA83" s="307" t="n"/>
      <c r="BB83" s="307" t="n"/>
      <c r="BC83" s="307" t="n"/>
      <c r="BD83" s="307" t="n"/>
      <c r="BE83" s="307" t="n"/>
      <c r="BF83" s="307" t="n"/>
      <c r="BG83" s="31" t="n"/>
      <c r="BH83" s="31" t="n"/>
      <c r="BI83" s="31" t="n"/>
      <c r="BJ83" s="31" t="n"/>
    </row>
    <row r="84" ht="15.75" customHeight="1" s="349">
      <c r="A84" s="307" t="n"/>
      <c r="B84" s="307" t="n"/>
      <c r="C84" s="307" t="n"/>
      <c r="D84" s="307" t="n"/>
      <c r="E84" s="307" t="n"/>
      <c r="F84" s="307" t="n"/>
      <c r="G84" s="307" t="n"/>
      <c r="H84" s="307" t="n"/>
      <c r="I84" s="307" t="n"/>
      <c r="J84" s="307" t="n"/>
      <c r="K84" s="307" t="n"/>
      <c r="L84" s="307" t="n"/>
      <c r="M84" s="307" t="n"/>
      <c r="N84" s="307" t="n"/>
      <c r="O84" s="307" t="n"/>
      <c r="P84" s="307" t="n"/>
      <c r="Q84" s="307" t="n"/>
      <c r="R84" s="307" t="n"/>
      <c r="S84" s="307" t="n"/>
      <c r="T84" s="307" t="n"/>
      <c r="U84" s="307" t="n"/>
      <c r="V84" s="307" t="n"/>
      <c r="W84" s="307" t="n"/>
      <c r="X84" s="307" t="n"/>
      <c r="Y84" s="307" t="n"/>
      <c r="Z84" s="307" t="n"/>
      <c r="AA84" s="307" t="n"/>
      <c r="AB84" s="307" t="n"/>
      <c r="AC84" s="307" t="n"/>
      <c r="AD84" s="307" t="n"/>
      <c r="AE84" s="307" t="n"/>
      <c r="AF84" s="307" t="n"/>
      <c r="AG84" s="307" t="n"/>
      <c r="AH84" s="307" t="n"/>
      <c r="AI84" s="307" t="n"/>
      <c r="AJ84" s="307" t="n"/>
      <c r="AK84" s="307" t="n"/>
      <c r="AL84" s="307" t="n"/>
      <c r="AM84" s="307" t="n"/>
      <c r="AN84" s="307" t="n"/>
      <c r="AO84" s="307" t="n"/>
      <c r="AP84" s="307" t="n"/>
      <c r="AQ84" s="307" t="n"/>
      <c r="AR84" s="307" t="n"/>
      <c r="AS84" s="307" t="n"/>
      <c r="AT84" s="307" t="n"/>
      <c r="AU84" s="307" t="n"/>
      <c r="AV84" s="307" t="n"/>
      <c r="AW84" s="307" t="n"/>
      <c r="AX84" s="307" t="n"/>
      <c r="AY84" s="307" t="n"/>
      <c r="AZ84" s="307" t="n"/>
      <c r="BA84" s="307" t="n"/>
      <c r="BB84" s="307" t="n"/>
      <c r="BC84" s="307" t="n"/>
      <c r="BD84" s="307" t="n"/>
      <c r="BE84" s="307" t="n"/>
      <c r="BF84" s="307" t="n"/>
      <c r="BG84" s="31" t="n"/>
      <c r="BH84" s="31" t="n"/>
      <c r="BI84" s="31" t="n"/>
      <c r="BJ84" s="31" t="n"/>
    </row>
    <row r="85" ht="15.75" customHeight="1" s="349">
      <c r="A85" s="307" t="n"/>
      <c r="B85" s="307" t="n"/>
      <c r="C85" s="307" t="n"/>
      <c r="D85" s="307" t="n"/>
      <c r="E85" s="307" t="n"/>
      <c r="F85" s="307" t="n"/>
      <c r="G85" s="307" t="n"/>
      <c r="H85" s="307" t="n"/>
      <c r="I85" s="307" t="n"/>
      <c r="J85" s="307" t="n"/>
      <c r="K85" s="307" t="n"/>
      <c r="L85" s="307" t="n"/>
      <c r="M85" s="307" t="n"/>
      <c r="N85" s="307" t="n"/>
      <c r="O85" s="307" t="n"/>
      <c r="P85" s="307" t="n"/>
      <c r="Q85" s="307" t="n"/>
      <c r="R85" s="307" t="n"/>
      <c r="S85" s="307" t="n"/>
      <c r="T85" s="307" t="n"/>
      <c r="U85" s="307" t="n"/>
      <c r="V85" s="307" t="n"/>
      <c r="W85" s="307" t="n"/>
      <c r="X85" s="307" t="n"/>
      <c r="Y85" s="307" t="n"/>
      <c r="Z85" s="307" t="n"/>
      <c r="AA85" s="307" t="n"/>
      <c r="AB85" s="307" t="n"/>
      <c r="AC85" s="307" t="n"/>
      <c r="AD85" s="307" t="n"/>
      <c r="AE85" s="307" t="n"/>
      <c r="AF85" s="307" t="n"/>
      <c r="AG85" s="307" t="n"/>
      <c r="AH85" s="307" t="n"/>
      <c r="AI85" s="307" t="n"/>
      <c r="AJ85" s="307" t="n"/>
      <c r="AK85" s="307" t="n"/>
      <c r="AL85" s="307" t="n"/>
      <c r="AM85" s="307" t="n"/>
      <c r="AN85" s="307" t="n"/>
      <c r="AO85" s="307" t="n"/>
      <c r="AP85" s="307" t="n"/>
      <c r="AQ85" s="307" t="n"/>
      <c r="AR85" s="307" t="n"/>
      <c r="AS85" s="307" t="n"/>
      <c r="AT85" s="307" t="n"/>
      <c r="AU85" s="307" t="n"/>
      <c r="AV85" s="307" t="n"/>
      <c r="AW85" s="307" t="n"/>
      <c r="AX85" s="307" t="n"/>
      <c r="AY85" s="307" t="n"/>
      <c r="AZ85" s="307" t="n"/>
      <c r="BA85" s="307" t="n"/>
      <c r="BB85" s="307" t="n"/>
      <c r="BC85" s="307" t="n"/>
      <c r="BD85" s="307" t="n"/>
      <c r="BE85" s="307" t="n"/>
      <c r="BF85" s="307" t="n"/>
      <c r="BG85" s="31" t="n"/>
      <c r="BH85" s="31" t="n"/>
      <c r="BI85" s="31" t="n"/>
      <c r="BJ85" s="31" t="n"/>
    </row>
    <row r="86" ht="15.75" customHeight="1" s="349">
      <c r="A86" s="307" t="n"/>
      <c r="B86" s="307" t="n"/>
      <c r="C86" s="307" t="n"/>
      <c r="D86" s="307" t="n"/>
      <c r="E86" s="307" t="n"/>
      <c r="F86" s="307" t="n"/>
      <c r="G86" s="307" t="n"/>
      <c r="H86" s="307" t="n"/>
      <c r="I86" s="307" t="n"/>
      <c r="J86" s="307" t="n"/>
      <c r="K86" s="307" t="n"/>
      <c r="L86" s="307" t="n"/>
      <c r="M86" s="307" t="n"/>
      <c r="N86" s="307" t="n"/>
      <c r="O86" s="307" t="n"/>
      <c r="P86" s="307" t="n"/>
      <c r="Q86" s="307" t="n"/>
      <c r="R86" s="307" t="n"/>
      <c r="S86" s="307" t="n"/>
      <c r="T86" s="307" t="n"/>
      <c r="U86" s="307" t="n"/>
      <c r="V86" s="307" t="n"/>
      <c r="W86" s="307" t="n"/>
      <c r="X86" s="307" t="n"/>
      <c r="Y86" s="307" t="n"/>
      <c r="Z86" s="307" t="n"/>
      <c r="AA86" s="307" t="n"/>
      <c r="AB86" s="307" t="n"/>
      <c r="AC86" s="307" t="n"/>
      <c r="AD86" s="307" t="n"/>
      <c r="AE86" s="307" t="n"/>
      <c r="AF86" s="307" t="n"/>
      <c r="AG86" s="307" t="n"/>
      <c r="AH86" s="307" t="n"/>
      <c r="AI86" s="307" t="n"/>
      <c r="AJ86" s="307" t="n"/>
      <c r="AK86" s="307" t="n"/>
      <c r="AL86" s="307" t="n"/>
      <c r="AM86" s="307" t="n"/>
      <c r="AN86" s="307" t="n"/>
      <c r="AO86" s="307" t="n"/>
      <c r="AP86" s="307" t="n"/>
      <c r="AQ86" s="307" t="n"/>
      <c r="AR86" s="307" t="n"/>
      <c r="AS86" s="307" t="n"/>
      <c r="AT86" s="307" t="n"/>
      <c r="AU86" s="307" t="n"/>
      <c r="AV86" s="307" t="n"/>
      <c r="AW86" s="307" t="n"/>
      <c r="AX86" s="307" t="n"/>
      <c r="AY86" s="307" t="n"/>
      <c r="AZ86" s="307" t="n"/>
      <c r="BA86" s="307" t="n"/>
      <c r="BB86" s="307" t="n"/>
      <c r="BC86" s="307" t="n"/>
      <c r="BD86" s="307" t="n"/>
      <c r="BE86" s="307" t="n"/>
      <c r="BF86" s="307" t="n"/>
      <c r="BG86" s="31" t="n"/>
      <c r="BH86" s="31" t="n"/>
      <c r="BI86" s="31" t="n"/>
      <c r="BJ86" s="31" t="n"/>
    </row>
    <row r="87" ht="15.75" customHeight="1" s="349">
      <c r="A87" s="307" t="n"/>
      <c r="B87" s="307" t="n"/>
      <c r="C87" s="307" t="n"/>
      <c r="D87" s="307" t="n"/>
      <c r="E87" s="307" t="n"/>
      <c r="F87" s="307" t="n"/>
      <c r="G87" s="307" t="n"/>
      <c r="H87" s="307" t="n"/>
      <c r="I87" s="307" t="n"/>
      <c r="J87" s="307" t="n"/>
      <c r="K87" s="307" t="n"/>
      <c r="L87" s="307" t="n"/>
      <c r="M87" s="307" t="n"/>
      <c r="N87" s="307" t="n"/>
      <c r="O87" s="307" t="n"/>
      <c r="P87" s="307" t="n"/>
      <c r="Q87" s="307" t="n"/>
      <c r="R87" s="307" t="n"/>
      <c r="S87" s="307" t="n"/>
      <c r="T87" s="307" t="n"/>
      <c r="U87" s="307" t="n"/>
      <c r="V87" s="307" t="n"/>
      <c r="W87" s="307" t="n"/>
      <c r="X87" s="307" t="n"/>
      <c r="Y87" s="307" t="n"/>
      <c r="Z87" s="307" t="n"/>
      <c r="AA87" s="307" t="n"/>
      <c r="AB87" s="307" t="n"/>
      <c r="AC87" s="307" t="n"/>
      <c r="AD87" s="307" t="n"/>
      <c r="AE87" s="307" t="n"/>
      <c r="AF87" s="307" t="n"/>
      <c r="AG87" s="307" t="n"/>
      <c r="AH87" s="307" t="n"/>
      <c r="AI87" s="307" t="n"/>
      <c r="AJ87" s="307" t="n"/>
      <c r="AK87" s="307" t="n"/>
      <c r="AL87" s="307" t="n"/>
      <c r="AM87" s="307" t="n"/>
      <c r="AN87" s="307" t="n"/>
      <c r="AO87" s="307" t="n"/>
      <c r="AP87" s="307" t="n"/>
      <c r="AQ87" s="307" t="n"/>
      <c r="AR87" s="307" t="n"/>
      <c r="AS87" s="307" t="n"/>
      <c r="AT87" s="307" t="n"/>
      <c r="AU87" s="307" t="n"/>
      <c r="AV87" s="307" t="n"/>
      <c r="AW87" s="307" t="n"/>
      <c r="AX87" s="307" t="n"/>
      <c r="AY87" s="307" t="n"/>
      <c r="AZ87" s="307" t="n"/>
      <c r="BA87" s="307" t="n"/>
      <c r="BB87" s="307" t="n"/>
      <c r="BC87" s="307" t="n"/>
      <c r="BD87" s="307" t="n"/>
      <c r="BE87" s="307" t="n"/>
      <c r="BF87" s="307" t="n"/>
      <c r="BG87" s="31" t="n"/>
      <c r="BH87" s="31" t="n"/>
      <c r="BI87" s="31" t="n"/>
      <c r="BJ87" s="31" t="n"/>
    </row>
    <row r="88" ht="15.75" customHeight="1" s="349">
      <c r="A88" s="307" t="n"/>
      <c r="B88" s="307" t="n"/>
      <c r="C88" s="307" t="n"/>
      <c r="D88" s="307" t="n"/>
      <c r="E88" s="307" t="n"/>
      <c r="F88" s="307" t="n"/>
      <c r="G88" s="307" t="n"/>
      <c r="H88" s="307" t="n"/>
      <c r="I88" s="307" t="n"/>
      <c r="J88" s="307" t="n"/>
      <c r="K88" s="307" t="n"/>
      <c r="L88" s="307" t="n"/>
      <c r="M88" s="307" t="n"/>
      <c r="N88" s="307" t="n"/>
      <c r="O88" s="307" t="n"/>
      <c r="P88" s="307" t="n"/>
      <c r="Q88" s="307" t="n"/>
      <c r="R88" s="307" t="n"/>
      <c r="S88" s="307" t="n"/>
      <c r="T88" s="307" t="n"/>
      <c r="U88" s="307" t="n"/>
      <c r="V88" s="307" t="n"/>
      <c r="W88" s="307" t="n"/>
      <c r="X88" s="307" t="n"/>
      <c r="Y88" s="307" t="n"/>
      <c r="Z88" s="307" t="n"/>
      <c r="AA88" s="307" t="n"/>
      <c r="AB88" s="307" t="n"/>
      <c r="AC88" s="307" t="n"/>
      <c r="AD88" s="307" t="n"/>
      <c r="AE88" s="307" t="n"/>
      <c r="AF88" s="307" t="n"/>
      <c r="AG88" s="307" t="n"/>
      <c r="AH88" s="307" t="n"/>
      <c r="AI88" s="307" t="n"/>
      <c r="AJ88" s="307" t="n"/>
      <c r="AK88" s="307" t="n"/>
      <c r="AL88" s="307" t="n"/>
      <c r="AM88" s="307" t="n"/>
      <c r="AN88" s="307" t="n"/>
      <c r="AO88" s="307" t="n"/>
      <c r="AP88" s="307" t="n"/>
      <c r="AQ88" s="307" t="n"/>
      <c r="AR88" s="307" t="n"/>
      <c r="AS88" s="307" t="n"/>
      <c r="AT88" s="307" t="n"/>
      <c r="AU88" s="307" t="n"/>
      <c r="AV88" s="307" t="n"/>
      <c r="AW88" s="307" t="n"/>
      <c r="AX88" s="307" t="n"/>
      <c r="AY88" s="307" t="n"/>
      <c r="AZ88" s="307" t="n"/>
      <c r="BA88" s="307" t="n"/>
      <c r="BB88" s="307" t="n"/>
      <c r="BC88" s="307" t="n"/>
      <c r="BD88" s="307" t="n"/>
      <c r="BE88" s="307" t="n"/>
      <c r="BF88" s="307" t="n"/>
      <c r="BG88" s="31" t="n"/>
      <c r="BH88" s="31" t="n"/>
      <c r="BI88" s="31" t="n"/>
      <c r="BJ88" s="31" t="n"/>
    </row>
    <row r="89" ht="15.75" customHeight="1" s="349">
      <c r="A89" s="307" t="n"/>
      <c r="B89" s="307" t="n"/>
      <c r="C89" s="307" t="n"/>
      <c r="D89" s="307" t="n"/>
      <c r="E89" s="307" t="n"/>
      <c r="F89" s="307" t="n"/>
      <c r="G89" s="307" t="n"/>
      <c r="H89" s="307" t="n"/>
      <c r="I89" s="307" t="n"/>
      <c r="J89" s="307" t="n"/>
      <c r="K89" s="307" t="n"/>
      <c r="L89" s="307" t="n"/>
      <c r="M89" s="307" t="n"/>
      <c r="N89" s="307" t="n"/>
      <c r="O89" s="307" t="n"/>
      <c r="P89" s="307" t="n"/>
      <c r="Q89" s="307" t="n"/>
      <c r="R89" s="307" t="n"/>
      <c r="S89" s="307" t="n"/>
      <c r="T89" s="307" t="n"/>
      <c r="U89" s="307" t="n"/>
      <c r="V89" s="307" t="n"/>
      <c r="W89" s="307" t="n"/>
      <c r="X89" s="307" t="n"/>
      <c r="Y89" s="307" t="n"/>
      <c r="Z89" s="307" t="n"/>
      <c r="AA89" s="307" t="n"/>
      <c r="AB89" s="307" t="n"/>
      <c r="AC89" s="307" t="n"/>
      <c r="AD89" s="307" t="n"/>
      <c r="AE89" s="307" t="n"/>
      <c r="AF89" s="307" t="n"/>
      <c r="AG89" s="307" t="n"/>
      <c r="AH89" s="307" t="n"/>
      <c r="AI89" s="307" t="n"/>
      <c r="AJ89" s="307" t="n"/>
      <c r="AK89" s="307" t="n"/>
      <c r="AL89" s="307" t="n"/>
      <c r="AM89" s="307" t="n"/>
      <c r="AN89" s="307" t="n"/>
      <c r="AO89" s="307" t="n"/>
      <c r="AP89" s="307" t="n"/>
      <c r="AQ89" s="307" t="n"/>
      <c r="AR89" s="307" t="n"/>
      <c r="AS89" s="307" t="n"/>
      <c r="AT89" s="307" t="n"/>
      <c r="AU89" s="307" t="n"/>
      <c r="AV89" s="307" t="n"/>
      <c r="AW89" s="307" t="n"/>
      <c r="AX89" s="307" t="n"/>
      <c r="AY89" s="307" t="n"/>
      <c r="AZ89" s="307" t="n"/>
      <c r="BA89" s="307" t="n"/>
      <c r="BB89" s="307" t="n"/>
      <c r="BC89" s="307" t="n"/>
      <c r="BD89" s="307" t="n"/>
      <c r="BE89" s="307" t="n"/>
      <c r="BF89" s="307" t="n"/>
      <c r="BG89" s="31" t="n"/>
      <c r="BH89" s="31" t="n"/>
      <c r="BI89" s="31" t="n"/>
      <c r="BJ89" s="31" t="n"/>
    </row>
    <row r="90" ht="15.75" customHeight="1" s="349">
      <c r="A90" s="307" t="n"/>
      <c r="B90" s="307" t="n"/>
      <c r="C90" s="307" t="n"/>
      <c r="D90" s="307" t="n"/>
      <c r="E90" s="307" t="n"/>
      <c r="F90" s="307" t="n"/>
      <c r="G90" s="307" t="n"/>
      <c r="H90" s="307" t="n"/>
      <c r="I90" s="307" t="n"/>
      <c r="J90" s="307" t="n"/>
      <c r="K90" s="307" t="n"/>
      <c r="L90" s="307" t="n"/>
      <c r="M90" s="307" t="n"/>
      <c r="N90" s="307" t="n"/>
      <c r="O90" s="307" t="n"/>
      <c r="P90" s="307" t="n"/>
      <c r="Q90" s="307" t="n"/>
      <c r="R90" s="307" t="n"/>
      <c r="S90" s="307" t="n"/>
      <c r="T90" s="307" t="n"/>
      <c r="U90" s="307" t="n"/>
      <c r="V90" s="307" t="n"/>
      <c r="W90" s="307" t="n"/>
      <c r="X90" s="307" t="n"/>
      <c r="Y90" s="307" t="n"/>
      <c r="Z90" s="307" t="n"/>
      <c r="AA90" s="307" t="n"/>
      <c r="AB90" s="307" t="n"/>
      <c r="AC90" s="307" t="n"/>
      <c r="AD90" s="307" t="n"/>
      <c r="AE90" s="307" t="n"/>
      <c r="AF90" s="307" t="n"/>
      <c r="AG90" s="307" t="n"/>
      <c r="AH90" s="307" t="n"/>
      <c r="AI90" s="307" t="n"/>
      <c r="AJ90" s="307" t="n"/>
      <c r="AK90" s="307" t="n"/>
      <c r="AL90" s="307" t="n"/>
      <c r="AM90" s="307" t="n"/>
      <c r="AN90" s="307" t="n"/>
      <c r="AO90" s="307" t="n"/>
      <c r="AP90" s="307" t="n"/>
      <c r="AQ90" s="307" t="n"/>
      <c r="AR90" s="307" t="n"/>
      <c r="AS90" s="307" t="n"/>
      <c r="AT90" s="307" t="n"/>
      <c r="AU90" s="307" t="n"/>
      <c r="AV90" s="307" t="n"/>
      <c r="AW90" s="307" t="n"/>
      <c r="AX90" s="307" t="n"/>
      <c r="AY90" s="307" t="n"/>
      <c r="AZ90" s="307" t="n"/>
      <c r="BA90" s="307" t="n"/>
      <c r="BB90" s="307" t="n"/>
      <c r="BC90" s="307" t="n"/>
      <c r="BD90" s="307" t="n"/>
      <c r="BE90" s="307" t="n"/>
      <c r="BF90" s="307" t="n"/>
      <c r="BG90" s="31" t="n"/>
      <c r="BH90" s="31" t="n"/>
      <c r="BI90" s="31" t="n"/>
      <c r="BJ90" s="31" t="n"/>
    </row>
    <row r="91" ht="15.75" customHeight="1" s="349">
      <c r="A91" s="307" t="n"/>
      <c r="B91" s="307" t="n"/>
      <c r="C91" s="307" t="n"/>
      <c r="D91" s="307" t="n"/>
      <c r="E91" s="307" t="n"/>
      <c r="F91" s="307" t="n"/>
      <c r="G91" s="307" t="n"/>
      <c r="H91" s="307" t="n"/>
      <c r="I91" s="307" t="n"/>
      <c r="J91" s="307" t="n"/>
      <c r="K91" s="307" t="n"/>
      <c r="L91" s="307" t="n"/>
      <c r="M91" s="307" t="n"/>
      <c r="N91" s="307" t="n"/>
      <c r="O91" s="307" t="n"/>
      <c r="P91" s="307" t="n"/>
      <c r="Q91" s="307" t="n"/>
      <c r="R91" s="307" t="n"/>
      <c r="S91" s="307" t="n"/>
      <c r="T91" s="307" t="n"/>
      <c r="U91" s="307" t="n"/>
      <c r="V91" s="307" t="n"/>
      <c r="W91" s="307" t="n"/>
      <c r="X91" s="307" t="n"/>
      <c r="Y91" s="307" t="n"/>
      <c r="Z91" s="307" t="n"/>
      <c r="AA91" s="307" t="n"/>
      <c r="AB91" s="307" t="n"/>
      <c r="AC91" s="307" t="n"/>
      <c r="AD91" s="307" t="n"/>
      <c r="AE91" s="307" t="n"/>
      <c r="AF91" s="307" t="n"/>
      <c r="AG91" s="307" t="n"/>
      <c r="AH91" s="307" t="n"/>
      <c r="AI91" s="307" t="n"/>
      <c r="AJ91" s="307" t="n"/>
      <c r="AK91" s="307" t="n"/>
      <c r="AL91" s="307" t="n"/>
      <c r="AM91" s="307" t="n"/>
      <c r="AN91" s="307" t="n"/>
      <c r="AO91" s="307" t="n"/>
      <c r="AP91" s="307" t="n"/>
      <c r="AQ91" s="307" t="n"/>
      <c r="AR91" s="307" t="n"/>
      <c r="AS91" s="307" t="n"/>
      <c r="AT91" s="307" t="n"/>
      <c r="AU91" s="307" t="n"/>
      <c r="AV91" s="307" t="n"/>
      <c r="AW91" s="307" t="n"/>
      <c r="AX91" s="307" t="n"/>
      <c r="AY91" s="307" t="n"/>
      <c r="AZ91" s="307" t="n"/>
      <c r="BA91" s="307" t="n"/>
      <c r="BB91" s="307" t="n"/>
      <c r="BC91" s="307" t="n"/>
      <c r="BD91" s="307" t="n"/>
      <c r="BE91" s="307" t="n"/>
      <c r="BF91" s="307" t="n"/>
      <c r="BG91" s="31" t="n"/>
      <c r="BH91" s="31" t="n"/>
      <c r="BI91" s="31" t="n"/>
      <c r="BJ91" s="31" t="n"/>
    </row>
    <row r="92" ht="15.75" customHeight="1" s="349">
      <c r="A92" s="307" t="n"/>
      <c r="B92" s="307" t="n"/>
      <c r="C92" s="307" t="n"/>
      <c r="D92" s="307" t="n"/>
      <c r="E92" s="307" t="n"/>
      <c r="F92" s="307" t="n"/>
      <c r="G92" s="307" t="n"/>
      <c r="H92" s="307" t="n"/>
      <c r="I92" s="307" t="n"/>
      <c r="J92" s="307" t="n"/>
      <c r="K92" s="307" t="n"/>
      <c r="L92" s="307" t="n"/>
      <c r="M92" s="307" t="n"/>
      <c r="N92" s="307" t="n"/>
      <c r="O92" s="307" t="n"/>
      <c r="P92" s="307" t="n"/>
      <c r="Q92" s="307" t="n"/>
      <c r="R92" s="307" t="n"/>
      <c r="S92" s="307" t="n"/>
      <c r="T92" s="307" t="n"/>
      <c r="U92" s="307" t="n"/>
      <c r="V92" s="307" t="n"/>
      <c r="W92" s="307" t="n"/>
      <c r="X92" s="307" t="n"/>
      <c r="Y92" s="307" t="n"/>
      <c r="Z92" s="307" t="n"/>
      <c r="AA92" s="307" t="n"/>
      <c r="AB92" s="307" t="n"/>
      <c r="AC92" s="307" t="n"/>
      <c r="AD92" s="307" t="n"/>
      <c r="AE92" s="307" t="n"/>
      <c r="AF92" s="307" t="n"/>
      <c r="AG92" s="307" t="n"/>
      <c r="AH92" s="307" t="n"/>
      <c r="AI92" s="307" t="n"/>
      <c r="AJ92" s="307" t="n"/>
      <c r="AK92" s="307" t="n"/>
      <c r="AL92" s="307" t="n"/>
      <c r="AM92" s="307" t="n"/>
      <c r="AN92" s="307" t="n"/>
      <c r="AO92" s="307" t="n"/>
      <c r="AP92" s="307" t="n"/>
      <c r="AQ92" s="307" t="n"/>
      <c r="AR92" s="307" t="n"/>
      <c r="AS92" s="307" t="n"/>
      <c r="AT92" s="307" t="n"/>
      <c r="AU92" s="307" t="n"/>
      <c r="AV92" s="307" t="n"/>
      <c r="AW92" s="307" t="n"/>
      <c r="AX92" s="307" t="n"/>
      <c r="AY92" s="307" t="n"/>
      <c r="AZ92" s="307" t="n"/>
      <c r="BA92" s="307" t="n"/>
      <c r="BB92" s="307" t="n"/>
      <c r="BC92" s="307" t="n"/>
      <c r="BD92" s="307" t="n"/>
      <c r="BE92" s="307" t="n"/>
      <c r="BF92" s="307" t="n"/>
      <c r="BG92" s="31" t="n"/>
      <c r="BH92" s="31" t="n"/>
      <c r="BI92" s="31" t="n"/>
      <c r="BJ92" s="31" t="n"/>
    </row>
    <row r="93" ht="15.75" customHeight="1" s="349">
      <c r="A93" s="307" t="n"/>
      <c r="B93" s="307" t="n"/>
      <c r="C93" s="307" t="n"/>
      <c r="D93" s="307" t="n"/>
      <c r="E93" s="307" t="n"/>
      <c r="F93" s="307" t="n"/>
      <c r="G93" s="307" t="n"/>
      <c r="H93" s="307" t="n"/>
      <c r="I93" s="307" t="n"/>
      <c r="J93" s="307" t="n"/>
      <c r="K93" s="307" t="n"/>
      <c r="L93" s="307" t="n"/>
      <c r="M93" s="307" t="n"/>
      <c r="N93" s="307" t="n"/>
      <c r="O93" s="307" t="n"/>
      <c r="P93" s="307" t="n"/>
      <c r="Q93" s="307" t="n"/>
      <c r="R93" s="307" t="n"/>
      <c r="S93" s="307" t="n"/>
      <c r="T93" s="307" t="n"/>
      <c r="U93" s="307" t="n"/>
      <c r="V93" s="307" t="n"/>
      <c r="W93" s="307" t="n"/>
      <c r="X93" s="307" t="n"/>
      <c r="Y93" s="307" t="n"/>
      <c r="Z93" s="307" t="n"/>
      <c r="AA93" s="307" t="n"/>
      <c r="AB93" s="307" t="n"/>
      <c r="AC93" s="307" t="n"/>
      <c r="AD93" s="307" t="n"/>
      <c r="AE93" s="307" t="n"/>
      <c r="AF93" s="307" t="n"/>
      <c r="AG93" s="307" t="n"/>
      <c r="AH93" s="307" t="n"/>
      <c r="AI93" s="307" t="n"/>
      <c r="AJ93" s="307" t="n"/>
      <c r="AK93" s="307" t="n"/>
      <c r="AL93" s="307" t="n"/>
      <c r="AM93" s="307" t="n"/>
      <c r="AN93" s="307" t="n"/>
      <c r="AO93" s="307" t="n"/>
      <c r="AP93" s="307" t="n"/>
      <c r="AQ93" s="307" t="n"/>
      <c r="AR93" s="307" t="n"/>
      <c r="AS93" s="307" t="n"/>
      <c r="AT93" s="307" t="n"/>
      <c r="AU93" s="307" t="n"/>
      <c r="AV93" s="307" t="n"/>
      <c r="AW93" s="307" t="n"/>
      <c r="AX93" s="307" t="n"/>
      <c r="AY93" s="307" t="n"/>
      <c r="AZ93" s="307" t="n"/>
      <c r="BA93" s="307" t="n"/>
      <c r="BB93" s="307" t="n"/>
      <c r="BC93" s="307" t="n"/>
      <c r="BD93" s="307" t="n"/>
      <c r="BE93" s="307" t="n"/>
      <c r="BF93" s="307" t="n"/>
      <c r="BG93" s="31" t="n"/>
      <c r="BH93" s="31" t="n"/>
      <c r="BI93" s="31" t="n"/>
      <c r="BJ93" s="31" t="n"/>
    </row>
    <row r="94" ht="15.75" customHeight="1" s="349">
      <c r="A94" s="307" t="n"/>
      <c r="B94" s="307" t="n"/>
      <c r="C94" s="307" t="n"/>
      <c r="D94" s="307" t="n"/>
      <c r="E94" s="307" t="n"/>
      <c r="F94" s="307" t="n"/>
      <c r="G94" s="307" t="n"/>
      <c r="H94" s="307" t="n"/>
      <c r="I94" s="307" t="n"/>
      <c r="J94" s="307" t="n"/>
      <c r="K94" s="307" t="n"/>
      <c r="L94" s="307" t="n"/>
      <c r="M94" s="307" t="n"/>
      <c r="N94" s="307" t="n"/>
      <c r="O94" s="307" t="n"/>
      <c r="P94" s="307" t="n"/>
      <c r="Q94" s="307" t="n"/>
      <c r="R94" s="307" t="n"/>
      <c r="S94" s="307" t="n"/>
      <c r="T94" s="307" t="n"/>
      <c r="U94" s="307" t="n"/>
      <c r="V94" s="307" t="n"/>
      <c r="W94" s="307" t="n"/>
      <c r="X94" s="307" t="n"/>
      <c r="Y94" s="307" t="n"/>
      <c r="Z94" s="307" t="n"/>
      <c r="AA94" s="307" t="n"/>
      <c r="AB94" s="307" t="n"/>
      <c r="AC94" s="307" t="n"/>
      <c r="AD94" s="307" t="n"/>
      <c r="AE94" s="307" t="n"/>
      <c r="AF94" s="307" t="n"/>
      <c r="AG94" s="307" t="n"/>
      <c r="AH94" s="307" t="n"/>
      <c r="AI94" s="307" t="n"/>
      <c r="AJ94" s="307" t="n"/>
      <c r="AK94" s="307" t="n"/>
      <c r="AL94" s="307" t="n"/>
      <c r="AM94" s="307" t="n"/>
      <c r="AN94" s="307" t="n"/>
      <c r="AO94" s="307" t="n"/>
      <c r="AP94" s="307" t="n"/>
      <c r="AQ94" s="307" t="n"/>
      <c r="AR94" s="307" t="n"/>
      <c r="AS94" s="307" t="n"/>
      <c r="AT94" s="307" t="n"/>
      <c r="AU94" s="307" t="n"/>
      <c r="AV94" s="307" t="n"/>
      <c r="AW94" s="307" t="n"/>
      <c r="AX94" s="307" t="n"/>
      <c r="AY94" s="307" t="n"/>
      <c r="AZ94" s="307" t="n"/>
      <c r="BA94" s="307" t="n"/>
      <c r="BB94" s="307" t="n"/>
      <c r="BC94" s="307" t="n"/>
      <c r="BD94" s="307" t="n"/>
      <c r="BE94" s="307" t="n"/>
      <c r="BF94" s="307" t="n"/>
      <c r="BG94" s="31" t="n"/>
      <c r="BH94" s="31" t="n"/>
      <c r="BI94" s="31" t="n"/>
      <c r="BJ94" s="31" t="n"/>
    </row>
    <row r="95" ht="15.75" customHeight="1" s="349">
      <c r="A95" s="307" t="n"/>
      <c r="B95" s="307" t="n"/>
      <c r="C95" s="307" t="n"/>
      <c r="D95" s="307" t="n"/>
      <c r="E95" s="307" t="n"/>
      <c r="F95" s="307" t="n"/>
      <c r="G95" s="307" t="n"/>
      <c r="H95" s="307" t="n"/>
      <c r="I95" s="307" t="n"/>
      <c r="J95" s="307" t="n"/>
      <c r="K95" s="307" t="n"/>
      <c r="L95" s="307" t="n"/>
      <c r="M95" s="307" t="n"/>
      <c r="N95" s="307" t="n"/>
      <c r="O95" s="307" t="n"/>
      <c r="P95" s="307" t="n"/>
      <c r="Q95" s="307" t="n"/>
      <c r="R95" s="307" t="n"/>
      <c r="S95" s="307" t="n"/>
      <c r="T95" s="307" t="n"/>
      <c r="U95" s="307" t="n"/>
      <c r="V95" s="307" t="n"/>
      <c r="W95" s="307" t="n"/>
      <c r="X95" s="307" t="n"/>
      <c r="Y95" s="307" t="n"/>
      <c r="Z95" s="307" t="n"/>
      <c r="AA95" s="307" t="n"/>
      <c r="AB95" s="307" t="n"/>
      <c r="AC95" s="307" t="n"/>
      <c r="AD95" s="307" t="n"/>
      <c r="AE95" s="307" t="n"/>
      <c r="AF95" s="307" t="n"/>
      <c r="AG95" s="307" t="n"/>
      <c r="AH95" s="307" t="n"/>
      <c r="AI95" s="307" t="n"/>
      <c r="AJ95" s="307" t="n"/>
      <c r="AK95" s="307" t="n"/>
      <c r="AL95" s="307" t="n"/>
      <c r="AM95" s="307" t="n"/>
      <c r="AN95" s="307" t="n"/>
      <c r="AO95" s="307" t="n"/>
      <c r="AP95" s="307" t="n"/>
      <c r="AQ95" s="307" t="n"/>
      <c r="AR95" s="307" t="n"/>
      <c r="AS95" s="307" t="n"/>
      <c r="AT95" s="307" t="n"/>
      <c r="AU95" s="307" t="n"/>
      <c r="AV95" s="307" t="n"/>
      <c r="AW95" s="307" t="n"/>
      <c r="AX95" s="307" t="n"/>
      <c r="AY95" s="307" t="n"/>
      <c r="AZ95" s="307" t="n"/>
      <c r="BA95" s="307" t="n"/>
      <c r="BB95" s="307" t="n"/>
      <c r="BC95" s="307" t="n"/>
      <c r="BD95" s="307" t="n"/>
      <c r="BE95" s="307" t="n"/>
      <c r="BF95" s="307" t="n"/>
      <c r="BG95" s="31" t="n"/>
      <c r="BH95" s="31" t="n"/>
      <c r="BI95" s="31" t="n"/>
      <c r="BJ95" s="31" t="n"/>
    </row>
    <row r="96" ht="15.75" customHeight="1" s="349">
      <c r="A96" s="307" t="n"/>
      <c r="B96" s="307" t="n"/>
      <c r="C96" s="307" t="n"/>
      <c r="D96" s="307" t="n"/>
      <c r="E96" s="307" t="n"/>
      <c r="F96" s="307" t="n"/>
      <c r="G96" s="307" t="n"/>
      <c r="H96" s="307" t="n"/>
      <c r="I96" s="307" t="n"/>
      <c r="J96" s="307" t="n"/>
      <c r="K96" s="307" t="n"/>
      <c r="L96" s="307" t="n"/>
      <c r="M96" s="307" t="n"/>
      <c r="N96" s="307" t="n"/>
      <c r="O96" s="307" t="n"/>
      <c r="P96" s="307" t="n"/>
      <c r="Q96" s="307" t="n"/>
      <c r="R96" s="307" t="n"/>
      <c r="S96" s="307" t="n"/>
      <c r="T96" s="307" t="n"/>
      <c r="U96" s="307" t="n"/>
      <c r="V96" s="307" t="n"/>
      <c r="W96" s="307" t="n"/>
      <c r="X96" s="307" t="n"/>
      <c r="Y96" s="307" t="n"/>
      <c r="Z96" s="307" t="n"/>
      <c r="AA96" s="307" t="n"/>
      <c r="AB96" s="307" t="n"/>
      <c r="AC96" s="307" t="n"/>
      <c r="AD96" s="307" t="n"/>
      <c r="AE96" s="307" t="n"/>
      <c r="AF96" s="307" t="n"/>
      <c r="AG96" s="307" t="n"/>
      <c r="AH96" s="307" t="n"/>
      <c r="AI96" s="307" t="n"/>
      <c r="AJ96" s="307" t="n"/>
      <c r="AK96" s="307" t="n"/>
      <c r="AL96" s="307" t="n"/>
      <c r="AM96" s="307" t="n"/>
      <c r="AN96" s="307" t="n"/>
      <c r="AO96" s="307" t="n"/>
      <c r="AP96" s="307" t="n"/>
      <c r="AQ96" s="307" t="n"/>
      <c r="AR96" s="307" t="n"/>
      <c r="AS96" s="307" t="n"/>
      <c r="AT96" s="307" t="n"/>
      <c r="AU96" s="307" t="n"/>
      <c r="AV96" s="307" t="n"/>
      <c r="AW96" s="307" t="n"/>
      <c r="AX96" s="307" t="n"/>
      <c r="AY96" s="307" t="n"/>
      <c r="AZ96" s="307" t="n"/>
      <c r="BA96" s="307" t="n"/>
      <c r="BB96" s="307" t="n"/>
      <c r="BC96" s="307" t="n"/>
      <c r="BD96" s="307" t="n"/>
      <c r="BE96" s="307" t="n"/>
      <c r="BF96" s="307" t="n"/>
      <c r="BG96" s="31" t="n"/>
      <c r="BH96" s="31" t="n"/>
      <c r="BI96" s="31" t="n"/>
      <c r="BJ96" s="31" t="n"/>
    </row>
    <row r="97" ht="15.75" customHeight="1" s="349">
      <c r="A97" s="307" t="n"/>
      <c r="B97" s="307" t="n"/>
      <c r="C97" s="307" t="n"/>
      <c r="D97" s="307" t="n"/>
      <c r="E97" s="307" t="n"/>
      <c r="F97" s="307" t="n"/>
      <c r="G97" s="307" t="n"/>
      <c r="H97" s="307" t="n"/>
      <c r="I97" s="307" t="n"/>
      <c r="J97" s="307" t="n"/>
      <c r="K97" s="307" t="n"/>
      <c r="L97" s="307" t="n"/>
      <c r="M97" s="307" t="n"/>
      <c r="N97" s="307" t="n"/>
      <c r="O97" s="307" t="n"/>
      <c r="P97" s="307" t="n"/>
      <c r="Q97" s="307" t="n"/>
      <c r="R97" s="307" t="n"/>
      <c r="S97" s="307" t="n"/>
      <c r="T97" s="307" t="n"/>
      <c r="U97" s="307" t="n"/>
      <c r="V97" s="307" t="n"/>
      <c r="W97" s="307" t="n"/>
      <c r="X97" s="307" t="n"/>
      <c r="Y97" s="307" t="n"/>
      <c r="Z97" s="307" t="n"/>
      <c r="AA97" s="307" t="n"/>
      <c r="AB97" s="307" t="n"/>
      <c r="AC97" s="307" t="n"/>
      <c r="AD97" s="307" t="n"/>
      <c r="AE97" s="307" t="n"/>
      <c r="AF97" s="307" t="n"/>
      <c r="AG97" s="307" t="n"/>
      <c r="AH97" s="307" t="n"/>
      <c r="AI97" s="307" t="n"/>
      <c r="AJ97" s="307" t="n"/>
      <c r="AK97" s="307" t="n"/>
      <c r="AL97" s="307" t="n"/>
      <c r="AM97" s="307" t="n"/>
      <c r="AN97" s="307" t="n"/>
      <c r="AO97" s="307" t="n"/>
      <c r="AP97" s="307" t="n"/>
      <c r="AQ97" s="307" t="n"/>
      <c r="AR97" s="307" t="n"/>
      <c r="AS97" s="307" t="n"/>
      <c r="AT97" s="307" t="n"/>
      <c r="AU97" s="307" t="n"/>
      <c r="AV97" s="307" t="n"/>
      <c r="AW97" s="307" t="n"/>
      <c r="AX97" s="307" t="n"/>
      <c r="AY97" s="307" t="n"/>
      <c r="AZ97" s="307" t="n"/>
      <c r="BA97" s="307" t="n"/>
      <c r="BB97" s="307" t="n"/>
      <c r="BC97" s="307" t="n"/>
      <c r="BD97" s="307" t="n"/>
      <c r="BE97" s="307" t="n"/>
      <c r="BF97" s="307" t="n"/>
      <c r="BG97" s="31" t="n"/>
      <c r="BH97" s="31" t="n"/>
      <c r="BI97" s="31" t="n"/>
      <c r="BJ97" s="31" t="n"/>
    </row>
    <row r="98" ht="15.75" customHeight="1" s="349">
      <c r="A98" s="307" t="n"/>
      <c r="B98" s="307" t="n"/>
      <c r="C98" s="307" t="n"/>
      <c r="D98" s="307" t="n"/>
      <c r="E98" s="307" t="n"/>
      <c r="F98" s="307" t="n"/>
      <c r="G98" s="307" t="n"/>
      <c r="H98" s="307" t="n"/>
      <c r="I98" s="307" t="n"/>
      <c r="J98" s="307" t="n"/>
      <c r="K98" s="307" t="n"/>
      <c r="L98" s="307" t="n"/>
      <c r="M98" s="307" t="n"/>
      <c r="N98" s="307" t="n"/>
      <c r="O98" s="307" t="n"/>
      <c r="P98" s="307" t="n"/>
      <c r="Q98" s="307" t="n"/>
      <c r="R98" s="307" t="n"/>
      <c r="S98" s="307" t="n"/>
      <c r="T98" s="307" t="n"/>
      <c r="U98" s="307" t="n"/>
      <c r="V98" s="307" t="n"/>
      <c r="W98" s="307" t="n"/>
      <c r="X98" s="307" t="n"/>
      <c r="Y98" s="307" t="n"/>
      <c r="Z98" s="307" t="n"/>
      <c r="AA98" s="307" t="n"/>
      <c r="AB98" s="307" t="n"/>
      <c r="AC98" s="307" t="n"/>
      <c r="AD98" s="307" t="n"/>
      <c r="AE98" s="307" t="n"/>
      <c r="AF98" s="307" t="n"/>
      <c r="AG98" s="307" t="n"/>
      <c r="AH98" s="307" t="n"/>
      <c r="AI98" s="307" t="n"/>
      <c r="AJ98" s="307" t="n"/>
      <c r="AK98" s="307" t="n"/>
      <c r="AL98" s="307" t="n"/>
      <c r="AM98" s="307" t="n"/>
      <c r="AN98" s="307" t="n"/>
      <c r="AO98" s="307" t="n"/>
      <c r="AP98" s="307" t="n"/>
      <c r="AQ98" s="307" t="n"/>
      <c r="AR98" s="307" t="n"/>
      <c r="AS98" s="307" t="n"/>
      <c r="AT98" s="307" t="n"/>
      <c r="AU98" s="307" t="n"/>
      <c r="AV98" s="307" t="n"/>
      <c r="AW98" s="307" t="n"/>
      <c r="AX98" s="307" t="n"/>
      <c r="AY98" s="307" t="n"/>
      <c r="AZ98" s="307" t="n"/>
      <c r="BA98" s="307" t="n"/>
      <c r="BB98" s="307" t="n"/>
      <c r="BC98" s="307" t="n"/>
      <c r="BD98" s="307" t="n"/>
      <c r="BE98" s="307" t="n"/>
      <c r="BF98" s="307" t="n"/>
      <c r="BG98" s="31" t="n"/>
      <c r="BH98" s="31" t="n"/>
      <c r="BI98" s="31" t="n"/>
      <c r="BJ98" s="31" t="n"/>
    </row>
    <row r="99" ht="15.75" customHeight="1" s="349">
      <c r="A99" s="307" t="n"/>
      <c r="B99" s="307" t="n"/>
      <c r="C99" s="307" t="n"/>
      <c r="D99" s="307" t="n"/>
      <c r="E99" s="307" t="n"/>
      <c r="F99" s="307" t="n"/>
      <c r="G99" s="307" t="n"/>
      <c r="H99" s="307" t="n"/>
      <c r="I99" s="307" t="n"/>
      <c r="J99" s="307" t="n"/>
      <c r="K99" s="307" t="n"/>
      <c r="L99" s="307" t="n"/>
      <c r="M99" s="307" t="n"/>
      <c r="N99" s="307" t="n"/>
      <c r="O99" s="307" t="n"/>
      <c r="P99" s="307" t="n"/>
      <c r="Q99" s="307" t="n"/>
      <c r="R99" s="307" t="n"/>
      <c r="S99" s="307" t="n"/>
      <c r="T99" s="307" t="n"/>
      <c r="U99" s="307" t="n"/>
      <c r="V99" s="307" t="n"/>
      <c r="W99" s="307" t="n"/>
      <c r="X99" s="307" t="n"/>
      <c r="Y99" s="307" t="n"/>
      <c r="Z99" s="307" t="n"/>
      <c r="AA99" s="307" t="n"/>
      <c r="AB99" s="307" t="n"/>
      <c r="AC99" s="307" t="n"/>
      <c r="AD99" s="307" t="n"/>
      <c r="AE99" s="307" t="n"/>
      <c r="AF99" s="307" t="n"/>
      <c r="AG99" s="307" t="n"/>
      <c r="AH99" s="307" t="n"/>
      <c r="AI99" s="307" t="n"/>
      <c r="AJ99" s="307" t="n"/>
      <c r="AK99" s="307" t="n"/>
      <c r="AL99" s="307" t="n"/>
      <c r="AM99" s="307" t="n"/>
      <c r="AN99" s="307" t="n"/>
      <c r="AO99" s="307" t="n"/>
      <c r="AP99" s="307" t="n"/>
      <c r="AQ99" s="307" t="n"/>
      <c r="AR99" s="307" t="n"/>
      <c r="AS99" s="307" t="n"/>
      <c r="AT99" s="307" t="n"/>
      <c r="AU99" s="307" t="n"/>
      <c r="AV99" s="307" t="n"/>
      <c r="AW99" s="307" t="n"/>
      <c r="AX99" s="307" t="n"/>
      <c r="AY99" s="307" t="n"/>
      <c r="AZ99" s="307" t="n"/>
      <c r="BA99" s="307" t="n"/>
      <c r="BB99" s="307" t="n"/>
      <c r="BC99" s="307" t="n"/>
      <c r="BD99" s="307" t="n"/>
      <c r="BE99" s="307" t="n"/>
      <c r="BF99" s="307" t="n"/>
      <c r="BG99" s="31" t="n"/>
      <c r="BH99" s="31" t="n"/>
      <c r="BI99" s="31" t="n"/>
      <c r="BJ99" s="31" t="n"/>
    </row>
    <row r="100" ht="15.75" customHeight="1" s="349">
      <c r="A100" s="307" t="n"/>
      <c r="B100" s="307" t="n"/>
      <c r="C100" s="307" t="n"/>
      <c r="D100" s="307" t="n"/>
      <c r="E100" s="307" t="n"/>
      <c r="F100" s="307" t="n"/>
      <c r="G100" s="307" t="n"/>
      <c r="H100" s="307" t="n"/>
      <c r="I100" s="307" t="n"/>
      <c r="J100" s="307" t="n"/>
      <c r="K100" s="307" t="n"/>
      <c r="L100" s="307" t="n"/>
      <c r="M100" s="307" t="n"/>
      <c r="N100" s="307" t="n"/>
      <c r="O100" s="307" t="n"/>
      <c r="P100" s="307" t="n"/>
      <c r="Q100" s="307" t="n"/>
      <c r="R100" s="307" t="n"/>
      <c r="S100" s="307" t="n"/>
      <c r="T100" s="307" t="n"/>
      <c r="U100" s="307" t="n"/>
      <c r="V100" s="307" t="n"/>
      <c r="W100" s="307" t="n"/>
      <c r="X100" s="307" t="n"/>
      <c r="Y100" s="307" t="n"/>
      <c r="Z100" s="307" t="n"/>
      <c r="AA100" s="307" t="n"/>
      <c r="AB100" s="307" t="n"/>
      <c r="AC100" s="307" t="n"/>
      <c r="AD100" s="307" t="n"/>
      <c r="AE100" s="307" t="n"/>
      <c r="AF100" s="307" t="n"/>
      <c r="AG100" s="307" t="n"/>
      <c r="AH100" s="307" t="n"/>
      <c r="AI100" s="307" t="n"/>
      <c r="AJ100" s="307" t="n"/>
      <c r="AK100" s="307" t="n"/>
      <c r="AL100" s="307" t="n"/>
      <c r="AM100" s="307" t="n"/>
      <c r="AN100" s="307" t="n"/>
      <c r="AO100" s="307" t="n"/>
      <c r="AP100" s="307" t="n"/>
      <c r="AQ100" s="307" t="n"/>
      <c r="AR100" s="307" t="n"/>
      <c r="AS100" s="307" t="n"/>
      <c r="AT100" s="307" t="n"/>
      <c r="AU100" s="307" t="n"/>
      <c r="AV100" s="307" t="n"/>
      <c r="AW100" s="307" t="n"/>
      <c r="AX100" s="307" t="n"/>
      <c r="AY100" s="307" t="n"/>
      <c r="AZ100" s="307" t="n"/>
      <c r="BA100" s="307" t="n"/>
      <c r="BB100" s="307" t="n"/>
      <c r="BC100" s="307" t="n"/>
      <c r="BD100" s="307" t="n"/>
      <c r="BE100" s="307" t="n"/>
      <c r="BF100" s="307" t="n"/>
      <c r="BG100" s="31" t="n"/>
      <c r="BH100" s="31" t="n"/>
      <c r="BI100" s="31" t="n"/>
      <c r="BJ100" s="31" t="n"/>
    </row>
    <row r="101" ht="15.75" customHeight="1" s="349">
      <c r="A101" s="307" t="n"/>
      <c r="B101" s="307" t="n"/>
      <c r="C101" s="307" t="n"/>
      <c r="D101" s="307" t="n"/>
      <c r="E101" s="307" t="n"/>
      <c r="F101" s="307" t="n"/>
      <c r="G101" s="307" t="n"/>
      <c r="H101" s="307" t="n"/>
      <c r="I101" s="307" t="n"/>
      <c r="J101" s="307" t="n"/>
      <c r="K101" s="307" t="n"/>
      <c r="L101" s="307" t="n"/>
      <c r="M101" s="307" t="n"/>
      <c r="N101" s="307" t="n"/>
      <c r="O101" s="307" t="n"/>
      <c r="P101" s="307" t="n"/>
      <c r="Q101" s="307" t="n"/>
      <c r="R101" s="307" t="n"/>
      <c r="S101" s="307" t="n"/>
      <c r="T101" s="307" t="n"/>
      <c r="U101" s="307" t="n"/>
      <c r="V101" s="307" t="n"/>
      <c r="W101" s="307" t="n"/>
      <c r="X101" s="307" t="n"/>
      <c r="Y101" s="307" t="n"/>
      <c r="Z101" s="307" t="n"/>
      <c r="AA101" s="307" t="n"/>
      <c r="AB101" s="307" t="n"/>
      <c r="AC101" s="307" t="n"/>
      <c r="AD101" s="307" t="n"/>
      <c r="AE101" s="307" t="n"/>
      <c r="AF101" s="307" t="n"/>
      <c r="AG101" s="307" t="n"/>
      <c r="AH101" s="307" t="n"/>
      <c r="AI101" s="307" t="n"/>
      <c r="AJ101" s="307" t="n"/>
      <c r="AK101" s="307" t="n"/>
      <c r="AL101" s="307" t="n"/>
      <c r="AM101" s="307" t="n"/>
      <c r="AN101" s="307" t="n"/>
      <c r="AO101" s="307" t="n"/>
      <c r="AP101" s="307" t="n"/>
      <c r="AQ101" s="307" t="n"/>
      <c r="AR101" s="307" t="n"/>
      <c r="AS101" s="307" t="n"/>
      <c r="AT101" s="307" t="n"/>
      <c r="AU101" s="307" t="n"/>
      <c r="AV101" s="307" t="n"/>
      <c r="AW101" s="307" t="n"/>
      <c r="AX101" s="307" t="n"/>
      <c r="AY101" s="307" t="n"/>
      <c r="AZ101" s="307" t="n"/>
      <c r="BA101" s="307" t="n"/>
      <c r="BB101" s="307" t="n"/>
      <c r="BC101" s="307" t="n"/>
      <c r="BD101" s="307" t="n"/>
      <c r="BE101" s="307" t="n"/>
      <c r="BF101" s="307" t="n"/>
      <c r="BG101" s="31" t="n"/>
      <c r="BH101" s="31" t="n"/>
      <c r="BI101" s="31" t="n"/>
      <c r="BJ101" s="31" t="n"/>
    </row>
    <row r="102" ht="15.75" customHeight="1" s="349">
      <c r="A102" s="307" t="n"/>
      <c r="B102" s="307" t="n"/>
      <c r="C102" s="307" t="n"/>
      <c r="D102" s="307" t="n"/>
      <c r="E102" s="307" t="n"/>
      <c r="F102" s="307" t="n"/>
      <c r="G102" s="307" t="n"/>
      <c r="H102" s="307" t="n"/>
      <c r="I102" s="307" t="n"/>
      <c r="J102" s="307" t="n"/>
      <c r="K102" s="307" t="n"/>
      <c r="L102" s="307" t="n"/>
      <c r="M102" s="307" t="n"/>
      <c r="N102" s="307" t="n"/>
      <c r="O102" s="307" t="n"/>
      <c r="P102" s="307" t="n"/>
      <c r="Q102" s="307" t="n"/>
      <c r="R102" s="307" t="n"/>
      <c r="S102" s="307" t="n"/>
      <c r="T102" s="307" t="n"/>
      <c r="U102" s="307" t="n"/>
      <c r="V102" s="307" t="n"/>
      <c r="W102" s="307" t="n"/>
      <c r="X102" s="307" t="n"/>
      <c r="Y102" s="307" t="n"/>
      <c r="Z102" s="307" t="n"/>
      <c r="AA102" s="307" t="n"/>
      <c r="AB102" s="307" t="n"/>
      <c r="AC102" s="307" t="n"/>
      <c r="AD102" s="307" t="n"/>
      <c r="AE102" s="307" t="n"/>
      <c r="AF102" s="307" t="n"/>
      <c r="AG102" s="307" t="n"/>
      <c r="AH102" s="307" t="n"/>
      <c r="AI102" s="307" t="n"/>
      <c r="AJ102" s="307" t="n"/>
      <c r="AK102" s="307" t="n"/>
      <c r="AL102" s="307" t="n"/>
      <c r="AM102" s="307" t="n"/>
      <c r="AN102" s="307" t="n"/>
      <c r="AO102" s="307" t="n"/>
      <c r="AP102" s="307" t="n"/>
      <c r="AQ102" s="307" t="n"/>
      <c r="AR102" s="307" t="n"/>
      <c r="AS102" s="307" t="n"/>
      <c r="AT102" s="307" t="n"/>
      <c r="AU102" s="307" t="n"/>
      <c r="AV102" s="307" t="n"/>
      <c r="AW102" s="307" t="n"/>
      <c r="AX102" s="307" t="n"/>
      <c r="AY102" s="307" t="n"/>
      <c r="AZ102" s="307" t="n"/>
      <c r="BA102" s="307" t="n"/>
      <c r="BB102" s="307" t="n"/>
      <c r="BC102" s="307" t="n"/>
      <c r="BD102" s="307" t="n"/>
      <c r="BE102" s="307" t="n"/>
      <c r="BF102" s="307" t="n"/>
      <c r="BG102" s="31" t="n"/>
      <c r="BH102" s="31" t="n"/>
      <c r="BI102" s="31" t="n"/>
      <c r="BJ102" s="31" t="n"/>
    </row>
    <row r="103" ht="15.75" customHeight="1" s="349">
      <c r="A103" s="307" t="n"/>
      <c r="B103" s="307" t="n"/>
      <c r="C103" s="307" t="n"/>
      <c r="D103" s="307" t="n"/>
      <c r="E103" s="307" t="n"/>
      <c r="F103" s="307" t="n"/>
      <c r="G103" s="307" t="n"/>
      <c r="H103" s="307" t="n"/>
      <c r="I103" s="307" t="n"/>
      <c r="J103" s="307" t="n"/>
      <c r="K103" s="307" t="n"/>
      <c r="L103" s="307" t="n"/>
      <c r="M103" s="307" t="n"/>
      <c r="N103" s="307" t="n"/>
      <c r="O103" s="307" t="n"/>
      <c r="P103" s="307" t="n"/>
      <c r="Q103" s="307" t="n"/>
      <c r="R103" s="307" t="n"/>
      <c r="S103" s="307" t="n"/>
      <c r="T103" s="307" t="n"/>
      <c r="U103" s="307" t="n"/>
      <c r="V103" s="307" t="n"/>
      <c r="W103" s="307" t="n"/>
      <c r="X103" s="307" t="n"/>
      <c r="Y103" s="307" t="n"/>
      <c r="Z103" s="307" t="n"/>
      <c r="AA103" s="307" t="n"/>
      <c r="AB103" s="307" t="n"/>
      <c r="AC103" s="307" t="n"/>
      <c r="AD103" s="307" t="n"/>
      <c r="AE103" s="307" t="n"/>
      <c r="AF103" s="307" t="n"/>
      <c r="AG103" s="307" t="n"/>
      <c r="AH103" s="307" t="n"/>
      <c r="AI103" s="307" t="n"/>
      <c r="AJ103" s="307" t="n"/>
      <c r="AK103" s="307" t="n"/>
      <c r="AL103" s="307" t="n"/>
      <c r="AM103" s="307" t="n"/>
      <c r="AN103" s="307" t="n"/>
      <c r="AO103" s="307" t="n"/>
      <c r="AP103" s="307" t="n"/>
      <c r="AQ103" s="307" t="n"/>
      <c r="AR103" s="307" t="n"/>
      <c r="AS103" s="307" t="n"/>
      <c r="AT103" s="307" t="n"/>
      <c r="AU103" s="307" t="n"/>
      <c r="AV103" s="307" t="n"/>
      <c r="AW103" s="307" t="n"/>
      <c r="AX103" s="307" t="n"/>
      <c r="AY103" s="307" t="n"/>
      <c r="AZ103" s="307" t="n"/>
      <c r="BA103" s="307" t="n"/>
      <c r="BB103" s="307" t="n"/>
      <c r="BC103" s="307" t="n"/>
      <c r="BD103" s="307" t="n"/>
      <c r="BE103" s="307" t="n"/>
      <c r="BF103" s="307" t="n"/>
      <c r="BG103" s="31" t="n"/>
      <c r="BH103" s="31" t="n"/>
      <c r="BI103" s="31" t="n"/>
      <c r="BJ103" s="31" t="n"/>
    </row>
    <row r="104" ht="15.75" customHeight="1" s="349">
      <c r="A104" s="307" t="n"/>
      <c r="B104" s="307" t="n"/>
      <c r="C104" s="307" t="n"/>
      <c r="D104" s="307" t="n"/>
      <c r="E104" s="307" t="n"/>
      <c r="F104" s="307" t="n"/>
      <c r="G104" s="307" t="n"/>
      <c r="H104" s="307" t="n"/>
      <c r="I104" s="307" t="n"/>
      <c r="J104" s="307" t="n"/>
      <c r="K104" s="307" t="n"/>
      <c r="L104" s="307" t="n"/>
      <c r="M104" s="307" t="n"/>
      <c r="N104" s="307" t="n"/>
      <c r="O104" s="307" t="n"/>
      <c r="P104" s="307" t="n"/>
      <c r="Q104" s="307" t="n"/>
      <c r="R104" s="307" t="n"/>
      <c r="S104" s="307" t="n"/>
      <c r="T104" s="307" t="n"/>
      <c r="U104" s="307" t="n"/>
      <c r="V104" s="307" t="n"/>
      <c r="W104" s="307" t="n"/>
      <c r="X104" s="307" t="n"/>
      <c r="Y104" s="307" t="n"/>
      <c r="Z104" s="307" t="n"/>
      <c r="AA104" s="307" t="n"/>
      <c r="AB104" s="307" t="n"/>
      <c r="AC104" s="307" t="n"/>
      <c r="AD104" s="307" t="n"/>
      <c r="AE104" s="307" t="n"/>
      <c r="AF104" s="307" t="n"/>
      <c r="AG104" s="307" t="n"/>
      <c r="AH104" s="307" t="n"/>
      <c r="AI104" s="307" t="n"/>
      <c r="AJ104" s="307" t="n"/>
      <c r="AK104" s="307" t="n"/>
      <c r="AL104" s="307" t="n"/>
      <c r="AM104" s="307" t="n"/>
      <c r="AN104" s="307" t="n"/>
      <c r="AO104" s="307" t="n"/>
      <c r="AP104" s="307" t="n"/>
      <c r="AQ104" s="307" t="n"/>
      <c r="AR104" s="307" t="n"/>
      <c r="AS104" s="307" t="n"/>
      <c r="AT104" s="307" t="n"/>
      <c r="AU104" s="307" t="n"/>
      <c r="AV104" s="307" t="n"/>
      <c r="AW104" s="307" t="n"/>
      <c r="AX104" s="307" t="n"/>
      <c r="AY104" s="307" t="n"/>
      <c r="AZ104" s="307" t="n"/>
      <c r="BA104" s="307" t="n"/>
      <c r="BB104" s="307" t="n"/>
      <c r="BC104" s="307" t="n"/>
      <c r="BD104" s="307" t="n"/>
      <c r="BE104" s="307" t="n"/>
      <c r="BF104" s="307" t="n"/>
      <c r="BG104" s="31" t="n"/>
      <c r="BH104" s="31" t="n"/>
      <c r="BI104" s="31" t="n"/>
      <c r="BJ104" s="31" t="n"/>
    </row>
    <row r="105" ht="15.75" customHeight="1" s="349">
      <c r="A105" s="307" t="n"/>
      <c r="B105" s="307" t="n"/>
      <c r="C105" s="307" t="n"/>
      <c r="D105" s="307" t="n"/>
      <c r="E105" s="307" t="n"/>
      <c r="F105" s="307" t="n"/>
      <c r="G105" s="307" t="n"/>
      <c r="H105" s="307" t="n"/>
      <c r="I105" s="307" t="n"/>
      <c r="J105" s="307" t="n"/>
      <c r="K105" s="307" t="n"/>
      <c r="L105" s="307" t="n"/>
      <c r="M105" s="307" t="n"/>
      <c r="N105" s="307" t="n"/>
      <c r="O105" s="307" t="n"/>
      <c r="P105" s="307" t="n"/>
      <c r="Q105" s="307" t="n"/>
      <c r="R105" s="307" t="n"/>
      <c r="S105" s="307" t="n"/>
      <c r="T105" s="307" t="n"/>
      <c r="U105" s="307" t="n"/>
      <c r="V105" s="307" t="n"/>
      <c r="W105" s="307" t="n"/>
      <c r="X105" s="307" t="n"/>
      <c r="Y105" s="307" t="n"/>
      <c r="Z105" s="307" t="n"/>
      <c r="AA105" s="307" t="n"/>
      <c r="AB105" s="307" t="n"/>
      <c r="AC105" s="307" t="n"/>
      <c r="AD105" s="307" t="n"/>
      <c r="AE105" s="307" t="n"/>
      <c r="AF105" s="307" t="n"/>
      <c r="AG105" s="307" t="n"/>
      <c r="AH105" s="307" t="n"/>
      <c r="AI105" s="307" t="n"/>
      <c r="AJ105" s="307" t="n"/>
      <c r="AK105" s="307" t="n"/>
      <c r="AL105" s="307" t="n"/>
      <c r="AM105" s="307" t="n"/>
      <c r="AN105" s="307" t="n"/>
      <c r="AO105" s="307" t="n"/>
      <c r="AP105" s="307" t="n"/>
      <c r="AQ105" s="307" t="n"/>
      <c r="AR105" s="307" t="n"/>
      <c r="AS105" s="307" t="n"/>
      <c r="AT105" s="307" t="n"/>
      <c r="AU105" s="307" t="n"/>
      <c r="AV105" s="307" t="n"/>
      <c r="AW105" s="307" t="n"/>
      <c r="AX105" s="307" t="n"/>
      <c r="AY105" s="307" t="n"/>
      <c r="AZ105" s="307" t="n"/>
      <c r="BA105" s="307" t="n"/>
      <c r="BB105" s="307" t="n"/>
      <c r="BC105" s="307" t="n"/>
      <c r="BD105" s="307" t="n"/>
      <c r="BE105" s="307" t="n"/>
      <c r="BF105" s="307" t="n"/>
      <c r="BG105" s="31" t="n"/>
      <c r="BH105" s="31" t="n"/>
      <c r="BI105" s="31" t="n"/>
      <c r="BJ105" s="31" t="n"/>
    </row>
    <row r="106" ht="15.75" customHeight="1" s="349">
      <c r="A106" s="307" t="n"/>
      <c r="B106" s="307" t="n"/>
      <c r="C106" s="307" t="n"/>
      <c r="D106" s="307" t="n"/>
      <c r="E106" s="307" t="n"/>
      <c r="F106" s="307" t="n"/>
      <c r="G106" s="307" t="n"/>
      <c r="H106" s="307" t="n"/>
      <c r="I106" s="307" t="n"/>
      <c r="J106" s="307" t="n"/>
      <c r="K106" s="307" t="n"/>
      <c r="L106" s="307" t="n"/>
      <c r="M106" s="307" t="n"/>
      <c r="N106" s="307" t="n"/>
      <c r="O106" s="307" t="n"/>
      <c r="P106" s="307" t="n"/>
      <c r="Q106" s="307" t="n"/>
      <c r="R106" s="307" t="n"/>
      <c r="S106" s="307" t="n"/>
      <c r="T106" s="307" t="n"/>
      <c r="U106" s="307" t="n"/>
      <c r="V106" s="307" t="n"/>
      <c r="W106" s="307" t="n"/>
      <c r="X106" s="307" t="n"/>
      <c r="Y106" s="307" t="n"/>
      <c r="Z106" s="307" t="n"/>
      <c r="AA106" s="307" t="n"/>
      <c r="AB106" s="307" t="n"/>
      <c r="AC106" s="307" t="n"/>
      <c r="AD106" s="307" t="n"/>
      <c r="AE106" s="307" t="n"/>
      <c r="AF106" s="307" t="n"/>
      <c r="AG106" s="307" t="n"/>
      <c r="AH106" s="307" t="n"/>
      <c r="AI106" s="307" t="n"/>
      <c r="AJ106" s="307" t="n"/>
      <c r="AK106" s="307" t="n"/>
      <c r="AL106" s="307" t="n"/>
      <c r="AM106" s="307" t="n"/>
      <c r="AN106" s="307" t="n"/>
      <c r="AO106" s="307" t="n"/>
      <c r="AP106" s="307" t="n"/>
      <c r="AQ106" s="307" t="n"/>
      <c r="AR106" s="307" t="n"/>
      <c r="AS106" s="307" t="n"/>
      <c r="AT106" s="307" t="n"/>
      <c r="AU106" s="307" t="n"/>
      <c r="AV106" s="307" t="n"/>
      <c r="AW106" s="307" t="n"/>
      <c r="AX106" s="307" t="n"/>
      <c r="AY106" s="307" t="n"/>
      <c r="AZ106" s="307" t="n"/>
      <c r="BA106" s="307" t="n"/>
      <c r="BB106" s="307" t="n"/>
      <c r="BC106" s="307" t="n"/>
      <c r="BD106" s="307" t="n"/>
      <c r="BE106" s="307" t="n"/>
      <c r="BF106" s="307" t="n"/>
      <c r="BG106" s="31" t="n"/>
      <c r="BH106" s="31" t="n"/>
      <c r="BI106" s="31" t="n"/>
      <c r="BJ106" s="31" t="n"/>
    </row>
    <row r="107" ht="15.75" customHeight="1" s="349">
      <c r="A107" s="307" t="n"/>
      <c r="B107" s="307" t="n"/>
      <c r="C107" s="307" t="n"/>
      <c r="D107" s="307" t="n"/>
      <c r="E107" s="307" t="n"/>
      <c r="F107" s="307" t="n"/>
      <c r="G107" s="307" t="n"/>
      <c r="H107" s="307" t="n"/>
      <c r="I107" s="307" t="n"/>
      <c r="J107" s="307" t="n"/>
      <c r="K107" s="307" t="n"/>
      <c r="L107" s="307" t="n"/>
      <c r="M107" s="307" t="n"/>
      <c r="N107" s="307" t="n"/>
      <c r="O107" s="307" t="n"/>
      <c r="P107" s="307" t="n"/>
      <c r="Q107" s="307" t="n"/>
      <c r="R107" s="307" t="n"/>
      <c r="S107" s="307" t="n"/>
      <c r="T107" s="307" t="n"/>
      <c r="U107" s="307" t="n"/>
      <c r="V107" s="307" t="n"/>
      <c r="W107" s="307" t="n"/>
      <c r="X107" s="307" t="n"/>
      <c r="Y107" s="307" t="n"/>
      <c r="Z107" s="307" t="n"/>
      <c r="AA107" s="307" t="n"/>
      <c r="AB107" s="307" t="n"/>
      <c r="AC107" s="307" t="n"/>
      <c r="AD107" s="307" t="n"/>
      <c r="AE107" s="307" t="n"/>
      <c r="AF107" s="307" t="n"/>
      <c r="AG107" s="307" t="n"/>
      <c r="AH107" s="307" t="n"/>
      <c r="AI107" s="307" t="n"/>
      <c r="AJ107" s="307" t="n"/>
      <c r="AK107" s="307" t="n"/>
      <c r="AL107" s="307" t="n"/>
      <c r="AM107" s="307" t="n"/>
      <c r="AN107" s="307" t="n"/>
      <c r="AO107" s="307" t="n"/>
      <c r="AP107" s="307" t="n"/>
      <c r="AQ107" s="307" t="n"/>
      <c r="AR107" s="307" t="n"/>
      <c r="AS107" s="307" t="n"/>
      <c r="AT107" s="307" t="n"/>
      <c r="AU107" s="307" t="n"/>
      <c r="AV107" s="307" t="n"/>
      <c r="AW107" s="307" t="n"/>
      <c r="AX107" s="307" t="n"/>
      <c r="AY107" s="307" t="n"/>
      <c r="AZ107" s="307" t="n"/>
      <c r="BA107" s="307" t="n"/>
      <c r="BB107" s="307" t="n"/>
      <c r="BC107" s="307" t="n"/>
      <c r="BD107" s="307" t="n"/>
      <c r="BE107" s="307" t="n"/>
      <c r="BF107" s="307" t="n"/>
      <c r="BG107" s="31" t="n"/>
      <c r="BH107" s="31" t="n"/>
      <c r="BI107" s="31" t="n"/>
      <c r="BJ107" s="31" t="n"/>
    </row>
    <row r="108" ht="15.75" customHeight="1" s="349">
      <c r="A108" s="307" t="n"/>
      <c r="B108" s="307" t="n"/>
      <c r="C108" s="307" t="n"/>
      <c r="D108" s="307" t="n"/>
      <c r="E108" s="307" t="n"/>
      <c r="F108" s="307" t="n"/>
      <c r="G108" s="307" t="n"/>
      <c r="H108" s="307" t="n"/>
      <c r="I108" s="307" t="n"/>
      <c r="J108" s="307" t="n"/>
      <c r="K108" s="307" t="n"/>
      <c r="L108" s="307" t="n"/>
      <c r="M108" s="307" t="n"/>
      <c r="N108" s="307" t="n"/>
      <c r="O108" s="307" t="n"/>
      <c r="P108" s="307" t="n"/>
      <c r="Q108" s="307" t="n"/>
      <c r="R108" s="307" t="n"/>
      <c r="S108" s="307" t="n"/>
      <c r="T108" s="307" t="n"/>
      <c r="U108" s="307" t="n"/>
      <c r="V108" s="307" t="n"/>
      <c r="W108" s="307" t="n"/>
      <c r="X108" s="307" t="n"/>
      <c r="Y108" s="307" t="n"/>
      <c r="Z108" s="307" t="n"/>
      <c r="AA108" s="307" t="n"/>
      <c r="AB108" s="307" t="n"/>
      <c r="AC108" s="307" t="n"/>
      <c r="AD108" s="307" t="n"/>
      <c r="AE108" s="307" t="n"/>
      <c r="AF108" s="307" t="n"/>
      <c r="AG108" s="307" t="n"/>
      <c r="AH108" s="307" t="n"/>
      <c r="AI108" s="307" t="n"/>
      <c r="AJ108" s="307" t="n"/>
      <c r="AK108" s="307" t="n"/>
      <c r="AL108" s="307" t="n"/>
      <c r="AM108" s="307" t="n"/>
      <c r="AN108" s="307" t="n"/>
      <c r="AO108" s="307" t="n"/>
      <c r="AP108" s="307" t="n"/>
      <c r="AQ108" s="307" t="n"/>
      <c r="AR108" s="307" t="n"/>
      <c r="AS108" s="307" t="n"/>
      <c r="AT108" s="307" t="n"/>
      <c r="AU108" s="307" t="n"/>
      <c r="AV108" s="307" t="n"/>
      <c r="AW108" s="307" t="n"/>
      <c r="AX108" s="307" t="n"/>
      <c r="AY108" s="307" t="n"/>
      <c r="AZ108" s="307" t="n"/>
      <c r="BA108" s="307" t="n"/>
      <c r="BB108" s="307" t="n"/>
      <c r="BC108" s="307" t="n"/>
      <c r="BD108" s="307" t="n"/>
      <c r="BE108" s="307" t="n"/>
      <c r="BF108" s="307" t="n"/>
      <c r="BG108" s="31" t="n"/>
      <c r="BH108" s="31" t="n"/>
      <c r="BI108" s="31" t="n"/>
      <c r="BJ108" s="31" t="n"/>
    </row>
    <row r="109" ht="15.75" customHeight="1" s="349">
      <c r="A109" s="307" t="n"/>
      <c r="B109" s="307" t="n"/>
      <c r="C109" s="307" t="n"/>
      <c r="D109" s="307" t="n"/>
      <c r="E109" s="307" t="n"/>
      <c r="F109" s="307" t="n"/>
      <c r="G109" s="307" t="n"/>
      <c r="H109" s="307" t="n"/>
      <c r="I109" s="307" t="n"/>
      <c r="J109" s="307" t="n"/>
      <c r="K109" s="307" t="n"/>
      <c r="L109" s="307" t="n"/>
      <c r="M109" s="307" t="n"/>
      <c r="N109" s="307" t="n"/>
      <c r="O109" s="307" t="n"/>
      <c r="P109" s="307" t="n"/>
      <c r="Q109" s="307" t="n"/>
      <c r="R109" s="307" t="n"/>
      <c r="S109" s="307" t="n"/>
      <c r="T109" s="307" t="n"/>
      <c r="U109" s="307" t="n"/>
      <c r="V109" s="307" t="n"/>
      <c r="W109" s="307" t="n"/>
      <c r="X109" s="307" t="n"/>
      <c r="Y109" s="307" t="n"/>
      <c r="Z109" s="307" t="n"/>
      <c r="AA109" s="307" t="n"/>
      <c r="AB109" s="307" t="n"/>
      <c r="AC109" s="307" t="n"/>
      <c r="AD109" s="307" t="n"/>
      <c r="AE109" s="307" t="n"/>
      <c r="AF109" s="307" t="n"/>
      <c r="AG109" s="307" t="n"/>
      <c r="AH109" s="307" t="n"/>
      <c r="AI109" s="307" t="n"/>
      <c r="AJ109" s="307" t="n"/>
      <c r="AK109" s="307" t="n"/>
      <c r="AL109" s="307" t="n"/>
      <c r="AM109" s="307" t="n"/>
      <c r="AN109" s="307" t="n"/>
      <c r="AO109" s="307" t="n"/>
      <c r="AP109" s="307" t="n"/>
      <c r="AQ109" s="307" t="n"/>
      <c r="AR109" s="307" t="n"/>
      <c r="AS109" s="307" t="n"/>
      <c r="AT109" s="307" t="n"/>
      <c r="AU109" s="307" t="n"/>
      <c r="AV109" s="307" t="n"/>
      <c r="AW109" s="307" t="n"/>
      <c r="AX109" s="307" t="n"/>
      <c r="AY109" s="307" t="n"/>
      <c r="AZ109" s="307" t="n"/>
      <c r="BA109" s="307" t="n"/>
      <c r="BB109" s="307" t="n"/>
      <c r="BC109" s="307" t="n"/>
      <c r="BD109" s="307" t="n"/>
      <c r="BE109" s="307" t="n"/>
      <c r="BF109" s="307" t="n"/>
      <c r="BG109" s="31" t="n"/>
      <c r="BH109" s="31" t="n"/>
      <c r="BI109" s="31" t="n"/>
      <c r="BJ109" s="31" t="n"/>
    </row>
    <row r="110" ht="15.75" customHeight="1" s="349">
      <c r="A110" s="307" t="n"/>
      <c r="B110" s="307" t="n"/>
      <c r="C110" s="307" t="n"/>
      <c r="D110" s="307" t="n"/>
      <c r="E110" s="307" t="n"/>
      <c r="F110" s="307" t="n"/>
      <c r="G110" s="307" t="n"/>
      <c r="H110" s="307" t="n"/>
      <c r="I110" s="307" t="n"/>
      <c r="J110" s="307" t="n"/>
      <c r="K110" s="307" t="n"/>
      <c r="L110" s="307" t="n"/>
      <c r="M110" s="307" t="n"/>
      <c r="N110" s="307" t="n"/>
      <c r="O110" s="307" t="n"/>
      <c r="P110" s="307" t="n"/>
      <c r="Q110" s="307" t="n"/>
      <c r="R110" s="307" t="n"/>
      <c r="S110" s="307" t="n"/>
      <c r="T110" s="307" t="n"/>
      <c r="U110" s="307" t="n"/>
      <c r="V110" s="307" t="n"/>
      <c r="W110" s="307" t="n"/>
      <c r="X110" s="307" t="n"/>
      <c r="Y110" s="307" t="n"/>
      <c r="Z110" s="307" t="n"/>
      <c r="AA110" s="307" t="n"/>
      <c r="AB110" s="307" t="n"/>
      <c r="AC110" s="307" t="n"/>
      <c r="AD110" s="307" t="n"/>
      <c r="AE110" s="307" t="n"/>
      <c r="AF110" s="307" t="n"/>
      <c r="AG110" s="307" t="n"/>
      <c r="AH110" s="307" t="n"/>
      <c r="AI110" s="307" t="n"/>
      <c r="AJ110" s="307" t="n"/>
      <c r="AK110" s="307" t="n"/>
      <c r="AL110" s="307" t="n"/>
      <c r="AM110" s="307" t="n"/>
      <c r="AN110" s="307" t="n"/>
      <c r="AO110" s="307" t="n"/>
      <c r="AP110" s="307" t="n"/>
      <c r="AQ110" s="307" t="n"/>
      <c r="AR110" s="307" t="n"/>
      <c r="AS110" s="307" t="n"/>
      <c r="AT110" s="307" t="n"/>
      <c r="AU110" s="307" t="n"/>
      <c r="AV110" s="307" t="n"/>
      <c r="AW110" s="307" t="n"/>
      <c r="AX110" s="307" t="n"/>
      <c r="AY110" s="307" t="n"/>
      <c r="AZ110" s="307" t="n"/>
      <c r="BA110" s="307" t="n"/>
      <c r="BB110" s="307" t="n"/>
      <c r="BC110" s="307" t="n"/>
      <c r="BD110" s="307" t="n"/>
      <c r="BE110" s="307" t="n"/>
      <c r="BF110" s="307" t="n"/>
      <c r="BG110" s="31" t="n"/>
      <c r="BH110" s="31" t="n"/>
      <c r="BI110" s="31" t="n"/>
      <c r="BJ110" s="31" t="n"/>
    </row>
    <row r="111" ht="15.75" customHeight="1" s="349">
      <c r="A111" s="307" t="n"/>
      <c r="B111" s="307" t="n"/>
      <c r="C111" s="307" t="n"/>
      <c r="D111" s="307" t="n"/>
      <c r="E111" s="307" t="n"/>
      <c r="F111" s="307" t="n"/>
      <c r="G111" s="307" t="n"/>
      <c r="H111" s="307" t="n"/>
      <c r="I111" s="307" t="n"/>
      <c r="J111" s="307" t="n"/>
      <c r="K111" s="307" t="n"/>
      <c r="L111" s="307" t="n"/>
      <c r="M111" s="307" t="n"/>
      <c r="N111" s="307" t="n"/>
      <c r="O111" s="307" t="n"/>
      <c r="P111" s="307" t="n"/>
      <c r="Q111" s="307" t="n"/>
      <c r="R111" s="307" t="n"/>
      <c r="S111" s="307" t="n"/>
      <c r="T111" s="307" t="n"/>
      <c r="U111" s="307" t="n"/>
      <c r="V111" s="307" t="n"/>
      <c r="W111" s="307" t="n"/>
      <c r="X111" s="307" t="n"/>
      <c r="Y111" s="307" t="n"/>
      <c r="Z111" s="307" t="n"/>
      <c r="AA111" s="307" t="n"/>
      <c r="AB111" s="307" t="n"/>
      <c r="AC111" s="307" t="n"/>
      <c r="AD111" s="307" t="n"/>
      <c r="AE111" s="307" t="n"/>
      <c r="AF111" s="307" t="n"/>
      <c r="AG111" s="307" t="n"/>
      <c r="AH111" s="307" t="n"/>
      <c r="AI111" s="307" t="n"/>
      <c r="AJ111" s="307" t="n"/>
      <c r="AK111" s="307" t="n"/>
      <c r="AL111" s="307" t="n"/>
      <c r="AM111" s="307" t="n"/>
      <c r="AN111" s="307" t="n"/>
      <c r="AO111" s="307" t="n"/>
      <c r="AP111" s="307" t="n"/>
      <c r="AQ111" s="307" t="n"/>
      <c r="AR111" s="307" t="n"/>
      <c r="AS111" s="307" t="n"/>
      <c r="AT111" s="307" t="n"/>
      <c r="AU111" s="307" t="n"/>
      <c r="AV111" s="307" t="n"/>
      <c r="AW111" s="307" t="n"/>
      <c r="AX111" s="307" t="n"/>
      <c r="AY111" s="307" t="n"/>
      <c r="AZ111" s="307" t="n"/>
      <c r="BA111" s="307" t="n"/>
      <c r="BB111" s="307" t="n"/>
      <c r="BC111" s="307" t="n"/>
      <c r="BD111" s="307" t="n"/>
      <c r="BE111" s="307" t="n"/>
      <c r="BF111" s="307" t="n"/>
      <c r="BG111" s="31" t="n"/>
      <c r="BH111" s="31" t="n"/>
      <c r="BI111" s="31" t="n"/>
      <c r="BJ111" s="31" t="n"/>
    </row>
    <row r="112" ht="15.75" customHeight="1" s="349">
      <c r="A112" s="307" t="n"/>
      <c r="B112" s="307" t="n"/>
      <c r="C112" s="307" t="n"/>
      <c r="D112" s="307" t="n"/>
      <c r="E112" s="307" t="n"/>
      <c r="F112" s="307" t="n"/>
      <c r="G112" s="307" t="n"/>
      <c r="H112" s="307" t="n"/>
      <c r="I112" s="307" t="n"/>
      <c r="J112" s="307" t="n"/>
      <c r="K112" s="307" t="n"/>
      <c r="L112" s="307" t="n"/>
      <c r="M112" s="307" t="n"/>
      <c r="N112" s="307" t="n"/>
      <c r="O112" s="307" t="n"/>
      <c r="P112" s="307" t="n"/>
      <c r="Q112" s="307" t="n"/>
      <c r="R112" s="307" t="n"/>
      <c r="S112" s="307" t="n"/>
      <c r="T112" s="307" t="n"/>
      <c r="U112" s="307" t="n"/>
      <c r="V112" s="307" t="n"/>
      <c r="W112" s="307" t="n"/>
      <c r="X112" s="307" t="n"/>
      <c r="Y112" s="307" t="n"/>
      <c r="Z112" s="307" t="n"/>
      <c r="AA112" s="307" t="n"/>
      <c r="AB112" s="307" t="n"/>
      <c r="AC112" s="307" t="n"/>
      <c r="AD112" s="307" t="n"/>
      <c r="AE112" s="307" t="n"/>
      <c r="AF112" s="307" t="n"/>
      <c r="AG112" s="307" t="n"/>
      <c r="AH112" s="307" t="n"/>
      <c r="AI112" s="307" t="n"/>
      <c r="AJ112" s="307" t="n"/>
      <c r="AK112" s="307" t="n"/>
      <c r="AL112" s="307" t="n"/>
      <c r="AM112" s="307" t="n"/>
      <c r="AN112" s="307" t="n"/>
      <c r="AO112" s="307" t="n"/>
      <c r="AP112" s="307" t="n"/>
      <c r="AQ112" s="307" t="n"/>
      <c r="AR112" s="307" t="n"/>
      <c r="AS112" s="307" t="n"/>
      <c r="AT112" s="307" t="n"/>
      <c r="AU112" s="307" t="n"/>
      <c r="AV112" s="307" t="n"/>
      <c r="AW112" s="307" t="n"/>
      <c r="AX112" s="307" t="n"/>
      <c r="AY112" s="307" t="n"/>
      <c r="AZ112" s="307" t="n"/>
      <c r="BA112" s="307" t="n"/>
      <c r="BB112" s="307" t="n"/>
      <c r="BC112" s="307" t="n"/>
      <c r="BD112" s="307" t="n"/>
      <c r="BE112" s="307" t="n"/>
      <c r="BF112" s="307" t="n"/>
      <c r="BG112" s="31" t="n"/>
      <c r="BH112" s="31" t="n"/>
      <c r="BI112" s="31" t="n"/>
      <c r="BJ112" s="31" t="n"/>
    </row>
    <row r="113" ht="15.75" customHeight="1" s="349">
      <c r="A113" s="307" t="n"/>
      <c r="B113" s="307" t="n"/>
      <c r="C113" s="307" t="n"/>
      <c r="D113" s="307" t="n"/>
      <c r="E113" s="307" t="n"/>
      <c r="F113" s="307" t="n"/>
      <c r="G113" s="307" t="n"/>
      <c r="H113" s="307" t="n"/>
      <c r="I113" s="307" t="n"/>
      <c r="J113" s="307" t="n"/>
      <c r="K113" s="307" t="n"/>
      <c r="L113" s="307" t="n"/>
      <c r="M113" s="307" t="n"/>
      <c r="N113" s="307" t="n"/>
      <c r="O113" s="307" t="n"/>
      <c r="P113" s="307" t="n"/>
      <c r="Q113" s="307" t="n"/>
      <c r="R113" s="307" t="n"/>
      <c r="S113" s="307" t="n"/>
      <c r="T113" s="307" t="n"/>
      <c r="U113" s="307" t="n"/>
      <c r="V113" s="307" t="n"/>
      <c r="W113" s="307" t="n"/>
      <c r="X113" s="307" t="n"/>
      <c r="Y113" s="307" t="n"/>
      <c r="Z113" s="307" t="n"/>
      <c r="AA113" s="307" t="n"/>
      <c r="AB113" s="307" t="n"/>
      <c r="AC113" s="307" t="n"/>
      <c r="AD113" s="307" t="n"/>
      <c r="AE113" s="307" t="n"/>
      <c r="AF113" s="307" t="n"/>
      <c r="AG113" s="307" t="n"/>
      <c r="AH113" s="307" t="n"/>
      <c r="AI113" s="307" t="n"/>
      <c r="AJ113" s="307" t="n"/>
      <c r="AK113" s="307" t="n"/>
      <c r="AL113" s="307" t="n"/>
      <c r="AM113" s="307" t="n"/>
      <c r="AN113" s="307" t="n"/>
      <c r="AO113" s="307" t="n"/>
      <c r="AP113" s="307" t="n"/>
      <c r="AQ113" s="307" t="n"/>
      <c r="AR113" s="307" t="n"/>
      <c r="AS113" s="307" t="n"/>
      <c r="AT113" s="307" t="n"/>
      <c r="AU113" s="307" t="n"/>
      <c r="AV113" s="307" t="n"/>
      <c r="AW113" s="307" t="n"/>
      <c r="AX113" s="307" t="n"/>
      <c r="AY113" s="307" t="n"/>
      <c r="AZ113" s="307" t="n"/>
      <c r="BA113" s="307" t="n"/>
      <c r="BB113" s="307" t="n"/>
      <c r="BC113" s="307" t="n"/>
      <c r="BD113" s="307" t="n"/>
      <c r="BE113" s="307" t="n"/>
      <c r="BF113" s="307" t="n"/>
      <c r="BG113" s="31" t="n"/>
      <c r="BH113" s="31" t="n"/>
      <c r="BI113" s="31" t="n"/>
      <c r="BJ113" s="31" t="n"/>
    </row>
    <row r="114" ht="15.75" customHeight="1" s="349">
      <c r="A114" s="307" t="n"/>
      <c r="B114" s="307" t="n"/>
      <c r="C114" s="307" t="n"/>
      <c r="D114" s="307" t="n"/>
      <c r="E114" s="307" t="n"/>
      <c r="F114" s="307" t="n"/>
      <c r="G114" s="307" t="n"/>
      <c r="H114" s="307" t="n"/>
      <c r="I114" s="307" t="n"/>
      <c r="J114" s="307" t="n"/>
      <c r="K114" s="307" t="n"/>
      <c r="L114" s="307" t="n"/>
      <c r="M114" s="307" t="n"/>
      <c r="N114" s="307" t="n"/>
      <c r="O114" s="307" t="n"/>
      <c r="P114" s="307" t="n"/>
      <c r="Q114" s="307" t="n"/>
      <c r="R114" s="307" t="n"/>
      <c r="S114" s="307" t="n"/>
      <c r="T114" s="307" t="n"/>
      <c r="U114" s="307" t="n"/>
      <c r="V114" s="307" t="n"/>
      <c r="W114" s="307" t="n"/>
      <c r="X114" s="307" t="n"/>
      <c r="Y114" s="307" t="n"/>
      <c r="Z114" s="307" t="n"/>
      <c r="AA114" s="307" t="n"/>
      <c r="AB114" s="307" t="n"/>
      <c r="AC114" s="307" t="n"/>
      <c r="AD114" s="307" t="n"/>
      <c r="AE114" s="307" t="n"/>
      <c r="AF114" s="307" t="n"/>
      <c r="AG114" s="307" t="n"/>
      <c r="AH114" s="307" t="n"/>
      <c r="AI114" s="307" t="n"/>
      <c r="AJ114" s="307" t="n"/>
      <c r="AK114" s="307" t="n"/>
      <c r="AL114" s="307" t="n"/>
      <c r="AM114" s="307" t="n"/>
      <c r="AN114" s="307" t="n"/>
      <c r="AO114" s="307" t="n"/>
      <c r="AP114" s="307" t="n"/>
      <c r="AQ114" s="307" t="n"/>
      <c r="AR114" s="307" t="n"/>
      <c r="AS114" s="307" t="n"/>
      <c r="AT114" s="307" t="n"/>
      <c r="AU114" s="307" t="n"/>
      <c r="AV114" s="307" t="n"/>
      <c r="AW114" s="307" t="n"/>
      <c r="AX114" s="307" t="n"/>
      <c r="AY114" s="307" t="n"/>
      <c r="AZ114" s="307" t="n"/>
      <c r="BA114" s="307" t="n"/>
      <c r="BB114" s="307" t="n"/>
      <c r="BC114" s="307" t="n"/>
      <c r="BD114" s="307" t="n"/>
      <c r="BE114" s="307" t="n"/>
      <c r="BF114" s="307" t="n"/>
      <c r="BG114" s="31" t="n"/>
      <c r="BH114" s="31" t="n"/>
      <c r="BI114" s="31" t="n"/>
      <c r="BJ114" s="31" t="n"/>
    </row>
    <row r="115" ht="15.75" customHeight="1" s="349">
      <c r="A115" s="307" t="n"/>
      <c r="B115" s="307" t="n"/>
      <c r="C115" s="307" t="n"/>
      <c r="D115" s="307" t="n"/>
      <c r="E115" s="307" t="n"/>
      <c r="F115" s="307" t="n"/>
      <c r="G115" s="307" t="n"/>
      <c r="H115" s="307" t="n"/>
      <c r="I115" s="307" t="n"/>
      <c r="J115" s="307" t="n"/>
      <c r="K115" s="307" t="n"/>
      <c r="L115" s="307" t="n"/>
      <c r="M115" s="307" t="n"/>
      <c r="N115" s="307" t="n"/>
      <c r="O115" s="307" t="n"/>
      <c r="P115" s="307" t="n"/>
      <c r="Q115" s="307" t="n"/>
      <c r="R115" s="307" t="n"/>
      <c r="S115" s="307" t="n"/>
      <c r="T115" s="307" t="n"/>
      <c r="U115" s="307" t="n"/>
      <c r="V115" s="307" t="n"/>
      <c r="W115" s="307" t="n"/>
      <c r="X115" s="307" t="n"/>
      <c r="Y115" s="307" t="n"/>
      <c r="Z115" s="307" t="n"/>
      <c r="AA115" s="307" t="n"/>
      <c r="AB115" s="307" t="n"/>
      <c r="AC115" s="307" t="n"/>
      <c r="AD115" s="307" t="n"/>
      <c r="AE115" s="307" t="n"/>
      <c r="AF115" s="307" t="n"/>
      <c r="AG115" s="307" t="n"/>
      <c r="AH115" s="307" t="n"/>
      <c r="AI115" s="307" t="n"/>
      <c r="AJ115" s="307" t="n"/>
      <c r="AK115" s="307" t="n"/>
      <c r="AL115" s="307" t="n"/>
      <c r="AM115" s="307" t="n"/>
      <c r="AN115" s="307" t="n"/>
      <c r="AO115" s="307" t="n"/>
      <c r="AP115" s="307" t="n"/>
      <c r="AQ115" s="307" t="n"/>
      <c r="AR115" s="307" t="n"/>
      <c r="AS115" s="307" t="n"/>
      <c r="AT115" s="307" t="n"/>
      <c r="AU115" s="307" t="n"/>
      <c r="AV115" s="307" t="n"/>
      <c r="AW115" s="307" t="n"/>
      <c r="AX115" s="307" t="n"/>
      <c r="AY115" s="307" t="n"/>
      <c r="AZ115" s="307" t="n"/>
      <c r="BA115" s="307" t="n"/>
      <c r="BB115" s="307" t="n"/>
      <c r="BC115" s="307" t="n"/>
      <c r="BD115" s="307" t="n"/>
      <c r="BE115" s="307" t="n"/>
      <c r="BF115" s="307" t="n"/>
      <c r="BG115" s="31" t="n"/>
      <c r="BH115" s="31" t="n"/>
      <c r="BI115" s="31" t="n"/>
      <c r="BJ115" s="31" t="n"/>
    </row>
    <row r="116" ht="15.75" customHeight="1" s="349">
      <c r="A116" s="307" t="n"/>
      <c r="B116" s="307" t="n"/>
      <c r="C116" s="307" t="n"/>
      <c r="D116" s="307" t="n"/>
      <c r="E116" s="307" t="n"/>
      <c r="F116" s="307" t="n"/>
      <c r="G116" s="307" t="n"/>
      <c r="H116" s="307" t="n"/>
      <c r="I116" s="307" t="n"/>
      <c r="J116" s="307" t="n"/>
      <c r="K116" s="307" t="n"/>
      <c r="L116" s="307" t="n"/>
      <c r="M116" s="307" t="n"/>
      <c r="N116" s="307" t="n"/>
      <c r="O116" s="307" t="n"/>
      <c r="P116" s="307" t="n"/>
      <c r="Q116" s="307" t="n"/>
      <c r="R116" s="307" t="n"/>
      <c r="S116" s="307" t="n"/>
      <c r="T116" s="307" t="n"/>
      <c r="U116" s="307" t="n"/>
      <c r="V116" s="307" t="n"/>
      <c r="W116" s="307" t="n"/>
      <c r="X116" s="307" t="n"/>
      <c r="Y116" s="307" t="n"/>
      <c r="Z116" s="307" t="n"/>
      <c r="AA116" s="307" t="n"/>
      <c r="AB116" s="307" t="n"/>
      <c r="AC116" s="307" t="n"/>
      <c r="AD116" s="307" t="n"/>
      <c r="AE116" s="307" t="n"/>
      <c r="AF116" s="307" t="n"/>
      <c r="AG116" s="307" t="n"/>
      <c r="AH116" s="307" t="n"/>
      <c r="AI116" s="307" t="n"/>
      <c r="AJ116" s="307" t="n"/>
      <c r="AK116" s="307" t="n"/>
      <c r="AL116" s="307" t="n"/>
      <c r="AM116" s="307" t="n"/>
      <c r="AN116" s="307" t="n"/>
      <c r="AO116" s="307" t="n"/>
      <c r="AP116" s="307" t="n"/>
      <c r="AQ116" s="307" t="n"/>
      <c r="AR116" s="307" t="n"/>
      <c r="AS116" s="307" t="n"/>
      <c r="AT116" s="307" t="n"/>
      <c r="AU116" s="307" t="n"/>
      <c r="AV116" s="307" t="n"/>
      <c r="AW116" s="307" t="n"/>
      <c r="AX116" s="307" t="n"/>
      <c r="AY116" s="307" t="n"/>
      <c r="AZ116" s="307" t="n"/>
      <c r="BA116" s="307" t="n"/>
      <c r="BB116" s="307" t="n"/>
      <c r="BC116" s="307" t="n"/>
      <c r="BD116" s="307" t="n"/>
      <c r="BE116" s="307" t="n"/>
      <c r="BF116" s="307" t="n"/>
      <c r="BG116" s="31" t="n"/>
      <c r="BH116" s="31" t="n"/>
      <c r="BI116" s="31" t="n"/>
      <c r="BJ116" s="31" t="n"/>
    </row>
    <row r="117" ht="15.75" customHeight="1" s="349">
      <c r="A117" s="307" t="n"/>
      <c r="B117" s="307" t="n"/>
      <c r="C117" s="307" t="n"/>
      <c r="D117" s="307" t="n"/>
      <c r="E117" s="307" t="n"/>
      <c r="F117" s="307" t="n"/>
      <c r="G117" s="307" t="n"/>
      <c r="H117" s="307" t="n"/>
      <c r="I117" s="307" t="n"/>
      <c r="J117" s="307" t="n"/>
      <c r="K117" s="307" t="n"/>
      <c r="L117" s="307" t="n"/>
      <c r="M117" s="307" t="n"/>
      <c r="N117" s="307" t="n"/>
      <c r="O117" s="307" t="n"/>
      <c r="P117" s="307" t="n"/>
      <c r="Q117" s="307" t="n"/>
      <c r="R117" s="307" t="n"/>
      <c r="S117" s="307" t="n"/>
      <c r="T117" s="307" t="n"/>
      <c r="U117" s="307" t="n"/>
      <c r="V117" s="307" t="n"/>
      <c r="W117" s="307" t="n"/>
      <c r="X117" s="307" t="n"/>
      <c r="Y117" s="307" t="n"/>
      <c r="Z117" s="307" t="n"/>
      <c r="AA117" s="307" t="n"/>
      <c r="AB117" s="307" t="n"/>
      <c r="AC117" s="307" t="n"/>
      <c r="AD117" s="307" t="n"/>
      <c r="AE117" s="307" t="n"/>
      <c r="AF117" s="307" t="n"/>
      <c r="AG117" s="307" t="n"/>
      <c r="AH117" s="307" t="n"/>
      <c r="AI117" s="307" t="n"/>
      <c r="AJ117" s="307" t="n"/>
      <c r="AK117" s="307" t="n"/>
      <c r="AL117" s="307" t="n"/>
      <c r="AM117" s="307" t="n"/>
      <c r="AN117" s="307" t="n"/>
      <c r="AO117" s="307" t="n"/>
      <c r="AP117" s="307" t="n"/>
      <c r="AQ117" s="307" t="n"/>
      <c r="AR117" s="307" t="n"/>
      <c r="AS117" s="307" t="n"/>
      <c r="AT117" s="307" t="n"/>
      <c r="AU117" s="307" t="n"/>
      <c r="AV117" s="307" t="n"/>
      <c r="AW117" s="307" t="n"/>
      <c r="AX117" s="307" t="n"/>
      <c r="AY117" s="307" t="n"/>
      <c r="AZ117" s="307" t="n"/>
      <c r="BA117" s="307" t="n"/>
      <c r="BB117" s="307" t="n"/>
      <c r="BC117" s="307" t="n"/>
      <c r="BD117" s="307" t="n"/>
      <c r="BE117" s="307" t="n"/>
      <c r="BF117" s="307" t="n"/>
      <c r="BG117" s="31" t="n"/>
      <c r="BH117" s="31" t="n"/>
      <c r="BI117" s="31" t="n"/>
      <c r="BJ117" s="31" t="n"/>
    </row>
    <row r="118" ht="15.75" customHeight="1" s="349">
      <c r="A118" s="307" t="n"/>
      <c r="B118" s="307" t="n"/>
      <c r="C118" s="307" t="n"/>
      <c r="D118" s="307" t="n"/>
      <c r="E118" s="307" t="n"/>
      <c r="F118" s="307" t="n"/>
      <c r="G118" s="307" t="n"/>
      <c r="H118" s="307" t="n"/>
      <c r="I118" s="307" t="n"/>
      <c r="J118" s="307" t="n"/>
      <c r="K118" s="307" t="n"/>
      <c r="L118" s="307" t="n"/>
      <c r="M118" s="307" t="n"/>
      <c r="N118" s="307" t="n"/>
      <c r="O118" s="307" t="n"/>
      <c r="P118" s="307" t="n"/>
      <c r="Q118" s="307" t="n"/>
      <c r="R118" s="307" t="n"/>
      <c r="S118" s="307" t="n"/>
      <c r="T118" s="307" t="n"/>
      <c r="U118" s="307" t="n"/>
      <c r="V118" s="307" t="n"/>
      <c r="W118" s="307" t="n"/>
      <c r="X118" s="307" t="n"/>
      <c r="Y118" s="307" t="n"/>
      <c r="Z118" s="307" t="n"/>
      <c r="AA118" s="307" t="n"/>
      <c r="AB118" s="307" t="n"/>
      <c r="AC118" s="307" t="n"/>
      <c r="AD118" s="307" t="n"/>
      <c r="AE118" s="307" t="n"/>
      <c r="AF118" s="307" t="n"/>
      <c r="AG118" s="307" t="n"/>
      <c r="AH118" s="307" t="n"/>
      <c r="AI118" s="307" t="n"/>
      <c r="AJ118" s="307" t="n"/>
      <c r="AK118" s="307" t="n"/>
      <c r="AL118" s="307" t="n"/>
      <c r="AM118" s="307" t="n"/>
      <c r="AN118" s="307" t="n"/>
      <c r="AO118" s="307" t="n"/>
      <c r="AP118" s="307" t="n"/>
      <c r="AQ118" s="307" t="n"/>
      <c r="AR118" s="307" t="n"/>
      <c r="AS118" s="307" t="n"/>
      <c r="AT118" s="307" t="n"/>
      <c r="AU118" s="307" t="n"/>
      <c r="AV118" s="307" t="n"/>
      <c r="AW118" s="307" t="n"/>
      <c r="AX118" s="307" t="n"/>
      <c r="AY118" s="307" t="n"/>
      <c r="AZ118" s="307" t="n"/>
      <c r="BA118" s="307" t="n"/>
      <c r="BB118" s="307" t="n"/>
      <c r="BC118" s="307" t="n"/>
      <c r="BD118" s="307" t="n"/>
      <c r="BE118" s="307" t="n"/>
      <c r="BF118" s="307" t="n"/>
      <c r="BG118" s="31" t="n"/>
      <c r="BH118" s="31" t="n"/>
      <c r="BI118" s="31" t="n"/>
      <c r="BJ118" s="31" t="n"/>
    </row>
    <row r="119" ht="15.75" customHeight="1" s="349">
      <c r="A119" s="307" t="n"/>
      <c r="B119" s="307" t="n"/>
      <c r="C119" s="307" t="n"/>
      <c r="D119" s="307" t="n"/>
      <c r="E119" s="307" t="n"/>
      <c r="F119" s="307" t="n"/>
      <c r="G119" s="307" t="n"/>
      <c r="H119" s="307" t="n"/>
      <c r="I119" s="307" t="n"/>
      <c r="J119" s="307" t="n"/>
      <c r="K119" s="307" t="n"/>
      <c r="L119" s="307" t="n"/>
      <c r="M119" s="307" t="n"/>
      <c r="N119" s="307" t="n"/>
      <c r="O119" s="307" t="n"/>
      <c r="P119" s="307" t="n"/>
      <c r="Q119" s="307" t="n"/>
      <c r="R119" s="307" t="n"/>
      <c r="S119" s="307" t="n"/>
      <c r="T119" s="307" t="n"/>
      <c r="U119" s="307" t="n"/>
      <c r="V119" s="307" t="n"/>
      <c r="W119" s="307" t="n"/>
      <c r="X119" s="307" t="n"/>
      <c r="Y119" s="307" t="n"/>
      <c r="Z119" s="307" t="n"/>
      <c r="AA119" s="307" t="n"/>
      <c r="AB119" s="307" t="n"/>
      <c r="AC119" s="307" t="n"/>
      <c r="AD119" s="307" t="n"/>
      <c r="AE119" s="307" t="n"/>
      <c r="AF119" s="307" t="n"/>
      <c r="AG119" s="307" t="n"/>
      <c r="AH119" s="307" t="n"/>
      <c r="AI119" s="307" t="n"/>
      <c r="AJ119" s="307" t="n"/>
      <c r="AK119" s="307" t="n"/>
      <c r="AL119" s="307" t="n"/>
      <c r="AM119" s="307" t="n"/>
      <c r="AN119" s="307" t="n"/>
      <c r="AO119" s="307" t="n"/>
      <c r="AP119" s="307" t="n"/>
      <c r="AQ119" s="307" t="n"/>
      <c r="AR119" s="307" t="n"/>
      <c r="AS119" s="307" t="n"/>
      <c r="AT119" s="307" t="n"/>
      <c r="AU119" s="307" t="n"/>
      <c r="AV119" s="307" t="n"/>
      <c r="AW119" s="307" t="n"/>
      <c r="AX119" s="307" t="n"/>
      <c r="AY119" s="307" t="n"/>
      <c r="AZ119" s="307" t="n"/>
      <c r="BA119" s="307" t="n"/>
      <c r="BB119" s="307" t="n"/>
      <c r="BC119" s="307" t="n"/>
      <c r="BD119" s="307" t="n"/>
      <c r="BE119" s="307" t="n"/>
      <c r="BF119" s="307" t="n"/>
      <c r="BG119" s="31" t="n"/>
      <c r="BH119" s="31" t="n"/>
      <c r="BI119" s="31" t="n"/>
      <c r="BJ119" s="31" t="n"/>
    </row>
    <row r="120" ht="15.75" customHeight="1" s="349">
      <c r="A120" s="307" t="n"/>
      <c r="B120" s="307" t="n"/>
      <c r="C120" s="307" t="n"/>
      <c r="D120" s="307" t="n"/>
      <c r="E120" s="307" t="n"/>
      <c r="F120" s="307" t="n"/>
      <c r="G120" s="307" t="n"/>
      <c r="H120" s="307" t="n"/>
      <c r="I120" s="307" t="n"/>
      <c r="J120" s="307" t="n"/>
      <c r="K120" s="307" t="n"/>
      <c r="L120" s="307" t="n"/>
      <c r="M120" s="307" t="n"/>
      <c r="N120" s="307" t="n"/>
      <c r="O120" s="307" t="n"/>
      <c r="P120" s="307" t="n"/>
      <c r="Q120" s="307" t="n"/>
      <c r="R120" s="307" t="n"/>
      <c r="S120" s="307" t="n"/>
      <c r="T120" s="307" t="n"/>
      <c r="U120" s="307" t="n"/>
      <c r="V120" s="307" t="n"/>
      <c r="W120" s="307" t="n"/>
      <c r="X120" s="307" t="n"/>
      <c r="Y120" s="307" t="n"/>
      <c r="Z120" s="307" t="n"/>
      <c r="AA120" s="307" t="n"/>
      <c r="AB120" s="307" t="n"/>
      <c r="AC120" s="307" t="n"/>
      <c r="AD120" s="307" t="n"/>
      <c r="AE120" s="307" t="n"/>
      <c r="AF120" s="307" t="n"/>
      <c r="AG120" s="307" t="n"/>
      <c r="AH120" s="307" t="n"/>
      <c r="AI120" s="307" t="n"/>
      <c r="AJ120" s="307" t="n"/>
      <c r="AK120" s="307" t="n"/>
      <c r="AL120" s="307" t="n"/>
      <c r="AM120" s="307" t="n"/>
      <c r="AN120" s="307" t="n"/>
      <c r="AO120" s="307" t="n"/>
      <c r="AP120" s="307" t="n"/>
      <c r="AQ120" s="307" t="n"/>
      <c r="AR120" s="307" t="n"/>
      <c r="AS120" s="307" t="n"/>
      <c r="AT120" s="307" t="n"/>
      <c r="AU120" s="307" t="n"/>
      <c r="AV120" s="307" t="n"/>
      <c r="AW120" s="307" t="n"/>
      <c r="AX120" s="307" t="n"/>
      <c r="AY120" s="307" t="n"/>
      <c r="AZ120" s="307" t="n"/>
      <c r="BA120" s="307" t="n"/>
      <c r="BB120" s="307" t="n"/>
      <c r="BC120" s="307" t="n"/>
      <c r="BD120" s="307" t="n"/>
      <c r="BE120" s="307" t="n"/>
      <c r="BF120" s="307" t="n"/>
      <c r="BG120" s="31" t="n"/>
      <c r="BH120" s="31" t="n"/>
      <c r="BI120" s="31" t="n"/>
      <c r="BJ120" s="31" t="n"/>
    </row>
    <row r="121" ht="15.75" customHeight="1" s="349">
      <c r="A121" s="307" t="n"/>
      <c r="B121" s="307" t="n"/>
      <c r="C121" s="307" t="n"/>
      <c r="D121" s="307" t="n"/>
      <c r="E121" s="307" t="n"/>
      <c r="F121" s="307" t="n"/>
      <c r="G121" s="307" t="n"/>
      <c r="H121" s="307" t="n"/>
      <c r="I121" s="307" t="n"/>
      <c r="J121" s="307" t="n"/>
      <c r="K121" s="307" t="n"/>
      <c r="L121" s="307" t="n"/>
      <c r="M121" s="307" t="n"/>
      <c r="N121" s="307" t="n"/>
      <c r="O121" s="307" t="n"/>
      <c r="P121" s="307" t="n"/>
      <c r="Q121" s="307" t="n"/>
      <c r="R121" s="307" t="n"/>
      <c r="S121" s="307" t="n"/>
      <c r="T121" s="307" t="n"/>
      <c r="U121" s="307" t="n"/>
      <c r="V121" s="307" t="n"/>
      <c r="W121" s="307" t="n"/>
      <c r="X121" s="307" t="n"/>
      <c r="Y121" s="307" t="n"/>
      <c r="Z121" s="307" t="n"/>
      <c r="AA121" s="307" t="n"/>
      <c r="AB121" s="307" t="n"/>
      <c r="AC121" s="307" t="n"/>
      <c r="AD121" s="307" t="n"/>
      <c r="AE121" s="307" t="n"/>
      <c r="AF121" s="307" t="n"/>
      <c r="AG121" s="307" t="n"/>
      <c r="AH121" s="307" t="n"/>
      <c r="AI121" s="307" t="n"/>
      <c r="AJ121" s="307" t="n"/>
      <c r="AK121" s="307" t="n"/>
      <c r="AL121" s="307" t="n"/>
      <c r="AM121" s="307" t="n"/>
      <c r="AN121" s="307" t="n"/>
      <c r="AO121" s="307" t="n"/>
      <c r="AP121" s="307" t="n"/>
      <c r="AQ121" s="307" t="n"/>
      <c r="AR121" s="307" t="n"/>
      <c r="AS121" s="307" t="n"/>
      <c r="AT121" s="307" t="n"/>
      <c r="AU121" s="307" t="n"/>
      <c r="AV121" s="307" t="n"/>
      <c r="AW121" s="307" t="n"/>
      <c r="AX121" s="307" t="n"/>
      <c r="AY121" s="307" t="n"/>
      <c r="AZ121" s="307" t="n"/>
      <c r="BA121" s="307" t="n"/>
      <c r="BB121" s="307" t="n"/>
      <c r="BC121" s="307" t="n"/>
      <c r="BD121" s="307" t="n"/>
      <c r="BE121" s="307" t="n"/>
      <c r="BF121" s="307" t="n"/>
      <c r="BG121" s="31" t="n"/>
      <c r="BH121" s="31" t="n"/>
      <c r="BI121" s="31" t="n"/>
      <c r="BJ121" s="31" t="n"/>
    </row>
    <row r="122" ht="15.75" customHeight="1" s="349">
      <c r="A122" s="307" t="n"/>
      <c r="B122" s="307" t="n"/>
      <c r="C122" s="307" t="n"/>
      <c r="D122" s="307" t="n"/>
      <c r="E122" s="307" t="n"/>
      <c r="F122" s="307" t="n"/>
      <c r="G122" s="307" t="n"/>
      <c r="H122" s="307" t="n"/>
      <c r="I122" s="307" t="n"/>
      <c r="J122" s="307" t="n"/>
      <c r="K122" s="307" t="n"/>
      <c r="L122" s="307" t="n"/>
      <c r="M122" s="307" t="n"/>
      <c r="N122" s="307" t="n"/>
      <c r="O122" s="307" t="n"/>
      <c r="P122" s="307" t="n"/>
      <c r="Q122" s="307" t="n"/>
      <c r="R122" s="307" t="n"/>
      <c r="S122" s="307" t="n"/>
      <c r="T122" s="307" t="n"/>
      <c r="U122" s="307" t="n"/>
      <c r="V122" s="307" t="n"/>
      <c r="W122" s="307" t="n"/>
      <c r="X122" s="307" t="n"/>
      <c r="Y122" s="307" t="n"/>
      <c r="Z122" s="307" t="n"/>
      <c r="AA122" s="307" t="n"/>
      <c r="AB122" s="307" t="n"/>
      <c r="AC122" s="307" t="n"/>
      <c r="AD122" s="307" t="n"/>
      <c r="AE122" s="307" t="n"/>
      <c r="AF122" s="307" t="n"/>
      <c r="AG122" s="307" t="n"/>
      <c r="AH122" s="307" t="n"/>
      <c r="AI122" s="307" t="n"/>
      <c r="AJ122" s="307" t="n"/>
      <c r="AK122" s="307" t="n"/>
      <c r="AL122" s="307" t="n"/>
      <c r="AM122" s="307" t="n"/>
      <c r="AN122" s="307" t="n"/>
      <c r="AO122" s="307" t="n"/>
      <c r="AP122" s="307" t="n"/>
      <c r="AQ122" s="307" t="n"/>
      <c r="AR122" s="307" t="n"/>
      <c r="AS122" s="307" t="n"/>
      <c r="AT122" s="307" t="n"/>
      <c r="AU122" s="307" t="n"/>
      <c r="AV122" s="307" t="n"/>
      <c r="AW122" s="307" t="n"/>
      <c r="AX122" s="307" t="n"/>
      <c r="AY122" s="307" t="n"/>
      <c r="AZ122" s="307" t="n"/>
      <c r="BA122" s="307" t="n"/>
      <c r="BB122" s="307" t="n"/>
      <c r="BC122" s="307" t="n"/>
      <c r="BD122" s="307" t="n"/>
      <c r="BE122" s="307" t="n"/>
      <c r="BF122" s="307" t="n"/>
      <c r="BG122" s="31" t="n"/>
      <c r="BH122" s="31" t="n"/>
      <c r="BI122" s="31" t="n"/>
      <c r="BJ122" s="31" t="n"/>
    </row>
    <row r="123" ht="15.75" customHeight="1" s="349">
      <c r="A123" s="307" t="n"/>
      <c r="B123" s="307" t="n"/>
      <c r="C123" s="307" t="n"/>
      <c r="D123" s="307" t="n"/>
      <c r="E123" s="307" t="n"/>
      <c r="F123" s="307" t="n"/>
      <c r="G123" s="307" t="n"/>
      <c r="H123" s="307" t="n"/>
      <c r="I123" s="307" t="n"/>
      <c r="J123" s="307" t="n"/>
      <c r="K123" s="307" t="n"/>
      <c r="L123" s="307" t="n"/>
      <c r="M123" s="307" t="n"/>
      <c r="N123" s="307" t="n"/>
      <c r="O123" s="307" t="n"/>
      <c r="P123" s="307" t="n"/>
      <c r="Q123" s="307" t="n"/>
      <c r="R123" s="307" t="n"/>
      <c r="S123" s="307" t="n"/>
      <c r="T123" s="307" t="n"/>
      <c r="U123" s="307" t="n"/>
      <c r="V123" s="307" t="n"/>
      <c r="W123" s="307" t="n"/>
      <c r="X123" s="307" t="n"/>
      <c r="Y123" s="307" t="n"/>
      <c r="Z123" s="307" t="n"/>
      <c r="AA123" s="307" t="n"/>
      <c r="AB123" s="307" t="n"/>
      <c r="AC123" s="307" t="n"/>
      <c r="AD123" s="307" t="n"/>
      <c r="AE123" s="307" t="n"/>
      <c r="AF123" s="307" t="n"/>
      <c r="AG123" s="307" t="n"/>
      <c r="AH123" s="307" t="n"/>
      <c r="AI123" s="307" t="n"/>
      <c r="AJ123" s="307" t="n"/>
      <c r="AK123" s="307" t="n"/>
      <c r="AL123" s="307" t="n"/>
      <c r="AM123" s="307" t="n"/>
      <c r="AN123" s="307" t="n"/>
      <c r="AO123" s="307" t="n"/>
      <c r="AP123" s="307" t="n"/>
      <c r="AQ123" s="307" t="n"/>
      <c r="AR123" s="307" t="n"/>
      <c r="AS123" s="307" t="n"/>
      <c r="AT123" s="307" t="n"/>
      <c r="AU123" s="307" t="n"/>
      <c r="AV123" s="307" t="n"/>
      <c r="AW123" s="307" t="n"/>
      <c r="AX123" s="307" t="n"/>
      <c r="AY123" s="307" t="n"/>
      <c r="AZ123" s="307" t="n"/>
      <c r="BA123" s="307" t="n"/>
      <c r="BB123" s="307" t="n"/>
      <c r="BC123" s="307" t="n"/>
      <c r="BD123" s="307" t="n"/>
      <c r="BE123" s="307" t="n"/>
      <c r="BF123" s="307" t="n"/>
      <c r="BG123" s="31" t="n"/>
      <c r="BH123" s="31" t="n"/>
      <c r="BI123" s="31" t="n"/>
      <c r="BJ123" s="31" t="n"/>
    </row>
    <row r="124" ht="15.75" customHeight="1" s="349">
      <c r="A124" s="307" t="n"/>
      <c r="B124" s="307" t="n"/>
      <c r="C124" s="307" t="n"/>
      <c r="D124" s="307" t="n"/>
      <c r="E124" s="307" t="n"/>
      <c r="F124" s="307" t="n"/>
      <c r="G124" s="307" t="n"/>
      <c r="H124" s="307" t="n"/>
      <c r="I124" s="307" t="n"/>
      <c r="J124" s="307" t="n"/>
      <c r="K124" s="307" t="n"/>
      <c r="L124" s="307" t="n"/>
      <c r="M124" s="307" t="n"/>
      <c r="N124" s="307" t="n"/>
      <c r="O124" s="307" t="n"/>
      <c r="P124" s="307" t="n"/>
      <c r="Q124" s="307" t="n"/>
      <c r="R124" s="307" t="n"/>
      <c r="S124" s="307" t="n"/>
      <c r="T124" s="307" t="n"/>
      <c r="U124" s="307" t="n"/>
      <c r="V124" s="307" t="n"/>
      <c r="W124" s="307" t="n"/>
      <c r="X124" s="307" t="n"/>
      <c r="Y124" s="307" t="n"/>
      <c r="Z124" s="307" t="n"/>
      <c r="AA124" s="307" t="n"/>
      <c r="AB124" s="307" t="n"/>
      <c r="AC124" s="307" t="n"/>
      <c r="AD124" s="307" t="n"/>
      <c r="AE124" s="307" t="n"/>
      <c r="AF124" s="307" t="n"/>
      <c r="AG124" s="307" t="n"/>
      <c r="AH124" s="307" t="n"/>
      <c r="AI124" s="307" t="n"/>
      <c r="AJ124" s="307" t="n"/>
      <c r="AK124" s="307" t="n"/>
      <c r="AL124" s="307" t="n"/>
      <c r="AM124" s="307" t="n"/>
      <c r="AN124" s="307" t="n"/>
      <c r="AO124" s="307" t="n"/>
      <c r="AP124" s="307" t="n"/>
      <c r="AQ124" s="307" t="n"/>
      <c r="AR124" s="307" t="n"/>
      <c r="AS124" s="307" t="n"/>
      <c r="AT124" s="307" t="n"/>
      <c r="AU124" s="307" t="n"/>
      <c r="AV124" s="307" t="n"/>
      <c r="AW124" s="307" t="n"/>
      <c r="AX124" s="307" t="n"/>
      <c r="AY124" s="307" t="n"/>
      <c r="AZ124" s="307" t="n"/>
      <c r="BA124" s="307" t="n"/>
      <c r="BB124" s="307" t="n"/>
      <c r="BC124" s="307" t="n"/>
      <c r="BD124" s="307" t="n"/>
      <c r="BE124" s="307" t="n"/>
      <c r="BF124" s="307" t="n"/>
      <c r="BG124" s="31" t="n"/>
      <c r="BH124" s="31" t="n"/>
      <c r="BI124" s="31" t="n"/>
      <c r="BJ124" s="31" t="n"/>
    </row>
    <row r="125" ht="15.75" customHeight="1" s="349">
      <c r="A125" s="307" t="n"/>
      <c r="B125" s="307" t="n"/>
      <c r="C125" s="307" t="n"/>
      <c r="D125" s="307" t="n"/>
      <c r="E125" s="307" t="n"/>
      <c r="F125" s="307" t="n"/>
      <c r="G125" s="307" t="n"/>
      <c r="H125" s="307" t="n"/>
      <c r="I125" s="307" t="n"/>
      <c r="J125" s="307" t="n"/>
      <c r="K125" s="307" t="n"/>
      <c r="L125" s="307" t="n"/>
      <c r="M125" s="307" t="n"/>
      <c r="N125" s="307" t="n"/>
      <c r="O125" s="307" t="n"/>
      <c r="P125" s="307" t="n"/>
      <c r="Q125" s="307" t="n"/>
      <c r="R125" s="307" t="n"/>
      <c r="S125" s="307" t="n"/>
      <c r="T125" s="307" t="n"/>
      <c r="U125" s="307" t="n"/>
      <c r="V125" s="307" t="n"/>
      <c r="W125" s="307" t="n"/>
      <c r="X125" s="307" t="n"/>
      <c r="Y125" s="307" t="n"/>
      <c r="Z125" s="307" t="n"/>
      <c r="AA125" s="307" t="n"/>
      <c r="AB125" s="307" t="n"/>
      <c r="AC125" s="307" t="n"/>
      <c r="AD125" s="307" t="n"/>
      <c r="AE125" s="307" t="n"/>
      <c r="AF125" s="307" t="n"/>
      <c r="AG125" s="307" t="n"/>
      <c r="AH125" s="307" t="n"/>
      <c r="AI125" s="307" t="n"/>
      <c r="AJ125" s="307" t="n"/>
      <c r="AK125" s="307" t="n"/>
      <c r="AL125" s="307" t="n"/>
      <c r="AM125" s="307" t="n"/>
      <c r="AN125" s="307" t="n"/>
      <c r="AO125" s="307" t="n"/>
      <c r="AP125" s="307" t="n"/>
      <c r="AQ125" s="307" t="n"/>
      <c r="AR125" s="307" t="n"/>
      <c r="AS125" s="307" t="n"/>
      <c r="AT125" s="307" t="n"/>
      <c r="AU125" s="307" t="n"/>
      <c r="AV125" s="307" t="n"/>
      <c r="AW125" s="307" t="n"/>
      <c r="AX125" s="307" t="n"/>
      <c r="AY125" s="307" t="n"/>
      <c r="AZ125" s="307" t="n"/>
      <c r="BA125" s="307" t="n"/>
      <c r="BB125" s="307" t="n"/>
      <c r="BC125" s="307" t="n"/>
      <c r="BD125" s="307" t="n"/>
      <c r="BE125" s="307" t="n"/>
      <c r="BF125" s="307" t="n"/>
      <c r="BG125" s="31" t="n"/>
      <c r="BH125" s="31" t="n"/>
      <c r="BI125" s="31" t="n"/>
      <c r="BJ125" s="31" t="n"/>
    </row>
    <row r="126" ht="15.75" customHeight="1" s="349">
      <c r="A126" s="307" t="n"/>
      <c r="B126" s="307" t="n"/>
      <c r="C126" s="307" t="n"/>
      <c r="D126" s="307" t="n"/>
      <c r="E126" s="307" t="n"/>
      <c r="F126" s="307" t="n"/>
      <c r="G126" s="307" t="n"/>
      <c r="H126" s="307" t="n"/>
      <c r="I126" s="307" t="n"/>
      <c r="J126" s="307" t="n"/>
      <c r="K126" s="307" t="n"/>
      <c r="L126" s="307" t="n"/>
      <c r="M126" s="307" t="n"/>
      <c r="N126" s="307" t="n"/>
      <c r="O126" s="307" t="n"/>
      <c r="P126" s="307" t="n"/>
      <c r="Q126" s="307" t="n"/>
      <c r="R126" s="307" t="n"/>
      <c r="S126" s="307" t="n"/>
      <c r="T126" s="307" t="n"/>
      <c r="U126" s="307" t="n"/>
      <c r="V126" s="307" t="n"/>
      <c r="W126" s="307" t="n"/>
      <c r="X126" s="307" t="n"/>
      <c r="Y126" s="307" t="n"/>
      <c r="Z126" s="307" t="n"/>
      <c r="AA126" s="307" t="n"/>
      <c r="AB126" s="307" t="n"/>
      <c r="AC126" s="307" t="n"/>
      <c r="AD126" s="307" t="n"/>
      <c r="AE126" s="307" t="n"/>
      <c r="AF126" s="307" t="n"/>
      <c r="AG126" s="307" t="n"/>
      <c r="AH126" s="307" t="n"/>
      <c r="AI126" s="307" t="n"/>
      <c r="AJ126" s="307" t="n"/>
      <c r="AK126" s="307" t="n"/>
      <c r="AL126" s="307" t="n"/>
      <c r="AM126" s="307" t="n"/>
      <c r="AN126" s="307" t="n"/>
      <c r="AO126" s="307" t="n"/>
      <c r="AP126" s="307" t="n"/>
      <c r="AQ126" s="307" t="n"/>
      <c r="AR126" s="307" t="n"/>
      <c r="AS126" s="307" t="n"/>
      <c r="AT126" s="307" t="n"/>
      <c r="AU126" s="307" t="n"/>
      <c r="AV126" s="307" t="n"/>
      <c r="AW126" s="307" t="n"/>
      <c r="AX126" s="307" t="n"/>
      <c r="AY126" s="307" t="n"/>
      <c r="AZ126" s="307" t="n"/>
      <c r="BA126" s="307" t="n"/>
      <c r="BB126" s="307" t="n"/>
      <c r="BC126" s="307" t="n"/>
      <c r="BD126" s="307" t="n"/>
      <c r="BE126" s="307" t="n"/>
      <c r="BF126" s="307" t="n"/>
      <c r="BG126" s="31" t="n"/>
      <c r="BH126" s="31" t="n"/>
      <c r="BI126" s="31" t="n"/>
      <c r="BJ126" s="31" t="n"/>
    </row>
    <row r="127" ht="15.75" customHeight="1" s="349">
      <c r="A127" s="307" t="n"/>
      <c r="B127" s="307" t="n"/>
      <c r="C127" s="307" t="n"/>
      <c r="D127" s="307" t="n"/>
      <c r="E127" s="307" t="n"/>
      <c r="F127" s="307" t="n"/>
      <c r="G127" s="307" t="n"/>
      <c r="H127" s="307" t="n"/>
      <c r="I127" s="307" t="n"/>
      <c r="J127" s="307" t="n"/>
      <c r="K127" s="307" t="n"/>
      <c r="L127" s="307" t="n"/>
      <c r="M127" s="307" t="n"/>
      <c r="N127" s="307" t="n"/>
      <c r="O127" s="307" t="n"/>
      <c r="P127" s="307" t="n"/>
      <c r="Q127" s="307" t="n"/>
      <c r="R127" s="307" t="n"/>
      <c r="S127" s="307" t="n"/>
      <c r="T127" s="307" t="n"/>
      <c r="U127" s="307" t="n"/>
      <c r="V127" s="307" t="n"/>
      <c r="W127" s="307" t="n"/>
      <c r="X127" s="307" t="n"/>
      <c r="Y127" s="307" t="n"/>
      <c r="Z127" s="307" t="n"/>
      <c r="AA127" s="307" t="n"/>
      <c r="AB127" s="307" t="n"/>
      <c r="AC127" s="307" t="n"/>
      <c r="AD127" s="307" t="n"/>
      <c r="AE127" s="307" t="n"/>
      <c r="AF127" s="307" t="n"/>
      <c r="AG127" s="307" t="n"/>
      <c r="AH127" s="307" t="n"/>
      <c r="AI127" s="307" t="n"/>
      <c r="AJ127" s="307" t="n"/>
      <c r="AK127" s="307" t="n"/>
      <c r="AL127" s="307" t="n"/>
      <c r="AM127" s="307" t="n"/>
      <c r="AN127" s="307" t="n"/>
      <c r="AO127" s="307" t="n"/>
      <c r="AP127" s="307" t="n"/>
      <c r="AQ127" s="307" t="n"/>
      <c r="AR127" s="307" t="n"/>
      <c r="AS127" s="307" t="n"/>
      <c r="AT127" s="307" t="n"/>
      <c r="AU127" s="307" t="n"/>
      <c r="AV127" s="307" t="n"/>
      <c r="AW127" s="307" t="n"/>
      <c r="AX127" s="307" t="n"/>
      <c r="AY127" s="307" t="n"/>
      <c r="AZ127" s="307" t="n"/>
      <c r="BA127" s="307" t="n"/>
      <c r="BB127" s="307" t="n"/>
      <c r="BC127" s="307" t="n"/>
      <c r="BD127" s="307" t="n"/>
      <c r="BE127" s="307" t="n"/>
      <c r="BF127" s="307" t="n"/>
      <c r="BG127" s="31" t="n"/>
      <c r="BH127" s="31" t="n"/>
      <c r="BI127" s="31" t="n"/>
      <c r="BJ127" s="31" t="n"/>
    </row>
    <row r="128" ht="15.75" customHeight="1" s="349">
      <c r="A128" s="307" t="n"/>
      <c r="B128" s="307" t="n"/>
      <c r="C128" s="307" t="n"/>
      <c r="D128" s="307" t="n"/>
      <c r="E128" s="307" t="n"/>
      <c r="F128" s="307" t="n"/>
      <c r="G128" s="307" t="n"/>
      <c r="H128" s="307" t="n"/>
      <c r="I128" s="307" t="n"/>
      <c r="J128" s="307" t="n"/>
      <c r="K128" s="307" t="n"/>
      <c r="L128" s="307" t="n"/>
      <c r="M128" s="307" t="n"/>
      <c r="N128" s="307" t="n"/>
      <c r="O128" s="307" t="n"/>
      <c r="P128" s="307" t="n"/>
      <c r="Q128" s="307" t="n"/>
      <c r="R128" s="307" t="n"/>
      <c r="S128" s="307" t="n"/>
      <c r="T128" s="307" t="n"/>
      <c r="U128" s="307" t="n"/>
      <c r="V128" s="307" t="n"/>
      <c r="W128" s="307" t="n"/>
      <c r="X128" s="307" t="n"/>
      <c r="Y128" s="307" t="n"/>
      <c r="Z128" s="307" t="n"/>
      <c r="AA128" s="307" t="n"/>
      <c r="AB128" s="307" t="n"/>
      <c r="AC128" s="307" t="n"/>
      <c r="AD128" s="307" t="n"/>
      <c r="AE128" s="307" t="n"/>
      <c r="AF128" s="307" t="n"/>
      <c r="AG128" s="307" t="n"/>
      <c r="AH128" s="307" t="n"/>
      <c r="AI128" s="307" t="n"/>
      <c r="AJ128" s="307" t="n"/>
      <c r="AK128" s="307" t="n"/>
      <c r="AL128" s="307" t="n"/>
      <c r="AM128" s="307" t="n"/>
      <c r="AN128" s="307" t="n"/>
      <c r="AO128" s="307" t="n"/>
      <c r="AP128" s="307" t="n"/>
      <c r="AQ128" s="307" t="n"/>
      <c r="AR128" s="307" t="n"/>
      <c r="AS128" s="307" t="n"/>
      <c r="AT128" s="307" t="n"/>
      <c r="AU128" s="307" t="n"/>
      <c r="AV128" s="307" t="n"/>
      <c r="AW128" s="307" t="n"/>
      <c r="AX128" s="307" t="n"/>
      <c r="AY128" s="307" t="n"/>
      <c r="AZ128" s="307" t="n"/>
      <c r="BA128" s="307" t="n"/>
      <c r="BB128" s="307" t="n"/>
      <c r="BC128" s="307" t="n"/>
      <c r="BD128" s="307" t="n"/>
      <c r="BE128" s="307" t="n"/>
      <c r="BF128" s="307" t="n"/>
      <c r="BG128" s="31" t="n"/>
      <c r="BH128" s="31" t="n"/>
      <c r="BI128" s="31" t="n"/>
      <c r="BJ128" s="31" t="n"/>
    </row>
    <row r="129" ht="15.75" customHeight="1" s="349">
      <c r="A129" s="307" t="n"/>
      <c r="B129" s="307" t="n"/>
      <c r="C129" s="307" t="n"/>
      <c r="D129" s="307" t="n"/>
      <c r="E129" s="307" t="n"/>
      <c r="F129" s="307" t="n"/>
      <c r="G129" s="307" t="n"/>
      <c r="H129" s="307" t="n"/>
      <c r="I129" s="307" t="n"/>
      <c r="J129" s="307" t="n"/>
      <c r="K129" s="307" t="n"/>
      <c r="L129" s="307" t="n"/>
      <c r="M129" s="307" t="n"/>
      <c r="N129" s="307" t="n"/>
      <c r="O129" s="307" t="n"/>
      <c r="P129" s="307" t="n"/>
      <c r="Q129" s="307" t="n"/>
      <c r="R129" s="307" t="n"/>
      <c r="S129" s="307" t="n"/>
      <c r="T129" s="307" t="n"/>
      <c r="U129" s="307" t="n"/>
      <c r="V129" s="307" t="n"/>
      <c r="W129" s="307" t="n"/>
      <c r="X129" s="307" t="n"/>
      <c r="Y129" s="307" t="n"/>
      <c r="Z129" s="307" t="n"/>
      <c r="AA129" s="307" t="n"/>
      <c r="AB129" s="307" t="n"/>
      <c r="AC129" s="307" t="n"/>
      <c r="AD129" s="307" t="n"/>
      <c r="AE129" s="307" t="n"/>
      <c r="AF129" s="307" t="n"/>
      <c r="AG129" s="307" t="n"/>
      <c r="AH129" s="307" t="n"/>
      <c r="AI129" s="307" t="n"/>
      <c r="AJ129" s="307" t="n"/>
      <c r="AK129" s="307" t="n"/>
      <c r="AL129" s="307" t="n"/>
      <c r="AM129" s="307" t="n"/>
      <c r="AN129" s="307" t="n"/>
      <c r="AO129" s="307" t="n"/>
      <c r="AP129" s="307" t="n"/>
      <c r="AQ129" s="307" t="n"/>
      <c r="AR129" s="307" t="n"/>
      <c r="AS129" s="307" t="n"/>
      <c r="AT129" s="307" t="n"/>
      <c r="AU129" s="307" t="n"/>
      <c r="AV129" s="307" t="n"/>
      <c r="AW129" s="307" t="n"/>
      <c r="AX129" s="307" t="n"/>
      <c r="AY129" s="307" t="n"/>
      <c r="AZ129" s="307" t="n"/>
      <c r="BA129" s="307" t="n"/>
      <c r="BB129" s="307" t="n"/>
      <c r="BC129" s="307" t="n"/>
      <c r="BD129" s="307" t="n"/>
      <c r="BE129" s="307" t="n"/>
      <c r="BF129" s="307" t="n"/>
      <c r="BG129" s="31" t="n"/>
      <c r="BH129" s="31" t="n"/>
      <c r="BI129" s="31" t="n"/>
      <c r="BJ129" s="31" t="n"/>
    </row>
    <row r="130" ht="15.75" customHeight="1" s="349">
      <c r="A130" s="307" t="n"/>
      <c r="B130" s="307" t="n"/>
      <c r="C130" s="307" t="n"/>
      <c r="D130" s="307" t="n"/>
      <c r="E130" s="307" t="n"/>
      <c r="F130" s="307" t="n"/>
      <c r="G130" s="307" t="n"/>
      <c r="H130" s="307" t="n"/>
      <c r="I130" s="307" t="n"/>
      <c r="J130" s="307" t="n"/>
      <c r="K130" s="307" t="n"/>
      <c r="L130" s="307" t="n"/>
      <c r="M130" s="307" t="n"/>
      <c r="N130" s="307" t="n"/>
      <c r="O130" s="307" t="n"/>
      <c r="P130" s="307" t="n"/>
      <c r="Q130" s="307" t="n"/>
      <c r="R130" s="307" t="n"/>
      <c r="S130" s="307" t="n"/>
      <c r="T130" s="307" t="n"/>
      <c r="U130" s="307" t="n"/>
      <c r="V130" s="307" t="n"/>
      <c r="W130" s="307" t="n"/>
      <c r="X130" s="307" t="n"/>
      <c r="Y130" s="307" t="n"/>
      <c r="Z130" s="307" t="n"/>
      <c r="AA130" s="307" t="n"/>
      <c r="AB130" s="307" t="n"/>
      <c r="AC130" s="307" t="n"/>
      <c r="AD130" s="307" t="n"/>
      <c r="AE130" s="307" t="n"/>
      <c r="AF130" s="307" t="n"/>
      <c r="AG130" s="307" t="n"/>
      <c r="AH130" s="307" t="n"/>
      <c r="AI130" s="307" t="n"/>
      <c r="AJ130" s="307" t="n"/>
      <c r="AK130" s="307" t="n"/>
      <c r="AL130" s="307" t="n"/>
      <c r="AM130" s="307" t="n"/>
      <c r="AN130" s="307" t="n"/>
      <c r="AO130" s="307" t="n"/>
      <c r="AP130" s="307" t="n"/>
      <c r="AQ130" s="307" t="n"/>
      <c r="AR130" s="307" t="n"/>
      <c r="AS130" s="307" t="n"/>
      <c r="AT130" s="307" t="n"/>
      <c r="AU130" s="307" t="n"/>
      <c r="AV130" s="307" t="n"/>
      <c r="AW130" s="307" t="n"/>
      <c r="AX130" s="307" t="n"/>
      <c r="AY130" s="307" t="n"/>
      <c r="AZ130" s="307" t="n"/>
      <c r="BA130" s="307" t="n"/>
      <c r="BB130" s="307" t="n"/>
      <c r="BC130" s="307" t="n"/>
      <c r="BD130" s="307" t="n"/>
      <c r="BE130" s="307" t="n"/>
      <c r="BF130" s="307" t="n"/>
      <c r="BG130" s="31" t="n"/>
      <c r="BH130" s="31" t="n"/>
      <c r="BI130" s="31" t="n"/>
      <c r="BJ130" s="31" t="n"/>
    </row>
    <row r="131" ht="15.75" customHeight="1" s="349">
      <c r="A131" s="307" t="n"/>
      <c r="B131" s="307" t="n"/>
      <c r="C131" s="307" t="n"/>
      <c r="D131" s="307" t="n"/>
      <c r="E131" s="307" t="n"/>
      <c r="F131" s="307" t="n"/>
      <c r="G131" s="307" t="n"/>
      <c r="H131" s="307" t="n"/>
      <c r="I131" s="307" t="n"/>
      <c r="J131" s="307" t="n"/>
      <c r="K131" s="307" t="n"/>
      <c r="L131" s="307" t="n"/>
      <c r="M131" s="307" t="n"/>
      <c r="N131" s="307" t="n"/>
      <c r="O131" s="307" t="n"/>
      <c r="P131" s="307" t="n"/>
      <c r="Q131" s="307" t="n"/>
      <c r="R131" s="307" t="n"/>
      <c r="S131" s="307" t="n"/>
      <c r="T131" s="307" t="n"/>
      <c r="U131" s="307" t="n"/>
      <c r="V131" s="307" t="n"/>
      <c r="W131" s="307" t="n"/>
      <c r="X131" s="307" t="n"/>
      <c r="Y131" s="307" t="n"/>
      <c r="Z131" s="307" t="n"/>
      <c r="AA131" s="307" t="n"/>
      <c r="AB131" s="307" t="n"/>
      <c r="AC131" s="307" t="n"/>
      <c r="AD131" s="307" t="n"/>
      <c r="AE131" s="307" t="n"/>
      <c r="AF131" s="307" t="n"/>
      <c r="AG131" s="307" t="n"/>
      <c r="AH131" s="307" t="n"/>
      <c r="AI131" s="307" t="n"/>
      <c r="AJ131" s="307" t="n"/>
      <c r="AK131" s="307" t="n"/>
      <c r="AL131" s="307" t="n"/>
      <c r="AM131" s="307" t="n"/>
      <c r="AN131" s="307" t="n"/>
      <c r="AO131" s="307" t="n"/>
      <c r="AP131" s="307" t="n"/>
      <c r="AQ131" s="307" t="n"/>
      <c r="AR131" s="307" t="n"/>
      <c r="AS131" s="307" t="n"/>
      <c r="AT131" s="307" t="n"/>
      <c r="AU131" s="307" t="n"/>
      <c r="AV131" s="307" t="n"/>
      <c r="AW131" s="307" t="n"/>
      <c r="AX131" s="307" t="n"/>
      <c r="AY131" s="307" t="n"/>
      <c r="AZ131" s="307" t="n"/>
      <c r="BA131" s="307" t="n"/>
      <c r="BB131" s="307" t="n"/>
      <c r="BC131" s="307" t="n"/>
      <c r="BD131" s="307" t="n"/>
      <c r="BE131" s="307" t="n"/>
      <c r="BF131" s="307" t="n"/>
      <c r="BG131" s="31" t="n"/>
      <c r="BH131" s="31" t="n"/>
      <c r="BI131" s="31" t="n"/>
      <c r="BJ131" s="31" t="n"/>
    </row>
    <row r="132" ht="15.75" customHeight="1" s="349">
      <c r="A132" s="307" t="n"/>
      <c r="B132" s="307" t="n"/>
      <c r="C132" s="307" t="n"/>
      <c r="D132" s="307" t="n"/>
      <c r="E132" s="307" t="n"/>
      <c r="F132" s="307" t="n"/>
      <c r="G132" s="307" t="n"/>
      <c r="H132" s="307" t="n"/>
      <c r="I132" s="307" t="n"/>
      <c r="J132" s="307" t="n"/>
      <c r="K132" s="307" t="n"/>
      <c r="L132" s="307" t="n"/>
      <c r="M132" s="307" t="n"/>
      <c r="N132" s="307" t="n"/>
      <c r="O132" s="307" t="n"/>
      <c r="P132" s="307" t="n"/>
      <c r="Q132" s="307" t="n"/>
      <c r="R132" s="307" t="n"/>
      <c r="S132" s="307" t="n"/>
      <c r="T132" s="307" t="n"/>
      <c r="U132" s="307" t="n"/>
      <c r="V132" s="307" t="n"/>
      <c r="W132" s="307" t="n"/>
      <c r="X132" s="307" t="n"/>
      <c r="Y132" s="307" t="n"/>
      <c r="Z132" s="307" t="n"/>
      <c r="AA132" s="307" t="n"/>
      <c r="AB132" s="307" t="n"/>
      <c r="AC132" s="307" t="n"/>
      <c r="AD132" s="307" t="n"/>
      <c r="AE132" s="307" t="n"/>
      <c r="AF132" s="307" t="n"/>
      <c r="AG132" s="307" t="n"/>
      <c r="AH132" s="307" t="n"/>
      <c r="AI132" s="307" t="n"/>
      <c r="AJ132" s="307" t="n"/>
      <c r="AK132" s="307" t="n"/>
      <c r="AL132" s="307" t="n"/>
      <c r="AM132" s="307" t="n"/>
      <c r="AN132" s="307" t="n"/>
      <c r="AO132" s="307" t="n"/>
      <c r="AP132" s="307" t="n"/>
      <c r="AQ132" s="307" t="n"/>
      <c r="AR132" s="307" t="n"/>
      <c r="AS132" s="307" t="n"/>
      <c r="AT132" s="307" t="n"/>
      <c r="AU132" s="307" t="n"/>
      <c r="AV132" s="307" t="n"/>
      <c r="AW132" s="307" t="n"/>
      <c r="AX132" s="307" t="n"/>
      <c r="AY132" s="307" t="n"/>
      <c r="AZ132" s="307" t="n"/>
      <c r="BA132" s="307" t="n"/>
      <c r="BB132" s="307" t="n"/>
      <c r="BC132" s="307" t="n"/>
      <c r="BD132" s="307" t="n"/>
      <c r="BE132" s="307" t="n"/>
      <c r="BF132" s="307" t="n"/>
      <c r="BG132" s="31" t="n"/>
      <c r="BH132" s="31" t="n"/>
      <c r="BI132" s="31" t="n"/>
      <c r="BJ132" s="31" t="n"/>
    </row>
    <row r="133" ht="15.75" customHeight="1" s="349">
      <c r="A133" s="307" t="n"/>
      <c r="B133" s="307" t="n"/>
      <c r="C133" s="307" t="n"/>
      <c r="D133" s="307" t="n"/>
      <c r="E133" s="307" t="n"/>
      <c r="F133" s="307" t="n"/>
      <c r="G133" s="307" t="n"/>
      <c r="H133" s="307" t="n"/>
      <c r="I133" s="307" t="n"/>
      <c r="J133" s="307" t="n"/>
      <c r="K133" s="307" t="n"/>
      <c r="L133" s="307" t="n"/>
      <c r="M133" s="307" t="n"/>
      <c r="N133" s="307" t="n"/>
      <c r="O133" s="307" t="n"/>
      <c r="P133" s="307" t="n"/>
      <c r="Q133" s="307" t="n"/>
      <c r="R133" s="307" t="n"/>
      <c r="S133" s="307" t="n"/>
      <c r="T133" s="307" t="n"/>
      <c r="U133" s="307" t="n"/>
      <c r="V133" s="307" t="n"/>
      <c r="W133" s="307" t="n"/>
      <c r="X133" s="307" t="n"/>
      <c r="Y133" s="307" t="n"/>
      <c r="Z133" s="307" t="n"/>
      <c r="AA133" s="307" t="n"/>
      <c r="AB133" s="307" t="n"/>
      <c r="AC133" s="307" t="n"/>
      <c r="AD133" s="307" t="n"/>
      <c r="AE133" s="307" t="n"/>
      <c r="AF133" s="307" t="n"/>
      <c r="AG133" s="307" t="n"/>
      <c r="AH133" s="307" t="n"/>
      <c r="AI133" s="307" t="n"/>
      <c r="AJ133" s="307" t="n"/>
      <c r="AK133" s="307" t="n"/>
      <c r="AL133" s="307" t="n"/>
      <c r="AM133" s="307" t="n"/>
      <c r="AN133" s="307" t="n"/>
      <c r="AO133" s="307" t="n"/>
      <c r="AP133" s="307" t="n"/>
      <c r="AQ133" s="307" t="n"/>
      <c r="AR133" s="307" t="n"/>
      <c r="AS133" s="307" t="n"/>
      <c r="AT133" s="307" t="n"/>
      <c r="AU133" s="307" t="n"/>
      <c r="AV133" s="307" t="n"/>
      <c r="AW133" s="307" t="n"/>
      <c r="AX133" s="307" t="n"/>
      <c r="AY133" s="307" t="n"/>
      <c r="AZ133" s="307" t="n"/>
      <c r="BA133" s="307" t="n"/>
      <c r="BB133" s="307" t="n"/>
      <c r="BC133" s="307" t="n"/>
      <c r="BD133" s="307" t="n"/>
      <c r="BE133" s="307" t="n"/>
      <c r="BF133" s="307" t="n"/>
      <c r="BG133" s="31" t="n"/>
      <c r="BH133" s="31" t="n"/>
      <c r="BI133" s="31" t="n"/>
      <c r="BJ133" s="31" t="n"/>
    </row>
    <row r="134" ht="15.75" customHeight="1" s="349">
      <c r="A134" s="307" t="n"/>
      <c r="B134" s="307" t="n"/>
      <c r="C134" s="307" t="n"/>
      <c r="D134" s="307" t="n"/>
      <c r="E134" s="307" t="n"/>
      <c r="F134" s="307" t="n"/>
      <c r="G134" s="307" t="n"/>
      <c r="H134" s="307" t="n"/>
      <c r="I134" s="307" t="n"/>
      <c r="J134" s="307" t="n"/>
      <c r="K134" s="307" t="n"/>
      <c r="L134" s="307" t="n"/>
      <c r="M134" s="307" t="n"/>
      <c r="N134" s="307" t="n"/>
      <c r="O134" s="307" t="n"/>
      <c r="P134" s="307" t="n"/>
      <c r="Q134" s="307" t="n"/>
      <c r="R134" s="307" t="n"/>
      <c r="S134" s="307" t="n"/>
      <c r="T134" s="307" t="n"/>
      <c r="U134" s="307" t="n"/>
      <c r="V134" s="307" t="n"/>
      <c r="W134" s="307" t="n"/>
      <c r="X134" s="307" t="n"/>
      <c r="Y134" s="307" t="n"/>
      <c r="Z134" s="307" t="n"/>
      <c r="AA134" s="307" t="n"/>
      <c r="AB134" s="307" t="n"/>
      <c r="AC134" s="307" t="n"/>
      <c r="AD134" s="307" t="n"/>
      <c r="AE134" s="307" t="n"/>
      <c r="AF134" s="307" t="n"/>
      <c r="AG134" s="307" t="n"/>
      <c r="AH134" s="307" t="n"/>
      <c r="AI134" s="307" t="n"/>
      <c r="AJ134" s="307" t="n"/>
      <c r="AK134" s="307" t="n"/>
      <c r="AL134" s="307" t="n"/>
      <c r="AM134" s="307" t="n"/>
      <c r="AN134" s="307" t="n"/>
      <c r="AO134" s="307" t="n"/>
      <c r="AP134" s="307" t="n"/>
      <c r="AQ134" s="307" t="n"/>
      <c r="AR134" s="307" t="n"/>
      <c r="AS134" s="307" t="n"/>
      <c r="AT134" s="307" t="n"/>
      <c r="AU134" s="307" t="n"/>
      <c r="AV134" s="307" t="n"/>
      <c r="AW134" s="307" t="n"/>
      <c r="AX134" s="307" t="n"/>
      <c r="AY134" s="307" t="n"/>
      <c r="AZ134" s="307" t="n"/>
      <c r="BA134" s="307" t="n"/>
      <c r="BB134" s="307" t="n"/>
      <c r="BC134" s="307" t="n"/>
      <c r="BD134" s="307" t="n"/>
      <c r="BE134" s="307" t="n"/>
      <c r="BF134" s="307" t="n"/>
      <c r="BG134" s="31" t="n"/>
      <c r="BH134" s="31" t="n"/>
      <c r="BI134" s="31" t="n"/>
      <c r="BJ134" s="31" t="n"/>
    </row>
    <row r="135" ht="15.75" customHeight="1" s="349">
      <c r="A135" s="307" t="n"/>
      <c r="B135" s="307" t="n"/>
      <c r="C135" s="307" t="n"/>
      <c r="D135" s="307" t="n"/>
      <c r="E135" s="307" t="n"/>
      <c r="F135" s="307" t="n"/>
      <c r="G135" s="307" t="n"/>
      <c r="H135" s="307" t="n"/>
      <c r="I135" s="307" t="n"/>
      <c r="J135" s="307" t="n"/>
      <c r="K135" s="307" t="n"/>
      <c r="L135" s="307" t="n"/>
      <c r="M135" s="307" t="n"/>
      <c r="N135" s="307" t="n"/>
      <c r="O135" s="307" t="n"/>
      <c r="P135" s="307" t="n"/>
      <c r="Q135" s="307" t="n"/>
      <c r="R135" s="307" t="n"/>
      <c r="S135" s="307" t="n"/>
      <c r="T135" s="307" t="n"/>
      <c r="U135" s="307" t="n"/>
      <c r="V135" s="307" t="n"/>
      <c r="W135" s="307" t="n"/>
      <c r="X135" s="307" t="n"/>
      <c r="Y135" s="307" t="n"/>
      <c r="Z135" s="307" t="n"/>
      <c r="AA135" s="307" t="n"/>
      <c r="AB135" s="307" t="n"/>
      <c r="AC135" s="307" t="n"/>
      <c r="AD135" s="307" t="n"/>
      <c r="AE135" s="307" t="n"/>
      <c r="AF135" s="307" t="n"/>
      <c r="AG135" s="307" t="n"/>
      <c r="AH135" s="307" t="n"/>
      <c r="AI135" s="307" t="n"/>
      <c r="AJ135" s="307" t="n"/>
      <c r="AK135" s="307" t="n"/>
      <c r="AL135" s="307" t="n"/>
      <c r="AM135" s="307" t="n"/>
      <c r="AN135" s="307" t="n"/>
      <c r="AO135" s="307" t="n"/>
      <c r="AP135" s="307" t="n"/>
      <c r="AQ135" s="307" t="n"/>
      <c r="AR135" s="307" t="n"/>
      <c r="AS135" s="307" t="n"/>
      <c r="AT135" s="307" t="n"/>
      <c r="AU135" s="307" t="n"/>
      <c r="AV135" s="307" t="n"/>
      <c r="AW135" s="307" t="n"/>
      <c r="AX135" s="307" t="n"/>
      <c r="AY135" s="307" t="n"/>
      <c r="AZ135" s="307" t="n"/>
      <c r="BA135" s="307" t="n"/>
      <c r="BB135" s="307" t="n"/>
      <c r="BC135" s="307" t="n"/>
      <c r="BD135" s="307" t="n"/>
      <c r="BE135" s="307" t="n"/>
      <c r="BF135" s="307" t="n"/>
      <c r="BG135" s="31" t="n"/>
      <c r="BH135" s="31" t="n"/>
      <c r="BI135" s="31" t="n"/>
      <c r="BJ135" s="31" t="n"/>
    </row>
    <row r="136" ht="15.75" customHeight="1" s="349">
      <c r="A136" s="307" t="n"/>
      <c r="B136" s="307" t="n"/>
      <c r="C136" s="307" t="n"/>
      <c r="D136" s="307" t="n"/>
      <c r="E136" s="307" t="n"/>
      <c r="F136" s="307" t="n"/>
      <c r="G136" s="307" t="n"/>
      <c r="H136" s="307" t="n"/>
      <c r="I136" s="307" t="n"/>
      <c r="J136" s="307" t="n"/>
      <c r="K136" s="307" t="n"/>
      <c r="L136" s="307" t="n"/>
      <c r="M136" s="307" t="n"/>
      <c r="N136" s="307" t="n"/>
      <c r="O136" s="307" t="n"/>
      <c r="P136" s="307" t="n"/>
      <c r="Q136" s="307" t="n"/>
      <c r="R136" s="307" t="n"/>
      <c r="S136" s="307" t="n"/>
      <c r="T136" s="307" t="n"/>
      <c r="U136" s="307" t="n"/>
      <c r="V136" s="307" t="n"/>
      <c r="W136" s="307" t="n"/>
      <c r="X136" s="307" t="n"/>
      <c r="Y136" s="307" t="n"/>
      <c r="Z136" s="307" t="n"/>
      <c r="AA136" s="307" t="n"/>
      <c r="AB136" s="307" t="n"/>
      <c r="AC136" s="307" t="n"/>
      <c r="AD136" s="307" t="n"/>
      <c r="AE136" s="307" t="n"/>
      <c r="AF136" s="307" t="n"/>
      <c r="AG136" s="307" t="n"/>
      <c r="AH136" s="307" t="n"/>
      <c r="AI136" s="307" t="n"/>
      <c r="AJ136" s="307" t="n"/>
      <c r="AK136" s="307" t="n"/>
      <c r="AL136" s="307" t="n"/>
      <c r="AM136" s="307" t="n"/>
      <c r="AN136" s="307" t="n"/>
      <c r="AO136" s="307" t="n"/>
      <c r="AP136" s="307" t="n"/>
      <c r="AQ136" s="307" t="n"/>
      <c r="AR136" s="307" t="n"/>
      <c r="AS136" s="307" t="n"/>
      <c r="AT136" s="307" t="n"/>
      <c r="AU136" s="307" t="n"/>
      <c r="AV136" s="307" t="n"/>
      <c r="AW136" s="307" t="n"/>
      <c r="AX136" s="307" t="n"/>
      <c r="AY136" s="307" t="n"/>
      <c r="AZ136" s="307" t="n"/>
      <c r="BA136" s="307" t="n"/>
      <c r="BB136" s="307" t="n"/>
      <c r="BC136" s="307" t="n"/>
      <c r="BD136" s="307" t="n"/>
      <c r="BE136" s="307" t="n"/>
      <c r="BF136" s="307" t="n"/>
      <c r="BG136" s="31" t="n"/>
      <c r="BH136" s="31" t="n"/>
      <c r="BI136" s="31" t="n"/>
      <c r="BJ136" s="31" t="n"/>
    </row>
    <row r="137" ht="15.75" customHeight="1" s="349">
      <c r="A137" s="307" t="n"/>
      <c r="B137" s="307" t="n"/>
      <c r="C137" s="307" t="n"/>
      <c r="D137" s="307" t="n"/>
      <c r="E137" s="307" t="n"/>
      <c r="F137" s="307" t="n"/>
      <c r="G137" s="307" t="n"/>
      <c r="H137" s="307" t="n"/>
      <c r="I137" s="307" t="n"/>
      <c r="J137" s="307" t="n"/>
      <c r="K137" s="307" t="n"/>
      <c r="L137" s="307" t="n"/>
      <c r="M137" s="307" t="n"/>
      <c r="N137" s="307" t="n"/>
      <c r="O137" s="307" t="n"/>
      <c r="P137" s="307" t="n"/>
      <c r="Q137" s="307" t="n"/>
      <c r="R137" s="307" t="n"/>
      <c r="S137" s="307" t="n"/>
      <c r="T137" s="307" t="n"/>
      <c r="U137" s="307" t="n"/>
      <c r="V137" s="307" t="n"/>
      <c r="W137" s="307" t="n"/>
      <c r="X137" s="307" t="n"/>
      <c r="Y137" s="307" t="n"/>
      <c r="Z137" s="307" t="n"/>
      <c r="AA137" s="307" t="n"/>
      <c r="AB137" s="307" t="n"/>
      <c r="AC137" s="307" t="n"/>
      <c r="AD137" s="307" t="n"/>
      <c r="AE137" s="307" t="n"/>
      <c r="AF137" s="307" t="n"/>
      <c r="AG137" s="307" t="n"/>
      <c r="AH137" s="307" t="n"/>
      <c r="AI137" s="307" t="n"/>
      <c r="AJ137" s="307" t="n"/>
      <c r="AK137" s="307" t="n"/>
      <c r="AL137" s="307" t="n"/>
      <c r="AM137" s="307" t="n"/>
      <c r="AN137" s="307" t="n"/>
      <c r="AO137" s="307" t="n"/>
      <c r="AP137" s="307" t="n"/>
      <c r="AQ137" s="307" t="n"/>
      <c r="AR137" s="307" t="n"/>
      <c r="AS137" s="307" t="n"/>
      <c r="AT137" s="307" t="n"/>
      <c r="AU137" s="307" t="n"/>
      <c r="AV137" s="307" t="n"/>
      <c r="AW137" s="307" t="n"/>
      <c r="AX137" s="307" t="n"/>
      <c r="AY137" s="307" t="n"/>
      <c r="AZ137" s="307" t="n"/>
      <c r="BA137" s="307" t="n"/>
      <c r="BB137" s="307" t="n"/>
      <c r="BC137" s="307" t="n"/>
      <c r="BD137" s="307" t="n"/>
      <c r="BE137" s="307" t="n"/>
      <c r="BF137" s="307" t="n"/>
      <c r="BG137" s="31" t="n"/>
      <c r="BH137" s="31" t="n"/>
      <c r="BI137" s="31" t="n"/>
      <c r="BJ137" s="31" t="n"/>
    </row>
    <row r="138" ht="15.75" customHeight="1" s="349">
      <c r="A138" s="307" t="n"/>
      <c r="B138" s="307" t="n"/>
      <c r="C138" s="307" t="n"/>
      <c r="D138" s="307" t="n"/>
      <c r="E138" s="307" t="n"/>
      <c r="F138" s="307" t="n"/>
      <c r="G138" s="307" t="n"/>
      <c r="H138" s="307" t="n"/>
      <c r="I138" s="307" t="n"/>
      <c r="J138" s="307" t="n"/>
      <c r="K138" s="307" t="n"/>
      <c r="L138" s="307" t="n"/>
      <c r="M138" s="307" t="n"/>
      <c r="N138" s="307" t="n"/>
      <c r="O138" s="307" t="n"/>
      <c r="P138" s="307" t="n"/>
      <c r="Q138" s="307" t="n"/>
      <c r="R138" s="307" t="n"/>
      <c r="S138" s="307" t="n"/>
      <c r="T138" s="307" t="n"/>
      <c r="U138" s="307" t="n"/>
      <c r="V138" s="307" t="n"/>
      <c r="W138" s="307" t="n"/>
      <c r="X138" s="307" t="n"/>
      <c r="Y138" s="307" t="n"/>
      <c r="Z138" s="307" t="n"/>
      <c r="AA138" s="307" t="n"/>
      <c r="AB138" s="307" t="n"/>
      <c r="AC138" s="307" t="n"/>
      <c r="AD138" s="307" t="n"/>
      <c r="AE138" s="307" t="n"/>
      <c r="AF138" s="307" t="n"/>
      <c r="AG138" s="307" t="n"/>
      <c r="AH138" s="307" t="n"/>
      <c r="AI138" s="307" t="n"/>
      <c r="AJ138" s="307" t="n"/>
      <c r="AK138" s="307" t="n"/>
      <c r="AL138" s="307" t="n"/>
      <c r="AM138" s="307" t="n"/>
      <c r="AN138" s="307" t="n"/>
      <c r="AO138" s="307" t="n"/>
      <c r="AP138" s="307" t="n"/>
      <c r="AQ138" s="307" t="n"/>
      <c r="AR138" s="307" t="n"/>
      <c r="AS138" s="307" t="n"/>
      <c r="AT138" s="307" t="n"/>
      <c r="AU138" s="307" t="n"/>
      <c r="AV138" s="307" t="n"/>
      <c r="AW138" s="307" t="n"/>
      <c r="AX138" s="307" t="n"/>
      <c r="AY138" s="307" t="n"/>
      <c r="AZ138" s="307" t="n"/>
      <c r="BA138" s="307" t="n"/>
      <c r="BB138" s="307" t="n"/>
      <c r="BC138" s="307" t="n"/>
      <c r="BD138" s="307" t="n"/>
      <c r="BE138" s="307" t="n"/>
      <c r="BF138" s="307" t="n"/>
      <c r="BG138" s="31" t="n"/>
      <c r="BH138" s="31" t="n"/>
      <c r="BI138" s="31" t="n"/>
      <c r="BJ138" s="31" t="n"/>
    </row>
    <row r="139" ht="15.75" customHeight="1" s="349">
      <c r="A139" s="307" t="n"/>
      <c r="B139" s="307" t="n"/>
      <c r="C139" s="307" t="n"/>
      <c r="D139" s="307" t="n"/>
      <c r="E139" s="307" t="n"/>
      <c r="F139" s="307" t="n"/>
      <c r="G139" s="307" t="n"/>
      <c r="H139" s="307" t="n"/>
      <c r="I139" s="307" t="n"/>
      <c r="J139" s="307" t="n"/>
      <c r="K139" s="307" t="n"/>
      <c r="L139" s="307" t="n"/>
      <c r="M139" s="307" t="n"/>
      <c r="N139" s="307" t="n"/>
      <c r="O139" s="307" t="n"/>
      <c r="P139" s="307" t="n"/>
      <c r="Q139" s="307" t="n"/>
      <c r="R139" s="307" t="n"/>
      <c r="S139" s="307" t="n"/>
      <c r="T139" s="307" t="n"/>
      <c r="U139" s="307" t="n"/>
      <c r="V139" s="307" t="n"/>
      <c r="W139" s="307" t="n"/>
      <c r="X139" s="307" t="n"/>
      <c r="Y139" s="307" t="n"/>
      <c r="Z139" s="307" t="n"/>
      <c r="AA139" s="307" t="n"/>
      <c r="AB139" s="307" t="n"/>
      <c r="AC139" s="307" t="n"/>
      <c r="AD139" s="307" t="n"/>
      <c r="AE139" s="307" t="n"/>
      <c r="AF139" s="307" t="n"/>
      <c r="AG139" s="307" t="n"/>
      <c r="AH139" s="307" t="n"/>
      <c r="AI139" s="307" t="n"/>
      <c r="AJ139" s="307" t="n"/>
      <c r="AK139" s="307" t="n"/>
      <c r="AL139" s="307" t="n"/>
      <c r="AM139" s="307" t="n"/>
      <c r="AN139" s="307" t="n"/>
      <c r="AO139" s="307" t="n"/>
      <c r="AP139" s="307" t="n"/>
      <c r="AQ139" s="307" t="n"/>
      <c r="AR139" s="307" t="n"/>
      <c r="AS139" s="307" t="n"/>
      <c r="AT139" s="307" t="n"/>
      <c r="AU139" s="307" t="n"/>
      <c r="AV139" s="307" t="n"/>
      <c r="AW139" s="307" t="n"/>
      <c r="AX139" s="307" t="n"/>
      <c r="AY139" s="307" t="n"/>
      <c r="AZ139" s="307" t="n"/>
      <c r="BA139" s="307" t="n"/>
      <c r="BB139" s="307" t="n"/>
      <c r="BC139" s="307" t="n"/>
      <c r="BD139" s="307" t="n"/>
      <c r="BE139" s="307" t="n"/>
      <c r="BF139" s="307" t="n"/>
      <c r="BG139" s="31" t="n"/>
      <c r="BH139" s="31" t="n"/>
      <c r="BI139" s="31" t="n"/>
      <c r="BJ139" s="31" t="n"/>
    </row>
    <row r="140" ht="15.75" customHeight="1" s="349">
      <c r="A140" s="307" t="n"/>
      <c r="B140" s="307" t="n"/>
      <c r="C140" s="307" t="n"/>
      <c r="D140" s="307" t="n"/>
      <c r="E140" s="307" t="n"/>
      <c r="F140" s="307" t="n"/>
      <c r="G140" s="307" t="n"/>
      <c r="H140" s="307" t="n"/>
      <c r="I140" s="307" t="n"/>
      <c r="J140" s="307" t="n"/>
      <c r="K140" s="307" t="n"/>
      <c r="L140" s="307" t="n"/>
      <c r="M140" s="307" t="n"/>
      <c r="N140" s="307" t="n"/>
      <c r="O140" s="307" t="n"/>
      <c r="P140" s="307" t="n"/>
      <c r="Q140" s="307" t="n"/>
      <c r="R140" s="307" t="n"/>
      <c r="S140" s="307" t="n"/>
      <c r="T140" s="307" t="n"/>
      <c r="U140" s="307" t="n"/>
      <c r="V140" s="307" t="n"/>
      <c r="W140" s="307" t="n"/>
      <c r="X140" s="307" t="n"/>
      <c r="Y140" s="307" t="n"/>
      <c r="Z140" s="307" t="n"/>
      <c r="AA140" s="307" t="n"/>
      <c r="AB140" s="307" t="n"/>
      <c r="AC140" s="307" t="n"/>
      <c r="AD140" s="307" t="n"/>
      <c r="AE140" s="307" t="n"/>
      <c r="AF140" s="307" t="n"/>
      <c r="AG140" s="307" t="n"/>
      <c r="AH140" s="307" t="n"/>
      <c r="AI140" s="307" t="n"/>
      <c r="AJ140" s="307" t="n"/>
      <c r="AK140" s="307" t="n"/>
      <c r="AL140" s="307" t="n"/>
      <c r="AM140" s="307" t="n"/>
      <c r="AN140" s="307" t="n"/>
      <c r="AO140" s="307" t="n"/>
      <c r="AP140" s="307" t="n"/>
      <c r="AQ140" s="307" t="n"/>
      <c r="AR140" s="307" t="n"/>
      <c r="AS140" s="307" t="n"/>
      <c r="AT140" s="307" t="n"/>
      <c r="AU140" s="307" t="n"/>
      <c r="AV140" s="307" t="n"/>
      <c r="AW140" s="307" t="n"/>
      <c r="AX140" s="307" t="n"/>
      <c r="AY140" s="307" t="n"/>
      <c r="AZ140" s="307" t="n"/>
      <c r="BA140" s="307" t="n"/>
      <c r="BB140" s="307" t="n"/>
      <c r="BC140" s="307" t="n"/>
      <c r="BD140" s="307" t="n"/>
      <c r="BE140" s="307" t="n"/>
      <c r="BF140" s="307" t="n"/>
      <c r="BG140" s="31" t="n"/>
      <c r="BH140" s="31" t="n"/>
      <c r="BI140" s="31" t="n"/>
      <c r="BJ140" s="31" t="n"/>
    </row>
    <row r="141" ht="15.75" customHeight="1" s="349">
      <c r="A141" s="307" t="n"/>
      <c r="B141" s="307" t="n"/>
      <c r="C141" s="307" t="n"/>
      <c r="D141" s="307" t="n"/>
      <c r="E141" s="307" t="n"/>
      <c r="F141" s="307" t="n"/>
      <c r="G141" s="307" t="n"/>
      <c r="H141" s="307" t="n"/>
      <c r="I141" s="307" t="n"/>
      <c r="J141" s="307" t="n"/>
      <c r="K141" s="307" t="n"/>
      <c r="L141" s="307" t="n"/>
      <c r="M141" s="307" t="n"/>
      <c r="N141" s="307" t="n"/>
      <c r="O141" s="307" t="n"/>
      <c r="P141" s="307" t="n"/>
      <c r="Q141" s="307" t="n"/>
      <c r="R141" s="307" t="n"/>
      <c r="S141" s="307" t="n"/>
      <c r="T141" s="307" t="n"/>
      <c r="U141" s="307" t="n"/>
      <c r="V141" s="307" t="n"/>
      <c r="W141" s="307" t="n"/>
      <c r="X141" s="307" t="n"/>
      <c r="Y141" s="307" t="n"/>
      <c r="Z141" s="307" t="n"/>
      <c r="AA141" s="307" t="n"/>
      <c r="AB141" s="307" t="n"/>
      <c r="AC141" s="307" t="n"/>
      <c r="AD141" s="307" t="n"/>
      <c r="AE141" s="307" t="n"/>
      <c r="AF141" s="307" t="n"/>
      <c r="AG141" s="307" t="n"/>
      <c r="AH141" s="307" t="n"/>
      <c r="AI141" s="307" t="n"/>
      <c r="AJ141" s="307" t="n"/>
      <c r="AK141" s="307" t="n"/>
      <c r="AL141" s="307" t="n"/>
      <c r="AM141" s="307" t="n"/>
      <c r="AN141" s="307" t="n"/>
      <c r="AO141" s="307" t="n"/>
      <c r="AP141" s="307" t="n"/>
      <c r="AQ141" s="307" t="n"/>
      <c r="AR141" s="307" t="n"/>
      <c r="AS141" s="307" t="n"/>
      <c r="AT141" s="307" t="n"/>
      <c r="AU141" s="307" t="n"/>
      <c r="AV141" s="307" t="n"/>
      <c r="AW141" s="307" t="n"/>
      <c r="AX141" s="307" t="n"/>
      <c r="AY141" s="307" t="n"/>
      <c r="AZ141" s="307" t="n"/>
      <c r="BA141" s="307" t="n"/>
      <c r="BB141" s="307" t="n"/>
      <c r="BC141" s="307" t="n"/>
      <c r="BD141" s="307" t="n"/>
      <c r="BE141" s="307" t="n"/>
      <c r="BF141" s="307" t="n"/>
      <c r="BG141" s="31" t="n"/>
      <c r="BH141" s="31" t="n"/>
      <c r="BI141" s="31" t="n"/>
      <c r="BJ141" s="31" t="n"/>
    </row>
    <row r="142" ht="15.75" customHeight="1" s="349">
      <c r="A142" s="307" t="n"/>
      <c r="B142" s="307" t="n"/>
      <c r="C142" s="307" t="n"/>
      <c r="D142" s="307" t="n"/>
      <c r="E142" s="307" t="n"/>
      <c r="F142" s="307" t="n"/>
      <c r="G142" s="307" t="n"/>
      <c r="H142" s="307" t="n"/>
      <c r="I142" s="307" t="n"/>
      <c r="J142" s="307" t="n"/>
      <c r="K142" s="307" t="n"/>
      <c r="L142" s="307" t="n"/>
      <c r="M142" s="307" t="n"/>
      <c r="N142" s="307" t="n"/>
      <c r="O142" s="307" t="n"/>
      <c r="P142" s="307" t="n"/>
      <c r="Q142" s="307" t="n"/>
      <c r="R142" s="307" t="n"/>
      <c r="S142" s="307" t="n"/>
      <c r="T142" s="307" t="n"/>
      <c r="U142" s="307" t="n"/>
      <c r="V142" s="307" t="n"/>
      <c r="W142" s="307" t="n"/>
      <c r="X142" s="307" t="n"/>
      <c r="Y142" s="307" t="n"/>
      <c r="Z142" s="307" t="n"/>
      <c r="AA142" s="307" t="n"/>
      <c r="AB142" s="307" t="n"/>
      <c r="AC142" s="307" t="n"/>
      <c r="AD142" s="307" t="n"/>
      <c r="AE142" s="307" t="n"/>
      <c r="AF142" s="307" t="n"/>
      <c r="AG142" s="307" t="n"/>
      <c r="AH142" s="307" t="n"/>
      <c r="AI142" s="307" t="n"/>
      <c r="AJ142" s="307" t="n"/>
      <c r="AK142" s="307" t="n"/>
      <c r="AL142" s="307" t="n"/>
      <c r="AM142" s="307" t="n"/>
      <c r="AN142" s="307" t="n"/>
      <c r="AO142" s="307" t="n"/>
      <c r="AP142" s="307" t="n"/>
      <c r="AQ142" s="307" t="n"/>
      <c r="AR142" s="307" t="n"/>
      <c r="AS142" s="307" t="n"/>
      <c r="AT142" s="307" t="n"/>
      <c r="AU142" s="307" t="n"/>
      <c r="AV142" s="307" t="n"/>
      <c r="AW142" s="307" t="n"/>
      <c r="AX142" s="307" t="n"/>
      <c r="AY142" s="307" t="n"/>
      <c r="AZ142" s="307" t="n"/>
      <c r="BA142" s="307" t="n"/>
      <c r="BB142" s="307" t="n"/>
      <c r="BC142" s="307" t="n"/>
      <c r="BD142" s="307" t="n"/>
      <c r="BE142" s="307" t="n"/>
      <c r="BF142" s="307" t="n"/>
      <c r="BG142" s="31" t="n"/>
      <c r="BH142" s="31" t="n"/>
      <c r="BI142" s="31" t="n"/>
      <c r="BJ142" s="31" t="n"/>
    </row>
    <row r="143" ht="15.75" customHeight="1" s="349">
      <c r="A143" s="307" t="n"/>
      <c r="B143" s="307" t="n"/>
      <c r="C143" s="307" t="n"/>
      <c r="D143" s="307" t="n"/>
      <c r="E143" s="307" t="n"/>
      <c r="F143" s="307" t="n"/>
      <c r="G143" s="307" t="n"/>
      <c r="H143" s="307" t="n"/>
      <c r="I143" s="307" t="n"/>
      <c r="J143" s="307" t="n"/>
      <c r="K143" s="307" t="n"/>
      <c r="L143" s="307" t="n"/>
      <c r="M143" s="307" t="n"/>
      <c r="N143" s="307" t="n"/>
      <c r="O143" s="307" t="n"/>
      <c r="P143" s="307" t="n"/>
      <c r="Q143" s="307" t="n"/>
      <c r="R143" s="307" t="n"/>
      <c r="S143" s="307" t="n"/>
      <c r="T143" s="307" t="n"/>
      <c r="U143" s="307" t="n"/>
      <c r="V143" s="307" t="n"/>
      <c r="W143" s="307" t="n"/>
      <c r="X143" s="307" t="n"/>
      <c r="Y143" s="307" t="n"/>
      <c r="Z143" s="307" t="n"/>
      <c r="AA143" s="307" t="n"/>
      <c r="AB143" s="307" t="n"/>
      <c r="AC143" s="307" t="n"/>
      <c r="AD143" s="307" t="n"/>
      <c r="AE143" s="307" t="n"/>
      <c r="AF143" s="307" t="n"/>
      <c r="AG143" s="307" t="n"/>
      <c r="AH143" s="307" t="n"/>
      <c r="AI143" s="307" t="n"/>
      <c r="AJ143" s="307" t="n"/>
      <c r="AK143" s="307" t="n"/>
      <c r="AL143" s="307" t="n"/>
      <c r="AM143" s="307" t="n"/>
      <c r="AN143" s="307" t="n"/>
      <c r="AO143" s="307" t="n"/>
      <c r="AP143" s="307" t="n"/>
      <c r="AQ143" s="307" t="n"/>
      <c r="AR143" s="307" t="n"/>
      <c r="AS143" s="307" t="n"/>
      <c r="AT143" s="307" t="n"/>
      <c r="AU143" s="307" t="n"/>
      <c r="AV143" s="307" t="n"/>
      <c r="AW143" s="307" t="n"/>
      <c r="AX143" s="307" t="n"/>
      <c r="AY143" s="307" t="n"/>
      <c r="AZ143" s="307" t="n"/>
      <c r="BA143" s="307" t="n"/>
      <c r="BB143" s="307" t="n"/>
      <c r="BC143" s="307" t="n"/>
      <c r="BD143" s="307" t="n"/>
      <c r="BE143" s="307" t="n"/>
      <c r="BF143" s="307" t="n"/>
      <c r="BG143" s="31" t="n"/>
      <c r="BH143" s="31" t="n"/>
      <c r="BI143" s="31" t="n"/>
      <c r="BJ143" s="31" t="n"/>
    </row>
    <row r="144" ht="15.75" customHeight="1" s="349">
      <c r="A144" s="307" t="n"/>
      <c r="B144" s="307" t="n"/>
      <c r="C144" s="307" t="n"/>
      <c r="D144" s="307" t="n"/>
      <c r="E144" s="307" t="n"/>
      <c r="F144" s="307" t="n"/>
      <c r="G144" s="307" t="n"/>
      <c r="H144" s="307" t="n"/>
      <c r="I144" s="307" t="n"/>
      <c r="J144" s="307" t="n"/>
      <c r="K144" s="307" t="n"/>
      <c r="L144" s="307" t="n"/>
      <c r="M144" s="307" t="n"/>
      <c r="N144" s="307" t="n"/>
      <c r="O144" s="307" t="n"/>
      <c r="P144" s="307" t="n"/>
      <c r="Q144" s="307" t="n"/>
      <c r="R144" s="307" t="n"/>
      <c r="S144" s="307" t="n"/>
      <c r="T144" s="307" t="n"/>
      <c r="U144" s="307" t="n"/>
      <c r="V144" s="307" t="n"/>
      <c r="W144" s="307" t="n"/>
      <c r="X144" s="307" t="n"/>
      <c r="Y144" s="307" t="n"/>
      <c r="Z144" s="307" t="n"/>
      <c r="AA144" s="307" t="n"/>
      <c r="AB144" s="307" t="n"/>
      <c r="AC144" s="307" t="n"/>
      <c r="AD144" s="307" t="n"/>
      <c r="AE144" s="307" t="n"/>
      <c r="AF144" s="307" t="n"/>
      <c r="AG144" s="307" t="n"/>
      <c r="AH144" s="307" t="n"/>
      <c r="AI144" s="307" t="n"/>
      <c r="AJ144" s="307" t="n"/>
      <c r="AK144" s="307" t="n"/>
      <c r="AL144" s="307" t="n"/>
      <c r="AM144" s="307" t="n"/>
      <c r="AN144" s="307" t="n"/>
      <c r="AO144" s="307" t="n"/>
      <c r="AP144" s="307" t="n"/>
      <c r="AQ144" s="307" t="n"/>
      <c r="AR144" s="307" t="n"/>
      <c r="AS144" s="307" t="n"/>
      <c r="AT144" s="307" t="n"/>
      <c r="AU144" s="307" t="n"/>
      <c r="AV144" s="307" t="n"/>
      <c r="AW144" s="307" t="n"/>
      <c r="AX144" s="307" t="n"/>
      <c r="AY144" s="307" t="n"/>
      <c r="AZ144" s="307" t="n"/>
      <c r="BA144" s="307" t="n"/>
      <c r="BB144" s="307" t="n"/>
      <c r="BC144" s="307" t="n"/>
      <c r="BD144" s="307" t="n"/>
      <c r="BE144" s="307" t="n"/>
      <c r="BF144" s="307" t="n"/>
      <c r="BG144" s="31" t="n"/>
      <c r="BH144" s="31" t="n"/>
      <c r="BI144" s="31" t="n"/>
      <c r="BJ144" s="31" t="n"/>
    </row>
    <row r="145" ht="15.75" customHeight="1" s="349">
      <c r="A145" s="307" t="n"/>
      <c r="B145" s="307" t="n"/>
      <c r="C145" s="307" t="n"/>
      <c r="D145" s="307" t="n"/>
      <c r="E145" s="307" t="n"/>
      <c r="F145" s="307" t="n"/>
      <c r="G145" s="307" t="n"/>
      <c r="H145" s="307" t="n"/>
      <c r="I145" s="307" t="n"/>
      <c r="J145" s="307" t="n"/>
      <c r="K145" s="307" t="n"/>
      <c r="L145" s="307" t="n"/>
      <c r="M145" s="307" t="n"/>
      <c r="N145" s="307" t="n"/>
      <c r="O145" s="307" t="n"/>
      <c r="P145" s="307" t="n"/>
      <c r="Q145" s="307" t="n"/>
      <c r="R145" s="307" t="n"/>
      <c r="S145" s="307" t="n"/>
      <c r="T145" s="307" t="n"/>
      <c r="U145" s="307" t="n"/>
      <c r="V145" s="307" t="n"/>
      <c r="W145" s="307" t="n"/>
      <c r="X145" s="307" t="n"/>
      <c r="Y145" s="307" t="n"/>
      <c r="Z145" s="307" t="n"/>
      <c r="AA145" s="307" t="n"/>
      <c r="AB145" s="307" t="n"/>
      <c r="AC145" s="307" t="n"/>
      <c r="AD145" s="307" t="n"/>
      <c r="AE145" s="307" t="n"/>
      <c r="AF145" s="307" t="n"/>
      <c r="AG145" s="307" t="n"/>
      <c r="AH145" s="307" t="n"/>
      <c r="AI145" s="307" t="n"/>
      <c r="AJ145" s="307" t="n"/>
      <c r="AK145" s="307" t="n"/>
      <c r="AL145" s="307" t="n"/>
      <c r="AM145" s="307" t="n"/>
      <c r="AN145" s="307" t="n"/>
      <c r="AO145" s="307" t="n"/>
      <c r="AP145" s="307" t="n"/>
      <c r="AQ145" s="307" t="n"/>
      <c r="AR145" s="307" t="n"/>
      <c r="AS145" s="307" t="n"/>
      <c r="AT145" s="307" t="n"/>
      <c r="AU145" s="307" t="n"/>
      <c r="AV145" s="307" t="n"/>
      <c r="AW145" s="307" t="n"/>
      <c r="AX145" s="307" t="n"/>
      <c r="AY145" s="307" t="n"/>
      <c r="AZ145" s="307" t="n"/>
      <c r="BA145" s="307" t="n"/>
      <c r="BB145" s="307" t="n"/>
      <c r="BC145" s="307" t="n"/>
      <c r="BD145" s="307" t="n"/>
      <c r="BE145" s="307" t="n"/>
      <c r="BF145" s="307" t="n"/>
      <c r="BG145" s="31" t="n"/>
      <c r="BH145" s="31" t="n"/>
      <c r="BI145" s="31" t="n"/>
      <c r="BJ145" s="31" t="n"/>
    </row>
    <row r="146" ht="15.75" customHeight="1" s="349">
      <c r="A146" s="307" t="n"/>
      <c r="B146" s="307" t="n"/>
      <c r="C146" s="307" t="n"/>
      <c r="D146" s="307" t="n"/>
      <c r="E146" s="307" t="n"/>
      <c r="F146" s="307" t="n"/>
      <c r="G146" s="307" t="n"/>
      <c r="H146" s="307" t="n"/>
      <c r="I146" s="307" t="n"/>
      <c r="J146" s="307" t="n"/>
      <c r="K146" s="307" t="n"/>
      <c r="L146" s="307" t="n"/>
      <c r="M146" s="307" t="n"/>
      <c r="N146" s="307" t="n"/>
      <c r="O146" s="307" t="n"/>
      <c r="P146" s="307" t="n"/>
      <c r="Q146" s="307" t="n"/>
      <c r="R146" s="307" t="n"/>
      <c r="S146" s="307" t="n"/>
      <c r="T146" s="307" t="n"/>
      <c r="U146" s="307" t="n"/>
      <c r="V146" s="307" t="n"/>
      <c r="W146" s="307" t="n"/>
      <c r="X146" s="307" t="n"/>
      <c r="Y146" s="307" t="n"/>
      <c r="Z146" s="307" t="n"/>
      <c r="AA146" s="307" t="n"/>
      <c r="AB146" s="307" t="n"/>
      <c r="AC146" s="307" t="n"/>
      <c r="AD146" s="307" t="n"/>
      <c r="AE146" s="307" t="n"/>
      <c r="AF146" s="307" t="n"/>
      <c r="AG146" s="307" t="n"/>
      <c r="AH146" s="307" t="n"/>
      <c r="AI146" s="307" t="n"/>
      <c r="AJ146" s="307" t="n"/>
      <c r="AK146" s="307" t="n"/>
      <c r="AL146" s="307" t="n"/>
      <c r="AM146" s="307" t="n"/>
      <c r="AN146" s="307" t="n"/>
      <c r="AO146" s="307" t="n"/>
      <c r="AP146" s="307" t="n"/>
      <c r="AQ146" s="307" t="n"/>
      <c r="AR146" s="307" t="n"/>
      <c r="AS146" s="307" t="n"/>
      <c r="AT146" s="307" t="n"/>
      <c r="AU146" s="307" t="n"/>
      <c r="AV146" s="307" t="n"/>
      <c r="AW146" s="307" t="n"/>
      <c r="AX146" s="307" t="n"/>
      <c r="AY146" s="307" t="n"/>
      <c r="AZ146" s="307" t="n"/>
      <c r="BA146" s="307" t="n"/>
      <c r="BB146" s="307" t="n"/>
      <c r="BC146" s="307" t="n"/>
      <c r="BD146" s="307" t="n"/>
      <c r="BE146" s="307" t="n"/>
      <c r="BF146" s="307" t="n"/>
      <c r="BG146" s="31" t="n"/>
      <c r="BH146" s="31" t="n"/>
      <c r="BI146" s="31" t="n"/>
      <c r="BJ146" s="31" t="n"/>
    </row>
    <row r="147" ht="15.75" customHeight="1" s="349">
      <c r="A147" s="307" t="n"/>
      <c r="B147" s="307" t="n"/>
      <c r="C147" s="307" t="n"/>
      <c r="D147" s="307" t="n"/>
      <c r="E147" s="307" t="n"/>
      <c r="F147" s="307" t="n"/>
      <c r="G147" s="307" t="n"/>
      <c r="H147" s="307" t="n"/>
      <c r="I147" s="307" t="n"/>
      <c r="J147" s="307" t="n"/>
      <c r="K147" s="307" t="n"/>
      <c r="L147" s="307" t="n"/>
      <c r="M147" s="307" t="n"/>
      <c r="N147" s="307" t="n"/>
      <c r="O147" s="307" t="n"/>
      <c r="P147" s="307" t="n"/>
      <c r="Q147" s="307" t="n"/>
      <c r="R147" s="307" t="n"/>
      <c r="S147" s="307" t="n"/>
      <c r="T147" s="307" t="n"/>
      <c r="U147" s="307" t="n"/>
      <c r="V147" s="307" t="n"/>
      <c r="W147" s="307" t="n"/>
      <c r="X147" s="307" t="n"/>
      <c r="Y147" s="307" t="n"/>
      <c r="Z147" s="307" t="n"/>
      <c r="AA147" s="307" t="n"/>
      <c r="AB147" s="307" t="n"/>
      <c r="AC147" s="307" t="n"/>
      <c r="AD147" s="307" t="n"/>
      <c r="AE147" s="307" t="n"/>
      <c r="AF147" s="307" t="n"/>
      <c r="AG147" s="307" t="n"/>
      <c r="AH147" s="307" t="n"/>
      <c r="AI147" s="307" t="n"/>
      <c r="AJ147" s="307" t="n"/>
      <c r="AK147" s="307" t="n"/>
      <c r="AL147" s="307" t="n"/>
      <c r="AM147" s="307" t="n"/>
      <c r="AN147" s="307" t="n"/>
      <c r="AO147" s="307" t="n"/>
      <c r="AP147" s="307" t="n"/>
      <c r="AQ147" s="307" t="n"/>
      <c r="AR147" s="307" t="n"/>
      <c r="AS147" s="307" t="n"/>
      <c r="AT147" s="307" t="n"/>
      <c r="AU147" s="307" t="n"/>
      <c r="AV147" s="307" t="n"/>
      <c r="AW147" s="307" t="n"/>
      <c r="AX147" s="307" t="n"/>
      <c r="AY147" s="307" t="n"/>
      <c r="AZ147" s="307" t="n"/>
      <c r="BA147" s="307" t="n"/>
      <c r="BB147" s="307" t="n"/>
      <c r="BC147" s="307" t="n"/>
      <c r="BD147" s="307" t="n"/>
      <c r="BE147" s="307" t="n"/>
      <c r="BF147" s="307" t="n"/>
      <c r="BG147" s="31" t="n"/>
      <c r="BH147" s="31" t="n"/>
      <c r="BI147" s="31" t="n"/>
      <c r="BJ147" s="31" t="n"/>
    </row>
    <row r="148" ht="15.75" customHeight="1" s="349">
      <c r="A148" s="307" t="n"/>
      <c r="B148" s="307" t="n"/>
      <c r="C148" s="307" t="n"/>
      <c r="D148" s="307" t="n"/>
      <c r="E148" s="307" t="n"/>
      <c r="F148" s="307" t="n"/>
      <c r="G148" s="307" t="n"/>
      <c r="H148" s="307" t="n"/>
      <c r="I148" s="307" t="n"/>
      <c r="J148" s="307" t="n"/>
      <c r="K148" s="307" t="n"/>
      <c r="L148" s="307" t="n"/>
      <c r="M148" s="307" t="n"/>
      <c r="N148" s="307" t="n"/>
      <c r="O148" s="307" t="n"/>
      <c r="P148" s="307" t="n"/>
      <c r="Q148" s="307" t="n"/>
      <c r="R148" s="307" t="n"/>
      <c r="S148" s="307" t="n"/>
      <c r="T148" s="307" t="n"/>
      <c r="U148" s="307" t="n"/>
      <c r="V148" s="307" t="n"/>
      <c r="W148" s="307" t="n"/>
      <c r="X148" s="307" t="n"/>
      <c r="Y148" s="307" t="n"/>
      <c r="Z148" s="307" t="n"/>
      <c r="AA148" s="307" t="n"/>
      <c r="AB148" s="307" t="n"/>
      <c r="AC148" s="307" t="n"/>
      <c r="AD148" s="307" t="n"/>
      <c r="AE148" s="307" t="n"/>
      <c r="AF148" s="307" t="n"/>
      <c r="AG148" s="307" t="n"/>
      <c r="AH148" s="307" t="n"/>
      <c r="AI148" s="307" t="n"/>
      <c r="AJ148" s="307" t="n"/>
      <c r="AK148" s="307" t="n"/>
      <c r="AL148" s="307" t="n"/>
      <c r="AM148" s="307" t="n"/>
      <c r="AN148" s="307" t="n"/>
      <c r="AO148" s="307" t="n"/>
      <c r="AP148" s="307" t="n"/>
      <c r="AQ148" s="307" t="n"/>
      <c r="AR148" s="307" t="n"/>
      <c r="AS148" s="307" t="n"/>
      <c r="AT148" s="307" t="n"/>
      <c r="AU148" s="307" t="n"/>
      <c r="AV148" s="307" t="n"/>
      <c r="AW148" s="307" t="n"/>
      <c r="AX148" s="307" t="n"/>
      <c r="AY148" s="307" t="n"/>
      <c r="AZ148" s="307" t="n"/>
      <c r="BA148" s="307" t="n"/>
      <c r="BB148" s="307" t="n"/>
      <c r="BC148" s="307" t="n"/>
      <c r="BD148" s="307" t="n"/>
      <c r="BE148" s="307" t="n"/>
      <c r="BF148" s="307" t="n"/>
      <c r="BG148" s="31" t="n"/>
      <c r="BH148" s="31" t="n"/>
      <c r="BI148" s="31" t="n"/>
      <c r="BJ148" s="31" t="n"/>
    </row>
    <row r="149" ht="15.75" customHeight="1" s="349">
      <c r="A149" s="307" t="n"/>
      <c r="B149" s="307" t="n"/>
      <c r="C149" s="307" t="n"/>
      <c r="D149" s="307" t="n"/>
      <c r="E149" s="307" t="n"/>
      <c r="F149" s="307" t="n"/>
      <c r="G149" s="307" t="n"/>
      <c r="H149" s="307" t="n"/>
      <c r="I149" s="307" t="n"/>
      <c r="J149" s="307" t="n"/>
      <c r="K149" s="307" t="n"/>
      <c r="L149" s="307" t="n"/>
      <c r="M149" s="307" t="n"/>
      <c r="N149" s="307" t="n"/>
      <c r="O149" s="307" t="n"/>
      <c r="P149" s="307" t="n"/>
      <c r="Q149" s="307" t="n"/>
      <c r="R149" s="307" t="n"/>
      <c r="S149" s="307" t="n"/>
      <c r="T149" s="307" t="n"/>
      <c r="U149" s="307" t="n"/>
      <c r="V149" s="307" t="n"/>
      <c r="W149" s="307" t="n"/>
      <c r="X149" s="307" t="n"/>
      <c r="Y149" s="307" t="n"/>
      <c r="Z149" s="307" t="n"/>
      <c r="AA149" s="307" t="n"/>
      <c r="AB149" s="307" t="n"/>
      <c r="AC149" s="307" t="n"/>
      <c r="AD149" s="307" t="n"/>
      <c r="AE149" s="307" t="n"/>
      <c r="AF149" s="307" t="n"/>
      <c r="AG149" s="307" t="n"/>
      <c r="AH149" s="307" t="n"/>
      <c r="AI149" s="307" t="n"/>
      <c r="AJ149" s="307" t="n"/>
      <c r="AK149" s="307" t="n"/>
      <c r="AL149" s="307" t="n"/>
      <c r="AM149" s="307" t="n"/>
      <c r="AN149" s="307" t="n"/>
      <c r="AO149" s="307" t="n"/>
      <c r="AP149" s="307" t="n"/>
      <c r="AQ149" s="307" t="n"/>
      <c r="AR149" s="307" t="n"/>
      <c r="AS149" s="307" t="n"/>
      <c r="AT149" s="307" t="n"/>
      <c r="AU149" s="307" t="n"/>
      <c r="AV149" s="307" t="n"/>
      <c r="AW149" s="307" t="n"/>
      <c r="AX149" s="307" t="n"/>
      <c r="AY149" s="307" t="n"/>
      <c r="AZ149" s="307" t="n"/>
      <c r="BA149" s="307" t="n"/>
      <c r="BB149" s="307" t="n"/>
      <c r="BC149" s="307" t="n"/>
      <c r="BD149" s="307" t="n"/>
      <c r="BE149" s="307" t="n"/>
      <c r="BF149" s="307" t="n"/>
      <c r="BG149" s="31" t="n"/>
      <c r="BH149" s="31" t="n"/>
      <c r="BI149" s="31" t="n"/>
      <c r="BJ149" s="31" t="n"/>
    </row>
    <row r="150" ht="15.75" customHeight="1" s="349">
      <c r="A150" s="307" t="n"/>
      <c r="B150" s="307" t="n"/>
      <c r="C150" s="307" t="n"/>
      <c r="D150" s="307" t="n"/>
      <c r="E150" s="307" t="n"/>
      <c r="F150" s="307" t="n"/>
      <c r="G150" s="307" t="n"/>
      <c r="H150" s="307" t="n"/>
      <c r="I150" s="307" t="n"/>
      <c r="J150" s="307" t="n"/>
      <c r="K150" s="307" t="n"/>
      <c r="L150" s="307" t="n"/>
      <c r="M150" s="307" t="n"/>
      <c r="N150" s="307" t="n"/>
      <c r="O150" s="307" t="n"/>
      <c r="P150" s="307" t="n"/>
      <c r="Q150" s="307" t="n"/>
      <c r="R150" s="307" t="n"/>
      <c r="S150" s="307" t="n"/>
      <c r="T150" s="307" t="n"/>
      <c r="U150" s="307" t="n"/>
      <c r="V150" s="307" t="n"/>
      <c r="W150" s="307" t="n"/>
      <c r="X150" s="307" t="n"/>
      <c r="Y150" s="307" t="n"/>
      <c r="Z150" s="307" t="n"/>
      <c r="AA150" s="307" t="n"/>
      <c r="AB150" s="307" t="n"/>
      <c r="AC150" s="307" t="n"/>
      <c r="AD150" s="307" t="n"/>
      <c r="AE150" s="307" t="n"/>
      <c r="AF150" s="307" t="n"/>
      <c r="AG150" s="307" t="n"/>
      <c r="AH150" s="307" t="n"/>
      <c r="AI150" s="307" t="n"/>
      <c r="AJ150" s="307" t="n"/>
      <c r="AK150" s="307" t="n"/>
      <c r="AL150" s="307" t="n"/>
      <c r="AM150" s="307" t="n"/>
      <c r="AN150" s="307" t="n"/>
      <c r="AO150" s="307" t="n"/>
      <c r="AP150" s="307" t="n"/>
      <c r="AQ150" s="307" t="n"/>
      <c r="AR150" s="307" t="n"/>
      <c r="AS150" s="307" t="n"/>
      <c r="AT150" s="307" t="n"/>
      <c r="AU150" s="307" t="n"/>
      <c r="AV150" s="307" t="n"/>
      <c r="AW150" s="307" t="n"/>
      <c r="AX150" s="307" t="n"/>
      <c r="AY150" s="307" t="n"/>
      <c r="AZ150" s="307" t="n"/>
      <c r="BA150" s="307" t="n"/>
      <c r="BB150" s="307" t="n"/>
      <c r="BC150" s="307" t="n"/>
      <c r="BD150" s="307" t="n"/>
      <c r="BE150" s="307" t="n"/>
      <c r="BF150" s="307" t="n"/>
      <c r="BG150" s="31" t="n"/>
      <c r="BH150" s="31" t="n"/>
      <c r="BI150" s="31" t="n"/>
      <c r="BJ150" s="31" t="n"/>
    </row>
    <row r="151" ht="15.75" customHeight="1" s="349">
      <c r="A151" s="307" t="n"/>
      <c r="B151" s="307" t="n"/>
      <c r="C151" s="307" t="n"/>
      <c r="D151" s="307" t="n"/>
      <c r="E151" s="307" t="n"/>
      <c r="F151" s="307" t="n"/>
      <c r="G151" s="307" t="n"/>
      <c r="H151" s="307" t="n"/>
      <c r="I151" s="307" t="n"/>
      <c r="J151" s="307" t="n"/>
      <c r="K151" s="307" t="n"/>
      <c r="L151" s="307" t="n"/>
      <c r="M151" s="307" t="n"/>
      <c r="N151" s="307" t="n"/>
      <c r="O151" s="307" t="n"/>
      <c r="P151" s="307" t="n"/>
      <c r="Q151" s="307" t="n"/>
      <c r="R151" s="307" t="n"/>
      <c r="S151" s="307" t="n"/>
      <c r="T151" s="307" t="n"/>
      <c r="U151" s="307" t="n"/>
      <c r="V151" s="307" t="n"/>
      <c r="W151" s="307" t="n"/>
      <c r="X151" s="307" t="n"/>
      <c r="Y151" s="307" t="n"/>
      <c r="Z151" s="307" t="n"/>
      <c r="AA151" s="307" t="n"/>
      <c r="AB151" s="307" t="n"/>
      <c r="AC151" s="307" t="n"/>
      <c r="AD151" s="307" t="n"/>
      <c r="AE151" s="307" t="n"/>
      <c r="AF151" s="307" t="n"/>
      <c r="AG151" s="307" t="n"/>
      <c r="AH151" s="307" t="n"/>
      <c r="AI151" s="307" t="n"/>
      <c r="AJ151" s="307" t="n"/>
      <c r="AK151" s="307" t="n"/>
      <c r="AL151" s="307" t="n"/>
      <c r="AM151" s="307" t="n"/>
      <c r="AN151" s="307" t="n"/>
      <c r="AO151" s="307" t="n"/>
      <c r="AP151" s="307" t="n"/>
      <c r="AQ151" s="307" t="n"/>
      <c r="AR151" s="307" t="n"/>
      <c r="AS151" s="307" t="n"/>
      <c r="AT151" s="307" t="n"/>
      <c r="AU151" s="307" t="n"/>
      <c r="AV151" s="307" t="n"/>
      <c r="AW151" s="307" t="n"/>
      <c r="AX151" s="307" t="n"/>
      <c r="AY151" s="307" t="n"/>
      <c r="AZ151" s="307" t="n"/>
      <c r="BA151" s="307" t="n"/>
      <c r="BB151" s="307" t="n"/>
      <c r="BC151" s="307" t="n"/>
      <c r="BD151" s="307" t="n"/>
      <c r="BE151" s="307" t="n"/>
      <c r="BF151" s="307" t="n"/>
      <c r="BG151" s="31" t="n"/>
      <c r="BH151" s="31" t="n"/>
      <c r="BI151" s="31" t="n"/>
      <c r="BJ151" s="31" t="n"/>
    </row>
    <row r="152" ht="15.75" customHeight="1" s="349">
      <c r="A152" s="307" t="n"/>
      <c r="B152" s="307" t="n"/>
      <c r="C152" s="307" t="n"/>
      <c r="D152" s="307" t="n"/>
      <c r="E152" s="307" t="n"/>
      <c r="F152" s="307" t="n"/>
      <c r="G152" s="307" t="n"/>
      <c r="H152" s="307" t="n"/>
      <c r="I152" s="307" t="n"/>
      <c r="J152" s="307" t="n"/>
      <c r="K152" s="307" t="n"/>
      <c r="L152" s="307" t="n"/>
      <c r="M152" s="307" t="n"/>
      <c r="N152" s="307" t="n"/>
      <c r="O152" s="307" t="n"/>
      <c r="P152" s="307" t="n"/>
      <c r="Q152" s="307" t="n"/>
      <c r="R152" s="307" t="n"/>
      <c r="S152" s="307" t="n"/>
      <c r="T152" s="307" t="n"/>
      <c r="U152" s="307" t="n"/>
      <c r="V152" s="307" t="n"/>
      <c r="W152" s="307" t="n"/>
      <c r="X152" s="307" t="n"/>
      <c r="Y152" s="307" t="n"/>
      <c r="Z152" s="307" t="n"/>
      <c r="AA152" s="307" t="n"/>
      <c r="AB152" s="307" t="n"/>
      <c r="AC152" s="307" t="n"/>
      <c r="AD152" s="307" t="n"/>
      <c r="AE152" s="307" t="n"/>
      <c r="AF152" s="307" t="n"/>
      <c r="AG152" s="307" t="n"/>
      <c r="AH152" s="307" t="n"/>
      <c r="AI152" s="307" t="n"/>
      <c r="AJ152" s="307" t="n"/>
      <c r="AK152" s="307" t="n"/>
      <c r="AL152" s="307" t="n"/>
      <c r="AM152" s="307" t="n"/>
      <c r="AN152" s="307" t="n"/>
      <c r="AO152" s="307" t="n"/>
      <c r="AP152" s="307" t="n"/>
      <c r="AQ152" s="307" t="n"/>
      <c r="AR152" s="307" t="n"/>
      <c r="AS152" s="307" t="n"/>
      <c r="AT152" s="307" t="n"/>
      <c r="AU152" s="307" t="n"/>
      <c r="AV152" s="307" t="n"/>
      <c r="AW152" s="307" t="n"/>
      <c r="AX152" s="307" t="n"/>
      <c r="AY152" s="307" t="n"/>
      <c r="AZ152" s="307" t="n"/>
      <c r="BA152" s="307" t="n"/>
      <c r="BB152" s="307" t="n"/>
      <c r="BC152" s="307" t="n"/>
      <c r="BD152" s="307" t="n"/>
      <c r="BE152" s="307" t="n"/>
      <c r="BF152" s="307" t="n"/>
      <c r="BG152" s="31" t="n"/>
      <c r="BH152" s="31" t="n"/>
      <c r="BI152" s="31" t="n"/>
      <c r="BJ152" s="31" t="n"/>
    </row>
    <row r="153" ht="15.75" customHeight="1" s="349">
      <c r="A153" s="307" t="n"/>
      <c r="B153" s="307" t="n"/>
      <c r="C153" s="307" t="n"/>
      <c r="D153" s="307" t="n"/>
      <c r="E153" s="307" t="n"/>
      <c r="F153" s="307" t="n"/>
      <c r="G153" s="307" t="n"/>
      <c r="H153" s="307" t="n"/>
      <c r="I153" s="307" t="n"/>
      <c r="J153" s="307" t="n"/>
      <c r="K153" s="307" t="n"/>
      <c r="L153" s="307" t="n"/>
      <c r="M153" s="307" t="n"/>
      <c r="N153" s="307" t="n"/>
      <c r="O153" s="307" t="n"/>
      <c r="P153" s="307" t="n"/>
      <c r="Q153" s="307" t="n"/>
      <c r="R153" s="307" t="n"/>
      <c r="S153" s="307" t="n"/>
      <c r="T153" s="307" t="n"/>
      <c r="U153" s="307" t="n"/>
      <c r="V153" s="307" t="n"/>
      <c r="W153" s="307" t="n"/>
      <c r="X153" s="307" t="n"/>
      <c r="Y153" s="307" t="n"/>
      <c r="Z153" s="307" t="n"/>
      <c r="AA153" s="307" t="n"/>
      <c r="AB153" s="307" t="n"/>
      <c r="AC153" s="307" t="n"/>
      <c r="AD153" s="307" t="n"/>
      <c r="AE153" s="307" t="n"/>
      <c r="AF153" s="307" t="n"/>
      <c r="AG153" s="307" t="n"/>
      <c r="AH153" s="307" t="n"/>
      <c r="AI153" s="307" t="n"/>
      <c r="AJ153" s="307" t="n"/>
      <c r="AK153" s="307" t="n"/>
      <c r="AL153" s="307" t="n"/>
      <c r="AM153" s="307" t="n"/>
      <c r="AN153" s="307" t="n"/>
      <c r="AO153" s="307" t="n"/>
      <c r="AP153" s="307" t="n"/>
      <c r="AQ153" s="307" t="n"/>
      <c r="AR153" s="307" t="n"/>
      <c r="AS153" s="307" t="n"/>
      <c r="AT153" s="307" t="n"/>
      <c r="AU153" s="307" t="n"/>
      <c r="AV153" s="307" t="n"/>
      <c r="AW153" s="307" t="n"/>
      <c r="AX153" s="307" t="n"/>
      <c r="AY153" s="307" t="n"/>
      <c r="AZ153" s="307" t="n"/>
      <c r="BA153" s="307" t="n"/>
      <c r="BB153" s="307" t="n"/>
      <c r="BC153" s="307" t="n"/>
      <c r="BD153" s="307" t="n"/>
      <c r="BE153" s="307" t="n"/>
      <c r="BF153" s="307" t="n"/>
      <c r="BG153" s="31" t="n"/>
      <c r="BH153" s="31" t="n"/>
      <c r="BI153" s="31" t="n"/>
      <c r="BJ153" s="31" t="n"/>
    </row>
    <row r="154" ht="15.75" customHeight="1" s="349">
      <c r="A154" s="307" t="n"/>
      <c r="B154" s="307" t="n"/>
      <c r="C154" s="307" t="n"/>
      <c r="D154" s="307" t="n"/>
      <c r="E154" s="307" t="n"/>
      <c r="F154" s="307" t="n"/>
      <c r="G154" s="307" t="n"/>
      <c r="H154" s="307" t="n"/>
      <c r="I154" s="307" t="n"/>
      <c r="J154" s="307" t="n"/>
      <c r="K154" s="307" t="n"/>
      <c r="L154" s="307" t="n"/>
      <c r="M154" s="307" t="n"/>
      <c r="N154" s="307" t="n"/>
      <c r="O154" s="307" t="n"/>
      <c r="P154" s="307" t="n"/>
      <c r="Q154" s="307" t="n"/>
      <c r="R154" s="307" t="n"/>
      <c r="S154" s="307" t="n"/>
      <c r="T154" s="307" t="n"/>
      <c r="U154" s="307" t="n"/>
      <c r="V154" s="307" t="n"/>
      <c r="W154" s="307" t="n"/>
      <c r="X154" s="307" t="n"/>
      <c r="Y154" s="307" t="n"/>
      <c r="Z154" s="307" t="n"/>
      <c r="AA154" s="307" t="n"/>
      <c r="AB154" s="307" t="n"/>
      <c r="AC154" s="307" t="n"/>
      <c r="AD154" s="307" t="n"/>
      <c r="AE154" s="307" t="n"/>
      <c r="AF154" s="307" t="n"/>
      <c r="AG154" s="307" t="n"/>
      <c r="AH154" s="307" t="n"/>
      <c r="AI154" s="307" t="n"/>
      <c r="AJ154" s="307" t="n"/>
      <c r="AK154" s="307" t="n"/>
      <c r="AL154" s="307" t="n"/>
      <c r="AM154" s="307" t="n"/>
      <c r="AN154" s="307" t="n"/>
      <c r="AO154" s="307" t="n"/>
      <c r="AP154" s="307" t="n"/>
      <c r="AQ154" s="307" t="n"/>
      <c r="AR154" s="307" t="n"/>
      <c r="AS154" s="307" t="n"/>
      <c r="AT154" s="307" t="n"/>
      <c r="AU154" s="307" t="n"/>
      <c r="AV154" s="307" t="n"/>
      <c r="AW154" s="307" t="n"/>
      <c r="AX154" s="307" t="n"/>
      <c r="AY154" s="307" t="n"/>
      <c r="AZ154" s="307" t="n"/>
      <c r="BA154" s="307" t="n"/>
      <c r="BB154" s="307" t="n"/>
      <c r="BC154" s="307" t="n"/>
      <c r="BD154" s="307" t="n"/>
      <c r="BE154" s="307" t="n"/>
      <c r="BF154" s="307" t="n"/>
      <c r="BG154" s="31" t="n"/>
      <c r="BH154" s="31" t="n"/>
      <c r="BI154" s="31" t="n"/>
      <c r="BJ154" s="31" t="n"/>
    </row>
    <row r="155" ht="15.75" customHeight="1" s="349">
      <c r="A155" s="307" t="n"/>
      <c r="B155" s="307" t="n"/>
      <c r="C155" s="307" t="n"/>
      <c r="D155" s="307" t="n"/>
      <c r="E155" s="307" t="n"/>
      <c r="F155" s="307" t="n"/>
      <c r="G155" s="307" t="n"/>
      <c r="H155" s="307" t="n"/>
      <c r="I155" s="307" t="n"/>
      <c r="J155" s="307" t="n"/>
      <c r="K155" s="307" t="n"/>
      <c r="L155" s="307" t="n"/>
      <c r="M155" s="307" t="n"/>
      <c r="N155" s="307" t="n"/>
      <c r="O155" s="307" t="n"/>
      <c r="P155" s="307" t="n"/>
      <c r="Q155" s="307" t="n"/>
      <c r="R155" s="307" t="n"/>
      <c r="S155" s="307" t="n"/>
      <c r="T155" s="307" t="n"/>
      <c r="U155" s="307" t="n"/>
      <c r="V155" s="307" t="n"/>
      <c r="W155" s="307" t="n"/>
      <c r="X155" s="307" t="n"/>
      <c r="Y155" s="307" t="n"/>
      <c r="Z155" s="307" t="n"/>
      <c r="AA155" s="307" t="n"/>
      <c r="AB155" s="307" t="n"/>
      <c r="AC155" s="307" t="n"/>
      <c r="AD155" s="307" t="n"/>
      <c r="AE155" s="307" t="n"/>
      <c r="AF155" s="307" t="n"/>
      <c r="AG155" s="307" t="n"/>
      <c r="AH155" s="307" t="n"/>
      <c r="AI155" s="307" t="n"/>
      <c r="AJ155" s="307" t="n"/>
      <c r="AK155" s="307" t="n"/>
      <c r="AL155" s="307" t="n"/>
      <c r="AM155" s="307" t="n"/>
      <c r="AN155" s="307" t="n"/>
      <c r="AO155" s="307" t="n"/>
      <c r="AP155" s="307" t="n"/>
      <c r="AQ155" s="307" t="n"/>
      <c r="AR155" s="307" t="n"/>
      <c r="AS155" s="307" t="n"/>
      <c r="AT155" s="307" t="n"/>
      <c r="AU155" s="307" t="n"/>
      <c r="AV155" s="307" t="n"/>
      <c r="AW155" s="307" t="n"/>
      <c r="AX155" s="307" t="n"/>
      <c r="AY155" s="307" t="n"/>
      <c r="AZ155" s="307" t="n"/>
      <c r="BA155" s="307" t="n"/>
      <c r="BB155" s="307" t="n"/>
      <c r="BC155" s="307" t="n"/>
      <c r="BD155" s="307" t="n"/>
      <c r="BE155" s="307" t="n"/>
      <c r="BF155" s="307" t="n"/>
      <c r="BG155" s="31" t="n"/>
      <c r="BH155" s="31" t="n"/>
      <c r="BI155" s="31" t="n"/>
      <c r="BJ155" s="31" t="n"/>
    </row>
    <row r="156" ht="15.75" customHeight="1" s="349">
      <c r="A156" s="307" t="n"/>
      <c r="B156" s="307" t="n"/>
      <c r="C156" s="307" t="n"/>
      <c r="D156" s="307" t="n"/>
      <c r="E156" s="307" t="n"/>
      <c r="F156" s="307" t="n"/>
      <c r="G156" s="307" t="n"/>
      <c r="H156" s="307" t="n"/>
      <c r="I156" s="307" t="n"/>
      <c r="J156" s="307" t="n"/>
      <c r="K156" s="307" t="n"/>
      <c r="L156" s="307" t="n"/>
      <c r="M156" s="307" t="n"/>
      <c r="N156" s="307" t="n"/>
      <c r="O156" s="307" t="n"/>
      <c r="P156" s="307" t="n"/>
      <c r="Q156" s="307" t="n"/>
      <c r="R156" s="307" t="n"/>
      <c r="S156" s="307" t="n"/>
      <c r="T156" s="307" t="n"/>
      <c r="U156" s="307" t="n"/>
      <c r="V156" s="307" t="n"/>
      <c r="W156" s="307" t="n"/>
      <c r="X156" s="307" t="n"/>
      <c r="Y156" s="307" t="n"/>
      <c r="Z156" s="307" t="n"/>
      <c r="AA156" s="307" t="n"/>
      <c r="AB156" s="307" t="n"/>
      <c r="AC156" s="307" t="n"/>
      <c r="AD156" s="307" t="n"/>
      <c r="AE156" s="307" t="n"/>
      <c r="AF156" s="307" t="n"/>
      <c r="AG156" s="307" t="n"/>
      <c r="AH156" s="307" t="n"/>
      <c r="AI156" s="307" t="n"/>
      <c r="AJ156" s="307" t="n"/>
      <c r="AK156" s="307" t="n"/>
      <c r="AL156" s="307" t="n"/>
      <c r="AM156" s="307" t="n"/>
      <c r="AN156" s="307" t="n"/>
      <c r="AO156" s="307" t="n"/>
      <c r="AP156" s="307" t="n"/>
      <c r="AQ156" s="307" t="n"/>
      <c r="AR156" s="307" t="n"/>
      <c r="AS156" s="307" t="n"/>
      <c r="AT156" s="307" t="n"/>
      <c r="AU156" s="307" t="n"/>
      <c r="AV156" s="307" t="n"/>
      <c r="AW156" s="307" t="n"/>
      <c r="AX156" s="307" t="n"/>
      <c r="AY156" s="307" t="n"/>
      <c r="AZ156" s="307" t="n"/>
      <c r="BA156" s="307" t="n"/>
      <c r="BB156" s="307" t="n"/>
      <c r="BC156" s="307" t="n"/>
      <c r="BD156" s="307" t="n"/>
      <c r="BE156" s="307" t="n"/>
      <c r="BF156" s="307" t="n"/>
      <c r="BG156" s="31" t="n"/>
      <c r="BH156" s="31" t="n"/>
      <c r="BI156" s="31" t="n"/>
      <c r="BJ156" s="31" t="n"/>
    </row>
    <row r="157" ht="15.75" customHeight="1" s="349">
      <c r="A157" s="307" t="n"/>
      <c r="B157" s="307" t="n"/>
      <c r="C157" s="307" t="n"/>
      <c r="D157" s="307" t="n"/>
      <c r="E157" s="307" t="n"/>
      <c r="F157" s="307" t="n"/>
      <c r="G157" s="307" t="n"/>
      <c r="H157" s="307" t="n"/>
      <c r="I157" s="307" t="n"/>
      <c r="J157" s="307" t="n"/>
      <c r="K157" s="307" t="n"/>
      <c r="L157" s="307" t="n"/>
      <c r="M157" s="307" t="n"/>
      <c r="N157" s="307" t="n"/>
      <c r="O157" s="307" t="n"/>
      <c r="P157" s="307" t="n"/>
      <c r="Q157" s="307" t="n"/>
      <c r="R157" s="307" t="n"/>
      <c r="S157" s="307" t="n"/>
      <c r="T157" s="307" t="n"/>
      <c r="U157" s="307" t="n"/>
      <c r="V157" s="307" t="n"/>
      <c r="W157" s="307" t="n"/>
      <c r="X157" s="307" t="n"/>
      <c r="Y157" s="307" t="n"/>
      <c r="Z157" s="307" t="n"/>
      <c r="AA157" s="307" t="n"/>
      <c r="AB157" s="307" t="n"/>
      <c r="AC157" s="307" t="n"/>
      <c r="AD157" s="307" t="n"/>
      <c r="AE157" s="307" t="n"/>
      <c r="AF157" s="307" t="n"/>
      <c r="AG157" s="307" t="n"/>
      <c r="AH157" s="307" t="n"/>
      <c r="AI157" s="307" t="n"/>
      <c r="AJ157" s="307" t="n"/>
      <c r="AK157" s="307" t="n"/>
      <c r="AL157" s="307" t="n"/>
      <c r="AM157" s="307" t="n"/>
      <c r="AN157" s="307" t="n"/>
      <c r="AO157" s="307" t="n"/>
      <c r="AP157" s="307" t="n"/>
      <c r="AQ157" s="307" t="n"/>
      <c r="AR157" s="307" t="n"/>
      <c r="AS157" s="307" t="n"/>
      <c r="AT157" s="307" t="n"/>
      <c r="AU157" s="307" t="n"/>
      <c r="AV157" s="307" t="n"/>
      <c r="AW157" s="307" t="n"/>
      <c r="AX157" s="307" t="n"/>
      <c r="AY157" s="307" t="n"/>
      <c r="AZ157" s="307" t="n"/>
      <c r="BA157" s="307" t="n"/>
      <c r="BB157" s="307" t="n"/>
      <c r="BC157" s="307" t="n"/>
      <c r="BD157" s="307" t="n"/>
      <c r="BE157" s="307" t="n"/>
      <c r="BF157" s="307" t="n"/>
      <c r="BG157" s="31" t="n"/>
      <c r="BH157" s="31" t="n"/>
      <c r="BI157" s="31" t="n"/>
      <c r="BJ157" s="31" t="n"/>
    </row>
    <row r="158" ht="15.75" customHeight="1" s="349">
      <c r="A158" s="307" t="n"/>
      <c r="B158" s="307" t="n"/>
      <c r="C158" s="307" t="n"/>
      <c r="D158" s="307" t="n"/>
      <c r="E158" s="307" t="n"/>
      <c r="F158" s="307" t="n"/>
      <c r="G158" s="307" t="n"/>
      <c r="H158" s="307" t="n"/>
      <c r="I158" s="307" t="n"/>
      <c r="J158" s="307" t="n"/>
      <c r="K158" s="307" t="n"/>
      <c r="L158" s="307" t="n"/>
      <c r="M158" s="307" t="n"/>
      <c r="N158" s="307" t="n"/>
      <c r="O158" s="307" t="n"/>
      <c r="P158" s="307" t="n"/>
      <c r="Q158" s="307" t="n"/>
      <c r="R158" s="307" t="n"/>
      <c r="S158" s="307" t="n"/>
      <c r="T158" s="307" t="n"/>
      <c r="U158" s="307" t="n"/>
      <c r="V158" s="307" t="n"/>
      <c r="W158" s="307" t="n"/>
      <c r="X158" s="307" t="n"/>
      <c r="Y158" s="307" t="n"/>
      <c r="Z158" s="307" t="n"/>
      <c r="AA158" s="307" t="n"/>
      <c r="AB158" s="307" t="n"/>
      <c r="AC158" s="307" t="n"/>
      <c r="AD158" s="307" t="n"/>
      <c r="AE158" s="307" t="n"/>
      <c r="AF158" s="307" t="n"/>
      <c r="AG158" s="307" t="n"/>
      <c r="AH158" s="307" t="n"/>
      <c r="AI158" s="307" t="n"/>
      <c r="AJ158" s="307" t="n"/>
      <c r="AK158" s="307" t="n"/>
      <c r="AL158" s="307" t="n"/>
      <c r="AM158" s="307" t="n"/>
      <c r="AN158" s="307" t="n"/>
      <c r="AO158" s="307" t="n"/>
      <c r="AP158" s="307" t="n"/>
      <c r="AQ158" s="307" t="n"/>
      <c r="AR158" s="307" t="n"/>
      <c r="AS158" s="307" t="n"/>
      <c r="AT158" s="307" t="n"/>
      <c r="AU158" s="307" t="n"/>
      <c r="AV158" s="307" t="n"/>
      <c r="AW158" s="307" t="n"/>
      <c r="AX158" s="307" t="n"/>
      <c r="AY158" s="307" t="n"/>
      <c r="AZ158" s="307" t="n"/>
      <c r="BA158" s="307" t="n"/>
      <c r="BB158" s="307" t="n"/>
      <c r="BC158" s="307" t="n"/>
      <c r="BD158" s="307" t="n"/>
      <c r="BE158" s="307" t="n"/>
      <c r="BF158" s="307" t="n"/>
      <c r="BG158" s="31" t="n"/>
      <c r="BH158" s="31" t="n"/>
      <c r="BI158" s="31" t="n"/>
      <c r="BJ158" s="31" t="n"/>
    </row>
    <row r="159" ht="15.75" customHeight="1" s="349">
      <c r="A159" s="307" t="n"/>
      <c r="B159" s="307" t="n"/>
      <c r="C159" s="307" t="n"/>
      <c r="D159" s="307" t="n"/>
      <c r="E159" s="307" t="n"/>
      <c r="F159" s="307" t="n"/>
      <c r="G159" s="307" t="n"/>
      <c r="H159" s="307" t="n"/>
      <c r="I159" s="307" t="n"/>
      <c r="J159" s="307" t="n"/>
      <c r="K159" s="307" t="n"/>
      <c r="L159" s="307" t="n"/>
      <c r="M159" s="307" t="n"/>
      <c r="N159" s="307" t="n"/>
      <c r="O159" s="307" t="n"/>
      <c r="P159" s="307" t="n"/>
      <c r="Q159" s="307" t="n"/>
      <c r="R159" s="307" t="n"/>
      <c r="S159" s="307" t="n"/>
      <c r="T159" s="307" t="n"/>
      <c r="U159" s="307" t="n"/>
      <c r="V159" s="307" t="n"/>
      <c r="W159" s="307" t="n"/>
      <c r="X159" s="307" t="n"/>
      <c r="Y159" s="307" t="n"/>
      <c r="Z159" s="307" t="n"/>
      <c r="AA159" s="307" t="n"/>
      <c r="AB159" s="307" t="n"/>
      <c r="AC159" s="307" t="n"/>
      <c r="AD159" s="307" t="n"/>
      <c r="AE159" s="307" t="n"/>
      <c r="AF159" s="307" t="n"/>
      <c r="AG159" s="307" t="n"/>
      <c r="AH159" s="307" t="n"/>
      <c r="AI159" s="307" t="n"/>
      <c r="AJ159" s="307" t="n"/>
      <c r="AK159" s="307" t="n"/>
      <c r="AL159" s="307" t="n"/>
      <c r="AM159" s="307" t="n"/>
      <c r="AN159" s="307" t="n"/>
      <c r="AO159" s="307" t="n"/>
      <c r="AP159" s="307" t="n"/>
      <c r="AQ159" s="307" t="n"/>
      <c r="AR159" s="307" t="n"/>
      <c r="AS159" s="307" t="n"/>
      <c r="AT159" s="307" t="n"/>
      <c r="AU159" s="307" t="n"/>
      <c r="AV159" s="307" t="n"/>
      <c r="AW159" s="307" t="n"/>
      <c r="AX159" s="307" t="n"/>
      <c r="AY159" s="307" t="n"/>
      <c r="AZ159" s="307" t="n"/>
      <c r="BA159" s="307" t="n"/>
      <c r="BB159" s="307" t="n"/>
      <c r="BC159" s="307" t="n"/>
      <c r="BD159" s="307" t="n"/>
      <c r="BE159" s="307" t="n"/>
      <c r="BF159" s="307" t="n"/>
      <c r="BG159" s="31" t="n"/>
      <c r="BH159" s="31" t="n"/>
      <c r="BI159" s="31" t="n"/>
      <c r="BJ159" s="31" t="n"/>
    </row>
    <row r="160" ht="15.75" customHeight="1" s="349">
      <c r="A160" s="307" t="n"/>
      <c r="B160" s="307" t="n"/>
      <c r="C160" s="307" t="n"/>
      <c r="D160" s="307" t="n"/>
      <c r="E160" s="307" t="n"/>
      <c r="F160" s="307" t="n"/>
      <c r="G160" s="307" t="n"/>
      <c r="H160" s="307" t="n"/>
      <c r="I160" s="307" t="n"/>
      <c r="J160" s="307" t="n"/>
      <c r="K160" s="307" t="n"/>
      <c r="L160" s="307" t="n"/>
      <c r="M160" s="307" t="n"/>
      <c r="N160" s="307" t="n"/>
      <c r="O160" s="307" t="n"/>
      <c r="P160" s="307" t="n"/>
      <c r="Q160" s="307" t="n"/>
      <c r="R160" s="307" t="n"/>
      <c r="S160" s="307" t="n"/>
      <c r="T160" s="307" t="n"/>
      <c r="U160" s="307" t="n"/>
      <c r="V160" s="307" t="n"/>
      <c r="W160" s="307" t="n"/>
      <c r="X160" s="307" t="n"/>
      <c r="Y160" s="307" t="n"/>
      <c r="Z160" s="307" t="n"/>
      <c r="AA160" s="307" t="n"/>
      <c r="AB160" s="307" t="n"/>
      <c r="AC160" s="307" t="n"/>
      <c r="AD160" s="307" t="n"/>
      <c r="AE160" s="307" t="n"/>
      <c r="AF160" s="307" t="n"/>
      <c r="AG160" s="307" t="n"/>
      <c r="AH160" s="307" t="n"/>
      <c r="AI160" s="307" t="n"/>
      <c r="AJ160" s="307" t="n"/>
      <c r="AK160" s="307" t="n"/>
      <c r="AL160" s="307" t="n"/>
      <c r="AM160" s="307" t="n"/>
      <c r="AN160" s="307" t="n"/>
      <c r="AO160" s="307" t="n"/>
      <c r="AP160" s="307" t="n"/>
      <c r="AQ160" s="307" t="n"/>
      <c r="AR160" s="307" t="n"/>
      <c r="AS160" s="307" t="n"/>
      <c r="AT160" s="307" t="n"/>
      <c r="AU160" s="307" t="n"/>
      <c r="AV160" s="307" t="n"/>
      <c r="AW160" s="307" t="n"/>
      <c r="AX160" s="307" t="n"/>
      <c r="AY160" s="307" t="n"/>
      <c r="AZ160" s="307" t="n"/>
      <c r="BA160" s="307" t="n"/>
      <c r="BB160" s="307" t="n"/>
      <c r="BC160" s="307" t="n"/>
      <c r="BD160" s="307" t="n"/>
      <c r="BE160" s="307" t="n"/>
      <c r="BF160" s="307" t="n"/>
      <c r="BG160" s="31" t="n"/>
      <c r="BH160" s="31" t="n"/>
      <c r="BI160" s="31" t="n"/>
      <c r="BJ160" s="31" t="n"/>
    </row>
    <row r="161" ht="15.75" customHeight="1" s="349">
      <c r="A161" s="307" t="n"/>
      <c r="B161" s="307" t="n"/>
      <c r="C161" s="307" t="n"/>
      <c r="D161" s="307" t="n"/>
      <c r="E161" s="307" t="n"/>
      <c r="F161" s="307" t="n"/>
      <c r="G161" s="307" t="n"/>
      <c r="H161" s="307" t="n"/>
      <c r="I161" s="307" t="n"/>
      <c r="J161" s="307" t="n"/>
      <c r="K161" s="307" t="n"/>
      <c r="L161" s="307" t="n"/>
      <c r="M161" s="307" t="n"/>
      <c r="N161" s="307" t="n"/>
      <c r="O161" s="307" t="n"/>
      <c r="P161" s="307" t="n"/>
      <c r="Q161" s="307" t="n"/>
      <c r="R161" s="307" t="n"/>
      <c r="S161" s="307" t="n"/>
      <c r="T161" s="307" t="n"/>
      <c r="U161" s="307" t="n"/>
      <c r="V161" s="307" t="n"/>
      <c r="W161" s="307" t="n"/>
      <c r="X161" s="307" t="n"/>
      <c r="Y161" s="307" t="n"/>
      <c r="Z161" s="307" t="n"/>
      <c r="AA161" s="307" t="n"/>
      <c r="AB161" s="307" t="n"/>
      <c r="AC161" s="307" t="n"/>
      <c r="AD161" s="307" t="n"/>
      <c r="AE161" s="307" t="n"/>
      <c r="AF161" s="307" t="n"/>
      <c r="AG161" s="307" t="n"/>
      <c r="AH161" s="307" t="n"/>
      <c r="AI161" s="307" t="n"/>
      <c r="AJ161" s="307" t="n"/>
      <c r="AK161" s="307" t="n"/>
      <c r="AL161" s="307" t="n"/>
      <c r="AM161" s="307" t="n"/>
      <c r="AN161" s="307" t="n"/>
      <c r="AO161" s="307" t="n"/>
      <c r="AP161" s="307" t="n"/>
      <c r="AQ161" s="307" t="n"/>
      <c r="AR161" s="307" t="n"/>
      <c r="AS161" s="307" t="n"/>
      <c r="AT161" s="307" t="n"/>
      <c r="AU161" s="307" t="n"/>
      <c r="AV161" s="307" t="n"/>
      <c r="AW161" s="307" t="n"/>
      <c r="AX161" s="307" t="n"/>
      <c r="AY161" s="307" t="n"/>
      <c r="AZ161" s="307" t="n"/>
      <c r="BA161" s="307" t="n"/>
      <c r="BB161" s="307" t="n"/>
      <c r="BC161" s="307" t="n"/>
      <c r="BD161" s="307" t="n"/>
      <c r="BE161" s="307" t="n"/>
      <c r="BF161" s="307" t="n"/>
      <c r="BG161" s="31" t="n"/>
      <c r="BH161" s="31" t="n"/>
      <c r="BI161" s="31" t="n"/>
      <c r="BJ161" s="31" t="n"/>
    </row>
    <row r="162" ht="15.75" customHeight="1" s="349">
      <c r="A162" s="307" t="n"/>
      <c r="B162" s="307" t="n"/>
      <c r="C162" s="307" t="n"/>
      <c r="D162" s="307" t="n"/>
      <c r="E162" s="307" t="n"/>
      <c r="F162" s="307" t="n"/>
      <c r="G162" s="307" t="n"/>
      <c r="H162" s="307" t="n"/>
      <c r="I162" s="307" t="n"/>
      <c r="J162" s="307" t="n"/>
      <c r="K162" s="307" t="n"/>
      <c r="L162" s="307" t="n"/>
      <c r="M162" s="307" t="n"/>
      <c r="N162" s="307" t="n"/>
      <c r="O162" s="307" t="n"/>
      <c r="P162" s="307" t="n"/>
      <c r="Q162" s="307" t="n"/>
      <c r="R162" s="307" t="n"/>
      <c r="S162" s="307" t="n"/>
      <c r="T162" s="307" t="n"/>
      <c r="U162" s="307" t="n"/>
      <c r="V162" s="307" t="n"/>
      <c r="W162" s="307" t="n"/>
      <c r="X162" s="307" t="n"/>
      <c r="Y162" s="307" t="n"/>
      <c r="Z162" s="307" t="n"/>
      <c r="AA162" s="307" t="n"/>
      <c r="AB162" s="307" t="n"/>
      <c r="AC162" s="307" t="n"/>
      <c r="AD162" s="307" t="n"/>
      <c r="AE162" s="307" t="n"/>
      <c r="AF162" s="307" t="n"/>
      <c r="AG162" s="307" t="n"/>
      <c r="AH162" s="307" t="n"/>
      <c r="AI162" s="307" t="n"/>
      <c r="AJ162" s="307" t="n"/>
      <c r="AK162" s="307" t="n"/>
      <c r="AL162" s="307" t="n"/>
      <c r="AM162" s="307" t="n"/>
      <c r="AN162" s="307" t="n"/>
      <c r="AO162" s="307" t="n"/>
      <c r="AP162" s="307" t="n"/>
      <c r="AQ162" s="307" t="n"/>
      <c r="AR162" s="307" t="n"/>
      <c r="AS162" s="307" t="n"/>
      <c r="AT162" s="307" t="n"/>
      <c r="AU162" s="307" t="n"/>
      <c r="AV162" s="307" t="n"/>
      <c r="AW162" s="307" t="n"/>
      <c r="AX162" s="307" t="n"/>
      <c r="AY162" s="307" t="n"/>
      <c r="AZ162" s="307" t="n"/>
      <c r="BA162" s="307" t="n"/>
      <c r="BB162" s="307" t="n"/>
      <c r="BC162" s="307" t="n"/>
      <c r="BD162" s="307" t="n"/>
      <c r="BE162" s="307" t="n"/>
      <c r="BF162" s="307" t="n"/>
      <c r="BG162" s="31" t="n"/>
      <c r="BH162" s="31" t="n"/>
      <c r="BI162" s="31" t="n"/>
      <c r="BJ162" s="31" t="n"/>
    </row>
    <row r="163" ht="15.75" customHeight="1" s="349">
      <c r="A163" s="307" t="n"/>
      <c r="B163" s="307" t="n"/>
      <c r="C163" s="307" t="n"/>
      <c r="D163" s="307" t="n"/>
      <c r="E163" s="307" t="n"/>
      <c r="F163" s="307" t="n"/>
      <c r="G163" s="307" t="n"/>
      <c r="H163" s="307" t="n"/>
      <c r="I163" s="307" t="n"/>
      <c r="J163" s="307" t="n"/>
      <c r="K163" s="307" t="n"/>
      <c r="L163" s="307" t="n"/>
      <c r="M163" s="307" t="n"/>
      <c r="N163" s="307" t="n"/>
      <c r="O163" s="307" t="n"/>
      <c r="P163" s="307" t="n"/>
      <c r="Q163" s="307" t="n"/>
      <c r="R163" s="307" t="n"/>
      <c r="S163" s="307" t="n"/>
      <c r="T163" s="307" t="n"/>
      <c r="U163" s="307" t="n"/>
      <c r="V163" s="307" t="n"/>
      <c r="W163" s="307" t="n"/>
      <c r="X163" s="307" t="n"/>
      <c r="Y163" s="307" t="n"/>
      <c r="Z163" s="307" t="n"/>
      <c r="AA163" s="307" t="n"/>
      <c r="AB163" s="307" t="n"/>
      <c r="AC163" s="307" t="n"/>
      <c r="AD163" s="307" t="n"/>
      <c r="AE163" s="307" t="n"/>
      <c r="AF163" s="307" t="n"/>
      <c r="AG163" s="307" t="n"/>
      <c r="AH163" s="307" t="n"/>
      <c r="AI163" s="307" t="n"/>
      <c r="AJ163" s="307" t="n"/>
      <c r="AK163" s="307" t="n"/>
      <c r="AL163" s="307" t="n"/>
      <c r="AM163" s="307" t="n"/>
      <c r="AN163" s="307" t="n"/>
      <c r="AO163" s="307" t="n"/>
      <c r="AP163" s="307" t="n"/>
      <c r="AQ163" s="307" t="n"/>
      <c r="AR163" s="307" t="n"/>
      <c r="AS163" s="307" t="n"/>
      <c r="AT163" s="307" t="n"/>
      <c r="AU163" s="307" t="n"/>
      <c r="AV163" s="307" t="n"/>
      <c r="AW163" s="307" t="n"/>
      <c r="AX163" s="307" t="n"/>
      <c r="AY163" s="307" t="n"/>
      <c r="AZ163" s="307" t="n"/>
      <c r="BA163" s="307" t="n"/>
      <c r="BB163" s="307" t="n"/>
      <c r="BC163" s="307" t="n"/>
      <c r="BD163" s="307" t="n"/>
      <c r="BE163" s="307" t="n"/>
      <c r="BF163" s="307" t="n"/>
      <c r="BG163" s="31" t="n"/>
      <c r="BH163" s="31" t="n"/>
      <c r="BI163" s="31" t="n"/>
      <c r="BJ163" s="31" t="n"/>
    </row>
    <row r="164" ht="15.75" customHeight="1" s="349">
      <c r="A164" s="307" t="n"/>
      <c r="B164" s="307" t="n"/>
      <c r="C164" s="307" t="n"/>
      <c r="D164" s="307" t="n"/>
      <c r="E164" s="307" t="n"/>
      <c r="F164" s="307" t="n"/>
      <c r="G164" s="307" t="n"/>
      <c r="H164" s="307" t="n"/>
      <c r="I164" s="307" t="n"/>
      <c r="J164" s="307" t="n"/>
      <c r="K164" s="307" t="n"/>
      <c r="L164" s="307" t="n"/>
      <c r="M164" s="307" t="n"/>
      <c r="N164" s="307" t="n"/>
      <c r="O164" s="307" t="n"/>
      <c r="P164" s="307" t="n"/>
      <c r="Q164" s="307" t="n"/>
      <c r="R164" s="307" t="n"/>
      <c r="S164" s="307" t="n"/>
      <c r="T164" s="307" t="n"/>
      <c r="U164" s="307" t="n"/>
      <c r="V164" s="307" t="n"/>
      <c r="W164" s="307" t="n"/>
      <c r="X164" s="307" t="n"/>
      <c r="Y164" s="307" t="n"/>
      <c r="Z164" s="307" t="n"/>
      <c r="AA164" s="307" t="n"/>
      <c r="AB164" s="307" t="n"/>
      <c r="AC164" s="307" t="n"/>
      <c r="AD164" s="307" t="n"/>
      <c r="AE164" s="307" t="n"/>
      <c r="AF164" s="307" t="n"/>
      <c r="AG164" s="307" t="n"/>
      <c r="AH164" s="307" t="n"/>
      <c r="AI164" s="307" t="n"/>
      <c r="AJ164" s="307" t="n"/>
      <c r="AK164" s="307" t="n"/>
      <c r="AL164" s="307" t="n"/>
      <c r="AM164" s="307" t="n"/>
      <c r="AN164" s="307" t="n"/>
      <c r="AO164" s="307" t="n"/>
      <c r="AP164" s="307" t="n"/>
      <c r="AQ164" s="307" t="n"/>
      <c r="AR164" s="307" t="n"/>
      <c r="AS164" s="307" t="n"/>
      <c r="AT164" s="307" t="n"/>
      <c r="AU164" s="307" t="n"/>
      <c r="AV164" s="307" t="n"/>
      <c r="AW164" s="307" t="n"/>
      <c r="AX164" s="307" t="n"/>
      <c r="AY164" s="307" t="n"/>
      <c r="AZ164" s="307" t="n"/>
      <c r="BA164" s="307" t="n"/>
      <c r="BB164" s="307" t="n"/>
      <c r="BC164" s="307" t="n"/>
      <c r="BD164" s="307" t="n"/>
      <c r="BE164" s="307" t="n"/>
      <c r="BF164" s="307" t="n"/>
      <c r="BG164" s="31" t="n"/>
      <c r="BH164" s="31" t="n"/>
      <c r="BI164" s="31" t="n"/>
      <c r="BJ164" s="31" t="n"/>
    </row>
    <row r="165" ht="15.75" customHeight="1" s="349">
      <c r="A165" s="307" t="n"/>
      <c r="B165" s="307" t="n"/>
      <c r="C165" s="307" t="n"/>
      <c r="D165" s="307" t="n"/>
      <c r="E165" s="307" t="n"/>
      <c r="F165" s="307" t="n"/>
      <c r="G165" s="307" t="n"/>
      <c r="H165" s="307" t="n"/>
      <c r="I165" s="307" t="n"/>
      <c r="J165" s="307" t="n"/>
      <c r="K165" s="307" t="n"/>
      <c r="L165" s="307" t="n"/>
      <c r="M165" s="307" t="n"/>
      <c r="N165" s="307" t="n"/>
      <c r="O165" s="307" t="n"/>
      <c r="P165" s="307" t="n"/>
      <c r="Q165" s="307" t="n"/>
      <c r="R165" s="307" t="n"/>
      <c r="S165" s="307" t="n"/>
      <c r="T165" s="307" t="n"/>
      <c r="U165" s="307" t="n"/>
      <c r="V165" s="307" t="n"/>
      <c r="W165" s="307" t="n"/>
      <c r="X165" s="307" t="n"/>
      <c r="Y165" s="307" t="n"/>
      <c r="Z165" s="307" t="n"/>
      <c r="AA165" s="307" t="n"/>
      <c r="AB165" s="307" t="n"/>
      <c r="AC165" s="307" t="n"/>
      <c r="AD165" s="307" t="n"/>
      <c r="AE165" s="307" t="n"/>
      <c r="AF165" s="307" t="n"/>
      <c r="AG165" s="307" t="n"/>
      <c r="AH165" s="307" t="n"/>
      <c r="AI165" s="307" t="n"/>
      <c r="AJ165" s="307" t="n"/>
      <c r="AK165" s="307" t="n"/>
      <c r="AL165" s="307" t="n"/>
      <c r="AM165" s="307" t="n"/>
      <c r="AN165" s="307" t="n"/>
      <c r="AO165" s="307" t="n"/>
      <c r="AP165" s="307" t="n"/>
      <c r="AQ165" s="307" t="n"/>
      <c r="AR165" s="307" t="n"/>
      <c r="AS165" s="307" t="n"/>
      <c r="AT165" s="307" t="n"/>
      <c r="AU165" s="307" t="n"/>
      <c r="AV165" s="307" t="n"/>
      <c r="AW165" s="307" t="n"/>
      <c r="AX165" s="307" t="n"/>
      <c r="AY165" s="307" t="n"/>
      <c r="AZ165" s="307" t="n"/>
      <c r="BA165" s="307" t="n"/>
      <c r="BB165" s="307" t="n"/>
      <c r="BC165" s="307" t="n"/>
      <c r="BD165" s="307" t="n"/>
      <c r="BE165" s="307" t="n"/>
      <c r="BF165" s="307" t="n"/>
      <c r="BG165" s="31" t="n"/>
      <c r="BH165" s="31" t="n"/>
      <c r="BI165" s="31" t="n"/>
      <c r="BJ165" s="31" t="n"/>
    </row>
    <row r="166" ht="15.75" customHeight="1" s="349">
      <c r="A166" s="307" t="n"/>
      <c r="B166" s="307" t="n"/>
      <c r="C166" s="307" t="n"/>
      <c r="D166" s="307" t="n"/>
      <c r="E166" s="307" t="n"/>
      <c r="F166" s="307" t="n"/>
      <c r="G166" s="307" t="n"/>
      <c r="H166" s="307" t="n"/>
      <c r="I166" s="307" t="n"/>
      <c r="J166" s="307" t="n"/>
      <c r="K166" s="307" t="n"/>
      <c r="L166" s="307" t="n"/>
      <c r="M166" s="307" t="n"/>
      <c r="N166" s="307" t="n"/>
      <c r="O166" s="307" t="n"/>
      <c r="P166" s="307" t="n"/>
      <c r="Q166" s="307" t="n"/>
      <c r="R166" s="307" t="n"/>
      <c r="S166" s="307" t="n"/>
      <c r="T166" s="307" t="n"/>
      <c r="U166" s="307" t="n"/>
      <c r="V166" s="307" t="n"/>
      <c r="W166" s="307" t="n"/>
      <c r="X166" s="307" t="n"/>
      <c r="Y166" s="307" t="n"/>
      <c r="Z166" s="307" t="n"/>
      <c r="AA166" s="307" t="n"/>
      <c r="AB166" s="307" t="n"/>
      <c r="AC166" s="307" t="n"/>
      <c r="AD166" s="307" t="n"/>
      <c r="AE166" s="307" t="n"/>
      <c r="AF166" s="307" t="n"/>
      <c r="AG166" s="307" t="n"/>
      <c r="AH166" s="307" t="n"/>
      <c r="AI166" s="307" t="n"/>
      <c r="AJ166" s="307" t="n"/>
      <c r="AK166" s="307" t="n"/>
      <c r="AL166" s="307" t="n"/>
      <c r="AM166" s="307" t="n"/>
      <c r="AN166" s="307" t="n"/>
      <c r="AO166" s="307" t="n"/>
      <c r="AP166" s="307" t="n"/>
      <c r="AQ166" s="307" t="n"/>
      <c r="AR166" s="307" t="n"/>
      <c r="AS166" s="307" t="n"/>
      <c r="AT166" s="307" t="n"/>
      <c r="AU166" s="307" t="n"/>
      <c r="AV166" s="307" t="n"/>
      <c r="AW166" s="307" t="n"/>
      <c r="AX166" s="307" t="n"/>
      <c r="AY166" s="307" t="n"/>
      <c r="AZ166" s="307" t="n"/>
      <c r="BA166" s="307" t="n"/>
      <c r="BB166" s="307" t="n"/>
      <c r="BC166" s="307" t="n"/>
      <c r="BD166" s="307" t="n"/>
      <c r="BE166" s="307" t="n"/>
      <c r="BF166" s="307" t="n"/>
      <c r="BG166" s="31" t="n"/>
      <c r="BH166" s="31" t="n"/>
      <c r="BI166" s="31" t="n"/>
      <c r="BJ166" s="31" t="n"/>
    </row>
    <row r="167" ht="15.75" customHeight="1" s="349">
      <c r="A167" s="307" t="n"/>
      <c r="B167" s="307" t="n"/>
      <c r="C167" s="307" t="n"/>
      <c r="D167" s="307" t="n"/>
      <c r="E167" s="307" t="n"/>
      <c r="F167" s="307" t="n"/>
      <c r="G167" s="307" t="n"/>
      <c r="H167" s="307" t="n"/>
      <c r="I167" s="307" t="n"/>
      <c r="J167" s="307" t="n"/>
      <c r="K167" s="307" t="n"/>
      <c r="L167" s="307" t="n"/>
      <c r="M167" s="307" t="n"/>
      <c r="N167" s="307" t="n"/>
      <c r="O167" s="307" t="n"/>
      <c r="P167" s="307" t="n"/>
      <c r="Q167" s="307" t="n"/>
      <c r="R167" s="307" t="n"/>
      <c r="S167" s="307" t="n"/>
      <c r="T167" s="307" t="n"/>
      <c r="U167" s="307" t="n"/>
      <c r="V167" s="307" t="n"/>
      <c r="W167" s="307" t="n"/>
      <c r="X167" s="307" t="n"/>
      <c r="Y167" s="307" t="n"/>
      <c r="Z167" s="307" t="n"/>
      <c r="AA167" s="307" t="n"/>
      <c r="AB167" s="307" t="n"/>
      <c r="AC167" s="307" t="n"/>
      <c r="AD167" s="307" t="n"/>
      <c r="AE167" s="307" t="n"/>
      <c r="AF167" s="307" t="n"/>
      <c r="AG167" s="307" t="n"/>
      <c r="AH167" s="307" t="n"/>
      <c r="AI167" s="307" t="n"/>
      <c r="AJ167" s="307" t="n"/>
      <c r="AK167" s="307" t="n"/>
      <c r="AL167" s="307" t="n"/>
      <c r="AM167" s="307" t="n"/>
      <c r="AN167" s="307" t="n"/>
      <c r="AO167" s="307" t="n"/>
      <c r="AP167" s="307" t="n"/>
      <c r="AQ167" s="307" t="n"/>
      <c r="AR167" s="307" t="n"/>
      <c r="AS167" s="307" t="n"/>
      <c r="AT167" s="307" t="n"/>
      <c r="AU167" s="307" t="n"/>
      <c r="AV167" s="307" t="n"/>
      <c r="AW167" s="307" t="n"/>
      <c r="AX167" s="307" t="n"/>
      <c r="AY167" s="307" t="n"/>
      <c r="AZ167" s="307" t="n"/>
      <c r="BA167" s="307" t="n"/>
      <c r="BB167" s="307" t="n"/>
      <c r="BC167" s="307" t="n"/>
      <c r="BD167" s="307" t="n"/>
      <c r="BE167" s="307" t="n"/>
      <c r="BF167" s="307" t="n"/>
      <c r="BG167" s="31" t="n"/>
      <c r="BH167" s="31" t="n"/>
      <c r="BI167" s="31" t="n"/>
      <c r="BJ167" s="31" t="n"/>
    </row>
    <row r="168" ht="15.75" customHeight="1" s="349">
      <c r="A168" s="307" t="n"/>
      <c r="B168" s="307" t="n"/>
      <c r="C168" s="307" t="n"/>
      <c r="D168" s="307" t="n"/>
      <c r="E168" s="307" t="n"/>
      <c r="F168" s="307" t="n"/>
      <c r="G168" s="307" t="n"/>
      <c r="H168" s="307" t="n"/>
      <c r="I168" s="307" t="n"/>
      <c r="J168" s="307" t="n"/>
      <c r="K168" s="307" t="n"/>
      <c r="L168" s="307" t="n"/>
      <c r="M168" s="307" t="n"/>
      <c r="N168" s="307" t="n"/>
      <c r="O168" s="307" t="n"/>
      <c r="P168" s="307" t="n"/>
      <c r="Q168" s="307" t="n"/>
      <c r="R168" s="307" t="n"/>
      <c r="S168" s="307" t="n"/>
      <c r="T168" s="307" t="n"/>
      <c r="U168" s="307" t="n"/>
      <c r="V168" s="307" t="n"/>
      <c r="W168" s="307" t="n"/>
      <c r="X168" s="307" t="n"/>
      <c r="Y168" s="307" t="n"/>
      <c r="Z168" s="307" t="n"/>
      <c r="AA168" s="307" t="n"/>
      <c r="AB168" s="307" t="n"/>
      <c r="AC168" s="307" t="n"/>
      <c r="AD168" s="307" t="n"/>
      <c r="AE168" s="307" t="n"/>
      <c r="AF168" s="307" t="n"/>
      <c r="AG168" s="307" t="n"/>
      <c r="AH168" s="307" t="n"/>
      <c r="AI168" s="307" t="n"/>
      <c r="AJ168" s="307" t="n"/>
      <c r="AK168" s="307" t="n"/>
      <c r="AL168" s="307" t="n"/>
      <c r="AM168" s="307" t="n"/>
      <c r="AN168" s="307" t="n"/>
      <c r="AO168" s="307" t="n"/>
      <c r="AP168" s="307" t="n"/>
      <c r="AQ168" s="307" t="n"/>
      <c r="AR168" s="307" t="n"/>
      <c r="AS168" s="307" t="n"/>
      <c r="AT168" s="307" t="n"/>
      <c r="AU168" s="307" t="n"/>
      <c r="AV168" s="307" t="n"/>
      <c r="AW168" s="307" t="n"/>
      <c r="AX168" s="307" t="n"/>
      <c r="AY168" s="307" t="n"/>
      <c r="AZ168" s="307" t="n"/>
      <c r="BA168" s="307" t="n"/>
      <c r="BB168" s="307" t="n"/>
      <c r="BC168" s="307" t="n"/>
      <c r="BD168" s="307" t="n"/>
      <c r="BE168" s="307" t="n"/>
      <c r="BF168" s="307" t="n"/>
      <c r="BG168" s="31" t="n"/>
      <c r="BH168" s="31" t="n"/>
      <c r="BI168" s="31" t="n"/>
      <c r="BJ168" s="31" t="n"/>
    </row>
    <row r="169" ht="15.75" customHeight="1" s="349">
      <c r="A169" s="307" t="n"/>
      <c r="B169" s="307" t="n"/>
      <c r="C169" s="307" t="n"/>
      <c r="D169" s="307" t="n"/>
      <c r="E169" s="307" t="n"/>
      <c r="F169" s="307" t="n"/>
      <c r="G169" s="307" t="n"/>
      <c r="H169" s="307" t="n"/>
      <c r="I169" s="307" t="n"/>
      <c r="J169" s="307" t="n"/>
      <c r="K169" s="307" t="n"/>
      <c r="L169" s="307" t="n"/>
      <c r="M169" s="307" t="n"/>
      <c r="N169" s="307" t="n"/>
      <c r="O169" s="307" t="n"/>
      <c r="P169" s="307" t="n"/>
      <c r="Q169" s="307" t="n"/>
      <c r="R169" s="307" t="n"/>
      <c r="S169" s="307" t="n"/>
      <c r="T169" s="307" t="n"/>
      <c r="U169" s="307" t="n"/>
      <c r="V169" s="307" t="n"/>
      <c r="W169" s="307" t="n"/>
      <c r="X169" s="307" t="n"/>
      <c r="Y169" s="307" t="n"/>
      <c r="Z169" s="307" t="n"/>
      <c r="AA169" s="307" t="n"/>
      <c r="AB169" s="307" t="n"/>
      <c r="AC169" s="307" t="n"/>
      <c r="AD169" s="307" t="n"/>
      <c r="AE169" s="307" t="n"/>
      <c r="AF169" s="307" t="n"/>
      <c r="AG169" s="307" t="n"/>
      <c r="AH169" s="307" t="n"/>
      <c r="AI169" s="307" t="n"/>
      <c r="AJ169" s="307" t="n"/>
      <c r="AK169" s="307" t="n"/>
      <c r="AL169" s="307" t="n"/>
      <c r="AM169" s="307" t="n"/>
      <c r="AN169" s="307" t="n"/>
      <c r="AO169" s="307" t="n"/>
      <c r="AP169" s="307" t="n"/>
      <c r="AQ169" s="307" t="n"/>
      <c r="AR169" s="307" t="n"/>
      <c r="AS169" s="307" t="n"/>
      <c r="AT169" s="307" t="n"/>
      <c r="AU169" s="307" t="n"/>
      <c r="AV169" s="307" t="n"/>
      <c r="AW169" s="307" t="n"/>
      <c r="AX169" s="307" t="n"/>
      <c r="AY169" s="307" t="n"/>
      <c r="AZ169" s="307" t="n"/>
      <c r="BA169" s="307" t="n"/>
      <c r="BB169" s="307" t="n"/>
      <c r="BC169" s="307" t="n"/>
      <c r="BD169" s="307" t="n"/>
      <c r="BE169" s="307" t="n"/>
      <c r="BF169" s="307" t="n"/>
      <c r="BG169" s="31" t="n"/>
      <c r="BH169" s="31" t="n"/>
      <c r="BI169" s="31" t="n"/>
      <c r="BJ169" s="31" t="n"/>
    </row>
    <row r="170" ht="15.75" customHeight="1" s="349">
      <c r="A170" s="307" t="n"/>
      <c r="B170" s="307" t="n"/>
      <c r="C170" s="307" t="n"/>
      <c r="D170" s="307" t="n"/>
      <c r="E170" s="307" t="n"/>
      <c r="F170" s="307" t="n"/>
      <c r="G170" s="307" t="n"/>
      <c r="H170" s="307" t="n"/>
      <c r="I170" s="307" t="n"/>
      <c r="J170" s="307" t="n"/>
      <c r="K170" s="307" t="n"/>
      <c r="L170" s="307" t="n"/>
      <c r="M170" s="307" t="n"/>
      <c r="N170" s="307" t="n"/>
      <c r="O170" s="307" t="n"/>
      <c r="P170" s="307" t="n"/>
      <c r="Q170" s="307" t="n"/>
      <c r="R170" s="307" t="n"/>
      <c r="S170" s="307" t="n"/>
      <c r="T170" s="307" t="n"/>
      <c r="U170" s="307" t="n"/>
      <c r="V170" s="307" t="n"/>
      <c r="W170" s="307" t="n"/>
      <c r="X170" s="307" t="n"/>
      <c r="Y170" s="307" t="n"/>
      <c r="Z170" s="307" t="n"/>
      <c r="AA170" s="307" t="n"/>
      <c r="AB170" s="307" t="n"/>
      <c r="AC170" s="307" t="n"/>
      <c r="AD170" s="307" t="n"/>
      <c r="AE170" s="307" t="n"/>
      <c r="AF170" s="307" t="n"/>
      <c r="AG170" s="307" t="n"/>
      <c r="AH170" s="307" t="n"/>
      <c r="AI170" s="307" t="n"/>
      <c r="AJ170" s="307" t="n"/>
      <c r="AK170" s="307" t="n"/>
      <c r="AL170" s="307" t="n"/>
      <c r="AM170" s="307" t="n"/>
      <c r="AN170" s="307" t="n"/>
      <c r="AO170" s="307" t="n"/>
      <c r="AP170" s="307" t="n"/>
      <c r="AQ170" s="307" t="n"/>
      <c r="AR170" s="307" t="n"/>
      <c r="AS170" s="307" t="n"/>
      <c r="AT170" s="307" t="n"/>
      <c r="AU170" s="307" t="n"/>
      <c r="AV170" s="307" t="n"/>
      <c r="AW170" s="307" t="n"/>
      <c r="AX170" s="307" t="n"/>
      <c r="AY170" s="307" t="n"/>
      <c r="AZ170" s="307" t="n"/>
      <c r="BA170" s="307" t="n"/>
      <c r="BB170" s="307" t="n"/>
      <c r="BC170" s="307" t="n"/>
      <c r="BD170" s="307" t="n"/>
      <c r="BE170" s="307" t="n"/>
      <c r="BF170" s="307" t="n"/>
      <c r="BG170" s="31" t="n"/>
      <c r="BH170" s="31" t="n"/>
      <c r="BI170" s="31" t="n"/>
      <c r="BJ170" s="31" t="n"/>
    </row>
    <row r="171" ht="15.75" customHeight="1" s="349">
      <c r="A171" s="307" t="n"/>
      <c r="B171" s="307" t="n"/>
      <c r="C171" s="307" t="n"/>
      <c r="D171" s="307" t="n"/>
      <c r="E171" s="307" t="n"/>
      <c r="F171" s="307" t="n"/>
      <c r="G171" s="307" t="n"/>
      <c r="H171" s="307" t="n"/>
      <c r="I171" s="307" t="n"/>
      <c r="J171" s="307" t="n"/>
      <c r="K171" s="307" t="n"/>
      <c r="L171" s="307" t="n"/>
      <c r="M171" s="307" t="n"/>
      <c r="N171" s="307" t="n"/>
      <c r="O171" s="307" t="n"/>
      <c r="P171" s="307" t="n"/>
      <c r="Q171" s="307" t="n"/>
      <c r="R171" s="307" t="n"/>
      <c r="S171" s="307" t="n"/>
      <c r="T171" s="307" t="n"/>
      <c r="U171" s="307" t="n"/>
      <c r="V171" s="307" t="n"/>
      <c r="W171" s="307" t="n"/>
      <c r="X171" s="307" t="n"/>
      <c r="Y171" s="307" t="n"/>
      <c r="Z171" s="307" t="n"/>
      <c r="AA171" s="307" t="n"/>
      <c r="AB171" s="307" t="n"/>
      <c r="AC171" s="307" t="n"/>
      <c r="AD171" s="307" t="n"/>
      <c r="AE171" s="307" t="n"/>
      <c r="AF171" s="307" t="n"/>
      <c r="AG171" s="307" t="n"/>
      <c r="AH171" s="307" t="n"/>
      <c r="AI171" s="307" t="n"/>
      <c r="AJ171" s="307" t="n"/>
      <c r="AK171" s="307" t="n"/>
      <c r="AL171" s="307" t="n"/>
      <c r="AM171" s="307" t="n"/>
      <c r="AN171" s="307" t="n"/>
      <c r="AO171" s="307" t="n"/>
      <c r="AP171" s="307" t="n"/>
      <c r="AQ171" s="307" t="n"/>
      <c r="AR171" s="307" t="n"/>
      <c r="AS171" s="307" t="n"/>
      <c r="AT171" s="307" t="n"/>
      <c r="AU171" s="307" t="n"/>
      <c r="AV171" s="307" t="n"/>
      <c r="AW171" s="307" t="n"/>
      <c r="AX171" s="307" t="n"/>
      <c r="AY171" s="307" t="n"/>
      <c r="AZ171" s="307" t="n"/>
      <c r="BA171" s="307" t="n"/>
      <c r="BB171" s="307" t="n"/>
      <c r="BC171" s="307" t="n"/>
      <c r="BD171" s="307" t="n"/>
      <c r="BE171" s="307" t="n"/>
      <c r="BF171" s="307" t="n"/>
      <c r="BG171" s="31" t="n"/>
      <c r="BH171" s="31" t="n"/>
      <c r="BI171" s="31" t="n"/>
      <c r="BJ171" s="31" t="n"/>
    </row>
    <row r="172" ht="15.75" customHeight="1" s="349">
      <c r="A172" s="307" t="n"/>
      <c r="B172" s="307" t="n"/>
      <c r="C172" s="307" t="n"/>
      <c r="D172" s="307" t="n"/>
      <c r="E172" s="307" t="n"/>
      <c r="F172" s="307" t="n"/>
      <c r="G172" s="307" t="n"/>
      <c r="H172" s="307" t="n"/>
      <c r="I172" s="307" t="n"/>
      <c r="J172" s="307" t="n"/>
      <c r="K172" s="307" t="n"/>
      <c r="L172" s="307" t="n"/>
      <c r="M172" s="307" t="n"/>
      <c r="N172" s="307" t="n"/>
      <c r="O172" s="307" t="n"/>
      <c r="P172" s="307" t="n"/>
      <c r="Q172" s="307" t="n"/>
      <c r="R172" s="307" t="n"/>
      <c r="S172" s="307" t="n"/>
      <c r="T172" s="307" t="n"/>
      <c r="U172" s="307" t="n"/>
      <c r="V172" s="307" t="n"/>
      <c r="W172" s="307" t="n"/>
      <c r="X172" s="307" t="n"/>
      <c r="Y172" s="307" t="n"/>
      <c r="Z172" s="307" t="n"/>
      <c r="AA172" s="307" t="n"/>
      <c r="AB172" s="307" t="n"/>
      <c r="AC172" s="307" t="n"/>
      <c r="AD172" s="307" t="n"/>
      <c r="AE172" s="307" t="n"/>
      <c r="AF172" s="307" t="n"/>
      <c r="AG172" s="307" t="n"/>
      <c r="AH172" s="307" t="n"/>
      <c r="AI172" s="307" t="n"/>
      <c r="AJ172" s="307" t="n"/>
      <c r="AK172" s="307" t="n"/>
      <c r="AL172" s="307" t="n"/>
      <c r="AM172" s="307" t="n"/>
      <c r="AN172" s="307" t="n"/>
      <c r="AO172" s="307" t="n"/>
      <c r="AP172" s="307" t="n"/>
      <c r="AQ172" s="307" t="n"/>
      <c r="AR172" s="307" t="n"/>
      <c r="AS172" s="307" t="n"/>
      <c r="AT172" s="307" t="n"/>
      <c r="AU172" s="307" t="n"/>
      <c r="AV172" s="307" t="n"/>
      <c r="AW172" s="307" t="n"/>
      <c r="AX172" s="307" t="n"/>
      <c r="AY172" s="307" t="n"/>
      <c r="AZ172" s="307" t="n"/>
      <c r="BA172" s="307" t="n"/>
      <c r="BB172" s="307" t="n"/>
      <c r="BC172" s="307" t="n"/>
      <c r="BD172" s="307" t="n"/>
      <c r="BE172" s="307" t="n"/>
      <c r="BF172" s="307" t="n"/>
      <c r="BG172" s="31" t="n"/>
      <c r="BH172" s="31" t="n"/>
      <c r="BI172" s="31" t="n"/>
      <c r="BJ172" s="31" t="n"/>
    </row>
    <row r="173" ht="15.75" customHeight="1" s="349">
      <c r="A173" s="307" t="n"/>
      <c r="B173" s="307" t="n"/>
      <c r="C173" s="307" t="n"/>
      <c r="D173" s="307" t="n"/>
      <c r="E173" s="307" t="n"/>
      <c r="F173" s="307" t="n"/>
      <c r="G173" s="307" t="n"/>
      <c r="H173" s="307" t="n"/>
      <c r="I173" s="307" t="n"/>
      <c r="J173" s="307" t="n"/>
      <c r="K173" s="307" t="n"/>
      <c r="L173" s="307" t="n"/>
      <c r="M173" s="307" t="n"/>
      <c r="N173" s="307" t="n"/>
      <c r="O173" s="307" t="n"/>
      <c r="P173" s="307" t="n"/>
      <c r="Q173" s="307" t="n"/>
      <c r="R173" s="307" t="n"/>
      <c r="S173" s="307" t="n"/>
      <c r="T173" s="307" t="n"/>
      <c r="U173" s="307" t="n"/>
      <c r="V173" s="307" t="n"/>
      <c r="W173" s="307" t="n"/>
      <c r="X173" s="307" t="n"/>
      <c r="Y173" s="307" t="n"/>
      <c r="Z173" s="307" t="n"/>
      <c r="AA173" s="307" t="n"/>
      <c r="AB173" s="307" t="n"/>
      <c r="AC173" s="307" t="n"/>
      <c r="AD173" s="307" t="n"/>
      <c r="AE173" s="307" t="n"/>
      <c r="AF173" s="307" t="n"/>
      <c r="AG173" s="307" t="n"/>
      <c r="AH173" s="307" t="n"/>
      <c r="AI173" s="307" t="n"/>
      <c r="AJ173" s="307" t="n"/>
      <c r="AK173" s="307" t="n"/>
      <c r="AL173" s="307" t="n"/>
      <c r="AM173" s="307" t="n"/>
      <c r="AN173" s="307" t="n"/>
      <c r="AO173" s="307" t="n"/>
      <c r="AP173" s="307" t="n"/>
      <c r="AQ173" s="307" t="n"/>
      <c r="AR173" s="307" t="n"/>
      <c r="AS173" s="307" t="n"/>
      <c r="AT173" s="307" t="n"/>
      <c r="AU173" s="307" t="n"/>
      <c r="AV173" s="307" t="n"/>
      <c r="AW173" s="307" t="n"/>
      <c r="AX173" s="307" t="n"/>
      <c r="AY173" s="307" t="n"/>
      <c r="AZ173" s="307" t="n"/>
      <c r="BA173" s="307" t="n"/>
      <c r="BB173" s="307" t="n"/>
      <c r="BC173" s="307" t="n"/>
      <c r="BD173" s="307" t="n"/>
      <c r="BE173" s="307" t="n"/>
      <c r="BF173" s="307" t="n"/>
      <c r="BG173" s="31" t="n"/>
      <c r="BH173" s="31" t="n"/>
      <c r="BI173" s="31" t="n"/>
      <c r="BJ173" s="31" t="n"/>
    </row>
    <row r="174" ht="15.75" customHeight="1" s="349">
      <c r="A174" s="307" t="n"/>
      <c r="B174" s="307" t="n"/>
      <c r="C174" s="307" t="n"/>
      <c r="D174" s="307" t="n"/>
      <c r="E174" s="307" t="n"/>
      <c r="F174" s="307" t="n"/>
      <c r="G174" s="307" t="n"/>
      <c r="H174" s="307" t="n"/>
      <c r="I174" s="307" t="n"/>
      <c r="J174" s="307" t="n"/>
      <c r="K174" s="307" t="n"/>
      <c r="L174" s="307" t="n"/>
      <c r="M174" s="307" t="n"/>
      <c r="N174" s="307" t="n"/>
      <c r="O174" s="307" t="n"/>
      <c r="P174" s="307" t="n"/>
      <c r="Q174" s="307" t="n"/>
      <c r="R174" s="307" t="n"/>
      <c r="S174" s="307" t="n"/>
      <c r="T174" s="307" t="n"/>
      <c r="U174" s="307" t="n"/>
      <c r="V174" s="307" t="n"/>
      <c r="W174" s="307" t="n"/>
      <c r="X174" s="307" t="n"/>
      <c r="Y174" s="307" t="n"/>
      <c r="Z174" s="307" t="n"/>
      <c r="AA174" s="307" t="n"/>
      <c r="AB174" s="307" t="n"/>
      <c r="AC174" s="307" t="n"/>
      <c r="AD174" s="307" t="n"/>
      <c r="AE174" s="307" t="n"/>
      <c r="AF174" s="307" t="n"/>
      <c r="AG174" s="307" t="n"/>
      <c r="AH174" s="307" t="n"/>
      <c r="AI174" s="307" t="n"/>
      <c r="AJ174" s="307" t="n"/>
      <c r="AK174" s="307" t="n"/>
      <c r="AL174" s="307" t="n"/>
      <c r="AM174" s="307" t="n"/>
      <c r="AN174" s="307" t="n"/>
      <c r="AO174" s="307" t="n"/>
      <c r="AP174" s="307" t="n"/>
      <c r="AQ174" s="307" t="n"/>
      <c r="AR174" s="307" t="n"/>
      <c r="AS174" s="307" t="n"/>
      <c r="AT174" s="307" t="n"/>
      <c r="AU174" s="307" t="n"/>
      <c r="AV174" s="307" t="n"/>
      <c r="AW174" s="307" t="n"/>
      <c r="AX174" s="307" t="n"/>
      <c r="AY174" s="307" t="n"/>
      <c r="AZ174" s="307" t="n"/>
      <c r="BA174" s="307" t="n"/>
      <c r="BB174" s="307" t="n"/>
      <c r="BC174" s="307" t="n"/>
      <c r="BD174" s="307" t="n"/>
      <c r="BE174" s="307" t="n"/>
      <c r="BF174" s="307" t="n"/>
      <c r="BG174" s="31" t="n"/>
      <c r="BH174" s="31" t="n"/>
      <c r="BI174" s="31" t="n"/>
      <c r="BJ174" s="31" t="n"/>
    </row>
    <row r="175" ht="15.75" customHeight="1" s="349">
      <c r="A175" s="307" t="n"/>
      <c r="B175" s="307" t="n"/>
      <c r="C175" s="307" t="n"/>
      <c r="D175" s="307" t="n"/>
      <c r="E175" s="307" t="n"/>
      <c r="F175" s="307" t="n"/>
      <c r="G175" s="307" t="n"/>
      <c r="H175" s="307" t="n"/>
      <c r="I175" s="307" t="n"/>
      <c r="J175" s="307" t="n"/>
      <c r="K175" s="307" t="n"/>
      <c r="L175" s="307" t="n"/>
      <c r="M175" s="307" t="n"/>
      <c r="N175" s="307" t="n"/>
      <c r="O175" s="307" t="n"/>
      <c r="P175" s="307" t="n"/>
      <c r="Q175" s="307" t="n"/>
      <c r="R175" s="307" t="n"/>
      <c r="S175" s="307" t="n"/>
      <c r="T175" s="307" t="n"/>
      <c r="U175" s="307" t="n"/>
      <c r="V175" s="307" t="n"/>
      <c r="W175" s="307" t="n"/>
      <c r="X175" s="307" t="n"/>
      <c r="Y175" s="307" t="n"/>
      <c r="Z175" s="307" t="n"/>
      <c r="AA175" s="307" t="n"/>
      <c r="AB175" s="307" t="n"/>
      <c r="AC175" s="307" t="n"/>
      <c r="AD175" s="307" t="n"/>
      <c r="AE175" s="307" t="n"/>
      <c r="AF175" s="307" t="n"/>
      <c r="AG175" s="307" t="n"/>
      <c r="AH175" s="307" t="n"/>
      <c r="AI175" s="307" t="n"/>
      <c r="AJ175" s="307" t="n"/>
      <c r="AK175" s="307" t="n"/>
      <c r="AL175" s="307" t="n"/>
      <c r="AM175" s="307" t="n"/>
      <c r="AN175" s="307" t="n"/>
      <c r="AO175" s="307" t="n"/>
      <c r="AP175" s="307" t="n"/>
      <c r="AQ175" s="307" t="n"/>
      <c r="AR175" s="307" t="n"/>
      <c r="AS175" s="307" t="n"/>
      <c r="AT175" s="307" t="n"/>
      <c r="AU175" s="307" t="n"/>
      <c r="AV175" s="307" t="n"/>
      <c r="AW175" s="307" t="n"/>
      <c r="AX175" s="307" t="n"/>
      <c r="AY175" s="307" t="n"/>
      <c r="AZ175" s="307" t="n"/>
      <c r="BA175" s="307" t="n"/>
      <c r="BB175" s="307" t="n"/>
      <c r="BC175" s="307" t="n"/>
      <c r="BD175" s="307" t="n"/>
      <c r="BE175" s="307" t="n"/>
      <c r="BF175" s="307" t="n"/>
      <c r="BG175" s="31" t="n"/>
      <c r="BH175" s="31" t="n"/>
      <c r="BI175" s="31" t="n"/>
      <c r="BJ175" s="31" t="n"/>
    </row>
    <row r="176" ht="15.75" customHeight="1" s="349">
      <c r="A176" s="307" t="n"/>
      <c r="B176" s="307" t="n"/>
      <c r="C176" s="307" t="n"/>
      <c r="D176" s="307" t="n"/>
      <c r="E176" s="307" t="n"/>
      <c r="F176" s="307" t="n"/>
      <c r="G176" s="307" t="n"/>
      <c r="H176" s="307" t="n"/>
      <c r="I176" s="307" t="n"/>
      <c r="J176" s="307" t="n"/>
      <c r="K176" s="307" t="n"/>
      <c r="L176" s="307" t="n"/>
      <c r="M176" s="307" t="n"/>
      <c r="N176" s="307" t="n"/>
      <c r="O176" s="307" t="n"/>
      <c r="P176" s="307" t="n"/>
      <c r="Q176" s="307" t="n"/>
      <c r="R176" s="307" t="n"/>
      <c r="S176" s="307" t="n"/>
      <c r="T176" s="307" t="n"/>
      <c r="U176" s="307" t="n"/>
      <c r="V176" s="307" t="n"/>
      <c r="W176" s="307" t="n"/>
      <c r="X176" s="307" t="n"/>
      <c r="Y176" s="307" t="n"/>
      <c r="Z176" s="307" t="n"/>
      <c r="AA176" s="307" t="n"/>
      <c r="AB176" s="307" t="n"/>
      <c r="AC176" s="307" t="n"/>
      <c r="AD176" s="307" t="n"/>
      <c r="AE176" s="307" t="n"/>
      <c r="AF176" s="307" t="n"/>
      <c r="AG176" s="307" t="n"/>
      <c r="AH176" s="307" t="n"/>
      <c r="AI176" s="307" t="n"/>
      <c r="AJ176" s="307" t="n"/>
      <c r="AK176" s="307" t="n"/>
      <c r="AL176" s="307" t="n"/>
      <c r="AM176" s="307" t="n"/>
      <c r="AN176" s="307" t="n"/>
      <c r="AO176" s="307" t="n"/>
      <c r="AP176" s="307" t="n"/>
      <c r="AQ176" s="307" t="n"/>
      <c r="AR176" s="307" t="n"/>
      <c r="AS176" s="307" t="n"/>
      <c r="AT176" s="307" t="n"/>
      <c r="AU176" s="307" t="n"/>
      <c r="AV176" s="307" t="n"/>
      <c r="AW176" s="307" t="n"/>
      <c r="AX176" s="307" t="n"/>
      <c r="AY176" s="307" t="n"/>
      <c r="AZ176" s="307" t="n"/>
      <c r="BA176" s="307" t="n"/>
      <c r="BB176" s="307" t="n"/>
      <c r="BC176" s="307" t="n"/>
      <c r="BD176" s="307" t="n"/>
      <c r="BE176" s="307" t="n"/>
      <c r="BF176" s="307" t="n"/>
      <c r="BG176" s="31" t="n"/>
      <c r="BH176" s="31" t="n"/>
      <c r="BI176" s="31" t="n"/>
      <c r="BJ176" s="31" t="n"/>
    </row>
    <row r="177" ht="15.75" customHeight="1" s="349">
      <c r="A177" s="307" t="n"/>
      <c r="B177" s="307" t="n"/>
      <c r="C177" s="307" t="n"/>
      <c r="D177" s="307" t="n"/>
      <c r="E177" s="307" t="n"/>
      <c r="F177" s="307" t="n"/>
      <c r="G177" s="307" t="n"/>
      <c r="H177" s="307" t="n"/>
      <c r="I177" s="307" t="n"/>
      <c r="J177" s="307" t="n"/>
      <c r="K177" s="307" t="n"/>
      <c r="L177" s="307" t="n"/>
      <c r="M177" s="307" t="n"/>
      <c r="N177" s="307" t="n"/>
      <c r="O177" s="307" t="n"/>
      <c r="P177" s="307" t="n"/>
      <c r="Q177" s="307" t="n"/>
      <c r="R177" s="307" t="n"/>
      <c r="S177" s="307" t="n"/>
      <c r="T177" s="307" t="n"/>
      <c r="U177" s="307" t="n"/>
      <c r="V177" s="307" t="n"/>
      <c r="W177" s="307" t="n"/>
      <c r="X177" s="307" t="n"/>
      <c r="Y177" s="307" t="n"/>
      <c r="Z177" s="307" t="n"/>
      <c r="AA177" s="307" t="n"/>
      <c r="AB177" s="307" t="n"/>
      <c r="AC177" s="307" t="n"/>
      <c r="AD177" s="307" t="n"/>
      <c r="AE177" s="307" t="n"/>
      <c r="AF177" s="307" t="n"/>
      <c r="AG177" s="307" t="n"/>
      <c r="AH177" s="307" t="n"/>
      <c r="AI177" s="307" t="n"/>
      <c r="AJ177" s="307" t="n"/>
      <c r="AK177" s="307" t="n"/>
      <c r="AL177" s="307" t="n"/>
      <c r="AM177" s="307" t="n"/>
      <c r="AN177" s="307" t="n"/>
      <c r="AO177" s="307" t="n"/>
      <c r="AP177" s="307" t="n"/>
      <c r="AQ177" s="307" t="n"/>
      <c r="AR177" s="307" t="n"/>
      <c r="AS177" s="307" t="n"/>
      <c r="AT177" s="307" t="n"/>
      <c r="AU177" s="307" t="n"/>
      <c r="AV177" s="307" t="n"/>
      <c r="AW177" s="307" t="n"/>
      <c r="AX177" s="307" t="n"/>
      <c r="AY177" s="307" t="n"/>
      <c r="AZ177" s="307" t="n"/>
      <c r="BA177" s="307" t="n"/>
      <c r="BB177" s="307" t="n"/>
      <c r="BC177" s="307" t="n"/>
      <c r="BD177" s="307" t="n"/>
      <c r="BE177" s="307" t="n"/>
      <c r="BF177" s="307" t="n"/>
      <c r="BG177" s="31" t="n"/>
      <c r="BH177" s="31" t="n"/>
      <c r="BI177" s="31" t="n"/>
      <c r="BJ177" s="31" t="n"/>
    </row>
    <row r="178" ht="15.75" customHeight="1" s="349">
      <c r="A178" s="307" t="n"/>
      <c r="B178" s="307" t="n"/>
      <c r="C178" s="307" t="n"/>
      <c r="D178" s="307" t="n"/>
      <c r="E178" s="307" t="n"/>
      <c r="F178" s="307" t="n"/>
      <c r="G178" s="307" t="n"/>
      <c r="H178" s="307" t="n"/>
      <c r="I178" s="307" t="n"/>
      <c r="J178" s="307" t="n"/>
      <c r="K178" s="307" t="n"/>
      <c r="L178" s="307" t="n"/>
      <c r="M178" s="307" t="n"/>
      <c r="N178" s="307" t="n"/>
      <c r="O178" s="307" t="n"/>
      <c r="P178" s="307" t="n"/>
      <c r="Q178" s="307" t="n"/>
      <c r="R178" s="307" t="n"/>
      <c r="S178" s="307" t="n"/>
      <c r="T178" s="307" t="n"/>
      <c r="U178" s="307" t="n"/>
      <c r="V178" s="307" t="n"/>
      <c r="W178" s="307" t="n"/>
      <c r="X178" s="307" t="n"/>
      <c r="Y178" s="307" t="n"/>
      <c r="Z178" s="307" t="n"/>
      <c r="AA178" s="307" t="n"/>
      <c r="AB178" s="307" t="n"/>
      <c r="AC178" s="307" t="n"/>
      <c r="AD178" s="307" t="n"/>
      <c r="AE178" s="307" t="n"/>
      <c r="AF178" s="307" t="n"/>
      <c r="AG178" s="307" t="n"/>
      <c r="AH178" s="307" t="n"/>
      <c r="AI178" s="307" t="n"/>
      <c r="AJ178" s="307" t="n"/>
      <c r="AK178" s="307" t="n"/>
      <c r="AL178" s="307" t="n"/>
      <c r="AM178" s="307" t="n"/>
      <c r="AN178" s="307" t="n"/>
      <c r="AO178" s="307" t="n"/>
      <c r="AP178" s="307" t="n"/>
      <c r="AQ178" s="307" t="n"/>
      <c r="AR178" s="307" t="n"/>
      <c r="AS178" s="307" t="n"/>
      <c r="AT178" s="307" t="n"/>
      <c r="AU178" s="307" t="n"/>
      <c r="AV178" s="307" t="n"/>
      <c r="AW178" s="307" t="n"/>
      <c r="AX178" s="307" t="n"/>
      <c r="AY178" s="307" t="n"/>
      <c r="AZ178" s="307" t="n"/>
      <c r="BA178" s="307" t="n"/>
      <c r="BB178" s="307" t="n"/>
      <c r="BC178" s="307" t="n"/>
      <c r="BD178" s="307" t="n"/>
      <c r="BE178" s="307" t="n"/>
      <c r="BF178" s="307" t="n"/>
      <c r="BG178" s="31" t="n"/>
      <c r="BH178" s="31" t="n"/>
      <c r="BI178" s="31" t="n"/>
      <c r="BJ178" s="31" t="n"/>
    </row>
    <row r="179" ht="15.75" customHeight="1" s="349">
      <c r="A179" s="307" t="n"/>
      <c r="B179" s="307" t="n"/>
      <c r="C179" s="307" t="n"/>
      <c r="D179" s="307" t="n"/>
      <c r="E179" s="307" t="n"/>
      <c r="F179" s="307" t="n"/>
      <c r="G179" s="307" t="n"/>
      <c r="H179" s="307" t="n"/>
      <c r="I179" s="307" t="n"/>
      <c r="J179" s="307" t="n"/>
      <c r="K179" s="307" t="n"/>
      <c r="L179" s="307" t="n"/>
      <c r="M179" s="307" t="n"/>
      <c r="N179" s="307" t="n"/>
      <c r="O179" s="307" t="n"/>
      <c r="P179" s="307" t="n"/>
      <c r="Q179" s="307" t="n"/>
      <c r="R179" s="307" t="n"/>
      <c r="S179" s="307" t="n"/>
      <c r="T179" s="307" t="n"/>
      <c r="U179" s="307" t="n"/>
      <c r="V179" s="307" t="n"/>
      <c r="W179" s="307" t="n"/>
      <c r="X179" s="307" t="n"/>
      <c r="Y179" s="307" t="n"/>
      <c r="Z179" s="307" t="n"/>
      <c r="AA179" s="307" t="n"/>
      <c r="AB179" s="307" t="n"/>
      <c r="AC179" s="307" t="n"/>
      <c r="AD179" s="307" t="n"/>
      <c r="AE179" s="307" t="n"/>
      <c r="AF179" s="307" t="n"/>
      <c r="AG179" s="307" t="n"/>
      <c r="AH179" s="307" t="n"/>
      <c r="AI179" s="307" t="n"/>
      <c r="AJ179" s="307" t="n"/>
      <c r="AK179" s="307" t="n"/>
      <c r="AL179" s="307" t="n"/>
      <c r="AM179" s="307" t="n"/>
      <c r="AN179" s="307" t="n"/>
      <c r="AO179" s="307" t="n"/>
      <c r="AP179" s="307" t="n"/>
      <c r="AQ179" s="307" t="n"/>
      <c r="AR179" s="307" t="n"/>
      <c r="AS179" s="307" t="n"/>
      <c r="AT179" s="307" t="n"/>
      <c r="AU179" s="307" t="n"/>
      <c r="AV179" s="307" t="n"/>
      <c r="AW179" s="307" t="n"/>
      <c r="AX179" s="307" t="n"/>
      <c r="AY179" s="307" t="n"/>
      <c r="AZ179" s="307" t="n"/>
      <c r="BA179" s="307" t="n"/>
      <c r="BB179" s="307" t="n"/>
      <c r="BC179" s="307" t="n"/>
      <c r="BD179" s="307" t="n"/>
      <c r="BE179" s="307" t="n"/>
      <c r="BF179" s="307" t="n"/>
      <c r="BG179" s="31" t="n"/>
      <c r="BH179" s="31" t="n"/>
      <c r="BI179" s="31" t="n"/>
      <c r="BJ179" s="31" t="n"/>
    </row>
    <row r="180" ht="15.75" customHeight="1" s="349">
      <c r="A180" s="307" t="n"/>
      <c r="B180" s="307" t="n"/>
      <c r="C180" s="307" t="n"/>
      <c r="D180" s="307" t="n"/>
      <c r="E180" s="307" t="n"/>
      <c r="F180" s="307" t="n"/>
      <c r="G180" s="307" t="n"/>
      <c r="H180" s="307" t="n"/>
      <c r="I180" s="307" t="n"/>
      <c r="J180" s="307" t="n"/>
      <c r="K180" s="307" t="n"/>
      <c r="L180" s="307" t="n"/>
      <c r="M180" s="307" t="n"/>
      <c r="N180" s="307" t="n"/>
      <c r="O180" s="307" t="n"/>
      <c r="P180" s="307" t="n"/>
      <c r="Q180" s="307" t="n"/>
      <c r="R180" s="307" t="n"/>
      <c r="S180" s="307" t="n"/>
      <c r="T180" s="307" t="n"/>
      <c r="U180" s="307" t="n"/>
      <c r="V180" s="307" t="n"/>
      <c r="W180" s="307" t="n"/>
      <c r="X180" s="307" t="n"/>
      <c r="Y180" s="307" t="n"/>
      <c r="Z180" s="307" t="n"/>
      <c r="AA180" s="307" t="n"/>
      <c r="AB180" s="307" t="n"/>
      <c r="AC180" s="307" t="n"/>
      <c r="AD180" s="307" t="n"/>
      <c r="AE180" s="307" t="n"/>
      <c r="AF180" s="307" t="n"/>
      <c r="AG180" s="307" t="n"/>
      <c r="AH180" s="307" t="n"/>
      <c r="AI180" s="307" t="n"/>
      <c r="AJ180" s="307" t="n"/>
      <c r="AK180" s="307" t="n"/>
      <c r="AL180" s="307" t="n"/>
      <c r="AM180" s="307" t="n"/>
      <c r="AN180" s="307" t="n"/>
      <c r="AO180" s="307" t="n"/>
      <c r="AP180" s="307" t="n"/>
      <c r="AQ180" s="307" t="n"/>
      <c r="AR180" s="307" t="n"/>
      <c r="AS180" s="307" t="n"/>
      <c r="AT180" s="307" t="n"/>
      <c r="AU180" s="307" t="n"/>
      <c r="AV180" s="307" t="n"/>
      <c r="AW180" s="307" t="n"/>
      <c r="AX180" s="307" t="n"/>
      <c r="AY180" s="307" t="n"/>
      <c r="AZ180" s="307" t="n"/>
      <c r="BA180" s="307" t="n"/>
      <c r="BB180" s="307" t="n"/>
      <c r="BC180" s="307" t="n"/>
      <c r="BD180" s="307" t="n"/>
      <c r="BE180" s="307" t="n"/>
      <c r="BF180" s="307" t="n"/>
      <c r="BG180" s="31" t="n"/>
      <c r="BH180" s="31" t="n"/>
      <c r="BI180" s="31" t="n"/>
      <c r="BJ180" s="31" t="n"/>
    </row>
    <row r="181" ht="15.75" customHeight="1" s="349">
      <c r="A181" s="307" t="n"/>
      <c r="B181" s="307" t="n"/>
      <c r="C181" s="307" t="n"/>
      <c r="D181" s="307" t="n"/>
      <c r="E181" s="307" t="n"/>
      <c r="F181" s="307" t="n"/>
      <c r="G181" s="307" t="n"/>
      <c r="H181" s="307" t="n"/>
      <c r="I181" s="307" t="n"/>
      <c r="J181" s="307" t="n"/>
      <c r="K181" s="307" t="n"/>
      <c r="L181" s="307" t="n"/>
      <c r="M181" s="307" t="n"/>
      <c r="N181" s="307" t="n"/>
      <c r="O181" s="307" t="n"/>
      <c r="P181" s="307" t="n"/>
      <c r="Q181" s="307" t="n"/>
      <c r="R181" s="307" t="n"/>
      <c r="S181" s="307" t="n"/>
      <c r="T181" s="307" t="n"/>
      <c r="U181" s="307" t="n"/>
      <c r="V181" s="307" t="n"/>
      <c r="W181" s="307" t="n"/>
      <c r="X181" s="307" t="n"/>
      <c r="Y181" s="307" t="n"/>
      <c r="Z181" s="307" t="n"/>
      <c r="AA181" s="307" t="n"/>
      <c r="AB181" s="307" t="n"/>
      <c r="AC181" s="307" t="n"/>
      <c r="AD181" s="307" t="n"/>
      <c r="AE181" s="307" t="n"/>
      <c r="AF181" s="307" t="n"/>
      <c r="AG181" s="307" t="n"/>
      <c r="AH181" s="307" t="n"/>
      <c r="AI181" s="307" t="n"/>
      <c r="AJ181" s="307" t="n"/>
      <c r="AK181" s="307" t="n"/>
      <c r="AL181" s="307" t="n"/>
      <c r="AM181" s="307" t="n"/>
      <c r="AN181" s="307" t="n"/>
      <c r="AO181" s="307" t="n"/>
      <c r="AP181" s="307" t="n"/>
      <c r="AQ181" s="307" t="n"/>
      <c r="AR181" s="307" t="n"/>
      <c r="AS181" s="307" t="n"/>
      <c r="AT181" s="307" t="n"/>
      <c r="AU181" s="307" t="n"/>
      <c r="AV181" s="307" t="n"/>
      <c r="AW181" s="307" t="n"/>
      <c r="AX181" s="307" t="n"/>
      <c r="AY181" s="307" t="n"/>
      <c r="AZ181" s="307" t="n"/>
      <c r="BA181" s="307" t="n"/>
      <c r="BB181" s="307" t="n"/>
      <c r="BC181" s="307" t="n"/>
      <c r="BD181" s="307" t="n"/>
      <c r="BE181" s="307" t="n"/>
      <c r="BF181" s="307" t="n"/>
      <c r="BG181" s="31" t="n"/>
      <c r="BH181" s="31" t="n"/>
      <c r="BI181" s="31" t="n"/>
      <c r="BJ181" s="31" t="n"/>
    </row>
    <row r="182" ht="15.75" customHeight="1" s="349">
      <c r="A182" s="307" t="n"/>
      <c r="B182" s="307" t="n"/>
      <c r="C182" s="307" t="n"/>
      <c r="D182" s="307" t="n"/>
      <c r="E182" s="307" t="n"/>
      <c r="F182" s="307" t="n"/>
      <c r="G182" s="307" t="n"/>
      <c r="H182" s="307" t="n"/>
      <c r="I182" s="307" t="n"/>
      <c r="J182" s="307" t="n"/>
      <c r="K182" s="307" t="n"/>
      <c r="L182" s="307" t="n"/>
      <c r="M182" s="307" t="n"/>
      <c r="N182" s="307" t="n"/>
      <c r="O182" s="307" t="n"/>
      <c r="P182" s="307" t="n"/>
      <c r="Q182" s="307" t="n"/>
      <c r="R182" s="307" t="n"/>
      <c r="S182" s="307" t="n"/>
      <c r="T182" s="307" t="n"/>
      <c r="U182" s="307" t="n"/>
      <c r="V182" s="307" t="n"/>
      <c r="W182" s="307" t="n"/>
      <c r="X182" s="307" t="n"/>
      <c r="Y182" s="307" t="n"/>
      <c r="Z182" s="307" t="n"/>
      <c r="AA182" s="307" t="n"/>
      <c r="AB182" s="307" t="n"/>
      <c r="AC182" s="307" t="n"/>
      <c r="AD182" s="307" t="n"/>
      <c r="AE182" s="307" t="n"/>
      <c r="AF182" s="307" t="n"/>
      <c r="AG182" s="307" t="n"/>
      <c r="AH182" s="307" t="n"/>
      <c r="AI182" s="307" t="n"/>
      <c r="AJ182" s="307" t="n"/>
      <c r="AK182" s="307" t="n"/>
      <c r="AL182" s="307" t="n"/>
      <c r="AM182" s="307" t="n"/>
      <c r="AN182" s="307" t="n"/>
      <c r="AO182" s="307" t="n"/>
      <c r="AP182" s="307" t="n"/>
      <c r="AQ182" s="307" t="n"/>
      <c r="AR182" s="307" t="n"/>
      <c r="AS182" s="307" t="n"/>
      <c r="AT182" s="307" t="n"/>
      <c r="AU182" s="307" t="n"/>
      <c r="AV182" s="307" t="n"/>
      <c r="AW182" s="307" t="n"/>
      <c r="AX182" s="307" t="n"/>
      <c r="AY182" s="307" t="n"/>
      <c r="AZ182" s="307" t="n"/>
      <c r="BA182" s="307" t="n"/>
      <c r="BB182" s="307" t="n"/>
      <c r="BC182" s="307" t="n"/>
      <c r="BD182" s="307" t="n"/>
      <c r="BE182" s="307" t="n"/>
      <c r="BF182" s="307" t="n"/>
      <c r="BG182" s="31" t="n"/>
      <c r="BH182" s="31" t="n"/>
      <c r="BI182" s="31" t="n"/>
      <c r="BJ182" s="31" t="n"/>
    </row>
    <row r="183" ht="15.75" customHeight="1" s="349">
      <c r="A183" s="307" t="n"/>
      <c r="B183" s="307" t="n"/>
      <c r="C183" s="307" t="n"/>
      <c r="D183" s="307" t="n"/>
      <c r="E183" s="307" t="n"/>
      <c r="F183" s="307" t="n"/>
      <c r="G183" s="307" t="n"/>
      <c r="H183" s="307" t="n"/>
      <c r="I183" s="307" t="n"/>
      <c r="J183" s="307" t="n"/>
      <c r="K183" s="307" t="n"/>
      <c r="L183" s="307" t="n"/>
      <c r="M183" s="307" t="n"/>
      <c r="N183" s="307" t="n"/>
      <c r="O183" s="307" t="n"/>
      <c r="P183" s="307" t="n"/>
      <c r="Q183" s="307" t="n"/>
      <c r="R183" s="307" t="n"/>
      <c r="S183" s="307" t="n"/>
      <c r="T183" s="307" t="n"/>
      <c r="U183" s="307" t="n"/>
      <c r="V183" s="307" t="n"/>
      <c r="W183" s="307" t="n"/>
      <c r="X183" s="307" t="n"/>
      <c r="Y183" s="307" t="n"/>
      <c r="Z183" s="307" t="n"/>
      <c r="AA183" s="307" t="n"/>
      <c r="AB183" s="307" t="n"/>
      <c r="AC183" s="307" t="n"/>
      <c r="AD183" s="307" t="n"/>
      <c r="AE183" s="307" t="n"/>
      <c r="AF183" s="307" t="n"/>
      <c r="AG183" s="307" t="n"/>
      <c r="AH183" s="307" t="n"/>
      <c r="AI183" s="307" t="n"/>
      <c r="AJ183" s="307" t="n"/>
      <c r="AK183" s="307" t="n"/>
      <c r="AL183" s="307" t="n"/>
      <c r="AM183" s="307" t="n"/>
      <c r="AN183" s="307" t="n"/>
      <c r="AO183" s="307" t="n"/>
      <c r="AP183" s="307" t="n"/>
      <c r="AQ183" s="307" t="n"/>
      <c r="AR183" s="307" t="n"/>
      <c r="AS183" s="307" t="n"/>
      <c r="AT183" s="307" t="n"/>
      <c r="AU183" s="307" t="n"/>
      <c r="AV183" s="307" t="n"/>
      <c r="AW183" s="307" t="n"/>
      <c r="AX183" s="307" t="n"/>
      <c r="AY183" s="307" t="n"/>
      <c r="AZ183" s="307" t="n"/>
      <c r="BA183" s="307" t="n"/>
      <c r="BB183" s="307" t="n"/>
      <c r="BC183" s="307" t="n"/>
      <c r="BD183" s="307" t="n"/>
      <c r="BE183" s="307" t="n"/>
      <c r="BF183" s="307" t="n"/>
      <c r="BG183" s="31" t="n"/>
      <c r="BH183" s="31" t="n"/>
      <c r="BI183" s="31" t="n"/>
      <c r="BJ183" s="31" t="n"/>
    </row>
    <row r="184" ht="15.75" customHeight="1" s="349">
      <c r="A184" s="307" t="n"/>
      <c r="B184" s="307" t="n"/>
      <c r="C184" s="307" t="n"/>
      <c r="D184" s="307" t="n"/>
      <c r="E184" s="307" t="n"/>
      <c r="F184" s="307" t="n"/>
      <c r="G184" s="307" t="n"/>
      <c r="H184" s="307" t="n"/>
      <c r="I184" s="307" t="n"/>
      <c r="J184" s="307" t="n"/>
      <c r="K184" s="307" t="n"/>
      <c r="L184" s="307" t="n"/>
      <c r="M184" s="307" t="n"/>
      <c r="N184" s="307" t="n"/>
      <c r="O184" s="307" t="n"/>
      <c r="P184" s="307" t="n"/>
      <c r="Q184" s="307" t="n"/>
      <c r="R184" s="307" t="n"/>
      <c r="S184" s="307" t="n"/>
      <c r="T184" s="307" t="n"/>
      <c r="U184" s="307" t="n"/>
      <c r="V184" s="307" t="n"/>
      <c r="W184" s="307" t="n"/>
      <c r="X184" s="307" t="n"/>
      <c r="Y184" s="307" t="n"/>
      <c r="Z184" s="307" t="n"/>
      <c r="AA184" s="307" t="n"/>
      <c r="AB184" s="307" t="n"/>
      <c r="AC184" s="307" t="n"/>
      <c r="AD184" s="307" t="n"/>
      <c r="AE184" s="307" t="n"/>
      <c r="AF184" s="307" t="n"/>
      <c r="AG184" s="307" t="n"/>
      <c r="AH184" s="307" t="n"/>
      <c r="AI184" s="307" t="n"/>
      <c r="AJ184" s="307" t="n"/>
      <c r="AK184" s="307" t="n"/>
      <c r="AL184" s="307" t="n"/>
      <c r="AM184" s="307" t="n"/>
      <c r="AN184" s="307" t="n"/>
      <c r="AO184" s="307" t="n"/>
      <c r="AP184" s="307" t="n"/>
      <c r="AQ184" s="307" t="n"/>
      <c r="AR184" s="307" t="n"/>
      <c r="AS184" s="307" t="n"/>
      <c r="AT184" s="307" t="n"/>
      <c r="AU184" s="307" t="n"/>
      <c r="AV184" s="307" t="n"/>
      <c r="AW184" s="307" t="n"/>
      <c r="AX184" s="307" t="n"/>
      <c r="AY184" s="307" t="n"/>
      <c r="AZ184" s="307" t="n"/>
      <c r="BA184" s="307" t="n"/>
      <c r="BB184" s="307" t="n"/>
      <c r="BC184" s="307" t="n"/>
      <c r="BD184" s="307" t="n"/>
      <c r="BE184" s="307" t="n"/>
      <c r="BF184" s="307" t="n"/>
      <c r="BG184" s="31" t="n"/>
      <c r="BH184" s="31" t="n"/>
      <c r="BI184" s="31" t="n"/>
      <c r="BJ184" s="31" t="n"/>
    </row>
    <row r="185" ht="15.75" customHeight="1" s="349">
      <c r="A185" s="307" t="n"/>
      <c r="B185" s="307" t="n"/>
      <c r="C185" s="307" t="n"/>
      <c r="D185" s="307" t="n"/>
      <c r="E185" s="307" t="n"/>
      <c r="F185" s="307" t="n"/>
      <c r="G185" s="307" t="n"/>
      <c r="H185" s="307" t="n"/>
      <c r="I185" s="307" t="n"/>
      <c r="J185" s="307" t="n"/>
      <c r="K185" s="307" t="n"/>
      <c r="L185" s="307" t="n"/>
      <c r="M185" s="307" t="n"/>
      <c r="N185" s="307" t="n"/>
      <c r="O185" s="307" t="n"/>
      <c r="P185" s="307" t="n"/>
      <c r="Q185" s="307" t="n"/>
      <c r="R185" s="307" t="n"/>
      <c r="S185" s="307" t="n"/>
      <c r="T185" s="307" t="n"/>
      <c r="U185" s="307" t="n"/>
      <c r="V185" s="307" t="n"/>
      <c r="W185" s="307" t="n"/>
      <c r="X185" s="307" t="n"/>
      <c r="Y185" s="307" t="n"/>
      <c r="Z185" s="307" t="n"/>
      <c r="AA185" s="307" t="n"/>
      <c r="AB185" s="307" t="n"/>
      <c r="AC185" s="307" t="n"/>
      <c r="AD185" s="307" t="n"/>
      <c r="AE185" s="307" t="n"/>
      <c r="AF185" s="307" t="n"/>
      <c r="AG185" s="307" t="n"/>
      <c r="AH185" s="307" t="n"/>
      <c r="AI185" s="307" t="n"/>
      <c r="AJ185" s="307" t="n"/>
      <c r="AK185" s="307" t="n"/>
      <c r="AL185" s="307" t="n"/>
      <c r="AM185" s="307" t="n"/>
      <c r="AN185" s="307" t="n"/>
      <c r="AO185" s="307" t="n"/>
      <c r="AP185" s="307" t="n"/>
      <c r="AQ185" s="307" t="n"/>
      <c r="AR185" s="307" t="n"/>
      <c r="AS185" s="307" t="n"/>
      <c r="AT185" s="307" t="n"/>
      <c r="AU185" s="307" t="n"/>
      <c r="AV185" s="307" t="n"/>
      <c r="AW185" s="307" t="n"/>
      <c r="AX185" s="307" t="n"/>
      <c r="AY185" s="307" t="n"/>
      <c r="AZ185" s="307" t="n"/>
      <c r="BA185" s="307" t="n"/>
      <c r="BB185" s="307" t="n"/>
      <c r="BC185" s="307" t="n"/>
      <c r="BD185" s="307" t="n"/>
      <c r="BE185" s="307" t="n"/>
      <c r="BF185" s="307" t="n"/>
      <c r="BG185" s="31" t="n"/>
      <c r="BH185" s="31" t="n"/>
      <c r="BI185" s="31" t="n"/>
      <c r="BJ185" s="31" t="n"/>
    </row>
    <row r="186" ht="15.75" customHeight="1" s="349">
      <c r="A186" s="307" t="n"/>
      <c r="B186" s="307" t="n"/>
      <c r="C186" s="307" t="n"/>
      <c r="D186" s="307" t="n"/>
      <c r="E186" s="307" t="n"/>
      <c r="F186" s="307" t="n"/>
      <c r="G186" s="307" t="n"/>
      <c r="H186" s="307" t="n"/>
      <c r="I186" s="307" t="n"/>
      <c r="J186" s="307" t="n"/>
      <c r="K186" s="307" t="n"/>
      <c r="L186" s="307" t="n"/>
      <c r="M186" s="307" t="n"/>
      <c r="N186" s="307" t="n"/>
      <c r="O186" s="307" t="n"/>
      <c r="P186" s="307" t="n"/>
      <c r="Q186" s="307" t="n"/>
      <c r="R186" s="307" t="n"/>
      <c r="S186" s="307" t="n"/>
      <c r="T186" s="307" t="n"/>
      <c r="U186" s="307" t="n"/>
      <c r="V186" s="307" t="n"/>
      <c r="W186" s="307" t="n"/>
      <c r="X186" s="307" t="n"/>
      <c r="Y186" s="307" t="n"/>
      <c r="Z186" s="307" t="n"/>
      <c r="AA186" s="307" t="n"/>
      <c r="AB186" s="307" t="n"/>
      <c r="AC186" s="307" t="n"/>
      <c r="AD186" s="307" t="n"/>
      <c r="AE186" s="307" t="n"/>
      <c r="AF186" s="307" t="n"/>
      <c r="AG186" s="307" t="n"/>
      <c r="AH186" s="307" t="n"/>
      <c r="AI186" s="307" t="n"/>
      <c r="AJ186" s="307" t="n"/>
      <c r="AK186" s="307" t="n"/>
      <c r="AL186" s="307" t="n"/>
      <c r="AM186" s="307" t="n"/>
      <c r="AN186" s="307" t="n"/>
      <c r="AO186" s="307" t="n"/>
      <c r="AP186" s="307" t="n"/>
      <c r="AQ186" s="307" t="n"/>
      <c r="AR186" s="307" t="n"/>
      <c r="AS186" s="307" t="n"/>
      <c r="AT186" s="307" t="n"/>
      <c r="AU186" s="307" t="n"/>
      <c r="AV186" s="307" t="n"/>
      <c r="AW186" s="307" t="n"/>
      <c r="AX186" s="307" t="n"/>
      <c r="AY186" s="307" t="n"/>
      <c r="AZ186" s="307" t="n"/>
      <c r="BA186" s="307" t="n"/>
      <c r="BB186" s="307" t="n"/>
      <c r="BC186" s="307" t="n"/>
      <c r="BD186" s="307" t="n"/>
      <c r="BE186" s="307" t="n"/>
      <c r="BF186" s="307" t="n"/>
      <c r="BG186" s="31" t="n"/>
      <c r="BH186" s="31" t="n"/>
      <c r="BI186" s="31" t="n"/>
      <c r="BJ186" s="31" t="n"/>
    </row>
    <row r="187" ht="15.75" customHeight="1" s="349">
      <c r="A187" s="307" t="n"/>
      <c r="B187" s="307" t="n"/>
      <c r="C187" s="307" t="n"/>
      <c r="D187" s="307" t="n"/>
      <c r="E187" s="307" t="n"/>
      <c r="F187" s="307" t="n"/>
      <c r="G187" s="307" t="n"/>
      <c r="H187" s="307" t="n"/>
      <c r="I187" s="307" t="n"/>
      <c r="J187" s="307" t="n"/>
      <c r="K187" s="307" t="n"/>
      <c r="L187" s="307" t="n"/>
      <c r="M187" s="307" t="n"/>
      <c r="N187" s="307" t="n"/>
      <c r="O187" s="307" t="n"/>
      <c r="P187" s="307" t="n"/>
      <c r="Q187" s="307" t="n"/>
      <c r="R187" s="307" t="n"/>
      <c r="S187" s="307" t="n"/>
      <c r="T187" s="307" t="n"/>
      <c r="U187" s="307" t="n"/>
      <c r="V187" s="307" t="n"/>
      <c r="W187" s="307" t="n"/>
      <c r="X187" s="307" t="n"/>
      <c r="Y187" s="307" t="n"/>
      <c r="Z187" s="307" t="n"/>
      <c r="AA187" s="307" t="n"/>
      <c r="AB187" s="307" t="n"/>
      <c r="AC187" s="307" t="n"/>
      <c r="AD187" s="307" t="n"/>
      <c r="AE187" s="307" t="n"/>
      <c r="AF187" s="307" t="n"/>
      <c r="AG187" s="307" t="n"/>
      <c r="AH187" s="307" t="n"/>
      <c r="AI187" s="307" t="n"/>
      <c r="AJ187" s="307" t="n"/>
      <c r="AK187" s="307" t="n"/>
      <c r="AL187" s="307" t="n"/>
      <c r="AM187" s="307" t="n"/>
      <c r="AN187" s="307" t="n"/>
      <c r="AO187" s="307" t="n"/>
      <c r="AP187" s="307" t="n"/>
      <c r="AQ187" s="307" t="n"/>
      <c r="AR187" s="307" t="n"/>
      <c r="AS187" s="307" t="n"/>
      <c r="AT187" s="307" t="n"/>
      <c r="AU187" s="307" t="n"/>
      <c r="AV187" s="307" t="n"/>
      <c r="AW187" s="307" t="n"/>
      <c r="AX187" s="307" t="n"/>
      <c r="AY187" s="307" t="n"/>
      <c r="AZ187" s="307" t="n"/>
      <c r="BA187" s="307" t="n"/>
      <c r="BB187" s="307" t="n"/>
      <c r="BC187" s="307" t="n"/>
      <c r="BD187" s="307" t="n"/>
      <c r="BE187" s="307" t="n"/>
      <c r="BF187" s="307" t="n"/>
      <c r="BG187" s="31" t="n"/>
      <c r="BH187" s="31" t="n"/>
      <c r="BI187" s="31" t="n"/>
      <c r="BJ187" s="31" t="n"/>
    </row>
    <row r="188" ht="15.75" customHeight="1" s="349">
      <c r="A188" s="307" t="n"/>
      <c r="B188" s="307" t="n"/>
      <c r="C188" s="307" t="n"/>
      <c r="D188" s="307" t="n"/>
      <c r="E188" s="307" t="n"/>
      <c r="F188" s="307" t="n"/>
      <c r="G188" s="307" t="n"/>
      <c r="H188" s="307" t="n"/>
      <c r="I188" s="307" t="n"/>
      <c r="J188" s="307" t="n"/>
      <c r="K188" s="307" t="n"/>
      <c r="L188" s="307" t="n"/>
      <c r="M188" s="307" t="n"/>
      <c r="N188" s="307" t="n"/>
      <c r="O188" s="307" t="n"/>
      <c r="P188" s="307" t="n"/>
      <c r="Q188" s="307" t="n"/>
      <c r="R188" s="307" t="n"/>
      <c r="S188" s="307" t="n"/>
      <c r="T188" s="307" t="n"/>
      <c r="U188" s="307" t="n"/>
      <c r="V188" s="307" t="n"/>
      <c r="W188" s="307" t="n"/>
      <c r="X188" s="307" t="n"/>
      <c r="Y188" s="307" t="n"/>
      <c r="Z188" s="307" t="n"/>
      <c r="AA188" s="307" t="n"/>
      <c r="AB188" s="307" t="n"/>
      <c r="AC188" s="307" t="n"/>
      <c r="AD188" s="307" t="n"/>
      <c r="AE188" s="307" t="n"/>
      <c r="AF188" s="307" t="n"/>
      <c r="AG188" s="307" t="n"/>
      <c r="AH188" s="307" t="n"/>
      <c r="AI188" s="307" t="n"/>
      <c r="AJ188" s="307" t="n"/>
      <c r="AK188" s="307" t="n"/>
      <c r="AL188" s="307" t="n"/>
      <c r="AM188" s="307" t="n"/>
      <c r="AN188" s="307" t="n"/>
      <c r="AO188" s="307" t="n"/>
      <c r="AP188" s="307" t="n"/>
      <c r="AQ188" s="307" t="n"/>
      <c r="AR188" s="307" t="n"/>
      <c r="AS188" s="307" t="n"/>
      <c r="AT188" s="307" t="n"/>
      <c r="AU188" s="307" t="n"/>
      <c r="AV188" s="307" t="n"/>
      <c r="AW188" s="307" t="n"/>
      <c r="AX188" s="307" t="n"/>
      <c r="AY188" s="307" t="n"/>
      <c r="AZ188" s="307" t="n"/>
      <c r="BA188" s="307" t="n"/>
      <c r="BB188" s="307" t="n"/>
      <c r="BC188" s="307" t="n"/>
      <c r="BD188" s="307" t="n"/>
      <c r="BE188" s="307" t="n"/>
      <c r="BF188" s="307" t="n"/>
      <c r="BG188" s="31" t="n"/>
      <c r="BH188" s="31" t="n"/>
      <c r="BI188" s="31" t="n"/>
      <c r="BJ188" s="31" t="n"/>
    </row>
    <row r="189" ht="15.75" customHeight="1" s="349">
      <c r="A189" s="307" t="n"/>
      <c r="B189" s="307" t="n"/>
      <c r="C189" s="307" t="n"/>
      <c r="D189" s="307" t="n"/>
      <c r="E189" s="307" t="n"/>
      <c r="F189" s="307" t="n"/>
      <c r="G189" s="307" t="n"/>
      <c r="H189" s="307" t="n"/>
      <c r="I189" s="307" t="n"/>
      <c r="J189" s="307" t="n"/>
      <c r="K189" s="307" t="n"/>
      <c r="L189" s="307" t="n"/>
      <c r="M189" s="307" t="n"/>
      <c r="N189" s="307" t="n"/>
      <c r="O189" s="307" t="n"/>
      <c r="P189" s="307" t="n"/>
      <c r="Q189" s="307" t="n"/>
      <c r="R189" s="307" t="n"/>
      <c r="S189" s="307" t="n"/>
      <c r="T189" s="307" t="n"/>
      <c r="U189" s="307" t="n"/>
      <c r="V189" s="307" t="n"/>
      <c r="W189" s="307" t="n"/>
      <c r="X189" s="307" t="n"/>
      <c r="Y189" s="307" t="n"/>
      <c r="Z189" s="307" t="n"/>
      <c r="AA189" s="307" t="n"/>
      <c r="AB189" s="307" t="n"/>
      <c r="AC189" s="307" t="n"/>
      <c r="AD189" s="307" t="n"/>
      <c r="AE189" s="307" t="n"/>
      <c r="AF189" s="307" t="n"/>
      <c r="AG189" s="307" t="n"/>
      <c r="AH189" s="307" t="n"/>
      <c r="AI189" s="307" t="n"/>
      <c r="AJ189" s="307" t="n"/>
      <c r="AK189" s="307" t="n"/>
      <c r="AL189" s="307" t="n"/>
      <c r="AM189" s="307" t="n"/>
      <c r="AN189" s="307" t="n"/>
      <c r="AO189" s="307" t="n"/>
      <c r="AP189" s="307" t="n"/>
      <c r="AQ189" s="307" t="n"/>
      <c r="AR189" s="307" t="n"/>
      <c r="AS189" s="307" t="n"/>
      <c r="AT189" s="307" t="n"/>
      <c r="AU189" s="307" t="n"/>
      <c r="AV189" s="307" t="n"/>
      <c r="AW189" s="307" t="n"/>
      <c r="AX189" s="307" t="n"/>
      <c r="AY189" s="307" t="n"/>
      <c r="AZ189" s="307" t="n"/>
      <c r="BA189" s="307" t="n"/>
      <c r="BB189" s="307" t="n"/>
      <c r="BC189" s="307" t="n"/>
      <c r="BD189" s="307" t="n"/>
      <c r="BE189" s="307" t="n"/>
      <c r="BF189" s="307" t="n"/>
      <c r="BG189" s="31" t="n"/>
      <c r="BH189" s="31" t="n"/>
      <c r="BI189" s="31" t="n"/>
      <c r="BJ189" s="31" t="n"/>
    </row>
    <row r="190" ht="15.75" customHeight="1" s="349">
      <c r="A190" s="307" t="n"/>
      <c r="B190" s="307" t="n"/>
      <c r="C190" s="307" t="n"/>
      <c r="D190" s="307" t="n"/>
      <c r="E190" s="307" t="n"/>
      <c r="F190" s="307" t="n"/>
      <c r="G190" s="307" t="n"/>
      <c r="H190" s="307" t="n"/>
      <c r="I190" s="307" t="n"/>
      <c r="J190" s="307" t="n"/>
      <c r="K190" s="307" t="n"/>
      <c r="L190" s="307" t="n"/>
      <c r="M190" s="307" t="n"/>
      <c r="N190" s="307" t="n"/>
      <c r="O190" s="307" t="n"/>
      <c r="P190" s="307" t="n"/>
      <c r="Q190" s="307" t="n"/>
      <c r="R190" s="307" t="n"/>
      <c r="S190" s="307" t="n"/>
      <c r="T190" s="307" t="n"/>
      <c r="U190" s="307" t="n"/>
      <c r="V190" s="307" t="n"/>
      <c r="W190" s="307" t="n"/>
      <c r="X190" s="307" t="n"/>
      <c r="Y190" s="307" t="n"/>
      <c r="Z190" s="307" t="n"/>
      <c r="AA190" s="307" t="n"/>
      <c r="AB190" s="307" t="n"/>
      <c r="AC190" s="307" t="n"/>
      <c r="AD190" s="307" t="n"/>
      <c r="AE190" s="307" t="n"/>
      <c r="AF190" s="307" t="n"/>
      <c r="AG190" s="307" t="n"/>
      <c r="AH190" s="307" t="n"/>
      <c r="AI190" s="307" t="n"/>
      <c r="AJ190" s="307" t="n"/>
      <c r="AK190" s="307" t="n"/>
      <c r="AL190" s="307" t="n"/>
      <c r="AM190" s="307" t="n"/>
      <c r="AN190" s="307" t="n"/>
      <c r="AO190" s="307" t="n"/>
      <c r="AP190" s="307" t="n"/>
      <c r="AQ190" s="307" t="n"/>
      <c r="AR190" s="307" t="n"/>
      <c r="AS190" s="307" t="n"/>
      <c r="AT190" s="307" t="n"/>
      <c r="AU190" s="307" t="n"/>
      <c r="AV190" s="307" t="n"/>
      <c r="AW190" s="307" t="n"/>
      <c r="AX190" s="307" t="n"/>
      <c r="AY190" s="307" t="n"/>
      <c r="AZ190" s="307" t="n"/>
      <c r="BA190" s="307" t="n"/>
      <c r="BB190" s="307" t="n"/>
      <c r="BC190" s="307" t="n"/>
      <c r="BD190" s="307" t="n"/>
      <c r="BE190" s="307" t="n"/>
      <c r="BF190" s="307" t="n"/>
      <c r="BG190" s="31" t="n"/>
      <c r="BH190" s="31" t="n"/>
      <c r="BI190" s="31" t="n"/>
      <c r="BJ190" s="31" t="n"/>
    </row>
    <row r="191" ht="15.75" customHeight="1" s="349">
      <c r="A191" s="307" t="n"/>
      <c r="B191" s="307" t="n"/>
      <c r="C191" s="307" t="n"/>
      <c r="D191" s="307" t="n"/>
      <c r="E191" s="307" t="n"/>
      <c r="F191" s="307" t="n"/>
      <c r="G191" s="307" t="n"/>
      <c r="H191" s="307" t="n"/>
      <c r="I191" s="307" t="n"/>
      <c r="J191" s="307" t="n"/>
      <c r="K191" s="307" t="n"/>
      <c r="L191" s="307" t="n"/>
      <c r="M191" s="307" t="n"/>
      <c r="N191" s="307" t="n"/>
      <c r="O191" s="307" t="n"/>
      <c r="P191" s="307" t="n"/>
      <c r="Q191" s="307" t="n"/>
      <c r="R191" s="307" t="n"/>
      <c r="S191" s="307" t="n"/>
      <c r="T191" s="307" t="n"/>
      <c r="U191" s="307" t="n"/>
      <c r="V191" s="307" t="n"/>
      <c r="W191" s="307" t="n"/>
      <c r="X191" s="307" t="n"/>
      <c r="Y191" s="307" t="n"/>
      <c r="Z191" s="307" t="n"/>
      <c r="AA191" s="307" t="n"/>
      <c r="AB191" s="307" t="n"/>
      <c r="AC191" s="307" t="n"/>
      <c r="AD191" s="307" t="n"/>
      <c r="AE191" s="307" t="n"/>
      <c r="AF191" s="307" t="n"/>
      <c r="AG191" s="307" t="n"/>
      <c r="AH191" s="307" t="n"/>
      <c r="AI191" s="307" t="n"/>
      <c r="AJ191" s="307" t="n"/>
      <c r="AK191" s="307" t="n"/>
      <c r="AL191" s="307" t="n"/>
      <c r="AM191" s="307" t="n"/>
      <c r="AN191" s="307" t="n"/>
      <c r="AO191" s="307" t="n"/>
      <c r="AP191" s="307" t="n"/>
      <c r="AQ191" s="307" t="n"/>
      <c r="AR191" s="307" t="n"/>
      <c r="AS191" s="307" t="n"/>
      <c r="AT191" s="307" t="n"/>
      <c r="AU191" s="307" t="n"/>
      <c r="AV191" s="307" t="n"/>
      <c r="AW191" s="307" t="n"/>
      <c r="AX191" s="307" t="n"/>
      <c r="AY191" s="307" t="n"/>
      <c r="AZ191" s="307" t="n"/>
      <c r="BA191" s="307" t="n"/>
      <c r="BB191" s="307" t="n"/>
      <c r="BC191" s="307" t="n"/>
      <c r="BD191" s="307" t="n"/>
      <c r="BE191" s="307" t="n"/>
      <c r="BF191" s="307" t="n"/>
      <c r="BG191" s="31" t="n"/>
      <c r="BH191" s="31" t="n"/>
      <c r="BI191" s="31" t="n"/>
      <c r="BJ191" s="31" t="n"/>
    </row>
    <row r="192" ht="15.75" customHeight="1" s="349">
      <c r="A192" s="307" t="n"/>
      <c r="B192" s="307" t="n"/>
      <c r="C192" s="307" t="n"/>
      <c r="D192" s="307" t="n"/>
      <c r="E192" s="307" t="n"/>
      <c r="F192" s="307" t="n"/>
      <c r="G192" s="307" t="n"/>
      <c r="H192" s="307" t="n"/>
      <c r="I192" s="307" t="n"/>
      <c r="J192" s="307" t="n"/>
      <c r="K192" s="307" t="n"/>
      <c r="L192" s="307" t="n"/>
      <c r="M192" s="307" t="n"/>
      <c r="N192" s="307" t="n"/>
      <c r="O192" s="307" t="n"/>
      <c r="P192" s="307" t="n"/>
      <c r="Q192" s="307" t="n"/>
      <c r="R192" s="307" t="n"/>
      <c r="S192" s="307" t="n"/>
      <c r="T192" s="307" t="n"/>
      <c r="U192" s="307" t="n"/>
      <c r="V192" s="307" t="n"/>
      <c r="W192" s="307" t="n"/>
      <c r="X192" s="307" t="n"/>
      <c r="Y192" s="307" t="n"/>
      <c r="Z192" s="307" t="n"/>
      <c r="AA192" s="307" t="n"/>
      <c r="AB192" s="307" t="n"/>
      <c r="AC192" s="307" t="n"/>
      <c r="AD192" s="307" t="n"/>
      <c r="AE192" s="307" t="n"/>
      <c r="AF192" s="307" t="n"/>
      <c r="AG192" s="307" t="n"/>
      <c r="AH192" s="307" t="n"/>
      <c r="AI192" s="307" t="n"/>
      <c r="AJ192" s="307" t="n"/>
      <c r="AK192" s="307" t="n"/>
      <c r="AL192" s="307" t="n"/>
      <c r="AM192" s="307" t="n"/>
      <c r="AN192" s="307" t="n"/>
      <c r="AO192" s="307" t="n"/>
      <c r="AP192" s="307" t="n"/>
      <c r="AQ192" s="307" t="n"/>
      <c r="AR192" s="307" t="n"/>
      <c r="AS192" s="307" t="n"/>
      <c r="AT192" s="307" t="n"/>
      <c r="AU192" s="307" t="n"/>
      <c r="AV192" s="307" t="n"/>
      <c r="AW192" s="307" t="n"/>
      <c r="AX192" s="307" t="n"/>
      <c r="AY192" s="307" t="n"/>
      <c r="AZ192" s="307" t="n"/>
      <c r="BA192" s="307" t="n"/>
      <c r="BB192" s="307" t="n"/>
      <c r="BC192" s="307" t="n"/>
      <c r="BD192" s="307" t="n"/>
      <c r="BE192" s="307" t="n"/>
      <c r="BF192" s="307" t="n"/>
      <c r="BG192" s="31" t="n"/>
      <c r="BH192" s="31" t="n"/>
      <c r="BI192" s="31" t="n"/>
      <c r="BJ192" s="31" t="n"/>
    </row>
    <row r="193" ht="15.75" customHeight="1" s="349">
      <c r="A193" s="307" t="n"/>
      <c r="B193" s="307" t="n"/>
      <c r="C193" s="307" t="n"/>
      <c r="D193" s="307" t="n"/>
      <c r="E193" s="307" t="n"/>
      <c r="F193" s="307" t="n"/>
      <c r="G193" s="307" t="n"/>
      <c r="H193" s="307" t="n"/>
      <c r="I193" s="307" t="n"/>
      <c r="J193" s="307" t="n"/>
      <c r="K193" s="307" t="n"/>
      <c r="L193" s="307" t="n"/>
      <c r="M193" s="307" t="n"/>
      <c r="N193" s="307" t="n"/>
      <c r="O193" s="307" t="n"/>
      <c r="P193" s="307" t="n"/>
      <c r="Q193" s="307" t="n"/>
      <c r="R193" s="307" t="n"/>
      <c r="S193" s="307" t="n"/>
      <c r="T193" s="307" t="n"/>
      <c r="U193" s="307" t="n"/>
      <c r="V193" s="307" t="n"/>
      <c r="W193" s="307" t="n"/>
      <c r="X193" s="307" t="n"/>
      <c r="Y193" s="307" t="n"/>
      <c r="Z193" s="307" t="n"/>
      <c r="AA193" s="307" t="n"/>
      <c r="AB193" s="307" t="n"/>
      <c r="AC193" s="307" t="n"/>
      <c r="AD193" s="307" t="n"/>
      <c r="AE193" s="307" t="n"/>
      <c r="AF193" s="307" t="n"/>
      <c r="AG193" s="307" t="n"/>
      <c r="AH193" s="307" t="n"/>
      <c r="AI193" s="307" t="n"/>
      <c r="AJ193" s="307" t="n"/>
      <c r="AK193" s="307" t="n"/>
      <c r="AL193" s="307" t="n"/>
      <c r="AM193" s="307" t="n"/>
      <c r="AN193" s="307" t="n"/>
      <c r="AO193" s="307" t="n"/>
      <c r="AP193" s="307" t="n"/>
      <c r="AQ193" s="307" t="n"/>
      <c r="AR193" s="307" t="n"/>
      <c r="AS193" s="307" t="n"/>
      <c r="AT193" s="307" t="n"/>
      <c r="AU193" s="307" t="n"/>
      <c r="AV193" s="307" t="n"/>
      <c r="AW193" s="307" t="n"/>
      <c r="AX193" s="307" t="n"/>
      <c r="AY193" s="307" t="n"/>
      <c r="AZ193" s="307" t="n"/>
      <c r="BA193" s="307" t="n"/>
      <c r="BB193" s="307" t="n"/>
      <c r="BC193" s="307" t="n"/>
      <c r="BD193" s="307" t="n"/>
      <c r="BE193" s="307" t="n"/>
      <c r="BF193" s="307" t="n"/>
      <c r="BG193" s="31" t="n"/>
      <c r="BH193" s="31" t="n"/>
      <c r="BI193" s="31" t="n"/>
      <c r="BJ193" s="31" t="n"/>
    </row>
    <row r="194" ht="15.75" customHeight="1" s="349">
      <c r="A194" s="307" t="n"/>
      <c r="B194" s="307" t="n"/>
      <c r="C194" s="307" t="n"/>
      <c r="D194" s="307" t="n"/>
      <c r="E194" s="307" t="n"/>
      <c r="F194" s="307" t="n"/>
      <c r="G194" s="307" t="n"/>
      <c r="H194" s="307" t="n"/>
      <c r="I194" s="307" t="n"/>
      <c r="J194" s="307" t="n"/>
      <c r="K194" s="307" t="n"/>
      <c r="L194" s="307" t="n"/>
      <c r="M194" s="307" t="n"/>
      <c r="N194" s="307" t="n"/>
      <c r="O194" s="307" t="n"/>
      <c r="P194" s="307" t="n"/>
      <c r="Q194" s="307" t="n"/>
      <c r="R194" s="307" t="n"/>
      <c r="S194" s="307" t="n"/>
      <c r="T194" s="307" t="n"/>
      <c r="U194" s="307" t="n"/>
      <c r="V194" s="307" t="n"/>
      <c r="W194" s="307" t="n"/>
      <c r="X194" s="307" t="n"/>
      <c r="Y194" s="307" t="n"/>
      <c r="Z194" s="307" t="n"/>
      <c r="AA194" s="307" t="n"/>
      <c r="AB194" s="307" t="n"/>
      <c r="AC194" s="307" t="n"/>
      <c r="AD194" s="307" t="n"/>
      <c r="AE194" s="307" t="n"/>
      <c r="AF194" s="307" t="n"/>
      <c r="AG194" s="307" t="n"/>
      <c r="AH194" s="307" t="n"/>
      <c r="AI194" s="307" t="n"/>
      <c r="AJ194" s="307" t="n"/>
      <c r="AK194" s="307" t="n"/>
      <c r="AL194" s="307" t="n"/>
      <c r="AM194" s="307" t="n"/>
      <c r="AN194" s="307" t="n"/>
      <c r="AO194" s="307" t="n"/>
      <c r="AP194" s="307" t="n"/>
      <c r="AQ194" s="307" t="n"/>
      <c r="AR194" s="307" t="n"/>
      <c r="AS194" s="307" t="n"/>
      <c r="AT194" s="307" t="n"/>
      <c r="AU194" s="307" t="n"/>
      <c r="AV194" s="307" t="n"/>
      <c r="AW194" s="307" t="n"/>
      <c r="AX194" s="307" t="n"/>
      <c r="AY194" s="307" t="n"/>
      <c r="AZ194" s="307" t="n"/>
      <c r="BA194" s="307" t="n"/>
      <c r="BB194" s="307" t="n"/>
      <c r="BC194" s="307" t="n"/>
      <c r="BD194" s="307" t="n"/>
      <c r="BE194" s="307" t="n"/>
      <c r="BF194" s="307" t="n"/>
      <c r="BG194" s="31" t="n"/>
      <c r="BH194" s="31" t="n"/>
      <c r="BI194" s="31" t="n"/>
      <c r="BJ194" s="31" t="n"/>
    </row>
    <row r="195" ht="15.75" customHeight="1" s="349">
      <c r="A195" s="307" t="n"/>
      <c r="B195" s="307" t="n"/>
      <c r="C195" s="307" t="n"/>
      <c r="D195" s="307" t="n"/>
      <c r="E195" s="307" t="n"/>
      <c r="F195" s="307" t="n"/>
      <c r="G195" s="307" t="n"/>
      <c r="H195" s="307" t="n"/>
      <c r="I195" s="307" t="n"/>
      <c r="J195" s="307" t="n"/>
      <c r="K195" s="307" t="n"/>
      <c r="L195" s="307" t="n"/>
      <c r="M195" s="307" t="n"/>
      <c r="N195" s="307" t="n"/>
      <c r="O195" s="307" t="n"/>
      <c r="P195" s="307" t="n"/>
      <c r="Q195" s="307" t="n"/>
      <c r="R195" s="307" t="n"/>
      <c r="S195" s="307" t="n"/>
      <c r="T195" s="307" t="n"/>
      <c r="U195" s="307" t="n"/>
      <c r="V195" s="307" t="n"/>
      <c r="W195" s="307" t="n"/>
      <c r="X195" s="307" t="n"/>
      <c r="Y195" s="307" t="n"/>
      <c r="Z195" s="307" t="n"/>
      <c r="AA195" s="307" t="n"/>
      <c r="AB195" s="307" t="n"/>
      <c r="AC195" s="307" t="n"/>
      <c r="AD195" s="307" t="n"/>
      <c r="AE195" s="307" t="n"/>
      <c r="AF195" s="307" t="n"/>
      <c r="AG195" s="307" t="n"/>
      <c r="AH195" s="307" t="n"/>
      <c r="AI195" s="307" t="n"/>
      <c r="AJ195" s="307" t="n"/>
      <c r="AK195" s="307" t="n"/>
      <c r="AL195" s="307" t="n"/>
      <c r="AM195" s="307" t="n"/>
      <c r="AN195" s="307" t="n"/>
      <c r="AO195" s="307" t="n"/>
      <c r="AP195" s="307" t="n"/>
      <c r="AQ195" s="307" t="n"/>
      <c r="AR195" s="307" t="n"/>
      <c r="AS195" s="307" t="n"/>
      <c r="AT195" s="307" t="n"/>
      <c r="AU195" s="307" t="n"/>
      <c r="AV195" s="307" t="n"/>
      <c r="AW195" s="307" t="n"/>
      <c r="AX195" s="307" t="n"/>
      <c r="AY195" s="307" t="n"/>
      <c r="AZ195" s="307" t="n"/>
      <c r="BA195" s="307" t="n"/>
      <c r="BB195" s="307" t="n"/>
      <c r="BC195" s="307" t="n"/>
      <c r="BD195" s="307" t="n"/>
      <c r="BE195" s="307" t="n"/>
      <c r="BF195" s="307" t="n"/>
      <c r="BG195" s="31" t="n"/>
      <c r="BH195" s="31" t="n"/>
      <c r="BI195" s="31" t="n"/>
      <c r="BJ195" s="31" t="n"/>
    </row>
    <row r="196" ht="15.75" customHeight="1" s="349">
      <c r="A196" s="307" t="n"/>
      <c r="B196" s="307" t="n"/>
      <c r="C196" s="307" t="n"/>
      <c r="D196" s="307" t="n"/>
      <c r="E196" s="307" t="n"/>
      <c r="F196" s="307" t="n"/>
      <c r="G196" s="307" t="n"/>
      <c r="H196" s="307" t="n"/>
      <c r="I196" s="307" t="n"/>
      <c r="J196" s="307" t="n"/>
      <c r="K196" s="307" t="n"/>
      <c r="L196" s="307" t="n"/>
      <c r="M196" s="307" t="n"/>
      <c r="N196" s="307" t="n"/>
      <c r="O196" s="307" t="n"/>
      <c r="P196" s="307" t="n"/>
      <c r="Q196" s="307" t="n"/>
      <c r="R196" s="307" t="n"/>
      <c r="S196" s="307" t="n"/>
      <c r="T196" s="307" t="n"/>
      <c r="U196" s="307" t="n"/>
      <c r="V196" s="307" t="n"/>
      <c r="W196" s="307" t="n"/>
      <c r="X196" s="307" t="n"/>
      <c r="Y196" s="307" t="n"/>
      <c r="Z196" s="307" t="n"/>
      <c r="AA196" s="307" t="n"/>
      <c r="AB196" s="307" t="n"/>
      <c r="AC196" s="307" t="n"/>
      <c r="AD196" s="307" t="n"/>
      <c r="AE196" s="307" t="n"/>
      <c r="AF196" s="307" t="n"/>
      <c r="AG196" s="307" t="n"/>
      <c r="AH196" s="307" t="n"/>
      <c r="AI196" s="307" t="n"/>
      <c r="AJ196" s="307" t="n"/>
      <c r="AK196" s="307" t="n"/>
      <c r="AL196" s="307" t="n"/>
      <c r="AM196" s="307" t="n"/>
      <c r="AN196" s="307" t="n"/>
      <c r="AO196" s="307" t="n"/>
      <c r="AP196" s="307" t="n"/>
      <c r="AQ196" s="307" t="n"/>
      <c r="AR196" s="307" t="n"/>
      <c r="AS196" s="307" t="n"/>
      <c r="AT196" s="307" t="n"/>
      <c r="AU196" s="307" t="n"/>
      <c r="AV196" s="307" t="n"/>
      <c r="AW196" s="307" t="n"/>
      <c r="AX196" s="307" t="n"/>
      <c r="AY196" s="307" t="n"/>
      <c r="AZ196" s="307" t="n"/>
      <c r="BA196" s="307" t="n"/>
      <c r="BB196" s="307" t="n"/>
      <c r="BC196" s="307" t="n"/>
      <c r="BD196" s="307" t="n"/>
      <c r="BE196" s="307" t="n"/>
      <c r="BF196" s="307" t="n"/>
      <c r="BG196" s="31" t="n"/>
      <c r="BH196" s="31" t="n"/>
      <c r="BI196" s="31" t="n"/>
      <c r="BJ196" s="31" t="n"/>
    </row>
    <row r="197" ht="15.75" customHeight="1" s="349">
      <c r="A197" s="307" t="n"/>
      <c r="B197" s="307" t="n"/>
      <c r="C197" s="307" t="n"/>
      <c r="D197" s="307" t="n"/>
      <c r="E197" s="307" t="n"/>
      <c r="F197" s="307" t="n"/>
      <c r="G197" s="307" t="n"/>
      <c r="H197" s="307" t="n"/>
      <c r="I197" s="307" t="n"/>
      <c r="J197" s="307" t="n"/>
      <c r="K197" s="307" t="n"/>
      <c r="L197" s="307" t="n"/>
      <c r="M197" s="307" t="n"/>
      <c r="N197" s="307" t="n"/>
      <c r="O197" s="307" t="n"/>
      <c r="P197" s="307" t="n"/>
      <c r="Q197" s="307" t="n"/>
      <c r="R197" s="307" t="n"/>
      <c r="S197" s="307" t="n"/>
      <c r="T197" s="307" t="n"/>
      <c r="U197" s="307" t="n"/>
      <c r="V197" s="307" t="n"/>
      <c r="W197" s="307" t="n"/>
      <c r="X197" s="307" t="n"/>
      <c r="Y197" s="307" t="n"/>
      <c r="Z197" s="307" t="n"/>
      <c r="AA197" s="307" t="n"/>
      <c r="AB197" s="307" t="n"/>
      <c r="AC197" s="307" t="n"/>
      <c r="AD197" s="307" t="n"/>
      <c r="AE197" s="307" t="n"/>
      <c r="AF197" s="307" t="n"/>
      <c r="AG197" s="307" t="n"/>
      <c r="AH197" s="307" t="n"/>
      <c r="AI197" s="307" t="n"/>
      <c r="AJ197" s="307" t="n"/>
      <c r="AK197" s="307" t="n"/>
      <c r="AL197" s="307" t="n"/>
      <c r="AM197" s="307" t="n"/>
      <c r="AN197" s="307" t="n"/>
      <c r="AO197" s="307" t="n"/>
      <c r="AP197" s="307" t="n"/>
      <c r="AQ197" s="307" t="n"/>
      <c r="AR197" s="307" t="n"/>
      <c r="AS197" s="307" t="n"/>
      <c r="AT197" s="307" t="n"/>
      <c r="AU197" s="307" t="n"/>
      <c r="AV197" s="307" t="n"/>
      <c r="AW197" s="307" t="n"/>
      <c r="AX197" s="307" t="n"/>
      <c r="AY197" s="307" t="n"/>
      <c r="AZ197" s="307" t="n"/>
      <c r="BA197" s="307" t="n"/>
      <c r="BB197" s="307" t="n"/>
      <c r="BC197" s="307" t="n"/>
      <c r="BD197" s="307" t="n"/>
      <c r="BE197" s="307" t="n"/>
      <c r="BF197" s="307" t="n"/>
      <c r="BG197" s="31" t="n"/>
      <c r="BH197" s="31" t="n"/>
      <c r="BI197" s="31" t="n"/>
      <c r="BJ197" s="31" t="n"/>
    </row>
    <row r="198" ht="15.75" customHeight="1" s="349">
      <c r="A198" s="307" t="n"/>
      <c r="B198" s="307" t="n"/>
      <c r="C198" s="307" t="n"/>
      <c r="D198" s="307" t="n"/>
      <c r="E198" s="307" t="n"/>
      <c r="F198" s="307" t="n"/>
      <c r="G198" s="307" t="n"/>
      <c r="H198" s="307" t="n"/>
      <c r="I198" s="307" t="n"/>
      <c r="J198" s="307" t="n"/>
      <c r="K198" s="307" t="n"/>
      <c r="L198" s="307" t="n"/>
      <c r="M198" s="307" t="n"/>
      <c r="N198" s="307" t="n"/>
      <c r="O198" s="307" t="n"/>
      <c r="P198" s="307" t="n"/>
      <c r="Q198" s="307" t="n"/>
      <c r="R198" s="307" t="n"/>
      <c r="S198" s="307" t="n"/>
      <c r="T198" s="307" t="n"/>
      <c r="U198" s="307" t="n"/>
      <c r="V198" s="307" t="n"/>
      <c r="W198" s="307" t="n"/>
      <c r="X198" s="307" t="n"/>
      <c r="Y198" s="307" t="n"/>
      <c r="Z198" s="307" t="n"/>
      <c r="AA198" s="307" t="n"/>
      <c r="AB198" s="307" t="n"/>
      <c r="AC198" s="307" t="n"/>
      <c r="AD198" s="307" t="n"/>
      <c r="AE198" s="307" t="n"/>
      <c r="AF198" s="307" t="n"/>
      <c r="AG198" s="307" t="n"/>
      <c r="AH198" s="307" t="n"/>
      <c r="AI198" s="307" t="n"/>
      <c r="AJ198" s="307" t="n"/>
      <c r="AK198" s="307" t="n"/>
      <c r="AL198" s="307" t="n"/>
      <c r="AM198" s="307" t="n"/>
      <c r="AN198" s="307" t="n"/>
      <c r="AO198" s="307" t="n"/>
      <c r="AP198" s="307" t="n"/>
      <c r="AQ198" s="307" t="n"/>
      <c r="AR198" s="307" t="n"/>
      <c r="AS198" s="307" t="n"/>
      <c r="AT198" s="307" t="n"/>
      <c r="AU198" s="307" t="n"/>
      <c r="AV198" s="307" t="n"/>
      <c r="AW198" s="307" t="n"/>
      <c r="AX198" s="307" t="n"/>
      <c r="AY198" s="307" t="n"/>
      <c r="AZ198" s="307" t="n"/>
      <c r="BA198" s="307" t="n"/>
      <c r="BB198" s="307" t="n"/>
      <c r="BC198" s="307" t="n"/>
      <c r="BD198" s="307" t="n"/>
      <c r="BE198" s="307" t="n"/>
      <c r="BF198" s="307" t="n"/>
      <c r="BG198" s="31" t="n"/>
      <c r="BH198" s="31" t="n"/>
      <c r="BI198" s="31" t="n"/>
      <c r="BJ198" s="31" t="n"/>
    </row>
    <row r="199" ht="15.75" customHeight="1" s="349">
      <c r="A199" s="307" t="n"/>
      <c r="B199" s="307" t="n"/>
      <c r="C199" s="307" t="n"/>
      <c r="D199" s="307" t="n"/>
      <c r="E199" s="307" t="n"/>
      <c r="F199" s="307" t="n"/>
      <c r="G199" s="307" t="n"/>
      <c r="H199" s="307" t="n"/>
      <c r="I199" s="307" t="n"/>
      <c r="J199" s="307" t="n"/>
      <c r="K199" s="307" t="n"/>
      <c r="L199" s="307" t="n"/>
      <c r="M199" s="307" t="n"/>
      <c r="N199" s="307" t="n"/>
      <c r="O199" s="307" t="n"/>
      <c r="P199" s="307" t="n"/>
      <c r="Q199" s="307" t="n"/>
      <c r="R199" s="307" t="n"/>
      <c r="S199" s="307" t="n"/>
      <c r="T199" s="307" t="n"/>
      <c r="U199" s="307" t="n"/>
      <c r="V199" s="307" t="n"/>
      <c r="W199" s="307" t="n"/>
      <c r="X199" s="307" t="n"/>
      <c r="Y199" s="307" t="n"/>
      <c r="Z199" s="307" t="n"/>
      <c r="AA199" s="307" t="n"/>
      <c r="AB199" s="307" t="n"/>
      <c r="AC199" s="307" t="n"/>
      <c r="AD199" s="307" t="n"/>
      <c r="AE199" s="307" t="n"/>
      <c r="AF199" s="307" t="n"/>
      <c r="AG199" s="307" t="n"/>
      <c r="AH199" s="307" t="n"/>
      <c r="AI199" s="307" t="n"/>
      <c r="AJ199" s="307" t="n"/>
      <c r="AK199" s="307" t="n"/>
      <c r="AL199" s="307" t="n"/>
      <c r="AM199" s="307" t="n"/>
      <c r="AN199" s="307" t="n"/>
      <c r="AO199" s="307" t="n"/>
      <c r="AP199" s="307" t="n"/>
      <c r="AQ199" s="307" t="n"/>
      <c r="AR199" s="307" t="n"/>
      <c r="AS199" s="307" t="n"/>
      <c r="AT199" s="307" t="n"/>
      <c r="AU199" s="307" t="n"/>
      <c r="AV199" s="307" t="n"/>
      <c r="AW199" s="307" t="n"/>
      <c r="AX199" s="307" t="n"/>
      <c r="AY199" s="307" t="n"/>
      <c r="AZ199" s="307" t="n"/>
      <c r="BA199" s="307" t="n"/>
      <c r="BB199" s="307" t="n"/>
      <c r="BC199" s="307" t="n"/>
      <c r="BD199" s="307" t="n"/>
      <c r="BE199" s="307" t="n"/>
      <c r="BF199" s="307" t="n"/>
      <c r="BG199" s="31" t="n"/>
      <c r="BH199" s="31" t="n"/>
      <c r="BI199" s="31" t="n"/>
      <c r="BJ199" s="31" t="n"/>
    </row>
    <row r="200" ht="15.75" customHeight="1" s="349">
      <c r="A200" s="307" t="n"/>
      <c r="B200" s="307" t="n"/>
      <c r="C200" s="307" t="n"/>
      <c r="D200" s="307" t="n"/>
      <c r="E200" s="307" t="n"/>
      <c r="F200" s="307" t="n"/>
      <c r="G200" s="307" t="n"/>
      <c r="H200" s="307" t="n"/>
      <c r="I200" s="307" t="n"/>
      <c r="J200" s="307" t="n"/>
      <c r="K200" s="307" t="n"/>
      <c r="L200" s="307" t="n"/>
      <c r="M200" s="307" t="n"/>
      <c r="N200" s="307" t="n"/>
      <c r="O200" s="307" t="n"/>
      <c r="P200" s="307" t="n"/>
      <c r="Q200" s="307" t="n"/>
      <c r="R200" s="307" t="n"/>
      <c r="S200" s="307" t="n"/>
      <c r="T200" s="307" t="n"/>
      <c r="U200" s="307" t="n"/>
      <c r="V200" s="307" t="n"/>
      <c r="W200" s="307" t="n"/>
      <c r="X200" s="307" t="n"/>
      <c r="Y200" s="307" t="n"/>
      <c r="Z200" s="307" t="n"/>
      <c r="AA200" s="307" t="n"/>
      <c r="AB200" s="307" t="n"/>
      <c r="AC200" s="307" t="n"/>
      <c r="AD200" s="307" t="n"/>
      <c r="AE200" s="307" t="n"/>
      <c r="AF200" s="307" t="n"/>
      <c r="AG200" s="307" t="n"/>
      <c r="AH200" s="307" t="n"/>
      <c r="AI200" s="307" t="n"/>
      <c r="AJ200" s="307" t="n"/>
      <c r="AK200" s="307" t="n"/>
      <c r="AL200" s="307" t="n"/>
      <c r="AM200" s="307" t="n"/>
      <c r="AN200" s="307" t="n"/>
      <c r="AO200" s="307" t="n"/>
      <c r="AP200" s="307" t="n"/>
      <c r="AQ200" s="307" t="n"/>
      <c r="AR200" s="307" t="n"/>
      <c r="AS200" s="307" t="n"/>
      <c r="AT200" s="307" t="n"/>
      <c r="AU200" s="307" t="n"/>
      <c r="AV200" s="307" t="n"/>
      <c r="AW200" s="307" t="n"/>
      <c r="AX200" s="307" t="n"/>
      <c r="AY200" s="307" t="n"/>
      <c r="AZ200" s="307" t="n"/>
      <c r="BA200" s="307" t="n"/>
      <c r="BB200" s="307" t="n"/>
      <c r="BC200" s="307" t="n"/>
      <c r="BD200" s="307" t="n"/>
      <c r="BE200" s="307" t="n"/>
      <c r="BF200" s="307" t="n"/>
      <c r="BG200" s="31" t="n"/>
      <c r="BH200" s="31" t="n"/>
      <c r="BI200" s="31" t="n"/>
      <c r="BJ200" s="31" t="n"/>
    </row>
    <row r="201" ht="15.75" customHeight="1" s="349">
      <c r="A201" s="307" t="n"/>
      <c r="B201" s="307" t="n"/>
      <c r="C201" s="307" t="n"/>
      <c r="D201" s="307" t="n"/>
      <c r="E201" s="307" t="n"/>
      <c r="F201" s="307" t="n"/>
      <c r="G201" s="307" t="n"/>
      <c r="H201" s="307" t="n"/>
      <c r="I201" s="307" t="n"/>
      <c r="J201" s="307" t="n"/>
      <c r="K201" s="307" t="n"/>
      <c r="L201" s="307" t="n"/>
      <c r="M201" s="307" t="n"/>
      <c r="N201" s="307" t="n"/>
      <c r="O201" s="307" t="n"/>
      <c r="P201" s="307" t="n"/>
      <c r="Q201" s="307" t="n"/>
      <c r="R201" s="307" t="n"/>
      <c r="S201" s="307" t="n"/>
      <c r="T201" s="307" t="n"/>
      <c r="U201" s="307" t="n"/>
      <c r="V201" s="307" t="n"/>
      <c r="W201" s="307" t="n"/>
      <c r="X201" s="307" t="n"/>
      <c r="Y201" s="307" t="n"/>
      <c r="Z201" s="307" t="n"/>
      <c r="AA201" s="307" t="n"/>
      <c r="AB201" s="307" t="n"/>
      <c r="AC201" s="307" t="n"/>
      <c r="AD201" s="307" t="n"/>
      <c r="AE201" s="307" t="n"/>
      <c r="AF201" s="307" t="n"/>
      <c r="AG201" s="307" t="n"/>
      <c r="AH201" s="307" t="n"/>
      <c r="AI201" s="307" t="n"/>
      <c r="AJ201" s="307" t="n"/>
      <c r="AK201" s="307" t="n"/>
      <c r="AL201" s="307" t="n"/>
      <c r="AM201" s="307" t="n"/>
      <c r="AN201" s="307" t="n"/>
      <c r="AO201" s="307" t="n"/>
      <c r="AP201" s="307" t="n"/>
      <c r="AQ201" s="307" t="n"/>
      <c r="AR201" s="307" t="n"/>
      <c r="AS201" s="307" t="n"/>
      <c r="AT201" s="307" t="n"/>
      <c r="AU201" s="307" t="n"/>
      <c r="AV201" s="307" t="n"/>
      <c r="AW201" s="307" t="n"/>
      <c r="AX201" s="307" t="n"/>
      <c r="AY201" s="307" t="n"/>
      <c r="AZ201" s="307" t="n"/>
      <c r="BA201" s="307" t="n"/>
      <c r="BB201" s="307" t="n"/>
      <c r="BC201" s="307" t="n"/>
      <c r="BD201" s="307" t="n"/>
      <c r="BE201" s="307" t="n"/>
      <c r="BF201" s="307" t="n"/>
      <c r="BG201" s="31" t="n"/>
      <c r="BH201" s="31" t="n"/>
      <c r="BI201" s="31" t="n"/>
      <c r="BJ201" s="31" t="n"/>
    </row>
    <row r="202" ht="15.75" customHeight="1" s="349">
      <c r="A202" s="307" t="n"/>
      <c r="B202" s="307" t="n"/>
      <c r="C202" s="307" t="n"/>
      <c r="D202" s="307" t="n"/>
      <c r="E202" s="307" t="n"/>
      <c r="F202" s="307" t="n"/>
      <c r="G202" s="307" t="n"/>
      <c r="H202" s="307" t="n"/>
      <c r="I202" s="307" t="n"/>
      <c r="J202" s="307" t="n"/>
      <c r="K202" s="307" t="n"/>
      <c r="L202" s="307" t="n"/>
      <c r="M202" s="307" t="n"/>
      <c r="N202" s="307" t="n"/>
      <c r="O202" s="307" t="n"/>
      <c r="P202" s="307" t="n"/>
      <c r="Q202" s="307" t="n"/>
      <c r="R202" s="307" t="n"/>
      <c r="S202" s="307" t="n"/>
      <c r="T202" s="307" t="n"/>
      <c r="U202" s="307" t="n"/>
      <c r="V202" s="307" t="n"/>
      <c r="W202" s="307" t="n"/>
      <c r="X202" s="307" t="n"/>
      <c r="Y202" s="307" t="n"/>
      <c r="Z202" s="307" t="n"/>
      <c r="AA202" s="307" t="n"/>
      <c r="AB202" s="307" t="n"/>
      <c r="AC202" s="307" t="n"/>
      <c r="AD202" s="307" t="n"/>
      <c r="AE202" s="307" t="n"/>
      <c r="AF202" s="307" t="n"/>
      <c r="AG202" s="307" t="n"/>
      <c r="AH202" s="307" t="n"/>
      <c r="AI202" s="307" t="n"/>
      <c r="AJ202" s="307" t="n"/>
      <c r="AK202" s="307" t="n"/>
      <c r="AL202" s="307" t="n"/>
      <c r="AM202" s="307" t="n"/>
      <c r="AN202" s="307" t="n"/>
      <c r="AO202" s="307" t="n"/>
      <c r="AP202" s="307" t="n"/>
      <c r="AQ202" s="307" t="n"/>
      <c r="AR202" s="307" t="n"/>
      <c r="AS202" s="307" t="n"/>
      <c r="AT202" s="307" t="n"/>
      <c r="AU202" s="307" t="n"/>
      <c r="AV202" s="307" t="n"/>
      <c r="AW202" s="307" t="n"/>
      <c r="AX202" s="307" t="n"/>
      <c r="AY202" s="307" t="n"/>
      <c r="AZ202" s="307" t="n"/>
      <c r="BA202" s="307" t="n"/>
      <c r="BB202" s="307" t="n"/>
      <c r="BC202" s="307" t="n"/>
      <c r="BD202" s="307" t="n"/>
      <c r="BE202" s="307" t="n"/>
      <c r="BF202" s="307" t="n"/>
      <c r="BG202" s="31" t="n"/>
      <c r="BH202" s="31" t="n"/>
      <c r="BI202" s="31" t="n"/>
      <c r="BJ202" s="31" t="n"/>
    </row>
    <row r="203" ht="15.75" customHeight="1" s="349">
      <c r="A203" s="307" t="n"/>
      <c r="B203" s="307" t="n"/>
      <c r="C203" s="307" t="n"/>
      <c r="D203" s="307" t="n"/>
      <c r="E203" s="307" t="n"/>
      <c r="F203" s="307" t="n"/>
      <c r="G203" s="307" t="n"/>
      <c r="H203" s="307" t="n"/>
      <c r="I203" s="307" t="n"/>
      <c r="J203" s="307" t="n"/>
      <c r="K203" s="307" t="n"/>
      <c r="L203" s="307" t="n"/>
      <c r="M203" s="307" t="n"/>
      <c r="N203" s="307" t="n"/>
      <c r="O203" s="307" t="n"/>
      <c r="P203" s="307" t="n"/>
      <c r="Q203" s="307" t="n"/>
      <c r="R203" s="307" t="n"/>
      <c r="S203" s="307" t="n"/>
      <c r="T203" s="307" t="n"/>
      <c r="U203" s="307" t="n"/>
      <c r="V203" s="307" t="n"/>
      <c r="W203" s="307" t="n"/>
      <c r="X203" s="307" t="n"/>
      <c r="Y203" s="307" t="n"/>
      <c r="Z203" s="307" t="n"/>
      <c r="AA203" s="307" t="n"/>
      <c r="AB203" s="307" t="n"/>
      <c r="AC203" s="307" t="n"/>
      <c r="AD203" s="307" t="n"/>
      <c r="AE203" s="307" t="n"/>
      <c r="AF203" s="307" t="n"/>
      <c r="AG203" s="307" t="n"/>
      <c r="AH203" s="307" t="n"/>
      <c r="AI203" s="307" t="n"/>
      <c r="AJ203" s="307" t="n"/>
      <c r="AK203" s="307" t="n"/>
      <c r="AL203" s="307" t="n"/>
      <c r="AM203" s="307" t="n"/>
      <c r="AN203" s="307" t="n"/>
      <c r="AO203" s="307" t="n"/>
      <c r="AP203" s="307" t="n"/>
      <c r="AQ203" s="307" t="n"/>
      <c r="AR203" s="307" t="n"/>
      <c r="AS203" s="307" t="n"/>
      <c r="AT203" s="307" t="n"/>
      <c r="AU203" s="307" t="n"/>
      <c r="AV203" s="307" t="n"/>
      <c r="AW203" s="307" t="n"/>
      <c r="AX203" s="307" t="n"/>
      <c r="AY203" s="307" t="n"/>
      <c r="AZ203" s="307" t="n"/>
      <c r="BA203" s="307" t="n"/>
      <c r="BB203" s="307" t="n"/>
      <c r="BC203" s="307" t="n"/>
      <c r="BD203" s="307" t="n"/>
      <c r="BE203" s="307" t="n"/>
      <c r="BF203" s="307" t="n"/>
      <c r="BG203" s="31" t="n"/>
      <c r="BH203" s="31" t="n"/>
      <c r="BI203" s="31" t="n"/>
      <c r="BJ203" s="31" t="n"/>
    </row>
    <row r="204" ht="15.75" customHeight="1" s="349">
      <c r="A204" s="307" t="n"/>
      <c r="B204" s="307" t="n"/>
      <c r="C204" s="307" t="n"/>
      <c r="D204" s="307" t="n"/>
      <c r="E204" s="307" t="n"/>
      <c r="F204" s="307" t="n"/>
      <c r="G204" s="307" t="n"/>
      <c r="H204" s="307" t="n"/>
      <c r="I204" s="307" t="n"/>
      <c r="J204" s="307" t="n"/>
      <c r="K204" s="307" t="n"/>
      <c r="L204" s="307" t="n"/>
      <c r="M204" s="307" t="n"/>
      <c r="N204" s="307" t="n"/>
      <c r="O204" s="307" t="n"/>
      <c r="P204" s="307" t="n"/>
      <c r="Q204" s="307" t="n"/>
      <c r="R204" s="307" t="n"/>
      <c r="S204" s="307" t="n"/>
      <c r="T204" s="307" t="n"/>
      <c r="U204" s="307" t="n"/>
      <c r="V204" s="307" t="n"/>
      <c r="W204" s="307" t="n"/>
      <c r="X204" s="307" t="n"/>
      <c r="Y204" s="307" t="n"/>
      <c r="Z204" s="307" t="n"/>
      <c r="AA204" s="307" t="n"/>
      <c r="AB204" s="307" t="n"/>
      <c r="AC204" s="307" t="n"/>
      <c r="AD204" s="307" t="n"/>
      <c r="AE204" s="307" t="n"/>
      <c r="AF204" s="307" t="n"/>
      <c r="AG204" s="307" t="n"/>
      <c r="AH204" s="307" t="n"/>
      <c r="AI204" s="307" t="n"/>
      <c r="AJ204" s="307" t="n"/>
      <c r="AK204" s="307" t="n"/>
      <c r="AL204" s="307" t="n"/>
      <c r="AM204" s="307" t="n"/>
      <c r="AN204" s="307" t="n"/>
      <c r="AO204" s="307" t="n"/>
      <c r="AP204" s="307" t="n"/>
      <c r="AQ204" s="307" t="n"/>
      <c r="AR204" s="307" t="n"/>
      <c r="AS204" s="307" t="n"/>
      <c r="AT204" s="307" t="n"/>
      <c r="AU204" s="307" t="n"/>
      <c r="AV204" s="307" t="n"/>
      <c r="AW204" s="307" t="n"/>
      <c r="AX204" s="307" t="n"/>
      <c r="AY204" s="307" t="n"/>
      <c r="AZ204" s="307" t="n"/>
      <c r="BA204" s="307" t="n"/>
      <c r="BB204" s="307" t="n"/>
      <c r="BC204" s="307" t="n"/>
      <c r="BD204" s="307" t="n"/>
      <c r="BE204" s="307" t="n"/>
      <c r="BF204" s="307" t="n"/>
      <c r="BG204" s="31" t="n"/>
      <c r="BH204" s="31" t="n"/>
      <c r="BI204" s="31" t="n"/>
      <c r="BJ204" s="31" t="n"/>
    </row>
    <row r="205" ht="15.75" customHeight="1" s="349">
      <c r="A205" s="307" t="n"/>
      <c r="B205" s="307" t="n"/>
      <c r="C205" s="307" t="n"/>
      <c r="D205" s="307" t="n"/>
      <c r="E205" s="307" t="n"/>
      <c r="F205" s="307" t="n"/>
      <c r="G205" s="307" t="n"/>
      <c r="H205" s="307" t="n"/>
      <c r="I205" s="307" t="n"/>
      <c r="J205" s="307" t="n"/>
      <c r="K205" s="307" t="n"/>
      <c r="L205" s="307" t="n"/>
      <c r="M205" s="307" t="n"/>
      <c r="N205" s="307" t="n"/>
      <c r="O205" s="307" t="n"/>
      <c r="P205" s="307" t="n"/>
      <c r="Q205" s="307" t="n"/>
      <c r="R205" s="307" t="n"/>
      <c r="S205" s="307" t="n"/>
      <c r="T205" s="307" t="n"/>
      <c r="U205" s="307" t="n"/>
      <c r="V205" s="307" t="n"/>
      <c r="W205" s="307" t="n"/>
      <c r="X205" s="307" t="n"/>
      <c r="Y205" s="307" t="n"/>
      <c r="Z205" s="307" t="n"/>
      <c r="AA205" s="307" t="n"/>
      <c r="AB205" s="307" t="n"/>
      <c r="AC205" s="307" t="n"/>
      <c r="AD205" s="307" t="n"/>
      <c r="AE205" s="307" t="n"/>
      <c r="AF205" s="307" t="n"/>
      <c r="AG205" s="307" t="n"/>
      <c r="AH205" s="307" t="n"/>
      <c r="AI205" s="307" t="n"/>
      <c r="AJ205" s="307" t="n"/>
      <c r="AK205" s="307" t="n"/>
      <c r="AL205" s="307" t="n"/>
      <c r="AM205" s="307" t="n"/>
      <c r="AN205" s="307" t="n"/>
      <c r="AO205" s="307" t="n"/>
      <c r="AP205" s="307" t="n"/>
      <c r="AQ205" s="307" t="n"/>
      <c r="AR205" s="307" t="n"/>
      <c r="AS205" s="307" t="n"/>
      <c r="AT205" s="307" t="n"/>
      <c r="AU205" s="307" t="n"/>
      <c r="AV205" s="307" t="n"/>
      <c r="AW205" s="307" t="n"/>
      <c r="AX205" s="307" t="n"/>
      <c r="AY205" s="307" t="n"/>
      <c r="AZ205" s="307" t="n"/>
      <c r="BA205" s="307" t="n"/>
      <c r="BB205" s="307" t="n"/>
      <c r="BC205" s="307" t="n"/>
      <c r="BD205" s="307" t="n"/>
      <c r="BE205" s="307" t="n"/>
      <c r="BF205" s="307" t="n"/>
      <c r="BG205" s="31" t="n"/>
      <c r="BH205" s="31" t="n"/>
      <c r="BI205" s="31" t="n"/>
      <c r="BJ205" s="31" t="n"/>
    </row>
    <row r="206" ht="15.75" customHeight="1" s="349">
      <c r="A206" s="307" t="n"/>
      <c r="B206" s="307" t="n"/>
      <c r="C206" s="307" t="n"/>
      <c r="D206" s="307" t="n"/>
      <c r="E206" s="307" t="n"/>
      <c r="F206" s="307" t="n"/>
      <c r="G206" s="307" t="n"/>
      <c r="H206" s="307" t="n"/>
      <c r="I206" s="307" t="n"/>
      <c r="J206" s="307" t="n"/>
      <c r="K206" s="307" t="n"/>
      <c r="L206" s="307" t="n"/>
      <c r="M206" s="307" t="n"/>
      <c r="N206" s="307" t="n"/>
      <c r="O206" s="307" t="n"/>
      <c r="P206" s="307" t="n"/>
      <c r="Q206" s="307" t="n"/>
      <c r="R206" s="307" t="n"/>
      <c r="S206" s="307" t="n"/>
      <c r="T206" s="307" t="n"/>
      <c r="U206" s="307" t="n"/>
      <c r="V206" s="307" t="n"/>
      <c r="W206" s="307" t="n"/>
      <c r="X206" s="307" t="n"/>
      <c r="Y206" s="307" t="n"/>
      <c r="Z206" s="307" t="n"/>
      <c r="AA206" s="307" t="n"/>
      <c r="AB206" s="307" t="n"/>
      <c r="AC206" s="307" t="n"/>
      <c r="AD206" s="307" t="n"/>
      <c r="AE206" s="307" t="n"/>
      <c r="AF206" s="307" t="n"/>
      <c r="AG206" s="307" t="n"/>
      <c r="AH206" s="307" t="n"/>
      <c r="AI206" s="307" t="n"/>
      <c r="AJ206" s="307" t="n"/>
      <c r="AK206" s="307" t="n"/>
      <c r="AL206" s="307" t="n"/>
      <c r="AM206" s="307" t="n"/>
      <c r="AN206" s="307" t="n"/>
      <c r="AO206" s="307" t="n"/>
      <c r="AP206" s="307" t="n"/>
      <c r="AQ206" s="307" t="n"/>
      <c r="AR206" s="307" t="n"/>
      <c r="AS206" s="307" t="n"/>
      <c r="AT206" s="307" t="n"/>
      <c r="AU206" s="307" t="n"/>
      <c r="AV206" s="307" t="n"/>
      <c r="AW206" s="307" t="n"/>
      <c r="AX206" s="307" t="n"/>
      <c r="AY206" s="307" t="n"/>
      <c r="AZ206" s="307" t="n"/>
      <c r="BA206" s="307" t="n"/>
      <c r="BB206" s="307" t="n"/>
      <c r="BC206" s="307" t="n"/>
      <c r="BD206" s="307" t="n"/>
      <c r="BE206" s="307" t="n"/>
      <c r="BF206" s="307" t="n"/>
      <c r="BG206" s="31" t="n"/>
      <c r="BH206" s="31" t="n"/>
      <c r="BI206" s="31" t="n"/>
      <c r="BJ206" s="31" t="n"/>
    </row>
    <row r="207" ht="15.75" customHeight="1" s="349">
      <c r="A207" s="307" t="n"/>
      <c r="B207" s="307" t="n"/>
      <c r="C207" s="307" t="n"/>
      <c r="D207" s="307" t="n"/>
      <c r="E207" s="307" t="n"/>
      <c r="F207" s="307" t="n"/>
      <c r="G207" s="307" t="n"/>
      <c r="H207" s="307" t="n"/>
      <c r="I207" s="307" t="n"/>
      <c r="J207" s="307" t="n"/>
      <c r="K207" s="307" t="n"/>
      <c r="L207" s="307" t="n"/>
      <c r="M207" s="307" t="n"/>
      <c r="N207" s="307" t="n"/>
      <c r="O207" s="307" t="n"/>
      <c r="P207" s="307" t="n"/>
      <c r="Q207" s="307" t="n"/>
      <c r="R207" s="307" t="n"/>
      <c r="S207" s="307" t="n"/>
      <c r="T207" s="307" t="n"/>
      <c r="U207" s="307" t="n"/>
      <c r="V207" s="307" t="n"/>
      <c r="W207" s="307" t="n"/>
      <c r="X207" s="307" t="n"/>
      <c r="Y207" s="307" t="n"/>
      <c r="Z207" s="307" t="n"/>
      <c r="AA207" s="307" t="n"/>
      <c r="AB207" s="307" t="n"/>
      <c r="AC207" s="307" t="n"/>
      <c r="AD207" s="307" t="n"/>
      <c r="AE207" s="307" t="n"/>
      <c r="AF207" s="307" t="n"/>
      <c r="AG207" s="307" t="n"/>
      <c r="AH207" s="307" t="n"/>
      <c r="AI207" s="307" t="n"/>
      <c r="AJ207" s="307" t="n"/>
      <c r="AK207" s="307" t="n"/>
      <c r="AL207" s="307" t="n"/>
      <c r="AM207" s="307" t="n"/>
      <c r="AN207" s="307" t="n"/>
      <c r="AO207" s="307" t="n"/>
      <c r="AP207" s="307" t="n"/>
      <c r="AQ207" s="307" t="n"/>
      <c r="AR207" s="307" t="n"/>
      <c r="AS207" s="307" t="n"/>
      <c r="AT207" s="307" t="n"/>
      <c r="AU207" s="307" t="n"/>
      <c r="AV207" s="307" t="n"/>
      <c r="AW207" s="307" t="n"/>
      <c r="AX207" s="307" t="n"/>
      <c r="AY207" s="307" t="n"/>
      <c r="AZ207" s="307" t="n"/>
      <c r="BA207" s="307" t="n"/>
      <c r="BB207" s="307" t="n"/>
      <c r="BC207" s="307" t="n"/>
      <c r="BD207" s="307" t="n"/>
      <c r="BE207" s="307" t="n"/>
      <c r="BF207" s="307" t="n"/>
      <c r="BG207" s="31" t="n"/>
      <c r="BH207" s="31" t="n"/>
      <c r="BI207" s="31" t="n"/>
      <c r="BJ207" s="31" t="n"/>
    </row>
    <row r="208" ht="15.75" customHeight="1" s="349">
      <c r="A208" s="307" t="n"/>
      <c r="B208" s="307" t="n"/>
      <c r="C208" s="307" t="n"/>
      <c r="D208" s="307" t="n"/>
      <c r="E208" s="307" t="n"/>
      <c r="F208" s="307" t="n"/>
      <c r="G208" s="307" t="n"/>
      <c r="H208" s="307" t="n"/>
      <c r="I208" s="307" t="n"/>
      <c r="J208" s="307" t="n"/>
      <c r="K208" s="307" t="n"/>
      <c r="L208" s="307" t="n"/>
      <c r="M208" s="307" t="n"/>
      <c r="N208" s="307" t="n"/>
      <c r="O208" s="307" t="n"/>
      <c r="P208" s="307" t="n"/>
      <c r="Q208" s="307" t="n"/>
      <c r="R208" s="307" t="n"/>
      <c r="S208" s="307" t="n"/>
      <c r="T208" s="307" t="n"/>
      <c r="U208" s="307" t="n"/>
      <c r="V208" s="307" t="n"/>
      <c r="W208" s="307" t="n"/>
      <c r="X208" s="307" t="n"/>
      <c r="Y208" s="307" t="n"/>
      <c r="Z208" s="307" t="n"/>
      <c r="AA208" s="307" t="n"/>
      <c r="AB208" s="307" t="n"/>
      <c r="AC208" s="307" t="n"/>
      <c r="AD208" s="307" t="n"/>
      <c r="AE208" s="307" t="n"/>
      <c r="AF208" s="307" t="n"/>
      <c r="AG208" s="307" t="n"/>
      <c r="AH208" s="307" t="n"/>
      <c r="AI208" s="307" t="n"/>
      <c r="AJ208" s="307" t="n"/>
      <c r="AK208" s="307" t="n"/>
      <c r="AL208" s="307" t="n"/>
      <c r="AM208" s="307" t="n"/>
      <c r="AN208" s="307" t="n"/>
      <c r="AO208" s="307" t="n"/>
      <c r="AP208" s="307" t="n"/>
      <c r="AQ208" s="307" t="n"/>
      <c r="AR208" s="307" t="n"/>
      <c r="AS208" s="307" t="n"/>
      <c r="AT208" s="307" t="n"/>
      <c r="AU208" s="307" t="n"/>
      <c r="AV208" s="307" t="n"/>
      <c r="AW208" s="307" t="n"/>
      <c r="AX208" s="307" t="n"/>
      <c r="AY208" s="307" t="n"/>
      <c r="AZ208" s="307" t="n"/>
      <c r="BA208" s="307" t="n"/>
      <c r="BB208" s="307" t="n"/>
      <c r="BC208" s="307" t="n"/>
      <c r="BD208" s="307" t="n"/>
      <c r="BE208" s="307" t="n"/>
      <c r="BF208" s="307" t="n"/>
      <c r="BG208" s="31" t="n"/>
      <c r="BH208" s="31" t="n"/>
      <c r="BI208" s="31" t="n"/>
      <c r="BJ208" s="31" t="n"/>
    </row>
    <row r="209" ht="15.75" customHeight="1" s="349">
      <c r="A209" s="307" t="n"/>
      <c r="B209" s="307" t="n"/>
      <c r="C209" s="307" t="n"/>
      <c r="D209" s="307" t="n"/>
      <c r="E209" s="307" t="n"/>
      <c r="F209" s="307" t="n"/>
      <c r="G209" s="307" t="n"/>
      <c r="H209" s="307" t="n"/>
      <c r="I209" s="307" t="n"/>
      <c r="J209" s="307" t="n"/>
      <c r="K209" s="307" t="n"/>
      <c r="L209" s="307" t="n"/>
      <c r="M209" s="307" t="n"/>
      <c r="N209" s="307" t="n"/>
      <c r="O209" s="307" t="n"/>
      <c r="P209" s="307" t="n"/>
      <c r="Q209" s="307" t="n"/>
      <c r="R209" s="307" t="n"/>
      <c r="S209" s="307" t="n"/>
      <c r="T209" s="307" t="n"/>
      <c r="U209" s="307" t="n"/>
      <c r="V209" s="307" t="n"/>
      <c r="W209" s="307" t="n"/>
      <c r="X209" s="307" t="n"/>
      <c r="Y209" s="307" t="n"/>
      <c r="Z209" s="307" t="n"/>
      <c r="AA209" s="307" t="n"/>
      <c r="AB209" s="307" t="n"/>
      <c r="AC209" s="307" t="n"/>
      <c r="AD209" s="307" t="n"/>
      <c r="AE209" s="307" t="n"/>
      <c r="AF209" s="307" t="n"/>
      <c r="AG209" s="307" t="n"/>
      <c r="AH209" s="307" t="n"/>
      <c r="AI209" s="307" t="n"/>
      <c r="AJ209" s="307" t="n"/>
      <c r="AK209" s="307" t="n"/>
      <c r="AL209" s="307" t="n"/>
      <c r="AM209" s="307" t="n"/>
      <c r="AN209" s="307" t="n"/>
      <c r="AO209" s="307" t="n"/>
      <c r="AP209" s="307" t="n"/>
      <c r="AQ209" s="307" t="n"/>
      <c r="AR209" s="307" t="n"/>
      <c r="AS209" s="307" t="n"/>
      <c r="AT209" s="307" t="n"/>
      <c r="AU209" s="307" t="n"/>
      <c r="AV209" s="307" t="n"/>
      <c r="AW209" s="307" t="n"/>
      <c r="AX209" s="307" t="n"/>
      <c r="AY209" s="307" t="n"/>
      <c r="AZ209" s="307" t="n"/>
      <c r="BA209" s="307" t="n"/>
      <c r="BB209" s="307" t="n"/>
      <c r="BC209" s="307" t="n"/>
      <c r="BD209" s="307" t="n"/>
      <c r="BE209" s="307" t="n"/>
      <c r="BF209" s="307" t="n"/>
      <c r="BG209" s="31" t="n"/>
      <c r="BH209" s="31" t="n"/>
      <c r="BI209" s="31" t="n"/>
      <c r="BJ209" s="31" t="n"/>
    </row>
    <row r="210" ht="15.75" customHeight="1" s="349">
      <c r="A210" s="307" t="n"/>
      <c r="B210" s="307" t="n"/>
      <c r="C210" s="307" t="n"/>
      <c r="D210" s="307" t="n"/>
      <c r="E210" s="307" t="n"/>
      <c r="F210" s="307" t="n"/>
      <c r="G210" s="307" t="n"/>
      <c r="H210" s="307" t="n"/>
      <c r="I210" s="307" t="n"/>
      <c r="J210" s="307" t="n"/>
      <c r="K210" s="307" t="n"/>
      <c r="L210" s="307" t="n"/>
      <c r="M210" s="307" t="n"/>
      <c r="N210" s="307" t="n"/>
      <c r="O210" s="307" t="n"/>
      <c r="P210" s="307" t="n"/>
      <c r="Q210" s="307" t="n"/>
      <c r="R210" s="307" t="n"/>
      <c r="S210" s="307" t="n"/>
      <c r="T210" s="307" t="n"/>
      <c r="U210" s="307" t="n"/>
      <c r="V210" s="307" t="n"/>
      <c r="W210" s="307" t="n"/>
      <c r="X210" s="307" t="n"/>
      <c r="Y210" s="307" t="n"/>
      <c r="Z210" s="307" t="n"/>
      <c r="AA210" s="307" t="n"/>
      <c r="AB210" s="307" t="n"/>
      <c r="AC210" s="307" t="n"/>
      <c r="AD210" s="307" t="n"/>
      <c r="AE210" s="307" t="n"/>
      <c r="AF210" s="307" t="n"/>
      <c r="AG210" s="307" t="n"/>
      <c r="AH210" s="307" t="n"/>
      <c r="AI210" s="307" t="n"/>
      <c r="AJ210" s="307" t="n"/>
      <c r="AK210" s="307" t="n"/>
      <c r="AL210" s="307" t="n"/>
      <c r="AM210" s="307" t="n"/>
      <c r="AN210" s="307" t="n"/>
      <c r="AO210" s="307" t="n"/>
      <c r="AP210" s="307" t="n"/>
      <c r="AQ210" s="307" t="n"/>
      <c r="AR210" s="307" t="n"/>
      <c r="AS210" s="307" t="n"/>
      <c r="AT210" s="307" t="n"/>
      <c r="AU210" s="307" t="n"/>
      <c r="AV210" s="307" t="n"/>
      <c r="AW210" s="307" t="n"/>
      <c r="AX210" s="307" t="n"/>
      <c r="AY210" s="307" t="n"/>
      <c r="AZ210" s="307" t="n"/>
      <c r="BA210" s="307" t="n"/>
      <c r="BB210" s="307" t="n"/>
      <c r="BC210" s="307" t="n"/>
      <c r="BD210" s="307" t="n"/>
      <c r="BE210" s="307" t="n"/>
      <c r="BF210" s="307" t="n"/>
      <c r="BG210" s="31" t="n"/>
      <c r="BH210" s="31" t="n"/>
      <c r="BI210" s="31" t="n"/>
      <c r="BJ210" s="31" t="n"/>
    </row>
    <row r="211" ht="15.75" customHeight="1" s="349">
      <c r="A211" s="307" t="n"/>
      <c r="B211" s="307" t="n"/>
      <c r="C211" s="307" t="n"/>
      <c r="D211" s="307" t="n"/>
      <c r="E211" s="307" t="n"/>
      <c r="F211" s="307" t="n"/>
      <c r="G211" s="307" t="n"/>
      <c r="H211" s="307" t="n"/>
      <c r="I211" s="307" t="n"/>
      <c r="J211" s="307" t="n"/>
      <c r="K211" s="307" t="n"/>
      <c r="L211" s="307" t="n"/>
      <c r="M211" s="307" t="n"/>
      <c r="N211" s="307" t="n"/>
      <c r="O211" s="307" t="n"/>
      <c r="P211" s="307" t="n"/>
      <c r="Q211" s="307" t="n"/>
      <c r="R211" s="307" t="n"/>
      <c r="S211" s="307" t="n"/>
      <c r="T211" s="307" t="n"/>
      <c r="U211" s="307" t="n"/>
      <c r="V211" s="307" t="n"/>
      <c r="W211" s="307" t="n"/>
      <c r="X211" s="307" t="n"/>
      <c r="Y211" s="307" t="n"/>
      <c r="Z211" s="307" t="n"/>
      <c r="AA211" s="307" t="n"/>
      <c r="AB211" s="307" t="n"/>
      <c r="AC211" s="307" t="n"/>
      <c r="AD211" s="307" t="n"/>
      <c r="AE211" s="307" t="n"/>
      <c r="AF211" s="307" t="n"/>
      <c r="AG211" s="307" t="n"/>
      <c r="AH211" s="307" t="n"/>
      <c r="AI211" s="307" t="n"/>
      <c r="AJ211" s="307" t="n"/>
      <c r="AK211" s="307" t="n"/>
      <c r="AL211" s="307" t="n"/>
      <c r="AM211" s="307" t="n"/>
      <c r="AN211" s="307" t="n"/>
      <c r="AO211" s="307" t="n"/>
      <c r="AP211" s="307" t="n"/>
      <c r="AQ211" s="307" t="n"/>
      <c r="AR211" s="307" t="n"/>
      <c r="AS211" s="307" t="n"/>
      <c r="AT211" s="307" t="n"/>
      <c r="AU211" s="307" t="n"/>
      <c r="AV211" s="307" t="n"/>
      <c r="AW211" s="307" t="n"/>
      <c r="AX211" s="307" t="n"/>
      <c r="AY211" s="307" t="n"/>
      <c r="AZ211" s="307" t="n"/>
      <c r="BA211" s="307" t="n"/>
      <c r="BB211" s="307" t="n"/>
      <c r="BC211" s="307" t="n"/>
      <c r="BD211" s="307" t="n"/>
      <c r="BE211" s="307" t="n"/>
      <c r="BF211" s="307" t="n"/>
      <c r="BG211" s="31" t="n"/>
      <c r="BH211" s="31" t="n"/>
      <c r="BI211" s="31" t="n"/>
      <c r="BJ211" s="31" t="n"/>
    </row>
    <row r="212" ht="15.75" customHeight="1" s="349">
      <c r="A212" s="307" t="n"/>
      <c r="B212" s="307" t="n"/>
      <c r="C212" s="307" t="n"/>
      <c r="D212" s="307" t="n"/>
      <c r="E212" s="307" t="n"/>
      <c r="F212" s="307" t="n"/>
      <c r="G212" s="307" t="n"/>
      <c r="H212" s="307" t="n"/>
      <c r="I212" s="307" t="n"/>
      <c r="J212" s="307" t="n"/>
      <c r="K212" s="307" t="n"/>
      <c r="L212" s="307" t="n"/>
      <c r="M212" s="307" t="n"/>
      <c r="N212" s="307" t="n"/>
      <c r="O212" s="307" t="n"/>
      <c r="P212" s="307" t="n"/>
      <c r="Q212" s="307" t="n"/>
      <c r="R212" s="307" t="n"/>
      <c r="S212" s="307" t="n"/>
      <c r="T212" s="307" t="n"/>
      <c r="U212" s="307" t="n"/>
      <c r="V212" s="307" t="n"/>
      <c r="W212" s="307" t="n"/>
      <c r="X212" s="307" t="n"/>
      <c r="Y212" s="307" t="n"/>
      <c r="Z212" s="307" t="n"/>
      <c r="AA212" s="307" t="n"/>
      <c r="AB212" s="307" t="n"/>
      <c r="AC212" s="307" t="n"/>
      <c r="AD212" s="307" t="n"/>
      <c r="AE212" s="307" t="n"/>
      <c r="AF212" s="307" t="n"/>
      <c r="AG212" s="307" t="n"/>
      <c r="AH212" s="307" t="n"/>
      <c r="AI212" s="307" t="n"/>
      <c r="AJ212" s="307" t="n"/>
      <c r="AK212" s="307" t="n"/>
      <c r="AL212" s="307" t="n"/>
      <c r="AM212" s="307" t="n"/>
      <c r="AN212" s="307" t="n"/>
      <c r="AO212" s="307" t="n"/>
      <c r="AP212" s="307" t="n"/>
      <c r="AQ212" s="307" t="n"/>
      <c r="AR212" s="307" t="n"/>
      <c r="AS212" s="307" t="n"/>
      <c r="AT212" s="307" t="n"/>
      <c r="AU212" s="307" t="n"/>
      <c r="AV212" s="307" t="n"/>
      <c r="AW212" s="307" t="n"/>
      <c r="AX212" s="307" t="n"/>
      <c r="AY212" s="307" t="n"/>
      <c r="AZ212" s="307" t="n"/>
      <c r="BA212" s="307" t="n"/>
      <c r="BB212" s="307" t="n"/>
      <c r="BC212" s="307" t="n"/>
      <c r="BD212" s="307" t="n"/>
      <c r="BE212" s="307" t="n"/>
      <c r="BF212" s="307" t="n"/>
      <c r="BG212" s="31" t="n"/>
      <c r="BH212" s="31" t="n"/>
      <c r="BI212" s="31" t="n"/>
      <c r="BJ212" s="31" t="n"/>
    </row>
    <row r="213" ht="15.75" customHeight="1" s="349">
      <c r="A213" s="307" t="n"/>
      <c r="B213" s="307" t="n"/>
      <c r="C213" s="307" t="n"/>
      <c r="D213" s="307" t="n"/>
      <c r="E213" s="307" t="n"/>
      <c r="F213" s="307" t="n"/>
      <c r="G213" s="307" t="n"/>
      <c r="H213" s="307" t="n"/>
      <c r="I213" s="307" t="n"/>
      <c r="J213" s="307" t="n"/>
      <c r="K213" s="307" t="n"/>
      <c r="L213" s="307" t="n"/>
      <c r="M213" s="307" t="n"/>
      <c r="N213" s="307" t="n"/>
      <c r="O213" s="307" t="n"/>
      <c r="P213" s="307" t="n"/>
      <c r="Q213" s="307" t="n"/>
      <c r="R213" s="307" t="n"/>
      <c r="S213" s="307" t="n"/>
      <c r="T213" s="307" t="n"/>
      <c r="U213" s="307" t="n"/>
      <c r="V213" s="307" t="n"/>
      <c r="W213" s="307" t="n"/>
      <c r="X213" s="307" t="n"/>
      <c r="Y213" s="307" t="n"/>
      <c r="Z213" s="307" t="n"/>
      <c r="AA213" s="307" t="n"/>
      <c r="AB213" s="307" t="n"/>
      <c r="AC213" s="307" t="n"/>
      <c r="AD213" s="307" t="n"/>
      <c r="AE213" s="307" t="n"/>
      <c r="AF213" s="307" t="n"/>
      <c r="AG213" s="307" t="n"/>
      <c r="AH213" s="307" t="n"/>
      <c r="AI213" s="307" t="n"/>
      <c r="AJ213" s="307" t="n"/>
      <c r="AK213" s="307" t="n"/>
      <c r="AL213" s="307" t="n"/>
      <c r="AM213" s="307" t="n"/>
      <c r="AN213" s="307" t="n"/>
      <c r="AO213" s="307" t="n"/>
      <c r="AP213" s="307" t="n"/>
      <c r="AQ213" s="307" t="n"/>
      <c r="AR213" s="307" t="n"/>
      <c r="AS213" s="307" t="n"/>
      <c r="AT213" s="307" t="n"/>
      <c r="AU213" s="307" t="n"/>
      <c r="AV213" s="307" t="n"/>
      <c r="AW213" s="307" t="n"/>
      <c r="AX213" s="307" t="n"/>
      <c r="AY213" s="307" t="n"/>
      <c r="AZ213" s="307" t="n"/>
      <c r="BA213" s="307" t="n"/>
      <c r="BB213" s="307" t="n"/>
      <c r="BC213" s="307" t="n"/>
      <c r="BD213" s="307" t="n"/>
      <c r="BE213" s="307" t="n"/>
      <c r="BF213" s="307" t="n"/>
      <c r="BG213" s="31" t="n"/>
      <c r="BH213" s="31" t="n"/>
      <c r="BI213" s="31" t="n"/>
      <c r="BJ213" s="31" t="n"/>
    </row>
    <row r="214" ht="15.75" customHeight="1" s="349">
      <c r="A214" s="307" t="n"/>
      <c r="B214" s="307" t="n"/>
      <c r="C214" s="307" t="n"/>
      <c r="D214" s="307" t="n"/>
      <c r="E214" s="307" t="n"/>
      <c r="F214" s="307" t="n"/>
      <c r="G214" s="307" t="n"/>
      <c r="H214" s="307" t="n"/>
      <c r="I214" s="307" t="n"/>
      <c r="J214" s="307" t="n"/>
      <c r="K214" s="307" t="n"/>
      <c r="L214" s="307" t="n"/>
      <c r="M214" s="307" t="n"/>
      <c r="N214" s="307" t="n"/>
      <c r="O214" s="307" t="n"/>
      <c r="P214" s="307" t="n"/>
      <c r="Q214" s="307" t="n"/>
      <c r="R214" s="307" t="n"/>
      <c r="S214" s="307" t="n"/>
      <c r="T214" s="307" t="n"/>
      <c r="U214" s="307" t="n"/>
      <c r="V214" s="307" t="n"/>
      <c r="W214" s="307" t="n"/>
      <c r="X214" s="307" t="n"/>
      <c r="Y214" s="307" t="n"/>
      <c r="Z214" s="307" t="n"/>
      <c r="AA214" s="307" t="n"/>
      <c r="AB214" s="307" t="n"/>
      <c r="AC214" s="307" t="n"/>
      <c r="AD214" s="307" t="n"/>
      <c r="AE214" s="307" t="n"/>
      <c r="AF214" s="307" t="n"/>
      <c r="AG214" s="307" t="n"/>
      <c r="AH214" s="307" t="n"/>
      <c r="AI214" s="307" t="n"/>
      <c r="AJ214" s="307" t="n"/>
      <c r="AK214" s="307" t="n"/>
      <c r="AL214" s="307" t="n"/>
      <c r="AM214" s="307" t="n"/>
      <c r="AN214" s="307" t="n"/>
      <c r="AO214" s="307" t="n"/>
      <c r="AP214" s="307" t="n"/>
      <c r="AQ214" s="307" t="n"/>
      <c r="AR214" s="307" t="n"/>
      <c r="AS214" s="307" t="n"/>
      <c r="AT214" s="307" t="n"/>
      <c r="AU214" s="307" t="n"/>
      <c r="AV214" s="307" t="n"/>
      <c r="AW214" s="307" t="n"/>
      <c r="AX214" s="307" t="n"/>
      <c r="AY214" s="307" t="n"/>
      <c r="AZ214" s="307" t="n"/>
      <c r="BA214" s="307" t="n"/>
      <c r="BB214" s="307" t="n"/>
      <c r="BC214" s="307" t="n"/>
      <c r="BD214" s="307" t="n"/>
      <c r="BE214" s="307" t="n"/>
      <c r="BF214" s="307" t="n"/>
      <c r="BG214" s="31" t="n"/>
      <c r="BH214" s="31" t="n"/>
      <c r="BI214" s="31" t="n"/>
      <c r="BJ214" s="31" t="n"/>
    </row>
    <row r="215" ht="15.75" customHeight="1" s="349">
      <c r="A215" s="307" t="n"/>
      <c r="B215" s="307" t="n"/>
      <c r="C215" s="307" t="n"/>
      <c r="D215" s="307" t="n"/>
      <c r="E215" s="307" t="n"/>
      <c r="F215" s="307" t="n"/>
      <c r="G215" s="307" t="n"/>
      <c r="H215" s="307" t="n"/>
      <c r="I215" s="307" t="n"/>
      <c r="J215" s="307" t="n"/>
      <c r="K215" s="307" t="n"/>
      <c r="L215" s="307" t="n"/>
      <c r="M215" s="307" t="n"/>
      <c r="N215" s="307" t="n"/>
      <c r="O215" s="307" t="n"/>
      <c r="P215" s="307" t="n"/>
      <c r="Q215" s="307" t="n"/>
      <c r="R215" s="307" t="n"/>
      <c r="S215" s="307" t="n"/>
      <c r="T215" s="307" t="n"/>
      <c r="U215" s="307" t="n"/>
      <c r="V215" s="307" t="n"/>
      <c r="W215" s="307" t="n"/>
      <c r="X215" s="307" t="n"/>
      <c r="Y215" s="307" t="n"/>
      <c r="Z215" s="307" t="n"/>
      <c r="AA215" s="307" t="n"/>
      <c r="AB215" s="307" t="n"/>
      <c r="AC215" s="307" t="n"/>
      <c r="AD215" s="307" t="n"/>
      <c r="AE215" s="307" t="n"/>
      <c r="AF215" s="307" t="n"/>
      <c r="AG215" s="307" t="n"/>
      <c r="AH215" s="307" t="n"/>
      <c r="AI215" s="307" t="n"/>
      <c r="AJ215" s="307" t="n"/>
      <c r="AK215" s="307" t="n"/>
      <c r="AL215" s="307" t="n"/>
      <c r="AM215" s="307" t="n"/>
      <c r="AN215" s="307" t="n"/>
      <c r="AO215" s="307" t="n"/>
      <c r="AP215" s="307" t="n"/>
      <c r="AQ215" s="307" t="n"/>
      <c r="AR215" s="307" t="n"/>
      <c r="AS215" s="307" t="n"/>
      <c r="AT215" s="307" t="n"/>
      <c r="AU215" s="307" t="n"/>
      <c r="AV215" s="307" t="n"/>
      <c r="AW215" s="307" t="n"/>
      <c r="AX215" s="307" t="n"/>
      <c r="AY215" s="307" t="n"/>
      <c r="AZ215" s="307" t="n"/>
      <c r="BA215" s="307" t="n"/>
      <c r="BB215" s="307" t="n"/>
      <c r="BC215" s="307" t="n"/>
      <c r="BD215" s="307" t="n"/>
      <c r="BE215" s="307" t="n"/>
      <c r="BF215" s="307" t="n"/>
      <c r="BG215" s="31" t="n"/>
      <c r="BH215" s="31" t="n"/>
      <c r="BI215" s="31" t="n"/>
      <c r="BJ215" s="31" t="n"/>
    </row>
    <row r="216" ht="15.75" customHeight="1" s="349">
      <c r="A216" s="307" t="n"/>
      <c r="B216" s="307" t="n"/>
      <c r="C216" s="307" t="n"/>
      <c r="D216" s="307" t="n"/>
      <c r="E216" s="307" t="n"/>
      <c r="F216" s="307" t="n"/>
      <c r="G216" s="307" t="n"/>
      <c r="H216" s="307" t="n"/>
      <c r="I216" s="307" t="n"/>
      <c r="J216" s="307" t="n"/>
      <c r="K216" s="307" t="n"/>
      <c r="L216" s="307" t="n"/>
      <c r="M216" s="307" t="n"/>
      <c r="N216" s="307" t="n"/>
      <c r="O216" s="307" t="n"/>
      <c r="P216" s="307" t="n"/>
      <c r="Q216" s="307" t="n"/>
      <c r="R216" s="307" t="n"/>
      <c r="S216" s="307" t="n"/>
      <c r="T216" s="307" t="n"/>
      <c r="U216" s="307" t="n"/>
      <c r="V216" s="307" t="n"/>
      <c r="W216" s="307" t="n"/>
      <c r="X216" s="307" t="n"/>
      <c r="Y216" s="307" t="n"/>
      <c r="Z216" s="307" t="n"/>
      <c r="AA216" s="307" t="n"/>
      <c r="AB216" s="307" t="n"/>
      <c r="AC216" s="307" t="n"/>
      <c r="AD216" s="307" t="n"/>
      <c r="AE216" s="307" t="n"/>
      <c r="AF216" s="307" t="n"/>
      <c r="AG216" s="307" t="n"/>
      <c r="AH216" s="307" t="n"/>
      <c r="AI216" s="307" t="n"/>
      <c r="AJ216" s="307" t="n"/>
      <c r="AK216" s="307" t="n"/>
      <c r="AL216" s="307" t="n"/>
      <c r="AM216" s="307" t="n"/>
      <c r="AN216" s="307" t="n"/>
      <c r="AO216" s="307" t="n"/>
      <c r="AP216" s="307" t="n"/>
      <c r="AQ216" s="307" t="n"/>
      <c r="AR216" s="307" t="n"/>
      <c r="AS216" s="307" t="n"/>
      <c r="AT216" s="307" t="n"/>
      <c r="AU216" s="307" t="n"/>
      <c r="AV216" s="307" t="n"/>
      <c r="AW216" s="307" t="n"/>
      <c r="AX216" s="307" t="n"/>
      <c r="AY216" s="307" t="n"/>
      <c r="AZ216" s="307" t="n"/>
      <c r="BA216" s="307" t="n"/>
      <c r="BB216" s="307" t="n"/>
      <c r="BC216" s="307" t="n"/>
      <c r="BD216" s="307" t="n"/>
      <c r="BE216" s="307" t="n"/>
      <c r="BF216" s="307" t="n"/>
      <c r="BG216" s="31" t="n"/>
      <c r="BH216" s="31" t="n"/>
      <c r="BI216" s="31" t="n"/>
      <c r="BJ216" s="31" t="n"/>
    </row>
    <row r="217" ht="15.75" customHeight="1" s="349">
      <c r="A217" s="307" t="n"/>
      <c r="B217" s="307" t="n"/>
      <c r="C217" s="307" t="n"/>
      <c r="D217" s="307" t="n"/>
      <c r="E217" s="307" t="n"/>
      <c r="F217" s="307" t="n"/>
      <c r="G217" s="307" t="n"/>
      <c r="H217" s="307" t="n"/>
      <c r="I217" s="307" t="n"/>
      <c r="J217" s="307" t="n"/>
      <c r="K217" s="307" t="n"/>
      <c r="L217" s="307" t="n"/>
      <c r="M217" s="307" t="n"/>
      <c r="N217" s="307" t="n"/>
      <c r="O217" s="307" t="n"/>
      <c r="P217" s="307" t="n"/>
      <c r="Q217" s="307" t="n"/>
      <c r="R217" s="307" t="n"/>
      <c r="S217" s="307" t="n"/>
      <c r="T217" s="307" t="n"/>
      <c r="U217" s="307" t="n"/>
      <c r="V217" s="307" t="n"/>
      <c r="W217" s="307" t="n"/>
      <c r="X217" s="307" t="n"/>
      <c r="Y217" s="307" t="n"/>
      <c r="Z217" s="307" t="n"/>
      <c r="AA217" s="307" t="n"/>
      <c r="AB217" s="307" t="n"/>
      <c r="AC217" s="307" t="n"/>
      <c r="AD217" s="307" t="n"/>
      <c r="AE217" s="307" t="n"/>
      <c r="AF217" s="307" t="n"/>
      <c r="AG217" s="307" t="n"/>
      <c r="AH217" s="307" t="n"/>
      <c r="AI217" s="307" t="n"/>
      <c r="AJ217" s="307" t="n"/>
      <c r="AK217" s="307" t="n"/>
      <c r="AL217" s="307" t="n"/>
      <c r="AM217" s="307" t="n"/>
      <c r="AN217" s="307" t="n"/>
      <c r="AO217" s="307" t="n"/>
      <c r="AP217" s="307" t="n"/>
      <c r="AQ217" s="307" t="n"/>
      <c r="AR217" s="307" t="n"/>
      <c r="AS217" s="307" t="n"/>
      <c r="AT217" s="307" t="n"/>
      <c r="AU217" s="307" t="n"/>
      <c r="AV217" s="307" t="n"/>
      <c r="AW217" s="307" t="n"/>
      <c r="AX217" s="307" t="n"/>
      <c r="AY217" s="307" t="n"/>
      <c r="AZ217" s="307" t="n"/>
      <c r="BA217" s="307" t="n"/>
      <c r="BB217" s="307" t="n"/>
      <c r="BC217" s="307" t="n"/>
      <c r="BD217" s="307" t="n"/>
      <c r="BE217" s="307" t="n"/>
      <c r="BF217" s="307" t="n"/>
      <c r="BG217" s="31" t="n"/>
      <c r="BH217" s="31" t="n"/>
      <c r="BI217" s="31" t="n"/>
      <c r="BJ217" s="31" t="n"/>
    </row>
    <row r="218" ht="15.75" customHeight="1" s="349">
      <c r="A218" s="307" t="n"/>
      <c r="B218" s="307" t="n"/>
      <c r="C218" s="307" t="n"/>
      <c r="D218" s="307" t="n"/>
      <c r="E218" s="307" t="n"/>
      <c r="F218" s="307" t="n"/>
      <c r="G218" s="307" t="n"/>
      <c r="H218" s="307" t="n"/>
      <c r="I218" s="307" t="n"/>
      <c r="J218" s="307" t="n"/>
      <c r="K218" s="307" t="n"/>
      <c r="L218" s="307" t="n"/>
      <c r="M218" s="307" t="n"/>
      <c r="N218" s="307" t="n"/>
      <c r="O218" s="307" t="n"/>
      <c r="P218" s="307" t="n"/>
      <c r="Q218" s="307" t="n"/>
      <c r="R218" s="307" t="n"/>
      <c r="S218" s="307" t="n"/>
      <c r="T218" s="307" t="n"/>
      <c r="U218" s="307" t="n"/>
      <c r="V218" s="307" t="n"/>
      <c r="W218" s="307" t="n"/>
      <c r="X218" s="307" t="n"/>
      <c r="Y218" s="307" t="n"/>
      <c r="Z218" s="307" t="n"/>
      <c r="AA218" s="307" t="n"/>
      <c r="AB218" s="307" t="n"/>
      <c r="AC218" s="307" t="n"/>
      <c r="AD218" s="307" t="n"/>
      <c r="AE218" s="307" t="n"/>
      <c r="AF218" s="307" t="n"/>
      <c r="AG218" s="307" t="n"/>
      <c r="AH218" s="307" t="n"/>
      <c r="AI218" s="307" t="n"/>
      <c r="AJ218" s="307" t="n"/>
      <c r="AK218" s="307" t="n"/>
      <c r="AL218" s="307" t="n"/>
      <c r="AM218" s="307" t="n"/>
      <c r="AN218" s="307" t="n"/>
      <c r="AO218" s="307" t="n"/>
      <c r="AP218" s="307" t="n"/>
      <c r="AQ218" s="307" t="n"/>
      <c r="AR218" s="307" t="n"/>
      <c r="AS218" s="307" t="n"/>
      <c r="AT218" s="307" t="n"/>
      <c r="AU218" s="307" t="n"/>
      <c r="AV218" s="307" t="n"/>
      <c r="AW218" s="307" t="n"/>
      <c r="AX218" s="307" t="n"/>
      <c r="AY218" s="307" t="n"/>
      <c r="AZ218" s="307" t="n"/>
      <c r="BA218" s="307" t="n"/>
      <c r="BB218" s="307" t="n"/>
      <c r="BC218" s="307" t="n"/>
      <c r="BD218" s="307" t="n"/>
      <c r="BE218" s="307" t="n"/>
      <c r="BF218" s="307" t="n"/>
      <c r="BG218" s="31" t="n"/>
      <c r="BH218" s="31" t="n"/>
      <c r="BI218" s="31" t="n"/>
      <c r="BJ218" s="31" t="n"/>
    </row>
    <row r="219" ht="15.75" customHeight="1" s="349">
      <c r="A219" s="307" t="n"/>
      <c r="B219" s="307" t="n"/>
      <c r="C219" s="307" t="n"/>
      <c r="D219" s="307" t="n"/>
      <c r="E219" s="307" t="n"/>
      <c r="F219" s="307" t="n"/>
      <c r="G219" s="307" t="n"/>
      <c r="H219" s="307" t="n"/>
      <c r="I219" s="307" t="n"/>
      <c r="J219" s="307" t="n"/>
      <c r="K219" s="307" t="n"/>
      <c r="L219" s="307" t="n"/>
      <c r="M219" s="307" t="n"/>
      <c r="N219" s="307" t="n"/>
      <c r="O219" s="307" t="n"/>
      <c r="P219" s="307" t="n"/>
      <c r="Q219" s="307" t="n"/>
      <c r="R219" s="307" t="n"/>
      <c r="S219" s="307" t="n"/>
      <c r="T219" s="307" t="n"/>
      <c r="U219" s="307" t="n"/>
      <c r="V219" s="307" t="n"/>
      <c r="W219" s="307" t="n"/>
      <c r="X219" s="307" t="n"/>
      <c r="Y219" s="307" t="n"/>
      <c r="Z219" s="307" t="n"/>
      <c r="AA219" s="307" t="n"/>
      <c r="AB219" s="307" t="n"/>
      <c r="AC219" s="307" t="n"/>
      <c r="AD219" s="307" t="n"/>
      <c r="AE219" s="307" t="n"/>
      <c r="AF219" s="307" t="n"/>
      <c r="AG219" s="307" t="n"/>
      <c r="AH219" s="307" t="n"/>
      <c r="AI219" s="307" t="n"/>
      <c r="AJ219" s="307" t="n"/>
      <c r="AK219" s="307" t="n"/>
      <c r="AL219" s="307" t="n"/>
      <c r="AM219" s="307" t="n"/>
      <c r="AN219" s="307" t="n"/>
      <c r="AO219" s="307" t="n"/>
      <c r="AP219" s="307" t="n"/>
      <c r="AQ219" s="307" t="n"/>
      <c r="AR219" s="307" t="n"/>
      <c r="AS219" s="307" t="n"/>
      <c r="AT219" s="307" t="n"/>
      <c r="AU219" s="307" t="n"/>
      <c r="AV219" s="307" t="n"/>
      <c r="AW219" s="307" t="n"/>
      <c r="AX219" s="307" t="n"/>
      <c r="AY219" s="307" t="n"/>
      <c r="AZ219" s="307" t="n"/>
      <c r="BA219" s="307" t="n"/>
      <c r="BB219" s="307" t="n"/>
      <c r="BC219" s="307" t="n"/>
      <c r="BD219" s="307" t="n"/>
      <c r="BE219" s="307" t="n"/>
      <c r="BF219" s="307" t="n"/>
      <c r="BG219" s="31" t="n"/>
      <c r="BH219" s="31" t="n"/>
      <c r="BI219" s="31" t="n"/>
      <c r="BJ219" s="31" t="n"/>
    </row>
    <row r="220" ht="15.75" customHeight="1" s="349">
      <c r="A220" s="307" t="n"/>
      <c r="B220" s="307" t="n"/>
      <c r="C220" s="307" t="n"/>
      <c r="D220" s="307" t="n"/>
      <c r="E220" s="307" t="n"/>
      <c r="F220" s="307" t="n"/>
      <c r="G220" s="307" t="n"/>
      <c r="H220" s="307" t="n"/>
      <c r="I220" s="307" t="n"/>
      <c r="J220" s="307" t="n"/>
      <c r="K220" s="307" t="n"/>
      <c r="L220" s="307" t="n"/>
      <c r="M220" s="307" t="n"/>
      <c r="N220" s="307" t="n"/>
      <c r="O220" s="307" t="n"/>
      <c r="P220" s="307" t="n"/>
      <c r="Q220" s="307" t="n"/>
      <c r="R220" s="307" t="n"/>
      <c r="S220" s="307" t="n"/>
      <c r="T220" s="307" t="n"/>
      <c r="U220" s="307" t="n"/>
      <c r="V220" s="307" t="n"/>
      <c r="W220" s="307" t="n"/>
      <c r="X220" s="307" t="n"/>
      <c r="Y220" s="307" t="n"/>
      <c r="Z220" s="307" t="n"/>
      <c r="AA220" s="307" t="n"/>
      <c r="AB220" s="307" t="n"/>
      <c r="AC220" s="307" t="n"/>
      <c r="AD220" s="307" t="n"/>
      <c r="AE220" s="307" t="n"/>
      <c r="AF220" s="307" t="n"/>
      <c r="AG220" s="307" t="n"/>
      <c r="AH220" s="307" t="n"/>
      <c r="AI220" s="307" t="n"/>
      <c r="AJ220" s="307" t="n"/>
      <c r="AK220" s="307" t="n"/>
      <c r="AL220" s="307" t="n"/>
      <c r="AM220" s="307" t="n"/>
      <c r="AN220" s="307" t="n"/>
      <c r="AO220" s="307" t="n"/>
      <c r="AP220" s="307" t="n"/>
      <c r="AQ220" s="307" t="n"/>
      <c r="AR220" s="307" t="n"/>
      <c r="AS220" s="307" t="n"/>
      <c r="AT220" s="307" t="n"/>
      <c r="AU220" s="307" t="n"/>
      <c r="AV220" s="307" t="n"/>
      <c r="AW220" s="307" t="n"/>
      <c r="AX220" s="307" t="n"/>
      <c r="AY220" s="307" t="n"/>
      <c r="AZ220" s="307" t="n"/>
      <c r="BA220" s="307" t="n"/>
      <c r="BB220" s="307" t="n"/>
      <c r="BC220" s="307" t="n"/>
      <c r="BD220" s="307" t="n"/>
      <c r="BE220" s="307" t="n"/>
      <c r="BF220" s="307" t="n"/>
      <c r="BG220" s="31" t="n"/>
      <c r="BH220" s="31" t="n"/>
      <c r="BI220" s="31" t="n"/>
      <c r="BJ220" s="31" t="n"/>
    </row>
    <row r="221" ht="15.75" customHeight="1" s="349">
      <c r="A221" s="307" t="n"/>
      <c r="B221" s="307" t="n"/>
      <c r="C221" s="307" t="n"/>
      <c r="D221" s="307" t="n"/>
      <c r="E221" s="307" t="n"/>
      <c r="F221" s="307" t="n"/>
      <c r="G221" s="307" t="n"/>
      <c r="H221" s="307" t="n"/>
      <c r="I221" s="307" t="n"/>
      <c r="J221" s="307" t="n"/>
      <c r="K221" s="307" t="n"/>
      <c r="L221" s="307" t="n"/>
      <c r="M221" s="307" t="n"/>
      <c r="N221" s="307" t="n"/>
      <c r="O221" s="307" t="n"/>
      <c r="P221" s="307" t="n"/>
      <c r="Q221" s="307" t="n"/>
      <c r="R221" s="307" t="n"/>
      <c r="S221" s="307" t="n"/>
      <c r="T221" s="307" t="n"/>
      <c r="U221" s="307" t="n"/>
      <c r="V221" s="307" t="n"/>
      <c r="W221" s="307" t="n"/>
      <c r="X221" s="307" t="n"/>
      <c r="Y221" s="307" t="n"/>
      <c r="Z221" s="307" t="n"/>
      <c r="AA221" s="307" t="n"/>
      <c r="AB221" s="307" t="n"/>
      <c r="AC221" s="307" t="n"/>
      <c r="AD221" s="307" t="n"/>
      <c r="AE221" s="307" t="n"/>
      <c r="AF221" s="307" t="n"/>
      <c r="AG221" s="307" t="n"/>
      <c r="AH221" s="307" t="n"/>
      <c r="AI221" s="307" t="n"/>
      <c r="AJ221" s="307" t="n"/>
      <c r="AK221" s="307" t="n"/>
      <c r="AL221" s="307" t="n"/>
      <c r="AM221" s="307" t="n"/>
      <c r="AN221" s="307" t="n"/>
      <c r="AO221" s="307" t="n"/>
      <c r="AP221" s="307" t="n"/>
      <c r="AQ221" s="307" t="n"/>
      <c r="AR221" s="307" t="n"/>
      <c r="AS221" s="307" t="n"/>
      <c r="AT221" s="307" t="n"/>
      <c r="AU221" s="307" t="n"/>
      <c r="AV221" s="307" t="n"/>
      <c r="AW221" s="307" t="n"/>
      <c r="AX221" s="307" t="n"/>
      <c r="AY221" s="307" t="n"/>
      <c r="AZ221" s="307" t="n"/>
      <c r="BA221" s="307" t="n"/>
      <c r="BB221" s="307" t="n"/>
      <c r="BC221" s="307" t="n"/>
      <c r="BD221" s="307" t="n"/>
      <c r="BE221" s="307" t="n"/>
      <c r="BF221" s="307" t="n"/>
      <c r="BG221" s="31" t="n"/>
      <c r="BH221" s="31" t="n"/>
      <c r="BI221" s="31" t="n"/>
      <c r="BJ221" s="31" t="n"/>
    </row>
    <row r="222" ht="15.75" customHeight="1" s="349">
      <c r="A222" s="307" t="n"/>
      <c r="B222" s="307" t="n"/>
      <c r="C222" s="307" t="n"/>
      <c r="D222" s="307" t="n"/>
      <c r="E222" s="307" t="n"/>
      <c r="F222" s="307" t="n"/>
      <c r="G222" s="307" t="n"/>
      <c r="H222" s="307" t="n"/>
      <c r="I222" s="307" t="n"/>
      <c r="J222" s="307" t="n"/>
      <c r="K222" s="307" t="n"/>
      <c r="L222" s="307" t="n"/>
      <c r="M222" s="307" t="n"/>
      <c r="N222" s="307" t="n"/>
      <c r="O222" s="307" t="n"/>
      <c r="P222" s="307" t="n"/>
      <c r="Q222" s="307" t="n"/>
      <c r="R222" s="307" t="n"/>
      <c r="S222" s="307" t="n"/>
      <c r="T222" s="307" t="n"/>
      <c r="U222" s="307" t="n"/>
      <c r="V222" s="307" t="n"/>
      <c r="W222" s="307" t="n"/>
      <c r="X222" s="307" t="n"/>
      <c r="Y222" s="307" t="n"/>
      <c r="Z222" s="307" t="n"/>
      <c r="AA222" s="307" t="n"/>
      <c r="AB222" s="307" t="n"/>
      <c r="AC222" s="307" t="n"/>
      <c r="AD222" s="307" t="n"/>
      <c r="AE222" s="307" t="n"/>
      <c r="AF222" s="307" t="n"/>
      <c r="AG222" s="307" t="n"/>
      <c r="AH222" s="307" t="n"/>
      <c r="AI222" s="307" t="n"/>
      <c r="AJ222" s="307" t="n"/>
      <c r="AK222" s="307" t="n"/>
      <c r="AL222" s="307" t="n"/>
      <c r="AM222" s="307" t="n"/>
      <c r="AN222" s="307" t="n"/>
      <c r="AO222" s="307" t="n"/>
      <c r="AP222" s="307" t="n"/>
      <c r="AQ222" s="307" t="n"/>
      <c r="AR222" s="307" t="n"/>
      <c r="AS222" s="307" t="n"/>
      <c r="AT222" s="307" t="n"/>
      <c r="AU222" s="307" t="n"/>
      <c r="AV222" s="307" t="n"/>
      <c r="AW222" s="307" t="n"/>
      <c r="AX222" s="307" t="n"/>
      <c r="AY222" s="307" t="n"/>
      <c r="AZ222" s="307" t="n"/>
      <c r="BA222" s="307" t="n"/>
      <c r="BB222" s="307" t="n"/>
      <c r="BC222" s="307" t="n"/>
      <c r="BD222" s="307" t="n"/>
      <c r="BE222" s="307" t="n"/>
      <c r="BF222" s="307" t="n"/>
      <c r="BG222" s="31" t="n"/>
      <c r="BH222" s="31" t="n"/>
      <c r="BI222" s="31" t="n"/>
      <c r="BJ222" s="31" t="n"/>
    </row>
    <row r="223" ht="15.75" customHeight="1" s="349">
      <c r="A223" s="307" t="n"/>
      <c r="B223" s="307" t="n"/>
      <c r="C223" s="307" t="n"/>
      <c r="D223" s="307" t="n"/>
      <c r="E223" s="307" t="n"/>
      <c r="F223" s="307" t="n"/>
      <c r="G223" s="307" t="n"/>
      <c r="H223" s="307" t="n"/>
      <c r="I223" s="307" t="n"/>
      <c r="J223" s="307" t="n"/>
      <c r="K223" s="307" t="n"/>
      <c r="L223" s="307" t="n"/>
      <c r="M223" s="307" t="n"/>
      <c r="N223" s="307" t="n"/>
      <c r="O223" s="307" t="n"/>
      <c r="P223" s="307" t="n"/>
      <c r="Q223" s="307" t="n"/>
      <c r="R223" s="307" t="n"/>
      <c r="S223" s="307" t="n"/>
      <c r="T223" s="307" t="n"/>
      <c r="U223" s="307" t="n"/>
      <c r="V223" s="307" t="n"/>
      <c r="W223" s="307" t="n"/>
      <c r="X223" s="307" t="n"/>
      <c r="Y223" s="307" t="n"/>
      <c r="Z223" s="307" t="n"/>
      <c r="AA223" s="307" t="n"/>
      <c r="AB223" s="307" t="n"/>
      <c r="AC223" s="307" t="n"/>
      <c r="AD223" s="307" t="n"/>
      <c r="AE223" s="307" t="n"/>
      <c r="AF223" s="307" t="n"/>
      <c r="AG223" s="307" t="n"/>
      <c r="AH223" s="307" t="n"/>
      <c r="AI223" s="307" t="n"/>
      <c r="AJ223" s="307" t="n"/>
      <c r="AK223" s="307" t="n"/>
      <c r="AL223" s="307" t="n"/>
      <c r="AM223" s="307" t="n"/>
      <c r="AN223" s="307" t="n"/>
      <c r="AO223" s="307" t="n"/>
      <c r="AP223" s="307" t="n"/>
      <c r="AQ223" s="307" t="n"/>
      <c r="AR223" s="307" t="n"/>
      <c r="AS223" s="307" t="n"/>
      <c r="AT223" s="307" t="n"/>
      <c r="AU223" s="307" t="n"/>
      <c r="AV223" s="307" t="n"/>
      <c r="AW223" s="307" t="n"/>
      <c r="AX223" s="307" t="n"/>
      <c r="AY223" s="307" t="n"/>
      <c r="AZ223" s="307" t="n"/>
      <c r="BA223" s="307" t="n"/>
      <c r="BB223" s="307" t="n"/>
      <c r="BC223" s="307" t="n"/>
      <c r="BD223" s="307" t="n"/>
      <c r="BE223" s="307" t="n"/>
      <c r="BF223" s="307" t="n"/>
      <c r="BG223" s="31" t="n"/>
      <c r="BH223" s="31" t="n"/>
      <c r="BI223" s="31" t="n"/>
      <c r="BJ223" s="31" t="n"/>
    </row>
    <row r="224" ht="15.75" customHeight="1" s="349">
      <c r="A224" s="307" t="n"/>
      <c r="B224" s="307" t="n"/>
      <c r="C224" s="307" t="n"/>
      <c r="D224" s="307" t="n"/>
      <c r="E224" s="307" t="n"/>
      <c r="F224" s="307" t="n"/>
      <c r="G224" s="307" t="n"/>
      <c r="H224" s="307" t="n"/>
      <c r="I224" s="307" t="n"/>
      <c r="J224" s="307" t="n"/>
      <c r="K224" s="307" t="n"/>
      <c r="L224" s="307" t="n"/>
      <c r="M224" s="307" t="n"/>
      <c r="N224" s="307" t="n"/>
      <c r="O224" s="307" t="n"/>
      <c r="P224" s="307" t="n"/>
      <c r="Q224" s="307" t="n"/>
      <c r="R224" s="307" t="n"/>
      <c r="S224" s="307" t="n"/>
      <c r="T224" s="307" t="n"/>
      <c r="U224" s="307" t="n"/>
      <c r="V224" s="307" t="n"/>
      <c r="W224" s="307" t="n"/>
      <c r="X224" s="307" t="n"/>
      <c r="Y224" s="307" t="n"/>
      <c r="Z224" s="307" t="n"/>
      <c r="AA224" s="307" t="n"/>
      <c r="AB224" s="307" t="n"/>
      <c r="AC224" s="307" t="n"/>
      <c r="AD224" s="307" t="n"/>
      <c r="AE224" s="307" t="n"/>
      <c r="AF224" s="307" t="n"/>
      <c r="AG224" s="307" t="n"/>
      <c r="AH224" s="307" t="n"/>
      <c r="AI224" s="307" t="n"/>
      <c r="AJ224" s="307" t="n"/>
      <c r="AK224" s="307" t="n"/>
      <c r="AL224" s="307" t="n"/>
      <c r="AM224" s="307" t="n"/>
      <c r="AN224" s="307" t="n"/>
      <c r="AO224" s="307" t="n"/>
      <c r="AP224" s="307" t="n"/>
      <c r="AQ224" s="307" t="n"/>
      <c r="AR224" s="307" t="n"/>
      <c r="AS224" s="307" t="n"/>
      <c r="AT224" s="307" t="n"/>
      <c r="AU224" s="307" t="n"/>
      <c r="AV224" s="307" t="n"/>
      <c r="AW224" s="307" t="n"/>
      <c r="AX224" s="307" t="n"/>
      <c r="AY224" s="307" t="n"/>
      <c r="AZ224" s="307" t="n"/>
      <c r="BA224" s="307" t="n"/>
      <c r="BB224" s="307" t="n"/>
      <c r="BC224" s="307" t="n"/>
      <c r="BD224" s="307" t="n"/>
      <c r="BE224" s="307" t="n"/>
      <c r="BF224" s="307" t="n"/>
      <c r="BG224" s="31" t="n"/>
      <c r="BH224" s="31" t="n"/>
      <c r="BI224" s="31" t="n"/>
      <c r="BJ224" s="31" t="n"/>
    </row>
    <row r="225" ht="15.75" customHeight="1" s="349">
      <c r="A225" s="307" t="n"/>
      <c r="B225" s="307" t="n"/>
      <c r="C225" s="307" t="n"/>
      <c r="D225" s="307" t="n"/>
      <c r="E225" s="307" t="n"/>
      <c r="F225" s="307" t="n"/>
      <c r="G225" s="307" t="n"/>
      <c r="H225" s="307" t="n"/>
      <c r="I225" s="307" t="n"/>
      <c r="J225" s="307" t="n"/>
      <c r="K225" s="307" t="n"/>
      <c r="L225" s="307" t="n"/>
      <c r="M225" s="307" t="n"/>
      <c r="N225" s="307" t="n"/>
      <c r="O225" s="307" t="n"/>
      <c r="P225" s="307" t="n"/>
      <c r="Q225" s="307" t="n"/>
      <c r="R225" s="307" t="n"/>
      <c r="S225" s="307" t="n"/>
      <c r="T225" s="307" t="n"/>
      <c r="U225" s="307" t="n"/>
      <c r="V225" s="307" t="n"/>
      <c r="W225" s="307" t="n"/>
      <c r="X225" s="307" t="n"/>
      <c r="Y225" s="307" t="n"/>
      <c r="Z225" s="307" t="n"/>
      <c r="AA225" s="307" t="n"/>
      <c r="AB225" s="307" t="n"/>
      <c r="AC225" s="307" t="n"/>
      <c r="AD225" s="307" t="n"/>
      <c r="AE225" s="307" t="n"/>
      <c r="AF225" s="307" t="n"/>
      <c r="AG225" s="307" t="n"/>
      <c r="AH225" s="307" t="n"/>
      <c r="AI225" s="307" t="n"/>
      <c r="AJ225" s="307" t="n"/>
      <c r="AK225" s="307" t="n"/>
      <c r="AL225" s="307" t="n"/>
      <c r="AM225" s="307" t="n"/>
      <c r="AN225" s="307" t="n"/>
      <c r="AO225" s="307" t="n"/>
      <c r="AP225" s="307" t="n"/>
      <c r="AQ225" s="307" t="n"/>
      <c r="AR225" s="307" t="n"/>
      <c r="AS225" s="307" t="n"/>
      <c r="AT225" s="307" t="n"/>
      <c r="AU225" s="307" t="n"/>
      <c r="AV225" s="307" t="n"/>
      <c r="AW225" s="307" t="n"/>
      <c r="AX225" s="307" t="n"/>
      <c r="AY225" s="307" t="n"/>
      <c r="AZ225" s="307" t="n"/>
      <c r="BA225" s="307" t="n"/>
      <c r="BB225" s="307" t="n"/>
      <c r="BC225" s="307" t="n"/>
      <c r="BD225" s="307" t="n"/>
      <c r="BE225" s="307" t="n"/>
      <c r="BF225" s="307" t="n"/>
      <c r="BG225" s="31" t="n"/>
      <c r="BH225" s="31" t="n"/>
      <c r="BI225" s="31" t="n"/>
      <c r="BJ225" s="31" t="n"/>
    </row>
    <row r="226" ht="15.75" customHeight="1" s="349">
      <c r="A226" s="307" t="n"/>
      <c r="B226" s="307" t="n"/>
      <c r="C226" s="307" t="n"/>
      <c r="D226" s="307" t="n"/>
      <c r="E226" s="307" t="n"/>
      <c r="F226" s="307" t="n"/>
      <c r="G226" s="307" t="n"/>
      <c r="H226" s="307" t="n"/>
      <c r="I226" s="307" t="n"/>
      <c r="J226" s="307" t="n"/>
      <c r="K226" s="307" t="n"/>
      <c r="L226" s="307" t="n"/>
      <c r="M226" s="307" t="n"/>
      <c r="N226" s="307" t="n"/>
      <c r="O226" s="307" t="n"/>
      <c r="P226" s="307" t="n"/>
      <c r="Q226" s="307" t="n"/>
      <c r="R226" s="307" t="n"/>
      <c r="S226" s="307" t="n"/>
      <c r="T226" s="307" t="n"/>
      <c r="U226" s="307" t="n"/>
      <c r="V226" s="307" t="n"/>
      <c r="W226" s="307" t="n"/>
      <c r="X226" s="307" t="n"/>
      <c r="Y226" s="307" t="n"/>
      <c r="Z226" s="307" t="n"/>
      <c r="AA226" s="307" t="n"/>
      <c r="AB226" s="307" t="n"/>
      <c r="AC226" s="307" t="n"/>
      <c r="AD226" s="307" t="n"/>
      <c r="AE226" s="307" t="n"/>
      <c r="AF226" s="307" t="n"/>
      <c r="AG226" s="307" t="n"/>
      <c r="AH226" s="307" t="n"/>
      <c r="AI226" s="307" t="n"/>
      <c r="AJ226" s="307" t="n"/>
      <c r="AK226" s="307" t="n"/>
      <c r="AL226" s="307" t="n"/>
      <c r="AM226" s="307" t="n"/>
      <c r="AN226" s="307" t="n"/>
      <c r="AO226" s="307" t="n"/>
      <c r="AP226" s="307" t="n"/>
      <c r="AQ226" s="307" t="n"/>
      <c r="AR226" s="307" t="n"/>
      <c r="AS226" s="307" t="n"/>
      <c r="AT226" s="307" t="n"/>
      <c r="AU226" s="307" t="n"/>
      <c r="AV226" s="307" t="n"/>
      <c r="AW226" s="307" t="n"/>
      <c r="AX226" s="307" t="n"/>
      <c r="AY226" s="307" t="n"/>
      <c r="AZ226" s="307" t="n"/>
      <c r="BA226" s="307" t="n"/>
      <c r="BB226" s="307" t="n"/>
      <c r="BC226" s="307" t="n"/>
      <c r="BD226" s="307" t="n"/>
      <c r="BE226" s="307" t="n"/>
      <c r="BF226" s="307" t="n"/>
      <c r="BG226" s="31" t="n"/>
      <c r="BH226" s="31" t="n"/>
      <c r="BI226" s="31" t="n"/>
      <c r="BJ226" s="31" t="n"/>
    </row>
    <row r="227" ht="15.75" customHeight="1" s="349">
      <c r="A227" s="307" t="n"/>
      <c r="B227" s="307" t="n"/>
      <c r="C227" s="307" t="n"/>
      <c r="D227" s="307" t="n"/>
      <c r="E227" s="307" t="n"/>
      <c r="F227" s="307" t="n"/>
      <c r="G227" s="307" t="n"/>
      <c r="H227" s="307" t="n"/>
      <c r="I227" s="307" t="n"/>
      <c r="J227" s="307" t="n"/>
      <c r="K227" s="307" t="n"/>
      <c r="L227" s="307" t="n"/>
      <c r="M227" s="307" t="n"/>
      <c r="N227" s="307" t="n"/>
      <c r="O227" s="307" t="n"/>
      <c r="P227" s="307" t="n"/>
      <c r="Q227" s="307" t="n"/>
      <c r="R227" s="307" t="n"/>
      <c r="S227" s="307" t="n"/>
      <c r="T227" s="307" t="n"/>
      <c r="U227" s="307" t="n"/>
      <c r="V227" s="307" t="n"/>
      <c r="W227" s="307" t="n"/>
      <c r="X227" s="307" t="n"/>
      <c r="Y227" s="307" t="n"/>
      <c r="Z227" s="307" t="n"/>
      <c r="AA227" s="307" t="n"/>
      <c r="AB227" s="307" t="n"/>
      <c r="AC227" s="307" t="n"/>
      <c r="AD227" s="307" t="n"/>
      <c r="AE227" s="307" t="n"/>
      <c r="AF227" s="307" t="n"/>
      <c r="AG227" s="307" t="n"/>
      <c r="AH227" s="307" t="n"/>
      <c r="AI227" s="307" t="n"/>
      <c r="AJ227" s="307" t="n"/>
      <c r="AK227" s="307" t="n"/>
      <c r="AL227" s="307" t="n"/>
      <c r="AM227" s="307" t="n"/>
      <c r="AN227" s="307" t="n"/>
      <c r="AO227" s="307" t="n"/>
      <c r="AP227" s="307" t="n"/>
      <c r="AQ227" s="307" t="n"/>
      <c r="AR227" s="307" t="n"/>
      <c r="AS227" s="307" t="n"/>
      <c r="AT227" s="307" t="n"/>
      <c r="AU227" s="307" t="n"/>
      <c r="AV227" s="307" t="n"/>
      <c r="AW227" s="307" t="n"/>
      <c r="AX227" s="307" t="n"/>
      <c r="AY227" s="307" t="n"/>
      <c r="AZ227" s="307" t="n"/>
      <c r="BA227" s="307" t="n"/>
      <c r="BB227" s="307" t="n"/>
      <c r="BC227" s="307" t="n"/>
      <c r="BD227" s="307" t="n"/>
      <c r="BE227" s="307" t="n"/>
      <c r="BF227" s="307" t="n"/>
      <c r="BG227" s="31" t="n"/>
      <c r="BH227" s="31" t="n"/>
      <c r="BI227" s="31" t="n"/>
      <c r="BJ227" s="31" t="n"/>
    </row>
    <row r="228" ht="15.75" customHeight="1" s="349">
      <c r="A228" s="307" t="n"/>
      <c r="B228" s="307" t="n"/>
      <c r="C228" s="307" t="n"/>
      <c r="D228" s="307" t="n"/>
      <c r="E228" s="307" t="n"/>
      <c r="F228" s="307" t="n"/>
      <c r="G228" s="307" t="n"/>
      <c r="H228" s="307" t="n"/>
      <c r="I228" s="307" t="n"/>
      <c r="J228" s="307" t="n"/>
      <c r="K228" s="307" t="n"/>
      <c r="L228" s="307" t="n"/>
      <c r="M228" s="307" t="n"/>
      <c r="N228" s="307" t="n"/>
      <c r="O228" s="307" t="n"/>
      <c r="P228" s="307" t="n"/>
      <c r="Q228" s="307" t="n"/>
      <c r="R228" s="307" t="n"/>
      <c r="S228" s="307" t="n"/>
      <c r="T228" s="307" t="n"/>
      <c r="U228" s="307" t="n"/>
      <c r="V228" s="307" t="n"/>
      <c r="W228" s="307" t="n"/>
      <c r="X228" s="307" t="n"/>
      <c r="Y228" s="307" t="n"/>
      <c r="Z228" s="307" t="n"/>
      <c r="AA228" s="307" t="n"/>
      <c r="AB228" s="307" t="n"/>
      <c r="AC228" s="307" t="n"/>
      <c r="AD228" s="307" t="n"/>
      <c r="AE228" s="307" t="n"/>
      <c r="AF228" s="307" t="n"/>
      <c r="AG228" s="307" t="n"/>
      <c r="AH228" s="307" t="n"/>
      <c r="AI228" s="307" t="n"/>
      <c r="AJ228" s="307" t="n"/>
      <c r="AK228" s="307" t="n"/>
      <c r="AL228" s="307" t="n"/>
      <c r="AM228" s="307" t="n"/>
      <c r="AN228" s="307" t="n"/>
      <c r="AO228" s="307" t="n"/>
      <c r="AP228" s="307" t="n"/>
      <c r="AQ228" s="307" t="n"/>
      <c r="AR228" s="307" t="n"/>
      <c r="AS228" s="307" t="n"/>
      <c r="AT228" s="307" t="n"/>
      <c r="AU228" s="307" t="n"/>
      <c r="AV228" s="307" t="n"/>
      <c r="AW228" s="307" t="n"/>
      <c r="AX228" s="307" t="n"/>
      <c r="AY228" s="307" t="n"/>
      <c r="AZ228" s="307" t="n"/>
      <c r="BA228" s="307" t="n"/>
      <c r="BB228" s="307" t="n"/>
      <c r="BC228" s="307" t="n"/>
      <c r="BD228" s="307" t="n"/>
      <c r="BE228" s="307" t="n"/>
      <c r="BF228" s="307" t="n"/>
      <c r="BG228" s="31" t="n"/>
      <c r="BH228" s="31" t="n"/>
      <c r="BI228" s="31" t="n"/>
      <c r="BJ228" s="31" t="n"/>
    </row>
    <row r="229" ht="15.75" customHeight="1" s="349">
      <c r="A229" s="307" t="n"/>
      <c r="B229" s="307" t="n"/>
      <c r="C229" s="307" t="n"/>
      <c r="D229" s="307" t="n"/>
      <c r="E229" s="307" t="n"/>
      <c r="F229" s="307" t="n"/>
      <c r="G229" s="307" t="n"/>
      <c r="H229" s="307" t="n"/>
      <c r="I229" s="307" t="n"/>
      <c r="J229" s="307" t="n"/>
      <c r="K229" s="307" t="n"/>
      <c r="L229" s="307" t="n"/>
      <c r="M229" s="307" t="n"/>
      <c r="N229" s="307" t="n"/>
      <c r="O229" s="307" t="n"/>
      <c r="P229" s="307" t="n"/>
      <c r="Q229" s="307" t="n"/>
      <c r="R229" s="307" t="n"/>
      <c r="S229" s="307" t="n"/>
      <c r="T229" s="307" t="n"/>
      <c r="U229" s="307" t="n"/>
      <c r="V229" s="307" t="n"/>
      <c r="W229" s="307" t="n"/>
      <c r="X229" s="307" t="n"/>
      <c r="Y229" s="307" t="n"/>
      <c r="Z229" s="307" t="n"/>
      <c r="AA229" s="307" t="n"/>
      <c r="AB229" s="307" t="n"/>
      <c r="AC229" s="307" t="n"/>
      <c r="AD229" s="307" t="n"/>
      <c r="AE229" s="307" t="n"/>
      <c r="AF229" s="307" t="n"/>
      <c r="AG229" s="307" t="n"/>
      <c r="AH229" s="307" t="n"/>
      <c r="AI229" s="307" t="n"/>
      <c r="AJ229" s="307" t="n"/>
      <c r="AK229" s="307" t="n"/>
      <c r="AL229" s="307" t="n"/>
      <c r="AM229" s="307" t="n"/>
      <c r="AN229" s="307" t="n"/>
      <c r="AO229" s="307" t="n"/>
      <c r="AP229" s="307" t="n"/>
      <c r="AQ229" s="307" t="n"/>
      <c r="AR229" s="307" t="n"/>
      <c r="AS229" s="307" t="n"/>
      <c r="AT229" s="307" t="n"/>
      <c r="AU229" s="307" t="n"/>
      <c r="AV229" s="307" t="n"/>
      <c r="AW229" s="307" t="n"/>
      <c r="AX229" s="307" t="n"/>
      <c r="AY229" s="307" t="n"/>
      <c r="AZ229" s="307" t="n"/>
      <c r="BA229" s="307" t="n"/>
      <c r="BB229" s="307" t="n"/>
      <c r="BC229" s="307" t="n"/>
      <c r="BD229" s="307" t="n"/>
      <c r="BE229" s="307" t="n"/>
      <c r="BF229" s="307" t="n"/>
      <c r="BG229" s="31" t="n"/>
      <c r="BH229" s="31" t="n"/>
      <c r="BI229" s="31" t="n"/>
      <c r="BJ229" s="31" t="n"/>
    </row>
    <row r="230" ht="15.75" customHeight="1" s="349">
      <c r="A230" s="307" t="n"/>
      <c r="B230" s="307" t="n"/>
      <c r="C230" s="307" t="n"/>
      <c r="D230" s="307" t="n"/>
      <c r="E230" s="307" t="n"/>
      <c r="F230" s="307" t="n"/>
      <c r="G230" s="307" t="n"/>
      <c r="H230" s="307" t="n"/>
      <c r="I230" s="307" t="n"/>
      <c r="J230" s="307" t="n"/>
      <c r="K230" s="307" t="n"/>
      <c r="L230" s="307" t="n"/>
      <c r="M230" s="307" t="n"/>
      <c r="N230" s="307" t="n"/>
      <c r="O230" s="307" t="n"/>
      <c r="P230" s="307" t="n"/>
      <c r="Q230" s="307" t="n"/>
      <c r="R230" s="307" t="n"/>
      <c r="S230" s="307" t="n"/>
      <c r="T230" s="307" t="n"/>
      <c r="U230" s="307" t="n"/>
      <c r="V230" s="307" t="n"/>
      <c r="W230" s="307" t="n"/>
      <c r="X230" s="307" t="n"/>
      <c r="Y230" s="307" t="n"/>
      <c r="Z230" s="307" t="n"/>
      <c r="AA230" s="307" t="n"/>
      <c r="AB230" s="307" t="n"/>
      <c r="AC230" s="307" t="n"/>
      <c r="AD230" s="307" t="n"/>
      <c r="AE230" s="307" t="n"/>
      <c r="AF230" s="307" t="n"/>
      <c r="AG230" s="307" t="n"/>
      <c r="AH230" s="307" t="n"/>
      <c r="AI230" s="307" t="n"/>
      <c r="AJ230" s="307" t="n"/>
      <c r="AK230" s="307" t="n"/>
      <c r="AL230" s="307" t="n"/>
      <c r="AM230" s="307" t="n"/>
      <c r="AN230" s="307" t="n"/>
      <c r="AO230" s="307" t="n"/>
      <c r="AP230" s="307" t="n"/>
      <c r="AQ230" s="307" t="n"/>
      <c r="AR230" s="307" t="n"/>
      <c r="AS230" s="307" t="n"/>
      <c r="AT230" s="307" t="n"/>
      <c r="AU230" s="307" t="n"/>
      <c r="AV230" s="307" t="n"/>
      <c r="AW230" s="307" t="n"/>
      <c r="AX230" s="307" t="n"/>
      <c r="AY230" s="307" t="n"/>
      <c r="AZ230" s="307" t="n"/>
      <c r="BA230" s="307" t="n"/>
      <c r="BB230" s="307" t="n"/>
      <c r="BC230" s="307" t="n"/>
      <c r="BD230" s="307" t="n"/>
      <c r="BE230" s="307" t="n"/>
      <c r="BF230" s="307" t="n"/>
      <c r="BG230" s="31" t="n"/>
      <c r="BH230" s="31" t="n"/>
      <c r="BI230" s="31" t="n"/>
      <c r="BJ230" s="31" t="n"/>
    </row>
    <row r="231" ht="15.75" customHeight="1" s="349">
      <c r="A231" s="307" t="n"/>
      <c r="B231" s="307" t="n"/>
      <c r="C231" s="307" t="n"/>
      <c r="D231" s="307" t="n"/>
      <c r="E231" s="307" t="n"/>
      <c r="F231" s="307" t="n"/>
      <c r="G231" s="307" t="n"/>
      <c r="H231" s="307" t="n"/>
      <c r="I231" s="307" t="n"/>
      <c r="J231" s="307" t="n"/>
      <c r="K231" s="307" t="n"/>
      <c r="L231" s="307" t="n"/>
      <c r="M231" s="307" t="n"/>
      <c r="N231" s="307" t="n"/>
      <c r="O231" s="307" t="n"/>
      <c r="P231" s="307" t="n"/>
      <c r="Q231" s="307" t="n"/>
      <c r="R231" s="307" t="n"/>
      <c r="S231" s="307" t="n"/>
      <c r="T231" s="307" t="n"/>
      <c r="U231" s="307" t="n"/>
      <c r="V231" s="307" t="n"/>
      <c r="W231" s="307" t="n"/>
      <c r="X231" s="307" t="n"/>
      <c r="Y231" s="307" t="n"/>
      <c r="Z231" s="307" t="n"/>
      <c r="AA231" s="307" t="n"/>
      <c r="AB231" s="307" t="n"/>
      <c r="AC231" s="307" t="n"/>
      <c r="AD231" s="307" t="n"/>
      <c r="AE231" s="307" t="n"/>
      <c r="AF231" s="307" t="n"/>
      <c r="AG231" s="307" t="n"/>
      <c r="AH231" s="307" t="n"/>
      <c r="AI231" s="307" t="n"/>
      <c r="AJ231" s="307" t="n"/>
      <c r="AK231" s="307" t="n"/>
      <c r="AL231" s="307" t="n"/>
      <c r="AM231" s="307" t="n"/>
      <c r="AN231" s="307" t="n"/>
      <c r="AO231" s="307" t="n"/>
      <c r="AP231" s="307" t="n"/>
      <c r="AQ231" s="307" t="n"/>
      <c r="AR231" s="307" t="n"/>
      <c r="AS231" s="307" t="n"/>
      <c r="AT231" s="307" t="n"/>
      <c r="AU231" s="307" t="n"/>
      <c r="AV231" s="307" t="n"/>
      <c r="AW231" s="307" t="n"/>
      <c r="AX231" s="307" t="n"/>
      <c r="AY231" s="307" t="n"/>
      <c r="AZ231" s="307" t="n"/>
      <c r="BA231" s="307" t="n"/>
      <c r="BB231" s="307" t="n"/>
      <c r="BC231" s="307" t="n"/>
      <c r="BD231" s="307" t="n"/>
      <c r="BE231" s="307" t="n"/>
      <c r="BF231" s="307" t="n"/>
      <c r="BG231" s="31" t="n"/>
      <c r="BH231" s="31" t="n"/>
      <c r="BI231" s="31" t="n"/>
      <c r="BJ231" s="31" t="n"/>
    </row>
    <row r="232" ht="15.75" customHeight="1" s="349">
      <c r="A232" s="307" t="n"/>
      <c r="B232" s="307" t="n"/>
      <c r="C232" s="307" t="n"/>
      <c r="D232" s="307" t="n"/>
      <c r="E232" s="307" t="n"/>
      <c r="F232" s="307" t="n"/>
      <c r="G232" s="307" t="n"/>
      <c r="H232" s="307" t="n"/>
      <c r="I232" s="307" t="n"/>
      <c r="J232" s="307" t="n"/>
      <c r="K232" s="307" t="n"/>
      <c r="L232" s="307" t="n"/>
      <c r="M232" s="307" t="n"/>
      <c r="N232" s="307" t="n"/>
      <c r="O232" s="307" t="n"/>
      <c r="P232" s="307" t="n"/>
      <c r="Q232" s="307" t="n"/>
      <c r="R232" s="307" t="n"/>
      <c r="S232" s="307" t="n"/>
      <c r="T232" s="307" t="n"/>
      <c r="U232" s="307" t="n"/>
      <c r="V232" s="307" t="n"/>
      <c r="W232" s="307" t="n"/>
      <c r="X232" s="307" t="n"/>
      <c r="Y232" s="307" t="n"/>
      <c r="Z232" s="307" t="n"/>
      <c r="AA232" s="307" t="n"/>
      <c r="AB232" s="307" t="n"/>
      <c r="AC232" s="307" t="n"/>
      <c r="AD232" s="307" t="n"/>
      <c r="AE232" s="307" t="n"/>
      <c r="AF232" s="307" t="n"/>
      <c r="AG232" s="307" t="n"/>
      <c r="AH232" s="307" t="n"/>
      <c r="AI232" s="307" t="n"/>
      <c r="AJ232" s="307" t="n"/>
      <c r="AK232" s="307" t="n"/>
      <c r="AL232" s="307" t="n"/>
      <c r="AM232" s="307" t="n"/>
      <c r="AN232" s="307" t="n"/>
      <c r="AO232" s="307" t="n"/>
      <c r="AP232" s="307" t="n"/>
      <c r="AQ232" s="307" t="n"/>
      <c r="AR232" s="307" t="n"/>
      <c r="AS232" s="307" t="n"/>
      <c r="AT232" s="307" t="n"/>
      <c r="AU232" s="307" t="n"/>
      <c r="AV232" s="307" t="n"/>
      <c r="AW232" s="307" t="n"/>
      <c r="AX232" s="307" t="n"/>
      <c r="AY232" s="307" t="n"/>
      <c r="AZ232" s="307" t="n"/>
      <c r="BA232" s="307" t="n"/>
      <c r="BB232" s="307" t="n"/>
      <c r="BC232" s="307" t="n"/>
      <c r="BD232" s="307" t="n"/>
      <c r="BE232" s="307" t="n"/>
      <c r="BF232" s="307" t="n"/>
      <c r="BG232" s="31" t="n"/>
      <c r="BH232" s="31" t="n"/>
      <c r="BI232" s="31" t="n"/>
      <c r="BJ232" s="31" t="n"/>
    </row>
    <row r="233" ht="15.75" customHeight="1" s="349">
      <c r="A233" s="307" t="n"/>
      <c r="B233" s="307" t="n"/>
      <c r="C233" s="307" t="n"/>
      <c r="D233" s="307" t="n"/>
      <c r="E233" s="307" t="n"/>
      <c r="F233" s="307" t="n"/>
      <c r="G233" s="307" t="n"/>
      <c r="H233" s="307" t="n"/>
      <c r="I233" s="307" t="n"/>
      <c r="J233" s="307" t="n"/>
      <c r="K233" s="307" t="n"/>
      <c r="L233" s="307" t="n"/>
      <c r="M233" s="307" t="n"/>
      <c r="N233" s="307" t="n"/>
      <c r="O233" s="307" t="n"/>
      <c r="P233" s="307" t="n"/>
      <c r="Q233" s="307" t="n"/>
      <c r="R233" s="307" t="n"/>
      <c r="S233" s="307" t="n"/>
      <c r="T233" s="307" t="n"/>
      <c r="U233" s="307" t="n"/>
      <c r="V233" s="307" t="n"/>
      <c r="W233" s="307" t="n"/>
      <c r="X233" s="307" t="n"/>
      <c r="Y233" s="307" t="n"/>
      <c r="Z233" s="307" t="n"/>
      <c r="AA233" s="307" t="n"/>
      <c r="AB233" s="307" t="n"/>
      <c r="AC233" s="307" t="n"/>
      <c r="AD233" s="307" t="n"/>
      <c r="AE233" s="307" t="n"/>
      <c r="AF233" s="307" t="n"/>
      <c r="AG233" s="307" t="n"/>
      <c r="AH233" s="307" t="n"/>
      <c r="AI233" s="307" t="n"/>
      <c r="AJ233" s="307" t="n"/>
      <c r="AK233" s="307" t="n"/>
      <c r="AL233" s="307" t="n"/>
      <c r="AM233" s="307" t="n"/>
      <c r="AN233" s="307" t="n"/>
      <c r="AO233" s="307" t="n"/>
      <c r="AP233" s="307" t="n"/>
      <c r="AQ233" s="307" t="n"/>
      <c r="AR233" s="307" t="n"/>
      <c r="AS233" s="307" t="n"/>
      <c r="AT233" s="307" t="n"/>
      <c r="AU233" s="307" t="n"/>
      <c r="AV233" s="307" t="n"/>
      <c r="AW233" s="307" t="n"/>
      <c r="AX233" s="307" t="n"/>
      <c r="AY233" s="307" t="n"/>
      <c r="AZ233" s="307" t="n"/>
      <c r="BA233" s="307" t="n"/>
      <c r="BB233" s="307" t="n"/>
      <c r="BC233" s="307" t="n"/>
      <c r="BD233" s="307" t="n"/>
      <c r="BE233" s="307" t="n"/>
      <c r="BF233" s="307" t="n"/>
      <c r="BG233" s="31" t="n"/>
      <c r="BH233" s="31" t="n"/>
      <c r="BI233" s="31" t="n"/>
      <c r="BJ233" s="31" t="n"/>
    </row>
    <row r="234" ht="15.75" customHeight="1" s="349">
      <c r="A234" s="307" t="n"/>
      <c r="B234" s="307" t="n"/>
      <c r="C234" s="307" t="n"/>
      <c r="D234" s="307" t="n"/>
      <c r="E234" s="307" t="n"/>
      <c r="F234" s="307" t="n"/>
      <c r="G234" s="307" t="n"/>
      <c r="H234" s="307" t="n"/>
      <c r="I234" s="307" t="n"/>
      <c r="J234" s="307" t="n"/>
      <c r="K234" s="307" t="n"/>
      <c r="L234" s="307" t="n"/>
      <c r="M234" s="307" t="n"/>
      <c r="N234" s="307" t="n"/>
      <c r="O234" s="307" t="n"/>
      <c r="P234" s="307" t="n"/>
      <c r="Q234" s="307" t="n"/>
      <c r="R234" s="307" t="n"/>
      <c r="S234" s="307" t="n"/>
      <c r="T234" s="307" t="n"/>
      <c r="U234" s="307" t="n"/>
      <c r="V234" s="307" t="n"/>
      <c r="W234" s="307" t="n"/>
      <c r="X234" s="307" t="n"/>
      <c r="Y234" s="307" t="n"/>
      <c r="Z234" s="307" t="n"/>
      <c r="AA234" s="307" t="n"/>
      <c r="AB234" s="307" t="n"/>
      <c r="AC234" s="307" t="n"/>
      <c r="AD234" s="307" t="n"/>
      <c r="AE234" s="307" t="n"/>
      <c r="AF234" s="307" t="n"/>
      <c r="AG234" s="307" t="n"/>
      <c r="AH234" s="307" t="n"/>
      <c r="AI234" s="307" t="n"/>
      <c r="AJ234" s="307" t="n"/>
      <c r="AK234" s="307" t="n"/>
      <c r="AL234" s="307" t="n"/>
      <c r="AM234" s="307" t="n"/>
      <c r="AN234" s="307" t="n"/>
      <c r="AO234" s="307" t="n"/>
      <c r="AP234" s="307" t="n"/>
      <c r="AQ234" s="307" t="n"/>
      <c r="AR234" s="307" t="n"/>
      <c r="AS234" s="307" t="n"/>
      <c r="AT234" s="307" t="n"/>
      <c r="AU234" s="307" t="n"/>
      <c r="AV234" s="307" t="n"/>
      <c r="AW234" s="307" t="n"/>
      <c r="AX234" s="307" t="n"/>
      <c r="AY234" s="307" t="n"/>
      <c r="AZ234" s="307" t="n"/>
      <c r="BA234" s="307" t="n"/>
      <c r="BB234" s="307" t="n"/>
      <c r="BC234" s="307" t="n"/>
      <c r="BD234" s="307" t="n"/>
      <c r="BE234" s="307" t="n"/>
      <c r="BF234" s="307" t="n"/>
      <c r="BG234" s="31" t="n"/>
      <c r="BH234" s="31" t="n"/>
      <c r="BI234" s="31" t="n"/>
      <c r="BJ234" s="31" t="n"/>
    </row>
    <row r="235" ht="15.75" customHeight="1" s="349"/>
    <row r="236" ht="15.75" customHeight="1" s="349"/>
    <row r="237" ht="15.75" customHeight="1" s="349"/>
    <row r="238" ht="15.75" customHeight="1" s="349"/>
    <row r="239" ht="15.75" customHeight="1" s="349"/>
    <row r="240" ht="15.75" customHeight="1" s="349"/>
    <row r="241" ht="15.75" customHeight="1" s="349"/>
    <row r="242" ht="15.75" customHeight="1" s="349"/>
    <row r="243" ht="15.75" customHeight="1" s="349"/>
    <row r="244" ht="15.75" customHeight="1" s="349"/>
    <row r="245" ht="15.75" customHeight="1" s="349"/>
    <row r="246" ht="15.75" customHeight="1" s="349"/>
    <row r="247" ht="15.75" customHeight="1" s="349"/>
    <row r="248" ht="15.75" customHeight="1" s="349"/>
    <row r="249" ht="15.75" customHeight="1" s="349"/>
    <row r="250" ht="15.75" customHeight="1" s="349"/>
    <row r="251" ht="15.75" customHeight="1" s="349"/>
    <row r="252" ht="15.75" customHeight="1" s="349"/>
    <row r="253" ht="15.75" customHeight="1" s="349"/>
    <row r="254" ht="15.75" customHeight="1" s="349"/>
    <row r="255" ht="15.75" customHeight="1" s="349"/>
    <row r="256" ht="15.75" customHeight="1" s="349"/>
    <row r="257" ht="15.75" customHeight="1" s="349"/>
    <row r="258" ht="15.75" customHeight="1" s="349"/>
    <row r="259" ht="15.75" customHeight="1" s="349"/>
    <row r="260" ht="15.75" customHeight="1" s="349"/>
    <row r="261" ht="15.75" customHeight="1" s="349"/>
    <row r="262" ht="15.75" customHeight="1" s="349"/>
    <row r="263" ht="15.75" customHeight="1" s="349"/>
    <row r="264" ht="15.75" customHeight="1" s="349"/>
    <row r="265" ht="15.75" customHeight="1" s="349"/>
    <row r="266" ht="15.75" customHeight="1" s="349"/>
    <row r="267" ht="15.75" customHeight="1" s="349"/>
    <row r="268" ht="15.75" customHeight="1" s="349"/>
    <row r="269" ht="15.75" customHeight="1" s="349"/>
    <row r="270" ht="15.75" customHeight="1" s="349"/>
    <row r="271" ht="15.75" customHeight="1" s="349"/>
    <row r="272" ht="15.75" customHeight="1" s="349"/>
    <row r="273" ht="15.75" customHeight="1" s="349"/>
    <row r="274" ht="15.75" customHeight="1" s="349"/>
    <row r="275" ht="15.75" customHeight="1" s="349"/>
    <row r="276" ht="15.75" customHeight="1" s="349"/>
    <row r="277" ht="15.75" customHeight="1" s="349"/>
    <row r="278" ht="15.75" customHeight="1" s="349"/>
    <row r="279" ht="15.75" customHeight="1" s="349"/>
    <row r="280" ht="15.75" customHeight="1" s="349"/>
    <row r="281" ht="15.75" customHeight="1" s="349"/>
    <row r="282" ht="15.75" customHeight="1" s="349"/>
    <row r="283" ht="15.75" customHeight="1" s="349"/>
    <row r="284" ht="15.75" customHeight="1" s="349"/>
    <row r="285" ht="15.75" customHeight="1" s="349"/>
    <row r="286" ht="15.75" customHeight="1" s="349"/>
    <row r="287" ht="15.75" customHeight="1" s="349"/>
    <row r="288" ht="15.75" customHeight="1" s="349"/>
    <row r="289" ht="15.75" customHeight="1" s="349"/>
    <row r="290" ht="15.75" customHeight="1" s="349"/>
    <row r="291" ht="15.75" customHeight="1" s="349"/>
    <row r="292" ht="15.75" customHeight="1" s="349"/>
    <row r="293" ht="15.75" customHeight="1" s="349"/>
    <row r="294" ht="15.75" customHeight="1" s="349"/>
    <row r="295" ht="15.75" customHeight="1" s="349"/>
    <row r="296" ht="15.75" customHeight="1" s="349"/>
    <row r="297" ht="15.75" customHeight="1" s="349"/>
    <row r="298" ht="15.75" customHeight="1" s="349"/>
    <row r="299" ht="15.75" customHeight="1" s="349"/>
    <row r="300" ht="15.75" customHeight="1" s="349"/>
    <row r="301" ht="15.75" customHeight="1" s="349"/>
    <row r="302" ht="15.75" customHeight="1" s="349"/>
    <row r="303" ht="15.75" customHeight="1" s="349"/>
    <row r="304" ht="15.75" customHeight="1" s="349"/>
    <row r="305" ht="15.75" customHeight="1" s="349"/>
    <row r="306" ht="15.75" customHeight="1" s="349"/>
    <row r="307" ht="15.75" customHeight="1" s="349"/>
    <row r="308" ht="15.75" customHeight="1" s="349"/>
    <row r="309" ht="15.75" customHeight="1" s="349"/>
    <row r="310" ht="15.75" customHeight="1" s="349"/>
    <row r="311" ht="15.75" customHeight="1" s="349"/>
    <row r="312" ht="15.75" customHeight="1" s="349"/>
    <row r="313" ht="15.75" customHeight="1" s="349"/>
    <row r="314" ht="15.75" customHeight="1" s="349"/>
    <row r="315" ht="15.75" customHeight="1" s="349"/>
    <row r="316" ht="15.75" customHeight="1" s="349"/>
    <row r="317" ht="15.75" customHeight="1" s="349"/>
    <row r="318" ht="15.75" customHeight="1" s="349"/>
    <row r="319" ht="15.75" customHeight="1" s="349"/>
    <row r="320" ht="15.75" customHeight="1" s="349"/>
    <row r="321" ht="15.75" customHeight="1" s="349"/>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BJ222"/>
  <sheetViews>
    <sheetView showGridLines="0" workbookViewId="0">
      <pane xSplit="3" topLeftCell="D1" activePane="topRight" state="frozen"/>
      <selection pane="topRight" activeCell="E2" sqref="E2"/>
    </sheetView>
  </sheetViews>
  <sheetFormatPr baseColWidth="8" defaultColWidth="14.43" defaultRowHeight="15" customHeight="1"/>
  <cols>
    <col width="2" customWidth="1" style="349" min="1" max="1"/>
    <col width="37.57" customWidth="1" style="349" min="2" max="2"/>
    <col width="12" customWidth="1" style="349" min="3" max="3"/>
    <col width="2.57" customWidth="1" style="349" min="4" max="4"/>
    <col hidden="1" outlineLevel="1" width="9.710000000000001" customWidth="1" style="349" min="5" max="5"/>
    <col hidden="1" outlineLevel="1" width="9.57" customWidth="1" style="349" min="6" max="6"/>
    <col hidden="1" outlineLevel="1" width="9.859999999999999" customWidth="1" style="349" min="7" max="7"/>
    <col hidden="1" outlineLevel="1" width="9.43" customWidth="1" style="349" min="8" max="8"/>
    <col hidden="1" outlineLevel="1" width="10" customWidth="1" style="349" min="9" max="9"/>
    <col hidden="1" outlineLevel="1" width="9.710000000000001" customWidth="1" style="349" min="10" max="10"/>
    <col hidden="1" outlineLevel="1" width="9.140000000000001" customWidth="1" style="349" min="11" max="11"/>
    <col hidden="1" outlineLevel="1" width="9.859999999999999" customWidth="1" style="349" min="12" max="13"/>
    <col hidden="1" outlineLevel="1" width="9.57" customWidth="1" style="349" min="14" max="14"/>
    <col hidden="1" outlineLevel="1" width="9.859999999999999" customWidth="1" style="349" min="15" max="16"/>
    <col width="9.710000000000001" customWidth="1" style="349" min="17" max="17"/>
    <col width="9.57" customWidth="1" style="349" min="18" max="18"/>
    <col width="9.710000000000001" customWidth="1" style="349" min="19" max="19"/>
    <col width="9.43" customWidth="1" style="349" min="20" max="20"/>
    <col width="10" customWidth="1" style="349" min="21" max="21"/>
    <col width="9.710000000000001" customWidth="1" style="349" min="22" max="22"/>
    <col width="9.140000000000001" customWidth="1" style="349" min="23" max="23"/>
    <col width="9.859999999999999" customWidth="1" style="349" min="24" max="25"/>
    <col width="9.57" customWidth="1" style="349" min="26" max="26"/>
    <col width="9.859999999999999" customWidth="1" style="349" min="27" max="28"/>
    <col width="9.43" customWidth="1" style="349" min="29" max="30"/>
    <col width="9.57" customWidth="1" style="349" min="31" max="31"/>
    <col width="10.14" customWidth="1" style="349" min="32" max="32"/>
    <col width="9.859999999999999" customWidth="1" style="349" min="33" max="33"/>
    <col width="10" customWidth="1" style="349" min="34" max="34"/>
    <col width="10.14" customWidth="1" style="349" min="35" max="35"/>
    <col width="10.43" customWidth="1" style="349" min="36" max="36"/>
    <col width="10.29" customWidth="1" style="349" min="37" max="37"/>
    <col width="10.43" customWidth="1" style="349" min="38" max="38"/>
    <col width="10.57" customWidth="1" style="349" min="39" max="40"/>
    <col width="10.43" customWidth="1" style="349" min="41" max="42"/>
    <col width="10.86" customWidth="1" style="349" min="43" max="44"/>
    <col width="11" customWidth="1" style="349" min="45" max="45"/>
    <col width="10" customWidth="1" style="349" min="46" max="46"/>
    <col width="10.86" customWidth="1" style="349" min="47" max="48"/>
    <col width="10.57" customWidth="1" style="349" min="49" max="49"/>
    <col width="10.71" customWidth="1" style="349" min="50" max="50"/>
    <col width="10.43" customWidth="1" style="349" min="51" max="51"/>
    <col width="10.57" customWidth="1" style="349" min="52" max="52"/>
    <col width="17.43" customWidth="1" style="349" min="53" max="53"/>
    <col hidden="1" width="14.43" customWidth="1" style="349" min="54" max="54"/>
    <col width="6.14" customWidth="1" style="349" min="55" max="55"/>
    <col width="10.86" customWidth="1" style="349" min="56" max="56"/>
    <col width="11.29" customWidth="1" style="349" min="57" max="57"/>
    <col outlineLevel="1" width="11.71" customWidth="1" style="349" min="58" max="58"/>
    <col width="43" customWidth="1" style="349" min="60" max="60"/>
  </cols>
  <sheetData>
    <row r="1" ht="15.75" customHeight="1" s="349">
      <c r="A1" s="13" t="n"/>
      <c r="B1" s="8" t="inlineStr">
        <is>
          <t>Tarnoc B.V. — COGS Schedule (€)</t>
        </is>
      </c>
      <c r="C1" s="13" t="n"/>
      <c r="D1" s="13" t="n"/>
      <c r="E1" s="13" t="n"/>
      <c r="F1" s="13" t="n"/>
      <c r="G1" s="13" t="n"/>
      <c r="H1" s="13" t="n"/>
      <c r="I1" s="13" t="n"/>
      <c r="J1" s="13" t="n"/>
      <c r="K1" s="13" t="n"/>
      <c r="L1" s="13" t="n"/>
      <c r="M1" s="13" t="n"/>
      <c r="N1" s="13" t="n"/>
      <c r="O1" s="13" t="n"/>
      <c r="P1" s="13" t="n"/>
      <c r="Q1" s="13" t="n"/>
      <c r="R1" s="13" t="n"/>
      <c r="S1" s="13" t="n"/>
      <c r="T1" s="13" t="n"/>
      <c r="U1" s="13" t="n"/>
      <c r="V1" s="13" t="n"/>
      <c r="W1" s="13" t="n"/>
      <c r="X1" s="13" t="n"/>
      <c r="Y1" s="13" t="n"/>
      <c r="Z1" s="13" t="n"/>
      <c r="AA1" s="13" t="n"/>
      <c r="AB1" s="13" t="n"/>
      <c r="AC1" s="13" t="n"/>
      <c r="AD1" s="13" t="n"/>
      <c r="AE1" s="13" t="n"/>
      <c r="AF1" s="13" t="n"/>
      <c r="AG1" s="13" t="n"/>
      <c r="AH1" s="13" t="n"/>
      <c r="AI1" s="13" t="n"/>
      <c r="AJ1" s="13" t="n"/>
      <c r="AK1" s="13" t="n"/>
      <c r="AL1" s="13" t="n"/>
      <c r="AM1" s="13" t="n"/>
      <c r="AN1" s="13" t="n"/>
      <c r="AO1" s="18" t="n"/>
      <c r="AP1" s="18" t="n"/>
      <c r="AQ1" s="18" t="n"/>
      <c r="AR1" s="18" t="n"/>
      <c r="AS1" s="18" t="n"/>
      <c r="AT1" s="18" t="n"/>
      <c r="AU1" s="18" t="n"/>
      <c r="AV1" s="18" t="n"/>
      <c r="AW1" s="18" t="n"/>
      <c r="AX1" s="18" t="n"/>
      <c r="AY1" s="18" t="n"/>
      <c r="AZ1" s="18" t="n"/>
      <c r="BA1" s="233" t="n"/>
      <c r="BB1" s="13" t="n"/>
      <c r="BC1" s="18" t="n"/>
      <c r="BD1" s="18" t="n"/>
      <c r="BE1" s="18" t="n"/>
      <c r="BF1" s="18" t="n"/>
      <c r="BG1" s="35" t="n"/>
      <c r="BH1" s="35" t="n"/>
      <c r="BI1" s="35" t="n"/>
      <c r="BJ1" s="35" t="n"/>
    </row>
    <row r="2" ht="13.5" customHeight="1" s="349">
      <c r="A2" s="13" t="n"/>
      <c r="B2" s="13" t="n"/>
      <c r="C2" s="13" t="n"/>
      <c r="D2" s="13" t="n"/>
      <c r="E2" s="213" t="n">
        <v>2025</v>
      </c>
      <c r="F2" s="213" t="n"/>
      <c r="G2" s="213" t="n"/>
      <c r="H2" s="213" t="n"/>
      <c r="I2" s="213" t="n"/>
      <c r="J2" s="213" t="n"/>
      <c r="K2" s="213" t="n"/>
      <c r="L2" s="213" t="n"/>
      <c r="M2" s="213" t="n"/>
      <c r="N2" s="213" t="n"/>
      <c r="O2" s="213" t="n"/>
      <c r="P2" s="213" t="n"/>
      <c r="Q2" s="38" t="inlineStr">
        <is>
          <t>2026</t>
        </is>
      </c>
      <c r="R2" s="213" t="n"/>
      <c r="S2" s="213" t="n"/>
      <c r="T2" s="213" t="n"/>
      <c r="U2" s="213" t="n"/>
      <c r="V2" s="213" t="n"/>
      <c r="W2" s="213" t="n"/>
      <c r="X2" s="213" t="n"/>
      <c r="Y2" s="213" t="n"/>
      <c r="Z2" s="213" t="n"/>
      <c r="AA2" s="213" t="n"/>
      <c r="AB2" s="213" t="n"/>
      <c r="AC2" s="38" t="inlineStr">
        <is>
          <t>2027</t>
        </is>
      </c>
      <c r="AD2" s="213" t="n"/>
      <c r="AE2" s="213" t="n"/>
      <c r="AF2" s="213" t="n"/>
      <c r="AG2" s="213" t="n"/>
      <c r="AH2" s="213" t="n"/>
      <c r="AI2" s="213" t="n"/>
      <c r="AJ2" s="213" t="n"/>
      <c r="AK2" s="213" t="n"/>
      <c r="AL2" s="213" t="n"/>
      <c r="AM2" s="213" t="n"/>
      <c r="AN2" s="213" t="n"/>
      <c r="AO2" s="38" t="inlineStr">
        <is>
          <t>2028</t>
        </is>
      </c>
      <c r="AP2" s="213" t="n"/>
      <c r="AQ2" s="213" t="n"/>
      <c r="AR2" s="213" t="n"/>
      <c r="AS2" s="213" t="n"/>
      <c r="AT2" s="213" t="n"/>
      <c r="AU2" s="213" t="n"/>
      <c r="AV2" s="213" t="n"/>
      <c r="AW2" s="213" t="n"/>
      <c r="AX2" s="213" t="n"/>
      <c r="AY2" s="213" t="n"/>
      <c r="AZ2" s="213" t="n"/>
      <c r="BA2" s="233" t="n"/>
      <c r="BB2" s="13" t="n"/>
      <c r="BC2" s="214" t="n"/>
      <c r="BD2" s="214" t="n"/>
      <c r="BE2" s="214" t="n"/>
      <c r="BF2" s="13" t="n"/>
      <c r="BG2" s="35" t="n"/>
      <c r="BH2" s="35" t="n"/>
      <c r="BI2" s="35" t="n"/>
      <c r="BJ2" s="35" t="n"/>
    </row>
    <row r="3" ht="13.5" customHeight="1" s="349">
      <c r="A3" s="13" t="n"/>
      <c r="B3" s="13" t="n"/>
      <c r="C3" s="13" t="n"/>
      <c r="D3" s="13" t="n"/>
      <c r="E3" s="55" t="n">
        <v>45658</v>
      </c>
      <c r="F3" s="55" t="n">
        <v>45689</v>
      </c>
      <c r="G3" s="55" t="n">
        <v>45717</v>
      </c>
      <c r="H3" s="55" t="n">
        <v>45748</v>
      </c>
      <c r="I3" s="55" t="n">
        <v>45778</v>
      </c>
      <c r="J3" s="55" t="n">
        <v>45809</v>
      </c>
      <c r="K3" s="55" t="n">
        <v>45839</v>
      </c>
      <c r="L3" s="55" t="n">
        <v>45870</v>
      </c>
      <c r="M3" s="55" t="n">
        <v>45901</v>
      </c>
      <c r="N3" s="55" t="n">
        <v>45931</v>
      </c>
      <c r="O3" s="55" t="n">
        <v>45962</v>
      </c>
      <c r="P3" s="55" t="n">
        <v>45992</v>
      </c>
      <c r="Q3" s="55" t="n">
        <v>46023</v>
      </c>
      <c r="R3" s="55" t="n">
        <v>46054</v>
      </c>
      <c r="S3" s="55" t="n">
        <v>46082</v>
      </c>
      <c r="T3" s="55" t="n">
        <v>46113</v>
      </c>
      <c r="U3" s="55" t="n">
        <v>46143</v>
      </c>
      <c r="V3" s="55" t="n">
        <v>46174</v>
      </c>
      <c r="W3" s="55" t="n">
        <v>46204</v>
      </c>
      <c r="X3" s="55" t="n">
        <v>46235</v>
      </c>
      <c r="Y3" s="55" t="n">
        <v>46266</v>
      </c>
      <c r="Z3" s="55" t="n">
        <v>46296</v>
      </c>
      <c r="AA3" s="55" t="n">
        <v>46327</v>
      </c>
      <c r="AB3" s="55" t="n">
        <v>46357</v>
      </c>
      <c r="AC3" s="55" t="n">
        <v>46388</v>
      </c>
      <c r="AD3" s="55" t="n">
        <v>46419</v>
      </c>
      <c r="AE3" s="55" t="n">
        <v>46447</v>
      </c>
      <c r="AF3" s="55" t="n">
        <v>46478</v>
      </c>
      <c r="AG3" s="55" t="n">
        <v>46508</v>
      </c>
      <c r="AH3" s="55" t="n">
        <v>46539</v>
      </c>
      <c r="AI3" s="55" t="n">
        <v>46569</v>
      </c>
      <c r="AJ3" s="55" t="n">
        <v>46600</v>
      </c>
      <c r="AK3" s="55" t="n">
        <v>46631</v>
      </c>
      <c r="AL3" s="55" t="n">
        <v>46661</v>
      </c>
      <c r="AM3" s="55" t="n">
        <v>46692</v>
      </c>
      <c r="AN3" s="55" t="n">
        <v>46722</v>
      </c>
      <c r="AO3" s="55" t="n">
        <v>46753</v>
      </c>
      <c r="AP3" s="55" t="n">
        <v>46784</v>
      </c>
      <c r="AQ3" s="55" t="n">
        <v>46813</v>
      </c>
      <c r="AR3" s="55" t="n">
        <v>46844</v>
      </c>
      <c r="AS3" s="55" t="n">
        <v>46874</v>
      </c>
      <c r="AT3" s="55" t="n">
        <v>46905</v>
      </c>
      <c r="AU3" s="55" t="n">
        <v>46935</v>
      </c>
      <c r="AV3" s="55" t="n">
        <v>46966</v>
      </c>
      <c r="AW3" s="55" t="n">
        <v>46997</v>
      </c>
      <c r="AX3" s="55" t="n">
        <v>47027</v>
      </c>
      <c r="AY3" s="55" t="n">
        <v>47058</v>
      </c>
      <c r="AZ3" s="55" t="n">
        <v>47088</v>
      </c>
      <c r="BA3" s="233" t="n"/>
      <c r="BB3" s="214" t="n">
        <v>2025</v>
      </c>
      <c r="BC3" s="214" t="n">
        <v>2026</v>
      </c>
      <c r="BD3" s="214" t="n">
        <v>2027</v>
      </c>
      <c r="BE3" s="214" t="n">
        <v>2028</v>
      </c>
      <c r="BF3" s="214" t="n">
        <v>2029</v>
      </c>
      <c r="BG3" s="35" t="n"/>
      <c r="BH3" s="350" t="n"/>
      <c r="BI3" s="35" t="n"/>
      <c r="BJ3" s="35" t="n"/>
    </row>
    <row r="4">
      <c r="A4" s="307" t="n"/>
      <c r="B4" s="307" t="n"/>
      <c r="C4" s="307" t="n"/>
      <c r="D4" s="307" t="n"/>
      <c r="E4" s="307" t="n"/>
      <c r="F4" s="307" t="n"/>
      <c r="G4" s="307" t="n"/>
      <c r="H4" s="307" t="n"/>
      <c r="I4" s="307" t="n"/>
      <c r="J4" s="307" t="n"/>
      <c r="K4" s="307" t="n"/>
      <c r="L4" s="307" t="n"/>
      <c r="M4" s="233" t="n"/>
      <c r="N4" s="233" t="n"/>
      <c r="O4" s="233" t="n"/>
      <c r="P4" s="233" t="n"/>
      <c r="Q4" s="233" t="n"/>
      <c r="R4" s="233" t="n"/>
      <c r="S4" s="233" t="n"/>
      <c r="T4" s="233" t="n"/>
      <c r="U4" s="233" t="n"/>
      <c r="V4" s="233" t="n"/>
      <c r="W4" s="233" t="n"/>
      <c r="X4" s="233" t="n"/>
      <c r="Y4" s="233" t="n"/>
      <c r="Z4" s="233" t="n"/>
      <c r="AA4" s="233" t="n"/>
      <c r="AB4" s="233" t="n"/>
      <c r="AC4" s="233" t="n"/>
      <c r="AD4" s="233" t="n"/>
      <c r="AE4" s="233" t="n"/>
      <c r="AF4" s="233" t="n"/>
      <c r="AG4" s="233" t="n"/>
      <c r="AH4" s="233" t="n"/>
      <c r="AI4" s="233" t="n"/>
      <c r="AJ4" s="233" t="n"/>
      <c r="AK4" s="233" t="n"/>
      <c r="AL4" s="233" t="n"/>
      <c r="AM4" s="233" t="n"/>
      <c r="AN4" s="233" t="n"/>
      <c r="AO4" s="233" t="n"/>
      <c r="AP4" s="233" t="n"/>
      <c r="AQ4" s="233" t="n"/>
      <c r="AR4" s="233" t="n"/>
      <c r="AS4" s="233" t="n"/>
      <c r="AT4" s="233" t="n"/>
      <c r="AU4" s="233" t="n"/>
      <c r="AV4" s="233" t="n"/>
      <c r="AW4" s="233" t="n"/>
      <c r="AX4" s="233" t="n"/>
      <c r="AY4" s="233" t="n"/>
      <c r="AZ4" s="233" t="n"/>
      <c r="BA4" s="233" t="n"/>
      <c r="BB4" s="233" t="n"/>
      <c r="BC4" s="233" t="n"/>
      <c r="BD4" s="233" t="n"/>
      <c r="BE4" s="233" t="n"/>
      <c r="BF4" s="233" t="n"/>
      <c r="BG4" s="226" t="n"/>
      <c r="BH4" s="350" t="n"/>
      <c r="BI4" s="226" t="n"/>
      <c r="BJ4" s="226" t="n"/>
    </row>
    <row r="5" ht="13.5" customHeight="1" s="349">
      <c r="A5" s="31" t="n"/>
      <c r="B5" s="109" t="n"/>
      <c r="C5" s="31" t="n"/>
      <c r="D5" s="31" t="n"/>
      <c r="E5" s="31" t="n"/>
      <c r="F5" s="31" t="n"/>
      <c r="G5" s="31" t="n"/>
      <c r="H5" s="31" t="n"/>
      <c r="I5" s="31" t="n"/>
      <c r="J5" s="31" t="n"/>
      <c r="K5" s="31" t="n"/>
      <c r="L5" s="31" t="n"/>
      <c r="M5" s="226" t="n"/>
      <c r="N5" s="226" t="n"/>
      <c r="O5" s="226" t="n"/>
      <c r="P5" s="226" t="n"/>
      <c r="Q5" s="226" t="n"/>
      <c r="R5" s="226" t="n"/>
      <c r="S5" s="226" t="n"/>
      <c r="T5" s="226" t="n"/>
      <c r="U5" s="226" t="n"/>
      <c r="V5" s="226" t="n"/>
      <c r="W5" s="226" t="n"/>
      <c r="X5" s="226" t="n"/>
      <c r="Y5" s="226" t="n"/>
      <c r="Z5" s="226" t="n"/>
      <c r="AA5" s="226" t="n"/>
      <c r="AB5" s="226" t="n"/>
      <c r="AC5" s="226" t="n"/>
      <c r="AD5" s="226" t="n"/>
      <c r="AE5" s="226" t="n"/>
      <c r="AF5" s="226" t="n"/>
      <c r="AG5" s="226" t="n"/>
      <c r="AH5" s="226" t="n"/>
      <c r="AI5" s="226" t="n"/>
      <c r="AJ5" s="226" t="n"/>
      <c r="AK5" s="226" t="n"/>
      <c r="AL5" s="226" t="n"/>
      <c r="AM5" s="226" t="n"/>
      <c r="AN5" s="226" t="n"/>
      <c r="AO5" s="226" t="n"/>
      <c r="AP5" s="226" t="n"/>
      <c r="AQ5" s="226" t="n"/>
      <c r="AR5" s="226" t="n"/>
      <c r="AS5" s="226" t="n"/>
      <c r="AT5" s="226" t="n"/>
      <c r="AU5" s="226" t="n"/>
      <c r="AV5" s="226" t="n"/>
      <c r="AW5" s="226" t="n"/>
      <c r="AX5" s="226" t="n"/>
      <c r="AY5" s="226" t="n"/>
      <c r="AZ5" s="226" t="n"/>
      <c r="BA5" s="233" t="n"/>
      <c r="BB5" s="233" t="n"/>
      <c r="BC5" s="233" t="n"/>
      <c r="BD5" s="233" t="n"/>
      <c r="BE5" s="233" t="n"/>
      <c r="BF5" s="233" t="n"/>
      <c r="BG5" s="226" t="n"/>
      <c r="BH5" s="350" t="n"/>
      <c r="BI5" s="226" t="n"/>
      <c r="BJ5" s="226" t="n"/>
    </row>
    <row r="6" ht="13.5" customHeight="1" s="349">
      <c r="A6" s="104" t="n"/>
      <c r="B6" s="144" t="inlineStr">
        <is>
          <t>TTK</t>
        </is>
      </c>
      <c r="C6" s="104" t="n"/>
      <c r="D6" s="104" t="n"/>
      <c r="E6" s="104" t="n"/>
      <c r="F6" s="104" t="n"/>
      <c r="G6" s="104" t="n"/>
      <c r="H6" s="104" t="n"/>
      <c r="I6" s="104" t="n"/>
      <c r="J6" s="104" t="n"/>
      <c r="K6" s="104" t="n"/>
      <c r="L6" s="104" t="n"/>
      <c r="M6" s="80" t="n"/>
      <c r="N6" s="80" t="n"/>
      <c r="O6" s="80" t="n"/>
      <c r="P6" s="80" t="n"/>
      <c r="Q6" s="80" t="n"/>
      <c r="R6" s="80" t="n"/>
      <c r="S6" s="80" t="n"/>
      <c r="T6" s="80" t="n"/>
      <c r="U6" s="80" t="n"/>
      <c r="V6" s="80" t="n"/>
      <c r="W6" s="80" t="n"/>
      <c r="X6" s="80" t="n"/>
      <c r="Y6" s="80" t="n"/>
      <c r="Z6" s="80" t="n"/>
      <c r="AA6" s="80" t="n"/>
      <c r="AB6" s="80" t="n"/>
      <c r="AC6" s="80" t="n"/>
      <c r="AD6" s="80" t="n"/>
      <c r="AE6" s="80" t="n"/>
      <c r="AF6" s="80" t="n"/>
      <c r="AG6" s="80" t="n"/>
      <c r="AH6" s="80" t="n"/>
      <c r="AI6" s="80" t="n"/>
      <c r="AJ6" s="80" t="n"/>
      <c r="AK6" s="80" t="n"/>
      <c r="AL6" s="80" t="n"/>
      <c r="AM6" s="80" t="n"/>
      <c r="AN6" s="80" t="n"/>
      <c r="AO6" s="80" t="n"/>
      <c r="AP6" s="80" t="n"/>
      <c r="AQ6" s="80" t="n"/>
      <c r="AR6" s="80" t="n"/>
      <c r="AS6" s="80" t="n"/>
      <c r="AT6" s="80" t="n"/>
      <c r="AU6" s="80" t="n"/>
      <c r="AV6" s="80" t="n"/>
      <c r="AW6" s="80" t="n"/>
      <c r="AX6" s="80" t="n"/>
      <c r="AY6" s="80" t="n"/>
      <c r="AZ6" s="80" t="n"/>
      <c r="BA6" s="233" t="n"/>
      <c r="BB6" s="80" t="n"/>
      <c r="BC6" s="85" t="n"/>
      <c r="BD6" s="85" t="n"/>
      <c r="BE6" s="85" t="n"/>
      <c r="BF6" s="85" t="n"/>
      <c r="BG6" s="226" t="n"/>
      <c r="BH6" s="350" t="n"/>
      <c r="BI6" s="226" t="n"/>
      <c r="BJ6" s="226" t="n"/>
    </row>
    <row r="7" ht="15" customHeight="1" s="349">
      <c r="A7" s="307" t="n"/>
      <c r="B7" s="237" t="inlineStr">
        <is>
          <t>TTK</t>
        </is>
      </c>
      <c r="C7" s="307" t="n"/>
      <c r="D7" s="223" t="inlineStr">
        <is>
          <t>€</t>
        </is>
      </c>
      <c r="E7" s="224" t="n"/>
      <c r="F7" s="224" t="n"/>
      <c r="G7" s="224" t="n"/>
      <c r="H7" s="224" t="n"/>
      <c r="I7" s="224" t="n"/>
      <c r="J7" s="224" t="n"/>
      <c r="K7" s="224" t="n"/>
      <c r="L7" s="224" t="n"/>
      <c r="M7" s="241" t="n"/>
      <c r="N7" s="241" t="n"/>
      <c r="O7" s="241" t="n"/>
      <c r="P7" s="241" t="n"/>
      <c r="Q7" s="241">
        <f>IFERROR('Revenue Forecast'!Q6*VLOOKUP('Revenue Forecast'!$BC$34,Assumptions!$B$67:$C$69,2,TRUE),0)</f>
        <v/>
      </c>
      <c r="R7" s="241">
        <f>IFERROR('Revenue Forecast'!R6*VLOOKUP('Revenue Forecast'!$BC$34,Assumptions!$B$67:$C$69,2,TRUE),0)</f>
        <v/>
      </c>
      <c r="S7" s="241">
        <f>IFERROR('Revenue Forecast'!S6*VLOOKUP('Revenue Forecast'!$BC$34,Assumptions!$B$67:$C$69,2,TRUE),0)</f>
        <v/>
      </c>
      <c r="T7" s="241">
        <f>IFERROR('Revenue Forecast'!T6*VLOOKUP('Revenue Forecast'!$BC$34,Assumptions!$B$67:$C$69,2,TRUE),0)</f>
        <v/>
      </c>
      <c r="U7" s="241">
        <f>IFERROR('Revenue Forecast'!U6*VLOOKUP('Revenue Forecast'!$BC$34,Assumptions!$B$67:$C$69,2,TRUE),0)</f>
        <v/>
      </c>
      <c r="V7" s="241">
        <f>IFERROR('Revenue Forecast'!V6*VLOOKUP('Revenue Forecast'!$BC$34,Assumptions!$B$67:$C$69,2,TRUE),0)</f>
        <v/>
      </c>
      <c r="W7" s="241">
        <f>IFERROR('Revenue Forecast'!W6*VLOOKUP('Revenue Forecast'!$BC$34,Assumptions!$B$67:$C$69,2,TRUE),0)</f>
        <v/>
      </c>
      <c r="X7" s="241">
        <f>IFERROR('Revenue Forecast'!X6*VLOOKUP('Revenue Forecast'!$BC$34,Assumptions!$B$67:$C$69,2,TRUE),0)</f>
        <v/>
      </c>
      <c r="Y7" s="241">
        <f>IFERROR('Revenue Forecast'!Y6*VLOOKUP('Revenue Forecast'!$BC$34,Assumptions!$B$67:$C$69,2,TRUE),0)</f>
        <v/>
      </c>
      <c r="Z7" s="241">
        <f>IFERROR('Revenue Forecast'!Z6*VLOOKUP('Revenue Forecast'!$BC$34,Assumptions!$B$67:$C$69,2,TRUE),0)</f>
        <v/>
      </c>
      <c r="AA7" s="241">
        <f>IFERROR('Revenue Forecast'!AA6*VLOOKUP('Revenue Forecast'!$BC$34,Assumptions!$B$67:$C$69,2,TRUE),0)</f>
        <v/>
      </c>
      <c r="AB7" s="241">
        <f>IFERROR('Revenue Forecast'!AB6*VLOOKUP('Revenue Forecast'!$BC$34,Assumptions!$B$67:$C$69,2,TRUE),0)</f>
        <v/>
      </c>
      <c r="AC7" s="241">
        <f>IFERROR('Revenue Forecast'!AC6*VLOOKUP(IF(Assumptions!$D$83=2,'Revenue Forecast'!$BD$34+'Revenue Forecast'!$BE$34,'Revenue Forecast'!$BD$34),Assumptions!$B$67:$C$69,2,TRUE),0)</f>
        <v/>
      </c>
      <c r="AD7" s="241">
        <f>IFERROR('Revenue Forecast'!AD6*VLOOKUP(IF(Assumptions!$D$83=2,'Revenue Forecast'!$BD$34+'Revenue Forecast'!$BE$34,'Revenue Forecast'!$BD$34),Assumptions!$B$67:$C$69,2,TRUE),0)</f>
        <v/>
      </c>
      <c r="AE7" s="241">
        <f>IFERROR('Revenue Forecast'!AE6*VLOOKUP(IF(Assumptions!$D$83=2,'Revenue Forecast'!$BD$34+'Revenue Forecast'!$BE$34,'Revenue Forecast'!$BD$34),Assumptions!$B$67:$C$69,2,TRUE),0)</f>
        <v/>
      </c>
      <c r="AF7" s="241">
        <f>IFERROR('Revenue Forecast'!AF6*VLOOKUP(IF(Assumptions!$D$83=2,'Revenue Forecast'!$BD$34+'Revenue Forecast'!$BE$34,'Revenue Forecast'!$BD$34),Assumptions!$B$67:$C$69,2,TRUE),0)</f>
        <v/>
      </c>
      <c r="AG7" s="241">
        <f>IFERROR('Revenue Forecast'!AG6*VLOOKUP(IF(Assumptions!$D$83=2,'Revenue Forecast'!$BD$34+'Revenue Forecast'!$BE$34,'Revenue Forecast'!$BD$34),Assumptions!$B$67:$C$69,2,TRUE),0)</f>
        <v/>
      </c>
      <c r="AH7" s="241">
        <f>IFERROR('Revenue Forecast'!AH6*VLOOKUP(IF(Assumptions!$D$83=2,'Revenue Forecast'!$BD$34+'Revenue Forecast'!$BE$34,'Revenue Forecast'!$BD$34),Assumptions!$B$67:$C$69,2,TRUE),0)</f>
        <v/>
      </c>
      <c r="AI7" s="241">
        <f>IFERROR('Revenue Forecast'!AI6*VLOOKUP(IF(Assumptions!$D$83=2,'Revenue Forecast'!$BD$34+'Revenue Forecast'!$BE$34,'Revenue Forecast'!$BD$34),Assumptions!$B$67:$C$69,2,TRUE),0)</f>
        <v/>
      </c>
      <c r="AJ7" s="241">
        <f>IFERROR('Revenue Forecast'!AJ6*VLOOKUP(IF(Assumptions!$D$83=2,'Revenue Forecast'!$BD$34+'Revenue Forecast'!$BE$34,'Revenue Forecast'!$BD$34),Assumptions!$B$67:$C$69,2,TRUE),0)</f>
        <v/>
      </c>
      <c r="AK7" s="241">
        <f>IFERROR('Revenue Forecast'!AK6*VLOOKUP(IF(Assumptions!$D$83=2,'Revenue Forecast'!$BD$34+'Revenue Forecast'!$BE$34,'Revenue Forecast'!$BD$34),Assumptions!$B$67:$C$69,2,TRUE),0)</f>
        <v/>
      </c>
      <c r="AL7" s="241">
        <f>IFERROR('Revenue Forecast'!AL6*VLOOKUP(IF(Assumptions!$D$83=2,'Revenue Forecast'!$BD$34+'Revenue Forecast'!$BE$34,'Revenue Forecast'!$BD$34),Assumptions!$B$67:$C$69,2,TRUE),0)</f>
        <v/>
      </c>
      <c r="AM7" s="241">
        <f>IFERROR('Revenue Forecast'!AM6*VLOOKUP(IF(Assumptions!$D$83=2,'Revenue Forecast'!$BD$34+'Revenue Forecast'!$BE$34,'Revenue Forecast'!$BD$34),Assumptions!$B$67:$C$69,2,TRUE),0)</f>
        <v/>
      </c>
      <c r="AN7" s="241">
        <f>IFERROR('Revenue Forecast'!AN6*VLOOKUP(IF(Assumptions!$D$83=2,'Revenue Forecast'!$BD$34+'Revenue Forecast'!$BE$34,'Revenue Forecast'!$BD$34),Assumptions!$B$67:$C$69,2,TRUE),0)</f>
        <v/>
      </c>
      <c r="AO7" s="241">
        <f>IFERROR('Revenue Forecast'!AO6*VLOOKUP(IF(Assumptions!$D$83=2,'Revenue Forecast'!$BE$34+'Revenue Forecast'!$BF$34,'Revenue Forecast'!$BE$34),Assumptions!$B$67:$C$69,2,TRUE),0)</f>
        <v/>
      </c>
      <c r="AP7" s="241">
        <f>IFERROR('Revenue Forecast'!AP6*VLOOKUP(IF(Assumptions!$D$83=2,'Revenue Forecast'!$BE$34+'Revenue Forecast'!$BF$34,'Revenue Forecast'!$BE$34),Assumptions!$B$67:$C$69,2,TRUE),0)</f>
        <v/>
      </c>
      <c r="AQ7" s="241">
        <f>IFERROR('Revenue Forecast'!AQ6*VLOOKUP(IF(Assumptions!$D$83=2,'Revenue Forecast'!$BE$34+'Revenue Forecast'!$BF$34,'Revenue Forecast'!$BE$34),Assumptions!$B$67:$C$69,2,TRUE),0)</f>
        <v/>
      </c>
      <c r="AR7" s="241">
        <f>IFERROR('Revenue Forecast'!AR6*VLOOKUP(IF(Assumptions!$D$83=2,'Revenue Forecast'!$BE$34+'Revenue Forecast'!$BF$34,'Revenue Forecast'!$BE$34),Assumptions!$B$67:$C$69,2,TRUE),0)</f>
        <v/>
      </c>
      <c r="AS7" s="241">
        <f>IFERROR('Revenue Forecast'!AS6*VLOOKUP(IF(Assumptions!$D$83=2,'Revenue Forecast'!$BE$34+'Revenue Forecast'!$BF$34,'Revenue Forecast'!$BE$34),Assumptions!$B$67:$C$69,2,TRUE),0)</f>
        <v/>
      </c>
      <c r="AT7" s="241">
        <f>IFERROR('Revenue Forecast'!AT6*VLOOKUP(IF(Assumptions!$D$83=2,'Revenue Forecast'!$BE$34+'Revenue Forecast'!$BF$34,'Revenue Forecast'!$BE$34),Assumptions!$B$67:$C$69,2,TRUE),0)</f>
        <v/>
      </c>
      <c r="AU7" s="241">
        <f>IFERROR('Revenue Forecast'!AU6*VLOOKUP(IF(Assumptions!$D$83=2,'Revenue Forecast'!$BE$34+'Revenue Forecast'!$BF$34,'Revenue Forecast'!$BE$34),Assumptions!$B$67:$C$69,2,TRUE),0)</f>
        <v/>
      </c>
      <c r="AV7" s="241">
        <f>IFERROR('Revenue Forecast'!AV6*VLOOKUP(IF(Assumptions!$D$83=2,'Revenue Forecast'!$BE$34+'Revenue Forecast'!$BF$34,'Revenue Forecast'!$BE$34),Assumptions!$B$67:$C$69,2,TRUE),0)</f>
        <v/>
      </c>
      <c r="AW7" s="241">
        <f>IFERROR('Revenue Forecast'!AW6*VLOOKUP(IF(Assumptions!$D$83=2,'Revenue Forecast'!$BE$34+'Revenue Forecast'!$BF$34,'Revenue Forecast'!$BE$34),Assumptions!$B$67:$C$69,2,TRUE),0)</f>
        <v/>
      </c>
      <c r="AX7" s="241">
        <f>IFERROR('Revenue Forecast'!AX6*VLOOKUP(IF(Assumptions!$D$83=2,'Revenue Forecast'!$BE$34+'Revenue Forecast'!$BF$34,'Revenue Forecast'!$BE$34),Assumptions!$B$67:$C$69,2,TRUE),0)</f>
        <v/>
      </c>
      <c r="AY7" s="241">
        <f>IFERROR('Revenue Forecast'!AY6*VLOOKUP(IF(Assumptions!$D$83=2,'Revenue Forecast'!$BE$34+'Revenue Forecast'!$BF$34,'Revenue Forecast'!$BE$34),Assumptions!$B$67:$C$69,2,TRUE),0)</f>
        <v/>
      </c>
      <c r="AZ7" s="241">
        <f>IFERROR('Revenue Forecast'!AZ6*VLOOKUP(IF(Assumptions!$D$83=2,'Revenue Forecast'!$BE$34+'Revenue Forecast'!$BF$34,'Revenue Forecast'!$BE$34),Assumptions!$B$67:$C$69,2,TRUE),0)</f>
        <v/>
      </c>
      <c r="BA7" s="233" t="n"/>
      <c r="BB7" s="233" t="n"/>
      <c r="BC7" s="233">
        <f>SUM(Q7:AB7)</f>
        <v/>
      </c>
      <c r="BD7" s="233">
        <f>SUM(AC7:AN7)</f>
        <v/>
      </c>
      <c r="BE7" s="233">
        <f>SUM(AO7:AZ7)</f>
        <v/>
      </c>
      <c r="BF7" s="233">
        <f>'Revenue Forecast'!BF6*VLOOKUP(IF(Assumptions!$D$83=2,'Revenue Forecast'!$BF$34+Assumptions!$G$21,'Revenue Forecast'!$BF$34),Assumptions!$B$67:$C$69,2,TRUE)</f>
        <v/>
      </c>
      <c r="BG7" s="226" t="n"/>
      <c r="BH7" s="350" t="inlineStr">
        <is>
          <t>units x ketel build cost. the tier basis is set by the switch on Assumptions row 83</t>
        </is>
      </c>
      <c r="BI7" s="226" t="n"/>
      <c r="BJ7" s="226" t="n"/>
    </row>
    <row r="8">
      <c r="A8" s="307" t="n"/>
      <c r="B8" s="307" t="inlineStr">
        <is>
          <t>Upsell</t>
        </is>
      </c>
      <c r="C8" s="307" t="n"/>
      <c r="D8" s="223" t="inlineStr">
        <is>
          <t>€</t>
        </is>
      </c>
      <c r="E8" s="307" t="n"/>
      <c r="F8" s="307" t="n"/>
      <c r="G8" s="307" t="n"/>
      <c r="H8" s="307" t="n"/>
      <c r="I8" s="307" t="n"/>
      <c r="J8" s="307" t="n"/>
      <c r="K8" s="307" t="n"/>
      <c r="L8" s="307" t="n"/>
      <c r="M8" s="233" t="n"/>
      <c r="N8" s="233" t="n"/>
      <c r="O8" s="233" t="n"/>
      <c r="P8" s="233" t="n"/>
      <c r="Q8" s="233">
        <f>'Revenue Forecast'!Q6*SUMPRODUCT(Assumptions!$E$112:$E$114,Assumptions!$G$112:$G$114)</f>
        <v/>
      </c>
      <c r="R8" s="233">
        <f>'Revenue Forecast'!R6*SUMPRODUCT(Assumptions!$E$112:$E$114,Assumptions!$G$112:$G$114)</f>
        <v/>
      </c>
      <c r="S8" s="233">
        <f>'Revenue Forecast'!S6*SUMPRODUCT(Assumptions!$E$112:$E$114,Assumptions!$G$112:$G$114)</f>
        <v/>
      </c>
      <c r="T8" s="233">
        <f>'Revenue Forecast'!T6*SUMPRODUCT(Assumptions!$E$112:$E$114,Assumptions!$G$112:$G$114)</f>
        <v/>
      </c>
      <c r="U8" s="233">
        <f>'Revenue Forecast'!U6*SUMPRODUCT(Assumptions!$E$112:$E$114,Assumptions!$G$112:$G$114)</f>
        <v/>
      </c>
      <c r="V8" s="233">
        <f>'Revenue Forecast'!V6*SUMPRODUCT(Assumptions!$E$112:$E$114,Assumptions!$G$112:$G$114)</f>
        <v/>
      </c>
      <c r="W8" s="233">
        <f>'Revenue Forecast'!W6*SUMPRODUCT(Assumptions!$E$112:$E$114,Assumptions!$G$112:$G$114)</f>
        <v/>
      </c>
      <c r="X8" s="233">
        <f>'Revenue Forecast'!X6*SUMPRODUCT(Assumptions!$E$112:$E$114,Assumptions!$G$112:$G$114)</f>
        <v/>
      </c>
      <c r="Y8" s="233">
        <f>'Revenue Forecast'!Y6*SUMPRODUCT(Assumptions!$E$112:$E$114,Assumptions!$G$112:$G$114)</f>
        <v/>
      </c>
      <c r="Z8" s="233">
        <f>'Revenue Forecast'!Z6*SUMPRODUCT(Assumptions!$E$112:$E$114,Assumptions!$G$112:$G$114)</f>
        <v/>
      </c>
      <c r="AA8" s="233">
        <f>'Revenue Forecast'!AA6*SUMPRODUCT(Assumptions!$E$112:$E$114,Assumptions!$G$112:$G$114)</f>
        <v/>
      </c>
      <c r="AB8" s="233">
        <f>'Revenue Forecast'!AB6*SUMPRODUCT(Assumptions!$E$112:$E$114,Assumptions!$G$112:$G$114)</f>
        <v/>
      </c>
      <c r="AC8" s="233">
        <f>'Revenue Forecast'!AC6*SUMPRODUCT(Assumptions!$E$112:$E$114,Assumptions!$G$112:$G$114)</f>
        <v/>
      </c>
      <c r="AD8" s="233">
        <f>'Revenue Forecast'!AD6*SUMPRODUCT(Assumptions!$E$112:$E$114,Assumptions!$G$112:$G$114)</f>
        <v/>
      </c>
      <c r="AE8" s="233">
        <f>'Revenue Forecast'!AE6*SUMPRODUCT(Assumptions!$E$112:$E$114,Assumptions!$G$112:$G$114)</f>
        <v/>
      </c>
      <c r="AF8" s="233">
        <f>'Revenue Forecast'!AF6*SUMPRODUCT(Assumptions!$E$112:$E$114,Assumptions!$G$112:$G$114)</f>
        <v/>
      </c>
      <c r="AG8" s="233">
        <f>'Revenue Forecast'!AG6*SUMPRODUCT(Assumptions!$E$112:$E$114,Assumptions!$G$112:$G$114)</f>
        <v/>
      </c>
      <c r="AH8" s="233">
        <f>'Revenue Forecast'!AH6*SUMPRODUCT(Assumptions!$E$112:$E$114,Assumptions!$G$112:$G$114)</f>
        <v/>
      </c>
      <c r="AI8" s="233">
        <f>'Revenue Forecast'!AI6*SUMPRODUCT(Assumptions!$E$112:$E$114,Assumptions!$G$112:$G$114)</f>
        <v/>
      </c>
      <c r="AJ8" s="233">
        <f>'Revenue Forecast'!AJ6*SUMPRODUCT(Assumptions!$E$112:$E$114,Assumptions!$G$112:$G$114)</f>
        <v/>
      </c>
      <c r="AK8" s="233">
        <f>'Revenue Forecast'!AK6*SUMPRODUCT(Assumptions!$E$112:$E$114,Assumptions!$G$112:$G$114)</f>
        <v/>
      </c>
      <c r="AL8" s="233">
        <f>'Revenue Forecast'!AL6*SUMPRODUCT(Assumptions!$E$112:$E$114,Assumptions!$G$112:$G$114)</f>
        <v/>
      </c>
      <c r="AM8" s="233">
        <f>'Revenue Forecast'!AM6*SUMPRODUCT(Assumptions!$E$112:$E$114,Assumptions!$G$112:$G$114)</f>
        <v/>
      </c>
      <c r="AN8" s="233">
        <f>'Revenue Forecast'!AN6*SUMPRODUCT(Assumptions!$E$112:$E$114,Assumptions!$G$112:$G$114)</f>
        <v/>
      </c>
      <c r="AO8" s="233">
        <f>'Revenue Forecast'!AO6*SUMPRODUCT(Assumptions!$E$112:$E$114,Assumptions!$G$112:$G$114)</f>
        <v/>
      </c>
      <c r="AP8" s="233">
        <f>'Revenue Forecast'!AP6*SUMPRODUCT(Assumptions!$E$112:$E$114,Assumptions!$G$112:$G$114)</f>
        <v/>
      </c>
      <c r="AQ8" s="233">
        <f>'Revenue Forecast'!AQ6*SUMPRODUCT(Assumptions!$E$112:$E$114,Assumptions!$G$112:$G$114)</f>
        <v/>
      </c>
      <c r="AR8" s="233">
        <f>'Revenue Forecast'!AR6*SUMPRODUCT(Assumptions!$E$112:$E$114,Assumptions!$G$112:$G$114)</f>
        <v/>
      </c>
      <c r="AS8" s="233">
        <f>'Revenue Forecast'!AS6*SUMPRODUCT(Assumptions!$E$112:$E$114,Assumptions!$G$112:$G$114)</f>
        <v/>
      </c>
      <c r="AT8" s="233">
        <f>'Revenue Forecast'!AT6*SUMPRODUCT(Assumptions!$E$112:$E$114,Assumptions!$G$112:$G$114)</f>
        <v/>
      </c>
      <c r="AU8" s="233">
        <f>'Revenue Forecast'!AU6*SUMPRODUCT(Assumptions!$E$112:$E$114,Assumptions!$G$112:$G$114)</f>
        <v/>
      </c>
      <c r="AV8" s="233">
        <f>'Revenue Forecast'!AV6*SUMPRODUCT(Assumptions!$E$112:$E$114,Assumptions!$G$112:$G$114)</f>
        <v/>
      </c>
      <c r="AW8" s="233">
        <f>'Revenue Forecast'!AW6*SUMPRODUCT(Assumptions!$E$112:$E$114,Assumptions!$G$112:$G$114)</f>
        <v/>
      </c>
      <c r="AX8" s="233">
        <f>'Revenue Forecast'!AX6*SUMPRODUCT(Assumptions!$E$112:$E$114,Assumptions!$G$112:$G$114)</f>
        <v/>
      </c>
      <c r="AY8" s="233">
        <f>'Revenue Forecast'!AY6*SUMPRODUCT(Assumptions!$E$112:$E$114,Assumptions!$G$112:$G$114)</f>
        <v/>
      </c>
      <c r="AZ8" s="233">
        <f>'Revenue Forecast'!AZ6*SUMPRODUCT(Assumptions!$E$112:$E$114,Assumptions!$G$112:$G$114)</f>
        <v/>
      </c>
      <c r="BA8" s="233" t="n"/>
      <c r="BB8" s="233" t="n"/>
      <c r="BC8" s="233">
        <f>SUM(Q8:AB8)</f>
        <v/>
      </c>
      <c r="BD8" s="233">
        <f>SUM(AC8:AN8)</f>
        <v/>
      </c>
      <c r="BE8" s="233">
        <f>SUM(AO8:AZ8)</f>
        <v/>
      </c>
      <c r="BF8" s="233">
        <f>'Revenue Forecast'!BF6*SUMPRODUCT(Assumptions!$E$112:$E$114,Assumptions!$G$112:$G$114)</f>
        <v/>
      </c>
      <c r="BG8" s="226" t="n"/>
      <c r="BH8" s="350" t="inlineStr">
        <is>
          <t>units x upsell cost (attach % x cost of each item)</t>
        </is>
      </c>
      <c r="BI8" s="226" t="n"/>
      <c r="BJ8" s="226" t="n"/>
    </row>
    <row r="9" ht="12.75" customHeight="1" s="349">
      <c r="A9" s="307" t="n"/>
      <c r="B9" s="144" t="inlineStr">
        <is>
          <t>Total TTK COGS</t>
        </is>
      </c>
      <c r="C9" s="105" t="n"/>
      <c r="D9" s="144" t="inlineStr">
        <is>
          <t>€</t>
        </is>
      </c>
      <c r="E9" s="79" t="n"/>
      <c r="F9" s="79" t="n"/>
      <c r="G9" s="79" t="n"/>
      <c r="H9" s="79" t="n"/>
      <c r="I9" s="79" t="n"/>
      <c r="J9" s="79" t="n"/>
      <c r="K9" s="79" t="n"/>
      <c r="L9" s="79" t="n"/>
      <c r="M9" s="79" t="n"/>
      <c r="N9" s="79" t="n"/>
      <c r="O9" s="79" t="n"/>
      <c r="P9" s="79" t="n"/>
      <c r="Q9" s="79">
        <f>sum(Q7:Q8)</f>
        <v/>
      </c>
      <c r="R9" s="79">
        <f>sum(R7:R8)</f>
        <v/>
      </c>
      <c r="S9" s="79">
        <f>sum(S7:S8)</f>
        <v/>
      </c>
      <c r="T9" s="79">
        <f>sum(T7:T8)</f>
        <v/>
      </c>
      <c r="U9" s="79">
        <f>sum(U7:U8)</f>
        <v/>
      </c>
      <c r="V9" s="79">
        <f>sum(V7:V8)</f>
        <v/>
      </c>
      <c r="W9" s="79">
        <f>sum(W7:W8)</f>
        <v/>
      </c>
      <c r="X9" s="79">
        <f>sum(X7:X8)</f>
        <v/>
      </c>
      <c r="Y9" s="79">
        <f>sum(Y7:Y8)</f>
        <v/>
      </c>
      <c r="Z9" s="79">
        <f>sum(Z7:Z8)</f>
        <v/>
      </c>
      <c r="AA9" s="79">
        <f>sum(AA7:AA8)</f>
        <v/>
      </c>
      <c r="AB9" s="79">
        <f>sum(AB7:AB8)</f>
        <v/>
      </c>
      <c r="AC9" s="79">
        <f>sum(AC7:AC8)</f>
        <v/>
      </c>
      <c r="AD9" s="79">
        <f>sum(AD7:AD8)</f>
        <v/>
      </c>
      <c r="AE9" s="79">
        <f>sum(AE7:AE8)</f>
        <v/>
      </c>
      <c r="AF9" s="79">
        <f>sum(AF7:AF8)</f>
        <v/>
      </c>
      <c r="AG9" s="79">
        <f>sum(AG7:AG8)</f>
        <v/>
      </c>
      <c r="AH9" s="79">
        <f>sum(AH7:AH8)</f>
        <v/>
      </c>
      <c r="AI9" s="79">
        <f>sum(AI7:AI8)</f>
        <v/>
      </c>
      <c r="AJ9" s="79">
        <f>sum(AJ7:AJ8)</f>
        <v/>
      </c>
      <c r="AK9" s="79">
        <f>sum(AK7:AK8)</f>
        <v/>
      </c>
      <c r="AL9" s="79">
        <f>sum(AL7:AL8)</f>
        <v/>
      </c>
      <c r="AM9" s="79">
        <f>sum(AM7:AM8)</f>
        <v/>
      </c>
      <c r="AN9" s="79">
        <f>sum(AN7:AN8)</f>
        <v/>
      </c>
      <c r="AO9" s="79">
        <f>sum(AO7:AO8)</f>
        <v/>
      </c>
      <c r="AP9" s="79">
        <f>sum(AP7:AP8)</f>
        <v/>
      </c>
      <c r="AQ9" s="79">
        <f>sum(AQ7:AQ8)</f>
        <v/>
      </c>
      <c r="AR9" s="79">
        <f>sum(AR7:AR8)</f>
        <v/>
      </c>
      <c r="AS9" s="79">
        <f>sum(AS7:AS8)</f>
        <v/>
      </c>
      <c r="AT9" s="79">
        <f>sum(AT7:AT8)</f>
        <v/>
      </c>
      <c r="AU9" s="79">
        <f>sum(AU7:AU8)</f>
        <v/>
      </c>
      <c r="AV9" s="79">
        <f>sum(AV7:AV8)</f>
        <v/>
      </c>
      <c r="AW9" s="79">
        <f>sum(AW7:AW8)</f>
        <v/>
      </c>
      <c r="AX9" s="79">
        <f>sum(AX7:AX8)</f>
        <v/>
      </c>
      <c r="AY9" s="79">
        <f>sum(AY7:AY8)</f>
        <v/>
      </c>
      <c r="AZ9" s="79">
        <f>sum(AZ7:AZ8)</f>
        <v/>
      </c>
      <c r="BA9" s="233" t="n"/>
      <c r="BB9" s="157">
        <f>SUM(E9:P9)</f>
        <v/>
      </c>
      <c r="BC9" s="157">
        <f>SUM(Q9:AB9)</f>
        <v/>
      </c>
      <c r="BD9" s="157">
        <f>SUM(AC9:AN9)</f>
        <v/>
      </c>
      <c r="BE9" s="157">
        <f>SUM(AO9:AZ9)</f>
        <v/>
      </c>
      <c r="BF9" s="157">
        <f>sum(BF7:BF8)</f>
        <v/>
      </c>
      <c r="BG9" s="158" t="n"/>
      <c r="BH9" s="350" t="inlineStr">
        <is>
          <t>machine cost + upsell cost</t>
        </is>
      </c>
      <c r="BI9" s="158" t="n"/>
      <c r="BJ9" s="158" t="n"/>
    </row>
    <row r="10">
      <c r="A10" s="307" t="n"/>
      <c r="B10" s="307" t="n"/>
      <c r="C10" s="307" t="n"/>
      <c r="D10" s="307" t="n"/>
      <c r="E10" s="307" t="n"/>
      <c r="F10" s="307" t="n"/>
      <c r="G10" s="307" t="n"/>
      <c r="H10" s="307" t="n"/>
      <c r="I10" s="307" t="n"/>
      <c r="J10" s="307" t="n"/>
      <c r="K10" s="307" t="n"/>
      <c r="L10" s="307" t="n"/>
      <c r="M10" s="233" t="n"/>
      <c r="N10" s="233" t="n"/>
      <c r="O10" s="233" t="n"/>
      <c r="P10" s="233" t="n"/>
      <c r="Q10" s="233" t="n"/>
      <c r="R10" s="233" t="n"/>
      <c r="S10" s="233" t="n"/>
      <c r="T10" s="233" t="n"/>
      <c r="U10" s="233" t="n"/>
      <c r="V10" s="233" t="n"/>
      <c r="W10" s="233" t="n"/>
      <c r="X10" s="233" t="n"/>
      <c r="Y10" s="233" t="n"/>
      <c r="Z10" s="233" t="n"/>
      <c r="AA10" s="233" t="n"/>
      <c r="AB10" s="233" t="n"/>
      <c r="AC10" s="233" t="n"/>
      <c r="AD10" s="233" t="n"/>
      <c r="AE10" s="233" t="n"/>
      <c r="AF10" s="233" t="n"/>
      <c r="AG10" s="233" t="n"/>
      <c r="AH10" s="233" t="n"/>
      <c r="AI10" s="233" t="n"/>
      <c r="AJ10" s="233" t="n"/>
      <c r="AK10" s="233" t="n"/>
      <c r="AL10" s="233" t="n"/>
      <c r="AM10" s="233" t="n"/>
      <c r="AN10" s="233" t="n"/>
      <c r="AO10" s="233" t="n"/>
      <c r="AP10" s="233" t="n"/>
      <c r="AQ10" s="233" t="n"/>
      <c r="AR10" s="233" t="n"/>
      <c r="AS10" s="233" t="n"/>
      <c r="AT10" s="233" t="n"/>
      <c r="AU10" s="233" t="n"/>
      <c r="AV10" s="233" t="n"/>
      <c r="AW10" s="233" t="n"/>
      <c r="AX10" s="233" t="n"/>
      <c r="AY10" s="233" t="n"/>
      <c r="AZ10" s="233" t="n"/>
      <c r="BA10" s="233" t="n"/>
      <c r="BB10" s="233" t="n"/>
      <c r="BC10" s="233" t="n"/>
      <c r="BD10" s="233" t="n"/>
      <c r="BE10" s="233" t="n"/>
      <c r="BF10" s="233" t="n"/>
      <c r="BG10" s="226" t="n"/>
      <c r="BH10" s="350" t="n"/>
      <c r="BI10" s="226" t="n"/>
      <c r="BJ10" s="226" t="n"/>
    </row>
    <row r="11" ht="12.75" customHeight="1" s="349">
      <c r="A11" s="307" t="n"/>
      <c r="B11" s="234" t="inlineStr">
        <is>
          <t>COMBI+</t>
        </is>
      </c>
      <c r="C11" s="235" t="n"/>
      <c r="D11" s="234" t="n"/>
      <c r="E11" s="236" t="n"/>
      <c r="F11" s="236" t="n"/>
      <c r="G11" s="236" t="n"/>
      <c r="H11" s="236" t="n"/>
      <c r="I11" s="236" t="n"/>
      <c r="J11" s="236" t="n"/>
      <c r="K11" s="236" t="n"/>
      <c r="L11" s="236" t="n"/>
      <c r="M11" s="236" t="n"/>
      <c r="N11" s="236" t="n"/>
      <c r="O11" s="236" t="n"/>
      <c r="P11" s="236" t="n"/>
      <c r="Q11" s="236" t="n"/>
      <c r="R11" s="236" t="n"/>
      <c r="S11" s="236" t="n"/>
      <c r="T11" s="236" t="n"/>
      <c r="U11" s="236" t="n"/>
      <c r="V11" s="236" t="n"/>
      <c r="W11" s="236" t="n"/>
      <c r="X11" s="236" t="n"/>
      <c r="Y11" s="236" t="n"/>
      <c r="Z11" s="236" t="n"/>
      <c r="AA11" s="236" t="n"/>
      <c r="AB11" s="236" t="n"/>
      <c r="AC11" s="236" t="n"/>
      <c r="AD11" s="236" t="n"/>
      <c r="AE11" s="236" t="n"/>
      <c r="AF11" s="236" t="n"/>
      <c r="AG11" s="236" t="n"/>
      <c r="AH11" s="236" t="n"/>
      <c r="AI11" s="236" t="n"/>
      <c r="AJ11" s="236" t="n"/>
      <c r="AK11" s="236" t="n"/>
      <c r="AL11" s="236" t="n"/>
      <c r="AM11" s="236" t="n"/>
      <c r="AN11" s="236" t="n"/>
      <c r="AO11" s="236" t="n"/>
      <c r="AP11" s="236" t="n"/>
      <c r="AQ11" s="236" t="n"/>
      <c r="AR11" s="236" t="n"/>
      <c r="AS11" s="236" t="n"/>
      <c r="AT11" s="236" t="n"/>
      <c r="AU11" s="236" t="n"/>
      <c r="AV11" s="236" t="n"/>
      <c r="AW11" s="236" t="n"/>
      <c r="AX11" s="236" t="n"/>
      <c r="AY11" s="236" t="n"/>
      <c r="AZ11" s="236" t="n"/>
      <c r="BA11" s="233" t="n"/>
      <c r="BB11" s="157" t="n"/>
      <c r="BC11" s="157" t="n"/>
      <c r="BD11" s="157" t="n"/>
      <c r="BE11" s="157" t="n"/>
      <c r="BF11" s="157" t="n"/>
      <c r="BG11" s="158" t="n"/>
      <c r="BH11" s="350" t="n"/>
      <c r="BI11" s="158" t="n"/>
      <c r="BJ11" s="158" t="n"/>
    </row>
    <row r="12" ht="15" customHeight="1" s="349">
      <c r="A12" s="307" t="n"/>
      <c r="B12" s="237" t="inlineStr">
        <is>
          <t>Combi+</t>
        </is>
      </c>
      <c r="C12" s="307" t="n"/>
      <c r="D12" s="223" t="n"/>
      <c r="E12" s="224" t="n"/>
      <c r="F12" s="224" t="n"/>
      <c r="G12" s="224" t="n"/>
      <c r="H12" s="224" t="n"/>
      <c r="I12" s="224" t="n"/>
      <c r="J12" s="224" t="n"/>
      <c r="K12" s="224" t="n"/>
      <c r="L12" s="224" t="n"/>
      <c r="M12" s="241" t="n"/>
      <c r="N12" s="241" t="n"/>
      <c r="O12" s="241" t="n"/>
      <c r="P12" s="241" t="n"/>
      <c r="Q12" s="241">
        <f>IFERROR('Revenue Forecast'!Q12*(VLOOKUP('Revenue Forecast'!$BC$34,Assumptions!$B$67:$C$69,2,TRUE)+VLOOKUP('Revenue Forecast'!$BC$12,Assumptions!$B$78:$C$80,2,TRUE)+Assumptions!$E$74),0)</f>
        <v/>
      </c>
      <c r="R12" s="241">
        <f>IFERROR('Revenue Forecast'!R12*(VLOOKUP('Revenue Forecast'!$BC$34,Assumptions!$B$67:$C$69,2,TRUE)+VLOOKUP('Revenue Forecast'!$BC$12,Assumptions!$B$78:$C$80,2,TRUE)+Assumptions!$E$74),0)</f>
        <v/>
      </c>
      <c r="S12" s="241">
        <f>IFERROR('Revenue Forecast'!S12*(VLOOKUP('Revenue Forecast'!$BC$34,Assumptions!$B$67:$C$69,2,TRUE)+VLOOKUP('Revenue Forecast'!$BC$12,Assumptions!$B$78:$C$80,2,TRUE)+Assumptions!$E$74),0)</f>
        <v/>
      </c>
      <c r="T12" s="241">
        <f>IFERROR('Revenue Forecast'!T12*(VLOOKUP('Revenue Forecast'!$BC$34,Assumptions!$B$67:$C$69,2,TRUE)+VLOOKUP('Revenue Forecast'!$BC$12,Assumptions!$B$78:$C$80,2,TRUE)+Assumptions!$E$74),0)</f>
        <v/>
      </c>
      <c r="U12" s="241">
        <f>IFERROR('Revenue Forecast'!U12*(VLOOKUP('Revenue Forecast'!$BC$34,Assumptions!$B$67:$C$69,2,TRUE)+VLOOKUP('Revenue Forecast'!$BC$12,Assumptions!$B$78:$C$80,2,TRUE)+Assumptions!$E$74),0)</f>
        <v/>
      </c>
      <c r="V12" s="241">
        <f>IFERROR('Revenue Forecast'!V12*(VLOOKUP('Revenue Forecast'!$BC$34,Assumptions!$B$67:$C$69,2,TRUE)+VLOOKUP('Revenue Forecast'!$BC$12,Assumptions!$B$78:$C$80,2,TRUE)+Assumptions!$E$74),0)</f>
        <v/>
      </c>
      <c r="W12" s="241">
        <f>IFERROR('Revenue Forecast'!W12*(VLOOKUP('Revenue Forecast'!$BC$34,Assumptions!$B$67:$C$69,2,TRUE)+VLOOKUP('Revenue Forecast'!$BC$12,Assumptions!$B$78:$C$80,2,TRUE)+Assumptions!$E$74),0)</f>
        <v/>
      </c>
      <c r="X12" s="241">
        <f>IFERROR('Revenue Forecast'!X12*(VLOOKUP('Revenue Forecast'!$BC$34,Assumptions!$B$67:$C$69,2,TRUE)+VLOOKUP('Revenue Forecast'!$BC$12,Assumptions!$B$78:$C$80,2,TRUE)+Assumptions!$E$74),0)</f>
        <v/>
      </c>
      <c r="Y12" s="241">
        <f>IFERROR('Revenue Forecast'!Y12*(VLOOKUP('Revenue Forecast'!$BC$34,Assumptions!$B$67:$C$69,2,TRUE)+VLOOKUP('Revenue Forecast'!$BC$12,Assumptions!$B$78:$C$80,2,TRUE)+Assumptions!$E$74),0)</f>
        <v/>
      </c>
      <c r="Z12" s="241">
        <f>IFERROR('Revenue Forecast'!Z12*(VLOOKUP('Revenue Forecast'!$BC$34,Assumptions!$B$67:$C$69,2,TRUE)+VLOOKUP('Revenue Forecast'!$BC$12,Assumptions!$B$78:$C$80,2,TRUE)+Assumptions!$E$74),0)</f>
        <v/>
      </c>
      <c r="AA12" s="241">
        <f>IFERROR('Revenue Forecast'!AA12*(VLOOKUP('Revenue Forecast'!$BC$34,Assumptions!$B$67:$C$69,2,TRUE)+VLOOKUP('Revenue Forecast'!$BC$12,Assumptions!$B$78:$C$80,2,TRUE)+Assumptions!$E$74),0)</f>
        <v/>
      </c>
      <c r="AB12" s="241">
        <f>IFERROR('Revenue Forecast'!AB12*(VLOOKUP('Revenue Forecast'!$BC$34,Assumptions!$B$67:$C$69,2,TRUE)+VLOOKUP('Revenue Forecast'!$BC$12,Assumptions!$B$78:$C$80,2,TRUE)+Assumptions!$E$74),0)</f>
        <v/>
      </c>
      <c r="AC12" s="241">
        <f>IFERROR('Revenue Forecast'!AC12*(VLOOKUP(IF(Assumptions!$D$83=2,'Revenue Forecast'!$BD$34+'Revenue Forecast'!$BE$34,'Revenue Forecast'!$BD$34),Assumptions!$B$67:$C$69,2,TRUE)+VLOOKUP(IF(Assumptions!$D$83=2,'Revenue Forecast'!$BD$12+'Revenue Forecast'!$BE$12,'Revenue Forecast'!$BD$12),Assumptions!$B$78:$C$80,2,TRUE)+Assumptions!$E$74),0)</f>
        <v/>
      </c>
      <c r="AD12" s="241">
        <f>IFERROR('Revenue Forecast'!AD12*(VLOOKUP(IF(Assumptions!$D$83=2,'Revenue Forecast'!$BD$34+'Revenue Forecast'!$BE$34,'Revenue Forecast'!$BD$34),Assumptions!$B$67:$C$69,2,TRUE)+VLOOKUP(IF(Assumptions!$D$83=2,'Revenue Forecast'!$BD$12+'Revenue Forecast'!$BE$12,'Revenue Forecast'!$BD$12),Assumptions!$B$78:$C$80,2,TRUE)+Assumptions!$E$74),0)</f>
        <v/>
      </c>
      <c r="AE12" s="241">
        <f>IFERROR('Revenue Forecast'!AE12*(VLOOKUP(IF(Assumptions!$D$83=2,'Revenue Forecast'!$BD$34+'Revenue Forecast'!$BE$34,'Revenue Forecast'!$BD$34),Assumptions!$B$67:$C$69,2,TRUE)+VLOOKUP(IF(Assumptions!$D$83=2,'Revenue Forecast'!$BD$12+'Revenue Forecast'!$BE$12,'Revenue Forecast'!$BD$12),Assumptions!$B$78:$C$80,2,TRUE)+Assumptions!$E$74),0)</f>
        <v/>
      </c>
      <c r="AF12" s="241">
        <f>IFERROR('Revenue Forecast'!AF12*(VLOOKUP(IF(Assumptions!$D$83=2,'Revenue Forecast'!$BD$34+'Revenue Forecast'!$BE$34,'Revenue Forecast'!$BD$34),Assumptions!$B$67:$C$69,2,TRUE)+VLOOKUP(IF(Assumptions!$D$83=2,'Revenue Forecast'!$BD$12+'Revenue Forecast'!$BE$12,'Revenue Forecast'!$BD$12),Assumptions!$B$78:$C$80,2,TRUE)+Assumptions!$E$74),0)</f>
        <v/>
      </c>
      <c r="AG12" s="241">
        <f>IFERROR('Revenue Forecast'!AG12*(VLOOKUP(IF(Assumptions!$D$83=2,'Revenue Forecast'!$BD$34+'Revenue Forecast'!$BE$34,'Revenue Forecast'!$BD$34),Assumptions!$B$67:$C$69,2,TRUE)+VLOOKUP(IF(Assumptions!$D$83=2,'Revenue Forecast'!$BD$12+'Revenue Forecast'!$BE$12,'Revenue Forecast'!$BD$12),Assumptions!$B$78:$C$80,2,TRUE)+Assumptions!$E$74),0)</f>
        <v/>
      </c>
      <c r="AH12" s="241">
        <f>IFERROR('Revenue Forecast'!AH12*(VLOOKUP(IF(Assumptions!$D$83=2,'Revenue Forecast'!$BD$34+'Revenue Forecast'!$BE$34,'Revenue Forecast'!$BD$34),Assumptions!$B$67:$C$69,2,TRUE)+VLOOKUP(IF(Assumptions!$D$83=2,'Revenue Forecast'!$BD$12+'Revenue Forecast'!$BE$12,'Revenue Forecast'!$BD$12),Assumptions!$B$78:$C$80,2,TRUE)+Assumptions!$E$74),0)</f>
        <v/>
      </c>
      <c r="AI12" s="241">
        <f>IFERROR('Revenue Forecast'!AI12*(VLOOKUP(IF(Assumptions!$D$83=2,'Revenue Forecast'!$BD$34+'Revenue Forecast'!$BE$34,'Revenue Forecast'!$BD$34),Assumptions!$B$67:$C$69,2,TRUE)+VLOOKUP(IF(Assumptions!$D$83=2,'Revenue Forecast'!$BD$12+'Revenue Forecast'!$BE$12,'Revenue Forecast'!$BD$12),Assumptions!$B$78:$C$80,2,TRUE)+Assumptions!$E$74),0)</f>
        <v/>
      </c>
      <c r="AJ12" s="241">
        <f>IFERROR('Revenue Forecast'!AJ12*(VLOOKUP(IF(Assumptions!$D$83=2,'Revenue Forecast'!$BD$34+'Revenue Forecast'!$BE$34,'Revenue Forecast'!$BD$34),Assumptions!$B$67:$C$69,2,TRUE)+VLOOKUP(IF(Assumptions!$D$83=2,'Revenue Forecast'!$BD$12+'Revenue Forecast'!$BE$12,'Revenue Forecast'!$BD$12),Assumptions!$B$78:$C$80,2,TRUE)+Assumptions!$E$74),0)</f>
        <v/>
      </c>
      <c r="AK12" s="241">
        <f>IFERROR('Revenue Forecast'!AK12*(VLOOKUP(IF(Assumptions!$D$83=2,'Revenue Forecast'!$BD$34+'Revenue Forecast'!$BE$34,'Revenue Forecast'!$BD$34),Assumptions!$B$67:$C$69,2,TRUE)+VLOOKUP(IF(Assumptions!$D$83=2,'Revenue Forecast'!$BD$12+'Revenue Forecast'!$BE$12,'Revenue Forecast'!$BD$12),Assumptions!$B$78:$C$80,2,TRUE)+Assumptions!$E$74),0)</f>
        <v/>
      </c>
      <c r="AL12" s="241">
        <f>IFERROR('Revenue Forecast'!AL12*(VLOOKUP(IF(Assumptions!$D$83=2,'Revenue Forecast'!$BD$34+'Revenue Forecast'!$BE$34,'Revenue Forecast'!$BD$34),Assumptions!$B$67:$C$69,2,TRUE)+VLOOKUP(IF(Assumptions!$D$83=2,'Revenue Forecast'!$BD$12+'Revenue Forecast'!$BE$12,'Revenue Forecast'!$BD$12),Assumptions!$B$78:$C$80,2,TRUE)+Assumptions!$E$74),0)</f>
        <v/>
      </c>
      <c r="AM12" s="241">
        <f>IFERROR('Revenue Forecast'!AM12*(VLOOKUP(IF(Assumptions!$D$83=2,'Revenue Forecast'!$BD$34+'Revenue Forecast'!$BE$34,'Revenue Forecast'!$BD$34),Assumptions!$B$67:$C$69,2,TRUE)+VLOOKUP(IF(Assumptions!$D$83=2,'Revenue Forecast'!$BD$12+'Revenue Forecast'!$BE$12,'Revenue Forecast'!$BD$12),Assumptions!$B$78:$C$80,2,TRUE)+Assumptions!$E$74),0)</f>
        <v/>
      </c>
      <c r="AN12" s="241">
        <f>IFERROR('Revenue Forecast'!AN12*(VLOOKUP(IF(Assumptions!$D$83=2,'Revenue Forecast'!$BD$34+'Revenue Forecast'!$BE$34,'Revenue Forecast'!$BD$34),Assumptions!$B$67:$C$69,2,TRUE)+VLOOKUP(IF(Assumptions!$D$83=2,'Revenue Forecast'!$BD$12+'Revenue Forecast'!$BE$12,'Revenue Forecast'!$BD$12),Assumptions!$B$78:$C$80,2,TRUE)+Assumptions!$E$74),0)</f>
        <v/>
      </c>
      <c r="AO12" s="241">
        <f>IFERROR('Revenue Forecast'!AO12*(VLOOKUP(IF(Assumptions!$D$83=2,'Revenue Forecast'!$BE$34+'Revenue Forecast'!$BF$34,'Revenue Forecast'!$BE$34),Assumptions!$B$67:$C$69,2,TRUE)+VLOOKUP(IF(Assumptions!$D$83=2,'Revenue Forecast'!$BE$12+'Revenue Forecast'!$BF$12,'Revenue Forecast'!$BE$12),Assumptions!$B$78:$C$80,2,TRUE)+Assumptions!$E$74),0)</f>
        <v/>
      </c>
      <c r="AP12" s="241">
        <f>IFERROR('Revenue Forecast'!AP12*(VLOOKUP(IF(Assumptions!$D$83=2,'Revenue Forecast'!$BE$34+'Revenue Forecast'!$BF$34,'Revenue Forecast'!$BE$34),Assumptions!$B$67:$C$69,2,TRUE)+VLOOKUP(IF(Assumptions!$D$83=2,'Revenue Forecast'!$BE$12+'Revenue Forecast'!$BF$12,'Revenue Forecast'!$BE$12),Assumptions!$B$78:$C$80,2,TRUE)+Assumptions!$E$74),0)</f>
        <v/>
      </c>
      <c r="AQ12" s="241">
        <f>IFERROR('Revenue Forecast'!AQ12*(VLOOKUP(IF(Assumptions!$D$83=2,'Revenue Forecast'!$BE$34+'Revenue Forecast'!$BF$34,'Revenue Forecast'!$BE$34),Assumptions!$B$67:$C$69,2,TRUE)+VLOOKUP(IF(Assumptions!$D$83=2,'Revenue Forecast'!$BE$12+'Revenue Forecast'!$BF$12,'Revenue Forecast'!$BE$12),Assumptions!$B$78:$C$80,2,TRUE)+Assumptions!$E$74),0)</f>
        <v/>
      </c>
      <c r="AR12" s="241">
        <f>IFERROR('Revenue Forecast'!AR12*(VLOOKUP(IF(Assumptions!$D$83=2,'Revenue Forecast'!$BE$34+'Revenue Forecast'!$BF$34,'Revenue Forecast'!$BE$34),Assumptions!$B$67:$C$69,2,TRUE)+VLOOKUP(IF(Assumptions!$D$83=2,'Revenue Forecast'!$BE$12+'Revenue Forecast'!$BF$12,'Revenue Forecast'!$BE$12),Assumptions!$B$78:$C$80,2,TRUE)+Assumptions!$E$74),0)</f>
        <v/>
      </c>
      <c r="AS12" s="241">
        <f>IFERROR('Revenue Forecast'!AS12*(VLOOKUP(IF(Assumptions!$D$83=2,'Revenue Forecast'!$BE$34+'Revenue Forecast'!$BF$34,'Revenue Forecast'!$BE$34),Assumptions!$B$67:$C$69,2,TRUE)+VLOOKUP(IF(Assumptions!$D$83=2,'Revenue Forecast'!$BE$12+'Revenue Forecast'!$BF$12,'Revenue Forecast'!$BE$12),Assumptions!$B$78:$C$80,2,TRUE)+Assumptions!$E$74),0)</f>
        <v/>
      </c>
      <c r="AT12" s="241">
        <f>IFERROR('Revenue Forecast'!AT12*(VLOOKUP(IF(Assumptions!$D$83=2,'Revenue Forecast'!$BE$34+'Revenue Forecast'!$BF$34,'Revenue Forecast'!$BE$34),Assumptions!$B$67:$C$69,2,TRUE)+VLOOKUP(IF(Assumptions!$D$83=2,'Revenue Forecast'!$BE$12+'Revenue Forecast'!$BF$12,'Revenue Forecast'!$BE$12),Assumptions!$B$78:$C$80,2,TRUE)+Assumptions!$E$74),0)</f>
        <v/>
      </c>
      <c r="AU12" s="241">
        <f>IFERROR('Revenue Forecast'!AU12*(VLOOKUP(IF(Assumptions!$D$83=2,'Revenue Forecast'!$BE$34+'Revenue Forecast'!$BF$34,'Revenue Forecast'!$BE$34),Assumptions!$B$67:$C$69,2,TRUE)+VLOOKUP(IF(Assumptions!$D$83=2,'Revenue Forecast'!$BE$12+'Revenue Forecast'!$BF$12,'Revenue Forecast'!$BE$12),Assumptions!$B$78:$C$80,2,TRUE)+Assumptions!$E$74),0)</f>
        <v/>
      </c>
      <c r="AV12" s="241">
        <f>IFERROR('Revenue Forecast'!AV12*(VLOOKUP(IF(Assumptions!$D$83=2,'Revenue Forecast'!$BE$34+'Revenue Forecast'!$BF$34,'Revenue Forecast'!$BE$34),Assumptions!$B$67:$C$69,2,TRUE)+VLOOKUP(IF(Assumptions!$D$83=2,'Revenue Forecast'!$BE$12+'Revenue Forecast'!$BF$12,'Revenue Forecast'!$BE$12),Assumptions!$B$78:$C$80,2,TRUE)+Assumptions!$E$74),0)</f>
        <v/>
      </c>
      <c r="AW12" s="241">
        <f>IFERROR('Revenue Forecast'!AW12*(VLOOKUP(IF(Assumptions!$D$83=2,'Revenue Forecast'!$BE$34+'Revenue Forecast'!$BF$34,'Revenue Forecast'!$BE$34),Assumptions!$B$67:$C$69,2,TRUE)+VLOOKUP(IF(Assumptions!$D$83=2,'Revenue Forecast'!$BE$12+'Revenue Forecast'!$BF$12,'Revenue Forecast'!$BE$12),Assumptions!$B$78:$C$80,2,TRUE)+Assumptions!$E$74),0)</f>
        <v/>
      </c>
      <c r="AX12" s="241">
        <f>IFERROR('Revenue Forecast'!AX12*(VLOOKUP(IF(Assumptions!$D$83=2,'Revenue Forecast'!$BE$34+'Revenue Forecast'!$BF$34,'Revenue Forecast'!$BE$34),Assumptions!$B$67:$C$69,2,TRUE)+VLOOKUP(IF(Assumptions!$D$83=2,'Revenue Forecast'!$BE$12+'Revenue Forecast'!$BF$12,'Revenue Forecast'!$BE$12),Assumptions!$B$78:$C$80,2,TRUE)+Assumptions!$E$74),0)</f>
        <v/>
      </c>
      <c r="AY12" s="241">
        <f>IFERROR('Revenue Forecast'!AY12*(VLOOKUP(IF(Assumptions!$D$83=2,'Revenue Forecast'!$BE$34+'Revenue Forecast'!$BF$34,'Revenue Forecast'!$BE$34),Assumptions!$B$67:$C$69,2,TRUE)+VLOOKUP(IF(Assumptions!$D$83=2,'Revenue Forecast'!$BE$12+'Revenue Forecast'!$BF$12,'Revenue Forecast'!$BE$12),Assumptions!$B$78:$C$80,2,TRUE)+Assumptions!$E$74),0)</f>
        <v/>
      </c>
      <c r="AZ12" s="241">
        <f>IFERROR('Revenue Forecast'!AZ12*(VLOOKUP(IF(Assumptions!$D$83=2,'Revenue Forecast'!$BE$34+'Revenue Forecast'!$BF$34,'Revenue Forecast'!$BE$34),Assumptions!$B$67:$C$69,2,TRUE)+VLOOKUP(IF(Assumptions!$D$83=2,'Revenue Forecast'!$BE$12+'Revenue Forecast'!$BF$12,'Revenue Forecast'!$BE$12),Assumptions!$B$78:$C$80,2,TRUE)+Assumptions!$E$74),0)</f>
        <v/>
      </c>
      <c r="BA12" s="233" t="n"/>
      <c r="BB12" s="233" t="n"/>
      <c r="BC12" s="233">
        <f>SUM(Q12:AB12)</f>
        <v/>
      </c>
      <c r="BD12" s="233">
        <f>SUM(AC12:AN12)</f>
        <v/>
      </c>
      <c r="BE12" s="233">
        <f>SUM(AO12:AZ12)</f>
        <v/>
      </c>
      <c r="BF12" s="233">
        <f>'Revenue Forecast'!BF12*(VLOOKUP(IF(Assumptions!$D$83=2,'Revenue Forecast'!$BF$34+Assumptions!$G$21,'Revenue Forecast'!$BF$34),Assumptions!$B$67:$C$69,2,TRUE)+VLOOKUP(IF(Assumptions!$D$83=2,'Revenue Forecast'!$BF$12+Assumptions!$G$24,'Revenue Forecast'!$BF$12),Assumptions!$B$78:$C$80,2,TRUE)+Assumptions!$E$74)</f>
        <v/>
      </c>
      <c r="BG12" s="226" t="n"/>
      <c r="BH12" s="350" t="inlineStr">
        <is>
          <t>units x (ketel tier + outdoor unit tier + shipping), ketel tier per the row-83 switch</t>
        </is>
      </c>
      <c r="BI12" s="226" t="n"/>
      <c r="BJ12" s="226" t="n"/>
    </row>
    <row r="13">
      <c r="A13" s="307" t="n"/>
      <c r="B13" s="307" t="inlineStr">
        <is>
          <t>Upsell</t>
        </is>
      </c>
      <c r="C13" s="307" t="n"/>
      <c r="D13" s="223" t="n"/>
      <c r="E13" s="307" t="n"/>
      <c r="F13" s="307" t="n"/>
      <c r="G13" s="307" t="n"/>
      <c r="H13" s="307" t="n"/>
      <c r="I13" s="307" t="n"/>
      <c r="J13" s="307" t="n"/>
      <c r="K13" s="307" t="n"/>
      <c r="L13" s="307" t="n"/>
      <c r="M13" s="233" t="n"/>
      <c r="N13" s="233" t="n"/>
      <c r="O13" s="233" t="n"/>
      <c r="P13" s="233" t="n"/>
      <c r="Q13" s="233">
        <f>'Revenue Forecast'!Q12*SUMPRODUCT(Assumptions!$E$112:$E$114,Assumptions!$G$112:$G$114)</f>
        <v/>
      </c>
      <c r="R13" s="233">
        <f>'Revenue Forecast'!R12*SUMPRODUCT(Assumptions!$E$112:$E$114,Assumptions!$G$112:$G$114)</f>
        <v/>
      </c>
      <c r="S13" s="233">
        <f>'Revenue Forecast'!S12*SUMPRODUCT(Assumptions!$E$112:$E$114,Assumptions!$G$112:$G$114)</f>
        <v/>
      </c>
      <c r="T13" s="233">
        <f>'Revenue Forecast'!T12*SUMPRODUCT(Assumptions!$E$112:$E$114,Assumptions!$G$112:$G$114)</f>
        <v/>
      </c>
      <c r="U13" s="233">
        <f>'Revenue Forecast'!U12*SUMPRODUCT(Assumptions!$E$112:$E$114,Assumptions!$G$112:$G$114)</f>
        <v/>
      </c>
      <c r="V13" s="233">
        <f>'Revenue Forecast'!V12*SUMPRODUCT(Assumptions!$E$112:$E$114,Assumptions!$G$112:$G$114)</f>
        <v/>
      </c>
      <c r="W13" s="233">
        <f>'Revenue Forecast'!W12*SUMPRODUCT(Assumptions!$E$112:$E$114,Assumptions!$G$112:$G$114)</f>
        <v/>
      </c>
      <c r="X13" s="233">
        <f>'Revenue Forecast'!X12*SUMPRODUCT(Assumptions!$E$112:$E$114,Assumptions!$G$112:$G$114)</f>
        <v/>
      </c>
      <c r="Y13" s="233">
        <f>'Revenue Forecast'!Y12*SUMPRODUCT(Assumptions!$E$112:$E$114,Assumptions!$G$112:$G$114)</f>
        <v/>
      </c>
      <c r="Z13" s="233">
        <f>'Revenue Forecast'!Z12*SUMPRODUCT(Assumptions!$E$112:$E$114,Assumptions!$G$112:$G$114)</f>
        <v/>
      </c>
      <c r="AA13" s="233">
        <f>'Revenue Forecast'!AA12*SUMPRODUCT(Assumptions!$E$112:$E$114,Assumptions!$G$112:$G$114)</f>
        <v/>
      </c>
      <c r="AB13" s="233">
        <f>'Revenue Forecast'!AB12*SUMPRODUCT(Assumptions!$E$112:$E$114,Assumptions!$G$112:$G$114)</f>
        <v/>
      </c>
      <c r="AC13" s="233">
        <f>'Revenue Forecast'!AC12*SUMPRODUCT(Assumptions!$E$112:$E$114,Assumptions!$G$112:$G$114)</f>
        <v/>
      </c>
      <c r="AD13" s="233">
        <f>'Revenue Forecast'!AD12*SUMPRODUCT(Assumptions!$E$112:$E$114,Assumptions!$G$112:$G$114)</f>
        <v/>
      </c>
      <c r="AE13" s="233">
        <f>'Revenue Forecast'!AE12*SUMPRODUCT(Assumptions!$E$112:$E$114,Assumptions!$G$112:$G$114)</f>
        <v/>
      </c>
      <c r="AF13" s="233">
        <f>'Revenue Forecast'!AF12*SUMPRODUCT(Assumptions!$E$112:$E$114,Assumptions!$G$112:$G$114)</f>
        <v/>
      </c>
      <c r="AG13" s="233">
        <f>'Revenue Forecast'!AG12*SUMPRODUCT(Assumptions!$E$112:$E$114,Assumptions!$G$112:$G$114)</f>
        <v/>
      </c>
      <c r="AH13" s="233">
        <f>'Revenue Forecast'!AH12*SUMPRODUCT(Assumptions!$E$112:$E$114,Assumptions!$G$112:$G$114)</f>
        <v/>
      </c>
      <c r="AI13" s="233">
        <f>'Revenue Forecast'!AI12*SUMPRODUCT(Assumptions!$E$112:$E$114,Assumptions!$G$112:$G$114)</f>
        <v/>
      </c>
      <c r="AJ13" s="233">
        <f>'Revenue Forecast'!AJ12*SUMPRODUCT(Assumptions!$E$112:$E$114,Assumptions!$G$112:$G$114)</f>
        <v/>
      </c>
      <c r="AK13" s="233">
        <f>'Revenue Forecast'!AK12*SUMPRODUCT(Assumptions!$E$112:$E$114,Assumptions!$G$112:$G$114)</f>
        <v/>
      </c>
      <c r="AL13" s="233">
        <f>'Revenue Forecast'!AL12*SUMPRODUCT(Assumptions!$E$112:$E$114,Assumptions!$G$112:$G$114)</f>
        <v/>
      </c>
      <c r="AM13" s="233">
        <f>'Revenue Forecast'!AM12*SUMPRODUCT(Assumptions!$E$112:$E$114,Assumptions!$G$112:$G$114)</f>
        <v/>
      </c>
      <c r="AN13" s="233">
        <f>'Revenue Forecast'!AN12*SUMPRODUCT(Assumptions!$E$112:$E$114,Assumptions!$G$112:$G$114)</f>
        <v/>
      </c>
      <c r="AO13" s="233">
        <f>'Revenue Forecast'!AO12*SUMPRODUCT(Assumptions!$E$112:$E$114,Assumptions!$G$112:$G$114)</f>
        <v/>
      </c>
      <c r="AP13" s="233">
        <f>'Revenue Forecast'!AP12*SUMPRODUCT(Assumptions!$E$112:$E$114,Assumptions!$G$112:$G$114)</f>
        <v/>
      </c>
      <c r="AQ13" s="233">
        <f>'Revenue Forecast'!AQ12*SUMPRODUCT(Assumptions!$E$112:$E$114,Assumptions!$G$112:$G$114)</f>
        <v/>
      </c>
      <c r="AR13" s="233">
        <f>'Revenue Forecast'!AR12*SUMPRODUCT(Assumptions!$E$112:$E$114,Assumptions!$G$112:$G$114)</f>
        <v/>
      </c>
      <c r="AS13" s="233">
        <f>'Revenue Forecast'!AS12*SUMPRODUCT(Assumptions!$E$112:$E$114,Assumptions!$G$112:$G$114)</f>
        <v/>
      </c>
      <c r="AT13" s="233">
        <f>'Revenue Forecast'!AT12*SUMPRODUCT(Assumptions!$E$112:$E$114,Assumptions!$G$112:$G$114)</f>
        <v/>
      </c>
      <c r="AU13" s="233">
        <f>'Revenue Forecast'!AU12*SUMPRODUCT(Assumptions!$E$112:$E$114,Assumptions!$G$112:$G$114)</f>
        <v/>
      </c>
      <c r="AV13" s="233">
        <f>'Revenue Forecast'!AV12*SUMPRODUCT(Assumptions!$E$112:$E$114,Assumptions!$G$112:$G$114)</f>
        <v/>
      </c>
      <c r="AW13" s="233">
        <f>'Revenue Forecast'!AW12*SUMPRODUCT(Assumptions!$E$112:$E$114,Assumptions!$G$112:$G$114)</f>
        <v/>
      </c>
      <c r="AX13" s="233">
        <f>'Revenue Forecast'!AX12*SUMPRODUCT(Assumptions!$E$112:$E$114,Assumptions!$G$112:$G$114)</f>
        <v/>
      </c>
      <c r="AY13" s="233">
        <f>'Revenue Forecast'!AY12*SUMPRODUCT(Assumptions!$E$112:$E$114,Assumptions!$G$112:$G$114)</f>
        <v/>
      </c>
      <c r="AZ13" s="233">
        <f>'Revenue Forecast'!AZ12*SUMPRODUCT(Assumptions!$E$112:$E$114,Assumptions!$G$112:$G$114)</f>
        <v/>
      </c>
      <c r="BA13" s="233" t="n"/>
      <c r="BB13" s="233" t="n"/>
      <c r="BC13" s="233">
        <f>SUM(Q13:AB13)</f>
        <v/>
      </c>
      <c r="BD13" s="233">
        <f>SUM(AC13:AN13)</f>
        <v/>
      </c>
      <c r="BE13" s="233">
        <f>SUM(AO13:AZ13)</f>
        <v/>
      </c>
      <c r="BF13" s="233">
        <f>'Revenue Forecast'!BF12*SUMPRODUCT(Assumptions!$E$112:$E$114,Assumptions!$G$112:$G$114)</f>
        <v/>
      </c>
      <c r="BG13" s="226" t="n"/>
      <c r="BH13" s="350" t="inlineStr">
        <is>
          <t>units x upsell cost</t>
        </is>
      </c>
      <c r="BI13" s="226" t="n"/>
      <c r="BJ13" s="226" t="n"/>
    </row>
    <row r="14" ht="12.75" customHeight="1" s="349">
      <c r="A14" s="307" t="n"/>
      <c r="B14" s="234" t="inlineStr">
        <is>
          <t>Total Combi+ COGS</t>
        </is>
      </c>
      <c r="C14" s="235" t="n"/>
      <c r="D14" s="234" t="n"/>
      <c r="E14" s="236" t="n"/>
      <c r="F14" s="236" t="n"/>
      <c r="G14" s="236" t="n"/>
      <c r="H14" s="236" t="n"/>
      <c r="I14" s="236" t="n"/>
      <c r="J14" s="236" t="n"/>
      <c r="K14" s="236" t="n"/>
      <c r="L14" s="236" t="n"/>
      <c r="M14" s="236" t="n"/>
      <c r="N14" s="236" t="n"/>
      <c r="O14" s="236" t="n"/>
      <c r="P14" s="236" t="n"/>
      <c r="Q14" s="236">
        <f>sum(Q12:Q13)</f>
        <v/>
      </c>
      <c r="R14" s="236">
        <f>sum(R12:R13)</f>
        <v/>
      </c>
      <c r="S14" s="236">
        <f>sum(S12:S13)</f>
        <v/>
      </c>
      <c r="T14" s="236">
        <f>sum(T12:T13)</f>
        <v/>
      </c>
      <c r="U14" s="236">
        <f>sum(U12:U13)</f>
        <v/>
      </c>
      <c r="V14" s="236">
        <f>sum(V12:V13)</f>
        <v/>
      </c>
      <c r="W14" s="236">
        <f>sum(W12:W13)</f>
        <v/>
      </c>
      <c r="X14" s="236">
        <f>sum(X12:X13)</f>
        <v/>
      </c>
      <c r="Y14" s="236">
        <f>sum(Y12:Y13)</f>
        <v/>
      </c>
      <c r="Z14" s="236">
        <f>sum(Z12:Z13)</f>
        <v/>
      </c>
      <c r="AA14" s="236">
        <f>sum(AA12:AA13)</f>
        <v/>
      </c>
      <c r="AB14" s="236">
        <f>sum(AB12:AB13)</f>
        <v/>
      </c>
      <c r="AC14" s="236">
        <f>sum(AC12:AC13)</f>
        <v/>
      </c>
      <c r="AD14" s="236">
        <f>sum(AD12:AD13)</f>
        <v/>
      </c>
      <c r="AE14" s="236">
        <f>sum(AE12:AE13)</f>
        <v/>
      </c>
      <c r="AF14" s="236">
        <f>sum(AF12:AF13)</f>
        <v/>
      </c>
      <c r="AG14" s="236">
        <f>sum(AG12:AG13)</f>
        <v/>
      </c>
      <c r="AH14" s="236">
        <f>sum(AH12:AH13)</f>
        <v/>
      </c>
      <c r="AI14" s="236">
        <f>sum(AI12:AI13)</f>
        <v/>
      </c>
      <c r="AJ14" s="236">
        <f>sum(AJ12:AJ13)</f>
        <v/>
      </c>
      <c r="AK14" s="236">
        <f>sum(AK12:AK13)</f>
        <v/>
      </c>
      <c r="AL14" s="236">
        <f>sum(AL12:AL13)</f>
        <v/>
      </c>
      <c r="AM14" s="236">
        <f>sum(AM12:AM13)</f>
        <v/>
      </c>
      <c r="AN14" s="236">
        <f>sum(AN12:AN13)</f>
        <v/>
      </c>
      <c r="AO14" s="236">
        <f>sum(AO12:AO13)</f>
        <v/>
      </c>
      <c r="AP14" s="236">
        <f>sum(AP12:AP13)</f>
        <v/>
      </c>
      <c r="AQ14" s="236">
        <f>sum(AQ12:AQ13)</f>
        <v/>
      </c>
      <c r="AR14" s="236">
        <f>sum(AR12:AR13)</f>
        <v/>
      </c>
      <c r="AS14" s="236">
        <f>sum(AS12:AS13)</f>
        <v/>
      </c>
      <c r="AT14" s="236">
        <f>sum(AT12:AT13)</f>
        <v/>
      </c>
      <c r="AU14" s="236">
        <f>sum(AU12:AU13)</f>
        <v/>
      </c>
      <c r="AV14" s="236">
        <f>sum(AV12:AV13)</f>
        <v/>
      </c>
      <c r="AW14" s="236">
        <f>sum(AW12:AW13)</f>
        <v/>
      </c>
      <c r="AX14" s="236">
        <f>sum(AX12:AX13)</f>
        <v/>
      </c>
      <c r="AY14" s="236">
        <f>sum(AY12:AY13)</f>
        <v/>
      </c>
      <c r="AZ14" s="236">
        <f>sum(AZ12:AZ13)</f>
        <v/>
      </c>
      <c r="BA14" s="233" t="n"/>
      <c r="BB14" s="157" t="n"/>
      <c r="BC14" s="157">
        <f>sum(BC12:BC13)</f>
        <v/>
      </c>
      <c r="BD14" s="157">
        <f>sum(BD12:BD13)</f>
        <v/>
      </c>
      <c r="BE14" s="157">
        <f>sum(BE12:BE13)</f>
        <v/>
      </c>
      <c r="BF14" s="157">
        <f>sum(BF12:BF13)</f>
        <v/>
      </c>
      <c r="BG14" s="158" t="n"/>
      <c r="BH14" s="350" t="inlineStr">
        <is>
          <t>machine cost + upsell cost</t>
        </is>
      </c>
      <c r="BI14" s="158" t="n"/>
      <c r="BJ14" s="158" t="n"/>
    </row>
    <row r="15">
      <c r="BA15" s="233" t="n"/>
      <c r="BH15" s="83" t="n"/>
    </row>
    <row r="16" ht="13.5" customHeight="1" s="349">
      <c r="A16" s="104" t="n"/>
      <c r="B16" s="144" t="inlineStr">
        <is>
          <t>INSTALLATION</t>
        </is>
      </c>
      <c r="C16" s="104" t="n"/>
      <c r="D16" s="104" t="n"/>
      <c r="E16" s="104" t="n"/>
      <c r="F16" s="104" t="n"/>
      <c r="G16" s="104" t="n"/>
      <c r="H16" s="104" t="n"/>
      <c r="I16" s="104" t="n"/>
      <c r="J16" s="104" t="n"/>
      <c r="K16" s="104" t="n"/>
      <c r="L16" s="104" t="n"/>
      <c r="M16" s="80" t="n"/>
      <c r="N16" s="80" t="n"/>
      <c r="O16" s="80" t="n"/>
      <c r="P16" s="80" t="n"/>
      <c r="Q16" s="80" t="n"/>
      <c r="R16" s="80" t="n"/>
      <c r="S16" s="80" t="n"/>
      <c r="T16" s="80" t="n"/>
      <c r="U16" s="80" t="n"/>
      <c r="V16" s="80" t="n"/>
      <c r="W16" s="80" t="n"/>
      <c r="X16" s="80" t="n"/>
      <c r="Y16" s="80" t="n"/>
      <c r="Z16" s="80" t="n"/>
      <c r="AA16" s="80" t="n"/>
      <c r="AB16" s="80" t="n"/>
      <c r="AC16" s="79" t="n"/>
      <c r="AD16" s="79" t="n"/>
      <c r="AE16" s="79" t="n"/>
      <c r="AF16" s="79" t="n"/>
      <c r="AG16" s="79" t="n"/>
      <c r="AH16" s="79" t="n"/>
      <c r="AI16" s="79" t="n"/>
      <c r="AJ16" s="79" t="n"/>
      <c r="AK16" s="79" t="n"/>
      <c r="AL16" s="79" t="n"/>
      <c r="AM16" s="79" t="n"/>
      <c r="AN16" s="79" t="n"/>
      <c r="AO16" s="79" t="n"/>
      <c r="AP16" s="79" t="n"/>
      <c r="AQ16" s="79" t="n"/>
      <c r="AR16" s="79" t="n"/>
      <c r="AS16" s="79" t="n"/>
      <c r="AT16" s="79" t="n"/>
      <c r="AU16" s="79" t="n"/>
      <c r="AV16" s="79" t="n"/>
      <c r="AW16" s="79" t="n"/>
      <c r="AX16" s="79" t="n"/>
      <c r="AY16" s="79" t="n"/>
      <c r="AZ16" s="79" t="n"/>
      <c r="BA16" s="233" t="n"/>
      <c r="BB16" s="80" t="n"/>
      <c r="BC16" s="85" t="n"/>
      <c r="BD16" s="85" t="n"/>
      <c r="BE16" s="85" t="n"/>
      <c r="BF16" s="85" t="n"/>
      <c r="BG16" s="226" t="n"/>
      <c r="BH16" s="350" t="n"/>
      <c r="BI16" s="226" t="n"/>
      <c r="BJ16" s="226" t="n"/>
    </row>
    <row r="17" ht="15" customHeight="1" s="349">
      <c r="A17" s="307" t="n"/>
      <c r="B17" s="237" t="inlineStr">
        <is>
          <t>Installation COGS (pass-through, = installation revenue)</t>
        </is>
      </c>
      <c r="C17" s="307" t="n"/>
      <c r="D17" s="223" t="inlineStr">
        <is>
          <t>€</t>
        </is>
      </c>
      <c r="E17" s="224" t="n"/>
      <c r="F17" s="224" t="n"/>
      <c r="G17" s="224" t="n"/>
      <c r="H17" s="224" t="n"/>
      <c r="I17" s="224" t="n"/>
      <c r="J17" s="224" t="n"/>
      <c r="K17" s="224" t="n"/>
      <c r="L17" s="224" t="n"/>
      <c r="M17" s="241" t="n"/>
      <c r="N17" s="241" t="n"/>
      <c r="O17" s="241" t="n"/>
      <c r="P17" s="241" t="n"/>
      <c r="Q17" s="241">
        <f>'Revenue Forecast'!Q19</f>
        <v/>
      </c>
      <c r="R17" s="241">
        <f>'Revenue Forecast'!R19</f>
        <v/>
      </c>
      <c r="S17" s="241">
        <f>'Revenue Forecast'!S19</f>
        <v/>
      </c>
      <c r="T17" s="241">
        <f>'Revenue Forecast'!T19</f>
        <v/>
      </c>
      <c r="U17" s="241">
        <f>'Revenue Forecast'!U19</f>
        <v/>
      </c>
      <c r="V17" s="241">
        <f>'Revenue Forecast'!V19</f>
        <v/>
      </c>
      <c r="W17" s="241">
        <f>'Revenue Forecast'!W19</f>
        <v/>
      </c>
      <c r="X17" s="241">
        <f>'Revenue Forecast'!X19</f>
        <v/>
      </c>
      <c r="Y17" s="241">
        <f>'Revenue Forecast'!Y19</f>
        <v/>
      </c>
      <c r="Z17" s="241">
        <f>'Revenue Forecast'!Z19</f>
        <v/>
      </c>
      <c r="AA17" s="241">
        <f>'Revenue Forecast'!AA19</f>
        <v/>
      </c>
      <c r="AB17" s="241">
        <f>'Revenue Forecast'!AB19</f>
        <v/>
      </c>
      <c r="AC17" s="241">
        <f>'Revenue Forecast'!AC19</f>
        <v/>
      </c>
      <c r="AD17" s="241">
        <f>'Revenue Forecast'!AD19</f>
        <v/>
      </c>
      <c r="AE17" s="241">
        <f>'Revenue Forecast'!AE19</f>
        <v/>
      </c>
      <c r="AF17" s="241">
        <f>'Revenue Forecast'!AF19</f>
        <v/>
      </c>
      <c r="AG17" s="241">
        <f>'Revenue Forecast'!AG19</f>
        <v/>
      </c>
      <c r="AH17" s="241">
        <f>'Revenue Forecast'!AH19</f>
        <v/>
      </c>
      <c r="AI17" s="241">
        <f>'Revenue Forecast'!AI19</f>
        <v/>
      </c>
      <c r="AJ17" s="241">
        <f>'Revenue Forecast'!AJ19</f>
        <v/>
      </c>
      <c r="AK17" s="241">
        <f>'Revenue Forecast'!AK19</f>
        <v/>
      </c>
      <c r="AL17" s="241">
        <f>'Revenue Forecast'!AL19</f>
        <v/>
      </c>
      <c r="AM17" s="241">
        <f>'Revenue Forecast'!AM19</f>
        <v/>
      </c>
      <c r="AN17" s="241">
        <f>'Revenue Forecast'!AN19</f>
        <v/>
      </c>
      <c r="AO17" s="241">
        <f>'Revenue Forecast'!AO19</f>
        <v/>
      </c>
      <c r="AP17" s="241">
        <f>'Revenue Forecast'!AP19</f>
        <v/>
      </c>
      <c r="AQ17" s="241">
        <f>'Revenue Forecast'!AQ19</f>
        <v/>
      </c>
      <c r="AR17" s="241">
        <f>'Revenue Forecast'!AR19</f>
        <v/>
      </c>
      <c r="AS17" s="241">
        <f>'Revenue Forecast'!AS19</f>
        <v/>
      </c>
      <c r="AT17" s="241">
        <f>'Revenue Forecast'!AT19</f>
        <v/>
      </c>
      <c r="AU17" s="241">
        <f>'Revenue Forecast'!AU19</f>
        <v/>
      </c>
      <c r="AV17" s="241">
        <f>'Revenue Forecast'!AV19</f>
        <v/>
      </c>
      <c r="AW17" s="241">
        <f>'Revenue Forecast'!AW19</f>
        <v/>
      </c>
      <c r="AX17" s="241">
        <f>'Revenue Forecast'!AX19</f>
        <v/>
      </c>
      <c r="AY17" s="241">
        <f>'Revenue Forecast'!AY19</f>
        <v/>
      </c>
      <c r="AZ17" s="241">
        <f>'Revenue Forecast'!AZ19</f>
        <v/>
      </c>
      <c r="BA17" s="233" t="n"/>
      <c r="BB17" s="233">
        <f>'Revenue Forecast'!BB19</f>
        <v/>
      </c>
      <c r="BC17" s="233">
        <f>'Revenue Forecast'!BC19</f>
        <v/>
      </c>
      <c r="BD17" s="233">
        <f>'Revenue Forecast'!BD19</f>
        <v/>
      </c>
      <c r="BE17" s="233">
        <f>'Revenue Forecast'!BE19</f>
        <v/>
      </c>
      <c r="BF17" s="233">
        <f>'Revenue Forecast'!BF19</f>
        <v/>
      </c>
      <c r="BG17" s="233" t="n"/>
      <c r="BH17" s="83" t="inlineStr">
        <is>
          <t>same number as installation revenue. pass-through, zero margin</t>
        </is>
      </c>
      <c r="BI17" s="233" t="n"/>
      <c r="BJ17" s="233" t="n"/>
    </row>
    <row r="18" ht="15.75" customHeight="1" s="349">
      <c r="A18" s="307" t="n"/>
      <c r="B18" s="307" t="n"/>
      <c r="C18" s="307" t="n"/>
      <c r="D18" s="307" t="n"/>
      <c r="E18" s="307" t="n"/>
      <c r="F18" s="307" t="n"/>
      <c r="G18" s="307" t="n"/>
      <c r="H18" s="307" t="n"/>
      <c r="I18" s="307" t="n"/>
      <c r="J18" s="307" t="n"/>
      <c r="K18" s="307" t="n"/>
      <c r="L18" s="307" t="n"/>
      <c r="M18" s="233" t="n"/>
      <c r="N18" s="233" t="n"/>
      <c r="O18" s="233" t="n"/>
      <c r="P18" s="233" t="n"/>
      <c r="Q18" s="233" t="n"/>
      <c r="R18" s="233" t="n"/>
      <c r="S18" s="233" t="n"/>
      <c r="T18" s="233" t="n"/>
      <c r="U18" s="233" t="n"/>
      <c r="V18" s="233" t="n"/>
      <c r="W18" s="233" t="n"/>
      <c r="X18" s="233" t="n"/>
      <c r="Y18" s="233" t="n"/>
      <c r="Z18" s="233" t="n"/>
      <c r="AA18" s="233" t="n"/>
      <c r="AB18" s="233" t="n"/>
      <c r="AC18" s="233" t="n"/>
      <c r="AD18" s="233" t="n"/>
      <c r="AE18" s="233" t="n"/>
      <c r="AF18" s="233" t="n"/>
      <c r="AG18" s="233" t="n"/>
      <c r="AH18" s="233" t="n"/>
      <c r="AI18" s="233" t="n"/>
      <c r="AJ18" s="233" t="n"/>
      <c r="AK18" s="233" t="n"/>
      <c r="AL18" s="233" t="n"/>
      <c r="AM18" s="233" t="n"/>
      <c r="AN18" s="233" t="n"/>
      <c r="AO18" s="233" t="n"/>
      <c r="AP18" s="233" t="n"/>
      <c r="AQ18" s="233" t="n"/>
      <c r="AR18" s="233" t="n"/>
      <c r="AS18" s="233" t="n"/>
      <c r="AT18" s="233" t="n"/>
      <c r="AU18" s="233" t="n"/>
      <c r="AV18" s="233" t="n"/>
      <c r="AW18" s="233" t="n"/>
      <c r="AX18" s="233" t="n"/>
      <c r="AY18" s="233" t="n"/>
      <c r="AZ18" s="233" t="n"/>
      <c r="BA18" s="233" t="n"/>
      <c r="BB18" s="233" t="n"/>
      <c r="BC18" s="233" t="n"/>
      <c r="BD18" s="233" t="n"/>
      <c r="BE18" s="233" t="n"/>
      <c r="BF18" s="233" t="n"/>
      <c r="BG18" s="226" t="n"/>
      <c r="BH18" s="350" t="n"/>
      <c r="BI18" s="226" t="n"/>
      <c r="BJ18" s="226" t="n"/>
    </row>
    <row r="19" ht="13.5" customHeight="1" s="349">
      <c r="A19" s="104" t="n"/>
      <c r="B19" s="105" t="inlineStr">
        <is>
          <t>SERVICE REVENUES</t>
        </is>
      </c>
      <c r="C19" s="104" t="n"/>
      <c r="D19" s="104" t="n"/>
      <c r="E19" s="80" t="n"/>
      <c r="F19" s="80" t="n"/>
      <c r="G19" s="80" t="n"/>
      <c r="H19" s="80" t="n"/>
      <c r="I19" s="80" t="n"/>
      <c r="J19" s="80" t="n"/>
      <c r="K19" s="80" t="n"/>
      <c r="L19" s="80" t="n"/>
      <c r="M19" s="80" t="n"/>
      <c r="N19" s="80" t="n"/>
      <c r="O19" s="80" t="n"/>
      <c r="P19" s="80" t="n"/>
      <c r="Q19" s="80" t="n"/>
      <c r="R19" s="80" t="n"/>
      <c r="S19" s="80" t="n"/>
      <c r="T19" s="80" t="n"/>
      <c r="U19" s="80" t="n"/>
      <c r="V19" s="80" t="n"/>
      <c r="W19" s="80" t="n"/>
      <c r="X19" s="80" t="n"/>
      <c r="Y19" s="80" t="n"/>
      <c r="Z19" s="80" t="n"/>
      <c r="AA19" s="80" t="n"/>
      <c r="AB19" s="80" t="n"/>
      <c r="AC19" s="80" t="n"/>
      <c r="AD19" s="80" t="n"/>
      <c r="AE19" s="80" t="n"/>
      <c r="AF19" s="80" t="n"/>
      <c r="AG19" s="80" t="n"/>
      <c r="AH19" s="80" t="n"/>
      <c r="AI19" s="80" t="n"/>
      <c r="AJ19" s="80" t="n"/>
      <c r="AK19" s="80" t="n"/>
      <c r="AL19" s="80" t="n"/>
      <c r="AM19" s="80" t="n"/>
      <c r="AN19" s="80" t="n"/>
      <c r="AO19" s="80" t="n"/>
      <c r="AP19" s="80" t="n"/>
      <c r="AQ19" s="80" t="n"/>
      <c r="AR19" s="80" t="n"/>
      <c r="AS19" s="80" t="n"/>
      <c r="AT19" s="80" t="n"/>
      <c r="AU19" s="80" t="n"/>
      <c r="AV19" s="80" t="n"/>
      <c r="AW19" s="80" t="n"/>
      <c r="AX19" s="80" t="n"/>
      <c r="AY19" s="80" t="n"/>
      <c r="AZ19" s="80" t="n"/>
      <c r="BA19" s="233" t="n"/>
      <c r="BB19" s="85" t="n"/>
      <c r="BC19" s="85" t="n"/>
      <c r="BD19" s="85" t="n"/>
      <c r="BE19" s="85" t="n"/>
      <c r="BF19" s="85" t="n"/>
      <c r="BG19" s="226" t="n"/>
      <c r="BH19" s="350" t="n"/>
      <c r="BI19" s="226" t="n"/>
      <c r="BJ19" s="226" t="n"/>
    </row>
    <row r="20" ht="12.75" customHeight="1" s="349">
      <c r="A20" s="200" t="n"/>
      <c r="B20" s="144" t="inlineStr">
        <is>
          <t>Total Service Revenue</t>
        </is>
      </c>
      <c r="C20" s="105" t="n"/>
      <c r="D20" s="144" t="inlineStr">
        <is>
          <t>€</t>
        </is>
      </c>
      <c r="E20" s="79" t="n"/>
      <c r="F20" s="79" t="n"/>
      <c r="G20" s="79" t="n"/>
      <c r="H20" s="79" t="n"/>
      <c r="I20" s="79" t="n"/>
      <c r="J20" s="79" t="n"/>
      <c r="K20" s="79" t="n"/>
      <c r="L20" s="79" t="n"/>
      <c r="M20" s="79" t="n"/>
      <c r="N20" s="79" t="n"/>
      <c r="O20" s="79" t="n"/>
      <c r="P20" s="79" t="n"/>
      <c r="Q20" s="79">
        <f>'Revenue Forecast'!Q34*SUMPRODUCT(Assumptions!$E$120:$E$121,Assumptions!$G$120:$G$121)+E20</f>
        <v/>
      </c>
      <c r="R20" s="79">
        <f>'Revenue Forecast'!R34*SUMPRODUCT(Assumptions!$E$120:$E$121,Assumptions!$G$120:$G$121)+F20</f>
        <v/>
      </c>
      <c r="S20" s="79">
        <f>'Revenue Forecast'!S34*SUMPRODUCT(Assumptions!$E$120:$E$121,Assumptions!$G$120:$G$121)+G20</f>
        <v/>
      </c>
      <c r="T20" s="79">
        <f>'Revenue Forecast'!T34*SUMPRODUCT(Assumptions!$E$120:$E$121,Assumptions!$G$120:$G$121)+H20</f>
        <v/>
      </c>
      <c r="U20" s="79">
        <f>'Revenue Forecast'!U34*SUMPRODUCT(Assumptions!$E$120:$E$121,Assumptions!$G$120:$G$121)+I20</f>
        <v/>
      </c>
      <c r="V20" s="79">
        <f>'Revenue Forecast'!V34*SUMPRODUCT(Assumptions!$E$120:$E$121,Assumptions!$G$120:$G$121)+J20</f>
        <v/>
      </c>
      <c r="W20" s="79">
        <f>'Revenue Forecast'!W34*SUMPRODUCT(Assumptions!$E$120:$E$121,Assumptions!$G$120:$G$121)+K20</f>
        <v/>
      </c>
      <c r="X20" s="79">
        <f>'Revenue Forecast'!X34*SUMPRODUCT(Assumptions!$E$120:$E$121,Assumptions!$G$120:$G$121)+L20</f>
        <v/>
      </c>
      <c r="Y20" s="79">
        <f>'Revenue Forecast'!Y34*SUMPRODUCT(Assumptions!$E$120:$E$121,Assumptions!$G$120:$G$121)+M20</f>
        <v/>
      </c>
      <c r="Z20" s="79">
        <f>'Revenue Forecast'!Z34*SUMPRODUCT(Assumptions!$E$120:$E$121,Assumptions!$G$120:$G$121)+N20</f>
        <v/>
      </c>
      <c r="AA20" s="79">
        <f>'Revenue Forecast'!AA34*SUMPRODUCT(Assumptions!$E$120:$E$121,Assumptions!$G$120:$G$121)+O20</f>
        <v/>
      </c>
      <c r="AB20" s="79">
        <f>'Revenue Forecast'!AB34*SUMPRODUCT(Assumptions!$E$120:$E$121,Assumptions!$G$120:$G$121)+P20</f>
        <v/>
      </c>
      <c r="AC20" s="79">
        <f>'Revenue Forecast'!AC34*SUMPRODUCT(Assumptions!$E$120:$E$121,Assumptions!$G$120:$G$121)+Q20</f>
        <v/>
      </c>
      <c r="AD20" s="79">
        <f>'Revenue Forecast'!AD34*SUMPRODUCT(Assumptions!$E$120:$E$121,Assumptions!$G$120:$G$121)+R20</f>
        <v/>
      </c>
      <c r="AE20" s="79">
        <f>'Revenue Forecast'!AE34*SUMPRODUCT(Assumptions!$E$120:$E$121,Assumptions!$G$120:$G$121)+S20</f>
        <v/>
      </c>
      <c r="AF20" s="79">
        <f>'Revenue Forecast'!AF34*SUMPRODUCT(Assumptions!$E$120:$E$121,Assumptions!$G$120:$G$121)+T20</f>
        <v/>
      </c>
      <c r="AG20" s="79">
        <f>'Revenue Forecast'!AG34*SUMPRODUCT(Assumptions!$E$120:$E$121,Assumptions!$G$120:$G$121)+U20</f>
        <v/>
      </c>
      <c r="AH20" s="79">
        <f>'Revenue Forecast'!AH34*SUMPRODUCT(Assumptions!$E$120:$E$121,Assumptions!$G$120:$G$121)+V20</f>
        <v/>
      </c>
      <c r="AI20" s="79">
        <f>'Revenue Forecast'!AI34*SUMPRODUCT(Assumptions!$E$120:$E$121,Assumptions!$G$120:$G$121)+W20</f>
        <v/>
      </c>
      <c r="AJ20" s="79">
        <f>'Revenue Forecast'!AJ34*SUMPRODUCT(Assumptions!$E$120:$E$121,Assumptions!$G$120:$G$121)+X20</f>
        <v/>
      </c>
      <c r="AK20" s="79">
        <f>'Revenue Forecast'!AK34*SUMPRODUCT(Assumptions!$E$120:$E$121,Assumptions!$G$120:$G$121)+Y20</f>
        <v/>
      </c>
      <c r="AL20" s="79">
        <f>'Revenue Forecast'!AL34*SUMPRODUCT(Assumptions!$E$120:$E$121,Assumptions!$G$120:$G$121)+Z20</f>
        <v/>
      </c>
      <c r="AM20" s="79">
        <f>'Revenue Forecast'!AM34*SUMPRODUCT(Assumptions!$E$120:$E$121,Assumptions!$G$120:$G$121)+AA20</f>
        <v/>
      </c>
      <c r="AN20" s="79">
        <f>'Revenue Forecast'!AN34*SUMPRODUCT(Assumptions!$E$120:$E$121,Assumptions!$G$120:$G$121)+AB20</f>
        <v/>
      </c>
      <c r="AO20" s="79">
        <f>'Revenue Forecast'!AO34*SUMPRODUCT(Assumptions!$E$120:$E$121,Assumptions!$G$120:$G$121)+AC20</f>
        <v/>
      </c>
      <c r="AP20" s="79">
        <f>'Revenue Forecast'!AP34*SUMPRODUCT(Assumptions!$E$120:$E$121,Assumptions!$G$120:$G$121)+AD20</f>
        <v/>
      </c>
      <c r="AQ20" s="79">
        <f>'Revenue Forecast'!AQ34*SUMPRODUCT(Assumptions!$E$120:$E$121,Assumptions!$G$120:$G$121)+AE20</f>
        <v/>
      </c>
      <c r="AR20" s="79">
        <f>'Revenue Forecast'!AR34*SUMPRODUCT(Assumptions!$E$120:$E$121,Assumptions!$G$120:$G$121)+AF20</f>
        <v/>
      </c>
      <c r="AS20" s="79">
        <f>'Revenue Forecast'!AS34*SUMPRODUCT(Assumptions!$E$120:$E$121,Assumptions!$G$120:$G$121)+AG20</f>
        <v/>
      </c>
      <c r="AT20" s="79">
        <f>'Revenue Forecast'!AT34*SUMPRODUCT(Assumptions!$E$120:$E$121,Assumptions!$G$120:$G$121)+AH20</f>
        <v/>
      </c>
      <c r="AU20" s="79">
        <f>'Revenue Forecast'!AU34*SUMPRODUCT(Assumptions!$E$120:$E$121,Assumptions!$G$120:$G$121)+AI20</f>
        <v/>
      </c>
      <c r="AV20" s="79">
        <f>'Revenue Forecast'!AV34*SUMPRODUCT(Assumptions!$E$120:$E$121,Assumptions!$G$120:$G$121)+AJ20</f>
        <v/>
      </c>
      <c r="AW20" s="79">
        <f>'Revenue Forecast'!AW34*SUMPRODUCT(Assumptions!$E$120:$E$121,Assumptions!$G$120:$G$121)+AK20</f>
        <v/>
      </c>
      <c r="AX20" s="79">
        <f>'Revenue Forecast'!AX34*SUMPRODUCT(Assumptions!$E$120:$E$121,Assumptions!$G$120:$G$121)+AL20</f>
        <v/>
      </c>
      <c r="AY20" s="79">
        <f>'Revenue Forecast'!AY34*SUMPRODUCT(Assumptions!$E$120:$E$121,Assumptions!$G$120:$G$121)+AM20</f>
        <v/>
      </c>
      <c r="AZ20" s="79">
        <f>'Revenue Forecast'!AZ34*SUMPRODUCT(Assumptions!$E$120:$E$121,Assumptions!$G$120:$G$121)+AN20</f>
        <v/>
      </c>
      <c r="BA20" s="156" t="n"/>
      <c r="BB20" s="157">
        <f>SUM(E20:P20)</f>
        <v/>
      </c>
      <c r="BC20" s="157">
        <f>SUM(Q20:AB20)</f>
        <v/>
      </c>
      <c r="BD20" s="157">
        <f>sum(AC20:AN20)</f>
        <v/>
      </c>
      <c r="BE20" s="157">
        <f>sum(AO20:AZ20)+BD20</f>
        <v/>
      </c>
      <c r="BF20" s="157">
        <f>'Revenue Forecast'!BF34*SUMPRODUCT(Assumptions!$E$120:$E$121,Assumptions!$G$120:$G$121)+BE20</f>
        <v/>
      </c>
      <c r="BG20" s="158" t="n"/>
      <c r="BH20" s="350" t="inlineStr">
        <is>
          <t>units x cost per service contract + last year's, stacks like the revenue</t>
        </is>
      </c>
      <c r="BI20" s="158" t="n"/>
      <c r="BJ20" s="158" t="n"/>
    </row>
    <row r="21" ht="15.75" customHeight="1" s="349">
      <c r="A21" s="307" t="n"/>
      <c r="B21" s="307" t="inlineStr">
        <is>
          <t>Warranty reserve (above the 3% in the BOM)</t>
        </is>
      </c>
      <c r="C21" s="307" t="n"/>
      <c r="D21" s="307" t="n"/>
      <c r="E21" s="307" t="n">
        <v>0</v>
      </c>
      <c r="F21" s="307" t="n">
        <v>0</v>
      </c>
      <c r="G21" s="307" t="n">
        <v>0</v>
      </c>
      <c r="H21" s="307" t="n">
        <v>0</v>
      </c>
      <c r="I21" s="307" t="n">
        <v>0</v>
      </c>
      <c r="J21" s="307" t="n">
        <v>0</v>
      </c>
      <c r="K21" s="307" t="n">
        <v>0</v>
      </c>
      <c r="L21" s="307" t="n">
        <v>0</v>
      </c>
      <c r="M21" s="233" t="n">
        <v>0</v>
      </c>
      <c r="N21" s="233" t="n">
        <v>0</v>
      </c>
      <c r="O21" s="233" t="n">
        <v>0</v>
      </c>
      <c r="P21" s="233" t="n">
        <v>0</v>
      </c>
      <c r="Q21" s="233" t="n">
        <v>0</v>
      </c>
      <c r="R21" s="233" t="n">
        <v>0</v>
      </c>
      <c r="S21" s="233" t="n">
        <v>0</v>
      </c>
      <c r="T21" s="233" t="n">
        <v>0</v>
      </c>
      <c r="U21" s="233" t="n">
        <v>0</v>
      </c>
      <c r="V21" s="233" t="n">
        <v>0</v>
      </c>
      <c r="W21" s="233" t="n">
        <v>0</v>
      </c>
      <c r="X21" s="233" t="n">
        <v>0</v>
      </c>
      <c r="Y21" s="233" t="n">
        <v>0</v>
      </c>
      <c r="Z21" s="233" t="n">
        <v>0</v>
      </c>
      <c r="AA21" s="233" t="n">
        <v>0</v>
      </c>
      <c r="AB21" s="233" t="n">
        <v>0</v>
      </c>
      <c r="AC21" s="233">
        <f>'Growth Engine'!F91</f>
        <v/>
      </c>
      <c r="AD21" s="233">
        <f>'Growth Engine'!G91</f>
        <v/>
      </c>
      <c r="AE21" s="233">
        <f>'Growth Engine'!H91</f>
        <v/>
      </c>
      <c r="AF21" s="233">
        <f>'Growth Engine'!I91</f>
        <v/>
      </c>
      <c r="AG21" s="233">
        <f>'Growth Engine'!J91</f>
        <v/>
      </c>
      <c r="AH21" s="233">
        <f>'Growth Engine'!K91</f>
        <v/>
      </c>
      <c r="AI21" s="233">
        <f>'Growth Engine'!L91</f>
        <v/>
      </c>
      <c r="AJ21" s="233">
        <f>'Growth Engine'!M91</f>
        <v/>
      </c>
      <c r="AK21" s="233">
        <f>'Growth Engine'!N91</f>
        <v/>
      </c>
      <c r="AL21" s="233">
        <f>'Growth Engine'!O91</f>
        <v/>
      </c>
      <c r="AM21" s="233">
        <f>'Growth Engine'!P91</f>
        <v/>
      </c>
      <c r="AN21" s="233">
        <f>'Growth Engine'!Q91</f>
        <v/>
      </c>
      <c r="AO21" s="233">
        <f>'Growth Engine'!R91</f>
        <v/>
      </c>
      <c r="AP21" s="233">
        <f>'Growth Engine'!S91</f>
        <v/>
      </c>
      <c r="AQ21" s="233">
        <f>'Growth Engine'!T91</f>
        <v/>
      </c>
      <c r="AR21" s="233">
        <f>'Growth Engine'!U91</f>
        <v/>
      </c>
      <c r="AS21" s="233">
        <f>'Growth Engine'!V91</f>
        <v/>
      </c>
      <c r="AT21" s="233">
        <f>'Growth Engine'!W91</f>
        <v/>
      </c>
      <c r="AU21" s="233">
        <f>'Growth Engine'!X91</f>
        <v/>
      </c>
      <c r="AV21" s="233">
        <f>'Growth Engine'!Y91</f>
        <v/>
      </c>
      <c r="AW21" s="233">
        <f>'Growth Engine'!Z91</f>
        <v/>
      </c>
      <c r="AX21" s="233">
        <f>'Growth Engine'!AA91</f>
        <v/>
      </c>
      <c r="AY21" s="233">
        <f>'Growth Engine'!AB91</f>
        <v/>
      </c>
      <c r="AZ21" s="233">
        <f>'Growth Engine'!AC91</f>
        <v/>
      </c>
      <c r="BA21" s="233" t="n"/>
      <c r="BB21" s="233" t="n">
        <v>0</v>
      </c>
      <c r="BC21" s="233" t="n">
        <v>0</v>
      </c>
      <c r="BD21" s="233">
        <f>SUM(AC21:AN21)</f>
        <v/>
      </c>
      <c r="BE21" s="233">
        <f>SUM(AO21:AZ21)</f>
        <v/>
      </c>
      <c r="BF21" s="233">
        <f>'Growth Engine'!BE91</f>
        <v/>
      </c>
      <c r="BG21" s="226" t="n"/>
      <c r="BH21" s="350" t="inlineStr">
        <is>
          <t>a real warranty reserve on a first-generation turbine machine, on top of the BOM provision</t>
        </is>
      </c>
      <c r="BI21" s="226" t="n"/>
      <c r="BJ21" s="226" t="n"/>
    </row>
    <row r="22" ht="15.75" customHeight="1" s="349">
      <c r="A22" s="214" t="n"/>
      <c r="B22" s="8" t="inlineStr">
        <is>
          <t>TOTAL COGS</t>
        </is>
      </c>
      <c r="C22" s="214" t="n"/>
      <c r="D22" s="214" t="n"/>
      <c r="E22" s="214">
        <f>E9+E14+E17+E20+E21</f>
        <v/>
      </c>
      <c r="F22" s="214">
        <f>F9+F14+F17+F20+F21</f>
        <v/>
      </c>
      <c r="G22" s="214">
        <f>G9+G14+G17+G20+G21</f>
        <v/>
      </c>
      <c r="H22" s="214">
        <f>H9+H14+H17+H20+H21</f>
        <v/>
      </c>
      <c r="I22" s="214">
        <f>I9+I14+I17+I20+I21</f>
        <v/>
      </c>
      <c r="J22" s="214">
        <f>J9+J14+J17+J20+J21</f>
        <v/>
      </c>
      <c r="K22" s="214">
        <f>K9+K14+K17+K20+K21</f>
        <v/>
      </c>
      <c r="L22" s="214">
        <f>L9+L14+L17+L20+L21</f>
        <v/>
      </c>
      <c r="M22" s="126">
        <f>M9+M14+M17+M20+M21</f>
        <v/>
      </c>
      <c r="N22" s="126">
        <f>N9+N14+N17+N20+N21</f>
        <v/>
      </c>
      <c r="O22" s="126">
        <f>O9+O14+O17+O20+O21</f>
        <v/>
      </c>
      <c r="P22" s="126">
        <f>P9+P14+P17+P20+P21</f>
        <v/>
      </c>
      <c r="Q22" s="126">
        <f>Q9+Q14+Q17+Q20+Q21</f>
        <v/>
      </c>
      <c r="R22" s="126">
        <f>R9+R14+R17+R20+R21</f>
        <v/>
      </c>
      <c r="S22" s="126">
        <f>S9+S14+S17+S20+S21</f>
        <v/>
      </c>
      <c r="T22" s="126">
        <f>T9+T14+T17+T20+T21</f>
        <v/>
      </c>
      <c r="U22" s="126">
        <f>U9+U14+U17+U20+U21</f>
        <v/>
      </c>
      <c r="V22" s="126">
        <f>V9+V14+V17+V20+V21</f>
        <v/>
      </c>
      <c r="W22" s="126">
        <f>W9+W14+W17+W20+W21</f>
        <v/>
      </c>
      <c r="X22" s="126">
        <f>X9+X14+X17+X20+X21</f>
        <v/>
      </c>
      <c r="Y22" s="126">
        <f>Y9+Y14+Y17+Y20+Y21</f>
        <v/>
      </c>
      <c r="Z22" s="126">
        <f>Z9+Z14+Z17+Z20+Z21</f>
        <v/>
      </c>
      <c r="AA22" s="126">
        <f>AA9+AA14+AA17+AA20+AA21</f>
        <v/>
      </c>
      <c r="AB22" s="126">
        <f>AB9+AB14+AB17+AB20+AB21</f>
        <v/>
      </c>
      <c r="AC22" s="126">
        <f>AC9+AC14+AC17+AC20+AC21</f>
        <v/>
      </c>
      <c r="AD22" s="126">
        <f>AD9+AD14+AD17+AD20+AD21</f>
        <v/>
      </c>
      <c r="AE22" s="126">
        <f>AE9+AE14+AE17+AE20+AE21</f>
        <v/>
      </c>
      <c r="AF22" s="126">
        <f>AF9+AF14+AF17+AF20+AF21</f>
        <v/>
      </c>
      <c r="AG22" s="126">
        <f>AG9+AG14+AG17+AG20+AG21</f>
        <v/>
      </c>
      <c r="AH22" s="126">
        <f>AH9+AH14+AH17+AH20+AH21</f>
        <v/>
      </c>
      <c r="AI22" s="126">
        <f>AI9+AI14+AI17+AI20+AI21</f>
        <v/>
      </c>
      <c r="AJ22" s="126">
        <f>AJ9+AJ14+AJ17+AJ20+AJ21</f>
        <v/>
      </c>
      <c r="AK22" s="126">
        <f>AK9+AK14+AK17+AK20+AK21</f>
        <v/>
      </c>
      <c r="AL22" s="126">
        <f>AL9+AL14+AL17+AL20+AL21</f>
        <v/>
      </c>
      <c r="AM22" s="126">
        <f>AM9+AM14+AM17+AM20+AM21</f>
        <v/>
      </c>
      <c r="AN22" s="126">
        <f>AN9+AN14+AN17+AN20+AN21</f>
        <v/>
      </c>
      <c r="AO22" s="126">
        <f>AO9+AO14+AO17+AO20+AO21</f>
        <v/>
      </c>
      <c r="AP22" s="126">
        <f>AP9+AP14+AP17+AP20+AP21</f>
        <v/>
      </c>
      <c r="AQ22" s="126">
        <f>AQ9+AQ14+AQ17+AQ20+AQ21</f>
        <v/>
      </c>
      <c r="AR22" s="126">
        <f>AR9+AR14+AR17+AR20+AR21</f>
        <v/>
      </c>
      <c r="AS22" s="126">
        <f>AS9+AS14+AS17+AS20+AS21</f>
        <v/>
      </c>
      <c r="AT22" s="126">
        <f>AT9+AT14+AT17+AT20+AT21</f>
        <v/>
      </c>
      <c r="AU22" s="126">
        <f>AU9+AU14+AU17+AU20+AU21</f>
        <v/>
      </c>
      <c r="AV22" s="126">
        <f>AV9+AV14+AV17+AV20+AV21</f>
        <v/>
      </c>
      <c r="AW22" s="126">
        <f>AW9+AW14+AW17+AW20+AW21</f>
        <v/>
      </c>
      <c r="AX22" s="126">
        <f>AX9+AX14+AX17+AX20+AX21</f>
        <v/>
      </c>
      <c r="AY22" s="126">
        <f>AY9+AY14+AY17+AY20+AY21</f>
        <v/>
      </c>
      <c r="AZ22" s="126">
        <f>AZ9+AZ14+AZ17+AZ20+AZ21</f>
        <v/>
      </c>
      <c r="BA22" s="156" t="n"/>
      <c r="BB22" s="126">
        <f>BB9+BB14+BB17+BB20+BB21</f>
        <v/>
      </c>
      <c r="BC22" s="257">
        <f>BC9+BC14+BC17+BC20+BC21</f>
        <v/>
      </c>
      <c r="BD22" s="257">
        <f>BD9+BD14+BD17+BD20+BD21</f>
        <v/>
      </c>
      <c r="BE22" s="257">
        <f>BE9+BE14+BE17+BE20+BE21</f>
        <v/>
      </c>
      <c r="BF22" s="257">
        <f>BF9+BF14+BF17+BF20+BF21</f>
        <v/>
      </c>
      <c r="BG22" s="137" t="n"/>
      <c r="BH22" s="350" t="inlineStr">
        <is>
          <t>TTK + Combi+ + installation + service costs</t>
        </is>
      </c>
      <c r="BI22" s="137" t="n"/>
      <c r="BJ22" s="137" t="n"/>
    </row>
    <row r="23" ht="15.75" customHeight="1" s="349">
      <c r="A23" s="307" t="n"/>
      <c r="B23" s="307" t="n"/>
      <c r="C23" s="307" t="n"/>
      <c r="D23" s="307" t="n"/>
      <c r="E23" s="307" t="n"/>
      <c r="F23" s="307" t="n"/>
      <c r="G23" s="307" t="n"/>
      <c r="H23" s="307" t="n"/>
      <c r="I23" s="307" t="n"/>
      <c r="J23" s="307" t="n"/>
      <c r="K23" s="307" t="n"/>
      <c r="L23" s="307" t="n"/>
      <c r="M23" s="233" t="n"/>
      <c r="N23" s="233" t="n"/>
      <c r="O23" s="233" t="n"/>
      <c r="P23" s="233" t="n"/>
      <c r="Q23" s="233" t="n"/>
      <c r="R23" s="233" t="n"/>
      <c r="S23" s="233" t="n"/>
      <c r="T23" s="233" t="n"/>
      <c r="U23" s="233" t="n"/>
      <c r="V23" s="233" t="n"/>
      <c r="W23" s="233" t="n"/>
      <c r="X23" s="233" t="n"/>
      <c r="Y23" s="233" t="n"/>
      <c r="Z23" s="233" t="n"/>
      <c r="AA23" s="233" t="n"/>
      <c r="AB23" s="233" t="n"/>
      <c r="AC23" s="233" t="n"/>
      <c r="AD23" s="233" t="n"/>
      <c r="AE23" s="233" t="n"/>
      <c r="AF23" s="233" t="n"/>
      <c r="AG23" s="233" t="n"/>
      <c r="AH23" s="233" t="n"/>
      <c r="AI23" s="233" t="n"/>
      <c r="AJ23" s="233" t="n"/>
      <c r="AK23" s="233" t="n"/>
      <c r="AL23" s="233" t="n"/>
      <c r="AM23" s="233" t="n"/>
      <c r="AN23" s="233" t="n"/>
      <c r="AO23" s="233" t="n"/>
      <c r="AP23" s="233" t="n"/>
      <c r="AQ23" s="233" t="n"/>
      <c r="AR23" s="233" t="n"/>
      <c r="AS23" s="233" t="n"/>
      <c r="AT23" s="233" t="n"/>
      <c r="AU23" s="233" t="n"/>
      <c r="AV23" s="233" t="n"/>
      <c r="AW23" s="233" t="n"/>
      <c r="AX23" s="233" t="n"/>
      <c r="AY23" s="233" t="n"/>
      <c r="AZ23" s="233" t="n"/>
      <c r="BA23" s="233" t="n"/>
      <c r="BB23" s="233" t="n"/>
      <c r="BC23" s="233" t="n"/>
      <c r="BD23" s="233" t="n"/>
      <c r="BE23" s="240" t="n"/>
      <c r="BF23" s="240" t="n"/>
      <c r="BG23" s="226" t="n"/>
      <c r="BH23" s="226" t="n"/>
      <c r="BI23" s="226" t="n"/>
      <c r="BJ23" s="226" t="n"/>
    </row>
    <row r="24" ht="15.75" customHeight="1" s="349">
      <c r="A24" s="307" t="n"/>
      <c r="B24" s="307" t="n"/>
      <c r="C24" s="307" t="n"/>
      <c r="D24" s="307" t="n"/>
      <c r="E24" s="307" t="n"/>
      <c r="F24" s="307" t="n"/>
      <c r="G24" s="307" t="n"/>
      <c r="H24" s="307" t="n"/>
      <c r="I24" s="307" t="n"/>
      <c r="J24" s="307" t="n"/>
      <c r="K24" s="307" t="n"/>
      <c r="L24" s="307" t="n"/>
      <c r="M24" s="233" t="n"/>
      <c r="N24" s="233" t="n"/>
      <c r="O24" s="233" t="n"/>
      <c r="P24" s="233" t="n"/>
      <c r="Q24" s="233" t="n"/>
      <c r="R24" s="233" t="n"/>
      <c r="S24" s="233" t="n"/>
      <c r="T24" s="233" t="n"/>
      <c r="U24" s="233" t="n"/>
      <c r="V24" s="233" t="n"/>
      <c r="W24" s="233" t="n"/>
      <c r="X24" s="233" t="n"/>
      <c r="Y24" s="233" t="n"/>
      <c r="Z24" s="233" t="n"/>
      <c r="AA24" s="233" t="n"/>
      <c r="AB24" s="233" t="n"/>
      <c r="AC24" s="233" t="n"/>
      <c r="AD24" s="233" t="n"/>
      <c r="AE24" s="233" t="n"/>
      <c r="AF24" s="233" t="n"/>
      <c r="AG24" s="233" t="n"/>
      <c r="AH24" s="233" t="n"/>
      <c r="AI24" s="233" t="n"/>
      <c r="AJ24" s="233" t="n"/>
      <c r="AK24" s="233" t="n"/>
      <c r="AL24" s="233" t="n"/>
      <c r="AM24" s="233" t="n"/>
      <c r="AN24" s="233" t="n"/>
      <c r="AO24" s="233" t="n"/>
      <c r="AP24" s="233" t="n"/>
      <c r="AQ24" s="233" t="n"/>
      <c r="AR24" s="233" t="n"/>
      <c r="AS24" s="233" t="n"/>
      <c r="AT24" s="233" t="n"/>
      <c r="AU24" s="233" t="n"/>
      <c r="AV24" s="233" t="n"/>
      <c r="AW24" s="233" t="n"/>
      <c r="AX24" s="233" t="n"/>
      <c r="AY24" s="233" t="n"/>
      <c r="AZ24" s="233" t="n"/>
      <c r="BA24" s="233" t="n"/>
      <c r="BB24" s="233" t="n"/>
      <c r="BC24" s="233" t="n"/>
      <c r="BD24" s="233" t="n"/>
      <c r="BE24" s="233" t="n"/>
      <c r="BF24" s="233" t="n"/>
      <c r="BG24" s="226" t="n"/>
      <c r="BH24" s="226" t="n"/>
      <c r="BI24" s="226" t="n"/>
      <c r="BJ24" s="226" t="n"/>
    </row>
    <row r="25" ht="15.75" customHeight="1" s="349">
      <c r="A25" s="307" t="n"/>
      <c r="B25" s="307" t="n"/>
      <c r="C25" s="307" t="n"/>
      <c r="D25" s="307" t="n"/>
      <c r="E25" s="307" t="n"/>
      <c r="F25" s="307" t="n"/>
      <c r="G25" s="307" t="n"/>
      <c r="H25" s="307" t="n"/>
      <c r="I25" s="307" t="n"/>
      <c r="J25" s="307" t="n"/>
      <c r="K25" s="307" t="n"/>
      <c r="L25" s="307" t="n"/>
      <c r="M25" s="233" t="n"/>
      <c r="N25" s="233" t="n"/>
      <c r="O25" s="233" t="n"/>
      <c r="P25" s="233" t="n"/>
      <c r="Q25" s="233" t="n"/>
      <c r="R25" s="233" t="n"/>
      <c r="S25" s="233" t="n"/>
      <c r="T25" s="233" t="n"/>
      <c r="U25" s="233" t="n"/>
      <c r="V25" s="233" t="n"/>
      <c r="W25" s="233" t="n"/>
      <c r="X25" s="233" t="n"/>
      <c r="Y25" s="233" t="n"/>
      <c r="Z25" s="233" t="n"/>
      <c r="AA25" s="233" t="n"/>
      <c r="AB25" s="233" t="n"/>
      <c r="AC25" s="233" t="n"/>
      <c r="AD25" s="233" t="n"/>
      <c r="AE25" s="233" t="n"/>
      <c r="AF25" s="233" t="n"/>
      <c r="AG25" s="233" t="n"/>
      <c r="AH25" s="233" t="n"/>
      <c r="AI25" s="233" t="n"/>
      <c r="AJ25" s="233" t="n"/>
      <c r="AK25" s="233" t="n"/>
      <c r="AL25" s="233" t="n"/>
      <c r="AM25" s="233" t="n"/>
      <c r="AN25" s="233" t="n"/>
      <c r="AO25" s="233" t="n"/>
      <c r="AP25" s="233" t="n"/>
      <c r="AQ25" s="233" t="n"/>
      <c r="AR25" s="233" t="n"/>
      <c r="AS25" s="233" t="n"/>
      <c r="AT25" s="233" t="n"/>
      <c r="AU25" s="260" t="n"/>
      <c r="AV25" s="233" t="n"/>
      <c r="AW25" s="233" t="n"/>
      <c r="AX25" s="233" t="n"/>
      <c r="AY25" s="233" t="n"/>
      <c r="AZ25" s="233" t="n"/>
      <c r="BA25" s="233" t="n"/>
      <c r="BB25" s="233" t="n"/>
      <c r="BC25" s="233" t="n"/>
      <c r="BD25" s="233" t="n"/>
      <c r="BE25" s="233" t="n"/>
      <c r="BF25" s="233" t="n"/>
      <c r="BG25" s="226" t="n"/>
      <c r="BH25" s="226" t="n"/>
      <c r="BI25" s="226" t="n"/>
      <c r="BJ25" s="226" t="n"/>
    </row>
    <row r="26" ht="15.75" customHeight="1" s="349">
      <c r="A26" s="307" t="n"/>
      <c r="B26" s="307" t="n"/>
      <c r="C26" s="307" t="n"/>
      <c r="D26" s="307" t="n"/>
      <c r="E26" s="307" t="n"/>
      <c r="F26" s="307" t="n"/>
      <c r="G26" s="307" t="n"/>
      <c r="H26" s="307" t="n"/>
      <c r="I26" s="307" t="n"/>
      <c r="J26" s="307" t="n"/>
      <c r="K26" s="307" t="n"/>
      <c r="L26" s="307" t="n"/>
      <c r="M26" s="233" t="n"/>
      <c r="N26" s="233" t="n"/>
      <c r="O26" s="233" t="n"/>
      <c r="P26" s="233" t="n"/>
      <c r="Q26" s="233" t="n"/>
      <c r="R26" s="233" t="n"/>
      <c r="S26" s="233" t="n"/>
      <c r="T26" s="233" t="n"/>
      <c r="U26" s="233" t="n"/>
      <c r="V26" s="233" t="n"/>
      <c r="W26" s="233" t="n"/>
      <c r="X26" s="233" t="n"/>
      <c r="Y26" s="233" t="n"/>
      <c r="Z26" s="233" t="n"/>
      <c r="AA26" s="233" t="n"/>
      <c r="AB26" s="233" t="n"/>
      <c r="AC26" s="233" t="n"/>
      <c r="AD26" s="233" t="n"/>
      <c r="AE26" s="233" t="n"/>
      <c r="AF26" s="233" t="n"/>
      <c r="AG26" s="233" t="n"/>
      <c r="AH26" s="233" t="n"/>
      <c r="AI26" s="233" t="n"/>
      <c r="AJ26" s="233" t="n"/>
      <c r="AK26" s="233" t="n"/>
      <c r="AL26" s="233" t="n"/>
      <c r="AM26" s="233" t="n"/>
      <c r="AN26" s="233" t="n"/>
      <c r="AO26" s="233" t="n"/>
      <c r="AP26" s="233" t="n"/>
      <c r="AQ26" s="233" t="n"/>
      <c r="AR26" s="233" t="n"/>
      <c r="AS26" s="233" t="n"/>
      <c r="AT26" s="233" t="n"/>
      <c r="AU26" s="233" t="n"/>
      <c r="AV26" s="233" t="n"/>
      <c r="AW26" s="233" t="n"/>
      <c r="AX26" s="233" t="n"/>
      <c r="AY26" s="233" t="n"/>
      <c r="AZ26" s="233" t="n"/>
      <c r="BA26" s="233" t="n"/>
      <c r="BB26" s="233" t="n"/>
      <c r="BC26" s="233" t="n"/>
      <c r="BD26" s="233" t="n"/>
      <c r="BE26" s="233" t="n"/>
      <c r="BF26" s="233" t="n"/>
      <c r="BG26" s="226" t="n"/>
      <c r="BH26" s="226" t="n"/>
      <c r="BI26" s="226" t="n"/>
      <c r="BJ26" s="226" t="n"/>
    </row>
    <row r="27" ht="15.75" customHeight="1" s="349">
      <c r="A27" s="307" t="n"/>
      <c r="B27" s="307" t="n"/>
      <c r="C27" s="307" t="n"/>
      <c r="D27" s="307" t="n"/>
      <c r="E27" s="307" t="n"/>
      <c r="F27" s="307" t="n"/>
      <c r="G27" s="307" t="n"/>
      <c r="H27" s="307" t="n"/>
      <c r="I27" s="307" t="n"/>
      <c r="J27" s="307" t="n"/>
      <c r="K27" s="307" t="n"/>
      <c r="L27" s="307" t="n"/>
      <c r="M27" s="233" t="n"/>
      <c r="N27" s="233" t="n"/>
      <c r="O27" s="233" t="n"/>
      <c r="P27" s="233" t="n"/>
      <c r="Q27" s="233" t="n"/>
      <c r="R27" s="233" t="n"/>
      <c r="S27" s="233" t="n"/>
      <c r="T27" s="233" t="n"/>
      <c r="U27" s="233" t="n"/>
      <c r="V27" s="233" t="n"/>
      <c r="W27" s="233" t="n"/>
      <c r="X27" s="233" t="n"/>
      <c r="Y27" s="233" t="n"/>
      <c r="Z27" s="233" t="n"/>
      <c r="AA27" s="233" t="n"/>
      <c r="AB27" s="233" t="n"/>
      <c r="AC27" s="233" t="n"/>
      <c r="AD27" s="233" t="n"/>
      <c r="AE27" s="233" t="n"/>
      <c r="AF27" s="233" t="n"/>
      <c r="AG27" s="233" t="n"/>
      <c r="AH27" s="233" t="n"/>
      <c r="AI27" s="233" t="n"/>
      <c r="AJ27" s="233" t="n"/>
      <c r="AK27" s="233" t="n"/>
      <c r="AL27" s="233" t="n"/>
      <c r="AM27" s="233" t="n"/>
      <c r="AN27" s="233" t="n"/>
      <c r="AO27" s="233" t="n"/>
      <c r="AP27" s="233" t="n"/>
      <c r="AQ27" s="233" t="n"/>
      <c r="AR27" s="233" t="n"/>
      <c r="AS27" s="233" t="n"/>
      <c r="AT27" s="233" t="n"/>
      <c r="AU27" s="233" t="n"/>
      <c r="AV27" s="233" t="n"/>
      <c r="AW27" s="233" t="n"/>
      <c r="AX27" s="233" t="n"/>
      <c r="AY27" s="233" t="n"/>
      <c r="AZ27" s="233" t="n"/>
      <c r="BA27" s="233" t="n"/>
      <c r="BB27" s="233" t="n"/>
      <c r="BC27" s="233" t="n"/>
      <c r="BD27" s="233" t="n"/>
      <c r="BE27" s="233" t="n"/>
      <c r="BF27" s="233" t="n"/>
      <c r="BG27" s="226" t="n"/>
      <c r="BH27" s="226" t="n"/>
      <c r="BI27" s="226" t="n"/>
      <c r="BJ27" s="226" t="n"/>
    </row>
    <row r="28" ht="15.75" customHeight="1" s="349">
      <c r="A28" s="307" t="n"/>
      <c r="B28" s="307" t="n"/>
      <c r="C28" s="307" t="n"/>
      <c r="D28" s="307" t="n"/>
      <c r="E28" s="307" t="n"/>
      <c r="F28" s="307" t="n"/>
      <c r="G28" s="307" t="n"/>
      <c r="H28" s="307" t="n"/>
      <c r="I28" s="307" t="n"/>
      <c r="J28" s="307" t="n"/>
      <c r="K28" s="307" t="n"/>
      <c r="L28" s="307" t="n"/>
      <c r="M28" s="233" t="n"/>
      <c r="N28" s="233" t="n"/>
      <c r="O28" s="233" t="n"/>
      <c r="P28" s="233" t="n"/>
      <c r="Q28" s="233" t="n"/>
      <c r="R28" s="233" t="n"/>
      <c r="S28" s="233" t="n"/>
      <c r="T28" s="233" t="n"/>
      <c r="U28" s="233" t="n"/>
      <c r="V28" s="233" t="n"/>
      <c r="W28" s="233" t="n"/>
      <c r="X28" s="233" t="n"/>
      <c r="Y28" s="233" t="n"/>
      <c r="Z28" s="233" t="n"/>
      <c r="AA28" s="233" t="n"/>
      <c r="AB28" s="233" t="n"/>
      <c r="AC28" s="233" t="n"/>
      <c r="AD28" s="233" t="n"/>
      <c r="AE28" s="233" t="n"/>
      <c r="AF28" s="233" t="n"/>
      <c r="AG28" s="233" t="n"/>
      <c r="AH28" s="233" t="n"/>
      <c r="AI28" s="233" t="n"/>
      <c r="AJ28" s="233" t="n"/>
      <c r="AK28" s="233" t="n"/>
      <c r="AL28" s="233" t="n"/>
      <c r="AM28" s="233" t="n"/>
      <c r="AN28" s="233" t="n"/>
      <c r="AO28" s="233" t="n"/>
      <c r="AP28" s="233" t="n"/>
      <c r="AQ28" s="233" t="n"/>
      <c r="AR28" s="233" t="n"/>
      <c r="AS28" s="233" t="n"/>
      <c r="AT28" s="233" t="n"/>
      <c r="AU28" s="233" t="n"/>
      <c r="AV28" s="233" t="n"/>
      <c r="AW28" s="233" t="n"/>
      <c r="AX28" s="233" t="n"/>
      <c r="AY28" s="233" t="n"/>
      <c r="AZ28" s="233" t="n"/>
      <c r="BA28" s="233" t="n"/>
      <c r="BB28" s="233" t="n"/>
      <c r="BC28" s="233" t="n"/>
      <c r="BD28" s="233" t="n"/>
      <c r="BE28" s="233" t="n"/>
      <c r="BF28" s="233" t="n"/>
      <c r="BG28" s="226" t="n"/>
      <c r="BH28" s="226" t="n"/>
      <c r="BI28" s="226" t="n"/>
      <c r="BJ28" s="226" t="n"/>
    </row>
    <row r="29" ht="15.75" customHeight="1" s="349">
      <c r="A29" s="307" t="n"/>
      <c r="B29" s="307" t="n"/>
      <c r="C29" s="307" t="n"/>
      <c r="D29" s="307" t="n"/>
      <c r="E29" s="307" t="n"/>
      <c r="F29" s="307" t="n"/>
      <c r="G29" s="307" t="n"/>
      <c r="H29" s="307" t="n"/>
      <c r="I29" s="307" t="n"/>
      <c r="J29" s="307" t="n"/>
      <c r="K29" s="307" t="n"/>
      <c r="L29" s="307" t="n"/>
      <c r="M29" s="233" t="n"/>
      <c r="N29" s="233" t="n"/>
      <c r="O29" s="233" t="n"/>
      <c r="P29" s="233" t="n"/>
      <c r="Q29" s="233" t="n"/>
      <c r="R29" s="233" t="n"/>
      <c r="S29" s="233" t="n"/>
      <c r="T29" s="233" t="n"/>
      <c r="U29" s="233" t="n"/>
      <c r="V29" s="233" t="n"/>
      <c r="W29" s="233" t="n"/>
      <c r="X29" s="233" t="n"/>
      <c r="Y29" s="233" t="n"/>
      <c r="Z29" s="233" t="n"/>
      <c r="AA29" s="233" t="n"/>
      <c r="AB29" s="233" t="n"/>
      <c r="AC29" s="233" t="n"/>
      <c r="AD29" s="233" t="n"/>
      <c r="AE29" s="233" t="n"/>
      <c r="AF29" s="233" t="n"/>
      <c r="AG29" s="233" t="n"/>
      <c r="AH29" s="233" t="n"/>
      <c r="AI29" s="233" t="n"/>
      <c r="AJ29" s="233" t="n"/>
      <c r="AK29" s="233" t="n"/>
      <c r="AL29" s="233" t="n"/>
      <c r="AM29" s="233" t="n"/>
      <c r="AN29" s="233" t="n"/>
      <c r="AO29" s="233" t="n"/>
      <c r="AP29" s="233" t="n"/>
      <c r="AQ29" s="233" t="n"/>
      <c r="AR29" s="233" t="n"/>
      <c r="AS29" s="233" t="n"/>
      <c r="AT29" s="233" t="n"/>
      <c r="AU29" s="260" t="n"/>
      <c r="AV29" s="233" t="n"/>
      <c r="AW29" s="233" t="n"/>
      <c r="AX29" s="233" t="n"/>
      <c r="AY29" s="233" t="n"/>
      <c r="AZ29" s="233" t="n"/>
      <c r="BA29" s="233" t="n"/>
      <c r="BB29" s="233" t="n"/>
      <c r="BC29" s="233" t="n"/>
      <c r="BD29" s="233" t="n"/>
      <c r="BE29" s="233" t="n"/>
      <c r="BF29" s="233" t="n"/>
      <c r="BG29" s="226" t="n"/>
      <c r="BH29" s="226" t="n"/>
      <c r="BI29" s="226" t="n"/>
      <c r="BJ29" s="226" t="n"/>
    </row>
    <row r="30" ht="15.75" customHeight="1" s="349">
      <c r="A30" s="307" t="n"/>
      <c r="B30" s="307" t="n"/>
      <c r="C30" s="307" t="n"/>
      <c r="D30" s="307" t="n"/>
      <c r="E30" s="307" t="n"/>
      <c r="F30" s="307" t="n"/>
      <c r="G30" s="307" t="n"/>
      <c r="H30" s="307" t="n"/>
      <c r="I30" s="307" t="n"/>
      <c r="J30" s="307" t="n"/>
      <c r="K30" s="307" t="n"/>
      <c r="L30" s="307" t="n"/>
      <c r="M30" s="307" t="n"/>
      <c r="N30" s="307" t="n"/>
      <c r="O30" s="307" t="n"/>
      <c r="P30" s="307" t="n"/>
      <c r="Q30" s="307" t="n"/>
      <c r="R30" s="307" t="n"/>
      <c r="S30" s="307" t="n"/>
      <c r="T30" s="307" t="n"/>
      <c r="U30" s="307" t="n"/>
      <c r="V30" s="307" t="n"/>
      <c r="W30" s="307" t="n"/>
      <c r="X30" s="307" t="n"/>
      <c r="Y30" s="307" t="n"/>
      <c r="Z30" s="307" t="n"/>
      <c r="AA30" s="307" t="n"/>
      <c r="AB30" s="307" t="n"/>
      <c r="AC30" s="307" t="n"/>
      <c r="AD30" s="307" t="n"/>
      <c r="AE30" s="307" t="n"/>
      <c r="AF30" s="307" t="n"/>
      <c r="AG30" s="307" t="n"/>
      <c r="AH30" s="307" t="n"/>
      <c r="AI30" s="307" t="n"/>
      <c r="AJ30" s="307" t="n"/>
      <c r="AK30" s="307" t="n"/>
      <c r="AL30" s="307" t="n"/>
      <c r="AM30" s="307" t="n"/>
      <c r="AN30" s="307" t="n"/>
      <c r="AO30" s="307" t="n"/>
      <c r="AP30" s="307" t="n"/>
      <c r="AQ30" s="307" t="n"/>
      <c r="AR30" s="307" t="n"/>
      <c r="AS30" s="307" t="n"/>
      <c r="AT30" s="307" t="n"/>
      <c r="AU30" s="307" t="n"/>
      <c r="AV30" s="307" t="n"/>
      <c r="AW30" s="307" t="n"/>
      <c r="AX30" s="307" t="n"/>
      <c r="AY30" s="307" t="n"/>
      <c r="AZ30" s="307" t="n"/>
      <c r="BA30" s="233" t="n"/>
      <c r="BB30" s="307" t="n"/>
      <c r="BC30" s="307" t="n"/>
      <c r="BD30" s="307" t="n"/>
      <c r="BE30" s="307" t="n"/>
      <c r="BF30" s="307" t="n"/>
      <c r="BG30" s="31" t="n"/>
      <c r="BH30" s="31" t="n"/>
      <c r="BI30" s="31" t="n"/>
      <c r="BJ30" s="31" t="n"/>
    </row>
    <row r="31" ht="15.75" customHeight="1" s="349">
      <c r="A31" s="307" t="n"/>
      <c r="B31" s="307" t="n"/>
      <c r="C31" s="307" t="n"/>
      <c r="D31" s="307" t="n"/>
      <c r="E31" s="307" t="n"/>
      <c r="F31" s="307" t="n"/>
      <c r="G31" s="307" t="n"/>
      <c r="H31" s="307" t="n"/>
      <c r="I31" s="307" t="n"/>
      <c r="J31" s="307" t="n"/>
      <c r="K31" s="307" t="n"/>
      <c r="L31" s="307" t="n"/>
      <c r="M31" s="307" t="n"/>
      <c r="N31" s="307" t="n"/>
      <c r="O31" s="307" t="n"/>
      <c r="P31" s="307" t="n"/>
      <c r="Q31" s="307" t="n"/>
      <c r="R31" s="307" t="n"/>
      <c r="S31" s="307" t="n"/>
      <c r="T31" s="307" t="n"/>
      <c r="U31" s="307" t="n"/>
      <c r="V31" s="307" t="n"/>
      <c r="W31" s="307" t="n"/>
      <c r="X31" s="307" t="n"/>
      <c r="Y31" s="307" t="n"/>
      <c r="Z31" s="307" t="n"/>
      <c r="AA31" s="307" t="n"/>
      <c r="AB31" s="307" t="n"/>
      <c r="AC31" s="307" t="n"/>
      <c r="AD31" s="307" t="n"/>
      <c r="AE31" s="307" t="n"/>
      <c r="AF31" s="307" t="n"/>
      <c r="AG31" s="307" t="n"/>
      <c r="AH31" s="307" t="n"/>
      <c r="AI31" s="307" t="n"/>
      <c r="AJ31" s="307" t="n"/>
      <c r="AK31" s="307" t="n"/>
      <c r="AL31" s="307" t="n"/>
      <c r="AM31" s="307" t="n"/>
      <c r="AN31" s="307" t="n"/>
      <c r="AO31" s="307" t="n"/>
      <c r="AP31" s="307" t="n"/>
      <c r="AQ31" s="307" t="n"/>
      <c r="AR31" s="307" t="n"/>
      <c r="AS31" s="307" t="n"/>
      <c r="AT31" s="307" t="n"/>
      <c r="AU31" s="307" t="n"/>
      <c r="AV31" s="307" t="n"/>
      <c r="AW31" s="307" t="n"/>
      <c r="AX31" s="307" t="n"/>
      <c r="AY31" s="307" t="n"/>
      <c r="AZ31" s="307" t="n"/>
      <c r="BA31" s="233" t="n"/>
      <c r="BB31" s="307" t="n"/>
      <c r="BC31" s="307" t="n"/>
      <c r="BD31" s="307" t="n"/>
      <c r="BE31" s="307" t="n"/>
      <c r="BF31" s="307" t="n"/>
      <c r="BG31" s="31" t="n"/>
      <c r="BH31" s="31" t="n"/>
      <c r="BI31" s="31" t="n"/>
      <c r="BJ31" s="31" t="n"/>
    </row>
    <row r="32" ht="15.75" customHeight="1" s="349">
      <c r="A32" s="307" t="n"/>
      <c r="B32" s="307" t="n"/>
      <c r="C32" s="307" t="n"/>
      <c r="D32" s="307" t="n"/>
      <c r="E32" s="307" t="n"/>
      <c r="F32" s="307" t="n"/>
      <c r="G32" s="307" t="n"/>
      <c r="H32" s="307" t="n"/>
      <c r="I32" s="307" t="n"/>
      <c r="J32" s="307" t="n"/>
      <c r="K32" s="307" t="n"/>
      <c r="L32" s="307" t="n"/>
      <c r="M32" s="307" t="n"/>
      <c r="N32" s="307" t="n"/>
      <c r="O32" s="307" t="n"/>
      <c r="P32" s="307" t="n"/>
      <c r="Q32" s="307" t="n"/>
      <c r="R32" s="307" t="n"/>
      <c r="S32" s="307" t="n"/>
      <c r="T32" s="307" t="n"/>
      <c r="U32" s="307" t="n"/>
      <c r="V32" s="307" t="n"/>
      <c r="W32" s="307" t="n"/>
      <c r="X32" s="307" t="n"/>
      <c r="Y32" s="307" t="n"/>
      <c r="Z32" s="307" t="n"/>
      <c r="AA32" s="307" t="n"/>
      <c r="AB32" s="307" t="n"/>
      <c r="AC32" s="307" t="n"/>
      <c r="AD32" s="307" t="n"/>
      <c r="AE32" s="307" t="n"/>
      <c r="AF32" s="307" t="n"/>
      <c r="AG32" s="307" t="n"/>
      <c r="AH32" s="307" t="n"/>
      <c r="AI32" s="307" t="n"/>
      <c r="AJ32" s="307" t="n"/>
      <c r="AK32" s="307" t="n"/>
      <c r="AL32" s="307" t="n"/>
      <c r="AM32" s="307" t="n"/>
      <c r="AN32" s="307" t="n"/>
      <c r="AO32" s="307" t="n"/>
      <c r="AP32" s="307" t="n"/>
      <c r="AQ32" s="307" t="n"/>
      <c r="AR32" s="307" t="n"/>
      <c r="AS32" s="307" t="n"/>
      <c r="AT32" s="307" t="n"/>
      <c r="AU32" s="307" t="n"/>
      <c r="AV32" s="307" t="n"/>
      <c r="AW32" s="307" t="n"/>
      <c r="AX32" s="307" t="n"/>
      <c r="AY32" s="307" t="n"/>
      <c r="AZ32" s="307" t="n"/>
      <c r="BA32" s="233" t="n"/>
      <c r="BB32" s="307" t="n"/>
      <c r="BC32" s="307" t="n"/>
      <c r="BD32" s="307" t="n"/>
      <c r="BE32" s="307" t="n"/>
      <c r="BF32" s="307" t="n"/>
      <c r="BG32" s="31" t="n"/>
      <c r="BH32" s="31" t="n"/>
      <c r="BI32" s="31" t="n"/>
      <c r="BJ32" s="31" t="n"/>
    </row>
    <row r="33" ht="15.75" customHeight="1" s="349">
      <c r="A33" s="307" t="n"/>
      <c r="B33" s="307" t="n"/>
      <c r="C33" s="307" t="n"/>
      <c r="D33" s="307" t="n"/>
      <c r="E33" s="307" t="n"/>
      <c r="F33" s="307" t="n"/>
      <c r="G33" s="307" t="n"/>
      <c r="H33" s="307" t="n"/>
      <c r="I33" s="307" t="n"/>
      <c r="J33" s="307" t="n"/>
      <c r="K33" s="307" t="n"/>
      <c r="L33" s="307" t="n"/>
      <c r="M33" s="307" t="n"/>
      <c r="N33" s="307" t="n"/>
      <c r="O33" s="307" t="n"/>
      <c r="P33" s="307" t="n"/>
      <c r="Q33" s="307" t="n"/>
      <c r="R33" s="307" t="n"/>
      <c r="S33" s="307" t="n"/>
      <c r="T33" s="307" t="n"/>
      <c r="U33" s="307" t="n"/>
      <c r="V33" s="307" t="n"/>
      <c r="W33" s="307" t="n"/>
      <c r="X33" s="307" t="n"/>
      <c r="Y33" s="307" t="n"/>
      <c r="Z33" s="307" t="n"/>
      <c r="AA33" s="307" t="n"/>
      <c r="AB33" s="307" t="n"/>
      <c r="AC33" s="307" t="n"/>
      <c r="AD33" s="307" t="n"/>
      <c r="AE33" s="307" t="n"/>
      <c r="AF33" s="307" t="n"/>
      <c r="AG33" s="307" t="n"/>
      <c r="AH33" s="307" t="n"/>
      <c r="AI33" s="307" t="n"/>
      <c r="AJ33" s="307" t="n"/>
      <c r="AK33" s="307" t="n"/>
      <c r="AL33" s="307" t="n"/>
      <c r="AM33" s="307" t="n"/>
      <c r="AN33" s="307" t="n"/>
      <c r="AO33" s="307" t="n"/>
      <c r="AP33" s="307" t="n"/>
      <c r="AQ33" s="307" t="n"/>
      <c r="AR33" s="307" t="n"/>
      <c r="AS33" s="307" t="n"/>
      <c r="AT33" s="307" t="n"/>
      <c r="AU33" s="307" t="n"/>
      <c r="AV33" s="307" t="n"/>
      <c r="AW33" s="307" t="n"/>
      <c r="AX33" s="307" t="n"/>
      <c r="AY33" s="307" t="n"/>
      <c r="AZ33" s="307" t="n"/>
      <c r="BA33" s="233" t="n"/>
      <c r="BB33" s="307" t="n"/>
      <c r="BC33" s="307" t="n"/>
      <c r="BD33" s="307" t="n"/>
      <c r="BE33" s="307" t="n"/>
      <c r="BF33" s="307" t="n"/>
      <c r="BG33" s="31" t="n"/>
      <c r="BH33" s="31" t="n"/>
      <c r="BI33" s="31" t="n"/>
      <c r="BJ33" s="31" t="n"/>
    </row>
    <row r="34" ht="15.75" customHeight="1" s="349">
      <c r="A34" s="307" t="n"/>
      <c r="B34" s="307" t="n"/>
      <c r="C34" s="307" t="n"/>
      <c r="D34" s="307" t="n"/>
      <c r="E34" s="307" t="n"/>
      <c r="F34" s="307" t="n"/>
      <c r="G34" s="307" t="n"/>
      <c r="H34" s="307" t="n"/>
      <c r="I34" s="307" t="n"/>
      <c r="J34" s="307" t="n"/>
      <c r="K34" s="307" t="n"/>
      <c r="L34" s="307" t="n"/>
      <c r="M34" s="307" t="n"/>
      <c r="N34" s="307" t="n"/>
      <c r="O34" s="307" t="n"/>
      <c r="P34" s="307" t="n"/>
      <c r="Q34" s="307" t="n"/>
      <c r="R34" s="307" t="n"/>
      <c r="S34" s="307" t="n"/>
      <c r="T34" s="307" t="n"/>
      <c r="U34" s="307" t="n"/>
      <c r="V34" s="307" t="n"/>
      <c r="W34" s="307" t="n"/>
      <c r="X34" s="307" t="n"/>
      <c r="Y34" s="307" t="n"/>
      <c r="Z34" s="307" t="n"/>
      <c r="AA34" s="307" t="n"/>
      <c r="AB34" s="307" t="n"/>
      <c r="AC34" s="307" t="n"/>
      <c r="AD34" s="307" t="n"/>
      <c r="AE34" s="307" t="n"/>
      <c r="AF34" s="307" t="n"/>
      <c r="AG34" s="307" t="n"/>
      <c r="AH34" s="307" t="n"/>
      <c r="AI34" s="307" t="n"/>
      <c r="AJ34" s="307" t="n"/>
      <c r="AK34" s="307" t="n"/>
      <c r="AL34" s="307" t="n"/>
      <c r="AM34" s="307" t="n"/>
      <c r="AN34" s="307" t="n"/>
      <c r="AO34" s="307" t="n"/>
      <c r="AP34" s="307" t="n"/>
      <c r="AQ34" s="307" t="n"/>
      <c r="AR34" s="307" t="n"/>
      <c r="AS34" s="307" t="n"/>
      <c r="AT34" s="307" t="n"/>
      <c r="AU34" s="307" t="n"/>
      <c r="AV34" s="307" t="n"/>
      <c r="AW34" s="307" t="n"/>
      <c r="AX34" s="307" t="n"/>
      <c r="AY34" s="307" t="n"/>
      <c r="AZ34" s="307" t="n"/>
      <c r="BA34" s="233" t="n"/>
      <c r="BB34" s="307" t="n"/>
      <c r="BC34" s="307" t="n"/>
      <c r="BD34" s="307" t="n"/>
      <c r="BE34" s="307" t="n"/>
      <c r="BF34" s="307" t="n"/>
      <c r="BG34" s="31" t="n"/>
      <c r="BH34" s="31" t="n"/>
      <c r="BI34" s="31" t="n"/>
      <c r="BJ34" s="31" t="n"/>
    </row>
    <row r="35" ht="15.75" customHeight="1" s="349">
      <c r="A35" s="307" t="n"/>
      <c r="B35" s="307" t="n"/>
      <c r="C35" s="307" t="n"/>
      <c r="D35" s="307" t="n"/>
      <c r="E35" s="307" t="n"/>
      <c r="F35" s="307" t="n"/>
      <c r="G35" s="307" t="n"/>
      <c r="H35" s="307" t="n"/>
      <c r="I35" s="307" t="n"/>
      <c r="J35" s="307" t="n"/>
      <c r="K35" s="307" t="n"/>
      <c r="L35" s="307" t="n"/>
      <c r="M35" s="307" t="n"/>
      <c r="N35" s="307" t="n"/>
      <c r="O35" s="307" t="n"/>
      <c r="P35" s="307" t="n"/>
      <c r="Q35" s="307" t="n"/>
      <c r="R35" s="307" t="n"/>
      <c r="S35" s="307" t="n"/>
      <c r="T35" s="307" t="n"/>
      <c r="U35" s="307" t="n"/>
      <c r="V35" s="307" t="n"/>
      <c r="W35" s="307" t="n"/>
      <c r="X35" s="307" t="n"/>
      <c r="Y35" s="307" t="n"/>
      <c r="Z35" s="307" t="n"/>
      <c r="AA35" s="307" t="n"/>
      <c r="AB35" s="307" t="n"/>
      <c r="AC35" s="307" t="n"/>
      <c r="AD35" s="307" t="n"/>
      <c r="AE35" s="307" t="n"/>
      <c r="AF35" s="307" t="n"/>
      <c r="AG35" s="307" t="n"/>
      <c r="AH35" s="307" t="n"/>
      <c r="AI35" s="307" t="n"/>
      <c r="AJ35" s="307" t="n"/>
      <c r="AK35" s="307" t="n"/>
      <c r="AL35" s="307" t="n"/>
      <c r="AM35" s="307" t="n"/>
      <c r="AN35" s="307" t="n"/>
      <c r="AO35" s="307" t="n"/>
      <c r="AP35" s="307" t="n"/>
      <c r="AQ35" s="307" t="n"/>
      <c r="AR35" s="307" t="n"/>
      <c r="AS35" s="307" t="n"/>
      <c r="AT35" s="307" t="n"/>
      <c r="AU35" s="307" t="n"/>
      <c r="AV35" s="307" t="n"/>
      <c r="AW35" s="307" t="n"/>
      <c r="AX35" s="307" t="n"/>
      <c r="AY35" s="307" t="n"/>
      <c r="AZ35" s="307" t="n"/>
      <c r="BA35" s="233" t="n"/>
      <c r="BB35" s="307" t="n"/>
      <c r="BC35" s="307" t="n"/>
      <c r="BD35" s="307" t="n"/>
      <c r="BE35" s="307" t="n"/>
      <c r="BF35" s="307" t="n"/>
      <c r="BG35" s="31" t="n"/>
      <c r="BH35" s="31" t="n"/>
      <c r="BI35" s="31" t="n"/>
      <c r="BJ35" s="31" t="n"/>
    </row>
    <row r="36" ht="15.75" customHeight="1" s="349">
      <c r="A36" s="307" t="n"/>
      <c r="B36" s="307" t="n"/>
      <c r="C36" s="307" t="n"/>
      <c r="D36" s="307" t="n"/>
      <c r="E36" s="307" t="n"/>
      <c r="F36" s="307" t="n"/>
      <c r="G36" s="307" t="n"/>
      <c r="H36" s="307" t="n"/>
      <c r="I36" s="307" t="n"/>
      <c r="J36" s="307" t="n"/>
      <c r="K36" s="307" t="n"/>
      <c r="L36" s="307" t="n"/>
      <c r="M36" s="307" t="n"/>
      <c r="N36" s="307" t="n"/>
      <c r="O36" s="307" t="n"/>
      <c r="P36" s="307" t="n"/>
      <c r="Q36" s="307" t="n"/>
      <c r="R36" s="307" t="n"/>
      <c r="S36" s="307" t="n"/>
      <c r="T36" s="307" t="n"/>
      <c r="U36" s="307" t="n"/>
      <c r="V36" s="307" t="n"/>
      <c r="W36" s="307" t="n"/>
      <c r="X36" s="307" t="n"/>
      <c r="Y36" s="307" t="n"/>
      <c r="Z36" s="307" t="n"/>
      <c r="AA36" s="307" t="n"/>
      <c r="AB36" s="307" t="n"/>
      <c r="AC36" s="307" t="n"/>
      <c r="AD36" s="307" t="n"/>
      <c r="AE36" s="307" t="n"/>
      <c r="AF36" s="307" t="n"/>
      <c r="AG36" s="307" t="n"/>
      <c r="AH36" s="307" t="n"/>
      <c r="AI36" s="307" t="n"/>
      <c r="AJ36" s="307" t="n"/>
      <c r="AK36" s="307" t="n"/>
      <c r="AL36" s="307" t="n"/>
      <c r="AM36" s="307" t="n"/>
      <c r="AN36" s="307" t="n"/>
      <c r="AO36" s="307" t="n"/>
      <c r="AP36" s="307" t="n"/>
      <c r="AQ36" s="307" t="n"/>
      <c r="AR36" s="307" t="n"/>
      <c r="AS36" s="307" t="n"/>
      <c r="AT36" s="307" t="n"/>
      <c r="AU36" s="307" t="n"/>
      <c r="AV36" s="307" t="n"/>
      <c r="AW36" s="307" t="n"/>
      <c r="AX36" s="307" t="n"/>
      <c r="AY36" s="307" t="n"/>
      <c r="AZ36" s="307" t="n"/>
      <c r="BA36" s="233" t="n"/>
      <c r="BB36" s="307" t="n"/>
      <c r="BC36" s="307" t="n"/>
      <c r="BD36" s="307" t="n"/>
      <c r="BE36" s="307" t="n"/>
      <c r="BF36" s="307" t="n"/>
      <c r="BG36" s="31" t="n"/>
      <c r="BH36" s="31" t="n"/>
      <c r="BI36" s="31" t="n"/>
      <c r="BJ36" s="31" t="n"/>
    </row>
    <row r="37" ht="15.75" customHeight="1" s="349">
      <c r="A37" s="307" t="n"/>
      <c r="B37" s="307" t="n"/>
      <c r="C37" s="307" t="n"/>
      <c r="D37" s="307" t="n"/>
      <c r="E37" s="307" t="n"/>
      <c r="F37" s="307" t="n"/>
      <c r="G37" s="307" t="n"/>
      <c r="H37" s="307" t="n"/>
      <c r="I37" s="307" t="n"/>
      <c r="J37" s="307" t="n"/>
      <c r="K37" s="307" t="n"/>
      <c r="L37" s="307" t="n"/>
      <c r="M37" s="307" t="n"/>
      <c r="N37" s="307" t="n"/>
      <c r="O37" s="307" t="n"/>
      <c r="P37" s="307" t="n"/>
      <c r="Q37" s="307" t="n"/>
      <c r="R37" s="307" t="n"/>
      <c r="S37" s="307" t="n"/>
      <c r="T37" s="307" t="n"/>
      <c r="U37" s="307" t="n"/>
      <c r="V37" s="307" t="n"/>
      <c r="W37" s="307" t="n"/>
      <c r="X37" s="307" t="n"/>
      <c r="Y37" s="307" t="n"/>
      <c r="Z37" s="307" t="n"/>
      <c r="AA37" s="307" t="n"/>
      <c r="AB37" s="307" t="n"/>
      <c r="AC37" s="307" t="n"/>
      <c r="AD37" s="307" t="n"/>
      <c r="AE37" s="307" t="n"/>
      <c r="AF37" s="307" t="n"/>
      <c r="AG37" s="307" t="n"/>
      <c r="AH37" s="307" t="n"/>
      <c r="AI37" s="307" t="n"/>
      <c r="AJ37" s="307" t="n"/>
      <c r="AK37" s="307" t="n"/>
      <c r="AL37" s="307" t="n"/>
      <c r="AM37" s="307" t="n"/>
      <c r="AN37" s="307" t="n"/>
      <c r="AO37" s="307" t="n"/>
      <c r="AP37" s="307" t="n"/>
      <c r="AQ37" s="307" t="n"/>
      <c r="AR37" s="307" t="n"/>
      <c r="AS37" s="307" t="n"/>
      <c r="AT37" s="307" t="n"/>
      <c r="AU37" s="307" t="n"/>
      <c r="AV37" s="307" t="n"/>
      <c r="AW37" s="307" t="n"/>
      <c r="AX37" s="307" t="n"/>
      <c r="AY37" s="307" t="n"/>
      <c r="AZ37" s="307" t="n"/>
      <c r="BA37" s="233" t="n"/>
      <c r="BB37" s="307" t="n"/>
      <c r="BC37" s="307" t="n"/>
      <c r="BD37" s="307" t="n"/>
      <c r="BE37" s="307" t="n"/>
      <c r="BF37" s="307" t="n"/>
      <c r="BG37" s="31" t="n"/>
      <c r="BH37" s="31" t="n"/>
      <c r="BI37" s="31" t="n"/>
      <c r="BJ37" s="31" t="n"/>
    </row>
    <row r="38" ht="15.75" customHeight="1" s="349">
      <c r="A38" s="307" t="n"/>
      <c r="B38" s="307" t="n"/>
      <c r="C38" s="307" t="n"/>
      <c r="D38" s="307" t="n"/>
      <c r="E38" s="307" t="n"/>
      <c r="F38" s="307" t="n"/>
      <c r="G38" s="307" t="n"/>
      <c r="H38" s="307" t="n"/>
      <c r="I38" s="307" t="n"/>
      <c r="J38" s="307" t="n"/>
      <c r="K38" s="307" t="n"/>
      <c r="L38" s="307" t="n"/>
      <c r="M38" s="307" t="n"/>
      <c r="N38" s="307" t="n"/>
      <c r="O38" s="307" t="n"/>
      <c r="P38" s="307" t="n"/>
      <c r="Q38" s="307" t="n"/>
      <c r="R38" s="307" t="n"/>
      <c r="S38" s="307" t="n"/>
      <c r="T38" s="307" t="n"/>
      <c r="U38" s="307" t="n"/>
      <c r="V38" s="307" t="n"/>
      <c r="W38" s="307" t="n"/>
      <c r="X38" s="307" t="n"/>
      <c r="Y38" s="307" t="n"/>
      <c r="Z38" s="307" t="n"/>
      <c r="AA38" s="307" t="n"/>
      <c r="AB38" s="307" t="n"/>
      <c r="AC38" s="307" t="n"/>
      <c r="AD38" s="307" t="n"/>
      <c r="AE38" s="307" t="n"/>
      <c r="AF38" s="307" t="n"/>
      <c r="AG38" s="307" t="n"/>
      <c r="AH38" s="307" t="n"/>
      <c r="AI38" s="307" t="n"/>
      <c r="AJ38" s="307" t="n"/>
      <c r="AK38" s="307" t="n"/>
      <c r="AL38" s="307" t="n"/>
      <c r="AM38" s="307" t="n"/>
      <c r="AN38" s="307" t="n"/>
      <c r="AO38" s="307" t="n"/>
      <c r="AP38" s="307" t="n"/>
      <c r="AQ38" s="307" t="n"/>
      <c r="AR38" s="307" t="n"/>
      <c r="AS38" s="307" t="n"/>
      <c r="AT38" s="307" t="n"/>
      <c r="AU38" s="307" t="n"/>
      <c r="AV38" s="307" t="n"/>
      <c r="AW38" s="307" t="n"/>
      <c r="AX38" s="307" t="n"/>
      <c r="AY38" s="307" t="n"/>
      <c r="AZ38" s="307" t="n"/>
      <c r="BA38" s="233" t="n"/>
      <c r="BB38" s="307" t="n"/>
      <c r="BC38" s="307" t="n"/>
      <c r="BD38" s="307" t="n"/>
      <c r="BE38" s="307" t="n"/>
      <c r="BF38" s="307" t="n"/>
      <c r="BG38" s="31" t="n"/>
      <c r="BH38" s="31" t="n"/>
      <c r="BI38" s="31" t="n"/>
      <c r="BJ38" s="31" t="n"/>
    </row>
    <row r="39" ht="15.75" customHeight="1" s="349">
      <c r="A39" s="307" t="n"/>
      <c r="B39" s="307" t="n"/>
      <c r="C39" s="307" t="n"/>
      <c r="D39" s="307" t="n"/>
      <c r="E39" s="307" t="n"/>
      <c r="F39" s="307" t="n"/>
      <c r="G39" s="307" t="n"/>
      <c r="H39" s="307" t="n"/>
      <c r="I39" s="307" t="n"/>
      <c r="J39" s="307" t="n"/>
      <c r="K39" s="307" t="n"/>
      <c r="L39" s="307" t="n"/>
      <c r="M39" s="307" t="n"/>
      <c r="N39" s="307" t="n"/>
      <c r="O39" s="307" t="n"/>
      <c r="P39" s="307" t="n"/>
      <c r="Q39" s="307" t="n"/>
      <c r="R39" s="307" t="n"/>
      <c r="S39" s="307" t="n"/>
      <c r="T39" s="307" t="n"/>
      <c r="U39" s="307" t="n"/>
      <c r="V39" s="307" t="n"/>
      <c r="W39" s="307" t="n"/>
      <c r="X39" s="307" t="n"/>
      <c r="Y39" s="307" t="n"/>
      <c r="Z39" s="307" t="n"/>
      <c r="AA39" s="307" t="n"/>
      <c r="AB39" s="307" t="n"/>
      <c r="AC39" s="307" t="n"/>
      <c r="AD39" s="307" t="n"/>
      <c r="AE39" s="307" t="n"/>
      <c r="AF39" s="307" t="n"/>
      <c r="AG39" s="307" t="n"/>
      <c r="AH39" s="307" t="n"/>
      <c r="AI39" s="307" t="n"/>
      <c r="AJ39" s="307" t="n"/>
      <c r="AK39" s="307" t="n"/>
      <c r="AL39" s="307" t="n"/>
      <c r="AM39" s="307" t="n"/>
      <c r="AN39" s="307" t="n"/>
      <c r="AO39" s="307" t="n"/>
      <c r="AP39" s="307" t="n"/>
      <c r="AQ39" s="307" t="n"/>
      <c r="AR39" s="307" t="n"/>
      <c r="AS39" s="307" t="n"/>
      <c r="AT39" s="307" t="n"/>
      <c r="AU39" s="307" t="n"/>
      <c r="AV39" s="307" t="n"/>
      <c r="AW39" s="307" t="n"/>
      <c r="AX39" s="307" t="n"/>
      <c r="AY39" s="307" t="n"/>
      <c r="AZ39" s="307" t="n"/>
      <c r="BA39" s="233" t="n"/>
      <c r="BB39" s="307" t="n"/>
      <c r="BC39" s="307" t="n"/>
      <c r="BD39" s="307" t="n"/>
      <c r="BE39" s="307" t="n"/>
      <c r="BF39" s="307" t="n"/>
      <c r="BG39" s="31" t="n"/>
      <c r="BH39" s="31" t="n"/>
      <c r="BI39" s="31" t="n"/>
      <c r="BJ39" s="31" t="n"/>
    </row>
    <row r="40" ht="15.75" customHeight="1" s="349">
      <c r="A40" s="307" t="n"/>
      <c r="B40" s="307" t="n"/>
      <c r="C40" s="307" t="n"/>
      <c r="D40" s="307" t="n"/>
      <c r="E40" s="307" t="n"/>
      <c r="F40" s="307" t="n"/>
      <c r="G40" s="307" t="n"/>
      <c r="H40" s="307" t="n"/>
      <c r="I40" s="307" t="n"/>
      <c r="J40" s="307" t="n"/>
      <c r="K40" s="307" t="n"/>
      <c r="L40" s="307" t="n"/>
      <c r="M40" s="307" t="n"/>
      <c r="N40" s="307" t="n"/>
      <c r="O40" s="307" t="n"/>
      <c r="P40" s="307" t="n"/>
      <c r="Q40" s="307" t="n"/>
      <c r="R40" s="307" t="n"/>
      <c r="S40" s="307" t="n"/>
      <c r="T40" s="307" t="n"/>
      <c r="U40" s="307" t="n"/>
      <c r="V40" s="307" t="n"/>
      <c r="W40" s="307" t="n"/>
      <c r="X40" s="307" t="n"/>
      <c r="Y40" s="307" t="n"/>
      <c r="Z40" s="307" t="n"/>
      <c r="AA40" s="307" t="n"/>
      <c r="AB40" s="307" t="n"/>
      <c r="AC40" s="307" t="n"/>
      <c r="AD40" s="307" t="n"/>
      <c r="AE40" s="307" t="n"/>
      <c r="AF40" s="307" t="n"/>
      <c r="AG40" s="307" t="n"/>
      <c r="AH40" s="307" t="n"/>
      <c r="AI40" s="307" t="n"/>
      <c r="AJ40" s="307" t="n"/>
      <c r="AK40" s="307" t="n"/>
      <c r="AL40" s="307" t="n"/>
      <c r="AM40" s="307" t="n"/>
      <c r="AN40" s="307" t="n"/>
      <c r="AO40" s="307" t="n"/>
      <c r="AP40" s="307" t="n"/>
      <c r="AQ40" s="307" t="n"/>
      <c r="AR40" s="307" t="n"/>
      <c r="AS40" s="307" t="n"/>
      <c r="AT40" s="307" t="n"/>
      <c r="AU40" s="307" t="n"/>
      <c r="AV40" s="307" t="n"/>
      <c r="AW40" s="307" t="n"/>
      <c r="AX40" s="307" t="n"/>
      <c r="AY40" s="307" t="n"/>
      <c r="AZ40" s="307" t="n"/>
      <c r="BA40" s="233" t="n"/>
      <c r="BB40" s="307" t="n"/>
      <c r="BC40" s="307" t="n"/>
      <c r="BD40" s="307" t="n"/>
      <c r="BE40" s="307" t="n"/>
      <c r="BF40" s="307" t="n"/>
      <c r="BG40" s="31" t="n"/>
      <c r="BH40" s="31" t="n"/>
      <c r="BI40" s="31" t="n"/>
      <c r="BJ40" s="31" t="n"/>
    </row>
    <row r="41" ht="15.75" customHeight="1" s="349">
      <c r="A41" s="307" t="n"/>
      <c r="B41" s="307" t="n"/>
      <c r="C41" s="307" t="n"/>
      <c r="D41" s="307" t="n"/>
      <c r="E41" s="307" t="n"/>
      <c r="F41" s="307" t="n"/>
      <c r="G41" s="307" t="n"/>
      <c r="H41" s="307" t="n"/>
      <c r="I41" s="307" t="n"/>
      <c r="J41" s="307" t="n"/>
      <c r="K41" s="307" t="n"/>
      <c r="L41" s="307" t="n"/>
      <c r="M41" s="307" t="n"/>
      <c r="N41" s="307" t="n"/>
      <c r="O41" s="307" t="n"/>
      <c r="P41" s="307" t="n"/>
      <c r="Q41" s="307" t="n"/>
      <c r="R41" s="307" t="n"/>
      <c r="S41" s="307" t="n"/>
      <c r="T41" s="307" t="n"/>
      <c r="U41" s="307" t="n"/>
      <c r="V41" s="307" t="n"/>
      <c r="W41" s="307" t="n"/>
      <c r="X41" s="307" t="n"/>
      <c r="Y41" s="307" t="n"/>
      <c r="Z41" s="307" t="n"/>
      <c r="AA41" s="307" t="n"/>
      <c r="AB41" s="307" t="n"/>
      <c r="AC41" s="307" t="n"/>
      <c r="AD41" s="307" t="n"/>
      <c r="AE41" s="307" t="n"/>
      <c r="AF41" s="307" t="n"/>
      <c r="AG41" s="307" t="n"/>
      <c r="AH41" s="307" t="n"/>
      <c r="AI41" s="307" t="n"/>
      <c r="AJ41" s="307" t="n"/>
      <c r="AK41" s="307" t="n"/>
      <c r="AL41" s="307" t="n"/>
      <c r="AM41" s="307" t="n"/>
      <c r="AN41" s="307" t="n"/>
      <c r="AO41" s="307" t="n"/>
      <c r="AP41" s="307" t="n"/>
      <c r="AQ41" s="307" t="n"/>
      <c r="AR41" s="307" t="n"/>
      <c r="AS41" s="307" t="n"/>
      <c r="AT41" s="307" t="n"/>
      <c r="AU41" s="307" t="n"/>
      <c r="AV41" s="307" t="n"/>
      <c r="AW41" s="307" t="n"/>
      <c r="AX41" s="307" t="n"/>
      <c r="AY41" s="307" t="n"/>
      <c r="AZ41" s="307" t="n"/>
      <c r="BA41" s="233" t="n"/>
      <c r="BB41" s="307" t="n"/>
      <c r="BC41" s="307" t="n"/>
      <c r="BD41" s="307" t="n"/>
      <c r="BE41" s="307" t="n"/>
      <c r="BF41" s="307" t="n"/>
      <c r="BG41" s="31" t="n"/>
      <c r="BH41" s="31" t="n"/>
      <c r="BI41" s="31" t="n"/>
      <c r="BJ41" s="31" t="n"/>
    </row>
    <row r="42" ht="15.75" customHeight="1" s="349">
      <c r="A42" s="307" t="n"/>
      <c r="B42" s="307" t="n"/>
      <c r="C42" s="307" t="n"/>
      <c r="D42" s="307" t="n"/>
      <c r="E42" s="307" t="n"/>
      <c r="F42" s="307" t="n"/>
      <c r="G42" s="307" t="n"/>
      <c r="H42" s="307" t="n"/>
      <c r="I42" s="307" t="n"/>
      <c r="J42" s="307" t="n"/>
      <c r="K42" s="307" t="n"/>
      <c r="L42" s="307" t="n"/>
      <c r="M42" s="307" t="n"/>
      <c r="N42" s="307" t="n"/>
      <c r="O42" s="307" t="n"/>
      <c r="P42" s="307" t="n"/>
      <c r="Q42" s="307" t="n"/>
      <c r="R42" s="307" t="n"/>
      <c r="S42" s="307" t="n"/>
      <c r="T42" s="307" t="n"/>
      <c r="U42" s="307" t="n"/>
      <c r="V42" s="307" t="n"/>
      <c r="W42" s="307" t="n"/>
      <c r="X42" s="307" t="n"/>
      <c r="Y42" s="307" t="n"/>
      <c r="Z42" s="307" t="n"/>
      <c r="AA42" s="307" t="n"/>
      <c r="AB42" s="307" t="n"/>
      <c r="AC42" s="307" t="n"/>
      <c r="AD42" s="307" t="n"/>
      <c r="AE42" s="307" t="n"/>
      <c r="AF42" s="307" t="n"/>
      <c r="AG42" s="307" t="n"/>
      <c r="AH42" s="307" t="n"/>
      <c r="AI42" s="307" t="n"/>
      <c r="AJ42" s="307" t="n"/>
      <c r="AK42" s="307" t="n"/>
      <c r="AL42" s="307" t="n"/>
      <c r="AM42" s="307" t="n"/>
      <c r="AN42" s="307" t="n"/>
      <c r="AO42" s="307" t="n"/>
      <c r="AP42" s="307" t="n"/>
      <c r="AQ42" s="307" t="n"/>
      <c r="AR42" s="307" t="n"/>
      <c r="AS42" s="307" t="n"/>
      <c r="AT42" s="307" t="n"/>
      <c r="AU42" s="307" t="n"/>
      <c r="AV42" s="307" t="n"/>
      <c r="AW42" s="307" t="n"/>
      <c r="AX42" s="307" t="n"/>
      <c r="AY42" s="307" t="n"/>
      <c r="AZ42" s="307" t="n"/>
      <c r="BA42" s="233" t="n"/>
      <c r="BB42" s="307" t="n"/>
      <c r="BC42" s="307" t="n"/>
      <c r="BD42" s="307" t="n"/>
      <c r="BE42" s="307" t="n"/>
      <c r="BF42" s="307" t="n"/>
      <c r="BG42" s="31" t="n"/>
      <c r="BH42" s="31" t="n"/>
      <c r="BI42" s="31" t="n"/>
      <c r="BJ42" s="31" t="n"/>
    </row>
    <row r="43" ht="15.75" customHeight="1" s="349">
      <c r="A43" s="307" t="n"/>
      <c r="B43" s="307" t="n"/>
      <c r="C43" s="307" t="n"/>
      <c r="D43" s="307" t="n"/>
      <c r="E43" s="307" t="n"/>
      <c r="F43" s="307" t="n"/>
      <c r="G43" s="307" t="n"/>
      <c r="H43" s="307" t="n"/>
      <c r="I43" s="307" t="n"/>
      <c r="J43" s="307" t="n"/>
      <c r="K43" s="307" t="n"/>
      <c r="L43" s="307" t="n"/>
      <c r="M43" s="307" t="n"/>
      <c r="N43" s="307" t="n"/>
      <c r="O43" s="307" t="n"/>
      <c r="P43" s="307" t="n"/>
      <c r="Q43" s="307" t="n"/>
      <c r="R43" s="307" t="n"/>
      <c r="S43" s="307" t="n"/>
      <c r="T43" s="307" t="n"/>
      <c r="U43" s="307" t="n"/>
      <c r="V43" s="307" t="n"/>
      <c r="W43" s="307" t="n"/>
      <c r="X43" s="307" t="n"/>
      <c r="Y43" s="307" t="n"/>
      <c r="Z43" s="307" t="n"/>
      <c r="AA43" s="307" t="n"/>
      <c r="AB43" s="307" t="n"/>
      <c r="AC43" s="307" t="n"/>
      <c r="AD43" s="307" t="n"/>
      <c r="AE43" s="307" t="n"/>
      <c r="AF43" s="307" t="n"/>
      <c r="AG43" s="307" t="n"/>
      <c r="AH43" s="307" t="n"/>
      <c r="AI43" s="307" t="n"/>
      <c r="AJ43" s="307" t="n"/>
      <c r="AK43" s="307" t="n"/>
      <c r="AL43" s="307" t="n"/>
      <c r="AM43" s="307" t="n"/>
      <c r="AN43" s="307" t="n"/>
      <c r="AO43" s="307" t="n"/>
      <c r="AP43" s="307" t="n"/>
      <c r="AQ43" s="307" t="n"/>
      <c r="AR43" s="307" t="n"/>
      <c r="AS43" s="307" t="n"/>
      <c r="AT43" s="307" t="n"/>
      <c r="AU43" s="307" t="n"/>
      <c r="AV43" s="307" t="n"/>
      <c r="AW43" s="307" t="n"/>
      <c r="AX43" s="307" t="n"/>
      <c r="AY43" s="307" t="n"/>
      <c r="AZ43" s="307" t="n"/>
      <c r="BA43" s="233" t="n"/>
      <c r="BB43" s="307" t="n"/>
      <c r="BC43" s="307" t="n"/>
      <c r="BD43" s="307" t="n"/>
      <c r="BE43" s="307" t="n"/>
      <c r="BF43" s="307" t="n"/>
      <c r="BG43" s="31" t="n"/>
      <c r="BH43" s="31" t="n"/>
      <c r="BI43" s="31" t="n"/>
      <c r="BJ43" s="31" t="n"/>
    </row>
    <row r="44" ht="15.75" customHeight="1" s="349">
      <c r="A44" s="307" t="n"/>
      <c r="B44" s="307" t="n"/>
      <c r="C44" s="307" t="n"/>
      <c r="D44" s="307" t="n"/>
      <c r="E44" s="307" t="n"/>
      <c r="F44" s="307" t="n"/>
      <c r="G44" s="307" t="n"/>
      <c r="H44" s="307" t="n"/>
      <c r="I44" s="307" t="n"/>
      <c r="J44" s="307" t="n"/>
      <c r="K44" s="307" t="n"/>
      <c r="L44" s="307" t="n"/>
      <c r="M44" s="307" t="n"/>
      <c r="N44" s="307" t="n"/>
      <c r="O44" s="307" t="n"/>
      <c r="P44" s="307" t="n"/>
      <c r="Q44" s="307" t="n"/>
      <c r="R44" s="307" t="n"/>
      <c r="S44" s="307" t="n"/>
      <c r="T44" s="307" t="n"/>
      <c r="U44" s="307" t="n"/>
      <c r="V44" s="307" t="n"/>
      <c r="W44" s="307" t="n"/>
      <c r="X44" s="307" t="n"/>
      <c r="Y44" s="307" t="n"/>
      <c r="Z44" s="307" t="n"/>
      <c r="AA44" s="307" t="n"/>
      <c r="AB44" s="307" t="n"/>
      <c r="AC44" s="307" t="n"/>
      <c r="AD44" s="307" t="n"/>
      <c r="AE44" s="307" t="n"/>
      <c r="AF44" s="307" t="n"/>
      <c r="AG44" s="307" t="n"/>
      <c r="AH44" s="307" t="n"/>
      <c r="AI44" s="307" t="n"/>
      <c r="AJ44" s="307" t="n"/>
      <c r="AK44" s="307" t="n"/>
      <c r="AL44" s="307" t="n"/>
      <c r="AM44" s="307" t="n"/>
      <c r="AN44" s="307" t="n"/>
      <c r="AO44" s="307" t="n"/>
      <c r="AP44" s="307" t="n"/>
      <c r="AQ44" s="307" t="n"/>
      <c r="AR44" s="307" t="n"/>
      <c r="AS44" s="307" t="n"/>
      <c r="AT44" s="307" t="n"/>
      <c r="AU44" s="307" t="n"/>
      <c r="AV44" s="307" t="n"/>
      <c r="AW44" s="307" t="n"/>
      <c r="AX44" s="307" t="n"/>
      <c r="AY44" s="307" t="n"/>
      <c r="AZ44" s="307" t="n"/>
      <c r="BA44" s="233" t="n"/>
      <c r="BB44" s="307" t="n"/>
      <c r="BC44" s="307" t="n"/>
      <c r="BD44" s="307" t="n"/>
      <c r="BE44" s="307" t="n"/>
      <c r="BF44" s="307" t="n"/>
      <c r="BG44" s="31" t="n"/>
      <c r="BH44" s="31" t="n"/>
      <c r="BI44" s="31" t="n"/>
      <c r="BJ44" s="31" t="n"/>
    </row>
    <row r="45" ht="15.75" customHeight="1" s="349">
      <c r="A45" s="307" t="n"/>
      <c r="B45" s="307" t="n"/>
      <c r="C45" s="307" t="n"/>
      <c r="D45" s="307" t="n"/>
      <c r="E45" s="307" t="n"/>
      <c r="F45" s="307" t="n"/>
      <c r="G45" s="307" t="n"/>
      <c r="H45" s="307" t="n"/>
      <c r="I45" s="307" t="n"/>
      <c r="J45" s="307" t="n"/>
      <c r="K45" s="307" t="n"/>
      <c r="L45" s="307" t="n"/>
      <c r="M45" s="307" t="n"/>
      <c r="N45" s="307" t="n"/>
      <c r="O45" s="307" t="n"/>
      <c r="P45" s="307" t="n"/>
      <c r="Q45" s="307" t="n"/>
      <c r="R45" s="307" t="n"/>
      <c r="S45" s="307" t="n"/>
      <c r="T45" s="307" t="n"/>
      <c r="U45" s="307" t="n"/>
      <c r="V45" s="307" t="n"/>
      <c r="W45" s="307" t="n"/>
      <c r="X45" s="307" t="n"/>
      <c r="Y45" s="307" t="n"/>
      <c r="Z45" s="307" t="n"/>
      <c r="AA45" s="307" t="n"/>
      <c r="AB45" s="307" t="n"/>
      <c r="AC45" s="307" t="n"/>
      <c r="AD45" s="307" t="n"/>
      <c r="AE45" s="307" t="n"/>
      <c r="AF45" s="307" t="n"/>
      <c r="AG45" s="307" t="n"/>
      <c r="AH45" s="307" t="n"/>
      <c r="AI45" s="307" t="n"/>
      <c r="AJ45" s="307" t="n"/>
      <c r="AK45" s="307" t="n"/>
      <c r="AL45" s="307" t="n"/>
      <c r="AM45" s="307" t="n"/>
      <c r="AN45" s="307" t="n"/>
      <c r="AO45" s="307" t="n"/>
      <c r="AP45" s="307" t="n"/>
      <c r="AQ45" s="307" t="n"/>
      <c r="AR45" s="307" t="n"/>
      <c r="AS45" s="307" t="n"/>
      <c r="AT45" s="307" t="n"/>
      <c r="AU45" s="307" t="n"/>
      <c r="AV45" s="307" t="n"/>
      <c r="AW45" s="307" t="n"/>
      <c r="AX45" s="307" t="n"/>
      <c r="AY45" s="307" t="n"/>
      <c r="AZ45" s="307" t="n"/>
      <c r="BA45" s="233" t="n"/>
      <c r="BB45" s="307" t="n"/>
      <c r="BC45" s="307" t="n"/>
      <c r="BD45" s="307" t="n"/>
      <c r="BE45" s="307" t="n"/>
      <c r="BF45" s="307" t="n"/>
      <c r="BG45" s="31" t="n"/>
      <c r="BH45" s="31" t="n"/>
      <c r="BI45" s="31" t="n"/>
      <c r="BJ45" s="31" t="n"/>
    </row>
    <row r="46" ht="15.75" customHeight="1" s="349">
      <c r="A46" s="307" t="n"/>
      <c r="B46" s="307" t="n"/>
      <c r="C46" s="307" t="n"/>
      <c r="D46" s="307" t="n"/>
      <c r="E46" s="307" t="n"/>
      <c r="F46" s="307" t="n"/>
      <c r="G46" s="307" t="n"/>
      <c r="H46" s="307" t="n"/>
      <c r="I46" s="307" t="n"/>
      <c r="J46" s="307" t="n"/>
      <c r="K46" s="307" t="n"/>
      <c r="L46" s="307" t="n"/>
      <c r="M46" s="307" t="n"/>
      <c r="N46" s="307" t="n"/>
      <c r="O46" s="307" t="n"/>
      <c r="P46" s="307" t="n"/>
      <c r="Q46" s="307" t="n"/>
      <c r="R46" s="307" t="n"/>
      <c r="S46" s="307" t="n"/>
      <c r="T46" s="307" t="n"/>
      <c r="U46" s="307" t="n"/>
      <c r="V46" s="307" t="n"/>
      <c r="W46" s="307" t="n"/>
      <c r="X46" s="307" t="n"/>
      <c r="Y46" s="307" t="n"/>
      <c r="Z46" s="307" t="n"/>
      <c r="AA46" s="307" t="n"/>
      <c r="AB46" s="307" t="n"/>
      <c r="AC46" s="307" t="n"/>
      <c r="AD46" s="307" t="n"/>
      <c r="AE46" s="307" t="n"/>
      <c r="AF46" s="307" t="n"/>
      <c r="AG46" s="307" t="n"/>
      <c r="AH46" s="307" t="n"/>
      <c r="AI46" s="307" t="n"/>
      <c r="AJ46" s="307" t="n"/>
      <c r="AK46" s="307" t="n"/>
      <c r="AL46" s="307" t="n"/>
      <c r="AM46" s="307" t="n"/>
      <c r="AN46" s="307" t="n"/>
      <c r="AO46" s="307" t="n"/>
      <c r="AP46" s="307" t="n"/>
      <c r="AQ46" s="307" t="n"/>
      <c r="AR46" s="307" t="n"/>
      <c r="AS46" s="307" t="n"/>
      <c r="AT46" s="307" t="n"/>
      <c r="AU46" s="307" t="n"/>
      <c r="AV46" s="307" t="n"/>
      <c r="AW46" s="307" t="n"/>
      <c r="AX46" s="307" t="n"/>
      <c r="AY46" s="307" t="n"/>
      <c r="AZ46" s="307" t="n"/>
      <c r="BA46" s="233" t="n"/>
      <c r="BB46" s="307" t="n"/>
      <c r="BC46" s="307" t="n"/>
      <c r="BD46" s="307" t="n"/>
      <c r="BE46" s="307" t="n"/>
      <c r="BF46" s="307" t="n"/>
      <c r="BG46" s="31" t="n"/>
      <c r="BH46" s="31" t="n"/>
      <c r="BI46" s="31" t="n"/>
      <c r="BJ46" s="31" t="n"/>
    </row>
    <row r="47" ht="15.75" customHeight="1" s="349">
      <c r="A47" s="307" t="n"/>
      <c r="B47" s="307" t="n"/>
      <c r="C47" s="307" t="n"/>
      <c r="D47" s="307" t="n"/>
      <c r="E47" s="307" t="n"/>
      <c r="F47" s="307" t="n"/>
      <c r="G47" s="307" t="n"/>
      <c r="H47" s="307" t="n"/>
      <c r="I47" s="307" t="n"/>
      <c r="J47" s="307" t="n"/>
      <c r="K47" s="307" t="n"/>
      <c r="L47" s="307" t="n"/>
      <c r="M47" s="307" t="n"/>
      <c r="N47" s="307" t="n"/>
      <c r="O47" s="307" t="n"/>
      <c r="P47" s="307" t="n"/>
      <c r="Q47" s="307" t="n"/>
      <c r="R47" s="307" t="n"/>
      <c r="S47" s="307" t="n"/>
      <c r="T47" s="307" t="n"/>
      <c r="U47" s="307" t="n"/>
      <c r="V47" s="307" t="n"/>
      <c r="W47" s="307" t="n"/>
      <c r="X47" s="307" t="n"/>
      <c r="Y47" s="307" t="n"/>
      <c r="Z47" s="307" t="n"/>
      <c r="AA47" s="307" t="n"/>
      <c r="AB47" s="307" t="n"/>
      <c r="AC47" s="307" t="n"/>
      <c r="AD47" s="307" t="n"/>
      <c r="AE47" s="307" t="n"/>
      <c r="AF47" s="307" t="n"/>
      <c r="AG47" s="307" t="n"/>
      <c r="AH47" s="307" t="n"/>
      <c r="AI47" s="307" t="n"/>
      <c r="AJ47" s="307" t="n"/>
      <c r="AK47" s="307" t="n"/>
      <c r="AL47" s="307" t="n"/>
      <c r="AM47" s="307" t="n"/>
      <c r="AN47" s="307" t="n"/>
      <c r="AO47" s="307" t="n"/>
      <c r="AP47" s="307" t="n"/>
      <c r="AQ47" s="307" t="n"/>
      <c r="AR47" s="307" t="n"/>
      <c r="AS47" s="307" t="n"/>
      <c r="AT47" s="307" t="n"/>
      <c r="AU47" s="307" t="n"/>
      <c r="AV47" s="307" t="n"/>
      <c r="AW47" s="307" t="n"/>
      <c r="AX47" s="307" t="n"/>
      <c r="AY47" s="307" t="n"/>
      <c r="AZ47" s="307" t="n"/>
      <c r="BA47" s="233" t="n"/>
      <c r="BB47" s="307" t="n"/>
      <c r="BC47" s="307" t="n"/>
      <c r="BD47" s="307" t="n"/>
      <c r="BE47" s="307" t="n"/>
      <c r="BF47" s="307" t="n"/>
      <c r="BG47" s="31" t="n"/>
      <c r="BH47" s="31" t="n"/>
      <c r="BI47" s="31" t="n"/>
      <c r="BJ47" s="31" t="n"/>
    </row>
    <row r="48" ht="15.75" customHeight="1" s="349">
      <c r="A48" s="307" t="n"/>
      <c r="B48" s="307" t="n"/>
      <c r="C48" s="307" t="n"/>
      <c r="D48" s="307" t="n"/>
      <c r="E48" s="307" t="n"/>
      <c r="F48" s="307" t="n"/>
      <c r="G48" s="307" t="n"/>
      <c r="H48" s="307" t="n"/>
      <c r="I48" s="307" t="n"/>
      <c r="J48" s="307" t="n"/>
      <c r="K48" s="307" t="n"/>
      <c r="L48" s="307" t="n"/>
      <c r="M48" s="307" t="n"/>
      <c r="N48" s="307" t="n"/>
      <c r="O48" s="307" t="n"/>
      <c r="P48" s="307" t="n"/>
      <c r="Q48" s="307" t="n"/>
      <c r="R48" s="307" t="n"/>
      <c r="S48" s="307" t="n"/>
      <c r="T48" s="307" t="n"/>
      <c r="U48" s="307" t="n"/>
      <c r="V48" s="307" t="n"/>
      <c r="W48" s="307" t="n"/>
      <c r="X48" s="307" t="n"/>
      <c r="Y48" s="307" t="n"/>
      <c r="Z48" s="307" t="n"/>
      <c r="AA48" s="307" t="n"/>
      <c r="AB48" s="307" t="n"/>
      <c r="AC48" s="307" t="n"/>
      <c r="AD48" s="307" t="n"/>
      <c r="AE48" s="307" t="n"/>
      <c r="AF48" s="307" t="n"/>
      <c r="AG48" s="307" t="n"/>
      <c r="AH48" s="307" t="n"/>
      <c r="AI48" s="307" t="n"/>
      <c r="AJ48" s="307" t="n"/>
      <c r="AK48" s="307" t="n"/>
      <c r="AL48" s="307" t="n"/>
      <c r="AM48" s="307" t="n"/>
      <c r="AN48" s="307" t="n"/>
      <c r="AO48" s="307" t="n"/>
      <c r="AP48" s="307" t="n"/>
      <c r="AQ48" s="307" t="n"/>
      <c r="AR48" s="307" t="n"/>
      <c r="AS48" s="307" t="n"/>
      <c r="AT48" s="307" t="n"/>
      <c r="AU48" s="307" t="n"/>
      <c r="AV48" s="307" t="n"/>
      <c r="AW48" s="307" t="n"/>
      <c r="AX48" s="307" t="n"/>
      <c r="AY48" s="307" t="n"/>
      <c r="AZ48" s="307" t="n"/>
      <c r="BA48" s="233" t="n"/>
      <c r="BB48" s="307" t="n"/>
      <c r="BC48" s="307" t="n"/>
      <c r="BD48" s="307" t="n"/>
      <c r="BE48" s="307" t="n"/>
      <c r="BF48" s="307" t="n"/>
      <c r="BG48" s="31" t="n"/>
      <c r="BH48" s="31" t="n"/>
      <c r="BI48" s="31" t="n"/>
      <c r="BJ48" s="31" t="n"/>
    </row>
    <row r="49" ht="15.75" customHeight="1" s="349">
      <c r="A49" s="307" t="n"/>
      <c r="B49" s="307" t="n"/>
      <c r="C49" s="307" t="n"/>
      <c r="D49" s="307" t="n"/>
      <c r="E49" s="307" t="n"/>
      <c r="F49" s="307" t="n"/>
      <c r="G49" s="307" t="n"/>
      <c r="H49" s="307" t="n"/>
      <c r="I49" s="307" t="n"/>
      <c r="J49" s="307" t="n"/>
      <c r="K49" s="307" t="n"/>
      <c r="L49" s="307" t="n"/>
      <c r="M49" s="307" t="n"/>
      <c r="N49" s="307" t="n"/>
      <c r="O49" s="307" t="n"/>
      <c r="P49" s="307" t="n"/>
      <c r="Q49" s="307" t="n"/>
      <c r="R49" s="307" t="n"/>
      <c r="S49" s="307" t="n"/>
      <c r="T49" s="307" t="n"/>
      <c r="U49" s="307" t="n"/>
      <c r="V49" s="307" t="n"/>
      <c r="W49" s="307" t="n"/>
      <c r="X49" s="307" t="n"/>
      <c r="Y49" s="307" t="n"/>
      <c r="Z49" s="307" t="n"/>
      <c r="AA49" s="307" t="n"/>
      <c r="AB49" s="307" t="n"/>
      <c r="AC49" s="307" t="n"/>
      <c r="AD49" s="307" t="n"/>
      <c r="AE49" s="307" t="n"/>
      <c r="AF49" s="307" t="n"/>
      <c r="AG49" s="307" t="n"/>
      <c r="AH49" s="307" t="n"/>
      <c r="AI49" s="307" t="n"/>
      <c r="AJ49" s="307" t="n"/>
      <c r="AK49" s="307" t="n"/>
      <c r="AL49" s="307" t="n"/>
      <c r="AM49" s="307" t="n"/>
      <c r="AN49" s="307" t="n"/>
      <c r="AO49" s="307" t="n"/>
      <c r="AP49" s="307" t="n"/>
      <c r="AQ49" s="307" t="n"/>
      <c r="AR49" s="307" t="n"/>
      <c r="AS49" s="307" t="n"/>
      <c r="AT49" s="307" t="n"/>
      <c r="AU49" s="307" t="n"/>
      <c r="AV49" s="307" t="n"/>
      <c r="AW49" s="307" t="n"/>
      <c r="AX49" s="307" t="n"/>
      <c r="AY49" s="307" t="n"/>
      <c r="AZ49" s="307" t="n"/>
      <c r="BA49" s="233" t="n"/>
      <c r="BB49" s="307" t="n"/>
      <c r="BC49" s="307" t="n"/>
      <c r="BD49" s="307" t="n"/>
      <c r="BE49" s="307" t="n"/>
      <c r="BF49" s="307" t="n"/>
      <c r="BG49" s="31" t="n"/>
      <c r="BH49" s="31" t="n"/>
      <c r="BI49" s="31" t="n"/>
      <c r="BJ49" s="31" t="n"/>
    </row>
    <row r="50" ht="15.75" customHeight="1" s="349">
      <c r="A50" s="307" t="n"/>
      <c r="B50" s="307" t="n"/>
      <c r="C50" s="307" t="n"/>
      <c r="D50" s="307" t="n"/>
      <c r="E50" s="307" t="n"/>
      <c r="F50" s="307" t="n"/>
      <c r="G50" s="307" t="n"/>
      <c r="H50" s="307" t="n"/>
      <c r="I50" s="307" t="n"/>
      <c r="J50" s="307" t="n"/>
      <c r="K50" s="307" t="n"/>
      <c r="L50" s="307" t="n"/>
      <c r="M50" s="307" t="n"/>
      <c r="N50" s="307" t="n"/>
      <c r="O50" s="307" t="n"/>
      <c r="P50" s="307" t="n"/>
      <c r="Q50" s="307" t="n"/>
      <c r="R50" s="307" t="n"/>
      <c r="S50" s="307" t="n"/>
      <c r="T50" s="307" t="n"/>
      <c r="U50" s="307" t="n"/>
      <c r="V50" s="307" t="n"/>
      <c r="W50" s="307" t="n"/>
      <c r="X50" s="307" t="n"/>
      <c r="Y50" s="307" t="n"/>
      <c r="Z50" s="307" t="n"/>
      <c r="AA50" s="307" t="n"/>
      <c r="AB50" s="307" t="n"/>
      <c r="AC50" s="307" t="n"/>
      <c r="AD50" s="307" t="n"/>
      <c r="AE50" s="307" t="n"/>
      <c r="AF50" s="307" t="n"/>
      <c r="AG50" s="307" t="n"/>
      <c r="AH50" s="307" t="n"/>
      <c r="AI50" s="307" t="n"/>
      <c r="AJ50" s="307" t="n"/>
      <c r="AK50" s="307" t="n"/>
      <c r="AL50" s="307" t="n"/>
      <c r="AM50" s="307" t="n"/>
      <c r="AN50" s="307" t="n"/>
      <c r="AO50" s="307" t="n"/>
      <c r="AP50" s="307" t="n"/>
      <c r="AQ50" s="307" t="n"/>
      <c r="AR50" s="307" t="n"/>
      <c r="AS50" s="307" t="n"/>
      <c r="AT50" s="307" t="n"/>
      <c r="AU50" s="307" t="n"/>
      <c r="AV50" s="307" t="n"/>
      <c r="AW50" s="307" t="n"/>
      <c r="AX50" s="307" t="n"/>
      <c r="AY50" s="307" t="n"/>
      <c r="AZ50" s="307" t="n"/>
      <c r="BA50" s="233" t="n"/>
      <c r="BB50" s="307" t="n"/>
      <c r="BC50" s="307" t="n"/>
      <c r="BD50" s="307" t="n"/>
      <c r="BE50" s="307" t="n"/>
      <c r="BF50" s="307" t="n"/>
      <c r="BG50" s="31" t="n"/>
      <c r="BH50" s="31" t="n"/>
      <c r="BI50" s="31" t="n"/>
      <c r="BJ50" s="31" t="n"/>
    </row>
    <row r="51" ht="15.75" customHeight="1" s="349">
      <c r="A51" s="307" t="n"/>
      <c r="B51" s="307" t="n"/>
      <c r="C51" s="307" t="n"/>
      <c r="D51" s="307" t="n"/>
      <c r="E51" s="307" t="n"/>
      <c r="F51" s="307" t="n"/>
      <c r="G51" s="307" t="n"/>
      <c r="H51" s="307" t="n"/>
      <c r="I51" s="307" t="n"/>
      <c r="J51" s="307" t="n"/>
      <c r="K51" s="307" t="n"/>
      <c r="L51" s="307" t="n"/>
      <c r="M51" s="307" t="n"/>
      <c r="N51" s="307" t="n"/>
      <c r="O51" s="307" t="n"/>
      <c r="P51" s="307" t="n"/>
      <c r="Q51" s="307" t="n"/>
      <c r="R51" s="307" t="n"/>
      <c r="S51" s="307" t="n"/>
      <c r="T51" s="307" t="n"/>
      <c r="U51" s="307" t="n"/>
      <c r="V51" s="307" t="n"/>
      <c r="W51" s="307" t="n"/>
      <c r="X51" s="307" t="n"/>
      <c r="Y51" s="307" t="n"/>
      <c r="Z51" s="307" t="n"/>
      <c r="AA51" s="307" t="n"/>
      <c r="AB51" s="307" t="n"/>
      <c r="AC51" s="307" t="n"/>
      <c r="AD51" s="307" t="n"/>
      <c r="AE51" s="307" t="n"/>
      <c r="AF51" s="307" t="n"/>
      <c r="AG51" s="307" t="n"/>
      <c r="AH51" s="307" t="n"/>
      <c r="AI51" s="307" t="n"/>
      <c r="AJ51" s="307" t="n"/>
      <c r="AK51" s="307" t="n"/>
      <c r="AL51" s="307" t="n"/>
      <c r="AM51" s="307" t="n"/>
      <c r="AN51" s="307" t="n"/>
      <c r="AO51" s="307" t="n"/>
      <c r="AP51" s="307" t="n"/>
      <c r="AQ51" s="307" t="n"/>
      <c r="AR51" s="307" t="n"/>
      <c r="AS51" s="307" t="n"/>
      <c r="AT51" s="307" t="n"/>
      <c r="AU51" s="307" t="n"/>
      <c r="AV51" s="307" t="n"/>
      <c r="AW51" s="307" t="n"/>
      <c r="AX51" s="307" t="n"/>
      <c r="AY51" s="307" t="n"/>
      <c r="AZ51" s="307" t="n"/>
      <c r="BA51" s="233" t="n"/>
      <c r="BB51" s="307" t="n"/>
      <c r="BC51" s="307" t="n"/>
      <c r="BD51" s="307" t="n"/>
      <c r="BE51" s="307" t="n"/>
      <c r="BF51" s="307" t="n"/>
      <c r="BG51" s="31" t="n"/>
      <c r="BH51" s="31" t="n"/>
      <c r="BI51" s="31" t="n"/>
      <c r="BJ51" s="31" t="n"/>
    </row>
    <row r="52" ht="15.75" customHeight="1" s="349">
      <c r="A52" s="307" t="n"/>
      <c r="B52" s="307" t="n"/>
      <c r="C52" s="307" t="n"/>
      <c r="D52" s="307" t="n"/>
      <c r="E52" s="307" t="n"/>
      <c r="F52" s="307" t="n"/>
      <c r="G52" s="307" t="n"/>
      <c r="H52" s="307" t="n"/>
      <c r="I52" s="307" t="n"/>
      <c r="J52" s="307" t="n"/>
      <c r="K52" s="307" t="n"/>
      <c r="L52" s="307" t="n"/>
      <c r="M52" s="307" t="n"/>
      <c r="N52" s="307" t="n"/>
      <c r="O52" s="307" t="n"/>
      <c r="P52" s="307" t="n"/>
      <c r="Q52" s="307" t="n"/>
      <c r="R52" s="307" t="n"/>
      <c r="S52" s="307" t="n"/>
      <c r="T52" s="307" t="n"/>
      <c r="U52" s="307" t="n"/>
      <c r="V52" s="307" t="n"/>
      <c r="W52" s="307" t="n"/>
      <c r="X52" s="307" t="n"/>
      <c r="Y52" s="307" t="n"/>
      <c r="Z52" s="307" t="n"/>
      <c r="AA52" s="307" t="n"/>
      <c r="AB52" s="307" t="n"/>
      <c r="AC52" s="307" t="n"/>
      <c r="AD52" s="307" t="n"/>
      <c r="AE52" s="307" t="n"/>
      <c r="AF52" s="307" t="n"/>
      <c r="AG52" s="307" t="n"/>
      <c r="AH52" s="307" t="n"/>
      <c r="AI52" s="307" t="n"/>
      <c r="AJ52" s="307" t="n"/>
      <c r="AK52" s="307" t="n"/>
      <c r="AL52" s="307" t="n"/>
      <c r="AM52" s="307" t="n"/>
      <c r="AN52" s="307" t="n"/>
      <c r="AO52" s="307" t="n"/>
      <c r="AP52" s="307" t="n"/>
      <c r="AQ52" s="307" t="n"/>
      <c r="AR52" s="307" t="n"/>
      <c r="AS52" s="307" t="n"/>
      <c r="AT52" s="307" t="n"/>
      <c r="AU52" s="307" t="n"/>
      <c r="AV52" s="307" t="n"/>
      <c r="AW52" s="307" t="n"/>
      <c r="AX52" s="307" t="n"/>
      <c r="AY52" s="307" t="n"/>
      <c r="AZ52" s="307" t="n"/>
      <c r="BA52" s="233" t="n"/>
      <c r="BB52" s="307" t="n"/>
      <c r="BC52" s="307" t="n"/>
      <c r="BD52" s="307" t="n"/>
      <c r="BE52" s="307" t="n"/>
      <c r="BF52" s="307" t="n"/>
      <c r="BG52" s="31" t="n"/>
      <c r="BH52" s="31" t="n"/>
      <c r="BI52" s="31" t="n"/>
      <c r="BJ52" s="31" t="n"/>
    </row>
    <row r="53" ht="15.75" customHeight="1" s="349">
      <c r="A53" s="307" t="n"/>
      <c r="B53" s="307" t="n"/>
      <c r="C53" s="307" t="n"/>
      <c r="D53" s="307" t="n"/>
      <c r="E53" s="307" t="n"/>
      <c r="F53" s="307" t="n"/>
      <c r="G53" s="307" t="n"/>
      <c r="H53" s="307" t="n"/>
      <c r="I53" s="307" t="n"/>
      <c r="J53" s="307" t="n"/>
      <c r="K53" s="307" t="n"/>
      <c r="L53" s="307" t="n"/>
      <c r="M53" s="307" t="n"/>
      <c r="N53" s="307" t="n"/>
      <c r="O53" s="307" t="n"/>
      <c r="P53" s="307" t="n"/>
      <c r="Q53" s="307" t="n"/>
      <c r="R53" s="307" t="n"/>
      <c r="S53" s="307" t="n"/>
      <c r="T53" s="307" t="n"/>
      <c r="U53" s="307" t="n"/>
      <c r="V53" s="307" t="n"/>
      <c r="W53" s="307" t="n"/>
      <c r="X53" s="307" t="n"/>
      <c r="Y53" s="307" t="n"/>
      <c r="Z53" s="307" t="n"/>
      <c r="AA53" s="307" t="n"/>
      <c r="AB53" s="307" t="n"/>
      <c r="AC53" s="307" t="n"/>
      <c r="AD53" s="307" t="n"/>
      <c r="AE53" s="307" t="n"/>
      <c r="AF53" s="307" t="n"/>
      <c r="AG53" s="307" t="n"/>
      <c r="AH53" s="307" t="n"/>
      <c r="AI53" s="307" t="n"/>
      <c r="AJ53" s="307" t="n"/>
      <c r="AK53" s="307" t="n"/>
      <c r="AL53" s="307" t="n"/>
      <c r="AM53" s="307" t="n"/>
      <c r="AN53" s="307" t="n"/>
      <c r="AO53" s="307" t="n"/>
      <c r="AP53" s="307" t="n"/>
      <c r="AQ53" s="307" t="n"/>
      <c r="AR53" s="307" t="n"/>
      <c r="AS53" s="307" t="n"/>
      <c r="AT53" s="307" t="n"/>
      <c r="AU53" s="307" t="n"/>
      <c r="AV53" s="307" t="n"/>
      <c r="AW53" s="307" t="n"/>
      <c r="AX53" s="307" t="n"/>
      <c r="AY53" s="307" t="n"/>
      <c r="AZ53" s="307" t="n"/>
      <c r="BA53" s="233" t="n"/>
      <c r="BB53" s="307" t="n"/>
      <c r="BC53" s="307" t="n"/>
      <c r="BD53" s="307" t="n"/>
      <c r="BE53" s="307" t="n"/>
      <c r="BF53" s="307" t="n"/>
      <c r="BG53" s="31" t="n"/>
      <c r="BH53" s="31" t="n"/>
      <c r="BI53" s="31" t="n"/>
      <c r="BJ53" s="31" t="n"/>
    </row>
    <row r="54" ht="15.75" customHeight="1" s="349">
      <c r="A54" s="307" t="n"/>
      <c r="B54" s="307" t="n"/>
      <c r="C54" s="307" t="n"/>
      <c r="D54" s="307" t="n"/>
      <c r="E54" s="307" t="n"/>
      <c r="F54" s="307" t="n"/>
      <c r="G54" s="307" t="n"/>
      <c r="H54" s="307" t="n"/>
      <c r="I54" s="307" t="n"/>
      <c r="J54" s="307" t="n"/>
      <c r="K54" s="307" t="n"/>
      <c r="L54" s="307" t="n"/>
      <c r="M54" s="307" t="n"/>
      <c r="N54" s="307" t="n"/>
      <c r="O54" s="307" t="n"/>
      <c r="P54" s="307" t="n"/>
      <c r="Q54" s="307" t="n"/>
      <c r="R54" s="307" t="n"/>
      <c r="S54" s="307" t="n"/>
      <c r="T54" s="307" t="n"/>
      <c r="U54" s="307" t="n"/>
      <c r="V54" s="307" t="n"/>
      <c r="W54" s="307" t="n"/>
      <c r="X54" s="307" t="n"/>
      <c r="Y54" s="307" t="n"/>
      <c r="Z54" s="307" t="n"/>
      <c r="AA54" s="307" t="n"/>
      <c r="AB54" s="307" t="n"/>
      <c r="AC54" s="307" t="n"/>
      <c r="AD54" s="307" t="n"/>
      <c r="AE54" s="307" t="n"/>
      <c r="AF54" s="307" t="n"/>
      <c r="AG54" s="307" t="n"/>
      <c r="AH54" s="307" t="n"/>
      <c r="AI54" s="307" t="n"/>
      <c r="AJ54" s="307" t="n"/>
      <c r="AK54" s="307" t="n"/>
      <c r="AL54" s="307" t="n"/>
      <c r="AM54" s="307" t="n"/>
      <c r="AN54" s="307" t="n"/>
      <c r="AO54" s="307" t="n"/>
      <c r="AP54" s="307" t="n"/>
      <c r="AQ54" s="307" t="n"/>
      <c r="AR54" s="307" t="n"/>
      <c r="AS54" s="307" t="n"/>
      <c r="AT54" s="307" t="n"/>
      <c r="AU54" s="307" t="n"/>
      <c r="AV54" s="307" t="n"/>
      <c r="AW54" s="307" t="n"/>
      <c r="AX54" s="307" t="n"/>
      <c r="AY54" s="307" t="n"/>
      <c r="AZ54" s="307" t="n"/>
      <c r="BA54" s="233" t="n"/>
      <c r="BB54" s="307" t="n"/>
      <c r="BC54" s="307" t="n"/>
      <c r="BD54" s="307" t="n"/>
      <c r="BE54" s="307" t="n"/>
      <c r="BF54" s="307" t="n"/>
      <c r="BG54" s="31" t="n"/>
      <c r="BH54" s="31" t="n"/>
      <c r="BI54" s="31" t="n"/>
      <c r="BJ54" s="31" t="n"/>
    </row>
    <row r="55" ht="15.75" customHeight="1" s="349">
      <c r="A55" s="307" t="n"/>
      <c r="B55" s="307" t="n"/>
      <c r="C55" s="307" t="n"/>
      <c r="D55" s="307" t="n"/>
      <c r="E55" s="307" t="n"/>
      <c r="F55" s="307" t="n"/>
      <c r="G55" s="307" t="n"/>
      <c r="H55" s="307" t="n"/>
      <c r="I55" s="307" t="n"/>
      <c r="J55" s="307" t="n"/>
      <c r="K55" s="307" t="n"/>
      <c r="L55" s="307" t="n"/>
      <c r="M55" s="307" t="n"/>
      <c r="N55" s="307" t="n"/>
      <c r="O55" s="307" t="n"/>
      <c r="P55" s="307" t="n"/>
      <c r="Q55" s="307" t="n"/>
      <c r="R55" s="307" t="n"/>
      <c r="S55" s="307" t="n"/>
      <c r="T55" s="307" t="n"/>
      <c r="U55" s="307" t="n"/>
      <c r="V55" s="307" t="n"/>
      <c r="W55" s="307" t="n"/>
      <c r="X55" s="307" t="n"/>
      <c r="Y55" s="307" t="n"/>
      <c r="Z55" s="307" t="n"/>
      <c r="AA55" s="307" t="n"/>
      <c r="AB55" s="307" t="n"/>
      <c r="AC55" s="307" t="n"/>
      <c r="AD55" s="307" t="n"/>
      <c r="AE55" s="307" t="n"/>
      <c r="AF55" s="307" t="n"/>
      <c r="AG55" s="307" t="n"/>
      <c r="AH55" s="307" t="n"/>
      <c r="AI55" s="307" t="n"/>
      <c r="AJ55" s="307" t="n"/>
      <c r="AK55" s="307" t="n"/>
      <c r="AL55" s="307" t="n"/>
      <c r="AM55" s="307" t="n"/>
      <c r="AN55" s="307" t="n"/>
      <c r="AO55" s="307" t="n"/>
      <c r="AP55" s="307" t="n"/>
      <c r="AQ55" s="307" t="n"/>
      <c r="AR55" s="307" t="n"/>
      <c r="AS55" s="307" t="n"/>
      <c r="AT55" s="307" t="n"/>
      <c r="AU55" s="307" t="n"/>
      <c r="AV55" s="307" t="n"/>
      <c r="AW55" s="307" t="n"/>
      <c r="AX55" s="307" t="n"/>
      <c r="AY55" s="307" t="n"/>
      <c r="AZ55" s="307" t="n"/>
      <c r="BA55" s="233" t="n"/>
      <c r="BB55" s="307" t="n"/>
      <c r="BC55" s="307" t="n"/>
      <c r="BD55" s="307" t="n"/>
      <c r="BE55" s="307" t="n"/>
      <c r="BF55" s="307" t="n"/>
      <c r="BG55" s="31" t="n"/>
      <c r="BH55" s="31" t="n"/>
      <c r="BI55" s="31" t="n"/>
      <c r="BJ55" s="31" t="n"/>
    </row>
    <row r="56" ht="15.75" customHeight="1" s="349">
      <c r="A56" s="307" t="n"/>
      <c r="B56" s="307" t="n"/>
      <c r="C56" s="307" t="n"/>
      <c r="D56" s="307" t="n"/>
      <c r="E56" s="307" t="n"/>
      <c r="F56" s="307" t="n"/>
      <c r="G56" s="307" t="n"/>
      <c r="H56" s="307" t="n"/>
      <c r="I56" s="307" t="n"/>
      <c r="J56" s="307" t="n"/>
      <c r="K56" s="307" t="n"/>
      <c r="L56" s="307" t="n"/>
      <c r="M56" s="307" t="n"/>
      <c r="N56" s="307" t="n"/>
      <c r="O56" s="307" t="n"/>
      <c r="P56" s="307" t="n"/>
      <c r="Q56" s="307" t="n"/>
      <c r="R56" s="307" t="n"/>
      <c r="S56" s="307" t="n"/>
      <c r="T56" s="307" t="n"/>
      <c r="U56" s="307" t="n"/>
      <c r="V56" s="307" t="n"/>
      <c r="W56" s="307" t="n"/>
      <c r="X56" s="307" t="n"/>
      <c r="Y56" s="307" t="n"/>
      <c r="Z56" s="307" t="n"/>
      <c r="AA56" s="307" t="n"/>
      <c r="AB56" s="307" t="n"/>
      <c r="AC56" s="307" t="n"/>
      <c r="AD56" s="307" t="n"/>
      <c r="AE56" s="307" t="n"/>
      <c r="AF56" s="307" t="n"/>
      <c r="AG56" s="307" t="n"/>
      <c r="AH56" s="307" t="n"/>
      <c r="AI56" s="307" t="n"/>
      <c r="AJ56" s="307" t="n"/>
      <c r="AK56" s="307" t="n"/>
      <c r="AL56" s="307" t="n"/>
      <c r="AM56" s="307" t="n"/>
      <c r="AN56" s="307" t="n"/>
      <c r="AO56" s="307" t="n"/>
      <c r="AP56" s="307" t="n"/>
      <c r="AQ56" s="307" t="n"/>
      <c r="AR56" s="307" t="n"/>
      <c r="AS56" s="307" t="n"/>
      <c r="AT56" s="307" t="n"/>
      <c r="AU56" s="307" t="n"/>
      <c r="AV56" s="307" t="n"/>
      <c r="AW56" s="307" t="n"/>
      <c r="AX56" s="307" t="n"/>
      <c r="AY56" s="307" t="n"/>
      <c r="AZ56" s="307" t="n"/>
      <c r="BA56" s="233" t="n"/>
      <c r="BB56" s="307" t="n"/>
      <c r="BC56" s="307" t="n"/>
      <c r="BD56" s="307" t="n"/>
      <c r="BE56" s="307" t="n"/>
      <c r="BF56" s="307" t="n"/>
      <c r="BG56" s="31" t="n"/>
      <c r="BH56" s="31" t="n"/>
      <c r="BI56" s="31" t="n"/>
      <c r="BJ56" s="31" t="n"/>
    </row>
    <row r="57" ht="15.75" customHeight="1" s="349">
      <c r="A57" s="307" t="n"/>
      <c r="B57" s="307" t="n"/>
      <c r="C57" s="307" t="n"/>
      <c r="D57" s="307" t="n"/>
      <c r="E57" s="307" t="n"/>
      <c r="F57" s="307" t="n"/>
      <c r="G57" s="307" t="n"/>
      <c r="H57" s="307" t="n"/>
      <c r="I57" s="307" t="n"/>
      <c r="J57" s="307" t="n"/>
      <c r="K57" s="307" t="n"/>
      <c r="L57" s="307" t="n"/>
      <c r="M57" s="307" t="n"/>
      <c r="N57" s="307" t="n"/>
      <c r="O57" s="307" t="n"/>
      <c r="P57" s="307" t="n"/>
      <c r="Q57" s="307" t="n"/>
      <c r="R57" s="307" t="n"/>
      <c r="S57" s="307" t="n"/>
      <c r="T57" s="307" t="n"/>
      <c r="U57" s="307" t="n"/>
      <c r="V57" s="307" t="n"/>
      <c r="W57" s="307" t="n"/>
      <c r="X57" s="307" t="n"/>
      <c r="Y57" s="307" t="n"/>
      <c r="Z57" s="307" t="n"/>
      <c r="AA57" s="307" t="n"/>
      <c r="AB57" s="307" t="n"/>
      <c r="AC57" s="307" t="n"/>
      <c r="AD57" s="307" t="n"/>
      <c r="AE57" s="307" t="n"/>
      <c r="AF57" s="307" t="n"/>
      <c r="AG57" s="307" t="n"/>
      <c r="AH57" s="307" t="n"/>
      <c r="AI57" s="307" t="n"/>
      <c r="AJ57" s="307" t="n"/>
      <c r="AK57" s="307" t="n"/>
      <c r="AL57" s="307" t="n"/>
      <c r="AM57" s="307" t="n"/>
      <c r="AN57" s="307" t="n"/>
      <c r="AO57" s="307" t="n"/>
      <c r="AP57" s="307" t="n"/>
      <c r="AQ57" s="307" t="n"/>
      <c r="AR57" s="307" t="n"/>
      <c r="AS57" s="307" t="n"/>
      <c r="AT57" s="307" t="n"/>
      <c r="AU57" s="307" t="n"/>
      <c r="AV57" s="307" t="n"/>
      <c r="AW57" s="307" t="n"/>
      <c r="AX57" s="307" t="n"/>
      <c r="AY57" s="307" t="n"/>
      <c r="AZ57" s="307" t="n"/>
      <c r="BA57" s="233" t="n"/>
      <c r="BB57" s="307" t="n"/>
      <c r="BC57" s="307" t="n"/>
      <c r="BD57" s="307" t="n"/>
      <c r="BE57" s="307" t="n"/>
      <c r="BF57" s="307" t="n"/>
      <c r="BG57" s="31" t="n"/>
      <c r="BH57" s="31" t="n"/>
      <c r="BI57" s="31" t="n"/>
      <c r="BJ57" s="31" t="n"/>
    </row>
    <row r="58" ht="15.75" customHeight="1" s="349">
      <c r="A58" s="307" t="n"/>
      <c r="B58" s="307" t="n"/>
      <c r="C58" s="307" t="n"/>
      <c r="D58" s="307" t="n"/>
      <c r="E58" s="307" t="n"/>
      <c r="F58" s="307" t="n"/>
      <c r="G58" s="307" t="n"/>
      <c r="H58" s="307" t="n"/>
      <c r="I58" s="307" t="n"/>
      <c r="J58" s="307" t="n"/>
      <c r="K58" s="307" t="n"/>
      <c r="L58" s="307" t="n"/>
      <c r="M58" s="307" t="n"/>
      <c r="N58" s="307" t="n"/>
      <c r="O58" s="307" t="n"/>
      <c r="P58" s="307" t="n"/>
      <c r="Q58" s="307" t="n"/>
      <c r="R58" s="307" t="n"/>
      <c r="S58" s="307" t="n"/>
      <c r="T58" s="307" t="n"/>
      <c r="U58" s="307" t="n"/>
      <c r="V58" s="307" t="n"/>
      <c r="W58" s="307" t="n"/>
      <c r="X58" s="307" t="n"/>
      <c r="Y58" s="307" t="n"/>
      <c r="Z58" s="307" t="n"/>
      <c r="AA58" s="307" t="n"/>
      <c r="AB58" s="307" t="n"/>
      <c r="AC58" s="307" t="n"/>
      <c r="AD58" s="307" t="n"/>
      <c r="AE58" s="307" t="n"/>
      <c r="AF58" s="307" t="n"/>
      <c r="AG58" s="307" t="n"/>
      <c r="AH58" s="307" t="n"/>
      <c r="AI58" s="307" t="n"/>
      <c r="AJ58" s="307" t="n"/>
      <c r="AK58" s="307" t="n"/>
      <c r="AL58" s="307" t="n"/>
      <c r="AM58" s="307" t="n"/>
      <c r="AN58" s="307" t="n"/>
      <c r="AO58" s="307" t="n"/>
      <c r="AP58" s="307" t="n"/>
      <c r="AQ58" s="307" t="n"/>
      <c r="AR58" s="307" t="n"/>
      <c r="AS58" s="307" t="n"/>
      <c r="AT58" s="307" t="n"/>
      <c r="AU58" s="307" t="n"/>
      <c r="AV58" s="307" t="n"/>
      <c r="AW58" s="307" t="n"/>
      <c r="AX58" s="307" t="n"/>
      <c r="AY58" s="307" t="n"/>
      <c r="AZ58" s="307" t="n"/>
      <c r="BA58" s="233" t="n"/>
      <c r="BB58" s="307" t="n"/>
      <c r="BC58" s="307" t="n"/>
      <c r="BD58" s="307" t="n"/>
      <c r="BE58" s="307" t="n"/>
      <c r="BF58" s="307" t="n"/>
      <c r="BG58" s="31" t="n"/>
      <c r="BH58" s="31" t="n"/>
      <c r="BI58" s="31" t="n"/>
      <c r="BJ58" s="31" t="n"/>
    </row>
    <row r="59" ht="15.75" customHeight="1" s="349">
      <c r="A59" s="307" t="n"/>
      <c r="B59" s="307" t="n"/>
      <c r="C59" s="307" t="n"/>
      <c r="D59" s="307" t="n"/>
      <c r="E59" s="307" t="n"/>
      <c r="F59" s="307" t="n"/>
      <c r="G59" s="307" t="n"/>
      <c r="H59" s="307" t="n"/>
      <c r="I59" s="307" t="n"/>
      <c r="J59" s="307" t="n"/>
      <c r="K59" s="307" t="n"/>
      <c r="L59" s="307" t="n"/>
      <c r="M59" s="307" t="n"/>
      <c r="N59" s="307" t="n"/>
      <c r="O59" s="307" t="n"/>
      <c r="P59" s="307" t="n"/>
      <c r="Q59" s="307" t="n"/>
      <c r="R59" s="307" t="n"/>
      <c r="S59" s="307" t="n"/>
      <c r="T59" s="307" t="n"/>
      <c r="U59" s="307" t="n"/>
      <c r="V59" s="307" t="n"/>
      <c r="W59" s="307" t="n"/>
      <c r="X59" s="307" t="n"/>
      <c r="Y59" s="307" t="n"/>
      <c r="Z59" s="307" t="n"/>
      <c r="AA59" s="307" t="n"/>
      <c r="AB59" s="307" t="n"/>
      <c r="AC59" s="307" t="n"/>
      <c r="AD59" s="307" t="n"/>
      <c r="AE59" s="307" t="n"/>
      <c r="AF59" s="307" t="n"/>
      <c r="AG59" s="307" t="n"/>
      <c r="AH59" s="307" t="n"/>
      <c r="AI59" s="307" t="n"/>
      <c r="AJ59" s="307" t="n"/>
      <c r="AK59" s="307" t="n"/>
      <c r="AL59" s="307" t="n"/>
      <c r="AM59" s="307" t="n"/>
      <c r="AN59" s="307" t="n"/>
      <c r="AO59" s="307" t="n"/>
      <c r="AP59" s="307" t="n"/>
      <c r="AQ59" s="307" t="n"/>
      <c r="AR59" s="307" t="n"/>
      <c r="AS59" s="307" t="n"/>
      <c r="AT59" s="307" t="n"/>
      <c r="AU59" s="307" t="n"/>
      <c r="AV59" s="307" t="n"/>
      <c r="AW59" s="307" t="n"/>
      <c r="AX59" s="307" t="n"/>
      <c r="AY59" s="307" t="n"/>
      <c r="AZ59" s="307" t="n"/>
      <c r="BA59" s="233" t="n"/>
      <c r="BB59" s="307" t="n"/>
      <c r="BC59" s="307" t="n"/>
      <c r="BD59" s="307" t="n"/>
      <c r="BE59" s="307" t="n"/>
      <c r="BF59" s="307" t="n"/>
      <c r="BG59" s="31" t="n"/>
      <c r="BH59" s="31" t="n"/>
      <c r="BI59" s="31" t="n"/>
      <c r="BJ59" s="31" t="n"/>
    </row>
    <row r="60" ht="15.75" customHeight="1" s="349">
      <c r="A60" s="307" t="n"/>
      <c r="B60" s="307" t="n"/>
      <c r="C60" s="307" t="n"/>
      <c r="D60" s="307" t="n"/>
      <c r="E60" s="307" t="n"/>
      <c r="F60" s="307" t="n"/>
      <c r="G60" s="307" t="n"/>
      <c r="H60" s="307" t="n"/>
      <c r="I60" s="307" t="n"/>
      <c r="J60" s="307" t="n"/>
      <c r="K60" s="307" t="n"/>
      <c r="L60" s="307" t="n"/>
      <c r="M60" s="307" t="n"/>
      <c r="N60" s="307" t="n"/>
      <c r="O60" s="307" t="n"/>
      <c r="P60" s="307" t="n"/>
      <c r="Q60" s="307" t="n"/>
      <c r="R60" s="307" t="n"/>
      <c r="S60" s="307" t="n"/>
      <c r="T60" s="307" t="n"/>
      <c r="U60" s="307" t="n"/>
      <c r="V60" s="307" t="n"/>
      <c r="W60" s="307" t="n"/>
      <c r="X60" s="307" t="n"/>
      <c r="Y60" s="307" t="n"/>
      <c r="Z60" s="307" t="n"/>
      <c r="AA60" s="307" t="n"/>
      <c r="AB60" s="307" t="n"/>
      <c r="AC60" s="307" t="n"/>
      <c r="AD60" s="307" t="n"/>
      <c r="AE60" s="307" t="n"/>
      <c r="AF60" s="307" t="n"/>
      <c r="AG60" s="307" t="n"/>
      <c r="AH60" s="307" t="n"/>
      <c r="AI60" s="307" t="n"/>
      <c r="AJ60" s="307" t="n"/>
      <c r="AK60" s="307" t="n"/>
      <c r="AL60" s="307" t="n"/>
      <c r="AM60" s="307" t="n"/>
      <c r="AN60" s="307" t="n"/>
      <c r="AO60" s="307" t="n"/>
      <c r="AP60" s="307" t="n"/>
      <c r="AQ60" s="307" t="n"/>
      <c r="AR60" s="307" t="n"/>
      <c r="AS60" s="307" t="n"/>
      <c r="AT60" s="307" t="n"/>
      <c r="AU60" s="307" t="n"/>
      <c r="AV60" s="307" t="n"/>
      <c r="AW60" s="307" t="n"/>
      <c r="AX60" s="307" t="n"/>
      <c r="AY60" s="307" t="n"/>
      <c r="AZ60" s="307" t="n"/>
      <c r="BA60" s="233" t="n"/>
      <c r="BB60" s="307" t="n"/>
      <c r="BC60" s="307" t="n"/>
      <c r="BD60" s="307" t="n"/>
      <c r="BE60" s="307" t="n"/>
      <c r="BF60" s="307" t="n"/>
      <c r="BG60" s="31" t="n"/>
      <c r="BH60" s="31" t="n"/>
      <c r="BI60" s="31" t="n"/>
      <c r="BJ60" s="31" t="n"/>
    </row>
    <row r="61" ht="15.75" customHeight="1" s="349">
      <c r="A61" s="307" t="n"/>
      <c r="B61" s="307" t="n"/>
      <c r="C61" s="307" t="n"/>
      <c r="D61" s="307" t="n"/>
      <c r="E61" s="307" t="n"/>
      <c r="F61" s="307" t="n"/>
      <c r="G61" s="307" t="n"/>
      <c r="H61" s="307" t="n"/>
      <c r="I61" s="307" t="n"/>
      <c r="J61" s="307" t="n"/>
      <c r="K61" s="307" t="n"/>
      <c r="L61" s="307" t="n"/>
      <c r="M61" s="307" t="n"/>
      <c r="N61" s="307" t="n"/>
      <c r="O61" s="307" t="n"/>
      <c r="P61" s="307" t="n"/>
      <c r="Q61" s="307" t="n"/>
      <c r="R61" s="307" t="n"/>
      <c r="S61" s="307" t="n"/>
      <c r="T61" s="307" t="n"/>
      <c r="U61" s="307" t="n"/>
      <c r="V61" s="307" t="n"/>
      <c r="W61" s="307" t="n"/>
      <c r="X61" s="307" t="n"/>
      <c r="Y61" s="307" t="n"/>
      <c r="Z61" s="307" t="n"/>
      <c r="AA61" s="307" t="n"/>
      <c r="AB61" s="307" t="n"/>
      <c r="AC61" s="307" t="n"/>
      <c r="AD61" s="307" t="n"/>
      <c r="AE61" s="307" t="n"/>
      <c r="AF61" s="307" t="n"/>
      <c r="AG61" s="307" t="n"/>
      <c r="AH61" s="307" t="n"/>
      <c r="AI61" s="307" t="n"/>
      <c r="AJ61" s="307" t="n"/>
      <c r="AK61" s="307" t="n"/>
      <c r="AL61" s="307" t="n"/>
      <c r="AM61" s="307" t="n"/>
      <c r="AN61" s="307" t="n"/>
      <c r="AO61" s="307" t="n"/>
      <c r="AP61" s="307" t="n"/>
      <c r="AQ61" s="307" t="n"/>
      <c r="AR61" s="307" t="n"/>
      <c r="AS61" s="307" t="n"/>
      <c r="AT61" s="307" t="n"/>
      <c r="AU61" s="307" t="n"/>
      <c r="AV61" s="307" t="n"/>
      <c r="AW61" s="307" t="n"/>
      <c r="AX61" s="307" t="n"/>
      <c r="AY61" s="307" t="n"/>
      <c r="AZ61" s="307" t="n"/>
      <c r="BA61" s="233" t="n"/>
      <c r="BB61" s="307" t="n"/>
      <c r="BC61" s="307" t="n"/>
      <c r="BD61" s="307" t="n"/>
      <c r="BE61" s="307" t="n"/>
      <c r="BF61" s="307" t="n"/>
      <c r="BG61" s="31" t="n"/>
      <c r="BH61" s="31" t="n"/>
      <c r="BI61" s="31" t="n"/>
      <c r="BJ61" s="31" t="n"/>
    </row>
    <row r="62" ht="15.75" customHeight="1" s="349">
      <c r="A62" s="307" t="n"/>
      <c r="B62" s="307" t="n"/>
      <c r="C62" s="307" t="n"/>
      <c r="D62" s="307" t="n"/>
      <c r="E62" s="307" t="n"/>
      <c r="F62" s="307" t="n"/>
      <c r="G62" s="307" t="n"/>
      <c r="H62" s="307" t="n"/>
      <c r="I62" s="307" t="n"/>
      <c r="J62" s="307" t="n"/>
      <c r="K62" s="307" t="n"/>
      <c r="L62" s="307" t="n"/>
      <c r="M62" s="307" t="n"/>
      <c r="N62" s="307" t="n"/>
      <c r="O62" s="307" t="n"/>
      <c r="P62" s="307" t="n"/>
      <c r="Q62" s="307" t="n"/>
      <c r="R62" s="307" t="n"/>
      <c r="S62" s="307" t="n"/>
      <c r="T62" s="307" t="n"/>
      <c r="U62" s="307" t="n"/>
      <c r="V62" s="307" t="n"/>
      <c r="W62" s="307" t="n"/>
      <c r="X62" s="307" t="n"/>
      <c r="Y62" s="307" t="n"/>
      <c r="Z62" s="307" t="n"/>
      <c r="AA62" s="307" t="n"/>
      <c r="AB62" s="307" t="n"/>
      <c r="AC62" s="307" t="n"/>
      <c r="AD62" s="307" t="n"/>
      <c r="AE62" s="307" t="n"/>
      <c r="AF62" s="307" t="n"/>
      <c r="AG62" s="307" t="n"/>
      <c r="AH62" s="307" t="n"/>
      <c r="AI62" s="307" t="n"/>
      <c r="AJ62" s="307" t="n"/>
      <c r="AK62" s="307" t="n"/>
      <c r="AL62" s="307" t="n"/>
      <c r="AM62" s="307" t="n"/>
      <c r="AN62" s="307" t="n"/>
      <c r="AO62" s="307" t="n"/>
      <c r="AP62" s="307" t="n"/>
      <c r="AQ62" s="307" t="n"/>
      <c r="AR62" s="307" t="n"/>
      <c r="AS62" s="307" t="n"/>
      <c r="AT62" s="307" t="n"/>
      <c r="AU62" s="307" t="n"/>
      <c r="AV62" s="307" t="n"/>
      <c r="AW62" s="307" t="n"/>
      <c r="AX62" s="307" t="n"/>
      <c r="AY62" s="307" t="n"/>
      <c r="AZ62" s="307" t="n"/>
      <c r="BA62" s="233" t="n"/>
      <c r="BB62" s="307" t="n"/>
      <c r="BC62" s="307" t="n"/>
      <c r="BD62" s="307" t="n"/>
      <c r="BE62" s="307" t="n"/>
      <c r="BF62" s="307" t="n"/>
      <c r="BG62" s="31" t="n"/>
      <c r="BH62" s="31" t="n"/>
      <c r="BI62" s="31" t="n"/>
      <c r="BJ62" s="31" t="n"/>
    </row>
    <row r="63" ht="15.75" customHeight="1" s="349">
      <c r="A63" s="307" t="n"/>
      <c r="B63" s="307" t="n"/>
      <c r="C63" s="307" t="n"/>
      <c r="D63" s="307" t="n"/>
      <c r="E63" s="307" t="n"/>
      <c r="F63" s="307" t="n"/>
      <c r="G63" s="307" t="n"/>
      <c r="H63" s="307" t="n"/>
      <c r="I63" s="307" t="n"/>
      <c r="J63" s="307" t="n"/>
      <c r="K63" s="307" t="n"/>
      <c r="L63" s="307" t="n"/>
      <c r="M63" s="307" t="n"/>
      <c r="N63" s="307" t="n"/>
      <c r="O63" s="307" t="n"/>
      <c r="P63" s="307" t="n"/>
      <c r="Q63" s="307" t="n"/>
      <c r="R63" s="307" t="n"/>
      <c r="S63" s="307" t="n"/>
      <c r="T63" s="307" t="n"/>
      <c r="U63" s="307" t="n"/>
      <c r="V63" s="307" t="n"/>
      <c r="W63" s="307" t="n"/>
      <c r="X63" s="307" t="n"/>
      <c r="Y63" s="307" t="n"/>
      <c r="Z63" s="307" t="n"/>
      <c r="AA63" s="307" t="n"/>
      <c r="AB63" s="307" t="n"/>
      <c r="AC63" s="307" t="n"/>
      <c r="AD63" s="307" t="n"/>
      <c r="AE63" s="307" t="n"/>
      <c r="AF63" s="307" t="n"/>
      <c r="AG63" s="307" t="n"/>
      <c r="AH63" s="307" t="n"/>
      <c r="AI63" s="307" t="n"/>
      <c r="AJ63" s="307" t="n"/>
      <c r="AK63" s="307" t="n"/>
      <c r="AL63" s="307" t="n"/>
      <c r="AM63" s="307" t="n"/>
      <c r="AN63" s="307" t="n"/>
      <c r="AO63" s="307" t="n"/>
      <c r="AP63" s="307" t="n"/>
      <c r="AQ63" s="307" t="n"/>
      <c r="AR63" s="307" t="n"/>
      <c r="AS63" s="307" t="n"/>
      <c r="AT63" s="307" t="n"/>
      <c r="AU63" s="307" t="n"/>
      <c r="AV63" s="307" t="n"/>
      <c r="AW63" s="307" t="n"/>
      <c r="AX63" s="307" t="n"/>
      <c r="AY63" s="307" t="n"/>
      <c r="AZ63" s="307" t="n"/>
      <c r="BA63" s="233" t="n"/>
      <c r="BB63" s="307" t="n"/>
      <c r="BC63" s="307" t="n"/>
      <c r="BD63" s="307" t="n"/>
      <c r="BE63" s="307" t="n"/>
      <c r="BF63" s="307" t="n"/>
      <c r="BG63" s="31" t="n"/>
      <c r="BH63" s="31" t="n"/>
      <c r="BI63" s="31" t="n"/>
      <c r="BJ63" s="31" t="n"/>
    </row>
    <row r="64" ht="15.75" customHeight="1" s="349">
      <c r="A64" s="307" t="n"/>
      <c r="B64" s="307" t="n"/>
      <c r="C64" s="307" t="n"/>
      <c r="D64" s="307" t="n"/>
      <c r="E64" s="307" t="n"/>
      <c r="F64" s="307" t="n"/>
      <c r="G64" s="307" t="n"/>
      <c r="H64" s="307" t="n"/>
      <c r="I64" s="307" t="n"/>
      <c r="J64" s="307" t="n"/>
      <c r="K64" s="307" t="n"/>
      <c r="L64" s="307" t="n"/>
      <c r="M64" s="307" t="n"/>
      <c r="N64" s="307" t="n"/>
      <c r="O64" s="307" t="n"/>
      <c r="P64" s="307" t="n"/>
      <c r="Q64" s="307" t="n"/>
      <c r="R64" s="307" t="n"/>
      <c r="S64" s="307" t="n"/>
      <c r="T64" s="307" t="n"/>
      <c r="U64" s="307" t="n"/>
      <c r="V64" s="307" t="n"/>
      <c r="W64" s="307" t="n"/>
      <c r="X64" s="307" t="n"/>
      <c r="Y64" s="307" t="n"/>
      <c r="Z64" s="307" t="n"/>
      <c r="AA64" s="307" t="n"/>
      <c r="AB64" s="307" t="n"/>
      <c r="AC64" s="307" t="n"/>
      <c r="AD64" s="307" t="n"/>
      <c r="AE64" s="307" t="n"/>
      <c r="AF64" s="307" t="n"/>
      <c r="AG64" s="307" t="n"/>
      <c r="AH64" s="307" t="n"/>
      <c r="AI64" s="307" t="n"/>
      <c r="AJ64" s="307" t="n"/>
      <c r="AK64" s="307" t="n"/>
      <c r="AL64" s="307" t="n"/>
      <c r="AM64" s="307" t="n"/>
      <c r="AN64" s="307" t="n"/>
      <c r="AO64" s="307" t="n"/>
      <c r="AP64" s="307" t="n"/>
      <c r="AQ64" s="307" t="n"/>
      <c r="AR64" s="307" t="n"/>
      <c r="AS64" s="307" t="n"/>
      <c r="AT64" s="307" t="n"/>
      <c r="AU64" s="307" t="n"/>
      <c r="AV64" s="307" t="n"/>
      <c r="AW64" s="307" t="n"/>
      <c r="AX64" s="307" t="n"/>
      <c r="AY64" s="307" t="n"/>
      <c r="AZ64" s="307" t="n"/>
      <c r="BA64" s="233" t="n"/>
      <c r="BB64" s="307" t="n"/>
      <c r="BC64" s="307" t="n"/>
      <c r="BD64" s="307" t="n"/>
      <c r="BE64" s="307" t="n"/>
      <c r="BF64" s="307" t="n"/>
      <c r="BG64" s="31" t="n"/>
      <c r="BH64" s="31" t="n"/>
      <c r="BI64" s="31" t="n"/>
      <c r="BJ64" s="31" t="n"/>
    </row>
    <row r="65" ht="15.75" customHeight="1" s="349">
      <c r="A65" s="307" t="n"/>
      <c r="B65" s="307" t="n"/>
      <c r="C65" s="307" t="n"/>
      <c r="D65" s="307" t="n"/>
      <c r="E65" s="307" t="n"/>
      <c r="F65" s="307" t="n"/>
      <c r="G65" s="307" t="n"/>
      <c r="H65" s="307" t="n"/>
      <c r="I65" s="307" t="n"/>
      <c r="J65" s="307" t="n"/>
      <c r="K65" s="307" t="n"/>
      <c r="L65" s="307" t="n"/>
      <c r="M65" s="307" t="n"/>
      <c r="N65" s="307" t="n"/>
      <c r="O65" s="307" t="n"/>
      <c r="P65" s="307" t="n"/>
      <c r="Q65" s="307" t="n"/>
      <c r="R65" s="307" t="n"/>
      <c r="S65" s="307" t="n"/>
      <c r="T65" s="307" t="n"/>
      <c r="U65" s="307" t="n"/>
      <c r="V65" s="307" t="n"/>
      <c r="W65" s="307" t="n"/>
      <c r="X65" s="307" t="n"/>
      <c r="Y65" s="307" t="n"/>
      <c r="Z65" s="307" t="n"/>
      <c r="AA65" s="307" t="n"/>
      <c r="AB65" s="307" t="n"/>
      <c r="AC65" s="307" t="n"/>
      <c r="AD65" s="307" t="n"/>
      <c r="AE65" s="307" t="n"/>
      <c r="AF65" s="307" t="n"/>
      <c r="AG65" s="307" t="n"/>
      <c r="AH65" s="307" t="n"/>
      <c r="AI65" s="307" t="n"/>
      <c r="AJ65" s="307" t="n"/>
      <c r="AK65" s="307" t="n"/>
      <c r="AL65" s="307" t="n"/>
      <c r="AM65" s="307" t="n"/>
      <c r="AN65" s="307" t="n"/>
      <c r="AO65" s="307" t="n"/>
      <c r="AP65" s="307" t="n"/>
      <c r="AQ65" s="307" t="n"/>
      <c r="AR65" s="307" t="n"/>
      <c r="AS65" s="307" t="n"/>
      <c r="AT65" s="307" t="n"/>
      <c r="AU65" s="307" t="n"/>
      <c r="AV65" s="307" t="n"/>
      <c r="AW65" s="307" t="n"/>
      <c r="AX65" s="307" t="n"/>
      <c r="AY65" s="307" t="n"/>
      <c r="AZ65" s="307" t="n"/>
      <c r="BA65" s="233" t="n"/>
      <c r="BB65" s="307" t="n"/>
      <c r="BC65" s="307" t="n"/>
      <c r="BD65" s="307" t="n"/>
      <c r="BE65" s="307" t="n"/>
      <c r="BF65" s="307" t="n"/>
      <c r="BG65" s="31" t="n"/>
      <c r="BH65" s="31" t="n"/>
      <c r="BI65" s="31" t="n"/>
      <c r="BJ65" s="31" t="n"/>
    </row>
    <row r="66" ht="15.75" customHeight="1" s="349">
      <c r="A66" s="307" t="n"/>
      <c r="B66" s="307" t="n"/>
      <c r="C66" s="307" t="n"/>
      <c r="D66" s="307" t="n"/>
      <c r="E66" s="307" t="n"/>
      <c r="F66" s="307" t="n"/>
      <c r="G66" s="307" t="n"/>
      <c r="H66" s="307" t="n"/>
      <c r="I66" s="307" t="n"/>
      <c r="J66" s="307" t="n"/>
      <c r="K66" s="307" t="n"/>
      <c r="L66" s="307" t="n"/>
      <c r="M66" s="307" t="n"/>
      <c r="N66" s="307" t="n"/>
      <c r="O66" s="307" t="n"/>
      <c r="P66" s="307" t="n"/>
      <c r="Q66" s="307" t="n"/>
      <c r="R66" s="307" t="n"/>
      <c r="S66" s="307" t="n"/>
      <c r="T66" s="307" t="n"/>
      <c r="U66" s="307" t="n"/>
      <c r="V66" s="307" t="n"/>
      <c r="W66" s="307" t="n"/>
      <c r="X66" s="307" t="n"/>
      <c r="Y66" s="307" t="n"/>
      <c r="Z66" s="307" t="n"/>
      <c r="AA66" s="307" t="n"/>
      <c r="AB66" s="307" t="n"/>
      <c r="AC66" s="307" t="n"/>
      <c r="AD66" s="307" t="n"/>
      <c r="AE66" s="307" t="n"/>
      <c r="AF66" s="307" t="n"/>
      <c r="AG66" s="307" t="n"/>
      <c r="AH66" s="307" t="n"/>
      <c r="AI66" s="307" t="n"/>
      <c r="AJ66" s="307" t="n"/>
      <c r="AK66" s="307" t="n"/>
      <c r="AL66" s="307" t="n"/>
      <c r="AM66" s="307" t="n"/>
      <c r="AN66" s="307" t="n"/>
      <c r="AO66" s="307" t="n"/>
      <c r="AP66" s="307" t="n"/>
      <c r="AQ66" s="307" t="n"/>
      <c r="AR66" s="307" t="n"/>
      <c r="AS66" s="307" t="n"/>
      <c r="AT66" s="307" t="n"/>
      <c r="AU66" s="307" t="n"/>
      <c r="AV66" s="307" t="n"/>
      <c r="AW66" s="307" t="n"/>
      <c r="AX66" s="307" t="n"/>
      <c r="AY66" s="307" t="n"/>
      <c r="AZ66" s="307" t="n"/>
      <c r="BA66" s="233" t="n"/>
      <c r="BB66" s="307" t="n"/>
      <c r="BC66" s="307" t="n"/>
      <c r="BD66" s="307" t="n"/>
      <c r="BE66" s="307" t="n"/>
      <c r="BF66" s="307" t="n"/>
      <c r="BG66" s="31" t="n"/>
      <c r="BH66" s="31" t="n"/>
      <c r="BI66" s="31" t="n"/>
      <c r="BJ66" s="31" t="n"/>
    </row>
    <row r="67" ht="15.75" customHeight="1" s="349">
      <c r="A67" s="307" t="n"/>
      <c r="B67" s="307" t="n"/>
      <c r="C67" s="307" t="n"/>
      <c r="D67" s="307" t="n"/>
      <c r="E67" s="307" t="n"/>
      <c r="F67" s="307" t="n"/>
      <c r="G67" s="307" t="n"/>
      <c r="H67" s="307" t="n"/>
      <c r="I67" s="307" t="n"/>
      <c r="J67" s="307" t="n"/>
      <c r="K67" s="307" t="n"/>
      <c r="L67" s="307" t="n"/>
      <c r="M67" s="307" t="n"/>
      <c r="N67" s="307" t="n"/>
      <c r="O67" s="307" t="n"/>
      <c r="P67" s="307" t="n"/>
      <c r="Q67" s="307" t="n"/>
      <c r="R67" s="307" t="n"/>
      <c r="S67" s="307" t="n"/>
      <c r="T67" s="307" t="n"/>
      <c r="U67" s="307" t="n"/>
      <c r="V67" s="307" t="n"/>
      <c r="W67" s="307" t="n"/>
      <c r="X67" s="307" t="n"/>
      <c r="Y67" s="307" t="n"/>
      <c r="Z67" s="307" t="n"/>
      <c r="AA67" s="307" t="n"/>
      <c r="AB67" s="307" t="n"/>
      <c r="AC67" s="307" t="n"/>
      <c r="AD67" s="307" t="n"/>
      <c r="AE67" s="307" t="n"/>
      <c r="AF67" s="307" t="n"/>
      <c r="AG67" s="307" t="n"/>
      <c r="AH67" s="307" t="n"/>
      <c r="AI67" s="307" t="n"/>
      <c r="AJ67" s="307" t="n"/>
      <c r="AK67" s="307" t="n"/>
      <c r="AL67" s="307" t="n"/>
      <c r="AM67" s="307" t="n"/>
      <c r="AN67" s="307" t="n"/>
      <c r="AO67" s="307" t="n"/>
      <c r="AP67" s="307" t="n"/>
      <c r="AQ67" s="307" t="n"/>
      <c r="AR67" s="307" t="n"/>
      <c r="AS67" s="307" t="n"/>
      <c r="AT67" s="307" t="n"/>
      <c r="AU67" s="307" t="n"/>
      <c r="AV67" s="307" t="n"/>
      <c r="AW67" s="307" t="n"/>
      <c r="AX67" s="307" t="n"/>
      <c r="AY67" s="307" t="n"/>
      <c r="AZ67" s="307" t="n"/>
      <c r="BA67" s="233" t="n"/>
      <c r="BB67" s="307" t="n"/>
      <c r="BC67" s="307" t="n"/>
      <c r="BD67" s="307" t="n"/>
      <c r="BE67" s="307" t="n"/>
      <c r="BF67" s="307" t="n"/>
      <c r="BG67" s="31" t="n"/>
      <c r="BH67" s="31" t="n"/>
      <c r="BI67" s="31" t="n"/>
      <c r="BJ67" s="31" t="n"/>
    </row>
    <row r="68" ht="15.75" customHeight="1" s="349">
      <c r="A68" s="307" t="n"/>
      <c r="B68" s="307" t="n"/>
      <c r="C68" s="307" t="n"/>
      <c r="D68" s="307" t="n"/>
      <c r="E68" s="307" t="n"/>
      <c r="F68" s="307" t="n"/>
      <c r="G68" s="307" t="n"/>
      <c r="H68" s="307" t="n"/>
      <c r="I68" s="307" t="n"/>
      <c r="J68" s="307" t="n"/>
      <c r="K68" s="307" t="n"/>
      <c r="L68" s="307" t="n"/>
      <c r="M68" s="307" t="n"/>
      <c r="N68" s="307" t="n"/>
      <c r="O68" s="307" t="n"/>
      <c r="P68" s="307" t="n"/>
      <c r="Q68" s="307" t="n"/>
      <c r="R68" s="307" t="n"/>
      <c r="S68" s="307" t="n"/>
      <c r="T68" s="307" t="n"/>
      <c r="U68" s="307" t="n"/>
      <c r="V68" s="307" t="n"/>
      <c r="W68" s="307" t="n"/>
      <c r="X68" s="307" t="n"/>
      <c r="Y68" s="307" t="n"/>
      <c r="Z68" s="307" t="n"/>
      <c r="AA68" s="307" t="n"/>
      <c r="AB68" s="307" t="n"/>
      <c r="AC68" s="307" t="n"/>
      <c r="AD68" s="307" t="n"/>
      <c r="AE68" s="307" t="n"/>
      <c r="AF68" s="307" t="n"/>
      <c r="AG68" s="307" t="n"/>
      <c r="AH68" s="307" t="n"/>
      <c r="AI68" s="307" t="n"/>
      <c r="AJ68" s="307" t="n"/>
      <c r="AK68" s="307" t="n"/>
      <c r="AL68" s="307" t="n"/>
      <c r="AM68" s="307" t="n"/>
      <c r="AN68" s="307" t="n"/>
      <c r="AO68" s="307" t="n"/>
      <c r="AP68" s="307" t="n"/>
      <c r="AQ68" s="307" t="n"/>
      <c r="AR68" s="307" t="n"/>
      <c r="AS68" s="307" t="n"/>
      <c r="AT68" s="307" t="n"/>
      <c r="AU68" s="307" t="n"/>
      <c r="AV68" s="307" t="n"/>
      <c r="AW68" s="307" t="n"/>
      <c r="AX68" s="307" t="n"/>
      <c r="AY68" s="307" t="n"/>
      <c r="AZ68" s="307" t="n"/>
      <c r="BA68" s="233" t="n"/>
      <c r="BB68" s="307" t="n"/>
      <c r="BC68" s="307" t="n"/>
      <c r="BD68" s="307" t="n"/>
      <c r="BE68" s="307" t="n"/>
      <c r="BF68" s="307" t="n"/>
      <c r="BG68" s="31" t="n"/>
      <c r="BH68" s="31" t="n"/>
      <c r="BI68" s="31" t="n"/>
      <c r="BJ68" s="31" t="n"/>
    </row>
    <row r="69" ht="15.75" customHeight="1" s="349">
      <c r="A69" s="307" t="n"/>
      <c r="B69" s="307" t="n"/>
      <c r="C69" s="307" t="n"/>
      <c r="D69" s="307" t="n"/>
      <c r="E69" s="307" t="n"/>
      <c r="F69" s="307" t="n"/>
      <c r="G69" s="307" t="n"/>
      <c r="H69" s="307" t="n"/>
      <c r="I69" s="307" t="n"/>
      <c r="J69" s="307" t="n"/>
      <c r="K69" s="307" t="n"/>
      <c r="L69" s="307" t="n"/>
      <c r="M69" s="307" t="n"/>
      <c r="N69" s="307" t="n"/>
      <c r="O69" s="307" t="n"/>
      <c r="P69" s="307" t="n"/>
      <c r="Q69" s="307" t="n"/>
      <c r="R69" s="307" t="n"/>
      <c r="S69" s="307" t="n"/>
      <c r="T69" s="307" t="n"/>
      <c r="U69" s="307" t="n"/>
      <c r="V69" s="307" t="n"/>
      <c r="W69" s="307" t="n"/>
      <c r="X69" s="307" t="n"/>
      <c r="Y69" s="307" t="n"/>
      <c r="Z69" s="307" t="n"/>
      <c r="AA69" s="307" t="n"/>
      <c r="AB69" s="307" t="n"/>
      <c r="AC69" s="307" t="n"/>
      <c r="AD69" s="307" t="n"/>
      <c r="AE69" s="307" t="n"/>
      <c r="AF69" s="307" t="n"/>
      <c r="AG69" s="307" t="n"/>
      <c r="AH69" s="307" t="n"/>
      <c r="AI69" s="307" t="n"/>
      <c r="AJ69" s="307" t="n"/>
      <c r="AK69" s="307" t="n"/>
      <c r="AL69" s="307" t="n"/>
      <c r="AM69" s="307" t="n"/>
      <c r="AN69" s="307" t="n"/>
      <c r="AO69" s="307" t="n"/>
      <c r="AP69" s="307" t="n"/>
      <c r="AQ69" s="307" t="n"/>
      <c r="AR69" s="307" t="n"/>
      <c r="AS69" s="307" t="n"/>
      <c r="AT69" s="307" t="n"/>
      <c r="AU69" s="307" t="n"/>
      <c r="AV69" s="307" t="n"/>
      <c r="AW69" s="307" t="n"/>
      <c r="AX69" s="307" t="n"/>
      <c r="AY69" s="307" t="n"/>
      <c r="AZ69" s="307" t="n"/>
      <c r="BA69" s="233" t="n"/>
      <c r="BB69" s="307" t="n"/>
      <c r="BC69" s="307" t="n"/>
      <c r="BD69" s="307" t="n"/>
      <c r="BE69" s="307" t="n"/>
      <c r="BF69" s="307" t="n"/>
      <c r="BG69" s="31" t="n"/>
      <c r="BH69" s="31" t="n"/>
      <c r="BI69" s="31" t="n"/>
      <c r="BJ69" s="31" t="n"/>
    </row>
    <row r="70" ht="15.75" customHeight="1" s="349">
      <c r="A70" s="307" t="n"/>
      <c r="B70" s="307" t="n"/>
      <c r="C70" s="307" t="n"/>
      <c r="D70" s="307" t="n"/>
      <c r="E70" s="307" t="n"/>
      <c r="F70" s="307" t="n"/>
      <c r="G70" s="307" t="n"/>
      <c r="H70" s="307" t="n"/>
      <c r="I70" s="307" t="n"/>
      <c r="J70" s="307" t="n"/>
      <c r="K70" s="307" t="n"/>
      <c r="L70" s="307" t="n"/>
      <c r="M70" s="307" t="n"/>
      <c r="N70" s="307" t="n"/>
      <c r="O70" s="307" t="n"/>
      <c r="P70" s="307" t="n"/>
      <c r="Q70" s="307" t="n"/>
      <c r="R70" s="307" t="n"/>
      <c r="S70" s="307" t="n"/>
      <c r="T70" s="307" t="n"/>
      <c r="U70" s="307" t="n"/>
      <c r="V70" s="307" t="n"/>
      <c r="W70" s="307" t="n"/>
      <c r="X70" s="307" t="n"/>
      <c r="Y70" s="307" t="n"/>
      <c r="Z70" s="307" t="n"/>
      <c r="AA70" s="307" t="n"/>
      <c r="AB70" s="307" t="n"/>
      <c r="AC70" s="307" t="n"/>
      <c r="AD70" s="307" t="n"/>
      <c r="AE70" s="307" t="n"/>
      <c r="AF70" s="307" t="n"/>
      <c r="AG70" s="307" t="n"/>
      <c r="AH70" s="307" t="n"/>
      <c r="AI70" s="307" t="n"/>
      <c r="AJ70" s="307" t="n"/>
      <c r="AK70" s="307" t="n"/>
      <c r="AL70" s="307" t="n"/>
      <c r="AM70" s="307" t="n"/>
      <c r="AN70" s="307" t="n"/>
      <c r="AO70" s="307" t="n"/>
      <c r="AP70" s="307" t="n"/>
      <c r="AQ70" s="307" t="n"/>
      <c r="AR70" s="307" t="n"/>
      <c r="AS70" s="307" t="n"/>
      <c r="AT70" s="307" t="n"/>
      <c r="AU70" s="307" t="n"/>
      <c r="AV70" s="307" t="n"/>
      <c r="AW70" s="307" t="n"/>
      <c r="AX70" s="307" t="n"/>
      <c r="AY70" s="307" t="n"/>
      <c r="AZ70" s="307" t="n"/>
      <c r="BA70" s="233" t="n"/>
      <c r="BB70" s="307" t="n"/>
      <c r="BC70" s="307" t="n"/>
      <c r="BD70" s="307" t="n"/>
      <c r="BE70" s="307" t="n"/>
      <c r="BF70" s="307" t="n"/>
      <c r="BG70" s="31" t="n"/>
      <c r="BH70" s="31" t="n"/>
      <c r="BI70" s="31" t="n"/>
      <c r="BJ70" s="31" t="n"/>
    </row>
    <row r="71" ht="15.75" customHeight="1" s="349">
      <c r="A71" s="307" t="n"/>
      <c r="B71" s="307" t="n"/>
      <c r="C71" s="307" t="n"/>
      <c r="D71" s="307" t="n"/>
      <c r="E71" s="307" t="n"/>
      <c r="F71" s="307" t="n"/>
      <c r="G71" s="307" t="n"/>
      <c r="H71" s="307" t="n"/>
      <c r="I71" s="307" t="n"/>
      <c r="J71" s="307" t="n"/>
      <c r="K71" s="307" t="n"/>
      <c r="L71" s="307" t="n"/>
      <c r="M71" s="307" t="n"/>
      <c r="N71" s="307" t="n"/>
      <c r="O71" s="307" t="n"/>
      <c r="P71" s="307" t="n"/>
      <c r="Q71" s="307" t="n"/>
      <c r="R71" s="307" t="n"/>
      <c r="S71" s="307" t="n"/>
      <c r="T71" s="307" t="n"/>
      <c r="U71" s="307" t="n"/>
      <c r="V71" s="307" t="n"/>
      <c r="W71" s="307" t="n"/>
      <c r="X71" s="307" t="n"/>
      <c r="Y71" s="307" t="n"/>
      <c r="Z71" s="307" t="n"/>
      <c r="AA71" s="307" t="n"/>
      <c r="AB71" s="307" t="n"/>
      <c r="AC71" s="307" t="n"/>
      <c r="AD71" s="307" t="n"/>
      <c r="AE71" s="307" t="n"/>
      <c r="AF71" s="307" t="n"/>
      <c r="AG71" s="307" t="n"/>
      <c r="AH71" s="307" t="n"/>
      <c r="AI71" s="307" t="n"/>
      <c r="AJ71" s="307" t="n"/>
      <c r="AK71" s="307" t="n"/>
      <c r="AL71" s="307" t="n"/>
      <c r="AM71" s="307" t="n"/>
      <c r="AN71" s="307" t="n"/>
      <c r="AO71" s="307" t="n"/>
      <c r="AP71" s="307" t="n"/>
      <c r="AQ71" s="307" t="n"/>
      <c r="AR71" s="307" t="n"/>
      <c r="AS71" s="307" t="n"/>
      <c r="AT71" s="307" t="n"/>
      <c r="AU71" s="307" t="n"/>
      <c r="AV71" s="307" t="n"/>
      <c r="AW71" s="307" t="n"/>
      <c r="AX71" s="307" t="n"/>
      <c r="AY71" s="307" t="n"/>
      <c r="AZ71" s="307" t="n"/>
      <c r="BA71" s="233" t="n"/>
      <c r="BB71" s="307" t="n"/>
      <c r="BC71" s="307" t="n"/>
      <c r="BD71" s="307" t="n"/>
      <c r="BE71" s="307" t="n"/>
      <c r="BF71" s="307" t="n"/>
      <c r="BG71" s="31" t="n"/>
      <c r="BH71" s="31" t="n"/>
      <c r="BI71" s="31" t="n"/>
      <c r="BJ71" s="31" t="n"/>
    </row>
    <row r="72" ht="15.75" customHeight="1" s="349">
      <c r="A72" s="307" t="n"/>
      <c r="B72" s="307" t="n"/>
      <c r="C72" s="307" t="n"/>
      <c r="D72" s="307" t="n"/>
      <c r="E72" s="307" t="n"/>
      <c r="F72" s="307" t="n"/>
      <c r="G72" s="307" t="n"/>
      <c r="H72" s="307" t="n"/>
      <c r="I72" s="307" t="n"/>
      <c r="J72" s="307" t="n"/>
      <c r="K72" s="307" t="n"/>
      <c r="L72" s="307" t="n"/>
      <c r="M72" s="307" t="n"/>
      <c r="N72" s="307" t="n"/>
      <c r="O72" s="307" t="n"/>
      <c r="P72" s="307" t="n"/>
      <c r="Q72" s="307" t="n"/>
      <c r="R72" s="307" t="n"/>
      <c r="S72" s="307" t="n"/>
      <c r="T72" s="307" t="n"/>
      <c r="U72" s="307" t="n"/>
      <c r="V72" s="307" t="n"/>
      <c r="W72" s="307" t="n"/>
      <c r="X72" s="307" t="n"/>
      <c r="Y72" s="307" t="n"/>
      <c r="Z72" s="307" t="n"/>
      <c r="AA72" s="307" t="n"/>
      <c r="AB72" s="307" t="n"/>
      <c r="AC72" s="307" t="n"/>
      <c r="AD72" s="307" t="n"/>
      <c r="AE72" s="307" t="n"/>
      <c r="AF72" s="307" t="n"/>
      <c r="AG72" s="307" t="n"/>
      <c r="AH72" s="307" t="n"/>
      <c r="AI72" s="307" t="n"/>
      <c r="AJ72" s="307" t="n"/>
      <c r="AK72" s="307" t="n"/>
      <c r="AL72" s="307" t="n"/>
      <c r="AM72" s="307" t="n"/>
      <c r="AN72" s="307" t="n"/>
      <c r="AO72" s="307" t="n"/>
      <c r="AP72" s="307" t="n"/>
      <c r="AQ72" s="307" t="n"/>
      <c r="AR72" s="307" t="n"/>
      <c r="AS72" s="307" t="n"/>
      <c r="AT72" s="307" t="n"/>
      <c r="AU72" s="307" t="n"/>
      <c r="AV72" s="307" t="n"/>
      <c r="AW72" s="307" t="n"/>
      <c r="AX72" s="307" t="n"/>
      <c r="AY72" s="307" t="n"/>
      <c r="AZ72" s="307" t="n"/>
      <c r="BA72" s="233" t="n"/>
      <c r="BB72" s="307" t="n"/>
      <c r="BC72" s="307" t="n"/>
      <c r="BD72" s="307" t="n"/>
      <c r="BE72" s="307" t="n"/>
      <c r="BF72" s="307" t="n"/>
      <c r="BG72" s="31" t="n"/>
      <c r="BH72" s="31" t="n"/>
      <c r="BI72" s="31" t="n"/>
      <c r="BJ72" s="31" t="n"/>
    </row>
    <row r="73" ht="15.75" customHeight="1" s="349">
      <c r="A73" s="307" t="n"/>
      <c r="B73" s="307" t="n"/>
      <c r="C73" s="307" t="n"/>
      <c r="D73" s="307" t="n"/>
      <c r="E73" s="307" t="n"/>
      <c r="F73" s="307" t="n"/>
      <c r="G73" s="307" t="n"/>
      <c r="H73" s="307" t="n"/>
      <c r="I73" s="307" t="n"/>
      <c r="J73" s="307" t="n"/>
      <c r="K73" s="307" t="n"/>
      <c r="L73" s="307" t="n"/>
      <c r="M73" s="307" t="n"/>
      <c r="N73" s="307" t="n"/>
      <c r="O73" s="307" t="n"/>
      <c r="P73" s="307" t="n"/>
      <c r="Q73" s="307" t="n"/>
      <c r="R73" s="307" t="n"/>
      <c r="S73" s="307" t="n"/>
      <c r="T73" s="307" t="n"/>
      <c r="U73" s="307" t="n"/>
      <c r="V73" s="307" t="n"/>
      <c r="W73" s="307" t="n"/>
      <c r="X73" s="307" t="n"/>
      <c r="Y73" s="307" t="n"/>
      <c r="Z73" s="307" t="n"/>
      <c r="AA73" s="307" t="n"/>
      <c r="AB73" s="307" t="n"/>
      <c r="AC73" s="307" t="n"/>
      <c r="AD73" s="307" t="n"/>
      <c r="AE73" s="307" t="n"/>
      <c r="AF73" s="307" t="n"/>
      <c r="AG73" s="307" t="n"/>
      <c r="AH73" s="307" t="n"/>
      <c r="AI73" s="307" t="n"/>
      <c r="AJ73" s="307" t="n"/>
      <c r="AK73" s="307" t="n"/>
      <c r="AL73" s="307" t="n"/>
      <c r="AM73" s="307" t="n"/>
      <c r="AN73" s="307" t="n"/>
      <c r="AO73" s="307" t="n"/>
      <c r="AP73" s="307" t="n"/>
      <c r="AQ73" s="307" t="n"/>
      <c r="AR73" s="307" t="n"/>
      <c r="AS73" s="307" t="n"/>
      <c r="AT73" s="307" t="n"/>
      <c r="AU73" s="307" t="n"/>
      <c r="AV73" s="307" t="n"/>
      <c r="AW73" s="307" t="n"/>
      <c r="AX73" s="307" t="n"/>
      <c r="AY73" s="307" t="n"/>
      <c r="AZ73" s="307" t="n"/>
      <c r="BA73" s="233" t="n"/>
      <c r="BB73" s="307" t="n"/>
      <c r="BC73" s="307" t="n"/>
      <c r="BD73" s="307" t="n"/>
      <c r="BE73" s="307" t="n"/>
      <c r="BF73" s="307" t="n"/>
      <c r="BG73" s="31" t="n"/>
      <c r="BH73" s="31" t="n"/>
      <c r="BI73" s="31" t="n"/>
      <c r="BJ73" s="31" t="n"/>
    </row>
    <row r="74" ht="15.75" customHeight="1" s="349">
      <c r="A74" s="307" t="n"/>
      <c r="B74" s="307" t="n"/>
      <c r="C74" s="307" t="n"/>
      <c r="D74" s="307" t="n"/>
      <c r="E74" s="307" t="n"/>
      <c r="F74" s="307" t="n"/>
      <c r="G74" s="307" t="n"/>
      <c r="H74" s="307" t="n"/>
      <c r="I74" s="307" t="n"/>
      <c r="J74" s="307" t="n"/>
      <c r="K74" s="307" t="n"/>
      <c r="L74" s="307" t="n"/>
      <c r="M74" s="307" t="n"/>
      <c r="N74" s="307" t="n"/>
      <c r="O74" s="307" t="n"/>
      <c r="P74" s="307" t="n"/>
      <c r="Q74" s="307" t="n"/>
      <c r="R74" s="307" t="n"/>
      <c r="S74" s="307" t="n"/>
      <c r="T74" s="307" t="n"/>
      <c r="U74" s="307" t="n"/>
      <c r="V74" s="307" t="n"/>
      <c r="W74" s="307" t="n"/>
      <c r="X74" s="307" t="n"/>
      <c r="Y74" s="307" t="n"/>
      <c r="Z74" s="307" t="n"/>
      <c r="AA74" s="307" t="n"/>
      <c r="AB74" s="307" t="n"/>
      <c r="AC74" s="307" t="n"/>
      <c r="AD74" s="307" t="n"/>
      <c r="AE74" s="307" t="n"/>
      <c r="AF74" s="307" t="n"/>
      <c r="AG74" s="307" t="n"/>
      <c r="AH74" s="307" t="n"/>
      <c r="AI74" s="307" t="n"/>
      <c r="AJ74" s="307" t="n"/>
      <c r="AK74" s="307" t="n"/>
      <c r="AL74" s="307" t="n"/>
      <c r="AM74" s="307" t="n"/>
      <c r="AN74" s="307" t="n"/>
      <c r="AO74" s="307" t="n"/>
      <c r="AP74" s="307" t="n"/>
      <c r="AQ74" s="307" t="n"/>
      <c r="AR74" s="307" t="n"/>
      <c r="AS74" s="307" t="n"/>
      <c r="AT74" s="307" t="n"/>
      <c r="AU74" s="307" t="n"/>
      <c r="AV74" s="307" t="n"/>
      <c r="AW74" s="307" t="n"/>
      <c r="AX74" s="307" t="n"/>
      <c r="AY74" s="307" t="n"/>
      <c r="AZ74" s="307" t="n"/>
      <c r="BA74" s="233" t="n"/>
      <c r="BB74" s="307" t="n"/>
      <c r="BC74" s="307" t="n"/>
      <c r="BD74" s="307" t="n"/>
      <c r="BE74" s="307" t="n"/>
      <c r="BF74" s="307" t="n"/>
      <c r="BG74" s="31" t="n"/>
      <c r="BH74" s="31" t="n"/>
      <c r="BI74" s="31" t="n"/>
      <c r="BJ74" s="31" t="n"/>
    </row>
    <row r="75" ht="15.75" customHeight="1" s="349">
      <c r="A75" s="307" t="n"/>
      <c r="B75" s="307" t="n"/>
      <c r="C75" s="307" t="n"/>
      <c r="D75" s="307" t="n"/>
      <c r="E75" s="307" t="n"/>
      <c r="F75" s="307" t="n"/>
      <c r="G75" s="307" t="n"/>
      <c r="H75" s="307" t="n"/>
      <c r="I75" s="307" t="n"/>
      <c r="J75" s="307" t="n"/>
      <c r="K75" s="307" t="n"/>
      <c r="L75" s="307" t="n"/>
      <c r="M75" s="307" t="n"/>
      <c r="N75" s="307" t="n"/>
      <c r="O75" s="307" t="n"/>
      <c r="P75" s="307" t="n"/>
      <c r="Q75" s="307" t="n"/>
      <c r="R75" s="307" t="n"/>
      <c r="S75" s="307" t="n"/>
      <c r="T75" s="307" t="n"/>
      <c r="U75" s="307" t="n"/>
      <c r="V75" s="307" t="n"/>
      <c r="W75" s="307" t="n"/>
      <c r="X75" s="307" t="n"/>
      <c r="Y75" s="307" t="n"/>
      <c r="Z75" s="307" t="n"/>
      <c r="AA75" s="307" t="n"/>
      <c r="AB75" s="307" t="n"/>
      <c r="AC75" s="307" t="n"/>
      <c r="AD75" s="307" t="n"/>
      <c r="AE75" s="307" t="n"/>
      <c r="AF75" s="307" t="n"/>
      <c r="AG75" s="307" t="n"/>
      <c r="AH75" s="307" t="n"/>
      <c r="AI75" s="307" t="n"/>
      <c r="AJ75" s="307" t="n"/>
      <c r="AK75" s="307" t="n"/>
      <c r="AL75" s="307" t="n"/>
      <c r="AM75" s="307" t="n"/>
      <c r="AN75" s="307" t="n"/>
      <c r="AO75" s="307" t="n"/>
      <c r="AP75" s="307" t="n"/>
      <c r="AQ75" s="307" t="n"/>
      <c r="AR75" s="307" t="n"/>
      <c r="AS75" s="307" t="n"/>
      <c r="AT75" s="307" t="n"/>
      <c r="AU75" s="307" t="n"/>
      <c r="AV75" s="307" t="n"/>
      <c r="AW75" s="307" t="n"/>
      <c r="AX75" s="307" t="n"/>
      <c r="AY75" s="307" t="n"/>
      <c r="AZ75" s="307" t="n"/>
      <c r="BA75" s="233" t="n"/>
      <c r="BB75" s="307" t="n"/>
      <c r="BC75" s="307" t="n"/>
      <c r="BD75" s="307" t="n"/>
      <c r="BE75" s="307" t="n"/>
      <c r="BF75" s="307" t="n"/>
      <c r="BG75" s="31" t="n"/>
      <c r="BH75" s="31" t="n"/>
      <c r="BI75" s="31" t="n"/>
      <c r="BJ75" s="31" t="n"/>
    </row>
    <row r="76" ht="15.75" customHeight="1" s="349">
      <c r="A76" s="307" t="n"/>
      <c r="B76" s="307" t="n"/>
      <c r="C76" s="307" t="n"/>
      <c r="D76" s="307" t="n"/>
      <c r="E76" s="307" t="n"/>
      <c r="F76" s="307" t="n"/>
      <c r="G76" s="307" t="n"/>
      <c r="H76" s="307" t="n"/>
      <c r="I76" s="307" t="n"/>
      <c r="J76" s="307" t="n"/>
      <c r="K76" s="307" t="n"/>
      <c r="L76" s="307" t="n"/>
      <c r="M76" s="307" t="n"/>
      <c r="N76" s="307" t="n"/>
      <c r="O76" s="307" t="n"/>
      <c r="P76" s="307" t="n"/>
      <c r="Q76" s="307" t="n"/>
      <c r="R76" s="307" t="n"/>
      <c r="S76" s="307" t="n"/>
      <c r="T76" s="307" t="n"/>
      <c r="U76" s="307" t="n"/>
      <c r="V76" s="307" t="n"/>
      <c r="W76" s="307" t="n"/>
      <c r="X76" s="307" t="n"/>
      <c r="Y76" s="307" t="n"/>
      <c r="Z76" s="307" t="n"/>
      <c r="AA76" s="307" t="n"/>
      <c r="AB76" s="307" t="n"/>
      <c r="AC76" s="307" t="n"/>
      <c r="AD76" s="307" t="n"/>
      <c r="AE76" s="307" t="n"/>
      <c r="AF76" s="307" t="n"/>
      <c r="AG76" s="307" t="n"/>
      <c r="AH76" s="307" t="n"/>
      <c r="AI76" s="307" t="n"/>
      <c r="AJ76" s="307" t="n"/>
      <c r="AK76" s="307" t="n"/>
      <c r="AL76" s="307" t="n"/>
      <c r="AM76" s="307" t="n"/>
      <c r="AN76" s="307" t="n"/>
      <c r="AO76" s="307" t="n"/>
      <c r="AP76" s="307" t="n"/>
      <c r="AQ76" s="307" t="n"/>
      <c r="AR76" s="307" t="n"/>
      <c r="AS76" s="307" t="n"/>
      <c r="AT76" s="307" t="n"/>
      <c r="AU76" s="307" t="n"/>
      <c r="AV76" s="307" t="n"/>
      <c r="AW76" s="307" t="n"/>
      <c r="AX76" s="307" t="n"/>
      <c r="AY76" s="307" t="n"/>
      <c r="AZ76" s="307" t="n"/>
      <c r="BA76" s="233" t="n"/>
      <c r="BB76" s="307" t="n"/>
      <c r="BC76" s="307" t="n"/>
      <c r="BD76" s="307" t="n"/>
      <c r="BE76" s="307" t="n"/>
      <c r="BF76" s="307" t="n"/>
      <c r="BG76" s="31" t="n"/>
      <c r="BH76" s="31" t="n"/>
      <c r="BI76" s="31" t="n"/>
      <c r="BJ76" s="31" t="n"/>
    </row>
    <row r="77" ht="15.75" customHeight="1" s="349">
      <c r="A77" s="307" t="n"/>
      <c r="B77" s="307" t="n"/>
      <c r="C77" s="307" t="n"/>
      <c r="D77" s="307" t="n"/>
      <c r="E77" s="307" t="n"/>
      <c r="F77" s="307" t="n"/>
      <c r="G77" s="307" t="n"/>
      <c r="H77" s="307" t="n"/>
      <c r="I77" s="307" t="n"/>
      <c r="J77" s="307" t="n"/>
      <c r="K77" s="307" t="n"/>
      <c r="L77" s="307" t="n"/>
      <c r="M77" s="307" t="n"/>
      <c r="N77" s="307" t="n"/>
      <c r="O77" s="307" t="n"/>
      <c r="P77" s="307" t="n"/>
      <c r="Q77" s="307" t="n"/>
      <c r="R77" s="307" t="n"/>
      <c r="S77" s="307" t="n"/>
      <c r="T77" s="307" t="n"/>
      <c r="U77" s="307" t="n"/>
      <c r="V77" s="307" t="n"/>
      <c r="W77" s="307" t="n"/>
      <c r="X77" s="307" t="n"/>
      <c r="Y77" s="307" t="n"/>
      <c r="Z77" s="307" t="n"/>
      <c r="AA77" s="307" t="n"/>
      <c r="AB77" s="307" t="n"/>
      <c r="AC77" s="307" t="n"/>
      <c r="AD77" s="307" t="n"/>
      <c r="AE77" s="307" t="n"/>
      <c r="AF77" s="307" t="n"/>
      <c r="AG77" s="307" t="n"/>
      <c r="AH77" s="307" t="n"/>
      <c r="AI77" s="307" t="n"/>
      <c r="AJ77" s="307" t="n"/>
      <c r="AK77" s="307" t="n"/>
      <c r="AL77" s="307" t="n"/>
      <c r="AM77" s="307" t="n"/>
      <c r="AN77" s="307" t="n"/>
      <c r="AO77" s="307" t="n"/>
      <c r="AP77" s="307" t="n"/>
      <c r="AQ77" s="307" t="n"/>
      <c r="AR77" s="307" t="n"/>
      <c r="AS77" s="307" t="n"/>
      <c r="AT77" s="307" t="n"/>
      <c r="AU77" s="307" t="n"/>
      <c r="AV77" s="307" t="n"/>
      <c r="AW77" s="307" t="n"/>
      <c r="AX77" s="307" t="n"/>
      <c r="AY77" s="307" t="n"/>
      <c r="AZ77" s="307" t="n"/>
      <c r="BA77" s="233" t="n"/>
      <c r="BB77" s="307" t="n"/>
      <c r="BC77" s="307" t="n"/>
      <c r="BD77" s="307" t="n"/>
      <c r="BE77" s="307" t="n"/>
      <c r="BF77" s="307" t="n"/>
      <c r="BG77" s="31" t="n"/>
      <c r="BH77" s="31" t="n"/>
      <c r="BI77" s="31" t="n"/>
      <c r="BJ77" s="31" t="n"/>
    </row>
    <row r="78" ht="15.75" customHeight="1" s="349">
      <c r="A78" s="307" t="n"/>
      <c r="B78" s="307" t="n"/>
      <c r="C78" s="307" t="n"/>
      <c r="D78" s="307" t="n"/>
      <c r="E78" s="307" t="n"/>
      <c r="F78" s="307" t="n"/>
      <c r="G78" s="307" t="n"/>
      <c r="H78" s="307" t="n"/>
      <c r="I78" s="307" t="n"/>
      <c r="J78" s="307" t="n"/>
      <c r="K78" s="307" t="n"/>
      <c r="L78" s="307" t="n"/>
      <c r="M78" s="307" t="n"/>
      <c r="N78" s="307" t="n"/>
      <c r="O78" s="307" t="n"/>
      <c r="P78" s="307" t="n"/>
      <c r="Q78" s="307" t="n"/>
      <c r="R78" s="307" t="n"/>
      <c r="S78" s="307" t="n"/>
      <c r="T78" s="307" t="n"/>
      <c r="U78" s="307" t="n"/>
      <c r="V78" s="307" t="n"/>
      <c r="W78" s="307" t="n"/>
      <c r="X78" s="307" t="n"/>
      <c r="Y78" s="307" t="n"/>
      <c r="Z78" s="307" t="n"/>
      <c r="AA78" s="307" t="n"/>
      <c r="AB78" s="307" t="n"/>
      <c r="AC78" s="307" t="n"/>
      <c r="AD78" s="307" t="n"/>
      <c r="AE78" s="307" t="n"/>
      <c r="AF78" s="307" t="n"/>
      <c r="AG78" s="307" t="n"/>
      <c r="AH78" s="307" t="n"/>
      <c r="AI78" s="307" t="n"/>
      <c r="AJ78" s="307" t="n"/>
      <c r="AK78" s="307" t="n"/>
      <c r="AL78" s="307" t="n"/>
      <c r="AM78" s="307" t="n"/>
      <c r="AN78" s="307" t="n"/>
      <c r="AO78" s="307" t="n"/>
      <c r="AP78" s="307" t="n"/>
      <c r="AQ78" s="307" t="n"/>
      <c r="AR78" s="307" t="n"/>
      <c r="AS78" s="307" t="n"/>
      <c r="AT78" s="307" t="n"/>
      <c r="AU78" s="307" t="n"/>
      <c r="AV78" s="307" t="n"/>
      <c r="AW78" s="307" t="n"/>
      <c r="AX78" s="307" t="n"/>
      <c r="AY78" s="307" t="n"/>
      <c r="AZ78" s="307" t="n"/>
      <c r="BA78" s="233" t="n"/>
      <c r="BB78" s="307" t="n"/>
      <c r="BC78" s="307" t="n"/>
      <c r="BD78" s="307" t="n"/>
      <c r="BE78" s="307" t="n"/>
      <c r="BF78" s="307" t="n"/>
      <c r="BG78" s="31" t="n"/>
      <c r="BH78" s="31" t="n"/>
      <c r="BI78" s="31" t="n"/>
      <c r="BJ78" s="31" t="n"/>
    </row>
    <row r="79" ht="15.75" customHeight="1" s="349">
      <c r="A79" s="307" t="n"/>
      <c r="B79" s="307" t="n"/>
      <c r="C79" s="307" t="n"/>
      <c r="D79" s="307" t="n"/>
      <c r="E79" s="307" t="n"/>
      <c r="F79" s="307" t="n"/>
      <c r="G79" s="307" t="n"/>
      <c r="H79" s="307" t="n"/>
      <c r="I79" s="307" t="n"/>
      <c r="J79" s="307" t="n"/>
      <c r="K79" s="307" t="n"/>
      <c r="L79" s="307" t="n"/>
      <c r="M79" s="307" t="n"/>
      <c r="N79" s="307" t="n"/>
      <c r="O79" s="307" t="n"/>
      <c r="P79" s="307" t="n"/>
      <c r="Q79" s="307" t="n"/>
      <c r="R79" s="307" t="n"/>
      <c r="S79" s="307" t="n"/>
      <c r="T79" s="307" t="n"/>
      <c r="U79" s="307" t="n"/>
      <c r="V79" s="307" t="n"/>
      <c r="W79" s="307" t="n"/>
      <c r="X79" s="307" t="n"/>
      <c r="Y79" s="307" t="n"/>
      <c r="Z79" s="307" t="n"/>
      <c r="AA79" s="307" t="n"/>
      <c r="AB79" s="307" t="n"/>
      <c r="AC79" s="307" t="n"/>
      <c r="AD79" s="307" t="n"/>
      <c r="AE79" s="307" t="n"/>
      <c r="AF79" s="307" t="n"/>
      <c r="AG79" s="307" t="n"/>
      <c r="AH79" s="307" t="n"/>
      <c r="AI79" s="307" t="n"/>
      <c r="AJ79" s="307" t="n"/>
      <c r="AK79" s="307" t="n"/>
      <c r="AL79" s="307" t="n"/>
      <c r="AM79" s="307" t="n"/>
      <c r="AN79" s="307" t="n"/>
      <c r="AO79" s="307" t="n"/>
      <c r="AP79" s="307" t="n"/>
      <c r="AQ79" s="307" t="n"/>
      <c r="AR79" s="307" t="n"/>
      <c r="AS79" s="307" t="n"/>
      <c r="AT79" s="307" t="n"/>
      <c r="AU79" s="307" t="n"/>
      <c r="AV79" s="307" t="n"/>
      <c r="AW79" s="307" t="n"/>
      <c r="AX79" s="307" t="n"/>
      <c r="AY79" s="307" t="n"/>
      <c r="AZ79" s="307" t="n"/>
      <c r="BA79" s="233" t="n"/>
      <c r="BB79" s="307" t="n"/>
      <c r="BC79" s="307" t="n"/>
      <c r="BD79" s="307" t="n"/>
      <c r="BE79" s="307" t="n"/>
      <c r="BF79" s="307" t="n"/>
      <c r="BG79" s="31" t="n"/>
      <c r="BH79" s="31" t="n"/>
      <c r="BI79" s="31" t="n"/>
      <c r="BJ79" s="31" t="n"/>
    </row>
    <row r="80" ht="15.75" customHeight="1" s="349">
      <c r="A80" s="307" t="n"/>
      <c r="B80" s="307" t="n"/>
      <c r="C80" s="307" t="n"/>
      <c r="D80" s="307" t="n"/>
      <c r="E80" s="307" t="n"/>
      <c r="F80" s="307" t="n"/>
      <c r="G80" s="307" t="n"/>
      <c r="H80" s="307" t="n"/>
      <c r="I80" s="307" t="n"/>
      <c r="J80" s="307" t="n"/>
      <c r="K80" s="307" t="n"/>
      <c r="L80" s="307" t="n"/>
      <c r="M80" s="307" t="n"/>
      <c r="N80" s="307" t="n"/>
      <c r="O80" s="307" t="n"/>
      <c r="P80" s="307" t="n"/>
      <c r="Q80" s="307" t="n"/>
      <c r="R80" s="307" t="n"/>
      <c r="S80" s="307" t="n"/>
      <c r="T80" s="307" t="n"/>
      <c r="U80" s="307" t="n"/>
      <c r="V80" s="307" t="n"/>
      <c r="W80" s="307" t="n"/>
      <c r="X80" s="307" t="n"/>
      <c r="Y80" s="307" t="n"/>
      <c r="Z80" s="307" t="n"/>
      <c r="AA80" s="307" t="n"/>
      <c r="AB80" s="307" t="n"/>
      <c r="AC80" s="307" t="n"/>
      <c r="AD80" s="307" t="n"/>
      <c r="AE80" s="307" t="n"/>
      <c r="AF80" s="307" t="n"/>
      <c r="AG80" s="307" t="n"/>
      <c r="AH80" s="307" t="n"/>
      <c r="AI80" s="307" t="n"/>
      <c r="AJ80" s="307" t="n"/>
      <c r="AK80" s="307" t="n"/>
      <c r="AL80" s="307" t="n"/>
      <c r="AM80" s="307" t="n"/>
      <c r="AN80" s="307" t="n"/>
      <c r="AO80" s="307" t="n"/>
      <c r="AP80" s="307" t="n"/>
      <c r="AQ80" s="307" t="n"/>
      <c r="AR80" s="307" t="n"/>
      <c r="AS80" s="307" t="n"/>
      <c r="AT80" s="307" t="n"/>
      <c r="AU80" s="307" t="n"/>
      <c r="AV80" s="307" t="n"/>
      <c r="AW80" s="307" t="n"/>
      <c r="AX80" s="307" t="n"/>
      <c r="AY80" s="307" t="n"/>
      <c r="AZ80" s="307" t="n"/>
      <c r="BA80" s="233" t="n"/>
      <c r="BB80" s="307" t="n"/>
      <c r="BC80" s="307" t="n"/>
      <c r="BD80" s="307" t="n"/>
      <c r="BE80" s="307" t="n"/>
      <c r="BF80" s="307" t="n"/>
      <c r="BG80" s="31" t="n"/>
      <c r="BH80" s="31" t="n"/>
      <c r="BI80" s="31" t="n"/>
      <c r="BJ80" s="31" t="n"/>
    </row>
    <row r="81" ht="15.75" customHeight="1" s="349">
      <c r="A81" s="307" t="n"/>
      <c r="B81" s="307" t="n"/>
      <c r="C81" s="307" t="n"/>
      <c r="D81" s="307" t="n"/>
      <c r="E81" s="307" t="n"/>
      <c r="F81" s="307" t="n"/>
      <c r="G81" s="307" t="n"/>
      <c r="H81" s="307" t="n"/>
      <c r="I81" s="307" t="n"/>
      <c r="J81" s="307" t="n"/>
      <c r="K81" s="307" t="n"/>
      <c r="L81" s="307" t="n"/>
      <c r="M81" s="307" t="n"/>
      <c r="N81" s="307" t="n"/>
      <c r="O81" s="307" t="n"/>
      <c r="P81" s="307" t="n"/>
      <c r="Q81" s="307" t="n"/>
      <c r="R81" s="307" t="n"/>
      <c r="S81" s="307" t="n"/>
      <c r="T81" s="307" t="n"/>
      <c r="U81" s="307" t="n"/>
      <c r="V81" s="307" t="n"/>
      <c r="W81" s="307" t="n"/>
      <c r="X81" s="307" t="n"/>
      <c r="Y81" s="307" t="n"/>
      <c r="Z81" s="307" t="n"/>
      <c r="AA81" s="307" t="n"/>
      <c r="AB81" s="307" t="n"/>
      <c r="AC81" s="307" t="n"/>
      <c r="AD81" s="307" t="n"/>
      <c r="AE81" s="307" t="n"/>
      <c r="AF81" s="307" t="n"/>
      <c r="AG81" s="307" t="n"/>
      <c r="AH81" s="307" t="n"/>
      <c r="AI81" s="307" t="n"/>
      <c r="AJ81" s="307" t="n"/>
      <c r="AK81" s="307" t="n"/>
      <c r="AL81" s="307" t="n"/>
      <c r="AM81" s="307" t="n"/>
      <c r="AN81" s="307" t="n"/>
      <c r="AO81" s="307" t="n"/>
      <c r="AP81" s="307" t="n"/>
      <c r="AQ81" s="307" t="n"/>
      <c r="AR81" s="307" t="n"/>
      <c r="AS81" s="307" t="n"/>
      <c r="AT81" s="307" t="n"/>
      <c r="AU81" s="307" t="n"/>
      <c r="AV81" s="307" t="n"/>
      <c r="AW81" s="307" t="n"/>
      <c r="AX81" s="307" t="n"/>
      <c r="AY81" s="307" t="n"/>
      <c r="AZ81" s="307" t="n"/>
      <c r="BA81" s="233" t="n"/>
      <c r="BB81" s="307" t="n"/>
      <c r="BC81" s="307" t="n"/>
      <c r="BD81" s="307" t="n"/>
      <c r="BE81" s="307" t="n"/>
      <c r="BF81" s="307" t="n"/>
      <c r="BG81" s="31" t="n"/>
      <c r="BH81" s="31" t="n"/>
      <c r="BI81" s="31" t="n"/>
      <c r="BJ81" s="31" t="n"/>
    </row>
    <row r="82" ht="15.75" customHeight="1" s="349">
      <c r="A82" s="307" t="n"/>
      <c r="B82" s="307" t="n"/>
      <c r="C82" s="307" t="n"/>
      <c r="D82" s="307" t="n"/>
      <c r="E82" s="307" t="n"/>
      <c r="F82" s="307" t="n"/>
      <c r="G82" s="307" t="n"/>
      <c r="H82" s="307" t="n"/>
      <c r="I82" s="307" t="n"/>
      <c r="J82" s="307" t="n"/>
      <c r="K82" s="307" t="n"/>
      <c r="L82" s="307" t="n"/>
      <c r="M82" s="307" t="n"/>
      <c r="N82" s="307" t="n"/>
      <c r="O82" s="307" t="n"/>
      <c r="P82" s="307" t="n"/>
      <c r="Q82" s="307" t="n"/>
      <c r="R82" s="307" t="n"/>
      <c r="S82" s="307" t="n"/>
      <c r="T82" s="307" t="n"/>
      <c r="U82" s="307" t="n"/>
      <c r="V82" s="307" t="n"/>
      <c r="W82" s="307" t="n"/>
      <c r="X82" s="307" t="n"/>
      <c r="Y82" s="307" t="n"/>
      <c r="Z82" s="307" t="n"/>
      <c r="AA82" s="307" t="n"/>
      <c r="AB82" s="307" t="n"/>
      <c r="AC82" s="307" t="n"/>
      <c r="AD82" s="307" t="n"/>
      <c r="AE82" s="307" t="n"/>
      <c r="AF82" s="307" t="n"/>
      <c r="AG82" s="307" t="n"/>
      <c r="AH82" s="307" t="n"/>
      <c r="AI82" s="307" t="n"/>
      <c r="AJ82" s="307" t="n"/>
      <c r="AK82" s="307" t="n"/>
      <c r="AL82" s="307" t="n"/>
      <c r="AM82" s="307" t="n"/>
      <c r="AN82" s="307" t="n"/>
      <c r="AO82" s="307" t="n"/>
      <c r="AP82" s="307" t="n"/>
      <c r="AQ82" s="307" t="n"/>
      <c r="AR82" s="307" t="n"/>
      <c r="AS82" s="307" t="n"/>
      <c r="AT82" s="307" t="n"/>
      <c r="AU82" s="307" t="n"/>
      <c r="AV82" s="307" t="n"/>
      <c r="AW82" s="307" t="n"/>
      <c r="AX82" s="307" t="n"/>
      <c r="AY82" s="307" t="n"/>
      <c r="AZ82" s="307" t="n"/>
      <c r="BA82" s="233" t="n"/>
      <c r="BB82" s="307" t="n"/>
      <c r="BC82" s="307" t="n"/>
      <c r="BD82" s="307" t="n"/>
      <c r="BE82" s="307" t="n"/>
      <c r="BF82" s="307" t="n"/>
      <c r="BG82" s="31" t="n"/>
      <c r="BH82" s="31" t="n"/>
      <c r="BI82" s="31" t="n"/>
      <c r="BJ82" s="31" t="n"/>
    </row>
    <row r="83" ht="15.75" customHeight="1" s="349">
      <c r="A83" s="307" t="n"/>
      <c r="B83" s="307" t="n"/>
      <c r="C83" s="307" t="n"/>
      <c r="D83" s="307" t="n"/>
      <c r="E83" s="307" t="n"/>
      <c r="F83" s="307" t="n"/>
      <c r="G83" s="307" t="n"/>
      <c r="H83" s="307" t="n"/>
      <c r="I83" s="307" t="n"/>
      <c r="J83" s="307" t="n"/>
      <c r="K83" s="307" t="n"/>
      <c r="L83" s="307" t="n"/>
      <c r="M83" s="307" t="n"/>
      <c r="N83" s="307" t="n"/>
      <c r="O83" s="307" t="n"/>
      <c r="P83" s="307" t="n"/>
      <c r="Q83" s="307" t="n"/>
      <c r="R83" s="307" t="n"/>
      <c r="S83" s="307" t="n"/>
      <c r="T83" s="307" t="n"/>
      <c r="U83" s="307" t="n"/>
      <c r="V83" s="307" t="n"/>
      <c r="W83" s="307" t="n"/>
      <c r="X83" s="307" t="n"/>
      <c r="Y83" s="307" t="n"/>
      <c r="Z83" s="307" t="n"/>
      <c r="AA83" s="307" t="n"/>
      <c r="AB83" s="307" t="n"/>
      <c r="AC83" s="307" t="n"/>
      <c r="AD83" s="307" t="n"/>
      <c r="AE83" s="307" t="n"/>
      <c r="AF83" s="307" t="n"/>
      <c r="AG83" s="307" t="n"/>
      <c r="AH83" s="307" t="n"/>
      <c r="AI83" s="307" t="n"/>
      <c r="AJ83" s="307" t="n"/>
      <c r="AK83" s="307" t="n"/>
      <c r="AL83" s="307" t="n"/>
      <c r="AM83" s="307" t="n"/>
      <c r="AN83" s="307" t="n"/>
      <c r="AO83" s="307" t="n"/>
      <c r="AP83" s="307" t="n"/>
      <c r="AQ83" s="307" t="n"/>
      <c r="AR83" s="307" t="n"/>
      <c r="AS83" s="307" t="n"/>
      <c r="AT83" s="307" t="n"/>
      <c r="AU83" s="307" t="n"/>
      <c r="AV83" s="307" t="n"/>
      <c r="AW83" s="307" t="n"/>
      <c r="AX83" s="307" t="n"/>
      <c r="AY83" s="307" t="n"/>
      <c r="AZ83" s="307" t="n"/>
      <c r="BA83" s="233" t="n"/>
      <c r="BB83" s="307" t="n"/>
      <c r="BC83" s="307" t="n"/>
      <c r="BD83" s="307" t="n"/>
      <c r="BE83" s="307" t="n"/>
      <c r="BF83" s="307" t="n"/>
      <c r="BG83" s="31" t="n"/>
      <c r="BH83" s="31" t="n"/>
      <c r="BI83" s="31" t="n"/>
      <c r="BJ83" s="31" t="n"/>
    </row>
    <row r="84" ht="15.75" customHeight="1" s="349">
      <c r="A84" s="307" t="n"/>
      <c r="B84" s="307" t="n"/>
      <c r="C84" s="307" t="n"/>
      <c r="D84" s="307" t="n"/>
      <c r="E84" s="307" t="n"/>
      <c r="F84" s="307" t="n"/>
      <c r="G84" s="307" t="n"/>
      <c r="H84" s="307" t="n"/>
      <c r="I84" s="307" t="n"/>
      <c r="J84" s="307" t="n"/>
      <c r="K84" s="307" t="n"/>
      <c r="L84" s="307" t="n"/>
      <c r="M84" s="307" t="n"/>
      <c r="N84" s="307" t="n"/>
      <c r="O84" s="307" t="n"/>
      <c r="P84" s="307" t="n"/>
      <c r="Q84" s="307" t="n"/>
      <c r="R84" s="307" t="n"/>
      <c r="S84" s="307" t="n"/>
      <c r="T84" s="307" t="n"/>
      <c r="U84" s="307" t="n"/>
      <c r="V84" s="307" t="n"/>
      <c r="W84" s="307" t="n"/>
      <c r="X84" s="307" t="n"/>
      <c r="Y84" s="307" t="n"/>
      <c r="Z84" s="307" t="n"/>
      <c r="AA84" s="307" t="n"/>
      <c r="AB84" s="307" t="n"/>
      <c r="AC84" s="307" t="n"/>
      <c r="AD84" s="307" t="n"/>
      <c r="AE84" s="307" t="n"/>
      <c r="AF84" s="307" t="n"/>
      <c r="AG84" s="307" t="n"/>
      <c r="AH84" s="307" t="n"/>
      <c r="AI84" s="307" t="n"/>
      <c r="AJ84" s="307" t="n"/>
      <c r="AK84" s="307" t="n"/>
      <c r="AL84" s="307" t="n"/>
      <c r="AM84" s="307" t="n"/>
      <c r="AN84" s="307" t="n"/>
      <c r="AO84" s="307" t="n"/>
      <c r="AP84" s="307" t="n"/>
      <c r="AQ84" s="307" t="n"/>
      <c r="AR84" s="307" t="n"/>
      <c r="AS84" s="307" t="n"/>
      <c r="AT84" s="307" t="n"/>
      <c r="AU84" s="307" t="n"/>
      <c r="AV84" s="307" t="n"/>
      <c r="AW84" s="307" t="n"/>
      <c r="AX84" s="307" t="n"/>
      <c r="AY84" s="307" t="n"/>
      <c r="AZ84" s="307" t="n"/>
      <c r="BA84" s="233" t="n"/>
      <c r="BB84" s="307" t="n"/>
      <c r="BC84" s="307" t="n"/>
      <c r="BD84" s="307" t="n"/>
      <c r="BE84" s="307" t="n"/>
      <c r="BF84" s="307" t="n"/>
      <c r="BG84" s="31" t="n"/>
      <c r="BH84" s="31" t="n"/>
      <c r="BI84" s="31" t="n"/>
      <c r="BJ84" s="31" t="n"/>
    </row>
    <row r="85" ht="15.75" customHeight="1" s="349">
      <c r="A85" s="307" t="n"/>
      <c r="B85" s="307" t="n"/>
      <c r="C85" s="307" t="n"/>
      <c r="D85" s="307" t="n"/>
      <c r="E85" s="307" t="n"/>
      <c r="F85" s="307" t="n"/>
      <c r="G85" s="307" t="n"/>
      <c r="H85" s="307" t="n"/>
      <c r="I85" s="307" t="n"/>
      <c r="J85" s="307" t="n"/>
      <c r="K85" s="307" t="n"/>
      <c r="L85" s="307" t="n"/>
      <c r="M85" s="307" t="n"/>
      <c r="N85" s="307" t="n"/>
      <c r="O85" s="307" t="n"/>
      <c r="P85" s="307" t="n"/>
      <c r="Q85" s="307" t="n"/>
      <c r="R85" s="307" t="n"/>
      <c r="S85" s="307" t="n"/>
      <c r="T85" s="307" t="n"/>
      <c r="U85" s="307" t="n"/>
      <c r="V85" s="307" t="n"/>
      <c r="W85" s="307" t="n"/>
      <c r="X85" s="307" t="n"/>
      <c r="Y85" s="307" t="n"/>
      <c r="Z85" s="307" t="n"/>
      <c r="AA85" s="307" t="n"/>
      <c r="AB85" s="307" t="n"/>
      <c r="AC85" s="307" t="n"/>
      <c r="AD85" s="307" t="n"/>
      <c r="AE85" s="307" t="n"/>
      <c r="AF85" s="307" t="n"/>
      <c r="AG85" s="307" t="n"/>
      <c r="AH85" s="307" t="n"/>
      <c r="AI85" s="307" t="n"/>
      <c r="AJ85" s="307" t="n"/>
      <c r="AK85" s="307" t="n"/>
      <c r="AL85" s="307" t="n"/>
      <c r="AM85" s="307" t="n"/>
      <c r="AN85" s="307" t="n"/>
      <c r="AO85" s="307" t="n"/>
      <c r="AP85" s="307" t="n"/>
      <c r="AQ85" s="307" t="n"/>
      <c r="AR85" s="307" t="n"/>
      <c r="AS85" s="307" t="n"/>
      <c r="AT85" s="307" t="n"/>
      <c r="AU85" s="307" t="n"/>
      <c r="AV85" s="307" t="n"/>
      <c r="AW85" s="307" t="n"/>
      <c r="AX85" s="307" t="n"/>
      <c r="AY85" s="307" t="n"/>
      <c r="AZ85" s="307" t="n"/>
      <c r="BA85" s="233" t="n"/>
      <c r="BB85" s="307" t="n"/>
      <c r="BC85" s="307" t="n"/>
      <c r="BD85" s="307" t="n"/>
      <c r="BE85" s="307" t="n"/>
      <c r="BF85" s="307" t="n"/>
      <c r="BG85" s="31" t="n"/>
      <c r="BH85" s="31" t="n"/>
      <c r="BI85" s="31" t="n"/>
      <c r="BJ85" s="31" t="n"/>
    </row>
    <row r="86" ht="15.75" customHeight="1" s="349">
      <c r="A86" s="307" t="n"/>
      <c r="B86" s="307" t="n"/>
      <c r="C86" s="307" t="n"/>
      <c r="D86" s="307" t="n"/>
      <c r="E86" s="307" t="n"/>
      <c r="F86" s="307" t="n"/>
      <c r="G86" s="307" t="n"/>
      <c r="H86" s="307" t="n"/>
      <c r="I86" s="307" t="n"/>
      <c r="J86" s="307" t="n"/>
      <c r="K86" s="307" t="n"/>
      <c r="L86" s="307" t="n"/>
      <c r="M86" s="307" t="n"/>
      <c r="N86" s="307" t="n"/>
      <c r="O86" s="307" t="n"/>
      <c r="P86" s="307" t="n"/>
      <c r="Q86" s="307" t="n"/>
      <c r="R86" s="307" t="n"/>
      <c r="S86" s="307" t="n"/>
      <c r="T86" s="307" t="n"/>
      <c r="U86" s="307" t="n"/>
      <c r="V86" s="307" t="n"/>
      <c r="W86" s="307" t="n"/>
      <c r="X86" s="307" t="n"/>
      <c r="Y86" s="307" t="n"/>
      <c r="Z86" s="307" t="n"/>
      <c r="AA86" s="307" t="n"/>
      <c r="AB86" s="307" t="n"/>
      <c r="AC86" s="307" t="n"/>
      <c r="AD86" s="307" t="n"/>
      <c r="AE86" s="307" t="n"/>
      <c r="AF86" s="307" t="n"/>
      <c r="AG86" s="307" t="n"/>
      <c r="AH86" s="307" t="n"/>
      <c r="AI86" s="307" t="n"/>
      <c r="AJ86" s="307" t="n"/>
      <c r="AK86" s="307" t="n"/>
      <c r="AL86" s="307" t="n"/>
      <c r="AM86" s="307" t="n"/>
      <c r="AN86" s="307" t="n"/>
      <c r="AO86" s="307" t="n"/>
      <c r="AP86" s="307" t="n"/>
      <c r="AQ86" s="307" t="n"/>
      <c r="AR86" s="307" t="n"/>
      <c r="AS86" s="307" t="n"/>
      <c r="AT86" s="307" t="n"/>
      <c r="AU86" s="307" t="n"/>
      <c r="AV86" s="307" t="n"/>
      <c r="AW86" s="307" t="n"/>
      <c r="AX86" s="307" t="n"/>
      <c r="AY86" s="307" t="n"/>
      <c r="AZ86" s="307" t="n"/>
      <c r="BA86" s="233" t="n"/>
      <c r="BB86" s="307" t="n"/>
      <c r="BC86" s="307" t="n"/>
      <c r="BD86" s="307" t="n"/>
      <c r="BE86" s="307" t="n"/>
      <c r="BF86" s="307" t="n"/>
      <c r="BG86" s="31" t="n"/>
      <c r="BH86" s="31" t="n"/>
      <c r="BI86" s="31" t="n"/>
      <c r="BJ86" s="31" t="n"/>
    </row>
    <row r="87" ht="15.75" customHeight="1" s="349">
      <c r="A87" s="307" t="n"/>
      <c r="B87" s="307" t="n"/>
      <c r="C87" s="307" t="n"/>
      <c r="D87" s="307" t="n"/>
      <c r="E87" s="307" t="n"/>
      <c r="F87" s="307" t="n"/>
      <c r="G87" s="307" t="n"/>
      <c r="H87" s="307" t="n"/>
      <c r="I87" s="307" t="n"/>
      <c r="J87" s="307" t="n"/>
      <c r="K87" s="307" t="n"/>
      <c r="L87" s="307" t="n"/>
      <c r="M87" s="307" t="n"/>
      <c r="N87" s="307" t="n"/>
      <c r="O87" s="307" t="n"/>
      <c r="P87" s="307" t="n"/>
      <c r="Q87" s="307" t="n"/>
      <c r="R87" s="307" t="n"/>
      <c r="S87" s="307" t="n"/>
      <c r="T87" s="307" t="n"/>
      <c r="U87" s="307" t="n"/>
      <c r="V87" s="307" t="n"/>
      <c r="W87" s="307" t="n"/>
      <c r="X87" s="307" t="n"/>
      <c r="Y87" s="307" t="n"/>
      <c r="Z87" s="307" t="n"/>
      <c r="AA87" s="307" t="n"/>
      <c r="AB87" s="307" t="n"/>
      <c r="AC87" s="307" t="n"/>
      <c r="AD87" s="307" t="n"/>
      <c r="AE87" s="307" t="n"/>
      <c r="AF87" s="307" t="n"/>
      <c r="AG87" s="307" t="n"/>
      <c r="AH87" s="307" t="n"/>
      <c r="AI87" s="307" t="n"/>
      <c r="AJ87" s="307" t="n"/>
      <c r="AK87" s="307" t="n"/>
      <c r="AL87" s="307" t="n"/>
      <c r="AM87" s="307" t="n"/>
      <c r="AN87" s="307" t="n"/>
      <c r="AO87" s="307" t="n"/>
      <c r="AP87" s="307" t="n"/>
      <c r="AQ87" s="307" t="n"/>
      <c r="AR87" s="307" t="n"/>
      <c r="AS87" s="307" t="n"/>
      <c r="AT87" s="307" t="n"/>
      <c r="AU87" s="307" t="n"/>
      <c r="AV87" s="307" t="n"/>
      <c r="AW87" s="307" t="n"/>
      <c r="AX87" s="307" t="n"/>
      <c r="AY87" s="307" t="n"/>
      <c r="AZ87" s="307" t="n"/>
      <c r="BA87" s="233" t="n"/>
      <c r="BB87" s="307" t="n"/>
      <c r="BC87" s="307" t="n"/>
      <c r="BD87" s="307" t="n"/>
      <c r="BE87" s="307" t="n"/>
      <c r="BF87" s="307" t="n"/>
      <c r="BG87" s="31" t="n"/>
      <c r="BH87" s="31" t="n"/>
      <c r="BI87" s="31" t="n"/>
      <c r="BJ87" s="31" t="n"/>
    </row>
    <row r="88" ht="15.75" customHeight="1" s="349">
      <c r="A88" s="307" t="n"/>
      <c r="B88" s="307" t="n"/>
      <c r="C88" s="307" t="n"/>
      <c r="D88" s="307" t="n"/>
      <c r="E88" s="307" t="n"/>
      <c r="F88" s="307" t="n"/>
      <c r="G88" s="307" t="n"/>
      <c r="H88" s="307" t="n"/>
      <c r="I88" s="307" t="n"/>
      <c r="J88" s="307" t="n"/>
      <c r="K88" s="307" t="n"/>
      <c r="L88" s="307" t="n"/>
      <c r="M88" s="307" t="n"/>
      <c r="N88" s="307" t="n"/>
      <c r="O88" s="307" t="n"/>
      <c r="P88" s="307" t="n"/>
      <c r="Q88" s="307" t="n"/>
      <c r="R88" s="307" t="n"/>
      <c r="S88" s="307" t="n"/>
      <c r="T88" s="307" t="n"/>
      <c r="U88" s="307" t="n"/>
      <c r="V88" s="307" t="n"/>
      <c r="W88" s="307" t="n"/>
      <c r="X88" s="307" t="n"/>
      <c r="Y88" s="307" t="n"/>
      <c r="Z88" s="307" t="n"/>
      <c r="AA88" s="307" t="n"/>
      <c r="AB88" s="307" t="n"/>
      <c r="AC88" s="307" t="n"/>
      <c r="AD88" s="307" t="n"/>
      <c r="AE88" s="307" t="n"/>
      <c r="AF88" s="307" t="n"/>
      <c r="AG88" s="307" t="n"/>
      <c r="AH88" s="307" t="n"/>
      <c r="AI88" s="307" t="n"/>
      <c r="AJ88" s="307" t="n"/>
      <c r="AK88" s="307" t="n"/>
      <c r="AL88" s="307" t="n"/>
      <c r="AM88" s="307" t="n"/>
      <c r="AN88" s="307" t="n"/>
      <c r="AO88" s="307" t="n"/>
      <c r="AP88" s="307" t="n"/>
      <c r="AQ88" s="307" t="n"/>
      <c r="AR88" s="307" t="n"/>
      <c r="AS88" s="307" t="n"/>
      <c r="AT88" s="307" t="n"/>
      <c r="AU88" s="307" t="n"/>
      <c r="AV88" s="307" t="n"/>
      <c r="AW88" s="307" t="n"/>
      <c r="AX88" s="307" t="n"/>
      <c r="AY88" s="307" t="n"/>
      <c r="AZ88" s="307" t="n"/>
      <c r="BA88" s="233" t="n"/>
      <c r="BB88" s="307" t="n"/>
      <c r="BC88" s="307" t="n"/>
      <c r="BD88" s="307" t="n"/>
      <c r="BE88" s="307" t="n"/>
      <c r="BF88" s="307" t="n"/>
      <c r="BG88" s="31" t="n"/>
      <c r="BH88" s="31" t="n"/>
      <c r="BI88" s="31" t="n"/>
      <c r="BJ88" s="31" t="n"/>
    </row>
    <row r="89" ht="15.75" customHeight="1" s="349">
      <c r="A89" s="307" t="n"/>
      <c r="B89" s="307" t="n"/>
      <c r="C89" s="307" t="n"/>
      <c r="D89" s="307" t="n"/>
      <c r="E89" s="307" t="n"/>
      <c r="F89" s="307" t="n"/>
      <c r="G89" s="307" t="n"/>
      <c r="H89" s="307" t="n"/>
      <c r="I89" s="307" t="n"/>
      <c r="J89" s="307" t="n"/>
      <c r="K89" s="307" t="n"/>
      <c r="L89" s="307" t="n"/>
      <c r="M89" s="307" t="n"/>
      <c r="N89" s="307" t="n"/>
      <c r="O89" s="307" t="n"/>
      <c r="P89" s="307" t="n"/>
      <c r="Q89" s="307" t="n"/>
      <c r="R89" s="307" t="n"/>
      <c r="S89" s="307" t="n"/>
      <c r="T89" s="307" t="n"/>
      <c r="U89" s="307" t="n"/>
      <c r="V89" s="307" t="n"/>
      <c r="W89" s="307" t="n"/>
      <c r="X89" s="307" t="n"/>
      <c r="Y89" s="307" t="n"/>
      <c r="Z89" s="307" t="n"/>
      <c r="AA89" s="307" t="n"/>
      <c r="AB89" s="307" t="n"/>
      <c r="AC89" s="307" t="n"/>
      <c r="AD89" s="307" t="n"/>
      <c r="AE89" s="307" t="n"/>
      <c r="AF89" s="307" t="n"/>
      <c r="AG89" s="307" t="n"/>
      <c r="AH89" s="307" t="n"/>
      <c r="AI89" s="307" t="n"/>
      <c r="AJ89" s="307" t="n"/>
      <c r="AK89" s="307" t="n"/>
      <c r="AL89" s="307" t="n"/>
      <c r="AM89" s="307" t="n"/>
      <c r="AN89" s="307" t="n"/>
      <c r="AO89" s="307" t="n"/>
      <c r="AP89" s="307" t="n"/>
      <c r="AQ89" s="307" t="n"/>
      <c r="AR89" s="307" t="n"/>
      <c r="AS89" s="307" t="n"/>
      <c r="AT89" s="307" t="n"/>
      <c r="AU89" s="307" t="n"/>
      <c r="AV89" s="307" t="n"/>
      <c r="AW89" s="307" t="n"/>
      <c r="AX89" s="307" t="n"/>
      <c r="AY89" s="307" t="n"/>
      <c r="AZ89" s="307" t="n"/>
      <c r="BA89" s="233" t="n"/>
      <c r="BB89" s="307" t="n"/>
      <c r="BC89" s="307" t="n"/>
      <c r="BD89" s="307" t="n"/>
      <c r="BE89" s="307" t="n"/>
      <c r="BF89" s="307" t="n"/>
      <c r="BG89" s="31" t="n"/>
      <c r="BH89" s="31" t="n"/>
      <c r="BI89" s="31" t="n"/>
      <c r="BJ89" s="31" t="n"/>
    </row>
    <row r="90" ht="15.75" customHeight="1" s="349">
      <c r="A90" s="307" t="n"/>
      <c r="B90" s="307" t="n"/>
      <c r="C90" s="307" t="n"/>
      <c r="D90" s="307" t="n"/>
      <c r="E90" s="307" t="n"/>
      <c r="F90" s="307" t="n"/>
      <c r="G90" s="307" t="n"/>
      <c r="H90" s="307" t="n"/>
      <c r="I90" s="307" t="n"/>
      <c r="J90" s="307" t="n"/>
      <c r="K90" s="307" t="n"/>
      <c r="L90" s="307" t="n"/>
      <c r="M90" s="307" t="n"/>
      <c r="N90" s="307" t="n"/>
      <c r="O90" s="307" t="n"/>
      <c r="P90" s="307" t="n"/>
      <c r="Q90" s="307" t="n"/>
      <c r="R90" s="307" t="n"/>
      <c r="S90" s="307" t="n"/>
      <c r="T90" s="307" t="n"/>
      <c r="U90" s="307" t="n"/>
      <c r="V90" s="307" t="n"/>
      <c r="W90" s="307" t="n"/>
      <c r="X90" s="307" t="n"/>
      <c r="Y90" s="307" t="n"/>
      <c r="Z90" s="307" t="n"/>
      <c r="AA90" s="307" t="n"/>
      <c r="AB90" s="307" t="n"/>
      <c r="AC90" s="307" t="n"/>
      <c r="AD90" s="307" t="n"/>
      <c r="AE90" s="307" t="n"/>
      <c r="AF90" s="307" t="n"/>
      <c r="AG90" s="307" t="n"/>
      <c r="AH90" s="307" t="n"/>
      <c r="AI90" s="307" t="n"/>
      <c r="AJ90" s="307" t="n"/>
      <c r="AK90" s="307" t="n"/>
      <c r="AL90" s="307" t="n"/>
      <c r="AM90" s="307" t="n"/>
      <c r="AN90" s="307" t="n"/>
      <c r="AO90" s="307" t="n"/>
      <c r="AP90" s="307" t="n"/>
      <c r="AQ90" s="307" t="n"/>
      <c r="AR90" s="307" t="n"/>
      <c r="AS90" s="307" t="n"/>
      <c r="AT90" s="307" t="n"/>
      <c r="AU90" s="307" t="n"/>
      <c r="AV90" s="307" t="n"/>
      <c r="AW90" s="307" t="n"/>
      <c r="AX90" s="307" t="n"/>
      <c r="AY90" s="307" t="n"/>
      <c r="AZ90" s="307" t="n"/>
      <c r="BA90" s="233" t="n"/>
      <c r="BB90" s="307" t="n"/>
      <c r="BC90" s="307" t="n"/>
      <c r="BD90" s="307" t="n"/>
      <c r="BE90" s="307" t="n"/>
      <c r="BF90" s="307" t="n"/>
      <c r="BG90" s="31" t="n"/>
      <c r="BH90" s="31" t="n"/>
      <c r="BI90" s="31" t="n"/>
      <c r="BJ90" s="31" t="n"/>
    </row>
    <row r="91" ht="15.75" customHeight="1" s="349">
      <c r="A91" s="307" t="n"/>
      <c r="B91" s="307" t="n"/>
      <c r="C91" s="307" t="n"/>
      <c r="D91" s="307" t="n"/>
      <c r="E91" s="307" t="n"/>
      <c r="F91" s="307" t="n"/>
      <c r="G91" s="307" t="n"/>
      <c r="H91" s="307" t="n"/>
      <c r="I91" s="307" t="n"/>
      <c r="J91" s="307" t="n"/>
      <c r="K91" s="307" t="n"/>
      <c r="L91" s="307" t="n"/>
      <c r="M91" s="307" t="n"/>
      <c r="N91" s="307" t="n"/>
      <c r="O91" s="307" t="n"/>
      <c r="P91" s="307" t="n"/>
      <c r="Q91" s="307" t="n"/>
      <c r="R91" s="307" t="n"/>
      <c r="S91" s="307" t="n"/>
      <c r="T91" s="307" t="n"/>
      <c r="U91" s="307" t="n"/>
      <c r="V91" s="307" t="n"/>
      <c r="W91" s="307" t="n"/>
      <c r="X91" s="307" t="n"/>
      <c r="Y91" s="307" t="n"/>
      <c r="Z91" s="307" t="n"/>
      <c r="AA91" s="307" t="n"/>
      <c r="AB91" s="307" t="n"/>
      <c r="AC91" s="307" t="n"/>
      <c r="AD91" s="307" t="n"/>
      <c r="AE91" s="307" t="n"/>
      <c r="AF91" s="307" t="n"/>
      <c r="AG91" s="307" t="n"/>
      <c r="AH91" s="307" t="n"/>
      <c r="AI91" s="307" t="n"/>
      <c r="AJ91" s="307" t="n"/>
      <c r="AK91" s="307" t="n"/>
      <c r="AL91" s="307" t="n"/>
      <c r="AM91" s="307" t="n"/>
      <c r="AN91" s="307" t="n"/>
      <c r="AO91" s="307" t="n"/>
      <c r="AP91" s="307" t="n"/>
      <c r="AQ91" s="307" t="n"/>
      <c r="AR91" s="307" t="n"/>
      <c r="AS91" s="307" t="n"/>
      <c r="AT91" s="307" t="n"/>
      <c r="AU91" s="307" t="n"/>
      <c r="AV91" s="307" t="n"/>
      <c r="AW91" s="307" t="n"/>
      <c r="AX91" s="307" t="n"/>
      <c r="AY91" s="307" t="n"/>
      <c r="AZ91" s="307" t="n"/>
      <c r="BA91" s="233" t="n"/>
      <c r="BB91" s="307" t="n"/>
      <c r="BC91" s="307" t="n"/>
      <c r="BD91" s="307" t="n"/>
      <c r="BE91" s="307" t="n"/>
      <c r="BF91" s="307" t="n"/>
      <c r="BG91" s="31" t="n"/>
      <c r="BH91" s="31" t="n"/>
      <c r="BI91" s="31" t="n"/>
      <c r="BJ91" s="31" t="n"/>
    </row>
    <row r="92" ht="15.75" customHeight="1" s="349">
      <c r="A92" s="307" t="n"/>
      <c r="B92" s="307" t="n"/>
      <c r="C92" s="307" t="n"/>
      <c r="D92" s="307" t="n"/>
      <c r="E92" s="307" t="n"/>
      <c r="F92" s="307" t="n"/>
      <c r="G92" s="307" t="n"/>
      <c r="H92" s="307" t="n"/>
      <c r="I92" s="307" t="n"/>
      <c r="J92" s="307" t="n"/>
      <c r="K92" s="307" t="n"/>
      <c r="L92" s="307" t="n"/>
      <c r="M92" s="307" t="n"/>
      <c r="N92" s="307" t="n"/>
      <c r="O92" s="307" t="n"/>
      <c r="P92" s="307" t="n"/>
      <c r="Q92" s="307" t="n"/>
      <c r="R92" s="307" t="n"/>
      <c r="S92" s="307" t="n"/>
      <c r="T92" s="307" t="n"/>
      <c r="U92" s="307" t="n"/>
      <c r="V92" s="307" t="n"/>
      <c r="W92" s="307" t="n"/>
      <c r="X92" s="307" t="n"/>
      <c r="Y92" s="307" t="n"/>
      <c r="Z92" s="307" t="n"/>
      <c r="AA92" s="307" t="n"/>
      <c r="AB92" s="307" t="n"/>
      <c r="AC92" s="307" t="n"/>
      <c r="AD92" s="307" t="n"/>
      <c r="AE92" s="307" t="n"/>
      <c r="AF92" s="307" t="n"/>
      <c r="AG92" s="307" t="n"/>
      <c r="AH92" s="307" t="n"/>
      <c r="AI92" s="307" t="n"/>
      <c r="AJ92" s="307" t="n"/>
      <c r="AK92" s="307" t="n"/>
      <c r="AL92" s="307" t="n"/>
      <c r="AM92" s="307" t="n"/>
      <c r="AN92" s="307" t="n"/>
      <c r="AO92" s="307" t="n"/>
      <c r="AP92" s="307" t="n"/>
      <c r="AQ92" s="307" t="n"/>
      <c r="AR92" s="307" t="n"/>
      <c r="AS92" s="307" t="n"/>
      <c r="AT92" s="307" t="n"/>
      <c r="AU92" s="307" t="n"/>
      <c r="AV92" s="307" t="n"/>
      <c r="AW92" s="307" t="n"/>
      <c r="AX92" s="307" t="n"/>
      <c r="AY92" s="307" t="n"/>
      <c r="AZ92" s="307" t="n"/>
      <c r="BA92" s="233" t="n"/>
      <c r="BB92" s="307" t="n"/>
      <c r="BC92" s="307" t="n"/>
      <c r="BD92" s="307" t="n"/>
      <c r="BE92" s="307" t="n"/>
      <c r="BF92" s="307" t="n"/>
      <c r="BG92" s="31" t="n"/>
      <c r="BH92" s="31" t="n"/>
      <c r="BI92" s="31" t="n"/>
      <c r="BJ92" s="31" t="n"/>
    </row>
    <row r="93" ht="15.75" customHeight="1" s="349">
      <c r="A93" s="307" t="n"/>
      <c r="B93" s="307" t="n"/>
      <c r="C93" s="307" t="n"/>
      <c r="D93" s="307" t="n"/>
      <c r="E93" s="307" t="n"/>
      <c r="F93" s="307" t="n"/>
      <c r="G93" s="307" t="n"/>
      <c r="H93" s="307" t="n"/>
      <c r="I93" s="307" t="n"/>
      <c r="J93" s="307" t="n"/>
      <c r="K93" s="307" t="n"/>
      <c r="L93" s="307" t="n"/>
      <c r="M93" s="307" t="n"/>
      <c r="N93" s="307" t="n"/>
      <c r="O93" s="307" t="n"/>
      <c r="P93" s="307" t="n"/>
      <c r="Q93" s="307" t="n"/>
      <c r="R93" s="307" t="n"/>
      <c r="S93" s="307" t="n"/>
      <c r="T93" s="307" t="n"/>
      <c r="U93" s="307" t="n"/>
      <c r="V93" s="307" t="n"/>
      <c r="W93" s="307" t="n"/>
      <c r="X93" s="307" t="n"/>
      <c r="Y93" s="307" t="n"/>
      <c r="Z93" s="307" t="n"/>
      <c r="AA93" s="307" t="n"/>
      <c r="AB93" s="307" t="n"/>
      <c r="AC93" s="307" t="n"/>
      <c r="AD93" s="307" t="n"/>
      <c r="AE93" s="307" t="n"/>
      <c r="AF93" s="307" t="n"/>
      <c r="AG93" s="307" t="n"/>
      <c r="AH93" s="307" t="n"/>
      <c r="AI93" s="307" t="n"/>
      <c r="AJ93" s="307" t="n"/>
      <c r="AK93" s="307" t="n"/>
      <c r="AL93" s="307" t="n"/>
      <c r="AM93" s="307" t="n"/>
      <c r="AN93" s="307" t="n"/>
      <c r="AO93" s="307" t="n"/>
      <c r="AP93" s="307" t="n"/>
      <c r="AQ93" s="307" t="n"/>
      <c r="AR93" s="307" t="n"/>
      <c r="AS93" s="307" t="n"/>
      <c r="AT93" s="307" t="n"/>
      <c r="AU93" s="307" t="n"/>
      <c r="AV93" s="307" t="n"/>
      <c r="AW93" s="307" t="n"/>
      <c r="AX93" s="307" t="n"/>
      <c r="AY93" s="307" t="n"/>
      <c r="AZ93" s="307" t="n"/>
      <c r="BA93" s="233" t="n"/>
      <c r="BB93" s="307" t="n"/>
      <c r="BC93" s="307" t="n"/>
      <c r="BD93" s="307" t="n"/>
      <c r="BE93" s="307" t="n"/>
      <c r="BF93" s="307" t="n"/>
      <c r="BG93" s="31" t="n"/>
      <c r="BH93" s="31" t="n"/>
      <c r="BI93" s="31" t="n"/>
      <c r="BJ93" s="31" t="n"/>
    </row>
    <row r="94" ht="15.75" customHeight="1" s="349">
      <c r="A94" s="307" t="n"/>
      <c r="B94" s="307" t="n"/>
      <c r="C94" s="307" t="n"/>
      <c r="D94" s="307" t="n"/>
      <c r="E94" s="307" t="n"/>
      <c r="F94" s="307" t="n"/>
      <c r="G94" s="307" t="n"/>
      <c r="H94" s="307" t="n"/>
      <c r="I94" s="307" t="n"/>
      <c r="J94" s="307" t="n"/>
      <c r="K94" s="307" t="n"/>
      <c r="L94" s="307" t="n"/>
      <c r="M94" s="307" t="n"/>
      <c r="N94" s="307" t="n"/>
      <c r="O94" s="307" t="n"/>
      <c r="P94" s="307" t="n"/>
      <c r="Q94" s="307" t="n"/>
      <c r="R94" s="307" t="n"/>
      <c r="S94" s="307" t="n"/>
      <c r="T94" s="307" t="n"/>
      <c r="U94" s="307" t="n"/>
      <c r="V94" s="307" t="n"/>
      <c r="W94" s="307" t="n"/>
      <c r="X94" s="307" t="n"/>
      <c r="Y94" s="307" t="n"/>
      <c r="Z94" s="307" t="n"/>
      <c r="AA94" s="307" t="n"/>
      <c r="AB94" s="307" t="n"/>
      <c r="AC94" s="307" t="n"/>
      <c r="AD94" s="307" t="n"/>
      <c r="AE94" s="307" t="n"/>
      <c r="AF94" s="307" t="n"/>
      <c r="AG94" s="307" t="n"/>
      <c r="AH94" s="307" t="n"/>
      <c r="AI94" s="307" t="n"/>
      <c r="AJ94" s="307" t="n"/>
      <c r="AK94" s="307" t="n"/>
      <c r="AL94" s="307" t="n"/>
      <c r="AM94" s="307" t="n"/>
      <c r="AN94" s="307" t="n"/>
      <c r="AO94" s="307" t="n"/>
      <c r="AP94" s="307" t="n"/>
      <c r="AQ94" s="307" t="n"/>
      <c r="AR94" s="307" t="n"/>
      <c r="AS94" s="307" t="n"/>
      <c r="AT94" s="307" t="n"/>
      <c r="AU94" s="307" t="n"/>
      <c r="AV94" s="307" t="n"/>
      <c r="AW94" s="307" t="n"/>
      <c r="AX94" s="307" t="n"/>
      <c r="AY94" s="307" t="n"/>
      <c r="AZ94" s="307" t="n"/>
      <c r="BA94" s="233" t="n"/>
      <c r="BB94" s="307" t="n"/>
      <c r="BC94" s="307" t="n"/>
      <c r="BD94" s="307" t="n"/>
      <c r="BE94" s="307" t="n"/>
      <c r="BF94" s="307" t="n"/>
      <c r="BG94" s="31" t="n"/>
      <c r="BH94" s="31" t="n"/>
      <c r="BI94" s="31" t="n"/>
      <c r="BJ94" s="31" t="n"/>
    </row>
    <row r="95" ht="15.75" customHeight="1" s="349">
      <c r="A95" s="307" t="n"/>
      <c r="B95" s="307" t="n"/>
      <c r="C95" s="307" t="n"/>
      <c r="D95" s="307" t="n"/>
      <c r="E95" s="307" t="n"/>
      <c r="F95" s="307" t="n"/>
      <c r="G95" s="307" t="n"/>
      <c r="H95" s="307" t="n"/>
      <c r="I95" s="307" t="n"/>
      <c r="J95" s="307" t="n"/>
      <c r="K95" s="307" t="n"/>
      <c r="L95" s="307" t="n"/>
      <c r="M95" s="307" t="n"/>
      <c r="N95" s="307" t="n"/>
      <c r="O95" s="307" t="n"/>
      <c r="P95" s="307" t="n"/>
      <c r="Q95" s="307" t="n"/>
      <c r="R95" s="307" t="n"/>
      <c r="S95" s="307" t="n"/>
      <c r="T95" s="307" t="n"/>
      <c r="U95" s="307" t="n"/>
      <c r="V95" s="307" t="n"/>
      <c r="W95" s="307" t="n"/>
      <c r="X95" s="307" t="n"/>
      <c r="Y95" s="307" t="n"/>
      <c r="Z95" s="307" t="n"/>
      <c r="AA95" s="307" t="n"/>
      <c r="AB95" s="307" t="n"/>
      <c r="AC95" s="307" t="n"/>
      <c r="AD95" s="307" t="n"/>
      <c r="AE95" s="307" t="n"/>
      <c r="AF95" s="307" t="n"/>
      <c r="AG95" s="307" t="n"/>
      <c r="AH95" s="307" t="n"/>
      <c r="AI95" s="307" t="n"/>
      <c r="AJ95" s="307" t="n"/>
      <c r="AK95" s="307" t="n"/>
      <c r="AL95" s="307" t="n"/>
      <c r="AM95" s="307" t="n"/>
      <c r="AN95" s="307" t="n"/>
      <c r="AO95" s="307" t="n"/>
      <c r="AP95" s="307" t="n"/>
      <c r="AQ95" s="307" t="n"/>
      <c r="AR95" s="307" t="n"/>
      <c r="AS95" s="307" t="n"/>
      <c r="AT95" s="307" t="n"/>
      <c r="AU95" s="307" t="n"/>
      <c r="AV95" s="307" t="n"/>
      <c r="AW95" s="307" t="n"/>
      <c r="AX95" s="307" t="n"/>
      <c r="AY95" s="307" t="n"/>
      <c r="AZ95" s="307" t="n"/>
      <c r="BA95" s="233" t="n"/>
      <c r="BB95" s="307" t="n"/>
      <c r="BC95" s="307" t="n"/>
      <c r="BD95" s="307" t="n"/>
      <c r="BE95" s="307" t="n"/>
      <c r="BF95" s="307" t="n"/>
      <c r="BG95" s="31" t="n"/>
      <c r="BH95" s="31" t="n"/>
      <c r="BI95" s="31" t="n"/>
      <c r="BJ95" s="31" t="n"/>
    </row>
    <row r="96" ht="15.75" customHeight="1" s="349">
      <c r="A96" s="307" t="n"/>
      <c r="B96" s="307" t="n"/>
      <c r="C96" s="307" t="n"/>
      <c r="D96" s="307" t="n"/>
      <c r="E96" s="307" t="n"/>
      <c r="F96" s="307" t="n"/>
      <c r="G96" s="307" t="n"/>
      <c r="H96" s="307" t="n"/>
      <c r="I96" s="307" t="n"/>
      <c r="J96" s="307" t="n"/>
      <c r="K96" s="307" t="n"/>
      <c r="L96" s="307" t="n"/>
      <c r="M96" s="307" t="n"/>
      <c r="N96" s="307" t="n"/>
      <c r="O96" s="307" t="n"/>
      <c r="P96" s="307" t="n"/>
      <c r="Q96" s="307" t="n"/>
      <c r="R96" s="307" t="n"/>
      <c r="S96" s="307" t="n"/>
      <c r="T96" s="307" t="n"/>
      <c r="U96" s="307" t="n"/>
      <c r="V96" s="307" t="n"/>
      <c r="W96" s="307" t="n"/>
      <c r="X96" s="307" t="n"/>
      <c r="Y96" s="307" t="n"/>
      <c r="Z96" s="307" t="n"/>
      <c r="AA96" s="307" t="n"/>
      <c r="AB96" s="307" t="n"/>
      <c r="AC96" s="307" t="n"/>
      <c r="AD96" s="307" t="n"/>
      <c r="AE96" s="307" t="n"/>
      <c r="AF96" s="307" t="n"/>
      <c r="AG96" s="307" t="n"/>
      <c r="AH96" s="307" t="n"/>
      <c r="AI96" s="307" t="n"/>
      <c r="AJ96" s="307" t="n"/>
      <c r="AK96" s="307" t="n"/>
      <c r="AL96" s="307" t="n"/>
      <c r="AM96" s="307" t="n"/>
      <c r="AN96" s="307" t="n"/>
      <c r="AO96" s="307" t="n"/>
      <c r="AP96" s="307" t="n"/>
      <c r="AQ96" s="307" t="n"/>
      <c r="AR96" s="307" t="n"/>
      <c r="AS96" s="307" t="n"/>
      <c r="AT96" s="307" t="n"/>
      <c r="AU96" s="307" t="n"/>
      <c r="AV96" s="307" t="n"/>
      <c r="AW96" s="307" t="n"/>
      <c r="AX96" s="307" t="n"/>
      <c r="AY96" s="307" t="n"/>
      <c r="AZ96" s="307" t="n"/>
      <c r="BA96" s="233" t="n"/>
      <c r="BB96" s="307" t="n"/>
      <c r="BC96" s="307" t="n"/>
      <c r="BD96" s="307" t="n"/>
      <c r="BE96" s="307" t="n"/>
      <c r="BF96" s="307" t="n"/>
      <c r="BG96" s="31" t="n"/>
      <c r="BH96" s="31" t="n"/>
      <c r="BI96" s="31" t="n"/>
      <c r="BJ96" s="31" t="n"/>
    </row>
    <row r="97" ht="15.75" customHeight="1" s="349">
      <c r="A97" s="307" t="n"/>
      <c r="B97" s="307" t="n"/>
      <c r="C97" s="307" t="n"/>
      <c r="D97" s="307" t="n"/>
      <c r="E97" s="307" t="n"/>
      <c r="F97" s="307" t="n"/>
      <c r="G97" s="307" t="n"/>
      <c r="H97" s="307" t="n"/>
      <c r="I97" s="307" t="n"/>
      <c r="J97" s="307" t="n"/>
      <c r="K97" s="307" t="n"/>
      <c r="L97" s="307" t="n"/>
      <c r="M97" s="307" t="n"/>
      <c r="N97" s="307" t="n"/>
      <c r="O97" s="307" t="n"/>
      <c r="P97" s="307" t="n"/>
      <c r="Q97" s="307" t="n"/>
      <c r="R97" s="307" t="n"/>
      <c r="S97" s="307" t="n"/>
      <c r="T97" s="307" t="n"/>
      <c r="U97" s="307" t="n"/>
      <c r="V97" s="307" t="n"/>
      <c r="W97" s="307" t="n"/>
      <c r="X97" s="307" t="n"/>
      <c r="Y97" s="307" t="n"/>
      <c r="Z97" s="307" t="n"/>
      <c r="AA97" s="307" t="n"/>
      <c r="AB97" s="307" t="n"/>
      <c r="AC97" s="307" t="n"/>
      <c r="AD97" s="307" t="n"/>
      <c r="AE97" s="307" t="n"/>
      <c r="AF97" s="307" t="n"/>
      <c r="AG97" s="307" t="n"/>
      <c r="AH97" s="307" t="n"/>
      <c r="AI97" s="307" t="n"/>
      <c r="AJ97" s="307" t="n"/>
      <c r="AK97" s="307" t="n"/>
      <c r="AL97" s="307" t="n"/>
      <c r="AM97" s="307" t="n"/>
      <c r="AN97" s="307" t="n"/>
      <c r="AO97" s="307" t="n"/>
      <c r="AP97" s="307" t="n"/>
      <c r="AQ97" s="307" t="n"/>
      <c r="AR97" s="307" t="n"/>
      <c r="AS97" s="307" t="n"/>
      <c r="AT97" s="307" t="n"/>
      <c r="AU97" s="307" t="n"/>
      <c r="AV97" s="307" t="n"/>
      <c r="AW97" s="307" t="n"/>
      <c r="AX97" s="307" t="n"/>
      <c r="AY97" s="307" t="n"/>
      <c r="AZ97" s="307" t="n"/>
      <c r="BA97" s="233" t="n"/>
      <c r="BB97" s="307" t="n"/>
      <c r="BC97" s="307" t="n"/>
      <c r="BD97" s="307" t="n"/>
      <c r="BE97" s="307" t="n"/>
      <c r="BF97" s="307" t="n"/>
      <c r="BG97" s="31" t="n"/>
      <c r="BH97" s="31" t="n"/>
      <c r="BI97" s="31" t="n"/>
      <c r="BJ97" s="31" t="n"/>
    </row>
    <row r="98" ht="15.75" customHeight="1" s="349">
      <c r="A98" s="307" t="n"/>
      <c r="B98" s="307" t="n"/>
      <c r="C98" s="307" t="n"/>
      <c r="D98" s="307" t="n"/>
      <c r="E98" s="307" t="n"/>
      <c r="F98" s="307" t="n"/>
      <c r="G98" s="307" t="n"/>
      <c r="H98" s="307" t="n"/>
      <c r="I98" s="307" t="n"/>
      <c r="J98" s="307" t="n"/>
      <c r="K98" s="307" t="n"/>
      <c r="L98" s="307" t="n"/>
      <c r="M98" s="307" t="n"/>
      <c r="N98" s="307" t="n"/>
      <c r="O98" s="307" t="n"/>
      <c r="P98" s="307" t="n"/>
      <c r="Q98" s="307" t="n"/>
      <c r="R98" s="307" t="n"/>
      <c r="S98" s="307" t="n"/>
      <c r="T98" s="307" t="n"/>
      <c r="U98" s="307" t="n"/>
      <c r="V98" s="307" t="n"/>
      <c r="W98" s="307" t="n"/>
      <c r="X98" s="307" t="n"/>
      <c r="Y98" s="307" t="n"/>
      <c r="Z98" s="307" t="n"/>
      <c r="AA98" s="307" t="n"/>
      <c r="AB98" s="307" t="n"/>
      <c r="AC98" s="307" t="n"/>
      <c r="AD98" s="307" t="n"/>
      <c r="AE98" s="307" t="n"/>
      <c r="AF98" s="307" t="n"/>
      <c r="AG98" s="307" t="n"/>
      <c r="AH98" s="307" t="n"/>
      <c r="AI98" s="307" t="n"/>
      <c r="AJ98" s="307" t="n"/>
      <c r="AK98" s="307" t="n"/>
      <c r="AL98" s="307" t="n"/>
      <c r="AM98" s="307" t="n"/>
      <c r="AN98" s="307" t="n"/>
      <c r="AO98" s="307" t="n"/>
      <c r="AP98" s="307" t="n"/>
      <c r="AQ98" s="307" t="n"/>
      <c r="AR98" s="307" t="n"/>
      <c r="AS98" s="307" t="n"/>
      <c r="AT98" s="307" t="n"/>
      <c r="AU98" s="307" t="n"/>
      <c r="AV98" s="307" t="n"/>
      <c r="AW98" s="307" t="n"/>
      <c r="AX98" s="307" t="n"/>
      <c r="AY98" s="307" t="n"/>
      <c r="AZ98" s="307" t="n"/>
      <c r="BA98" s="233" t="n"/>
      <c r="BB98" s="307" t="n"/>
      <c r="BC98" s="307" t="n"/>
      <c r="BD98" s="307" t="n"/>
      <c r="BE98" s="307" t="n"/>
      <c r="BF98" s="307" t="n"/>
      <c r="BG98" s="31" t="n"/>
      <c r="BH98" s="31" t="n"/>
      <c r="BI98" s="31" t="n"/>
      <c r="BJ98" s="31" t="n"/>
    </row>
    <row r="99" ht="15.75" customHeight="1" s="349">
      <c r="A99" s="307" t="n"/>
      <c r="B99" s="307" t="n"/>
      <c r="C99" s="307" t="n"/>
      <c r="D99" s="307" t="n"/>
      <c r="E99" s="307" t="n"/>
      <c r="F99" s="307" t="n"/>
      <c r="G99" s="307" t="n"/>
      <c r="H99" s="307" t="n"/>
      <c r="I99" s="307" t="n"/>
      <c r="J99" s="307" t="n"/>
      <c r="K99" s="307" t="n"/>
      <c r="L99" s="307" t="n"/>
      <c r="M99" s="307" t="n"/>
      <c r="N99" s="307" t="n"/>
      <c r="O99" s="307" t="n"/>
      <c r="P99" s="307" t="n"/>
      <c r="Q99" s="307" t="n"/>
      <c r="R99" s="307" t="n"/>
      <c r="S99" s="307" t="n"/>
      <c r="T99" s="307" t="n"/>
      <c r="U99" s="307" t="n"/>
      <c r="V99" s="307" t="n"/>
      <c r="W99" s="307" t="n"/>
      <c r="X99" s="307" t="n"/>
      <c r="Y99" s="307" t="n"/>
      <c r="Z99" s="307" t="n"/>
      <c r="AA99" s="307" t="n"/>
      <c r="AB99" s="307" t="n"/>
      <c r="AC99" s="307" t="n"/>
      <c r="AD99" s="307" t="n"/>
      <c r="AE99" s="307" t="n"/>
      <c r="AF99" s="307" t="n"/>
      <c r="AG99" s="307" t="n"/>
      <c r="AH99" s="307" t="n"/>
      <c r="AI99" s="307" t="n"/>
      <c r="AJ99" s="307" t="n"/>
      <c r="AK99" s="307" t="n"/>
      <c r="AL99" s="307" t="n"/>
      <c r="AM99" s="307" t="n"/>
      <c r="AN99" s="307" t="n"/>
      <c r="AO99" s="307" t="n"/>
      <c r="AP99" s="307" t="n"/>
      <c r="AQ99" s="307" t="n"/>
      <c r="AR99" s="307" t="n"/>
      <c r="AS99" s="307" t="n"/>
      <c r="AT99" s="307" t="n"/>
      <c r="AU99" s="307" t="n"/>
      <c r="AV99" s="307" t="n"/>
      <c r="AW99" s="307" t="n"/>
      <c r="AX99" s="307" t="n"/>
      <c r="AY99" s="307" t="n"/>
      <c r="AZ99" s="307" t="n"/>
      <c r="BA99" s="233" t="n"/>
      <c r="BB99" s="307" t="n"/>
      <c r="BC99" s="307" t="n"/>
      <c r="BD99" s="307" t="n"/>
      <c r="BE99" s="307" t="n"/>
      <c r="BF99" s="307" t="n"/>
      <c r="BG99" s="31" t="n"/>
      <c r="BH99" s="31" t="n"/>
      <c r="BI99" s="31" t="n"/>
      <c r="BJ99" s="31" t="n"/>
    </row>
    <row r="100" ht="15.75" customHeight="1" s="349">
      <c r="A100" s="307" t="n"/>
      <c r="B100" s="307" t="n"/>
      <c r="C100" s="307" t="n"/>
      <c r="D100" s="307" t="n"/>
      <c r="E100" s="307" t="n"/>
      <c r="F100" s="307" t="n"/>
      <c r="G100" s="307" t="n"/>
      <c r="H100" s="307" t="n"/>
      <c r="I100" s="307" t="n"/>
      <c r="J100" s="307" t="n"/>
      <c r="K100" s="307" t="n"/>
      <c r="L100" s="307" t="n"/>
      <c r="M100" s="307" t="n"/>
      <c r="N100" s="307" t="n"/>
      <c r="O100" s="307" t="n"/>
      <c r="P100" s="307" t="n"/>
      <c r="Q100" s="307" t="n"/>
      <c r="R100" s="307" t="n"/>
      <c r="S100" s="307" t="n"/>
      <c r="T100" s="307" t="n"/>
      <c r="U100" s="307" t="n"/>
      <c r="V100" s="307" t="n"/>
      <c r="W100" s="307" t="n"/>
      <c r="X100" s="307" t="n"/>
      <c r="Y100" s="307" t="n"/>
      <c r="Z100" s="307" t="n"/>
      <c r="AA100" s="307" t="n"/>
      <c r="AB100" s="307" t="n"/>
      <c r="AC100" s="307" t="n"/>
      <c r="AD100" s="307" t="n"/>
      <c r="AE100" s="307" t="n"/>
      <c r="AF100" s="307" t="n"/>
      <c r="AG100" s="307" t="n"/>
      <c r="AH100" s="307" t="n"/>
      <c r="AI100" s="307" t="n"/>
      <c r="AJ100" s="307" t="n"/>
      <c r="AK100" s="307" t="n"/>
      <c r="AL100" s="307" t="n"/>
      <c r="AM100" s="307" t="n"/>
      <c r="AN100" s="307" t="n"/>
      <c r="AO100" s="307" t="n"/>
      <c r="AP100" s="307" t="n"/>
      <c r="AQ100" s="307" t="n"/>
      <c r="AR100" s="307" t="n"/>
      <c r="AS100" s="307" t="n"/>
      <c r="AT100" s="307" t="n"/>
      <c r="AU100" s="307" t="n"/>
      <c r="AV100" s="307" t="n"/>
      <c r="AW100" s="307" t="n"/>
      <c r="AX100" s="307" t="n"/>
      <c r="AY100" s="307" t="n"/>
      <c r="AZ100" s="307" t="n"/>
      <c r="BA100" s="233" t="n"/>
      <c r="BB100" s="307" t="n"/>
      <c r="BC100" s="307" t="n"/>
      <c r="BD100" s="307" t="n"/>
      <c r="BE100" s="307" t="n"/>
      <c r="BF100" s="307" t="n"/>
      <c r="BG100" s="31" t="n"/>
      <c r="BH100" s="31" t="n"/>
      <c r="BI100" s="31" t="n"/>
      <c r="BJ100" s="31" t="n"/>
    </row>
    <row r="101" ht="15.75" customHeight="1" s="349">
      <c r="A101" s="307" t="n"/>
      <c r="B101" s="307" t="n"/>
      <c r="C101" s="307" t="n"/>
      <c r="D101" s="307" t="n"/>
      <c r="E101" s="307" t="n"/>
      <c r="F101" s="307" t="n"/>
      <c r="G101" s="307" t="n"/>
      <c r="H101" s="307" t="n"/>
      <c r="I101" s="307" t="n"/>
      <c r="J101" s="307" t="n"/>
      <c r="K101" s="307" t="n"/>
      <c r="L101" s="307" t="n"/>
      <c r="M101" s="307" t="n"/>
      <c r="N101" s="307" t="n"/>
      <c r="O101" s="307" t="n"/>
      <c r="P101" s="307" t="n"/>
      <c r="Q101" s="307" t="n"/>
      <c r="R101" s="307" t="n"/>
      <c r="S101" s="307" t="n"/>
      <c r="T101" s="307" t="n"/>
      <c r="U101" s="307" t="n"/>
      <c r="V101" s="307" t="n"/>
      <c r="W101" s="307" t="n"/>
      <c r="X101" s="307" t="n"/>
      <c r="Y101" s="307" t="n"/>
      <c r="Z101" s="307" t="n"/>
      <c r="AA101" s="307" t="n"/>
      <c r="AB101" s="307" t="n"/>
      <c r="AC101" s="307" t="n"/>
      <c r="AD101" s="307" t="n"/>
      <c r="AE101" s="307" t="n"/>
      <c r="AF101" s="307" t="n"/>
      <c r="AG101" s="307" t="n"/>
      <c r="AH101" s="307" t="n"/>
      <c r="AI101" s="307" t="n"/>
      <c r="AJ101" s="307" t="n"/>
      <c r="AK101" s="307" t="n"/>
      <c r="AL101" s="307" t="n"/>
      <c r="AM101" s="307" t="n"/>
      <c r="AN101" s="307" t="n"/>
      <c r="AO101" s="307" t="n"/>
      <c r="AP101" s="307" t="n"/>
      <c r="AQ101" s="307" t="n"/>
      <c r="AR101" s="307" t="n"/>
      <c r="AS101" s="307" t="n"/>
      <c r="AT101" s="307" t="n"/>
      <c r="AU101" s="307" t="n"/>
      <c r="AV101" s="307" t="n"/>
      <c r="AW101" s="307" t="n"/>
      <c r="AX101" s="307" t="n"/>
      <c r="AY101" s="307" t="n"/>
      <c r="AZ101" s="307" t="n"/>
      <c r="BA101" s="233" t="n"/>
      <c r="BB101" s="307" t="n"/>
      <c r="BC101" s="307" t="n"/>
      <c r="BD101" s="307" t="n"/>
      <c r="BE101" s="307" t="n"/>
      <c r="BF101" s="307" t="n"/>
      <c r="BG101" s="31" t="n"/>
      <c r="BH101" s="31" t="n"/>
      <c r="BI101" s="31" t="n"/>
      <c r="BJ101" s="31" t="n"/>
    </row>
    <row r="102" ht="15.75" customHeight="1" s="349">
      <c r="A102" s="307" t="n"/>
      <c r="B102" s="307" t="n"/>
      <c r="C102" s="307" t="n"/>
      <c r="D102" s="307" t="n"/>
      <c r="E102" s="307" t="n"/>
      <c r="F102" s="307" t="n"/>
      <c r="G102" s="307" t="n"/>
      <c r="H102" s="307" t="n"/>
      <c r="I102" s="307" t="n"/>
      <c r="J102" s="307" t="n"/>
      <c r="K102" s="307" t="n"/>
      <c r="L102" s="307" t="n"/>
      <c r="M102" s="307" t="n"/>
      <c r="N102" s="307" t="n"/>
      <c r="O102" s="307" t="n"/>
      <c r="P102" s="307" t="n"/>
      <c r="Q102" s="307" t="n"/>
      <c r="R102" s="307" t="n"/>
      <c r="S102" s="307" t="n"/>
      <c r="T102" s="307" t="n"/>
      <c r="U102" s="307" t="n"/>
      <c r="V102" s="307" t="n"/>
      <c r="W102" s="307" t="n"/>
      <c r="X102" s="307" t="n"/>
      <c r="Y102" s="307" t="n"/>
      <c r="Z102" s="307" t="n"/>
      <c r="AA102" s="307" t="n"/>
      <c r="AB102" s="307" t="n"/>
      <c r="AC102" s="307" t="n"/>
      <c r="AD102" s="307" t="n"/>
      <c r="AE102" s="307" t="n"/>
      <c r="AF102" s="307" t="n"/>
      <c r="AG102" s="307" t="n"/>
      <c r="AH102" s="307" t="n"/>
      <c r="AI102" s="307" t="n"/>
      <c r="AJ102" s="307" t="n"/>
      <c r="AK102" s="307" t="n"/>
      <c r="AL102" s="307" t="n"/>
      <c r="AM102" s="307" t="n"/>
      <c r="AN102" s="307" t="n"/>
      <c r="AO102" s="307" t="n"/>
      <c r="AP102" s="307" t="n"/>
      <c r="AQ102" s="307" t="n"/>
      <c r="AR102" s="307" t="n"/>
      <c r="AS102" s="307" t="n"/>
      <c r="AT102" s="307" t="n"/>
      <c r="AU102" s="307" t="n"/>
      <c r="AV102" s="307" t="n"/>
      <c r="AW102" s="307" t="n"/>
      <c r="AX102" s="307" t="n"/>
      <c r="AY102" s="307" t="n"/>
      <c r="AZ102" s="307" t="n"/>
      <c r="BA102" s="233" t="n"/>
      <c r="BB102" s="307" t="n"/>
      <c r="BC102" s="307" t="n"/>
      <c r="BD102" s="307" t="n"/>
      <c r="BE102" s="307" t="n"/>
      <c r="BF102" s="307" t="n"/>
      <c r="BG102" s="31" t="n"/>
      <c r="BH102" s="31" t="n"/>
      <c r="BI102" s="31" t="n"/>
      <c r="BJ102" s="31" t="n"/>
    </row>
    <row r="103" ht="15.75" customHeight="1" s="349">
      <c r="A103" s="307" t="n"/>
      <c r="B103" s="307" t="n"/>
      <c r="C103" s="307" t="n"/>
      <c r="D103" s="307" t="n"/>
      <c r="E103" s="307" t="n"/>
      <c r="F103" s="307" t="n"/>
      <c r="G103" s="307" t="n"/>
      <c r="H103" s="307" t="n"/>
      <c r="I103" s="307" t="n"/>
      <c r="J103" s="307" t="n"/>
      <c r="K103" s="307" t="n"/>
      <c r="L103" s="307" t="n"/>
      <c r="M103" s="307" t="n"/>
      <c r="N103" s="307" t="n"/>
      <c r="O103" s="307" t="n"/>
      <c r="P103" s="307" t="n"/>
      <c r="Q103" s="307" t="n"/>
      <c r="R103" s="307" t="n"/>
      <c r="S103" s="307" t="n"/>
      <c r="T103" s="307" t="n"/>
      <c r="U103" s="307" t="n"/>
      <c r="V103" s="307" t="n"/>
      <c r="W103" s="307" t="n"/>
      <c r="X103" s="307" t="n"/>
      <c r="Y103" s="307" t="n"/>
      <c r="Z103" s="307" t="n"/>
      <c r="AA103" s="307" t="n"/>
      <c r="AB103" s="307" t="n"/>
      <c r="AC103" s="307" t="n"/>
      <c r="AD103" s="307" t="n"/>
      <c r="AE103" s="307" t="n"/>
      <c r="AF103" s="307" t="n"/>
      <c r="AG103" s="307" t="n"/>
      <c r="AH103" s="307" t="n"/>
      <c r="AI103" s="307" t="n"/>
      <c r="AJ103" s="307" t="n"/>
      <c r="AK103" s="307" t="n"/>
      <c r="AL103" s="307" t="n"/>
      <c r="AM103" s="307" t="n"/>
      <c r="AN103" s="307" t="n"/>
      <c r="AO103" s="307" t="n"/>
      <c r="AP103" s="307" t="n"/>
      <c r="AQ103" s="307" t="n"/>
      <c r="AR103" s="307" t="n"/>
      <c r="AS103" s="307" t="n"/>
      <c r="AT103" s="307" t="n"/>
      <c r="AU103" s="307" t="n"/>
      <c r="AV103" s="307" t="n"/>
      <c r="AW103" s="307" t="n"/>
      <c r="AX103" s="307" t="n"/>
      <c r="AY103" s="307" t="n"/>
      <c r="AZ103" s="307" t="n"/>
      <c r="BA103" s="233" t="n"/>
      <c r="BB103" s="307" t="n"/>
      <c r="BC103" s="307" t="n"/>
      <c r="BD103" s="307" t="n"/>
      <c r="BE103" s="307" t="n"/>
      <c r="BF103" s="307" t="n"/>
      <c r="BG103" s="31" t="n"/>
      <c r="BH103" s="31" t="n"/>
      <c r="BI103" s="31" t="n"/>
      <c r="BJ103" s="31" t="n"/>
    </row>
    <row r="104" ht="15.75" customHeight="1" s="349">
      <c r="A104" s="307" t="n"/>
      <c r="B104" s="307" t="n"/>
      <c r="C104" s="307" t="n"/>
      <c r="D104" s="307" t="n"/>
      <c r="E104" s="307" t="n"/>
      <c r="F104" s="307" t="n"/>
      <c r="G104" s="307" t="n"/>
      <c r="H104" s="307" t="n"/>
      <c r="I104" s="307" t="n"/>
      <c r="J104" s="307" t="n"/>
      <c r="K104" s="307" t="n"/>
      <c r="L104" s="307" t="n"/>
      <c r="M104" s="307" t="n"/>
      <c r="N104" s="307" t="n"/>
      <c r="O104" s="307" t="n"/>
      <c r="P104" s="307" t="n"/>
      <c r="Q104" s="307" t="n"/>
      <c r="R104" s="307" t="n"/>
      <c r="S104" s="307" t="n"/>
      <c r="T104" s="307" t="n"/>
      <c r="U104" s="307" t="n"/>
      <c r="V104" s="307" t="n"/>
      <c r="W104" s="307" t="n"/>
      <c r="X104" s="307" t="n"/>
      <c r="Y104" s="307" t="n"/>
      <c r="Z104" s="307" t="n"/>
      <c r="AA104" s="307" t="n"/>
      <c r="AB104" s="307" t="n"/>
      <c r="AC104" s="307" t="n"/>
      <c r="AD104" s="307" t="n"/>
      <c r="AE104" s="307" t="n"/>
      <c r="AF104" s="307" t="n"/>
      <c r="AG104" s="307" t="n"/>
      <c r="AH104" s="307" t="n"/>
      <c r="AI104" s="307" t="n"/>
      <c r="AJ104" s="307" t="n"/>
      <c r="AK104" s="307" t="n"/>
      <c r="AL104" s="307" t="n"/>
      <c r="AM104" s="307" t="n"/>
      <c r="AN104" s="307" t="n"/>
      <c r="AO104" s="307" t="n"/>
      <c r="AP104" s="307" t="n"/>
      <c r="AQ104" s="307" t="n"/>
      <c r="AR104" s="307" t="n"/>
      <c r="AS104" s="307" t="n"/>
      <c r="AT104" s="307" t="n"/>
      <c r="AU104" s="307" t="n"/>
      <c r="AV104" s="307" t="n"/>
      <c r="AW104" s="307" t="n"/>
      <c r="AX104" s="307" t="n"/>
      <c r="AY104" s="307" t="n"/>
      <c r="AZ104" s="307" t="n"/>
      <c r="BA104" s="233" t="n"/>
      <c r="BB104" s="307" t="n"/>
      <c r="BC104" s="307" t="n"/>
      <c r="BD104" s="307" t="n"/>
      <c r="BE104" s="307" t="n"/>
      <c r="BF104" s="307" t="n"/>
      <c r="BG104" s="31" t="n"/>
      <c r="BH104" s="31" t="n"/>
      <c r="BI104" s="31" t="n"/>
      <c r="BJ104" s="31" t="n"/>
    </row>
    <row r="105" ht="15.75" customHeight="1" s="349">
      <c r="A105" s="307" t="n"/>
      <c r="B105" s="307" t="n"/>
      <c r="C105" s="307" t="n"/>
      <c r="D105" s="307" t="n"/>
      <c r="E105" s="307" t="n"/>
      <c r="F105" s="307" t="n"/>
      <c r="G105" s="307" t="n"/>
      <c r="H105" s="307" t="n"/>
      <c r="I105" s="307" t="n"/>
      <c r="J105" s="307" t="n"/>
      <c r="K105" s="307" t="n"/>
      <c r="L105" s="307" t="n"/>
      <c r="M105" s="307" t="n"/>
      <c r="N105" s="307" t="n"/>
      <c r="O105" s="307" t="n"/>
      <c r="P105" s="307" t="n"/>
      <c r="Q105" s="307" t="n"/>
      <c r="R105" s="307" t="n"/>
      <c r="S105" s="307" t="n"/>
      <c r="T105" s="307" t="n"/>
      <c r="U105" s="307" t="n"/>
      <c r="V105" s="307" t="n"/>
      <c r="W105" s="307" t="n"/>
      <c r="X105" s="307" t="n"/>
      <c r="Y105" s="307" t="n"/>
      <c r="Z105" s="307" t="n"/>
      <c r="AA105" s="307" t="n"/>
      <c r="AB105" s="307" t="n"/>
      <c r="AC105" s="307" t="n"/>
      <c r="AD105" s="307" t="n"/>
      <c r="AE105" s="307" t="n"/>
      <c r="AF105" s="307" t="n"/>
      <c r="AG105" s="307" t="n"/>
      <c r="AH105" s="307" t="n"/>
      <c r="AI105" s="307" t="n"/>
      <c r="AJ105" s="307" t="n"/>
      <c r="AK105" s="307" t="n"/>
      <c r="AL105" s="307" t="n"/>
      <c r="AM105" s="307" t="n"/>
      <c r="AN105" s="307" t="n"/>
      <c r="AO105" s="307" t="n"/>
      <c r="AP105" s="307" t="n"/>
      <c r="AQ105" s="307" t="n"/>
      <c r="AR105" s="307" t="n"/>
      <c r="AS105" s="307" t="n"/>
      <c r="AT105" s="307" t="n"/>
      <c r="AU105" s="307" t="n"/>
      <c r="AV105" s="307" t="n"/>
      <c r="AW105" s="307" t="n"/>
      <c r="AX105" s="307" t="n"/>
      <c r="AY105" s="307" t="n"/>
      <c r="AZ105" s="307" t="n"/>
      <c r="BA105" s="233" t="n"/>
      <c r="BB105" s="307" t="n"/>
      <c r="BC105" s="307" t="n"/>
      <c r="BD105" s="307" t="n"/>
      <c r="BE105" s="307" t="n"/>
      <c r="BF105" s="307" t="n"/>
      <c r="BG105" s="31" t="n"/>
      <c r="BH105" s="31" t="n"/>
      <c r="BI105" s="31" t="n"/>
      <c r="BJ105" s="31" t="n"/>
    </row>
    <row r="106" ht="15.75" customHeight="1" s="349">
      <c r="A106" s="307" t="n"/>
      <c r="B106" s="307" t="n"/>
      <c r="C106" s="307" t="n"/>
      <c r="D106" s="307" t="n"/>
      <c r="E106" s="307" t="n"/>
      <c r="F106" s="307" t="n"/>
      <c r="G106" s="307" t="n"/>
      <c r="H106" s="307" t="n"/>
      <c r="I106" s="307" t="n"/>
      <c r="J106" s="307" t="n"/>
      <c r="K106" s="307" t="n"/>
      <c r="L106" s="307" t="n"/>
      <c r="M106" s="307" t="n"/>
      <c r="N106" s="307" t="n"/>
      <c r="O106" s="307" t="n"/>
      <c r="P106" s="307" t="n"/>
      <c r="Q106" s="307" t="n"/>
      <c r="R106" s="307" t="n"/>
      <c r="S106" s="307" t="n"/>
      <c r="T106" s="307" t="n"/>
      <c r="U106" s="307" t="n"/>
      <c r="V106" s="307" t="n"/>
      <c r="W106" s="307" t="n"/>
      <c r="X106" s="307" t="n"/>
      <c r="Y106" s="307" t="n"/>
      <c r="Z106" s="307" t="n"/>
      <c r="AA106" s="307" t="n"/>
      <c r="AB106" s="307" t="n"/>
      <c r="AC106" s="307" t="n"/>
      <c r="AD106" s="307" t="n"/>
      <c r="AE106" s="307" t="n"/>
      <c r="AF106" s="307" t="n"/>
      <c r="AG106" s="307" t="n"/>
      <c r="AH106" s="307" t="n"/>
      <c r="AI106" s="307" t="n"/>
      <c r="AJ106" s="307" t="n"/>
      <c r="AK106" s="307" t="n"/>
      <c r="AL106" s="307" t="n"/>
      <c r="AM106" s="307" t="n"/>
      <c r="AN106" s="307" t="n"/>
      <c r="AO106" s="307" t="n"/>
      <c r="AP106" s="307" t="n"/>
      <c r="AQ106" s="307" t="n"/>
      <c r="AR106" s="307" t="n"/>
      <c r="AS106" s="307" t="n"/>
      <c r="AT106" s="307" t="n"/>
      <c r="AU106" s="307" t="n"/>
      <c r="AV106" s="307" t="n"/>
      <c r="AW106" s="307" t="n"/>
      <c r="AX106" s="307" t="n"/>
      <c r="AY106" s="307" t="n"/>
      <c r="AZ106" s="307" t="n"/>
      <c r="BA106" s="233" t="n"/>
      <c r="BB106" s="307" t="n"/>
      <c r="BC106" s="307" t="n"/>
      <c r="BD106" s="307" t="n"/>
      <c r="BE106" s="307" t="n"/>
      <c r="BF106" s="307" t="n"/>
      <c r="BG106" s="31" t="n"/>
      <c r="BH106" s="31" t="n"/>
      <c r="BI106" s="31" t="n"/>
      <c r="BJ106" s="31" t="n"/>
    </row>
    <row r="107" ht="15.75" customHeight="1" s="349">
      <c r="A107" s="307" t="n"/>
      <c r="B107" s="307" t="n"/>
      <c r="C107" s="307" t="n"/>
      <c r="D107" s="307" t="n"/>
      <c r="E107" s="307" t="n"/>
      <c r="F107" s="307" t="n"/>
      <c r="G107" s="307" t="n"/>
      <c r="H107" s="307" t="n"/>
      <c r="I107" s="307" t="n"/>
      <c r="J107" s="307" t="n"/>
      <c r="K107" s="307" t="n"/>
      <c r="L107" s="307" t="n"/>
      <c r="M107" s="307" t="n"/>
      <c r="N107" s="307" t="n"/>
      <c r="O107" s="307" t="n"/>
      <c r="P107" s="307" t="n"/>
      <c r="Q107" s="307" t="n"/>
      <c r="R107" s="307" t="n"/>
      <c r="S107" s="307" t="n"/>
      <c r="T107" s="307" t="n"/>
      <c r="U107" s="307" t="n"/>
      <c r="V107" s="307" t="n"/>
      <c r="W107" s="307" t="n"/>
      <c r="X107" s="307" t="n"/>
      <c r="Y107" s="307" t="n"/>
      <c r="Z107" s="307" t="n"/>
      <c r="AA107" s="307" t="n"/>
      <c r="AB107" s="307" t="n"/>
      <c r="AC107" s="307" t="n"/>
      <c r="AD107" s="307" t="n"/>
      <c r="AE107" s="307" t="n"/>
      <c r="AF107" s="307" t="n"/>
      <c r="AG107" s="307" t="n"/>
      <c r="AH107" s="307" t="n"/>
      <c r="AI107" s="307" t="n"/>
      <c r="AJ107" s="307" t="n"/>
      <c r="AK107" s="307" t="n"/>
      <c r="AL107" s="307" t="n"/>
      <c r="AM107" s="307" t="n"/>
      <c r="AN107" s="307" t="n"/>
      <c r="AO107" s="307" t="n"/>
      <c r="AP107" s="307" t="n"/>
      <c r="AQ107" s="307" t="n"/>
      <c r="AR107" s="307" t="n"/>
      <c r="AS107" s="307" t="n"/>
      <c r="AT107" s="307" t="n"/>
      <c r="AU107" s="307" t="n"/>
      <c r="AV107" s="307" t="n"/>
      <c r="AW107" s="307" t="n"/>
      <c r="AX107" s="307" t="n"/>
      <c r="AY107" s="307" t="n"/>
      <c r="AZ107" s="307" t="n"/>
      <c r="BA107" s="233" t="n"/>
      <c r="BB107" s="307" t="n"/>
      <c r="BC107" s="307" t="n"/>
      <c r="BD107" s="307" t="n"/>
      <c r="BE107" s="307" t="n"/>
      <c r="BF107" s="307" t="n"/>
      <c r="BG107" s="31" t="n"/>
      <c r="BH107" s="31" t="n"/>
      <c r="BI107" s="31" t="n"/>
      <c r="BJ107" s="31" t="n"/>
    </row>
    <row r="108" ht="15.75" customHeight="1" s="349">
      <c r="A108" s="307" t="n"/>
      <c r="B108" s="307" t="n"/>
      <c r="C108" s="307" t="n"/>
      <c r="D108" s="307" t="n"/>
      <c r="E108" s="307" t="n"/>
      <c r="F108" s="307" t="n"/>
      <c r="G108" s="307" t="n"/>
      <c r="H108" s="307" t="n"/>
      <c r="I108" s="307" t="n"/>
      <c r="J108" s="307" t="n"/>
      <c r="K108" s="307" t="n"/>
      <c r="L108" s="307" t="n"/>
      <c r="M108" s="307" t="n"/>
      <c r="N108" s="307" t="n"/>
      <c r="O108" s="307" t="n"/>
      <c r="P108" s="307" t="n"/>
      <c r="Q108" s="307" t="n"/>
      <c r="R108" s="307" t="n"/>
      <c r="S108" s="307" t="n"/>
      <c r="T108" s="307" t="n"/>
      <c r="U108" s="307" t="n"/>
      <c r="V108" s="307" t="n"/>
      <c r="W108" s="307" t="n"/>
      <c r="X108" s="307" t="n"/>
      <c r="Y108" s="307" t="n"/>
      <c r="Z108" s="307" t="n"/>
      <c r="AA108" s="307" t="n"/>
      <c r="AB108" s="307" t="n"/>
      <c r="AC108" s="307" t="n"/>
      <c r="AD108" s="307" t="n"/>
      <c r="AE108" s="307" t="n"/>
      <c r="AF108" s="307" t="n"/>
      <c r="AG108" s="307" t="n"/>
      <c r="AH108" s="307" t="n"/>
      <c r="AI108" s="307" t="n"/>
      <c r="AJ108" s="307" t="n"/>
      <c r="AK108" s="307" t="n"/>
      <c r="AL108" s="307" t="n"/>
      <c r="AM108" s="307" t="n"/>
      <c r="AN108" s="307" t="n"/>
      <c r="AO108" s="307" t="n"/>
      <c r="AP108" s="307" t="n"/>
      <c r="AQ108" s="307" t="n"/>
      <c r="AR108" s="307" t="n"/>
      <c r="AS108" s="307" t="n"/>
      <c r="AT108" s="307" t="n"/>
      <c r="AU108" s="307" t="n"/>
      <c r="AV108" s="307" t="n"/>
      <c r="AW108" s="307" t="n"/>
      <c r="AX108" s="307" t="n"/>
      <c r="AY108" s="307" t="n"/>
      <c r="AZ108" s="307" t="n"/>
      <c r="BA108" s="233" t="n"/>
      <c r="BB108" s="307" t="n"/>
      <c r="BC108" s="307" t="n"/>
      <c r="BD108" s="307" t="n"/>
      <c r="BE108" s="307" t="n"/>
      <c r="BF108" s="307" t="n"/>
      <c r="BG108" s="31" t="n"/>
      <c r="BH108" s="31" t="n"/>
      <c r="BI108" s="31" t="n"/>
      <c r="BJ108" s="31" t="n"/>
    </row>
    <row r="109" ht="15.75" customHeight="1" s="349">
      <c r="A109" s="307" t="n"/>
      <c r="B109" s="307" t="n"/>
      <c r="C109" s="307" t="n"/>
      <c r="D109" s="307" t="n"/>
      <c r="E109" s="307" t="n"/>
      <c r="F109" s="307" t="n"/>
      <c r="G109" s="307" t="n"/>
      <c r="H109" s="307" t="n"/>
      <c r="I109" s="307" t="n"/>
      <c r="J109" s="307" t="n"/>
      <c r="K109" s="307" t="n"/>
      <c r="L109" s="307" t="n"/>
      <c r="M109" s="307" t="n"/>
      <c r="N109" s="307" t="n"/>
      <c r="O109" s="307" t="n"/>
      <c r="P109" s="307" t="n"/>
      <c r="Q109" s="307" t="n"/>
      <c r="R109" s="307" t="n"/>
      <c r="S109" s="307" t="n"/>
      <c r="T109" s="307" t="n"/>
      <c r="U109" s="307" t="n"/>
      <c r="V109" s="307" t="n"/>
      <c r="W109" s="307" t="n"/>
      <c r="X109" s="307" t="n"/>
      <c r="Y109" s="307" t="n"/>
      <c r="Z109" s="307" t="n"/>
      <c r="AA109" s="307" t="n"/>
      <c r="AB109" s="307" t="n"/>
      <c r="AC109" s="307" t="n"/>
      <c r="AD109" s="307" t="n"/>
      <c r="AE109" s="307" t="n"/>
      <c r="AF109" s="307" t="n"/>
      <c r="AG109" s="307" t="n"/>
      <c r="AH109" s="307" t="n"/>
      <c r="AI109" s="307" t="n"/>
      <c r="AJ109" s="307" t="n"/>
      <c r="AK109" s="307" t="n"/>
      <c r="AL109" s="307" t="n"/>
      <c r="AM109" s="307" t="n"/>
      <c r="AN109" s="307" t="n"/>
      <c r="AO109" s="307" t="n"/>
      <c r="AP109" s="307" t="n"/>
      <c r="AQ109" s="307" t="n"/>
      <c r="AR109" s="307" t="n"/>
      <c r="AS109" s="307" t="n"/>
      <c r="AT109" s="307" t="n"/>
      <c r="AU109" s="307" t="n"/>
      <c r="AV109" s="307" t="n"/>
      <c r="AW109" s="307" t="n"/>
      <c r="AX109" s="307" t="n"/>
      <c r="AY109" s="307" t="n"/>
      <c r="AZ109" s="307" t="n"/>
      <c r="BA109" s="233" t="n"/>
      <c r="BB109" s="307" t="n"/>
      <c r="BC109" s="307" t="n"/>
      <c r="BD109" s="307" t="n"/>
      <c r="BE109" s="307" t="n"/>
      <c r="BF109" s="307" t="n"/>
      <c r="BG109" s="31" t="n"/>
      <c r="BH109" s="31" t="n"/>
      <c r="BI109" s="31" t="n"/>
      <c r="BJ109" s="31" t="n"/>
    </row>
    <row r="110" ht="15.75" customHeight="1" s="349">
      <c r="A110" s="307" t="n"/>
      <c r="B110" s="307" t="n"/>
      <c r="C110" s="307" t="n"/>
      <c r="D110" s="307" t="n"/>
      <c r="E110" s="307" t="n"/>
      <c r="F110" s="307" t="n"/>
      <c r="G110" s="307" t="n"/>
      <c r="H110" s="307" t="n"/>
      <c r="I110" s="307" t="n"/>
      <c r="J110" s="307" t="n"/>
      <c r="K110" s="307" t="n"/>
      <c r="L110" s="307" t="n"/>
      <c r="M110" s="307" t="n"/>
      <c r="N110" s="307" t="n"/>
      <c r="O110" s="307" t="n"/>
      <c r="P110" s="307" t="n"/>
      <c r="Q110" s="307" t="n"/>
      <c r="R110" s="307" t="n"/>
      <c r="S110" s="307" t="n"/>
      <c r="T110" s="307" t="n"/>
      <c r="U110" s="307" t="n"/>
      <c r="V110" s="307" t="n"/>
      <c r="W110" s="307" t="n"/>
      <c r="X110" s="307" t="n"/>
      <c r="Y110" s="307" t="n"/>
      <c r="Z110" s="307" t="n"/>
      <c r="AA110" s="307" t="n"/>
      <c r="AB110" s="307" t="n"/>
      <c r="AC110" s="307" t="n"/>
      <c r="AD110" s="307" t="n"/>
      <c r="AE110" s="307" t="n"/>
      <c r="AF110" s="307" t="n"/>
      <c r="AG110" s="307" t="n"/>
      <c r="AH110" s="307" t="n"/>
      <c r="AI110" s="307" t="n"/>
      <c r="AJ110" s="307" t="n"/>
      <c r="AK110" s="307" t="n"/>
      <c r="AL110" s="307" t="n"/>
      <c r="AM110" s="307" t="n"/>
      <c r="AN110" s="307" t="n"/>
      <c r="AO110" s="307" t="n"/>
      <c r="AP110" s="307" t="n"/>
      <c r="AQ110" s="307" t="n"/>
      <c r="AR110" s="307" t="n"/>
      <c r="AS110" s="307" t="n"/>
      <c r="AT110" s="307" t="n"/>
      <c r="AU110" s="307" t="n"/>
      <c r="AV110" s="307" t="n"/>
      <c r="AW110" s="307" t="n"/>
      <c r="AX110" s="307" t="n"/>
      <c r="AY110" s="307" t="n"/>
      <c r="AZ110" s="307" t="n"/>
      <c r="BA110" s="233" t="n"/>
      <c r="BB110" s="307" t="n"/>
      <c r="BC110" s="307" t="n"/>
      <c r="BD110" s="307" t="n"/>
      <c r="BE110" s="307" t="n"/>
      <c r="BF110" s="307" t="n"/>
      <c r="BG110" s="31" t="n"/>
      <c r="BH110" s="31" t="n"/>
      <c r="BI110" s="31" t="n"/>
      <c r="BJ110" s="31" t="n"/>
    </row>
    <row r="111" ht="15.75" customHeight="1" s="349">
      <c r="A111" s="307" t="n"/>
      <c r="B111" s="307" t="n"/>
      <c r="C111" s="307" t="n"/>
      <c r="D111" s="307" t="n"/>
      <c r="E111" s="307" t="n"/>
      <c r="F111" s="307" t="n"/>
      <c r="G111" s="307" t="n"/>
      <c r="H111" s="307" t="n"/>
      <c r="I111" s="307" t="n"/>
      <c r="J111" s="307" t="n"/>
      <c r="K111" s="307" t="n"/>
      <c r="L111" s="307" t="n"/>
      <c r="M111" s="307" t="n"/>
      <c r="N111" s="307" t="n"/>
      <c r="O111" s="307" t="n"/>
      <c r="P111" s="307" t="n"/>
      <c r="Q111" s="307" t="n"/>
      <c r="R111" s="307" t="n"/>
      <c r="S111" s="307" t="n"/>
      <c r="T111" s="307" t="n"/>
      <c r="U111" s="307" t="n"/>
      <c r="V111" s="307" t="n"/>
      <c r="W111" s="307" t="n"/>
      <c r="X111" s="307" t="n"/>
      <c r="Y111" s="307" t="n"/>
      <c r="Z111" s="307" t="n"/>
      <c r="AA111" s="307" t="n"/>
      <c r="AB111" s="307" t="n"/>
      <c r="AC111" s="307" t="n"/>
      <c r="AD111" s="307" t="n"/>
      <c r="AE111" s="307" t="n"/>
      <c r="AF111" s="307" t="n"/>
      <c r="AG111" s="307" t="n"/>
      <c r="AH111" s="307" t="n"/>
      <c r="AI111" s="307" t="n"/>
      <c r="AJ111" s="307" t="n"/>
      <c r="AK111" s="307" t="n"/>
      <c r="AL111" s="307" t="n"/>
      <c r="AM111" s="307" t="n"/>
      <c r="AN111" s="307" t="n"/>
      <c r="AO111" s="307" t="n"/>
      <c r="AP111" s="307" t="n"/>
      <c r="AQ111" s="307" t="n"/>
      <c r="AR111" s="307" t="n"/>
      <c r="AS111" s="307" t="n"/>
      <c r="AT111" s="307" t="n"/>
      <c r="AU111" s="307" t="n"/>
      <c r="AV111" s="307" t="n"/>
      <c r="AW111" s="307" t="n"/>
      <c r="AX111" s="307" t="n"/>
      <c r="AY111" s="307" t="n"/>
      <c r="AZ111" s="307" t="n"/>
      <c r="BA111" s="233" t="n"/>
      <c r="BB111" s="307" t="n"/>
      <c r="BC111" s="307" t="n"/>
      <c r="BD111" s="307" t="n"/>
      <c r="BE111" s="307" t="n"/>
      <c r="BF111" s="307" t="n"/>
      <c r="BG111" s="31" t="n"/>
      <c r="BH111" s="31" t="n"/>
      <c r="BI111" s="31" t="n"/>
      <c r="BJ111" s="31" t="n"/>
    </row>
    <row r="112" ht="15.75" customHeight="1" s="349">
      <c r="A112" s="307" t="n"/>
      <c r="B112" s="307" t="n"/>
      <c r="C112" s="307" t="n"/>
      <c r="D112" s="307" t="n"/>
      <c r="E112" s="307" t="n"/>
      <c r="F112" s="307" t="n"/>
      <c r="G112" s="307" t="n"/>
      <c r="H112" s="307" t="n"/>
      <c r="I112" s="307" t="n"/>
      <c r="J112" s="307" t="n"/>
      <c r="K112" s="307" t="n"/>
      <c r="L112" s="307" t="n"/>
      <c r="M112" s="307" t="n"/>
      <c r="N112" s="307" t="n"/>
      <c r="O112" s="307" t="n"/>
      <c r="P112" s="307" t="n"/>
      <c r="Q112" s="307" t="n"/>
      <c r="R112" s="307" t="n"/>
      <c r="S112" s="307" t="n"/>
      <c r="T112" s="307" t="n"/>
      <c r="U112" s="307" t="n"/>
      <c r="V112" s="307" t="n"/>
      <c r="W112" s="307" t="n"/>
      <c r="X112" s="307" t="n"/>
      <c r="Y112" s="307" t="n"/>
      <c r="Z112" s="307" t="n"/>
      <c r="AA112" s="307" t="n"/>
      <c r="AB112" s="307" t="n"/>
      <c r="AC112" s="307" t="n"/>
      <c r="AD112" s="307" t="n"/>
      <c r="AE112" s="307" t="n"/>
      <c r="AF112" s="307" t="n"/>
      <c r="AG112" s="307" t="n"/>
      <c r="AH112" s="307" t="n"/>
      <c r="AI112" s="307" t="n"/>
      <c r="AJ112" s="307" t="n"/>
      <c r="AK112" s="307" t="n"/>
      <c r="AL112" s="307" t="n"/>
      <c r="AM112" s="307" t="n"/>
      <c r="AN112" s="307" t="n"/>
      <c r="AO112" s="307" t="n"/>
      <c r="AP112" s="307" t="n"/>
      <c r="AQ112" s="307" t="n"/>
      <c r="AR112" s="307" t="n"/>
      <c r="AS112" s="307" t="n"/>
      <c r="AT112" s="307" t="n"/>
      <c r="AU112" s="307" t="n"/>
      <c r="AV112" s="307" t="n"/>
      <c r="AW112" s="307" t="n"/>
      <c r="AX112" s="307" t="n"/>
      <c r="AY112" s="307" t="n"/>
      <c r="AZ112" s="307" t="n"/>
      <c r="BA112" s="233" t="n"/>
      <c r="BB112" s="307" t="n"/>
      <c r="BC112" s="307" t="n"/>
      <c r="BD112" s="307" t="n"/>
      <c r="BE112" s="307" t="n"/>
      <c r="BF112" s="307" t="n"/>
      <c r="BG112" s="31" t="n"/>
      <c r="BH112" s="31" t="n"/>
      <c r="BI112" s="31" t="n"/>
      <c r="BJ112" s="31" t="n"/>
    </row>
    <row r="113" ht="15.75" customHeight="1" s="349">
      <c r="A113" s="307" t="n"/>
      <c r="B113" s="307" t="n"/>
      <c r="C113" s="307" t="n"/>
      <c r="D113" s="307" t="n"/>
      <c r="E113" s="307" t="n"/>
      <c r="F113" s="307" t="n"/>
      <c r="G113" s="307" t="n"/>
      <c r="H113" s="307" t="n"/>
      <c r="I113" s="307" t="n"/>
      <c r="J113" s="307" t="n"/>
      <c r="K113" s="307" t="n"/>
      <c r="L113" s="307" t="n"/>
      <c r="M113" s="307" t="n"/>
      <c r="N113" s="307" t="n"/>
      <c r="O113" s="307" t="n"/>
      <c r="P113" s="307" t="n"/>
      <c r="Q113" s="307" t="n"/>
      <c r="R113" s="307" t="n"/>
      <c r="S113" s="307" t="n"/>
      <c r="T113" s="307" t="n"/>
      <c r="U113" s="307" t="n"/>
      <c r="V113" s="307" t="n"/>
      <c r="W113" s="307" t="n"/>
      <c r="X113" s="307" t="n"/>
      <c r="Y113" s="307" t="n"/>
      <c r="Z113" s="307" t="n"/>
      <c r="AA113" s="307" t="n"/>
      <c r="AB113" s="307" t="n"/>
      <c r="AC113" s="307" t="n"/>
      <c r="AD113" s="307" t="n"/>
      <c r="AE113" s="307" t="n"/>
      <c r="AF113" s="307" t="n"/>
      <c r="AG113" s="307" t="n"/>
      <c r="AH113" s="307" t="n"/>
      <c r="AI113" s="307" t="n"/>
      <c r="AJ113" s="307" t="n"/>
      <c r="AK113" s="307" t="n"/>
      <c r="AL113" s="307" t="n"/>
      <c r="AM113" s="307" t="n"/>
      <c r="AN113" s="307" t="n"/>
      <c r="AO113" s="307" t="n"/>
      <c r="AP113" s="307" t="n"/>
      <c r="AQ113" s="307" t="n"/>
      <c r="AR113" s="307" t="n"/>
      <c r="AS113" s="307" t="n"/>
      <c r="AT113" s="307" t="n"/>
      <c r="AU113" s="307" t="n"/>
      <c r="AV113" s="307" t="n"/>
      <c r="AW113" s="307" t="n"/>
      <c r="AX113" s="307" t="n"/>
      <c r="AY113" s="307" t="n"/>
      <c r="AZ113" s="307" t="n"/>
      <c r="BA113" s="233" t="n"/>
      <c r="BB113" s="307" t="n"/>
      <c r="BC113" s="307" t="n"/>
      <c r="BD113" s="307" t="n"/>
      <c r="BE113" s="307" t="n"/>
      <c r="BF113" s="307" t="n"/>
      <c r="BG113" s="31" t="n"/>
      <c r="BH113" s="31" t="n"/>
      <c r="BI113" s="31" t="n"/>
      <c r="BJ113" s="31" t="n"/>
    </row>
    <row r="114" ht="15.75" customHeight="1" s="349">
      <c r="A114" s="307" t="n"/>
      <c r="B114" s="307" t="n"/>
      <c r="C114" s="307" t="n"/>
      <c r="D114" s="307" t="n"/>
      <c r="E114" s="307" t="n"/>
      <c r="F114" s="307" t="n"/>
      <c r="G114" s="307" t="n"/>
      <c r="H114" s="307" t="n"/>
      <c r="I114" s="307" t="n"/>
      <c r="J114" s="307" t="n"/>
      <c r="K114" s="307" t="n"/>
      <c r="L114" s="307" t="n"/>
      <c r="M114" s="307" t="n"/>
      <c r="N114" s="307" t="n"/>
      <c r="O114" s="307" t="n"/>
      <c r="P114" s="307" t="n"/>
      <c r="Q114" s="307" t="n"/>
      <c r="R114" s="307" t="n"/>
      <c r="S114" s="307" t="n"/>
      <c r="T114" s="307" t="n"/>
      <c r="U114" s="307" t="n"/>
      <c r="V114" s="307" t="n"/>
      <c r="W114" s="307" t="n"/>
      <c r="X114" s="307" t="n"/>
      <c r="Y114" s="307" t="n"/>
      <c r="Z114" s="307" t="n"/>
      <c r="AA114" s="307" t="n"/>
      <c r="AB114" s="307" t="n"/>
      <c r="AC114" s="307" t="n"/>
      <c r="AD114" s="307" t="n"/>
      <c r="AE114" s="307" t="n"/>
      <c r="AF114" s="307" t="n"/>
      <c r="AG114" s="307" t="n"/>
      <c r="AH114" s="307" t="n"/>
      <c r="AI114" s="307" t="n"/>
      <c r="AJ114" s="307" t="n"/>
      <c r="AK114" s="307" t="n"/>
      <c r="AL114" s="307" t="n"/>
      <c r="AM114" s="307" t="n"/>
      <c r="AN114" s="307" t="n"/>
      <c r="AO114" s="307" t="n"/>
      <c r="AP114" s="307" t="n"/>
      <c r="AQ114" s="307" t="n"/>
      <c r="AR114" s="307" t="n"/>
      <c r="AS114" s="307" t="n"/>
      <c r="AT114" s="307" t="n"/>
      <c r="AU114" s="307" t="n"/>
      <c r="AV114" s="307" t="n"/>
      <c r="AW114" s="307" t="n"/>
      <c r="AX114" s="307" t="n"/>
      <c r="AY114" s="307" t="n"/>
      <c r="AZ114" s="307" t="n"/>
      <c r="BA114" s="233" t="n"/>
      <c r="BB114" s="307" t="n"/>
      <c r="BC114" s="307" t="n"/>
      <c r="BD114" s="307" t="n"/>
      <c r="BE114" s="307" t="n"/>
      <c r="BF114" s="307" t="n"/>
      <c r="BG114" s="31" t="n"/>
      <c r="BH114" s="31" t="n"/>
      <c r="BI114" s="31" t="n"/>
      <c r="BJ114" s="31" t="n"/>
    </row>
    <row r="115" ht="15.75" customHeight="1" s="349">
      <c r="A115" s="307" t="n"/>
      <c r="B115" s="307" t="n"/>
      <c r="C115" s="307" t="n"/>
      <c r="D115" s="307" t="n"/>
      <c r="E115" s="307" t="n"/>
      <c r="F115" s="307" t="n"/>
      <c r="G115" s="307" t="n"/>
      <c r="H115" s="307" t="n"/>
      <c r="I115" s="307" t="n"/>
      <c r="J115" s="307" t="n"/>
      <c r="K115" s="307" t="n"/>
      <c r="L115" s="307" t="n"/>
      <c r="M115" s="307" t="n"/>
      <c r="N115" s="307" t="n"/>
      <c r="O115" s="307" t="n"/>
      <c r="P115" s="307" t="n"/>
      <c r="Q115" s="307" t="n"/>
      <c r="R115" s="307" t="n"/>
      <c r="S115" s="307" t="n"/>
      <c r="T115" s="307" t="n"/>
      <c r="U115" s="307" t="n"/>
      <c r="V115" s="307" t="n"/>
      <c r="W115" s="307" t="n"/>
      <c r="X115" s="307" t="n"/>
      <c r="Y115" s="307" t="n"/>
      <c r="Z115" s="307" t="n"/>
      <c r="AA115" s="307" t="n"/>
      <c r="AB115" s="307" t="n"/>
      <c r="AC115" s="307" t="n"/>
      <c r="AD115" s="307" t="n"/>
      <c r="AE115" s="307" t="n"/>
      <c r="AF115" s="307" t="n"/>
      <c r="AG115" s="307" t="n"/>
      <c r="AH115" s="307" t="n"/>
      <c r="AI115" s="307" t="n"/>
      <c r="AJ115" s="307" t="n"/>
      <c r="AK115" s="307" t="n"/>
      <c r="AL115" s="307" t="n"/>
      <c r="AM115" s="307" t="n"/>
      <c r="AN115" s="307" t="n"/>
      <c r="AO115" s="307" t="n"/>
      <c r="AP115" s="307" t="n"/>
      <c r="AQ115" s="307" t="n"/>
      <c r="AR115" s="307" t="n"/>
      <c r="AS115" s="307" t="n"/>
      <c r="AT115" s="307" t="n"/>
      <c r="AU115" s="307" t="n"/>
      <c r="AV115" s="307" t="n"/>
      <c r="AW115" s="307" t="n"/>
      <c r="AX115" s="307" t="n"/>
      <c r="AY115" s="307" t="n"/>
      <c r="AZ115" s="307" t="n"/>
      <c r="BA115" s="233" t="n"/>
      <c r="BB115" s="307" t="n"/>
      <c r="BC115" s="307" t="n"/>
      <c r="BD115" s="307" t="n"/>
      <c r="BE115" s="307" t="n"/>
      <c r="BF115" s="307" t="n"/>
      <c r="BG115" s="31" t="n"/>
      <c r="BH115" s="31" t="n"/>
      <c r="BI115" s="31" t="n"/>
      <c r="BJ115" s="31" t="n"/>
    </row>
    <row r="116" ht="15.75" customHeight="1" s="349">
      <c r="A116" s="307" t="n"/>
      <c r="B116" s="307" t="n"/>
      <c r="C116" s="307" t="n"/>
      <c r="D116" s="307" t="n"/>
      <c r="E116" s="307" t="n"/>
      <c r="F116" s="307" t="n"/>
      <c r="G116" s="307" t="n"/>
      <c r="H116" s="307" t="n"/>
      <c r="I116" s="307" t="n"/>
      <c r="J116" s="307" t="n"/>
      <c r="K116" s="307" t="n"/>
      <c r="L116" s="307" t="n"/>
      <c r="M116" s="307" t="n"/>
      <c r="N116" s="307" t="n"/>
      <c r="O116" s="307" t="n"/>
      <c r="P116" s="307" t="n"/>
      <c r="Q116" s="307" t="n"/>
      <c r="R116" s="307" t="n"/>
      <c r="S116" s="307" t="n"/>
      <c r="T116" s="307" t="n"/>
      <c r="U116" s="307" t="n"/>
      <c r="V116" s="307" t="n"/>
      <c r="W116" s="307" t="n"/>
      <c r="X116" s="307" t="n"/>
      <c r="Y116" s="307" t="n"/>
      <c r="Z116" s="307" t="n"/>
      <c r="AA116" s="307" t="n"/>
      <c r="AB116" s="307" t="n"/>
      <c r="AC116" s="307" t="n"/>
      <c r="AD116" s="307" t="n"/>
      <c r="AE116" s="307" t="n"/>
      <c r="AF116" s="307" t="n"/>
      <c r="AG116" s="307" t="n"/>
      <c r="AH116" s="307" t="n"/>
      <c r="AI116" s="307" t="n"/>
      <c r="AJ116" s="307" t="n"/>
      <c r="AK116" s="307" t="n"/>
      <c r="AL116" s="307" t="n"/>
      <c r="AM116" s="307" t="n"/>
      <c r="AN116" s="307" t="n"/>
      <c r="AO116" s="307" t="n"/>
      <c r="AP116" s="307" t="n"/>
      <c r="AQ116" s="307" t="n"/>
      <c r="AR116" s="307" t="n"/>
      <c r="AS116" s="307" t="n"/>
      <c r="AT116" s="307" t="n"/>
      <c r="AU116" s="307" t="n"/>
      <c r="AV116" s="307" t="n"/>
      <c r="AW116" s="307" t="n"/>
      <c r="AX116" s="307" t="n"/>
      <c r="AY116" s="307" t="n"/>
      <c r="AZ116" s="307" t="n"/>
      <c r="BA116" s="233" t="n"/>
      <c r="BB116" s="307" t="n"/>
      <c r="BC116" s="307" t="n"/>
      <c r="BD116" s="307" t="n"/>
      <c r="BE116" s="307" t="n"/>
      <c r="BF116" s="307" t="n"/>
      <c r="BG116" s="31" t="n"/>
      <c r="BH116" s="31" t="n"/>
      <c r="BI116" s="31" t="n"/>
      <c r="BJ116" s="31" t="n"/>
    </row>
    <row r="117" ht="15.75" customHeight="1" s="349">
      <c r="A117" s="307" t="n"/>
      <c r="B117" s="307" t="n"/>
      <c r="C117" s="307" t="n"/>
      <c r="D117" s="307" t="n"/>
      <c r="E117" s="307" t="n"/>
      <c r="F117" s="307" t="n"/>
      <c r="G117" s="307" t="n"/>
      <c r="H117" s="307" t="n"/>
      <c r="I117" s="307" t="n"/>
      <c r="J117" s="307" t="n"/>
      <c r="K117" s="307" t="n"/>
      <c r="L117" s="307" t="n"/>
      <c r="M117" s="307" t="n"/>
      <c r="N117" s="307" t="n"/>
      <c r="O117" s="307" t="n"/>
      <c r="P117" s="307" t="n"/>
      <c r="Q117" s="307" t="n"/>
      <c r="R117" s="307" t="n"/>
      <c r="S117" s="307" t="n"/>
      <c r="T117" s="307" t="n"/>
      <c r="U117" s="307" t="n"/>
      <c r="V117" s="307" t="n"/>
      <c r="W117" s="307" t="n"/>
      <c r="X117" s="307" t="n"/>
      <c r="Y117" s="307" t="n"/>
      <c r="Z117" s="307" t="n"/>
      <c r="AA117" s="307" t="n"/>
      <c r="AB117" s="307" t="n"/>
      <c r="AC117" s="307" t="n"/>
      <c r="AD117" s="307" t="n"/>
      <c r="AE117" s="307" t="n"/>
      <c r="AF117" s="307" t="n"/>
      <c r="AG117" s="307" t="n"/>
      <c r="AH117" s="307" t="n"/>
      <c r="AI117" s="307" t="n"/>
      <c r="AJ117" s="307" t="n"/>
      <c r="AK117" s="307" t="n"/>
      <c r="AL117" s="307" t="n"/>
      <c r="AM117" s="307" t="n"/>
      <c r="AN117" s="307" t="n"/>
      <c r="AO117" s="307" t="n"/>
      <c r="AP117" s="307" t="n"/>
      <c r="AQ117" s="307" t="n"/>
      <c r="AR117" s="307" t="n"/>
      <c r="AS117" s="307" t="n"/>
      <c r="AT117" s="307" t="n"/>
      <c r="AU117" s="307" t="n"/>
      <c r="AV117" s="307" t="n"/>
      <c r="AW117" s="307" t="n"/>
      <c r="AX117" s="307" t="n"/>
      <c r="AY117" s="307" t="n"/>
      <c r="AZ117" s="307" t="n"/>
      <c r="BA117" s="233" t="n"/>
      <c r="BB117" s="307" t="n"/>
      <c r="BC117" s="307" t="n"/>
      <c r="BD117" s="307" t="n"/>
      <c r="BE117" s="307" t="n"/>
      <c r="BF117" s="307" t="n"/>
      <c r="BG117" s="31" t="n"/>
      <c r="BH117" s="31" t="n"/>
      <c r="BI117" s="31" t="n"/>
      <c r="BJ117" s="31" t="n"/>
    </row>
    <row r="118" ht="15.75" customHeight="1" s="349">
      <c r="A118" s="307" t="n"/>
      <c r="B118" s="307" t="n"/>
      <c r="C118" s="307" t="n"/>
      <c r="D118" s="307" t="n"/>
      <c r="E118" s="307" t="n"/>
      <c r="F118" s="307" t="n"/>
      <c r="G118" s="307" t="n"/>
      <c r="H118" s="307" t="n"/>
      <c r="I118" s="307" t="n"/>
      <c r="J118" s="307" t="n"/>
      <c r="K118" s="307" t="n"/>
      <c r="L118" s="307" t="n"/>
      <c r="M118" s="307" t="n"/>
      <c r="N118" s="307" t="n"/>
      <c r="O118" s="307" t="n"/>
      <c r="P118" s="307" t="n"/>
      <c r="Q118" s="307" t="n"/>
      <c r="R118" s="307" t="n"/>
      <c r="S118" s="307" t="n"/>
      <c r="T118" s="307" t="n"/>
      <c r="U118" s="307" t="n"/>
      <c r="V118" s="307" t="n"/>
      <c r="W118" s="307" t="n"/>
      <c r="X118" s="307" t="n"/>
      <c r="Y118" s="307" t="n"/>
      <c r="Z118" s="307" t="n"/>
      <c r="AA118" s="307" t="n"/>
      <c r="AB118" s="307" t="n"/>
      <c r="AC118" s="307" t="n"/>
      <c r="AD118" s="307" t="n"/>
      <c r="AE118" s="307" t="n"/>
      <c r="AF118" s="307" t="n"/>
      <c r="AG118" s="307" t="n"/>
      <c r="AH118" s="307" t="n"/>
      <c r="AI118" s="307" t="n"/>
      <c r="AJ118" s="307" t="n"/>
      <c r="AK118" s="307" t="n"/>
      <c r="AL118" s="307" t="n"/>
      <c r="AM118" s="307" t="n"/>
      <c r="AN118" s="307" t="n"/>
      <c r="AO118" s="307" t="n"/>
      <c r="AP118" s="307" t="n"/>
      <c r="AQ118" s="307" t="n"/>
      <c r="AR118" s="307" t="n"/>
      <c r="AS118" s="307" t="n"/>
      <c r="AT118" s="307" t="n"/>
      <c r="AU118" s="307" t="n"/>
      <c r="AV118" s="307" t="n"/>
      <c r="AW118" s="307" t="n"/>
      <c r="AX118" s="307" t="n"/>
      <c r="AY118" s="307" t="n"/>
      <c r="AZ118" s="307" t="n"/>
      <c r="BA118" s="233" t="n"/>
      <c r="BB118" s="307" t="n"/>
      <c r="BC118" s="307" t="n"/>
      <c r="BD118" s="307" t="n"/>
      <c r="BE118" s="307" t="n"/>
      <c r="BF118" s="307" t="n"/>
      <c r="BG118" s="31" t="n"/>
      <c r="BH118" s="31" t="n"/>
      <c r="BI118" s="31" t="n"/>
      <c r="BJ118" s="31" t="n"/>
    </row>
    <row r="119" ht="15.75" customHeight="1" s="349">
      <c r="A119" s="307" t="n"/>
      <c r="B119" s="307" t="n"/>
      <c r="C119" s="307" t="n"/>
      <c r="D119" s="307" t="n"/>
      <c r="E119" s="307" t="n"/>
      <c r="F119" s="307" t="n"/>
      <c r="G119" s="307" t="n"/>
      <c r="H119" s="307" t="n"/>
      <c r="I119" s="307" t="n"/>
      <c r="J119" s="307" t="n"/>
      <c r="K119" s="307" t="n"/>
      <c r="L119" s="307" t="n"/>
      <c r="M119" s="307" t="n"/>
      <c r="N119" s="307" t="n"/>
      <c r="O119" s="307" t="n"/>
      <c r="P119" s="307" t="n"/>
      <c r="Q119" s="307" t="n"/>
      <c r="R119" s="307" t="n"/>
      <c r="S119" s="307" t="n"/>
      <c r="T119" s="307" t="n"/>
      <c r="U119" s="307" t="n"/>
      <c r="V119" s="307" t="n"/>
      <c r="W119" s="307" t="n"/>
      <c r="X119" s="307" t="n"/>
      <c r="Y119" s="307" t="n"/>
      <c r="Z119" s="307" t="n"/>
      <c r="AA119" s="307" t="n"/>
      <c r="AB119" s="307" t="n"/>
      <c r="AC119" s="307" t="n"/>
      <c r="AD119" s="307" t="n"/>
      <c r="AE119" s="307" t="n"/>
      <c r="AF119" s="307" t="n"/>
      <c r="AG119" s="307" t="n"/>
      <c r="AH119" s="307" t="n"/>
      <c r="AI119" s="307" t="n"/>
      <c r="AJ119" s="307" t="n"/>
      <c r="AK119" s="307" t="n"/>
      <c r="AL119" s="307" t="n"/>
      <c r="AM119" s="307" t="n"/>
      <c r="AN119" s="307" t="n"/>
      <c r="AO119" s="307" t="n"/>
      <c r="AP119" s="307" t="n"/>
      <c r="AQ119" s="307" t="n"/>
      <c r="AR119" s="307" t="n"/>
      <c r="AS119" s="307" t="n"/>
      <c r="AT119" s="307" t="n"/>
      <c r="AU119" s="307" t="n"/>
      <c r="AV119" s="307" t="n"/>
      <c r="AW119" s="307" t="n"/>
      <c r="AX119" s="307" t="n"/>
      <c r="AY119" s="307" t="n"/>
      <c r="AZ119" s="307" t="n"/>
      <c r="BA119" s="233" t="n"/>
      <c r="BB119" s="307" t="n"/>
      <c r="BC119" s="307" t="n"/>
      <c r="BD119" s="307" t="n"/>
      <c r="BE119" s="307" t="n"/>
      <c r="BF119" s="307" t="n"/>
      <c r="BG119" s="31" t="n"/>
      <c r="BH119" s="31" t="n"/>
      <c r="BI119" s="31" t="n"/>
      <c r="BJ119" s="31" t="n"/>
    </row>
    <row r="120" ht="15.75" customHeight="1" s="349">
      <c r="A120" s="307" t="n"/>
      <c r="B120" s="307" t="n"/>
      <c r="C120" s="307" t="n"/>
      <c r="D120" s="307" t="n"/>
      <c r="E120" s="307" t="n"/>
      <c r="F120" s="307" t="n"/>
      <c r="G120" s="307" t="n"/>
      <c r="H120" s="307" t="n"/>
      <c r="I120" s="307" t="n"/>
      <c r="J120" s="307" t="n"/>
      <c r="K120" s="307" t="n"/>
      <c r="L120" s="307" t="n"/>
      <c r="M120" s="307" t="n"/>
      <c r="N120" s="307" t="n"/>
      <c r="O120" s="307" t="n"/>
      <c r="P120" s="307" t="n"/>
      <c r="Q120" s="307" t="n"/>
      <c r="R120" s="307" t="n"/>
      <c r="S120" s="307" t="n"/>
      <c r="T120" s="307" t="n"/>
      <c r="U120" s="307" t="n"/>
      <c r="V120" s="307" t="n"/>
      <c r="W120" s="307" t="n"/>
      <c r="X120" s="307" t="n"/>
      <c r="Y120" s="307" t="n"/>
      <c r="Z120" s="307" t="n"/>
      <c r="AA120" s="307" t="n"/>
      <c r="AB120" s="307" t="n"/>
      <c r="AC120" s="307" t="n"/>
      <c r="AD120" s="307" t="n"/>
      <c r="AE120" s="307" t="n"/>
      <c r="AF120" s="307" t="n"/>
      <c r="AG120" s="307" t="n"/>
      <c r="AH120" s="307" t="n"/>
      <c r="AI120" s="307" t="n"/>
      <c r="AJ120" s="307" t="n"/>
      <c r="AK120" s="307" t="n"/>
      <c r="AL120" s="307" t="n"/>
      <c r="AM120" s="307" t="n"/>
      <c r="AN120" s="307" t="n"/>
      <c r="AO120" s="307" t="n"/>
      <c r="AP120" s="307" t="n"/>
      <c r="AQ120" s="307" t="n"/>
      <c r="AR120" s="307" t="n"/>
      <c r="AS120" s="307" t="n"/>
      <c r="AT120" s="307" t="n"/>
      <c r="AU120" s="307" t="n"/>
      <c r="AV120" s="307" t="n"/>
      <c r="AW120" s="307" t="n"/>
      <c r="AX120" s="307" t="n"/>
      <c r="AY120" s="307" t="n"/>
      <c r="AZ120" s="307" t="n"/>
      <c r="BA120" s="233" t="n"/>
      <c r="BB120" s="307" t="n"/>
      <c r="BC120" s="307" t="n"/>
      <c r="BD120" s="307" t="n"/>
      <c r="BE120" s="307" t="n"/>
      <c r="BF120" s="307" t="n"/>
      <c r="BG120" s="31" t="n"/>
      <c r="BH120" s="31" t="n"/>
      <c r="BI120" s="31" t="n"/>
      <c r="BJ120" s="31" t="n"/>
    </row>
    <row r="121" ht="15.75" customHeight="1" s="349">
      <c r="A121" s="307" t="n"/>
      <c r="B121" s="307" t="n"/>
      <c r="C121" s="307" t="n"/>
      <c r="D121" s="307" t="n"/>
      <c r="E121" s="307" t="n"/>
      <c r="F121" s="307" t="n"/>
      <c r="G121" s="307" t="n"/>
      <c r="H121" s="307" t="n"/>
      <c r="I121" s="307" t="n"/>
      <c r="J121" s="307" t="n"/>
      <c r="K121" s="307" t="n"/>
      <c r="L121" s="307" t="n"/>
      <c r="M121" s="307" t="n"/>
      <c r="N121" s="307" t="n"/>
      <c r="O121" s="307" t="n"/>
      <c r="P121" s="307" t="n"/>
      <c r="Q121" s="307" t="n"/>
      <c r="R121" s="307" t="n"/>
      <c r="S121" s="307" t="n"/>
      <c r="T121" s="307" t="n"/>
      <c r="U121" s="307" t="n"/>
      <c r="V121" s="307" t="n"/>
      <c r="W121" s="307" t="n"/>
      <c r="X121" s="307" t="n"/>
      <c r="Y121" s="307" t="n"/>
      <c r="Z121" s="307" t="n"/>
      <c r="AA121" s="307" t="n"/>
      <c r="AB121" s="307" t="n"/>
      <c r="AC121" s="307" t="n"/>
      <c r="AD121" s="307" t="n"/>
      <c r="AE121" s="307" t="n"/>
      <c r="AF121" s="307" t="n"/>
      <c r="AG121" s="307" t="n"/>
      <c r="AH121" s="307" t="n"/>
      <c r="AI121" s="307" t="n"/>
      <c r="AJ121" s="307" t="n"/>
      <c r="AK121" s="307" t="n"/>
      <c r="AL121" s="307" t="n"/>
      <c r="AM121" s="307" t="n"/>
      <c r="AN121" s="307" t="n"/>
      <c r="AO121" s="307" t="n"/>
      <c r="AP121" s="307" t="n"/>
      <c r="AQ121" s="307" t="n"/>
      <c r="AR121" s="307" t="n"/>
      <c r="AS121" s="307" t="n"/>
      <c r="AT121" s="307" t="n"/>
      <c r="AU121" s="307" t="n"/>
      <c r="AV121" s="307" t="n"/>
      <c r="AW121" s="307" t="n"/>
      <c r="AX121" s="307" t="n"/>
      <c r="AY121" s="307" t="n"/>
      <c r="AZ121" s="307" t="n"/>
      <c r="BA121" s="233" t="n"/>
      <c r="BB121" s="307" t="n"/>
      <c r="BC121" s="307" t="n"/>
      <c r="BD121" s="307" t="n"/>
      <c r="BE121" s="307" t="n"/>
      <c r="BF121" s="307" t="n"/>
      <c r="BG121" s="31" t="n"/>
      <c r="BH121" s="31" t="n"/>
      <c r="BI121" s="31" t="n"/>
      <c r="BJ121" s="31" t="n"/>
    </row>
    <row r="122" ht="15.75" customHeight="1" s="349">
      <c r="A122" s="307" t="n"/>
      <c r="B122" s="307" t="n"/>
      <c r="C122" s="307" t="n"/>
      <c r="D122" s="307" t="n"/>
      <c r="E122" s="307" t="n"/>
      <c r="F122" s="307" t="n"/>
      <c r="G122" s="307" t="n"/>
      <c r="H122" s="307" t="n"/>
      <c r="I122" s="307" t="n"/>
      <c r="J122" s="307" t="n"/>
      <c r="K122" s="307" t="n"/>
      <c r="L122" s="307" t="n"/>
      <c r="M122" s="307" t="n"/>
      <c r="N122" s="307" t="n"/>
      <c r="O122" s="307" t="n"/>
      <c r="P122" s="307" t="n"/>
      <c r="Q122" s="307" t="n"/>
      <c r="R122" s="307" t="n"/>
      <c r="S122" s="307" t="n"/>
      <c r="T122" s="307" t="n"/>
      <c r="U122" s="307" t="n"/>
      <c r="V122" s="307" t="n"/>
      <c r="W122" s="307" t="n"/>
      <c r="X122" s="307" t="n"/>
      <c r="Y122" s="307" t="n"/>
      <c r="Z122" s="307" t="n"/>
      <c r="AA122" s="307" t="n"/>
      <c r="AB122" s="307" t="n"/>
      <c r="AC122" s="307" t="n"/>
      <c r="AD122" s="307" t="n"/>
      <c r="AE122" s="307" t="n"/>
      <c r="AF122" s="307" t="n"/>
      <c r="AG122" s="307" t="n"/>
      <c r="AH122" s="307" t="n"/>
      <c r="AI122" s="307" t="n"/>
      <c r="AJ122" s="307" t="n"/>
      <c r="AK122" s="307" t="n"/>
      <c r="AL122" s="307" t="n"/>
      <c r="AM122" s="307" t="n"/>
      <c r="AN122" s="307" t="n"/>
      <c r="AO122" s="307" t="n"/>
      <c r="AP122" s="307" t="n"/>
      <c r="AQ122" s="307" t="n"/>
      <c r="AR122" s="307" t="n"/>
      <c r="AS122" s="307" t="n"/>
      <c r="AT122" s="307" t="n"/>
      <c r="AU122" s="307" t="n"/>
      <c r="AV122" s="307" t="n"/>
      <c r="AW122" s="307" t="n"/>
      <c r="AX122" s="307" t="n"/>
      <c r="AY122" s="307" t="n"/>
      <c r="AZ122" s="307" t="n"/>
      <c r="BA122" s="233" t="n"/>
      <c r="BB122" s="307" t="n"/>
      <c r="BC122" s="307" t="n"/>
      <c r="BD122" s="307" t="n"/>
      <c r="BE122" s="307" t="n"/>
      <c r="BF122" s="307" t="n"/>
      <c r="BG122" s="31" t="n"/>
      <c r="BH122" s="31" t="n"/>
      <c r="BI122" s="31" t="n"/>
      <c r="BJ122" s="31" t="n"/>
    </row>
    <row r="123" ht="15.75" customHeight="1" s="349">
      <c r="A123" s="307" t="n"/>
      <c r="B123" s="307" t="n"/>
      <c r="C123" s="307" t="n"/>
      <c r="D123" s="307" t="n"/>
      <c r="E123" s="307" t="n"/>
      <c r="F123" s="307" t="n"/>
      <c r="G123" s="307" t="n"/>
      <c r="H123" s="307" t="n"/>
      <c r="I123" s="307" t="n"/>
      <c r="J123" s="307" t="n"/>
      <c r="K123" s="307" t="n"/>
      <c r="L123" s="307" t="n"/>
      <c r="M123" s="307" t="n"/>
      <c r="N123" s="307" t="n"/>
      <c r="O123" s="307" t="n"/>
      <c r="P123" s="307" t="n"/>
      <c r="Q123" s="307" t="n"/>
      <c r="R123" s="307" t="n"/>
      <c r="S123" s="307" t="n"/>
      <c r="T123" s="307" t="n"/>
      <c r="U123" s="307" t="n"/>
      <c r="V123" s="307" t="n"/>
      <c r="W123" s="307" t="n"/>
      <c r="X123" s="307" t="n"/>
      <c r="Y123" s="307" t="n"/>
      <c r="Z123" s="307" t="n"/>
      <c r="AA123" s="307" t="n"/>
      <c r="AB123" s="307" t="n"/>
      <c r="AC123" s="307" t="n"/>
      <c r="AD123" s="307" t="n"/>
      <c r="AE123" s="307" t="n"/>
      <c r="AF123" s="307" t="n"/>
      <c r="AG123" s="307" t="n"/>
      <c r="AH123" s="307" t="n"/>
      <c r="AI123" s="307" t="n"/>
      <c r="AJ123" s="307" t="n"/>
      <c r="AK123" s="307" t="n"/>
      <c r="AL123" s="307" t="n"/>
      <c r="AM123" s="307" t="n"/>
      <c r="AN123" s="307" t="n"/>
      <c r="AO123" s="307" t="n"/>
      <c r="AP123" s="307" t="n"/>
      <c r="AQ123" s="307" t="n"/>
      <c r="AR123" s="307" t="n"/>
      <c r="AS123" s="307" t="n"/>
      <c r="AT123" s="307" t="n"/>
      <c r="AU123" s="307" t="n"/>
      <c r="AV123" s="307" t="n"/>
      <c r="AW123" s="307" t="n"/>
      <c r="AX123" s="307" t="n"/>
      <c r="AY123" s="307" t="n"/>
      <c r="AZ123" s="307" t="n"/>
      <c r="BA123" s="233" t="n"/>
      <c r="BB123" s="307" t="n"/>
      <c r="BC123" s="307" t="n"/>
      <c r="BD123" s="307" t="n"/>
      <c r="BE123" s="307" t="n"/>
      <c r="BF123" s="307" t="n"/>
      <c r="BG123" s="31" t="n"/>
      <c r="BH123" s="31" t="n"/>
      <c r="BI123" s="31" t="n"/>
      <c r="BJ123" s="31" t="n"/>
    </row>
    <row r="124" ht="15.75" customHeight="1" s="349">
      <c r="A124" s="307" t="n"/>
      <c r="B124" s="307" t="n"/>
      <c r="C124" s="307" t="n"/>
      <c r="D124" s="307" t="n"/>
      <c r="E124" s="307" t="n"/>
      <c r="F124" s="307" t="n"/>
      <c r="G124" s="307" t="n"/>
      <c r="H124" s="307" t="n"/>
      <c r="I124" s="307" t="n"/>
      <c r="J124" s="307" t="n"/>
      <c r="K124" s="307" t="n"/>
      <c r="L124" s="307" t="n"/>
      <c r="M124" s="307" t="n"/>
      <c r="N124" s="307" t="n"/>
      <c r="O124" s="307" t="n"/>
      <c r="P124" s="307" t="n"/>
      <c r="Q124" s="307" t="n"/>
      <c r="R124" s="307" t="n"/>
      <c r="S124" s="307" t="n"/>
      <c r="T124" s="307" t="n"/>
      <c r="U124" s="307" t="n"/>
      <c r="V124" s="307" t="n"/>
      <c r="W124" s="307" t="n"/>
      <c r="X124" s="307" t="n"/>
      <c r="Y124" s="307" t="n"/>
      <c r="Z124" s="307" t="n"/>
      <c r="AA124" s="307" t="n"/>
      <c r="AB124" s="307" t="n"/>
      <c r="AC124" s="307" t="n"/>
      <c r="AD124" s="307" t="n"/>
      <c r="AE124" s="307" t="n"/>
      <c r="AF124" s="307" t="n"/>
      <c r="AG124" s="307" t="n"/>
      <c r="AH124" s="307" t="n"/>
      <c r="AI124" s="307" t="n"/>
      <c r="AJ124" s="307" t="n"/>
      <c r="AK124" s="307" t="n"/>
      <c r="AL124" s="307" t="n"/>
      <c r="AM124" s="307" t="n"/>
      <c r="AN124" s="307" t="n"/>
      <c r="AO124" s="307" t="n"/>
      <c r="AP124" s="307" t="n"/>
      <c r="AQ124" s="307" t="n"/>
      <c r="AR124" s="307" t="n"/>
      <c r="AS124" s="307" t="n"/>
      <c r="AT124" s="307" t="n"/>
      <c r="AU124" s="307" t="n"/>
      <c r="AV124" s="307" t="n"/>
      <c r="AW124" s="307" t="n"/>
      <c r="AX124" s="307" t="n"/>
      <c r="AY124" s="307" t="n"/>
      <c r="AZ124" s="307" t="n"/>
      <c r="BA124" s="233" t="n"/>
      <c r="BB124" s="307" t="n"/>
      <c r="BC124" s="307" t="n"/>
      <c r="BD124" s="307" t="n"/>
      <c r="BE124" s="307" t="n"/>
      <c r="BF124" s="307" t="n"/>
      <c r="BG124" s="31" t="n"/>
      <c r="BH124" s="31" t="n"/>
      <c r="BI124" s="31" t="n"/>
      <c r="BJ124" s="31" t="n"/>
    </row>
    <row r="125" ht="15.75" customHeight="1" s="349">
      <c r="A125" s="307" t="n"/>
      <c r="B125" s="307" t="n"/>
      <c r="C125" s="307" t="n"/>
      <c r="D125" s="307" t="n"/>
      <c r="E125" s="307" t="n"/>
      <c r="F125" s="307" t="n"/>
      <c r="G125" s="307" t="n"/>
      <c r="H125" s="307" t="n"/>
      <c r="I125" s="307" t="n"/>
      <c r="J125" s="307" t="n"/>
      <c r="K125" s="307" t="n"/>
      <c r="L125" s="307" t="n"/>
      <c r="M125" s="307" t="n"/>
      <c r="N125" s="307" t="n"/>
      <c r="O125" s="307" t="n"/>
      <c r="P125" s="307" t="n"/>
      <c r="Q125" s="307" t="n"/>
      <c r="R125" s="307" t="n"/>
      <c r="S125" s="307" t="n"/>
      <c r="T125" s="307" t="n"/>
      <c r="U125" s="307" t="n"/>
      <c r="V125" s="307" t="n"/>
      <c r="W125" s="307" t="n"/>
      <c r="X125" s="307" t="n"/>
      <c r="Y125" s="307" t="n"/>
      <c r="Z125" s="307" t="n"/>
      <c r="AA125" s="307" t="n"/>
      <c r="AB125" s="307" t="n"/>
      <c r="AC125" s="307" t="n"/>
      <c r="AD125" s="307" t="n"/>
      <c r="AE125" s="307" t="n"/>
      <c r="AF125" s="307" t="n"/>
      <c r="AG125" s="307" t="n"/>
      <c r="AH125" s="307" t="n"/>
      <c r="AI125" s="307" t="n"/>
      <c r="AJ125" s="307" t="n"/>
      <c r="AK125" s="307" t="n"/>
      <c r="AL125" s="307" t="n"/>
      <c r="AM125" s="307" t="n"/>
      <c r="AN125" s="307" t="n"/>
      <c r="AO125" s="307" t="n"/>
      <c r="AP125" s="307" t="n"/>
      <c r="AQ125" s="307" t="n"/>
      <c r="AR125" s="307" t="n"/>
      <c r="AS125" s="307" t="n"/>
      <c r="AT125" s="307" t="n"/>
      <c r="AU125" s="307" t="n"/>
      <c r="AV125" s="307" t="n"/>
      <c r="AW125" s="307" t="n"/>
      <c r="AX125" s="307" t="n"/>
      <c r="AY125" s="307" t="n"/>
      <c r="AZ125" s="307" t="n"/>
      <c r="BA125" s="233" t="n"/>
      <c r="BB125" s="307" t="n"/>
      <c r="BC125" s="307" t="n"/>
      <c r="BD125" s="307" t="n"/>
      <c r="BE125" s="307" t="n"/>
      <c r="BF125" s="307" t="n"/>
      <c r="BG125" s="31" t="n"/>
      <c r="BH125" s="31" t="n"/>
      <c r="BI125" s="31" t="n"/>
      <c r="BJ125" s="31" t="n"/>
    </row>
    <row r="126" ht="15.75" customHeight="1" s="349">
      <c r="A126" s="307" t="n"/>
      <c r="B126" s="307" t="n"/>
      <c r="C126" s="307" t="n"/>
      <c r="D126" s="307" t="n"/>
      <c r="E126" s="307" t="n"/>
      <c r="F126" s="307" t="n"/>
      <c r="G126" s="307" t="n"/>
      <c r="H126" s="307" t="n"/>
      <c r="I126" s="307" t="n"/>
      <c r="J126" s="307" t="n"/>
      <c r="K126" s="307" t="n"/>
      <c r="L126" s="307" t="n"/>
      <c r="M126" s="307" t="n"/>
      <c r="N126" s="307" t="n"/>
      <c r="O126" s="307" t="n"/>
      <c r="P126" s="307" t="n"/>
      <c r="Q126" s="307" t="n"/>
      <c r="R126" s="307" t="n"/>
      <c r="S126" s="307" t="n"/>
      <c r="T126" s="307" t="n"/>
      <c r="U126" s="307" t="n"/>
      <c r="V126" s="307" t="n"/>
      <c r="W126" s="307" t="n"/>
      <c r="X126" s="307" t="n"/>
      <c r="Y126" s="307" t="n"/>
      <c r="Z126" s="307" t="n"/>
      <c r="AA126" s="307" t="n"/>
      <c r="AB126" s="307" t="n"/>
      <c r="AC126" s="307" t="n"/>
      <c r="AD126" s="307" t="n"/>
      <c r="AE126" s="307" t="n"/>
      <c r="AF126" s="307" t="n"/>
      <c r="AG126" s="307" t="n"/>
      <c r="AH126" s="307" t="n"/>
      <c r="AI126" s="307" t="n"/>
      <c r="AJ126" s="307" t="n"/>
      <c r="AK126" s="307" t="n"/>
      <c r="AL126" s="307" t="n"/>
      <c r="AM126" s="307" t="n"/>
      <c r="AN126" s="307" t="n"/>
      <c r="AO126" s="307" t="n"/>
      <c r="AP126" s="307" t="n"/>
      <c r="AQ126" s="307" t="n"/>
      <c r="AR126" s="307" t="n"/>
      <c r="AS126" s="307" t="n"/>
      <c r="AT126" s="307" t="n"/>
      <c r="AU126" s="307" t="n"/>
      <c r="AV126" s="307" t="n"/>
      <c r="AW126" s="307" t="n"/>
      <c r="AX126" s="307" t="n"/>
      <c r="AY126" s="307" t="n"/>
      <c r="AZ126" s="307" t="n"/>
      <c r="BA126" s="233" t="n"/>
      <c r="BB126" s="307" t="n"/>
      <c r="BC126" s="307" t="n"/>
      <c r="BD126" s="307" t="n"/>
      <c r="BE126" s="307" t="n"/>
      <c r="BF126" s="307" t="n"/>
      <c r="BG126" s="31" t="n"/>
      <c r="BH126" s="31" t="n"/>
      <c r="BI126" s="31" t="n"/>
      <c r="BJ126" s="31" t="n"/>
    </row>
    <row r="127" ht="15.75" customHeight="1" s="349">
      <c r="A127" s="307" t="n"/>
      <c r="B127" s="307" t="n"/>
      <c r="C127" s="307" t="n"/>
      <c r="D127" s="307" t="n"/>
      <c r="E127" s="307" t="n"/>
      <c r="F127" s="307" t="n"/>
      <c r="G127" s="307" t="n"/>
      <c r="H127" s="307" t="n"/>
      <c r="I127" s="307" t="n"/>
      <c r="J127" s="307" t="n"/>
      <c r="K127" s="307" t="n"/>
      <c r="L127" s="307" t="n"/>
      <c r="M127" s="307" t="n"/>
      <c r="N127" s="307" t="n"/>
      <c r="O127" s="307" t="n"/>
      <c r="P127" s="307" t="n"/>
      <c r="Q127" s="307" t="n"/>
      <c r="R127" s="307" t="n"/>
      <c r="S127" s="307" t="n"/>
      <c r="T127" s="307" t="n"/>
      <c r="U127" s="307" t="n"/>
      <c r="V127" s="307" t="n"/>
      <c r="W127" s="307" t="n"/>
      <c r="X127" s="307" t="n"/>
      <c r="Y127" s="307" t="n"/>
      <c r="Z127" s="307" t="n"/>
      <c r="AA127" s="307" t="n"/>
      <c r="AB127" s="307" t="n"/>
      <c r="AC127" s="307" t="n"/>
      <c r="AD127" s="307" t="n"/>
      <c r="AE127" s="307" t="n"/>
      <c r="AF127" s="307" t="n"/>
      <c r="AG127" s="307" t="n"/>
      <c r="AH127" s="307" t="n"/>
      <c r="AI127" s="307" t="n"/>
      <c r="AJ127" s="307" t="n"/>
      <c r="AK127" s="307" t="n"/>
      <c r="AL127" s="307" t="n"/>
      <c r="AM127" s="307" t="n"/>
      <c r="AN127" s="307" t="n"/>
      <c r="AO127" s="307" t="n"/>
      <c r="AP127" s="307" t="n"/>
      <c r="AQ127" s="307" t="n"/>
      <c r="AR127" s="307" t="n"/>
      <c r="AS127" s="307" t="n"/>
      <c r="AT127" s="307" t="n"/>
      <c r="AU127" s="307" t="n"/>
      <c r="AV127" s="307" t="n"/>
      <c r="AW127" s="307" t="n"/>
      <c r="AX127" s="307" t="n"/>
      <c r="AY127" s="307" t="n"/>
      <c r="AZ127" s="307" t="n"/>
      <c r="BA127" s="233" t="n"/>
      <c r="BB127" s="307" t="n"/>
      <c r="BC127" s="307" t="n"/>
      <c r="BD127" s="307" t="n"/>
      <c r="BE127" s="307" t="n"/>
      <c r="BF127" s="307" t="n"/>
      <c r="BG127" s="31" t="n"/>
      <c r="BH127" s="31" t="n"/>
      <c r="BI127" s="31" t="n"/>
      <c r="BJ127" s="31" t="n"/>
    </row>
    <row r="128" ht="15.75" customHeight="1" s="349">
      <c r="A128" s="307" t="n"/>
      <c r="B128" s="307" t="n"/>
      <c r="C128" s="307" t="n"/>
      <c r="D128" s="307" t="n"/>
      <c r="E128" s="307" t="n"/>
      <c r="F128" s="307" t="n"/>
      <c r="G128" s="307" t="n"/>
      <c r="H128" s="307" t="n"/>
      <c r="I128" s="307" t="n"/>
      <c r="J128" s="307" t="n"/>
      <c r="K128" s="307" t="n"/>
      <c r="L128" s="307" t="n"/>
      <c r="M128" s="307" t="n"/>
      <c r="N128" s="307" t="n"/>
      <c r="O128" s="307" t="n"/>
      <c r="P128" s="307" t="n"/>
      <c r="Q128" s="307" t="n"/>
      <c r="R128" s="307" t="n"/>
      <c r="S128" s="307" t="n"/>
      <c r="T128" s="307" t="n"/>
      <c r="U128" s="307" t="n"/>
      <c r="V128" s="307" t="n"/>
      <c r="W128" s="307" t="n"/>
      <c r="X128" s="307" t="n"/>
      <c r="Y128" s="307" t="n"/>
      <c r="Z128" s="307" t="n"/>
      <c r="AA128" s="307" t="n"/>
      <c r="AB128" s="307" t="n"/>
      <c r="AC128" s="307" t="n"/>
      <c r="AD128" s="307" t="n"/>
      <c r="AE128" s="307" t="n"/>
      <c r="AF128" s="307" t="n"/>
      <c r="AG128" s="307" t="n"/>
      <c r="AH128" s="307" t="n"/>
      <c r="AI128" s="307" t="n"/>
      <c r="AJ128" s="307" t="n"/>
      <c r="AK128" s="307" t="n"/>
      <c r="AL128" s="307" t="n"/>
      <c r="AM128" s="307" t="n"/>
      <c r="AN128" s="307" t="n"/>
      <c r="AO128" s="307" t="n"/>
      <c r="AP128" s="307" t="n"/>
      <c r="AQ128" s="307" t="n"/>
      <c r="AR128" s="307" t="n"/>
      <c r="AS128" s="307" t="n"/>
      <c r="AT128" s="307" t="n"/>
      <c r="AU128" s="307" t="n"/>
      <c r="AV128" s="307" t="n"/>
      <c r="AW128" s="307" t="n"/>
      <c r="AX128" s="307" t="n"/>
      <c r="AY128" s="307" t="n"/>
      <c r="AZ128" s="307" t="n"/>
      <c r="BA128" s="233" t="n"/>
      <c r="BB128" s="307" t="n"/>
      <c r="BC128" s="307" t="n"/>
      <c r="BD128" s="307" t="n"/>
      <c r="BE128" s="307" t="n"/>
      <c r="BF128" s="307" t="n"/>
      <c r="BG128" s="31" t="n"/>
      <c r="BH128" s="31" t="n"/>
      <c r="BI128" s="31" t="n"/>
      <c r="BJ128" s="31" t="n"/>
    </row>
    <row r="129" ht="15.75" customHeight="1" s="349">
      <c r="A129" s="307" t="n"/>
      <c r="B129" s="307" t="n"/>
      <c r="C129" s="307" t="n"/>
      <c r="D129" s="307" t="n"/>
      <c r="E129" s="307" t="n"/>
      <c r="F129" s="307" t="n"/>
      <c r="G129" s="307" t="n"/>
      <c r="H129" s="307" t="n"/>
      <c r="I129" s="307" t="n"/>
      <c r="J129" s="307" t="n"/>
      <c r="K129" s="307" t="n"/>
      <c r="L129" s="307" t="n"/>
      <c r="M129" s="307" t="n"/>
      <c r="N129" s="307" t="n"/>
      <c r="O129" s="307" t="n"/>
      <c r="P129" s="307" t="n"/>
      <c r="Q129" s="307" t="n"/>
      <c r="R129" s="307" t="n"/>
      <c r="S129" s="307" t="n"/>
      <c r="T129" s="307" t="n"/>
      <c r="U129" s="307" t="n"/>
      <c r="V129" s="307" t="n"/>
      <c r="W129" s="307" t="n"/>
      <c r="X129" s="307" t="n"/>
      <c r="Y129" s="307" t="n"/>
      <c r="Z129" s="307" t="n"/>
      <c r="AA129" s="307" t="n"/>
      <c r="AB129" s="307" t="n"/>
      <c r="AC129" s="307" t="n"/>
      <c r="AD129" s="307" t="n"/>
      <c r="AE129" s="307" t="n"/>
      <c r="AF129" s="307" t="n"/>
      <c r="AG129" s="307" t="n"/>
      <c r="AH129" s="307" t="n"/>
      <c r="AI129" s="307" t="n"/>
      <c r="AJ129" s="307" t="n"/>
      <c r="AK129" s="307" t="n"/>
      <c r="AL129" s="307" t="n"/>
      <c r="AM129" s="307" t="n"/>
      <c r="AN129" s="307" t="n"/>
      <c r="AO129" s="307" t="n"/>
      <c r="AP129" s="307" t="n"/>
      <c r="AQ129" s="307" t="n"/>
      <c r="AR129" s="307" t="n"/>
      <c r="AS129" s="307" t="n"/>
      <c r="AT129" s="307" t="n"/>
      <c r="AU129" s="307" t="n"/>
      <c r="AV129" s="307" t="n"/>
      <c r="AW129" s="307" t="n"/>
      <c r="AX129" s="307" t="n"/>
      <c r="AY129" s="307" t="n"/>
      <c r="AZ129" s="307" t="n"/>
      <c r="BA129" s="233" t="n"/>
      <c r="BB129" s="307" t="n"/>
      <c r="BC129" s="307" t="n"/>
      <c r="BD129" s="307" t="n"/>
      <c r="BE129" s="307" t="n"/>
      <c r="BF129" s="307" t="n"/>
      <c r="BG129" s="31" t="n"/>
      <c r="BH129" s="31" t="n"/>
      <c r="BI129" s="31" t="n"/>
      <c r="BJ129" s="31" t="n"/>
    </row>
    <row r="130" ht="15.75" customHeight="1" s="349">
      <c r="A130" s="307" t="n"/>
      <c r="B130" s="307" t="n"/>
      <c r="C130" s="307" t="n"/>
      <c r="D130" s="307" t="n"/>
      <c r="E130" s="307" t="n"/>
      <c r="F130" s="307" t="n"/>
      <c r="G130" s="307" t="n"/>
      <c r="H130" s="307" t="n"/>
      <c r="I130" s="307" t="n"/>
      <c r="J130" s="307" t="n"/>
      <c r="K130" s="307" t="n"/>
      <c r="L130" s="307" t="n"/>
      <c r="M130" s="307" t="n"/>
      <c r="N130" s="307" t="n"/>
      <c r="O130" s="307" t="n"/>
      <c r="P130" s="307" t="n"/>
      <c r="Q130" s="307" t="n"/>
      <c r="R130" s="307" t="n"/>
      <c r="S130" s="307" t="n"/>
      <c r="T130" s="307" t="n"/>
      <c r="U130" s="307" t="n"/>
      <c r="V130" s="307" t="n"/>
      <c r="W130" s="307" t="n"/>
      <c r="X130" s="307" t="n"/>
      <c r="Y130" s="307" t="n"/>
      <c r="Z130" s="307" t="n"/>
      <c r="AA130" s="307" t="n"/>
      <c r="AB130" s="307" t="n"/>
      <c r="AC130" s="307" t="n"/>
      <c r="AD130" s="307" t="n"/>
      <c r="AE130" s="307" t="n"/>
      <c r="AF130" s="307" t="n"/>
      <c r="AG130" s="307" t="n"/>
      <c r="AH130" s="307" t="n"/>
      <c r="AI130" s="307" t="n"/>
      <c r="AJ130" s="307" t="n"/>
      <c r="AK130" s="307" t="n"/>
      <c r="AL130" s="307" t="n"/>
      <c r="AM130" s="307" t="n"/>
      <c r="AN130" s="307" t="n"/>
      <c r="AO130" s="307" t="n"/>
      <c r="AP130" s="307" t="n"/>
      <c r="AQ130" s="307" t="n"/>
      <c r="AR130" s="307" t="n"/>
      <c r="AS130" s="307" t="n"/>
      <c r="AT130" s="307" t="n"/>
      <c r="AU130" s="307" t="n"/>
      <c r="AV130" s="307" t="n"/>
      <c r="AW130" s="307" t="n"/>
      <c r="AX130" s="307" t="n"/>
      <c r="AY130" s="307" t="n"/>
      <c r="AZ130" s="307" t="n"/>
      <c r="BA130" s="233" t="n"/>
      <c r="BB130" s="307" t="n"/>
      <c r="BC130" s="307" t="n"/>
      <c r="BD130" s="307" t="n"/>
      <c r="BE130" s="307" t="n"/>
      <c r="BF130" s="307" t="n"/>
      <c r="BG130" s="31" t="n"/>
      <c r="BH130" s="31" t="n"/>
      <c r="BI130" s="31" t="n"/>
      <c r="BJ130" s="31" t="n"/>
    </row>
    <row r="131" ht="15.75" customHeight="1" s="349">
      <c r="A131" s="307" t="n"/>
      <c r="B131" s="307" t="n"/>
      <c r="C131" s="307" t="n"/>
      <c r="D131" s="307" t="n"/>
      <c r="E131" s="307" t="n"/>
      <c r="F131" s="307" t="n"/>
      <c r="G131" s="307" t="n"/>
      <c r="H131" s="307" t="n"/>
      <c r="I131" s="307" t="n"/>
      <c r="J131" s="307" t="n"/>
      <c r="K131" s="307" t="n"/>
      <c r="L131" s="307" t="n"/>
      <c r="M131" s="307" t="n"/>
      <c r="N131" s="307" t="n"/>
      <c r="O131" s="307" t="n"/>
      <c r="P131" s="307" t="n"/>
      <c r="Q131" s="307" t="n"/>
      <c r="R131" s="307" t="n"/>
      <c r="S131" s="307" t="n"/>
      <c r="T131" s="307" t="n"/>
      <c r="U131" s="307" t="n"/>
      <c r="V131" s="307" t="n"/>
      <c r="W131" s="307" t="n"/>
      <c r="X131" s="307" t="n"/>
      <c r="Y131" s="307" t="n"/>
      <c r="Z131" s="307" t="n"/>
      <c r="AA131" s="307" t="n"/>
      <c r="AB131" s="307" t="n"/>
      <c r="AC131" s="307" t="n"/>
      <c r="AD131" s="307" t="n"/>
      <c r="AE131" s="307" t="n"/>
      <c r="AF131" s="307" t="n"/>
      <c r="AG131" s="307" t="n"/>
      <c r="AH131" s="307" t="n"/>
      <c r="AI131" s="307" t="n"/>
      <c r="AJ131" s="307" t="n"/>
      <c r="AK131" s="307" t="n"/>
      <c r="AL131" s="307" t="n"/>
      <c r="AM131" s="307" t="n"/>
      <c r="AN131" s="307" t="n"/>
      <c r="AO131" s="307" t="n"/>
      <c r="AP131" s="307" t="n"/>
      <c r="AQ131" s="307" t="n"/>
      <c r="AR131" s="307" t="n"/>
      <c r="AS131" s="307" t="n"/>
      <c r="AT131" s="307" t="n"/>
      <c r="AU131" s="307" t="n"/>
      <c r="AV131" s="307" t="n"/>
      <c r="AW131" s="307" t="n"/>
      <c r="AX131" s="307" t="n"/>
      <c r="AY131" s="307" t="n"/>
      <c r="AZ131" s="307" t="n"/>
      <c r="BA131" s="233" t="n"/>
      <c r="BB131" s="307" t="n"/>
      <c r="BC131" s="307" t="n"/>
      <c r="BD131" s="307" t="n"/>
      <c r="BE131" s="307" t="n"/>
      <c r="BF131" s="307" t="n"/>
      <c r="BG131" s="31" t="n"/>
      <c r="BH131" s="31" t="n"/>
      <c r="BI131" s="31" t="n"/>
      <c r="BJ131" s="31" t="n"/>
    </row>
    <row r="132" ht="15.75" customHeight="1" s="349">
      <c r="A132" s="307" t="n"/>
      <c r="B132" s="307" t="n"/>
      <c r="C132" s="307" t="n"/>
      <c r="D132" s="307" t="n"/>
      <c r="E132" s="307" t="n"/>
      <c r="F132" s="307" t="n"/>
      <c r="G132" s="307" t="n"/>
      <c r="H132" s="307" t="n"/>
      <c r="I132" s="307" t="n"/>
      <c r="J132" s="307" t="n"/>
      <c r="K132" s="307" t="n"/>
      <c r="L132" s="307" t="n"/>
      <c r="M132" s="307" t="n"/>
      <c r="N132" s="307" t="n"/>
      <c r="O132" s="307" t="n"/>
      <c r="P132" s="307" t="n"/>
      <c r="Q132" s="307" t="n"/>
      <c r="R132" s="307" t="n"/>
      <c r="S132" s="307" t="n"/>
      <c r="T132" s="307" t="n"/>
      <c r="U132" s="307" t="n"/>
      <c r="V132" s="307" t="n"/>
      <c r="W132" s="307" t="n"/>
      <c r="X132" s="307" t="n"/>
      <c r="Y132" s="307" t="n"/>
      <c r="Z132" s="307" t="n"/>
      <c r="AA132" s="307" t="n"/>
      <c r="AB132" s="307" t="n"/>
      <c r="AC132" s="307" t="n"/>
      <c r="AD132" s="307" t="n"/>
      <c r="AE132" s="307" t="n"/>
      <c r="AF132" s="307" t="n"/>
      <c r="AG132" s="307" t="n"/>
      <c r="AH132" s="307" t="n"/>
      <c r="AI132" s="307" t="n"/>
      <c r="AJ132" s="307" t="n"/>
      <c r="AK132" s="307" t="n"/>
      <c r="AL132" s="307" t="n"/>
      <c r="AM132" s="307" t="n"/>
      <c r="AN132" s="307" t="n"/>
      <c r="AO132" s="307" t="n"/>
      <c r="AP132" s="307" t="n"/>
      <c r="AQ132" s="307" t="n"/>
      <c r="AR132" s="307" t="n"/>
      <c r="AS132" s="307" t="n"/>
      <c r="AT132" s="307" t="n"/>
      <c r="AU132" s="307" t="n"/>
      <c r="AV132" s="307" t="n"/>
      <c r="AW132" s="307" t="n"/>
      <c r="AX132" s="307" t="n"/>
      <c r="AY132" s="307" t="n"/>
      <c r="AZ132" s="307" t="n"/>
      <c r="BA132" s="233" t="n"/>
      <c r="BB132" s="307" t="n"/>
      <c r="BC132" s="307" t="n"/>
      <c r="BD132" s="307" t="n"/>
      <c r="BE132" s="307" t="n"/>
      <c r="BF132" s="307" t="n"/>
      <c r="BG132" s="31" t="n"/>
      <c r="BH132" s="31" t="n"/>
      <c r="BI132" s="31" t="n"/>
      <c r="BJ132" s="31" t="n"/>
    </row>
    <row r="133" ht="15.75" customHeight="1" s="349">
      <c r="A133" s="307" t="n"/>
      <c r="B133" s="307" t="n"/>
      <c r="C133" s="307" t="n"/>
      <c r="D133" s="307" t="n"/>
      <c r="E133" s="307" t="n"/>
      <c r="F133" s="307" t="n"/>
      <c r="G133" s="307" t="n"/>
      <c r="H133" s="307" t="n"/>
      <c r="I133" s="307" t="n"/>
      <c r="J133" s="307" t="n"/>
      <c r="K133" s="307" t="n"/>
      <c r="L133" s="307" t="n"/>
      <c r="M133" s="307" t="n"/>
      <c r="N133" s="307" t="n"/>
      <c r="O133" s="307" t="n"/>
      <c r="P133" s="307" t="n"/>
      <c r="Q133" s="307" t="n"/>
      <c r="R133" s="307" t="n"/>
      <c r="S133" s="307" t="n"/>
      <c r="T133" s="307" t="n"/>
      <c r="U133" s="307" t="n"/>
      <c r="V133" s="307" t="n"/>
      <c r="W133" s="307" t="n"/>
      <c r="X133" s="307" t="n"/>
      <c r="Y133" s="307" t="n"/>
      <c r="Z133" s="307" t="n"/>
      <c r="AA133" s="307" t="n"/>
      <c r="AB133" s="307" t="n"/>
      <c r="AC133" s="307" t="n"/>
      <c r="AD133" s="307" t="n"/>
      <c r="AE133" s="307" t="n"/>
      <c r="AF133" s="307" t="n"/>
      <c r="AG133" s="307" t="n"/>
      <c r="AH133" s="307" t="n"/>
      <c r="AI133" s="307" t="n"/>
      <c r="AJ133" s="307" t="n"/>
      <c r="AK133" s="307" t="n"/>
      <c r="AL133" s="307" t="n"/>
      <c r="AM133" s="307" t="n"/>
      <c r="AN133" s="307" t="n"/>
      <c r="AO133" s="307" t="n"/>
      <c r="AP133" s="307" t="n"/>
      <c r="AQ133" s="307" t="n"/>
      <c r="AR133" s="307" t="n"/>
      <c r="AS133" s="307" t="n"/>
      <c r="AT133" s="307" t="n"/>
      <c r="AU133" s="307" t="n"/>
      <c r="AV133" s="307" t="n"/>
      <c r="AW133" s="307" t="n"/>
      <c r="AX133" s="307" t="n"/>
      <c r="AY133" s="307" t="n"/>
      <c r="AZ133" s="307" t="n"/>
      <c r="BA133" s="233" t="n"/>
      <c r="BB133" s="307" t="n"/>
      <c r="BC133" s="307" t="n"/>
      <c r="BD133" s="307" t="n"/>
      <c r="BE133" s="307" t="n"/>
      <c r="BF133" s="307" t="n"/>
      <c r="BG133" s="31" t="n"/>
      <c r="BH133" s="31" t="n"/>
      <c r="BI133" s="31" t="n"/>
      <c r="BJ133" s="31" t="n"/>
    </row>
    <row r="134" ht="15.75" customHeight="1" s="349">
      <c r="A134" s="307" t="n"/>
      <c r="B134" s="307" t="n"/>
      <c r="C134" s="307" t="n"/>
      <c r="D134" s="307" t="n"/>
      <c r="E134" s="307" t="n"/>
      <c r="F134" s="307" t="n"/>
      <c r="G134" s="307" t="n"/>
      <c r="H134" s="307" t="n"/>
      <c r="I134" s="307" t="n"/>
      <c r="J134" s="307" t="n"/>
      <c r="K134" s="307" t="n"/>
      <c r="L134" s="307" t="n"/>
      <c r="M134" s="307" t="n"/>
      <c r="N134" s="307" t="n"/>
      <c r="O134" s="307" t="n"/>
      <c r="P134" s="307" t="n"/>
      <c r="Q134" s="307" t="n"/>
      <c r="R134" s="307" t="n"/>
      <c r="S134" s="307" t="n"/>
      <c r="T134" s="307" t="n"/>
      <c r="U134" s="307" t="n"/>
      <c r="V134" s="307" t="n"/>
      <c r="W134" s="307" t="n"/>
      <c r="X134" s="307" t="n"/>
      <c r="Y134" s="307" t="n"/>
      <c r="Z134" s="307" t="n"/>
      <c r="AA134" s="307" t="n"/>
      <c r="AB134" s="307" t="n"/>
      <c r="AC134" s="307" t="n"/>
      <c r="AD134" s="307" t="n"/>
      <c r="AE134" s="307" t="n"/>
      <c r="AF134" s="307" t="n"/>
      <c r="AG134" s="307" t="n"/>
      <c r="AH134" s="307" t="n"/>
      <c r="AI134" s="307" t="n"/>
      <c r="AJ134" s="307" t="n"/>
      <c r="AK134" s="307" t="n"/>
      <c r="AL134" s="307" t="n"/>
      <c r="AM134" s="307" t="n"/>
      <c r="AN134" s="307" t="n"/>
      <c r="AO134" s="307" t="n"/>
      <c r="AP134" s="307" t="n"/>
      <c r="AQ134" s="307" t="n"/>
      <c r="AR134" s="307" t="n"/>
      <c r="AS134" s="307" t="n"/>
      <c r="AT134" s="307" t="n"/>
      <c r="AU134" s="307" t="n"/>
      <c r="AV134" s="307" t="n"/>
      <c r="AW134" s="307" t="n"/>
      <c r="AX134" s="307" t="n"/>
      <c r="AY134" s="307" t="n"/>
      <c r="AZ134" s="307" t="n"/>
      <c r="BA134" s="233" t="n"/>
      <c r="BB134" s="307" t="n"/>
      <c r="BC134" s="307" t="n"/>
      <c r="BD134" s="307" t="n"/>
      <c r="BE134" s="307" t="n"/>
      <c r="BF134" s="307" t="n"/>
      <c r="BG134" s="31" t="n"/>
      <c r="BH134" s="31" t="n"/>
      <c r="BI134" s="31" t="n"/>
      <c r="BJ134" s="31" t="n"/>
    </row>
    <row r="135" ht="15.75" customHeight="1" s="349">
      <c r="A135" s="307" t="n"/>
      <c r="B135" s="307" t="n"/>
      <c r="C135" s="307" t="n"/>
      <c r="D135" s="307" t="n"/>
      <c r="E135" s="307" t="n"/>
      <c r="F135" s="307" t="n"/>
      <c r="G135" s="307" t="n"/>
      <c r="H135" s="307" t="n"/>
      <c r="I135" s="307" t="n"/>
      <c r="J135" s="307" t="n"/>
      <c r="K135" s="307" t="n"/>
      <c r="L135" s="307" t="n"/>
      <c r="M135" s="307" t="n"/>
      <c r="N135" s="307" t="n"/>
      <c r="O135" s="307" t="n"/>
      <c r="P135" s="307" t="n"/>
      <c r="Q135" s="307" t="n"/>
      <c r="R135" s="307" t="n"/>
      <c r="S135" s="307" t="n"/>
      <c r="T135" s="307" t="n"/>
      <c r="U135" s="307" t="n"/>
      <c r="V135" s="307" t="n"/>
      <c r="W135" s="307" t="n"/>
      <c r="X135" s="307" t="n"/>
      <c r="Y135" s="307" t="n"/>
      <c r="Z135" s="307" t="n"/>
      <c r="AA135" s="307" t="n"/>
      <c r="AB135" s="307" t="n"/>
      <c r="AC135" s="307" t="n"/>
      <c r="AD135" s="307" t="n"/>
      <c r="AE135" s="307" t="n"/>
      <c r="AF135" s="307" t="n"/>
      <c r="AG135" s="307" t="n"/>
      <c r="AH135" s="307" t="n"/>
      <c r="AI135" s="307" t="n"/>
      <c r="AJ135" s="307" t="n"/>
      <c r="AK135" s="307" t="n"/>
      <c r="AL135" s="307" t="n"/>
      <c r="AM135" s="307" t="n"/>
      <c r="AN135" s="307" t="n"/>
      <c r="AO135" s="307" t="n"/>
      <c r="AP135" s="307" t="n"/>
      <c r="AQ135" s="307" t="n"/>
      <c r="AR135" s="307" t="n"/>
      <c r="AS135" s="307" t="n"/>
      <c r="AT135" s="307" t="n"/>
      <c r="AU135" s="307" t="n"/>
      <c r="AV135" s="307" t="n"/>
      <c r="AW135" s="307" t="n"/>
      <c r="AX135" s="307" t="n"/>
      <c r="AY135" s="307" t="n"/>
      <c r="AZ135" s="307" t="n"/>
      <c r="BA135" s="233" t="n"/>
      <c r="BB135" s="307" t="n"/>
      <c r="BC135" s="307" t="n"/>
      <c r="BD135" s="307" t="n"/>
      <c r="BE135" s="307" t="n"/>
      <c r="BF135" s="307" t="n"/>
      <c r="BG135" s="31" t="n"/>
      <c r="BH135" s="31" t="n"/>
      <c r="BI135" s="31" t="n"/>
      <c r="BJ135" s="31" t="n"/>
    </row>
    <row r="136" ht="15.75" customHeight="1" s="349">
      <c r="A136" s="307" t="n"/>
      <c r="B136" s="307" t="n"/>
      <c r="C136" s="307" t="n"/>
      <c r="D136" s="307" t="n"/>
      <c r="E136" s="307" t="n"/>
      <c r="F136" s="307" t="n"/>
      <c r="G136" s="307" t="n"/>
      <c r="H136" s="307" t="n"/>
      <c r="I136" s="307" t="n"/>
      <c r="J136" s="307" t="n"/>
      <c r="K136" s="307" t="n"/>
      <c r="L136" s="307" t="n"/>
      <c r="M136" s="307" t="n"/>
      <c r="N136" s="307" t="n"/>
      <c r="O136" s="307" t="n"/>
      <c r="P136" s="307" t="n"/>
      <c r="Q136" s="307" t="n"/>
      <c r="R136" s="307" t="n"/>
      <c r="S136" s="307" t="n"/>
      <c r="T136" s="307" t="n"/>
      <c r="U136" s="307" t="n"/>
      <c r="V136" s="307" t="n"/>
      <c r="W136" s="307" t="n"/>
      <c r="X136" s="307" t="n"/>
      <c r="Y136" s="307" t="n"/>
      <c r="Z136" s="307" t="n"/>
      <c r="AA136" s="307" t="n"/>
      <c r="AB136" s="307" t="n"/>
      <c r="AC136" s="307" t="n"/>
      <c r="AD136" s="307" t="n"/>
      <c r="AE136" s="307" t="n"/>
      <c r="AF136" s="307" t="n"/>
      <c r="AG136" s="307" t="n"/>
      <c r="AH136" s="307" t="n"/>
      <c r="AI136" s="307" t="n"/>
      <c r="AJ136" s="307" t="n"/>
      <c r="AK136" s="307" t="n"/>
      <c r="AL136" s="307" t="n"/>
      <c r="AM136" s="307" t="n"/>
      <c r="AN136" s="307" t="n"/>
      <c r="AO136" s="307" t="n"/>
      <c r="AP136" s="307" t="n"/>
      <c r="AQ136" s="307" t="n"/>
      <c r="AR136" s="307" t="n"/>
      <c r="AS136" s="307" t="n"/>
      <c r="AT136" s="307" t="n"/>
      <c r="AU136" s="307" t="n"/>
      <c r="AV136" s="307" t="n"/>
      <c r="AW136" s="307" t="n"/>
      <c r="AX136" s="307" t="n"/>
      <c r="AY136" s="307" t="n"/>
      <c r="AZ136" s="307" t="n"/>
      <c r="BA136" s="233" t="n"/>
      <c r="BB136" s="307" t="n"/>
      <c r="BC136" s="307" t="n"/>
      <c r="BD136" s="307" t="n"/>
      <c r="BE136" s="307" t="n"/>
      <c r="BF136" s="307" t="n"/>
      <c r="BG136" s="31" t="n"/>
      <c r="BH136" s="31" t="n"/>
      <c r="BI136" s="31" t="n"/>
      <c r="BJ136" s="31" t="n"/>
    </row>
    <row r="137" ht="15.75" customHeight="1" s="349">
      <c r="A137" s="307" t="n"/>
      <c r="B137" s="307" t="n"/>
      <c r="C137" s="307" t="n"/>
      <c r="D137" s="307" t="n"/>
      <c r="E137" s="307" t="n"/>
      <c r="F137" s="307" t="n"/>
      <c r="G137" s="307" t="n"/>
      <c r="H137" s="307" t="n"/>
      <c r="I137" s="307" t="n"/>
      <c r="J137" s="307" t="n"/>
      <c r="K137" s="307" t="n"/>
      <c r="L137" s="307" t="n"/>
      <c r="M137" s="307" t="n"/>
      <c r="N137" s="307" t="n"/>
      <c r="O137" s="307" t="n"/>
      <c r="P137" s="307" t="n"/>
      <c r="Q137" s="307" t="n"/>
      <c r="R137" s="307" t="n"/>
      <c r="S137" s="307" t="n"/>
      <c r="T137" s="307" t="n"/>
      <c r="U137" s="307" t="n"/>
      <c r="V137" s="307" t="n"/>
      <c r="W137" s="307" t="n"/>
      <c r="X137" s="307" t="n"/>
      <c r="Y137" s="307" t="n"/>
      <c r="Z137" s="307" t="n"/>
      <c r="AA137" s="307" t="n"/>
      <c r="AB137" s="307" t="n"/>
      <c r="AC137" s="307" t="n"/>
      <c r="AD137" s="307" t="n"/>
      <c r="AE137" s="307" t="n"/>
      <c r="AF137" s="307" t="n"/>
      <c r="AG137" s="307" t="n"/>
      <c r="AH137" s="307" t="n"/>
      <c r="AI137" s="307" t="n"/>
      <c r="AJ137" s="307" t="n"/>
      <c r="AK137" s="307" t="n"/>
      <c r="AL137" s="307" t="n"/>
      <c r="AM137" s="307" t="n"/>
      <c r="AN137" s="307" t="n"/>
      <c r="AO137" s="307" t="n"/>
      <c r="AP137" s="307" t="n"/>
      <c r="AQ137" s="307" t="n"/>
      <c r="AR137" s="307" t="n"/>
      <c r="AS137" s="307" t="n"/>
      <c r="AT137" s="307" t="n"/>
      <c r="AU137" s="307" t="n"/>
      <c r="AV137" s="307" t="n"/>
      <c r="AW137" s="307" t="n"/>
      <c r="AX137" s="307" t="n"/>
      <c r="AY137" s="307" t="n"/>
      <c r="AZ137" s="307" t="n"/>
      <c r="BA137" s="233" t="n"/>
      <c r="BB137" s="307" t="n"/>
      <c r="BC137" s="307" t="n"/>
      <c r="BD137" s="307" t="n"/>
      <c r="BE137" s="307" t="n"/>
      <c r="BF137" s="307" t="n"/>
      <c r="BG137" s="31" t="n"/>
      <c r="BH137" s="31" t="n"/>
      <c r="BI137" s="31" t="n"/>
      <c r="BJ137" s="31" t="n"/>
    </row>
    <row r="138" ht="15.75" customHeight="1" s="349">
      <c r="A138" s="307" t="n"/>
      <c r="B138" s="307" t="n"/>
      <c r="C138" s="307" t="n"/>
      <c r="D138" s="307" t="n"/>
      <c r="E138" s="307" t="n"/>
      <c r="F138" s="307" t="n"/>
      <c r="G138" s="307" t="n"/>
      <c r="H138" s="307" t="n"/>
      <c r="I138" s="307" t="n"/>
      <c r="J138" s="307" t="n"/>
      <c r="K138" s="307" t="n"/>
      <c r="L138" s="307" t="n"/>
      <c r="M138" s="307" t="n"/>
      <c r="N138" s="307" t="n"/>
      <c r="O138" s="307" t="n"/>
      <c r="P138" s="307" t="n"/>
      <c r="Q138" s="307" t="n"/>
      <c r="R138" s="307" t="n"/>
      <c r="S138" s="307" t="n"/>
      <c r="T138" s="307" t="n"/>
      <c r="U138" s="307" t="n"/>
      <c r="V138" s="307" t="n"/>
      <c r="W138" s="307" t="n"/>
      <c r="X138" s="307" t="n"/>
      <c r="Y138" s="307" t="n"/>
      <c r="Z138" s="307" t="n"/>
      <c r="AA138" s="307" t="n"/>
      <c r="AB138" s="307" t="n"/>
      <c r="AC138" s="307" t="n"/>
      <c r="AD138" s="307" t="n"/>
      <c r="AE138" s="307" t="n"/>
      <c r="AF138" s="307" t="n"/>
      <c r="AG138" s="307" t="n"/>
      <c r="AH138" s="307" t="n"/>
      <c r="AI138" s="307" t="n"/>
      <c r="AJ138" s="307" t="n"/>
      <c r="AK138" s="307" t="n"/>
      <c r="AL138" s="307" t="n"/>
      <c r="AM138" s="307" t="n"/>
      <c r="AN138" s="307" t="n"/>
      <c r="AO138" s="307" t="n"/>
      <c r="AP138" s="307" t="n"/>
      <c r="AQ138" s="307" t="n"/>
      <c r="AR138" s="307" t="n"/>
      <c r="AS138" s="307" t="n"/>
      <c r="AT138" s="307" t="n"/>
      <c r="AU138" s="307" t="n"/>
      <c r="AV138" s="307" t="n"/>
      <c r="AW138" s="307" t="n"/>
      <c r="AX138" s="307" t="n"/>
      <c r="AY138" s="307" t="n"/>
      <c r="AZ138" s="307" t="n"/>
      <c r="BA138" s="233" t="n"/>
      <c r="BB138" s="307" t="n"/>
      <c r="BC138" s="307" t="n"/>
      <c r="BD138" s="307" t="n"/>
      <c r="BE138" s="307" t="n"/>
      <c r="BF138" s="307" t="n"/>
      <c r="BG138" s="31" t="n"/>
      <c r="BH138" s="31" t="n"/>
      <c r="BI138" s="31" t="n"/>
      <c r="BJ138" s="31" t="n"/>
    </row>
    <row r="139" ht="15.75" customHeight="1" s="349">
      <c r="A139" s="307" t="n"/>
      <c r="B139" s="307" t="n"/>
      <c r="C139" s="307" t="n"/>
      <c r="D139" s="307" t="n"/>
      <c r="E139" s="307" t="n"/>
      <c r="F139" s="307" t="n"/>
      <c r="G139" s="307" t="n"/>
      <c r="H139" s="307" t="n"/>
      <c r="I139" s="307" t="n"/>
      <c r="J139" s="307" t="n"/>
      <c r="K139" s="307" t="n"/>
      <c r="L139" s="307" t="n"/>
      <c r="M139" s="307" t="n"/>
      <c r="N139" s="307" t="n"/>
      <c r="O139" s="307" t="n"/>
      <c r="P139" s="307" t="n"/>
      <c r="Q139" s="307" t="n"/>
      <c r="R139" s="307" t="n"/>
      <c r="S139" s="307" t="n"/>
      <c r="T139" s="307" t="n"/>
      <c r="U139" s="307" t="n"/>
      <c r="V139" s="307" t="n"/>
      <c r="W139" s="307" t="n"/>
      <c r="X139" s="307" t="n"/>
      <c r="Y139" s="307" t="n"/>
      <c r="Z139" s="307" t="n"/>
      <c r="AA139" s="307" t="n"/>
      <c r="AB139" s="307" t="n"/>
      <c r="AC139" s="307" t="n"/>
      <c r="AD139" s="307" t="n"/>
      <c r="AE139" s="307" t="n"/>
      <c r="AF139" s="307" t="n"/>
      <c r="AG139" s="307" t="n"/>
      <c r="AH139" s="307" t="n"/>
      <c r="AI139" s="307" t="n"/>
      <c r="AJ139" s="307" t="n"/>
      <c r="AK139" s="307" t="n"/>
      <c r="AL139" s="307" t="n"/>
      <c r="AM139" s="307" t="n"/>
      <c r="AN139" s="307" t="n"/>
      <c r="AO139" s="307" t="n"/>
      <c r="AP139" s="307" t="n"/>
      <c r="AQ139" s="307" t="n"/>
      <c r="AR139" s="307" t="n"/>
      <c r="AS139" s="307" t="n"/>
      <c r="AT139" s="307" t="n"/>
      <c r="AU139" s="307" t="n"/>
      <c r="AV139" s="307" t="n"/>
      <c r="AW139" s="307" t="n"/>
      <c r="AX139" s="307" t="n"/>
      <c r="AY139" s="307" t="n"/>
      <c r="AZ139" s="307" t="n"/>
      <c r="BA139" s="233" t="n"/>
      <c r="BB139" s="307" t="n"/>
      <c r="BC139" s="307" t="n"/>
      <c r="BD139" s="307" t="n"/>
      <c r="BE139" s="307" t="n"/>
      <c r="BF139" s="307" t="n"/>
      <c r="BG139" s="31" t="n"/>
      <c r="BH139" s="31" t="n"/>
      <c r="BI139" s="31" t="n"/>
      <c r="BJ139" s="31" t="n"/>
    </row>
    <row r="140" ht="15.75" customHeight="1" s="349">
      <c r="A140" s="307" t="n"/>
      <c r="B140" s="307" t="n"/>
      <c r="C140" s="307" t="n"/>
      <c r="D140" s="307" t="n"/>
      <c r="E140" s="307" t="n"/>
      <c r="F140" s="307" t="n"/>
      <c r="G140" s="307" t="n"/>
      <c r="H140" s="307" t="n"/>
      <c r="I140" s="307" t="n"/>
      <c r="J140" s="307" t="n"/>
      <c r="K140" s="307" t="n"/>
      <c r="L140" s="307" t="n"/>
      <c r="M140" s="307" t="n"/>
      <c r="N140" s="307" t="n"/>
      <c r="O140" s="307" t="n"/>
      <c r="P140" s="307" t="n"/>
      <c r="Q140" s="307" t="n"/>
      <c r="R140" s="307" t="n"/>
      <c r="S140" s="307" t="n"/>
      <c r="T140" s="307" t="n"/>
      <c r="U140" s="307" t="n"/>
      <c r="V140" s="307" t="n"/>
      <c r="W140" s="307" t="n"/>
      <c r="X140" s="307" t="n"/>
      <c r="Y140" s="307" t="n"/>
      <c r="Z140" s="307" t="n"/>
      <c r="AA140" s="307" t="n"/>
      <c r="AB140" s="307" t="n"/>
      <c r="AC140" s="307" t="n"/>
      <c r="AD140" s="307" t="n"/>
      <c r="AE140" s="307" t="n"/>
      <c r="AF140" s="307" t="n"/>
      <c r="AG140" s="307" t="n"/>
      <c r="AH140" s="307" t="n"/>
      <c r="AI140" s="307" t="n"/>
      <c r="AJ140" s="307" t="n"/>
      <c r="AK140" s="307" t="n"/>
      <c r="AL140" s="307" t="n"/>
      <c r="AM140" s="307" t="n"/>
      <c r="AN140" s="307" t="n"/>
      <c r="AO140" s="307" t="n"/>
      <c r="AP140" s="307" t="n"/>
      <c r="AQ140" s="307" t="n"/>
      <c r="AR140" s="307" t="n"/>
      <c r="AS140" s="307" t="n"/>
      <c r="AT140" s="307" t="n"/>
      <c r="AU140" s="307" t="n"/>
      <c r="AV140" s="307" t="n"/>
      <c r="AW140" s="307" t="n"/>
      <c r="AX140" s="307" t="n"/>
      <c r="AY140" s="307" t="n"/>
      <c r="AZ140" s="307" t="n"/>
      <c r="BA140" s="233" t="n"/>
      <c r="BB140" s="307" t="n"/>
      <c r="BC140" s="307" t="n"/>
      <c r="BD140" s="307" t="n"/>
      <c r="BE140" s="307" t="n"/>
      <c r="BF140" s="307" t="n"/>
      <c r="BG140" s="31" t="n"/>
      <c r="BH140" s="31" t="n"/>
      <c r="BI140" s="31" t="n"/>
      <c r="BJ140" s="31" t="n"/>
    </row>
    <row r="141" ht="15.75" customHeight="1" s="349">
      <c r="A141" s="307" t="n"/>
      <c r="B141" s="307" t="n"/>
      <c r="C141" s="307" t="n"/>
      <c r="D141" s="307" t="n"/>
      <c r="E141" s="307" t="n"/>
      <c r="F141" s="307" t="n"/>
      <c r="G141" s="307" t="n"/>
      <c r="H141" s="307" t="n"/>
      <c r="I141" s="307" t="n"/>
      <c r="J141" s="307" t="n"/>
      <c r="K141" s="307" t="n"/>
      <c r="L141" s="307" t="n"/>
      <c r="M141" s="307" t="n"/>
      <c r="N141" s="307" t="n"/>
      <c r="O141" s="307" t="n"/>
      <c r="P141" s="307" t="n"/>
      <c r="Q141" s="307" t="n"/>
      <c r="R141" s="307" t="n"/>
      <c r="S141" s="307" t="n"/>
      <c r="T141" s="307" t="n"/>
      <c r="U141" s="307" t="n"/>
      <c r="V141" s="307" t="n"/>
      <c r="W141" s="307" t="n"/>
      <c r="X141" s="307" t="n"/>
      <c r="Y141" s="307" t="n"/>
      <c r="Z141" s="307" t="n"/>
      <c r="AA141" s="307" t="n"/>
      <c r="AB141" s="307" t="n"/>
      <c r="AC141" s="307" t="n"/>
      <c r="AD141" s="307" t="n"/>
      <c r="AE141" s="307" t="n"/>
      <c r="AF141" s="307" t="n"/>
      <c r="AG141" s="307" t="n"/>
      <c r="AH141" s="307" t="n"/>
      <c r="AI141" s="307" t="n"/>
      <c r="AJ141" s="307" t="n"/>
      <c r="AK141" s="307" t="n"/>
      <c r="AL141" s="307" t="n"/>
      <c r="AM141" s="307" t="n"/>
      <c r="AN141" s="307" t="n"/>
      <c r="AO141" s="307" t="n"/>
      <c r="AP141" s="307" t="n"/>
      <c r="AQ141" s="307" t="n"/>
      <c r="AR141" s="307" t="n"/>
      <c r="AS141" s="307" t="n"/>
      <c r="AT141" s="307" t="n"/>
      <c r="AU141" s="307" t="n"/>
      <c r="AV141" s="307" t="n"/>
      <c r="AW141" s="307" t="n"/>
      <c r="AX141" s="307" t="n"/>
      <c r="AY141" s="307" t="n"/>
      <c r="AZ141" s="307" t="n"/>
      <c r="BA141" s="233" t="n"/>
      <c r="BB141" s="307" t="n"/>
      <c r="BC141" s="307" t="n"/>
      <c r="BD141" s="307" t="n"/>
      <c r="BE141" s="307" t="n"/>
      <c r="BF141" s="307" t="n"/>
      <c r="BG141" s="31" t="n"/>
      <c r="BH141" s="31" t="n"/>
      <c r="BI141" s="31" t="n"/>
      <c r="BJ141" s="31" t="n"/>
    </row>
    <row r="142" ht="15.75" customHeight="1" s="349">
      <c r="A142" s="307" t="n"/>
      <c r="B142" s="307" t="n"/>
      <c r="C142" s="307" t="n"/>
      <c r="D142" s="307" t="n"/>
      <c r="E142" s="307" t="n"/>
      <c r="F142" s="307" t="n"/>
      <c r="G142" s="307" t="n"/>
      <c r="H142" s="307" t="n"/>
      <c r="I142" s="307" t="n"/>
      <c r="J142" s="307" t="n"/>
      <c r="K142" s="307" t="n"/>
      <c r="L142" s="307" t="n"/>
      <c r="M142" s="307" t="n"/>
      <c r="N142" s="307" t="n"/>
      <c r="O142" s="307" t="n"/>
      <c r="P142" s="307" t="n"/>
      <c r="Q142" s="307" t="n"/>
      <c r="R142" s="307" t="n"/>
      <c r="S142" s="307" t="n"/>
      <c r="T142" s="307" t="n"/>
      <c r="U142" s="307" t="n"/>
      <c r="V142" s="307" t="n"/>
      <c r="W142" s="307" t="n"/>
      <c r="X142" s="307" t="n"/>
      <c r="Y142" s="307" t="n"/>
      <c r="Z142" s="307" t="n"/>
      <c r="AA142" s="307" t="n"/>
      <c r="AB142" s="307" t="n"/>
      <c r="AC142" s="307" t="n"/>
      <c r="AD142" s="307" t="n"/>
      <c r="AE142" s="307" t="n"/>
      <c r="AF142" s="307" t="n"/>
      <c r="AG142" s="307" t="n"/>
      <c r="AH142" s="307" t="n"/>
      <c r="AI142" s="307" t="n"/>
      <c r="AJ142" s="307" t="n"/>
      <c r="AK142" s="307" t="n"/>
      <c r="AL142" s="307" t="n"/>
      <c r="AM142" s="307" t="n"/>
      <c r="AN142" s="307" t="n"/>
      <c r="AO142" s="307" t="n"/>
      <c r="AP142" s="307" t="n"/>
      <c r="AQ142" s="307" t="n"/>
      <c r="AR142" s="307" t="n"/>
      <c r="AS142" s="307" t="n"/>
      <c r="AT142" s="307" t="n"/>
      <c r="AU142" s="307" t="n"/>
      <c r="AV142" s="307" t="n"/>
      <c r="AW142" s="307" t="n"/>
      <c r="AX142" s="307" t="n"/>
      <c r="AY142" s="307" t="n"/>
      <c r="AZ142" s="307" t="n"/>
      <c r="BA142" s="233" t="n"/>
      <c r="BB142" s="307" t="n"/>
      <c r="BC142" s="307" t="n"/>
      <c r="BD142" s="307" t="n"/>
      <c r="BE142" s="307" t="n"/>
      <c r="BF142" s="307" t="n"/>
      <c r="BG142" s="31" t="n"/>
      <c r="BH142" s="31" t="n"/>
      <c r="BI142" s="31" t="n"/>
      <c r="BJ142" s="31" t="n"/>
    </row>
    <row r="143" ht="15.75" customHeight="1" s="349">
      <c r="A143" s="307" t="n"/>
      <c r="B143" s="307" t="n"/>
      <c r="C143" s="307" t="n"/>
      <c r="D143" s="307" t="n"/>
      <c r="E143" s="307" t="n"/>
      <c r="F143" s="307" t="n"/>
      <c r="G143" s="307" t="n"/>
      <c r="H143" s="307" t="n"/>
      <c r="I143" s="307" t="n"/>
      <c r="J143" s="307" t="n"/>
      <c r="K143" s="307" t="n"/>
      <c r="L143" s="307" t="n"/>
      <c r="M143" s="307" t="n"/>
      <c r="N143" s="307" t="n"/>
      <c r="O143" s="307" t="n"/>
      <c r="P143" s="307" t="n"/>
      <c r="Q143" s="307" t="n"/>
      <c r="R143" s="307" t="n"/>
      <c r="S143" s="307" t="n"/>
      <c r="T143" s="307" t="n"/>
      <c r="U143" s="307" t="n"/>
      <c r="V143" s="307" t="n"/>
      <c r="W143" s="307" t="n"/>
      <c r="X143" s="307" t="n"/>
      <c r="Y143" s="307" t="n"/>
      <c r="Z143" s="307" t="n"/>
      <c r="AA143" s="307" t="n"/>
      <c r="AB143" s="307" t="n"/>
      <c r="AC143" s="307" t="n"/>
      <c r="AD143" s="307" t="n"/>
      <c r="AE143" s="307" t="n"/>
      <c r="AF143" s="307" t="n"/>
      <c r="AG143" s="307" t="n"/>
      <c r="AH143" s="307" t="n"/>
      <c r="AI143" s="307" t="n"/>
      <c r="AJ143" s="307" t="n"/>
      <c r="AK143" s="307" t="n"/>
      <c r="AL143" s="307" t="n"/>
      <c r="AM143" s="307" t="n"/>
      <c r="AN143" s="307" t="n"/>
      <c r="AO143" s="307" t="n"/>
      <c r="AP143" s="307" t="n"/>
      <c r="AQ143" s="307" t="n"/>
      <c r="AR143" s="307" t="n"/>
      <c r="AS143" s="307" t="n"/>
      <c r="AT143" s="307" t="n"/>
      <c r="AU143" s="307" t="n"/>
      <c r="AV143" s="307" t="n"/>
      <c r="AW143" s="307" t="n"/>
      <c r="AX143" s="307" t="n"/>
      <c r="AY143" s="307" t="n"/>
      <c r="AZ143" s="307" t="n"/>
      <c r="BA143" s="233" t="n"/>
      <c r="BB143" s="307" t="n"/>
      <c r="BC143" s="307" t="n"/>
      <c r="BD143" s="307" t="n"/>
      <c r="BE143" s="307" t="n"/>
      <c r="BF143" s="307" t="n"/>
      <c r="BG143" s="31" t="n"/>
      <c r="BH143" s="31" t="n"/>
      <c r="BI143" s="31" t="n"/>
      <c r="BJ143" s="31" t="n"/>
    </row>
    <row r="144" ht="15.75" customHeight="1" s="349">
      <c r="A144" s="307" t="n"/>
      <c r="B144" s="307" t="n"/>
      <c r="C144" s="307" t="n"/>
      <c r="D144" s="307" t="n"/>
      <c r="E144" s="307" t="n"/>
      <c r="F144" s="307" t="n"/>
      <c r="G144" s="307" t="n"/>
      <c r="H144" s="307" t="n"/>
      <c r="I144" s="307" t="n"/>
      <c r="J144" s="307" t="n"/>
      <c r="K144" s="307" t="n"/>
      <c r="L144" s="307" t="n"/>
      <c r="M144" s="307" t="n"/>
      <c r="N144" s="307" t="n"/>
      <c r="O144" s="307" t="n"/>
      <c r="P144" s="307" t="n"/>
      <c r="Q144" s="307" t="n"/>
      <c r="R144" s="307" t="n"/>
      <c r="S144" s="307" t="n"/>
      <c r="T144" s="307" t="n"/>
      <c r="U144" s="307" t="n"/>
      <c r="V144" s="307" t="n"/>
      <c r="W144" s="307" t="n"/>
      <c r="X144" s="307" t="n"/>
      <c r="Y144" s="307" t="n"/>
      <c r="Z144" s="307" t="n"/>
      <c r="AA144" s="307" t="n"/>
      <c r="AB144" s="307" t="n"/>
      <c r="AC144" s="307" t="n"/>
      <c r="AD144" s="307" t="n"/>
      <c r="AE144" s="307" t="n"/>
      <c r="AF144" s="307" t="n"/>
      <c r="AG144" s="307" t="n"/>
      <c r="AH144" s="307" t="n"/>
      <c r="AI144" s="307" t="n"/>
      <c r="AJ144" s="307" t="n"/>
      <c r="AK144" s="307" t="n"/>
      <c r="AL144" s="307" t="n"/>
      <c r="AM144" s="307" t="n"/>
      <c r="AN144" s="307" t="n"/>
      <c r="AO144" s="307" t="n"/>
      <c r="AP144" s="307" t="n"/>
      <c r="AQ144" s="307" t="n"/>
      <c r="AR144" s="307" t="n"/>
      <c r="AS144" s="307" t="n"/>
      <c r="AT144" s="307" t="n"/>
      <c r="AU144" s="307" t="n"/>
      <c r="AV144" s="307" t="n"/>
      <c r="AW144" s="307" t="n"/>
      <c r="AX144" s="307" t="n"/>
      <c r="AY144" s="307" t="n"/>
      <c r="AZ144" s="307" t="n"/>
      <c r="BA144" s="233" t="n"/>
      <c r="BB144" s="307" t="n"/>
      <c r="BC144" s="307" t="n"/>
      <c r="BD144" s="307" t="n"/>
      <c r="BE144" s="307" t="n"/>
      <c r="BF144" s="307" t="n"/>
      <c r="BG144" s="31" t="n"/>
      <c r="BH144" s="31" t="n"/>
      <c r="BI144" s="31" t="n"/>
      <c r="BJ144" s="31" t="n"/>
    </row>
    <row r="145" ht="15.75" customHeight="1" s="349">
      <c r="A145" s="307" t="n"/>
      <c r="B145" s="307" t="n"/>
      <c r="C145" s="307" t="n"/>
      <c r="D145" s="307" t="n"/>
      <c r="E145" s="307" t="n"/>
      <c r="F145" s="307" t="n"/>
      <c r="G145" s="307" t="n"/>
      <c r="H145" s="307" t="n"/>
      <c r="I145" s="307" t="n"/>
      <c r="J145" s="307" t="n"/>
      <c r="K145" s="307" t="n"/>
      <c r="L145" s="307" t="n"/>
      <c r="M145" s="307" t="n"/>
      <c r="N145" s="307" t="n"/>
      <c r="O145" s="307" t="n"/>
      <c r="P145" s="307" t="n"/>
      <c r="Q145" s="307" t="n"/>
      <c r="R145" s="307" t="n"/>
      <c r="S145" s="307" t="n"/>
      <c r="T145" s="307" t="n"/>
      <c r="U145" s="307" t="n"/>
      <c r="V145" s="307" t="n"/>
      <c r="W145" s="307" t="n"/>
      <c r="X145" s="307" t="n"/>
      <c r="Y145" s="307" t="n"/>
      <c r="Z145" s="307" t="n"/>
      <c r="AA145" s="307" t="n"/>
      <c r="AB145" s="307" t="n"/>
      <c r="AC145" s="307" t="n"/>
      <c r="AD145" s="307" t="n"/>
      <c r="AE145" s="307" t="n"/>
      <c r="AF145" s="307" t="n"/>
      <c r="AG145" s="307" t="n"/>
      <c r="AH145" s="307" t="n"/>
      <c r="AI145" s="307" t="n"/>
      <c r="AJ145" s="307" t="n"/>
      <c r="AK145" s="307" t="n"/>
      <c r="AL145" s="307" t="n"/>
      <c r="AM145" s="307" t="n"/>
      <c r="AN145" s="307" t="n"/>
      <c r="AO145" s="307" t="n"/>
      <c r="AP145" s="307" t="n"/>
      <c r="AQ145" s="307" t="n"/>
      <c r="AR145" s="307" t="n"/>
      <c r="AS145" s="307" t="n"/>
      <c r="AT145" s="307" t="n"/>
      <c r="AU145" s="307" t="n"/>
      <c r="AV145" s="307" t="n"/>
      <c r="AW145" s="307" t="n"/>
      <c r="AX145" s="307" t="n"/>
      <c r="AY145" s="307" t="n"/>
      <c r="AZ145" s="307" t="n"/>
      <c r="BA145" s="233" t="n"/>
      <c r="BB145" s="307" t="n"/>
      <c r="BC145" s="307" t="n"/>
      <c r="BD145" s="307" t="n"/>
      <c r="BE145" s="307" t="n"/>
      <c r="BF145" s="307" t="n"/>
      <c r="BG145" s="31" t="n"/>
      <c r="BH145" s="31" t="n"/>
      <c r="BI145" s="31" t="n"/>
      <c r="BJ145" s="31" t="n"/>
    </row>
    <row r="146" ht="15.75" customHeight="1" s="349">
      <c r="A146" s="307" t="n"/>
      <c r="B146" s="307" t="n"/>
      <c r="C146" s="307" t="n"/>
      <c r="D146" s="307" t="n"/>
      <c r="E146" s="307" t="n"/>
      <c r="F146" s="307" t="n"/>
      <c r="G146" s="307" t="n"/>
      <c r="H146" s="307" t="n"/>
      <c r="I146" s="307" t="n"/>
      <c r="J146" s="307" t="n"/>
      <c r="K146" s="307" t="n"/>
      <c r="L146" s="307" t="n"/>
      <c r="M146" s="307" t="n"/>
      <c r="N146" s="307" t="n"/>
      <c r="O146" s="307" t="n"/>
      <c r="P146" s="307" t="n"/>
      <c r="Q146" s="307" t="n"/>
      <c r="R146" s="307" t="n"/>
      <c r="S146" s="307" t="n"/>
      <c r="T146" s="307" t="n"/>
      <c r="U146" s="307" t="n"/>
      <c r="V146" s="307" t="n"/>
      <c r="W146" s="307" t="n"/>
      <c r="X146" s="307" t="n"/>
      <c r="Y146" s="307" t="n"/>
      <c r="Z146" s="307" t="n"/>
      <c r="AA146" s="307" t="n"/>
      <c r="AB146" s="307" t="n"/>
      <c r="AC146" s="307" t="n"/>
      <c r="AD146" s="307" t="n"/>
      <c r="AE146" s="307" t="n"/>
      <c r="AF146" s="307" t="n"/>
      <c r="AG146" s="307" t="n"/>
      <c r="AH146" s="307" t="n"/>
      <c r="AI146" s="307" t="n"/>
      <c r="AJ146" s="307" t="n"/>
      <c r="AK146" s="307" t="n"/>
      <c r="AL146" s="307" t="n"/>
      <c r="AM146" s="307" t="n"/>
      <c r="AN146" s="307" t="n"/>
      <c r="AO146" s="307" t="n"/>
      <c r="AP146" s="307" t="n"/>
      <c r="AQ146" s="307" t="n"/>
      <c r="AR146" s="307" t="n"/>
      <c r="AS146" s="307" t="n"/>
      <c r="AT146" s="307" t="n"/>
      <c r="AU146" s="307" t="n"/>
      <c r="AV146" s="307" t="n"/>
      <c r="AW146" s="307" t="n"/>
      <c r="AX146" s="307" t="n"/>
      <c r="AY146" s="307" t="n"/>
      <c r="AZ146" s="307" t="n"/>
      <c r="BA146" s="233" t="n"/>
      <c r="BB146" s="307" t="n"/>
      <c r="BC146" s="307" t="n"/>
      <c r="BD146" s="307" t="n"/>
      <c r="BE146" s="307" t="n"/>
      <c r="BF146" s="307" t="n"/>
      <c r="BG146" s="31" t="n"/>
      <c r="BH146" s="31" t="n"/>
      <c r="BI146" s="31" t="n"/>
      <c r="BJ146" s="31" t="n"/>
    </row>
    <row r="147" ht="15.75" customHeight="1" s="349">
      <c r="A147" s="307" t="n"/>
      <c r="B147" s="307" t="n"/>
      <c r="C147" s="307" t="n"/>
      <c r="D147" s="307" t="n"/>
      <c r="E147" s="307" t="n"/>
      <c r="F147" s="307" t="n"/>
      <c r="G147" s="307" t="n"/>
      <c r="H147" s="307" t="n"/>
      <c r="I147" s="307" t="n"/>
      <c r="J147" s="307" t="n"/>
      <c r="K147" s="307" t="n"/>
      <c r="L147" s="307" t="n"/>
      <c r="M147" s="307" t="n"/>
      <c r="N147" s="307" t="n"/>
      <c r="O147" s="307" t="n"/>
      <c r="P147" s="307" t="n"/>
      <c r="Q147" s="307" t="n"/>
      <c r="R147" s="307" t="n"/>
      <c r="S147" s="307" t="n"/>
      <c r="T147" s="307" t="n"/>
      <c r="U147" s="307" t="n"/>
      <c r="V147" s="307" t="n"/>
      <c r="W147" s="307" t="n"/>
      <c r="X147" s="307" t="n"/>
      <c r="Y147" s="307" t="n"/>
      <c r="Z147" s="307" t="n"/>
      <c r="AA147" s="307" t="n"/>
      <c r="AB147" s="307" t="n"/>
      <c r="AC147" s="307" t="n"/>
      <c r="AD147" s="307" t="n"/>
      <c r="AE147" s="307" t="n"/>
      <c r="AF147" s="307" t="n"/>
      <c r="AG147" s="307" t="n"/>
      <c r="AH147" s="307" t="n"/>
      <c r="AI147" s="307" t="n"/>
      <c r="AJ147" s="307" t="n"/>
      <c r="AK147" s="307" t="n"/>
      <c r="AL147" s="307" t="n"/>
      <c r="AM147" s="307" t="n"/>
      <c r="AN147" s="307" t="n"/>
      <c r="AO147" s="307" t="n"/>
      <c r="AP147" s="307" t="n"/>
      <c r="AQ147" s="307" t="n"/>
      <c r="AR147" s="307" t="n"/>
      <c r="AS147" s="307" t="n"/>
      <c r="AT147" s="307" t="n"/>
      <c r="AU147" s="307" t="n"/>
      <c r="AV147" s="307" t="n"/>
      <c r="AW147" s="307" t="n"/>
      <c r="AX147" s="307" t="n"/>
      <c r="AY147" s="307" t="n"/>
      <c r="AZ147" s="307" t="n"/>
      <c r="BA147" s="233" t="n"/>
      <c r="BB147" s="307" t="n"/>
      <c r="BC147" s="307" t="n"/>
      <c r="BD147" s="307" t="n"/>
      <c r="BE147" s="307" t="n"/>
      <c r="BF147" s="307" t="n"/>
      <c r="BG147" s="31" t="n"/>
      <c r="BH147" s="31" t="n"/>
      <c r="BI147" s="31" t="n"/>
      <c r="BJ147" s="31" t="n"/>
    </row>
    <row r="148" ht="15.75" customHeight="1" s="349">
      <c r="A148" s="307" t="n"/>
      <c r="B148" s="307" t="n"/>
      <c r="C148" s="307" t="n"/>
      <c r="D148" s="307" t="n"/>
      <c r="E148" s="307" t="n"/>
      <c r="F148" s="307" t="n"/>
      <c r="G148" s="307" t="n"/>
      <c r="H148" s="307" t="n"/>
      <c r="I148" s="307" t="n"/>
      <c r="J148" s="307" t="n"/>
      <c r="K148" s="307" t="n"/>
      <c r="L148" s="307" t="n"/>
      <c r="M148" s="307" t="n"/>
      <c r="N148" s="307" t="n"/>
      <c r="O148" s="307" t="n"/>
      <c r="P148" s="307" t="n"/>
      <c r="Q148" s="307" t="n"/>
      <c r="R148" s="307" t="n"/>
      <c r="S148" s="307" t="n"/>
      <c r="T148" s="307" t="n"/>
      <c r="U148" s="307" t="n"/>
      <c r="V148" s="307" t="n"/>
      <c r="W148" s="307" t="n"/>
      <c r="X148" s="307" t="n"/>
      <c r="Y148" s="307" t="n"/>
      <c r="Z148" s="307" t="n"/>
      <c r="AA148" s="307" t="n"/>
      <c r="AB148" s="307" t="n"/>
      <c r="AC148" s="307" t="n"/>
      <c r="AD148" s="307" t="n"/>
      <c r="AE148" s="307" t="n"/>
      <c r="AF148" s="307" t="n"/>
      <c r="AG148" s="307" t="n"/>
      <c r="AH148" s="307" t="n"/>
      <c r="AI148" s="307" t="n"/>
      <c r="AJ148" s="307" t="n"/>
      <c r="AK148" s="307" t="n"/>
      <c r="AL148" s="307" t="n"/>
      <c r="AM148" s="307" t="n"/>
      <c r="AN148" s="307" t="n"/>
      <c r="AO148" s="307" t="n"/>
      <c r="AP148" s="307" t="n"/>
      <c r="AQ148" s="307" t="n"/>
      <c r="AR148" s="307" t="n"/>
      <c r="AS148" s="307" t="n"/>
      <c r="AT148" s="307" t="n"/>
      <c r="AU148" s="307" t="n"/>
      <c r="AV148" s="307" t="n"/>
      <c r="AW148" s="307" t="n"/>
      <c r="AX148" s="307" t="n"/>
      <c r="AY148" s="307" t="n"/>
      <c r="AZ148" s="307" t="n"/>
      <c r="BA148" s="233" t="n"/>
      <c r="BB148" s="307" t="n"/>
      <c r="BC148" s="307" t="n"/>
      <c r="BD148" s="307" t="n"/>
      <c r="BE148" s="307" t="n"/>
      <c r="BF148" s="307" t="n"/>
      <c r="BG148" s="31" t="n"/>
      <c r="BH148" s="31" t="n"/>
      <c r="BI148" s="31" t="n"/>
      <c r="BJ148" s="31" t="n"/>
    </row>
    <row r="149" ht="15.75" customHeight="1" s="349">
      <c r="A149" s="307" t="n"/>
      <c r="B149" s="307" t="n"/>
      <c r="C149" s="307" t="n"/>
      <c r="D149" s="307" t="n"/>
      <c r="E149" s="307" t="n"/>
      <c r="F149" s="307" t="n"/>
      <c r="G149" s="307" t="n"/>
      <c r="H149" s="307" t="n"/>
      <c r="I149" s="307" t="n"/>
      <c r="J149" s="307" t="n"/>
      <c r="K149" s="307" t="n"/>
      <c r="L149" s="307" t="n"/>
      <c r="M149" s="307" t="n"/>
      <c r="N149" s="307" t="n"/>
      <c r="O149" s="307" t="n"/>
      <c r="P149" s="307" t="n"/>
      <c r="Q149" s="307" t="n"/>
      <c r="R149" s="307" t="n"/>
      <c r="S149" s="307" t="n"/>
      <c r="T149" s="307" t="n"/>
      <c r="U149" s="307" t="n"/>
      <c r="V149" s="307" t="n"/>
      <c r="W149" s="307" t="n"/>
      <c r="X149" s="307" t="n"/>
      <c r="Y149" s="307" t="n"/>
      <c r="Z149" s="307" t="n"/>
      <c r="AA149" s="307" t="n"/>
      <c r="AB149" s="307" t="n"/>
      <c r="AC149" s="307" t="n"/>
      <c r="AD149" s="307" t="n"/>
      <c r="AE149" s="307" t="n"/>
      <c r="AF149" s="307" t="n"/>
      <c r="AG149" s="307" t="n"/>
      <c r="AH149" s="307" t="n"/>
      <c r="AI149" s="307" t="n"/>
      <c r="AJ149" s="307" t="n"/>
      <c r="AK149" s="307" t="n"/>
      <c r="AL149" s="307" t="n"/>
      <c r="AM149" s="307" t="n"/>
      <c r="AN149" s="307" t="n"/>
      <c r="AO149" s="307" t="n"/>
      <c r="AP149" s="307" t="n"/>
      <c r="AQ149" s="307" t="n"/>
      <c r="AR149" s="307" t="n"/>
      <c r="AS149" s="307" t="n"/>
      <c r="AT149" s="307" t="n"/>
      <c r="AU149" s="307" t="n"/>
      <c r="AV149" s="307" t="n"/>
      <c r="AW149" s="307" t="n"/>
      <c r="AX149" s="307" t="n"/>
      <c r="AY149" s="307" t="n"/>
      <c r="AZ149" s="307" t="n"/>
      <c r="BA149" s="233" t="n"/>
      <c r="BB149" s="307" t="n"/>
      <c r="BC149" s="307" t="n"/>
      <c r="BD149" s="307" t="n"/>
      <c r="BE149" s="307" t="n"/>
      <c r="BF149" s="307" t="n"/>
      <c r="BG149" s="31" t="n"/>
      <c r="BH149" s="31" t="n"/>
      <c r="BI149" s="31" t="n"/>
      <c r="BJ149" s="31" t="n"/>
    </row>
    <row r="150" ht="15.75" customHeight="1" s="349">
      <c r="A150" s="307" t="n"/>
      <c r="B150" s="307" t="n"/>
      <c r="C150" s="307" t="n"/>
      <c r="D150" s="307" t="n"/>
      <c r="E150" s="307" t="n"/>
      <c r="F150" s="307" t="n"/>
      <c r="G150" s="307" t="n"/>
      <c r="H150" s="307" t="n"/>
      <c r="I150" s="307" t="n"/>
      <c r="J150" s="307" t="n"/>
      <c r="K150" s="307" t="n"/>
      <c r="L150" s="307" t="n"/>
      <c r="M150" s="307" t="n"/>
      <c r="N150" s="307" t="n"/>
      <c r="O150" s="307" t="n"/>
      <c r="P150" s="307" t="n"/>
      <c r="Q150" s="307" t="n"/>
      <c r="R150" s="307" t="n"/>
      <c r="S150" s="307" t="n"/>
      <c r="T150" s="307" t="n"/>
      <c r="U150" s="307" t="n"/>
      <c r="V150" s="307" t="n"/>
      <c r="W150" s="307" t="n"/>
      <c r="X150" s="307" t="n"/>
      <c r="Y150" s="307" t="n"/>
      <c r="Z150" s="307" t="n"/>
      <c r="AA150" s="307" t="n"/>
      <c r="AB150" s="307" t="n"/>
      <c r="AC150" s="307" t="n"/>
      <c r="AD150" s="307" t="n"/>
      <c r="AE150" s="307" t="n"/>
      <c r="AF150" s="307" t="n"/>
      <c r="AG150" s="307" t="n"/>
      <c r="AH150" s="307" t="n"/>
      <c r="AI150" s="307" t="n"/>
      <c r="AJ150" s="307" t="n"/>
      <c r="AK150" s="307" t="n"/>
      <c r="AL150" s="307" t="n"/>
      <c r="AM150" s="307" t="n"/>
      <c r="AN150" s="307" t="n"/>
      <c r="AO150" s="307" t="n"/>
      <c r="AP150" s="307" t="n"/>
      <c r="AQ150" s="307" t="n"/>
      <c r="AR150" s="307" t="n"/>
      <c r="AS150" s="307" t="n"/>
      <c r="AT150" s="307" t="n"/>
      <c r="AU150" s="307" t="n"/>
      <c r="AV150" s="307" t="n"/>
      <c r="AW150" s="307" t="n"/>
      <c r="AX150" s="307" t="n"/>
      <c r="AY150" s="307" t="n"/>
      <c r="AZ150" s="307" t="n"/>
      <c r="BA150" s="233" t="n"/>
      <c r="BB150" s="307" t="n"/>
      <c r="BC150" s="307" t="n"/>
      <c r="BD150" s="307" t="n"/>
      <c r="BE150" s="307" t="n"/>
      <c r="BF150" s="307" t="n"/>
      <c r="BG150" s="31" t="n"/>
      <c r="BH150" s="31" t="n"/>
      <c r="BI150" s="31" t="n"/>
      <c r="BJ150" s="31" t="n"/>
    </row>
    <row r="151" ht="15.75" customHeight="1" s="349">
      <c r="A151" s="307" t="n"/>
      <c r="B151" s="307" t="n"/>
      <c r="C151" s="307" t="n"/>
      <c r="D151" s="307" t="n"/>
      <c r="E151" s="307" t="n"/>
      <c r="F151" s="307" t="n"/>
      <c r="G151" s="307" t="n"/>
      <c r="H151" s="307" t="n"/>
      <c r="I151" s="307" t="n"/>
      <c r="J151" s="307" t="n"/>
      <c r="K151" s="307" t="n"/>
      <c r="L151" s="307" t="n"/>
      <c r="M151" s="307" t="n"/>
      <c r="N151" s="307" t="n"/>
      <c r="O151" s="307" t="n"/>
      <c r="P151" s="307" t="n"/>
      <c r="Q151" s="307" t="n"/>
      <c r="R151" s="307" t="n"/>
      <c r="S151" s="307" t="n"/>
      <c r="T151" s="307" t="n"/>
      <c r="U151" s="307" t="n"/>
      <c r="V151" s="307" t="n"/>
      <c r="W151" s="307" t="n"/>
      <c r="X151" s="307" t="n"/>
      <c r="Y151" s="307" t="n"/>
      <c r="Z151" s="307" t="n"/>
      <c r="AA151" s="307" t="n"/>
      <c r="AB151" s="307" t="n"/>
      <c r="AC151" s="307" t="n"/>
      <c r="AD151" s="307" t="n"/>
      <c r="AE151" s="307" t="n"/>
      <c r="AF151" s="307" t="n"/>
      <c r="AG151" s="307" t="n"/>
      <c r="AH151" s="307" t="n"/>
      <c r="AI151" s="307" t="n"/>
      <c r="AJ151" s="307" t="n"/>
      <c r="AK151" s="307" t="n"/>
      <c r="AL151" s="307" t="n"/>
      <c r="AM151" s="307" t="n"/>
      <c r="AN151" s="307" t="n"/>
      <c r="AO151" s="307" t="n"/>
      <c r="AP151" s="307" t="n"/>
      <c r="AQ151" s="307" t="n"/>
      <c r="AR151" s="307" t="n"/>
      <c r="AS151" s="307" t="n"/>
      <c r="AT151" s="307" t="n"/>
      <c r="AU151" s="307" t="n"/>
      <c r="AV151" s="307" t="n"/>
      <c r="AW151" s="307" t="n"/>
      <c r="AX151" s="307" t="n"/>
      <c r="AY151" s="307" t="n"/>
      <c r="AZ151" s="307" t="n"/>
      <c r="BA151" s="233" t="n"/>
      <c r="BB151" s="307" t="n"/>
      <c r="BC151" s="307" t="n"/>
      <c r="BD151" s="307" t="n"/>
      <c r="BE151" s="307" t="n"/>
      <c r="BF151" s="307" t="n"/>
      <c r="BG151" s="31" t="n"/>
      <c r="BH151" s="31" t="n"/>
      <c r="BI151" s="31" t="n"/>
      <c r="BJ151" s="31" t="n"/>
    </row>
    <row r="152" ht="15.75" customHeight="1" s="349">
      <c r="A152" s="307" t="n"/>
      <c r="B152" s="307" t="n"/>
      <c r="C152" s="307" t="n"/>
      <c r="D152" s="307" t="n"/>
      <c r="E152" s="307" t="n"/>
      <c r="F152" s="307" t="n"/>
      <c r="G152" s="307" t="n"/>
      <c r="H152" s="307" t="n"/>
      <c r="I152" s="307" t="n"/>
      <c r="J152" s="307" t="n"/>
      <c r="K152" s="307" t="n"/>
      <c r="L152" s="307" t="n"/>
      <c r="M152" s="307" t="n"/>
      <c r="N152" s="307" t="n"/>
      <c r="O152" s="307" t="n"/>
      <c r="P152" s="307" t="n"/>
      <c r="Q152" s="307" t="n"/>
      <c r="R152" s="307" t="n"/>
      <c r="S152" s="307" t="n"/>
      <c r="T152" s="307" t="n"/>
      <c r="U152" s="307" t="n"/>
      <c r="V152" s="307" t="n"/>
      <c r="W152" s="307" t="n"/>
      <c r="X152" s="307" t="n"/>
      <c r="Y152" s="307" t="n"/>
      <c r="Z152" s="307" t="n"/>
      <c r="AA152" s="307" t="n"/>
      <c r="AB152" s="307" t="n"/>
      <c r="AC152" s="307" t="n"/>
      <c r="AD152" s="307" t="n"/>
      <c r="AE152" s="307" t="n"/>
      <c r="AF152" s="307" t="n"/>
      <c r="AG152" s="307" t="n"/>
      <c r="AH152" s="307" t="n"/>
      <c r="AI152" s="307" t="n"/>
      <c r="AJ152" s="307" t="n"/>
      <c r="AK152" s="307" t="n"/>
      <c r="AL152" s="307" t="n"/>
      <c r="AM152" s="307" t="n"/>
      <c r="AN152" s="307" t="n"/>
      <c r="AO152" s="307" t="n"/>
      <c r="AP152" s="307" t="n"/>
      <c r="AQ152" s="307" t="n"/>
      <c r="AR152" s="307" t="n"/>
      <c r="AS152" s="307" t="n"/>
      <c r="AT152" s="307" t="n"/>
      <c r="AU152" s="307" t="n"/>
      <c r="AV152" s="307" t="n"/>
      <c r="AW152" s="307" t="n"/>
      <c r="AX152" s="307" t="n"/>
      <c r="AY152" s="307" t="n"/>
      <c r="AZ152" s="307" t="n"/>
      <c r="BA152" s="233" t="n"/>
      <c r="BB152" s="307" t="n"/>
      <c r="BC152" s="307" t="n"/>
      <c r="BD152" s="307" t="n"/>
      <c r="BE152" s="307" t="n"/>
      <c r="BF152" s="307" t="n"/>
      <c r="BG152" s="31" t="n"/>
      <c r="BH152" s="31" t="n"/>
      <c r="BI152" s="31" t="n"/>
      <c r="BJ152" s="31" t="n"/>
    </row>
    <row r="153" ht="15.75" customHeight="1" s="349">
      <c r="A153" s="307" t="n"/>
      <c r="B153" s="307" t="n"/>
      <c r="C153" s="307" t="n"/>
      <c r="D153" s="307" t="n"/>
      <c r="E153" s="307" t="n"/>
      <c r="F153" s="307" t="n"/>
      <c r="G153" s="307" t="n"/>
      <c r="H153" s="307" t="n"/>
      <c r="I153" s="307" t="n"/>
      <c r="J153" s="307" t="n"/>
      <c r="K153" s="307" t="n"/>
      <c r="L153" s="307" t="n"/>
      <c r="M153" s="307" t="n"/>
      <c r="N153" s="307" t="n"/>
      <c r="O153" s="307" t="n"/>
      <c r="P153" s="307" t="n"/>
      <c r="Q153" s="307" t="n"/>
      <c r="R153" s="307" t="n"/>
      <c r="S153" s="307" t="n"/>
      <c r="T153" s="307" t="n"/>
      <c r="U153" s="307" t="n"/>
      <c r="V153" s="307" t="n"/>
      <c r="W153" s="307" t="n"/>
      <c r="X153" s="307" t="n"/>
      <c r="Y153" s="307" t="n"/>
      <c r="Z153" s="307" t="n"/>
      <c r="AA153" s="307" t="n"/>
      <c r="AB153" s="307" t="n"/>
      <c r="AC153" s="307" t="n"/>
      <c r="AD153" s="307" t="n"/>
      <c r="AE153" s="307" t="n"/>
      <c r="AF153" s="307" t="n"/>
      <c r="AG153" s="307" t="n"/>
      <c r="AH153" s="307" t="n"/>
      <c r="AI153" s="307" t="n"/>
      <c r="AJ153" s="307" t="n"/>
      <c r="AK153" s="307" t="n"/>
      <c r="AL153" s="307" t="n"/>
      <c r="AM153" s="307" t="n"/>
      <c r="AN153" s="307" t="n"/>
      <c r="AO153" s="307" t="n"/>
      <c r="AP153" s="307" t="n"/>
      <c r="AQ153" s="307" t="n"/>
      <c r="AR153" s="307" t="n"/>
      <c r="AS153" s="307" t="n"/>
      <c r="AT153" s="307" t="n"/>
      <c r="AU153" s="307" t="n"/>
      <c r="AV153" s="307" t="n"/>
      <c r="AW153" s="307" t="n"/>
      <c r="AX153" s="307" t="n"/>
      <c r="AY153" s="307" t="n"/>
      <c r="AZ153" s="307" t="n"/>
      <c r="BA153" s="233" t="n"/>
      <c r="BB153" s="307" t="n"/>
      <c r="BC153" s="307" t="n"/>
      <c r="BD153" s="307" t="n"/>
      <c r="BE153" s="307" t="n"/>
      <c r="BF153" s="307" t="n"/>
      <c r="BG153" s="31" t="n"/>
      <c r="BH153" s="31" t="n"/>
      <c r="BI153" s="31" t="n"/>
      <c r="BJ153" s="31" t="n"/>
    </row>
    <row r="154" ht="15.75" customHeight="1" s="349">
      <c r="A154" s="307" t="n"/>
      <c r="B154" s="307" t="n"/>
      <c r="C154" s="307" t="n"/>
      <c r="D154" s="307" t="n"/>
      <c r="E154" s="307" t="n"/>
      <c r="F154" s="307" t="n"/>
      <c r="G154" s="307" t="n"/>
      <c r="H154" s="307" t="n"/>
      <c r="I154" s="307" t="n"/>
      <c r="J154" s="307" t="n"/>
      <c r="K154" s="307" t="n"/>
      <c r="L154" s="307" t="n"/>
      <c r="M154" s="307" t="n"/>
      <c r="N154" s="307" t="n"/>
      <c r="O154" s="307" t="n"/>
      <c r="P154" s="307" t="n"/>
      <c r="Q154" s="307" t="n"/>
      <c r="R154" s="307" t="n"/>
      <c r="S154" s="307" t="n"/>
      <c r="T154" s="307" t="n"/>
      <c r="U154" s="307" t="n"/>
      <c r="V154" s="307" t="n"/>
      <c r="W154" s="307" t="n"/>
      <c r="X154" s="307" t="n"/>
      <c r="Y154" s="307" t="n"/>
      <c r="Z154" s="307" t="n"/>
      <c r="AA154" s="307" t="n"/>
      <c r="AB154" s="307" t="n"/>
      <c r="AC154" s="307" t="n"/>
      <c r="AD154" s="307" t="n"/>
      <c r="AE154" s="307" t="n"/>
      <c r="AF154" s="307" t="n"/>
      <c r="AG154" s="307" t="n"/>
      <c r="AH154" s="307" t="n"/>
      <c r="AI154" s="307" t="n"/>
      <c r="AJ154" s="307" t="n"/>
      <c r="AK154" s="307" t="n"/>
      <c r="AL154" s="307" t="n"/>
      <c r="AM154" s="307" t="n"/>
      <c r="AN154" s="307" t="n"/>
      <c r="AO154" s="307" t="n"/>
      <c r="AP154" s="307" t="n"/>
      <c r="AQ154" s="307" t="n"/>
      <c r="AR154" s="307" t="n"/>
      <c r="AS154" s="307" t="n"/>
      <c r="AT154" s="307" t="n"/>
      <c r="AU154" s="307" t="n"/>
      <c r="AV154" s="307" t="n"/>
      <c r="AW154" s="307" t="n"/>
      <c r="AX154" s="307" t="n"/>
      <c r="AY154" s="307" t="n"/>
      <c r="AZ154" s="307" t="n"/>
      <c r="BA154" s="233" t="n"/>
      <c r="BB154" s="307" t="n"/>
      <c r="BC154" s="307" t="n"/>
      <c r="BD154" s="307" t="n"/>
      <c r="BE154" s="307" t="n"/>
      <c r="BF154" s="307" t="n"/>
      <c r="BG154" s="31" t="n"/>
      <c r="BH154" s="31" t="n"/>
      <c r="BI154" s="31" t="n"/>
      <c r="BJ154" s="31" t="n"/>
    </row>
    <row r="155" ht="15.75" customHeight="1" s="349">
      <c r="A155" s="307" t="n"/>
      <c r="B155" s="307" t="n"/>
      <c r="C155" s="307" t="n"/>
      <c r="D155" s="307" t="n"/>
      <c r="E155" s="307" t="n"/>
      <c r="F155" s="307" t="n"/>
      <c r="G155" s="307" t="n"/>
      <c r="H155" s="307" t="n"/>
      <c r="I155" s="307" t="n"/>
      <c r="J155" s="307" t="n"/>
      <c r="K155" s="307" t="n"/>
      <c r="L155" s="307" t="n"/>
      <c r="M155" s="307" t="n"/>
      <c r="N155" s="307" t="n"/>
      <c r="O155" s="307" t="n"/>
      <c r="P155" s="307" t="n"/>
      <c r="Q155" s="307" t="n"/>
      <c r="R155" s="307" t="n"/>
      <c r="S155" s="307" t="n"/>
      <c r="T155" s="307" t="n"/>
      <c r="U155" s="307" t="n"/>
      <c r="V155" s="307" t="n"/>
      <c r="W155" s="307" t="n"/>
      <c r="X155" s="307" t="n"/>
      <c r="Y155" s="307" t="n"/>
      <c r="Z155" s="307" t="n"/>
      <c r="AA155" s="307" t="n"/>
      <c r="AB155" s="307" t="n"/>
      <c r="AC155" s="307" t="n"/>
      <c r="AD155" s="307" t="n"/>
      <c r="AE155" s="307" t="n"/>
      <c r="AF155" s="307" t="n"/>
      <c r="AG155" s="307" t="n"/>
      <c r="AH155" s="307" t="n"/>
      <c r="AI155" s="307" t="n"/>
      <c r="AJ155" s="307" t="n"/>
      <c r="AK155" s="307" t="n"/>
      <c r="AL155" s="307" t="n"/>
      <c r="AM155" s="307" t="n"/>
      <c r="AN155" s="307" t="n"/>
      <c r="AO155" s="307" t="n"/>
      <c r="AP155" s="307" t="n"/>
      <c r="AQ155" s="307" t="n"/>
      <c r="AR155" s="307" t="n"/>
      <c r="AS155" s="307" t="n"/>
      <c r="AT155" s="307" t="n"/>
      <c r="AU155" s="307" t="n"/>
      <c r="AV155" s="307" t="n"/>
      <c r="AW155" s="307" t="n"/>
      <c r="AX155" s="307" t="n"/>
      <c r="AY155" s="307" t="n"/>
      <c r="AZ155" s="307" t="n"/>
      <c r="BA155" s="233" t="n"/>
      <c r="BB155" s="307" t="n"/>
      <c r="BC155" s="307" t="n"/>
      <c r="BD155" s="307" t="n"/>
      <c r="BE155" s="307" t="n"/>
      <c r="BF155" s="307" t="n"/>
      <c r="BG155" s="31" t="n"/>
      <c r="BH155" s="31" t="n"/>
      <c r="BI155" s="31" t="n"/>
      <c r="BJ155" s="31" t="n"/>
    </row>
    <row r="156" ht="15.75" customHeight="1" s="349">
      <c r="A156" s="307" t="n"/>
      <c r="B156" s="307" t="n"/>
      <c r="C156" s="307" t="n"/>
      <c r="D156" s="307" t="n"/>
      <c r="E156" s="307" t="n"/>
      <c r="F156" s="307" t="n"/>
      <c r="G156" s="307" t="n"/>
      <c r="H156" s="307" t="n"/>
      <c r="I156" s="307" t="n"/>
      <c r="J156" s="307" t="n"/>
      <c r="K156" s="307" t="n"/>
      <c r="L156" s="307" t="n"/>
      <c r="M156" s="307" t="n"/>
      <c r="N156" s="307" t="n"/>
      <c r="O156" s="307" t="n"/>
      <c r="P156" s="307" t="n"/>
      <c r="Q156" s="307" t="n"/>
      <c r="R156" s="307" t="n"/>
      <c r="S156" s="307" t="n"/>
      <c r="T156" s="307" t="n"/>
      <c r="U156" s="307" t="n"/>
      <c r="V156" s="307" t="n"/>
      <c r="W156" s="307" t="n"/>
      <c r="X156" s="307" t="n"/>
      <c r="Y156" s="307" t="n"/>
      <c r="Z156" s="307" t="n"/>
      <c r="AA156" s="307" t="n"/>
      <c r="AB156" s="307" t="n"/>
      <c r="AC156" s="307" t="n"/>
      <c r="AD156" s="307" t="n"/>
      <c r="AE156" s="307" t="n"/>
      <c r="AF156" s="307" t="n"/>
      <c r="AG156" s="307" t="n"/>
      <c r="AH156" s="307" t="n"/>
      <c r="AI156" s="307" t="n"/>
      <c r="AJ156" s="307" t="n"/>
      <c r="AK156" s="307" t="n"/>
      <c r="AL156" s="307" t="n"/>
      <c r="AM156" s="307" t="n"/>
      <c r="AN156" s="307" t="n"/>
      <c r="AO156" s="307" t="n"/>
      <c r="AP156" s="307" t="n"/>
      <c r="AQ156" s="307" t="n"/>
      <c r="AR156" s="307" t="n"/>
      <c r="AS156" s="307" t="n"/>
      <c r="AT156" s="307" t="n"/>
      <c r="AU156" s="307" t="n"/>
      <c r="AV156" s="307" t="n"/>
      <c r="AW156" s="307" t="n"/>
      <c r="AX156" s="307" t="n"/>
      <c r="AY156" s="307" t="n"/>
      <c r="AZ156" s="307" t="n"/>
      <c r="BA156" s="233" t="n"/>
      <c r="BB156" s="307" t="n"/>
      <c r="BC156" s="307" t="n"/>
      <c r="BD156" s="307" t="n"/>
      <c r="BE156" s="307" t="n"/>
      <c r="BF156" s="307" t="n"/>
      <c r="BG156" s="31" t="n"/>
      <c r="BH156" s="31" t="n"/>
      <c r="BI156" s="31" t="n"/>
      <c r="BJ156" s="31" t="n"/>
    </row>
    <row r="157" ht="15.75" customHeight="1" s="349">
      <c r="A157" s="307" t="n"/>
      <c r="B157" s="307" t="n"/>
      <c r="C157" s="307" t="n"/>
      <c r="D157" s="307" t="n"/>
      <c r="E157" s="307" t="n"/>
      <c r="F157" s="307" t="n"/>
      <c r="G157" s="307" t="n"/>
      <c r="H157" s="307" t="n"/>
      <c r="I157" s="307" t="n"/>
      <c r="J157" s="307" t="n"/>
      <c r="K157" s="307" t="n"/>
      <c r="L157" s="307" t="n"/>
      <c r="M157" s="307" t="n"/>
      <c r="N157" s="307" t="n"/>
      <c r="O157" s="307" t="n"/>
      <c r="P157" s="307" t="n"/>
      <c r="Q157" s="307" t="n"/>
      <c r="R157" s="307" t="n"/>
      <c r="S157" s="307" t="n"/>
      <c r="T157" s="307" t="n"/>
      <c r="U157" s="307" t="n"/>
      <c r="V157" s="307" t="n"/>
      <c r="W157" s="307" t="n"/>
      <c r="X157" s="307" t="n"/>
      <c r="Y157" s="307" t="n"/>
      <c r="Z157" s="307" t="n"/>
      <c r="AA157" s="307" t="n"/>
      <c r="AB157" s="307" t="n"/>
      <c r="AC157" s="307" t="n"/>
      <c r="AD157" s="307" t="n"/>
      <c r="AE157" s="307" t="n"/>
      <c r="AF157" s="307" t="n"/>
      <c r="AG157" s="307" t="n"/>
      <c r="AH157" s="307" t="n"/>
      <c r="AI157" s="307" t="n"/>
      <c r="AJ157" s="307" t="n"/>
      <c r="AK157" s="307" t="n"/>
      <c r="AL157" s="307" t="n"/>
      <c r="AM157" s="307" t="n"/>
      <c r="AN157" s="307" t="n"/>
      <c r="AO157" s="307" t="n"/>
      <c r="AP157" s="307" t="n"/>
      <c r="AQ157" s="307" t="n"/>
      <c r="AR157" s="307" t="n"/>
      <c r="AS157" s="307" t="n"/>
      <c r="AT157" s="307" t="n"/>
      <c r="AU157" s="307" t="n"/>
      <c r="AV157" s="307" t="n"/>
      <c r="AW157" s="307" t="n"/>
      <c r="AX157" s="307" t="n"/>
      <c r="AY157" s="307" t="n"/>
      <c r="AZ157" s="307" t="n"/>
      <c r="BA157" s="233" t="n"/>
      <c r="BB157" s="307" t="n"/>
      <c r="BC157" s="307" t="n"/>
      <c r="BD157" s="307" t="n"/>
      <c r="BE157" s="307" t="n"/>
      <c r="BF157" s="307" t="n"/>
      <c r="BG157" s="31" t="n"/>
      <c r="BH157" s="31" t="n"/>
      <c r="BI157" s="31" t="n"/>
      <c r="BJ157" s="31" t="n"/>
    </row>
    <row r="158" ht="15.75" customHeight="1" s="349">
      <c r="A158" s="307" t="n"/>
      <c r="B158" s="307" t="n"/>
      <c r="C158" s="307" t="n"/>
      <c r="D158" s="307" t="n"/>
      <c r="E158" s="307" t="n"/>
      <c r="F158" s="307" t="n"/>
      <c r="G158" s="307" t="n"/>
      <c r="H158" s="307" t="n"/>
      <c r="I158" s="307" t="n"/>
      <c r="J158" s="307" t="n"/>
      <c r="K158" s="307" t="n"/>
      <c r="L158" s="307" t="n"/>
      <c r="M158" s="307" t="n"/>
      <c r="N158" s="307" t="n"/>
      <c r="O158" s="307" t="n"/>
      <c r="P158" s="307" t="n"/>
      <c r="Q158" s="307" t="n"/>
      <c r="R158" s="307" t="n"/>
      <c r="S158" s="307" t="n"/>
      <c r="T158" s="307" t="n"/>
      <c r="U158" s="307" t="n"/>
      <c r="V158" s="307" t="n"/>
      <c r="W158" s="307" t="n"/>
      <c r="X158" s="307" t="n"/>
      <c r="Y158" s="307" t="n"/>
      <c r="Z158" s="307" t="n"/>
      <c r="AA158" s="307" t="n"/>
      <c r="AB158" s="307" t="n"/>
      <c r="AC158" s="307" t="n"/>
      <c r="AD158" s="307" t="n"/>
      <c r="AE158" s="307" t="n"/>
      <c r="AF158" s="307" t="n"/>
      <c r="AG158" s="307" t="n"/>
      <c r="AH158" s="307" t="n"/>
      <c r="AI158" s="307" t="n"/>
      <c r="AJ158" s="307" t="n"/>
      <c r="AK158" s="307" t="n"/>
      <c r="AL158" s="307" t="n"/>
      <c r="AM158" s="307" t="n"/>
      <c r="AN158" s="307" t="n"/>
      <c r="AO158" s="307" t="n"/>
      <c r="AP158" s="307" t="n"/>
      <c r="AQ158" s="307" t="n"/>
      <c r="AR158" s="307" t="n"/>
      <c r="AS158" s="307" t="n"/>
      <c r="AT158" s="307" t="n"/>
      <c r="AU158" s="307" t="n"/>
      <c r="AV158" s="307" t="n"/>
      <c r="AW158" s="307" t="n"/>
      <c r="AX158" s="307" t="n"/>
      <c r="AY158" s="307" t="n"/>
      <c r="AZ158" s="307" t="n"/>
      <c r="BA158" s="233" t="n"/>
      <c r="BB158" s="307" t="n"/>
      <c r="BC158" s="307" t="n"/>
      <c r="BD158" s="307" t="n"/>
      <c r="BE158" s="307" t="n"/>
      <c r="BF158" s="307" t="n"/>
      <c r="BG158" s="31" t="n"/>
      <c r="BH158" s="31" t="n"/>
      <c r="BI158" s="31" t="n"/>
      <c r="BJ158" s="31" t="n"/>
    </row>
    <row r="159" ht="15.75" customHeight="1" s="349">
      <c r="A159" s="307" t="n"/>
      <c r="B159" s="307" t="n"/>
      <c r="C159" s="307" t="n"/>
      <c r="D159" s="307" t="n"/>
      <c r="E159" s="307" t="n"/>
      <c r="F159" s="307" t="n"/>
      <c r="G159" s="307" t="n"/>
      <c r="H159" s="307" t="n"/>
      <c r="I159" s="307" t="n"/>
      <c r="J159" s="307" t="n"/>
      <c r="K159" s="307" t="n"/>
      <c r="L159" s="307" t="n"/>
      <c r="M159" s="307" t="n"/>
      <c r="N159" s="307" t="n"/>
      <c r="O159" s="307" t="n"/>
      <c r="P159" s="307" t="n"/>
      <c r="Q159" s="307" t="n"/>
      <c r="R159" s="307" t="n"/>
      <c r="S159" s="307" t="n"/>
      <c r="T159" s="307" t="n"/>
      <c r="U159" s="307" t="n"/>
      <c r="V159" s="307" t="n"/>
      <c r="W159" s="307" t="n"/>
      <c r="X159" s="307" t="n"/>
      <c r="Y159" s="307" t="n"/>
      <c r="Z159" s="307" t="n"/>
      <c r="AA159" s="307" t="n"/>
      <c r="AB159" s="307" t="n"/>
      <c r="AC159" s="307" t="n"/>
      <c r="AD159" s="307" t="n"/>
      <c r="AE159" s="307" t="n"/>
      <c r="AF159" s="307" t="n"/>
      <c r="AG159" s="307" t="n"/>
      <c r="AH159" s="307" t="n"/>
      <c r="AI159" s="307" t="n"/>
      <c r="AJ159" s="307" t="n"/>
      <c r="AK159" s="307" t="n"/>
      <c r="AL159" s="307" t="n"/>
      <c r="AM159" s="307" t="n"/>
      <c r="AN159" s="307" t="n"/>
      <c r="AO159" s="307" t="n"/>
      <c r="AP159" s="307" t="n"/>
      <c r="AQ159" s="307" t="n"/>
      <c r="AR159" s="307" t="n"/>
      <c r="AS159" s="307" t="n"/>
      <c r="AT159" s="307" t="n"/>
      <c r="AU159" s="307" t="n"/>
      <c r="AV159" s="307" t="n"/>
      <c r="AW159" s="307" t="n"/>
      <c r="AX159" s="307" t="n"/>
      <c r="AY159" s="307" t="n"/>
      <c r="AZ159" s="307" t="n"/>
      <c r="BA159" s="233" t="n"/>
      <c r="BB159" s="307" t="n"/>
      <c r="BC159" s="307" t="n"/>
      <c r="BD159" s="307" t="n"/>
      <c r="BE159" s="307" t="n"/>
      <c r="BF159" s="307" t="n"/>
      <c r="BG159" s="31" t="n"/>
      <c r="BH159" s="31" t="n"/>
      <c r="BI159" s="31" t="n"/>
      <c r="BJ159" s="31" t="n"/>
    </row>
    <row r="160" ht="15.75" customHeight="1" s="349">
      <c r="A160" s="307" t="n"/>
      <c r="B160" s="307" t="n"/>
      <c r="C160" s="307" t="n"/>
      <c r="D160" s="307" t="n"/>
      <c r="E160" s="307" t="n"/>
      <c r="F160" s="307" t="n"/>
      <c r="G160" s="307" t="n"/>
      <c r="H160" s="307" t="n"/>
      <c r="I160" s="307" t="n"/>
      <c r="J160" s="307" t="n"/>
      <c r="K160" s="307" t="n"/>
      <c r="L160" s="307" t="n"/>
      <c r="M160" s="307" t="n"/>
      <c r="N160" s="307" t="n"/>
      <c r="O160" s="307" t="n"/>
      <c r="P160" s="307" t="n"/>
      <c r="Q160" s="307" t="n"/>
      <c r="R160" s="307" t="n"/>
      <c r="S160" s="307" t="n"/>
      <c r="T160" s="307" t="n"/>
      <c r="U160" s="307" t="n"/>
      <c r="V160" s="307" t="n"/>
      <c r="W160" s="307" t="n"/>
      <c r="X160" s="307" t="n"/>
      <c r="Y160" s="307" t="n"/>
      <c r="Z160" s="307" t="n"/>
      <c r="AA160" s="307" t="n"/>
      <c r="AB160" s="307" t="n"/>
      <c r="AC160" s="307" t="n"/>
      <c r="AD160" s="307" t="n"/>
      <c r="AE160" s="307" t="n"/>
      <c r="AF160" s="307" t="n"/>
      <c r="AG160" s="307" t="n"/>
      <c r="AH160" s="307" t="n"/>
      <c r="AI160" s="307" t="n"/>
      <c r="AJ160" s="307" t="n"/>
      <c r="AK160" s="307" t="n"/>
      <c r="AL160" s="307" t="n"/>
      <c r="AM160" s="307" t="n"/>
      <c r="AN160" s="307" t="n"/>
      <c r="AO160" s="307" t="n"/>
      <c r="AP160" s="307" t="n"/>
      <c r="AQ160" s="307" t="n"/>
      <c r="AR160" s="307" t="n"/>
      <c r="AS160" s="307" t="n"/>
      <c r="AT160" s="307" t="n"/>
      <c r="AU160" s="307" t="n"/>
      <c r="AV160" s="307" t="n"/>
      <c r="AW160" s="307" t="n"/>
      <c r="AX160" s="307" t="n"/>
      <c r="AY160" s="307" t="n"/>
      <c r="AZ160" s="307" t="n"/>
      <c r="BA160" s="233" t="n"/>
      <c r="BB160" s="307" t="n"/>
      <c r="BC160" s="307" t="n"/>
      <c r="BD160" s="307" t="n"/>
      <c r="BE160" s="307" t="n"/>
      <c r="BF160" s="307" t="n"/>
      <c r="BG160" s="31" t="n"/>
      <c r="BH160" s="31" t="n"/>
      <c r="BI160" s="31" t="n"/>
      <c r="BJ160" s="31" t="n"/>
    </row>
    <row r="161" ht="15.75" customHeight="1" s="349">
      <c r="A161" s="307" t="n"/>
      <c r="B161" s="307" t="n"/>
      <c r="C161" s="307" t="n"/>
      <c r="D161" s="307" t="n"/>
      <c r="E161" s="307" t="n"/>
      <c r="F161" s="307" t="n"/>
      <c r="G161" s="307" t="n"/>
      <c r="H161" s="307" t="n"/>
      <c r="I161" s="307" t="n"/>
      <c r="J161" s="307" t="n"/>
      <c r="K161" s="307" t="n"/>
      <c r="L161" s="307" t="n"/>
      <c r="M161" s="307" t="n"/>
      <c r="N161" s="307" t="n"/>
      <c r="O161" s="307" t="n"/>
      <c r="P161" s="307" t="n"/>
      <c r="Q161" s="307" t="n"/>
      <c r="R161" s="307" t="n"/>
      <c r="S161" s="307" t="n"/>
      <c r="T161" s="307" t="n"/>
      <c r="U161" s="307" t="n"/>
      <c r="V161" s="307" t="n"/>
      <c r="W161" s="307" t="n"/>
      <c r="X161" s="307" t="n"/>
      <c r="Y161" s="307" t="n"/>
      <c r="Z161" s="307" t="n"/>
      <c r="AA161" s="307" t="n"/>
      <c r="AB161" s="307" t="n"/>
      <c r="AC161" s="307" t="n"/>
      <c r="AD161" s="307" t="n"/>
      <c r="AE161" s="307" t="n"/>
      <c r="AF161" s="307" t="n"/>
      <c r="AG161" s="307" t="n"/>
      <c r="AH161" s="307" t="n"/>
      <c r="AI161" s="307" t="n"/>
      <c r="AJ161" s="307" t="n"/>
      <c r="AK161" s="307" t="n"/>
      <c r="AL161" s="307" t="n"/>
      <c r="AM161" s="307" t="n"/>
      <c r="AN161" s="307" t="n"/>
      <c r="AO161" s="307" t="n"/>
      <c r="AP161" s="307" t="n"/>
      <c r="AQ161" s="307" t="n"/>
      <c r="AR161" s="307" t="n"/>
      <c r="AS161" s="307" t="n"/>
      <c r="AT161" s="307" t="n"/>
      <c r="AU161" s="307" t="n"/>
      <c r="AV161" s="307" t="n"/>
      <c r="AW161" s="307" t="n"/>
      <c r="AX161" s="307" t="n"/>
      <c r="AY161" s="307" t="n"/>
      <c r="AZ161" s="307" t="n"/>
      <c r="BA161" s="233" t="n"/>
      <c r="BB161" s="307" t="n"/>
      <c r="BC161" s="307" t="n"/>
      <c r="BD161" s="307" t="n"/>
      <c r="BE161" s="307" t="n"/>
      <c r="BF161" s="307" t="n"/>
      <c r="BG161" s="31" t="n"/>
      <c r="BH161" s="31" t="n"/>
      <c r="BI161" s="31" t="n"/>
      <c r="BJ161" s="31" t="n"/>
    </row>
    <row r="162" ht="15.75" customHeight="1" s="349">
      <c r="A162" s="307" t="n"/>
      <c r="B162" s="307" t="n"/>
      <c r="C162" s="307" t="n"/>
      <c r="D162" s="307" t="n"/>
      <c r="E162" s="307" t="n"/>
      <c r="F162" s="307" t="n"/>
      <c r="G162" s="307" t="n"/>
      <c r="H162" s="307" t="n"/>
      <c r="I162" s="307" t="n"/>
      <c r="J162" s="307" t="n"/>
      <c r="K162" s="307" t="n"/>
      <c r="L162" s="307" t="n"/>
      <c r="M162" s="307" t="n"/>
      <c r="N162" s="307" t="n"/>
      <c r="O162" s="307" t="n"/>
      <c r="P162" s="307" t="n"/>
      <c r="Q162" s="307" t="n"/>
      <c r="R162" s="307" t="n"/>
      <c r="S162" s="307" t="n"/>
      <c r="T162" s="307" t="n"/>
      <c r="U162" s="307" t="n"/>
      <c r="V162" s="307" t="n"/>
      <c r="W162" s="307" t="n"/>
      <c r="X162" s="307" t="n"/>
      <c r="Y162" s="307" t="n"/>
      <c r="Z162" s="307" t="n"/>
      <c r="AA162" s="307" t="n"/>
      <c r="AB162" s="307" t="n"/>
      <c r="AC162" s="307" t="n"/>
      <c r="AD162" s="307" t="n"/>
      <c r="AE162" s="307" t="n"/>
      <c r="AF162" s="307" t="n"/>
      <c r="AG162" s="307" t="n"/>
      <c r="AH162" s="307" t="n"/>
      <c r="AI162" s="307" t="n"/>
      <c r="AJ162" s="307" t="n"/>
      <c r="AK162" s="307" t="n"/>
      <c r="AL162" s="307" t="n"/>
      <c r="AM162" s="307" t="n"/>
      <c r="AN162" s="307" t="n"/>
      <c r="AO162" s="307" t="n"/>
      <c r="AP162" s="307" t="n"/>
      <c r="AQ162" s="307" t="n"/>
      <c r="AR162" s="307" t="n"/>
      <c r="AS162" s="307" t="n"/>
      <c r="AT162" s="307" t="n"/>
      <c r="AU162" s="307" t="n"/>
      <c r="AV162" s="307" t="n"/>
      <c r="AW162" s="307" t="n"/>
      <c r="AX162" s="307" t="n"/>
      <c r="AY162" s="307" t="n"/>
      <c r="AZ162" s="307" t="n"/>
      <c r="BA162" s="233" t="n"/>
      <c r="BB162" s="307" t="n"/>
      <c r="BC162" s="307" t="n"/>
      <c r="BD162" s="307" t="n"/>
      <c r="BE162" s="307" t="n"/>
      <c r="BF162" s="307" t="n"/>
      <c r="BG162" s="31" t="n"/>
      <c r="BH162" s="31" t="n"/>
      <c r="BI162" s="31" t="n"/>
      <c r="BJ162" s="31" t="n"/>
    </row>
    <row r="163" ht="15.75" customHeight="1" s="349">
      <c r="A163" s="307" t="n"/>
      <c r="B163" s="307" t="n"/>
      <c r="C163" s="307" t="n"/>
      <c r="D163" s="307" t="n"/>
      <c r="E163" s="307" t="n"/>
      <c r="F163" s="307" t="n"/>
      <c r="G163" s="307" t="n"/>
      <c r="H163" s="307" t="n"/>
      <c r="I163" s="307" t="n"/>
      <c r="J163" s="307" t="n"/>
      <c r="K163" s="307" t="n"/>
      <c r="L163" s="307" t="n"/>
      <c r="M163" s="307" t="n"/>
      <c r="N163" s="307" t="n"/>
      <c r="O163" s="307" t="n"/>
      <c r="P163" s="307" t="n"/>
      <c r="Q163" s="307" t="n"/>
      <c r="R163" s="307" t="n"/>
      <c r="S163" s="307" t="n"/>
      <c r="T163" s="307" t="n"/>
      <c r="U163" s="307" t="n"/>
      <c r="V163" s="307" t="n"/>
      <c r="W163" s="307" t="n"/>
      <c r="X163" s="307" t="n"/>
      <c r="Y163" s="307" t="n"/>
      <c r="Z163" s="307" t="n"/>
      <c r="AA163" s="307" t="n"/>
      <c r="AB163" s="307" t="n"/>
      <c r="AC163" s="307" t="n"/>
      <c r="AD163" s="307" t="n"/>
      <c r="AE163" s="307" t="n"/>
      <c r="AF163" s="307" t="n"/>
      <c r="AG163" s="307" t="n"/>
      <c r="AH163" s="307" t="n"/>
      <c r="AI163" s="307" t="n"/>
      <c r="AJ163" s="307" t="n"/>
      <c r="AK163" s="307" t="n"/>
      <c r="AL163" s="307" t="n"/>
      <c r="AM163" s="307" t="n"/>
      <c r="AN163" s="307" t="n"/>
      <c r="AO163" s="307" t="n"/>
      <c r="AP163" s="307" t="n"/>
      <c r="AQ163" s="307" t="n"/>
      <c r="AR163" s="307" t="n"/>
      <c r="AS163" s="307" t="n"/>
      <c r="AT163" s="307" t="n"/>
      <c r="AU163" s="307" t="n"/>
      <c r="AV163" s="307" t="n"/>
      <c r="AW163" s="307" t="n"/>
      <c r="AX163" s="307" t="n"/>
      <c r="AY163" s="307" t="n"/>
      <c r="AZ163" s="307" t="n"/>
      <c r="BA163" s="233" t="n"/>
      <c r="BB163" s="307" t="n"/>
      <c r="BC163" s="307" t="n"/>
      <c r="BD163" s="307" t="n"/>
      <c r="BE163" s="307" t="n"/>
      <c r="BF163" s="307" t="n"/>
      <c r="BG163" s="31" t="n"/>
      <c r="BH163" s="31" t="n"/>
      <c r="BI163" s="31" t="n"/>
      <c r="BJ163" s="31" t="n"/>
    </row>
    <row r="164" ht="15.75" customHeight="1" s="349">
      <c r="A164" s="307" t="n"/>
      <c r="B164" s="307" t="n"/>
      <c r="C164" s="307" t="n"/>
      <c r="D164" s="307" t="n"/>
      <c r="E164" s="307" t="n"/>
      <c r="F164" s="307" t="n"/>
      <c r="G164" s="307" t="n"/>
      <c r="H164" s="307" t="n"/>
      <c r="I164" s="307" t="n"/>
      <c r="J164" s="307" t="n"/>
      <c r="K164" s="307" t="n"/>
      <c r="L164" s="307" t="n"/>
      <c r="M164" s="307" t="n"/>
      <c r="N164" s="307" t="n"/>
      <c r="O164" s="307" t="n"/>
      <c r="P164" s="307" t="n"/>
      <c r="Q164" s="307" t="n"/>
      <c r="R164" s="307" t="n"/>
      <c r="S164" s="307" t="n"/>
      <c r="T164" s="307" t="n"/>
      <c r="U164" s="307" t="n"/>
      <c r="V164" s="307" t="n"/>
      <c r="W164" s="307" t="n"/>
      <c r="X164" s="307" t="n"/>
      <c r="Y164" s="307" t="n"/>
      <c r="Z164" s="307" t="n"/>
      <c r="AA164" s="307" t="n"/>
      <c r="AB164" s="307" t="n"/>
      <c r="AC164" s="307" t="n"/>
      <c r="AD164" s="307" t="n"/>
      <c r="AE164" s="307" t="n"/>
      <c r="AF164" s="307" t="n"/>
      <c r="AG164" s="307" t="n"/>
      <c r="AH164" s="307" t="n"/>
      <c r="AI164" s="307" t="n"/>
      <c r="AJ164" s="307" t="n"/>
      <c r="AK164" s="307" t="n"/>
      <c r="AL164" s="307" t="n"/>
      <c r="AM164" s="307" t="n"/>
      <c r="AN164" s="307" t="n"/>
      <c r="AO164" s="307" t="n"/>
      <c r="AP164" s="307" t="n"/>
      <c r="AQ164" s="307" t="n"/>
      <c r="AR164" s="307" t="n"/>
      <c r="AS164" s="307" t="n"/>
      <c r="AT164" s="307" t="n"/>
      <c r="AU164" s="307" t="n"/>
      <c r="AV164" s="307" t="n"/>
      <c r="AW164" s="307" t="n"/>
      <c r="AX164" s="307" t="n"/>
      <c r="AY164" s="307" t="n"/>
      <c r="AZ164" s="307" t="n"/>
      <c r="BA164" s="233" t="n"/>
      <c r="BB164" s="307" t="n"/>
      <c r="BC164" s="307" t="n"/>
      <c r="BD164" s="307" t="n"/>
      <c r="BE164" s="307" t="n"/>
      <c r="BF164" s="307" t="n"/>
      <c r="BG164" s="31" t="n"/>
      <c r="BH164" s="31" t="n"/>
      <c r="BI164" s="31" t="n"/>
      <c r="BJ164" s="31" t="n"/>
    </row>
    <row r="165" ht="15.75" customHeight="1" s="349">
      <c r="A165" s="307" t="n"/>
      <c r="B165" s="307" t="n"/>
      <c r="C165" s="307" t="n"/>
      <c r="D165" s="307" t="n"/>
      <c r="E165" s="307" t="n"/>
      <c r="F165" s="307" t="n"/>
      <c r="G165" s="307" t="n"/>
      <c r="H165" s="307" t="n"/>
      <c r="I165" s="307" t="n"/>
      <c r="J165" s="307" t="n"/>
      <c r="K165" s="307" t="n"/>
      <c r="L165" s="307" t="n"/>
      <c r="M165" s="307" t="n"/>
      <c r="N165" s="307" t="n"/>
      <c r="O165" s="307" t="n"/>
      <c r="P165" s="307" t="n"/>
      <c r="Q165" s="307" t="n"/>
      <c r="R165" s="307" t="n"/>
      <c r="S165" s="307" t="n"/>
      <c r="T165" s="307" t="n"/>
      <c r="U165" s="307" t="n"/>
      <c r="V165" s="307" t="n"/>
      <c r="W165" s="307" t="n"/>
      <c r="X165" s="307" t="n"/>
      <c r="Y165" s="307" t="n"/>
      <c r="Z165" s="307" t="n"/>
      <c r="AA165" s="307" t="n"/>
      <c r="AB165" s="307" t="n"/>
      <c r="AC165" s="307" t="n"/>
      <c r="AD165" s="307" t="n"/>
      <c r="AE165" s="307" t="n"/>
      <c r="AF165" s="307" t="n"/>
      <c r="AG165" s="307" t="n"/>
      <c r="AH165" s="307" t="n"/>
      <c r="AI165" s="307" t="n"/>
      <c r="AJ165" s="307" t="n"/>
      <c r="AK165" s="307" t="n"/>
      <c r="AL165" s="307" t="n"/>
      <c r="AM165" s="307" t="n"/>
      <c r="AN165" s="307" t="n"/>
      <c r="AO165" s="307" t="n"/>
      <c r="AP165" s="307" t="n"/>
      <c r="AQ165" s="307" t="n"/>
      <c r="AR165" s="307" t="n"/>
      <c r="AS165" s="307" t="n"/>
      <c r="AT165" s="307" t="n"/>
      <c r="AU165" s="307" t="n"/>
      <c r="AV165" s="307" t="n"/>
      <c r="AW165" s="307" t="n"/>
      <c r="AX165" s="307" t="n"/>
      <c r="AY165" s="307" t="n"/>
      <c r="AZ165" s="307" t="n"/>
      <c r="BA165" s="233" t="n"/>
      <c r="BB165" s="307" t="n"/>
      <c r="BC165" s="307" t="n"/>
      <c r="BD165" s="307" t="n"/>
      <c r="BE165" s="307" t="n"/>
      <c r="BF165" s="307" t="n"/>
      <c r="BG165" s="31" t="n"/>
      <c r="BH165" s="31" t="n"/>
      <c r="BI165" s="31" t="n"/>
      <c r="BJ165" s="31" t="n"/>
    </row>
    <row r="166" ht="15.75" customHeight="1" s="349">
      <c r="A166" s="307" t="n"/>
      <c r="B166" s="307" t="n"/>
      <c r="C166" s="307" t="n"/>
      <c r="D166" s="307" t="n"/>
      <c r="E166" s="307" t="n"/>
      <c r="F166" s="307" t="n"/>
      <c r="G166" s="307" t="n"/>
      <c r="H166" s="307" t="n"/>
      <c r="I166" s="307" t="n"/>
      <c r="J166" s="307" t="n"/>
      <c r="K166" s="307" t="n"/>
      <c r="L166" s="307" t="n"/>
      <c r="M166" s="307" t="n"/>
      <c r="N166" s="307" t="n"/>
      <c r="O166" s="307" t="n"/>
      <c r="P166" s="307" t="n"/>
      <c r="Q166" s="307" t="n"/>
      <c r="R166" s="307" t="n"/>
      <c r="S166" s="307" t="n"/>
      <c r="T166" s="307" t="n"/>
      <c r="U166" s="307" t="n"/>
      <c r="V166" s="307" t="n"/>
      <c r="W166" s="307" t="n"/>
      <c r="X166" s="307" t="n"/>
      <c r="Y166" s="307" t="n"/>
      <c r="Z166" s="307" t="n"/>
      <c r="AA166" s="307" t="n"/>
      <c r="AB166" s="307" t="n"/>
      <c r="AC166" s="307" t="n"/>
      <c r="AD166" s="307" t="n"/>
      <c r="AE166" s="307" t="n"/>
      <c r="AF166" s="307" t="n"/>
      <c r="AG166" s="307" t="n"/>
      <c r="AH166" s="307" t="n"/>
      <c r="AI166" s="307" t="n"/>
      <c r="AJ166" s="307" t="n"/>
      <c r="AK166" s="307" t="n"/>
      <c r="AL166" s="307" t="n"/>
      <c r="AM166" s="307" t="n"/>
      <c r="AN166" s="307" t="n"/>
      <c r="AO166" s="307" t="n"/>
      <c r="AP166" s="307" t="n"/>
      <c r="AQ166" s="307" t="n"/>
      <c r="AR166" s="307" t="n"/>
      <c r="AS166" s="307" t="n"/>
      <c r="AT166" s="307" t="n"/>
      <c r="AU166" s="307" t="n"/>
      <c r="AV166" s="307" t="n"/>
      <c r="AW166" s="307" t="n"/>
      <c r="AX166" s="307" t="n"/>
      <c r="AY166" s="307" t="n"/>
      <c r="AZ166" s="307" t="n"/>
      <c r="BA166" s="233" t="n"/>
      <c r="BB166" s="307" t="n"/>
      <c r="BC166" s="307" t="n"/>
      <c r="BD166" s="307" t="n"/>
      <c r="BE166" s="307" t="n"/>
      <c r="BF166" s="307" t="n"/>
      <c r="BG166" s="31" t="n"/>
      <c r="BH166" s="31" t="n"/>
      <c r="BI166" s="31" t="n"/>
      <c r="BJ166" s="31" t="n"/>
    </row>
    <row r="167" ht="15.75" customHeight="1" s="349">
      <c r="A167" s="307" t="n"/>
      <c r="B167" s="307" t="n"/>
      <c r="C167" s="307" t="n"/>
      <c r="D167" s="307" t="n"/>
      <c r="E167" s="307" t="n"/>
      <c r="F167" s="307" t="n"/>
      <c r="G167" s="307" t="n"/>
      <c r="H167" s="307" t="n"/>
      <c r="I167" s="307" t="n"/>
      <c r="J167" s="307" t="n"/>
      <c r="K167" s="307" t="n"/>
      <c r="L167" s="307" t="n"/>
      <c r="M167" s="307" t="n"/>
      <c r="N167" s="307" t="n"/>
      <c r="O167" s="307" t="n"/>
      <c r="P167" s="307" t="n"/>
      <c r="Q167" s="307" t="n"/>
      <c r="R167" s="307" t="n"/>
      <c r="S167" s="307" t="n"/>
      <c r="T167" s="307" t="n"/>
      <c r="U167" s="307" t="n"/>
      <c r="V167" s="307" t="n"/>
      <c r="W167" s="307" t="n"/>
      <c r="X167" s="307" t="n"/>
      <c r="Y167" s="307" t="n"/>
      <c r="Z167" s="307" t="n"/>
      <c r="AA167" s="307" t="n"/>
      <c r="AB167" s="307" t="n"/>
      <c r="AC167" s="307" t="n"/>
      <c r="AD167" s="307" t="n"/>
      <c r="AE167" s="307" t="n"/>
      <c r="AF167" s="307" t="n"/>
      <c r="AG167" s="307" t="n"/>
      <c r="AH167" s="307" t="n"/>
      <c r="AI167" s="307" t="n"/>
      <c r="AJ167" s="307" t="n"/>
      <c r="AK167" s="307" t="n"/>
      <c r="AL167" s="307" t="n"/>
      <c r="AM167" s="307" t="n"/>
      <c r="AN167" s="307" t="n"/>
      <c r="AO167" s="307" t="n"/>
      <c r="AP167" s="307" t="n"/>
      <c r="AQ167" s="307" t="n"/>
      <c r="AR167" s="307" t="n"/>
      <c r="AS167" s="307" t="n"/>
      <c r="AT167" s="307" t="n"/>
      <c r="AU167" s="307" t="n"/>
      <c r="AV167" s="307" t="n"/>
      <c r="AW167" s="307" t="n"/>
      <c r="AX167" s="307" t="n"/>
      <c r="AY167" s="307" t="n"/>
      <c r="AZ167" s="307" t="n"/>
      <c r="BA167" s="233" t="n"/>
      <c r="BB167" s="307" t="n"/>
      <c r="BC167" s="307" t="n"/>
      <c r="BD167" s="307" t="n"/>
      <c r="BE167" s="307" t="n"/>
      <c r="BF167" s="307" t="n"/>
      <c r="BG167" s="31" t="n"/>
      <c r="BH167" s="31" t="n"/>
      <c r="BI167" s="31" t="n"/>
      <c r="BJ167" s="31" t="n"/>
    </row>
    <row r="168" ht="15.75" customHeight="1" s="349">
      <c r="A168" s="307" t="n"/>
      <c r="B168" s="307" t="n"/>
      <c r="C168" s="307" t="n"/>
      <c r="D168" s="307" t="n"/>
      <c r="E168" s="307" t="n"/>
      <c r="F168" s="307" t="n"/>
      <c r="G168" s="307" t="n"/>
      <c r="H168" s="307" t="n"/>
      <c r="I168" s="307" t="n"/>
      <c r="J168" s="307" t="n"/>
      <c r="K168" s="307" t="n"/>
      <c r="L168" s="307" t="n"/>
      <c r="M168" s="307" t="n"/>
      <c r="N168" s="307" t="n"/>
      <c r="O168" s="307" t="n"/>
      <c r="P168" s="307" t="n"/>
      <c r="Q168" s="307" t="n"/>
      <c r="R168" s="307" t="n"/>
      <c r="S168" s="307" t="n"/>
      <c r="T168" s="307" t="n"/>
      <c r="U168" s="307" t="n"/>
      <c r="V168" s="307" t="n"/>
      <c r="W168" s="307" t="n"/>
      <c r="X168" s="307" t="n"/>
      <c r="Y168" s="307" t="n"/>
      <c r="Z168" s="307" t="n"/>
      <c r="AA168" s="307" t="n"/>
      <c r="AB168" s="307" t="n"/>
      <c r="AC168" s="307" t="n"/>
      <c r="AD168" s="307" t="n"/>
      <c r="AE168" s="307" t="n"/>
      <c r="AF168" s="307" t="n"/>
      <c r="AG168" s="307" t="n"/>
      <c r="AH168" s="307" t="n"/>
      <c r="AI168" s="307" t="n"/>
      <c r="AJ168" s="307" t="n"/>
      <c r="AK168" s="307" t="n"/>
      <c r="AL168" s="307" t="n"/>
      <c r="AM168" s="307" t="n"/>
      <c r="AN168" s="307" t="n"/>
      <c r="AO168" s="307" t="n"/>
      <c r="AP168" s="307" t="n"/>
      <c r="AQ168" s="307" t="n"/>
      <c r="AR168" s="307" t="n"/>
      <c r="AS168" s="307" t="n"/>
      <c r="AT168" s="307" t="n"/>
      <c r="AU168" s="307" t="n"/>
      <c r="AV168" s="307" t="n"/>
      <c r="AW168" s="307" t="n"/>
      <c r="AX168" s="307" t="n"/>
      <c r="AY168" s="307" t="n"/>
      <c r="AZ168" s="307" t="n"/>
      <c r="BA168" s="233" t="n"/>
      <c r="BB168" s="307" t="n"/>
      <c r="BC168" s="307" t="n"/>
      <c r="BD168" s="307" t="n"/>
      <c r="BE168" s="307" t="n"/>
      <c r="BF168" s="307" t="n"/>
      <c r="BG168" s="31" t="n"/>
      <c r="BH168" s="31" t="n"/>
      <c r="BI168" s="31" t="n"/>
      <c r="BJ168" s="31" t="n"/>
    </row>
    <row r="169" ht="15.75" customHeight="1" s="349">
      <c r="A169" s="307" t="n"/>
      <c r="B169" s="307" t="n"/>
      <c r="C169" s="307" t="n"/>
      <c r="D169" s="307" t="n"/>
      <c r="E169" s="307" t="n"/>
      <c r="F169" s="307" t="n"/>
      <c r="G169" s="307" t="n"/>
      <c r="H169" s="307" t="n"/>
      <c r="I169" s="307" t="n"/>
      <c r="J169" s="307" t="n"/>
      <c r="K169" s="307" t="n"/>
      <c r="L169" s="307" t="n"/>
      <c r="M169" s="307" t="n"/>
      <c r="N169" s="307" t="n"/>
      <c r="O169" s="307" t="n"/>
      <c r="P169" s="307" t="n"/>
      <c r="Q169" s="307" t="n"/>
      <c r="R169" s="307" t="n"/>
      <c r="S169" s="307" t="n"/>
      <c r="T169" s="307" t="n"/>
      <c r="U169" s="307" t="n"/>
      <c r="V169" s="307" t="n"/>
      <c r="W169" s="307" t="n"/>
      <c r="X169" s="307" t="n"/>
      <c r="Y169" s="307" t="n"/>
      <c r="Z169" s="307" t="n"/>
      <c r="AA169" s="307" t="n"/>
      <c r="AB169" s="307" t="n"/>
      <c r="AC169" s="307" t="n"/>
      <c r="AD169" s="307" t="n"/>
      <c r="AE169" s="307" t="n"/>
      <c r="AF169" s="307" t="n"/>
      <c r="AG169" s="307" t="n"/>
      <c r="AH169" s="307" t="n"/>
      <c r="AI169" s="307" t="n"/>
      <c r="AJ169" s="307" t="n"/>
      <c r="AK169" s="307" t="n"/>
      <c r="AL169" s="307" t="n"/>
      <c r="AM169" s="307" t="n"/>
      <c r="AN169" s="307" t="n"/>
      <c r="AO169" s="307" t="n"/>
      <c r="AP169" s="307" t="n"/>
      <c r="AQ169" s="307" t="n"/>
      <c r="AR169" s="307" t="n"/>
      <c r="AS169" s="307" t="n"/>
      <c r="AT169" s="307" t="n"/>
      <c r="AU169" s="307" t="n"/>
      <c r="AV169" s="307" t="n"/>
      <c r="AW169" s="307" t="n"/>
      <c r="AX169" s="307" t="n"/>
      <c r="AY169" s="307" t="n"/>
      <c r="AZ169" s="307" t="n"/>
      <c r="BA169" s="233" t="n"/>
      <c r="BB169" s="307" t="n"/>
      <c r="BC169" s="307" t="n"/>
      <c r="BD169" s="307" t="n"/>
      <c r="BE169" s="307" t="n"/>
      <c r="BF169" s="307" t="n"/>
      <c r="BG169" s="31" t="n"/>
      <c r="BH169" s="31" t="n"/>
      <c r="BI169" s="31" t="n"/>
      <c r="BJ169" s="31" t="n"/>
    </row>
    <row r="170" ht="15.75" customHeight="1" s="349">
      <c r="A170" s="307" t="n"/>
      <c r="B170" s="307" t="n"/>
      <c r="C170" s="307" t="n"/>
      <c r="D170" s="307" t="n"/>
      <c r="E170" s="307" t="n"/>
      <c r="F170" s="307" t="n"/>
      <c r="G170" s="307" t="n"/>
      <c r="H170" s="307" t="n"/>
      <c r="I170" s="307" t="n"/>
      <c r="J170" s="307" t="n"/>
      <c r="K170" s="307" t="n"/>
      <c r="L170" s="307" t="n"/>
      <c r="M170" s="307" t="n"/>
      <c r="N170" s="307" t="n"/>
      <c r="O170" s="307" t="n"/>
      <c r="P170" s="307" t="n"/>
      <c r="Q170" s="307" t="n"/>
      <c r="R170" s="307" t="n"/>
      <c r="S170" s="307" t="n"/>
      <c r="T170" s="307" t="n"/>
      <c r="U170" s="307" t="n"/>
      <c r="V170" s="307" t="n"/>
      <c r="W170" s="307" t="n"/>
      <c r="X170" s="307" t="n"/>
      <c r="Y170" s="307" t="n"/>
      <c r="Z170" s="307" t="n"/>
      <c r="AA170" s="307" t="n"/>
      <c r="AB170" s="307" t="n"/>
      <c r="AC170" s="307" t="n"/>
      <c r="AD170" s="307" t="n"/>
      <c r="AE170" s="307" t="n"/>
      <c r="AF170" s="307" t="n"/>
      <c r="AG170" s="307" t="n"/>
      <c r="AH170" s="307" t="n"/>
      <c r="AI170" s="307" t="n"/>
      <c r="AJ170" s="307" t="n"/>
      <c r="AK170" s="307" t="n"/>
      <c r="AL170" s="307" t="n"/>
      <c r="AM170" s="307" t="n"/>
      <c r="AN170" s="307" t="n"/>
      <c r="AO170" s="307" t="n"/>
      <c r="AP170" s="307" t="n"/>
      <c r="AQ170" s="307" t="n"/>
      <c r="AR170" s="307" t="n"/>
      <c r="AS170" s="307" t="n"/>
      <c r="AT170" s="307" t="n"/>
      <c r="AU170" s="307" t="n"/>
      <c r="AV170" s="307" t="n"/>
      <c r="AW170" s="307" t="n"/>
      <c r="AX170" s="307" t="n"/>
      <c r="AY170" s="307" t="n"/>
      <c r="AZ170" s="307" t="n"/>
      <c r="BA170" s="233" t="n"/>
      <c r="BB170" s="307" t="n"/>
      <c r="BC170" s="307" t="n"/>
      <c r="BD170" s="307" t="n"/>
      <c r="BE170" s="307" t="n"/>
      <c r="BF170" s="307" t="n"/>
      <c r="BG170" s="31" t="n"/>
      <c r="BH170" s="31" t="n"/>
      <c r="BI170" s="31" t="n"/>
      <c r="BJ170" s="31" t="n"/>
    </row>
    <row r="171" ht="15.75" customHeight="1" s="349">
      <c r="A171" s="307" t="n"/>
      <c r="B171" s="307" t="n"/>
      <c r="C171" s="307" t="n"/>
      <c r="D171" s="307" t="n"/>
      <c r="E171" s="307" t="n"/>
      <c r="F171" s="307" t="n"/>
      <c r="G171" s="307" t="n"/>
      <c r="H171" s="307" t="n"/>
      <c r="I171" s="307" t="n"/>
      <c r="J171" s="307" t="n"/>
      <c r="K171" s="307" t="n"/>
      <c r="L171" s="307" t="n"/>
      <c r="M171" s="307" t="n"/>
      <c r="N171" s="307" t="n"/>
      <c r="O171" s="307" t="n"/>
      <c r="P171" s="307" t="n"/>
      <c r="Q171" s="307" t="n"/>
      <c r="R171" s="307" t="n"/>
      <c r="S171" s="307" t="n"/>
      <c r="T171" s="307" t="n"/>
      <c r="U171" s="307" t="n"/>
      <c r="V171" s="307" t="n"/>
      <c r="W171" s="307" t="n"/>
      <c r="X171" s="307" t="n"/>
      <c r="Y171" s="307" t="n"/>
      <c r="Z171" s="307" t="n"/>
      <c r="AA171" s="307" t="n"/>
      <c r="AB171" s="307" t="n"/>
      <c r="AC171" s="307" t="n"/>
      <c r="AD171" s="307" t="n"/>
      <c r="AE171" s="307" t="n"/>
      <c r="AF171" s="307" t="n"/>
      <c r="AG171" s="307" t="n"/>
      <c r="AH171" s="307" t="n"/>
      <c r="AI171" s="307" t="n"/>
      <c r="AJ171" s="307" t="n"/>
      <c r="AK171" s="307" t="n"/>
      <c r="AL171" s="307" t="n"/>
      <c r="AM171" s="307" t="n"/>
      <c r="AN171" s="307" t="n"/>
      <c r="AO171" s="307" t="n"/>
      <c r="AP171" s="307" t="n"/>
      <c r="AQ171" s="307" t="n"/>
      <c r="AR171" s="307" t="n"/>
      <c r="AS171" s="307" t="n"/>
      <c r="AT171" s="307" t="n"/>
      <c r="AU171" s="307" t="n"/>
      <c r="AV171" s="307" t="n"/>
      <c r="AW171" s="307" t="n"/>
      <c r="AX171" s="307" t="n"/>
      <c r="AY171" s="307" t="n"/>
      <c r="AZ171" s="307" t="n"/>
      <c r="BA171" s="233" t="n"/>
      <c r="BB171" s="307" t="n"/>
      <c r="BC171" s="307" t="n"/>
      <c r="BD171" s="307" t="n"/>
      <c r="BE171" s="307" t="n"/>
      <c r="BF171" s="307" t="n"/>
      <c r="BG171" s="31" t="n"/>
      <c r="BH171" s="31" t="n"/>
      <c r="BI171" s="31" t="n"/>
      <c r="BJ171" s="31" t="n"/>
    </row>
    <row r="172" ht="15.75" customHeight="1" s="349">
      <c r="A172" s="307" t="n"/>
      <c r="B172" s="307" t="n"/>
      <c r="C172" s="307" t="n"/>
      <c r="D172" s="307" t="n"/>
      <c r="E172" s="307" t="n"/>
      <c r="F172" s="307" t="n"/>
      <c r="G172" s="307" t="n"/>
      <c r="H172" s="307" t="n"/>
      <c r="I172" s="307" t="n"/>
      <c r="J172" s="307" t="n"/>
      <c r="K172" s="307" t="n"/>
      <c r="L172" s="307" t="n"/>
      <c r="M172" s="307" t="n"/>
      <c r="N172" s="307" t="n"/>
      <c r="O172" s="307" t="n"/>
      <c r="P172" s="307" t="n"/>
      <c r="Q172" s="307" t="n"/>
      <c r="R172" s="307" t="n"/>
      <c r="S172" s="307" t="n"/>
      <c r="T172" s="307" t="n"/>
      <c r="U172" s="307" t="n"/>
      <c r="V172" s="307" t="n"/>
      <c r="W172" s="307" t="n"/>
      <c r="X172" s="307" t="n"/>
      <c r="Y172" s="307" t="n"/>
      <c r="Z172" s="307" t="n"/>
      <c r="AA172" s="307" t="n"/>
      <c r="AB172" s="307" t="n"/>
      <c r="AC172" s="307" t="n"/>
      <c r="AD172" s="307" t="n"/>
      <c r="AE172" s="307" t="n"/>
      <c r="AF172" s="307" t="n"/>
      <c r="AG172" s="307" t="n"/>
      <c r="AH172" s="307" t="n"/>
      <c r="AI172" s="307" t="n"/>
      <c r="AJ172" s="307" t="n"/>
      <c r="AK172" s="307" t="n"/>
      <c r="AL172" s="307" t="n"/>
      <c r="AM172" s="307" t="n"/>
      <c r="AN172" s="307" t="n"/>
      <c r="AO172" s="307" t="n"/>
      <c r="AP172" s="307" t="n"/>
      <c r="AQ172" s="307" t="n"/>
      <c r="AR172" s="307" t="n"/>
      <c r="AS172" s="307" t="n"/>
      <c r="AT172" s="307" t="n"/>
      <c r="AU172" s="307" t="n"/>
      <c r="AV172" s="307" t="n"/>
      <c r="AW172" s="307" t="n"/>
      <c r="AX172" s="307" t="n"/>
      <c r="AY172" s="307" t="n"/>
      <c r="AZ172" s="307" t="n"/>
      <c r="BA172" s="233" t="n"/>
      <c r="BB172" s="307" t="n"/>
      <c r="BC172" s="307" t="n"/>
      <c r="BD172" s="307" t="n"/>
      <c r="BE172" s="307" t="n"/>
      <c r="BF172" s="307" t="n"/>
      <c r="BG172" s="31" t="n"/>
      <c r="BH172" s="31" t="n"/>
      <c r="BI172" s="31" t="n"/>
      <c r="BJ172" s="31" t="n"/>
    </row>
    <row r="173" ht="15.75" customHeight="1" s="349">
      <c r="A173" s="307" t="n"/>
      <c r="B173" s="307" t="n"/>
      <c r="C173" s="307" t="n"/>
      <c r="D173" s="307" t="n"/>
      <c r="E173" s="307" t="n"/>
      <c r="F173" s="307" t="n"/>
      <c r="G173" s="307" t="n"/>
      <c r="H173" s="307" t="n"/>
      <c r="I173" s="307" t="n"/>
      <c r="J173" s="307" t="n"/>
      <c r="K173" s="307" t="n"/>
      <c r="L173" s="307" t="n"/>
      <c r="M173" s="307" t="n"/>
      <c r="N173" s="307" t="n"/>
      <c r="O173" s="307" t="n"/>
      <c r="P173" s="307" t="n"/>
      <c r="Q173" s="307" t="n"/>
      <c r="R173" s="307" t="n"/>
      <c r="S173" s="307" t="n"/>
      <c r="T173" s="307" t="n"/>
      <c r="U173" s="307" t="n"/>
      <c r="V173" s="307" t="n"/>
      <c r="W173" s="307" t="n"/>
      <c r="X173" s="307" t="n"/>
      <c r="Y173" s="307" t="n"/>
      <c r="Z173" s="307" t="n"/>
      <c r="AA173" s="307" t="n"/>
      <c r="AB173" s="307" t="n"/>
      <c r="AC173" s="307" t="n"/>
      <c r="AD173" s="307" t="n"/>
      <c r="AE173" s="307" t="n"/>
      <c r="AF173" s="307" t="n"/>
      <c r="AG173" s="307" t="n"/>
      <c r="AH173" s="307" t="n"/>
      <c r="AI173" s="307" t="n"/>
      <c r="AJ173" s="307" t="n"/>
      <c r="AK173" s="307" t="n"/>
      <c r="AL173" s="307" t="n"/>
      <c r="AM173" s="307" t="n"/>
      <c r="AN173" s="307" t="n"/>
      <c r="AO173" s="307" t="n"/>
      <c r="AP173" s="307" t="n"/>
      <c r="AQ173" s="307" t="n"/>
      <c r="AR173" s="307" t="n"/>
      <c r="AS173" s="307" t="n"/>
      <c r="AT173" s="307" t="n"/>
      <c r="AU173" s="307" t="n"/>
      <c r="AV173" s="307" t="n"/>
      <c r="AW173" s="307" t="n"/>
      <c r="AX173" s="307" t="n"/>
      <c r="AY173" s="307" t="n"/>
      <c r="AZ173" s="307" t="n"/>
      <c r="BA173" s="233" t="n"/>
      <c r="BB173" s="307" t="n"/>
      <c r="BC173" s="307" t="n"/>
      <c r="BD173" s="307" t="n"/>
      <c r="BE173" s="307" t="n"/>
      <c r="BF173" s="307" t="n"/>
      <c r="BG173" s="31" t="n"/>
      <c r="BH173" s="31" t="n"/>
      <c r="BI173" s="31" t="n"/>
      <c r="BJ173" s="31" t="n"/>
    </row>
    <row r="174" ht="15.75" customHeight="1" s="349">
      <c r="A174" s="307" t="n"/>
      <c r="B174" s="307" t="n"/>
      <c r="C174" s="307" t="n"/>
      <c r="D174" s="307" t="n"/>
      <c r="E174" s="307" t="n"/>
      <c r="F174" s="307" t="n"/>
      <c r="G174" s="307" t="n"/>
      <c r="H174" s="307" t="n"/>
      <c r="I174" s="307" t="n"/>
      <c r="J174" s="307" t="n"/>
      <c r="K174" s="307" t="n"/>
      <c r="L174" s="307" t="n"/>
      <c r="M174" s="307" t="n"/>
      <c r="N174" s="307" t="n"/>
      <c r="O174" s="307" t="n"/>
      <c r="P174" s="307" t="n"/>
      <c r="Q174" s="307" t="n"/>
      <c r="R174" s="307" t="n"/>
      <c r="S174" s="307" t="n"/>
      <c r="T174" s="307" t="n"/>
      <c r="U174" s="307" t="n"/>
      <c r="V174" s="307" t="n"/>
      <c r="W174" s="307" t="n"/>
      <c r="X174" s="307" t="n"/>
      <c r="Y174" s="307" t="n"/>
      <c r="Z174" s="307" t="n"/>
      <c r="AA174" s="307" t="n"/>
      <c r="AB174" s="307" t="n"/>
      <c r="AC174" s="307" t="n"/>
      <c r="AD174" s="307" t="n"/>
      <c r="AE174" s="307" t="n"/>
      <c r="AF174" s="307" t="n"/>
      <c r="AG174" s="307" t="n"/>
      <c r="AH174" s="307" t="n"/>
      <c r="AI174" s="307" t="n"/>
      <c r="AJ174" s="307" t="n"/>
      <c r="AK174" s="307" t="n"/>
      <c r="AL174" s="307" t="n"/>
      <c r="AM174" s="307" t="n"/>
      <c r="AN174" s="307" t="n"/>
      <c r="AO174" s="307" t="n"/>
      <c r="AP174" s="307" t="n"/>
      <c r="AQ174" s="307" t="n"/>
      <c r="AR174" s="307" t="n"/>
      <c r="AS174" s="307" t="n"/>
      <c r="AT174" s="307" t="n"/>
      <c r="AU174" s="307" t="n"/>
      <c r="AV174" s="307" t="n"/>
      <c r="AW174" s="307" t="n"/>
      <c r="AX174" s="307" t="n"/>
      <c r="AY174" s="307" t="n"/>
      <c r="AZ174" s="307" t="n"/>
      <c r="BA174" s="233" t="n"/>
      <c r="BB174" s="307" t="n"/>
      <c r="BC174" s="307" t="n"/>
      <c r="BD174" s="307" t="n"/>
      <c r="BE174" s="307" t="n"/>
      <c r="BF174" s="307" t="n"/>
      <c r="BG174" s="31" t="n"/>
      <c r="BH174" s="31" t="n"/>
      <c r="BI174" s="31" t="n"/>
      <c r="BJ174" s="31" t="n"/>
    </row>
    <row r="175" ht="15.75" customHeight="1" s="349">
      <c r="A175" s="307" t="n"/>
      <c r="B175" s="307" t="n"/>
      <c r="C175" s="307" t="n"/>
      <c r="D175" s="307" t="n"/>
      <c r="E175" s="307" t="n"/>
      <c r="F175" s="307" t="n"/>
      <c r="G175" s="307" t="n"/>
      <c r="H175" s="307" t="n"/>
      <c r="I175" s="307" t="n"/>
      <c r="J175" s="307" t="n"/>
      <c r="K175" s="307" t="n"/>
      <c r="L175" s="307" t="n"/>
      <c r="M175" s="307" t="n"/>
      <c r="N175" s="307" t="n"/>
      <c r="O175" s="307" t="n"/>
      <c r="P175" s="307" t="n"/>
      <c r="Q175" s="307" t="n"/>
      <c r="R175" s="307" t="n"/>
      <c r="S175" s="307" t="n"/>
      <c r="T175" s="307" t="n"/>
      <c r="U175" s="307" t="n"/>
      <c r="V175" s="307" t="n"/>
      <c r="W175" s="307" t="n"/>
      <c r="X175" s="307" t="n"/>
      <c r="Y175" s="307" t="n"/>
      <c r="Z175" s="307" t="n"/>
      <c r="AA175" s="307" t="n"/>
      <c r="AB175" s="307" t="n"/>
      <c r="AC175" s="307" t="n"/>
      <c r="AD175" s="307" t="n"/>
      <c r="AE175" s="307" t="n"/>
      <c r="AF175" s="307" t="n"/>
      <c r="AG175" s="307" t="n"/>
      <c r="AH175" s="307" t="n"/>
      <c r="AI175" s="307" t="n"/>
      <c r="AJ175" s="307" t="n"/>
      <c r="AK175" s="307" t="n"/>
      <c r="AL175" s="307" t="n"/>
      <c r="AM175" s="307" t="n"/>
      <c r="AN175" s="307" t="n"/>
      <c r="AO175" s="307" t="n"/>
      <c r="AP175" s="307" t="n"/>
      <c r="AQ175" s="307" t="n"/>
      <c r="AR175" s="307" t="n"/>
      <c r="AS175" s="307" t="n"/>
      <c r="AT175" s="307" t="n"/>
      <c r="AU175" s="307" t="n"/>
      <c r="AV175" s="307" t="n"/>
      <c r="AW175" s="307" t="n"/>
      <c r="AX175" s="307" t="n"/>
      <c r="AY175" s="307" t="n"/>
      <c r="AZ175" s="307" t="n"/>
      <c r="BA175" s="233" t="n"/>
      <c r="BB175" s="307" t="n"/>
      <c r="BC175" s="307" t="n"/>
      <c r="BD175" s="307" t="n"/>
      <c r="BE175" s="307" t="n"/>
      <c r="BF175" s="307" t="n"/>
      <c r="BG175" s="31" t="n"/>
      <c r="BH175" s="31" t="n"/>
      <c r="BI175" s="31" t="n"/>
      <c r="BJ175" s="31" t="n"/>
    </row>
    <row r="176" ht="15.75" customHeight="1" s="349">
      <c r="A176" s="307" t="n"/>
      <c r="B176" s="307" t="n"/>
      <c r="C176" s="307" t="n"/>
      <c r="D176" s="307" t="n"/>
      <c r="E176" s="307" t="n"/>
      <c r="F176" s="307" t="n"/>
      <c r="G176" s="307" t="n"/>
      <c r="H176" s="307" t="n"/>
      <c r="I176" s="307" t="n"/>
      <c r="J176" s="307" t="n"/>
      <c r="K176" s="307" t="n"/>
      <c r="L176" s="307" t="n"/>
      <c r="M176" s="307" t="n"/>
      <c r="N176" s="307" t="n"/>
      <c r="O176" s="307" t="n"/>
      <c r="P176" s="307" t="n"/>
      <c r="Q176" s="307" t="n"/>
      <c r="R176" s="307" t="n"/>
      <c r="S176" s="307" t="n"/>
      <c r="T176" s="307" t="n"/>
      <c r="U176" s="307" t="n"/>
      <c r="V176" s="307" t="n"/>
      <c r="W176" s="307" t="n"/>
      <c r="X176" s="307" t="n"/>
      <c r="Y176" s="307" t="n"/>
      <c r="Z176" s="307" t="n"/>
      <c r="AA176" s="307" t="n"/>
      <c r="AB176" s="307" t="n"/>
      <c r="AC176" s="307" t="n"/>
      <c r="AD176" s="307" t="n"/>
      <c r="AE176" s="307" t="n"/>
      <c r="AF176" s="307" t="n"/>
      <c r="AG176" s="307" t="n"/>
      <c r="AH176" s="307" t="n"/>
      <c r="AI176" s="307" t="n"/>
      <c r="AJ176" s="307" t="n"/>
      <c r="AK176" s="307" t="n"/>
      <c r="AL176" s="307" t="n"/>
      <c r="AM176" s="307" t="n"/>
      <c r="AN176" s="307" t="n"/>
      <c r="AO176" s="307" t="n"/>
      <c r="AP176" s="307" t="n"/>
      <c r="AQ176" s="307" t="n"/>
      <c r="AR176" s="307" t="n"/>
      <c r="AS176" s="307" t="n"/>
      <c r="AT176" s="307" t="n"/>
      <c r="AU176" s="307" t="n"/>
      <c r="AV176" s="307" t="n"/>
      <c r="AW176" s="307" t="n"/>
      <c r="AX176" s="307" t="n"/>
      <c r="AY176" s="307" t="n"/>
      <c r="AZ176" s="307" t="n"/>
      <c r="BA176" s="233" t="n"/>
      <c r="BB176" s="307" t="n"/>
      <c r="BC176" s="307" t="n"/>
      <c r="BD176" s="307" t="n"/>
      <c r="BE176" s="307" t="n"/>
      <c r="BF176" s="307" t="n"/>
      <c r="BG176" s="31" t="n"/>
      <c r="BH176" s="31" t="n"/>
      <c r="BI176" s="31" t="n"/>
      <c r="BJ176" s="31" t="n"/>
    </row>
    <row r="177" ht="15.75" customHeight="1" s="349">
      <c r="A177" s="307" t="n"/>
      <c r="B177" s="307" t="n"/>
      <c r="C177" s="307" t="n"/>
      <c r="D177" s="307" t="n"/>
      <c r="E177" s="307" t="n"/>
      <c r="F177" s="307" t="n"/>
      <c r="G177" s="307" t="n"/>
      <c r="H177" s="307" t="n"/>
      <c r="I177" s="307" t="n"/>
      <c r="J177" s="307" t="n"/>
      <c r="K177" s="307" t="n"/>
      <c r="L177" s="307" t="n"/>
      <c r="M177" s="307" t="n"/>
      <c r="N177" s="307" t="n"/>
      <c r="O177" s="307" t="n"/>
      <c r="P177" s="307" t="n"/>
      <c r="Q177" s="307" t="n"/>
      <c r="R177" s="307" t="n"/>
      <c r="S177" s="307" t="n"/>
      <c r="T177" s="307" t="n"/>
      <c r="U177" s="307" t="n"/>
      <c r="V177" s="307" t="n"/>
      <c r="W177" s="307" t="n"/>
      <c r="X177" s="307" t="n"/>
      <c r="Y177" s="307" t="n"/>
      <c r="Z177" s="307" t="n"/>
      <c r="AA177" s="307" t="n"/>
      <c r="AB177" s="307" t="n"/>
      <c r="AC177" s="307" t="n"/>
      <c r="AD177" s="307" t="n"/>
      <c r="AE177" s="307" t="n"/>
      <c r="AF177" s="307" t="n"/>
      <c r="AG177" s="307" t="n"/>
      <c r="AH177" s="307" t="n"/>
      <c r="AI177" s="307" t="n"/>
      <c r="AJ177" s="307" t="n"/>
      <c r="AK177" s="307" t="n"/>
      <c r="AL177" s="307" t="n"/>
      <c r="AM177" s="307" t="n"/>
      <c r="AN177" s="307" t="n"/>
      <c r="AO177" s="307" t="n"/>
      <c r="AP177" s="307" t="n"/>
      <c r="AQ177" s="307" t="n"/>
      <c r="AR177" s="307" t="n"/>
      <c r="AS177" s="307" t="n"/>
      <c r="AT177" s="307" t="n"/>
      <c r="AU177" s="307" t="n"/>
      <c r="AV177" s="307" t="n"/>
      <c r="AW177" s="307" t="n"/>
      <c r="AX177" s="307" t="n"/>
      <c r="AY177" s="307" t="n"/>
      <c r="AZ177" s="307" t="n"/>
      <c r="BA177" s="233" t="n"/>
      <c r="BB177" s="307" t="n"/>
      <c r="BC177" s="307" t="n"/>
      <c r="BD177" s="307" t="n"/>
      <c r="BE177" s="307" t="n"/>
      <c r="BF177" s="307" t="n"/>
      <c r="BG177" s="31" t="n"/>
      <c r="BH177" s="31" t="n"/>
      <c r="BI177" s="31" t="n"/>
      <c r="BJ177" s="31" t="n"/>
    </row>
    <row r="178" ht="15.75" customHeight="1" s="349">
      <c r="A178" s="307" t="n"/>
      <c r="B178" s="307" t="n"/>
      <c r="C178" s="307" t="n"/>
      <c r="D178" s="307" t="n"/>
      <c r="E178" s="307" t="n"/>
      <c r="F178" s="307" t="n"/>
      <c r="G178" s="307" t="n"/>
      <c r="H178" s="307" t="n"/>
      <c r="I178" s="307" t="n"/>
      <c r="J178" s="307" t="n"/>
      <c r="K178" s="307" t="n"/>
      <c r="L178" s="307" t="n"/>
      <c r="M178" s="307" t="n"/>
      <c r="N178" s="307" t="n"/>
      <c r="O178" s="307" t="n"/>
      <c r="P178" s="307" t="n"/>
      <c r="Q178" s="307" t="n"/>
      <c r="R178" s="307" t="n"/>
      <c r="S178" s="307" t="n"/>
      <c r="T178" s="307" t="n"/>
      <c r="U178" s="307" t="n"/>
      <c r="V178" s="307" t="n"/>
      <c r="W178" s="307" t="n"/>
      <c r="X178" s="307" t="n"/>
      <c r="Y178" s="307" t="n"/>
      <c r="Z178" s="307" t="n"/>
      <c r="AA178" s="307" t="n"/>
      <c r="AB178" s="307" t="n"/>
      <c r="AC178" s="307" t="n"/>
      <c r="AD178" s="307" t="n"/>
      <c r="AE178" s="307" t="n"/>
      <c r="AF178" s="307" t="n"/>
      <c r="AG178" s="307" t="n"/>
      <c r="AH178" s="307" t="n"/>
      <c r="AI178" s="307" t="n"/>
      <c r="AJ178" s="307" t="n"/>
      <c r="AK178" s="307" t="n"/>
      <c r="AL178" s="307" t="n"/>
      <c r="AM178" s="307" t="n"/>
      <c r="AN178" s="307" t="n"/>
      <c r="AO178" s="307" t="n"/>
      <c r="AP178" s="307" t="n"/>
      <c r="AQ178" s="307" t="n"/>
      <c r="AR178" s="307" t="n"/>
      <c r="AS178" s="307" t="n"/>
      <c r="AT178" s="307" t="n"/>
      <c r="AU178" s="307" t="n"/>
      <c r="AV178" s="307" t="n"/>
      <c r="AW178" s="307" t="n"/>
      <c r="AX178" s="307" t="n"/>
      <c r="AY178" s="307" t="n"/>
      <c r="AZ178" s="307" t="n"/>
      <c r="BA178" s="233" t="n"/>
      <c r="BB178" s="307" t="n"/>
      <c r="BC178" s="307" t="n"/>
      <c r="BD178" s="307" t="n"/>
      <c r="BE178" s="307" t="n"/>
      <c r="BF178" s="307" t="n"/>
      <c r="BG178" s="31" t="n"/>
      <c r="BH178" s="31" t="n"/>
      <c r="BI178" s="31" t="n"/>
      <c r="BJ178" s="31" t="n"/>
    </row>
    <row r="179" ht="15.75" customHeight="1" s="349">
      <c r="A179" s="307" t="n"/>
      <c r="B179" s="307" t="n"/>
      <c r="C179" s="307" t="n"/>
      <c r="D179" s="307" t="n"/>
      <c r="E179" s="307" t="n"/>
      <c r="F179" s="307" t="n"/>
      <c r="G179" s="307" t="n"/>
      <c r="H179" s="307" t="n"/>
      <c r="I179" s="307" t="n"/>
      <c r="J179" s="307" t="n"/>
      <c r="K179" s="307" t="n"/>
      <c r="L179" s="307" t="n"/>
      <c r="M179" s="307" t="n"/>
      <c r="N179" s="307" t="n"/>
      <c r="O179" s="307" t="n"/>
      <c r="P179" s="307" t="n"/>
      <c r="Q179" s="307" t="n"/>
      <c r="R179" s="307" t="n"/>
      <c r="S179" s="307" t="n"/>
      <c r="T179" s="307" t="n"/>
      <c r="U179" s="307" t="n"/>
      <c r="V179" s="307" t="n"/>
      <c r="W179" s="307" t="n"/>
      <c r="X179" s="307" t="n"/>
      <c r="Y179" s="307" t="n"/>
      <c r="Z179" s="307" t="n"/>
      <c r="AA179" s="307" t="n"/>
      <c r="AB179" s="307" t="n"/>
      <c r="AC179" s="307" t="n"/>
      <c r="AD179" s="307" t="n"/>
      <c r="AE179" s="307" t="n"/>
      <c r="AF179" s="307" t="n"/>
      <c r="AG179" s="307" t="n"/>
      <c r="AH179" s="307" t="n"/>
      <c r="AI179" s="307" t="n"/>
      <c r="AJ179" s="307" t="n"/>
      <c r="AK179" s="307" t="n"/>
      <c r="AL179" s="307" t="n"/>
      <c r="AM179" s="307" t="n"/>
      <c r="AN179" s="307" t="n"/>
      <c r="AO179" s="307" t="n"/>
      <c r="AP179" s="307" t="n"/>
      <c r="AQ179" s="307" t="n"/>
      <c r="AR179" s="307" t="n"/>
      <c r="AS179" s="307" t="n"/>
      <c r="AT179" s="307" t="n"/>
      <c r="AU179" s="307" t="n"/>
      <c r="AV179" s="307" t="n"/>
      <c r="AW179" s="307" t="n"/>
      <c r="AX179" s="307" t="n"/>
      <c r="AY179" s="307" t="n"/>
      <c r="AZ179" s="307" t="n"/>
      <c r="BA179" s="233" t="n"/>
      <c r="BB179" s="307" t="n"/>
      <c r="BC179" s="307" t="n"/>
      <c r="BD179" s="307" t="n"/>
      <c r="BE179" s="307" t="n"/>
      <c r="BF179" s="307" t="n"/>
      <c r="BG179" s="31" t="n"/>
      <c r="BH179" s="31" t="n"/>
      <c r="BI179" s="31" t="n"/>
      <c r="BJ179" s="31" t="n"/>
    </row>
    <row r="180" ht="15.75" customHeight="1" s="349">
      <c r="A180" s="307" t="n"/>
      <c r="B180" s="307" t="n"/>
      <c r="C180" s="307" t="n"/>
      <c r="D180" s="307" t="n"/>
      <c r="E180" s="307" t="n"/>
      <c r="F180" s="307" t="n"/>
      <c r="G180" s="307" t="n"/>
      <c r="H180" s="307" t="n"/>
      <c r="I180" s="307" t="n"/>
      <c r="J180" s="307" t="n"/>
      <c r="K180" s="307" t="n"/>
      <c r="L180" s="307" t="n"/>
      <c r="M180" s="307" t="n"/>
      <c r="N180" s="307" t="n"/>
      <c r="O180" s="307" t="n"/>
      <c r="P180" s="307" t="n"/>
      <c r="Q180" s="307" t="n"/>
      <c r="R180" s="307" t="n"/>
      <c r="S180" s="307" t="n"/>
      <c r="T180" s="307" t="n"/>
      <c r="U180" s="307" t="n"/>
      <c r="V180" s="307" t="n"/>
      <c r="W180" s="307" t="n"/>
      <c r="X180" s="307" t="n"/>
      <c r="Y180" s="307" t="n"/>
      <c r="Z180" s="307" t="n"/>
      <c r="AA180" s="307" t="n"/>
      <c r="AB180" s="307" t="n"/>
      <c r="AC180" s="307" t="n"/>
      <c r="AD180" s="307" t="n"/>
      <c r="AE180" s="307" t="n"/>
      <c r="AF180" s="307" t="n"/>
      <c r="AG180" s="307" t="n"/>
      <c r="AH180" s="307" t="n"/>
      <c r="AI180" s="307" t="n"/>
      <c r="AJ180" s="307" t="n"/>
      <c r="AK180" s="307" t="n"/>
      <c r="AL180" s="307" t="n"/>
      <c r="AM180" s="307" t="n"/>
      <c r="AN180" s="307" t="n"/>
      <c r="AO180" s="307" t="n"/>
      <c r="AP180" s="307" t="n"/>
      <c r="AQ180" s="307" t="n"/>
      <c r="AR180" s="307" t="n"/>
      <c r="AS180" s="307" t="n"/>
      <c r="AT180" s="307" t="n"/>
      <c r="AU180" s="307" t="n"/>
      <c r="AV180" s="307" t="n"/>
      <c r="AW180" s="307" t="n"/>
      <c r="AX180" s="307" t="n"/>
      <c r="AY180" s="307" t="n"/>
      <c r="AZ180" s="307" t="n"/>
      <c r="BA180" s="233" t="n"/>
      <c r="BB180" s="307" t="n"/>
      <c r="BC180" s="307" t="n"/>
      <c r="BD180" s="307" t="n"/>
      <c r="BE180" s="307" t="n"/>
      <c r="BF180" s="307" t="n"/>
      <c r="BG180" s="31" t="n"/>
      <c r="BH180" s="31" t="n"/>
      <c r="BI180" s="31" t="n"/>
      <c r="BJ180" s="31" t="n"/>
    </row>
    <row r="181" ht="15.75" customHeight="1" s="349">
      <c r="A181" s="307" t="n"/>
      <c r="B181" s="307" t="n"/>
      <c r="C181" s="307" t="n"/>
      <c r="D181" s="307" t="n"/>
      <c r="E181" s="307" t="n"/>
      <c r="F181" s="307" t="n"/>
      <c r="G181" s="307" t="n"/>
      <c r="H181" s="307" t="n"/>
      <c r="I181" s="307" t="n"/>
      <c r="J181" s="307" t="n"/>
      <c r="K181" s="307" t="n"/>
      <c r="L181" s="307" t="n"/>
      <c r="M181" s="307" t="n"/>
      <c r="N181" s="307" t="n"/>
      <c r="O181" s="307" t="n"/>
      <c r="P181" s="307" t="n"/>
      <c r="Q181" s="307" t="n"/>
      <c r="R181" s="307" t="n"/>
      <c r="S181" s="307" t="n"/>
      <c r="T181" s="307" t="n"/>
      <c r="U181" s="307" t="n"/>
      <c r="V181" s="307" t="n"/>
      <c r="W181" s="307" t="n"/>
      <c r="X181" s="307" t="n"/>
      <c r="Y181" s="307" t="n"/>
      <c r="Z181" s="307" t="n"/>
      <c r="AA181" s="307" t="n"/>
      <c r="AB181" s="307" t="n"/>
      <c r="AC181" s="307" t="n"/>
      <c r="AD181" s="307" t="n"/>
      <c r="AE181" s="307" t="n"/>
      <c r="AF181" s="307" t="n"/>
      <c r="AG181" s="307" t="n"/>
      <c r="AH181" s="307" t="n"/>
      <c r="AI181" s="307" t="n"/>
      <c r="AJ181" s="307" t="n"/>
      <c r="AK181" s="307" t="n"/>
      <c r="AL181" s="307" t="n"/>
      <c r="AM181" s="307" t="n"/>
      <c r="AN181" s="307" t="n"/>
      <c r="AO181" s="307" t="n"/>
      <c r="AP181" s="307" t="n"/>
      <c r="AQ181" s="307" t="n"/>
      <c r="AR181" s="307" t="n"/>
      <c r="AS181" s="307" t="n"/>
      <c r="AT181" s="307" t="n"/>
      <c r="AU181" s="307" t="n"/>
      <c r="AV181" s="307" t="n"/>
      <c r="AW181" s="307" t="n"/>
      <c r="AX181" s="307" t="n"/>
      <c r="AY181" s="307" t="n"/>
      <c r="AZ181" s="307" t="n"/>
      <c r="BA181" s="233" t="n"/>
      <c r="BB181" s="307" t="n"/>
      <c r="BC181" s="307" t="n"/>
      <c r="BD181" s="307" t="n"/>
      <c r="BE181" s="307" t="n"/>
      <c r="BF181" s="307" t="n"/>
      <c r="BG181" s="31" t="n"/>
      <c r="BH181" s="31" t="n"/>
      <c r="BI181" s="31" t="n"/>
      <c r="BJ181" s="31" t="n"/>
    </row>
    <row r="182" ht="15.75" customHeight="1" s="349">
      <c r="A182" s="307" t="n"/>
      <c r="B182" s="307" t="n"/>
      <c r="C182" s="307" t="n"/>
      <c r="D182" s="307" t="n"/>
      <c r="E182" s="307" t="n"/>
      <c r="F182" s="307" t="n"/>
      <c r="G182" s="307" t="n"/>
      <c r="H182" s="307" t="n"/>
      <c r="I182" s="307" t="n"/>
      <c r="J182" s="307" t="n"/>
      <c r="K182" s="307" t="n"/>
      <c r="L182" s="307" t="n"/>
      <c r="M182" s="307" t="n"/>
      <c r="N182" s="307" t="n"/>
      <c r="O182" s="307" t="n"/>
      <c r="P182" s="307" t="n"/>
      <c r="Q182" s="307" t="n"/>
      <c r="R182" s="307" t="n"/>
      <c r="S182" s="307" t="n"/>
      <c r="T182" s="307" t="n"/>
      <c r="U182" s="307" t="n"/>
      <c r="V182" s="307" t="n"/>
      <c r="W182" s="307" t="n"/>
      <c r="X182" s="307" t="n"/>
      <c r="Y182" s="307" t="n"/>
      <c r="Z182" s="307" t="n"/>
      <c r="AA182" s="307" t="n"/>
      <c r="AB182" s="307" t="n"/>
      <c r="AC182" s="307" t="n"/>
      <c r="AD182" s="307" t="n"/>
      <c r="AE182" s="307" t="n"/>
      <c r="AF182" s="307" t="n"/>
      <c r="AG182" s="307" t="n"/>
      <c r="AH182" s="307" t="n"/>
      <c r="AI182" s="307" t="n"/>
      <c r="AJ182" s="307" t="n"/>
      <c r="AK182" s="307" t="n"/>
      <c r="AL182" s="307" t="n"/>
      <c r="AM182" s="307" t="n"/>
      <c r="AN182" s="307" t="n"/>
      <c r="AO182" s="307" t="n"/>
      <c r="AP182" s="307" t="n"/>
      <c r="AQ182" s="307" t="n"/>
      <c r="AR182" s="307" t="n"/>
      <c r="AS182" s="307" t="n"/>
      <c r="AT182" s="307" t="n"/>
      <c r="AU182" s="307" t="n"/>
      <c r="AV182" s="307" t="n"/>
      <c r="AW182" s="307" t="n"/>
      <c r="AX182" s="307" t="n"/>
      <c r="AY182" s="307" t="n"/>
      <c r="AZ182" s="307" t="n"/>
      <c r="BA182" s="233" t="n"/>
      <c r="BB182" s="307" t="n"/>
      <c r="BC182" s="307" t="n"/>
      <c r="BD182" s="307" t="n"/>
      <c r="BE182" s="307" t="n"/>
      <c r="BF182" s="307" t="n"/>
      <c r="BG182" s="31" t="n"/>
      <c r="BH182" s="31" t="n"/>
      <c r="BI182" s="31" t="n"/>
      <c r="BJ182" s="31" t="n"/>
    </row>
    <row r="183" ht="15.75" customHeight="1" s="349">
      <c r="A183" s="307" t="n"/>
      <c r="B183" s="307" t="n"/>
      <c r="C183" s="307" t="n"/>
      <c r="D183" s="307" t="n"/>
      <c r="E183" s="307" t="n"/>
      <c r="F183" s="307" t="n"/>
      <c r="G183" s="307" t="n"/>
      <c r="H183" s="307" t="n"/>
      <c r="I183" s="307" t="n"/>
      <c r="J183" s="307" t="n"/>
      <c r="K183" s="307" t="n"/>
      <c r="L183" s="307" t="n"/>
      <c r="M183" s="307" t="n"/>
      <c r="N183" s="307" t="n"/>
      <c r="O183" s="307" t="n"/>
      <c r="P183" s="307" t="n"/>
      <c r="Q183" s="307" t="n"/>
      <c r="R183" s="307" t="n"/>
      <c r="S183" s="307" t="n"/>
      <c r="T183" s="307" t="n"/>
      <c r="U183" s="307" t="n"/>
      <c r="V183" s="307" t="n"/>
      <c r="W183" s="307" t="n"/>
      <c r="X183" s="307" t="n"/>
      <c r="Y183" s="307" t="n"/>
      <c r="Z183" s="307" t="n"/>
      <c r="AA183" s="307" t="n"/>
      <c r="AB183" s="307" t="n"/>
      <c r="AC183" s="307" t="n"/>
      <c r="AD183" s="307" t="n"/>
      <c r="AE183" s="307" t="n"/>
      <c r="AF183" s="307" t="n"/>
      <c r="AG183" s="307" t="n"/>
      <c r="AH183" s="307" t="n"/>
      <c r="AI183" s="307" t="n"/>
      <c r="AJ183" s="307" t="n"/>
      <c r="AK183" s="307" t="n"/>
      <c r="AL183" s="307" t="n"/>
      <c r="AM183" s="307" t="n"/>
      <c r="AN183" s="307" t="n"/>
      <c r="AO183" s="307" t="n"/>
      <c r="AP183" s="307" t="n"/>
      <c r="AQ183" s="307" t="n"/>
      <c r="AR183" s="307" t="n"/>
      <c r="AS183" s="307" t="n"/>
      <c r="AT183" s="307" t="n"/>
      <c r="AU183" s="307" t="n"/>
      <c r="AV183" s="307" t="n"/>
      <c r="AW183" s="307" t="n"/>
      <c r="AX183" s="307" t="n"/>
      <c r="AY183" s="307" t="n"/>
      <c r="AZ183" s="307" t="n"/>
      <c r="BA183" s="233" t="n"/>
      <c r="BB183" s="307" t="n"/>
      <c r="BC183" s="307" t="n"/>
      <c r="BD183" s="307" t="n"/>
      <c r="BE183" s="307" t="n"/>
      <c r="BF183" s="307" t="n"/>
      <c r="BG183" s="31" t="n"/>
      <c r="BH183" s="31" t="n"/>
      <c r="BI183" s="31" t="n"/>
      <c r="BJ183" s="31" t="n"/>
    </row>
    <row r="184" ht="15.75" customHeight="1" s="349">
      <c r="A184" s="307" t="n"/>
      <c r="B184" s="307" t="n"/>
      <c r="C184" s="307" t="n"/>
      <c r="D184" s="307" t="n"/>
      <c r="E184" s="307" t="n"/>
      <c r="F184" s="307" t="n"/>
      <c r="G184" s="307" t="n"/>
      <c r="H184" s="307" t="n"/>
      <c r="I184" s="307" t="n"/>
      <c r="J184" s="307" t="n"/>
      <c r="K184" s="307" t="n"/>
      <c r="L184" s="307" t="n"/>
      <c r="M184" s="307" t="n"/>
      <c r="N184" s="307" t="n"/>
      <c r="O184" s="307" t="n"/>
      <c r="P184" s="307" t="n"/>
      <c r="Q184" s="307" t="n"/>
      <c r="R184" s="307" t="n"/>
      <c r="S184" s="307" t="n"/>
      <c r="T184" s="307" t="n"/>
      <c r="U184" s="307" t="n"/>
      <c r="V184" s="307" t="n"/>
      <c r="W184" s="307" t="n"/>
      <c r="X184" s="307" t="n"/>
      <c r="Y184" s="307" t="n"/>
      <c r="Z184" s="307" t="n"/>
      <c r="AA184" s="307" t="n"/>
      <c r="AB184" s="307" t="n"/>
      <c r="AC184" s="307" t="n"/>
      <c r="AD184" s="307" t="n"/>
      <c r="AE184" s="307" t="n"/>
      <c r="AF184" s="307" t="n"/>
      <c r="AG184" s="307" t="n"/>
      <c r="AH184" s="307" t="n"/>
      <c r="AI184" s="307" t="n"/>
      <c r="AJ184" s="307" t="n"/>
      <c r="AK184" s="307" t="n"/>
      <c r="AL184" s="307" t="n"/>
      <c r="AM184" s="307" t="n"/>
      <c r="AN184" s="307" t="n"/>
      <c r="AO184" s="307" t="n"/>
      <c r="AP184" s="307" t="n"/>
      <c r="AQ184" s="307" t="n"/>
      <c r="AR184" s="307" t="n"/>
      <c r="AS184" s="307" t="n"/>
      <c r="AT184" s="307" t="n"/>
      <c r="AU184" s="307" t="n"/>
      <c r="AV184" s="307" t="n"/>
      <c r="AW184" s="307" t="n"/>
      <c r="AX184" s="307" t="n"/>
      <c r="AY184" s="307" t="n"/>
      <c r="AZ184" s="307" t="n"/>
      <c r="BA184" s="233" t="n"/>
      <c r="BB184" s="307" t="n"/>
      <c r="BC184" s="307" t="n"/>
      <c r="BD184" s="307" t="n"/>
      <c r="BE184" s="307" t="n"/>
      <c r="BF184" s="307" t="n"/>
      <c r="BG184" s="31" t="n"/>
      <c r="BH184" s="31" t="n"/>
      <c r="BI184" s="31" t="n"/>
      <c r="BJ184" s="31" t="n"/>
    </row>
    <row r="185" ht="15.75" customHeight="1" s="349">
      <c r="A185" s="307" t="n"/>
      <c r="B185" s="307" t="n"/>
      <c r="C185" s="307" t="n"/>
      <c r="D185" s="307" t="n"/>
      <c r="E185" s="307" t="n"/>
      <c r="F185" s="307" t="n"/>
      <c r="G185" s="307" t="n"/>
      <c r="H185" s="307" t="n"/>
      <c r="I185" s="307" t="n"/>
      <c r="J185" s="307" t="n"/>
      <c r="K185" s="307" t="n"/>
      <c r="L185" s="307" t="n"/>
      <c r="M185" s="307" t="n"/>
      <c r="N185" s="307" t="n"/>
      <c r="O185" s="307" t="n"/>
      <c r="P185" s="307" t="n"/>
      <c r="Q185" s="307" t="n"/>
      <c r="R185" s="307" t="n"/>
      <c r="S185" s="307" t="n"/>
      <c r="T185" s="307" t="n"/>
      <c r="U185" s="307" t="n"/>
      <c r="V185" s="307" t="n"/>
      <c r="W185" s="307" t="n"/>
      <c r="X185" s="307" t="n"/>
      <c r="Y185" s="307" t="n"/>
      <c r="Z185" s="307" t="n"/>
      <c r="AA185" s="307" t="n"/>
      <c r="AB185" s="307" t="n"/>
      <c r="AC185" s="307" t="n"/>
      <c r="AD185" s="307" t="n"/>
      <c r="AE185" s="307" t="n"/>
      <c r="AF185" s="307" t="n"/>
      <c r="AG185" s="307" t="n"/>
      <c r="AH185" s="307" t="n"/>
      <c r="AI185" s="307" t="n"/>
      <c r="AJ185" s="307" t="n"/>
      <c r="AK185" s="307" t="n"/>
      <c r="AL185" s="307" t="n"/>
      <c r="AM185" s="307" t="n"/>
      <c r="AN185" s="307" t="n"/>
      <c r="AO185" s="307" t="n"/>
      <c r="AP185" s="307" t="n"/>
      <c r="AQ185" s="307" t="n"/>
      <c r="AR185" s="307" t="n"/>
      <c r="AS185" s="307" t="n"/>
      <c r="AT185" s="307" t="n"/>
      <c r="AU185" s="307" t="n"/>
      <c r="AV185" s="307" t="n"/>
      <c r="AW185" s="307" t="n"/>
      <c r="AX185" s="307" t="n"/>
      <c r="AY185" s="307" t="n"/>
      <c r="AZ185" s="307" t="n"/>
      <c r="BA185" s="233" t="n"/>
      <c r="BB185" s="307" t="n"/>
      <c r="BC185" s="307" t="n"/>
      <c r="BD185" s="307" t="n"/>
      <c r="BE185" s="307" t="n"/>
      <c r="BF185" s="307" t="n"/>
      <c r="BG185" s="31" t="n"/>
      <c r="BH185" s="31" t="n"/>
      <c r="BI185" s="31" t="n"/>
      <c r="BJ185" s="31" t="n"/>
    </row>
    <row r="186" ht="15.75" customHeight="1" s="349">
      <c r="A186" s="307" t="n"/>
      <c r="B186" s="307" t="n"/>
      <c r="C186" s="307" t="n"/>
      <c r="D186" s="307" t="n"/>
      <c r="E186" s="307" t="n"/>
      <c r="F186" s="307" t="n"/>
      <c r="G186" s="307" t="n"/>
      <c r="H186" s="307" t="n"/>
      <c r="I186" s="307" t="n"/>
      <c r="J186" s="307" t="n"/>
      <c r="K186" s="307" t="n"/>
      <c r="L186" s="307" t="n"/>
      <c r="M186" s="307" t="n"/>
      <c r="N186" s="307" t="n"/>
      <c r="O186" s="307" t="n"/>
      <c r="P186" s="307" t="n"/>
      <c r="Q186" s="307" t="n"/>
      <c r="R186" s="307" t="n"/>
      <c r="S186" s="307" t="n"/>
      <c r="T186" s="307" t="n"/>
      <c r="U186" s="307" t="n"/>
      <c r="V186" s="307" t="n"/>
      <c r="W186" s="307" t="n"/>
      <c r="X186" s="307" t="n"/>
      <c r="Y186" s="307" t="n"/>
      <c r="Z186" s="307" t="n"/>
      <c r="AA186" s="307" t="n"/>
      <c r="AB186" s="307" t="n"/>
      <c r="AC186" s="307" t="n"/>
      <c r="AD186" s="307" t="n"/>
      <c r="AE186" s="307" t="n"/>
      <c r="AF186" s="307" t="n"/>
      <c r="AG186" s="307" t="n"/>
      <c r="AH186" s="307" t="n"/>
      <c r="AI186" s="307" t="n"/>
      <c r="AJ186" s="307" t="n"/>
      <c r="AK186" s="307" t="n"/>
      <c r="AL186" s="307" t="n"/>
      <c r="AM186" s="307" t="n"/>
      <c r="AN186" s="307" t="n"/>
      <c r="AO186" s="307" t="n"/>
      <c r="AP186" s="307" t="n"/>
      <c r="AQ186" s="307" t="n"/>
      <c r="AR186" s="307" t="n"/>
      <c r="AS186" s="307" t="n"/>
      <c r="AT186" s="307" t="n"/>
      <c r="AU186" s="307" t="n"/>
      <c r="AV186" s="307" t="n"/>
      <c r="AW186" s="307" t="n"/>
      <c r="AX186" s="307" t="n"/>
      <c r="AY186" s="307" t="n"/>
      <c r="AZ186" s="307" t="n"/>
      <c r="BA186" s="233" t="n"/>
      <c r="BB186" s="307" t="n"/>
      <c r="BC186" s="307" t="n"/>
      <c r="BD186" s="307" t="n"/>
      <c r="BE186" s="307" t="n"/>
      <c r="BF186" s="307" t="n"/>
      <c r="BG186" s="31" t="n"/>
      <c r="BH186" s="31" t="n"/>
      <c r="BI186" s="31" t="n"/>
      <c r="BJ186" s="31" t="n"/>
    </row>
    <row r="187" ht="15.75" customHeight="1" s="349">
      <c r="A187" s="307" t="n"/>
      <c r="B187" s="307" t="n"/>
      <c r="C187" s="307" t="n"/>
      <c r="D187" s="307" t="n"/>
      <c r="E187" s="307" t="n"/>
      <c r="F187" s="307" t="n"/>
      <c r="G187" s="307" t="n"/>
      <c r="H187" s="307" t="n"/>
      <c r="I187" s="307" t="n"/>
      <c r="J187" s="307" t="n"/>
      <c r="K187" s="307" t="n"/>
      <c r="L187" s="307" t="n"/>
      <c r="M187" s="307" t="n"/>
      <c r="N187" s="307" t="n"/>
      <c r="O187" s="307" t="n"/>
      <c r="P187" s="307" t="n"/>
      <c r="Q187" s="307" t="n"/>
      <c r="R187" s="307" t="n"/>
      <c r="S187" s="307" t="n"/>
      <c r="T187" s="307" t="n"/>
      <c r="U187" s="307" t="n"/>
      <c r="V187" s="307" t="n"/>
      <c r="W187" s="307" t="n"/>
      <c r="X187" s="307" t="n"/>
      <c r="Y187" s="307" t="n"/>
      <c r="Z187" s="307" t="n"/>
      <c r="AA187" s="307" t="n"/>
      <c r="AB187" s="307" t="n"/>
      <c r="AC187" s="307" t="n"/>
      <c r="AD187" s="307" t="n"/>
      <c r="AE187" s="307" t="n"/>
      <c r="AF187" s="307" t="n"/>
      <c r="AG187" s="307" t="n"/>
      <c r="AH187" s="307" t="n"/>
      <c r="AI187" s="307" t="n"/>
      <c r="AJ187" s="307" t="n"/>
      <c r="AK187" s="307" t="n"/>
      <c r="AL187" s="307" t="n"/>
      <c r="AM187" s="307" t="n"/>
      <c r="AN187" s="307" t="n"/>
      <c r="AO187" s="307" t="n"/>
      <c r="AP187" s="307" t="n"/>
      <c r="AQ187" s="307" t="n"/>
      <c r="AR187" s="307" t="n"/>
      <c r="AS187" s="307" t="n"/>
      <c r="AT187" s="307" t="n"/>
      <c r="AU187" s="307" t="n"/>
      <c r="AV187" s="307" t="n"/>
      <c r="AW187" s="307" t="n"/>
      <c r="AX187" s="307" t="n"/>
      <c r="AY187" s="307" t="n"/>
      <c r="AZ187" s="307" t="n"/>
      <c r="BA187" s="233" t="n"/>
      <c r="BB187" s="307" t="n"/>
      <c r="BC187" s="307" t="n"/>
      <c r="BD187" s="307" t="n"/>
      <c r="BE187" s="307" t="n"/>
      <c r="BF187" s="307" t="n"/>
      <c r="BG187" s="31" t="n"/>
      <c r="BH187" s="31" t="n"/>
      <c r="BI187" s="31" t="n"/>
      <c r="BJ187" s="31" t="n"/>
    </row>
    <row r="188" ht="15.75" customHeight="1" s="349">
      <c r="A188" s="307" t="n"/>
      <c r="B188" s="307" t="n"/>
      <c r="C188" s="307" t="n"/>
      <c r="D188" s="307" t="n"/>
      <c r="E188" s="307" t="n"/>
      <c r="F188" s="307" t="n"/>
      <c r="G188" s="307" t="n"/>
      <c r="H188" s="307" t="n"/>
      <c r="I188" s="307" t="n"/>
      <c r="J188" s="307" t="n"/>
      <c r="K188" s="307" t="n"/>
      <c r="L188" s="307" t="n"/>
      <c r="M188" s="307" t="n"/>
      <c r="N188" s="307" t="n"/>
      <c r="O188" s="307" t="n"/>
      <c r="P188" s="307" t="n"/>
      <c r="Q188" s="307" t="n"/>
      <c r="R188" s="307" t="n"/>
      <c r="S188" s="307" t="n"/>
      <c r="T188" s="307" t="n"/>
      <c r="U188" s="307" t="n"/>
      <c r="V188" s="307" t="n"/>
      <c r="W188" s="307" t="n"/>
      <c r="X188" s="307" t="n"/>
      <c r="Y188" s="307" t="n"/>
      <c r="Z188" s="307" t="n"/>
      <c r="AA188" s="307" t="n"/>
      <c r="AB188" s="307" t="n"/>
      <c r="AC188" s="307" t="n"/>
      <c r="AD188" s="307" t="n"/>
      <c r="AE188" s="307" t="n"/>
      <c r="AF188" s="307" t="n"/>
      <c r="AG188" s="307" t="n"/>
      <c r="AH188" s="307" t="n"/>
      <c r="AI188" s="307" t="n"/>
      <c r="AJ188" s="307" t="n"/>
      <c r="AK188" s="307" t="n"/>
      <c r="AL188" s="307" t="n"/>
      <c r="AM188" s="307" t="n"/>
      <c r="AN188" s="307" t="n"/>
      <c r="AO188" s="307" t="n"/>
      <c r="AP188" s="307" t="n"/>
      <c r="AQ188" s="307" t="n"/>
      <c r="AR188" s="307" t="n"/>
      <c r="AS188" s="307" t="n"/>
      <c r="AT188" s="307" t="n"/>
      <c r="AU188" s="307" t="n"/>
      <c r="AV188" s="307" t="n"/>
      <c r="AW188" s="307" t="n"/>
      <c r="AX188" s="307" t="n"/>
      <c r="AY188" s="307" t="n"/>
      <c r="AZ188" s="307" t="n"/>
      <c r="BA188" s="233" t="n"/>
      <c r="BB188" s="307" t="n"/>
      <c r="BC188" s="307" t="n"/>
      <c r="BD188" s="307" t="n"/>
      <c r="BE188" s="307" t="n"/>
      <c r="BF188" s="307" t="n"/>
      <c r="BG188" s="31" t="n"/>
      <c r="BH188" s="31" t="n"/>
      <c r="BI188" s="31" t="n"/>
      <c r="BJ188" s="31" t="n"/>
    </row>
    <row r="189" ht="15.75" customHeight="1" s="349">
      <c r="A189" s="307" t="n"/>
      <c r="B189" s="307" t="n"/>
      <c r="C189" s="307" t="n"/>
      <c r="D189" s="307" t="n"/>
      <c r="E189" s="307" t="n"/>
      <c r="F189" s="307" t="n"/>
      <c r="G189" s="307" t="n"/>
      <c r="H189" s="307" t="n"/>
      <c r="I189" s="307" t="n"/>
      <c r="J189" s="307" t="n"/>
      <c r="K189" s="307" t="n"/>
      <c r="L189" s="307" t="n"/>
      <c r="M189" s="307" t="n"/>
      <c r="N189" s="307" t="n"/>
      <c r="O189" s="307" t="n"/>
      <c r="P189" s="307" t="n"/>
      <c r="Q189" s="307" t="n"/>
      <c r="R189" s="307" t="n"/>
      <c r="S189" s="307" t="n"/>
      <c r="T189" s="307" t="n"/>
      <c r="U189" s="307" t="n"/>
      <c r="V189" s="307" t="n"/>
      <c r="W189" s="307" t="n"/>
      <c r="X189" s="307" t="n"/>
      <c r="Y189" s="307" t="n"/>
      <c r="Z189" s="307" t="n"/>
      <c r="AA189" s="307" t="n"/>
      <c r="AB189" s="307" t="n"/>
      <c r="AC189" s="307" t="n"/>
      <c r="AD189" s="307" t="n"/>
      <c r="AE189" s="307" t="n"/>
      <c r="AF189" s="307" t="n"/>
      <c r="AG189" s="307" t="n"/>
      <c r="AH189" s="307" t="n"/>
      <c r="AI189" s="307" t="n"/>
      <c r="AJ189" s="307" t="n"/>
      <c r="AK189" s="307" t="n"/>
      <c r="AL189" s="307" t="n"/>
      <c r="AM189" s="307" t="n"/>
      <c r="AN189" s="307" t="n"/>
      <c r="AO189" s="307" t="n"/>
      <c r="AP189" s="307" t="n"/>
      <c r="AQ189" s="307" t="n"/>
      <c r="AR189" s="307" t="n"/>
      <c r="AS189" s="307" t="n"/>
      <c r="AT189" s="307" t="n"/>
      <c r="AU189" s="307" t="n"/>
      <c r="AV189" s="307" t="n"/>
      <c r="AW189" s="307" t="n"/>
      <c r="AX189" s="307" t="n"/>
      <c r="AY189" s="307" t="n"/>
      <c r="AZ189" s="307" t="n"/>
      <c r="BA189" s="233" t="n"/>
      <c r="BB189" s="307" t="n"/>
      <c r="BC189" s="307" t="n"/>
      <c r="BD189" s="307" t="n"/>
      <c r="BE189" s="307" t="n"/>
      <c r="BF189" s="307" t="n"/>
      <c r="BG189" s="31" t="n"/>
      <c r="BH189" s="31" t="n"/>
      <c r="BI189" s="31" t="n"/>
      <c r="BJ189" s="31" t="n"/>
    </row>
    <row r="190" ht="15.75" customHeight="1" s="349">
      <c r="A190" s="307" t="n"/>
      <c r="B190" s="307" t="n"/>
      <c r="C190" s="307" t="n"/>
      <c r="D190" s="307" t="n"/>
      <c r="E190" s="307" t="n"/>
      <c r="F190" s="307" t="n"/>
      <c r="G190" s="307" t="n"/>
      <c r="H190" s="307" t="n"/>
      <c r="I190" s="307" t="n"/>
      <c r="J190" s="307" t="n"/>
      <c r="K190" s="307" t="n"/>
      <c r="L190" s="307" t="n"/>
      <c r="M190" s="307" t="n"/>
      <c r="N190" s="307" t="n"/>
      <c r="O190" s="307" t="n"/>
      <c r="P190" s="307" t="n"/>
      <c r="Q190" s="307" t="n"/>
      <c r="R190" s="307" t="n"/>
      <c r="S190" s="307" t="n"/>
      <c r="T190" s="307" t="n"/>
      <c r="U190" s="307" t="n"/>
      <c r="V190" s="307" t="n"/>
      <c r="W190" s="307" t="n"/>
      <c r="X190" s="307" t="n"/>
      <c r="Y190" s="307" t="n"/>
      <c r="Z190" s="307" t="n"/>
      <c r="AA190" s="307" t="n"/>
      <c r="AB190" s="307" t="n"/>
      <c r="AC190" s="307" t="n"/>
      <c r="AD190" s="307" t="n"/>
      <c r="AE190" s="307" t="n"/>
      <c r="AF190" s="307" t="n"/>
      <c r="AG190" s="307" t="n"/>
      <c r="AH190" s="307" t="n"/>
      <c r="AI190" s="307" t="n"/>
      <c r="AJ190" s="307" t="n"/>
      <c r="AK190" s="307" t="n"/>
      <c r="AL190" s="307" t="n"/>
      <c r="AM190" s="307" t="n"/>
      <c r="AN190" s="307" t="n"/>
      <c r="AO190" s="307" t="n"/>
      <c r="AP190" s="307" t="n"/>
      <c r="AQ190" s="307" t="n"/>
      <c r="AR190" s="307" t="n"/>
      <c r="AS190" s="307" t="n"/>
      <c r="AT190" s="307" t="n"/>
      <c r="AU190" s="307" t="n"/>
      <c r="AV190" s="307" t="n"/>
      <c r="AW190" s="307" t="n"/>
      <c r="AX190" s="307" t="n"/>
      <c r="AY190" s="307" t="n"/>
      <c r="AZ190" s="307" t="n"/>
      <c r="BA190" s="233" t="n"/>
      <c r="BB190" s="307" t="n"/>
      <c r="BC190" s="307" t="n"/>
      <c r="BD190" s="307" t="n"/>
      <c r="BE190" s="307" t="n"/>
      <c r="BF190" s="307" t="n"/>
      <c r="BG190" s="31" t="n"/>
      <c r="BH190" s="31" t="n"/>
      <c r="BI190" s="31" t="n"/>
      <c r="BJ190" s="31" t="n"/>
    </row>
    <row r="191" ht="15.75" customHeight="1" s="349">
      <c r="A191" s="307" t="n"/>
      <c r="B191" s="307" t="n"/>
      <c r="C191" s="307" t="n"/>
      <c r="D191" s="307" t="n"/>
      <c r="E191" s="307" t="n"/>
      <c r="F191" s="307" t="n"/>
      <c r="G191" s="307" t="n"/>
      <c r="H191" s="307" t="n"/>
      <c r="I191" s="307" t="n"/>
      <c r="J191" s="307" t="n"/>
      <c r="K191" s="307" t="n"/>
      <c r="L191" s="307" t="n"/>
      <c r="M191" s="307" t="n"/>
      <c r="N191" s="307" t="n"/>
      <c r="O191" s="307" t="n"/>
      <c r="P191" s="307" t="n"/>
      <c r="Q191" s="307" t="n"/>
      <c r="R191" s="307" t="n"/>
      <c r="S191" s="307" t="n"/>
      <c r="T191" s="307" t="n"/>
      <c r="U191" s="307" t="n"/>
      <c r="V191" s="307" t="n"/>
      <c r="W191" s="307" t="n"/>
      <c r="X191" s="307" t="n"/>
      <c r="Y191" s="307" t="n"/>
      <c r="Z191" s="307" t="n"/>
      <c r="AA191" s="307" t="n"/>
      <c r="AB191" s="307" t="n"/>
      <c r="AC191" s="307" t="n"/>
      <c r="AD191" s="307" t="n"/>
      <c r="AE191" s="307" t="n"/>
      <c r="AF191" s="307" t="n"/>
      <c r="AG191" s="307" t="n"/>
      <c r="AH191" s="307" t="n"/>
      <c r="AI191" s="307" t="n"/>
      <c r="AJ191" s="307" t="n"/>
      <c r="AK191" s="307" t="n"/>
      <c r="AL191" s="307" t="n"/>
      <c r="AM191" s="307" t="n"/>
      <c r="AN191" s="307" t="n"/>
      <c r="AO191" s="307" t="n"/>
      <c r="AP191" s="307" t="n"/>
      <c r="AQ191" s="307" t="n"/>
      <c r="AR191" s="307" t="n"/>
      <c r="AS191" s="307" t="n"/>
      <c r="AT191" s="307" t="n"/>
      <c r="AU191" s="307" t="n"/>
      <c r="AV191" s="307" t="n"/>
      <c r="AW191" s="307" t="n"/>
      <c r="AX191" s="307" t="n"/>
      <c r="AY191" s="307" t="n"/>
      <c r="AZ191" s="307" t="n"/>
      <c r="BA191" s="233" t="n"/>
      <c r="BB191" s="307" t="n"/>
      <c r="BC191" s="307" t="n"/>
      <c r="BD191" s="307" t="n"/>
      <c r="BE191" s="307" t="n"/>
      <c r="BF191" s="307" t="n"/>
      <c r="BG191" s="31" t="n"/>
      <c r="BH191" s="31" t="n"/>
      <c r="BI191" s="31" t="n"/>
      <c r="BJ191" s="31" t="n"/>
    </row>
    <row r="192" ht="15.75" customHeight="1" s="349">
      <c r="A192" s="307" t="n"/>
      <c r="B192" s="307" t="n"/>
      <c r="C192" s="307" t="n"/>
      <c r="D192" s="307" t="n"/>
      <c r="E192" s="307" t="n"/>
      <c r="F192" s="307" t="n"/>
      <c r="G192" s="307" t="n"/>
      <c r="H192" s="307" t="n"/>
      <c r="I192" s="307" t="n"/>
      <c r="J192" s="307" t="n"/>
      <c r="K192" s="307" t="n"/>
      <c r="L192" s="307" t="n"/>
      <c r="M192" s="307" t="n"/>
      <c r="N192" s="307" t="n"/>
      <c r="O192" s="307" t="n"/>
      <c r="P192" s="307" t="n"/>
      <c r="Q192" s="307" t="n"/>
      <c r="R192" s="307" t="n"/>
      <c r="S192" s="307" t="n"/>
      <c r="T192" s="307" t="n"/>
      <c r="U192" s="307" t="n"/>
      <c r="V192" s="307" t="n"/>
      <c r="W192" s="307" t="n"/>
      <c r="X192" s="307" t="n"/>
      <c r="Y192" s="307" t="n"/>
      <c r="Z192" s="307" t="n"/>
      <c r="AA192" s="307" t="n"/>
      <c r="AB192" s="307" t="n"/>
      <c r="AC192" s="307" t="n"/>
      <c r="AD192" s="307" t="n"/>
      <c r="AE192" s="307" t="n"/>
      <c r="AF192" s="307" t="n"/>
      <c r="AG192" s="307" t="n"/>
      <c r="AH192" s="307" t="n"/>
      <c r="AI192" s="307" t="n"/>
      <c r="AJ192" s="307" t="n"/>
      <c r="AK192" s="307" t="n"/>
      <c r="AL192" s="307" t="n"/>
      <c r="AM192" s="307" t="n"/>
      <c r="AN192" s="307" t="n"/>
      <c r="AO192" s="307" t="n"/>
      <c r="AP192" s="307" t="n"/>
      <c r="AQ192" s="307" t="n"/>
      <c r="AR192" s="307" t="n"/>
      <c r="AS192" s="307" t="n"/>
      <c r="AT192" s="307" t="n"/>
      <c r="AU192" s="307" t="n"/>
      <c r="AV192" s="307" t="n"/>
      <c r="AW192" s="307" t="n"/>
      <c r="AX192" s="307" t="n"/>
      <c r="AY192" s="307" t="n"/>
      <c r="AZ192" s="307" t="n"/>
      <c r="BA192" s="233" t="n"/>
      <c r="BB192" s="307" t="n"/>
      <c r="BC192" s="307" t="n"/>
      <c r="BD192" s="307" t="n"/>
      <c r="BE192" s="307" t="n"/>
      <c r="BF192" s="307" t="n"/>
      <c r="BG192" s="31" t="n"/>
      <c r="BH192" s="31" t="n"/>
      <c r="BI192" s="31" t="n"/>
      <c r="BJ192" s="31" t="n"/>
    </row>
    <row r="193" ht="15.75" customHeight="1" s="349">
      <c r="A193" s="307" t="n"/>
      <c r="B193" s="307" t="n"/>
      <c r="C193" s="307" t="n"/>
      <c r="D193" s="307" t="n"/>
      <c r="E193" s="307" t="n"/>
      <c r="F193" s="307" t="n"/>
      <c r="G193" s="307" t="n"/>
      <c r="H193" s="307" t="n"/>
      <c r="I193" s="307" t="n"/>
      <c r="J193" s="307" t="n"/>
      <c r="K193" s="307" t="n"/>
      <c r="L193" s="307" t="n"/>
      <c r="M193" s="307" t="n"/>
      <c r="N193" s="307" t="n"/>
      <c r="O193" s="307" t="n"/>
      <c r="P193" s="307" t="n"/>
      <c r="Q193" s="307" t="n"/>
      <c r="R193" s="307" t="n"/>
      <c r="S193" s="307" t="n"/>
      <c r="T193" s="307" t="n"/>
      <c r="U193" s="307" t="n"/>
      <c r="V193" s="307" t="n"/>
      <c r="W193" s="307" t="n"/>
      <c r="X193" s="307" t="n"/>
      <c r="Y193" s="307" t="n"/>
      <c r="Z193" s="307" t="n"/>
      <c r="AA193" s="307" t="n"/>
      <c r="AB193" s="307" t="n"/>
      <c r="AC193" s="307" t="n"/>
      <c r="AD193" s="307" t="n"/>
      <c r="AE193" s="307" t="n"/>
      <c r="AF193" s="307" t="n"/>
      <c r="AG193" s="307" t="n"/>
      <c r="AH193" s="307" t="n"/>
      <c r="AI193" s="307" t="n"/>
      <c r="AJ193" s="307" t="n"/>
      <c r="AK193" s="307" t="n"/>
      <c r="AL193" s="307" t="n"/>
      <c r="AM193" s="307" t="n"/>
      <c r="AN193" s="307" t="n"/>
      <c r="AO193" s="307" t="n"/>
      <c r="AP193" s="307" t="n"/>
      <c r="AQ193" s="307" t="n"/>
      <c r="AR193" s="307" t="n"/>
      <c r="AS193" s="307" t="n"/>
      <c r="AT193" s="307" t="n"/>
      <c r="AU193" s="307" t="n"/>
      <c r="AV193" s="307" t="n"/>
      <c r="AW193" s="307" t="n"/>
      <c r="AX193" s="307" t="n"/>
      <c r="AY193" s="307" t="n"/>
      <c r="AZ193" s="307" t="n"/>
      <c r="BA193" s="233" t="n"/>
      <c r="BB193" s="307" t="n"/>
      <c r="BC193" s="307" t="n"/>
      <c r="BD193" s="307" t="n"/>
      <c r="BE193" s="307" t="n"/>
      <c r="BF193" s="307" t="n"/>
      <c r="BG193" s="31" t="n"/>
      <c r="BH193" s="31" t="n"/>
      <c r="BI193" s="31" t="n"/>
      <c r="BJ193" s="31" t="n"/>
    </row>
    <row r="194" ht="15.75" customHeight="1" s="349">
      <c r="A194" s="307" t="n"/>
      <c r="B194" s="307" t="n"/>
      <c r="C194" s="307" t="n"/>
      <c r="D194" s="307" t="n"/>
      <c r="E194" s="307" t="n"/>
      <c r="F194" s="307" t="n"/>
      <c r="G194" s="307" t="n"/>
      <c r="H194" s="307" t="n"/>
      <c r="I194" s="307" t="n"/>
      <c r="J194" s="307" t="n"/>
      <c r="K194" s="307" t="n"/>
      <c r="L194" s="307" t="n"/>
      <c r="M194" s="307" t="n"/>
      <c r="N194" s="307" t="n"/>
      <c r="O194" s="307" t="n"/>
      <c r="P194" s="307" t="n"/>
      <c r="Q194" s="307" t="n"/>
      <c r="R194" s="307" t="n"/>
      <c r="S194" s="307" t="n"/>
      <c r="T194" s="307" t="n"/>
      <c r="U194" s="307" t="n"/>
      <c r="V194" s="307" t="n"/>
      <c r="W194" s="307" t="n"/>
      <c r="X194" s="307" t="n"/>
      <c r="Y194" s="307" t="n"/>
      <c r="Z194" s="307" t="n"/>
      <c r="AA194" s="307" t="n"/>
      <c r="AB194" s="307" t="n"/>
      <c r="AC194" s="307" t="n"/>
      <c r="AD194" s="307" t="n"/>
      <c r="AE194" s="307" t="n"/>
      <c r="AF194" s="307" t="n"/>
      <c r="AG194" s="307" t="n"/>
      <c r="AH194" s="307" t="n"/>
      <c r="AI194" s="307" t="n"/>
      <c r="AJ194" s="307" t="n"/>
      <c r="AK194" s="307" t="n"/>
      <c r="AL194" s="307" t="n"/>
      <c r="AM194" s="307" t="n"/>
      <c r="AN194" s="307" t="n"/>
      <c r="AO194" s="307" t="n"/>
      <c r="AP194" s="307" t="n"/>
      <c r="AQ194" s="307" t="n"/>
      <c r="AR194" s="307" t="n"/>
      <c r="AS194" s="307" t="n"/>
      <c r="AT194" s="307" t="n"/>
      <c r="AU194" s="307" t="n"/>
      <c r="AV194" s="307" t="n"/>
      <c r="AW194" s="307" t="n"/>
      <c r="AX194" s="307" t="n"/>
      <c r="AY194" s="307" t="n"/>
      <c r="AZ194" s="307" t="n"/>
      <c r="BA194" s="233" t="n"/>
      <c r="BB194" s="307" t="n"/>
      <c r="BC194" s="307" t="n"/>
      <c r="BD194" s="307" t="n"/>
      <c r="BE194" s="307" t="n"/>
      <c r="BF194" s="307" t="n"/>
      <c r="BG194" s="31" t="n"/>
      <c r="BH194" s="31" t="n"/>
      <c r="BI194" s="31" t="n"/>
      <c r="BJ194" s="31" t="n"/>
    </row>
    <row r="195" ht="15.75" customHeight="1" s="349">
      <c r="A195" s="307" t="n"/>
      <c r="B195" s="307" t="n"/>
      <c r="C195" s="307" t="n"/>
      <c r="D195" s="307" t="n"/>
      <c r="E195" s="307" t="n"/>
      <c r="F195" s="307" t="n"/>
      <c r="G195" s="307" t="n"/>
      <c r="H195" s="307" t="n"/>
      <c r="I195" s="307" t="n"/>
      <c r="J195" s="307" t="n"/>
      <c r="K195" s="307" t="n"/>
      <c r="L195" s="307" t="n"/>
      <c r="M195" s="307" t="n"/>
      <c r="N195" s="307" t="n"/>
      <c r="O195" s="307" t="n"/>
      <c r="P195" s="307" t="n"/>
      <c r="Q195" s="307" t="n"/>
      <c r="R195" s="307" t="n"/>
      <c r="S195" s="307" t="n"/>
      <c r="T195" s="307" t="n"/>
      <c r="U195" s="307" t="n"/>
      <c r="V195" s="307" t="n"/>
      <c r="W195" s="307" t="n"/>
      <c r="X195" s="307" t="n"/>
      <c r="Y195" s="307" t="n"/>
      <c r="Z195" s="307" t="n"/>
      <c r="AA195" s="307" t="n"/>
      <c r="AB195" s="307" t="n"/>
      <c r="AC195" s="307" t="n"/>
      <c r="AD195" s="307" t="n"/>
      <c r="AE195" s="307" t="n"/>
      <c r="AF195" s="307" t="n"/>
      <c r="AG195" s="307" t="n"/>
      <c r="AH195" s="307" t="n"/>
      <c r="AI195" s="307" t="n"/>
      <c r="AJ195" s="307" t="n"/>
      <c r="AK195" s="307" t="n"/>
      <c r="AL195" s="307" t="n"/>
      <c r="AM195" s="307" t="n"/>
      <c r="AN195" s="307" t="n"/>
      <c r="AO195" s="307" t="n"/>
      <c r="AP195" s="307" t="n"/>
      <c r="AQ195" s="307" t="n"/>
      <c r="AR195" s="307" t="n"/>
      <c r="AS195" s="307" t="n"/>
      <c r="AT195" s="307" t="n"/>
      <c r="AU195" s="307" t="n"/>
      <c r="AV195" s="307" t="n"/>
      <c r="AW195" s="307" t="n"/>
      <c r="AX195" s="307" t="n"/>
      <c r="AY195" s="307" t="n"/>
      <c r="AZ195" s="307" t="n"/>
      <c r="BA195" s="233" t="n"/>
      <c r="BB195" s="307" t="n"/>
      <c r="BC195" s="307" t="n"/>
      <c r="BD195" s="307" t="n"/>
      <c r="BE195" s="307" t="n"/>
      <c r="BF195" s="307" t="n"/>
      <c r="BG195" s="31" t="n"/>
      <c r="BH195" s="31" t="n"/>
      <c r="BI195" s="31" t="n"/>
      <c r="BJ195" s="31" t="n"/>
    </row>
    <row r="196" ht="15.75" customHeight="1" s="349">
      <c r="A196" s="307" t="n"/>
      <c r="B196" s="307" t="n"/>
      <c r="C196" s="307" t="n"/>
      <c r="D196" s="307" t="n"/>
      <c r="E196" s="307" t="n"/>
      <c r="F196" s="307" t="n"/>
      <c r="G196" s="307" t="n"/>
      <c r="H196" s="307" t="n"/>
      <c r="I196" s="307" t="n"/>
      <c r="J196" s="307" t="n"/>
      <c r="K196" s="307" t="n"/>
      <c r="L196" s="307" t="n"/>
      <c r="M196" s="307" t="n"/>
      <c r="N196" s="307" t="n"/>
      <c r="O196" s="307" t="n"/>
      <c r="P196" s="307" t="n"/>
      <c r="Q196" s="307" t="n"/>
      <c r="R196" s="307" t="n"/>
      <c r="S196" s="307" t="n"/>
      <c r="T196" s="307" t="n"/>
      <c r="U196" s="307" t="n"/>
      <c r="V196" s="307" t="n"/>
      <c r="W196" s="307" t="n"/>
      <c r="X196" s="307" t="n"/>
      <c r="Y196" s="307" t="n"/>
      <c r="Z196" s="307" t="n"/>
      <c r="AA196" s="307" t="n"/>
      <c r="AB196" s="307" t="n"/>
      <c r="AC196" s="307" t="n"/>
      <c r="AD196" s="307" t="n"/>
      <c r="AE196" s="307" t="n"/>
      <c r="AF196" s="307" t="n"/>
      <c r="AG196" s="307" t="n"/>
      <c r="AH196" s="307" t="n"/>
      <c r="AI196" s="307" t="n"/>
      <c r="AJ196" s="307" t="n"/>
      <c r="AK196" s="307" t="n"/>
      <c r="AL196" s="307" t="n"/>
      <c r="AM196" s="307" t="n"/>
      <c r="AN196" s="307" t="n"/>
      <c r="AO196" s="307" t="n"/>
      <c r="AP196" s="307" t="n"/>
      <c r="AQ196" s="307" t="n"/>
      <c r="AR196" s="307" t="n"/>
      <c r="AS196" s="307" t="n"/>
      <c r="AT196" s="307" t="n"/>
      <c r="AU196" s="307" t="n"/>
      <c r="AV196" s="307" t="n"/>
      <c r="AW196" s="307" t="n"/>
      <c r="AX196" s="307" t="n"/>
      <c r="AY196" s="307" t="n"/>
      <c r="AZ196" s="307" t="n"/>
      <c r="BA196" s="233" t="n"/>
      <c r="BB196" s="307" t="n"/>
      <c r="BC196" s="307" t="n"/>
      <c r="BD196" s="307" t="n"/>
      <c r="BE196" s="307" t="n"/>
      <c r="BF196" s="307" t="n"/>
      <c r="BG196" s="31" t="n"/>
      <c r="BH196" s="31" t="n"/>
      <c r="BI196" s="31" t="n"/>
      <c r="BJ196" s="31" t="n"/>
    </row>
    <row r="197" ht="15.75" customHeight="1" s="349">
      <c r="A197" s="307" t="n"/>
      <c r="B197" s="307" t="n"/>
      <c r="C197" s="307" t="n"/>
      <c r="D197" s="307" t="n"/>
      <c r="E197" s="307" t="n"/>
      <c r="F197" s="307" t="n"/>
      <c r="G197" s="307" t="n"/>
      <c r="H197" s="307" t="n"/>
      <c r="I197" s="307" t="n"/>
      <c r="J197" s="307" t="n"/>
      <c r="K197" s="307" t="n"/>
      <c r="L197" s="307" t="n"/>
      <c r="M197" s="307" t="n"/>
      <c r="N197" s="307" t="n"/>
      <c r="O197" s="307" t="n"/>
      <c r="P197" s="307" t="n"/>
      <c r="Q197" s="307" t="n"/>
      <c r="R197" s="307" t="n"/>
      <c r="S197" s="307" t="n"/>
      <c r="T197" s="307" t="n"/>
      <c r="U197" s="307" t="n"/>
      <c r="V197" s="307" t="n"/>
      <c r="W197" s="307" t="n"/>
      <c r="X197" s="307" t="n"/>
      <c r="Y197" s="307" t="n"/>
      <c r="Z197" s="307" t="n"/>
      <c r="AA197" s="307" t="n"/>
      <c r="AB197" s="307" t="n"/>
      <c r="AC197" s="307" t="n"/>
      <c r="AD197" s="307" t="n"/>
      <c r="AE197" s="307" t="n"/>
      <c r="AF197" s="307" t="n"/>
      <c r="AG197" s="307" t="n"/>
      <c r="AH197" s="307" t="n"/>
      <c r="AI197" s="307" t="n"/>
      <c r="AJ197" s="307" t="n"/>
      <c r="AK197" s="307" t="n"/>
      <c r="AL197" s="307" t="n"/>
      <c r="AM197" s="307" t="n"/>
      <c r="AN197" s="307" t="n"/>
      <c r="AO197" s="307" t="n"/>
      <c r="AP197" s="307" t="n"/>
      <c r="AQ197" s="307" t="n"/>
      <c r="AR197" s="307" t="n"/>
      <c r="AS197" s="307" t="n"/>
      <c r="AT197" s="307" t="n"/>
      <c r="AU197" s="307" t="n"/>
      <c r="AV197" s="307" t="n"/>
      <c r="AW197" s="307" t="n"/>
      <c r="AX197" s="307" t="n"/>
      <c r="AY197" s="307" t="n"/>
      <c r="AZ197" s="307" t="n"/>
      <c r="BA197" s="233" t="n"/>
      <c r="BB197" s="307" t="n"/>
      <c r="BC197" s="307" t="n"/>
      <c r="BD197" s="307" t="n"/>
      <c r="BE197" s="307" t="n"/>
      <c r="BF197" s="307" t="n"/>
      <c r="BG197" s="31" t="n"/>
      <c r="BH197" s="31" t="n"/>
      <c r="BI197" s="31" t="n"/>
      <c r="BJ197" s="31" t="n"/>
    </row>
    <row r="198" ht="15.75" customHeight="1" s="349">
      <c r="A198" s="307" t="n"/>
      <c r="B198" s="307" t="n"/>
      <c r="C198" s="307" t="n"/>
      <c r="D198" s="307" t="n"/>
      <c r="E198" s="307" t="n"/>
      <c r="F198" s="307" t="n"/>
      <c r="G198" s="307" t="n"/>
      <c r="H198" s="307" t="n"/>
      <c r="I198" s="307" t="n"/>
      <c r="J198" s="307" t="n"/>
      <c r="K198" s="307" t="n"/>
      <c r="L198" s="307" t="n"/>
      <c r="M198" s="307" t="n"/>
      <c r="N198" s="307" t="n"/>
      <c r="O198" s="307" t="n"/>
      <c r="P198" s="307" t="n"/>
      <c r="Q198" s="307" t="n"/>
      <c r="R198" s="307" t="n"/>
      <c r="S198" s="307" t="n"/>
      <c r="T198" s="307" t="n"/>
      <c r="U198" s="307" t="n"/>
      <c r="V198" s="307" t="n"/>
      <c r="W198" s="307" t="n"/>
      <c r="X198" s="307" t="n"/>
      <c r="Y198" s="307" t="n"/>
      <c r="Z198" s="307" t="n"/>
      <c r="AA198" s="307" t="n"/>
      <c r="AB198" s="307" t="n"/>
      <c r="AC198" s="307" t="n"/>
      <c r="AD198" s="307" t="n"/>
      <c r="AE198" s="307" t="n"/>
      <c r="AF198" s="307" t="n"/>
      <c r="AG198" s="307" t="n"/>
      <c r="AH198" s="307" t="n"/>
      <c r="AI198" s="307" t="n"/>
      <c r="AJ198" s="307" t="n"/>
      <c r="AK198" s="307" t="n"/>
      <c r="AL198" s="307" t="n"/>
      <c r="AM198" s="307" t="n"/>
      <c r="AN198" s="307" t="n"/>
      <c r="AO198" s="307" t="n"/>
      <c r="AP198" s="307" t="n"/>
      <c r="AQ198" s="307" t="n"/>
      <c r="AR198" s="307" t="n"/>
      <c r="AS198" s="307" t="n"/>
      <c r="AT198" s="307" t="n"/>
      <c r="AU198" s="307" t="n"/>
      <c r="AV198" s="307" t="n"/>
      <c r="AW198" s="307" t="n"/>
      <c r="AX198" s="307" t="n"/>
      <c r="AY198" s="307" t="n"/>
      <c r="AZ198" s="307" t="n"/>
      <c r="BA198" s="233" t="n"/>
      <c r="BB198" s="307" t="n"/>
      <c r="BC198" s="307" t="n"/>
      <c r="BD198" s="307" t="n"/>
      <c r="BE198" s="307" t="n"/>
      <c r="BF198" s="307" t="n"/>
      <c r="BG198" s="31" t="n"/>
      <c r="BH198" s="31" t="n"/>
      <c r="BI198" s="31" t="n"/>
      <c r="BJ198" s="31" t="n"/>
    </row>
    <row r="199" ht="15.75" customHeight="1" s="349">
      <c r="A199" s="307" t="n"/>
      <c r="B199" s="307" t="n"/>
      <c r="C199" s="307" t="n"/>
      <c r="D199" s="307" t="n"/>
      <c r="E199" s="307" t="n"/>
      <c r="F199" s="307" t="n"/>
      <c r="G199" s="307" t="n"/>
      <c r="H199" s="307" t="n"/>
      <c r="I199" s="307" t="n"/>
      <c r="J199" s="307" t="n"/>
      <c r="K199" s="307" t="n"/>
      <c r="L199" s="307" t="n"/>
      <c r="M199" s="307" t="n"/>
      <c r="N199" s="307" t="n"/>
      <c r="O199" s="307" t="n"/>
      <c r="P199" s="307" t="n"/>
      <c r="Q199" s="307" t="n"/>
      <c r="R199" s="307" t="n"/>
      <c r="S199" s="307" t="n"/>
      <c r="T199" s="307" t="n"/>
      <c r="U199" s="307" t="n"/>
      <c r="V199" s="307" t="n"/>
      <c r="W199" s="307" t="n"/>
      <c r="X199" s="307" t="n"/>
      <c r="Y199" s="307" t="n"/>
      <c r="Z199" s="307" t="n"/>
      <c r="AA199" s="307" t="n"/>
      <c r="AB199" s="307" t="n"/>
      <c r="AC199" s="307" t="n"/>
      <c r="AD199" s="307" t="n"/>
      <c r="AE199" s="307" t="n"/>
      <c r="AF199" s="307" t="n"/>
      <c r="AG199" s="307" t="n"/>
      <c r="AH199" s="307" t="n"/>
      <c r="AI199" s="307" t="n"/>
      <c r="AJ199" s="307" t="n"/>
      <c r="AK199" s="307" t="n"/>
      <c r="AL199" s="307" t="n"/>
      <c r="AM199" s="307" t="n"/>
      <c r="AN199" s="307" t="n"/>
      <c r="AO199" s="307" t="n"/>
      <c r="AP199" s="307" t="n"/>
      <c r="AQ199" s="307" t="n"/>
      <c r="AR199" s="307" t="n"/>
      <c r="AS199" s="307" t="n"/>
      <c r="AT199" s="307" t="n"/>
      <c r="AU199" s="307" t="n"/>
      <c r="AV199" s="307" t="n"/>
      <c r="AW199" s="307" t="n"/>
      <c r="AX199" s="307" t="n"/>
      <c r="AY199" s="307" t="n"/>
      <c r="AZ199" s="307" t="n"/>
      <c r="BA199" s="233" t="n"/>
      <c r="BB199" s="307" t="n"/>
      <c r="BC199" s="307" t="n"/>
      <c r="BD199" s="307" t="n"/>
      <c r="BE199" s="307" t="n"/>
      <c r="BF199" s="307" t="n"/>
      <c r="BG199" s="31" t="n"/>
      <c r="BH199" s="31" t="n"/>
      <c r="BI199" s="31" t="n"/>
      <c r="BJ199" s="31" t="n"/>
    </row>
    <row r="200" ht="15.75" customHeight="1" s="349">
      <c r="A200" s="307" t="n"/>
      <c r="B200" s="307" t="n"/>
      <c r="C200" s="307" t="n"/>
      <c r="D200" s="307" t="n"/>
      <c r="E200" s="307" t="n"/>
      <c r="F200" s="307" t="n"/>
      <c r="G200" s="307" t="n"/>
      <c r="H200" s="307" t="n"/>
      <c r="I200" s="307" t="n"/>
      <c r="J200" s="307" t="n"/>
      <c r="K200" s="307" t="n"/>
      <c r="L200" s="307" t="n"/>
      <c r="M200" s="307" t="n"/>
      <c r="N200" s="307" t="n"/>
      <c r="O200" s="307" t="n"/>
      <c r="P200" s="307" t="n"/>
      <c r="Q200" s="307" t="n"/>
      <c r="R200" s="307" t="n"/>
      <c r="S200" s="307" t="n"/>
      <c r="T200" s="307" t="n"/>
      <c r="U200" s="307" t="n"/>
      <c r="V200" s="307" t="n"/>
      <c r="W200" s="307" t="n"/>
      <c r="X200" s="307" t="n"/>
      <c r="Y200" s="307" t="n"/>
      <c r="Z200" s="307" t="n"/>
      <c r="AA200" s="307" t="n"/>
      <c r="AB200" s="307" t="n"/>
      <c r="AC200" s="307" t="n"/>
      <c r="AD200" s="307" t="n"/>
      <c r="AE200" s="307" t="n"/>
      <c r="AF200" s="307" t="n"/>
      <c r="AG200" s="307" t="n"/>
      <c r="AH200" s="307" t="n"/>
      <c r="AI200" s="307" t="n"/>
      <c r="AJ200" s="307" t="n"/>
      <c r="AK200" s="307" t="n"/>
      <c r="AL200" s="307" t="n"/>
      <c r="AM200" s="307" t="n"/>
      <c r="AN200" s="307" t="n"/>
      <c r="AO200" s="307" t="n"/>
      <c r="AP200" s="307" t="n"/>
      <c r="AQ200" s="307" t="n"/>
      <c r="AR200" s="307" t="n"/>
      <c r="AS200" s="307" t="n"/>
      <c r="AT200" s="307" t="n"/>
      <c r="AU200" s="307" t="n"/>
      <c r="AV200" s="307" t="n"/>
      <c r="AW200" s="307" t="n"/>
      <c r="AX200" s="307" t="n"/>
      <c r="AY200" s="307" t="n"/>
      <c r="AZ200" s="307" t="n"/>
      <c r="BA200" s="233" t="n"/>
      <c r="BB200" s="307" t="n"/>
      <c r="BC200" s="307" t="n"/>
      <c r="BD200" s="307" t="n"/>
      <c r="BE200" s="307" t="n"/>
      <c r="BF200" s="307" t="n"/>
      <c r="BG200" s="31" t="n"/>
      <c r="BH200" s="31" t="n"/>
      <c r="BI200" s="31" t="n"/>
      <c r="BJ200" s="31" t="n"/>
    </row>
    <row r="201" ht="15.75" customHeight="1" s="349">
      <c r="A201" s="307" t="n"/>
      <c r="B201" s="307" t="n"/>
      <c r="C201" s="307" t="n"/>
      <c r="D201" s="307" t="n"/>
      <c r="E201" s="307" t="n"/>
      <c r="F201" s="307" t="n"/>
      <c r="G201" s="307" t="n"/>
      <c r="H201" s="307" t="n"/>
      <c r="I201" s="307" t="n"/>
      <c r="J201" s="307" t="n"/>
      <c r="K201" s="307" t="n"/>
      <c r="L201" s="307" t="n"/>
      <c r="M201" s="307" t="n"/>
      <c r="N201" s="307" t="n"/>
      <c r="O201" s="307" t="n"/>
      <c r="P201" s="307" t="n"/>
      <c r="Q201" s="307" t="n"/>
      <c r="R201" s="307" t="n"/>
      <c r="S201" s="307" t="n"/>
      <c r="T201" s="307" t="n"/>
      <c r="U201" s="307" t="n"/>
      <c r="V201" s="307" t="n"/>
      <c r="W201" s="307" t="n"/>
      <c r="X201" s="307" t="n"/>
      <c r="Y201" s="307" t="n"/>
      <c r="Z201" s="307" t="n"/>
      <c r="AA201" s="307" t="n"/>
      <c r="AB201" s="307" t="n"/>
      <c r="AC201" s="307" t="n"/>
      <c r="AD201" s="307" t="n"/>
      <c r="AE201" s="307" t="n"/>
      <c r="AF201" s="307" t="n"/>
      <c r="AG201" s="307" t="n"/>
      <c r="AH201" s="307" t="n"/>
      <c r="AI201" s="307" t="n"/>
      <c r="AJ201" s="307" t="n"/>
      <c r="AK201" s="307" t="n"/>
      <c r="AL201" s="307" t="n"/>
      <c r="AM201" s="307" t="n"/>
      <c r="AN201" s="307" t="n"/>
      <c r="AO201" s="307" t="n"/>
      <c r="AP201" s="307" t="n"/>
      <c r="AQ201" s="307" t="n"/>
      <c r="AR201" s="307" t="n"/>
      <c r="AS201" s="307" t="n"/>
      <c r="AT201" s="307" t="n"/>
      <c r="AU201" s="307" t="n"/>
      <c r="AV201" s="307" t="n"/>
      <c r="AW201" s="307" t="n"/>
      <c r="AX201" s="307" t="n"/>
      <c r="AY201" s="307" t="n"/>
      <c r="AZ201" s="307" t="n"/>
      <c r="BA201" s="233" t="n"/>
      <c r="BB201" s="307" t="n"/>
      <c r="BC201" s="307" t="n"/>
      <c r="BD201" s="307" t="n"/>
      <c r="BE201" s="307" t="n"/>
      <c r="BF201" s="307" t="n"/>
      <c r="BG201" s="31" t="n"/>
      <c r="BH201" s="31" t="n"/>
      <c r="BI201" s="31" t="n"/>
      <c r="BJ201" s="31" t="n"/>
    </row>
    <row r="202" ht="15.75" customHeight="1" s="349">
      <c r="A202" s="307" t="n"/>
      <c r="B202" s="307" t="n"/>
      <c r="C202" s="307" t="n"/>
      <c r="D202" s="307" t="n"/>
      <c r="E202" s="307" t="n"/>
      <c r="F202" s="307" t="n"/>
      <c r="G202" s="307" t="n"/>
      <c r="H202" s="307" t="n"/>
      <c r="I202" s="307" t="n"/>
      <c r="J202" s="307" t="n"/>
      <c r="K202" s="307" t="n"/>
      <c r="L202" s="307" t="n"/>
      <c r="M202" s="307" t="n"/>
      <c r="N202" s="307" t="n"/>
      <c r="O202" s="307" t="n"/>
      <c r="P202" s="307" t="n"/>
      <c r="Q202" s="307" t="n"/>
      <c r="R202" s="307" t="n"/>
      <c r="S202" s="307" t="n"/>
      <c r="T202" s="307" t="n"/>
      <c r="U202" s="307" t="n"/>
      <c r="V202" s="307" t="n"/>
      <c r="W202" s="307" t="n"/>
      <c r="X202" s="307" t="n"/>
      <c r="Y202" s="307" t="n"/>
      <c r="Z202" s="307" t="n"/>
      <c r="AA202" s="307" t="n"/>
      <c r="AB202" s="307" t="n"/>
      <c r="AC202" s="307" t="n"/>
      <c r="AD202" s="307" t="n"/>
      <c r="AE202" s="307" t="n"/>
      <c r="AF202" s="307" t="n"/>
      <c r="AG202" s="307" t="n"/>
      <c r="AH202" s="307" t="n"/>
      <c r="AI202" s="307" t="n"/>
      <c r="AJ202" s="307" t="n"/>
      <c r="AK202" s="307" t="n"/>
      <c r="AL202" s="307" t="n"/>
      <c r="AM202" s="307" t="n"/>
      <c r="AN202" s="307" t="n"/>
      <c r="AO202" s="307" t="n"/>
      <c r="AP202" s="307" t="n"/>
      <c r="AQ202" s="307" t="n"/>
      <c r="AR202" s="307" t="n"/>
      <c r="AS202" s="307" t="n"/>
      <c r="AT202" s="307" t="n"/>
      <c r="AU202" s="307" t="n"/>
      <c r="AV202" s="307" t="n"/>
      <c r="AW202" s="307" t="n"/>
      <c r="AX202" s="307" t="n"/>
      <c r="AY202" s="307" t="n"/>
      <c r="AZ202" s="307" t="n"/>
      <c r="BA202" s="233" t="n"/>
      <c r="BB202" s="307" t="n"/>
      <c r="BC202" s="307" t="n"/>
      <c r="BD202" s="307" t="n"/>
      <c r="BE202" s="307" t="n"/>
      <c r="BF202" s="307" t="n"/>
      <c r="BG202" s="31" t="n"/>
      <c r="BH202" s="31" t="n"/>
      <c r="BI202" s="31" t="n"/>
      <c r="BJ202" s="31" t="n"/>
    </row>
    <row r="203" ht="15.75" customHeight="1" s="349">
      <c r="A203" s="307" t="n"/>
      <c r="B203" s="307" t="n"/>
      <c r="C203" s="307" t="n"/>
      <c r="D203" s="307" t="n"/>
      <c r="E203" s="307" t="n"/>
      <c r="F203" s="307" t="n"/>
      <c r="G203" s="307" t="n"/>
      <c r="H203" s="307" t="n"/>
      <c r="I203" s="307" t="n"/>
      <c r="J203" s="307" t="n"/>
      <c r="K203" s="307" t="n"/>
      <c r="L203" s="307" t="n"/>
      <c r="M203" s="307" t="n"/>
      <c r="N203" s="307" t="n"/>
      <c r="O203" s="307" t="n"/>
      <c r="P203" s="307" t="n"/>
      <c r="Q203" s="307" t="n"/>
      <c r="R203" s="307" t="n"/>
      <c r="S203" s="307" t="n"/>
      <c r="T203" s="307" t="n"/>
      <c r="U203" s="307" t="n"/>
      <c r="V203" s="307" t="n"/>
      <c r="W203" s="307" t="n"/>
      <c r="X203" s="307" t="n"/>
      <c r="Y203" s="307" t="n"/>
      <c r="Z203" s="307" t="n"/>
      <c r="AA203" s="307" t="n"/>
      <c r="AB203" s="307" t="n"/>
      <c r="AC203" s="307" t="n"/>
      <c r="AD203" s="307" t="n"/>
      <c r="AE203" s="307" t="n"/>
      <c r="AF203" s="307" t="n"/>
      <c r="AG203" s="307" t="n"/>
      <c r="AH203" s="307" t="n"/>
      <c r="AI203" s="307" t="n"/>
      <c r="AJ203" s="307" t="n"/>
      <c r="AK203" s="307" t="n"/>
      <c r="AL203" s="307" t="n"/>
      <c r="AM203" s="307" t="n"/>
      <c r="AN203" s="307" t="n"/>
      <c r="AO203" s="307" t="n"/>
      <c r="AP203" s="307" t="n"/>
      <c r="AQ203" s="307" t="n"/>
      <c r="AR203" s="307" t="n"/>
      <c r="AS203" s="307" t="n"/>
      <c r="AT203" s="307" t="n"/>
      <c r="AU203" s="307" t="n"/>
      <c r="AV203" s="307" t="n"/>
      <c r="AW203" s="307" t="n"/>
      <c r="AX203" s="307" t="n"/>
      <c r="AY203" s="307" t="n"/>
      <c r="AZ203" s="307" t="n"/>
      <c r="BA203" s="233" t="n"/>
      <c r="BB203" s="307" t="n"/>
      <c r="BC203" s="307" t="n"/>
      <c r="BD203" s="307" t="n"/>
      <c r="BE203" s="307" t="n"/>
      <c r="BF203" s="307" t="n"/>
      <c r="BG203" s="31" t="n"/>
      <c r="BH203" s="31" t="n"/>
      <c r="BI203" s="31" t="n"/>
      <c r="BJ203" s="31" t="n"/>
    </row>
    <row r="204" ht="15.75" customHeight="1" s="349">
      <c r="A204" s="307" t="n"/>
      <c r="B204" s="307" t="n"/>
      <c r="C204" s="307" t="n"/>
      <c r="D204" s="307" t="n"/>
      <c r="E204" s="307" t="n"/>
      <c r="F204" s="307" t="n"/>
      <c r="G204" s="307" t="n"/>
      <c r="H204" s="307" t="n"/>
      <c r="I204" s="307" t="n"/>
      <c r="J204" s="307" t="n"/>
      <c r="K204" s="307" t="n"/>
      <c r="L204" s="307" t="n"/>
      <c r="M204" s="307" t="n"/>
      <c r="N204" s="307" t="n"/>
      <c r="O204" s="307" t="n"/>
      <c r="P204" s="307" t="n"/>
      <c r="Q204" s="307" t="n"/>
      <c r="R204" s="307" t="n"/>
      <c r="S204" s="307" t="n"/>
      <c r="T204" s="307" t="n"/>
      <c r="U204" s="307" t="n"/>
      <c r="V204" s="307" t="n"/>
      <c r="W204" s="307" t="n"/>
      <c r="X204" s="307" t="n"/>
      <c r="Y204" s="307" t="n"/>
      <c r="Z204" s="307" t="n"/>
      <c r="AA204" s="307" t="n"/>
      <c r="AB204" s="307" t="n"/>
      <c r="AC204" s="307" t="n"/>
      <c r="AD204" s="307" t="n"/>
      <c r="AE204" s="307" t="n"/>
      <c r="AF204" s="307" t="n"/>
      <c r="AG204" s="307" t="n"/>
      <c r="AH204" s="307" t="n"/>
      <c r="AI204" s="307" t="n"/>
      <c r="AJ204" s="307" t="n"/>
      <c r="AK204" s="307" t="n"/>
      <c r="AL204" s="307" t="n"/>
      <c r="AM204" s="307" t="n"/>
      <c r="AN204" s="307" t="n"/>
      <c r="AO204" s="307" t="n"/>
      <c r="AP204" s="307" t="n"/>
      <c r="AQ204" s="307" t="n"/>
      <c r="AR204" s="307" t="n"/>
      <c r="AS204" s="307" t="n"/>
      <c r="AT204" s="307" t="n"/>
      <c r="AU204" s="307" t="n"/>
      <c r="AV204" s="307" t="n"/>
      <c r="AW204" s="307" t="n"/>
      <c r="AX204" s="307" t="n"/>
      <c r="AY204" s="307" t="n"/>
      <c r="AZ204" s="307" t="n"/>
      <c r="BA204" s="233" t="n"/>
      <c r="BB204" s="307" t="n"/>
      <c r="BC204" s="307" t="n"/>
      <c r="BD204" s="307" t="n"/>
      <c r="BE204" s="307" t="n"/>
      <c r="BF204" s="307" t="n"/>
      <c r="BG204" s="31" t="n"/>
      <c r="BH204" s="31" t="n"/>
      <c r="BI204" s="31" t="n"/>
      <c r="BJ204" s="31" t="n"/>
    </row>
    <row r="205" ht="15.75" customHeight="1" s="349">
      <c r="A205" s="307" t="n"/>
      <c r="B205" s="307" t="n"/>
      <c r="C205" s="307" t="n"/>
      <c r="D205" s="307" t="n"/>
      <c r="E205" s="307" t="n"/>
      <c r="F205" s="307" t="n"/>
      <c r="G205" s="307" t="n"/>
      <c r="H205" s="307" t="n"/>
      <c r="I205" s="307" t="n"/>
      <c r="J205" s="307" t="n"/>
      <c r="K205" s="307" t="n"/>
      <c r="L205" s="307" t="n"/>
      <c r="M205" s="307" t="n"/>
      <c r="N205" s="307" t="n"/>
      <c r="O205" s="307" t="n"/>
      <c r="P205" s="307" t="n"/>
      <c r="Q205" s="307" t="n"/>
      <c r="R205" s="307" t="n"/>
      <c r="S205" s="307" t="n"/>
      <c r="T205" s="307" t="n"/>
      <c r="U205" s="307" t="n"/>
      <c r="V205" s="307" t="n"/>
      <c r="W205" s="307" t="n"/>
      <c r="X205" s="307" t="n"/>
      <c r="Y205" s="307" t="n"/>
      <c r="Z205" s="307" t="n"/>
      <c r="AA205" s="307" t="n"/>
      <c r="AB205" s="307" t="n"/>
      <c r="AC205" s="307" t="n"/>
      <c r="AD205" s="307" t="n"/>
      <c r="AE205" s="307" t="n"/>
      <c r="AF205" s="307" t="n"/>
      <c r="AG205" s="307" t="n"/>
      <c r="AH205" s="307" t="n"/>
      <c r="AI205" s="307" t="n"/>
      <c r="AJ205" s="307" t="n"/>
      <c r="AK205" s="307" t="n"/>
      <c r="AL205" s="307" t="n"/>
      <c r="AM205" s="307" t="n"/>
      <c r="AN205" s="307" t="n"/>
      <c r="AO205" s="307" t="n"/>
      <c r="AP205" s="307" t="n"/>
      <c r="AQ205" s="307" t="n"/>
      <c r="AR205" s="307" t="n"/>
      <c r="AS205" s="307" t="n"/>
      <c r="AT205" s="307" t="n"/>
      <c r="AU205" s="307" t="n"/>
      <c r="AV205" s="307" t="n"/>
      <c r="AW205" s="307" t="n"/>
      <c r="AX205" s="307" t="n"/>
      <c r="AY205" s="307" t="n"/>
      <c r="AZ205" s="307" t="n"/>
      <c r="BA205" s="233" t="n"/>
      <c r="BB205" s="307" t="n"/>
      <c r="BC205" s="307" t="n"/>
      <c r="BD205" s="307" t="n"/>
      <c r="BE205" s="307" t="n"/>
      <c r="BF205" s="307" t="n"/>
      <c r="BG205" s="31" t="n"/>
      <c r="BH205" s="31" t="n"/>
      <c r="BI205" s="31" t="n"/>
      <c r="BJ205" s="31" t="n"/>
    </row>
    <row r="206" ht="15.75" customHeight="1" s="349">
      <c r="A206" s="307" t="n"/>
      <c r="B206" s="307" t="n"/>
      <c r="C206" s="307" t="n"/>
      <c r="D206" s="307" t="n"/>
      <c r="E206" s="307" t="n"/>
      <c r="F206" s="307" t="n"/>
      <c r="G206" s="307" t="n"/>
      <c r="H206" s="307" t="n"/>
      <c r="I206" s="307" t="n"/>
      <c r="J206" s="307" t="n"/>
      <c r="K206" s="307" t="n"/>
      <c r="L206" s="307" t="n"/>
      <c r="M206" s="307" t="n"/>
      <c r="N206" s="307" t="n"/>
      <c r="O206" s="307" t="n"/>
      <c r="P206" s="307" t="n"/>
      <c r="Q206" s="307" t="n"/>
      <c r="R206" s="307" t="n"/>
      <c r="S206" s="307" t="n"/>
      <c r="T206" s="307" t="n"/>
      <c r="U206" s="307" t="n"/>
      <c r="V206" s="307" t="n"/>
      <c r="W206" s="307" t="n"/>
      <c r="X206" s="307" t="n"/>
      <c r="Y206" s="307" t="n"/>
      <c r="Z206" s="307" t="n"/>
      <c r="AA206" s="307" t="n"/>
      <c r="AB206" s="307" t="n"/>
      <c r="AC206" s="307" t="n"/>
      <c r="AD206" s="307" t="n"/>
      <c r="AE206" s="307" t="n"/>
      <c r="AF206" s="307" t="n"/>
      <c r="AG206" s="307" t="n"/>
      <c r="AH206" s="307" t="n"/>
      <c r="AI206" s="307" t="n"/>
      <c r="AJ206" s="307" t="n"/>
      <c r="AK206" s="307" t="n"/>
      <c r="AL206" s="307" t="n"/>
      <c r="AM206" s="307" t="n"/>
      <c r="AN206" s="307" t="n"/>
      <c r="AO206" s="307" t="n"/>
      <c r="AP206" s="307" t="n"/>
      <c r="AQ206" s="307" t="n"/>
      <c r="AR206" s="307" t="n"/>
      <c r="AS206" s="307" t="n"/>
      <c r="AT206" s="307" t="n"/>
      <c r="AU206" s="307" t="n"/>
      <c r="AV206" s="307" t="n"/>
      <c r="AW206" s="307" t="n"/>
      <c r="AX206" s="307" t="n"/>
      <c r="AY206" s="307" t="n"/>
      <c r="AZ206" s="307" t="n"/>
      <c r="BA206" s="233" t="n"/>
      <c r="BB206" s="307" t="n"/>
      <c r="BC206" s="307" t="n"/>
      <c r="BD206" s="307" t="n"/>
      <c r="BE206" s="307" t="n"/>
      <c r="BF206" s="307" t="n"/>
      <c r="BG206" s="31" t="n"/>
      <c r="BH206" s="31" t="n"/>
      <c r="BI206" s="31" t="n"/>
      <c r="BJ206" s="31" t="n"/>
    </row>
    <row r="207" ht="15.75" customHeight="1" s="349">
      <c r="A207" s="307" t="n"/>
      <c r="B207" s="307" t="n"/>
      <c r="C207" s="307" t="n"/>
      <c r="D207" s="307" t="n"/>
      <c r="E207" s="307" t="n"/>
      <c r="F207" s="307" t="n"/>
      <c r="G207" s="307" t="n"/>
      <c r="H207" s="307" t="n"/>
      <c r="I207" s="307" t="n"/>
      <c r="J207" s="307" t="n"/>
      <c r="K207" s="307" t="n"/>
      <c r="L207" s="307" t="n"/>
      <c r="M207" s="307" t="n"/>
      <c r="N207" s="307" t="n"/>
      <c r="O207" s="307" t="n"/>
      <c r="P207" s="307" t="n"/>
      <c r="Q207" s="307" t="n"/>
      <c r="R207" s="307" t="n"/>
      <c r="S207" s="307" t="n"/>
      <c r="T207" s="307" t="n"/>
      <c r="U207" s="307" t="n"/>
      <c r="V207" s="307" t="n"/>
      <c r="W207" s="307" t="n"/>
      <c r="X207" s="307" t="n"/>
      <c r="Y207" s="307" t="n"/>
      <c r="Z207" s="307" t="n"/>
      <c r="AA207" s="307" t="n"/>
      <c r="AB207" s="307" t="n"/>
      <c r="AC207" s="307" t="n"/>
      <c r="AD207" s="307" t="n"/>
      <c r="AE207" s="307" t="n"/>
      <c r="AF207" s="307" t="n"/>
      <c r="AG207" s="307" t="n"/>
      <c r="AH207" s="307" t="n"/>
      <c r="AI207" s="307" t="n"/>
      <c r="AJ207" s="307" t="n"/>
      <c r="AK207" s="307" t="n"/>
      <c r="AL207" s="307" t="n"/>
      <c r="AM207" s="307" t="n"/>
      <c r="AN207" s="307" t="n"/>
      <c r="AO207" s="307" t="n"/>
      <c r="AP207" s="307" t="n"/>
      <c r="AQ207" s="307" t="n"/>
      <c r="AR207" s="307" t="n"/>
      <c r="AS207" s="307" t="n"/>
      <c r="AT207" s="307" t="n"/>
      <c r="AU207" s="307" t="n"/>
      <c r="AV207" s="307" t="n"/>
      <c r="AW207" s="307" t="n"/>
      <c r="AX207" s="307" t="n"/>
      <c r="AY207" s="307" t="n"/>
      <c r="AZ207" s="307" t="n"/>
      <c r="BA207" s="233" t="n"/>
      <c r="BB207" s="307" t="n"/>
      <c r="BC207" s="307" t="n"/>
      <c r="BD207" s="307" t="n"/>
      <c r="BE207" s="307" t="n"/>
      <c r="BF207" s="307" t="n"/>
      <c r="BG207" s="31" t="n"/>
      <c r="BH207" s="31" t="n"/>
      <c r="BI207" s="31" t="n"/>
      <c r="BJ207" s="31" t="n"/>
    </row>
    <row r="208" ht="15.75" customHeight="1" s="349">
      <c r="A208" s="307" t="n"/>
      <c r="B208" s="307" t="n"/>
      <c r="C208" s="307" t="n"/>
      <c r="D208" s="307" t="n"/>
      <c r="E208" s="307" t="n"/>
      <c r="F208" s="307" t="n"/>
      <c r="G208" s="307" t="n"/>
      <c r="H208" s="307" t="n"/>
      <c r="I208" s="307" t="n"/>
      <c r="J208" s="307" t="n"/>
      <c r="K208" s="307" t="n"/>
      <c r="L208" s="307" t="n"/>
      <c r="M208" s="307" t="n"/>
      <c r="N208" s="307" t="n"/>
      <c r="O208" s="307" t="n"/>
      <c r="P208" s="307" t="n"/>
      <c r="Q208" s="307" t="n"/>
      <c r="R208" s="307" t="n"/>
      <c r="S208" s="307" t="n"/>
      <c r="T208" s="307" t="n"/>
      <c r="U208" s="307" t="n"/>
      <c r="V208" s="307" t="n"/>
      <c r="W208" s="307" t="n"/>
      <c r="X208" s="307" t="n"/>
      <c r="Y208" s="307" t="n"/>
      <c r="Z208" s="307" t="n"/>
      <c r="AA208" s="307" t="n"/>
      <c r="AB208" s="307" t="n"/>
      <c r="AC208" s="307" t="n"/>
      <c r="AD208" s="307" t="n"/>
      <c r="AE208" s="307" t="n"/>
      <c r="AF208" s="307" t="n"/>
      <c r="AG208" s="307" t="n"/>
      <c r="AH208" s="307" t="n"/>
      <c r="AI208" s="307" t="n"/>
      <c r="AJ208" s="307" t="n"/>
      <c r="AK208" s="307" t="n"/>
      <c r="AL208" s="307" t="n"/>
      <c r="AM208" s="307" t="n"/>
      <c r="AN208" s="307" t="n"/>
      <c r="AO208" s="307" t="n"/>
      <c r="AP208" s="307" t="n"/>
      <c r="AQ208" s="307" t="n"/>
      <c r="AR208" s="307" t="n"/>
      <c r="AS208" s="307" t="n"/>
      <c r="AT208" s="307" t="n"/>
      <c r="AU208" s="307" t="n"/>
      <c r="AV208" s="307" t="n"/>
      <c r="AW208" s="307" t="n"/>
      <c r="AX208" s="307" t="n"/>
      <c r="AY208" s="307" t="n"/>
      <c r="AZ208" s="307" t="n"/>
      <c r="BA208" s="233" t="n"/>
      <c r="BB208" s="307" t="n"/>
      <c r="BC208" s="307" t="n"/>
      <c r="BD208" s="307" t="n"/>
      <c r="BE208" s="307" t="n"/>
      <c r="BF208" s="307" t="n"/>
      <c r="BG208" s="31" t="n"/>
      <c r="BH208" s="31" t="n"/>
      <c r="BI208" s="31" t="n"/>
      <c r="BJ208" s="31" t="n"/>
    </row>
    <row r="209" ht="15.75" customHeight="1" s="349">
      <c r="A209" s="307" t="n"/>
      <c r="B209" s="307" t="n"/>
      <c r="C209" s="307" t="n"/>
      <c r="D209" s="307" t="n"/>
      <c r="E209" s="307" t="n"/>
      <c r="F209" s="307" t="n"/>
      <c r="G209" s="307" t="n"/>
      <c r="H209" s="307" t="n"/>
      <c r="I209" s="307" t="n"/>
      <c r="J209" s="307" t="n"/>
      <c r="K209" s="307" t="n"/>
      <c r="L209" s="307" t="n"/>
      <c r="M209" s="307" t="n"/>
      <c r="N209" s="307" t="n"/>
      <c r="O209" s="307" t="n"/>
      <c r="P209" s="307" t="n"/>
      <c r="Q209" s="307" t="n"/>
      <c r="R209" s="307" t="n"/>
      <c r="S209" s="307" t="n"/>
      <c r="T209" s="307" t="n"/>
      <c r="U209" s="307" t="n"/>
      <c r="V209" s="307" t="n"/>
      <c r="W209" s="307" t="n"/>
      <c r="X209" s="307" t="n"/>
      <c r="Y209" s="307" t="n"/>
      <c r="Z209" s="307" t="n"/>
      <c r="AA209" s="307" t="n"/>
      <c r="AB209" s="307" t="n"/>
      <c r="AC209" s="307" t="n"/>
      <c r="AD209" s="307" t="n"/>
      <c r="AE209" s="307" t="n"/>
      <c r="AF209" s="307" t="n"/>
      <c r="AG209" s="307" t="n"/>
      <c r="AH209" s="307" t="n"/>
      <c r="AI209" s="307" t="n"/>
      <c r="AJ209" s="307" t="n"/>
      <c r="AK209" s="307" t="n"/>
      <c r="AL209" s="307" t="n"/>
      <c r="AM209" s="307" t="n"/>
      <c r="AN209" s="307" t="n"/>
      <c r="AO209" s="307" t="n"/>
      <c r="AP209" s="307" t="n"/>
      <c r="AQ209" s="307" t="n"/>
      <c r="AR209" s="307" t="n"/>
      <c r="AS209" s="307" t="n"/>
      <c r="AT209" s="307" t="n"/>
      <c r="AU209" s="307" t="n"/>
      <c r="AV209" s="307" t="n"/>
      <c r="AW209" s="307" t="n"/>
      <c r="AX209" s="307" t="n"/>
      <c r="AY209" s="307" t="n"/>
      <c r="AZ209" s="307" t="n"/>
      <c r="BA209" s="233" t="n"/>
      <c r="BB209" s="307" t="n"/>
      <c r="BC209" s="307" t="n"/>
      <c r="BD209" s="307" t="n"/>
      <c r="BE209" s="307" t="n"/>
      <c r="BF209" s="307" t="n"/>
      <c r="BG209" s="31" t="n"/>
      <c r="BH209" s="31" t="n"/>
      <c r="BI209" s="31" t="n"/>
      <c r="BJ209" s="31" t="n"/>
    </row>
    <row r="210" ht="15.75" customHeight="1" s="349">
      <c r="A210" s="307" t="n"/>
      <c r="B210" s="307" t="n"/>
      <c r="C210" s="307" t="n"/>
      <c r="D210" s="307" t="n"/>
      <c r="E210" s="307" t="n"/>
      <c r="F210" s="307" t="n"/>
      <c r="G210" s="307" t="n"/>
      <c r="H210" s="307" t="n"/>
      <c r="I210" s="307" t="n"/>
      <c r="J210" s="307" t="n"/>
      <c r="K210" s="307" t="n"/>
      <c r="L210" s="307" t="n"/>
      <c r="M210" s="307" t="n"/>
      <c r="N210" s="307" t="n"/>
      <c r="O210" s="307" t="n"/>
      <c r="P210" s="307" t="n"/>
      <c r="Q210" s="307" t="n"/>
      <c r="R210" s="307" t="n"/>
      <c r="S210" s="307" t="n"/>
      <c r="T210" s="307" t="n"/>
      <c r="U210" s="307" t="n"/>
      <c r="V210" s="307" t="n"/>
      <c r="W210" s="307" t="n"/>
      <c r="X210" s="307" t="n"/>
      <c r="Y210" s="307" t="n"/>
      <c r="Z210" s="307" t="n"/>
      <c r="AA210" s="307" t="n"/>
      <c r="AB210" s="307" t="n"/>
      <c r="AC210" s="307" t="n"/>
      <c r="AD210" s="307" t="n"/>
      <c r="AE210" s="307" t="n"/>
      <c r="AF210" s="307" t="n"/>
      <c r="AG210" s="307" t="n"/>
      <c r="AH210" s="307" t="n"/>
      <c r="AI210" s="307" t="n"/>
      <c r="AJ210" s="307" t="n"/>
      <c r="AK210" s="307" t="n"/>
      <c r="AL210" s="307" t="n"/>
      <c r="AM210" s="307" t="n"/>
      <c r="AN210" s="307" t="n"/>
      <c r="AO210" s="307" t="n"/>
      <c r="AP210" s="307" t="n"/>
      <c r="AQ210" s="307" t="n"/>
      <c r="AR210" s="307" t="n"/>
      <c r="AS210" s="307" t="n"/>
      <c r="AT210" s="307" t="n"/>
      <c r="AU210" s="307" t="n"/>
      <c r="AV210" s="307" t="n"/>
      <c r="AW210" s="307" t="n"/>
      <c r="AX210" s="307" t="n"/>
      <c r="AY210" s="307" t="n"/>
      <c r="AZ210" s="307" t="n"/>
      <c r="BA210" s="233" t="n"/>
      <c r="BB210" s="307" t="n"/>
      <c r="BC210" s="307" t="n"/>
      <c r="BD210" s="307" t="n"/>
      <c r="BE210" s="307" t="n"/>
      <c r="BF210" s="307" t="n"/>
      <c r="BG210" s="31" t="n"/>
      <c r="BH210" s="31" t="n"/>
      <c r="BI210" s="31" t="n"/>
      <c r="BJ210" s="31" t="n"/>
    </row>
    <row r="211" ht="15.75" customHeight="1" s="349">
      <c r="A211" s="307" t="n"/>
      <c r="B211" s="307" t="n"/>
      <c r="C211" s="307" t="n"/>
      <c r="D211" s="307" t="n"/>
      <c r="E211" s="307" t="n"/>
      <c r="F211" s="307" t="n"/>
      <c r="G211" s="307" t="n"/>
      <c r="H211" s="307" t="n"/>
      <c r="I211" s="307" t="n"/>
      <c r="J211" s="307" t="n"/>
      <c r="K211" s="307" t="n"/>
      <c r="L211" s="307" t="n"/>
      <c r="M211" s="307" t="n"/>
      <c r="N211" s="307" t="n"/>
      <c r="O211" s="307" t="n"/>
      <c r="P211" s="307" t="n"/>
      <c r="Q211" s="307" t="n"/>
      <c r="R211" s="307" t="n"/>
      <c r="S211" s="307" t="n"/>
      <c r="T211" s="307" t="n"/>
      <c r="U211" s="307" t="n"/>
      <c r="V211" s="307" t="n"/>
      <c r="W211" s="307" t="n"/>
      <c r="X211" s="307" t="n"/>
      <c r="Y211" s="307" t="n"/>
      <c r="Z211" s="307" t="n"/>
      <c r="AA211" s="307" t="n"/>
      <c r="AB211" s="307" t="n"/>
      <c r="AC211" s="307" t="n"/>
      <c r="AD211" s="307" t="n"/>
      <c r="AE211" s="307" t="n"/>
      <c r="AF211" s="307" t="n"/>
      <c r="AG211" s="307" t="n"/>
      <c r="AH211" s="307" t="n"/>
      <c r="AI211" s="307" t="n"/>
      <c r="AJ211" s="307" t="n"/>
      <c r="AK211" s="307" t="n"/>
      <c r="AL211" s="307" t="n"/>
      <c r="AM211" s="307" t="n"/>
      <c r="AN211" s="307" t="n"/>
      <c r="AO211" s="307" t="n"/>
      <c r="AP211" s="307" t="n"/>
      <c r="AQ211" s="307" t="n"/>
      <c r="AR211" s="307" t="n"/>
      <c r="AS211" s="307" t="n"/>
      <c r="AT211" s="307" t="n"/>
      <c r="AU211" s="307" t="n"/>
      <c r="AV211" s="307" t="n"/>
      <c r="AW211" s="307" t="n"/>
      <c r="AX211" s="307" t="n"/>
      <c r="AY211" s="307" t="n"/>
      <c r="AZ211" s="307" t="n"/>
      <c r="BA211" s="233" t="n"/>
      <c r="BB211" s="307" t="n"/>
      <c r="BC211" s="307" t="n"/>
      <c r="BD211" s="307" t="n"/>
      <c r="BE211" s="307" t="n"/>
      <c r="BF211" s="307" t="n"/>
      <c r="BG211" s="31" t="n"/>
      <c r="BH211" s="31" t="n"/>
      <c r="BI211" s="31" t="n"/>
      <c r="BJ211" s="31" t="n"/>
    </row>
    <row r="212" ht="15.75" customHeight="1" s="349">
      <c r="A212" s="307" t="n"/>
      <c r="B212" s="307" t="n"/>
      <c r="C212" s="307" t="n"/>
      <c r="D212" s="307" t="n"/>
      <c r="E212" s="307" t="n"/>
      <c r="F212" s="307" t="n"/>
      <c r="G212" s="307" t="n"/>
      <c r="H212" s="307" t="n"/>
      <c r="I212" s="307" t="n"/>
      <c r="J212" s="307" t="n"/>
      <c r="K212" s="307" t="n"/>
      <c r="L212" s="307" t="n"/>
      <c r="M212" s="307" t="n"/>
      <c r="N212" s="307" t="n"/>
      <c r="O212" s="307" t="n"/>
      <c r="P212" s="307" t="n"/>
      <c r="Q212" s="307" t="n"/>
      <c r="R212" s="307" t="n"/>
      <c r="S212" s="307" t="n"/>
      <c r="T212" s="307" t="n"/>
      <c r="U212" s="307" t="n"/>
      <c r="V212" s="307" t="n"/>
      <c r="W212" s="307" t="n"/>
      <c r="X212" s="307" t="n"/>
      <c r="Y212" s="307" t="n"/>
      <c r="Z212" s="307" t="n"/>
      <c r="AA212" s="307" t="n"/>
      <c r="AB212" s="307" t="n"/>
      <c r="AC212" s="307" t="n"/>
      <c r="AD212" s="307" t="n"/>
      <c r="AE212" s="307" t="n"/>
      <c r="AF212" s="307" t="n"/>
      <c r="AG212" s="307" t="n"/>
      <c r="AH212" s="307" t="n"/>
      <c r="AI212" s="307" t="n"/>
      <c r="AJ212" s="307" t="n"/>
      <c r="AK212" s="307" t="n"/>
      <c r="AL212" s="307" t="n"/>
      <c r="AM212" s="307" t="n"/>
      <c r="AN212" s="307" t="n"/>
      <c r="AO212" s="307" t="n"/>
      <c r="AP212" s="307" t="n"/>
      <c r="AQ212" s="307" t="n"/>
      <c r="AR212" s="307" t="n"/>
      <c r="AS212" s="307" t="n"/>
      <c r="AT212" s="307" t="n"/>
      <c r="AU212" s="307" t="n"/>
      <c r="AV212" s="307" t="n"/>
      <c r="AW212" s="307" t="n"/>
      <c r="AX212" s="307" t="n"/>
      <c r="AY212" s="307" t="n"/>
      <c r="AZ212" s="307" t="n"/>
      <c r="BA212" s="233" t="n"/>
      <c r="BB212" s="307" t="n"/>
      <c r="BC212" s="307" t="n"/>
      <c r="BD212" s="307" t="n"/>
      <c r="BE212" s="307" t="n"/>
      <c r="BF212" s="307" t="n"/>
      <c r="BG212" s="31" t="n"/>
      <c r="BH212" s="31" t="n"/>
      <c r="BI212" s="31" t="n"/>
      <c r="BJ212" s="31" t="n"/>
    </row>
    <row r="213" ht="15.75" customHeight="1" s="349">
      <c r="A213" s="307" t="n"/>
      <c r="B213" s="307" t="n"/>
      <c r="C213" s="307" t="n"/>
      <c r="D213" s="307" t="n"/>
      <c r="E213" s="307" t="n"/>
      <c r="F213" s="307" t="n"/>
      <c r="G213" s="307" t="n"/>
      <c r="H213" s="307" t="n"/>
      <c r="I213" s="307" t="n"/>
      <c r="J213" s="307" t="n"/>
      <c r="K213" s="307" t="n"/>
      <c r="L213" s="307" t="n"/>
      <c r="M213" s="307" t="n"/>
      <c r="N213" s="307" t="n"/>
      <c r="O213" s="307" t="n"/>
      <c r="P213" s="307" t="n"/>
      <c r="Q213" s="307" t="n"/>
      <c r="R213" s="307" t="n"/>
      <c r="S213" s="307" t="n"/>
      <c r="T213" s="307" t="n"/>
      <c r="U213" s="307" t="n"/>
      <c r="V213" s="307" t="n"/>
      <c r="W213" s="307" t="n"/>
      <c r="X213" s="307" t="n"/>
      <c r="Y213" s="307" t="n"/>
      <c r="Z213" s="307" t="n"/>
      <c r="AA213" s="307" t="n"/>
      <c r="AB213" s="307" t="n"/>
      <c r="AC213" s="307" t="n"/>
      <c r="AD213" s="307" t="n"/>
      <c r="AE213" s="307" t="n"/>
      <c r="AF213" s="307" t="n"/>
      <c r="AG213" s="307" t="n"/>
      <c r="AH213" s="307" t="n"/>
      <c r="AI213" s="307" t="n"/>
      <c r="AJ213" s="307" t="n"/>
      <c r="AK213" s="307" t="n"/>
      <c r="AL213" s="307" t="n"/>
      <c r="AM213" s="307" t="n"/>
      <c r="AN213" s="307" t="n"/>
      <c r="AO213" s="307" t="n"/>
      <c r="AP213" s="307" t="n"/>
      <c r="AQ213" s="307" t="n"/>
      <c r="AR213" s="307" t="n"/>
      <c r="AS213" s="307" t="n"/>
      <c r="AT213" s="307" t="n"/>
      <c r="AU213" s="307" t="n"/>
      <c r="AV213" s="307" t="n"/>
      <c r="AW213" s="307" t="n"/>
      <c r="AX213" s="307" t="n"/>
      <c r="AY213" s="307" t="n"/>
      <c r="AZ213" s="307" t="n"/>
      <c r="BA213" s="233" t="n"/>
      <c r="BB213" s="307" t="n"/>
      <c r="BC213" s="307" t="n"/>
      <c r="BD213" s="307" t="n"/>
      <c r="BE213" s="307" t="n"/>
      <c r="BF213" s="307" t="n"/>
      <c r="BG213" s="31" t="n"/>
      <c r="BH213" s="31" t="n"/>
      <c r="BI213" s="31" t="n"/>
      <c r="BJ213" s="31" t="n"/>
    </row>
    <row r="214" ht="15.75" customHeight="1" s="349">
      <c r="A214" s="307" t="n"/>
      <c r="B214" s="307" t="n"/>
      <c r="C214" s="307" t="n"/>
      <c r="D214" s="307" t="n"/>
      <c r="E214" s="307" t="n"/>
      <c r="F214" s="307" t="n"/>
      <c r="G214" s="307" t="n"/>
      <c r="H214" s="307" t="n"/>
      <c r="I214" s="307" t="n"/>
      <c r="J214" s="307" t="n"/>
      <c r="K214" s="307" t="n"/>
      <c r="L214" s="307" t="n"/>
      <c r="M214" s="307" t="n"/>
      <c r="N214" s="307" t="n"/>
      <c r="O214" s="307" t="n"/>
      <c r="P214" s="307" t="n"/>
      <c r="Q214" s="307" t="n"/>
      <c r="R214" s="307" t="n"/>
      <c r="S214" s="307" t="n"/>
      <c r="T214" s="307" t="n"/>
      <c r="U214" s="307" t="n"/>
      <c r="V214" s="307" t="n"/>
      <c r="W214" s="307" t="n"/>
      <c r="X214" s="307" t="n"/>
      <c r="Y214" s="307" t="n"/>
      <c r="Z214" s="307" t="n"/>
      <c r="AA214" s="307" t="n"/>
      <c r="AB214" s="307" t="n"/>
      <c r="AC214" s="307" t="n"/>
      <c r="AD214" s="307" t="n"/>
      <c r="AE214" s="307" t="n"/>
      <c r="AF214" s="307" t="n"/>
      <c r="AG214" s="307" t="n"/>
      <c r="AH214" s="307" t="n"/>
      <c r="AI214" s="307" t="n"/>
      <c r="AJ214" s="307" t="n"/>
      <c r="AK214" s="307" t="n"/>
      <c r="AL214" s="307" t="n"/>
      <c r="AM214" s="307" t="n"/>
      <c r="AN214" s="307" t="n"/>
      <c r="AO214" s="307" t="n"/>
      <c r="AP214" s="307" t="n"/>
      <c r="AQ214" s="307" t="n"/>
      <c r="AR214" s="307" t="n"/>
      <c r="AS214" s="307" t="n"/>
      <c r="AT214" s="307" t="n"/>
      <c r="AU214" s="307" t="n"/>
      <c r="AV214" s="307" t="n"/>
      <c r="AW214" s="307" t="n"/>
      <c r="AX214" s="307" t="n"/>
      <c r="AY214" s="307" t="n"/>
      <c r="AZ214" s="307" t="n"/>
      <c r="BA214" s="233" t="n"/>
      <c r="BB214" s="307" t="n"/>
      <c r="BC214" s="307" t="n"/>
      <c r="BD214" s="307" t="n"/>
      <c r="BE214" s="307" t="n"/>
      <c r="BF214" s="307" t="n"/>
      <c r="BG214" s="31" t="n"/>
      <c r="BH214" s="31" t="n"/>
      <c r="BI214" s="31" t="n"/>
      <c r="BJ214" s="31" t="n"/>
    </row>
    <row r="215" ht="15.75" customHeight="1" s="349">
      <c r="A215" s="307" t="n"/>
      <c r="B215" s="307" t="n"/>
      <c r="C215" s="307" t="n"/>
      <c r="D215" s="307" t="n"/>
      <c r="E215" s="307" t="n"/>
      <c r="F215" s="307" t="n"/>
      <c r="G215" s="307" t="n"/>
      <c r="H215" s="307" t="n"/>
      <c r="I215" s="307" t="n"/>
      <c r="J215" s="307" t="n"/>
      <c r="K215" s="307" t="n"/>
      <c r="L215" s="307" t="n"/>
      <c r="M215" s="307" t="n"/>
      <c r="N215" s="307" t="n"/>
      <c r="O215" s="307" t="n"/>
      <c r="P215" s="307" t="n"/>
      <c r="Q215" s="307" t="n"/>
      <c r="R215" s="307" t="n"/>
      <c r="S215" s="307" t="n"/>
      <c r="T215" s="307" t="n"/>
      <c r="U215" s="307" t="n"/>
      <c r="V215" s="307" t="n"/>
      <c r="W215" s="307" t="n"/>
      <c r="X215" s="307" t="n"/>
      <c r="Y215" s="307" t="n"/>
      <c r="Z215" s="307" t="n"/>
      <c r="AA215" s="307" t="n"/>
      <c r="AB215" s="307" t="n"/>
      <c r="AC215" s="307" t="n"/>
      <c r="AD215" s="307" t="n"/>
      <c r="AE215" s="307" t="n"/>
      <c r="AF215" s="307" t="n"/>
      <c r="AG215" s="307" t="n"/>
      <c r="AH215" s="307" t="n"/>
      <c r="AI215" s="307" t="n"/>
      <c r="AJ215" s="307" t="n"/>
      <c r="AK215" s="307" t="n"/>
      <c r="AL215" s="307" t="n"/>
      <c r="AM215" s="307" t="n"/>
      <c r="AN215" s="307" t="n"/>
      <c r="AO215" s="307" t="n"/>
      <c r="AP215" s="307" t="n"/>
      <c r="AQ215" s="307" t="n"/>
      <c r="AR215" s="307" t="n"/>
      <c r="AS215" s="307" t="n"/>
      <c r="AT215" s="307" t="n"/>
      <c r="AU215" s="307" t="n"/>
      <c r="AV215" s="307" t="n"/>
      <c r="AW215" s="307" t="n"/>
      <c r="AX215" s="307" t="n"/>
      <c r="AY215" s="307" t="n"/>
      <c r="AZ215" s="307" t="n"/>
      <c r="BA215" s="233" t="n"/>
      <c r="BB215" s="307" t="n"/>
      <c r="BC215" s="307" t="n"/>
      <c r="BD215" s="307" t="n"/>
      <c r="BE215" s="307" t="n"/>
      <c r="BF215" s="307" t="n"/>
      <c r="BG215" s="31" t="n"/>
      <c r="BH215" s="31" t="n"/>
      <c r="BI215" s="31" t="n"/>
      <c r="BJ215" s="31" t="n"/>
    </row>
    <row r="216" ht="15.75" customHeight="1" s="349">
      <c r="A216" s="307" t="n"/>
      <c r="B216" s="307" t="n"/>
      <c r="C216" s="307" t="n"/>
      <c r="D216" s="307" t="n"/>
      <c r="E216" s="307" t="n"/>
      <c r="F216" s="307" t="n"/>
      <c r="G216" s="307" t="n"/>
      <c r="H216" s="307" t="n"/>
      <c r="I216" s="307" t="n"/>
      <c r="J216" s="307" t="n"/>
      <c r="K216" s="307" t="n"/>
      <c r="L216" s="307" t="n"/>
      <c r="M216" s="307" t="n"/>
      <c r="N216" s="307" t="n"/>
      <c r="O216" s="307" t="n"/>
      <c r="P216" s="307" t="n"/>
      <c r="Q216" s="307" t="n"/>
      <c r="R216" s="307" t="n"/>
      <c r="S216" s="307" t="n"/>
      <c r="T216" s="307" t="n"/>
      <c r="U216" s="307" t="n"/>
      <c r="V216" s="307" t="n"/>
      <c r="W216" s="307" t="n"/>
      <c r="X216" s="307" t="n"/>
      <c r="Y216" s="307" t="n"/>
      <c r="Z216" s="307" t="n"/>
      <c r="AA216" s="307" t="n"/>
      <c r="AB216" s="307" t="n"/>
      <c r="AC216" s="307" t="n"/>
      <c r="AD216" s="307" t="n"/>
      <c r="AE216" s="307" t="n"/>
      <c r="AF216" s="307" t="n"/>
      <c r="AG216" s="307" t="n"/>
      <c r="AH216" s="307" t="n"/>
      <c r="AI216" s="307" t="n"/>
      <c r="AJ216" s="307" t="n"/>
      <c r="AK216" s="307" t="n"/>
      <c r="AL216" s="307" t="n"/>
      <c r="AM216" s="307" t="n"/>
      <c r="AN216" s="307" t="n"/>
      <c r="AO216" s="307" t="n"/>
      <c r="AP216" s="307" t="n"/>
      <c r="AQ216" s="307" t="n"/>
      <c r="AR216" s="307" t="n"/>
      <c r="AS216" s="307" t="n"/>
      <c r="AT216" s="307" t="n"/>
      <c r="AU216" s="307" t="n"/>
      <c r="AV216" s="307" t="n"/>
      <c r="AW216" s="307" t="n"/>
      <c r="AX216" s="307" t="n"/>
      <c r="AY216" s="307" t="n"/>
      <c r="AZ216" s="307" t="n"/>
      <c r="BA216" s="233" t="n"/>
      <c r="BB216" s="307" t="n"/>
      <c r="BC216" s="307" t="n"/>
      <c r="BD216" s="307" t="n"/>
      <c r="BE216" s="307" t="n"/>
      <c r="BF216" s="307" t="n"/>
      <c r="BG216" s="31" t="n"/>
      <c r="BH216" s="31" t="n"/>
      <c r="BI216" s="31" t="n"/>
      <c r="BJ216" s="31" t="n"/>
    </row>
    <row r="217" ht="15.75" customHeight="1" s="349">
      <c r="A217" s="307" t="n"/>
      <c r="B217" s="307" t="n"/>
      <c r="C217" s="307" t="n"/>
      <c r="D217" s="307" t="n"/>
      <c r="E217" s="307" t="n"/>
      <c r="F217" s="307" t="n"/>
      <c r="G217" s="307" t="n"/>
      <c r="H217" s="307" t="n"/>
      <c r="I217" s="307" t="n"/>
      <c r="J217" s="307" t="n"/>
      <c r="K217" s="307" t="n"/>
      <c r="L217" s="307" t="n"/>
      <c r="M217" s="307" t="n"/>
      <c r="N217" s="307" t="n"/>
      <c r="O217" s="307" t="n"/>
      <c r="P217" s="307" t="n"/>
      <c r="Q217" s="307" t="n"/>
      <c r="R217" s="307" t="n"/>
      <c r="S217" s="307" t="n"/>
      <c r="T217" s="307" t="n"/>
      <c r="U217" s="307" t="n"/>
      <c r="V217" s="307" t="n"/>
      <c r="W217" s="307" t="n"/>
      <c r="X217" s="307" t="n"/>
      <c r="Y217" s="307" t="n"/>
      <c r="Z217" s="307" t="n"/>
      <c r="AA217" s="307" t="n"/>
      <c r="AB217" s="307" t="n"/>
      <c r="AC217" s="307" t="n"/>
      <c r="AD217" s="307" t="n"/>
      <c r="AE217" s="307" t="n"/>
      <c r="AF217" s="307" t="n"/>
      <c r="AG217" s="307" t="n"/>
      <c r="AH217" s="307" t="n"/>
      <c r="AI217" s="307" t="n"/>
      <c r="AJ217" s="307" t="n"/>
      <c r="AK217" s="307" t="n"/>
      <c r="AL217" s="307" t="n"/>
      <c r="AM217" s="307" t="n"/>
      <c r="AN217" s="307" t="n"/>
      <c r="AO217" s="307" t="n"/>
      <c r="AP217" s="307" t="n"/>
      <c r="AQ217" s="307" t="n"/>
      <c r="AR217" s="307" t="n"/>
      <c r="AS217" s="307" t="n"/>
      <c r="AT217" s="307" t="n"/>
      <c r="AU217" s="307" t="n"/>
      <c r="AV217" s="307" t="n"/>
      <c r="AW217" s="307" t="n"/>
      <c r="AX217" s="307" t="n"/>
      <c r="AY217" s="307" t="n"/>
      <c r="AZ217" s="307" t="n"/>
      <c r="BA217" s="233" t="n"/>
      <c r="BB217" s="307" t="n"/>
      <c r="BC217" s="307" t="n"/>
      <c r="BD217" s="307" t="n"/>
      <c r="BE217" s="307" t="n"/>
      <c r="BF217" s="307" t="n"/>
      <c r="BG217" s="31" t="n"/>
      <c r="BH217" s="31" t="n"/>
      <c r="BI217" s="31" t="n"/>
      <c r="BJ217" s="31" t="n"/>
    </row>
    <row r="218" ht="15.75" customHeight="1" s="349">
      <c r="A218" s="307" t="n"/>
      <c r="B218" s="307" t="n"/>
      <c r="C218" s="307" t="n"/>
      <c r="D218" s="307" t="n"/>
      <c r="E218" s="307" t="n"/>
      <c r="F218" s="307" t="n"/>
      <c r="G218" s="307" t="n"/>
      <c r="H218" s="307" t="n"/>
      <c r="I218" s="307" t="n"/>
      <c r="J218" s="307" t="n"/>
      <c r="K218" s="307" t="n"/>
      <c r="L218" s="307" t="n"/>
      <c r="M218" s="307" t="n"/>
      <c r="N218" s="307" t="n"/>
      <c r="O218" s="307" t="n"/>
      <c r="P218" s="307" t="n"/>
      <c r="Q218" s="307" t="n"/>
      <c r="R218" s="307" t="n"/>
      <c r="S218" s="307" t="n"/>
      <c r="T218" s="307" t="n"/>
      <c r="U218" s="307" t="n"/>
      <c r="V218" s="307" t="n"/>
      <c r="W218" s="307" t="n"/>
      <c r="X218" s="307" t="n"/>
      <c r="Y218" s="307" t="n"/>
      <c r="Z218" s="307" t="n"/>
      <c r="AA218" s="307" t="n"/>
      <c r="AB218" s="307" t="n"/>
      <c r="AC218" s="307" t="n"/>
      <c r="AD218" s="307" t="n"/>
      <c r="AE218" s="307" t="n"/>
      <c r="AF218" s="307" t="n"/>
      <c r="AG218" s="307" t="n"/>
      <c r="AH218" s="307" t="n"/>
      <c r="AI218" s="307" t="n"/>
      <c r="AJ218" s="307" t="n"/>
      <c r="AK218" s="307" t="n"/>
      <c r="AL218" s="307" t="n"/>
      <c r="AM218" s="307" t="n"/>
      <c r="AN218" s="307" t="n"/>
      <c r="AO218" s="307" t="n"/>
      <c r="AP218" s="307" t="n"/>
      <c r="AQ218" s="307" t="n"/>
      <c r="AR218" s="307" t="n"/>
      <c r="AS218" s="307" t="n"/>
      <c r="AT218" s="307" t="n"/>
      <c r="AU218" s="307" t="n"/>
      <c r="AV218" s="307" t="n"/>
      <c r="AW218" s="307" t="n"/>
      <c r="AX218" s="307" t="n"/>
      <c r="AY218" s="307" t="n"/>
      <c r="AZ218" s="307" t="n"/>
      <c r="BA218" s="233" t="n"/>
      <c r="BB218" s="307" t="n"/>
      <c r="BC218" s="307" t="n"/>
      <c r="BD218" s="307" t="n"/>
      <c r="BE218" s="307" t="n"/>
      <c r="BF218" s="307" t="n"/>
      <c r="BG218" s="31" t="n"/>
      <c r="BH218" s="31" t="n"/>
      <c r="BI218" s="31" t="n"/>
      <c r="BJ218" s="31" t="n"/>
    </row>
    <row r="219" ht="15.75" customHeight="1" s="349">
      <c r="A219" s="307" t="n"/>
      <c r="B219" s="307" t="n"/>
      <c r="C219" s="307" t="n"/>
      <c r="D219" s="307" t="n"/>
      <c r="E219" s="307" t="n"/>
      <c r="F219" s="307" t="n"/>
      <c r="G219" s="307" t="n"/>
      <c r="H219" s="307" t="n"/>
      <c r="I219" s="307" t="n"/>
      <c r="J219" s="307" t="n"/>
      <c r="K219" s="307" t="n"/>
      <c r="L219" s="307" t="n"/>
      <c r="M219" s="307" t="n"/>
      <c r="N219" s="307" t="n"/>
      <c r="O219" s="307" t="n"/>
      <c r="P219" s="307" t="n"/>
      <c r="Q219" s="307" t="n"/>
      <c r="R219" s="307" t="n"/>
      <c r="S219" s="307" t="n"/>
      <c r="T219" s="307" t="n"/>
      <c r="U219" s="307" t="n"/>
      <c r="V219" s="307" t="n"/>
      <c r="W219" s="307" t="n"/>
      <c r="X219" s="307" t="n"/>
      <c r="Y219" s="307" t="n"/>
      <c r="Z219" s="307" t="n"/>
      <c r="AA219" s="307" t="n"/>
      <c r="AB219" s="307" t="n"/>
      <c r="AC219" s="307" t="n"/>
      <c r="AD219" s="307" t="n"/>
      <c r="AE219" s="307" t="n"/>
      <c r="AF219" s="307" t="n"/>
      <c r="AG219" s="307" t="n"/>
      <c r="AH219" s="307" t="n"/>
      <c r="AI219" s="307" t="n"/>
      <c r="AJ219" s="307" t="n"/>
      <c r="AK219" s="307" t="n"/>
      <c r="AL219" s="307" t="n"/>
      <c r="AM219" s="307" t="n"/>
      <c r="AN219" s="307" t="n"/>
      <c r="AO219" s="307" t="n"/>
      <c r="AP219" s="307" t="n"/>
      <c r="AQ219" s="307" t="n"/>
      <c r="AR219" s="307" t="n"/>
      <c r="AS219" s="307" t="n"/>
      <c r="AT219" s="307" t="n"/>
      <c r="AU219" s="307" t="n"/>
      <c r="AV219" s="307" t="n"/>
      <c r="AW219" s="307" t="n"/>
      <c r="AX219" s="307" t="n"/>
      <c r="AY219" s="307" t="n"/>
      <c r="AZ219" s="307" t="n"/>
      <c r="BA219" s="233" t="n"/>
      <c r="BB219" s="307" t="n"/>
      <c r="BC219" s="307" t="n"/>
      <c r="BD219" s="307" t="n"/>
      <c r="BE219" s="307" t="n"/>
      <c r="BF219" s="307" t="n"/>
      <c r="BG219" s="31" t="n"/>
      <c r="BH219" s="31" t="n"/>
      <c r="BI219" s="31" t="n"/>
      <c r="BJ219" s="31" t="n"/>
    </row>
    <row r="220" ht="15.75" customHeight="1" s="349">
      <c r="A220" s="307" t="n"/>
      <c r="B220" s="307" t="n"/>
      <c r="C220" s="307" t="n"/>
      <c r="D220" s="307" t="n"/>
      <c r="E220" s="307" t="n"/>
      <c r="F220" s="307" t="n"/>
      <c r="G220" s="307" t="n"/>
      <c r="H220" s="307" t="n"/>
      <c r="I220" s="307" t="n"/>
      <c r="J220" s="307" t="n"/>
      <c r="K220" s="307" t="n"/>
      <c r="L220" s="307" t="n"/>
      <c r="M220" s="307" t="n"/>
      <c r="N220" s="307" t="n"/>
      <c r="O220" s="307" t="n"/>
      <c r="P220" s="307" t="n"/>
      <c r="Q220" s="307" t="n"/>
      <c r="R220" s="307" t="n"/>
      <c r="S220" s="307" t="n"/>
      <c r="T220" s="307" t="n"/>
      <c r="U220" s="307" t="n"/>
      <c r="V220" s="307" t="n"/>
      <c r="W220" s="307" t="n"/>
      <c r="X220" s="307" t="n"/>
      <c r="Y220" s="307" t="n"/>
      <c r="Z220" s="307" t="n"/>
      <c r="AA220" s="307" t="n"/>
      <c r="AB220" s="307" t="n"/>
      <c r="AC220" s="307" t="n"/>
      <c r="AD220" s="307" t="n"/>
      <c r="AE220" s="307" t="n"/>
      <c r="AF220" s="307" t="n"/>
      <c r="AG220" s="307" t="n"/>
      <c r="AH220" s="307" t="n"/>
      <c r="AI220" s="307" t="n"/>
      <c r="AJ220" s="307" t="n"/>
      <c r="AK220" s="307" t="n"/>
      <c r="AL220" s="307" t="n"/>
      <c r="AM220" s="307" t="n"/>
      <c r="AN220" s="307" t="n"/>
      <c r="AO220" s="307" t="n"/>
      <c r="AP220" s="307" t="n"/>
      <c r="AQ220" s="307" t="n"/>
      <c r="AR220" s="307" t="n"/>
      <c r="AS220" s="307" t="n"/>
      <c r="AT220" s="307" t="n"/>
      <c r="AU220" s="307" t="n"/>
      <c r="AV220" s="307" t="n"/>
      <c r="AW220" s="307" t="n"/>
      <c r="AX220" s="307" t="n"/>
      <c r="AY220" s="307" t="n"/>
      <c r="AZ220" s="307" t="n"/>
      <c r="BA220" s="233" t="n"/>
      <c r="BB220" s="307" t="n"/>
      <c r="BC220" s="307" t="n"/>
      <c r="BD220" s="307" t="n"/>
      <c r="BE220" s="307" t="n"/>
      <c r="BF220" s="307" t="n"/>
      <c r="BG220" s="31" t="n"/>
      <c r="BH220" s="31" t="n"/>
      <c r="BI220" s="31" t="n"/>
      <c r="BJ220" s="31" t="n"/>
    </row>
    <row r="221" ht="15.75" customHeight="1" s="349">
      <c r="A221" s="307" t="n"/>
      <c r="B221" s="307" t="n"/>
      <c r="C221" s="307" t="n"/>
      <c r="D221" s="307" t="n"/>
      <c r="E221" s="307" t="n"/>
      <c r="F221" s="307" t="n"/>
      <c r="G221" s="307" t="n"/>
      <c r="H221" s="307" t="n"/>
      <c r="I221" s="307" t="n"/>
      <c r="J221" s="307" t="n"/>
      <c r="K221" s="307" t="n"/>
      <c r="L221" s="307" t="n"/>
      <c r="M221" s="307" t="n"/>
      <c r="N221" s="307" t="n"/>
      <c r="O221" s="307" t="n"/>
      <c r="P221" s="307" t="n"/>
      <c r="Q221" s="307" t="n"/>
      <c r="R221" s="307" t="n"/>
      <c r="S221" s="307" t="n"/>
      <c r="T221" s="307" t="n"/>
      <c r="U221" s="307" t="n"/>
      <c r="V221" s="307" t="n"/>
      <c r="W221" s="307" t="n"/>
      <c r="X221" s="307" t="n"/>
      <c r="Y221" s="307" t="n"/>
      <c r="Z221" s="307" t="n"/>
      <c r="AA221" s="307" t="n"/>
      <c r="AB221" s="307" t="n"/>
      <c r="AC221" s="307" t="n"/>
      <c r="AD221" s="307" t="n"/>
      <c r="AE221" s="307" t="n"/>
      <c r="AF221" s="307" t="n"/>
      <c r="AG221" s="307" t="n"/>
      <c r="AH221" s="307" t="n"/>
      <c r="AI221" s="307" t="n"/>
      <c r="AJ221" s="307" t="n"/>
      <c r="AK221" s="307" t="n"/>
      <c r="AL221" s="307" t="n"/>
      <c r="AM221" s="307" t="n"/>
      <c r="AN221" s="307" t="n"/>
      <c r="AO221" s="307" t="n"/>
      <c r="AP221" s="307" t="n"/>
      <c r="AQ221" s="307" t="n"/>
      <c r="AR221" s="307" t="n"/>
      <c r="AS221" s="307" t="n"/>
      <c r="AT221" s="307" t="n"/>
      <c r="AU221" s="307" t="n"/>
      <c r="AV221" s="307" t="n"/>
      <c r="AW221" s="307" t="n"/>
      <c r="AX221" s="307" t="n"/>
      <c r="AY221" s="307" t="n"/>
      <c r="AZ221" s="307" t="n"/>
      <c r="BA221" s="233" t="n"/>
      <c r="BB221" s="307" t="n"/>
      <c r="BC221" s="307" t="n"/>
      <c r="BD221" s="307" t="n"/>
      <c r="BE221" s="307" t="n"/>
      <c r="BF221" s="307" t="n"/>
      <c r="BG221" s="31" t="n"/>
      <c r="BH221" s="31" t="n"/>
      <c r="BI221" s="31" t="n"/>
      <c r="BJ221" s="31" t="n"/>
    </row>
    <row r="222" ht="15.75" customHeight="1" s="349">
      <c r="A222" s="307" t="n"/>
      <c r="B222" s="307" t="n"/>
      <c r="C222" s="307" t="n"/>
      <c r="D222" s="307" t="n"/>
      <c r="E222" s="307" t="n"/>
      <c r="F222" s="307" t="n"/>
      <c r="G222" s="307" t="n"/>
      <c r="H222" s="307" t="n"/>
      <c r="I222" s="307" t="n"/>
      <c r="J222" s="307" t="n"/>
      <c r="K222" s="307" t="n"/>
      <c r="L222" s="307" t="n"/>
      <c r="M222" s="307" t="n"/>
      <c r="N222" s="307" t="n"/>
      <c r="O222" s="307" t="n"/>
      <c r="P222" s="307" t="n"/>
      <c r="Q222" s="307" t="n"/>
      <c r="R222" s="307" t="n"/>
      <c r="S222" s="307" t="n"/>
      <c r="T222" s="307" t="n"/>
      <c r="U222" s="307" t="n"/>
      <c r="V222" s="307" t="n"/>
      <c r="W222" s="307" t="n"/>
      <c r="X222" s="307" t="n"/>
      <c r="Y222" s="307" t="n"/>
      <c r="Z222" s="307" t="n"/>
      <c r="AA222" s="307" t="n"/>
      <c r="AB222" s="307" t="n"/>
      <c r="AC222" s="307" t="n"/>
      <c r="AD222" s="307" t="n"/>
      <c r="AE222" s="307" t="n"/>
      <c r="AF222" s="307" t="n"/>
      <c r="AG222" s="307" t="n"/>
      <c r="AH222" s="307" t="n"/>
      <c r="AI222" s="307" t="n"/>
      <c r="AJ222" s="307" t="n"/>
      <c r="AK222" s="307" t="n"/>
      <c r="AL222" s="307" t="n"/>
      <c r="AM222" s="307" t="n"/>
      <c r="AN222" s="307" t="n"/>
      <c r="AO222" s="307" t="n"/>
      <c r="AP222" s="307" t="n"/>
      <c r="AQ222" s="307" t="n"/>
      <c r="AR222" s="307" t="n"/>
      <c r="AS222" s="307" t="n"/>
      <c r="AT222" s="307" t="n"/>
      <c r="AU222" s="307" t="n"/>
      <c r="AV222" s="307" t="n"/>
      <c r="AW222" s="307" t="n"/>
      <c r="AX222" s="307" t="n"/>
      <c r="AY222" s="307" t="n"/>
      <c r="AZ222" s="307" t="n"/>
      <c r="BA222" s="233" t="n"/>
      <c r="BB222" s="307" t="n"/>
      <c r="BC222" s="307" t="n"/>
      <c r="BD222" s="307" t="n"/>
      <c r="BE222" s="307" t="n"/>
      <c r="BF222" s="307" t="n"/>
      <c r="BG222" s="31" t="n"/>
      <c r="BH222" s="31" t="n"/>
      <c r="BI222" s="31" t="n"/>
      <c r="BJ222" s="31" t="n"/>
    </row>
    <row r="223" ht="15.75" customHeight="1" s="349"/>
    <row r="224" ht="15.75" customHeight="1" s="349"/>
    <row r="225" ht="15.75" customHeight="1" s="349"/>
    <row r="226" ht="15.75" customHeight="1" s="349"/>
    <row r="227" ht="15.75" customHeight="1" s="349"/>
    <row r="228" ht="15.75" customHeight="1" s="349"/>
    <row r="229" ht="15.75" customHeight="1" s="349"/>
    <row r="230" ht="15.75" customHeight="1" s="349"/>
    <row r="231" ht="15.75" customHeight="1" s="349"/>
    <row r="232" ht="15.75" customHeight="1" s="349"/>
    <row r="233" ht="15.75" customHeight="1" s="349"/>
    <row r="234" ht="15.75" customHeight="1" s="349"/>
    <row r="235" ht="15.75" customHeight="1" s="349"/>
    <row r="236" ht="15.75" customHeight="1" s="349"/>
    <row r="237" ht="15.75" customHeight="1" s="349"/>
    <row r="238" ht="15.75" customHeight="1" s="349"/>
    <row r="239" ht="15.75" customHeight="1" s="349"/>
    <row r="240" ht="15.75" customHeight="1" s="349"/>
    <row r="241" ht="15.75" customHeight="1" s="349"/>
    <row r="242" ht="15.75" customHeight="1" s="349"/>
    <row r="243" ht="15.75" customHeight="1" s="349"/>
    <row r="244" ht="15.75" customHeight="1" s="349"/>
    <row r="245" ht="15.75" customHeight="1" s="349"/>
    <row r="246" ht="15.75" customHeight="1" s="349"/>
    <row r="247" ht="15.75" customHeight="1" s="349"/>
    <row r="248" ht="15.75" customHeight="1" s="349"/>
    <row r="249" ht="15.75" customHeight="1" s="349"/>
    <row r="250" ht="15.75" customHeight="1" s="349"/>
    <row r="251" ht="15.75" customHeight="1" s="349"/>
    <row r="252" ht="15.75" customHeight="1" s="349"/>
    <row r="253" ht="15.75" customHeight="1" s="349"/>
    <row r="254" ht="15.75" customHeight="1" s="349"/>
    <row r="255" ht="15.75" customHeight="1" s="349"/>
    <row r="256" ht="15.75" customHeight="1" s="349"/>
    <row r="257" ht="15.75" customHeight="1" s="349"/>
    <row r="258" ht="15.75" customHeight="1" s="349"/>
    <row r="259" ht="15.75" customHeight="1" s="349"/>
    <row r="260" ht="15.75" customHeight="1" s="349"/>
    <row r="261" ht="15.75" customHeight="1" s="349"/>
    <row r="262" ht="15.75" customHeight="1" s="349"/>
    <row r="263" ht="15.75" customHeight="1" s="349"/>
    <row r="264" ht="15.75" customHeight="1" s="349"/>
    <row r="265" ht="15.75" customHeight="1" s="349"/>
    <row r="266" ht="15.75" customHeight="1" s="349"/>
    <row r="267" ht="15.75" customHeight="1" s="349"/>
    <row r="268" ht="15.75" customHeight="1" s="349"/>
    <row r="269" ht="15.75" customHeight="1" s="349"/>
    <row r="270" ht="15.75" customHeight="1" s="349"/>
    <row r="271" ht="15.75" customHeight="1" s="349"/>
    <row r="272" ht="15.75" customHeight="1" s="349"/>
    <row r="273" ht="15.75" customHeight="1" s="349"/>
    <row r="274" ht="15.75" customHeight="1" s="349"/>
    <row r="275" ht="15.75" customHeight="1" s="349"/>
    <row r="276" ht="15.75" customHeight="1" s="349"/>
    <row r="277" ht="15.75" customHeight="1" s="349"/>
    <row r="278" ht="15.75" customHeight="1" s="349"/>
    <row r="279" ht="15.75" customHeight="1" s="349"/>
    <row r="280" ht="15.75" customHeight="1" s="349"/>
    <row r="281" ht="15.75" customHeight="1" s="349"/>
    <row r="282" ht="15.75" customHeight="1" s="349"/>
    <row r="283" ht="15.75" customHeight="1" s="349"/>
    <row r="284" ht="15.75" customHeight="1" s="349"/>
    <row r="285" ht="15.75" customHeight="1" s="349"/>
    <row r="286" ht="15.75" customHeight="1" s="349"/>
    <row r="287" ht="15.75" customHeight="1" s="349"/>
    <row r="288" ht="15.75" customHeight="1" s="349"/>
    <row r="289" ht="15.75" customHeight="1" s="349"/>
    <row r="290" ht="15.75" customHeight="1" s="349"/>
    <row r="291" ht="15.75" customHeight="1" s="349"/>
    <row r="292" ht="15.75" customHeight="1" s="349"/>
    <row r="293" ht="15.75" customHeight="1" s="349"/>
    <row r="294" ht="15.75" customHeight="1" s="349"/>
    <row r="295" ht="15.75" customHeight="1" s="349"/>
    <row r="296" ht="15.75" customHeight="1" s="349"/>
    <row r="297" ht="15.75" customHeight="1" s="349"/>
    <row r="298" ht="15.75" customHeight="1" s="349"/>
    <row r="299" ht="15.75" customHeight="1" s="349"/>
    <row r="300" ht="15.75" customHeight="1" s="349"/>
    <row r="301" ht="15.75" customHeight="1" s="349"/>
    <row r="302" ht="15.75" customHeight="1" s="349"/>
    <row r="303" ht="15.75" customHeight="1" s="349"/>
    <row r="304" ht="15.75" customHeight="1" s="349"/>
    <row r="305" ht="15.75" customHeight="1" s="349"/>
    <row r="306" ht="15.75" customHeight="1" s="349"/>
    <row r="307" ht="15.75" customHeight="1" s="349"/>
    <row r="308" ht="15.75" customHeight="1" s="349"/>
    <row r="309" ht="15.75" customHeight="1" s="349"/>
    <row r="310" ht="15.75" customHeight="1" s="349"/>
    <row r="311" ht="15.75" customHeight="1" s="349"/>
    <row r="312" ht="15.75" customHeight="1" s="349"/>
    <row r="313" ht="15.75" customHeight="1" s="349"/>
    <row r="314" ht="15.75" customHeight="1" s="349"/>
    <row r="315" ht="15.75" customHeight="1" s="349"/>
    <row r="316" ht="15.75" customHeight="1" s="349"/>
    <row r="317" ht="15.75" customHeight="1" s="349"/>
    <row r="318" ht="15.75" customHeight="1" s="349"/>
    <row r="319" ht="15.75" customHeight="1" s="349"/>
    <row r="320" ht="15.75" customHeight="1" s="349"/>
    <row r="321" ht="15.75" customHeight="1" s="349"/>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BM243"/>
  <sheetViews>
    <sheetView showGridLines="0" workbookViewId="0">
      <pane xSplit="4" topLeftCell="E1" activePane="topRight" state="frozen"/>
      <selection pane="topRight" activeCell="F2" sqref="F2"/>
    </sheetView>
  </sheetViews>
  <sheetFormatPr baseColWidth="8" defaultColWidth="14.43" defaultRowHeight="15" customHeight="1"/>
  <cols>
    <col width="2" customWidth="1" style="349" min="1" max="1"/>
    <col width="42.86" customWidth="1" style="349" min="2" max="2"/>
    <col width="12" customWidth="1" style="349" min="3" max="3"/>
    <col width="5" customWidth="1" style="349" min="4" max="4"/>
    <col hidden="1" outlineLevel="1" width="9" customWidth="1" style="349" min="5" max="17"/>
    <col hidden="1" outlineLevel="1" width="9.859999999999999" customWidth="1" style="349" min="18" max="18"/>
    <col width="9.710000000000001" customWidth="1" style="349" min="19" max="19"/>
    <col width="9.57" customWidth="1" style="349" min="20" max="20"/>
    <col width="9.710000000000001" customWidth="1" style="349" min="21" max="21"/>
    <col width="9.43" customWidth="1" style="349" min="22" max="22"/>
    <col width="10" customWidth="1" style="349" min="23" max="23"/>
    <col width="9.710000000000001" customWidth="1" style="349" min="24" max="24"/>
    <col width="9.140000000000001" customWidth="1" style="349" min="25" max="25"/>
    <col width="9.859999999999999" customWidth="1" style="349" min="26" max="27"/>
    <col width="9.57" customWidth="1" style="349" min="28" max="28"/>
    <col width="9.859999999999999" customWidth="1" style="349" min="29" max="30"/>
    <col width="9.43" customWidth="1" style="349" min="31" max="32"/>
    <col width="9.57" customWidth="1" style="349" min="33" max="33"/>
    <col width="9.289999999999999" customWidth="1" style="349" min="34" max="34"/>
    <col width="9.859999999999999" customWidth="1" style="349" min="35" max="35"/>
    <col width="9.57" customWidth="1" style="349" min="36" max="36"/>
    <col width="8.859999999999999" customWidth="1" style="349" min="37" max="37"/>
    <col width="9.57" customWidth="1" style="349" min="38" max="39"/>
    <col width="9.289999999999999" customWidth="1" style="349" min="40" max="40"/>
    <col width="9.57" customWidth="1" style="349" min="41" max="44"/>
    <col width="9.710000000000001" customWidth="1" style="349" min="45" max="45"/>
    <col width="9.43" customWidth="1" style="349" min="46" max="46"/>
    <col width="10" customWidth="1" style="349" min="47" max="47"/>
    <col width="9.710000000000001" customWidth="1" style="349" min="48" max="48"/>
    <col width="9.140000000000001" customWidth="1" style="349" min="49" max="49"/>
    <col width="9.859999999999999" customWidth="1" style="349" min="50" max="50"/>
    <col width="9.710000000000001" customWidth="1" style="349" min="51" max="51"/>
    <col width="9.57" customWidth="1" style="349" min="52" max="52"/>
    <col width="9.859999999999999" customWidth="1" style="349" min="53" max="54"/>
    <col width="8.859999999999999" customWidth="1" style="349" min="56" max="56"/>
    <col width="10.57" customWidth="1" style="349" min="57" max="57"/>
    <col width="11" customWidth="1" style="349" min="58" max="58"/>
    <col width="10.86" customWidth="1" style="349" min="59" max="59"/>
    <col outlineLevel="1" width="10.43" customWidth="1" style="349" min="60" max="60"/>
    <col outlineLevel="1" width="17.86" customWidth="1" style="349" min="61" max="62"/>
    <col outlineLevel="1" width="43" customWidth="1" style="349" min="63" max="63"/>
    <col outlineLevel="1" width="17.86" customWidth="1" style="349" min="64" max="65"/>
  </cols>
  <sheetData>
    <row r="1" ht="15.75" customHeight="1" s="349">
      <c r="A1" s="254" t="n"/>
      <c r="B1" s="8" t="inlineStr">
        <is>
          <t>Tarnoc B.V. — OPEX Forecast (€, negative = cost)</t>
        </is>
      </c>
      <c r="C1" s="9" t="n"/>
      <c r="D1" s="255" t="n"/>
      <c r="E1" s="9" t="n"/>
      <c r="F1" s="9" t="n"/>
      <c r="G1" s="9" t="n"/>
      <c r="H1" s="9" t="n"/>
      <c r="I1" s="9" t="n"/>
      <c r="J1" s="9" t="n"/>
      <c r="K1" s="9" t="n"/>
      <c r="L1" s="9" t="n"/>
      <c r="M1" s="9" t="n"/>
      <c r="N1" s="9" t="n"/>
      <c r="O1" s="9" t="n"/>
      <c r="P1" s="256" t="n"/>
      <c r="Q1" s="256" t="n"/>
      <c r="R1" s="256" t="n"/>
      <c r="S1" s="256" t="n"/>
      <c r="T1" s="256" t="n"/>
      <c r="U1" s="256" t="inlineStr">
        <is>
          <t>Actual</t>
        </is>
      </c>
      <c r="V1" s="256" t="inlineStr">
        <is>
          <t>Projected</t>
        </is>
      </c>
      <c r="W1" s="256" t="n"/>
      <c r="X1" s="256" t="n"/>
      <c r="Y1" s="256" t="n"/>
      <c r="Z1" s="256" t="n"/>
      <c r="AA1" s="256" t="n"/>
      <c r="AB1" s="256" t="n"/>
      <c r="AC1" s="256" t="n"/>
      <c r="AD1" s="256" t="n"/>
      <c r="AE1" s="256" t="n"/>
      <c r="AF1" s="256" t="n"/>
      <c r="AG1" s="256" t="n"/>
      <c r="AH1" s="256" t="n"/>
      <c r="AI1" s="256" t="n"/>
      <c r="AJ1" s="256" t="n"/>
      <c r="AK1" s="256" t="n"/>
      <c r="AL1" s="256" t="n"/>
      <c r="AM1" s="256" t="n"/>
      <c r="AN1" s="256" t="n"/>
      <c r="AO1" s="256" t="n"/>
      <c r="AP1" s="256" t="n"/>
      <c r="AQ1" s="256" t="n"/>
      <c r="AR1" s="256" t="n"/>
      <c r="AS1" s="256" t="n"/>
      <c r="AT1" s="256" t="n"/>
      <c r="AU1" s="256" t="n"/>
      <c r="AV1" s="256" t="n"/>
      <c r="AW1" s="256" t="n"/>
      <c r="AX1" s="127" t="n"/>
      <c r="AY1" s="127" t="n"/>
      <c r="AZ1" s="127" t="n"/>
      <c r="BA1" s="127" t="n"/>
      <c r="BB1" s="127" t="n"/>
      <c r="BC1" s="233" t="n"/>
      <c r="BD1" s="127" t="n"/>
      <c r="BE1" s="127" t="n"/>
      <c r="BF1" s="127" t="n"/>
      <c r="BG1" s="127" t="n"/>
      <c r="BH1" s="127" t="n"/>
      <c r="BI1" s="233" t="n"/>
      <c r="BJ1" s="233" t="n"/>
      <c r="BK1" s="233" t="n"/>
      <c r="BL1" s="233" t="n"/>
      <c r="BM1" s="233" t="n"/>
    </row>
    <row r="2" ht="13.5" customHeight="1" s="349">
      <c r="A2" s="36" t="n"/>
      <c r="B2" s="37" t="n"/>
      <c r="C2" s="37" t="n"/>
      <c r="D2" s="37" t="n"/>
      <c r="E2" s="38" t="n"/>
      <c r="F2" s="38" t="n"/>
      <c r="G2" s="38" t="n">
        <v>2025</v>
      </c>
      <c r="H2" s="38" t="n"/>
      <c r="I2" s="38" t="n"/>
      <c r="J2" s="38" t="n"/>
      <c r="K2" s="38" t="n"/>
      <c r="L2" s="38" t="n"/>
      <c r="M2" s="38" t="n"/>
      <c r="N2" s="38" t="n"/>
      <c r="O2" s="38" t="n"/>
      <c r="P2" s="259" t="n"/>
      <c r="Q2" s="259" t="n"/>
      <c r="R2" s="259" t="n"/>
      <c r="S2" s="259" t="inlineStr">
        <is>
          <t>2026</t>
        </is>
      </c>
      <c r="T2" s="259" t="n"/>
      <c r="U2" s="259" t="n"/>
      <c r="V2" s="259" t="n"/>
      <c r="W2" s="259" t="n"/>
      <c r="X2" s="259" t="n"/>
      <c r="Y2" s="259" t="n"/>
      <c r="Z2" s="259" t="n"/>
      <c r="AA2" s="259" t="n"/>
      <c r="AB2" s="259" t="n"/>
      <c r="AC2" s="259" t="n"/>
      <c r="AD2" s="259" t="n"/>
      <c r="AE2" s="259" t="inlineStr">
        <is>
          <t>2027</t>
        </is>
      </c>
      <c r="AF2" s="259" t="n"/>
      <c r="AG2" s="259" t="n"/>
      <c r="AH2" s="259" t="n"/>
      <c r="AI2" s="259" t="n"/>
      <c r="AJ2" s="259" t="n"/>
      <c r="AK2" s="259" t="n"/>
      <c r="AL2" s="259" t="n"/>
      <c r="AM2" s="259" t="n"/>
      <c r="AN2" s="259" t="n"/>
      <c r="AO2" s="259" t="n"/>
      <c r="AP2" s="259" t="n"/>
      <c r="AQ2" s="259" t="inlineStr">
        <is>
          <t>2028</t>
        </is>
      </c>
      <c r="AR2" s="259" t="n"/>
      <c r="AS2" s="259" t="n"/>
      <c r="AT2" s="259" t="n"/>
      <c r="AU2" s="259" t="n"/>
      <c r="AV2" s="259" t="n"/>
      <c r="AW2" s="259" t="n"/>
      <c r="AX2" s="261" t="n"/>
      <c r="AY2" s="261" t="n"/>
      <c r="AZ2" s="261" t="n"/>
      <c r="BA2" s="261" t="n"/>
      <c r="BB2" s="261" t="n"/>
      <c r="BC2" s="233" t="n"/>
      <c r="BD2" s="261" t="n"/>
      <c r="BE2" s="261" t="n"/>
      <c r="BF2" s="261" t="n"/>
      <c r="BG2" s="261" t="n"/>
      <c r="BH2" s="261" t="n"/>
      <c r="BI2" s="233" t="n"/>
      <c r="BJ2" s="233" t="n"/>
      <c r="BK2" s="233" t="n"/>
      <c r="BL2" s="233" t="n"/>
      <c r="BM2" s="233" t="n"/>
    </row>
    <row r="3" ht="13.5" customHeight="1" s="349">
      <c r="A3" s="36" t="n"/>
      <c r="B3" s="37" t="n"/>
      <c r="C3" s="37" t="n"/>
      <c r="D3" s="37" t="n"/>
      <c r="E3" s="48" t="n"/>
      <c r="F3" s="48" t="n"/>
      <c r="G3" s="55" t="n">
        <v>45658</v>
      </c>
      <c r="H3" s="55" t="n">
        <v>45689</v>
      </c>
      <c r="I3" s="55" t="n">
        <v>45717</v>
      </c>
      <c r="J3" s="55" t="n">
        <v>45748</v>
      </c>
      <c r="K3" s="55" t="n">
        <v>45778</v>
      </c>
      <c r="L3" s="55" t="n">
        <v>45809</v>
      </c>
      <c r="M3" s="55" t="n">
        <v>45839</v>
      </c>
      <c r="N3" s="55" t="n">
        <v>45870</v>
      </c>
      <c r="O3" s="55" t="n">
        <v>45901</v>
      </c>
      <c r="P3" s="55" t="n">
        <v>45931</v>
      </c>
      <c r="Q3" s="55" t="n">
        <v>45962</v>
      </c>
      <c r="R3" s="55" t="n">
        <v>45992</v>
      </c>
      <c r="S3" s="55" t="n">
        <v>46023</v>
      </c>
      <c r="T3" s="55" t="n">
        <v>46054</v>
      </c>
      <c r="U3" s="55" t="n">
        <v>46082</v>
      </c>
      <c r="V3" s="55" t="n">
        <v>46113</v>
      </c>
      <c r="W3" s="55" t="n">
        <v>46143</v>
      </c>
      <c r="X3" s="55" t="n">
        <v>46174</v>
      </c>
      <c r="Y3" s="55" t="n">
        <v>46204</v>
      </c>
      <c r="Z3" s="55" t="n">
        <v>46235</v>
      </c>
      <c r="AA3" s="55" t="n">
        <v>46266</v>
      </c>
      <c r="AB3" s="55" t="n">
        <v>46296</v>
      </c>
      <c r="AC3" s="55" t="n">
        <v>46327</v>
      </c>
      <c r="AD3" s="55" t="n">
        <v>46357</v>
      </c>
      <c r="AE3" s="55" t="n">
        <v>46388</v>
      </c>
      <c r="AF3" s="55" t="n">
        <v>46419</v>
      </c>
      <c r="AG3" s="55" t="n">
        <v>46447</v>
      </c>
      <c r="AH3" s="55" t="n">
        <v>46478</v>
      </c>
      <c r="AI3" s="55" t="n">
        <v>46508</v>
      </c>
      <c r="AJ3" s="55" t="n">
        <v>46539</v>
      </c>
      <c r="AK3" s="55" t="n">
        <v>46569</v>
      </c>
      <c r="AL3" s="55" t="n">
        <v>46600</v>
      </c>
      <c r="AM3" s="55" t="n">
        <v>46631</v>
      </c>
      <c r="AN3" s="55" t="n">
        <v>46661</v>
      </c>
      <c r="AO3" s="55" t="n">
        <v>46692</v>
      </c>
      <c r="AP3" s="55" t="n">
        <v>46722</v>
      </c>
      <c r="AQ3" s="55" t="n">
        <v>46753</v>
      </c>
      <c r="AR3" s="55" t="n">
        <v>46784</v>
      </c>
      <c r="AS3" s="55" t="n">
        <v>46813</v>
      </c>
      <c r="AT3" s="55" t="n">
        <v>46844</v>
      </c>
      <c r="AU3" s="55" t="n">
        <v>46874</v>
      </c>
      <c r="AV3" s="55" t="n">
        <v>46905</v>
      </c>
      <c r="AW3" s="55" t="n">
        <v>46935</v>
      </c>
      <c r="AX3" s="55" t="n">
        <v>46966</v>
      </c>
      <c r="AY3" s="55" t="n">
        <v>46997</v>
      </c>
      <c r="AZ3" s="55" t="n">
        <v>47027</v>
      </c>
      <c r="BA3" s="55" t="n">
        <v>47058</v>
      </c>
      <c r="BB3" s="55" t="n">
        <v>47088</v>
      </c>
      <c r="BC3" s="233" t="n"/>
      <c r="BD3" s="214" t="n">
        <v>2025</v>
      </c>
      <c r="BE3" s="214" t="n">
        <v>2026</v>
      </c>
      <c r="BF3" s="214" t="n">
        <v>2027</v>
      </c>
      <c r="BG3" s="214" t="n">
        <v>2028</v>
      </c>
      <c r="BH3" s="214" t="n">
        <v>2029</v>
      </c>
      <c r="BI3" s="233" t="n"/>
      <c r="BJ3" s="233" t="n"/>
      <c r="BK3" s="83" t="inlineStr">
        <is>
          <t>what this row does</t>
        </is>
      </c>
      <c r="BL3" s="233" t="n"/>
      <c r="BM3" s="233" t="n"/>
    </row>
    <row r="4" ht="15" customHeight="1" s="349">
      <c r="A4" s="31" t="n"/>
      <c r="B4" s="307" t="n"/>
      <c r="C4" s="307" t="n"/>
      <c r="D4" s="146" t="n"/>
      <c r="E4" s="307" t="n"/>
      <c r="F4" s="307" t="n"/>
      <c r="G4" s="233" t="n"/>
      <c r="H4" s="233" t="n"/>
      <c r="I4" s="233" t="n"/>
      <c r="J4" s="233" t="n"/>
      <c r="K4" s="233" t="n"/>
      <c r="L4" s="233" t="n"/>
      <c r="M4" s="233" t="n"/>
      <c r="N4" s="233" t="n"/>
      <c r="O4" s="233" t="n"/>
      <c r="P4" s="233" t="n"/>
      <c r="Q4" s="233" t="n"/>
      <c r="R4" s="233" t="n"/>
      <c r="S4" s="233" t="n"/>
      <c r="T4" s="233" t="n"/>
      <c r="U4" s="233" t="n"/>
      <c r="V4" s="233" t="n"/>
      <c r="W4" s="233" t="n"/>
      <c r="X4" s="233" t="n"/>
      <c r="Y4" s="233" t="n"/>
      <c r="Z4" s="233" t="n"/>
      <c r="AA4" s="233" t="n"/>
      <c r="AB4" s="233" t="n"/>
      <c r="AC4" s="233" t="n"/>
      <c r="AD4" s="233" t="n"/>
      <c r="AE4" s="233" t="n"/>
      <c r="AF4" s="233" t="n"/>
      <c r="AG4" s="233" t="n"/>
      <c r="AH4" s="233" t="n"/>
      <c r="AI4" s="233" t="n"/>
      <c r="AJ4" s="233" t="n"/>
      <c r="AK4" s="233" t="n"/>
      <c r="AL4" s="233" t="n"/>
      <c r="AM4" s="233" t="n"/>
      <c r="AN4" s="233" t="n"/>
      <c r="AO4" s="233" t="n"/>
      <c r="AP4" s="233" t="n"/>
      <c r="AQ4" s="233" t="n"/>
      <c r="AR4" s="233" t="n"/>
      <c r="AS4" s="233" t="n"/>
      <c r="AT4" s="233" t="n"/>
      <c r="AU4" s="233" t="n"/>
      <c r="AV4" s="233" t="n"/>
      <c r="AW4" s="233" t="n"/>
      <c r="AX4" s="233" t="n"/>
      <c r="AY4" s="233" t="n"/>
      <c r="AZ4" s="233" t="n"/>
      <c r="BA4" s="233" t="n"/>
      <c r="BB4" s="233" t="n"/>
      <c r="BC4" s="233" t="n"/>
      <c r="BD4" s="233" t="n"/>
      <c r="BE4" s="233" t="n"/>
      <c r="BF4" s="233" t="n"/>
      <c r="BG4" s="233" t="n"/>
      <c r="BH4" s="233" t="n"/>
      <c r="BI4" s="102" t="n"/>
      <c r="BJ4" s="102" t="n"/>
      <c r="BK4" s="83" t="n"/>
      <c r="BL4" s="102" t="n"/>
      <c r="BM4" s="102" t="n"/>
    </row>
    <row r="5" ht="15.75" customHeight="1" s="349">
      <c r="A5" s="31" t="n"/>
      <c r="B5" s="262" t="inlineStr">
        <is>
          <t>PERSONNEL</t>
        </is>
      </c>
      <c r="C5" s="262" t="n"/>
      <c r="D5" s="262" t="n"/>
      <c r="E5" s="262" t="n"/>
      <c r="F5" s="262" t="n"/>
      <c r="G5" s="262" t="n"/>
      <c r="H5" s="262" t="n"/>
      <c r="I5" s="262" t="n"/>
      <c r="J5" s="262" t="n"/>
      <c r="K5" s="262" t="n"/>
      <c r="L5" s="262" t="n"/>
      <c r="M5" s="262" t="n"/>
      <c r="N5" s="262" t="n"/>
      <c r="O5" s="263" t="n"/>
      <c r="P5" s="263" t="n"/>
      <c r="Q5" s="263" t="n"/>
      <c r="R5" s="263" t="n"/>
      <c r="S5" s="263" t="n"/>
      <c r="T5" s="263" t="n"/>
      <c r="U5" s="263" t="n"/>
      <c r="V5" s="263" t="n"/>
      <c r="W5" s="263" t="n"/>
      <c r="X5" s="263" t="n"/>
      <c r="Y5" s="263" t="n"/>
      <c r="Z5" s="263" t="n"/>
      <c r="AA5" s="263" t="n"/>
      <c r="AB5" s="263" t="n"/>
      <c r="AC5" s="263" t="n"/>
      <c r="AD5" s="263" t="n"/>
      <c r="AE5" s="263" t="n"/>
      <c r="AF5" s="263" t="n"/>
      <c r="AG5" s="263" t="n"/>
      <c r="AH5" s="263" t="n"/>
      <c r="AI5" s="263" t="n"/>
      <c r="AJ5" s="263" t="n"/>
      <c r="AK5" s="263" t="n"/>
      <c r="AL5" s="263" t="n"/>
      <c r="AM5" s="263" t="n"/>
      <c r="AN5" s="263" t="n"/>
      <c r="AO5" s="263" t="n"/>
      <c r="AP5" s="263" t="n"/>
      <c r="AQ5" s="263" t="n"/>
      <c r="AR5" s="263" t="n"/>
      <c r="AS5" s="263" t="n"/>
      <c r="AT5" s="263" t="n"/>
      <c r="AU5" s="263" t="n"/>
      <c r="AV5" s="263" t="n"/>
      <c r="AW5" s="263" t="n"/>
      <c r="AX5" s="263" t="n"/>
      <c r="AY5" s="263" t="n"/>
      <c r="AZ5" s="263" t="n"/>
      <c r="BA5" s="263" t="n"/>
      <c r="BB5" s="263" t="n"/>
      <c r="BC5" s="233" t="n"/>
      <c r="BD5" s="263" t="n"/>
      <c r="BE5" s="263" t="n"/>
      <c r="BF5" s="263" t="n"/>
      <c r="BG5" s="263" t="n"/>
      <c r="BH5" s="263" t="n"/>
      <c r="BI5" s="102" t="n"/>
      <c r="BJ5" s="102" t="n"/>
      <c r="BK5" s="83" t="n"/>
      <c r="BL5" s="102" t="n"/>
      <c r="BM5" s="102" t="n"/>
    </row>
    <row r="6" ht="13.5" customHeight="1" s="349">
      <c r="A6" s="31" t="n"/>
      <c r="B6" s="63" t="inlineStr">
        <is>
          <t>R&amp;D</t>
        </is>
      </c>
      <c r="C6" s="307" t="n"/>
      <c r="D6" s="264" t="inlineStr">
        <is>
          <t>€</t>
        </is>
      </c>
      <c r="E6" s="63" t="n"/>
      <c r="F6" s="63" t="n"/>
      <c r="G6" s="265" t="n"/>
      <c r="H6" s="265" t="n"/>
      <c r="I6" s="265" t="n"/>
      <c r="J6" s="265" t="n"/>
      <c r="K6" s="265" t="n"/>
      <c r="L6" s="265" t="n"/>
      <c r="M6" s="265" t="n"/>
      <c r="N6" s="265" t="n"/>
      <c r="O6" s="275">
        <f>Personnel!Q251</f>
        <v/>
      </c>
      <c r="P6" s="275">
        <f>Personnel!R251</f>
        <v/>
      </c>
      <c r="Q6" s="275">
        <f>Personnel!S251</f>
        <v/>
      </c>
      <c r="R6" s="275">
        <f>Personnel!T251</f>
        <v/>
      </c>
      <c r="S6" s="275">
        <f>Personnel!U251</f>
        <v/>
      </c>
      <c r="T6" s="275">
        <f>Personnel!V251</f>
        <v/>
      </c>
      <c r="U6" s="275">
        <f>Personnel!W251</f>
        <v/>
      </c>
      <c r="V6" s="275">
        <f>Personnel!X251</f>
        <v/>
      </c>
      <c r="W6" s="275">
        <f>Personnel!Y251</f>
        <v/>
      </c>
      <c r="X6" s="275">
        <f>Personnel!Z251</f>
        <v/>
      </c>
      <c r="Y6" s="275">
        <f>Personnel!AA251</f>
        <v/>
      </c>
      <c r="Z6" s="275">
        <f>Personnel!AB251</f>
        <v/>
      </c>
      <c r="AA6" s="275">
        <f>Personnel!AC251</f>
        <v/>
      </c>
      <c r="AB6" s="275">
        <f>Personnel!AD251</f>
        <v/>
      </c>
      <c r="AC6" s="275">
        <f>Personnel!AE251</f>
        <v/>
      </c>
      <c r="AD6" s="275">
        <f>Personnel!AF251</f>
        <v/>
      </c>
      <c r="AE6" s="275">
        <f>Personnel!AG251</f>
        <v/>
      </c>
      <c r="AF6" s="275">
        <f>Personnel!AH251</f>
        <v/>
      </c>
      <c r="AG6" s="275">
        <f>Personnel!AI251</f>
        <v/>
      </c>
      <c r="AH6" s="275">
        <f>Personnel!AJ251</f>
        <v/>
      </c>
      <c r="AI6" s="275">
        <f>Personnel!AK251</f>
        <v/>
      </c>
      <c r="AJ6" s="275">
        <f>Personnel!AL251</f>
        <v/>
      </c>
      <c r="AK6" s="275">
        <f>Personnel!AM251</f>
        <v/>
      </c>
      <c r="AL6" s="275">
        <f>Personnel!AN251</f>
        <v/>
      </c>
      <c r="AM6" s="275">
        <f>Personnel!AO251</f>
        <v/>
      </c>
      <c r="AN6" s="275">
        <f>Personnel!AP251</f>
        <v/>
      </c>
      <c r="AO6" s="275">
        <f>Personnel!AQ251</f>
        <v/>
      </c>
      <c r="AP6" s="275">
        <f>Personnel!AR251</f>
        <v/>
      </c>
      <c r="AQ6" s="275">
        <f>Personnel!AS251</f>
        <v/>
      </c>
      <c r="AR6" s="275">
        <f>Personnel!AT251</f>
        <v/>
      </c>
      <c r="AS6" s="275">
        <f>Personnel!AU251</f>
        <v/>
      </c>
      <c r="AT6" s="275">
        <f>Personnel!AV251</f>
        <v/>
      </c>
      <c r="AU6" s="275">
        <f>Personnel!AW251</f>
        <v/>
      </c>
      <c r="AV6" s="275">
        <f>Personnel!AX251</f>
        <v/>
      </c>
      <c r="AW6" s="275">
        <f>Personnel!AY251</f>
        <v/>
      </c>
      <c r="AX6" s="275">
        <f>Personnel!AZ251</f>
        <v/>
      </c>
      <c r="AY6" s="275">
        <f>Personnel!BA251</f>
        <v/>
      </c>
      <c r="AZ6" s="275">
        <f>Personnel!BB251</f>
        <v/>
      </c>
      <c r="BA6" s="275">
        <f>Personnel!BC251</f>
        <v/>
      </c>
      <c r="BB6" s="275">
        <f>Personnel!BD251</f>
        <v/>
      </c>
      <c r="BC6" s="233" t="n"/>
      <c r="BD6" s="275">
        <f>SUM(G6:R6)</f>
        <v/>
      </c>
      <c r="BE6" s="275">
        <f>SUM(S6:AD6)</f>
        <v/>
      </c>
      <c r="BF6" s="275">
        <f>SUM(AE6:AP6)</f>
        <v/>
      </c>
      <c r="BG6" s="275">
        <f>SUM(AQ6:BB6)</f>
        <v/>
      </c>
      <c r="BH6" s="275">
        <f>sum(Personnel!BE251:BP251)</f>
        <v/>
      </c>
      <c r="BI6" s="268">
        <f>BH6*('Financial Statements'!$BE$7/'Financial Statements'!$BD$7)^0.5</f>
        <v/>
      </c>
      <c r="BJ6" s="268" t="n"/>
      <c r="BK6" s="83" t="inlineStr">
        <is>
          <t>R&amp;D salary bill, pulled from the Personnel tab</t>
        </is>
      </c>
      <c r="BL6" s="268" t="n"/>
      <c r="BM6" s="268" t="n"/>
    </row>
    <row r="7" ht="13.5" customHeight="1" s="349">
      <c r="A7" s="31" t="n"/>
      <c r="B7" s="63" t="inlineStr">
        <is>
          <t>S&amp;M</t>
        </is>
      </c>
      <c r="C7" s="307" t="n"/>
      <c r="D7" s="264" t="inlineStr">
        <is>
          <t>€</t>
        </is>
      </c>
      <c r="E7" s="63" t="n"/>
      <c r="F7" s="269" t="n"/>
      <c r="G7" s="265" t="n"/>
      <c r="H7" s="265" t="n"/>
      <c r="I7" s="265" t="n"/>
      <c r="J7" s="265" t="n"/>
      <c r="K7" s="265" t="n"/>
      <c r="L7" s="265" t="n"/>
      <c r="M7" s="265" t="n"/>
      <c r="N7" s="265" t="n"/>
      <c r="O7" s="275">
        <f>Personnel!Q252</f>
        <v/>
      </c>
      <c r="P7" s="275">
        <f>Personnel!R252</f>
        <v/>
      </c>
      <c r="Q7" s="275">
        <f>Personnel!S252</f>
        <v/>
      </c>
      <c r="R7" s="275">
        <f>Personnel!T252</f>
        <v/>
      </c>
      <c r="S7" s="275">
        <f>Personnel!U252</f>
        <v/>
      </c>
      <c r="T7" s="275">
        <f>Personnel!V252</f>
        <v/>
      </c>
      <c r="U7" s="275">
        <f>Personnel!W252</f>
        <v/>
      </c>
      <c r="V7" s="275">
        <f>Personnel!X252</f>
        <v/>
      </c>
      <c r="W7" s="275">
        <f>Personnel!Y252</f>
        <v/>
      </c>
      <c r="X7" s="275">
        <f>Personnel!Z252</f>
        <v/>
      </c>
      <c r="Y7" s="275">
        <f>Personnel!AA252</f>
        <v/>
      </c>
      <c r="Z7" s="275">
        <f>Personnel!AB252</f>
        <v/>
      </c>
      <c r="AA7" s="275">
        <f>Personnel!AC252</f>
        <v/>
      </c>
      <c r="AB7" s="275">
        <f>Personnel!AD252</f>
        <v/>
      </c>
      <c r="AC7" s="275">
        <f>Personnel!AE252</f>
        <v/>
      </c>
      <c r="AD7" s="275">
        <f>Personnel!AF252</f>
        <v/>
      </c>
      <c r="AE7" s="275">
        <f>Personnel!AG252</f>
        <v/>
      </c>
      <c r="AF7" s="275">
        <f>Personnel!AH252</f>
        <v/>
      </c>
      <c r="AG7" s="275">
        <f>Personnel!AI252</f>
        <v/>
      </c>
      <c r="AH7" s="275">
        <f>Personnel!AJ252</f>
        <v/>
      </c>
      <c r="AI7" s="275">
        <f>Personnel!AK252</f>
        <v/>
      </c>
      <c r="AJ7" s="275">
        <f>Personnel!AL252</f>
        <v/>
      </c>
      <c r="AK7" s="275">
        <f>Personnel!AM252</f>
        <v/>
      </c>
      <c r="AL7" s="275">
        <f>Personnel!AN252</f>
        <v/>
      </c>
      <c r="AM7" s="275">
        <f>Personnel!AO252</f>
        <v/>
      </c>
      <c r="AN7" s="275">
        <f>Personnel!AP252</f>
        <v/>
      </c>
      <c r="AO7" s="275">
        <f>Personnel!AQ252</f>
        <v/>
      </c>
      <c r="AP7" s="275">
        <f>Personnel!AR252</f>
        <v/>
      </c>
      <c r="AQ7" s="275">
        <f>Personnel!AS252</f>
        <v/>
      </c>
      <c r="AR7" s="275">
        <f>Personnel!AT252</f>
        <v/>
      </c>
      <c r="AS7" s="275">
        <f>Personnel!AU252</f>
        <v/>
      </c>
      <c r="AT7" s="275">
        <f>Personnel!AV252</f>
        <v/>
      </c>
      <c r="AU7" s="275">
        <f>Personnel!AW252</f>
        <v/>
      </c>
      <c r="AV7" s="275">
        <f>Personnel!AX252</f>
        <v/>
      </c>
      <c r="AW7" s="275">
        <f>Personnel!AY252</f>
        <v/>
      </c>
      <c r="AX7" s="275">
        <f>Personnel!AZ252</f>
        <v/>
      </c>
      <c r="AY7" s="275">
        <f>Personnel!BA252</f>
        <v/>
      </c>
      <c r="AZ7" s="275">
        <f>Personnel!BB252</f>
        <v/>
      </c>
      <c r="BA7" s="275">
        <f>Personnel!BC252</f>
        <v/>
      </c>
      <c r="BB7" s="275">
        <f>Personnel!BD252</f>
        <v/>
      </c>
      <c r="BC7" s="233" t="n"/>
      <c r="BD7" s="275">
        <f>SUM(G7:R7)</f>
        <v/>
      </c>
      <c r="BE7" s="275">
        <f>SUM(S7:AD7)</f>
        <v/>
      </c>
      <c r="BF7" s="275">
        <f>SUM(AE7:AP7)</f>
        <v/>
      </c>
      <c r="BG7" s="275">
        <f>SUM(AQ7:BB7)</f>
        <v/>
      </c>
      <c r="BH7" s="275">
        <f>sum(Personnel!BE252:BP252)</f>
        <v/>
      </c>
      <c r="BI7" s="268">
        <f>BH7*('Financial Statements'!$BE$7/'Financial Statements'!$BD$7)^0.5</f>
        <v/>
      </c>
      <c r="BJ7" s="268" t="n"/>
      <c r="BK7" s="83" t="inlineStr">
        <is>
          <t>S&amp;M salary bill, pulled from Personnel</t>
        </is>
      </c>
      <c r="BL7" s="268" t="n"/>
      <c r="BM7" s="268" t="n"/>
    </row>
    <row r="8" ht="13.5" customHeight="1" s="349">
      <c r="A8" s="31" t="n"/>
      <c r="B8" s="63" t="inlineStr">
        <is>
          <t>G&amp;A</t>
        </is>
      </c>
      <c r="C8" s="307" t="n"/>
      <c r="D8" s="264" t="inlineStr">
        <is>
          <t>€</t>
        </is>
      </c>
      <c r="E8" s="63" t="n"/>
      <c r="F8" s="269" t="n"/>
      <c r="G8" s="265" t="n"/>
      <c r="H8" s="265" t="n"/>
      <c r="I8" s="265" t="n"/>
      <c r="J8" s="265" t="n"/>
      <c r="K8" s="265" t="n"/>
      <c r="L8" s="265" t="n"/>
      <c r="M8" s="265" t="n"/>
      <c r="N8" s="265" t="n"/>
      <c r="O8" s="275">
        <f>Personnel!Q253</f>
        <v/>
      </c>
      <c r="P8" s="275">
        <f>Personnel!R253</f>
        <v/>
      </c>
      <c r="Q8" s="275">
        <f>Personnel!S253</f>
        <v/>
      </c>
      <c r="R8" s="275">
        <f>Personnel!T253</f>
        <v/>
      </c>
      <c r="S8" s="275">
        <f>Personnel!U253</f>
        <v/>
      </c>
      <c r="T8" s="275">
        <f>Personnel!V253</f>
        <v/>
      </c>
      <c r="U8" s="275">
        <f>Personnel!W253</f>
        <v/>
      </c>
      <c r="V8" s="275">
        <f>Personnel!X253</f>
        <v/>
      </c>
      <c r="W8" s="275">
        <f>Personnel!Y253</f>
        <v/>
      </c>
      <c r="X8" s="275">
        <f>Personnel!Z253</f>
        <v/>
      </c>
      <c r="Y8" s="275">
        <f>Personnel!AA253</f>
        <v/>
      </c>
      <c r="Z8" s="275">
        <f>Personnel!AB253</f>
        <v/>
      </c>
      <c r="AA8" s="275">
        <f>Personnel!AC253</f>
        <v/>
      </c>
      <c r="AB8" s="275">
        <f>Personnel!AD253</f>
        <v/>
      </c>
      <c r="AC8" s="275">
        <f>Personnel!AE253</f>
        <v/>
      </c>
      <c r="AD8" s="275">
        <f>Personnel!AF253</f>
        <v/>
      </c>
      <c r="AE8" s="275">
        <f>Personnel!AG253</f>
        <v/>
      </c>
      <c r="AF8" s="275">
        <f>Personnel!AH253</f>
        <v/>
      </c>
      <c r="AG8" s="275">
        <f>Personnel!AI253</f>
        <v/>
      </c>
      <c r="AH8" s="275">
        <f>Personnel!AJ253</f>
        <v/>
      </c>
      <c r="AI8" s="275">
        <f>Personnel!AK253</f>
        <v/>
      </c>
      <c r="AJ8" s="275">
        <f>Personnel!AL253</f>
        <v/>
      </c>
      <c r="AK8" s="275">
        <f>Personnel!AM253</f>
        <v/>
      </c>
      <c r="AL8" s="275">
        <f>Personnel!AN253</f>
        <v/>
      </c>
      <c r="AM8" s="275">
        <f>Personnel!AO253</f>
        <v/>
      </c>
      <c r="AN8" s="275">
        <f>Personnel!AP253</f>
        <v/>
      </c>
      <c r="AO8" s="275">
        <f>Personnel!AQ253</f>
        <v/>
      </c>
      <c r="AP8" s="275">
        <f>Personnel!AR253</f>
        <v/>
      </c>
      <c r="AQ8" s="275">
        <f>Personnel!AS253</f>
        <v/>
      </c>
      <c r="AR8" s="275">
        <f>Personnel!AT253</f>
        <v/>
      </c>
      <c r="AS8" s="275">
        <f>Personnel!AU253</f>
        <v/>
      </c>
      <c r="AT8" s="275">
        <f>Personnel!AV253</f>
        <v/>
      </c>
      <c r="AU8" s="275">
        <f>Personnel!AW253</f>
        <v/>
      </c>
      <c r="AV8" s="275">
        <f>Personnel!AX253</f>
        <v/>
      </c>
      <c r="AW8" s="275">
        <f>Personnel!AY253</f>
        <v/>
      </c>
      <c r="AX8" s="275">
        <f>Personnel!AZ253</f>
        <v/>
      </c>
      <c r="AY8" s="275">
        <f>Personnel!BA253</f>
        <v/>
      </c>
      <c r="AZ8" s="275">
        <f>Personnel!BB253</f>
        <v/>
      </c>
      <c r="BA8" s="275">
        <f>Personnel!BC253</f>
        <v/>
      </c>
      <c r="BB8" s="275">
        <f>Personnel!BD253</f>
        <v/>
      </c>
      <c r="BC8" s="233" t="n"/>
      <c r="BD8" s="275">
        <f>SUM(G8:R8)</f>
        <v/>
      </c>
      <c r="BE8" s="275">
        <f>SUM(S8:AD8)</f>
        <v/>
      </c>
      <c r="BF8" s="275">
        <f>SUM(AE8:AP8)</f>
        <v/>
      </c>
      <c r="BG8" s="275">
        <f>SUM(AQ8:BB8)</f>
        <v/>
      </c>
      <c r="BH8" s="275">
        <f>sum(Personnel!BE253:BP253)</f>
        <v/>
      </c>
      <c r="BI8" s="268">
        <f>BH8*('Financial Statements'!$BE$7/'Financial Statements'!$BD$7)^0.2</f>
        <v/>
      </c>
      <c r="BJ8" s="268" t="n"/>
      <c r="BK8" s="83" t="inlineStr">
        <is>
          <t>G&amp;A salary bill, pulled from Personnel</t>
        </is>
      </c>
      <c r="BL8" s="268" t="n"/>
      <c r="BM8" s="268" t="n"/>
    </row>
    <row r="9" ht="15" customHeight="1" s="349">
      <c r="A9" s="31" t="n"/>
      <c r="B9" s="8" t="inlineStr">
        <is>
          <t>Total Personnel</t>
        </is>
      </c>
      <c r="C9" s="8" t="n"/>
      <c r="D9" s="213" t="inlineStr">
        <is>
          <t>€</t>
        </is>
      </c>
      <c r="E9" s="270" t="n"/>
      <c r="F9" s="270" t="n"/>
      <c r="G9" s="259">
        <f>SUM(G6:G8)</f>
        <v/>
      </c>
      <c r="H9" s="259">
        <f>SUM(H6:H8)</f>
        <v/>
      </c>
      <c r="I9" s="259">
        <f>SUM(I6:I8)</f>
        <v/>
      </c>
      <c r="J9" s="259">
        <f>SUM(J6:J8)</f>
        <v/>
      </c>
      <c r="K9" s="259">
        <f>SUM(K6:K8)</f>
        <v/>
      </c>
      <c r="L9" s="259">
        <f>SUM(L6:L8)</f>
        <v/>
      </c>
      <c r="M9" s="259">
        <f>SUM(M6:M8)</f>
        <v/>
      </c>
      <c r="N9" s="259">
        <f>SUM(N6:N8)</f>
        <v/>
      </c>
      <c r="O9" s="259">
        <f>sum(O6:O8)</f>
        <v/>
      </c>
      <c r="P9" s="259">
        <f>sum(P6:P8)</f>
        <v/>
      </c>
      <c r="Q9" s="259">
        <f>sum(Q6:Q8)</f>
        <v/>
      </c>
      <c r="R9" s="259">
        <f>sum(R6:R8)</f>
        <v/>
      </c>
      <c r="S9" s="259">
        <f>sum(S6:S8)</f>
        <v/>
      </c>
      <c r="T9" s="259">
        <f>sum(T6:T8)</f>
        <v/>
      </c>
      <c r="U9" s="259">
        <f>sum(U6:U8)</f>
        <v/>
      </c>
      <c r="V9" s="259">
        <f>sum(V6:V8)</f>
        <v/>
      </c>
      <c r="W9" s="259">
        <f>sum(W6:W8)</f>
        <v/>
      </c>
      <c r="X9" s="259">
        <f>sum(X6:X8)</f>
        <v/>
      </c>
      <c r="Y9" s="259">
        <f>sum(Y6:Y8)</f>
        <v/>
      </c>
      <c r="Z9" s="259">
        <f>sum(Z6:Z8)</f>
        <v/>
      </c>
      <c r="AA9" s="259">
        <f>sum(AA6:AA8)</f>
        <v/>
      </c>
      <c r="AB9" s="259">
        <f>sum(AB6:AB8)</f>
        <v/>
      </c>
      <c r="AC9" s="259">
        <f>sum(AC6:AC8)</f>
        <v/>
      </c>
      <c r="AD9" s="259">
        <f>sum(AD6:AD8)</f>
        <v/>
      </c>
      <c r="AE9" s="259">
        <f>sum(AE6:AE8)</f>
        <v/>
      </c>
      <c r="AF9" s="259">
        <f>sum(AF6:AF8)</f>
        <v/>
      </c>
      <c r="AG9" s="259">
        <f>sum(AG6:AG8)</f>
        <v/>
      </c>
      <c r="AH9" s="259">
        <f>sum(AH6:AH8)</f>
        <v/>
      </c>
      <c r="AI9" s="259">
        <f>sum(AI6:AI8)</f>
        <v/>
      </c>
      <c r="AJ9" s="259">
        <f>sum(AJ6:AJ8)</f>
        <v/>
      </c>
      <c r="AK9" s="259">
        <f>sum(AK6:AK8)</f>
        <v/>
      </c>
      <c r="AL9" s="259">
        <f>sum(AL6:AL8)</f>
        <v/>
      </c>
      <c r="AM9" s="259">
        <f>sum(AM6:AM8)</f>
        <v/>
      </c>
      <c r="AN9" s="259">
        <f>sum(AN6:AN8)</f>
        <v/>
      </c>
      <c r="AO9" s="259">
        <f>sum(AO6:AO8)</f>
        <v/>
      </c>
      <c r="AP9" s="259">
        <f>sum(AP6:AP8)</f>
        <v/>
      </c>
      <c r="AQ9" s="259">
        <f>sum(AQ6:AQ8)</f>
        <v/>
      </c>
      <c r="AR9" s="259">
        <f>sum(AR6:AR8)</f>
        <v/>
      </c>
      <c r="AS9" s="259">
        <f>sum(AS6:AS8)</f>
        <v/>
      </c>
      <c r="AT9" s="259">
        <f>sum(AT6:AT8)</f>
        <v/>
      </c>
      <c r="AU9" s="259">
        <f>sum(AU6:AU8)</f>
        <v/>
      </c>
      <c r="AV9" s="259">
        <f>sum(AV6:AV8)</f>
        <v/>
      </c>
      <c r="AW9" s="259">
        <f>sum(AW6:AW8)</f>
        <v/>
      </c>
      <c r="AX9" s="259">
        <f>sum(AX6:AX8)</f>
        <v/>
      </c>
      <c r="AY9" s="259">
        <f>sum(AY6:AY8)</f>
        <v/>
      </c>
      <c r="AZ9" s="259">
        <f>sum(AZ6:AZ8)</f>
        <v/>
      </c>
      <c r="BA9" s="259">
        <f>sum(BA6:BA8)</f>
        <v/>
      </c>
      <c r="BB9" s="259">
        <f>sum(BB6:BB8)</f>
        <v/>
      </c>
      <c r="BC9" s="233" t="n"/>
      <c r="BD9" s="259">
        <f>SUM(G9:R9)</f>
        <v/>
      </c>
      <c r="BE9" s="259">
        <f>SUM(S9:AD9)</f>
        <v/>
      </c>
      <c r="BF9" s="259">
        <f>SUM(AE9:AP9)</f>
        <v/>
      </c>
      <c r="BG9" s="259">
        <f>SUM(AQ9:BB9)</f>
        <v/>
      </c>
      <c r="BH9" s="259">
        <f>sum(BH6:BH8)</f>
        <v/>
      </c>
      <c r="BI9" s="102" t="n"/>
      <c r="BJ9" s="102" t="n"/>
      <c r="BK9" s="83" t="inlineStr">
        <is>
          <t>the three salary lines added</t>
        </is>
      </c>
      <c r="BL9" s="102" t="n"/>
      <c r="BM9" s="102" t="n"/>
    </row>
    <row r="10" ht="13.5" customHeight="1" s="349">
      <c r="A10" s="31" t="n"/>
      <c r="B10" s="147" t="n"/>
      <c r="C10" s="307" t="n"/>
      <c r="D10" s="146" t="n"/>
      <c r="E10" s="307" t="n"/>
      <c r="F10" s="307" t="n"/>
      <c r="G10" s="233" t="n"/>
      <c r="H10" s="233" t="n"/>
      <c r="I10" s="233" t="n"/>
      <c r="J10" s="233" t="n"/>
      <c r="K10" s="233" t="n"/>
      <c r="L10" s="233" t="n"/>
      <c r="M10" s="233" t="n"/>
      <c r="N10" s="233" t="n"/>
      <c r="O10" s="233" t="n"/>
      <c r="P10" s="233" t="n"/>
      <c r="Q10" s="233" t="n"/>
      <c r="R10" s="233" t="n"/>
      <c r="S10" s="233" t="n"/>
      <c r="T10" s="233" t="n"/>
      <c r="U10" s="233" t="n"/>
      <c r="V10" s="233" t="n"/>
      <c r="W10" s="233" t="n"/>
      <c r="X10" s="233" t="n"/>
      <c r="Y10" s="233" t="n"/>
      <c r="Z10" s="233" t="n"/>
      <c r="AA10" s="233" t="n"/>
      <c r="AB10" s="233" t="n"/>
      <c r="AC10" s="233" t="n"/>
      <c r="AD10" s="233" t="n"/>
      <c r="AE10" s="233" t="n"/>
      <c r="AF10" s="233" t="n"/>
      <c r="AG10" s="233" t="n"/>
      <c r="AH10" s="233" t="n"/>
      <c r="AI10" s="233" t="n"/>
      <c r="AJ10" s="233" t="n"/>
      <c r="AK10" s="233" t="n"/>
      <c r="AL10" s="233" t="n"/>
      <c r="AM10" s="233" t="n"/>
      <c r="AN10" s="233" t="n"/>
      <c r="AO10" s="233" t="n"/>
      <c r="AP10" s="233" t="n"/>
      <c r="AQ10" s="233" t="n"/>
      <c r="AR10" s="233" t="n"/>
      <c r="AS10" s="233" t="n"/>
      <c r="AT10" s="233" t="n"/>
      <c r="AU10" s="233" t="n"/>
      <c r="AV10" s="233" t="n"/>
      <c r="AW10" s="233" t="n"/>
      <c r="AX10" s="233" t="n"/>
      <c r="AY10" s="233" t="n"/>
      <c r="AZ10" s="233" t="n"/>
      <c r="BA10" s="233" t="n"/>
      <c r="BB10" s="233" t="n"/>
      <c r="BC10" s="233" t="n"/>
      <c r="BD10" s="233" t="n"/>
      <c r="BE10" s="233" t="n"/>
      <c r="BF10" s="233" t="n"/>
      <c r="BG10" s="233" t="n"/>
      <c r="BH10" s="233" t="n"/>
      <c r="BI10" s="102" t="n"/>
      <c r="BJ10" s="102" t="n"/>
      <c r="BK10" s="83" t="n"/>
      <c r="BL10" s="102" t="n"/>
      <c r="BM10" s="102" t="n"/>
    </row>
    <row r="11" ht="13.5" customHeight="1" s="349">
      <c r="A11" s="31" t="n"/>
      <c r="B11" s="144" t="inlineStr">
        <is>
          <t>NON-PERSONNEL</t>
        </is>
      </c>
      <c r="C11" s="271" t="n"/>
      <c r="D11" s="272" t="n"/>
      <c r="E11" s="104" t="n"/>
      <c r="F11" s="104" t="n"/>
      <c r="G11" s="80" t="n"/>
      <c r="H11" s="80" t="n"/>
      <c r="I11" s="80" t="n"/>
      <c r="J11" s="80" t="n"/>
      <c r="K11" s="80" t="n"/>
      <c r="L11" s="80" t="n"/>
      <c r="M11" s="80" t="n"/>
      <c r="N11" s="80" t="n"/>
      <c r="O11" s="80" t="n"/>
      <c r="P11" s="80" t="n"/>
      <c r="Q11" s="80" t="n"/>
      <c r="R11" s="80" t="n"/>
      <c r="S11" s="80" t="n"/>
      <c r="T11" s="80" t="n"/>
      <c r="U11" s="80" t="n"/>
      <c r="V11" s="80" t="n"/>
      <c r="W11" s="80" t="n"/>
      <c r="X11" s="80" t="n"/>
      <c r="Y11" s="80" t="n"/>
      <c r="Z11" s="80" t="n"/>
      <c r="AA11" s="80" t="n"/>
      <c r="AB11" s="80" t="n"/>
      <c r="AC11" s="80" t="n"/>
      <c r="AD11" s="80" t="n"/>
      <c r="AE11" s="80" t="n"/>
      <c r="AF11" s="80" t="n"/>
      <c r="AG11" s="80" t="n"/>
      <c r="AH11" s="80" t="n"/>
      <c r="AI11" s="80" t="n"/>
      <c r="AJ11" s="80" t="n"/>
      <c r="AK11" s="80" t="n"/>
      <c r="AL11" s="80" t="n"/>
      <c r="AM11" s="80" t="n"/>
      <c r="AN11" s="80" t="n"/>
      <c r="AO11" s="80" t="n"/>
      <c r="AP11" s="80" t="n"/>
      <c r="AQ11" s="80" t="n"/>
      <c r="AR11" s="80" t="n"/>
      <c r="AS11" s="80" t="n"/>
      <c r="AT11" s="80" t="n"/>
      <c r="AU11" s="80" t="n"/>
      <c r="AV11" s="80" t="n"/>
      <c r="AW11" s="80" t="n"/>
      <c r="AX11" s="80" t="n"/>
      <c r="AY11" s="80" t="n"/>
      <c r="AZ11" s="80" t="n"/>
      <c r="BA11" s="80" t="n"/>
      <c r="BB11" s="80" t="n"/>
      <c r="BC11" s="233" t="n"/>
      <c r="BD11" s="80" t="n"/>
      <c r="BE11" s="80" t="n"/>
      <c r="BF11" s="80" t="n"/>
      <c r="BG11" s="80" t="n"/>
      <c r="BH11" s="80" t="n"/>
      <c r="BI11" s="233" t="n"/>
      <c r="BJ11" s="233" t="n"/>
      <c r="BK11" s="83" t="n"/>
      <c r="BL11" s="233" t="n"/>
      <c r="BM11" s="233" t="n"/>
    </row>
    <row r="12" ht="13.5" customHeight="1" s="349">
      <c r="A12" s="31" t="n"/>
      <c r="B12" s="147" t="n"/>
      <c r="C12" s="307" t="n"/>
      <c r="D12" s="146" t="n"/>
      <c r="E12" s="307" t="n"/>
      <c r="F12" s="307" t="n"/>
      <c r="G12" s="233" t="n"/>
      <c r="H12" s="233" t="n"/>
      <c r="I12" s="233" t="n"/>
      <c r="J12" s="233" t="n"/>
      <c r="K12" s="233" t="n"/>
      <c r="L12" s="233" t="n"/>
      <c r="M12" s="233" t="n"/>
      <c r="N12" s="233" t="n"/>
      <c r="O12" s="233" t="n"/>
      <c r="P12" s="233" t="n"/>
      <c r="Q12" s="233" t="n"/>
      <c r="R12" s="233" t="n"/>
      <c r="S12" s="233" t="n"/>
      <c r="T12" s="233" t="n"/>
      <c r="U12" s="233" t="n"/>
      <c r="V12" s="233" t="n"/>
      <c r="W12" s="233" t="n"/>
      <c r="X12" s="233" t="n"/>
      <c r="Y12" s="233" t="n"/>
      <c r="Z12" s="233" t="n"/>
      <c r="AA12" s="233" t="n"/>
      <c r="AB12" s="233" t="n"/>
      <c r="AC12" s="233" t="n"/>
      <c r="AD12" s="233" t="n"/>
      <c r="AE12" s="233" t="n"/>
      <c r="AF12" s="233" t="n"/>
      <c r="AG12" s="233" t="n"/>
      <c r="AH12" s="233" t="n"/>
      <c r="AI12" s="233" t="n"/>
      <c r="AJ12" s="233" t="n"/>
      <c r="AK12" s="233" t="n"/>
      <c r="AL12" s="233" t="n"/>
      <c r="AM12" s="233" t="n"/>
      <c r="AN12" s="233" t="n"/>
      <c r="AO12" s="233" t="n"/>
      <c r="AP12" s="233" t="n"/>
      <c r="AQ12" s="233" t="n"/>
      <c r="AR12" s="233" t="n"/>
      <c r="AS12" s="233" t="n"/>
      <c r="AT12" s="233" t="n"/>
      <c r="AU12" s="233" t="n"/>
      <c r="AV12" s="233" t="n"/>
      <c r="AW12" s="233" t="n"/>
      <c r="AX12" s="233" t="n"/>
      <c r="AY12" s="233" t="n"/>
      <c r="AZ12" s="233" t="n"/>
      <c r="BA12" s="233" t="n"/>
      <c r="BB12" s="233" t="n"/>
      <c r="BC12" s="233" t="n"/>
      <c r="BD12" s="233" t="n"/>
      <c r="BE12" s="233" t="n"/>
      <c r="BF12" s="233" t="n"/>
      <c r="BG12" s="233" t="n"/>
      <c r="BH12" s="233" t="n"/>
      <c r="BI12" s="233" t="n"/>
      <c r="BJ12" s="233" t="n"/>
      <c r="BK12" s="83" t="n"/>
      <c r="BL12" s="233" t="n"/>
      <c r="BM12" s="233" t="n"/>
    </row>
    <row r="13" ht="13.5" customHeight="1" s="349">
      <c r="A13" s="254" t="n"/>
      <c r="B13" s="144" t="inlineStr">
        <is>
          <t>R&amp;D COSTS</t>
        </is>
      </c>
      <c r="C13" s="104" t="n"/>
      <c r="D13" s="272" t="n"/>
      <c r="E13" s="104" t="n"/>
      <c r="F13" s="104" t="n"/>
      <c r="G13" s="80" t="n"/>
      <c r="H13" s="80" t="n"/>
      <c r="I13" s="80" t="n"/>
      <c r="J13" s="80" t="n"/>
      <c r="K13" s="80" t="n"/>
      <c r="L13" s="80" t="n"/>
      <c r="M13" s="80" t="n"/>
      <c r="N13" s="80" t="n"/>
      <c r="O13" s="80" t="n"/>
      <c r="P13" s="80" t="n"/>
      <c r="Q13" s="80" t="n"/>
      <c r="R13" s="80" t="n"/>
      <c r="S13" s="80" t="n"/>
      <c r="T13" s="80" t="n"/>
      <c r="U13" s="80" t="n"/>
      <c r="V13" s="80" t="n"/>
      <c r="W13" s="80" t="n"/>
      <c r="X13" s="80" t="n"/>
      <c r="Y13" s="80" t="n"/>
      <c r="Z13" s="80" t="n"/>
      <c r="AA13" s="80" t="n"/>
      <c r="AB13" s="80" t="n"/>
      <c r="AC13" s="80" t="n"/>
      <c r="AD13" s="80" t="n"/>
      <c r="AE13" s="80" t="n"/>
      <c r="AF13" s="80" t="n"/>
      <c r="AG13" s="80" t="n"/>
      <c r="AH13" s="80" t="n"/>
      <c r="AI13" s="80" t="n"/>
      <c r="AJ13" s="80" t="n"/>
      <c r="AK13" s="80" t="n"/>
      <c r="AL13" s="80" t="n"/>
      <c r="AM13" s="80" t="n"/>
      <c r="AN13" s="80" t="n"/>
      <c r="AO13" s="80" t="n"/>
      <c r="AP13" s="80" t="n"/>
      <c r="AQ13" s="80" t="n"/>
      <c r="AR13" s="80" t="n"/>
      <c r="AS13" s="80" t="n"/>
      <c r="AT13" s="80" t="n"/>
      <c r="AU13" s="80" t="n"/>
      <c r="AV13" s="80" t="n"/>
      <c r="AW13" s="80" t="n"/>
      <c r="AX13" s="80" t="n"/>
      <c r="AY13" s="80" t="n"/>
      <c r="AZ13" s="80" t="n"/>
      <c r="BA13" s="80" t="n"/>
      <c r="BB13" s="80" t="n"/>
      <c r="BC13" s="233" t="n"/>
      <c r="BD13" s="80" t="n"/>
      <c r="BE13" s="80" t="n"/>
      <c r="BF13" s="80" t="n"/>
      <c r="BG13" s="80" t="n"/>
      <c r="BH13" s="80" t="n"/>
      <c r="BI13" s="233" t="n"/>
      <c r="BJ13" s="233" t="n"/>
      <c r="BK13" s="83" t="n"/>
      <c r="BL13" s="233" t="n"/>
      <c r="BM13" s="233" t="n"/>
    </row>
    <row r="14" ht="15" customHeight="1" s="349">
      <c r="A14" s="31" t="n"/>
      <c r="B14" s="237" t="inlineStr">
        <is>
          <t>Kicker Development Cost</t>
        </is>
      </c>
      <c r="C14" s="307" t="n"/>
      <c r="D14" s="273" t="inlineStr">
        <is>
          <t>€</t>
        </is>
      </c>
      <c r="E14" s="224" t="n"/>
      <c r="F14" s="224" t="n"/>
      <c r="G14" s="241" t="n"/>
      <c r="H14" s="241" t="n"/>
      <c r="I14" s="241" t="n"/>
      <c r="J14" s="241" t="n"/>
      <c r="K14" s="241" t="n"/>
      <c r="L14" s="241" t="n"/>
      <c r="M14" s="241" t="n"/>
      <c r="N14" s="241" t="n"/>
      <c r="O14" s="241" t="n"/>
      <c r="P14" s="241" t="n"/>
      <c r="Q14" s="241" t="n"/>
      <c r="R14" s="241">
        <f>Assumptions!E94</f>
        <v/>
      </c>
      <c r="S14" s="241" t="n"/>
      <c r="T14" s="241" t="n"/>
      <c r="U14" s="241" t="n"/>
      <c r="V14" s="241" t="n"/>
      <c r="W14" s="241" t="n"/>
      <c r="X14" s="241" t="n"/>
      <c r="Y14" s="241" t="n"/>
      <c r="Z14" s="241" t="n"/>
      <c r="AA14" s="241" t="n"/>
      <c r="AB14" s="241" t="n"/>
      <c r="AC14" s="241" t="n"/>
      <c r="AD14" s="241" t="n"/>
      <c r="AE14" s="241" t="n"/>
      <c r="AF14" s="241" t="n"/>
      <c r="AG14" s="241" t="n"/>
      <c r="AH14" s="241" t="n"/>
      <c r="AI14" s="241" t="n"/>
      <c r="AJ14" s="241" t="n"/>
      <c r="AK14" s="241" t="n"/>
      <c r="AL14" s="241" t="n"/>
      <c r="AM14" s="241" t="n"/>
      <c r="AN14" s="241" t="n"/>
      <c r="AO14" s="241" t="n"/>
      <c r="AP14" s="241" t="n"/>
      <c r="AQ14" s="241" t="n"/>
      <c r="AR14" s="241" t="n"/>
      <c r="AS14" s="241" t="n"/>
      <c r="AT14" s="241" t="n"/>
      <c r="AU14" s="241" t="n"/>
      <c r="AV14" s="241" t="n"/>
      <c r="AW14" s="241" t="n"/>
      <c r="AX14" s="241" t="n"/>
      <c r="AY14" s="241" t="n"/>
      <c r="AZ14" s="241" t="n"/>
      <c r="BA14" s="241" t="n"/>
      <c r="BB14" s="241" t="n"/>
      <c r="BC14" s="233" t="n"/>
      <c r="BD14" s="241">
        <f>SUM(G14:R14)</f>
        <v/>
      </c>
      <c r="BE14" s="241">
        <f>SUM(S14:AD14)</f>
        <v/>
      </c>
      <c r="BF14" s="241">
        <f>SUM(AE14:AP14)</f>
        <v/>
      </c>
      <c r="BG14" s="241">
        <f>SUM(AQ14:BB14)</f>
        <v/>
      </c>
      <c r="BH14" s="241" t="n">
        <v>0</v>
      </c>
      <c r="BI14" s="233" t="n"/>
      <c r="BJ14" s="233" t="n"/>
      <c r="BK14" s="83" t="inlineStr">
        <is>
          <t>one-off from Assumptions, booked in its month</t>
        </is>
      </c>
      <c r="BL14" s="233" t="n"/>
      <c r="BM14" s="233" t="n"/>
    </row>
    <row r="15" ht="15" customHeight="1" s="349">
      <c r="A15" s="31" t="n"/>
      <c r="B15" s="274" t="inlineStr">
        <is>
          <t>Ongoing Development costs</t>
        </is>
      </c>
      <c r="C15" s="307" t="n"/>
      <c r="D15" s="273" t="inlineStr">
        <is>
          <t>€</t>
        </is>
      </c>
      <c r="E15" s="237" t="n"/>
      <c r="F15" s="237" t="n"/>
      <c r="G15" s="241" t="n"/>
      <c r="H15" s="241" t="n"/>
      <c r="I15" s="241" t="n"/>
      <c r="J15" s="241" t="n"/>
      <c r="K15" s="241" t="n"/>
      <c r="L15" s="241" t="n"/>
      <c r="M15" s="241" t="n"/>
      <c r="N15" s="241" t="n"/>
      <c r="O15" s="241" t="n"/>
      <c r="P15" s="241" t="n"/>
      <c r="Q15" s="241" t="n"/>
      <c r="R15" s="241" t="n"/>
      <c r="S15" s="241">
        <f t="array" ref="S15">INDEX(Assumptions!$E$92:$I$92,MATCH(YEAR(S$3),Assumptions!$E$87:$I$87,0))</f>
        <v/>
      </c>
      <c r="T15" s="241">
        <f t="array" ref="T15">INDEX(Assumptions!$E$92:$I$92,MATCH(YEAR(T$3),Assumptions!$E$87:$I$87,0))</f>
        <v/>
      </c>
      <c r="U15" s="241">
        <f t="array" ref="U15">INDEX(Assumptions!$E$92:$I$92,MATCH(YEAR(U$3),Assumptions!$E$87:$I$87,0))</f>
        <v/>
      </c>
      <c r="V15" s="241">
        <f t="array" ref="V15">INDEX(Assumptions!$E$92:$I$92,MATCH(YEAR(V$3),Assumptions!$E$87:$I$87,0))</f>
        <v/>
      </c>
      <c r="W15" s="241">
        <f t="array" ref="W15">INDEX(Assumptions!$E$92:$I$92,MATCH(YEAR(W$3),Assumptions!$E$87:$I$87,0))</f>
        <v/>
      </c>
      <c r="X15" s="241">
        <f t="array" ref="X15">INDEX(Assumptions!$E$92:$I$92,MATCH(YEAR(X$3),Assumptions!$E$87:$I$87,0))</f>
        <v/>
      </c>
      <c r="Y15" s="241">
        <f t="array" ref="Y15">INDEX(Assumptions!$E$92:$I$92,MATCH(YEAR(Y$3),Assumptions!$E$87:$I$87,0))</f>
        <v/>
      </c>
      <c r="Z15" s="241">
        <f t="array" ref="Z15">INDEX(Assumptions!$E$92:$I$92,MATCH(YEAR(Z$3),Assumptions!$E$87:$I$87,0))</f>
        <v/>
      </c>
      <c r="AA15" s="241">
        <f t="array" ref="AA15">INDEX(Assumptions!$E$92:$I$92,MATCH(YEAR(AA$3),Assumptions!$E$87:$I$87,0))</f>
        <v/>
      </c>
      <c r="AB15" s="241">
        <f t="array" ref="AB15">INDEX(Assumptions!$E$92:$I$92,MATCH(YEAR(AB$3),Assumptions!$E$87:$I$87,0))</f>
        <v/>
      </c>
      <c r="AC15" s="241">
        <f t="array" ref="AC15">INDEX(Assumptions!$E$92:$I$92,MATCH(YEAR(AC$3),Assumptions!$E$87:$I$87,0))</f>
        <v/>
      </c>
      <c r="AD15" s="241">
        <f t="array" ref="AD15">INDEX(Assumptions!$E$92:$I$92,MATCH(YEAR(AD$3),Assumptions!$E$87:$I$87,0))</f>
        <v/>
      </c>
      <c r="AE15" s="241">
        <f t="array" ref="AE15">INDEX(Assumptions!$E$92:$I$92,MATCH(YEAR(AE$3),Assumptions!$E$87:$I$87,0))</f>
        <v/>
      </c>
      <c r="AF15" s="241">
        <f t="array" ref="AF15">INDEX(Assumptions!$E$92:$I$92,MATCH(YEAR(AF$3),Assumptions!$E$87:$I$87,0))</f>
        <v/>
      </c>
      <c r="AG15" s="241">
        <f t="array" ref="AG15">INDEX(Assumptions!$E$92:$I$92,MATCH(YEAR(AG$3),Assumptions!$E$87:$I$87,0))</f>
        <v/>
      </c>
      <c r="AH15" s="241">
        <f t="array" ref="AH15">INDEX(Assumptions!$E$92:$I$92,MATCH(YEAR(AH$3),Assumptions!$E$87:$I$87,0))</f>
        <v/>
      </c>
      <c r="AI15" s="241">
        <f t="array" ref="AI15">INDEX(Assumptions!$E$92:$I$92,MATCH(YEAR(AI$3),Assumptions!$E$87:$I$87,0))</f>
        <v/>
      </c>
      <c r="AJ15" s="241">
        <f t="array" ref="AJ15">INDEX(Assumptions!$E$92:$I$92,MATCH(YEAR(AJ$3),Assumptions!$E$87:$I$87,0))</f>
        <v/>
      </c>
      <c r="AK15" s="241">
        <f t="array" ref="AK15">INDEX(Assumptions!$E$92:$I$92,MATCH(YEAR(AK$3),Assumptions!$E$87:$I$87,0))</f>
        <v/>
      </c>
      <c r="AL15" s="241">
        <f t="array" ref="AL15">INDEX(Assumptions!$E$92:$I$92,MATCH(YEAR(AL$3),Assumptions!$E$87:$I$87,0))</f>
        <v/>
      </c>
      <c r="AM15" s="241">
        <f t="array" ref="AM15">INDEX(Assumptions!$E$92:$I$92,MATCH(YEAR(AM$3),Assumptions!$E$87:$I$87,0))</f>
        <v/>
      </c>
      <c r="AN15" s="241">
        <f t="array" ref="AN15">INDEX(Assumptions!$E$92:$I$92,MATCH(YEAR(AN$3),Assumptions!$E$87:$I$87,0))</f>
        <v/>
      </c>
      <c r="AO15" s="241">
        <f t="array" ref="AO15">INDEX(Assumptions!$E$92:$I$92,MATCH(YEAR(AO$3),Assumptions!$E$87:$I$87,0))</f>
        <v/>
      </c>
      <c r="AP15" s="241">
        <f t="array" ref="AP15">INDEX(Assumptions!$E$92:$I$92,MATCH(YEAR(AP$3),Assumptions!$E$87:$I$87,0))</f>
        <v/>
      </c>
      <c r="AQ15" s="241">
        <f t="array" ref="AQ15">INDEX(Assumptions!$E$92:$I$92,MATCH(YEAR(AQ$3),Assumptions!$E$87:$I$87,0))</f>
        <v/>
      </c>
      <c r="AR15" s="241">
        <f t="array" ref="AR15">INDEX(Assumptions!$E$92:$I$92,MATCH(YEAR(AR$3),Assumptions!$E$87:$I$87,0))</f>
        <v/>
      </c>
      <c r="AS15" s="241">
        <f t="array" ref="AS15">INDEX(Assumptions!$E$92:$I$92,MATCH(YEAR(AS$3),Assumptions!$E$87:$I$87,0))</f>
        <v/>
      </c>
      <c r="AT15" s="241">
        <f t="array" ref="AT15">INDEX(Assumptions!$E$92:$I$92,MATCH(YEAR(AT$3),Assumptions!$E$87:$I$87,0))</f>
        <v/>
      </c>
      <c r="AU15" s="241">
        <f t="array" ref="AU15">INDEX(Assumptions!$E$92:$I$92,MATCH(YEAR(AU$3),Assumptions!$E$87:$I$87,0))</f>
        <v/>
      </c>
      <c r="AV15" s="241">
        <f t="array" ref="AV15">INDEX(Assumptions!$E$92:$I$92,MATCH(YEAR(AV$3),Assumptions!$E$87:$I$87,0))</f>
        <v/>
      </c>
      <c r="AW15" s="241">
        <f t="array" ref="AW15">INDEX(Assumptions!$E$92:$I$92,MATCH(YEAR(AW$3),Assumptions!$E$87:$I$87,0))</f>
        <v/>
      </c>
      <c r="AX15" s="241">
        <f t="array" ref="AX15">INDEX(Assumptions!$E$92:$I$92,MATCH(YEAR(AX$3),Assumptions!$E$87:$I$87,0))</f>
        <v/>
      </c>
      <c r="AY15" s="241">
        <f t="array" ref="AY15">INDEX(Assumptions!$E$92:$I$92,MATCH(YEAR(AY$3),Assumptions!$E$87:$I$87,0))</f>
        <v/>
      </c>
      <c r="AZ15" s="241">
        <f t="array" ref="AZ15">INDEX(Assumptions!$E$92:$I$92,MATCH(YEAR(AZ$3),Assumptions!$E$87:$I$87,0))</f>
        <v/>
      </c>
      <c r="BA15" s="241">
        <f t="array" ref="BA15">INDEX(Assumptions!$E$92:$I$92,MATCH(YEAR(BA$3),Assumptions!$E$87:$I$87,0))</f>
        <v/>
      </c>
      <c r="BB15" s="241">
        <f t="array" ref="BB15">INDEX(Assumptions!$E$92:$I$92,MATCH(YEAR(BB$3),Assumptions!$E$87:$I$87,0))</f>
        <v/>
      </c>
      <c r="BC15" s="233" t="n"/>
      <c r="BD15" s="241">
        <f>SUM(G15:R15)</f>
        <v/>
      </c>
      <c r="BE15" s="241">
        <f>SUM(S15:AD15)</f>
        <v/>
      </c>
      <c r="BF15" s="241">
        <f>SUM(AE15:AP15)</f>
        <v/>
      </c>
      <c r="BG15" s="241">
        <f>SUM(AQ15:BB15)</f>
        <v/>
      </c>
      <c r="BH15" s="241">
        <f>BG15*('Financial Statements'!$BE$7/'Financial Statements'!$BD$7)^0.4</f>
        <v/>
      </c>
      <c r="BI15" s="233" t="n"/>
      <c r="BJ15" s="233" t="n"/>
      <c r="BK15" s="83" t="inlineStr">
        <is>
          <t>from Assumptions; 2029 scaled off 2028 by revenue growth</t>
        </is>
      </c>
      <c r="BL15" s="233" t="n"/>
      <c r="BM15" s="233" t="n"/>
    </row>
    <row r="16" ht="15" customHeight="1" s="349">
      <c r="A16" s="31" t="n"/>
      <c r="B16" s="274" t="inlineStr">
        <is>
          <t>Assembly partner</t>
        </is>
      </c>
      <c r="C16" s="307" t="n"/>
      <c r="D16" s="273" t="inlineStr">
        <is>
          <t>€</t>
        </is>
      </c>
      <c r="E16" s="237" t="n"/>
      <c r="F16" s="237" t="n"/>
      <c r="G16" s="241" t="n"/>
      <c r="H16" s="241" t="n"/>
      <c r="I16" s="241" t="n"/>
      <c r="J16" s="241" t="n"/>
      <c r="K16" s="241" t="n"/>
      <c r="L16" s="241" t="n"/>
      <c r="M16" s="241" t="n"/>
      <c r="N16" s="241" t="n"/>
      <c r="O16" s="241" t="n"/>
      <c r="P16" s="241" t="n"/>
      <c r="Q16" s="241" t="n"/>
      <c r="R16" s="241" t="n"/>
      <c r="S16" s="241" t="n"/>
      <c r="T16" s="241" t="n"/>
      <c r="U16" s="241" t="n"/>
      <c r="V16" s="241" t="n"/>
      <c r="W16" s="241" t="n"/>
      <c r="X16" s="241" t="n"/>
      <c r="Y16" s="241" t="n"/>
      <c r="Z16" s="241" t="n"/>
      <c r="AA16" s="241" t="n"/>
      <c r="AB16" s="241">
        <f>Assumptions!E97</f>
        <v/>
      </c>
      <c r="AC16" s="241" t="n"/>
      <c r="AE16" s="241" t="n"/>
      <c r="AF16" s="241" t="n"/>
      <c r="AG16" s="241" t="n"/>
      <c r="AH16" s="241" t="n"/>
      <c r="AI16" s="241" t="n"/>
      <c r="AJ16" s="241" t="n"/>
      <c r="AK16" s="241" t="n"/>
      <c r="AL16" s="241" t="n"/>
      <c r="AM16" s="241" t="n"/>
      <c r="AN16" s="241" t="n"/>
      <c r="AO16" s="241" t="n"/>
      <c r="AP16" s="241" t="n"/>
      <c r="AQ16" s="241" t="n"/>
      <c r="AR16" s="241" t="n"/>
      <c r="AS16" s="241" t="n"/>
      <c r="AT16" s="241" t="n"/>
      <c r="AU16" s="241" t="n"/>
      <c r="AV16" s="241" t="n"/>
      <c r="AW16" s="241" t="n"/>
      <c r="AX16" s="241" t="n"/>
      <c r="AY16" s="241" t="n"/>
      <c r="AZ16" s="241" t="n"/>
      <c r="BA16" s="241" t="n"/>
      <c r="BB16" s="241" t="n"/>
      <c r="BC16" s="233" t="n"/>
      <c r="BD16" s="241">
        <f>SUM(G16:R16)</f>
        <v/>
      </c>
      <c r="BE16" s="241">
        <f>SUM(S16:AC16)</f>
        <v/>
      </c>
      <c r="BF16" s="241">
        <f>SUM(AE16:AP16)</f>
        <v/>
      </c>
      <c r="BG16" s="241">
        <f>SUM(AQ16:BB16)</f>
        <v/>
      </c>
      <c r="BH16" s="275" t="n">
        <v>0</v>
      </c>
      <c r="BI16" s="233" t="n"/>
      <c r="BJ16" s="233" t="n"/>
      <c r="BK16" s="83" t="inlineStr">
        <is>
          <t>one-off from Assumptions, booked in its month</t>
        </is>
      </c>
      <c r="BL16" s="233" t="n"/>
      <c r="BM16" s="233" t="n"/>
    </row>
    <row r="17" ht="15" customHeight="1" s="349">
      <c r="A17" s="31" t="n"/>
      <c r="B17" s="237" t="inlineStr">
        <is>
          <t>Third party cost product development</t>
        </is>
      </c>
      <c r="C17" s="307" t="n"/>
      <c r="D17" s="273" t="inlineStr">
        <is>
          <t>€</t>
        </is>
      </c>
      <c r="E17" s="237" t="n"/>
      <c r="F17" s="237" t="n"/>
      <c r="G17" s="241" t="n"/>
      <c r="H17" s="241" t="n"/>
      <c r="I17" s="241" t="n"/>
      <c r="J17" s="241" t="n"/>
      <c r="K17" s="241" t="n"/>
      <c r="L17" s="241" t="n"/>
      <c r="M17" s="241" t="n"/>
      <c r="N17" s="241" t="n"/>
      <c r="O17" s="241" t="n"/>
      <c r="P17" s="241" t="n"/>
      <c r="Q17" s="241" t="n"/>
      <c r="R17" s="241" t="n"/>
      <c r="S17" s="241">
        <f t="array" ref="S17">INDEX(Assumptions!$E$93:$I$93,MATCH(YEAR(S$3),Assumptions!$E$87:$I$87,0))</f>
        <v/>
      </c>
      <c r="T17" s="241">
        <f t="array" ref="T17">INDEX(Assumptions!$E$93:$I$93,MATCH(YEAR(T$3),Assumptions!$E$87:$I$87,0))</f>
        <v/>
      </c>
      <c r="U17" s="241">
        <f t="array" ref="U17">INDEX(Assumptions!$E$93:$I$93,MATCH(YEAR(U$3),Assumptions!$E$87:$I$87,0))</f>
        <v/>
      </c>
      <c r="V17" s="241">
        <f t="array" ref="V17">INDEX(Assumptions!$E$93:$I$93,MATCH(YEAR(V$3),Assumptions!$E$87:$I$87,0))</f>
        <v/>
      </c>
      <c r="W17" s="241">
        <f t="array" ref="W17">INDEX(Assumptions!$E$93:$I$93,MATCH(YEAR(W$3),Assumptions!$E$87:$I$87,0))</f>
        <v/>
      </c>
      <c r="X17" s="241">
        <f t="array" ref="X17">INDEX(Assumptions!$E$93:$I$93,MATCH(YEAR(X$3),Assumptions!$E$87:$I$87,0))</f>
        <v/>
      </c>
      <c r="Y17" s="241">
        <f t="array" ref="Y17">INDEX(Assumptions!$E$93:$I$93,MATCH(YEAR(Y$3),Assumptions!$E$87:$I$87,0))</f>
        <v/>
      </c>
      <c r="Z17" s="241">
        <f t="array" ref="Z17">INDEX(Assumptions!$E$93:$I$93,MATCH(YEAR(Z$3),Assumptions!$E$87:$I$87,0))</f>
        <v/>
      </c>
      <c r="AA17" s="241">
        <f t="array" ref="AA17">INDEX(Assumptions!$E$93:$I$93,MATCH(YEAR(AA$3),Assumptions!$E$87:$I$87,0))</f>
        <v/>
      </c>
      <c r="AB17" s="241">
        <f t="array" ref="AB17">INDEX(Assumptions!$E$93:$I$93,MATCH(YEAR(AB$3),Assumptions!$E$87:$I$87,0))</f>
        <v/>
      </c>
      <c r="AC17" s="241">
        <f t="array" ref="AC17">INDEX(Assumptions!$E$93:$I$93,MATCH(YEAR(AC$3),Assumptions!$E$87:$I$87,0))</f>
        <v/>
      </c>
      <c r="AD17" s="241">
        <f t="array" ref="AD17">INDEX(Assumptions!$E$93:$I$93,MATCH(YEAR(AD$3),Assumptions!$E$87:$I$87,0))</f>
        <v/>
      </c>
      <c r="AE17" s="241">
        <f t="array" ref="AE17">INDEX(Assumptions!$E$93:$I$93,MATCH(YEAR(AE$3),Assumptions!$E$87:$I$87,0))</f>
        <v/>
      </c>
      <c r="AF17" s="241">
        <f t="array" ref="AF17">INDEX(Assumptions!$E$93:$I$93,MATCH(YEAR(AF$3),Assumptions!$E$87:$I$87,0))</f>
        <v/>
      </c>
      <c r="AG17" s="241">
        <f t="array" ref="AG17">INDEX(Assumptions!$E$93:$I$93,MATCH(YEAR(AG$3),Assumptions!$E$87:$I$87,0))</f>
        <v/>
      </c>
      <c r="AH17" s="241">
        <f t="array" ref="AH17">INDEX(Assumptions!$E$93:$I$93,MATCH(YEAR(AH$3),Assumptions!$E$87:$I$87,0))</f>
        <v/>
      </c>
      <c r="AI17" s="241">
        <f t="array" ref="AI17">INDEX(Assumptions!$E$93:$I$93,MATCH(YEAR(AI$3),Assumptions!$E$87:$I$87,0))</f>
        <v/>
      </c>
      <c r="AJ17" s="241">
        <f t="array" ref="AJ17">INDEX(Assumptions!$E$93:$I$93,MATCH(YEAR(AJ$3),Assumptions!$E$87:$I$87,0))</f>
        <v/>
      </c>
      <c r="AK17" s="241">
        <f t="array" ref="AK17">INDEX(Assumptions!$E$93:$I$93,MATCH(YEAR(AK$3),Assumptions!$E$87:$I$87,0))</f>
        <v/>
      </c>
      <c r="AL17" s="241">
        <f t="array" ref="AL17">INDEX(Assumptions!$E$93:$I$93,MATCH(YEAR(AL$3),Assumptions!$E$87:$I$87,0))</f>
        <v/>
      </c>
      <c r="AM17" s="241">
        <f t="array" ref="AM17">INDEX(Assumptions!$E$93:$I$93,MATCH(YEAR(AM$3),Assumptions!$E$87:$I$87,0))</f>
        <v/>
      </c>
      <c r="AN17" s="241">
        <f t="array" ref="AN17">INDEX(Assumptions!$E$93:$I$93,MATCH(YEAR(AN$3),Assumptions!$E$87:$I$87,0))</f>
        <v/>
      </c>
      <c r="AO17" s="241">
        <f t="array" ref="AO17">INDEX(Assumptions!$E$93:$I$93,MATCH(YEAR(AO$3),Assumptions!$E$87:$I$87,0))</f>
        <v/>
      </c>
      <c r="AP17" s="241">
        <f t="array" ref="AP17">INDEX(Assumptions!$E$93:$I$93,MATCH(YEAR(AP$3),Assumptions!$E$87:$I$87,0))</f>
        <v/>
      </c>
      <c r="AQ17" s="241">
        <f t="array" ref="AQ17">INDEX(Assumptions!$E$93:$I$93,MATCH(YEAR(AQ$3),Assumptions!$E$87:$I$87,0))</f>
        <v/>
      </c>
      <c r="AR17" s="241">
        <f t="array" ref="AR17">INDEX(Assumptions!$E$93:$I$93,MATCH(YEAR(AR$3),Assumptions!$E$87:$I$87,0))</f>
        <v/>
      </c>
      <c r="AS17" s="241">
        <f t="array" ref="AS17">INDEX(Assumptions!$E$93:$I$93,MATCH(YEAR(AS$3),Assumptions!$E$87:$I$87,0))</f>
        <v/>
      </c>
      <c r="AT17" s="241">
        <f t="array" ref="AT17">INDEX(Assumptions!$E$93:$I$93,MATCH(YEAR(AT$3),Assumptions!$E$87:$I$87,0))</f>
        <v/>
      </c>
      <c r="AU17" s="241">
        <f t="array" ref="AU17">INDEX(Assumptions!$E$93:$I$93,MATCH(YEAR(AU$3),Assumptions!$E$87:$I$87,0))</f>
        <v/>
      </c>
      <c r="AV17" s="241">
        <f t="array" ref="AV17">INDEX(Assumptions!$E$93:$I$93,MATCH(YEAR(AV$3),Assumptions!$E$87:$I$87,0))</f>
        <v/>
      </c>
      <c r="AW17" s="241">
        <f t="array" ref="AW17">INDEX(Assumptions!$E$93:$I$93,MATCH(YEAR(AW$3),Assumptions!$E$87:$I$87,0))</f>
        <v/>
      </c>
      <c r="AX17" s="241">
        <f t="array" ref="AX17">INDEX(Assumptions!$E$93:$I$93,MATCH(YEAR(AX$3),Assumptions!$E$87:$I$87,0))</f>
        <v/>
      </c>
      <c r="AY17" s="241">
        <f t="array" ref="AY17">INDEX(Assumptions!$E$93:$I$93,MATCH(YEAR(AY$3),Assumptions!$E$87:$I$87,0))</f>
        <v/>
      </c>
      <c r="AZ17" s="241">
        <f t="array" ref="AZ17">INDEX(Assumptions!$E$93:$I$93,MATCH(YEAR(AZ$3),Assumptions!$E$87:$I$87,0))</f>
        <v/>
      </c>
      <c r="BA17" s="241">
        <f t="array" ref="BA17">INDEX(Assumptions!$E$93:$I$93,MATCH(YEAR(BA$3),Assumptions!$E$87:$I$87,0))</f>
        <v/>
      </c>
      <c r="BB17" s="241">
        <f t="array" ref="BB17">INDEX(Assumptions!$E$93:$I$93,MATCH(YEAR(BB$3),Assumptions!$E$87:$I$87,0))</f>
        <v/>
      </c>
      <c r="BC17" s="233" t="n"/>
      <c r="BD17" s="241">
        <f>SUM(G17:R17)</f>
        <v/>
      </c>
      <c r="BE17" s="241">
        <f>SUM(S17:AD17)</f>
        <v/>
      </c>
      <c r="BF17" s="241">
        <f>SUM(AE17:AP17)</f>
        <v/>
      </c>
      <c r="BG17" s="241">
        <f>SUM(AQ17:BB17)</f>
        <v/>
      </c>
      <c r="BH17" s="241">
        <f>BG17*('Financial Statements'!$BE$7/'Financial Statements'!$BD$7)^0.4</f>
        <v/>
      </c>
      <c r="BI17" s="233" t="n"/>
      <c r="BJ17" s="233" t="n"/>
      <c r="BK17" s="83" t="inlineStr">
        <is>
          <t>from Assumptions; 2029 scaled off 2028 by revenue growth</t>
        </is>
      </c>
      <c r="BL17" s="233" t="n"/>
      <c r="BM17" s="233" t="n"/>
    </row>
    <row r="18" ht="15" customHeight="1" s="349">
      <c r="A18" s="31" t="n"/>
      <c r="B18" s="274" t="inlineStr">
        <is>
          <t>Tooling Fisher (result: 2%-3%)</t>
        </is>
      </c>
      <c r="C18" s="307" t="n"/>
      <c r="D18" s="273" t="inlineStr">
        <is>
          <t>€</t>
        </is>
      </c>
      <c r="E18" s="237" t="n"/>
      <c r="F18" s="237" t="n"/>
      <c r="G18" s="241" t="n"/>
      <c r="H18" s="241" t="n"/>
      <c r="I18" s="241" t="n"/>
      <c r="J18" s="241" t="n"/>
      <c r="K18" s="241" t="n"/>
      <c r="L18" s="241" t="n"/>
      <c r="M18" s="241" t="n"/>
      <c r="N18" s="241" t="n"/>
      <c r="O18" s="241" t="n"/>
      <c r="P18" s="241" t="n"/>
      <c r="Q18" s="241" t="n"/>
      <c r="R18" s="241" t="n"/>
      <c r="S18" s="241" t="n"/>
      <c r="T18" s="241" t="n"/>
      <c r="U18" s="241" t="n"/>
      <c r="V18" s="241" t="n"/>
      <c r="W18" s="241" t="n"/>
      <c r="X18" s="241" t="n"/>
      <c r="Y18" s="241" t="n"/>
      <c r="Z18" s="241" t="n"/>
      <c r="AA18" s="241" t="n"/>
      <c r="AB18" s="241" t="n"/>
      <c r="AC18" s="241">
        <f>Assumptions!E98</f>
        <v/>
      </c>
      <c r="AE18" s="241" t="n"/>
      <c r="AF18" s="241" t="n"/>
      <c r="AG18" s="241" t="n"/>
      <c r="AH18" s="241" t="n"/>
      <c r="AI18" s="241" t="n"/>
      <c r="AJ18" s="241" t="n"/>
      <c r="AK18" s="241" t="n"/>
      <c r="AL18" s="241" t="n"/>
      <c r="AM18" s="241" t="n"/>
      <c r="AN18" s="241" t="n"/>
      <c r="AO18" s="241" t="n"/>
      <c r="AP18" s="241" t="n"/>
      <c r="AQ18" s="241" t="n"/>
      <c r="AR18" s="241" t="n"/>
      <c r="AS18" s="241" t="n"/>
      <c r="AT18" s="241" t="n"/>
      <c r="AU18" s="241" t="n"/>
      <c r="AV18" s="241" t="n"/>
      <c r="AW18" s="241" t="n"/>
      <c r="AX18" s="241" t="n"/>
      <c r="AY18" s="241" t="n"/>
      <c r="AZ18" s="241" t="n"/>
      <c r="BA18" s="241" t="n"/>
      <c r="BB18" s="241" t="n"/>
      <c r="BC18" s="233" t="n"/>
      <c r="BD18" s="241">
        <f>SUM(G18:R18)</f>
        <v/>
      </c>
      <c r="BE18" s="241">
        <f>SUM(S18:AC18)</f>
        <v/>
      </c>
      <c r="BF18" s="241">
        <f>SUM(AE18:AP18)</f>
        <v/>
      </c>
      <c r="BG18" s="241">
        <f>SUM(AQ18:BB18)</f>
        <v/>
      </c>
      <c r="BH18" s="275" t="n">
        <v>0</v>
      </c>
      <c r="BI18" s="233" t="n"/>
      <c r="BJ18" s="233" t="n"/>
      <c r="BK18" s="83" t="inlineStr">
        <is>
          <t>one-off from Assumptions, booked in its month</t>
        </is>
      </c>
      <c r="BL18" s="233" t="n"/>
      <c r="BM18" s="233" t="n"/>
    </row>
    <row r="19" ht="12.75" customHeight="1" s="349">
      <c r="A19" s="254" t="n"/>
      <c r="B19" s="243" t="inlineStr">
        <is>
          <t>Total R&amp;D</t>
        </is>
      </c>
      <c r="C19" s="276" t="n"/>
      <c r="D19" s="277" t="n"/>
      <c r="E19" s="278" t="n"/>
      <c r="F19" s="278" t="n"/>
      <c r="G19" s="227" t="n"/>
      <c r="H19" s="227" t="n"/>
      <c r="I19" s="227" t="n"/>
      <c r="J19" s="227" t="n"/>
      <c r="K19" s="227" t="n"/>
      <c r="L19" s="227" t="n"/>
      <c r="M19" s="227" t="n"/>
      <c r="N19" s="227" t="n"/>
      <c r="O19" s="227" t="n"/>
      <c r="P19" s="227" t="n"/>
      <c r="Q19" s="227" t="n"/>
      <c r="R19" s="227">
        <f>R14+R15+R16</f>
        <v/>
      </c>
      <c r="S19" s="227">
        <f>sum(S14:S18)</f>
        <v/>
      </c>
      <c r="T19" s="227">
        <f>sum(T14:T18)</f>
        <v/>
      </c>
      <c r="U19" s="227">
        <f>sum(U14:U18)</f>
        <v/>
      </c>
      <c r="V19" s="227">
        <f>sum(V14:V18)</f>
        <v/>
      </c>
      <c r="W19" s="227">
        <f>sum(W14:W18)</f>
        <v/>
      </c>
      <c r="X19" s="227">
        <f>sum(X14:X18)</f>
        <v/>
      </c>
      <c r="Y19" s="227">
        <f>sum(Y14:Y18)</f>
        <v/>
      </c>
      <c r="Z19" s="227">
        <f>sum(Z14:Z18)</f>
        <v/>
      </c>
      <c r="AA19" s="227">
        <f>sum(AA14:AA18)</f>
        <v/>
      </c>
      <c r="AB19" s="227">
        <f>sum(AB14:AB18)</f>
        <v/>
      </c>
      <c r="AC19" s="227">
        <f>sum(AC14:AC18)</f>
        <v/>
      </c>
      <c r="AD19" s="227">
        <f>sum(AD14:AD18)</f>
        <v/>
      </c>
      <c r="AE19" s="227">
        <f>sum(AE14:AE18)</f>
        <v/>
      </c>
      <c r="AF19" s="227">
        <f>sum(AF14:AF18)</f>
        <v/>
      </c>
      <c r="AG19" s="227">
        <f>sum(AG14:AG18)</f>
        <v/>
      </c>
      <c r="AH19" s="227">
        <f>sum(AH14:AH18)</f>
        <v/>
      </c>
      <c r="AI19" s="227">
        <f>sum(AI14:AI18)</f>
        <v/>
      </c>
      <c r="AJ19" s="227">
        <f>sum(AJ14:AJ18)</f>
        <v/>
      </c>
      <c r="AK19" s="227">
        <f>sum(AK14:AK18)</f>
        <v/>
      </c>
      <c r="AL19" s="227">
        <f>sum(AL14:AL18)</f>
        <v/>
      </c>
      <c r="AM19" s="227">
        <f>sum(AM14:AM18)</f>
        <v/>
      </c>
      <c r="AN19" s="227">
        <f>sum(AN14:AN18)</f>
        <v/>
      </c>
      <c r="AO19" s="227">
        <f>sum(AO14:AO18)</f>
        <v/>
      </c>
      <c r="AP19" s="227">
        <f>sum(AP14:AP18)</f>
        <v/>
      </c>
      <c r="AQ19" s="227">
        <f>sum(AQ14:AQ18)</f>
        <v/>
      </c>
      <c r="AR19" s="227">
        <f>sum(AR14:AR18)</f>
        <v/>
      </c>
      <c r="AS19" s="227">
        <f>sum(AS14:AS18)</f>
        <v/>
      </c>
      <c r="AT19" s="227">
        <f>sum(AT14:AT18)</f>
        <v/>
      </c>
      <c r="AU19" s="227">
        <f>sum(AU14:AU18)</f>
        <v/>
      </c>
      <c r="AV19" s="227">
        <f>sum(AV14:AV18)</f>
        <v/>
      </c>
      <c r="AW19" s="227">
        <f>sum(AW14:AW18)</f>
        <v/>
      </c>
      <c r="AX19" s="227">
        <f>sum(AX14:AX18)</f>
        <v/>
      </c>
      <c r="AY19" s="227">
        <f>sum(AY14:AY18)</f>
        <v/>
      </c>
      <c r="AZ19" s="227">
        <f>sum(AZ14:AZ18)</f>
        <v/>
      </c>
      <c r="BA19" s="227">
        <f>sum(BA14:BA18)</f>
        <v/>
      </c>
      <c r="BB19" s="227">
        <f>sum(BB14:BB18)</f>
        <v/>
      </c>
      <c r="BC19" s="233" t="n"/>
      <c r="BD19" s="227">
        <f>SUM(G19:R19)</f>
        <v/>
      </c>
      <c r="BE19" s="227">
        <f>SUM(S19:AD19)</f>
        <v/>
      </c>
      <c r="BF19" s="227">
        <f>SUM(AE19:AP19)</f>
        <v/>
      </c>
      <c r="BG19" s="227">
        <f>SUM(AQ19:BB19)</f>
        <v/>
      </c>
      <c r="BH19" s="227">
        <f>sum(BH14:BH18)</f>
        <v/>
      </c>
      <c r="BI19" s="233" t="n"/>
      <c r="BJ19" s="233" t="n"/>
      <c r="BK19" s="83" t="inlineStr">
        <is>
          <t>all the non-people R&amp;D lines added</t>
        </is>
      </c>
      <c r="BL19" s="233" t="n"/>
      <c r="BM19" s="233" t="n"/>
    </row>
    <row r="20">
      <c r="A20" s="31" t="n"/>
      <c r="B20" s="307" t="n"/>
      <c r="C20" s="307" t="n"/>
      <c r="D20" s="146" t="n"/>
      <c r="E20" s="307" t="n"/>
      <c r="F20" s="307" t="n"/>
      <c r="G20" s="233" t="n"/>
      <c r="H20" s="233" t="n"/>
      <c r="I20" s="233" t="n"/>
      <c r="J20" s="233" t="n"/>
      <c r="K20" s="233" t="n"/>
      <c r="L20" s="233" t="n"/>
      <c r="M20" s="233" t="n"/>
      <c r="N20" s="233" t="n"/>
      <c r="O20" s="233" t="n"/>
      <c r="P20" s="233" t="n"/>
      <c r="Q20" s="233" t="n"/>
      <c r="R20" s="233" t="n"/>
      <c r="S20" s="233" t="n"/>
      <c r="T20" s="233" t="n"/>
      <c r="U20" s="233" t="n"/>
      <c r="V20" s="233" t="n"/>
      <c r="W20" s="233" t="n"/>
      <c r="X20" s="233" t="n"/>
      <c r="Y20" s="233" t="n"/>
      <c r="Z20" s="233" t="n"/>
      <c r="AA20" s="233" t="n"/>
      <c r="AB20" s="233" t="n"/>
      <c r="AC20" s="233" t="n"/>
      <c r="AD20" s="233" t="n"/>
      <c r="AE20" s="233" t="n"/>
      <c r="AF20" s="233" t="n"/>
      <c r="AG20" s="233" t="n"/>
      <c r="AH20" s="233" t="n"/>
      <c r="AI20" s="233" t="n"/>
      <c r="AJ20" s="233" t="n"/>
      <c r="AK20" s="233" t="n"/>
      <c r="AL20" s="233" t="n"/>
      <c r="AM20" s="233" t="n"/>
      <c r="AN20" s="233" t="n"/>
      <c r="AO20" s="233" t="n"/>
      <c r="AP20" s="233" t="n"/>
      <c r="AQ20" s="233" t="n"/>
      <c r="AR20" s="233" t="n"/>
      <c r="AS20" s="233" t="n"/>
      <c r="AT20" s="233" t="n"/>
      <c r="AU20" s="233" t="n"/>
      <c r="AV20" s="233" t="n"/>
      <c r="AW20" s="233" t="n"/>
      <c r="AX20" s="233" t="n"/>
      <c r="AY20" s="233" t="n"/>
      <c r="AZ20" s="233" t="n"/>
      <c r="BA20" s="233" t="n"/>
      <c r="BB20" s="233" t="n"/>
      <c r="BC20" s="233" t="n"/>
      <c r="BD20" s="217" t="n"/>
      <c r="BE20" s="217">
        <f>BE19/BD19-1</f>
        <v/>
      </c>
      <c r="BF20" s="217">
        <f>BF19/BE19-1</f>
        <v/>
      </c>
      <c r="BG20" s="217">
        <f>BG19/BF19-1</f>
        <v/>
      </c>
      <c r="BH20" s="217">
        <f>BH19/BG19-1</f>
        <v/>
      </c>
      <c r="BI20" s="233" t="n"/>
      <c r="BJ20" s="233" t="n"/>
      <c r="BK20" s="83" t="inlineStr">
        <is>
          <t>year-on-year change in R&amp;D spend</t>
        </is>
      </c>
      <c r="BL20" s="233" t="n"/>
      <c r="BM20" s="233" t="n"/>
    </row>
    <row r="21" ht="13.5" customHeight="1" s="349">
      <c r="A21" s="254" t="n"/>
      <c r="B21" s="144" t="inlineStr">
        <is>
          <t>SALES &amp; MARKETING</t>
        </is>
      </c>
      <c r="C21" s="104" t="n"/>
      <c r="D21" s="272" t="n"/>
      <c r="E21" s="104" t="n"/>
      <c r="F21" s="104" t="n"/>
      <c r="G21" s="80" t="n"/>
      <c r="H21" s="80" t="n"/>
      <c r="I21" s="80" t="n"/>
      <c r="J21" s="80" t="n"/>
      <c r="K21" s="80" t="n"/>
      <c r="L21" s="80" t="n"/>
      <c r="M21" s="80" t="n"/>
      <c r="N21" s="80" t="n"/>
      <c r="O21" s="80" t="n"/>
      <c r="P21" s="80" t="n"/>
      <c r="Q21" s="80" t="n"/>
      <c r="R21" s="80" t="n"/>
      <c r="S21" s="80" t="n"/>
      <c r="T21" s="80" t="n"/>
      <c r="U21" s="80" t="n"/>
      <c r="V21" s="80" t="n"/>
      <c r="W21" s="80" t="n"/>
      <c r="X21" s="80" t="n"/>
      <c r="Y21" s="80" t="n"/>
      <c r="Z21" s="80" t="n"/>
      <c r="AA21" s="80" t="n"/>
      <c r="AB21" s="80" t="n"/>
      <c r="AC21" s="80" t="n"/>
      <c r="AD21" s="80" t="n"/>
      <c r="AE21" s="80" t="n"/>
      <c r="AF21" s="80" t="n"/>
      <c r="AG21" s="80" t="n"/>
      <c r="AH21" s="80" t="n"/>
      <c r="AI21" s="80" t="n"/>
      <c r="AJ21" s="80" t="n"/>
      <c r="AK21" s="80" t="n"/>
      <c r="AL21" s="80" t="n"/>
      <c r="AM21" s="80" t="n"/>
      <c r="AN21" s="80" t="n"/>
      <c r="AO21" s="80" t="n"/>
      <c r="AP21" s="80" t="n"/>
      <c r="AQ21" s="80" t="n"/>
      <c r="AR21" s="80" t="n"/>
      <c r="AS21" s="80" t="n"/>
      <c r="AT21" s="80" t="n"/>
      <c r="AU21" s="80" t="n"/>
      <c r="AV21" s="80" t="n"/>
      <c r="AW21" s="80" t="n"/>
      <c r="AX21" s="80" t="n"/>
      <c r="AY21" s="80" t="n"/>
      <c r="AZ21" s="80" t="n"/>
      <c r="BA21" s="80" t="n"/>
      <c r="BB21" s="80" t="n"/>
      <c r="BC21" s="233" t="n"/>
      <c r="BD21" s="80" t="n"/>
      <c r="BE21" s="80" t="n"/>
      <c r="BF21" s="80" t="n"/>
      <c r="BG21" s="80" t="n"/>
      <c r="BH21" s="80" t="n"/>
      <c r="BI21" s="233" t="n"/>
      <c r="BJ21" s="233" t="n"/>
      <c r="BK21" s="83" t="n"/>
      <c r="BL21" s="233" t="n"/>
      <c r="BM21" s="233" t="n"/>
    </row>
    <row r="22" ht="15" customHeight="1" s="349">
      <c r="A22" s="31" t="n"/>
      <c r="B22" s="274" t="inlineStr">
        <is>
          <t>Baseline Sales &amp; Marketting</t>
        </is>
      </c>
      <c r="C22" s="307" t="n"/>
      <c r="D22" s="273" t="n"/>
      <c r="E22" s="224" t="n"/>
      <c r="F22" s="224" t="n"/>
      <c r="G22" s="241" t="n"/>
      <c r="H22" s="241" t="n"/>
      <c r="I22" s="241" t="n"/>
      <c r="J22" s="241" t="n"/>
      <c r="K22" s="241" t="n"/>
      <c r="L22" s="241" t="n"/>
      <c r="M22" s="241" t="n"/>
      <c r="N22" s="241" t="n"/>
      <c r="O22" s="241" t="n"/>
      <c r="P22" s="241" t="n"/>
      <c r="Q22" s="241" t="n"/>
      <c r="R22" s="233" t="n"/>
      <c r="S22" s="241">
        <f t="array" ref="S22">INDEX(Assumptions!$E$90:$I$90,MATCH(YEAR(S$3),Assumptions!$E$87:$I$87,0))</f>
        <v/>
      </c>
      <c r="T22" s="241">
        <f t="array" ref="T22">INDEX(Assumptions!$E$90:$I$90,MATCH(YEAR(T$3),Assumptions!$E$87:$I$87,0))</f>
        <v/>
      </c>
      <c r="U22" s="241">
        <f t="array" ref="U22">INDEX(Assumptions!$E$90:$I$90,MATCH(YEAR(U$3),Assumptions!$E$87:$I$87,0))</f>
        <v/>
      </c>
      <c r="V22" s="241">
        <f t="array" ref="V22">INDEX(Assumptions!$E$90:$I$90,MATCH(YEAR(V$3),Assumptions!$E$87:$I$87,0))</f>
        <v/>
      </c>
      <c r="W22" s="241">
        <f t="array" ref="W22">INDEX(Assumptions!$E$90:$I$90,MATCH(YEAR(W$3),Assumptions!$E$87:$I$87,0))</f>
        <v/>
      </c>
      <c r="X22" s="241">
        <f t="array" ref="X22">INDEX(Assumptions!$E$90:$I$90,MATCH(YEAR(X$3),Assumptions!$E$87:$I$87,0))</f>
        <v/>
      </c>
      <c r="Y22" s="241">
        <f t="array" ref="Y22">INDEX(Assumptions!$E$90:$I$90,MATCH(YEAR(Y$3),Assumptions!$E$87:$I$87,0))</f>
        <v/>
      </c>
      <c r="Z22" s="241">
        <f t="array" ref="Z22">INDEX(Assumptions!$E$90:$I$90,MATCH(YEAR(Z$3),Assumptions!$E$87:$I$87,0))</f>
        <v/>
      </c>
      <c r="AA22" s="241">
        <f t="array" ref="AA22">INDEX(Assumptions!$E$90:$I$90,MATCH(YEAR(AA$3),Assumptions!$E$87:$I$87,0))</f>
        <v/>
      </c>
      <c r="AB22" s="241">
        <f t="array" ref="AB22">INDEX(Assumptions!$E$90:$I$90,MATCH(YEAR(AB$3),Assumptions!$E$87:$I$87,0))</f>
        <v/>
      </c>
      <c r="AC22" s="241">
        <f t="array" ref="AC22">INDEX(Assumptions!$E$90:$I$90,MATCH(YEAR(AC$3),Assumptions!$E$87:$I$87,0))</f>
        <v/>
      </c>
      <c r="AD22" s="241">
        <f t="array" ref="AD22">INDEX(Assumptions!$E$90:$I$90,MATCH(YEAR(AD$3),Assumptions!$E$87:$I$87,0))</f>
        <v/>
      </c>
      <c r="AE22" s="241">
        <f t="array" ref="AE22">INDEX(Assumptions!$E$90:$I$90,MATCH(YEAR(AE$3),Assumptions!$E$87:$I$87,0))</f>
        <v/>
      </c>
      <c r="AF22" s="241">
        <f t="array" ref="AF22">INDEX(Assumptions!$E$90:$I$90,MATCH(YEAR(AF$3),Assumptions!$E$87:$I$87,0))</f>
        <v/>
      </c>
      <c r="AG22" s="241">
        <f t="array" ref="AG22">INDEX(Assumptions!$E$90:$I$90,MATCH(YEAR(AG$3),Assumptions!$E$87:$I$87,0))</f>
        <v/>
      </c>
      <c r="AH22" s="241">
        <f t="array" ref="AH22">INDEX(Assumptions!$E$90:$I$90,MATCH(YEAR(AH$3),Assumptions!$E$87:$I$87,0))</f>
        <v/>
      </c>
      <c r="AI22" s="241">
        <f t="array" ref="AI22">INDEX(Assumptions!$E$90:$I$90,MATCH(YEAR(AI$3),Assumptions!$E$87:$I$87,0))</f>
        <v/>
      </c>
      <c r="AJ22" s="241">
        <f t="array" ref="AJ22">INDEX(Assumptions!$E$90:$I$90,MATCH(YEAR(AJ$3),Assumptions!$E$87:$I$87,0))</f>
        <v/>
      </c>
      <c r="AK22" s="241">
        <f t="array" ref="AK22">INDEX(Assumptions!$E$90:$I$90,MATCH(YEAR(AK$3),Assumptions!$E$87:$I$87,0))</f>
        <v/>
      </c>
      <c r="AL22" s="241">
        <f t="array" ref="AL22">INDEX(Assumptions!$E$90:$I$90,MATCH(YEAR(AL$3),Assumptions!$E$87:$I$87,0))</f>
        <v/>
      </c>
      <c r="AM22" s="241">
        <f t="array" ref="AM22">INDEX(Assumptions!$E$90:$I$90,MATCH(YEAR(AM$3),Assumptions!$E$87:$I$87,0))</f>
        <v/>
      </c>
      <c r="AN22" s="241">
        <f t="array" ref="AN22">INDEX(Assumptions!$E$90:$I$90,MATCH(YEAR(AN$3),Assumptions!$E$87:$I$87,0))</f>
        <v/>
      </c>
      <c r="AO22" s="241">
        <f t="array" ref="AO22">INDEX(Assumptions!$E$90:$I$90,MATCH(YEAR(AO$3),Assumptions!$E$87:$I$87,0))</f>
        <v/>
      </c>
      <c r="AP22" s="241">
        <f t="array" ref="AP22">INDEX(Assumptions!$E$90:$I$90,MATCH(YEAR(AP$3),Assumptions!$E$87:$I$87,0))</f>
        <v/>
      </c>
      <c r="AQ22" s="241">
        <f t="array" ref="AQ22">INDEX(Assumptions!$E$90:$I$90,MATCH(YEAR(AQ$3),Assumptions!$E$87:$I$87,0))</f>
        <v/>
      </c>
      <c r="AR22" s="241">
        <f t="array" ref="AR22">INDEX(Assumptions!$E$90:$I$90,MATCH(YEAR(AR$3),Assumptions!$E$87:$I$87,0))</f>
        <v/>
      </c>
      <c r="AS22" s="241">
        <f t="array" ref="AS22">INDEX(Assumptions!$E$90:$I$90,MATCH(YEAR(AS$3),Assumptions!$E$87:$I$87,0))</f>
        <v/>
      </c>
      <c r="AT22" s="241">
        <f t="array" ref="AT22">INDEX(Assumptions!$E$90:$I$90,MATCH(YEAR(AT$3),Assumptions!$E$87:$I$87,0))</f>
        <v/>
      </c>
      <c r="AU22" s="241">
        <f t="array" ref="AU22">INDEX(Assumptions!$E$90:$I$90,MATCH(YEAR(AU$3),Assumptions!$E$87:$I$87,0))</f>
        <v/>
      </c>
      <c r="AV22" s="241">
        <f t="array" ref="AV22">INDEX(Assumptions!$E$90:$I$90,MATCH(YEAR(AV$3),Assumptions!$E$87:$I$87,0))</f>
        <v/>
      </c>
      <c r="AW22" s="241">
        <f t="array" ref="AW22">INDEX(Assumptions!$E$90:$I$90,MATCH(YEAR(AW$3),Assumptions!$E$87:$I$87,0))</f>
        <v/>
      </c>
      <c r="AX22" s="241">
        <f t="array" ref="AX22">INDEX(Assumptions!$E$90:$I$90,MATCH(YEAR(AX$3),Assumptions!$E$87:$I$87,0))</f>
        <v/>
      </c>
      <c r="AY22" s="241">
        <f t="array" ref="AY22">INDEX(Assumptions!$E$90:$I$90,MATCH(YEAR(AY$3),Assumptions!$E$87:$I$87,0))</f>
        <v/>
      </c>
      <c r="AZ22" s="241">
        <f t="array" ref="AZ22">INDEX(Assumptions!$E$90:$I$90,MATCH(YEAR(AZ$3),Assumptions!$E$87:$I$87,0))</f>
        <v/>
      </c>
      <c r="BA22" s="241">
        <f t="array" ref="BA22">INDEX(Assumptions!$E$90:$I$90,MATCH(YEAR(BA$3),Assumptions!$E$87:$I$87,0))</f>
        <v/>
      </c>
      <c r="BB22" s="241">
        <f t="array" ref="BB22">INDEX(Assumptions!$E$90:$I$90,MATCH(YEAR(BB$3),Assumptions!$E$87:$I$87,0))</f>
        <v/>
      </c>
      <c r="BC22" s="233" t="n"/>
      <c r="BD22" s="241">
        <f>SUM(G22:R22)</f>
        <v/>
      </c>
      <c r="BE22" s="241">
        <f>SUM(S22:AD22)</f>
        <v/>
      </c>
      <c r="BF22" s="241">
        <f>SUM(AE22:AP22)</f>
        <v/>
      </c>
      <c r="BG22" s="241">
        <f>SUM(AQ22:BB22)</f>
        <v/>
      </c>
      <c r="BH22" s="275">
        <f>BG22*('Financial Statements'!$BE$7/'Financial Statements'!$BD$7)^0.5</f>
        <v/>
      </c>
      <c r="BI22" s="233" t="n"/>
      <c r="BJ22" s="233" t="n"/>
      <c r="BK22" s="83" t="inlineStr">
        <is>
          <t>baseline marketing from Assumptions; 2029 scaled off revenue growth</t>
        </is>
      </c>
      <c r="BL22" s="233" t="n"/>
      <c r="BM22" s="233" t="n"/>
    </row>
    <row r="23" ht="15" customHeight="1" s="349">
      <c r="A23" s="31" t="n"/>
      <c r="B23" s="274" t="inlineStr">
        <is>
          <t>Sales &amp; Marketing (3rd party)</t>
        </is>
      </c>
      <c r="C23" s="307" t="n"/>
      <c r="D23" s="273" t="inlineStr">
        <is>
          <t>€</t>
        </is>
      </c>
      <c r="E23" s="224" t="n"/>
      <c r="F23" s="224" t="n"/>
      <c r="G23" s="241" t="n"/>
      <c r="H23" s="241" t="n"/>
      <c r="I23" s="241" t="n"/>
      <c r="J23" s="241" t="n"/>
      <c r="K23" s="241" t="n"/>
      <c r="L23" s="241" t="n"/>
      <c r="M23" s="241" t="n"/>
      <c r="N23" s="241" t="n"/>
      <c r="O23" s="241" t="n"/>
      <c r="P23" s="241" t="n"/>
      <c r="Q23" s="241" t="n"/>
      <c r="R23" s="233" t="n"/>
      <c r="S23" s="241" t="n">
        <v>7000</v>
      </c>
      <c r="T23" s="241" t="n">
        <v>7000</v>
      </c>
      <c r="U23" s="241" t="n">
        <v>7000</v>
      </c>
      <c r="V23" s="241" t="n">
        <v>7000</v>
      </c>
      <c r="W23" s="241" t="n">
        <v>7000</v>
      </c>
      <c r="X23" s="241" t="n">
        <v>7000</v>
      </c>
      <c r="Y23" s="241" t="n">
        <v>7000</v>
      </c>
      <c r="Z23" s="241" t="n">
        <v>7000</v>
      </c>
      <c r="AA23" s="241" t="n">
        <v>7000</v>
      </c>
      <c r="AB23" s="241" t="n">
        <v>10000</v>
      </c>
      <c r="AC23" s="241" t="n">
        <v>10000</v>
      </c>
      <c r="AD23" s="241" t="n">
        <v>10000</v>
      </c>
      <c r="AE23" s="241">
        <f>('Revenue Forecast'!AC6+'Revenue Forecast'!AC12)*VLOOKUP('Revenue Forecast'!AC33,Assumptions!$G$102:$H$109,2,TRUE)</f>
        <v/>
      </c>
      <c r="AF23" s="241">
        <f>('Revenue Forecast'!AD6+'Revenue Forecast'!AD12)*VLOOKUP('Revenue Forecast'!AD33,Assumptions!$G$102:$H$109,2,TRUE)</f>
        <v/>
      </c>
      <c r="AG23" s="241">
        <f>('Revenue Forecast'!AE6+'Revenue Forecast'!AE12)*VLOOKUP('Revenue Forecast'!AE33,Assumptions!$G$102:$H$109,2,TRUE)</f>
        <v/>
      </c>
      <c r="AH23" s="241">
        <f>('Revenue Forecast'!AF6+'Revenue Forecast'!AF12)*VLOOKUP('Revenue Forecast'!AF33,Assumptions!$G$102:$H$109,2,TRUE)</f>
        <v/>
      </c>
      <c r="AI23" s="241">
        <f>('Revenue Forecast'!AG6+'Revenue Forecast'!AG12)*VLOOKUP('Revenue Forecast'!AG33,Assumptions!$G$102:$H$109,2,TRUE)</f>
        <v/>
      </c>
      <c r="AJ23" s="241">
        <f>('Revenue Forecast'!AH6+'Revenue Forecast'!AH12)*VLOOKUP('Revenue Forecast'!AH33,Assumptions!$G$102:$H$109,2,TRUE)</f>
        <v/>
      </c>
      <c r="AK23" s="241">
        <f>('Revenue Forecast'!AI6+'Revenue Forecast'!AI12)*VLOOKUP('Revenue Forecast'!AI33,Assumptions!$G$102:$H$109,2,TRUE)</f>
        <v/>
      </c>
      <c r="AL23" s="241">
        <f>('Revenue Forecast'!AJ6+'Revenue Forecast'!AJ12)*VLOOKUP('Revenue Forecast'!AJ33,Assumptions!$G$102:$H$109,2,TRUE)</f>
        <v/>
      </c>
      <c r="AM23" s="241">
        <f>('Revenue Forecast'!AK6+'Revenue Forecast'!AK12)*VLOOKUP('Revenue Forecast'!AK33,Assumptions!$G$102:$H$109,2,TRUE)</f>
        <v/>
      </c>
      <c r="AN23" s="241">
        <f>('Revenue Forecast'!AL6+'Revenue Forecast'!AL12)*VLOOKUP('Revenue Forecast'!AL33,Assumptions!$G$102:$H$109,2,TRUE)</f>
        <v/>
      </c>
      <c r="AO23" s="241">
        <f>('Revenue Forecast'!AM6+'Revenue Forecast'!AM12)*VLOOKUP('Revenue Forecast'!AM33,Assumptions!$G$102:$H$109,2,TRUE)</f>
        <v/>
      </c>
      <c r="AP23" s="241">
        <f>('Revenue Forecast'!AN6+'Revenue Forecast'!AN12)*VLOOKUP('Revenue Forecast'!AN33,Assumptions!$G$102:$H$109,2,TRUE)</f>
        <v/>
      </c>
      <c r="AQ23" s="241">
        <f>('Revenue Forecast'!AO6+'Revenue Forecast'!AO12)*VLOOKUP('Revenue Forecast'!AO33,Assumptions!$G$102:$H$109,2,TRUE)</f>
        <v/>
      </c>
      <c r="AR23" s="241">
        <f>('Revenue Forecast'!AP6+'Revenue Forecast'!AP12)*VLOOKUP('Revenue Forecast'!AP33,Assumptions!$G$102:$H$109,2,TRUE)</f>
        <v/>
      </c>
      <c r="AS23" s="241">
        <f>('Revenue Forecast'!AQ6+'Revenue Forecast'!AQ12)*VLOOKUP('Revenue Forecast'!AQ33,Assumptions!$G$102:$H$109,2,TRUE)</f>
        <v/>
      </c>
      <c r="AT23" s="241">
        <f>('Revenue Forecast'!AR6+'Revenue Forecast'!AR12)*VLOOKUP('Revenue Forecast'!AR33,Assumptions!$G$102:$H$109,2,TRUE)</f>
        <v/>
      </c>
      <c r="AU23" s="241">
        <f>('Revenue Forecast'!AS6+'Revenue Forecast'!AS12)*VLOOKUP('Revenue Forecast'!AS33,Assumptions!$G$102:$H$109,2,TRUE)</f>
        <v/>
      </c>
      <c r="AV23" s="241">
        <f>('Revenue Forecast'!AT6+'Revenue Forecast'!AT12)*VLOOKUP('Revenue Forecast'!AT33,Assumptions!$G$102:$H$109,2,TRUE)</f>
        <v/>
      </c>
      <c r="AW23" s="241">
        <f>('Revenue Forecast'!AU6+'Revenue Forecast'!AU12)*VLOOKUP('Revenue Forecast'!AU33,Assumptions!$G$102:$H$109,2,TRUE)</f>
        <v/>
      </c>
      <c r="AX23" s="241">
        <f>('Revenue Forecast'!AV6+'Revenue Forecast'!AV12)*VLOOKUP('Revenue Forecast'!AV33,Assumptions!$G$102:$H$109,2,TRUE)</f>
        <v/>
      </c>
      <c r="AY23" s="241">
        <f>('Revenue Forecast'!AW6+'Revenue Forecast'!AW12)*VLOOKUP('Revenue Forecast'!AW33,Assumptions!$G$102:$H$109,2,TRUE)</f>
        <v/>
      </c>
      <c r="AZ23" s="241">
        <f>('Revenue Forecast'!AX6+'Revenue Forecast'!AX12)*VLOOKUP('Revenue Forecast'!AX33,Assumptions!$G$102:$H$109,2,TRUE)</f>
        <v/>
      </c>
      <c r="BA23" s="241">
        <f>('Revenue Forecast'!AY6+'Revenue Forecast'!AY12)*VLOOKUP('Revenue Forecast'!AY33,Assumptions!$G$102:$H$109,2,TRUE)</f>
        <v/>
      </c>
      <c r="BB23" s="241">
        <f>('Revenue Forecast'!AZ6+'Revenue Forecast'!AZ12)*VLOOKUP('Revenue Forecast'!AZ33,Assumptions!$G$102:$H$109,2,TRUE)</f>
        <v/>
      </c>
      <c r="BC23" s="233" t="n"/>
      <c r="BD23" s="241">
        <f>SUM(G23:R23)</f>
        <v/>
      </c>
      <c r="BE23" s="241">
        <f>SUM(S23:AD23)</f>
        <v/>
      </c>
      <c r="BF23" s="241">
        <f>SUM(AE23:AP23)</f>
        <v/>
      </c>
      <c r="BG23" s="241">
        <f>SUM(AQ23:BB23)</f>
        <v/>
      </c>
      <c r="BH23" s="241">
        <f>('Revenue Forecast'!BF6+'Revenue Forecast'!BF12)*VLOOKUP('Revenue Forecast'!BF33,Assumptions!$G$102:$H$109,2,TRUE)</f>
        <v/>
      </c>
      <c r="BI23" s="233" t="n"/>
      <c r="BJ23" s="233" t="n"/>
      <c r="BK23" s="83" t="inlineStr">
        <is>
          <t>units sold x sales cost per unit, which falls as volume grows</t>
        </is>
      </c>
      <c r="BL23" s="233" t="n"/>
      <c r="BM23" s="233" t="n"/>
    </row>
    <row r="24" ht="15" customHeight="1" s="349">
      <c r="A24" s="31" t="n"/>
      <c r="B24" s="274" t="inlineStr">
        <is>
          <t>Customer journey (third party)</t>
        </is>
      </c>
      <c r="C24" s="307" t="n"/>
      <c r="D24" s="273" t="inlineStr">
        <is>
          <t>€</t>
        </is>
      </c>
      <c r="E24" s="237" t="n"/>
      <c r="F24" s="237" t="n"/>
      <c r="G24" s="241" t="n"/>
      <c r="H24" s="241" t="n"/>
      <c r="I24" s="241" t="n"/>
      <c r="J24" s="241" t="n"/>
      <c r="K24" s="241" t="n"/>
      <c r="L24" s="241" t="n"/>
      <c r="M24" s="241" t="n"/>
      <c r="N24" s="241" t="n"/>
      <c r="O24" s="241" t="n"/>
      <c r="P24" s="241" t="n"/>
      <c r="Q24" s="241" t="n"/>
      <c r="R24" s="241">
        <f>Assumptions!$E$95</f>
        <v/>
      </c>
      <c r="T24" s="241" t="n"/>
      <c r="U24" s="241" t="n"/>
      <c r="V24" s="241" t="n"/>
      <c r="W24" s="241" t="n"/>
      <c r="X24" s="241">
        <f>Assumptions!E95</f>
        <v/>
      </c>
      <c r="Y24" s="241" t="n"/>
      <c r="Z24" s="241" t="n"/>
      <c r="AA24" s="241" t="n"/>
      <c r="AB24" s="241" t="n"/>
      <c r="AC24" s="241" t="n"/>
      <c r="AE24" s="241" t="n"/>
      <c r="AF24" s="241" t="n"/>
      <c r="AG24" s="241" t="n"/>
      <c r="AH24" s="241" t="n"/>
      <c r="AI24" s="241" t="n"/>
      <c r="AJ24" s="241" t="n"/>
      <c r="AK24" s="241" t="n"/>
      <c r="AL24" s="241" t="n"/>
      <c r="AM24" s="241" t="n"/>
      <c r="AN24" s="241" t="n"/>
      <c r="AO24" s="241" t="n"/>
      <c r="AP24" s="241" t="n"/>
      <c r="AQ24" s="241" t="n"/>
      <c r="AR24" s="241" t="n"/>
      <c r="AS24" s="241" t="n"/>
      <c r="AT24" s="241" t="n"/>
      <c r="AU24" s="241" t="n"/>
      <c r="AV24" s="241" t="n"/>
      <c r="AW24" s="241" t="n"/>
      <c r="AX24" s="241" t="n"/>
      <c r="AY24" s="241" t="n"/>
      <c r="AZ24" s="241" t="n"/>
      <c r="BA24" s="241" t="n"/>
      <c r="BB24" s="241" t="n"/>
      <c r="BC24" s="233" t="n"/>
      <c r="BD24" s="241">
        <f>SUM(G24:R24)</f>
        <v/>
      </c>
      <c r="BE24" s="241">
        <f>SUM(T24:AC24)</f>
        <v/>
      </c>
      <c r="BF24" s="241">
        <f>SUM(AE24:AP24)</f>
        <v/>
      </c>
      <c r="BG24" s="241">
        <f>SUM(AQ24:BB24)</f>
        <v/>
      </c>
      <c r="BH24" s="275">
        <f>BG24*('Financial Statements'!$BE$7/'Financial Statements'!$BD$7)^0.5</f>
        <v/>
      </c>
      <c r="BI24" s="233" t="n"/>
      <c r="BJ24" s="233" t="n"/>
      <c r="BK24" s="83" t="inlineStr">
        <is>
          <t>one-off from Assumptions; 2029 scaled off revenue growth</t>
        </is>
      </c>
      <c r="BL24" s="233" t="n"/>
      <c r="BM24" s="233" t="n"/>
    </row>
    <row r="25" ht="15" customHeight="1" s="349">
      <c r="A25" s="31" t="n"/>
      <c r="B25" s="274" t="inlineStr">
        <is>
          <t>Branding + Website (third party cost)</t>
        </is>
      </c>
      <c r="C25" s="307" t="n"/>
      <c r="D25" s="273" t="inlineStr">
        <is>
          <t>€</t>
        </is>
      </c>
      <c r="E25" s="237" t="n"/>
      <c r="F25" s="237" t="n"/>
      <c r="G25" s="241" t="n"/>
      <c r="H25" s="241" t="n"/>
      <c r="I25" s="241" t="n"/>
      <c r="J25" s="241" t="n"/>
      <c r="K25" s="241" t="n"/>
      <c r="L25" s="241" t="n"/>
      <c r="M25" s="241" t="n"/>
      <c r="N25" s="241" t="n"/>
      <c r="O25" s="241" t="n"/>
      <c r="P25" s="241" t="n"/>
      <c r="Q25" s="241" t="n"/>
      <c r="R25" s="241">
        <f>Assumptions!$E$96</f>
        <v/>
      </c>
      <c r="S25" s="241" t="n"/>
      <c r="T25" s="241" t="n"/>
      <c r="U25" s="241" t="n"/>
      <c r="V25" s="241" t="n"/>
      <c r="W25" s="241">
        <f>Assumptions!E96</f>
        <v/>
      </c>
      <c r="X25" s="241" t="n"/>
      <c r="Y25" s="241" t="n"/>
      <c r="Z25" s="241" t="n"/>
      <c r="AA25" s="241" t="n"/>
      <c r="AB25" s="241" t="n"/>
      <c r="AC25" s="241" t="n"/>
      <c r="AE25" s="241" t="n"/>
      <c r="AF25" s="241" t="n"/>
      <c r="AG25" s="241" t="n"/>
      <c r="AH25" s="241" t="n"/>
      <c r="AJ25" s="241" t="n"/>
      <c r="AK25" s="241" t="n"/>
      <c r="AL25" s="241" t="n"/>
      <c r="AM25" s="241" t="n"/>
      <c r="AN25" s="241" t="n"/>
      <c r="AO25" s="241" t="n"/>
      <c r="AP25" s="241" t="n"/>
      <c r="AQ25" s="241" t="n"/>
      <c r="AR25" s="241" t="n"/>
      <c r="AS25" s="241" t="n"/>
      <c r="AT25" s="241" t="n"/>
      <c r="AU25" s="241" t="n"/>
      <c r="AV25" s="241" t="n"/>
      <c r="AW25" s="241" t="n"/>
      <c r="AX25" s="241" t="n"/>
      <c r="AY25" s="241" t="n"/>
      <c r="AZ25" s="241" t="n"/>
      <c r="BA25" s="241" t="n"/>
      <c r="BB25" s="241" t="n"/>
      <c r="BC25" s="233" t="n"/>
      <c r="BD25" s="241">
        <f>SUM(G25:R25)</f>
        <v/>
      </c>
      <c r="BE25" s="241">
        <f>SUM(S25:AH25)</f>
        <v/>
      </c>
      <c r="BF25" s="241">
        <f>SUM(AE25:AP25)</f>
        <v/>
      </c>
      <c r="BG25" s="241">
        <f>SUM(AQ25:BB25)</f>
        <v/>
      </c>
      <c r="BH25" s="275">
        <f>BG25*('Financial Statements'!$BE$7/'Financial Statements'!$BD$7)^0.5</f>
        <v/>
      </c>
      <c r="BI25" s="233" t="n"/>
      <c r="BJ25" s="233" t="n"/>
      <c r="BK25" s="83" t="inlineStr">
        <is>
          <t>one-off from Assumptions; 2029 scaled off revenue growth</t>
        </is>
      </c>
      <c r="BL25" s="233" t="n"/>
      <c r="BM25" s="233" t="n"/>
    </row>
    <row r="26" ht="12.75" customHeight="1" s="349">
      <c r="A26" s="254" t="n"/>
      <c r="B26" s="243" t="inlineStr">
        <is>
          <t>Total S&amp;M</t>
        </is>
      </c>
      <c r="C26" s="276" t="n"/>
      <c r="D26" s="277" t="n"/>
      <c r="E26" s="278" t="n"/>
      <c r="F26" s="278" t="n"/>
      <c r="G26" s="227">
        <f>SUM(G23:G25)</f>
        <v/>
      </c>
      <c r="H26" s="227">
        <f>SUM(H23:H25)</f>
        <v/>
      </c>
      <c r="I26" s="227">
        <f>SUM(I23:I25)</f>
        <v/>
      </c>
      <c r="J26" s="227">
        <f>SUM(J23:J25)</f>
        <v/>
      </c>
      <c r="K26" s="227">
        <f>SUM(K23:K25)</f>
        <v/>
      </c>
      <c r="L26" s="227">
        <f>SUM(L23:L25)</f>
        <v/>
      </c>
      <c r="M26" s="227">
        <f>SUM(M23:M25)</f>
        <v/>
      </c>
      <c r="N26" s="227">
        <f>SUM(N23:N25)</f>
        <v/>
      </c>
      <c r="O26" s="227">
        <f>SUM(O23:O25)</f>
        <v/>
      </c>
      <c r="P26" s="227">
        <f>SUM(P23:P25)</f>
        <v/>
      </c>
      <c r="Q26" s="227">
        <f>SUM(Q23:Q25)</f>
        <v/>
      </c>
      <c r="R26" s="227">
        <f>SUM(R23:R25)</f>
        <v/>
      </c>
      <c r="S26" s="227">
        <f>sum(S22:S25)</f>
        <v/>
      </c>
      <c r="T26" s="227">
        <f>sum(T22:T25)</f>
        <v/>
      </c>
      <c r="U26" s="227">
        <f>sum(U22:U25)</f>
        <v/>
      </c>
      <c r="V26" s="227">
        <f>sum(V22:V25)</f>
        <v/>
      </c>
      <c r="W26" s="227">
        <f>sum(W22:W25)</f>
        <v/>
      </c>
      <c r="X26" s="227">
        <f>sum(X22:X25)</f>
        <v/>
      </c>
      <c r="Y26" s="227">
        <f>sum(Y22:Y25)</f>
        <v/>
      </c>
      <c r="Z26" s="227">
        <f>sum(Z22:Z25)</f>
        <v/>
      </c>
      <c r="AA26" s="227">
        <f>sum(AA22:AA25)</f>
        <v/>
      </c>
      <c r="AB26" s="227">
        <f>sum(AB22:AB25)</f>
        <v/>
      </c>
      <c r="AC26" s="227">
        <f>sum(AC22:AC25)</f>
        <v/>
      </c>
      <c r="AD26" s="227">
        <f>sum(AD22:AD25)</f>
        <v/>
      </c>
      <c r="AE26" s="227">
        <f>sum(AE22:AE25)</f>
        <v/>
      </c>
      <c r="AF26" s="227">
        <f>sum(AF22:AF25)</f>
        <v/>
      </c>
      <c r="AG26" s="227">
        <f>sum(AG22:AG25)</f>
        <v/>
      </c>
      <c r="AH26" s="227">
        <f>sum(AH22:AH25)</f>
        <v/>
      </c>
      <c r="AI26" s="227">
        <f>sum(AI22:AI25)</f>
        <v/>
      </c>
      <c r="AJ26" s="227">
        <f>sum(AJ22:AJ25)</f>
        <v/>
      </c>
      <c r="AK26" s="227">
        <f>sum(AK22:AK25)</f>
        <v/>
      </c>
      <c r="AL26" s="227">
        <f>sum(AL22:AL25)</f>
        <v/>
      </c>
      <c r="AM26" s="227">
        <f>sum(AM22:AM25)</f>
        <v/>
      </c>
      <c r="AN26" s="227">
        <f>sum(AN22:AN25)</f>
        <v/>
      </c>
      <c r="AO26" s="227">
        <f>sum(AO22:AO25)</f>
        <v/>
      </c>
      <c r="AP26" s="227">
        <f>sum(AP22:AP25)</f>
        <v/>
      </c>
      <c r="AQ26" s="227">
        <f>sum(AQ22:AQ25)</f>
        <v/>
      </c>
      <c r="AR26" s="227">
        <f>sum(AR22:AR25)</f>
        <v/>
      </c>
      <c r="AS26" s="227">
        <f>sum(AS22:AS25)</f>
        <v/>
      </c>
      <c r="AT26" s="227">
        <f>sum(AT22:AT25)</f>
        <v/>
      </c>
      <c r="AU26" s="227">
        <f>sum(AU22:AU25)</f>
        <v/>
      </c>
      <c r="AV26" s="227">
        <f>sum(AV22:AV25)</f>
        <v/>
      </c>
      <c r="AW26" s="227">
        <f>sum(AW22:AW25)</f>
        <v/>
      </c>
      <c r="AX26" s="227">
        <f>sum(AX22:AX25)</f>
        <v/>
      </c>
      <c r="AY26" s="227">
        <f>sum(AY22:AY25)</f>
        <v/>
      </c>
      <c r="AZ26" s="227">
        <f>sum(AZ22:AZ25)</f>
        <v/>
      </c>
      <c r="BA26" s="227">
        <f>sum(BA22:BA25)</f>
        <v/>
      </c>
      <c r="BB26" s="227">
        <f>sum(BB22:BB25)</f>
        <v/>
      </c>
      <c r="BC26" s="233" t="n"/>
      <c r="BD26" s="227">
        <f>SUM(G26:R26)</f>
        <v/>
      </c>
      <c r="BE26" s="227">
        <f>SUM(S26:AD26)</f>
        <v/>
      </c>
      <c r="BF26" s="227">
        <f>SUM(AE26:AP26)</f>
        <v/>
      </c>
      <c r="BG26" s="227">
        <f>SUM(AQ26:BB26)</f>
        <v/>
      </c>
      <c r="BH26" s="227">
        <f>sum(BH22:BH25)</f>
        <v/>
      </c>
      <c r="BI26" s="233" t="n"/>
      <c r="BJ26" s="233" t="n"/>
      <c r="BK26" s="83" t="inlineStr">
        <is>
          <t>all the non-people sales &amp; marketing lines added</t>
        </is>
      </c>
      <c r="BL26" s="233" t="n"/>
      <c r="BM26" s="233" t="n"/>
    </row>
    <row r="27" ht="15.75" customHeight="1" s="349">
      <c r="A27" s="31" t="n"/>
      <c r="B27" s="307" t="n"/>
      <c r="C27" s="307" t="n"/>
      <c r="D27" s="146" t="n"/>
      <c r="E27" s="307" t="n"/>
      <c r="F27" s="307" t="n"/>
      <c r="G27" s="233" t="n"/>
      <c r="H27" s="233" t="n"/>
      <c r="I27" s="233" t="n"/>
      <c r="J27" s="233" t="n"/>
      <c r="K27" s="233" t="n"/>
      <c r="L27" s="233" t="n"/>
      <c r="M27" s="233" t="n"/>
      <c r="N27" s="233" t="n"/>
      <c r="O27" s="233" t="n"/>
      <c r="P27" s="233" t="n"/>
      <c r="Q27" s="233" t="n"/>
      <c r="R27" s="233" t="n"/>
      <c r="S27" s="233" t="n"/>
      <c r="T27" s="233" t="n"/>
      <c r="U27" s="233" t="n"/>
      <c r="V27" s="233" t="n"/>
      <c r="W27" s="233" t="n"/>
      <c r="X27" s="233" t="n"/>
      <c r="Y27" s="233" t="n"/>
      <c r="Z27" s="233" t="n"/>
      <c r="AA27" s="233" t="n"/>
      <c r="AB27" s="233" t="n"/>
      <c r="AC27" s="233" t="n"/>
      <c r="AD27" s="233" t="n"/>
      <c r="AE27" s="233" t="n"/>
      <c r="AF27" s="233" t="n"/>
      <c r="AG27" s="233" t="n"/>
      <c r="AH27" s="233" t="n"/>
      <c r="AI27" s="233" t="n"/>
      <c r="AJ27" s="233" t="n"/>
      <c r="AK27" s="233" t="n"/>
      <c r="AL27" s="233" t="n"/>
      <c r="AM27" s="233" t="n"/>
      <c r="AN27" s="233" t="n"/>
      <c r="AO27" s="233" t="n"/>
      <c r="AP27" s="233" t="n"/>
      <c r="AQ27" s="233" t="n"/>
      <c r="AR27" s="233" t="n"/>
      <c r="AS27" s="233" t="n"/>
      <c r="AT27" s="233" t="n"/>
      <c r="AU27" s="233" t="n"/>
      <c r="AV27" s="233" t="n"/>
      <c r="AW27" s="233" t="n"/>
      <c r="AX27" s="233" t="n"/>
      <c r="AY27" s="233" t="n"/>
      <c r="AZ27" s="233" t="n"/>
      <c r="BA27" s="233" t="n"/>
      <c r="BB27" s="233" t="n"/>
      <c r="BC27" s="233" t="n"/>
      <c r="BD27" s="233" t="n"/>
      <c r="BE27" s="217">
        <f>BE26/BD26-1</f>
        <v/>
      </c>
      <c r="BF27" s="217">
        <f>BF26/BE26-1</f>
        <v/>
      </c>
      <c r="BG27" s="217">
        <f>BG26/BF26-1</f>
        <v/>
      </c>
      <c r="BH27" s="217">
        <f>BH26/BG26-1</f>
        <v/>
      </c>
      <c r="BI27" s="233" t="n"/>
      <c r="BJ27" s="233" t="n"/>
      <c r="BK27" s="83" t="inlineStr">
        <is>
          <t>year-on-year change in S&amp;M spend</t>
        </is>
      </c>
      <c r="BL27" s="233" t="n"/>
      <c r="BM27" s="233" t="n"/>
    </row>
    <row r="28" ht="13.5" customHeight="1" s="349">
      <c r="A28" s="254" t="n"/>
      <c r="B28" s="144" t="inlineStr">
        <is>
          <t>G&amp;A (NON-LABOUR)</t>
        </is>
      </c>
      <c r="C28" s="104" t="n"/>
      <c r="D28" s="272" t="n"/>
      <c r="E28" s="104" t="n"/>
      <c r="F28" s="104" t="n"/>
      <c r="G28" s="80" t="n"/>
      <c r="H28" s="80" t="n"/>
      <c r="I28" s="80" t="n"/>
      <c r="J28" s="80" t="n"/>
      <c r="K28" s="80" t="n"/>
      <c r="L28" s="80" t="n"/>
      <c r="M28" s="80" t="n"/>
      <c r="N28" s="80" t="n"/>
      <c r="O28" s="80" t="n"/>
      <c r="P28" s="80" t="n"/>
      <c r="Q28" s="80" t="n"/>
      <c r="R28" s="80" t="n"/>
      <c r="S28" s="80" t="n"/>
      <c r="T28" s="80" t="n"/>
      <c r="U28" s="80" t="n"/>
      <c r="V28" s="80" t="n"/>
      <c r="W28" s="80" t="n"/>
      <c r="X28" s="80" t="n"/>
      <c r="Y28" s="80" t="n"/>
      <c r="Z28" s="80" t="n"/>
      <c r="AA28" s="80" t="n"/>
      <c r="AB28" s="80" t="n"/>
      <c r="AC28" s="80" t="n"/>
      <c r="AD28" s="80" t="n"/>
      <c r="AE28" s="80" t="n"/>
      <c r="AF28" s="80" t="n"/>
      <c r="AG28" s="80" t="n"/>
      <c r="AH28" s="80" t="n"/>
      <c r="AI28" s="80" t="n"/>
      <c r="AJ28" s="80" t="n"/>
      <c r="AK28" s="80" t="n"/>
      <c r="AL28" s="80" t="n"/>
      <c r="AM28" s="80" t="n"/>
      <c r="AN28" s="80" t="n"/>
      <c r="AO28" s="80" t="n"/>
      <c r="AP28" s="80" t="n"/>
      <c r="AQ28" s="80" t="n"/>
      <c r="AR28" s="80" t="n"/>
      <c r="AS28" s="80" t="n"/>
      <c r="AT28" s="80" t="n"/>
      <c r="AU28" s="80" t="n"/>
      <c r="AV28" s="80" t="n"/>
      <c r="AW28" s="80" t="n"/>
      <c r="AX28" s="80" t="n"/>
      <c r="AY28" s="80" t="n"/>
      <c r="AZ28" s="80" t="n"/>
      <c r="BA28" s="80" t="n"/>
      <c r="BB28" s="80" t="n"/>
      <c r="BC28" s="233" t="n"/>
      <c r="BD28" s="80" t="n"/>
      <c r="BE28" s="80" t="n"/>
      <c r="BF28" s="80" t="n"/>
      <c r="BG28" s="80" t="n"/>
      <c r="BH28" s="80" t="n"/>
      <c r="BI28" s="233" t="n"/>
      <c r="BJ28" s="233" t="n"/>
      <c r="BK28" s="83" t="n"/>
      <c r="BL28" s="233" t="n"/>
      <c r="BM28" s="233" t="n"/>
    </row>
    <row r="29" ht="15.75" customHeight="1" s="349">
      <c r="A29" s="31" t="n"/>
      <c r="B29" s="274" t="inlineStr">
        <is>
          <t>Office rent (part of General)</t>
        </is>
      </c>
      <c r="C29" s="307" t="n"/>
      <c r="D29" s="273" t="inlineStr">
        <is>
          <t>€</t>
        </is>
      </c>
      <c r="E29" s="224" t="n"/>
      <c r="F29" s="224" t="n"/>
      <c r="G29" s="241">
        <f>Assumptions!$E$88</f>
        <v/>
      </c>
      <c r="H29" s="241">
        <f>Assumptions!$E$88</f>
        <v/>
      </c>
      <c r="I29" s="241">
        <f>Assumptions!$E$88</f>
        <v/>
      </c>
      <c r="J29" s="241">
        <f>Assumptions!$E$88</f>
        <v/>
      </c>
      <c r="K29" s="241">
        <f>Assumptions!$E$88</f>
        <v/>
      </c>
      <c r="L29" s="241">
        <f>Assumptions!$E$88</f>
        <v/>
      </c>
      <c r="M29" s="241">
        <f>Assumptions!$E$88</f>
        <v/>
      </c>
      <c r="N29" s="241">
        <f>Assumptions!$E$88</f>
        <v/>
      </c>
      <c r="O29" s="241">
        <f>Assumptions!$E$88</f>
        <v/>
      </c>
      <c r="P29" s="241">
        <f>Assumptions!$E$88</f>
        <v/>
      </c>
      <c r="Q29" s="241">
        <f>Assumptions!$E$88</f>
        <v/>
      </c>
      <c r="R29" s="241">
        <f>Assumptions!$E$88</f>
        <v/>
      </c>
      <c r="S29" s="241">
        <f t="array" ref="S29">INDEX(Assumptions!$E$88:$I$88,MATCH(YEAR(S$3),Assumptions!$E$87:$I$87,0))</f>
        <v/>
      </c>
      <c r="T29" s="241">
        <f t="array" ref="T29">INDEX(Assumptions!$E$88:$I$88,MATCH(YEAR(T$3),Assumptions!$E$87:$I$87,0))</f>
        <v/>
      </c>
      <c r="U29" s="241">
        <f t="array" ref="U29">INDEX(Assumptions!$E$88:$I$88,MATCH(YEAR(U$3),Assumptions!$E$87:$I$87,0))</f>
        <v/>
      </c>
      <c r="V29" s="241">
        <f t="array" ref="V29">INDEX(Assumptions!$E$88:$I$88,MATCH(YEAR(V$3),Assumptions!$E$87:$I$87,0))</f>
        <v/>
      </c>
      <c r="W29" s="241">
        <f t="array" ref="W29">INDEX(Assumptions!$E$88:$I$88,MATCH(YEAR(W$3),Assumptions!$E$87:$I$87,0))</f>
        <v/>
      </c>
      <c r="X29" s="241">
        <f t="array" ref="X29">INDEX(Assumptions!$E$88:$I$88,MATCH(YEAR(X$3),Assumptions!$E$87:$I$87,0))</f>
        <v/>
      </c>
      <c r="Y29" s="241">
        <f t="array" ref="Y29">INDEX(Assumptions!$E$88:$I$88,MATCH(YEAR(Y$3),Assumptions!$E$87:$I$87,0))</f>
        <v/>
      </c>
      <c r="Z29" s="241">
        <f t="array" ref="Z29">INDEX(Assumptions!$E$88:$I$88,MATCH(YEAR(Z$3),Assumptions!$E$87:$I$87,0))</f>
        <v/>
      </c>
      <c r="AA29" s="241">
        <f t="array" ref="AA29">INDEX(Assumptions!$E$88:$I$88,MATCH(YEAR(AA$3),Assumptions!$E$87:$I$87,0))</f>
        <v/>
      </c>
      <c r="AB29" s="241">
        <f t="array" ref="AB29">INDEX(Assumptions!$E$88:$I$88,MATCH(YEAR(AB$3),Assumptions!$E$87:$I$87,0))</f>
        <v/>
      </c>
      <c r="AC29" s="241">
        <f t="array" ref="AC29">INDEX(Assumptions!$E$88:$I$88,MATCH(YEAR(AC$3),Assumptions!$E$87:$I$87,0))</f>
        <v/>
      </c>
      <c r="AD29" s="241">
        <f t="array" ref="AD29">INDEX(Assumptions!$E$88:$I$88,MATCH(YEAR(AD$3),Assumptions!$E$87:$I$87,0))</f>
        <v/>
      </c>
      <c r="AE29" s="241">
        <f t="array" ref="AE29">INDEX(Assumptions!$E$88:$I$88,MATCH(YEAR(AE$3),Assumptions!$E$87:$I$87,0))</f>
        <v/>
      </c>
      <c r="AF29" s="241">
        <f t="array" ref="AF29">INDEX(Assumptions!$E$88:$I$88,MATCH(YEAR(AF$3),Assumptions!$E$87:$I$87,0))</f>
        <v/>
      </c>
      <c r="AG29" s="241">
        <f t="array" ref="AG29">INDEX(Assumptions!$E$88:$I$88,MATCH(YEAR(AG$3),Assumptions!$E$87:$I$87,0))</f>
        <v/>
      </c>
      <c r="AH29" s="241">
        <f t="array" ref="AH29">INDEX(Assumptions!$E$88:$I$88,MATCH(YEAR(AH$3),Assumptions!$E$87:$I$87,0))</f>
        <v/>
      </c>
      <c r="AI29" s="241">
        <f t="array" ref="AI29">INDEX(Assumptions!$E$88:$I$88,MATCH(YEAR(AI$3),Assumptions!$E$87:$I$87,0))</f>
        <v/>
      </c>
      <c r="AJ29" s="241">
        <f t="array" ref="AJ29">INDEX(Assumptions!$E$88:$I$88,MATCH(YEAR(AJ$3),Assumptions!$E$87:$I$87,0))</f>
        <v/>
      </c>
      <c r="AK29" s="241">
        <f t="array" ref="AK29">INDEX(Assumptions!$E$88:$I$88,MATCH(YEAR(AK$3),Assumptions!$E$87:$I$87,0))</f>
        <v/>
      </c>
      <c r="AL29" s="241">
        <f t="array" ref="AL29">INDEX(Assumptions!$E$88:$I$88,MATCH(YEAR(AL$3),Assumptions!$E$87:$I$87,0))</f>
        <v/>
      </c>
      <c r="AM29" s="241">
        <f t="array" ref="AM29">INDEX(Assumptions!$E$88:$I$88,MATCH(YEAR(AM$3),Assumptions!$E$87:$I$87,0))</f>
        <v/>
      </c>
      <c r="AN29" s="241">
        <f t="array" ref="AN29">INDEX(Assumptions!$E$88:$I$88,MATCH(YEAR(AN$3),Assumptions!$E$87:$I$87,0))</f>
        <v/>
      </c>
      <c r="AO29" s="241">
        <f t="array" ref="AO29">INDEX(Assumptions!$E$88:$I$88,MATCH(YEAR(AO$3),Assumptions!$E$87:$I$87,0))</f>
        <v/>
      </c>
      <c r="AP29" s="241">
        <f t="array" ref="AP29">INDEX(Assumptions!$E$88:$I$88,MATCH(YEAR(AP$3),Assumptions!$E$87:$I$87,0))</f>
        <v/>
      </c>
      <c r="AQ29" s="241">
        <f t="array" ref="AQ29">INDEX(Assumptions!$E$88:$I$88,MATCH(YEAR(AQ$3),Assumptions!$E$87:$I$87,0))</f>
        <v/>
      </c>
      <c r="AR29" s="241">
        <f t="array" ref="AR29">INDEX(Assumptions!$E$88:$I$88,MATCH(YEAR(AR$3),Assumptions!$E$87:$I$87,0))</f>
        <v/>
      </c>
      <c r="AS29" s="241">
        <f t="array" ref="AS29">INDEX(Assumptions!$E$88:$I$88,MATCH(YEAR(AS$3),Assumptions!$E$87:$I$87,0))</f>
        <v/>
      </c>
      <c r="AT29" s="241">
        <f t="array" ref="AT29">INDEX(Assumptions!$E$88:$I$88,MATCH(YEAR(AT$3),Assumptions!$E$87:$I$87,0))</f>
        <v/>
      </c>
      <c r="AU29" s="241">
        <f t="array" ref="AU29">INDEX(Assumptions!$E$88:$I$88,MATCH(YEAR(AU$3),Assumptions!$E$87:$I$87,0))</f>
        <v/>
      </c>
      <c r="AV29" s="241">
        <f t="array" ref="AV29">INDEX(Assumptions!$E$88:$I$88,MATCH(YEAR(AV$3),Assumptions!$E$87:$I$87,0))</f>
        <v/>
      </c>
      <c r="AW29" s="241">
        <f t="array" ref="AW29">INDEX(Assumptions!$E$88:$I$88,MATCH(YEAR(AW$3),Assumptions!$E$87:$I$87,0))</f>
        <v/>
      </c>
      <c r="AX29" s="241">
        <f t="array" ref="AX29">INDEX(Assumptions!$E$88:$I$88,MATCH(YEAR(AX$3),Assumptions!$E$87:$I$87,0))</f>
        <v/>
      </c>
      <c r="AY29" s="241">
        <f t="array" ref="AY29">INDEX(Assumptions!$E$88:$I$88,MATCH(YEAR(AY$3),Assumptions!$E$87:$I$87,0))</f>
        <v/>
      </c>
      <c r="AZ29" s="241">
        <f t="array" ref="AZ29">INDEX(Assumptions!$E$88:$I$88,MATCH(YEAR(AZ$3),Assumptions!$E$87:$I$87,0))</f>
        <v/>
      </c>
      <c r="BA29" s="241">
        <f t="array" ref="BA29">INDEX(Assumptions!$E$88:$I$88,MATCH(YEAR(BA$3),Assumptions!$E$87:$I$87,0))</f>
        <v/>
      </c>
      <c r="BB29" s="241">
        <f t="array" ref="BB29">INDEX(Assumptions!$E$88:$I$88,MATCH(YEAR(BB$3),Assumptions!$E$87:$I$87,0))</f>
        <v/>
      </c>
      <c r="BC29" s="233" t="n"/>
      <c r="BD29" s="241">
        <f>SUM(G29:R29)</f>
        <v/>
      </c>
      <c r="BE29" s="241">
        <f>SUM(S29:AD29)</f>
        <v/>
      </c>
      <c r="BF29" s="241">
        <f>SUM(AE29:AP29)</f>
        <v/>
      </c>
      <c r="BG29" s="241">
        <f>SUM(AQ29:BB29)</f>
        <v/>
      </c>
      <c r="BH29" s="275">
        <f>BG29*('Financial Statements'!$BE$7/'Financial Statements'!$BD$7)^0.2</f>
        <v/>
      </c>
      <c r="BI29" s="233" t="n"/>
      <c r="BJ29" s="233" t="n"/>
      <c r="BK29" s="83" t="inlineStr">
        <is>
          <t>rent from Assumptions, growing each year</t>
        </is>
      </c>
      <c r="BL29" s="233" t="n"/>
      <c r="BM29" s="233" t="n"/>
    </row>
    <row r="30" ht="15.75" customHeight="1" s="349">
      <c r="A30" s="31" t="n"/>
      <c r="B30" s="274" t="inlineStr">
        <is>
          <t>Other General</t>
        </is>
      </c>
      <c r="C30" s="307" t="n"/>
      <c r="D30" s="273" t="inlineStr">
        <is>
          <t>€</t>
        </is>
      </c>
      <c r="E30" s="224" t="n"/>
      <c r="F30" s="224" t="n"/>
      <c r="G30" s="241">
        <f>Assumptions!$E$89</f>
        <v/>
      </c>
      <c r="H30" s="241">
        <f>Assumptions!$E$89</f>
        <v/>
      </c>
      <c r="I30" s="241">
        <f>Assumptions!$E$89</f>
        <v/>
      </c>
      <c r="J30" s="241">
        <f>Assumptions!$E$89</f>
        <v/>
      </c>
      <c r="K30" s="241">
        <f>Assumptions!$E$89</f>
        <v/>
      </c>
      <c r="L30" s="241">
        <f>Assumptions!$E$89</f>
        <v/>
      </c>
      <c r="M30" s="241">
        <f>Assumptions!$E$89</f>
        <v/>
      </c>
      <c r="N30" s="241">
        <f>Assumptions!$E$89</f>
        <v/>
      </c>
      <c r="O30" s="241">
        <f>Assumptions!$E$89</f>
        <v/>
      </c>
      <c r="P30" s="241">
        <f>Assumptions!$E$89</f>
        <v/>
      </c>
      <c r="Q30" s="241">
        <f>Assumptions!$E$89</f>
        <v/>
      </c>
      <c r="R30" s="241">
        <f>Assumptions!$E$89</f>
        <v/>
      </c>
      <c r="S30" s="241">
        <f t="array" ref="S30">INDEX(Assumptions!$E$89:$I$89,MATCH(YEAR(S$3),Assumptions!$E$87:$I$87,0))</f>
        <v/>
      </c>
      <c r="T30" s="241">
        <f t="array" ref="T30">INDEX(Assumptions!$E$89:$I$89,MATCH(YEAR(T$3),Assumptions!$E$87:$I$87,0))</f>
        <v/>
      </c>
      <c r="U30" s="241">
        <f t="array" ref="U30">INDEX(Assumptions!$E$89:$I$89,MATCH(YEAR(U$3),Assumptions!$E$87:$I$87,0))</f>
        <v/>
      </c>
      <c r="V30" s="241">
        <f t="array" ref="V30">INDEX(Assumptions!$E$89:$I$89,MATCH(YEAR(V$3),Assumptions!$E$87:$I$87,0))</f>
        <v/>
      </c>
      <c r="W30" s="241">
        <f t="array" ref="W30">INDEX(Assumptions!$E$89:$I$89,MATCH(YEAR(W$3),Assumptions!$E$87:$I$87,0))</f>
        <v/>
      </c>
      <c r="X30" s="241">
        <f t="array" ref="X30">INDEX(Assumptions!$E$89:$I$89,MATCH(YEAR(X$3),Assumptions!$E$87:$I$87,0))</f>
        <v/>
      </c>
      <c r="Y30" s="241">
        <f t="array" ref="Y30">INDEX(Assumptions!$E$89:$I$89,MATCH(YEAR(Y$3),Assumptions!$E$87:$I$87,0))</f>
        <v/>
      </c>
      <c r="Z30" s="241">
        <f t="array" ref="Z30">INDEX(Assumptions!$E$89:$I$89,MATCH(YEAR(Z$3),Assumptions!$E$87:$I$87,0))</f>
        <v/>
      </c>
      <c r="AA30" s="241">
        <f t="array" ref="AA30">INDEX(Assumptions!$E$89:$I$89,MATCH(YEAR(AA$3),Assumptions!$E$87:$I$87,0))</f>
        <v/>
      </c>
      <c r="AB30" s="241">
        <f t="array" ref="AB30">INDEX(Assumptions!$E$89:$I$89,MATCH(YEAR(AB$3),Assumptions!$E$87:$I$87,0))</f>
        <v/>
      </c>
      <c r="AC30" s="241">
        <f t="array" ref="AC30">INDEX(Assumptions!$E$89:$I$89,MATCH(YEAR(AC$3),Assumptions!$E$87:$I$87,0))</f>
        <v/>
      </c>
      <c r="AD30" s="241">
        <f t="array" ref="AD30">INDEX(Assumptions!$E$89:$I$89,MATCH(YEAR(AD$3),Assumptions!$E$87:$I$87,0))</f>
        <v/>
      </c>
      <c r="AE30" s="241">
        <f t="array" ref="AE30">INDEX(Assumptions!$E$89:$I$89,MATCH(YEAR(AE$3),Assumptions!$E$87:$I$87,0))</f>
        <v/>
      </c>
      <c r="AF30" s="241">
        <f t="array" ref="AF30">INDEX(Assumptions!$E$89:$I$89,MATCH(YEAR(AF$3),Assumptions!$E$87:$I$87,0))</f>
        <v/>
      </c>
      <c r="AG30" s="241">
        <f t="array" ref="AG30">INDEX(Assumptions!$E$89:$I$89,MATCH(YEAR(AG$3),Assumptions!$E$87:$I$87,0))</f>
        <v/>
      </c>
      <c r="AH30" s="241">
        <f t="array" ref="AH30">INDEX(Assumptions!$E$89:$I$89,MATCH(YEAR(AH$3),Assumptions!$E$87:$I$87,0))</f>
        <v/>
      </c>
      <c r="AI30" s="241">
        <f t="array" ref="AI30">INDEX(Assumptions!$E$89:$I$89,MATCH(YEAR(AI$3),Assumptions!$E$87:$I$87,0))</f>
        <v/>
      </c>
      <c r="AJ30" s="241">
        <f t="array" ref="AJ30">INDEX(Assumptions!$E$89:$I$89,MATCH(YEAR(AJ$3),Assumptions!$E$87:$I$87,0))</f>
        <v/>
      </c>
      <c r="AK30" s="241">
        <f t="array" ref="AK30">INDEX(Assumptions!$E$89:$I$89,MATCH(YEAR(AK$3),Assumptions!$E$87:$I$87,0))</f>
        <v/>
      </c>
      <c r="AL30" s="241">
        <f t="array" ref="AL30">INDEX(Assumptions!$E$89:$I$89,MATCH(YEAR(AL$3),Assumptions!$E$87:$I$87,0))</f>
        <v/>
      </c>
      <c r="AM30" s="241">
        <f t="array" ref="AM30">INDEX(Assumptions!$E$89:$I$89,MATCH(YEAR(AM$3),Assumptions!$E$87:$I$87,0))</f>
        <v/>
      </c>
      <c r="AN30" s="241">
        <f t="array" ref="AN30">INDEX(Assumptions!$E$89:$I$89,MATCH(YEAR(AN$3),Assumptions!$E$87:$I$87,0))</f>
        <v/>
      </c>
      <c r="AO30" s="241">
        <f t="array" ref="AO30">INDEX(Assumptions!$E$89:$I$89,MATCH(YEAR(AO$3),Assumptions!$E$87:$I$87,0))</f>
        <v/>
      </c>
      <c r="AP30" s="241">
        <f t="array" ref="AP30">INDEX(Assumptions!$E$89:$I$89,MATCH(YEAR(AP$3),Assumptions!$E$87:$I$87,0))</f>
        <v/>
      </c>
      <c r="AQ30" s="241">
        <f t="array" ref="AQ30">INDEX(Assumptions!$E$89:$I$89,MATCH(YEAR(AQ$3),Assumptions!$E$87:$I$87,0))</f>
        <v/>
      </c>
      <c r="AR30" s="241">
        <f t="array" ref="AR30">INDEX(Assumptions!$E$89:$I$89,MATCH(YEAR(AR$3),Assumptions!$E$87:$I$87,0))</f>
        <v/>
      </c>
      <c r="AS30" s="241">
        <f t="array" ref="AS30">INDEX(Assumptions!$E$89:$I$89,MATCH(YEAR(AS$3),Assumptions!$E$87:$I$87,0))</f>
        <v/>
      </c>
      <c r="AT30" s="241">
        <f t="array" ref="AT30">INDEX(Assumptions!$E$89:$I$89,MATCH(YEAR(AT$3),Assumptions!$E$87:$I$87,0))</f>
        <v/>
      </c>
      <c r="AU30" s="241">
        <f t="array" ref="AU30">INDEX(Assumptions!$E$89:$I$89,MATCH(YEAR(AU$3),Assumptions!$E$87:$I$87,0))</f>
        <v/>
      </c>
      <c r="AV30" s="241">
        <f t="array" ref="AV30">INDEX(Assumptions!$E$89:$I$89,MATCH(YEAR(AV$3),Assumptions!$E$87:$I$87,0))</f>
        <v/>
      </c>
      <c r="AW30" s="241">
        <f t="array" ref="AW30">INDEX(Assumptions!$E$89:$I$89,MATCH(YEAR(AW$3),Assumptions!$E$87:$I$87,0))</f>
        <v/>
      </c>
      <c r="AX30" s="241">
        <f t="array" ref="AX30">INDEX(Assumptions!$E$89:$I$89,MATCH(YEAR(AX$3),Assumptions!$E$87:$I$87,0))</f>
        <v/>
      </c>
      <c r="AY30" s="241">
        <f t="array" ref="AY30">INDEX(Assumptions!$E$89:$I$89,MATCH(YEAR(AY$3),Assumptions!$E$87:$I$87,0))</f>
        <v/>
      </c>
      <c r="AZ30" s="241">
        <f t="array" ref="AZ30">INDEX(Assumptions!$E$89:$I$89,MATCH(YEAR(AZ$3),Assumptions!$E$87:$I$87,0))</f>
        <v/>
      </c>
      <c r="BA30" s="241">
        <f t="array" ref="BA30">INDEX(Assumptions!$E$89:$I$89,MATCH(YEAR(BA$3),Assumptions!$E$87:$I$87,0))</f>
        <v/>
      </c>
      <c r="BB30" s="241">
        <f t="array" ref="BB30">INDEX(Assumptions!$E$89:$I$89,MATCH(YEAR(BB$3),Assumptions!$E$87:$I$87,0))</f>
        <v/>
      </c>
      <c r="BC30" s="233" t="n"/>
      <c r="BD30" s="241">
        <f>SUM(G30:R30)</f>
        <v/>
      </c>
      <c r="BE30" s="241">
        <f>SUM(S30:AD30)</f>
        <v/>
      </c>
      <c r="BF30" s="241">
        <f>SUM(AE30:AP30)</f>
        <v/>
      </c>
      <c r="BG30" s="241">
        <f>SUM(AQ30:BB30)</f>
        <v/>
      </c>
      <c r="BH30" s="275">
        <f>BG30*('Financial Statements'!$BE$7/'Financial Statements'!$BD$7)^0.2</f>
        <v/>
      </c>
      <c r="BI30" s="233" t="n"/>
      <c r="BJ30" s="233" t="n"/>
      <c r="BK30" s="83" t="inlineStr">
        <is>
          <t>other general costs from Assumptions, growing each year</t>
        </is>
      </c>
      <c r="BL30" s="233" t="n"/>
      <c r="BM30" s="233" t="n"/>
    </row>
    <row r="31" ht="15.75" customHeight="1" s="349">
      <c r="A31" s="31" t="n"/>
      <c r="B31" s="274" t="inlineStr">
        <is>
          <t>Finance &amp; Legal etc.</t>
        </is>
      </c>
      <c r="C31" s="307" t="n"/>
      <c r="D31" s="273" t="inlineStr">
        <is>
          <t>€</t>
        </is>
      </c>
      <c r="E31" s="224" t="n"/>
      <c r="F31" s="224" t="n"/>
      <c r="G31" s="241">
        <f>Assumptions!$E$91</f>
        <v/>
      </c>
      <c r="H31" s="241">
        <f>Assumptions!$E$91</f>
        <v/>
      </c>
      <c r="I31" s="241">
        <f>Assumptions!$E$91</f>
        <v/>
      </c>
      <c r="J31" s="241">
        <f>Assumptions!$E$91</f>
        <v/>
      </c>
      <c r="K31" s="241">
        <f>Assumptions!$E$91</f>
        <v/>
      </c>
      <c r="L31" s="241">
        <f>Assumptions!$E$91</f>
        <v/>
      </c>
      <c r="M31" s="241">
        <f>Assumptions!$E$91</f>
        <v/>
      </c>
      <c r="N31" s="241">
        <f>Assumptions!$E$91</f>
        <v/>
      </c>
      <c r="O31" s="241">
        <f>Assumptions!$E$91</f>
        <v/>
      </c>
      <c r="P31" s="241">
        <f>Assumptions!$E$91</f>
        <v/>
      </c>
      <c r="Q31" s="241">
        <f>Assumptions!$E$91</f>
        <v/>
      </c>
      <c r="R31" s="241">
        <f>Assumptions!$E$91</f>
        <v/>
      </c>
      <c r="S31" s="241">
        <f t="array" ref="S31">INDEX(Assumptions!$E$91:$I$91,MATCH(YEAR(S$3),Assumptions!$E$87:$I$87,0))</f>
        <v/>
      </c>
      <c r="T31" s="241">
        <f t="array" ref="T31">INDEX(Assumptions!$E$91:$I$91,MATCH(YEAR(T$3),Assumptions!$E$87:$I$87,0))</f>
        <v/>
      </c>
      <c r="U31" s="241">
        <f t="array" ref="U31">INDEX(Assumptions!$E$91:$I$91,MATCH(YEAR(U$3),Assumptions!$E$87:$I$87,0))</f>
        <v/>
      </c>
      <c r="V31" s="241">
        <f t="array" ref="V31">INDEX(Assumptions!$E$91:$I$91,MATCH(YEAR(V$3),Assumptions!$E$87:$I$87,0))</f>
        <v/>
      </c>
      <c r="W31" s="241">
        <f t="array" ref="W31">INDEX(Assumptions!$E$91:$I$91,MATCH(YEAR(W$3),Assumptions!$E$87:$I$87,0))</f>
        <v/>
      </c>
      <c r="X31" s="241">
        <f t="array" ref="X31">INDEX(Assumptions!$E$91:$I$91,MATCH(YEAR(X$3),Assumptions!$E$87:$I$87,0))</f>
        <v/>
      </c>
      <c r="Y31" s="241">
        <f t="array" ref="Y31">INDEX(Assumptions!$E$91:$I$91,MATCH(YEAR(Y$3),Assumptions!$E$87:$I$87,0))</f>
        <v/>
      </c>
      <c r="Z31" s="241">
        <f t="array" ref="Z31">INDEX(Assumptions!$E$91:$I$91,MATCH(YEAR(Z$3),Assumptions!$E$87:$I$87,0))</f>
        <v/>
      </c>
      <c r="AA31" s="241">
        <f t="array" ref="AA31">INDEX(Assumptions!$E$91:$I$91,MATCH(YEAR(AA$3),Assumptions!$E$87:$I$87,0))</f>
        <v/>
      </c>
      <c r="AB31" s="241">
        <f t="array" ref="AB31">INDEX(Assumptions!$E$91:$I$91,MATCH(YEAR(AB$3),Assumptions!$E$87:$I$87,0))</f>
        <v/>
      </c>
      <c r="AC31" s="241">
        <f t="array" ref="AC31">INDEX(Assumptions!$E$91:$I$91,MATCH(YEAR(AC$3),Assumptions!$E$87:$I$87,0))</f>
        <v/>
      </c>
      <c r="AD31" s="241">
        <f t="array" ref="AD31">INDEX(Assumptions!$E$91:$I$91,MATCH(YEAR(AD$3),Assumptions!$E$87:$I$87,0))</f>
        <v/>
      </c>
      <c r="AE31" s="241">
        <f t="array" ref="AE31">INDEX(Assumptions!$E$91:$I$91,MATCH(YEAR(AE$3),Assumptions!$E$87:$I$87,0))</f>
        <v/>
      </c>
      <c r="AF31" s="241">
        <f t="array" ref="AF31">INDEX(Assumptions!$E$91:$I$91,MATCH(YEAR(AF$3),Assumptions!$E$87:$I$87,0))</f>
        <v/>
      </c>
      <c r="AG31" s="241">
        <f t="array" ref="AG31">INDEX(Assumptions!$E$91:$I$91,MATCH(YEAR(AG$3),Assumptions!$E$87:$I$87,0))</f>
        <v/>
      </c>
      <c r="AH31" s="241">
        <f t="array" ref="AH31">INDEX(Assumptions!$E$91:$I$91,MATCH(YEAR(AH$3),Assumptions!$E$87:$I$87,0))</f>
        <v/>
      </c>
      <c r="AI31" s="241">
        <f t="array" ref="AI31">INDEX(Assumptions!$E$91:$I$91,MATCH(YEAR(AI$3),Assumptions!$E$87:$I$87,0))</f>
        <v/>
      </c>
      <c r="AJ31" s="241">
        <f t="array" ref="AJ31">INDEX(Assumptions!$E$91:$I$91,MATCH(YEAR(AJ$3),Assumptions!$E$87:$I$87,0))</f>
        <v/>
      </c>
      <c r="AK31" s="241">
        <f t="array" ref="AK31">INDEX(Assumptions!$E$91:$I$91,MATCH(YEAR(AK$3),Assumptions!$E$87:$I$87,0))</f>
        <v/>
      </c>
      <c r="AL31" s="241">
        <f t="array" ref="AL31">INDEX(Assumptions!$E$91:$I$91,MATCH(YEAR(AL$3),Assumptions!$E$87:$I$87,0))</f>
        <v/>
      </c>
      <c r="AM31" s="241">
        <f t="array" ref="AM31">INDEX(Assumptions!$E$91:$I$91,MATCH(YEAR(AM$3),Assumptions!$E$87:$I$87,0))</f>
        <v/>
      </c>
      <c r="AN31" s="241">
        <f t="array" ref="AN31">INDEX(Assumptions!$E$91:$I$91,MATCH(YEAR(AN$3),Assumptions!$E$87:$I$87,0))</f>
        <v/>
      </c>
      <c r="AO31" s="241">
        <f t="array" ref="AO31">INDEX(Assumptions!$E$91:$I$91,MATCH(YEAR(AO$3),Assumptions!$E$87:$I$87,0))</f>
        <v/>
      </c>
      <c r="AP31" s="241">
        <f t="array" ref="AP31">INDEX(Assumptions!$E$91:$I$91,MATCH(YEAR(AP$3),Assumptions!$E$87:$I$87,0))</f>
        <v/>
      </c>
      <c r="AQ31" s="241">
        <f t="array" ref="AQ31">INDEX(Assumptions!$E$91:$I$91,MATCH(YEAR(AQ$3),Assumptions!$E$87:$I$87,0))</f>
        <v/>
      </c>
      <c r="AR31" s="241">
        <f t="array" ref="AR31">INDEX(Assumptions!$E$91:$I$91,MATCH(YEAR(AR$3),Assumptions!$E$87:$I$87,0))</f>
        <v/>
      </c>
      <c r="AS31" s="241">
        <f t="array" ref="AS31">INDEX(Assumptions!$E$91:$I$91,MATCH(YEAR(AS$3),Assumptions!$E$87:$I$87,0))</f>
        <v/>
      </c>
      <c r="AT31" s="241">
        <f t="array" ref="AT31">INDEX(Assumptions!$E$91:$I$91,MATCH(YEAR(AT$3),Assumptions!$E$87:$I$87,0))</f>
        <v/>
      </c>
      <c r="AU31" s="241">
        <f t="array" ref="AU31">INDEX(Assumptions!$E$91:$I$91,MATCH(YEAR(AU$3),Assumptions!$E$87:$I$87,0))</f>
        <v/>
      </c>
      <c r="AV31" s="241">
        <f t="array" ref="AV31">INDEX(Assumptions!$E$91:$I$91,MATCH(YEAR(AV$3),Assumptions!$E$87:$I$87,0))</f>
        <v/>
      </c>
      <c r="AW31" s="241">
        <f t="array" ref="AW31">INDEX(Assumptions!$E$91:$I$91,MATCH(YEAR(AW$3),Assumptions!$E$87:$I$87,0))</f>
        <v/>
      </c>
      <c r="AX31" s="241">
        <f t="array" ref="AX31">INDEX(Assumptions!$E$91:$I$91,MATCH(YEAR(AX$3),Assumptions!$E$87:$I$87,0))</f>
        <v/>
      </c>
      <c r="AY31" s="241">
        <f t="array" ref="AY31">INDEX(Assumptions!$E$91:$I$91,MATCH(YEAR(AY$3),Assumptions!$E$87:$I$87,0))</f>
        <v/>
      </c>
      <c r="AZ31" s="241">
        <f t="array" ref="AZ31">INDEX(Assumptions!$E$91:$I$91,MATCH(YEAR(AZ$3),Assumptions!$E$87:$I$87,0))</f>
        <v/>
      </c>
      <c r="BA31" s="241">
        <f t="array" ref="BA31">INDEX(Assumptions!$E$91:$I$91,MATCH(YEAR(BA$3),Assumptions!$E$87:$I$87,0))</f>
        <v/>
      </c>
      <c r="BB31" s="241">
        <f t="array" ref="BB31">INDEX(Assumptions!$E$91:$I$91,MATCH(YEAR(BB$3),Assumptions!$E$87:$I$87,0))</f>
        <v/>
      </c>
      <c r="BC31" s="233" t="n"/>
      <c r="BD31" s="241">
        <f>SUM(G31:R31)</f>
        <v/>
      </c>
      <c r="BE31" s="241">
        <f>SUM(S31:AD31)</f>
        <v/>
      </c>
      <c r="BF31" s="241">
        <f>SUM(AE31:AP31)</f>
        <v/>
      </c>
      <c r="BG31" s="241">
        <f>SUM(AQ31:BB31)</f>
        <v/>
      </c>
      <c r="BH31" s="275">
        <f>BG31*('Financial Statements'!$BE$7/'Financial Statements'!$BD$7)^0.2</f>
        <v/>
      </c>
      <c r="BI31" s="233" t="n"/>
      <c r="BJ31" s="233" t="n"/>
      <c r="BK31" s="83" t="inlineStr">
        <is>
          <t>finance &amp; legal from Assumptions, growing each year</t>
        </is>
      </c>
      <c r="BL31" s="233" t="n"/>
      <c r="BM31" s="233" t="n"/>
    </row>
    <row r="32" ht="12.75" customHeight="1" s="349">
      <c r="A32" s="254" t="n"/>
      <c r="B32" s="243" t="inlineStr">
        <is>
          <t>Total G&amp;A</t>
        </is>
      </c>
      <c r="C32" s="276" t="n"/>
      <c r="D32" s="277" t="n"/>
      <c r="E32" s="278" t="n"/>
      <c r="F32" s="278" t="n"/>
      <c r="G32" s="227" t="n"/>
      <c r="H32" s="227" t="n"/>
      <c r="I32" s="227" t="n"/>
      <c r="J32" s="227" t="n"/>
      <c r="K32" s="227" t="n"/>
      <c r="L32" s="227" t="n"/>
      <c r="M32" s="227" t="n"/>
      <c r="N32" s="227" t="n"/>
      <c r="O32" s="227" t="n"/>
      <c r="P32" s="227" t="n"/>
      <c r="Q32" s="227" t="n"/>
      <c r="R32" s="227" t="n"/>
      <c r="S32" s="227">
        <f>sum(S29:S31)</f>
        <v/>
      </c>
      <c r="T32" s="227">
        <f>sum(T29:T31)</f>
        <v/>
      </c>
      <c r="U32" s="227">
        <f>sum(U29:U31)</f>
        <v/>
      </c>
      <c r="V32" s="227">
        <f>sum(V29:V31)</f>
        <v/>
      </c>
      <c r="W32" s="227">
        <f>sum(W29:W31)</f>
        <v/>
      </c>
      <c r="X32" s="227">
        <f>sum(X29:X31)</f>
        <v/>
      </c>
      <c r="Y32" s="227">
        <f>sum(Y29:Y31)</f>
        <v/>
      </c>
      <c r="Z32" s="227">
        <f>sum(Z29:Z31)</f>
        <v/>
      </c>
      <c r="AA32" s="227">
        <f>sum(AA29:AA31)</f>
        <v/>
      </c>
      <c r="AB32" s="227">
        <f>sum(AB29:AB31)</f>
        <v/>
      </c>
      <c r="AC32" s="227">
        <f>sum(AC29:AC31)</f>
        <v/>
      </c>
      <c r="AD32" s="227">
        <f>sum(AD29:AD31)</f>
        <v/>
      </c>
      <c r="AE32" s="227">
        <f>sum(AE29:AE31)</f>
        <v/>
      </c>
      <c r="AF32" s="227">
        <f>sum(AF29:AF31)</f>
        <v/>
      </c>
      <c r="AG32" s="227">
        <f>sum(AG29:AG31)</f>
        <v/>
      </c>
      <c r="AH32" s="227">
        <f>sum(AH29:AH31)</f>
        <v/>
      </c>
      <c r="AI32" s="227">
        <f>sum(AI29:AI31)</f>
        <v/>
      </c>
      <c r="AJ32" s="227">
        <f>sum(AJ29:AJ31)</f>
        <v/>
      </c>
      <c r="AK32" s="227">
        <f>sum(AK29:AK31)</f>
        <v/>
      </c>
      <c r="AL32" s="227">
        <f>sum(AL29:AL31)</f>
        <v/>
      </c>
      <c r="AM32" s="227">
        <f>sum(AM29:AM31)</f>
        <v/>
      </c>
      <c r="AN32" s="227">
        <f>sum(AN29:AN31)</f>
        <v/>
      </c>
      <c r="AO32" s="227">
        <f>sum(AO29:AO31)</f>
        <v/>
      </c>
      <c r="AP32" s="227">
        <f>sum(AP29:AP31)</f>
        <v/>
      </c>
      <c r="AQ32" s="227">
        <f>sum(AQ29:AQ31)</f>
        <v/>
      </c>
      <c r="AR32" s="227">
        <f>sum(AR29:AR31)</f>
        <v/>
      </c>
      <c r="AS32" s="227">
        <f>sum(AS29:AS31)</f>
        <v/>
      </c>
      <c r="AT32" s="227">
        <f>sum(AT29:AT31)</f>
        <v/>
      </c>
      <c r="AU32" s="227">
        <f>sum(AU29:AU31)</f>
        <v/>
      </c>
      <c r="AV32" s="227">
        <f>sum(AV29:AV31)</f>
        <v/>
      </c>
      <c r="AW32" s="227">
        <f>sum(AW29:AW31)</f>
        <v/>
      </c>
      <c r="AX32" s="227">
        <f>sum(AX29:AX31)</f>
        <v/>
      </c>
      <c r="AY32" s="227">
        <f>sum(AY29:AY31)</f>
        <v/>
      </c>
      <c r="AZ32" s="227">
        <f>sum(AZ29:AZ31)</f>
        <v/>
      </c>
      <c r="BA32" s="227">
        <f>sum(BA29:BA31)</f>
        <v/>
      </c>
      <c r="BB32" s="227">
        <f>sum(BB29:BB31)</f>
        <v/>
      </c>
      <c r="BC32" s="233" t="n"/>
      <c r="BD32" s="227">
        <f>SUM(G32:R32)</f>
        <v/>
      </c>
      <c r="BE32" s="227">
        <f>SUM(S32:AD32)</f>
        <v/>
      </c>
      <c r="BF32" s="227">
        <f>SUM(AE32:AP32)</f>
        <v/>
      </c>
      <c r="BG32" s="227">
        <f>SUM(AQ32:BB32)</f>
        <v/>
      </c>
      <c r="BH32" s="227">
        <f>sum(BH29:BH31)</f>
        <v/>
      </c>
      <c r="BI32" s="233" t="n"/>
      <c r="BJ32" s="233" t="n"/>
      <c r="BK32" s="83" t="inlineStr">
        <is>
          <t>the three G&amp;A lines added</t>
        </is>
      </c>
      <c r="BL32" s="233" t="n"/>
      <c r="BM32" s="233" t="n"/>
    </row>
    <row r="33" ht="15.75" customHeight="1" s="349">
      <c r="A33" s="31" t="n"/>
      <c r="B33" s="307" t="n"/>
      <c r="C33" s="307" t="n"/>
      <c r="D33" s="146" t="n"/>
      <c r="E33" s="307" t="n"/>
      <c r="F33" s="307" t="n"/>
      <c r="G33" s="233" t="n"/>
      <c r="H33" s="233" t="n"/>
      <c r="I33" s="233" t="n"/>
      <c r="J33" s="233" t="n"/>
      <c r="K33" s="233" t="n"/>
      <c r="L33" s="233" t="n"/>
      <c r="M33" s="233" t="n"/>
      <c r="N33" s="233" t="n"/>
      <c r="O33" s="233" t="n"/>
      <c r="P33" s="233" t="n"/>
      <c r="Q33" s="233" t="n"/>
      <c r="R33" s="233" t="n"/>
      <c r="S33" s="233" t="n"/>
      <c r="T33" s="233" t="n"/>
      <c r="U33" s="233" t="n"/>
      <c r="V33" s="233" t="n"/>
      <c r="W33" s="233" t="n"/>
      <c r="X33" s="233" t="n"/>
      <c r="Y33" s="233" t="n"/>
      <c r="Z33" s="233" t="n"/>
      <c r="AA33" s="233" t="n"/>
      <c r="AB33" s="233" t="n"/>
      <c r="AC33" s="233" t="n"/>
      <c r="AD33" s="233" t="n"/>
      <c r="AE33" s="233" t="n"/>
      <c r="AF33" s="233" t="n"/>
      <c r="AG33" s="233" t="n"/>
      <c r="AH33" s="233" t="n"/>
      <c r="AI33" s="233" t="n"/>
      <c r="AJ33" s="233" t="n"/>
      <c r="AK33" s="233" t="n"/>
      <c r="AL33" s="233" t="n"/>
      <c r="AM33" s="233" t="n"/>
      <c r="AN33" s="233" t="n"/>
      <c r="AO33" s="233" t="n"/>
      <c r="AP33" s="233" t="n"/>
      <c r="AQ33" s="233" t="n"/>
      <c r="AR33" s="233" t="n"/>
      <c r="AS33" s="233" t="n"/>
      <c r="AT33" s="233" t="n"/>
      <c r="AU33" s="233" t="n"/>
      <c r="AV33" s="233" t="n"/>
      <c r="AW33" s="233" t="n"/>
      <c r="AX33" s="233" t="n"/>
      <c r="AY33" s="233" t="n"/>
      <c r="AZ33" s="233" t="n"/>
      <c r="BA33" s="233" t="n"/>
      <c r="BB33" s="233" t="n"/>
      <c r="BC33" s="233" t="n"/>
      <c r="BD33" s="233" t="n"/>
      <c r="BE33" s="233" t="n"/>
      <c r="BF33" s="233" t="n"/>
      <c r="BG33" s="233" t="n"/>
      <c r="BH33" s="233" t="n"/>
      <c r="BI33" s="233" t="n"/>
      <c r="BJ33" s="233" t="n"/>
      <c r="BK33" s="83" t="n"/>
      <c r="BL33" s="233" t="n"/>
      <c r="BM33" s="233" t="n"/>
    </row>
    <row r="34" ht="15.75" customHeight="1" s="349">
      <c r="A34" s="290" t="n"/>
      <c r="B34" s="8" t="inlineStr">
        <is>
          <t>Total non-personnell</t>
        </is>
      </c>
      <c r="C34" s="214" t="n"/>
      <c r="D34" s="282" t="inlineStr">
        <is>
          <t>€</t>
        </is>
      </c>
      <c r="E34" s="214" t="n"/>
      <c r="F34" s="214" t="n"/>
      <c r="G34" s="126">
        <f>G32+G26+G19</f>
        <v/>
      </c>
      <c r="H34" s="126">
        <f>H32+H26+H19</f>
        <v/>
      </c>
      <c r="I34" s="126">
        <f>I32+I26+I19</f>
        <v/>
      </c>
      <c r="J34" s="126">
        <f>J32+J26+J19</f>
        <v/>
      </c>
      <c r="K34" s="126">
        <f>K32+K26+K19</f>
        <v/>
      </c>
      <c r="L34" s="126">
        <f>L32+L26+L19</f>
        <v/>
      </c>
      <c r="M34" s="126">
        <f>M32+M26+M19</f>
        <v/>
      </c>
      <c r="N34" s="126">
        <f>N32+N26+N19</f>
        <v/>
      </c>
      <c r="O34" s="126">
        <f>O32+O26+O19</f>
        <v/>
      </c>
      <c r="P34" s="126">
        <f>P32+P26+P19</f>
        <v/>
      </c>
      <c r="Q34" s="126">
        <f>Q32+Q26+Q19</f>
        <v/>
      </c>
      <c r="R34" s="126">
        <f>R32+R26+R19</f>
        <v/>
      </c>
      <c r="S34" s="126">
        <f>S32+S26+S19</f>
        <v/>
      </c>
      <c r="T34" s="126">
        <f>T32+T26+T19</f>
        <v/>
      </c>
      <c r="U34" s="126">
        <f>U32+U26+U19</f>
        <v/>
      </c>
      <c r="V34" s="126">
        <f>V32+V26+V19</f>
        <v/>
      </c>
      <c r="W34" s="126">
        <f>W32+W26+W19</f>
        <v/>
      </c>
      <c r="X34" s="126">
        <f>X32+X26+X19</f>
        <v/>
      </c>
      <c r="Y34" s="126">
        <f>Y32+Y26+Y19</f>
        <v/>
      </c>
      <c r="Z34" s="126">
        <f>Z32+Z26+Z19</f>
        <v/>
      </c>
      <c r="AA34" s="126">
        <f>AA32+AA26+AA19</f>
        <v/>
      </c>
      <c r="AB34" s="126">
        <f>AB32+AB26+AB19</f>
        <v/>
      </c>
      <c r="AC34" s="126">
        <f>AC32+AC26+AC19</f>
        <v/>
      </c>
      <c r="AD34" s="126">
        <f>AD32+AD26+AD19</f>
        <v/>
      </c>
      <c r="AE34" s="126">
        <f>AE32+AE26+AE19</f>
        <v/>
      </c>
      <c r="AF34" s="126">
        <f>AF32+AF26+AF19</f>
        <v/>
      </c>
      <c r="AG34" s="126">
        <f>AG32+AG26+AG19</f>
        <v/>
      </c>
      <c r="AH34" s="126">
        <f>AH32+AH26+AH19</f>
        <v/>
      </c>
      <c r="AI34" s="126">
        <f>AI32+AI26+AI19</f>
        <v/>
      </c>
      <c r="AJ34" s="126">
        <f>AJ32+AJ26+AJ19</f>
        <v/>
      </c>
      <c r="AK34" s="126">
        <f>AK32+AK26+AK19</f>
        <v/>
      </c>
      <c r="AL34" s="126">
        <f>AL32+AL26+AL19</f>
        <v/>
      </c>
      <c r="AM34" s="126">
        <f>AM32+AM26+AM19</f>
        <v/>
      </c>
      <c r="AN34" s="126">
        <f>AN32+AN26+AN19</f>
        <v/>
      </c>
      <c r="AO34" s="126">
        <f>AO32+AO26+AO19</f>
        <v/>
      </c>
      <c r="AP34" s="126">
        <f>AP32+AP26+AP19</f>
        <v/>
      </c>
      <c r="AQ34" s="126">
        <f>AQ32+AQ26+AQ19</f>
        <v/>
      </c>
      <c r="AR34" s="126">
        <f>AR32+AR26+AR19</f>
        <v/>
      </c>
      <c r="AS34" s="126">
        <f>AS32+AS26+AS19</f>
        <v/>
      </c>
      <c r="AT34" s="126">
        <f>AT32+AT26+AT19</f>
        <v/>
      </c>
      <c r="AU34" s="126">
        <f>AU32+AU26+AU19</f>
        <v/>
      </c>
      <c r="AV34" s="126">
        <f>AV32+AV26+AV19</f>
        <v/>
      </c>
      <c r="AW34" s="126">
        <f>AW32+AW26+AW19</f>
        <v/>
      </c>
      <c r="AX34" s="126">
        <f>AX32+AX26+AX19</f>
        <v/>
      </c>
      <c r="AY34" s="126">
        <f>AY32+AY26+AY19</f>
        <v/>
      </c>
      <c r="AZ34" s="126">
        <f>AZ32+AZ26+AZ19</f>
        <v/>
      </c>
      <c r="BA34" s="126">
        <f>BA32+BA26+BA19</f>
        <v/>
      </c>
      <c r="BB34" s="126">
        <f>BB32+BB26+BB19</f>
        <v/>
      </c>
      <c r="BC34" s="156" t="n"/>
      <c r="BD34" s="126">
        <f>SUM(G34:R34)</f>
        <v/>
      </c>
      <c r="BE34" s="126">
        <f>SUM(S34:AD34)</f>
        <v/>
      </c>
      <c r="BF34" s="126">
        <f>SUM(AE34:AP34)</f>
        <v/>
      </c>
      <c r="BG34" s="126">
        <f>SUM(AQ34:BB34)</f>
        <v/>
      </c>
      <c r="BH34" s="126">
        <f>BH32+BH26+BH19</f>
        <v/>
      </c>
      <c r="BI34" s="156" t="n"/>
      <c r="BJ34" s="156" t="n"/>
      <c r="BK34" s="83" t="inlineStr">
        <is>
          <t>R&amp;D + S&amp;M + G&amp;A, everything except salaries</t>
        </is>
      </c>
      <c r="BL34" s="156" t="n"/>
      <c r="BM34" s="156" t="n"/>
    </row>
    <row r="35" ht="15.75" customHeight="1" s="349">
      <c r="A35" s="57" t="n"/>
      <c r="B35" s="291" t="n"/>
      <c r="C35" s="57" t="n"/>
      <c r="D35" s="292" t="n"/>
      <c r="E35" s="293" t="n"/>
      <c r="F35" s="293" t="n"/>
      <c r="G35" s="294" t="n"/>
      <c r="H35" s="294" t="n"/>
      <c r="I35" s="294" t="n"/>
      <c r="J35" s="294" t="n"/>
      <c r="K35" s="294" t="n"/>
      <c r="L35" s="294" t="n"/>
      <c r="M35" s="294" t="n"/>
      <c r="N35" s="294" t="n"/>
      <c r="O35" s="294" t="n"/>
      <c r="P35" s="294" t="n"/>
      <c r="Q35" s="294" t="n"/>
      <c r="R35" s="294" t="n"/>
      <c r="S35" s="294" t="n"/>
      <c r="T35" s="294" t="n"/>
      <c r="U35" s="294" t="n"/>
      <c r="V35" s="294" t="n"/>
      <c r="W35" s="294" t="n"/>
      <c r="X35" s="294" t="n"/>
      <c r="Y35" s="294" t="n"/>
      <c r="Z35" s="294" t="n"/>
      <c r="AA35" s="294" t="n"/>
      <c r="AB35" s="294" t="n"/>
      <c r="AC35" s="294" t="n"/>
      <c r="AD35" s="294" t="n"/>
      <c r="AE35" s="294" t="n"/>
      <c r="AF35" s="294" t="n"/>
      <c r="AG35" s="294" t="n"/>
      <c r="AH35" s="294" t="n"/>
      <c r="AI35" s="294" t="n"/>
      <c r="AJ35" s="294" t="n"/>
      <c r="AK35" s="294" t="n"/>
      <c r="AL35" s="294" t="n"/>
      <c r="AM35" s="294" t="n"/>
      <c r="AN35" s="294" t="n"/>
      <c r="AO35" s="294" t="n"/>
      <c r="AP35" s="294" t="n"/>
      <c r="AQ35" s="294" t="n"/>
      <c r="AR35" s="294" t="n"/>
      <c r="AS35" s="294" t="n"/>
      <c r="AT35" s="294" t="n"/>
      <c r="AU35" s="294" t="n"/>
      <c r="AV35" s="294" t="n"/>
      <c r="AW35" s="294" t="n"/>
      <c r="AX35" s="294" t="n"/>
      <c r="AY35" s="294" t="n"/>
      <c r="AZ35" s="294" t="n"/>
      <c r="BA35" s="294" t="n"/>
      <c r="BB35" s="294" t="n"/>
      <c r="BC35" s="156" t="n"/>
      <c r="BD35" s="294" t="n"/>
      <c r="BE35" s="294" t="n"/>
      <c r="BF35" s="294" t="n"/>
      <c r="BG35" s="294" t="n"/>
      <c r="BH35" s="294" t="n"/>
      <c r="BI35" s="156" t="n"/>
      <c r="BJ35" s="156" t="n"/>
      <c r="BK35" s="83" t="n"/>
      <c r="BL35" s="156" t="n"/>
      <c r="BM35" s="156" t="n"/>
    </row>
    <row r="36" ht="15.75" customHeight="1" s="349">
      <c r="A36" s="290" t="n"/>
      <c r="B36" s="8" t="inlineStr">
        <is>
          <t>TOTAL OPEX</t>
        </is>
      </c>
      <c r="C36" s="214" t="n"/>
      <c r="D36" s="282" t="inlineStr">
        <is>
          <t>€</t>
        </is>
      </c>
      <c r="E36" s="214" t="n"/>
      <c r="F36" s="214" t="n"/>
      <c r="G36" s="126">
        <f>G34+G9+G48</f>
        <v/>
      </c>
      <c r="H36" s="126">
        <f>H34+H9+H48</f>
        <v/>
      </c>
      <c r="I36" s="126">
        <f>I34+I9+I48</f>
        <v/>
      </c>
      <c r="J36" s="126">
        <f>J34+J9+J48</f>
        <v/>
      </c>
      <c r="K36" s="126">
        <f>K34+K9+K48</f>
        <v/>
      </c>
      <c r="L36" s="126">
        <f>L34+L9+L48</f>
        <v/>
      </c>
      <c r="M36" s="126">
        <f>M34+M9+M48</f>
        <v/>
      </c>
      <c r="N36" s="126">
        <f>N34+N9+N48</f>
        <v/>
      </c>
      <c r="O36" s="126">
        <f>O34+O9+O48</f>
        <v/>
      </c>
      <c r="P36" s="126">
        <f>P34+P9+P48</f>
        <v/>
      </c>
      <c r="Q36" s="126">
        <f>Q34+Q9+Q48</f>
        <v/>
      </c>
      <c r="R36" s="126">
        <f>R34+R9+R48</f>
        <v/>
      </c>
      <c r="S36" s="126">
        <f>S34+S9+S48</f>
        <v/>
      </c>
      <c r="T36" s="126">
        <f>T34+T9+T48</f>
        <v/>
      </c>
      <c r="U36" s="126">
        <f>U34+U9+U48</f>
        <v/>
      </c>
      <c r="V36" s="126">
        <f>V34+V9+V48</f>
        <v/>
      </c>
      <c r="W36" s="126">
        <f>W34+W9+W48</f>
        <v/>
      </c>
      <c r="X36" s="126">
        <f>X34+X9+X48</f>
        <v/>
      </c>
      <c r="Y36" s="126">
        <f>Y34+Y9+Y48</f>
        <v/>
      </c>
      <c r="Z36" s="126">
        <f>Z34+Z9+Z48</f>
        <v/>
      </c>
      <c r="AA36" s="126">
        <f>AA34+AA9+AA48</f>
        <v/>
      </c>
      <c r="AB36" s="126">
        <f>AB34+AB9+AB48</f>
        <v/>
      </c>
      <c r="AC36" s="126">
        <f>AC34+AC9+AC48</f>
        <v/>
      </c>
      <c r="AD36" s="126">
        <f>AD34+AD9+AD48</f>
        <v/>
      </c>
      <c r="AE36" s="126">
        <f>AE34+AE9+AE48</f>
        <v/>
      </c>
      <c r="AF36" s="126">
        <f>AF34+AF9+AF48</f>
        <v/>
      </c>
      <c r="AG36" s="126">
        <f>AG34+AG9+AG48</f>
        <v/>
      </c>
      <c r="AH36" s="126">
        <f>AH34+AH9+AH48</f>
        <v/>
      </c>
      <c r="AI36" s="126">
        <f>AI34+AI9+AI48</f>
        <v/>
      </c>
      <c r="AJ36" s="126">
        <f>AJ34+AJ9+AJ48</f>
        <v/>
      </c>
      <c r="AK36" s="126">
        <f>AK34+AK9+AK48</f>
        <v/>
      </c>
      <c r="AL36" s="126">
        <f>AL34+AL9+AL48</f>
        <v/>
      </c>
      <c r="AM36" s="126">
        <f>AM34+AM9+AM48</f>
        <v/>
      </c>
      <c r="AN36" s="126">
        <f>AN34+AN9+AN48</f>
        <v/>
      </c>
      <c r="AO36" s="126">
        <f>AO34+AO9+AO48</f>
        <v/>
      </c>
      <c r="AP36" s="126">
        <f>AP34+AP9+AP48</f>
        <v/>
      </c>
      <c r="AQ36" s="126">
        <f>AQ34+AQ9+AQ48</f>
        <v/>
      </c>
      <c r="AR36" s="126">
        <f>AR34+AR9+AR48</f>
        <v/>
      </c>
      <c r="AS36" s="126">
        <f>AS34+AS9+AS48</f>
        <v/>
      </c>
      <c r="AT36" s="126">
        <f>AT34+AT9+AT48</f>
        <v/>
      </c>
      <c r="AU36" s="126">
        <f>AU34+AU9+AU48</f>
        <v/>
      </c>
      <c r="AV36" s="126">
        <f>AV34+AV9+AV48</f>
        <v/>
      </c>
      <c r="AW36" s="126">
        <f>AW34+AW9+AW48</f>
        <v/>
      </c>
      <c r="AX36" s="126">
        <f>AX34+AX9+AX48</f>
        <v/>
      </c>
      <c r="AY36" s="126">
        <f>AY34+AY9+AY48</f>
        <v/>
      </c>
      <c r="AZ36" s="126">
        <f>AZ34+AZ9+AZ48</f>
        <v/>
      </c>
      <c r="BA36" s="126">
        <f>BA34+BA9+BA48</f>
        <v/>
      </c>
      <c r="BB36" s="126">
        <f>BB34+BB9+BB48</f>
        <v/>
      </c>
      <c r="BC36" s="156" t="n"/>
      <c r="BD36" s="126">
        <f>BD34+BD9+BD48</f>
        <v/>
      </c>
      <c r="BE36" s="126">
        <f>BE34+BE9+BE48</f>
        <v/>
      </c>
      <c r="BF36" s="126">
        <f>BF34+BF9+BF48</f>
        <v/>
      </c>
      <c r="BG36" s="126">
        <f>BG34+BG9+BG48</f>
        <v/>
      </c>
      <c r="BH36" s="126">
        <f>BH34+BH9+BH48</f>
        <v/>
      </c>
      <c r="BI36" s="156" t="n"/>
      <c r="BJ36" s="156" t="n"/>
      <c r="BK36" s="83" t="inlineStr">
        <is>
          <t>salaries + all other operating costs</t>
        </is>
      </c>
      <c r="BL36" s="156" t="n"/>
      <c r="BM36" s="156" t="n"/>
    </row>
    <row r="37" ht="15.75" customHeight="1" s="349">
      <c r="A37" s="151" t="n"/>
      <c r="B37" s="200" t="n"/>
      <c r="C37" s="200" t="n"/>
      <c r="D37" s="148" t="n"/>
      <c r="E37" s="200" t="n"/>
      <c r="F37" s="200" t="n"/>
      <c r="G37" s="156" t="n"/>
      <c r="H37" s="156" t="n"/>
      <c r="I37" s="156" t="n"/>
      <c r="J37" s="156" t="n"/>
      <c r="K37" s="156" t="n"/>
      <c r="L37" s="156" t="n"/>
      <c r="M37" s="156" t="n"/>
      <c r="N37" s="156" t="n"/>
      <c r="O37" s="156" t="n"/>
      <c r="P37" s="156" t="n"/>
      <c r="Q37" s="156" t="n"/>
      <c r="R37" s="156" t="n"/>
      <c r="S37" s="156" t="n"/>
      <c r="T37" s="156" t="n"/>
      <c r="U37" s="156" t="n"/>
      <c r="V37" s="156" t="n"/>
      <c r="W37" s="156" t="n"/>
      <c r="X37" s="156" t="n"/>
      <c r="Y37" s="156" t="n"/>
      <c r="Z37" s="156" t="n"/>
      <c r="AA37" s="156" t="n"/>
      <c r="AB37" s="156" t="n"/>
      <c r="AC37" s="156" t="n"/>
      <c r="AD37" s="156" t="n"/>
      <c r="AE37" s="156" t="n"/>
      <c r="AF37" s="156" t="n"/>
      <c r="AG37" s="156" t="n"/>
      <c r="AH37" s="156" t="n"/>
      <c r="AI37" s="156" t="n"/>
      <c r="AJ37" s="156" t="n"/>
      <c r="AK37" s="156" t="n"/>
      <c r="AL37" s="156" t="n"/>
      <c r="AM37" s="156" t="n"/>
      <c r="AN37" s="156" t="n"/>
      <c r="AO37" s="156" t="n"/>
      <c r="AP37" s="156" t="n"/>
      <c r="AQ37" s="156" t="n"/>
      <c r="AR37" s="156" t="n"/>
      <c r="AS37" s="156" t="n"/>
      <c r="AT37" s="156" t="n"/>
      <c r="AU37" s="156" t="n"/>
      <c r="AV37" s="156" t="n"/>
      <c r="AW37" s="156" t="n"/>
      <c r="AX37" s="156" t="n"/>
      <c r="AY37" s="156" t="n"/>
      <c r="AZ37" s="156" t="n"/>
      <c r="BA37" s="156" t="n"/>
      <c r="BB37" s="156" t="n"/>
      <c r="BC37" s="156" t="n"/>
      <c r="BD37" s="156" t="n"/>
      <c r="BE37" s="156" t="n"/>
      <c r="BF37" s="156" t="n"/>
      <c r="BG37" s="156" t="n"/>
      <c r="BH37" s="156" t="n"/>
      <c r="BI37" s="156" t="n"/>
      <c r="BJ37" s="156" t="n"/>
      <c r="BK37" s="83" t="n"/>
      <c r="BL37" s="156" t="n"/>
      <c r="BM37" s="156" t="n"/>
    </row>
    <row r="38" ht="15.75" customHeight="1" s="349">
      <c r="A38" s="290" t="n"/>
      <c r="B38" s="8" t="inlineStr">
        <is>
          <t>Total R&amp;D</t>
        </is>
      </c>
      <c r="C38" s="214" t="n"/>
      <c r="D38" s="282" t="inlineStr">
        <is>
          <t>€</t>
        </is>
      </c>
      <c r="E38" s="214" t="n"/>
      <c r="F38" s="214" t="n"/>
      <c r="G38" s="126">
        <f>G19+G6+G49</f>
        <v/>
      </c>
      <c r="H38" s="126">
        <f>H19+H6+H49</f>
        <v/>
      </c>
      <c r="I38" s="126">
        <f>I19+I6+I49</f>
        <v/>
      </c>
      <c r="J38" s="126">
        <f>J19+J6+J49</f>
        <v/>
      </c>
      <c r="K38" s="126">
        <f>K19+K6+K49</f>
        <v/>
      </c>
      <c r="L38" s="126">
        <f>L19+L6+L49</f>
        <v/>
      </c>
      <c r="M38" s="126">
        <f>M19+M6+M49</f>
        <v/>
      </c>
      <c r="N38" s="126">
        <f>N19+N6+N49</f>
        <v/>
      </c>
      <c r="O38" s="126">
        <f>O19+O6+O49</f>
        <v/>
      </c>
      <c r="P38" s="126">
        <f>P19+P6+P49</f>
        <v/>
      </c>
      <c r="Q38" s="126">
        <f>Q19+Q6+Q49</f>
        <v/>
      </c>
      <c r="R38" s="126">
        <f>R19+R6+R49</f>
        <v/>
      </c>
      <c r="S38" s="126">
        <f>S19+S6+S49</f>
        <v/>
      </c>
      <c r="T38" s="126">
        <f>T19+T6+T49</f>
        <v/>
      </c>
      <c r="U38" s="126">
        <f>U19+U6+U49</f>
        <v/>
      </c>
      <c r="V38" s="126">
        <f>V19+V6+V49</f>
        <v/>
      </c>
      <c r="W38" s="126">
        <f>W19+W6+W49</f>
        <v/>
      </c>
      <c r="X38" s="126">
        <f>X19+X6+X49</f>
        <v/>
      </c>
      <c r="Y38" s="126">
        <f>Y19+Y6+Y49</f>
        <v/>
      </c>
      <c r="Z38" s="126">
        <f>Z19+Z6+Z49</f>
        <v/>
      </c>
      <c r="AA38" s="126">
        <f>AA19+AA6+AA49</f>
        <v/>
      </c>
      <c r="AB38" s="126">
        <f>AB19+AB6+AB49</f>
        <v/>
      </c>
      <c r="AC38" s="126">
        <f>AC19+AC6+AC49</f>
        <v/>
      </c>
      <c r="AD38" s="126">
        <f>AD19+AD6+AD49</f>
        <v/>
      </c>
      <c r="AE38" s="126">
        <f>AE19+AE6+AE49</f>
        <v/>
      </c>
      <c r="AF38" s="126">
        <f>AF19+AF6+AF49</f>
        <v/>
      </c>
      <c r="AG38" s="126">
        <f>AG19+AG6+AG49</f>
        <v/>
      </c>
      <c r="AH38" s="126">
        <f>AH19+AH6+AH49</f>
        <v/>
      </c>
      <c r="AI38" s="126">
        <f>AI19+AI6+AI49</f>
        <v/>
      </c>
      <c r="AJ38" s="126">
        <f>AJ19+AJ6+AJ49</f>
        <v/>
      </c>
      <c r="AK38" s="126">
        <f>AK19+AK6+AK49</f>
        <v/>
      </c>
      <c r="AL38" s="126">
        <f>AL19+AL6+AL49</f>
        <v/>
      </c>
      <c r="AM38" s="126">
        <f>AM19+AM6+AM49</f>
        <v/>
      </c>
      <c r="AN38" s="126">
        <f>AN19+AN6+AN49</f>
        <v/>
      </c>
      <c r="AO38" s="126">
        <f>AO19+AO6+AO49</f>
        <v/>
      </c>
      <c r="AP38" s="126">
        <f>AP19+AP6+AP49</f>
        <v/>
      </c>
      <c r="AQ38" s="126">
        <f>AQ19+AQ6+AQ49</f>
        <v/>
      </c>
      <c r="AR38" s="126">
        <f>AR19+AR6+AR49</f>
        <v/>
      </c>
      <c r="AS38" s="126">
        <f>AS19+AS6+AS49</f>
        <v/>
      </c>
      <c r="AT38" s="126">
        <f>AT19+AT6+AT49</f>
        <v/>
      </c>
      <c r="AU38" s="126">
        <f>AU19+AU6+AU49</f>
        <v/>
      </c>
      <c r="AV38" s="126">
        <f>AV19+AV6+AV49</f>
        <v/>
      </c>
      <c r="AW38" s="126">
        <f>AW19+AW6+AW49</f>
        <v/>
      </c>
      <c r="AX38" s="126">
        <f>AX19+AX6+AX49</f>
        <v/>
      </c>
      <c r="AY38" s="126">
        <f>AY19+AY6+AY49</f>
        <v/>
      </c>
      <c r="AZ38" s="126">
        <f>AZ19+AZ6+AZ49</f>
        <v/>
      </c>
      <c r="BA38" s="126">
        <f>BA19+BA6+BA49</f>
        <v/>
      </c>
      <c r="BB38" s="126">
        <f>BB19+BB6+BB49</f>
        <v/>
      </c>
      <c r="BC38" s="156" t="n"/>
      <c r="BD38" s="126">
        <f>BD19+BD6+BD49</f>
        <v/>
      </c>
      <c r="BE38" s="126">
        <f>BE19+BE6+BE49</f>
        <v/>
      </c>
      <c r="BF38" s="126">
        <f>BF19+BF6+BF49</f>
        <v/>
      </c>
      <c r="BG38" s="126">
        <f>BG19+BG6+BG49</f>
        <v/>
      </c>
      <c r="BH38" s="126">
        <f>BH19+BH6+BH49</f>
        <v/>
      </c>
      <c r="BI38" s="156" t="n"/>
      <c r="BJ38" s="156" t="n"/>
      <c r="BK38" s="83" t="inlineStr">
        <is>
          <t>R&amp;D people + R&amp;D other. this is the line the P&amp;L reads</t>
        </is>
      </c>
      <c r="BL38" s="156" t="n"/>
      <c r="BM38" s="156" t="n"/>
    </row>
    <row r="39" ht="15.75" customHeight="1" s="349">
      <c r="A39" s="290" t="n"/>
      <c r="B39" s="8" t="inlineStr">
        <is>
          <t>Total S&amp;M</t>
        </is>
      </c>
      <c r="C39" s="214" t="n"/>
      <c r="D39" s="282" t="inlineStr">
        <is>
          <t>€</t>
        </is>
      </c>
      <c r="E39" s="214" t="n"/>
      <c r="F39" s="214" t="n"/>
      <c r="G39" s="126">
        <f>G26+G7+G46</f>
        <v/>
      </c>
      <c r="H39" s="126">
        <f>H26+H7+H46</f>
        <v/>
      </c>
      <c r="I39" s="126">
        <f>I26+I7+I46</f>
        <v/>
      </c>
      <c r="J39" s="126">
        <f>J26+J7+J46</f>
        <v/>
      </c>
      <c r="K39" s="126">
        <f>K26+K7+K46</f>
        <v/>
      </c>
      <c r="L39" s="126">
        <f>L26+L7+L46</f>
        <v/>
      </c>
      <c r="M39" s="126">
        <f>M26+M7+M46</f>
        <v/>
      </c>
      <c r="N39" s="126">
        <f>N26+N7+N46</f>
        <v/>
      </c>
      <c r="O39" s="126">
        <f>O26+O7+O46</f>
        <v/>
      </c>
      <c r="P39" s="126">
        <f>P26+P7+P46</f>
        <v/>
      </c>
      <c r="Q39" s="126">
        <f>Q26+Q7+Q46</f>
        <v/>
      </c>
      <c r="R39" s="126">
        <f>R26+R7+R46</f>
        <v/>
      </c>
      <c r="S39" s="126">
        <f>S26+S7+S46</f>
        <v/>
      </c>
      <c r="T39" s="126">
        <f>T26+T7+T46</f>
        <v/>
      </c>
      <c r="U39" s="126">
        <f>U26+U7+U46</f>
        <v/>
      </c>
      <c r="V39" s="126">
        <f>V26+V7+V46</f>
        <v/>
      </c>
      <c r="W39" s="126">
        <f>W26+W7+W46</f>
        <v/>
      </c>
      <c r="X39" s="126">
        <f>X26+X7+X46</f>
        <v/>
      </c>
      <c r="Y39" s="126">
        <f>Y26+Y7+Y46</f>
        <v/>
      </c>
      <c r="Z39" s="126">
        <f>Z26+Z7+Z46</f>
        <v/>
      </c>
      <c r="AA39" s="126">
        <f>AA26+AA7+AA46</f>
        <v/>
      </c>
      <c r="AB39" s="126">
        <f>AB26+AB7+AB46</f>
        <v/>
      </c>
      <c r="AC39" s="126">
        <f>AC26+AC7+AC46</f>
        <v/>
      </c>
      <c r="AD39" s="126">
        <f>AD26+AD7+AD46</f>
        <v/>
      </c>
      <c r="AE39" s="126">
        <f>AE26+AE7+AE46</f>
        <v/>
      </c>
      <c r="AF39" s="126">
        <f>AF26+AF7+AF46</f>
        <v/>
      </c>
      <c r="AG39" s="126">
        <f>AG26+AG7+AG46</f>
        <v/>
      </c>
      <c r="AH39" s="126">
        <f>AH26+AH7+AH46</f>
        <v/>
      </c>
      <c r="AI39" s="126">
        <f>AI26+AI7+AI46</f>
        <v/>
      </c>
      <c r="AJ39" s="126">
        <f>AJ26+AJ7+AJ46</f>
        <v/>
      </c>
      <c r="AK39" s="126">
        <f>AK26+AK7+AK46</f>
        <v/>
      </c>
      <c r="AL39" s="126">
        <f>AL26+AL7+AL46</f>
        <v/>
      </c>
      <c r="AM39" s="126">
        <f>AM26+AM7+AM46</f>
        <v/>
      </c>
      <c r="AN39" s="126">
        <f>AN26+AN7+AN46</f>
        <v/>
      </c>
      <c r="AO39" s="126">
        <f>AO26+AO7+AO46</f>
        <v/>
      </c>
      <c r="AP39" s="126">
        <f>AP26+AP7+AP46</f>
        <v/>
      </c>
      <c r="AQ39" s="126">
        <f>AQ26+AQ7+AQ46</f>
        <v/>
      </c>
      <c r="AR39" s="126">
        <f>AR26+AR7+AR46</f>
        <v/>
      </c>
      <c r="AS39" s="126">
        <f>AS26+AS7+AS46</f>
        <v/>
      </c>
      <c r="AT39" s="126">
        <f>AT26+AT7+AT46</f>
        <v/>
      </c>
      <c r="AU39" s="126">
        <f>AU26+AU7+AU46</f>
        <v/>
      </c>
      <c r="AV39" s="126">
        <f>AV26+AV7+AV46</f>
        <v/>
      </c>
      <c r="AW39" s="126">
        <f>AW26+AW7+AW46</f>
        <v/>
      </c>
      <c r="AX39" s="126">
        <f>AX26+AX7+AX46</f>
        <v/>
      </c>
      <c r="AY39" s="126">
        <f>AY26+AY7+AY46</f>
        <v/>
      </c>
      <c r="AZ39" s="126">
        <f>AZ26+AZ7+AZ46</f>
        <v/>
      </c>
      <c r="BA39" s="126">
        <f>BA26+BA7+BA46</f>
        <v/>
      </c>
      <c r="BB39" s="126">
        <f>BB26+BB7+BB46</f>
        <v/>
      </c>
      <c r="BC39" s="156" t="n"/>
      <c r="BD39" s="126">
        <f>BD26+BD7+BD46</f>
        <v/>
      </c>
      <c r="BE39" s="126">
        <f>BE26+BE7+BE46</f>
        <v/>
      </c>
      <c r="BF39" s="126">
        <f>BF26+BF7+BF46</f>
        <v/>
      </c>
      <c r="BG39" s="126">
        <f>BG26+BG7+BG46</f>
        <v/>
      </c>
      <c r="BH39" s="126">
        <f>BH26+BH7+BH46</f>
        <v/>
      </c>
      <c r="BI39" s="156" t="n"/>
      <c r="BJ39" s="156" t="n"/>
      <c r="BK39" s="83" t="inlineStr">
        <is>
          <t>S&amp;M people + S&amp;M other. this is the line the P&amp;L reads</t>
        </is>
      </c>
      <c r="BL39" s="156" t="n"/>
      <c r="BM39" s="156" t="n"/>
    </row>
    <row r="40" ht="15.75" customHeight="1" s="349">
      <c r="A40" s="290" t="n"/>
      <c r="B40" s="8" t="inlineStr">
        <is>
          <t>Total G&amp;A</t>
        </is>
      </c>
      <c r="C40" s="214" t="n"/>
      <c r="D40" s="282" t="inlineStr">
        <is>
          <t>€</t>
        </is>
      </c>
      <c r="E40" s="214" t="n"/>
      <c r="F40" s="214" t="n"/>
      <c r="G40" s="126">
        <f>G32+G8+G47</f>
        <v/>
      </c>
      <c r="H40" s="126">
        <f>H32+H8+H47</f>
        <v/>
      </c>
      <c r="I40" s="126">
        <f>I32+I8+I47</f>
        <v/>
      </c>
      <c r="J40" s="126">
        <f>J32+J8+J47</f>
        <v/>
      </c>
      <c r="K40" s="126">
        <f>K32+K8+K47</f>
        <v/>
      </c>
      <c r="L40" s="126">
        <f>L32+L8+L47</f>
        <v/>
      </c>
      <c r="M40" s="126">
        <f>M32+M8+M47</f>
        <v/>
      </c>
      <c r="N40" s="126">
        <f>N32+N8+N47</f>
        <v/>
      </c>
      <c r="O40" s="126">
        <f>O32+O8+O47</f>
        <v/>
      </c>
      <c r="P40" s="126">
        <f>P32+P8+P47</f>
        <v/>
      </c>
      <c r="Q40" s="126">
        <f>Q32+Q8+Q47</f>
        <v/>
      </c>
      <c r="R40" s="126">
        <f>R32+R8+R47</f>
        <v/>
      </c>
      <c r="S40" s="126">
        <f>S32+S8+S47</f>
        <v/>
      </c>
      <c r="T40" s="126">
        <f>T32+T8+T47</f>
        <v/>
      </c>
      <c r="U40" s="126">
        <f>U32+U8+U47</f>
        <v/>
      </c>
      <c r="V40" s="126">
        <f>V32+V8+V47</f>
        <v/>
      </c>
      <c r="W40" s="126">
        <f>W32+W8+W47</f>
        <v/>
      </c>
      <c r="X40" s="126">
        <f>X32+X8+X47</f>
        <v/>
      </c>
      <c r="Y40" s="126">
        <f>Y32+Y8+Y47</f>
        <v/>
      </c>
      <c r="Z40" s="126">
        <f>Z32+Z8+Z47</f>
        <v/>
      </c>
      <c r="AA40" s="126">
        <f>AA32+AA8+AA47</f>
        <v/>
      </c>
      <c r="AB40" s="126">
        <f>AB32+AB8+AB47</f>
        <v/>
      </c>
      <c r="AC40" s="126">
        <f>AC32+AC8+AC47</f>
        <v/>
      </c>
      <c r="AD40" s="126">
        <f>AD32+AD8+AD47</f>
        <v/>
      </c>
      <c r="AE40" s="126">
        <f>AE32+AE8+AE47</f>
        <v/>
      </c>
      <c r="AF40" s="126">
        <f>AF32+AF8+AF47</f>
        <v/>
      </c>
      <c r="AG40" s="126">
        <f>AG32+AG8+AG47</f>
        <v/>
      </c>
      <c r="AH40" s="126">
        <f>AH32+AH8+AH47</f>
        <v/>
      </c>
      <c r="AI40" s="126">
        <f>AI32+AI8+AI47</f>
        <v/>
      </c>
      <c r="AJ40" s="126">
        <f>AJ32+AJ8+AJ47</f>
        <v/>
      </c>
      <c r="AK40" s="126">
        <f>AK32+AK8+AK47</f>
        <v/>
      </c>
      <c r="AL40" s="126">
        <f>AL32+AL8+AL47</f>
        <v/>
      </c>
      <c r="AM40" s="126">
        <f>AM32+AM8+AM47</f>
        <v/>
      </c>
      <c r="AN40" s="126">
        <f>AN32+AN8+AN47</f>
        <v/>
      </c>
      <c r="AO40" s="126">
        <f>AO32+AO8+AO47</f>
        <v/>
      </c>
      <c r="AP40" s="126">
        <f>AP32+AP8+AP47</f>
        <v/>
      </c>
      <c r="AQ40" s="126">
        <f>AQ32+AQ8+AQ47</f>
        <v/>
      </c>
      <c r="AR40" s="126">
        <f>AR32+AR8+AR47</f>
        <v/>
      </c>
      <c r="AS40" s="126">
        <f>AS32+AS8+AS47</f>
        <v/>
      </c>
      <c r="AT40" s="126">
        <f>AT32+AT8+AT47</f>
        <v/>
      </c>
      <c r="AU40" s="126">
        <f>AU32+AU8+AU47</f>
        <v/>
      </c>
      <c r="AV40" s="126">
        <f>AV32+AV8+AV47</f>
        <v/>
      </c>
      <c r="AW40" s="126">
        <f>AW32+AW8+AW47</f>
        <v/>
      </c>
      <c r="AX40" s="126">
        <f>AX32+AX8+AX47</f>
        <v/>
      </c>
      <c r="AY40" s="126">
        <f>AY32+AY8+AY47</f>
        <v/>
      </c>
      <c r="AZ40" s="126">
        <f>AZ32+AZ8+AZ47</f>
        <v/>
      </c>
      <c r="BA40" s="126">
        <f>BA32+BA8+BA47</f>
        <v/>
      </c>
      <c r="BB40" s="126">
        <f>BB32+BB8+BB47</f>
        <v/>
      </c>
      <c r="BC40" s="156" t="n"/>
      <c r="BD40" s="126">
        <f>BD32+BD8+BD47</f>
        <v/>
      </c>
      <c r="BE40" s="126">
        <f>BE32+BE8+BE47</f>
        <v/>
      </c>
      <c r="BF40" s="126">
        <f>BF32+BF8+BF47</f>
        <v/>
      </c>
      <c r="BG40" s="126">
        <f>BG32+BG8+BG47</f>
        <v/>
      </c>
      <c r="BH40" s="126">
        <f>BH32+BH8+BH47</f>
        <v/>
      </c>
      <c r="BI40" s="156" t="n"/>
      <c r="BJ40" s="156" t="n"/>
      <c r="BK40" s="83" t="inlineStr">
        <is>
          <t>G&amp;A people + G&amp;A other. this is the line the P&amp;L reads</t>
        </is>
      </c>
      <c r="BL40" s="156" t="n"/>
      <c r="BM40" s="156" t="n"/>
    </row>
    <row r="41" ht="15.75" customHeight="1" s="349">
      <c r="A41" s="303" t="n"/>
      <c r="B41" s="303" t="inlineStr">
        <is>
          <t>R&amp;D % of Total OPEX</t>
        </is>
      </c>
      <c r="C41" s="303" t="n"/>
      <c r="D41" s="303" t="n"/>
      <c r="E41" s="303" t="n"/>
      <c r="F41" s="303" t="n"/>
      <c r="G41" s="303" t="n"/>
      <c r="H41" s="303" t="n"/>
      <c r="I41" s="303" t="n"/>
      <c r="J41" s="303" t="n"/>
      <c r="K41" s="303" t="n"/>
      <c r="L41" s="303" t="n"/>
      <c r="M41" s="303" t="n"/>
      <c r="N41" s="303" t="n"/>
      <c r="O41" s="303" t="n"/>
      <c r="P41" s="303" t="n"/>
      <c r="Q41" s="303" t="n"/>
      <c r="R41" s="303" t="n"/>
      <c r="S41" s="304">
        <f>S38/S$36</f>
        <v/>
      </c>
      <c r="T41" s="304">
        <f>T38/T$36</f>
        <v/>
      </c>
      <c r="U41" s="304">
        <f>U38/U$36</f>
        <v/>
      </c>
      <c r="V41" s="304">
        <f>V38/V$36</f>
        <v/>
      </c>
      <c r="W41" s="304">
        <f>W38/W$36</f>
        <v/>
      </c>
      <c r="X41" s="304">
        <f>X38/X$36</f>
        <v/>
      </c>
      <c r="Y41" s="304">
        <f>Y38/Y$36</f>
        <v/>
      </c>
      <c r="Z41" s="304">
        <f>Z38/Z$36</f>
        <v/>
      </c>
      <c r="AA41" s="304">
        <f>AA38/AA$36</f>
        <v/>
      </c>
      <c r="AB41" s="304">
        <f>AB38/AB$36</f>
        <v/>
      </c>
      <c r="AC41" s="304">
        <f>AC38/AC$36</f>
        <v/>
      </c>
      <c r="AD41" s="304">
        <f>AD38/AD$36</f>
        <v/>
      </c>
      <c r="AE41" s="304">
        <f>AE38/AE$36</f>
        <v/>
      </c>
      <c r="AF41" s="304">
        <f>AF38/AF$36</f>
        <v/>
      </c>
      <c r="AG41" s="304">
        <f>AG38/AG$36</f>
        <v/>
      </c>
      <c r="AH41" s="304">
        <f>AH38/AH$36</f>
        <v/>
      </c>
      <c r="AI41" s="304">
        <f>AI38/AI$36</f>
        <v/>
      </c>
      <c r="AJ41" s="304">
        <f>AJ38/AJ$36</f>
        <v/>
      </c>
      <c r="AK41" s="304">
        <f>AK38/AK$36</f>
        <v/>
      </c>
      <c r="AL41" s="304">
        <f>AL38/AL$36</f>
        <v/>
      </c>
      <c r="AM41" s="304">
        <f>AM38/AM$36</f>
        <v/>
      </c>
      <c r="AN41" s="304">
        <f>AN38/AN$36</f>
        <v/>
      </c>
      <c r="AO41" s="304">
        <f>AO38/AO$36</f>
        <v/>
      </c>
      <c r="AP41" s="304">
        <f>AP38/AP$36</f>
        <v/>
      </c>
      <c r="AQ41" s="304">
        <f>AQ38/AQ$36</f>
        <v/>
      </c>
      <c r="AR41" s="304">
        <f>AR38/AR$36</f>
        <v/>
      </c>
      <c r="AS41" s="304">
        <f>AS38/AS$36</f>
        <v/>
      </c>
      <c r="AT41" s="304">
        <f>AT38/AT$36</f>
        <v/>
      </c>
      <c r="AU41" s="304">
        <f>AU38/AU$36</f>
        <v/>
      </c>
      <c r="AV41" s="304">
        <f>AV38/AV$36</f>
        <v/>
      </c>
      <c r="AW41" s="304">
        <f>AW38/AW$36</f>
        <v/>
      </c>
      <c r="AX41" s="304">
        <f>AX38/AX$36</f>
        <v/>
      </c>
      <c r="AY41" s="304">
        <f>AY38/AY$36</f>
        <v/>
      </c>
      <c r="AZ41" s="304">
        <f>AZ38/AZ$36</f>
        <v/>
      </c>
      <c r="BA41" s="304">
        <f>BA38/BA$36</f>
        <v/>
      </c>
      <c r="BB41" s="304">
        <f>BB38/BB$36</f>
        <v/>
      </c>
      <c r="BC41" s="233" t="n"/>
      <c r="BD41" s="304">
        <f>BD38/BD$36</f>
        <v/>
      </c>
      <c r="BE41" s="304">
        <f>BE38/BE$36</f>
        <v/>
      </c>
      <c r="BF41" s="304">
        <f>BF38/BF$36</f>
        <v/>
      </c>
      <c r="BG41" s="304">
        <f>BG38/BG$36</f>
        <v/>
      </c>
      <c r="BH41" s="304">
        <f>BH38/BH$36</f>
        <v/>
      </c>
      <c r="BI41" s="233" t="n"/>
      <c r="BJ41" s="233" t="n"/>
      <c r="BK41" s="83" t="inlineStr">
        <is>
          <t>R&amp;D share of total operating costs</t>
        </is>
      </c>
      <c r="BL41" s="233" t="n"/>
      <c r="BM41" s="233" t="n"/>
    </row>
    <row r="42" ht="15.75" customHeight="1" s="349">
      <c r="A42" s="303" t="n"/>
      <c r="B42" s="303" t="inlineStr">
        <is>
          <t>S&amp;M % of Total OPEX</t>
        </is>
      </c>
      <c r="C42" s="303" t="n"/>
      <c r="D42" s="303" t="n"/>
      <c r="E42" s="303" t="n"/>
      <c r="F42" s="303" t="n"/>
      <c r="G42" s="303" t="n"/>
      <c r="H42" s="303" t="n"/>
      <c r="I42" s="303" t="n"/>
      <c r="J42" s="303" t="n"/>
      <c r="K42" s="303" t="n"/>
      <c r="L42" s="303" t="n"/>
      <c r="M42" s="303" t="n"/>
      <c r="N42" s="303" t="n"/>
      <c r="O42" s="303" t="n"/>
      <c r="P42" s="303" t="n"/>
      <c r="Q42" s="303" t="n"/>
      <c r="R42" s="303" t="n"/>
      <c r="S42" s="304">
        <f>S39/S$36</f>
        <v/>
      </c>
      <c r="T42" s="304">
        <f>T39/T$36</f>
        <v/>
      </c>
      <c r="U42" s="304">
        <f>U39/U$36</f>
        <v/>
      </c>
      <c r="V42" s="304">
        <f>V39/V$36</f>
        <v/>
      </c>
      <c r="W42" s="304">
        <f>W39/W$36</f>
        <v/>
      </c>
      <c r="X42" s="304">
        <f>X39/X$36</f>
        <v/>
      </c>
      <c r="Y42" s="304">
        <f>Y39/Y$36</f>
        <v/>
      </c>
      <c r="Z42" s="304">
        <f>Z39/Z$36</f>
        <v/>
      </c>
      <c r="AA42" s="304">
        <f>AA39/AA$36</f>
        <v/>
      </c>
      <c r="AB42" s="304">
        <f>AB39/AB$36</f>
        <v/>
      </c>
      <c r="AC42" s="304">
        <f>AC39/AC$36</f>
        <v/>
      </c>
      <c r="AD42" s="304">
        <f>AD39/AD$36</f>
        <v/>
      </c>
      <c r="AE42" s="304">
        <f>AE39/AE$36</f>
        <v/>
      </c>
      <c r="AF42" s="304">
        <f>AF39/AF$36</f>
        <v/>
      </c>
      <c r="AG42" s="304">
        <f>AG39/AG$36</f>
        <v/>
      </c>
      <c r="AH42" s="304">
        <f>AH39/AH$36</f>
        <v/>
      </c>
      <c r="AI42" s="304">
        <f>AI39/AI$36</f>
        <v/>
      </c>
      <c r="AJ42" s="304">
        <f>AJ39/AJ$36</f>
        <v/>
      </c>
      <c r="AK42" s="304">
        <f>AK39/AK$36</f>
        <v/>
      </c>
      <c r="AL42" s="304">
        <f>AL39/AL$36</f>
        <v/>
      </c>
      <c r="AM42" s="304">
        <f>AM39/AM$36</f>
        <v/>
      </c>
      <c r="AN42" s="304">
        <f>AN39/AN$36</f>
        <v/>
      </c>
      <c r="AO42" s="304">
        <f>AO39/AO$36</f>
        <v/>
      </c>
      <c r="AP42" s="304">
        <f>AP39/AP$36</f>
        <v/>
      </c>
      <c r="AQ42" s="304">
        <f>AQ39/AQ$36</f>
        <v/>
      </c>
      <c r="AR42" s="304">
        <f>AR39/AR$36</f>
        <v/>
      </c>
      <c r="AS42" s="304">
        <f>AS39/AS$36</f>
        <v/>
      </c>
      <c r="AT42" s="304">
        <f>AT39/AT$36</f>
        <v/>
      </c>
      <c r="AU42" s="304">
        <f>AU39/AU$36</f>
        <v/>
      </c>
      <c r="AV42" s="304">
        <f>AV39/AV$36</f>
        <v/>
      </c>
      <c r="AW42" s="304">
        <f>AW39/AW$36</f>
        <v/>
      </c>
      <c r="AX42" s="304">
        <f>AX39/AX$36</f>
        <v/>
      </c>
      <c r="AY42" s="304">
        <f>AY39/AY$36</f>
        <v/>
      </c>
      <c r="AZ42" s="304">
        <f>AZ39/AZ$36</f>
        <v/>
      </c>
      <c r="BA42" s="304">
        <f>BA39/BA$36</f>
        <v/>
      </c>
      <c r="BB42" s="304">
        <f>BB39/BB$36</f>
        <v/>
      </c>
      <c r="BC42" s="233" t="n"/>
      <c r="BD42" s="304">
        <f>BD39/BD$36</f>
        <v/>
      </c>
      <c r="BE42" s="304">
        <f>BE39/BE$36</f>
        <v/>
      </c>
      <c r="BF42" s="304">
        <f>BF39/BF$36</f>
        <v/>
      </c>
      <c r="BG42" s="304">
        <f>BG39/BG$36</f>
        <v/>
      </c>
      <c r="BH42" s="304">
        <f>BH39/BH$36</f>
        <v/>
      </c>
      <c r="BI42" s="233" t="n"/>
      <c r="BJ42" s="233" t="n"/>
      <c r="BK42" s="83" t="inlineStr">
        <is>
          <t>S&amp;M share of total operating costs</t>
        </is>
      </c>
      <c r="BL42" s="233" t="n"/>
      <c r="BM42" s="233" t="n"/>
    </row>
    <row r="43" ht="15.75" customHeight="1" s="349">
      <c r="A43" s="303" t="n"/>
      <c r="B43" s="303" t="inlineStr">
        <is>
          <t>G&amp;A % of Total OPEX</t>
        </is>
      </c>
      <c r="C43" s="303" t="n"/>
      <c r="D43" s="303" t="n"/>
      <c r="E43" s="303" t="n"/>
      <c r="F43" s="303" t="n"/>
      <c r="G43" s="303" t="n"/>
      <c r="H43" s="303" t="n"/>
      <c r="I43" s="303" t="n"/>
      <c r="J43" s="303" t="n"/>
      <c r="K43" s="303" t="n"/>
      <c r="L43" s="303" t="n"/>
      <c r="M43" s="303" t="n"/>
      <c r="N43" s="303" t="n"/>
      <c r="O43" s="303" t="n"/>
      <c r="P43" s="303" t="n"/>
      <c r="Q43" s="303" t="n"/>
      <c r="R43" s="303" t="n"/>
      <c r="S43" s="304">
        <f>S40/S$36</f>
        <v/>
      </c>
      <c r="T43" s="304">
        <f>T40/T$36</f>
        <v/>
      </c>
      <c r="U43" s="304">
        <f>U40/U$36</f>
        <v/>
      </c>
      <c r="V43" s="304">
        <f>V40/V$36</f>
        <v/>
      </c>
      <c r="W43" s="304">
        <f>W40/W$36</f>
        <v/>
      </c>
      <c r="X43" s="304">
        <f>X40/X$36</f>
        <v/>
      </c>
      <c r="Y43" s="304">
        <f>Y40/Y$36</f>
        <v/>
      </c>
      <c r="Z43" s="304">
        <f>Z40/Z$36</f>
        <v/>
      </c>
      <c r="AA43" s="304">
        <f>AA40/AA$36</f>
        <v/>
      </c>
      <c r="AB43" s="304">
        <f>AB40/AB$36</f>
        <v/>
      </c>
      <c r="AC43" s="304">
        <f>AC40/AC$36</f>
        <v/>
      </c>
      <c r="AD43" s="304">
        <f>AD40/AD$36</f>
        <v/>
      </c>
      <c r="AE43" s="304">
        <f>AE40/AE$36</f>
        <v/>
      </c>
      <c r="AF43" s="304">
        <f>AF40/AF$36</f>
        <v/>
      </c>
      <c r="AG43" s="304">
        <f>AG40/AG$36</f>
        <v/>
      </c>
      <c r="AH43" s="304">
        <f>AH40/AH$36</f>
        <v/>
      </c>
      <c r="AI43" s="304">
        <f>AI40/AI$36</f>
        <v/>
      </c>
      <c r="AJ43" s="304">
        <f>AJ40/AJ$36</f>
        <v/>
      </c>
      <c r="AK43" s="304">
        <f>AK40/AK$36</f>
        <v/>
      </c>
      <c r="AL43" s="304">
        <f>AL40/AL$36</f>
        <v/>
      </c>
      <c r="AM43" s="304">
        <f>AM40/AM$36</f>
        <v/>
      </c>
      <c r="AN43" s="304">
        <f>AN40/AN$36</f>
        <v/>
      </c>
      <c r="AO43" s="304">
        <f>AO40/AO$36</f>
        <v/>
      </c>
      <c r="AP43" s="304">
        <f>AP40/AP$36</f>
        <v/>
      </c>
      <c r="AQ43" s="304">
        <f>AQ40/AQ$36</f>
        <v/>
      </c>
      <c r="AR43" s="304">
        <f>AR40/AR$36</f>
        <v/>
      </c>
      <c r="AS43" s="304">
        <f>AS40/AS$36</f>
        <v/>
      </c>
      <c r="AT43" s="304">
        <f>AT40/AT$36</f>
        <v/>
      </c>
      <c r="AU43" s="304">
        <f>AU40/AU$36</f>
        <v/>
      </c>
      <c r="AV43" s="304">
        <f>AV40/AV$36</f>
        <v/>
      </c>
      <c r="AW43" s="304">
        <f>AW40/AW$36</f>
        <v/>
      </c>
      <c r="AX43" s="304">
        <f>AX40/AX$36</f>
        <v/>
      </c>
      <c r="AY43" s="304">
        <f>AY40/AY$36</f>
        <v/>
      </c>
      <c r="AZ43" s="304">
        <f>AZ40/AZ$36</f>
        <v/>
      </c>
      <c r="BA43" s="304">
        <f>BA40/BA$36</f>
        <v/>
      </c>
      <c r="BB43" s="304">
        <f>BB40/BB$36</f>
        <v/>
      </c>
      <c r="BC43" s="233" t="n"/>
      <c r="BD43" s="304">
        <f>BD40/BD$36</f>
        <v/>
      </c>
      <c r="BE43" s="304">
        <f>BE40/BE$36</f>
        <v/>
      </c>
      <c r="BF43" s="304">
        <f>BF40/BF$36</f>
        <v/>
      </c>
      <c r="BG43" s="304">
        <f>BG40/BG$36</f>
        <v/>
      </c>
      <c r="BH43" s="304">
        <f>BH40/BH$36</f>
        <v/>
      </c>
      <c r="BI43" s="233" t="n"/>
      <c r="BJ43" s="233" t="n"/>
      <c r="BK43" s="83" t="inlineStr">
        <is>
          <t>G&amp;A share of total operating costs</t>
        </is>
      </c>
      <c r="BL43" s="233" t="n"/>
      <c r="BM43" s="233" t="n"/>
    </row>
    <row r="44" ht="15.75" customHeight="1" s="349">
      <c r="A44" s="308" t="n"/>
      <c r="B44" s="308" t="n"/>
      <c r="C44" s="308" t="n"/>
      <c r="D44" s="308" t="n"/>
      <c r="E44" s="308" t="n"/>
      <c r="F44" s="308" t="n"/>
      <c r="G44" s="308" t="n"/>
      <c r="H44" s="308" t="n"/>
      <c r="I44" s="308" t="n"/>
      <c r="J44" s="308" t="n"/>
      <c r="K44" s="308" t="n"/>
      <c r="L44" s="308" t="n"/>
      <c r="M44" s="308" t="n"/>
      <c r="N44" s="308" t="n"/>
      <c r="O44" s="308" t="n"/>
      <c r="P44" s="308" t="n"/>
      <c r="Q44" s="308" t="n"/>
      <c r="R44" s="308" t="n"/>
      <c r="S44" s="308" t="n"/>
      <c r="T44" s="308" t="n"/>
      <c r="U44" s="308" t="n"/>
      <c r="V44" s="308" t="n"/>
      <c r="W44" s="308" t="n"/>
      <c r="X44" s="308" t="n"/>
      <c r="Y44" s="308" t="n"/>
      <c r="Z44" s="308" t="n"/>
      <c r="AA44" s="308" t="n"/>
      <c r="AB44" s="308" t="n"/>
      <c r="AC44" s="308" t="n"/>
      <c r="AD44" s="308" t="n"/>
      <c r="AE44" s="308" t="n"/>
      <c r="AF44" s="308" t="n"/>
      <c r="AG44" s="308" t="n"/>
      <c r="AH44" s="308" t="n"/>
      <c r="AI44" s="308" t="n"/>
      <c r="AJ44" s="308" t="n"/>
      <c r="AK44" s="308" t="n"/>
      <c r="AL44" s="308" t="n"/>
      <c r="AM44" s="308" t="n"/>
      <c r="AN44" s="308" t="n"/>
      <c r="AO44" s="308" t="n"/>
      <c r="AP44" s="308" t="n"/>
      <c r="AQ44" s="308" t="n"/>
      <c r="AR44" s="308" t="n"/>
      <c r="AS44" s="308" t="n"/>
      <c r="AT44" s="308" t="n"/>
      <c r="AU44" s="308" t="n"/>
      <c r="AV44" s="308" t="n"/>
      <c r="AW44" s="308" t="n"/>
      <c r="AX44" s="308" t="n"/>
      <c r="AY44" s="308" t="n"/>
      <c r="AZ44" s="308" t="n"/>
      <c r="BA44" s="308" t="n"/>
      <c r="BB44" s="308" t="n"/>
      <c r="BC44" s="233" t="n"/>
      <c r="BD44" s="308" t="n"/>
      <c r="BE44" s="308" t="n"/>
      <c r="BF44" s="308" t="n"/>
      <c r="BG44" s="308" t="n"/>
      <c r="BH44" s="308" t="n"/>
      <c r="BI44" s="233" t="n"/>
      <c r="BJ44" s="233" t="n"/>
      <c r="BK44" s="233" t="n"/>
      <c r="BL44" s="233" t="n"/>
      <c r="BM44" s="233" t="n"/>
    </row>
    <row r="45" ht="15.75" customHeight="1" s="349">
      <c r="A45" s="31" t="n"/>
      <c r="B45" s="391" t="inlineStr">
        <is>
          <t>GROWTH ENGINE — THE ORGANISATION THIS PLAN NEEDS (case-driven)</t>
        </is>
      </c>
      <c r="C45" s="307" t="n"/>
      <c r="D45" s="146" t="n"/>
      <c r="E45" s="307" t="n"/>
      <c r="F45" s="307" t="n"/>
      <c r="G45" s="233" t="n"/>
      <c r="H45" s="233" t="n"/>
      <c r="I45" s="233" t="n"/>
      <c r="J45" s="233" t="n"/>
      <c r="K45" s="233" t="n"/>
      <c r="L45" s="233" t="n"/>
      <c r="M45" s="233" t="n"/>
      <c r="N45" s="233" t="n"/>
      <c r="O45" s="233" t="n"/>
      <c r="P45" s="233" t="n"/>
      <c r="Q45" s="233" t="n"/>
      <c r="R45" s="233" t="n"/>
      <c r="S45" s="233" t="n"/>
      <c r="T45" s="233" t="n"/>
      <c r="U45" s="233" t="n"/>
      <c r="V45" s="233" t="n"/>
      <c r="W45" s="233" t="n"/>
      <c r="X45" s="233" t="n"/>
      <c r="Y45" s="233" t="n"/>
      <c r="Z45" s="233" t="n"/>
      <c r="AA45" s="233" t="n"/>
      <c r="AB45" s="233" t="n"/>
      <c r="AC45" s="233" t="n"/>
      <c r="AD45" s="233" t="n"/>
      <c r="AE45" s="233" t="n"/>
      <c r="AF45" s="233" t="n"/>
      <c r="AG45" s="233" t="n"/>
      <c r="AH45" s="233" t="n"/>
      <c r="AI45" s="233" t="n"/>
      <c r="AJ45" s="233" t="n"/>
      <c r="AK45" s="233" t="n"/>
      <c r="AL45" s="233" t="n"/>
      <c r="AM45" s="233" t="n"/>
      <c r="AN45" s="233" t="n"/>
      <c r="AO45" s="233" t="n"/>
      <c r="AP45" s="233" t="n"/>
      <c r="AQ45" s="233" t="n"/>
      <c r="AR45" s="233" t="n"/>
      <c r="AS45" s="233" t="n"/>
      <c r="AT45" s="233" t="n"/>
      <c r="AU45" s="233" t="n"/>
      <c r="AV45" s="233" t="n"/>
      <c r="AW45" s="233" t="n"/>
      <c r="AX45" s="233" t="n"/>
      <c r="AY45" s="233" t="n"/>
      <c r="AZ45" s="233" t="n"/>
      <c r="BA45" s="233" t="n"/>
      <c r="BB45" s="233" t="n"/>
      <c r="BC45" s="233" t="n"/>
      <c r="BD45" s="233" t="n"/>
      <c r="BE45" s="233" t="n"/>
      <c r="BF45" s="233" t="n"/>
      <c r="BG45" s="233" t="n"/>
      <c r="BH45" s="233" t="n"/>
      <c r="BI45" s="233" t="n"/>
      <c r="BJ45" s="233" t="n"/>
      <c r="BK45" s="233" t="n"/>
      <c r="BL45" s="233" t="n"/>
      <c r="BM45" s="233" t="n"/>
    </row>
    <row r="46" ht="15.75" customHeight="1" s="349">
      <c r="A46" s="31" t="n"/>
      <c r="B46" s="307" t="inlineStr">
        <is>
          <t>S&amp;M — installer training &amp; demo units</t>
        </is>
      </c>
      <c r="C46" s="307" t="n"/>
      <c r="D46" s="146" t="n"/>
      <c r="E46" s="307" t="n"/>
      <c r="F46" s="307" t="n"/>
      <c r="G46" s="307" t="n">
        <v>0</v>
      </c>
      <c r="H46" s="307" t="n">
        <v>0</v>
      </c>
      <c r="I46" s="307" t="n">
        <v>0</v>
      </c>
      <c r="J46" s="307" t="n">
        <v>0</v>
      </c>
      <c r="K46" s="307" t="n">
        <v>0</v>
      </c>
      <c r="L46" s="307" t="n">
        <v>0</v>
      </c>
      <c r="M46" s="307" t="n">
        <v>0</v>
      </c>
      <c r="N46" s="307" t="n">
        <v>0</v>
      </c>
      <c r="O46" s="233" t="n">
        <v>0</v>
      </c>
      <c r="P46" s="233" t="n">
        <v>0</v>
      </c>
      <c r="Q46" s="233" t="n">
        <v>0</v>
      </c>
      <c r="R46" s="233" t="n">
        <v>0</v>
      </c>
      <c r="S46" s="233" t="n">
        <v>0</v>
      </c>
      <c r="T46" s="233" t="n">
        <v>0</v>
      </c>
      <c r="U46" s="233" t="n">
        <v>0</v>
      </c>
      <c r="V46" s="233" t="n">
        <v>0</v>
      </c>
      <c r="W46" s="233" t="n">
        <v>0</v>
      </c>
      <c r="X46" s="233" t="n">
        <v>0</v>
      </c>
      <c r="Y46" s="233" t="n">
        <v>0</v>
      </c>
      <c r="Z46" s="233" t="n">
        <v>0</v>
      </c>
      <c r="AA46" s="233" t="n">
        <v>0</v>
      </c>
      <c r="AB46" s="233" t="n">
        <v>0</v>
      </c>
      <c r="AC46" s="233" t="n">
        <v>0</v>
      </c>
      <c r="AD46" s="233" t="n">
        <v>0</v>
      </c>
      <c r="AE46" s="233">
        <f>'Growth Engine'!F86</f>
        <v/>
      </c>
      <c r="AF46" s="233">
        <f>'Growth Engine'!G86</f>
        <v/>
      </c>
      <c r="AG46" s="233">
        <f>'Growth Engine'!H86</f>
        <v/>
      </c>
      <c r="AH46" s="233">
        <f>'Growth Engine'!I86</f>
        <v/>
      </c>
      <c r="AI46" s="233">
        <f>'Growth Engine'!J86</f>
        <v/>
      </c>
      <c r="AJ46" s="233">
        <f>'Growth Engine'!K86</f>
        <v/>
      </c>
      <c r="AK46" s="233">
        <f>'Growth Engine'!L86</f>
        <v/>
      </c>
      <c r="AL46" s="233">
        <f>'Growth Engine'!M86</f>
        <v/>
      </c>
      <c r="AM46" s="233">
        <f>'Growth Engine'!N86</f>
        <v/>
      </c>
      <c r="AN46" s="233">
        <f>'Growth Engine'!O86</f>
        <v/>
      </c>
      <c r="AO46" s="233">
        <f>'Growth Engine'!P86</f>
        <v/>
      </c>
      <c r="AP46" s="233">
        <f>'Growth Engine'!Q86</f>
        <v/>
      </c>
      <c r="AQ46" s="233">
        <f>'Growth Engine'!R86</f>
        <v/>
      </c>
      <c r="AR46" s="233">
        <f>'Growth Engine'!S86</f>
        <v/>
      </c>
      <c r="AS46" s="233">
        <f>'Growth Engine'!T86</f>
        <v/>
      </c>
      <c r="AT46" s="233">
        <f>'Growth Engine'!U86</f>
        <v/>
      </c>
      <c r="AU46" s="233">
        <f>'Growth Engine'!V86</f>
        <v/>
      </c>
      <c r="AV46" s="233">
        <f>'Growth Engine'!W86</f>
        <v/>
      </c>
      <c r="AW46" s="233">
        <f>'Growth Engine'!X86</f>
        <v/>
      </c>
      <c r="AX46" s="233">
        <f>'Growth Engine'!Y86</f>
        <v/>
      </c>
      <c r="AY46" s="233">
        <f>'Growth Engine'!Z86</f>
        <v/>
      </c>
      <c r="AZ46" s="233">
        <f>'Growth Engine'!AA86</f>
        <v/>
      </c>
      <c r="BA46" s="233">
        <f>'Growth Engine'!AB86</f>
        <v/>
      </c>
      <c r="BB46" s="233">
        <f>'Growth Engine'!AC86</f>
        <v/>
      </c>
      <c r="BC46" s="233" t="n"/>
      <c r="BD46" s="233" t="n">
        <v>0</v>
      </c>
      <c r="BE46" s="233" t="n">
        <v>0</v>
      </c>
      <c r="BF46" s="233">
        <f>SUM(AE46:AP46)</f>
        <v/>
      </c>
      <c r="BG46" s="233">
        <f>SUM(AQ46:BB46)</f>
        <v/>
      </c>
      <c r="BH46" s="233">
        <f>'Growth Engine'!BE86</f>
        <v/>
      </c>
      <c r="BI46" s="233" t="n"/>
      <c r="BJ46" s="233" t="n"/>
      <c r="BK46" s="233" t="inlineStr">
        <is>
          <t>people are NOT here — they are rows in the Personnel tab, like every other employee</t>
        </is>
      </c>
      <c r="BL46" s="233" t="n"/>
      <c r="BM46" s="233" t="n"/>
    </row>
    <row r="47" ht="15.75" customHeight="1" s="349">
      <c r="A47" s="31" t="n"/>
      <c r="B47" s="307" t="inlineStr">
        <is>
          <t>G&amp;A — facilities, IT, travel, recruitment, plant, new countries</t>
        </is>
      </c>
      <c r="C47" s="307" t="n"/>
      <c r="D47" s="146" t="n"/>
      <c r="E47" s="307" t="n"/>
      <c r="F47" s="307" t="n"/>
      <c r="G47" s="307" t="n">
        <v>0</v>
      </c>
      <c r="H47" s="307" t="n">
        <v>0</v>
      </c>
      <c r="I47" s="307" t="n">
        <v>0</v>
      </c>
      <c r="J47" s="307" t="n">
        <v>0</v>
      </c>
      <c r="K47" s="307" t="n">
        <v>0</v>
      </c>
      <c r="L47" s="307" t="n">
        <v>0</v>
      </c>
      <c r="M47" s="307" t="n">
        <v>0</v>
      </c>
      <c r="N47" s="307" t="n">
        <v>0</v>
      </c>
      <c r="O47" s="233" t="n">
        <v>0</v>
      </c>
      <c r="P47" s="233" t="n">
        <v>0</v>
      </c>
      <c r="Q47" s="233" t="n">
        <v>0</v>
      </c>
      <c r="R47" s="233" t="n">
        <v>0</v>
      </c>
      <c r="S47" s="233" t="n">
        <v>0</v>
      </c>
      <c r="T47" s="233" t="n">
        <v>0</v>
      </c>
      <c r="U47" s="233" t="n">
        <v>0</v>
      </c>
      <c r="V47" s="233" t="n">
        <v>0</v>
      </c>
      <c r="W47" s="233" t="n">
        <v>0</v>
      </c>
      <c r="X47" s="233" t="n">
        <v>0</v>
      </c>
      <c r="Y47" s="233" t="n">
        <v>0</v>
      </c>
      <c r="Z47" s="233" t="n">
        <v>0</v>
      </c>
      <c r="AA47" s="233" t="n">
        <v>0</v>
      </c>
      <c r="AB47" s="233" t="n">
        <v>0</v>
      </c>
      <c r="AC47" s="233" t="n">
        <v>0</v>
      </c>
      <c r="AD47" s="233" t="n">
        <v>0</v>
      </c>
      <c r="AE47" s="233">
        <f>'Growth Engine'!F84+'Growth Engine'!F85+'Growth Engine'!F87+'Growth Engine'!F88</f>
        <v/>
      </c>
      <c r="AF47" s="233">
        <f>'Growth Engine'!G84+'Growth Engine'!G85+'Growth Engine'!G87+'Growth Engine'!G88</f>
        <v/>
      </c>
      <c r="AG47" s="233">
        <f>'Growth Engine'!H84+'Growth Engine'!H85+'Growth Engine'!H87+'Growth Engine'!H88</f>
        <v/>
      </c>
      <c r="AH47" s="233">
        <f>'Growth Engine'!I84+'Growth Engine'!I85+'Growth Engine'!I87+'Growth Engine'!I88</f>
        <v/>
      </c>
      <c r="AI47" s="233">
        <f>'Growth Engine'!J84+'Growth Engine'!J85+'Growth Engine'!J87+'Growth Engine'!J88</f>
        <v/>
      </c>
      <c r="AJ47" s="233">
        <f>'Growth Engine'!K84+'Growth Engine'!K85+'Growth Engine'!K87+'Growth Engine'!K88</f>
        <v/>
      </c>
      <c r="AK47" s="233">
        <f>'Growth Engine'!L84+'Growth Engine'!L85+'Growth Engine'!L87+'Growth Engine'!L88</f>
        <v/>
      </c>
      <c r="AL47" s="233">
        <f>'Growth Engine'!M84+'Growth Engine'!M85+'Growth Engine'!M87+'Growth Engine'!M88</f>
        <v/>
      </c>
      <c r="AM47" s="233">
        <f>'Growth Engine'!N84+'Growth Engine'!N85+'Growth Engine'!N87+'Growth Engine'!N88</f>
        <v/>
      </c>
      <c r="AN47" s="233">
        <f>'Growth Engine'!O84+'Growth Engine'!O85+'Growth Engine'!O87+'Growth Engine'!O88</f>
        <v/>
      </c>
      <c r="AO47" s="233">
        <f>'Growth Engine'!P84+'Growth Engine'!P85+'Growth Engine'!P87+'Growth Engine'!P88</f>
        <v/>
      </c>
      <c r="AP47" s="233">
        <f>'Growth Engine'!Q84+'Growth Engine'!Q85+'Growth Engine'!Q87+'Growth Engine'!Q88</f>
        <v/>
      </c>
      <c r="AQ47" s="233">
        <f>'Growth Engine'!R84+'Growth Engine'!R85+'Growth Engine'!R87+'Growth Engine'!R88</f>
        <v/>
      </c>
      <c r="AR47" s="233">
        <f>'Growth Engine'!S84+'Growth Engine'!S85+'Growth Engine'!S87+'Growth Engine'!S88</f>
        <v/>
      </c>
      <c r="AS47" s="233">
        <f>'Growth Engine'!T84+'Growth Engine'!T85+'Growth Engine'!T87+'Growth Engine'!T88</f>
        <v/>
      </c>
      <c r="AT47" s="233">
        <f>'Growth Engine'!U84+'Growth Engine'!U85+'Growth Engine'!U87+'Growth Engine'!U88</f>
        <v/>
      </c>
      <c r="AU47" s="233">
        <f>'Growth Engine'!V84+'Growth Engine'!V85+'Growth Engine'!V87+'Growth Engine'!V88</f>
        <v/>
      </c>
      <c r="AV47" s="233">
        <f>'Growth Engine'!W84+'Growth Engine'!W85+'Growth Engine'!W87+'Growth Engine'!W88</f>
        <v/>
      </c>
      <c r="AW47" s="233">
        <f>'Growth Engine'!X84+'Growth Engine'!X85+'Growth Engine'!X87+'Growth Engine'!X88</f>
        <v/>
      </c>
      <c r="AX47" s="233">
        <f>'Growth Engine'!Y84+'Growth Engine'!Y85+'Growth Engine'!Y87+'Growth Engine'!Y88</f>
        <v/>
      </c>
      <c r="AY47" s="233">
        <f>'Growth Engine'!Z84+'Growth Engine'!Z85+'Growth Engine'!Z87+'Growth Engine'!Z88</f>
        <v/>
      </c>
      <c r="AZ47" s="233">
        <f>'Growth Engine'!AA84+'Growth Engine'!AA85+'Growth Engine'!AA87+'Growth Engine'!AA88</f>
        <v/>
      </c>
      <c r="BA47" s="233">
        <f>'Growth Engine'!AB84+'Growth Engine'!AB85+'Growth Engine'!AB87+'Growth Engine'!AB88</f>
        <v/>
      </c>
      <c r="BB47" s="233">
        <f>'Growth Engine'!AC84+'Growth Engine'!AC85+'Growth Engine'!AC87+'Growth Engine'!AC88</f>
        <v/>
      </c>
      <c r="BC47" s="233" t="n"/>
      <c r="BD47" s="233" t="n">
        <v>0</v>
      </c>
      <c r="BE47" s="233" t="n">
        <v>0</v>
      </c>
      <c r="BF47" s="233">
        <f>SUM(AE47:AP47)</f>
        <v/>
      </c>
      <c r="BG47" s="233">
        <f>SUM(AQ47:BB47)</f>
        <v/>
      </c>
      <c r="BH47" s="233">
        <f>'Growth Engine'!BE84+'Growth Engine'!BE85+'Growth Engine'!BE87+'Growth Engine'!BE88</f>
        <v/>
      </c>
      <c r="BI47" s="233" t="n"/>
      <c r="BJ47" s="233" t="n"/>
      <c r="BK47" s="233" t="inlineStr">
        <is>
          <t>overheads scale with headcount; plant and country-entry costs come off the capacity plan</t>
        </is>
      </c>
      <c r="BL47" s="233" t="n"/>
      <c r="BM47" s="233" t="n"/>
    </row>
    <row r="48" ht="15.75" customHeight="1" s="349">
      <c r="A48" s="31" t="n"/>
      <c r="B48" s="392" t="inlineStr">
        <is>
          <t>Total growth-engine OPEX</t>
        </is>
      </c>
      <c r="C48" s="307" t="n"/>
      <c r="D48" s="146" t="n"/>
      <c r="E48" s="307" t="n"/>
      <c r="F48" s="307" t="n"/>
      <c r="G48" s="307">
        <f>G46+G47+G49</f>
        <v/>
      </c>
      <c r="H48" s="307">
        <f>H46+H47+H49</f>
        <v/>
      </c>
      <c r="I48" s="307">
        <f>I46+I47+I49</f>
        <v/>
      </c>
      <c r="J48" s="307">
        <f>J46+J47+J49</f>
        <v/>
      </c>
      <c r="K48" s="307">
        <f>K46+K47+K49</f>
        <v/>
      </c>
      <c r="L48" s="307">
        <f>L46+L47+L49</f>
        <v/>
      </c>
      <c r="M48" s="307">
        <f>M46+M47+M49</f>
        <v/>
      </c>
      <c r="N48" s="307">
        <f>N46+N47+N49</f>
        <v/>
      </c>
      <c r="O48" s="233">
        <f>O46+O47+O49</f>
        <v/>
      </c>
      <c r="P48" s="233">
        <f>P46+P47+P49</f>
        <v/>
      </c>
      <c r="Q48" s="233">
        <f>Q46+Q47+Q49</f>
        <v/>
      </c>
      <c r="R48" s="233">
        <f>R46+R47+R49</f>
        <v/>
      </c>
      <c r="S48" s="233">
        <f>S46+S47+S49</f>
        <v/>
      </c>
      <c r="T48" s="233">
        <f>T46+T47+T49</f>
        <v/>
      </c>
      <c r="U48" s="233">
        <f>U46+U47+U49</f>
        <v/>
      </c>
      <c r="V48" s="233">
        <f>V46+V47+V49</f>
        <v/>
      </c>
      <c r="W48" s="233">
        <f>W46+W47+W49</f>
        <v/>
      </c>
      <c r="X48" s="233">
        <f>X46+X47+X49</f>
        <v/>
      </c>
      <c r="Y48" s="233">
        <f>Y46+Y47+Y49</f>
        <v/>
      </c>
      <c r="Z48" s="233">
        <f>Z46+Z47+Z49</f>
        <v/>
      </c>
      <c r="AA48" s="233">
        <f>AA46+AA47+AA49</f>
        <v/>
      </c>
      <c r="AB48" s="233">
        <f>AB46+AB47+AB49</f>
        <v/>
      </c>
      <c r="AC48" s="233">
        <f>AC46+AC47+AC49</f>
        <v/>
      </c>
      <c r="AD48" s="233">
        <f>AD46+AD47+AD49</f>
        <v/>
      </c>
      <c r="AE48" s="233">
        <f>AE46+AE47+AE49</f>
        <v/>
      </c>
      <c r="AF48" s="233">
        <f>AF46+AF47+AF49</f>
        <v/>
      </c>
      <c r="AG48" s="233">
        <f>AG46+AG47+AG49</f>
        <v/>
      </c>
      <c r="AH48" s="233">
        <f>AH46+AH47+AH49</f>
        <v/>
      </c>
      <c r="AI48" s="233">
        <f>AI46+AI47+AI49</f>
        <v/>
      </c>
      <c r="AJ48" s="233">
        <f>AJ46+AJ47+AJ49</f>
        <v/>
      </c>
      <c r="AK48" s="233">
        <f>AK46+AK47+AK49</f>
        <v/>
      </c>
      <c r="AL48" s="233">
        <f>AL46+AL47+AL49</f>
        <v/>
      </c>
      <c r="AM48" s="233">
        <f>AM46+AM47+AM49</f>
        <v/>
      </c>
      <c r="AN48" s="233">
        <f>AN46+AN47+AN49</f>
        <v/>
      </c>
      <c r="AO48" s="233">
        <f>AO46+AO47+AO49</f>
        <v/>
      </c>
      <c r="AP48" s="233">
        <f>AP46+AP47+AP49</f>
        <v/>
      </c>
      <c r="AQ48" s="233">
        <f>AQ46+AQ47+AQ49</f>
        <v/>
      </c>
      <c r="AR48" s="233">
        <f>AR46+AR47+AR49</f>
        <v/>
      </c>
      <c r="AS48" s="233">
        <f>AS46+AS47+AS49</f>
        <v/>
      </c>
      <c r="AT48" s="233">
        <f>AT46+AT47+AT49</f>
        <v/>
      </c>
      <c r="AU48" s="233">
        <f>AU46+AU47+AU49</f>
        <v/>
      </c>
      <c r="AV48" s="233">
        <f>AV46+AV47+AV49</f>
        <v/>
      </c>
      <c r="AW48" s="233">
        <f>AW46+AW47+AW49</f>
        <v/>
      </c>
      <c r="AX48" s="233">
        <f>AX46+AX47+AX49</f>
        <v/>
      </c>
      <c r="AY48" s="233">
        <f>AY46+AY47+AY49</f>
        <v/>
      </c>
      <c r="AZ48" s="233">
        <f>AZ46+AZ47+AZ49</f>
        <v/>
      </c>
      <c r="BA48" s="233">
        <f>BA46+BA47+BA49</f>
        <v/>
      </c>
      <c r="BB48" s="233">
        <f>BB46+BB47+BB49</f>
        <v/>
      </c>
      <c r="BC48" s="233" t="n"/>
      <c r="BD48" s="233">
        <f>BD46+BD47+BD49</f>
        <v/>
      </c>
      <c r="BE48" s="233">
        <f>BE46+BE47+BE49</f>
        <v/>
      </c>
      <c r="BF48" s="233">
        <f>BF46+BF47+BF49</f>
        <v/>
      </c>
      <c r="BG48" s="233">
        <f>BG46+BG47+BG49</f>
        <v/>
      </c>
      <c r="BH48" s="233">
        <f>BH46+BH47+BH49</f>
        <v/>
      </c>
      <c r="BI48" s="233" t="n"/>
      <c r="BJ48" s="233" t="n"/>
      <c r="BK48" s="233" t="n"/>
      <c r="BL48" s="233" t="n"/>
      <c r="BM48" s="233" t="n"/>
    </row>
    <row r="49" ht="15.75" customHeight="1" s="349">
      <c r="A49" s="31" t="n"/>
      <c r="B49" s="370" t="inlineStr">
        <is>
          <t>(people are in the Personnel tab)</t>
        </is>
      </c>
      <c r="C49" s="307" t="n"/>
      <c r="D49" s="146" t="n"/>
      <c r="E49" s="307" t="n"/>
      <c r="F49" s="307" t="n"/>
      <c r="G49" s="307" t="n">
        <v>0</v>
      </c>
      <c r="H49" s="307" t="n">
        <v>0</v>
      </c>
      <c r="I49" s="307" t="n">
        <v>0</v>
      </c>
      <c r="J49" s="307" t="n">
        <v>0</v>
      </c>
      <c r="K49" s="307" t="n">
        <v>0</v>
      </c>
      <c r="L49" s="307" t="n">
        <v>0</v>
      </c>
      <c r="M49" s="307" t="n">
        <v>0</v>
      </c>
      <c r="N49" s="307" t="n">
        <v>0</v>
      </c>
      <c r="O49" s="233" t="n">
        <v>0</v>
      </c>
      <c r="P49" s="233" t="n">
        <v>0</v>
      </c>
      <c r="Q49" s="233" t="n">
        <v>0</v>
      </c>
      <c r="R49" s="233" t="n">
        <v>0</v>
      </c>
      <c r="S49" s="233" t="n">
        <v>0</v>
      </c>
      <c r="T49" s="233" t="n">
        <v>0</v>
      </c>
      <c r="U49" s="233" t="n">
        <v>0</v>
      </c>
      <c r="V49" s="233" t="n">
        <v>0</v>
      </c>
      <c r="W49" s="233" t="n">
        <v>0</v>
      </c>
      <c r="X49" s="233" t="n">
        <v>0</v>
      </c>
      <c r="Y49" s="233" t="n">
        <v>0</v>
      </c>
      <c r="Z49" s="233" t="n">
        <v>0</v>
      </c>
      <c r="AA49" s="233" t="n">
        <v>0</v>
      </c>
      <c r="AB49" s="233" t="n">
        <v>0</v>
      </c>
      <c r="AC49" s="233" t="n">
        <v>0</v>
      </c>
      <c r="AD49" s="233" t="n">
        <v>0</v>
      </c>
      <c r="AE49" s="233" t="n">
        <v>0</v>
      </c>
      <c r="AF49" s="233" t="n">
        <v>0</v>
      </c>
      <c r="AG49" s="233" t="n">
        <v>0</v>
      </c>
      <c r="AH49" s="233" t="n">
        <v>0</v>
      </c>
      <c r="AI49" s="233" t="n">
        <v>0</v>
      </c>
      <c r="AJ49" s="233" t="n">
        <v>0</v>
      </c>
      <c r="AK49" s="233" t="n">
        <v>0</v>
      </c>
      <c r="AL49" s="233" t="n">
        <v>0</v>
      </c>
      <c r="AM49" s="233" t="n">
        <v>0</v>
      </c>
      <c r="AN49" s="233" t="n">
        <v>0</v>
      </c>
      <c r="AO49" s="233" t="n">
        <v>0</v>
      </c>
      <c r="AP49" s="233" t="n">
        <v>0</v>
      </c>
      <c r="AQ49" s="233" t="n">
        <v>0</v>
      </c>
      <c r="AR49" s="233" t="n">
        <v>0</v>
      </c>
      <c r="AS49" s="233" t="n">
        <v>0</v>
      </c>
      <c r="AT49" s="233" t="n">
        <v>0</v>
      </c>
      <c r="AU49" s="233" t="n">
        <v>0</v>
      </c>
      <c r="AV49" s="233" t="n">
        <v>0</v>
      </c>
      <c r="AW49" s="233" t="n">
        <v>0</v>
      </c>
      <c r="AX49" s="233" t="n">
        <v>0</v>
      </c>
      <c r="AY49" s="233" t="n">
        <v>0</v>
      </c>
      <c r="AZ49" s="233" t="n">
        <v>0</v>
      </c>
      <c r="BA49" s="233" t="n">
        <v>0</v>
      </c>
      <c r="BB49" s="233" t="n">
        <v>0</v>
      </c>
      <c r="BC49" s="233" t="n"/>
      <c r="BD49" s="233" t="n">
        <v>0</v>
      </c>
      <c r="BE49" s="233" t="n">
        <v>0</v>
      </c>
      <c r="BF49" s="233">
        <f>SUM(AE49:AP49)</f>
        <v/>
      </c>
      <c r="BG49" s="233">
        <f>SUM(AQ49:BB49)</f>
        <v/>
      </c>
      <c r="BH49" s="233" t="n">
        <v>0</v>
      </c>
      <c r="BI49" s="233" t="n"/>
      <c r="BJ49" s="233" t="n"/>
      <c r="BK49" s="233" t="n"/>
      <c r="BL49" s="233" t="n"/>
      <c r="BM49" s="233" t="n"/>
    </row>
    <row r="50" ht="15.75" customHeight="1" s="349">
      <c r="A50" s="31" t="n"/>
      <c r="B50" s="307" t="n"/>
      <c r="C50" s="307" t="n"/>
      <c r="D50" s="146" t="n"/>
      <c r="E50" s="307" t="n"/>
      <c r="F50" s="307" t="n"/>
      <c r="G50" s="307" t="n"/>
      <c r="H50" s="307" t="n"/>
      <c r="I50" s="307" t="n"/>
      <c r="J50" s="307" t="n"/>
      <c r="K50" s="307" t="n"/>
      <c r="L50" s="307" t="n"/>
      <c r="M50" s="307" t="n"/>
      <c r="N50" s="307" t="n"/>
      <c r="O50" s="233" t="n"/>
      <c r="P50" s="233" t="n"/>
      <c r="Q50" s="233" t="n"/>
      <c r="R50" s="233" t="n"/>
      <c r="S50" s="233" t="n"/>
      <c r="T50" s="233" t="n"/>
      <c r="U50" s="233" t="n"/>
      <c r="V50" s="233" t="n"/>
      <c r="W50" s="233" t="n"/>
      <c r="X50" s="233" t="n"/>
      <c r="Y50" s="233" t="n"/>
      <c r="Z50" s="233" t="n"/>
      <c r="AA50" s="233" t="n"/>
      <c r="AB50" s="233" t="n"/>
      <c r="AC50" s="233" t="n"/>
      <c r="AD50" s="233" t="n"/>
      <c r="AE50" s="233" t="n"/>
      <c r="AF50" s="233" t="n"/>
      <c r="AG50" s="233" t="n"/>
      <c r="AH50" s="233" t="n"/>
      <c r="AI50" s="233" t="n"/>
      <c r="AJ50" s="233" t="n"/>
      <c r="AK50" s="233" t="n"/>
      <c r="AL50" s="233" t="n"/>
      <c r="AM50" s="233" t="n"/>
      <c r="AN50" s="233" t="n"/>
      <c r="AO50" s="233" t="n"/>
      <c r="AP50" s="233" t="n"/>
      <c r="AQ50" s="233" t="n"/>
      <c r="AR50" s="233" t="n"/>
      <c r="AS50" s="233" t="n"/>
      <c r="AT50" s="233" t="n"/>
      <c r="AU50" s="233" t="n"/>
      <c r="AV50" s="233" t="n"/>
      <c r="AW50" s="233" t="n"/>
      <c r="AX50" s="233" t="n"/>
      <c r="AY50" s="233" t="n"/>
      <c r="AZ50" s="233" t="n"/>
      <c r="BA50" s="233" t="n"/>
      <c r="BB50" s="233" t="n"/>
      <c r="BC50" s="233" t="n"/>
      <c r="BD50" s="233" t="n"/>
      <c r="BE50" s="233" t="n"/>
      <c r="BF50" s="233" t="n"/>
      <c r="BG50" s="233" t="n"/>
      <c r="BH50" s="233" t="n"/>
      <c r="BI50" s="233" t="n"/>
      <c r="BJ50" s="233" t="n"/>
      <c r="BK50" s="233" t="n"/>
      <c r="BL50" s="233" t="n"/>
      <c r="BM50" s="233" t="n"/>
    </row>
    <row r="51" ht="15.75" customHeight="1" s="349">
      <c r="A51" s="31" t="n"/>
      <c r="B51" s="307" t="n"/>
      <c r="C51" s="307" t="n"/>
      <c r="D51" s="146" t="n"/>
      <c r="E51" s="307" t="n"/>
      <c r="F51" s="307" t="n"/>
      <c r="G51" s="307" t="n"/>
      <c r="H51" s="307" t="n"/>
      <c r="I51" s="307" t="n"/>
      <c r="J51" s="307" t="n"/>
      <c r="K51" s="307" t="n"/>
      <c r="L51" s="307" t="n"/>
      <c r="M51" s="307" t="n"/>
      <c r="N51" s="307" t="n"/>
      <c r="O51" s="233" t="n"/>
      <c r="P51" s="233" t="n"/>
      <c r="Q51" s="233" t="n"/>
      <c r="R51" s="233" t="n"/>
      <c r="S51" s="233" t="n"/>
      <c r="T51" s="233" t="n"/>
      <c r="U51" s="233" t="n"/>
      <c r="V51" s="233" t="n"/>
      <c r="W51" s="233" t="n"/>
      <c r="X51" s="233" t="n"/>
      <c r="Y51" s="233" t="n"/>
      <c r="Z51" s="233" t="n"/>
      <c r="AA51" s="233" t="n"/>
      <c r="AB51" s="233" t="n"/>
      <c r="AC51" s="233" t="n"/>
      <c r="AD51" s="233" t="n"/>
      <c r="AE51" s="233" t="n"/>
      <c r="AF51" s="233" t="n"/>
      <c r="AG51" s="233" t="n"/>
      <c r="AH51" s="233" t="n"/>
      <c r="AI51" s="233" t="n"/>
      <c r="AJ51" s="233" t="n"/>
      <c r="AK51" s="233" t="n"/>
      <c r="AL51" s="233" t="n"/>
      <c r="AM51" s="233" t="n"/>
      <c r="AN51" s="233" t="n"/>
      <c r="AO51" s="233" t="n"/>
      <c r="AP51" s="233" t="n"/>
      <c r="AQ51" s="233" t="n"/>
      <c r="AR51" s="233" t="n"/>
      <c r="AS51" s="233" t="n"/>
      <c r="AT51" s="233" t="n"/>
      <c r="AU51" s="233" t="n"/>
      <c r="AV51" s="233" t="n"/>
      <c r="AW51" s="233" t="n"/>
      <c r="AX51" s="233" t="n"/>
      <c r="AY51" s="233" t="n"/>
      <c r="AZ51" s="233" t="n"/>
      <c r="BA51" s="233" t="n"/>
      <c r="BB51" s="233" t="n"/>
      <c r="BC51" s="233" t="n"/>
      <c r="BD51" s="233" t="n"/>
      <c r="BE51" s="233" t="n"/>
      <c r="BF51" s="233" t="n"/>
      <c r="BG51" s="233" t="n"/>
      <c r="BH51" s="233" t="n"/>
      <c r="BI51" s="233" t="n"/>
      <c r="BJ51" s="233" t="n"/>
      <c r="BK51" s="233" t="n"/>
      <c r="BL51" s="233" t="n"/>
      <c r="BM51" s="233" t="n"/>
    </row>
    <row r="52" ht="15.75" customHeight="1" s="349">
      <c r="A52" s="31" t="n"/>
      <c r="B52" s="307" t="n"/>
      <c r="C52" s="307" t="n"/>
      <c r="D52" s="146" t="n"/>
      <c r="E52" s="307" t="n"/>
      <c r="F52" s="307" t="n"/>
      <c r="G52" s="307" t="n"/>
      <c r="H52" s="307" t="n"/>
      <c r="I52" s="307" t="n"/>
      <c r="J52" s="307" t="n"/>
      <c r="K52" s="307" t="n"/>
      <c r="L52" s="307" t="n"/>
      <c r="M52" s="307" t="n"/>
      <c r="N52" s="307" t="n"/>
      <c r="O52" s="233" t="n"/>
      <c r="P52" s="233" t="n"/>
      <c r="Q52" s="233" t="n"/>
      <c r="R52" s="233" t="n"/>
      <c r="S52" s="233" t="n"/>
      <c r="T52" s="233" t="n"/>
      <c r="U52" s="233" t="n"/>
      <c r="V52" s="233" t="n"/>
      <c r="W52" s="233" t="n"/>
      <c r="X52" s="233" t="n"/>
      <c r="Y52" s="233" t="n"/>
      <c r="Z52" s="233" t="n"/>
      <c r="AA52" s="233" t="n"/>
      <c r="AB52" s="233" t="n"/>
      <c r="AC52" s="233" t="n"/>
      <c r="AD52" s="233" t="n"/>
      <c r="AE52" s="233" t="n"/>
      <c r="AF52" s="233" t="n"/>
      <c r="AG52" s="233" t="n"/>
      <c r="AH52" s="233" t="n"/>
      <c r="AI52" s="233" t="n"/>
      <c r="AJ52" s="233" t="n"/>
      <c r="AK52" s="233" t="n"/>
      <c r="AL52" s="233" t="n"/>
      <c r="AM52" s="233" t="n"/>
      <c r="AN52" s="233" t="n"/>
      <c r="AO52" s="233" t="n"/>
      <c r="AP52" s="233" t="n"/>
      <c r="AQ52" s="233" t="n"/>
      <c r="AR52" s="233" t="n"/>
      <c r="AS52" s="233" t="n"/>
      <c r="AT52" s="233" t="n"/>
      <c r="AU52" s="233" t="n"/>
      <c r="AV52" s="233" t="n"/>
      <c r="AW52" s="233" t="n"/>
      <c r="AX52" s="233" t="n"/>
      <c r="AY52" s="233" t="n"/>
      <c r="AZ52" s="233" t="n"/>
      <c r="BA52" s="233" t="n"/>
      <c r="BB52" s="233" t="n"/>
      <c r="BC52" s="233" t="n"/>
      <c r="BD52" s="233" t="n"/>
      <c r="BE52" s="233" t="n"/>
      <c r="BF52" s="233" t="n"/>
      <c r="BG52" s="233" t="n"/>
      <c r="BH52" s="233" t="n"/>
      <c r="BI52" s="233" t="n"/>
      <c r="BJ52" s="233" t="n"/>
      <c r="BK52" s="233" t="n"/>
      <c r="BL52" s="233" t="n"/>
      <c r="BM52" s="233" t="n"/>
    </row>
    <row r="53" ht="15.75" customHeight="1" s="349">
      <c r="A53" s="31" t="n"/>
      <c r="B53" s="307" t="n"/>
      <c r="C53" s="307" t="n"/>
      <c r="D53" s="146" t="n"/>
      <c r="E53" s="307" t="n"/>
      <c r="F53" s="307" t="n"/>
      <c r="G53" s="307" t="n"/>
      <c r="H53" s="307" t="n"/>
      <c r="I53" s="307" t="n"/>
      <c r="J53" s="307" t="n"/>
      <c r="K53" s="307" t="n"/>
      <c r="L53" s="307" t="n"/>
      <c r="M53" s="307" t="n"/>
      <c r="N53" s="307" t="n"/>
      <c r="O53" s="233" t="n"/>
      <c r="P53" s="233" t="n"/>
      <c r="Q53" s="233" t="n"/>
      <c r="R53" s="233" t="n"/>
      <c r="S53" s="233" t="n"/>
      <c r="T53" s="233" t="n"/>
      <c r="U53" s="233" t="n"/>
      <c r="V53" s="233" t="n"/>
      <c r="W53" s="233" t="n"/>
      <c r="X53" s="233" t="n"/>
      <c r="Y53" s="233" t="n"/>
      <c r="Z53" s="233" t="n"/>
      <c r="AA53" s="233" t="n"/>
      <c r="AB53" s="233" t="n"/>
      <c r="AC53" s="233" t="n"/>
      <c r="AD53" s="233" t="n"/>
      <c r="AE53" s="233" t="n"/>
      <c r="AF53" s="233" t="n"/>
      <c r="AG53" s="233" t="n"/>
      <c r="AH53" s="233" t="n"/>
      <c r="AI53" s="233" t="n"/>
      <c r="AJ53" s="233" t="n"/>
      <c r="AK53" s="233" t="n"/>
      <c r="AL53" s="233" t="n"/>
      <c r="AM53" s="233" t="n"/>
      <c r="AN53" s="233" t="n"/>
      <c r="AO53" s="233" t="n"/>
      <c r="AP53" s="233" t="n"/>
      <c r="AQ53" s="233" t="n"/>
      <c r="AR53" s="233" t="n"/>
      <c r="AS53" s="233" t="n"/>
      <c r="AT53" s="233" t="n"/>
      <c r="AU53" s="233" t="n"/>
      <c r="AV53" s="233" t="n"/>
      <c r="AW53" s="233" t="n"/>
      <c r="AX53" s="233" t="n"/>
      <c r="AY53" s="233" t="n"/>
      <c r="AZ53" s="233" t="n"/>
      <c r="BA53" s="233" t="n"/>
      <c r="BB53" s="233" t="n"/>
      <c r="BC53" s="233" t="n"/>
      <c r="BD53" s="233" t="n"/>
      <c r="BE53" s="233" t="n"/>
      <c r="BF53" s="233" t="n"/>
      <c r="BG53" s="233" t="n"/>
      <c r="BH53" s="233" t="n"/>
      <c r="BI53" s="233" t="n"/>
      <c r="BJ53" s="233" t="n"/>
      <c r="BK53" s="233" t="n"/>
      <c r="BL53" s="233" t="n"/>
      <c r="BM53" s="233" t="n"/>
    </row>
    <row r="54" ht="15.75" customHeight="1" s="349">
      <c r="A54" s="31" t="n"/>
      <c r="B54" s="307" t="n"/>
      <c r="C54" s="307" t="n"/>
      <c r="D54" s="146" t="n"/>
      <c r="E54" s="307" t="n"/>
      <c r="F54" s="307" t="n"/>
      <c r="G54" s="307" t="n"/>
      <c r="H54" s="307" t="n"/>
      <c r="I54" s="307" t="n"/>
      <c r="J54" s="307" t="n"/>
      <c r="K54" s="307" t="n"/>
      <c r="L54" s="307" t="n"/>
      <c r="M54" s="307" t="n"/>
      <c r="N54" s="307" t="n"/>
      <c r="O54" s="233" t="n"/>
      <c r="P54" s="233" t="n"/>
      <c r="Q54" s="233" t="n"/>
      <c r="R54" s="233" t="n"/>
      <c r="S54" s="233" t="n"/>
      <c r="T54" s="233" t="n"/>
      <c r="U54" s="233" t="n"/>
      <c r="V54" s="233" t="n"/>
      <c r="W54" s="233" t="n"/>
      <c r="X54" s="233" t="n"/>
      <c r="Y54" s="233" t="n"/>
      <c r="Z54" s="233" t="n"/>
      <c r="AA54" s="233" t="n"/>
      <c r="AB54" s="233" t="n"/>
      <c r="AC54" s="233" t="n"/>
      <c r="AD54" s="233" t="n"/>
      <c r="AE54" s="233" t="n"/>
      <c r="AF54" s="233" t="n"/>
      <c r="AG54" s="233" t="n"/>
      <c r="AH54" s="233" t="n"/>
      <c r="AI54" s="233" t="n"/>
      <c r="AJ54" s="233" t="n"/>
      <c r="AK54" s="233" t="n"/>
      <c r="AL54" s="233" t="n"/>
      <c r="AM54" s="233" t="n"/>
      <c r="AN54" s="233" t="n"/>
      <c r="AO54" s="233" t="n"/>
      <c r="AP54" s="233" t="n"/>
      <c r="AQ54" s="233" t="n"/>
      <c r="AR54" s="233" t="n"/>
      <c r="AS54" s="233" t="n"/>
      <c r="AT54" s="233" t="n"/>
      <c r="AU54" s="233" t="n"/>
      <c r="AV54" s="233" t="n"/>
      <c r="AW54" s="233" t="n"/>
      <c r="AX54" s="233" t="n"/>
      <c r="AY54" s="233" t="n"/>
      <c r="AZ54" s="233" t="n"/>
      <c r="BA54" s="233" t="n"/>
      <c r="BB54" s="233" t="n"/>
      <c r="BC54" s="233" t="n"/>
      <c r="BD54" s="233" t="n"/>
      <c r="BE54" s="233" t="n"/>
      <c r="BF54" s="233" t="n"/>
      <c r="BG54" s="233" t="n"/>
      <c r="BH54" s="233" t="n"/>
      <c r="BI54" s="233" t="n"/>
      <c r="BJ54" s="233" t="n"/>
      <c r="BK54" s="233" t="n"/>
      <c r="BL54" s="233" t="n"/>
      <c r="BM54" s="233" t="n"/>
    </row>
    <row r="55" ht="15.75" customHeight="1" s="349">
      <c r="A55" s="31" t="n"/>
      <c r="B55" s="307" t="n"/>
      <c r="C55" s="307" t="n"/>
      <c r="D55" s="146" t="n"/>
      <c r="E55" s="307" t="n"/>
      <c r="F55" s="307" t="n"/>
      <c r="G55" s="307" t="n"/>
      <c r="H55" s="307" t="n"/>
      <c r="I55" s="307" t="n"/>
      <c r="J55" s="307" t="n"/>
      <c r="K55" s="307" t="n"/>
      <c r="L55" s="307" t="n"/>
      <c r="M55" s="307" t="n"/>
      <c r="N55" s="307" t="n"/>
      <c r="O55" s="233" t="n"/>
      <c r="P55" s="233" t="n"/>
      <c r="Q55" s="233" t="n"/>
      <c r="R55" s="233" t="n"/>
      <c r="S55" s="233" t="n"/>
      <c r="T55" s="233" t="n"/>
      <c r="U55" s="233" t="n"/>
      <c r="V55" s="233" t="n"/>
      <c r="W55" s="233" t="n"/>
      <c r="X55" s="233" t="n"/>
      <c r="Y55" s="233" t="n"/>
      <c r="Z55" s="233" t="n"/>
      <c r="AA55" s="233" t="n"/>
      <c r="AB55" s="233" t="n"/>
      <c r="AC55" s="233" t="n"/>
      <c r="AD55" s="233" t="n"/>
      <c r="AE55" s="233" t="n"/>
      <c r="AF55" s="233" t="n"/>
      <c r="AG55" s="233" t="n"/>
      <c r="AH55" s="233" t="n"/>
      <c r="AI55" s="233" t="n"/>
      <c r="AJ55" s="233" t="n"/>
      <c r="AK55" s="233" t="n"/>
      <c r="AL55" s="233" t="n"/>
      <c r="AM55" s="233" t="n"/>
      <c r="AN55" s="233" t="n"/>
      <c r="AO55" s="233" t="n"/>
      <c r="AP55" s="233" t="n"/>
      <c r="AQ55" s="233" t="n"/>
      <c r="AR55" s="233" t="n"/>
      <c r="AS55" s="233" t="n"/>
      <c r="AT55" s="233" t="n"/>
      <c r="AU55" s="233" t="n"/>
      <c r="AV55" s="233" t="n"/>
      <c r="AW55" s="233" t="n"/>
      <c r="AX55" s="233" t="n"/>
      <c r="AY55" s="233" t="n"/>
      <c r="AZ55" s="233" t="n"/>
      <c r="BA55" s="233" t="n"/>
      <c r="BB55" s="233" t="n"/>
      <c r="BC55" s="233" t="n"/>
      <c r="BD55" s="233" t="n"/>
      <c r="BE55" s="233" t="n"/>
      <c r="BF55" s="233" t="n"/>
      <c r="BG55" s="233" t="n"/>
      <c r="BH55" s="233" t="n"/>
      <c r="BI55" s="233" t="n"/>
      <c r="BJ55" s="233" t="n"/>
      <c r="BK55" s="233" t="n"/>
      <c r="BL55" s="233" t="n"/>
      <c r="BM55" s="233" t="n"/>
    </row>
    <row r="56" ht="15.75" customHeight="1" s="349">
      <c r="A56" s="31" t="n"/>
      <c r="B56" s="307" t="n"/>
      <c r="C56" s="307" t="n"/>
      <c r="D56" s="146" t="n"/>
      <c r="E56" s="307" t="n"/>
      <c r="F56" s="307" t="n"/>
      <c r="G56" s="307" t="n"/>
      <c r="H56" s="307" t="n"/>
      <c r="I56" s="307" t="n"/>
      <c r="J56" s="307" t="n"/>
      <c r="K56" s="307" t="n"/>
      <c r="L56" s="307" t="n"/>
      <c r="M56" s="307" t="n"/>
      <c r="N56" s="307" t="n"/>
      <c r="O56" s="233" t="n"/>
      <c r="P56" s="233" t="n"/>
      <c r="Q56" s="233" t="n"/>
      <c r="R56" s="233" t="n"/>
      <c r="S56" s="233" t="n"/>
      <c r="T56" s="233" t="n"/>
      <c r="U56" s="233" t="n"/>
      <c r="V56" s="233" t="n"/>
      <c r="W56" s="233" t="n"/>
      <c r="X56" s="233" t="n"/>
      <c r="Y56" s="233" t="n"/>
      <c r="Z56" s="233" t="n"/>
      <c r="AA56" s="233" t="n"/>
      <c r="AB56" s="233" t="n"/>
      <c r="AC56" s="233" t="n"/>
      <c r="AD56" s="233" t="n"/>
      <c r="AE56" s="233" t="n"/>
      <c r="AF56" s="233" t="n"/>
      <c r="AG56" s="233" t="n"/>
      <c r="AH56" s="233" t="n"/>
      <c r="AI56" s="233" t="n"/>
      <c r="AJ56" s="233" t="n"/>
      <c r="AK56" s="233" t="n"/>
      <c r="AL56" s="233" t="n"/>
      <c r="AM56" s="233" t="n"/>
      <c r="AN56" s="233" t="n"/>
      <c r="AO56" s="233" t="n"/>
      <c r="AP56" s="233" t="n"/>
      <c r="AQ56" s="233" t="n"/>
      <c r="AR56" s="233" t="n"/>
      <c r="AS56" s="233" t="n"/>
      <c r="AT56" s="233" t="n"/>
      <c r="AU56" s="233" t="n"/>
      <c r="AV56" s="233" t="n"/>
      <c r="AW56" s="233" t="n"/>
      <c r="AX56" s="233" t="n"/>
      <c r="AY56" s="233" t="n"/>
      <c r="AZ56" s="233" t="n"/>
      <c r="BA56" s="233" t="n"/>
      <c r="BB56" s="233" t="n"/>
      <c r="BC56" s="233" t="n"/>
      <c r="BD56" s="233" t="n"/>
      <c r="BE56" s="233" t="n"/>
      <c r="BF56" s="233" t="n"/>
      <c r="BG56" s="233" t="n"/>
      <c r="BH56" s="233" t="n"/>
      <c r="BI56" s="233" t="n"/>
      <c r="BJ56" s="233" t="n"/>
      <c r="BK56" s="233" t="n"/>
      <c r="BL56" s="233" t="n"/>
      <c r="BM56" s="233" t="n"/>
    </row>
    <row r="57" ht="15.75" customHeight="1" s="349">
      <c r="A57" s="31" t="n"/>
      <c r="B57" s="307" t="n"/>
      <c r="C57" s="307" t="n"/>
      <c r="D57" s="146" t="n"/>
      <c r="E57" s="307" t="n"/>
      <c r="F57" s="307" t="n"/>
      <c r="G57" s="307" t="n"/>
      <c r="H57" s="307" t="n"/>
      <c r="I57" s="307" t="n"/>
      <c r="J57" s="307" t="n"/>
      <c r="K57" s="307" t="n"/>
      <c r="L57" s="307" t="n"/>
      <c r="M57" s="307" t="n"/>
      <c r="N57" s="307" t="n"/>
      <c r="O57" s="233" t="n"/>
      <c r="P57" s="233" t="n"/>
      <c r="Q57" s="233" t="n"/>
      <c r="R57" s="233" t="n"/>
      <c r="S57" s="233" t="n"/>
      <c r="T57" s="233" t="n"/>
      <c r="U57" s="233" t="n"/>
      <c r="V57" s="233" t="n"/>
      <c r="W57" s="233" t="n"/>
      <c r="X57" s="233" t="n"/>
      <c r="Y57" s="233" t="n"/>
      <c r="Z57" s="233" t="n"/>
      <c r="AA57" s="233" t="n"/>
      <c r="AB57" s="233" t="n"/>
      <c r="AC57" s="233" t="n"/>
      <c r="AD57" s="233" t="n"/>
      <c r="AE57" s="233" t="n"/>
      <c r="AF57" s="233" t="n"/>
      <c r="AG57" s="233" t="n"/>
      <c r="AH57" s="233" t="n"/>
      <c r="AI57" s="233" t="n"/>
      <c r="AJ57" s="233" t="n"/>
      <c r="AK57" s="233" t="n"/>
      <c r="AL57" s="233" t="n"/>
      <c r="AM57" s="233" t="n"/>
      <c r="AN57" s="233" t="n"/>
      <c r="AO57" s="233" t="n"/>
      <c r="AP57" s="233" t="n"/>
      <c r="AQ57" s="233" t="n"/>
      <c r="AR57" s="233" t="n"/>
      <c r="AS57" s="233" t="n"/>
      <c r="AT57" s="233" t="n"/>
      <c r="AU57" s="233" t="n"/>
      <c r="AV57" s="233" t="n"/>
      <c r="AW57" s="233" t="n"/>
      <c r="AX57" s="233" t="n"/>
      <c r="AY57" s="233" t="n"/>
      <c r="AZ57" s="233" t="n"/>
      <c r="BA57" s="233" t="n"/>
      <c r="BB57" s="233" t="n"/>
      <c r="BC57" s="233" t="n"/>
      <c r="BD57" s="233" t="n"/>
      <c r="BE57" s="233" t="n"/>
      <c r="BF57" s="233" t="n"/>
      <c r="BG57" s="233" t="n"/>
      <c r="BH57" s="233" t="n"/>
      <c r="BI57" s="233" t="n"/>
      <c r="BJ57" s="233" t="n"/>
      <c r="BK57" s="233" t="n"/>
      <c r="BL57" s="233" t="n"/>
      <c r="BM57" s="233" t="n"/>
    </row>
    <row r="58" ht="15.75" customHeight="1" s="349">
      <c r="A58" s="31" t="n"/>
      <c r="B58" s="307" t="n"/>
      <c r="C58" s="307" t="n"/>
      <c r="D58" s="146" t="n"/>
      <c r="E58" s="307" t="n"/>
      <c r="F58" s="307" t="n"/>
      <c r="G58" s="307" t="n"/>
      <c r="H58" s="307" t="n"/>
      <c r="I58" s="307" t="n"/>
      <c r="J58" s="307" t="n"/>
      <c r="K58" s="307" t="n"/>
      <c r="L58" s="307" t="n"/>
      <c r="M58" s="307" t="n"/>
      <c r="N58" s="307" t="n"/>
      <c r="O58" s="233" t="n"/>
      <c r="P58" s="233" t="n"/>
      <c r="Q58" s="233" t="n"/>
      <c r="R58" s="233" t="n"/>
      <c r="S58" s="233" t="n"/>
      <c r="T58" s="233" t="n"/>
      <c r="U58" s="233" t="n"/>
      <c r="V58" s="233" t="n"/>
      <c r="W58" s="233" t="n"/>
      <c r="X58" s="233" t="n"/>
      <c r="Y58" s="233" t="n"/>
      <c r="Z58" s="233" t="n"/>
      <c r="AA58" s="233" t="n"/>
      <c r="AB58" s="233" t="n"/>
      <c r="AC58" s="233" t="n"/>
      <c r="AD58" s="233" t="n"/>
      <c r="AE58" s="233" t="n"/>
      <c r="AF58" s="233" t="n"/>
      <c r="AG58" s="233" t="n"/>
      <c r="AH58" s="233" t="n"/>
      <c r="AI58" s="233" t="n"/>
      <c r="AJ58" s="233" t="n"/>
      <c r="AK58" s="233" t="n"/>
      <c r="AL58" s="233" t="n"/>
      <c r="AM58" s="233" t="n"/>
      <c r="AN58" s="233" t="n"/>
      <c r="AO58" s="233" t="n"/>
      <c r="AP58" s="233" t="n"/>
      <c r="AQ58" s="233" t="n"/>
      <c r="AR58" s="233" t="n"/>
      <c r="AS58" s="233" t="n"/>
      <c r="AT58" s="233" t="n"/>
      <c r="AU58" s="233" t="n"/>
      <c r="AV58" s="233" t="n"/>
      <c r="AW58" s="233" t="n"/>
      <c r="AX58" s="233" t="n"/>
      <c r="AY58" s="233" t="n"/>
      <c r="AZ58" s="233" t="n"/>
      <c r="BA58" s="233" t="n"/>
      <c r="BB58" s="233" t="n"/>
      <c r="BC58" s="233" t="n"/>
      <c r="BD58" s="233" t="n"/>
      <c r="BE58" s="233" t="n"/>
      <c r="BF58" s="233" t="n"/>
      <c r="BG58" s="233" t="n"/>
      <c r="BH58" s="233" t="n"/>
      <c r="BI58" s="233" t="n"/>
      <c r="BJ58" s="233" t="n"/>
      <c r="BK58" s="233" t="n"/>
      <c r="BL58" s="233" t="n"/>
      <c r="BM58" s="233" t="n"/>
    </row>
    <row r="59" ht="15.75" customHeight="1" s="349">
      <c r="A59" s="31" t="n"/>
      <c r="B59" s="307" t="n"/>
      <c r="C59" s="307" t="n"/>
      <c r="D59" s="146" t="n"/>
      <c r="E59" s="307" t="n"/>
      <c r="F59" s="307" t="n"/>
      <c r="G59" s="307" t="n"/>
      <c r="H59" s="307" t="n"/>
      <c r="I59" s="307" t="n"/>
      <c r="J59" s="307" t="n"/>
      <c r="K59" s="307" t="n"/>
      <c r="L59" s="307" t="n"/>
      <c r="M59" s="307" t="n"/>
      <c r="N59" s="307" t="n"/>
      <c r="O59" s="233" t="n"/>
      <c r="P59" s="233" t="n"/>
      <c r="Q59" s="233" t="n"/>
      <c r="R59" s="233" t="n"/>
      <c r="S59" s="233" t="n"/>
      <c r="T59" s="233" t="n"/>
      <c r="U59" s="233" t="n"/>
      <c r="V59" s="233" t="n"/>
      <c r="W59" s="233" t="n"/>
      <c r="X59" s="233" t="n"/>
      <c r="Y59" s="233" t="n"/>
      <c r="Z59" s="233" t="n"/>
      <c r="AA59" s="233" t="n"/>
      <c r="AB59" s="233" t="n"/>
      <c r="AC59" s="233" t="n"/>
      <c r="AD59" s="233" t="n"/>
      <c r="AE59" s="233" t="n"/>
      <c r="AF59" s="233" t="n"/>
      <c r="AG59" s="233" t="n"/>
      <c r="AH59" s="233" t="n"/>
      <c r="AI59" s="233" t="n"/>
      <c r="AJ59" s="233" t="n"/>
      <c r="AK59" s="233" t="n"/>
      <c r="AL59" s="233" t="n"/>
      <c r="AM59" s="233" t="n"/>
      <c r="AN59" s="233" t="n"/>
      <c r="AO59" s="233" t="n"/>
      <c r="AP59" s="233" t="n"/>
      <c r="AQ59" s="233" t="n"/>
      <c r="AR59" s="233" t="n"/>
      <c r="AS59" s="233" t="n"/>
      <c r="AT59" s="233" t="n"/>
      <c r="AU59" s="233" t="n"/>
      <c r="AV59" s="233" t="n"/>
      <c r="AW59" s="233" t="n"/>
      <c r="AX59" s="233" t="n"/>
      <c r="AY59" s="233" t="n"/>
      <c r="AZ59" s="233" t="n"/>
      <c r="BA59" s="233" t="n"/>
      <c r="BB59" s="233" t="n"/>
      <c r="BC59" s="233" t="n"/>
      <c r="BD59" s="233" t="n"/>
      <c r="BE59" s="233" t="n"/>
      <c r="BF59" s="233" t="n"/>
      <c r="BG59" s="233" t="n"/>
      <c r="BH59" s="233" t="n"/>
      <c r="BI59" s="233" t="n"/>
      <c r="BJ59" s="233" t="n"/>
      <c r="BK59" s="233" t="n"/>
      <c r="BL59" s="233" t="n"/>
      <c r="BM59" s="233" t="n"/>
    </row>
    <row r="60" ht="15.75" customHeight="1" s="349">
      <c r="A60" s="31" t="n"/>
      <c r="B60" s="307" t="n"/>
      <c r="C60" s="307" t="n"/>
      <c r="D60" s="146" t="n"/>
      <c r="E60" s="307" t="n"/>
      <c r="F60" s="307" t="n"/>
      <c r="G60" s="307" t="n"/>
      <c r="H60" s="307" t="n"/>
      <c r="I60" s="307" t="n"/>
      <c r="J60" s="307" t="n"/>
      <c r="K60" s="307" t="n"/>
      <c r="L60" s="307" t="n"/>
      <c r="M60" s="307" t="n"/>
      <c r="N60" s="307" t="n"/>
      <c r="O60" s="233" t="n"/>
      <c r="P60" s="233" t="n"/>
      <c r="Q60" s="233" t="n"/>
      <c r="R60" s="233" t="n"/>
      <c r="S60" s="233" t="n"/>
      <c r="T60" s="233" t="n"/>
      <c r="U60" s="233" t="n"/>
      <c r="V60" s="233" t="n"/>
      <c r="W60" s="233" t="n"/>
      <c r="X60" s="233" t="n"/>
      <c r="Y60" s="233" t="n"/>
      <c r="Z60" s="233" t="n"/>
      <c r="AA60" s="233" t="n"/>
      <c r="AB60" s="233" t="n"/>
      <c r="AC60" s="233" t="n"/>
      <c r="AD60" s="233" t="n"/>
      <c r="AE60" s="233" t="n"/>
      <c r="AF60" s="233" t="n"/>
      <c r="AG60" s="233" t="n"/>
      <c r="AH60" s="233" t="n"/>
      <c r="AI60" s="233" t="n"/>
      <c r="AJ60" s="233" t="n"/>
      <c r="AK60" s="233" t="n"/>
      <c r="AL60" s="233" t="n"/>
      <c r="AM60" s="233" t="n"/>
      <c r="AN60" s="233" t="n"/>
      <c r="AO60" s="233" t="n"/>
      <c r="AP60" s="233" t="n"/>
      <c r="AQ60" s="233" t="n"/>
      <c r="AR60" s="233" t="n"/>
      <c r="AS60" s="233" t="n"/>
      <c r="AT60" s="233" t="n"/>
      <c r="AU60" s="233" t="n"/>
      <c r="AV60" s="233" t="n"/>
      <c r="AW60" s="233" t="n"/>
      <c r="AX60" s="233" t="n"/>
      <c r="AY60" s="233" t="n"/>
      <c r="AZ60" s="233" t="n"/>
      <c r="BA60" s="233" t="n"/>
      <c r="BB60" s="233" t="n"/>
      <c r="BC60" s="233" t="n"/>
      <c r="BD60" s="233" t="n"/>
      <c r="BE60" s="233" t="n"/>
      <c r="BF60" s="233" t="n"/>
      <c r="BG60" s="233" t="n"/>
      <c r="BH60" s="233" t="n"/>
      <c r="BI60" s="233" t="n"/>
      <c r="BJ60" s="233" t="n"/>
      <c r="BK60" s="233" t="n"/>
      <c r="BL60" s="233" t="n"/>
      <c r="BM60" s="233" t="n"/>
    </row>
    <row r="61" ht="15.75" customHeight="1" s="349">
      <c r="A61" s="31" t="n"/>
      <c r="B61" s="307" t="n"/>
      <c r="C61" s="307" t="n"/>
      <c r="D61" s="146" t="n"/>
      <c r="E61" s="307" t="n"/>
      <c r="F61" s="307" t="n"/>
      <c r="G61" s="307" t="n"/>
      <c r="H61" s="307" t="n"/>
      <c r="I61" s="307" t="n"/>
      <c r="J61" s="307" t="n"/>
      <c r="K61" s="307" t="n"/>
      <c r="L61" s="307" t="n"/>
      <c r="M61" s="307" t="n"/>
      <c r="N61" s="307" t="n"/>
      <c r="O61" s="233" t="n"/>
      <c r="P61" s="233" t="n"/>
      <c r="Q61" s="233" t="n"/>
      <c r="R61" s="233" t="n"/>
      <c r="S61" s="233" t="n"/>
      <c r="T61" s="233" t="n"/>
      <c r="U61" s="233" t="n"/>
      <c r="V61" s="233" t="n"/>
      <c r="W61" s="233" t="n"/>
      <c r="X61" s="233" t="n"/>
      <c r="Y61" s="233" t="n"/>
      <c r="Z61" s="233" t="n"/>
      <c r="AA61" s="233" t="n"/>
      <c r="AB61" s="233" t="n"/>
      <c r="AC61" s="233" t="n"/>
      <c r="AD61" s="233" t="n"/>
      <c r="AE61" s="233" t="n"/>
      <c r="AF61" s="233" t="n"/>
      <c r="AG61" s="233" t="n"/>
      <c r="AH61" s="233" t="n"/>
      <c r="AI61" s="233" t="n"/>
      <c r="AJ61" s="233" t="n"/>
      <c r="AK61" s="233" t="n"/>
      <c r="AL61" s="233" t="n"/>
      <c r="AM61" s="233" t="n"/>
      <c r="AN61" s="233" t="n"/>
      <c r="AO61" s="233" t="n"/>
      <c r="AP61" s="233" t="n"/>
      <c r="AQ61" s="233" t="n"/>
      <c r="AR61" s="233" t="n"/>
      <c r="AS61" s="233" t="n"/>
      <c r="AT61" s="233" t="n"/>
      <c r="AU61" s="233" t="n"/>
      <c r="AV61" s="233" t="n"/>
      <c r="AW61" s="233" t="n"/>
      <c r="AX61" s="233" t="n"/>
      <c r="AY61" s="233" t="n"/>
      <c r="AZ61" s="233" t="n"/>
      <c r="BA61" s="233" t="n"/>
      <c r="BB61" s="233" t="n"/>
      <c r="BC61" s="233" t="n"/>
      <c r="BD61" s="233" t="n"/>
      <c r="BE61" s="233" t="n"/>
      <c r="BF61" s="233" t="n"/>
      <c r="BG61" s="233" t="n"/>
      <c r="BH61" s="233" t="n"/>
      <c r="BI61" s="233" t="n"/>
      <c r="BJ61" s="233" t="n"/>
      <c r="BK61" s="233" t="n"/>
      <c r="BL61" s="233" t="n"/>
      <c r="BM61" s="233" t="n"/>
    </row>
    <row r="62" ht="15.75" customHeight="1" s="349">
      <c r="A62" s="31" t="n"/>
      <c r="B62" s="307" t="n"/>
      <c r="C62" s="307" t="n"/>
      <c r="D62" s="146" t="n"/>
      <c r="E62" s="307" t="n"/>
      <c r="F62" s="307" t="n"/>
      <c r="G62" s="307" t="n"/>
      <c r="H62" s="307" t="n"/>
      <c r="I62" s="307" t="n"/>
      <c r="J62" s="307" t="n"/>
      <c r="K62" s="307" t="n"/>
      <c r="L62" s="307" t="n"/>
      <c r="M62" s="307" t="n"/>
      <c r="N62" s="307" t="n"/>
      <c r="O62" s="233" t="n"/>
      <c r="P62" s="233" t="n"/>
      <c r="Q62" s="233" t="n"/>
      <c r="R62" s="233" t="n"/>
      <c r="S62" s="233" t="n"/>
      <c r="T62" s="233" t="n"/>
      <c r="U62" s="233" t="n"/>
      <c r="V62" s="233" t="n"/>
      <c r="W62" s="233" t="n"/>
      <c r="X62" s="233" t="n"/>
      <c r="Y62" s="233" t="n"/>
      <c r="Z62" s="233" t="n"/>
      <c r="AA62" s="233" t="n"/>
      <c r="AB62" s="233" t="n"/>
      <c r="AC62" s="233" t="n"/>
      <c r="AD62" s="233" t="n"/>
      <c r="AE62" s="233" t="n"/>
      <c r="AF62" s="233" t="n"/>
      <c r="AG62" s="233" t="n"/>
      <c r="AH62" s="233" t="n"/>
      <c r="AI62" s="233" t="n"/>
      <c r="AJ62" s="233" t="n"/>
      <c r="AK62" s="233" t="n"/>
      <c r="AL62" s="233" t="n"/>
      <c r="AM62" s="233" t="n"/>
      <c r="AN62" s="233" t="n"/>
      <c r="AO62" s="233" t="n"/>
      <c r="AP62" s="233" t="n"/>
      <c r="AQ62" s="233" t="n"/>
      <c r="AR62" s="233" t="n"/>
      <c r="AS62" s="233" t="n"/>
      <c r="AT62" s="233" t="n"/>
      <c r="AU62" s="233" t="n"/>
      <c r="AV62" s="233" t="n"/>
      <c r="AW62" s="233" t="n"/>
      <c r="AX62" s="233" t="n"/>
      <c r="AY62" s="233" t="n"/>
      <c r="AZ62" s="233" t="n"/>
      <c r="BA62" s="233" t="n"/>
      <c r="BB62" s="233" t="n"/>
      <c r="BC62" s="233" t="n"/>
      <c r="BD62" s="233" t="n"/>
      <c r="BE62" s="233" t="n"/>
      <c r="BF62" s="233" t="n"/>
      <c r="BG62" s="233" t="n"/>
      <c r="BH62" s="233" t="n"/>
      <c r="BI62" s="233" t="n"/>
      <c r="BJ62" s="233" t="n"/>
      <c r="BK62" s="233" t="n"/>
      <c r="BL62" s="233" t="n"/>
      <c r="BM62" s="233" t="n"/>
    </row>
    <row r="63" ht="15.75" customHeight="1" s="349">
      <c r="A63" s="31" t="n"/>
      <c r="B63" s="307" t="n"/>
      <c r="C63" s="307" t="n"/>
      <c r="D63" s="146" t="n"/>
      <c r="E63" s="307" t="n"/>
      <c r="F63" s="307" t="n"/>
      <c r="G63" s="307" t="n"/>
      <c r="H63" s="307" t="n"/>
      <c r="I63" s="307" t="n"/>
      <c r="J63" s="307" t="n"/>
      <c r="K63" s="307" t="n"/>
      <c r="L63" s="307" t="n"/>
      <c r="M63" s="307" t="n"/>
      <c r="N63" s="307" t="n"/>
      <c r="O63" s="233" t="n"/>
      <c r="P63" s="233" t="n"/>
      <c r="Q63" s="233" t="n"/>
      <c r="R63" s="233" t="n"/>
      <c r="S63" s="233" t="n"/>
      <c r="T63" s="233" t="n"/>
      <c r="U63" s="233" t="n"/>
      <c r="V63" s="233" t="n"/>
      <c r="W63" s="233" t="n"/>
      <c r="X63" s="233" t="n"/>
      <c r="Y63" s="233" t="n"/>
      <c r="Z63" s="233" t="n"/>
      <c r="AA63" s="233" t="n"/>
      <c r="AB63" s="233" t="n"/>
      <c r="AC63" s="233" t="n"/>
      <c r="AD63" s="233" t="n"/>
      <c r="AE63" s="233" t="n"/>
      <c r="AF63" s="233" t="n"/>
      <c r="AG63" s="233" t="n"/>
      <c r="AH63" s="233" t="n"/>
      <c r="AI63" s="233" t="n"/>
      <c r="AJ63" s="233" t="n"/>
      <c r="AK63" s="233" t="n"/>
      <c r="AL63" s="233" t="n"/>
      <c r="AM63" s="233" t="n"/>
      <c r="AN63" s="233" t="n"/>
      <c r="AO63" s="233" t="n"/>
      <c r="AP63" s="233" t="n"/>
      <c r="AQ63" s="233" t="n"/>
      <c r="AR63" s="233" t="n"/>
      <c r="AS63" s="233" t="n"/>
      <c r="AT63" s="233" t="n"/>
      <c r="AU63" s="233" t="n"/>
      <c r="AV63" s="233" t="n"/>
      <c r="AW63" s="233" t="n"/>
      <c r="AX63" s="233" t="n"/>
      <c r="AY63" s="233" t="n"/>
      <c r="AZ63" s="233" t="n"/>
      <c r="BA63" s="233" t="n"/>
      <c r="BB63" s="233" t="n"/>
      <c r="BC63" s="233" t="n"/>
      <c r="BD63" s="233" t="n"/>
      <c r="BE63" s="233" t="n"/>
      <c r="BF63" s="233" t="n"/>
      <c r="BG63" s="233" t="n"/>
      <c r="BH63" s="233" t="n"/>
      <c r="BI63" s="233" t="n"/>
      <c r="BJ63" s="233" t="n"/>
      <c r="BK63" s="233" t="n"/>
      <c r="BL63" s="233" t="n"/>
      <c r="BM63" s="233" t="n"/>
    </row>
    <row r="64" ht="15.75" customHeight="1" s="349">
      <c r="A64" s="31" t="n"/>
      <c r="B64" s="307" t="n"/>
      <c r="C64" s="307" t="n"/>
      <c r="D64" s="146" t="n"/>
      <c r="E64" s="307" t="n"/>
      <c r="F64" s="307" t="n"/>
      <c r="G64" s="307" t="n"/>
      <c r="H64" s="307" t="n"/>
      <c r="I64" s="307" t="n"/>
      <c r="J64" s="307" t="n"/>
      <c r="K64" s="307" t="n"/>
      <c r="L64" s="307" t="n"/>
      <c r="M64" s="307" t="n"/>
      <c r="N64" s="307" t="n"/>
      <c r="O64" s="233" t="n"/>
      <c r="P64" s="233" t="n"/>
      <c r="Q64" s="233" t="n"/>
      <c r="R64" s="233" t="n"/>
      <c r="S64" s="233" t="n"/>
      <c r="T64" s="233" t="n"/>
      <c r="U64" s="233" t="n"/>
      <c r="V64" s="233" t="n"/>
      <c r="W64" s="233" t="n"/>
      <c r="X64" s="233" t="n"/>
      <c r="Y64" s="233" t="n"/>
      <c r="Z64" s="233" t="n"/>
      <c r="AA64" s="233" t="n"/>
      <c r="AB64" s="233" t="n"/>
      <c r="AC64" s="233" t="n"/>
      <c r="AD64" s="233" t="n"/>
      <c r="AE64" s="233" t="n"/>
      <c r="AF64" s="233" t="n"/>
      <c r="AG64" s="233" t="n"/>
      <c r="AH64" s="233" t="n"/>
      <c r="AI64" s="233" t="n"/>
      <c r="AJ64" s="233" t="n"/>
      <c r="AK64" s="233" t="n"/>
      <c r="AL64" s="233" t="n"/>
      <c r="AM64" s="233" t="n"/>
      <c r="AN64" s="233" t="n"/>
      <c r="AO64" s="233" t="n"/>
      <c r="AP64" s="233" t="n"/>
      <c r="AQ64" s="233" t="n"/>
      <c r="AR64" s="233" t="n"/>
      <c r="AS64" s="233" t="n"/>
      <c r="AT64" s="233" t="n"/>
      <c r="AU64" s="233" t="n"/>
      <c r="AV64" s="233" t="n"/>
      <c r="AW64" s="233" t="n"/>
      <c r="AX64" s="233" t="n"/>
      <c r="AY64" s="233" t="n"/>
      <c r="AZ64" s="233" t="n"/>
      <c r="BA64" s="233" t="n"/>
      <c r="BB64" s="233" t="n"/>
      <c r="BC64" s="233" t="n"/>
      <c r="BD64" s="233" t="n"/>
      <c r="BE64" s="233" t="n"/>
      <c r="BF64" s="233" t="n"/>
      <c r="BG64" s="233" t="n"/>
      <c r="BH64" s="233" t="n"/>
      <c r="BI64" s="233" t="n"/>
      <c r="BJ64" s="233" t="n"/>
      <c r="BK64" s="233" t="n"/>
      <c r="BL64" s="233" t="n"/>
      <c r="BM64" s="233" t="n"/>
    </row>
    <row r="65" ht="15.75" customHeight="1" s="349">
      <c r="A65" s="31" t="n"/>
      <c r="B65" s="307" t="n"/>
      <c r="C65" s="307" t="n"/>
      <c r="D65" s="146" t="n"/>
      <c r="E65" s="307" t="n"/>
      <c r="F65" s="307" t="n"/>
      <c r="G65" s="307" t="n"/>
      <c r="H65" s="307" t="n"/>
      <c r="I65" s="307" t="n"/>
      <c r="J65" s="307" t="n"/>
      <c r="K65" s="307" t="n"/>
      <c r="L65" s="307" t="n"/>
      <c r="M65" s="307" t="n"/>
      <c r="N65" s="307" t="n"/>
      <c r="O65" s="233" t="n"/>
      <c r="P65" s="233" t="n"/>
      <c r="Q65" s="233" t="n"/>
      <c r="R65" s="233" t="n"/>
      <c r="S65" s="233" t="n"/>
      <c r="T65" s="233" t="n"/>
      <c r="U65" s="233" t="n"/>
      <c r="V65" s="233" t="n"/>
      <c r="W65" s="233" t="n"/>
      <c r="X65" s="233" t="n"/>
      <c r="Y65" s="233" t="n"/>
      <c r="Z65" s="233" t="n"/>
      <c r="AA65" s="233" t="n"/>
      <c r="AB65" s="233" t="n"/>
      <c r="AC65" s="233" t="n"/>
      <c r="AD65" s="233" t="n"/>
      <c r="AE65" s="233" t="n"/>
      <c r="AF65" s="233" t="n"/>
      <c r="AG65" s="233" t="n"/>
      <c r="AH65" s="233" t="n"/>
      <c r="AI65" s="233" t="n"/>
      <c r="AJ65" s="233" t="n"/>
      <c r="AK65" s="233" t="n"/>
      <c r="AL65" s="233" t="n"/>
      <c r="AM65" s="233" t="n"/>
      <c r="AN65" s="233" t="n"/>
      <c r="AO65" s="233" t="n"/>
      <c r="AP65" s="233" t="n"/>
      <c r="AQ65" s="233" t="n"/>
      <c r="AR65" s="233" t="n"/>
      <c r="AS65" s="233" t="n"/>
      <c r="AT65" s="233" t="n"/>
      <c r="AU65" s="233" t="n"/>
      <c r="AV65" s="233" t="n"/>
      <c r="AW65" s="233" t="n"/>
      <c r="AX65" s="233" t="n"/>
      <c r="AY65" s="233" t="n"/>
      <c r="AZ65" s="233" t="n"/>
      <c r="BA65" s="233" t="n"/>
      <c r="BB65" s="233" t="n"/>
      <c r="BC65" s="233" t="n"/>
      <c r="BD65" s="233" t="n"/>
      <c r="BE65" s="233" t="n"/>
      <c r="BF65" s="233" t="n"/>
      <c r="BG65" s="233" t="n"/>
      <c r="BH65" s="233" t="n"/>
      <c r="BI65" s="233" t="n"/>
      <c r="BJ65" s="233" t="n"/>
      <c r="BK65" s="233" t="n"/>
      <c r="BL65" s="233" t="n"/>
      <c r="BM65" s="233" t="n"/>
    </row>
    <row r="66" ht="15.75" customHeight="1" s="349">
      <c r="A66" s="31" t="n"/>
      <c r="B66" s="307" t="n"/>
      <c r="C66" s="307" t="n"/>
      <c r="D66" s="146" t="n"/>
      <c r="E66" s="307" t="n"/>
      <c r="F66" s="307" t="n"/>
      <c r="G66" s="307" t="n"/>
      <c r="H66" s="307" t="n"/>
      <c r="I66" s="307" t="n"/>
      <c r="J66" s="307" t="n"/>
      <c r="K66" s="307" t="n"/>
      <c r="L66" s="307" t="n"/>
      <c r="M66" s="307" t="n"/>
      <c r="N66" s="307" t="n"/>
      <c r="O66" s="233" t="n"/>
      <c r="P66" s="233" t="n"/>
      <c r="Q66" s="233" t="n"/>
      <c r="R66" s="233" t="n"/>
      <c r="S66" s="233" t="n"/>
      <c r="T66" s="233" t="n"/>
      <c r="U66" s="233" t="n"/>
      <c r="V66" s="233" t="n"/>
      <c r="W66" s="233" t="n"/>
      <c r="X66" s="233" t="n"/>
      <c r="Y66" s="233" t="n"/>
      <c r="Z66" s="233" t="n"/>
      <c r="AA66" s="233" t="n"/>
      <c r="AB66" s="233" t="n"/>
      <c r="AC66" s="233" t="n"/>
      <c r="AD66" s="233" t="n"/>
      <c r="AE66" s="233" t="n"/>
      <c r="AF66" s="233" t="n"/>
      <c r="AG66" s="233" t="n"/>
      <c r="AH66" s="233" t="n"/>
      <c r="AI66" s="233" t="n"/>
      <c r="AJ66" s="233" t="n"/>
      <c r="AK66" s="233" t="n"/>
      <c r="AL66" s="233" t="n"/>
      <c r="AM66" s="233" t="n"/>
      <c r="AN66" s="233" t="n"/>
      <c r="AO66" s="233" t="n"/>
      <c r="AP66" s="233" t="n"/>
      <c r="AQ66" s="233" t="n"/>
      <c r="AR66" s="233" t="n"/>
      <c r="AS66" s="233" t="n"/>
      <c r="AT66" s="233" t="n"/>
      <c r="AU66" s="233" t="n"/>
      <c r="AV66" s="233" t="n"/>
      <c r="AW66" s="233" t="n"/>
      <c r="AX66" s="233" t="n"/>
      <c r="AY66" s="233" t="n"/>
      <c r="AZ66" s="233" t="n"/>
      <c r="BA66" s="233" t="n"/>
      <c r="BB66" s="233" t="n"/>
      <c r="BC66" s="233" t="n"/>
      <c r="BD66" s="233" t="n"/>
      <c r="BE66" s="233" t="n"/>
      <c r="BF66" s="233" t="n"/>
      <c r="BG66" s="233" t="n"/>
      <c r="BH66" s="233" t="n"/>
      <c r="BI66" s="233" t="n"/>
      <c r="BJ66" s="233" t="n"/>
      <c r="BK66" s="233" t="n"/>
      <c r="BL66" s="233" t="n"/>
      <c r="BM66" s="233" t="n"/>
    </row>
    <row r="67" ht="15.75" customHeight="1" s="349">
      <c r="A67" s="31" t="n"/>
      <c r="B67" s="307" t="n"/>
      <c r="C67" s="307" t="n"/>
      <c r="D67" s="146" t="n"/>
      <c r="E67" s="307" t="n"/>
      <c r="F67" s="307" t="n"/>
      <c r="G67" s="307" t="n"/>
      <c r="H67" s="307" t="n"/>
      <c r="I67" s="307" t="n"/>
      <c r="J67" s="307" t="n"/>
      <c r="K67" s="307" t="n"/>
      <c r="L67" s="307" t="n"/>
      <c r="M67" s="307" t="n"/>
      <c r="N67" s="307" t="n"/>
      <c r="O67" s="233" t="n"/>
      <c r="P67" s="233" t="n"/>
      <c r="Q67" s="233" t="n"/>
      <c r="R67" s="233" t="n"/>
      <c r="S67" s="233" t="n"/>
      <c r="T67" s="233" t="n"/>
      <c r="U67" s="233" t="n"/>
      <c r="V67" s="233" t="n"/>
      <c r="W67" s="233" t="n"/>
      <c r="X67" s="233" t="n"/>
      <c r="Y67" s="233" t="n"/>
      <c r="Z67" s="233" t="n"/>
      <c r="AA67" s="233" t="n"/>
      <c r="AB67" s="233" t="n"/>
      <c r="AC67" s="233" t="n"/>
      <c r="AD67" s="233" t="n"/>
      <c r="AE67" s="233" t="n"/>
      <c r="AF67" s="233" t="n"/>
      <c r="AG67" s="233" t="n"/>
      <c r="AH67" s="233" t="n"/>
      <c r="AI67" s="233" t="n"/>
      <c r="AJ67" s="233" t="n"/>
      <c r="AK67" s="233" t="n"/>
      <c r="AL67" s="233" t="n"/>
      <c r="AM67" s="233" t="n"/>
      <c r="AN67" s="233" t="n"/>
      <c r="AO67" s="233" t="n"/>
      <c r="AP67" s="233" t="n"/>
      <c r="AQ67" s="233" t="n"/>
      <c r="AR67" s="233" t="n"/>
      <c r="AS67" s="233" t="n"/>
      <c r="AT67" s="233" t="n"/>
      <c r="AU67" s="233" t="n"/>
      <c r="AV67" s="233" t="n"/>
      <c r="AW67" s="233" t="n"/>
      <c r="AX67" s="233" t="n"/>
      <c r="AY67" s="233" t="n"/>
      <c r="AZ67" s="233" t="n"/>
      <c r="BA67" s="233" t="n"/>
      <c r="BB67" s="233" t="n"/>
      <c r="BC67" s="233" t="n"/>
      <c r="BD67" s="233" t="n"/>
      <c r="BE67" s="233" t="n"/>
      <c r="BF67" s="233" t="n"/>
      <c r="BG67" s="233" t="n"/>
      <c r="BH67" s="233" t="n"/>
      <c r="BI67" s="233" t="n"/>
      <c r="BJ67" s="233" t="n"/>
      <c r="BK67" s="233" t="n"/>
      <c r="BL67" s="233" t="n"/>
      <c r="BM67" s="233" t="n"/>
    </row>
    <row r="68" ht="15.75" customHeight="1" s="349">
      <c r="A68" s="31" t="n"/>
      <c r="B68" s="307" t="n"/>
      <c r="C68" s="307" t="n"/>
      <c r="D68" s="146" t="n"/>
      <c r="E68" s="307" t="n"/>
      <c r="F68" s="307" t="n"/>
      <c r="G68" s="307" t="n"/>
      <c r="H68" s="307" t="n"/>
      <c r="I68" s="307" t="n"/>
      <c r="J68" s="307" t="n"/>
      <c r="K68" s="307" t="n"/>
      <c r="L68" s="307" t="n"/>
      <c r="M68" s="307" t="n"/>
      <c r="N68" s="307" t="n"/>
      <c r="O68" s="233" t="n"/>
      <c r="P68" s="233" t="n"/>
      <c r="Q68" s="233" t="n"/>
      <c r="R68" s="233" t="n"/>
      <c r="S68" s="233" t="n"/>
      <c r="T68" s="233" t="n"/>
      <c r="U68" s="233" t="n"/>
      <c r="V68" s="233" t="n"/>
      <c r="W68" s="233" t="n"/>
      <c r="X68" s="233" t="n"/>
      <c r="Y68" s="233" t="n"/>
      <c r="Z68" s="233" t="n"/>
      <c r="AA68" s="233" t="n"/>
      <c r="AB68" s="233" t="n"/>
      <c r="AC68" s="233" t="n"/>
      <c r="AD68" s="233" t="n"/>
      <c r="AE68" s="233" t="n"/>
      <c r="AF68" s="233" t="n"/>
      <c r="AG68" s="233" t="n"/>
      <c r="AH68" s="233" t="n"/>
      <c r="AI68" s="233" t="n"/>
      <c r="AJ68" s="233" t="n"/>
      <c r="AK68" s="233" t="n"/>
      <c r="AL68" s="233" t="n"/>
      <c r="AM68" s="233" t="n"/>
      <c r="AN68" s="233" t="n"/>
      <c r="AO68" s="233" t="n"/>
      <c r="AP68" s="233" t="n"/>
      <c r="AQ68" s="233" t="n"/>
      <c r="AR68" s="233" t="n"/>
      <c r="AS68" s="233" t="n"/>
      <c r="AT68" s="233" t="n"/>
      <c r="AU68" s="233" t="n"/>
      <c r="AV68" s="233" t="n"/>
      <c r="AW68" s="233" t="n"/>
      <c r="AX68" s="233" t="n"/>
      <c r="AY68" s="233" t="n"/>
      <c r="AZ68" s="233" t="n"/>
      <c r="BA68" s="233" t="n"/>
      <c r="BB68" s="233" t="n"/>
      <c r="BC68" s="233" t="n"/>
      <c r="BD68" s="233" t="n"/>
      <c r="BE68" s="233" t="n"/>
      <c r="BF68" s="233" t="n"/>
      <c r="BG68" s="233" t="n"/>
      <c r="BH68" s="233" t="n"/>
      <c r="BI68" s="233" t="n"/>
      <c r="BJ68" s="233" t="n"/>
      <c r="BK68" s="233" t="n"/>
      <c r="BL68" s="233" t="n"/>
      <c r="BM68" s="233" t="n"/>
    </row>
    <row r="69" ht="15.75" customHeight="1" s="349">
      <c r="A69" s="31" t="n"/>
      <c r="B69" s="307" t="n"/>
      <c r="C69" s="307" t="n"/>
      <c r="D69" s="146" t="n"/>
      <c r="E69" s="307" t="n"/>
      <c r="F69" s="307" t="n"/>
      <c r="G69" s="307" t="n"/>
      <c r="H69" s="307" t="n"/>
      <c r="I69" s="307" t="n"/>
      <c r="J69" s="307" t="n"/>
      <c r="K69" s="307" t="n"/>
      <c r="L69" s="307" t="n"/>
      <c r="M69" s="307" t="n"/>
      <c r="N69" s="307" t="n"/>
      <c r="O69" s="233" t="n"/>
      <c r="P69" s="233" t="n"/>
      <c r="Q69" s="233" t="n"/>
      <c r="R69" s="233" t="n"/>
      <c r="S69" s="233" t="n"/>
      <c r="T69" s="233" t="n"/>
      <c r="U69" s="233" t="n"/>
      <c r="V69" s="233" t="n"/>
      <c r="W69" s="233" t="n"/>
      <c r="X69" s="233" t="n"/>
      <c r="Y69" s="233" t="n"/>
      <c r="Z69" s="233" t="n"/>
      <c r="AA69" s="233" t="n"/>
      <c r="AB69" s="233" t="n"/>
      <c r="AC69" s="233" t="n"/>
      <c r="AD69" s="233" t="n"/>
      <c r="AE69" s="233" t="n"/>
      <c r="AF69" s="233" t="n"/>
      <c r="AG69" s="233" t="n"/>
      <c r="AH69" s="233" t="n"/>
      <c r="AI69" s="233" t="n"/>
      <c r="AJ69" s="233" t="n"/>
      <c r="AK69" s="233" t="n"/>
      <c r="AL69" s="233" t="n"/>
      <c r="AM69" s="233" t="n"/>
      <c r="AN69" s="233" t="n"/>
      <c r="AO69" s="233" t="n"/>
      <c r="AP69" s="233" t="n"/>
      <c r="AQ69" s="233" t="n"/>
      <c r="AR69" s="233" t="n"/>
      <c r="AS69" s="233" t="n"/>
      <c r="AT69" s="233" t="n"/>
      <c r="AU69" s="233" t="n"/>
      <c r="AV69" s="233" t="n"/>
      <c r="AW69" s="233" t="n"/>
      <c r="AX69" s="233" t="n"/>
      <c r="AY69" s="233" t="n"/>
      <c r="AZ69" s="233" t="n"/>
      <c r="BA69" s="233" t="n"/>
      <c r="BB69" s="233" t="n"/>
      <c r="BC69" s="233" t="n"/>
      <c r="BD69" s="233" t="n"/>
      <c r="BE69" s="233" t="n"/>
      <c r="BF69" s="233" t="n"/>
      <c r="BG69" s="233" t="n"/>
      <c r="BH69" s="233" t="n"/>
      <c r="BI69" s="233" t="n"/>
      <c r="BJ69" s="233" t="n"/>
      <c r="BK69" s="233" t="n"/>
      <c r="BL69" s="233" t="n"/>
      <c r="BM69" s="233" t="n"/>
    </row>
    <row r="70" ht="15.75" customHeight="1" s="349">
      <c r="A70" s="31" t="n"/>
      <c r="B70" s="307" t="n"/>
      <c r="C70" s="307" t="n"/>
      <c r="D70" s="146" t="n"/>
      <c r="E70" s="307" t="n"/>
      <c r="F70" s="307" t="n"/>
      <c r="G70" s="307" t="n"/>
      <c r="H70" s="307" t="n"/>
      <c r="I70" s="307" t="n"/>
      <c r="J70" s="307" t="n"/>
      <c r="K70" s="307" t="n"/>
      <c r="L70" s="307" t="n"/>
      <c r="M70" s="307" t="n"/>
      <c r="N70" s="307" t="n"/>
      <c r="O70" s="233" t="n"/>
      <c r="P70" s="233" t="n"/>
      <c r="Q70" s="233" t="n"/>
      <c r="R70" s="233" t="n"/>
      <c r="S70" s="233" t="n"/>
      <c r="T70" s="233" t="n"/>
      <c r="U70" s="233" t="n"/>
      <c r="V70" s="233" t="n"/>
      <c r="W70" s="233" t="n"/>
      <c r="X70" s="233" t="n"/>
      <c r="Y70" s="233" t="n"/>
      <c r="Z70" s="233" t="n"/>
      <c r="AA70" s="233" t="n"/>
      <c r="AB70" s="233" t="n"/>
      <c r="AC70" s="233" t="n"/>
      <c r="AD70" s="233" t="n"/>
      <c r="AE70" s="233" t="n"/>
      <c r="AF70" s="233" t="n"/>
      <c r="AG70" s="233" t="n"/>
      <c r="AH70" s="233" t="n"/>
      <c r="AI70" s="233" t="n"/>
      <c r="AJ70" s="233" t="n"/>
      <c r="AK70" s="233" t="n"/>
      <c r="AL70" s="233" t="n"/>
      <c r="AM70" s="233" t="n"/>
      <c r="AN70" s="233" t="n"/>
      <c r="AO70" s="233" t="n"/>
      <c r="AP70" s="233" t="n"/>
      <c r="AQ70" s="233" t="n"/>
      <c r="AR70" s="233" t="n"/>
      <c r="AS70" s="233" t="n"/>
      <c r="AT70" s="233" t="n"/>
      <c r="AU70" s="233" t="n"/>
      <c r="AV70" s="233" t="n"/>
      <c r="AW70" s="233" t="n"/>
      <c r="AX70" s="233" t="n"/>
      <c r="AY70" s="233" t="n"/>
      <c r="AZ70" s="233" t="n"/>
      <c r="BA70" s="233" t="n"/>
      <c r="BB70" s="233" t="n"/>
      <c r="BC70" s="233" t="n"/>
      <c r="BD70" s="233" t="n"/>
      <c r="BE70" s="233" t="n"/>
      <c r="BF70" s="233" t="n"/>
      <c r="BG70" s="233" t="n"/>
      <c r="BH70" s="233" t="n"/>
      <c r="BI70" s="233" t="n"/>
      <c r="BJ70" s="233" t="n"/>
      <c r="BK70" s="233" t="n"/>
      <c r="BL70" s="233" t="n"/>
      <c r="BM70" s="233" t="n"/>
    </row>
    <row r="71" ht="15.75" customHeight="1" s="349">
      <c r="A71" s="31" t="n"/>
      <c r="B71" s="307" t="n"/>
      <c r="C71" s="307" t="n"/>
      <c r="D71" s="146" t="n"/>
      <c r="E71" s="307" t="n"/>
      <c r="F71" s="307" t="n"/>
      <c r="G71" s="307" t="n"/>
      <c r="H71" s="307" t="n"/>
      <c r="I71" s="307" t="n"/>
      <c r="J71" s="307" t="n"/>
      <c r="K71" s="307" t="n"/>
      <c r="L71" s="307" t="n"/>
      <c r="M71" s="307" t="n"/>
      <c r="N71" s="307" t="n"/>
      <c r="O71" s="233" t="n"/>
      <c r="P71" s="233" t="n"/>
      <c r="Q71" s="233" t="n"/>
      <c r="R71" s="233" t="n"/>
      <c r="S71" s="233" t="n"/>
      <c r="T71" s="233" t="n"/>
      <c r="U71" s="233" t="n"/>
      <c r="V71" s="233" t="n"/>
      <c r="W71" s="233" t="n"/>
      <c r="X71" s="233" t="n"/>
      <c r="Y71" s="233" t="n"/>
      <c r="Z71" s="233" t="n"/>
      <c r="AA71" s="233" t="n"/>
      <c r="AB71" s="233" t="n"/>
      <c r="AC71" s="233" t="n"/>
      <c r="AD71" s="233" t="n"/>
      <c r="AE71" s="233" t="n"/>
      <c r="AF71" s="233" t="n"/>
      <c r="AG71" s="233" t="n"/>
      <c r="AH71" s="233" t="n"/>
      <c r="AI71" s="233" t="n"/>
      <c r="AJ71" s="233" t="n"/>
      <c r="AK71" s="233" t="n"/>
      <c r="AL71" s="233" t="n"/>
      <c r="AM71" s="233" t="n"/>
      <c r="AN71" s="233" t="n"/>
      <c r="AO71" s="233" t="n"/>
      <c r="AP71" s="233" t="n"/>
      <c r="AQ71" s="233" t="n"/>
      <c r="AR71" s="233" t="n"/>
      <c r="AS71" s="233" t="n"/>
      <c r="AT71" s="233" t="n"/>
      <c r="AU71" s="233" t="n"/>
      <c r="AV71" s="233" t="n"/>
      <c r="AW71" s="233" t="n"/>
      <c r="AX71" s="233" t="n"/>
      <c r="AY71" s="233" t="n"/>
      <c r="AZ71" s="233" t="n"/>
      <c r="BA71" s="233" t="n"/>
      <c r="BB71" s="233" t="n"/>
      <c r="BC71" s="233" t="n"/>
      <c r="BD71" s="233" t="n"/>
      <c r="BE71" s="233" t="n"/>
      <c r="BF71" s="233" t="n"/>
      <c r="BG71" s="233" t="n"/>
      <c r="BH71" s="233" t="n"/>
      <c r="BI71" s="233" t="n"/>
      <c r="BJ71" s="233" t="n"/>
      <c r="BK71" s="233" t="n"/>
      <c r="BL71" s="233" t="n"/>
      <c r="BM71" s="233" t="n"/>
    </row>
    <row r="72" ht="15.75" customHeight="1" s="349">
      <c r="A72" s="31" t="n"/>
      <c r="B72" s="307" t="n"/>
      <c r="C72" s="307" t="n"/>
      <c r="D72" s="146" t="n"/>
      <c r="E72" s="307" t="n"/>
      <c r="F72" s="307" t="n"/>
      <c r="G72" s="307" t="n"/>
      <c r="H72" s="307" t="n"/>
      <c r="I72" s="307" t="n"/>
      <c r="J72" s="307" t="n"/>
      <c r="K72" s="307" t="n"/>
      <c r="L72" s="307" t="n"/>
      <c r="M72" s="307" t="n"/>
      <c r="N72" s="307" t="n"/>
      <c r="O72" s="233" t="n"/>
      <c r="P72" s="233" t="n"/>
      <c r="Q72" s="233" t="n"/>
      <c r="R72" s="233" t="n"/>
      <c r="S72" s="233" t="n"/>
      <c r="T72" s="233" t="n"/>
      <c r="U72" s="233" t="n"/>
      <c r="V72" s="233" t="n"/>
      <c r="W72" s="233" t="n"/>
      <c r="X72" s="233" t="n"/>
      <c r="Y72" s="233" t="n"/>
      <c r="Z72" s="233" t="n"/>
      <c r="AA72" s="233" t="n"/>
      <c r="AB72" s="233" t="n"/>
      <c r="AC72" s="233" t="n"/>
      <c r="AD72" s="233" t="n"/>
      <c r="AE72" s="233" t="n"/>
      <c r="AF72" s="233" t="n"/>
      <c r="AG72" s="233" t="n"/>
      <c r="AH72" s="233" t="n"/>
      <c r="AI72" s="233" t="n"/>
      <c r="AJ72" s="233" t="n"/>
      <c r="AK72" s="233" t="n"/>
      <c r="AL72" s="233" t="n"/>
      <c r="AM72" s="233" t="n"/>
      <c r="AN72" s="233" t="n"/>
      <c r="AO72" s="233" t="n"/>
      <c r="AP72" s="233" t="n"/>
      <c r="AQ72" s="233" t="n"/>
      <c r="AR72" s="233" t="n"/>
      <c r="AS72" s="233" t="n"/>
      <c r="AT72" s="233" t="n"/>
      <c r="AU72" s="233" t="n"/>
      <c r="AV72" s="233" t="n"/>
      <c r="AW72" s="233" t="n"/>
      <c r="AX72" s="233" t="n"/>
      <c r="AY72" s="233" t="n"/>
      <c r="AZ72" s="233" t="n"/>
      <c r="BA72" s="233" t="n"/>
      <c r="BB72" s="233" t="n"/>
      <c r="BC72" s="233" t="n"/>
      <c r="BD72" s="233" t="n"/>
      <c r="BE72" s="233" t="n"/>
      <c r="BF72" s="233" t="n"/>
      <c r="BG72" s="233" t="n"/>
      <c r="BH72" s="233" t="n"/>
      <c r="BI72" s="233" t="n"/>
      <c r="BJ72" s="233" t="n"/>
      <c r="BK72" s="233" t="n"/>
      <c r="BL72" s="233" t="n"/>
      <c r="BM72" s="233" t="n"/>
    </row>
    <row r="73" ht="15.75" customHeight="1" s="349">
      <c r="A73" s="31" t="n"/>
      <c r="B73" s="307" t="n"/>
      <c r="C73" s="307" t="n"/>
      <c r="D73" s="146" t="n"/>
      <c r="E73" s="307" t="n"/>
      <c r="F73" s="307" t="n"/>
      <c r="G73" s="307" t="n"/>
      <c r="H73" s="307" t="n"/>
      <c r="I73" s="307" t="n"/>
      <c r="J73" s="307" t="n"/>
      <c r="K73" s="307" t="n"/>
      <c r="L73" s="307" t="n"/>
      <c r="M73" s="307" t="n"/>
      <c r="N73" s="307" t="n"/>
      <c r="O73" s="233" t="n"/>
      <c r="P73" s="233" t="n"/>
      <c r="Q73" s="233" t="n"/>
      <c r="R73" s="233" t="n"/>
      <c r="S73" s="233" t="n"/>
      <c r="T73" s="233" t="n"/>
      <c r="U73" s="233" t="n"/>
      <c r="V73" s="233" t="n"/>
      <c r="W73" s="233" t="n"/>
      <c r="X73" s="233" t="n"/>
      <c r="Y73" s="233" t="n"/>
      <c r="Z73" s="233" t="n"/>
      <c r="AA73" s="233" t="n"/>
      <c r="AB73" s="233" t="n"/>
      <c r="AC73" s="233" t="n"/>
      <c r="AD73" s="233" t="n"/>
      <c r="AE73" s="233" t="n"/>
      <c r="AF73" s="233" t="n"/>
      <c r="AG73" s="233" t="n"/>
      <c r="AH73" s="233" t="n"/>
      <c r="AI73" s="233" t="n"/>
      <c r="AJ73" s="233" t="n"/>
      <c r="AK73" s="233" t="n"/>
      <c r="AL73" s="233" t="n"/>
      <c r="AM73" s="233" t="n"/>
      <c r="AN73" s="233" t="n"/>
      <c r="AO73" s="233" t="n"/>
      <c r="AP73" s="233" t="n"/>
      <c r="AQ73" s="233" t="n"/>
      <c r="AR73" s="233" t="n"/>
      <c r="AS73" s="233" t="n"/>
      <c r="AT73" s="233" t="n"/>
      <c r="AU73" s="233" t="n"/>
      <c r="AV73" s="233" t="n"/>
      <c r="AW73" s="233" t="n"/>
      <c r="AX73" s="233" t="n"/>
      <c r="AY73" s="233" t="n"/>
      <c r="AZ73" s="233" t="n"/>
      <c r="BA73" s="233" t="n"/>
      <c r="BB73" s="233" t="n"/>
      <c r="BC73" s="233" t="n"/>
      <c r="BD73" s="233" t="n"/>
      <c r="BE73" s="233" t="n"/>
      <c r="BF73" s="233" t="n"/>
      <c r="BG73" s="233" t="n"/>
      <c r="BH73" s="233" t="n"/>
      <c r="BI73" s="233" t="n"/>
      <c r="BJ73" s="233" t="n"/>
      <c r="BK73" s="233" t="n"/>
      <c r="BL73" s="233" t="n"/>
      <c r="BM73" s="233" t="n"/>
    </row>
    <row r="74" ht="15.75" customHeight="1" s="349">
      <c r="A74" s="31" t="n"/>
      <c r="B74" s="307" t="n"/>
      <c r="C74" s="307" t="n"/>
      <c r="D74" s="146" t="n"/>
      <c r="E74" s="307" t="n"/>
      <c r="F74" s="307" t="n"/>
      <c r="G74" s="307" t="n"/>
      <c r="H74" s="307" t="n"/>
      <c r="I74" s="307" t="n"/>
      <c r="J74" s="307" t="n"/>
      <c r="K74" s="307" t="n"/>
      <c r="L74" s="307" t="n"/>
      <c r="M74" s="307" t="n"/>
      <c r="N74" s="307" t="n"/>
      <c r="O74" s="233" t="n"/>
      <c r="P74" s="233" t="n"/>
      <c r="Q74" s="233" t="n"/>
      <c r="R74" s="233" t="n"/>
      <c r="S74" s="233" t="n"/>
      <c r="T74" s="233" t="n"/>
      <c r="U74" s="233" t="n"/>
      <c r="V74" s="233" t="n"/>
      <c r="W74" s="233" t="n"/>
      <c r="X74" s="233" t="n"/>
      <c r="Y74" s="233" t="n"/>
      <c r="Z74" s="233" t="n"/>
      <c r="AA74" s="233" t="n"/>
      <c r="AB74" s="233" t="n"/>
      <c r="AC74" s="233" t="n"/>
      <c r="AD74" s="233" t="n"/>
      <c r="AE74" s="233" t="n"/>
      <c r="AF74" s="233" t="n"/>
      <c r="AG74" s="233" t="n"/>
      <c r="AH74" s="233" t="n"/>
      <c r="AI74" s="233" t="n"/>
      <c r="AJ74" s="233" t="n"/>
      <c r="AK74" s="233" t="n"/>
      <c r="AL74" s="233" t="n"/>
      <c r="AM74" s="233" t="n"/>
      <c r="AN74" s="233" t="n"/>
      <c r="AO74" s="233" t="n"/>
      <c r="AP74" s="233" t="n"/>
      <c r="AQ74" s="233" t="n"/>
      <c r="AR74" s="233" t="n"/>
      <c r="AS74" s="233" t="n"/>
      <c r="AT74" s="233" t="n"/>
      <c r="AU74" s="233" t="n"/>
      <c r="AV74" s="233" t="n"/>
      <c r="AW74" s="233" t="n"/>
      <c r="AX74" s="233" t="n"/>
      <c r="AY74" s="233" t="n"/>
      <c r="AZ74" s="233" t="n"/>
      <c r="BA74" s="233" t="n"/>
      <c r="BB74" s="233" t="n"/>
      <c r="BC74" s="233" t="n"/>
      <c r="BD74" s="233" t="n"/>
      <c r="BE74" s="233" t="n"/>
      <c r="BF74" s="233" t="n"/>
      <c r="BG74" s="233" t="n"/>
      <c r="BH74" s="233" t="n"/>
      <c r="BI74" s="233" t="n"/>
      <c r="BJ74" s="233" t="n"/>
      <c r="BK74" s="233" t="n"/>
      <c r="BL74" s="233" t="n"/>
      <c r="BM74" s="233" t="n"/>
    </row>
    <row r="75" ht="15.75" customHeight="1" s="349">
      <c r="A75" s="31" t="n"/>
      <c r="B75" s="307" t="n"/>
      <c r="C75" s="307" t="n"/>
      <c r="D75" s="146" t="n"/>
      <c r="E75" s="307" t="n"/>
      <c r="F75" s="307" t="n"/>
      <c r="G75" s="307" t="n"/>
      <c r="H75" s="307" t="n"/>
      <c r="I75" s="307" t="n"/>
      <c r="J75" s="307" t="n"/>
      <c r="K75" s="307" t="n"/>
      <c r="L75" s="307" t="n"/>
      <c r="M75" s="307" t="n"/>
      <c r="N75" s="307" t="n"/>
      <c r="O75" s="233" t="n"/>
      <c r="P75" s="233" t="n"/>
      <c r="Q75" s="233" t="n"/>
      <c r="R75" s="233" t="n"/>
      <c r="S75" s="233" t="n"/>
      <c r="T75" s="233" t="n"/>
      <c r="U75" s="233" t="n"/>
      <c r="V75" s="233" t="n"/>
      <c r="W75" s="233" t="n"/>
      <c r="X75" s="233" t="n"/>
      <c r="Y75" s="233" t="n"/>
      <c r="Z75" s="233" t="n"/>
      <c r="AA75" s="233" t="n"/>
      <c r="AB75" s="233" t="n"/>
      <c r="AC75" s="233" t="n"/>
      <c r="AD75" s="233" t="n"/>
      <c r="AE75" s="233" t="n"/>
      <c r="AF75" s="233" t="n"/>
      <c r="AG75" s="233" t="n"/>
      <c r="AH75" s="233" t="n"/>
      <c r="AI75" s="233" t="n"/>
      <c r="AJ75" s="233" t="n"/>
      <c r="AK75" s="233" t="n"/>
      <c r="AL75" s="233" t="n"/>
      <c r="AM75" s="233" t="n"/>
      <c r="AN75" s="233" t="n"/>
      <c r="AO75" s="233" t="n"/>
      <c r="AP75" s="233" t="n"/>
      <c r="AQ75" s="233" t="n"/>
      <c r="AR75" s="233" t="n"/>
      <c r="AS75" s="233" t="n"/>
      <c r="AT75" s="233" t="n"/>
      <c r="AU75" s="233" t="n"/>
      <c r="AV75" s="233" t="n"/>
      <c r="AW75" s="233" t="n"/>
      <c r="AX75" s="233" t="n"/>
      <c r="AY75" s="233" t="n"/>
      <c r="AZ75" s="233" t="n"/>
      <c r="BA75" s="233" t="n"/>
      <c r="BB75" s="233" t="n"/>
      <c r="BC75" s="233" t="n"/>
      <c r="BD75" s="233" t="n"/>
      <c r="BE75" s="233" t="n"/>
      <c r="BF75" s="233" t="n"/>
      <c r="BG75" s="233" t="n"/>
      <c r="BH75" s="233" t="n"/>
      <c r="BI75" s="233" t="n"/>
      <c r="BJ75" s="233" t="n"/>
      <c r="BK75" s="233" t="n"/>
      <c r="BL75" s="233" t="n"/>
      <c r="BM75" s="233" t="n"/>
    </row>
    <row r="76" ht="15.75" customHeight="1" s="349">
      <c r="A76" s="31" t="n"/>
      <c r="B76" s="307" t="n"/>
      <c r="C76" s="307" t="n"/>
      <c r="D76" s="146" t="n"/>
      <c r="E76" s="307" t="n"/>
      <c r="F76" s="307" t="n"/>
      <c r="G76" s="307" t="n"/>
      <c r="H76" s="307" t="n"/>
      <c r="I76" s="307" t="n"/>
      <c r="J76" s="307" t="n"/>
      <c r="K76" s="307" t="n"/>
      <c r="L76" s="307" t="n"/>
      <c r="M76" s="307" t="n"/>
      <c r="N76" s="307" t="n"/>
      <c r="O76" s="233" t="n"/>
      <c r="P76" s="233" t="n"/>
      <c r="Q76" s="233" t="n"/>
      <c r="R76" s="233" t="n"/>
      <c r="S76" s="233" t="n"/>
      <c r="T76" s="233" t="n"/>
      <c r="U76" s="233" t="n"/>
      <c r="V76" s="233" t="n"/>
      <c r="W76" s="233" t="n"/>
      <c r="X76" s="233" t="n"/>
      <c r="Y76" s="233" t="n"/>
      <c r="Z76" s="233" t="n"/>
      <c r="AA76" s="233" t="n"/>
      <c r="AB76" s="233" t="n"/>
      <c r="AC76" s="233" t="n"/>
      <c r="AD76" s="233" t="n"/>
      <c r="AE76" s="233" t="n"/>
      <c r="AF76" s="233" t="n"/>
      <c r="AG76" s="233" t="n"/>
      <c r="AH76" s="233" t="n"/>
      <c r="AI76" s="233" t="n"/>
      <c r="AJ76" s="233" t="n"/>
      <c r="AK76" s="233" t="n"/>
      <c r="AL76" s="233" t="n"/>
      <c r="AM76" s="233" t="n"/>
      <c r="AN76" s="233" t="n"/>
      <c r="AO76" s="233" t="n"/>
      <c r="AP76" s="233" t="n"/>
      <c r="AQ76" s="233" t="n"/>
      <c r="AR76" s="233" t="n"/>
      <c r="AS76" s="233" t="n"/>
      <c r="AT76" s="233" t="n"/>
      <c r="AU76" s="233" t="n"/>
      <c r="AV76" s="233" t="n"/>
      <c r="AW76" s="233" t="n"/>
      <c r="AX76" s="233" t="n"/>
      <c r="AY76" s="233" t="n"/>
      <c r="AZ76" s="233" t="n"/>
      <c r="BA76" s="233" t="n"/>
      <c r="BB76" s="233" t="n"/>
      <c r="BC76" s="233" t="n"/>
      <c r="BD76" s="233" t="n"/>
      <c r="BE76" s="233" t="n"/>
      <c r="BF76" s="233" t="n"/>
      <c r="BG76" s="233" t="n"/>
      <c r="BH76" s="233" t="n"/>
      <c r="BI76" s="233" t="n"/>
      <c r="BJ76" s="233" t="n"/>
      <c r="BK76" s="233" t="n"/>
      <c r="BL76" s="233" t="n"/>
      <c r="BM76" s="233" t="n"/>
    </row>
    <row r="77" ht="15.75" customHeight="1" s="349">
      <c r="A77" s="31" t="n"/>
      <c r="B77" s="307" t="n"/>
      <c r="C77" s="307" t="n"/>
      <c r="D77" s="146" t="n"/>
      <c r="E77" s="307" t="n"/>
      <c r="F77" s="307" t="n"/>
      <c r="G77" s="307" t="n"/>
      <c r="H77" s="307" t="n"/>
      <c r="I77" s="307" t="n"/>
      <c r="J77" s="307" t="n"/>
      <c r="K77" s="307" t="n"/>
      <c r="L77" s="307" t="n"/>
      <c r="M77" s="307" t="n"/>
      <c r="N77" s="307" t="n"/>
      <c r="O77" s="233" t="n"/>
      <c r="P77" s="233" t="n"/>
      <c r="Q77" s="233" t="n"/>
      <c r="R77" s="233" t="n"/>
      <c r="S77" s="233" t="n"/>
      <c r="T77" s="233" t="n"/>
      <c r="U77" s="233" t="n"/>
      <c r="V77" s="233" t="n"/>
      <c r="W77" s="233" t="n"/>
      <c r="X77" s="233" t="n"/>
      <c r="Y77" s="233" t="n"/>
      <c r="Z77" s="233" t="n"/>
      <c r="AA77" s="233" t="n"/>
      <c r="AB77" s="233" t="n"/>
      <c r="AC77" s="233" t="n"/>
      <c r="AD77" s="233" t="n"/>
      <c r="AE77" s="233" t="n"/>
      <c r="AF77" s="233" t="n"/>
      <c r="AG77" s="233" t="n"/>
      <c r="AH77" s="233" t="n"/>
      <c r="AI77" s="233" t="n"/>
      <c r="AJ77" s="233" t="n"/>
      <c r="AK77" s="233" t="n"/>
      <c r="AL77" s="233" t="n"/>
      <c r="AM77" s="233" t="n"/>
      <c r="AN77" s="233" t="n"/>
      <c r="AO77" s="233" t="n"/>
      <c r="AP77" s="233" t="n"/>
      <c r="AQ77" s="233" t="n"/>
      <c r="AR77" s="233" t="n"/>
      <c r="AS77" s="233" t="n"/>
      <c r="AT77" s="233" t="n"/>
      <c r="AU77" s="233" t="n"/>
      <c r="AV77" s="233" t="n"/>
      <c r="AW77" s="233" t="n"/>
      <c r="AX77" s="233" t="n"/>
      <c r="AY77" s="233" t="n"/>
      <c r="AZ77" s="233" t="n"/>
      <c r="BA77" s="233" t="n"/>
      <c r="BB77" s="233" t="n"/>
      <c r="BC77" s="233" t="n"/>
      <c r="BD77" s="233" t="n"/>
      <c r="BE77" s="233" t="n"/>
      <c r="BF77" s="233" t="n"/>
      <c r="BG77" s="233" t="n"/>
      <c r="BH77" s="233" t="n"/>
      <c r="BI77" s="233" t="n"/>
      <c r="BJ77" s="233" t="n"/>
      <c r="BK77" s="233" t="n"/>
      <c r="BL77" s="233" t="n"/>
      <c r="BM77" s="233" t="n"/>
    </row>
    <row r="78" ht="15.75" customHeight="1" s="349">
      <c r="A78" s="31" t="n"/>
      <c r="B78" s="307" t="n"/>
      <c r="C78" s="307" t="n"/>
      <c r="D78" s="146" t="n"/>
      <c r="E78" s="307" t="n"/>
      <c r="F78" s="307" t="n"/>
      <c r="G78" s="307" t="n"/>
      <c r="H78" s="307" t="n"/>
      <c r="I78" s="307" t="n"/>
      <c r="J78" s="307" t="n"/>
      <c r="K78" s="307" t="n"/>
      <c r="L78" s="307" t="n"/>
      <c r="M78" s="307" t="n"/>
      <c r="N78" s="307" t="n"/>
      <c r="O78" s="233" t="n"/>
      <c r="P78" s="233" t="n"/>
      <c r="Q78" s="233" t="n"/>
      <c r="R78" s="233" t="n"/>
      <c r="S78" s="233" t="n"/>
      <c r="T78" s="233" t="n"/>
      <c r="U78" s="233" t="n"/>
      <c r="V78" s="233" t="n"/>
      <c r="W78" s="233" t="n"/>
      <c r="X78" s="233" t="n"/>
      <c r="Y78" s="233" t="n"/>
      <c r="Z78" s="233" t="n"/>
      <c r="AA78" s="233" t="n"/>
      <c r="AB78" s="233" t="n"/>
      <c r="AC78" s="233" t="n"/>
      <c r="AD78" s="233" t="n"/>
      <c r="AE78" s="233" t="n"/>
      <c r="AF78" s="233" t="n"/>
      <c r="AG78" s="233" t="n"/>
      <c r="AH78" s="233" t="n"/>
      <c r="AI78" s="233" t="n"/>
      <c r="AJ78" s="233" t="n"/>
      <c r="AK78" s="233" t="n"/>
      <c r="AL78" s="233" t="n"/>
      <c r="AM78" s="233" t="n"/>
      <c r="AN78" s="233" t="n"/>
      <c r="AO78" s="233" t="n"/>
      <c r="AP78" s="233" t="n"/>
      <c r="AQ78" s="233" t="n"/>
      <c r="AR78" s="233" t="n"/>
      <c r="AS78" s="233" t="n"/>
      <c r="AT78" s="233" t="n"/>
      <c r="AU78" s="233" t="n"/>
      <c r="AV78" s="233" t="n"/>
      <c r="AW78" s="233" t="n"/>
      <c r="AX78" s="233" t="n"/>
      <c r="AY78" s="233" t="n"/>
      <c r="AZ78" s="233" t="n"/>
      <c r="BA78" s="233" t="n"/>
      <c r="BB78" s="233" t="n"/>
      <c r="BC78" s="233" t="n"/>
      <c r="BD78" s="233" t="n"/>
      <c r="BE78" s="233" t="n"/>
      <c r="BF78" s="233" t="n"/>
      <c r="BG78" s="233" t="n"/>
      <c r="BH78" s="233" t="n"/>
      <c r="BI78" s="233" t="n"/>
      <c r="BJ78" s="233" t="n"/>
      <c r="BK78" s="233" t="n"/>
      <c r="BL78" s="233" t="n"/>
      <c r="BM78" s="233" t="n"/>
    </row>
    <row r="79" ht="15.75" customHeight="1" s="349">
      <c r="A79" s="31" t="n"/>
      <c r="B79" s="307" t="n"/>
      <c r="C79" s="307" t="n"/>
      <c r="D79" s="146" t="n"/>
      <c r="E79" s="307" t="n"/>
      <c r="F79" s="307" t="n"/>
      <c r="G79" s="307" t="n"/>
      <c r="H79" s="307" t="n"/>
      <c r="I79" s="307" t="n"/>
      <c r="J79" s="307" t="n"/>
      <c r="K79" s="307" t="n"/>
      <c r="L79" s="307" t="n"/>
      <c r="M79" s="307" t="n"/>
      <c r="N79" s="307" t="n"/>
      <c r="O79" s="233" t="n"/>
      <c r="P79" s="233" t="n"/>
      <c r="Q79" s="233" t="n"/>
      <c r="R79" s="233" t="n"/>
      <c r="S79" s="233" t="n"/>
      <c r="T79" s="233" t="n"/>
      <c r="U79" s="233" t="n"/>
      <c r="V79" s="233" t="n"/>
      <c r="W79" s="233" t="n"/>
      <c r="X79" s="233" t="n"/>
      <c r="Y79" s="233" t="n"/>
      <c r="Z79" s="233" t="n"/>
      <c r="AA79" s="233" t="n"/>
      <c r="AB79" s="233" t="n"/>
      <c r="AC79" s="233" t="n"/>
      <c r="AD79" s="233" t="n"/>
      <c r="AE79" s="233" t="n"/>
      <c r="AF79" s="233" t="n"/>
      <c r="AG79" s="233" t="n"/>
      <c r="AH79" s="233" t="n"/>
      <c r="AI79" s="233" t="n"/>
      <c r="AJ79" s="233" t="n"/>
      <c r="AK79" s="233" t="n"/>
      <c r="AL79" s="233" t="n"/>
      <c r="AM79" s="233" t="n"/>
      <c r="AN79" s="233" t="n"/>
      <c r="AO79" s="233" t="n"/>
      <c r="AP79" s="233" t="n"/>
      <c r="AQ79" s="233" t="n"/>
      <c r="AR79" s="233" t="n"/>
      <c r="AS79" s="233" t="n"/>
      <c r="AT79" s="233" t="n"/>
      <c r="AU79" s="233" t="n"/>
      <c r="AV79" s="233" t="n"/>
      <c r="AW79" s="233" t="n"/>
      <c r="AX79" s="233" t="n"/>
      <c r="AY79" s="233" t="n"/>
      <c r="AZ79" s="233" t="n"/>
      <c r="BA79" s="233" t="n"/>
      <c r="BB79" s="233" t="n"/>
      <c r="BC79" s="233" t="n"/>
      <c r="BD79" s="233" t="n"/>
      <c r="BE79" s="233" t="n"/>
      <c r="BF79" s="233" t="n"/>
      <c r="BG79" s="233" t="n"/>
      <c r="BH79" s="233" t="n"/>
      <c r="BI79" s="233" t="n"/>
      <c r="BJ79" s="233" t="n"/>
      <c r="BK79" s="233" t="n"/>
      <c r="BL79" s="233" t="n"/>
      <c r="BM79" s="233" t="n"/>
    </row>
    <row r="80" ht="15.75" customHeight="1" s="349">
      <c r="A80" s="31" t="n"/>
      <c r="B80" s="307" t="n"/>
      <c r="C80" s="307" t="n"/>
      <c r="D80" s="146" t="n"/>
      <c r="E80" s="307" t="n"/>
      <c r="F80" s="307" t="n"/>
      <c r="G80" s="307" t="n"/>
      <c r="H80" s="307" t="n"/>
      <c r="I80" s="307" t="n"/>
      <c r="J80" s="307" t="n"/>
      <c r="K80" s="307" t="n"/>
      <c r="L80" s="307" t="n"/>
      <c r="M80" s="307" t="n"/>
      <c r="N80" s="307" t="n"/>
      <c r="O80" s="233" t="n"/>
      <c r="P80" s="233" t="n"/>
      <c r="Q80" s="233" t="n"/>
      <c r="R80" s="233" t="n"/>
      <c r="S80" s="233" t="n"/>
      <c r="T80" s="233" t="n"/>
      <c r="U80" s="233" t="n"/>
      <c r="V80" s="233" t="n"/>
      <c r="W80" s="233" t="n"/>
      <c r="X80" s="233" t="n"/>
      <c r="Y80" s="233" t="n"/>
      <c r="Z80" s="233" t="n"/>
      <c r="AA80" s="233" t="n"/>
      <c r="AB80" s="233" t="n"/>
      <c r="AC80" s="233" t="n"/>
      <c r="AD80" s="233" t="n"/>
      <c r="AE80" s="233" t="n"/>
      <c r="AF80" s="233" t="n"/>
      <c r="AG80" s="233" t="n"/>
      <c r="AH80" s="233" t="n"/>
      <c r="AI80" s="233" t="n"/>
      <c r="AJ80" s="233" t="n"/>
      <c r="AK80" s="233" t="n"/>
      <c r="AL80" s="233" t="n"/>
      <c r="AM80" s="233" t="n"/>
      <c r="AN80" s="233" t="n"/>
      <c r="AO80" s="233" t="n"/>
      <c r="AP80" s="233" t="n"/>
      <c r="AQ80" s="233" t="n"/>
      <c r="AR80" s="233" t="n"/>
      <c r="AS80" s="233" t="n"/>
      <c r="AT80" s="233" t="n"/>
      <c r="AU80" s="233" t="n"/>
      <c r="AV80" s="233" t="n"/>
      <c r="AW80" s="233" t="n"/>
      <c r="AX80" s="233" t="n"/>
      <c r="AY80" s="233" t="n"/>
      <c r="AZ80" s="233" t="n"/>
      <c r="BA80" s="233" t="n"/>
      <c r="BB80" s="233" t="n"/>
      <c r="BC80" s="233" t="n"/>
      <c r="BD80" s="233" t="n"/>
      <c r="BE80" s="233" t="n"/>
      <c r="BF80" s="233" t="n"/>
      <c r="BG80" s="233" t="n"/>
      <c r="BH80" s="233" t="n"/>
      <c r="BI80" s="233" t="n"/>
      <c r="BJ80" s="233" t="n"/>
      <c r="BK80" s="233" t="n"/>
      <c r="BL80" s="233" t="n"/>
      <c r="BM80" s="233" t="n"/>
    </row>
    <row r="81" ht="15.75" customHeight="1" s="349">
      <c r="A81" s="31" t="n"/>
      <c r="B81" s="307" t="n"/>
      <c r="C81" s="307" t="n"/>
      <c r="D81" s="146" t="n"/>
      <c r="E81" s="307" t="n"/>
      <c r="F81" s="307" t="n"/>
      <c r="G81" s="307" t="n"/>
      <c r="H81" s="307" t="n"/>
      <c r="I81" s="307" t="n"/>
      <c r="J81" s="307" t="n"/>
      <c r="K81" s="307" t="n"/>
      <c r="L81" s="307" t="n"/>
      <c r="M81" s="307" t="n"/>
      <c r="N81" s="307" t="n"/>
      <c r="O81" s="233" t="n"/>
      <c r="P81" s="233" t="n"/>
      <c r="Q81" s="233" t="n"/>
      <c r="R81" s="233" t="n"/>
      <c r="S81" s="233" t="n"/>
      <c r="T81" s="233" t="n"/>
      <c r="U81" s="233" t="n"/>
      <c r="V81" s="233" t="n"/>
      <c r="W81" s="233" t="n"/>
      <c r="X81" s="233" t="n"/>
      <c r="Y81" s="233" t="n"/>
      <c r="Z81" s="233" t="n"/>
      <c r="AA81" s="233" t="n"/>
      <c r="AB81" s="233" t="n"/>
      <c r="AC81" s="233" t="n"/>
      <c r="AD81" s="233" t="n"/>
      <c r="AE81" s="233" t="n"/>
      <c r="AF81" s="233" t="n"/>
      <c r="AG81" s="233" t="n"/>
      <c r="AH81" s="233" t="n"/>
      <c r="AI81" s="233" t="n"/>
      <c r="AJ81" s="233" t="n"/>
      <c r="AK81" s="233" t="n"/>
      <c r="AL81" s="233" t="n"/>
      <c r="AM81" s="233" t="n"/>
      <c r="AN81" s="233" t="n"/>
      <c r="AO81" s="233" t="n"/>
      <c r="AP81" s="233" t="n"/>
      <c r="AQ81" s="233" t="n"/>
      <c r="AR81" s="233" t="n"/>
      <c r="AS81" s="233" t="n"/>
      <c r="AT81" s="233" t="n"/>
      <c r="AU81" s="233" t="n"/>
      <c r="AV81" s="233" t="n"/>
      <c r="AW81" s="233" t="n"/>
      <c r="AX81" s="233" t="n"/>
      <c r="AY81" s="233" t="n"/>
      <c r="AZ81" s="233" t="n"/>
      <c r="BA81" s="233" t="n"/>
      <c r="BB81" s="233" t="n"/>
      <c r="BC81" s="233" t="n"/>
      <c r="BD81" s="233" t="n"/>
      <c r="BE81" s="233" t="n"/>
      <c r="BF81" s="233" t="n"/>
      <c r="BG81" s="233" t="n"/>
      <c r="BH81" s="233" t="n"/>
      <c r="BI81" s="233" t="n"/>
      <c r="BJ81" s="233" t="n"/>
      <c r="BK81" s="233" t="n"/>
      <c r="BL81" s="233" t="n"/>
      <c r="BM81" s="233" t="n"/>
    </row>
    <row r="82" ht="15.75" customHeight="1" s="349">
      <c r="A82" s="31" t="n"/>
      <c r="B82" s="307" t="n"/>
      <c r="C82" s="307" t="n"/>
      <c r="D82" s="146" t="n"/>
      <c r="E82" s="307" t="n"/>
      <c r="F82" s="307" t="n"/>
      <c r="G82" s="307" t="n"/>
      <c r="H82" s="307" t="n"/>
      <c r="I82" s="307" t="n"/>
      <c r="J82" s="307" t="n"/>
      <c r="K82" s="307" t="n"/>
      <c r="L82" s="307" t="n"/>
      <c r="M82" s="307" t="n"/>
      <c r="N82" s="307" t="n"/>
      <c r="O82" s="233" t="n"/>
      <c r="P82" s="233" t="n"/>
      <c r="Q82" s="233" t="n"/>
      <c r="R82" s="233" t="n"/>
      <c r="S82" s="233" t="n"/>
      <c r="T82" s="233" t="n"/>
      <c r="U82" s="233" t="n"/>
      <c r="V82" s="233" t="n"/>
      <c r="W82" s="233" t="n"/>
      <c r="X82" s="233" t="n"/>
      <c r="Y82" s="233" t="n"/>
      <c r="Z82" s="233" t="n"/>
      <c r="AA82" s="233" t="n"/>
      <c r="AB82" s="233" t="n"/>
      <c r="AC82" s="233" t="n"/>
      <c r="AD82" s="233" t="n"/>
      <c r="AE82" s="233" t="n"/>
      <c r="AF82" s="233" t="n"/>
      <c r="AG82" s="233" t="n"/>
      <c r="AH82" s="233" t="n"/>
      <c r="AI82" s="233" t="n"/>
      <c r="AJ82" s="233" t="n"/>
      <c r="AK82" s="233" t="n"/>
      <c r="AL82" s="233" t="n"/>
      <c r="AM82" s="233" t="n"/>
      <c r="AN82" s="233" t="n"/>
      <c r="AO82" s="233" t="n"/>
      <c r="AP82" s="233" t="n"/>
      <c r="AQ82" s="233" t="n"/>
      <c r="AR82" s="233" t="n"/>
      <c r="AS82" s="233" t="n"/>
      <c r="AT82" s="233" t="n"/>
      <c r="AU82" s="233" t="n"/>
      <c r="AV82" s="233" t="n"/>
      <c r="AW82" s="233" t="n"/>
      <c r="AX82" s="233" t="n"/>
      <c r="AY82" s="233" t="n"/>
      <c r="AZ82" s="233" t="n"/>
      <c r="BA82" s="233" t="n"/>
      <c r="BB82" s="233" t="n"/>
      <c r="BC82" s="233" t="n"/>
      <c r="BD82" s="233" t="n"/>
      <c r="BE82" s="233" t="n"/>
      <c r="BF82" s="233" t="n"/>
      <c r="BG82" s="233" t="n"/>
      <c r="BH82" s="233" t="n"/>
      <c r="BI82" s="233" t="n"/>
      <c r="BJ82" s="233" t="n"/>
      <c r="BK82" s="233" t="n"/>
      <c r="BL82" s="233" t="n"/>
      <c r="BM82" s="233" t="n"/>
    </row>
    <row r="83" ht="15.75" customHeight="1" s="349">
      <c r="A83" s="31" t="n"/>
      <c r="B83" s="307" t="n"/>
      <c r="C83" s="307" t="n"/>
      <c r="D83" s="146" t="n"/>
      <c r="E83" s="307" t="n"/>
      <c r="F83" s="307" t="n"/>
      <c r="G83" s="307" t="n"/>
      <c r="H83" s="307" t="n"/>
      <c r="I83" s="307" t="n"/>
      <c r="J83" s="307" t="n"/>
      <c r="K83" s="307" t="n"/>
      <c r="L83" s="307" t="n"/>
      <c r="M83" s="307" t="n"/>
      <c r="N83" s="307" t="n"/>
      <c r="O83" s="233" t="n"/>
      <c r="P83" s="233" t="n"/>
      <c r="Q83" s="233" t="n"/>
      <c r="R83" s="233" t="n"/>
      <c r="S83" s="233" t="n"/>
      <c r="T83" s="233" t="n"/>
      <c r="U83" s="233" t="n"/>
      <c r="V83" s="233" t="n"/>
      <c r="W83" s="233" t="n"/>
      <c r="X83" s="233" t="n"/>
      <c r="Y83" s="233" t="n"/>
      <c r="Z83" s="233" t="n"/>
      <c r="AA83" s="233" t="n"/>
      <c r="AB83" s="233" t="n"/>
      <c r="AC83" s="233" t="n"/>
      <c r="AD83" s="233" t="n"/>
      <c r="AE83" s="233" t="n"/>
      <c r="AF83" s="233" t="n"/>
      <c r="AG83" s="233" t="n"/>
      <c r="AH83" s="233" t="n"/>
      <c r="AI83" s="233" t="n"/>
      <c r="AJ83" s="233" t="n"/>
      <c r="AK83" s="233" t="n"/>
      <c r="AL83" s="233" t="n"/>
      <c r="AM83" s="233" t="n"/>
      <c r="AN83" s="233" t="n"/>
      <c r="AO83" s="233" t="n"/>
      <c r="AP83" s="233" t="n"/>
      <c r="AQ83" s="233" t="n"/>
      <c r="AR83" s="233" t="n"/>
      <c r="AS83" s="233" t="n"/>
      <c r="AT83" s="233" t="n"/>
      <c r="AU83" s="233" t="n"/>
      <c r="AV83" s="233" t="n"/>
      <c r="AW83" s="233" t="n"/>
      <c r="AX83" s="233" t="n"/>
      <c r="AY83" s="233" t="n"/>
      <c r="AZ83" s="233" t="n"/>
      <c r="BA83" s="233" t="n"/>
      <c r="BB83" s="233" t="n"/>
      <c r="BC83" s="233" t="n"/>
      <c r="BD83" s="233" t="n"/>
      <c r="BE83" s="233" t="n"/>
      <c r="BF83" s="233" t="n"/>
      <c r="BG83" s="233" t="n"/>
      <c r="BH83" s="233" t="n"/>
      <c r="BI83" s="233" t="n"/>
      <c r="BJ83" s="233" t="n"/>
      <c r="BK83" s="233" t="n"/>
      <c r="BL83" s="233" t="n"/>
      <c r="BM83" s="233" t="n"/>
    </row>
    <row r="84" ht="15.75" customHeight="1" s="349">
      <c r="A84" s="31" t="n"/>
      <c r="B84" s="307" t="n"/>
      <c r="C84" s="307" t="n"/>
      <c r="D84" s="146" t="n"/>
      <c r="E84" s="307" t="n"/>
      <c r="F84" s="307" t="n"/>
      <c r="G84" s="307" t="n"/>
      <c r="H84" s="307" t="n"/>
      <c r="I84" s="307" t="n"/>
      <c r="J84" s="307" t="n"/>
      <c r="K84" s="307" t="n"/>
      <c r="L84" s="307" t="n"/>
      <c r="M84" s="307" t="n"/>
      <c r="N84" s="307" t="n"/>
      <c r="O84" s="233" t="n"/>
      <c r="P84" s="233" t="n"/>
      <c r="Q84" s="233" t="n"/>
      <c r="R84" s="233" t="n"/>
      <c r="S84" s="233" t="n"/>
      <c r="T84" s="233" t="n"/>
      <c r="U84" s="233" t="n"/>
      <c r="V84" s="233" t="n"/>
      <c r="W84" s="233" t="n"/>
      <c r="X84" s="233" t="n"/>
      <c r="Y84" s="233" t="n"/>
      <c r="Z84" s="233" t="n"/>
      <c r="AA84" s="233" t="n"/>
      <c r="AB84" s="233" t="n"/>
      <c r="AC84" s="233" t="n"/>
      <c r="AD84" s="233" t="n"/>
      <c r="AE84" s="233" t="n"/>
      <c r="AF84" s="233" t="n"/>
      <c r="AG84" s="233" t="n"/>
      <c r="AH84" s="233" t="n"/>
      <c r="AI84" s="233" t="n"/>
      <c r="AJ84" s="233" t="n"/>
      <c r="AK84" s="233" t="n"/>
      <c r="AL84" s="233" t="n"/>
      <c r="AM84" s="233" t="n"/>
      <c r="AN84" s="233" t="n"/>
      <c r="AO84" s="233" t="n"/>
      <c r="AP84" s="233" t="n"/>
      <c r="AQ84" s="233" t="n"/>
      <c r="AR84" s="233" t="n"/>
      <c r="AS84" s="233" t="n"/>
      <c r="AT84" s="233" t="n"/>
      <c r="AU84" s="233" t="n"/>
      <c r="AV84" s="233" t="n"/>
      <c r="AW84" s="233" t="n"/>
      <c r="AX84" s="233" t="n"/>
      <c r="AY84" s="233" t="n"/>
      <c r="AZ84" s="233" t="n"/>
      <c r="BA84" s="233" t="n"/>
      <c r="BB84" s="233" t="n"/>
      <c r="BC84" s="233" t="n"/>
      <c r="BD84" s="233" t="n"/>
      <c r="BE84" s="233" t="n"/>
      <c r="BF84" s="233" t="n"/>
      <c r="BG84" s="233" t="n"/>
      <c r="BH84" s="233" t="n"/>
      <c r="BI84" s="233" t="n"/>
      <c r="BJ84" s="233" t="n"/>
      <c r="BK84" s="233" t="n"/>
      <c r="BL84" s="233" t="n"/>
      <c r="BM84" s="233" t="n"/>
    </row>
    <row r="85" ht="15.75" customHeight="1" s="349">
      <c r="A85" s="31" t="n"/>
      <c r="B85" s="307" t="n"/>
      <c r="C85" s="307" t="n"/>
      <c r="D85" s="146" t="n"/>
      <c r="E85" s="307" t="n"/>
      <c r="F85" s="307" t="n"/>
      <c r="G85" s="307" t="n"/>
      <c r="H85" s="307" t="n"/>
      <c r="I85" s="307" t="n"/>
      <c r="J85" s="307" t="n"/>
      <c r="K85" s="307" t="n"/>
      <c r="L85" s="307" t="n"/>
      <c r="M85" s="307" t="n"/>
      <c r="N85" s="307" t="n"/>
      <c r="O85" s="233" t="n"/>
      <c r="P85" s="233" t="n"/>
      <c r="Q85" s="233" t="n"/>
      <c r="R85" s="233" t="n"/>
      <c r="S85" s="233" t="n"/>
      <c r="T85" s="233" t="n"/>
      <c r="U85" s="233" t="n"/>
      <c r="V85" s="233" t="n"/>
      <c r="W85" s="233" t="n"/>
      <c r="X85" s="233" t="n"/>
      <c r="Y85" s="233" t="n"/>
      <c r="Z85" s="233" t="n"/>
      <c r="AA85" s="233" t="n"/>
      <c r="AB85" s="233" t="n"/>
      <c r="AC85" s="233" t="n"/>
      <c r="AD85" s="233" t="n"/>
      <c r="AE85" s="233" t="n"/>
      <c r="AF85" s="233" t="n"/>
      <c r="AG85" s="233" t="n"/>
      <c r="AH85" s="233" t="n"/>
      <c r="AI85" s="233" t="n"/>
      <c r="AJ85" s="233" t="n"/>
      <c r="AK85" s="233" t="n"/>
      <c r="AL85" s="233" t="n"/>
      <c r="AM85" s="233" t="n"/>
      <c r="AN85" s="233" t="n"/>
      <c r="AO85" s="233" t="n"/>
      <c r="AP85" s="233" t="n"/>
      <c r="AQ85" s="233" t="n"/>
      <c r="AR85" s="233" t="n"/>
      <c r="AS85" s="233" t="n"/>
      <c r="AT85" s="233" t="n"/>
      <c r="AU85" s="233" t="n"/>
      <c r="AV85" s="233" t="n"/>
      <c r="AW85" s="233" t="n"/>
      <c r="AX85" s="233" t="n"/>
      <c r="AY85" s="233" t="n"/>
      <c r="AZ85" s="233" t="n"/>
      <c r="BA85" s="233" t="n"/>
      <c r="BB85" s="233" t="n"/>
      <c r="BC85" s="233" t="n"/>
      <c r="BD85" s="233" t="n"/>
      <c r="BE85" s="233" t="n"/>
      <c r="BF85" s="233" t="n"/>
      <c r="BG85" s="233" t="n"/>
      <c r="BH85" s="233" t="n"/>
      <c r="BI85" s="233" t="n"/>
      <c r="BJ85" s="233" t="n"/>
      <c r="BK85" s="233" t="n"/>
      <c r="BL85" s="233" t="n"/>
      <c r="BM85" s="233" t="n"/>
    </row>
    <row r="86" ht="15.75" customHeight="1" s="349">
      <c r="A86" s="31" t="n"/>
      <c r="B86" s="307" t="n"/>
      <c r="C86" s="307" t="n"/>
      <c r="D86" s="146" t="n"/>
      <c r="E86" s="307" t="n"/>
      <c r="F86" s="307" t="n"/>
      <c r="G86" s="307" t="n"/>
      <c r="H86" s="307" t="n"/>
      <c r="I86" s="307" t="n"/>
      <c r="J86" s="307" t="n"/>
      <c r="K86" s="307" t="n"/>
      <c r="L86" s="307" t="n"/>
      <c r="M86" s="307" t="n"/>
      <c r="N86" s="307" t="n"/>
      <c r="O86" s="233" t="n"/>
      <c r="P86" s="233" t="n"/>
      <c r="Q86" s="233" t="n"/>
      <c r="R86" s="233" t="n"/>
      <c r="S86" s="233" t="n"/>
      <c r="T86" s="233" t="n"/>
      <c r="U86" s="233" t="n"/>
      <c r="V86" s="233" t="n"/>
      <c r="W86" s="233" t="n"/>
      <c r="X86" s="233" t="n"/>
      <c r="Y86" s="233" t="n"/>
      <c r="Z86" s="233" t="n"/>
      <c r="AA86" s="233" t="n"/>
      <c r="AB86" s="233" t="n"/>
      <c r="AC86" s="233" t="n"/>
      <c r="AD86" s="233" t="n"/>
      <c r="AE86" s="233" t="n"/>
      <c r="AF86" s="233" t="n"/>
      <c r="AG86" s="233" t="n"/>
      <c r="AH86" s="233" t="n"/>
      <c r="AI86" s="233" t="n"/>
      <c r="AJ86" s="233" t="n"/>
      <c r="AK86" s="233" t="n"/>
      <c r="AL86" s="233" t="n"/>
      <c r="AM86" s="233" t="n"/>
      <c r="AN86" s="233" t="n"/>
      <c r="AO86" s="233" t="n"/>
      <c r="AP86" s="233" t="n"/>
      <c r="AQ86" s="233" t="n"/>
      <c r="AR86" s="233" t="n"/>
      <c r="AS86" s="233" t="n"/>
      <c r="AT86" s="233" t="n"/>
      <c r="AU86" s="233" t="n"/>
      <c r="AV86" s="233" t="n"/>
      <c r="AW86" s="233" t="n"/>
      <c r="AX86" s="233" t="n"/>
      <c r="AY86" s="233" t="n"/>
      <c r="AZ86" s="233" t="n"/>
      <c r="BA86" s="233" t="n"/>
      <c r="BB86" s="233" t="n"/>
      <c r="BC86" s="233" t="n"/>
      <c r="BD86" s="233" t="n"/>
      <c r="BE86" s="233" t="n"/>
      <c r="BF86" s="233" t="n"/>
      <c r="BG86" s="233" t="n"/>
      <c r="BH86" s="233" t="n"/>
      <c r="BI86" s="233" t="n"/>
      <c r="BJ86" s="233" t="n"/>
      <c r="BK86" s="233" t="n"/>
      <c r="BL86" s="233" t="n"/>
      <c r="BM86" s="233" t="n"/>
    </row>
    <row r="87" ht="15.75" customHeight="1" s="349">
      <c r="A87" s="31" t="n"/>
      <c r="B87" s="307" t="n"/>
      <c r="C87" s="307" t="n"/>
      <c r="D87" s="146" t="n"/>
      <c r="E87" s="307" t="n"/>
      <c r="F87" s="307" t="n"/>
      <c r="G87" s="307" t="n"/>
      <c r="H87" s="307" t="n"/>
      <c r="I87" s="307" t="n"/>
      <c r="J87" s="307" t="n"/>
      <c r="K87" s="307" t="n"/>
      <c r="L87" s="307" t="n"/>
      <c r="M87" s="307" t="n"/>
      <c r="N87" s="307" t="n"/>
      <c r="O87" s="233" t="n"/>
      <c r="P87" s="233" t="n"/>
      <c r="Q87" s="233" t="n"/>
      <c r="R87" s="233" t="n"/>
      <c r="S87" s="233" t="n"/>
      <c r="T87" s="233" t="n"/>
      <c r="U87" s="233" t="n"/>
      <c r="V87" s="233" t="n"/>
      <c r="W87" s="233" t="n"/>
      <c r="X87" s="233" t="n"/>
      <c r="Y87" s="233" t="n"/>
      <c r="Z87" s="233" t="n"/>
      <c r="AA87" s="233" t="n"/>
      <c r="AB87" s="233" t="n"/>
      <c r="AC87" s="233" t="n"/>
      <c r="AD87" s="233" t="n"/>
      <c r="AE87" s="233" t="n"/>
      <c r="AF87" s="233" t="n"/>
      <c r="AG87" s="233" t="n"/>
      <c r="AH87" s="233" t="n"/>
      <c r="AI87" s="233" t="n"/>
      <c r="AJ87" s="233" t="n"/>
      <c r="AK87" s="233" t="n"/>
      <c r="AL87" s="233" t="n"/>
      <c r="AM87" s="233" t="n"/>
      <c r="AN87" s="233" t="n"/>
      <c r="AO87" s="233" t="n"/>
      <c r="AP87" s="233" t="n"/>
      <c r="AQ87" s="233" t="n"/>
      <c r="AR87" s="233" t="n"/>
      <c r="AS87" s="233" t="n"/>
      <c r="AT87" s="233" t="n"/>
      <c r="AU87" s="233" t="n"/>
      <c r="AV87" s="233" t="n"/>
      <c r="AW87" s="233" t="n"/>
      <c r="AX87" s="233" t="n"/>
      <c r="AY87" s="233" t="n"/>
      <c r="AZ87" s="233" t="n"/>
      <c r="BA87" s="233" t="n"/>
      <c r="BB87" s="233" t="n"/>
      <c r="BC87" s="233" t="n"/>
      <c r="BD87" s="233" t="n"/>
      <c r="BE87" s="233" t="n"/>
      <c r="BF87" s="233" t="n"/>
      <c r="BG87" s="233" t="n"/>
      <c r="BH87" s="233" t="n"/>
      <c r="BI87" s="233" t="n"/>
      <c r="BJ87" s="233" t="n"/>
      <c r="BK87" s="233" t="n"/>
      <c r="BL87" s="233" t="n"/>
      <c r="BM87" s="233" t="n"/>
    </row>
    <row r="88" ht="15.75" customHeight="1" s="349">
      <c r="A88" s="31" t="n"/>
      <c r="B88" s="307" t="n"/>
      <c r="C88" s="307" t="n"/>
      <c r="D88" s="146" t="n"/>
      <c r="E88" s="307" t="n"/>
      <c r="F88" s="307" t="n"/>
      <c r="G88" s="307" t="n"/>
      <c r="H88" s="307" t="n"/>
      <c r="I88" s="307" t="n"/>
      <c r="J88" s="307" t="n"/>
      <c r="K88" s="307" t="n"/>
      <c r="L88" s="307" t="n"/>
      <c r="M88" s="307" t="n"/>
      <c r="N88" s="307" t="n"/>
      <c r="O88" s="233" t="n"/>
      <c r="P88" s="233" t="n"/>
      <c r="Q88" s="233" t="n"/>
      <c r="R88" s="233" t="n"/>
      <c r="S88" s="233" t="n"/>
      <c r="T88" s="233" t="n"/>
      <c r="U88" s="233" t="n"/>
      <c r="V88" s="233" t="n"/>
      <c r="W88" s="233" t="n"/>
      <c r="X88" s="233" t="n"/>
      <c r="Y88" s="233" t="n"/>
      <c r="Z88" s="233" t="n"/>
      <c r="AA88" s="233" t="n"/>
      <c r="AB88" s="233" t="n"/>
      <c r="AC88" s="233" t="n"/>
      <c r="AD88" s="233" t="n"/>
      <c r="AE88" s="233" t="n"/>
      <c r="AF88" s="233" t="n"/>
      <c r="AG88" s="233" t="n"/>
      <c r="AH88" s="233" t="n"/>
      <c r="AI88" s="233" t="n"/>
      <c r="AJ88" s="233" t="n"/>
      <c r="AK88" s="233" t="n"/>
      <c r="AL88" s="233" t="n"/>
      <c r="AM88" s="233" t="n"/>
      <c r="AN88" s="233" t="n"/>
      <c r="AO88" s="233" t="n"/>
      <c r="AP88" s="233" t="n"/>
      <c r="AQ88" s="233" t="n"/>
      <c r="AR88" s="233" t="n"/>
      <c r="AS88" s="233" t="n"/>
      <c r="AT88" s="233" t="n"/>
      <c r="AU88" s="233" t="n"/>
      <c r="AV88" s="233" t="n"/>
      <c r="AW88" s="233" t="n"/>
      <c r="AX88" s="233" t="n"/>
      <c r="AY88" s="233" t="n"/>
      <c r="AZ88" s="233" t="n"/>
      <c r="BA88" s="233" t="n"/>
      <c r="BB88" s="233" t="n"/>
      <c r="BC88" s="233" t="n"/>
      <c r="BD88" s="233" t="n"/>
      <c r="BE88" s="233" t="n"/>
      <c r="BF88" s="233" t="n"/>
      <c r="BG88" s="233" t="n"/>
      <c r="BH88" s="233" t="n"/>
      <c r="BI88" s="233" t="n"/>
      <c r="BJ88" s="233" t="n"/>
      <c r="BK88" s="233" t="n"/>
      <c r="BL88" s="233" t="n"/>
      <c r="BM88" s="233" t="n"/>
    </row>
    <row r="89" ht="15.75" customHeight="1" s="349">
      <c r="A89" s="31" t="n"/>
      <c r="B89" s="307" t="n"/>
      <c r="C89" s="307" t="n"/>
      <c r="D89" s="146" t="n"/>
      <c r="E89" s="307" t="n"/>
      <c r="F89" s="307" t="n"/>
      <c r="G89" s="307" t="n"/>
      <c r="H89" s="307" t="n"/>
      <c r="I89" s="307" t="n"/>
      <c r="J89" s="307" t="n"/>
      <c r="K89" s="307" t="n"/>
      <c r="L89" s="307" t="n"/>
      <c r="M89" s="307" t="n"/>
      <c r="N89" s="307" t="n"/>
      <c r="O89" s="233" t="n"/>
      <c r="P89" s="233" t="n"/>
      <c r="Q89" s="233" t="n"/>
      <c r="R89" s="233" t="n"/>
      <c r="S89" s="233" t="n"/>
      <c r="T89" s="233" t="n"/>
      <c r="U89" s="233" t="n"/>
      <c r="V89" s="233" t="n"/>
      <c r="W89" s="233" t="n"/>
      <c r="X89" s="233" t="n"/>
      <c r="Y89" s="233" t="n"/>
      <c r="Z89" s="233" t="n"/>
      <c r="AA89" s="233" t="n"/>
      <c r="AB89" s="233" t="n"/>
      <c r="AC89" s="233" t="n"/>
      <c r="AD89" s="233" t="n"/>
      <c r="AE89" s="233" t="n"/>
      <c r="AF89" s="233" t="n"/>
      <c r="AG89" s="233" t="n"/>
      <c r="AH89" s="233" t="n"/>
      <c r="AI89" s="233" t="n"/>
      <c r="AJ89" s="233" t="n"/>
      <c r="AK89" s="233" t="n"/>
      <c r="AL89" s="233" t="n"/>
      <c r="AM89" s="233" t="n"/>
      <c r="AN89" s="233" t="n"/>
      <c r="AO89" s="233" t="n"/>
      <c r="AP89" s="233" t="n"/>
      <c r="AQ89" s="233" t="n"/>
      <c r="AR89" s="233" t="n"/>
      <c r="AS89" s="233" t="n"/>
      <c r="AT89" s="233" t="n"/>
      <c r="AU89" s="233" t="n"/>
      <c r="AV89" s="233" t="n"/>
      <c r="AW89" s="233" t="n"/>
      <c r="AX89" s="233" t="n"/>
      <c r="AY89" s="233" t="n"/>
      <c r="AZ89" s="233" t="n"/>
      <c r="BA89" s="233" t="n"/>
      <c r="BB89" s="233" t="n"/>
      <c r="BC89" s="233" t="n"/>
      <c r="BD89" s="233" t="n"/>
      <c r="BE89" s="233" t="n"/>
      <c r="BF89" s="233" t="n"/>
      <c r="BG89" s="233" t="n"/>
      <c r="BH89" s="233" t="n"/>
      <c r="BI89" s="233" t="n"/>
      <c r="BJ89" s="233" t="n"/>
      <c r="BK89" s="233" t="n"/>
      <c r="BL89" s="233" t="n"/>
      <c r="BM89" s="233" t="n"/>
    </row>
    <row r="90" ht="15.75" customHeight="1" s="349">
      <c r="A90" s="31" t="n"/>
      <c r="B90" s="307" t="n"/>
      <c r="C90" s="307" t="n"/>
      <c r="D90" s="146" t="n"/>
      <c r="E90" s="307" t="n"/>
      <c r="F90" s="307" t="n"/>
      <c r="G90" s="307" t="n"/>
      <c r="H90" s="307" t="n"/>
      <c r="I90" s="307" t="n"/>
      <c r="J90" s="307" t="n"/>
      <c r="K90" s="307" t="n"/>
      <c r="L90" s="307" t="n"/>
      <c r="M90" s="307" t="n"/>
      <c r="N90" s="307" t="n"/>
      <c r="O90" s="233" t="n"/>
      <c r="P90" s="233" t="n"/>
      <c r="Q90" s="233" t="n"/>
      <c r="R90" s="233" t="n"/>
      <c r="S90" s="233" t="n"/>
      <c r="T90" s="233" t="n"/>
      <c r="U90" s="233" t="n"/>
      <c r="V90" s="233" t="n"/>
      <c r="W90" s="233" t="n"/>
      <c r="X90" s="233" t="n"/>
      <c r="Y90" s="233" t="n"/>
      <c r="Z90" s="233" t="n"/>
      <c r="AA90" s="233" t="n"/>
      <c r="AB90" s="233" t="n"/>
      <c r="AC90" s="233" t="n"/>
      <c r="AD90" s="233" t="n"/>
      <c r="AE90" s="233" t="n"/>
      <c r="AF90" s="233" t="n"/>
      <c r="AG90" s="233" t="n"/>
      <c r="AH90" s="233" t="n"/>
      <c r="AI90" s="233" t="n"/>
      <c r="AJ90" s="233" t="n"/>
      <c r="AK90" s="233" t="n"/>
      <c r="AL90" s="233" t="n"/>
      <c r="AM90" s="233" t="n"/>
      <c r="AN90" s="233" t="n"/>
      <c r="AO90" s="233" t="n"/>
      <c r="AP90" s="233" t="n"/>
      <c r="AQ90" s="233" t="n"/>
      <c r="AR90" s="233" t="n"/>
      <c r="AS90" s="233" t="n"/>
      <c r="AT90" s="233" t="n"/>
      <c r="AU90" s="233" t="n"/>
      <c r="AV90" s="233" t="n"/>
      <c r="AW90" s="233" t="n"/>
      <c r="AX90" s="233" t="n"/>
      <c r="AY90" s="233" t="n"/>
      <c r="AZ90" s="233" t="n"/>
      <c r="BA90" s="233" t="n"/>
      <c r="BB90" s="233" t="n"/>
      <c r="BC90" s="233" t="n"/>
      <c r="BD90" s="233" t="n"/>
      <c r="BE90" s="233" t="n"/>
      <c r="BF90" s="233" t="n"/>
      <c r="BG90" s="233" t="n"/>
      <c r="BH90" s="233" t="n"/>
      <c r="BI90" s="233" t="n"/>
      <c r="BJ90" s="233" t="n"/>
      <c r="BK90" s="233" t="n"/>
      <c r="BL90" s="233" t="n"/>
      <c r="BM90" s="233" t="n"/>
    </row>
    <row r="91" ht="15.75" customHeight="1" s="349">
      <c r="A91" s="31" t="n"/>
      <c r="B91" s="307" t="n"/>
      <c r="C91" s="307" t="n"/>
      <c r="D91" s="146" t="n"/>
      <c r="E91" s="307" t="n"/>
      <c r="F91" s="307" t="n"/>
      <c r="G91" s="307" t="n"/>
      <c r="H91" s="307" t="n"/>
      <c r="I91" s="307" t="n"/>
      <c r="J91" s="307" t="n"/>
      <c r="K91" s="307" t="n"/>
      <c r="L91" s="307" t="n"/>
      <c r="M91" s="307" t="n"/>
      <c r="N91" s="307" t="n"/>
      <c r="O91" s="233" t="n"/>
      <c r="P91" s="233" t="n"/>
      <c r="Q91" s="233" t="n"/>
      <c r="R91" s="233" t="n"/>
      <c r="S91" s="233" t="n"/>
      <c r="T91" s="233" t="n"/>
      <c r="U91" s="233" t="n"/>
      <c r="V91" s="233" t="n"/>
      <c r="W91" s="233" t="n"/>
      <c r="X91" s="233" t="n"/>
      <c r="Y91" s="233" t="n"/>
      <c r="Z91" s="233" t="n"/>
      <c r="AA91" s="233" t="n"/>
      <c r="AB91" s="233" t="n"/>
      <c r="AC91" s="233" t="n"/>
      <c r="AD91" s="233" t="n"/>
      <c r="AE91" s="233" t="n"/>
      <c r="AF91" s="233" t="n"/>
      <c r="AG91" s="233" t="n"/>
      <c r="AH91" s="233" t="n"/>
      <c r="AI91" s="233" t="n"/>
      <c r="AJ91" s="233" t="n"/>
      <c r="AK91" s="233" t="n"/>
      <c r="AL91" s="233" t="n"/>
      <c r="AM91" s="233" t="n"/>
      <c r="AN91" s="233" t="n"/>
      <c r="AO91" s="233" t="n"/>
      <c r="AP91" s="233" t="n"/>
      <c r="AQ91" s="233" t="n"/>
      <c r="AR91" s="233" t="n"/>
      <c r="AS91" s="233" t="n"/>
      <c r="AT91" s="233" t="n"/>
      <c r="AU91" s="233" t="n"/>
      <c r="AV91" s="233" t="n"/>
      <c r="AW91" s="233" t="n"/>
      <c r="AX91" s="233" t="n"/>
      <c r="AY91" s="233" t="n"/>
      <c r="AZ91" s="233" t="n"/>
      <c r="BA91" s="233" t="n"/>
      <c r="BB91" s="233" t="n"/>
      <c r="BC91" s="233" t="n"/>
      <c r="BD91" s="233" t="n"/>
      <c r="BE91" s="233" t="n"/>
      <c r="BF91" s="233" t="n"/>
      <c r="BG91" s="233" t="n"/>
      <c r="BH91" s="233" t="n"/>
      <c r="BI91" s="233" t="n"/>
      <c r="BJ91" s="233" t="n"/>
      <c r="BK91" s="233" t="n"/>
      <c r="BL91" s="233" t="n"/>
      <c r="BM91" s="233" t="n"/>
    </row>
    <row r="92" ht="15.75" customHeight="1" s="349">
      <c r="A92" s="31" t="n"/>
      <c r="B92" s="307" t="n"/>
      <c r="C92" s="307" t="n"/>
      <c r="D92" s="146" t="n"/>
      <c r="E92" s="307" t="n"/>
      <c r="F92" s="307" t="n"/>
      <c r="G92" s="307" t="n"/>
      <c r="H92" s="307" t="n"/>
      <c r="I92" s="307" t="n"/>
      <c r="J92" s="307" t="n"/>
      <c r="K92" s="307" t="n"/>
      <c r="L92" s="307" t="n"/>
      <c r="M92" s="307" t="n"/>
      <c r="N92" s="307" t="n"/>
      <c r="O92" s="233" t="n"/>
      <c r="P92" s="233" t="n"/>
      <c r="Q92" s="233" t="n"/>
      <c r="R92" s="233" t="n"/>
      <c r="S92" s="233" t="n"/>
      <c r="T92" s="233" t="n"/>
      <c r="U92" s="233" t="n"/>
      <c r="V92" s="233" t="n"/>
      <c r="W92" s="233" t="n"/>
      <c r="X92" s="233" t="n"/>
      <c r="Y92" s="233" t="n"/>
      <c r="Z92" s="233" t="n"/>
      <c r="AA92" s="233" t="n"/>
      <c r="AB92" s="233" t="n"/>
      <c r="AC92" s="233" t="n"/>
      <c r="AD92" s="233" t="n"/>
      <c r="AE92" s="233" t="n"/>
      <c r="AF92" s="233" t="n"/>
      <c r="AG92" s="233" t="n"/>
      <c r="AH92" s="233" t="n"/>
      <c r="AI92" s="233" t="n"/>
      <c r="AJ92" s="233" t="n"/>
      <c r="AK92" s="233" t="n"/>
      <c r="AL92" s="233" t="n"/>
      <c r="AM92" s="233" t="n"/>
      <c r="AN92" s="233" t="n"/>
      <c r="AO92" s="233" t="n"/>
      <c r="AP92" s="233" t="n"/>
      <c r="AQ92" s="233" t="n"/>
      <c r="AR92" s="233" t="n"/>
      <c r="AS92" s="233" t="n"/>
      <c r="AT92" s="233" t="n"/>
      <c r="AU92" s="233" t="n"/>
      <c r="AV92" s="233" t="n"/>
      <c r="AW92" s="233" t="n"/>
      <c r="AX92" s="233" t="n"/>
      <c r="AY92" s="233" t="n"/>
      <c r="AZ92" s="233" t="n"/>
      <c r="BA92" s="233" t="n"/>
      <c r="BB92" s="233" t="n"/>
      <c r="BC92" s="233" t="n"/>
      <c r="BD92" s="233" t="n"/>
      <c r="BE92" s="233" t="n"/>
      <c r="BF92" s="233" t="n"/>
      <c r="BG92" s="233" t="n"/>
      <c r="BH92" s="233" t="n"/>
      <c r="BI92" s="233" t="n"/>
      <c r="BJ92" s="233" t="n"/>
      <c r="BK92" s="233" t="n"/>
      <c r="BL92" s="233" t="n"/>
      <c r="BM92" s="233" t="n"/>
    </row>
    <row r="93" ht="15.75" customHeight="1" s="349">
      <c r="A93" s="31" t="n"/>
      <c r="B93" s="307" t="n"/>
      <c r="C93" s="307" t="n"/>
      <c r="D93" s="146" t="n"/>
      <c r="E93" s="307" t="n"/>
      <c r="F93" s="307" t="n"/>
      <c r="G93" s="307" t="n"/>
      <c r="H93" s="307" t="n"/>
      <c r="I93" s="307" t="n"/>
      <c r="J93" s="307" t="n"/>
      <c r="K93" s="307" t="n"/>
      <c r="L93" s="307" t="n"/>
      <c r="M93" s="307" t="n"/>
      <c r="N93" s="307" t="n"/>
      <c r="O93" s="233" t="n"/>
      <c r="P93" s="233" t="n"/>
      <c r="Q93" s="233" t="n"/>
      <c r="R93" s="233" t="n"/>
      <c r="S93" s="233" t="n"/>
      <c r="T93" s="233" t="n"/>
      <c r="U93" s="233" t="n"/>
      <c r="V93" s="233" t="n"/>
      <c r="W93" s="233" t="n"/>
      <c r="X93" s="233" t="n"/>
      <c r="Y93" s="233" t="n"/>
      <c r="Z93" s="233" t="n"/>
      <c r="AA93" s="233" t="n"/>
      <c r="AB93" s="233" t="n"/>
      <c r="AC93" s="233" t="n"/>
      <c r="AD93" s="233" t="n"/>
      <c r="AE93" s="233" t="n"/>
      <c r="AF93" s="233" t="n"/>
      <c r="AG93" s="233" t="n"/>
      <c r="AH93" s="233" t="n"/>
      <c r="AI93" s="233" t="n"/>
      <c r="AJ93" s="233" t="n"/>
      <c r="AK93" s="233" t="n"/>
      <c r="AL93" s="233" t="n"/>
      <c r="AM93" s="233" t="n"/>
      <c r="AN93" s="233" t="n"/>
      <c r="AO93" s="233" t="n"/>
      <c r="AP93" s="233" t="n"/>
      <c r="AQ93" s="233" t="n"/>
      <c r="AR93" s="233" t="n"/>
      <c r="AS93" s="233" t="n"/>
      <c r="AT93" s="233" t="n"/>
      <c r="AU93" s="233" t="n"/>
      <c r="AV93" s="233" t="n"/>
      <c r="AW93" s="233" t="n"/>
      <c r="AX93" s="233" t="n"/>
      <c r="AY93" s="233" t="n"/>
      <c r="AZ93" s="233" t="n"/>
      <c r="BA93" s="233" t="n"/>
      <c r="BB93" s="233" t="n"/>
      <c r="BC93" s="233" t="n"/>
      <c r="BD93" s="233" t="n"/>
      <c r="BE93" s="233" t="n"/>
      <c r="BF93" s="233" t="n"/>
      <c r="BG93" s="233" t="n"/>
      <c r="BH93" s="233" t="n"/>
      <c r="BI93" s="233" t="n"/>
      <c r="BJ93" s="233" t="n"/>
      <c r="BK93" s="233" t="n"/>
      <c r="BL93" s="233" t="n"/>
      <c r="BM93" s="233" t="n"/>
    </row>
    <row r="94" ht="15.75" customHeight="1" s="349">
      <c r="A94" s="31" t="n"/>
      <c r="B94" s="307" t="n"/>
      <c r="C94" s="307" t="n"/>
      <c r="D94" s="146" t="n"/>
      <c r="E94" s="307" t="n"/>
      <c r="F94" s="307" t="n"/>
      <c r="G94" s="307" t="n"/>
      <c r="H94" s="307" t="n"/>
      <c r="I94" s="307" t="n"/>
      <c r="J94" s="307" t="n"/>
      <c r="K94" s="307" t="n"/>
      <c r="L94" s="307" t="n"/>
      <c r="M94" s="307" t="n"/>
      <c r="N94" s="307" t="n"/>
      <c r="O94" s="233" t="n"/>
      <c r="P94" s="233" t="n"/>
      <c r="Q94" s="233" t="n"/>
      <c r="R94" s="233" t="n"/>
      <c r="S94" s="233" t="n"/>
      <c r="T94" s="233" t="n"/>
      <c r="U94" s="233" t="n"/>
      <c r="V94" s="233" t="n"/>
      <c r="W94" s="233" t="n"/>
      <c r="X94" s="233" t="n"/>
      <c r="Y94" s="233" t="n"/>
      <c r="Z94" s="233" t="n"/>
      <c r="AA94" s="233" t="n"/>
      <c r="AB94" s="233" t="n"/>
      <c r="AC94" s="233" t="n"/>
      <c r="AD94" s="233" t="n"/>
      <c r="AE94" s="233" t="n"/>
      <c r="AF94" s="233" t="n"/>
      <c r="AG94" s="233" t="n"/>
      <c r="AH94" s="233" t="n"/>
      <c r="AI94" s="233" t="n"/>
      <c r="AJ94" s="233" t="n"/>
      <c r="AK94" s="233" t="n"/>
      <c r="AL94" s="233" t="n"/>
      <c r="AM94" s="233" t="n"/>
      <c r="AN94" s="233" t="n"/>
      <c r="AO94" s="233" t="n"/>
      <c r="AP94" s="233" t="n"/>
      <c r="AQ94" s="233" t="n"/>
      <c r="AR94" s="233" t="n"/>
      <c r="AS94" s="233" t="n"/>
      <c r="AT94" s="233" t="n"/>
      <c r="AU94" s="233" t="n"/>
      <c r="AV94" s="233" t="n"/>
      <c r="AW94" s="233" t="n"/>
      <c r="AX94" s="233" t="n"/>
      <c r="AY94" s="233" t="n"/>
      <c r="AZ94" s="233" t="n"/>
      <c r="BA94" s="233" t="n"/>
      <c r="BB94" s="233" t="n"/>
      <c r="BC94" s="233" t="n"/>
      <c r="BD94" s="233" t="n"/>
      <c r="BE94" s="233" t="n"/>
      <c r="BF94" s="233" t="n"/>
      <c r="BG94" s="233" t="n"/>
      <c r="BH94" s="233" t="n"/>
      <c r="BI94" s="233" t="n"/>
      <c r="BJ94" s="233" t="n"/>
      <c r="BK94" s="233" t="n"/>
      <c r="BL94" s="233" t="n"/>
      <c r="BM94" s="233" t="n"/>
    </row>
    <row r="95" ht="15.75" customHeight="1" s="349">
      <c r="A95" s="31" t="n"/>
      <c r="B95" s="307" t="n"/>
      <c r="C95" s="307" t="n"/>
      <c r="D95" s="146" t="n"/>
      <c r="E95" s="307" t="n"/>
      <c r="F95" s="307" t="n"/>
      <c r="G95" s="307" t="n"/>
      <c r="H95" s="307" t="n"/>
      <c r="I95" s="307" t="n"/>
      <c r="J95" s="307" t="n"/>
      <c r="K95" s="307" t="n"/>
      <c r="L95" s="307" t="n"/>
      <c r="M95" s="307" t="n"/>
      <c r="N95" s="307" t="n"/>
      <c r="O95" s="233" t="n"/>
      <c r="P95" s="233" t="n"/>
      <c r="Q95" s="233" t="n"/>
      <c r="R95" s="233" t="n"/>
      <c r="S95" s="233" t="n"/>
      <c r="T95" s="233" t="n"/>
      <c r="U95" s="233" t="n"/>
      <c r="V95" s="233" t="n"/>
      <c r="W95" s="233" t="n"/>
      <c r="X95" s="233" t="n"/>
      <c r="Y95" s="233" t="n"/>
      <c r="Z95" s="233" t="n"/>
      <c r="AA95" s="233" t="n"/>
      <c r="AB95" s="233" t="n"/>
      <c r="AC95" s="233" t="n"/>
      <c r="AD95" s="233" t="n"/>
      <c r="AE95" s="233" t="n"/>
      <c r="AF95" s="233" t="n"/>
      <c r="AG95" s="233" t="n"/>
      <c r="AH95" s="233" t="n"/>
      <c r="AI95" s="233" t="n"/>
      <c r="AJ95" s="233" t="n"/>
      <c r="AK95" s="233" t="n"/>
      <c r="AL95" s="233" t="n"/>
      <c r="AM95" s="233" t="n"/>
      <c r="AN95" s="233" t="n"/>
      <c r="AO95" s="233" t="n"/>
      <c r="AP95" s="233" t="n"/>
      <c r="AQ95" s="233" t="n"/>
      <c r="AR95" s="233" t="n"/>
      <c r="AS95" s="233" t="n"/>
      <c r="AT95" s="233" t="n"/>
      <c r="AU95" s="233" t="n"/>
      <c r="AV95" s="233" t="n"/>
      <c r="AW95" s="233" t="n"/>
      <c r="AX95" s="233" t="n"/>
      <c r="AY95" s="233" t="n"/>
      <c r="AZ95" s="233" t="n"/>
      <c r="BA95" s="233" t="n"/>
      <c r="BB95" s="233" t="n"/>
      <c r="BC95" s="233" t="n"/>
      <c r="BD95" s="233" t="n"/>
      <c r="BE95" s="233" t="n"/>
      <c r="BF95" s="233" t="n"/>
      <c r="BG95" s="233" t="n"/>
      <c r="BH95" s="233" t="n"/>
      <c r="BI95" s="233" t="n"/>
      <c r="BJ95" s="233" t="n"/>
      <c r="BK95" s="233" t="n"/>
      <c r="BL95" s="233" t="n"/>
      <c r="BM95" s="233" t="n"/>
    </row>
    <row r="96" ht="15.75" customHeight="1" s="349">
      <c r="A96" s="31" t="n"/>
      <c r="B96" s="307" t="n"/>
      <c r="C96" s="307" t="n"/>
      <c r="D96" s="146" t="n"/>
      <c r="E96" s="307" t="n"/>
      <c r="F96" s="307" t="n"/>
      <c r="G96" s="307" t="n"/>
      <c r="H96" s="307" t="n"/>
      <c r="I96" s="307" t="n"/>
      <c r="J96" s="307" t="n"/>
      <c r="K96" s="307" t="n"/>
      <c r="L96" s="307" t="n"/>
      <c r="M96" s="307" t="n"/>
      <c r="N96" s="307" t="n"/>
      <c r="O96" s="233" t="n"/>
      <c r="P96" s="233" t="n"/>
      <c r="Q96" s="233" t="n"/>
      <c r="R96" s="233" t="n"/>
      <c r="S96" s="233" t="n"/>
      <c r="T96" s="233" t="n"/>
      <c r="U96" s="233" t="n"/>
      <c r="V96" s="233" t="n"/>
      <c r="W96" s="233" t="n"/>
      <c r="X96" s="233" t="n"/>
      <c r="Y96" s="233" t="n"/>
      <c r="Z96" s="233" t="n"/>
      <c r="AA96" s="233" t="n"/>
      <c r="AB96" s="233" t="n"/>
      <c r="AC96" s="233" t="n"/>
      <c r="AD96" s="233" t="n"/>
      <c r="AE96" s="233" t="n"/>
      <c r="AF96" s="233" t="n"/>
      <c r="AG96" s="233" t="n"/>
      <c r="AH96" s="233" t="n"/>
      <c r="AI96" s="233" t="n"/>
      <c r="AJ96" s="233" t="n"/>
      <c r="AK96" s="233" t="n"/>
      <c r="AL96" s="233" t="n"/>
      <c r="AM96" s="233" t="n"/>
      <c r="AN96" s="233" t="n"/>
      <c r="AO96" s="233" t="n"/>
      <c r="AP96" s="233" t="n"/>
      <c r="AQ96" s="233" t="n"/>
      <c r="AR96" s="233" t="n"/>
      <c r="AS96" s="233" t="n"/>
      <c r="AT96" s="233" t="n"/>
      <c r="AU96" s="233" t="n"/>
      <c r="AV96" s="233" t="n"/>
      <c r="AW96" s="233" t="n"/>
      <c r="AX96" s="233" t="n"/>
      <c r="AY96" s="233" t="n"/>
      <c r="AZ96" s="233" t="n"/>
      <c r="BA96" s="233" t="n"/>
      <c r="BB96" s="233" t="n"/>
      <c r="BC96" s="233" t="n"/>
      <c r="BD96" s="233" t="n"/>
      <c r="BE96" s="233" t="n"/>
      <c r="BF96" s="233" t="n"/>
      <c r="BG96" s="233" t="n"/>
      <c r="BH96" s="233" t="n"/>
      <c r="BI96" s="233" t="n"/>
      <c r="BJ96" s="233" t="n"/>
      <c r="BK96" s="233" t="n"/>
      <c r="BL96" s="233" t="n"/>
      <c r="BM96" s="233" t="n"/>
    </row>
    <row r="97" ht="15.75" customHeight="1" s="349">
      <c r="A97" s="31" t="n"/>
      <c r="B97" s="307" t="n"/>
      <c r="C97" s="307" t="n"/>
      <c r="D97" s="146" t="n"/>
      <c r="E97" s="307" t="n"/>
      <c r="F97" s="307" t="n"/>
      <c r="G97" s="307" t="n"/>
      <c r="H97" s="307" t="n"/>
      <c r="I97" s="307" t="n"/>
      <c r="J97" s="307" t="n"/>
      <c r="K97" s="307" t="n"/>
      <c r="L97" s="307" t="n"/>
      <c r="M97" s="307" t="n"/>
      <c r="N97" s="307" t="n"/>
      <c r="O97" s="233" t="n"/>
      <c r="P97" s="233" t="n"/>
      <c r="Q97" s="233" t="n"/>
      <c r="R97" s="233" t="n"/>
      <c r="S97" s="233" t="n"/>
      <c r="T97" s="233" t="n"/>
      <c r="U97" s="233" t="n"/>
      <c r="V97" s="233" t="n"/>
      <c r="W97" s="233" t="n"/>
      <c r="X97" s="233" t="n"/>
      <c r="Y97" s="233" t="n"/>
      <c r="Z97" s="233" t="n"/>
      <c r="AA97" s="233" t="n"/>
      <c r="AB97" s="233" t="n"/>
      <c r="AC97" s="233" t="n"/>
      <c r="AD97" s="233" t="n"/>
      <c r="AE97" s="233" t="n"/>
      <c r="AF97" s="233" t="n"/>
      <c r="AG97" s="233" t="n"/>
      <c r="AH97" s="233" t="n"/>
      <c r="AI97" s="233" t="n"/>
      <c r="AJ97" s="233" t="n"/>
      <c r="AK97" s="233" t="n"/>
      <c r="AL97" s="233" t="n"/>
      <c r="AM97" s="233" t="n"/>
      <c r="AN97" s="233" t="n"/>
      <c r="AO97" s="233" t="n"/>
      <c r="AP97" s="233" t="n"/>
      <c r="AQ97" s="233" t="n"/>
      <c r="AR97" s="233" t="n"/>
      <c r="AS97" s="233" t="n"/>
      <c r="AT97" s="233" t="n"/>
      <c r="AU97" s="233" t="n"/>
      <c r="AV97" s="233" t="n"/>
      <c r="AW97" s="233" t="n"/>
      <c r="AX97" s="233" t="n"/>
      <c r="AY97" s="233" t="n"/>
      <c r="AZ97" s="233" t="n"/>
      <c r="BA97" s="233" t="n"/>
      <c r="BB97" s="233" t="n"/>
      <c r="BC97" s="233" t="n"/>
      <c r="BD97" s="233" t="n"/>
      <c r="BE97" s="233" t="n"/>
      <c r="BF97" s="233" t="n"/>
      <c r="BG97" s="233" t="n"/>
      <c r="BH97" s="233" t="n"/>
      <c r="BI97" s="233" t="n"/>
      <c r="BJ97" s="233" t="n"/>
      <c r="BK97" s="233" t="n"/>
      <c r="BL97" s="233" t="n"/>
      <c r="BM97" s="233" t="n"/>
    </row>
    <row r="98" ht="15.75" customHeight="1" s="349">
      <c r="A98" s="31" t="n"/>
      <c r="B98" s="307" t="n"/>
      <c r="C98" s="307" t="n"/>
      <c r="D98" s="146" t="n"/>
      <c r="E98" s="307" t="n"/>
      <c r="F98" s="307" t="n"/>
      <c r="G98" s="307" t="n"/>
      <c r="H98" s="307" t="n"/>
      <c r="I98" s="307" t="n"/>
      <c r="J98" s="307" t="n"/>
      <c r="K98" s="307" t="n"/>
      <c r="L98" s="307" t="n"/>
      <c r="M98" s="307" t="n"/>
      <c r="N98" s="307" t="n"/>
      <c r="O98" s="233" t="n"/>
      <c r="P98" s="233" t="n"/>
      <c r="Q98" s="233" t="n"/>
      <c r="R98" s="233" t="n"/>
      <c r="S98" s="233" t="n"/>
      <c r="T98" s="233" t="n"/>
      <c r="U98" s="233" t="n"/>
      <c r="V98" s="233" t="n"/>
      <c r="W98" s="233" t="n"/>
      <c r="X98" s="233" t="n"/>
      <c r="Y98" s="233" t="n"/>
      <c r="Z98" s="233" t="n"/>
      <c r="AA98" s="233" t="n"/>
      <c r="AB98" s="233" t="n"/>
      <c r="AC98" s="233" t="n"/>
      <c r="AD98" s="233" t="n"/>
      <c r="AE98" s="233" t="n"/>
      <c r="AF98" s="233" t="n"/>
      <c r="AG98" s="233" t="n"/>
      <c r="AH98" s="233" t="n"/>
      <c r="AI98" s="233" t="n"/>
      <c r="AJ98" s="233" t="n"/>
      <c r="AK98" s="233" t="n"/>
      <c r="AL98" s="233" t="n"/>
      <c r="AM98" s="233" t="n"/>
      <c r="AN98" s="233" t="n"/>
      <c r="AO98" s="233" t="n"/>
      <c r="AP98" s="233" t="n"/>
      <c r="AQ98" s="233" t="n"/>
      <c r="AR98" s="233" t="n"/>
      <c r="AS98" s="233" t="n"/>
      <c r="AT98" s="233" t="n"/>
      <c r="AU98" s="233" t="n"/>
      <c r="AV98" s="233" t="n"/>
      <c r="AW98" s="233" t="n"/>
      <c r="AX98" s="233" t="n"/>
      <c r="AY98" s="233" t="n"/>
      <c r="AZ98" s="233" t="n"/>
      <c r="BA98" s="233" t="n"/>
      <c r="BB98" s="233" t="n"/>
      <c r="BC98" s="233" t="n"/>
      <c r="BD98" s="233" t="n"/>
      <c r="BE98" s="233" t="n"/>
      <c r="BF98" s="233" t="n"/>
      <c r="BG98" s="233" t="n"/>
      <c r="BH98" s="233" t="n"/>
      <c r="BI98" s="233" t="n"/>
      <c r="BJ98" s="233" t="n"/>
      <c r="BK98" s="233" t="n"/>
      <c r="BL98" s="233" t="n"/>
      <c r="BM98" s="233" t="n"/>
    </row>
    <row r="99" ht="15.75" customHeight="1" s="349">
      <c r="A99" s="31" t="n"/>
      <c r="B99" s="307" t="n"/>
      <c r="C99" s="307" t="n"/>
      <c r="D99" s="146" t="n"/>
      <c r="E99" s="307" t="n"/>
      <c r="F99" s="307" t="n"/>
      <c r="G99" s="307" t="n"/>
      <c r="H99" s="307" t="n"/>
      <c r="I99" s="307" t="n"/>
      <c r="J99" s="307" t="n"/>
      <c r="K99" s="307" t="n"/>
      <c r="L99" s="307" t="n"/>
      <c r="M99" s="307" t="n"/>
      <c r="N99" s="307" t="n"/>
      <c r="O99" s="233" t="n"/>
      <c r="P99" s="233" t="n"/>
      <c r="Q99" s="233" t="n"/>
      <c r="R99" s="233" t="n"/>
      <c r="S99" s="233" t="n"/>
      <c r="T99" s="233" t="n"/>
      <c r="U99" s="233" t="n"/>
      <c r="V99" s="233" t="n"/>
      <c r="W99" s="233" t="n"/>
      <c r="X99" s="233" t="n"/>
      <c r="Y99" s="233" t="n"/>
      <c r="Z99" s="233" t="n"/>
      <c r="AA99" s="233" t="n"/>
      <c r="AB99" s="233" t="n"/>
      <c r="AC99" s="233" t="n"/>
      <c r="AD99" s="233" t="n"/>
      <c r="AE99" s="233" t="n"/>
      <c r="AF99" s="233" t="n"/>
      <c r="AG99" s="233" t="n"/>
      <c r="AH99" s="233" t="n"/>
      <c r="AI99" s="233" t="n"/>
      <c r="AJ99" s="233" t="n"/>
      <c r="AK99" s="233" t="n"/>
      <c r="AL99" s="233" t="n"/>
      <c r="AM99" s="233" t="n"/>
      <c r="AN99" s="233" t="n"/>
      <c r="AO99" s="233" t="n"/>
      <c r="AP99" s="233" t="n"/>
      <c r="AQ99" s="233" t="n"/>
      <c r="AR99" s="233" t="n"/>
      <c r="AS99" s="233" t="n"/>
      <c r="AT99" s="233" t="n"/>
      <c r="AU99" s="233" t="n"/>
      <c r="AV99" s="233" t="n"/>
      <c r="AW99" s="233" t="n"/>
      <c r="AX99" s="233" t="n"/>
      <c r="AY99" s="233" t="n"/>
      <c r="AZ99" s="233" t="n"/>
      <c r="BA99" s="233" t="n"/>
      <c r="BB99" s="233" t="n"/>
      <c r="BC99" s="233" t="n"/>
      <c r="BD99" s="233" t="n"/>
      <c r="BE99" s="233" t="n"/>
      <c r="BF99" s="233" t="n"/>
      <c r="BG99" s="233" t="n"/>
      <c r="BH99" s="233" t="n"/>
      <c r="BI99" s="233" t="n"/>
      <c r="BJ99" s="233" t="n"/>
      <c r="BK99" s="233" t="n"/>
      <c r="BL99" s="233" t="n"/>
      <c r="BM99" s="233" t="n"/>
    </row>
    <row r="100" ht="15.75" customHeight="1" s="349">
      <c r="A100" s="31" t="n"/>
      <c r="B100" s="307" t="n"/>
      <c r="C100" s="307" t="n"/>
      <c r="D100" s="146" t="n"/>
      <c r="E100" s="307" t="n"/>
      <c r="F100" s="307" t="n"/>
      <c r="G100" s="307" t="n"/>
      <c r="H100" s="307" t="n"/>
      <c r="I100" s="307" t="n"/>
      <c r="J100" s="307" t="n"/>
      <c r="K100" s="307" t="n"/>
      <c r="L100" s="307" t="n"/>
      <c r="M100" s="307" t="n"/>
      <c r="N100" s="307" t="n"/>
      <c r="O100" s="233" t="n"/>
      <c r="P100" s="233" t="n"/>
      <c r="Q100" s="233" t="n"/>
      <c r="R100" s="233" t="n"/>
      <c r="S100" s="233" t="n"/>
      <c r="T100" s="233" t="n"/>
      <c r="U100" s="233" t="n"/>
      <c r="V100" s="233" t="n"/>
      <c r="W100" s="233" t="n"/>
      <c r="X100" s="233" t="n"/>
      <c r="Y100" s="233" t="n"/>
      <c r="Z100" s="233" t="n"/>
      <c r="AA100" s="233" t="n"/>
      <c r="AB100" s="233" t="n"/>
      <c r="AC100" s="233" t="n"/>
      <c r="AD100" s="233" t="n"/>
      <c r="AE100" s="233" t="n"/>
      <c r="AF100" s="233" t="n"/>
      <c r="AG100" s="233" t="n"/>
      <c r="AH100" s="233" t="n"/>
      <c r="AI100" s="233" t="n"/>
      <c r="AJ100" s="233" t="n"/>
      <c r="AK100" s="233" t="n"/>
      <c r="AL100" s="233" t="n"/>
      <c r="AM100" s="233" t="n"/>
      <c r="AN100" s="233" t="n"/>
      <c r="AO100" s="233" t="n"/>
      <c r="AP100" s="233" t="n"/>
      <c r="AQ100" s="233" t="n"/>
      <c r="AR100" s="233" t="n"/>
      <c r="AS100" s="233" t="n"/>
      <c r="AT100" s="233" t="n"/>
      <c r="AU100" s="233" t="n"/>
      <c r="AV100" s="233" t="n"/>
      <c r="AW100" s="233" t="n"/>
      <c r="AX100" s="233" t="n"/>
      <c r="AY100" s="233" t="n"/>
      <c r="AZ100" s="233" t="n"/>
      <c r="BA100" s="233" t="n"/>
      <c r="BB100" s="233" t="n"/>
      <c r="BC100" s="233" t="n"/>
      <c r="BD100" s="233" t="n"/>
      <c r="BE100" s="233" t="n"/>
      <c r="BF100" s="233" t="n"/>
      <c r="BG100" s="233" t="n"/>
      <c r="BH100" s="233" t="n"/>
      <c r="BI100" s="233" t="n"/>
      <c r="BJ100" s="233" t="n"/>
      <c r="BK100" s="233" t="n"/>
      <c r="BL100" s="233" t="n"/>
      <c r="BM100" s="233" t="n"/>
    </row>
    <row r="101" ht="15.75" customHeight="1" s="349">
      <c r="A101" s="31" t="n"/>
      <c r="B101" s="307" t="n"/>
      <c r="C101" s="307" t="n"/>
      <c r="D101" s="146" t="n"/>
      <c r="E101" s="307" t="n"/>
      <c r="F101" s="307" t="n"/>
      <c r="G101" s="307" t="n"/>
      <c r="H101" s="307" t="n"/>
      <c r="I101" s="307" t="n"/>
      <c r="J101" s="307" t="n"/>
      <c r="K101" s="307" t="n"/>
      <c r="L101" s="307" t="n"/>
      <c r="M101" s="307" t="n"/>
      <c r="N101" s="307" t="n"/>
      <c r="O101" s="233" t="n"/>
      <c r="P101" s="233" t="n"/>
      <c r="Q101" s="233" t="n"/>
      <c r="R101" s="233" t="n"/>
      <c r="S101" s="233" t="n"/>
      <c r="T101" s="233" t="n"/>
      <c r="U101" s="233" t="n"/>
      <c r="V101" s="233" t="n"/>
      <c r="W101" s="233" t="n"/>
      <c r="X101" s="233" t="n"/>
      <c r="Y101" s="233" t="n"/>
      <c r="Z101" s="233" t="n"/>
      <c r="AA101" s="233" t="n"/>
      <c r="AB101" s="233" t="n"/>
      <c r="AC101" s="233" t="n"/>
      <c r="AD101" s="233" t="n"/>
      <c r="AE101" s="233" t="n"/>
      <c r="AF101" s="233" t="n"/>
      <c r="AG101" s="233" t="n"/>
      <c r="AH101" s="233" t="n"/>
      <c r="AI101" s="233" t="n"/>
      <c r="AJ101" s="233" t="n"/>
      <c r="AK101" s="233" t="n"/>
      <c r="AL101" s="233" t="n"/>
      <c r="AM101" s="233" t="n"/>
      <c r="AN101" s="233" t="n"/>
      <c r="AO101" s="233" t="n"/>
      <c r="AP101" s="233" t="n"/>
      <c r="AQ101" s="233" t="n"/>
      <c r="AR101" s="233" t="n"/>
      <c r="AS101" s="233" t="n"/>
      <c r="AT101" s="233" t="n"/>
      <c r="AU101" s="233" t="n"/>
      <c r="AV101" s="233" t="n"/>
      <c r="AW101" s="233" t="n"/>
      <c r="AX101" s="233" t="n"/>
      <c r="AY101" s="233" t="n"/>
      <c r="AZ101" s="233" t="n"/>
      <c r="BA101" s="233" t="n"/>
      <c r="BB101" s="233" t="n"/>
      <c r="BC101" s="233" t="n"/>
      <c r="BD101" s="233" t="n"/>
      <c r="BE101" s="233" t="n"/>
      <c r="BF101" s="233" t="n"/>
      <c r="BG101" s="233" t="n"/>
      <c r="BH101" s="233" t="n"/>
      <c r="BI101" s="233" t="n"/>
      <c r="BJ101" s="233" t="n"/>
      <c r="BK101" s="233" t="n"/>
      <c r="BL101" s="233" t="n"/>
      <c r="BM101" s="233" t="n"/>
    </row>
    <row r="102" ht="15.75" customHeight="1" s="349">
      <c r="A102" s="31" t="n"/>
      <c r="B102" s="307" t="n"/>
      <c r="C102" s="307" t="n"/>
      <c r="D102" s="146" t="n"/>
      <c r="E102" s="307" t="n"/>
      <c r="F102" s="307" t="n"/>
      <c r="G102" s="307" t="n"/>
      <c r="H102" s="307" t="n"/>
      <c r="I102" s="307" t="n"/>
      <c r="J102" s="307" t="n"/>
      <c r="K102" s="307" t="n"/>
      <c r="L102" s="307" t="n"/>
      <c r="M102" s="307" t="n"/>
      <c r="N102" s="307" t="n"/>
      <c r="O102" s="233" t="n"/>
      <c r="P102" s="233" t="n"/>
      <c r="Q102" s="233" t="n"/>
      <c r="R102" s="233" t="n"/>
      <c r="S102" s="233" t="n"/>
      <c r="T102" s="233" t="n"/>
      <c r="U102" s="233" t="n"/>
      <c r="V102" s="233" t="n"/>
      <c r="W102" s="233" t="n"/>
      <c r="X102" s="233" t="n"/>
      <c r="Y102" s="233" t="n"/>
      <c r="Z102" s="233" t="n"/>
      <c r="AA102" s="233" t="n"/>
      <c r="AB102" s="233" t="n"/>
      <c r="AC102" s="233" t="n"/>
      <c r="AD102" s="233" t="n"/>
      <c r="AE102" s="233" t="n"/>
      <c r="AF102" s="233" t="n"/>
      <c r="AG102" s="233" t="n"/>
      <c r="AH102" s="233" t="n"/>
      <c r="AI102" s="233" t="n"/>
      <c r="AJ102" s="233" t="n"/>
      <c r="AK102" s="233" t="n"/>
      <c r="AL102" s="233" t="n"/>
      <c r="AM102" s="233" t="n"/>
      <c r="AN102" s="233" t="n"/>
      <c r="AO102" s="233" t="n"/>
      <c r="AP102" s="233" t="n"/>
      <c r="AQ102" s="233" t="n"/>
      <c r="AR102" s="233" t="n"/>
      <c r="AS102" s="233" t="n"/>
      <c r="AT102" s="233" t="n"/>
      <c r="AU102" s="233" t="n"/>
      <c r="AV102" s="233" t="n"/>
      <c r="AW102" s="233" t="n"/>
      <c r="AX102" s="233" t="n"/>
      <c r="AY102" s="233" t="n"/>
      <c r="AZ102" s="233" t="n"/>
      <c r="BA102" s="233" t="n"/>
      <c r="BB102" s="233" t="n"/>
      <c r="BC102" s="233" t="n"/>
      <c r="BD102" s="233" t="n"/>
      <c r="BE102" s="233" t="n"/>
      <c r="BF102" s="233" t="n"/>
      <c r="BG102" s="233" t="n"/>
      <c r="BH102" s="233" t="n"/>
      <c r="BI102" s="233" t="n"/>
      <c r="BJ102" s="233" t="n"/>
      <c r="BK102" s="233" t="n"/>
      <c r="BL102" s="233" t="n"/>
      <c r="BM102" s="233" t="n"/>
    </row>
    <row r="103" ht="15.75" customHeight="1" s="349">
      <c r="A103" s="31" t="n"/>
      <c r="B103" s="307" t="n"/>
      <c r="C103" s="307" t="n"/>
      <c r="D103" s="146" t="n"/>
      <c r="E103" s="307" t="n"/>
      <c r="F103" s="307" t="n"/>
      <c r="G103" s="307" t="n"/>
      <c r="H103" s="307" t="n"/>
      <c r="I103" s="307" t="n"/>
      <c r="J103" s="307" t="n"/>
      <c r="K103" s="307" t="n"/>
      <c r="L103" s="307" t="n"/>
      <c r="M103" s="307" t="n"/>
      <c r="N103" s="307" t="n"/>
      <c r="O103" s="233" t="n"/>
      <c r="P103" s="233" t="n"/>
      <c r="Q103" s="233" t="n"/>
      <c r="R103" s="233" t="n"/>
      <c r="S103" s="233" t="n"/>
      <c r="T103" s="233" t="n"/>
      <c r="U103" s="233" t="n"/>
      <c r="V103" s="233" t="n"/>
      <c r="W103" s="233" t="n"/>
      <c r="X103" s="233" t="n"/>
      <c r="Y103" s="233" t="n"/>
      <c r="Z103" s="233" t="n"/>
      <c r="AA103" s="233" t="n"/>
      <c r="AB103" s="233" t="n"/>
      <c r="AC103" s="233" t="n"/>
      <c r="AD103" s="233" t="n"/>
      <c r="AE103" s="233" t="n"/>
      <c r="AF103" s="233" t="n"/>
      <c r="AG103" s="233" t="n"/>
      <c r="AH103" s="233" t="n"/>
      <c r="AI103" s="233" t="n"/>
      <c r="AJ103" s="233" t="n"/>
      <c r="AK103" s="233" t="n"/>
      <c r="AL103" s="233" t="n"/>
      <c r="AM103" s="233" t="n"/>
      <c r="AN103" s="233" t="n"/>
      <c r="AO103" s="233" t="n"/>
      <c r="AP103" s="233" t="n"/>
      <c r="AQ103" s="233" t="n"/>
      <c r="AR103" s="233" t="n"/>
      <c r="AS103" s="233" t="n"/>
      <c r="AT103" s="233" t="n"/>
      <c r="AU103" s="233" t="n"/>
      <c r="AV103" s="233" t="n"/>
      <c r="AW103" s="233" t="n"/>
      <c r="AX103" s="233" t="n"/>
      <c r="AY103" s="233" t="n"/>
      <c r="AZ103" s="233" t="n"/>
      <c r="BA103" s="233" t="n"/>
      <c r="BB103" s="233" t="n"/>
      <c r="BC103" s="233" t="n"/>
      <c r="BD103" s="233" t="n"/>
      <c r="BE103" s="233" t="n"/>
      <c r="BF103" s="233" t="n"/>
      <c r="BG103" s="233" t="n"/>
      <c r="BH103" s="233" t="n"/>
      <c r="BI103" s="233" t="n"/>
      <c r="BJ103" s="233" t="n"/>
      <c r="BK103" s="233" t="n"/>
      <c r="BL103" s="233" t="n"/>
      <c r="BM103" s="233" t="n"/>
    </row>
    <row r="104" ht="15.75" customHeight="1" s="349">
      <c r="A104" s="31" t="n"/>
      <c r="B104" s="307" t="n"/>
      <c r="C104" s="307" t="n"/>
      <c r="D104" s="146" t="n"/>
      <c r="E104" s="307" t="n"/>
      <c r="F104" s="307" t="n"/>
      <c r="G104" s="307" t="n"/>
      <c r="H104" s="307" t="n"/>
      <c r="I104" s="307" t="n"/>
      <c r="J104" s="307" t="n"/>
      <c r="K104" s="307" t="n"/>
      <c r="L104" s="307" t="n"/>
      <c r="M104" s="307" t="n"/>
      <c r="N104" s="307" t="n"/>
      <c r="O104" s="233" t="n"/>
      <c r="P104" s="233" t="n"/>
      <c r="Q104" s="233" t="n"/>
      <c r="R104" s="233" t="n"/>
      <c r="S104" s="233" t="n"/>
      <c r="T104" s="233" t="n"/>
      <c r="U104" s="233" t="n"/>
      <c r="V104" s="233" t="n"/>
      <c r="W104" s="233" t="n"/>
      <c r="X104" s="233" t="n"/>
      <c r="Y104" s="233" t="n"/>
      <c r="Z104" s="233" t="n"/>
      <c r="AA104" s="233" t="n"/>
      <c r="AB104" s="233" t="n"/>
      <c r="AC104" s="233" t="n"/>
      <c r="AD104" s="233" t="n"/>
      <c r="AE104" s="233" t="n"/>
      <c r="AF104" s="233" t="n"/>
      <c r="AG104" s="233" t="n"/>
      <c r="AH104" s="233" t="n"/>
      <c r="AI104" s="233" t="n"/>
      <c r="AJ104" s="233" t="n"/>
      <c r="AK104" s="233" t="n"/>
      <c r="AL104" s="233" t="n"/>
      <c r="AM104" s="233" t="n"/>
      <c r="AN104" s="233" t="n"/>
      <c r="AO104" s="233" t="n"/>
      <c r="AP104" s="233" t="n"/>
      <c r="AQ104" s="233" t="n"/>
      <c r="AR104" s="233" t="n"/>
      <c r="AS104" s="233" t="n"/>
      <c r="AT104" s="233" t="n"/>
      <c r="AU104" s="233" t="n"/>
      <c r="AV104" s="233" t="n"/>
      <c r="AW104" s="233" t="n"/>
      <c r="AX104" s="233" t="n"/>
      <c r="AY104" s="233" t="n"/>
      <c r="AZ104" s="233" t="n"/>
      <c r="BA104" s="233" t="n"/>
      <c r="BB104" s="233" t="n"/>
      <c r="BC104" s="233" t="n"/>
      <c r="BD104" s="233" t="n"/>
      <c r="BE104" s="233" t="n"/>
      <c r="BF104" s="233" t="n"/>
      <c r="BG104" s="233" t="n"/>
      <c r="BH104" s="233" t="n"/>
      <c r="BI104" s="233" t="n"/>
      <c r="BJ104" s="233" t="n"/>
      <c r="BK104" s="233" t="n"/>
      <c r="BL104" s="233" t="n"/>
      <c r="BM104" s="233" t="n"/>
    </row>
    <row r="105" ht="15.75" customHeight="1" s="349">
      <c r="A105" s="31" t="n"/>
      <c r="B105" s="307" t="n"/>
      <c r="C105" s="307" t="n"/>
      <c r="D105" s="146" t="n"/>
      <c r="E105" s="307" t="n"/>
      <c r="F105" s="307" t="n"/>
      <c r="G105" s="307" t="n"/>
      <c r="H105" s="307" t="n"/>
      <c r="I105" s="307" t="n"/>
      <c r="J105" s="307" t="n"/>
      <c r="K105" s="307" t="n"/>
      <c r="L105" s="307" t="n"/>
      <c r="M105" s="307" t="n"/>
      <c r="N105" s="307" t="n"/>
      <c r="O105" s="233" t="n"/>
      <c r="P105" s="233" t="n"/>
      <c r="Q105" s="233" t="n"/>
      <c r="R105" s="233" t="n"/>
      <c r="S105" s="233" t="n"/>
      <c r="T105" s="233" t="n"/>
      <c r="U105" s="233" t="n"/>
      <c r="V105" s="233" t="n"/>
      <c r="W105" s="233" t="n"/>
      <c r="X105" s="233" t="n"/>
      <c r="Y105" s="233" t="n"/>
      <c r="Z105" s="233" t="n"/>
      <c r="AA105" s="233" t="n"/>
      <c r="AB105" s="233" t="n"/>
      <c r="AC105" s="233" t="n"/>
      <c r="AD105" s="233" t="n"/>
      <c r="AE105" s="233" t="n"/>
      <c r="AF105" s="233" t="n"/>
      <c r="AG105" s="233" t="n"/>
      <c r="AH105" s="233" t="n"/>
      <c r="AI105" s="233" t="n"/>
      <c r="AJ105" s="233" t="n"/>
      <c r="AK105" s="233" t="n"/>
      <c r="AL105" s="233" t="n"/>
      <c r="AM105" s="233" t="n"/>
      <c r="AN105" s="233" t="n"/>
      <c r="AO105" s="233" t="n"/>
      <c r="AP105" s="233" t="n"/>
      <c r="AQ105" s="233" t="n"/>
      <c r="AR105" s="233" t="n"/>
      <c r="AS105" s="233" t="n"/>
      <c r="AT105" s="233" t="n"/>
      <c r="AU105" s="233" t="n"/>
      <c r="AV105" s="233" t="n"/>
      <c r="AW105" s="233" t="n"/>
      <c r="AX105" s="233" t="n"/>
      <c r="AY105" s="233" t="n"/>
      <c r="AZ105" s="233" t="n"/>
      <c r="BA105" s="233" t="n"/>
      <c r="BB105" s="233" t="n"/>
      <c r="BC105" s="233" t="n"/>
      <c r="BD105" s="233" t="n"/>
      <c r="BE105" s="233" t="n"/>
      <c r="BF105" s="233" t="n"/>
      <c r="BG105" s="233" t="n"/>
      <c r="BH105" s="233" t="n"/>
      <c r="BI105" s="233" t="n"/>
      <c r="BJ105" s="233" t="n"/>
      <c r="BK105" s="233" t="n"/>
      <c r="BL105" s="233" t="n"/>
      <c r="BM105" s="233" t="n"/>
    </row>
    <row r="106" ht="15.75" customHeight="1" s="349">
      <c r="A106" s="31" t="n"/>
      <c r="B106" s="307" t="n"/>
      <c r="C106" s="307" t="n"/>
      <c r="D106" s="146" t="n"/>
      <c r="E106" s="307" t="n"/>
      <c r="F106" s="307" t="n"/>
      <c r="G106" s="307" t="n"/>
      <c r="H106" s="307" t="n"/>
      <c r="I106" s="307" t="n"/>
      <c r="J106" s="307" t="n"/>
      <c r="K106" s="307" t="n"/>
      <c r="L106" s="307" t="n"/>
      <c r="M106" s="307" t="n"/>
      <c r="N106" s="307" t="n"/>
      <c r="O106" s="233" t="n"/>
      <c r="P106" s="233" t="n"/>
      <c r="Q106" s="233" t="n"/>
      <c r="R106" s="233" t="n"/>
      <c r="S106" s="233" t="n"/>
      <c r="T106" s="233" t="n"/>
      <c r="U106" s="233" t="n"/>
      <c r="V106" s="233" t="n"/>
      <c r="W106" s="233" t="n"/>
      <c r="X106" s="233" t="n"/>
      <c r="Y106" s="233" t="n"/>
      <c r="Z106" s="233" t="n"/>
      <c r="AA106" s="233" t="n"/>
      <c r="AB106" s="233" t="n"/>
      <c r="AC106" s="233" t="n"/>
      <c r="AD106" s="233" t="n"/>
      <c r="AE106" s="233" t="n"/>
      <c r="AF106" s="233" t="n"/>
      <c r="AG106" s="233" t="n"/>
      <c r="AH106" s="233" t="n"/>
      <c r="AI106" s="233" t="n"/>
      <c r="AJ106" s="233" t="n"/>
      <c r="AK106" s="233" t="n"/>
      <c r="AL106" s="233" t="n"/>
      <c r="AM106" s="233" t="n"/>
      <c r="AN106" s="233" t="n"/>
      <c r="AO106" s="233" t="n"/>
      <c r="AP106" s="233" t="n"/>
      <c r="AQ106" s="233" t="n"/>
      <c r="AR106" s="233" t="n"/>
      <c r="AS106" s="233" t="n"/>
      <c r="AT106" s="233" t="n"/>
      <c r="AU106" s="233" t="n"/>
      <c r="AV106" s="233" t="n"/>
      <c r="AW106" s="233" t="n"/>
      <c r="AX106" s="233" t="n"/>
      <c r="AY106" s="233" t="n"/>
      <c r="AZ106" s="233" t="n"/>
      <c r="BA106" s="233" t="n"/>
      <c r="BB106" s="233" t="n"/>
      <c r="BC106" s="233" t="n"/>
      <c r="BD106" s="233" t="n"/>
      <c r="BE106" s="233" t="n"/>
      <c r="BF106" s="233" t="n"/>
      <c r="BG106" s="233" t="n"/>
      <c r="BH106" s="233" t="n"/>
      <c r="BI106" s="233" t="n"/>
      <c r="BJ106" s="233" t="n"/>
      <c r="BK106" s="233" t="n"/>
      <c r="BL106" s="233" t="n"/>
      <c r="BM106" s="233" t="n"/>
    </row>
    <row r="107" ht="15.75" customHeight="1" s="349">
      <c r="A107" s="31" t="n"/>
      <c r="B107" s="307" t="n"/>
      <c r="C107" s="307" t="n"/>
      <c r="D107" s="146" t="n"/>
      <c r="E107" s="307" t="n"/>
      <c r="F107" s="307" t="n"/>
      <c r="G107" s="307" t="n"/>
      <c r="H107" s="307" t="n"/>
      <c r="I107" s="307" t="n"/>
      <c r="J107" s="307" t="n"/>
      <c r="K107" s="307" t="n"/>
      <c r="L107" s="307" t="n"/>
      <c r="M107" s="307" t="n"/>
      <c r="N107" s="307" t="n"/>
      <c r="O107" s="233" t="n"/>
      <c r="P107" s="233" t="n"/>
      <c r="Q107" s="233" t="n"/>
      <c r="R107" s="233" t="n"/>
      <c r="S107" s="233" t="n"/>
      <c r="T107" s="233" t="n"/>
      <c r="U107" s="233" t="n"/>
      <c r="V107" s="233" t="n"/>
      <c r="W107" s="233" t="n"/>
      <c r="X107" s="233" t="n"/>
      <c r="Y107" s="233" t="n"/>
      <c r="Z107" s="233" t="n"/>
      <c r="AA107" s="233" t="n"/>
      <c r="AB107" s="233" t="n"/>
      <c r="AC107" s="233" t="n"/>
      <c r="AD107" s="233" t="n"/>
      <c r="AE107" s="233" t="n"/>
      <c r="AF107" s="233" t="n"/>
      <c r="AG107" s="233" t="n"/>
      <c r="AH107" s="233" t="n"/>
      <c r="AI107" s="233" t="n"/>
      <c r="AJ107" s="233" t="n"/>
      <c r="AK107" s="233" t="n"/>
      <c r="AL107" s="233" t="n"/>
      <c r="AM107" s="233" t="n"/>
      <c r="AN107" s="233" t="n"/>
      <c r="AO107" s="233" t="n"/>
      <c r="AP107" s="233" t="n"/>
      <c r="AQ107" s="233" t="n"/>
      <c r="AR107" s="233" t="n"/>
      <c r="AS107" s="233" t="n"/>
      <c r="AT107" s="233" t="n"/>
      <c r="AU107" s="233" t="n"/>
      <c r="AV107" s="233" t="n"/>
      <c r="AW107" s="233" t="n"/>
      <c r="AX107" s="233" t="n"/>
      <c r="AY107" s="233" t="n"/>
      <c r="AZ107" s="233" t="n"/>
      <c r="BA107" s="233" t="n"/>
      <c r="BB107" s="233" t="n"/>
      <c r="BC107" s="233" t="n"/>
      <c r="BD107" s="233" t="n"/>
      <c r="BE107" s="233" t="n"/>
      <c r="BF107" s="233" t="n"/>
      <c r="BG107" s="233" t="n"/>
      <c r="BH107" s="233" t="n"/>
      <c r="BI107" s="233" t="n"/>
      <c r="BJ107" s="233" t="n"/>
      <c r="BK107" s="233" t="n"/>
      <c r="BL107" s="233" t="n"/>
      <c r="BM107" s="233" t="n"/>
    </row>
    <row r="108" ht="15.75" customHeight="1" s="349">
      <c r="A108" s="31" t="n"/>
      <c r="B108" s="307" t="n"/>
      <c r="C108" s="307" t="n"/>
      <c r="D108" s="146" t="n"/>
      <c r="E108" s="307" t="n"/>
      <c r="F108" s="307" t="n"/>
      <c r="G108" s="307" t="n"/>
      <c r="H108" s="307" t="n"/>
      <c r="I108" s="307" t="n"/>
      <c r="J108" s="307" t="n"/>
      <c r="K108" s="307" t="n"/>
      <c r="L108" s="307" t="n"/>
      <c r="M108" s="307" t="n"/>
      <c r="N108" s="307" t="n"/>
      <c r="O108" s="233" t="n"/>
      <c r="P108" s="233" t="n"/>
      <c r="Q108" s="233" t="n"/>
      <c r="R108" s="233" t="n"/>
      <c r="S108" s="233" t="n"/>
      <c r="T108" s="233" t="n"/>
      <c r="U108" s="233" t="n"/>
      <c r="V108" s="233" t="n"/>
      <c r="W108" s="233" t="n"/>
      <c r="X108" s="233" t="n"/>
      <c r="Y108" s="233" t="n"/>
      <c r="Z108" s="233" t="n"/>
      <c r="AA108" s="233" t="n"/>
      <c r="AB108" s="233" t="n"/>
      <c r="AC108" s="233" t="n"/>
      <c r="AD108" s="233" t="n"/>
      <c r="AE108" s="233" t="n"/>
      <c r="AF108" s="233" t="n"/>
      <c r="AG108" s="233" t="n"/>
      <c r="AH108" s="233" t="n"/>
      <c r="AI108" s="233" t="n"/>
      <c r="AJ108" s="233" t="n"/>
      <c r="AK108" s="233" t="n"/>
      <c r="AL108" s="233" t="n"/>
      <c r="AM108" s="233" t="n"/>
      <c r="AN108" s="233" t="n"/>
      <c r="AO108" s="233" t="n"/>
      <c r="AP108" s="233" t="n"/>
      <c r="AQ108" s="233" t="n"/>
      <c r="AR108" s="233" t="n"/>
      <c r="AS108" s="233" t="n"/>
      <c r="AT108" s="233" t="n"/>
      <c r="AU108" s="233" t="n"/>
      <c r="AV108" s="233" t="n"/>
      <c r="AW108" s="233" t="n"/>
      <c r="AX108" s="233" t="n"/>
      <c r="AY108" s="233" t="n"/>
      <c r="AZ108" s="233" t="n"/>
      <c r="BA108" s="233" t="n"/>
      <c r="BB108" s="233" t="n"/>
      <c r="BC108" s="233" t="n"/>
      <c r="BD108" s="233" t="n"/>
      <c r="BE108" s="233" t="n"/>
      <c r="BF108" s="233" t="n"/>
      <c r="BG108" s="233" t="n"/>
      <c r="BH108" s="233" t="n"/>
      <c r="BI108" s="233" t="n"/>
      <c r="BJ108" s="233" t="n"/>
      <c r="BK108" s="233" t="n"/>
      <c r="BL108" s="233" t="n"/>
      <c r="BM108" s="233" t="n"/>
    </row>
    <row r="109" ht="15.75" customHeight="1" s="349">
      <c r="A109" s="31" t="n"/>
      <c r="B109" s="307" t="n"/>
      <c r="C109" s="307" t="n"/>
      <c r="D109" s="146" t="n"/>
      <c r="E109" s="307" t="n"/>
      <c r="F109" s="307" t="n"/>
      <c r="G109" s="307" t="n"/>
      <c r="H109" s="307" t="n"/>
      <c r="I109" s="307" t="n"/>
      <c r="J109" s="307" t="n"/>
      <c r="K109" s="307" t="n"/>
      <c r="L109" s="307" t="n"/>
      <c r="M109" s="307" t="n"/>
      <c r="N109" s="307" t="n"/>
      <c r="O109" s="233" t="n"/>
      <c r="P109" s="233" t="n"/>
      <c r="Q109" s="233" t="n"/>
      <c r="R109" s="233" t="n"/>
      <c r="S109" s="233" t="n"/>
      <c r="T109" s="233" t="n"/>
      <c r="U109" s="233" t="n"/>
      <c r="V109" s="233" t="n"/>
      <c r="W109" s="233" t="n"/>
      <c r="X109" s="233" t="n"/>
      <c r="Y109" s="233" t="n"/>
      <c r="Z109" s="233" t="n"/>
      <c r="AA109" s="233" t="n"/>
      <c r="AB109" s="233" t="n"/>
      <c r="AC109" s="233" t="n"/>
      <c r="AD109" s="233" t="n"/>
      <c r="AE109" s="233" t="n"/>
      <c r="AF109" s="233" t="n"/>
      <c r="AG109" s="233" t="n"/>
      <c r="AH109" s="233" t="n"/>
      <c r="AI109" s="233" t="n"/>
      <c r="AJ109" s="233" t="n"/>
      <c r="AK109" s="233" t="n"/>
      <c r="AL109" s="233" t="n"/>
      <c r="AM109" s="233" t="n"/>
      <c r="AN109" s="233" t="n"/>
      <c r="AO109" s="233" t="n"/>
      <c r="AP109" s="233" t="n"/>
      <c r="AQ109" s="233" t="n"/>
      <c r="AR109" s="233" t="n"/>
      <c r="AS109" s="233" t="n"/>
      <c r="AT109" s="233" t="n"/>
      <c r="AU109" s="233" t="n"/>
      <c r="AV109" s="233" t="n"/>
      <c r="AW109" s="233" t="n"/>
      <c r="AX109" s="233" t="n"/>
      <c r="AY109" s="233" t="n"/>
      <c r="AZ109" s="233" t="n"/>
      <c r="BA109" s="233" t="n"/>
      <c r="BB109" s="233" t="n"/>
      <c r="BC109" s="233" t="n"/>
      <c r="BD109" s="233" t="n"/>
      <c r="BE109" s="233" t="n"/>
      <c r="BF109" s="233" t="n"/>
      <c r="BG109" s="233" t="n"/>
      <c r="BH109" s="233" t="n"/>
      <c r="BI109" s="233" t="n"/>
      <c r="BJ109" s="233" t="n"/>
      <c r="BK109" s="233" t="n"/>
      <c r="BL109" s="233" t="n"/>
      <c r="BM109" s="233" t="n"/>
    </row>
    <row r="110" ht="15.75" customHeight="1" s="349">
      <c r="A110" s="31" t="n"/>
      <c r="B110" s="307" t="n"/>
      <c r="C110" s="307" t="n"/>
      <c r="D110" s="146" t="n"/>
      <c r="E110" s="307" t="n"/>
      <c r="F110" s="307" t="n"/>
      <c r="G110" s="307" t="n"/>
      <c r="H110" s="307" t="n"/>
      <c r="I110" s="307" t="n"/>
      <c r="J110" s="307" t="n"/>
      <c r="K110" s="307" t="n"/>
      <c r="L110" s="307" t="n"/>
      <c r="M110" s="307" t="n"/>
      <c r="N110" s="307" t="n"/>
      <c r="O110" s="233" t="n"/>
      <c r="P110" s="233" t="n"/>
      <c r="Q110" s="233" t="n"/>
      <c r="R110" s="233" t="n"/>
      <c r="S110" s="233" t="n"/>
      <c r="T110" s="233" t="n"/>
      <c r="U110" s="233" t="n"/>
      <c r="V110" s="233" t="n"/>
      <c r="W110" s="233" t="n"/>
      <c r="X110" s="233" t="n"/>
      <c r="Y110" s="233" t="n"/>
      <c r="Z110" s="233" t="n"/>
      <c r="AA110" s="233" t="n"/>
      <c r="AB110" s="233" t="n"/>
      <c r="AC110" s="233" t="n"/>
      <c r="AD110" s="233" t="n"/>
      <c r="AE110" s="233" t="n"/>
      <c r="AF110" s="233" t="n"/>
      <c r="AG110" s="233" t="n"/>
      <c r="AH110" s="233" t="n"/>
      <c r="AI110" s="233" t="n"/>
      <c r="AJ110" s="233" t="n"/>
      <c r="AK110" s="233" t="n"/>
      <c r="AL110" s="233" t="n"/>
      <c r="AM110" s="233" t="n"/>
      <c r="AN110" s="233" t="n"/>
      <c r="AO110" s="233" t="n"/>
      <c r="AP110" s="233" t="n"/>
      <c r="AQ110" s="233" t="n"/>
      <c r="AR110" s="233" t="n"/>
      <c r="AS110" s="233" t="n"/>
      <c r="AT110" s="233" t="n"/>
      <c r="AU110" s="233" t="n"/>
      <c r="AV110" s="233" t="n"/>
      <c r="AW110" s="233" t="n"/>
      <c r="AX110" s="233" t="n"/>
      <c r="AY110" s="233" t="n"/>
      <c r="AZ110" s="233" t="n"/>
      <c r="BA110" s="233" t="n"/>
      <c r="BB110" s="233" t="n"/>
      <c r="BC110" s="233" t="n"/>
      <c r="BD110" s="233" t="n"/>
      <c r="BE110" s="233" t="n"/>
      <c r="BF110" s="233" t="n"/>
      <c r="BG110" s="233" t="n"/>
      <c r="BH110" s="233" t="n"/>
      <c r="BI110" s="233" t="n"/>
      <c r="BJ110" s="233" t="n"/>
      <c r="BK110" s="233" t="n"/>
      <c r="BL110" s="233" t="n"/>
      <c r="BM110" s="233" t="n"/>
    </row>
    <row r="111" ht="15.75" customHeight="1" s="349">
      <c r="A111" s="31" t="n"/>
      <c r="B111" s="307" t="n"/>
      <c r="C111" s="307" t="n"/>
      <c r="D111" s="146" t="n"/>
      <c r="E111" s="307" t="n"/>
      <c r="F111" s="307" t="n"/>
      <c r="G111" s="307" t="n"/>
      <c r="H111" s="307" t="n"/>
      <c r="I111" s="307" t="n"/>
      <c r="J111" s="307" t="n"/>
      <c r="K111" s="307" t="n"/>
      <c r="L111" s="307" t="n"/>
      <c r="M111" s="307" t="n"/>
      <c r="N111" s="307" t="n"/>
      <c r="O111" s="233" t="n"/>
      <c r="P111" s="233" t="n"/>
      <c r="Q111" s="233" t="n"/>
      <c r="R111" s="233" t="n"/>
      <c r="S111" s="233" t="n"/>
      <c r="T111" s="233" t="n"/>
      <c r="U111" s="233" t="n"/>
      <c r="V111" s="233" t="n"/>
      <c r="W111" s="233" t="n"/>
      <c r="X111" s="233" t="n"/>
      <c r="Y111" s="233" t="n"/>
      <c r="Z111" s="233" t="n"/>
      <c r="AA111" s="233" t="n"/>
      <c r="AB111" s="233" t="n"/>
      <c r="AC111" s="233" t="n"/>
      <c r="AD111" s="233" t="n"/>
      <c r="AE111" s="233" t="n"/>
      <c r="AF111" s="233" t="n"/>
      <c r="AG111" s="233" t="n"/>
      <c r="AH111" s="233" t="n"/>
      <c r="AI111" s="233" t="n"/>
      <c r="AJ111" s="233" t="n"/>
      <c r="AK111" s="233" t="n"/>
      <c r="AL111" s="233" t="n"/>
      <c r="AM111" s="233" t="n"/>
      <c r="AN111" s="233" t="n"/>
      <c r="AO111" s="233" t="n"/>
      <c r="AP111" s="233" t="n"/>
      <c r="AQ111" s="233" t="n"/>
      <c r="AR111" s="233" t="n"/>
      <c r="AS111" s="233" t="n"/>
      <c r="AT111" s="233" t="n"/>
      <c r="AU111" s="233" t="n"/>
      <c r="AV111" s="233" t="n"/>
      <c r="AW111" s="233" t="n"/>
      <c r="AX111" s="233" t="n"/>
      <c r="AY111" s="233" t="n"/>
      <c r="AZ111" s="233" t="n"/>
      <c r="BA111" s="233" t="n"/>
      <c r="BB111" s="233" t="n"/>
      <c r="BC111" s="233" t="n"/>
      <c r="BD111" s="233" t="n"/>
      <c r="BE111" s="233" t="n"/>
      <c r="BF111" s="233" t="n"/>
      <c r="BG111" s="233" t="n"/>
      <c r="BH111" s="233" t="n"/>
      <c r="BI111" s="233" t="n"/>
      <c r="BJ111" s="233" t="n"/>
      <c r="BK111" s="233" t="n"/>
      <c r="BL111" s="233" t="n"/>
      <c r="BM111" s="233" t="n"/>
    </row>
    <row r="112" ht="15.75" customHeight="1" s="349">
      <c r="A112" s="31" t="n"/>
      <c r="B112" s="307" t="n"/>
      <c r="C112" s="307" t="n"/>
      <c r="D112" s="146" t="n"/>
      <c r="E112" s="307" t="n"/>
      <c r="F112" s="307" t="n"/>
      <c r="G112" s="307" t="n"/>
      <c r="H112" s="307" t="n"/>
      <c r="I112" s="307" t="n"/>
      <c r="J112" s="307" t="n"/>
      <c r="K112" s="307" t="n"/>
      <c r="L112" s="307" t="n"/>
      <c r="M112" s="307" t="n"/>
      <c r="N112" s="307" t="n"/>
      <c r="O112" s="233" t="n"/>
      <c r="P112" s="233" t="n"/>
      <c r="Q112" s="233" t="n"/>
      <c r="R112" s="233" t="n"/>
      <c r="S112" s="233" t="n"/>
      <c r="T112" s="233" t="n"/>
      <c r="U112" s="233" t="n"/>
      <c r="V112" s="233" t="n"/>
      <c r="W112" s="233" t="n"/>
      <c r="X112" s="233" t="n"/>
      <c r="Y112" s="233" t="n"/>
      <c r="Z112" s="233" t="n"/>
      <c r="AA112" s="233" t="n"/>
      <c r="AB112" s="233" t="n"/>
      <c r="AC112" s="233" t="n"/>
      <c r="AD112" s="233" t="n"/>
      <c r="AE112" s="233" t="n"/>
      <c r="AF112" s="233" t="n"/>
      <c r="AG112" s="233" t="n"/>
      <c r="AH112" s="233" t="n"/>
      <c r="AI112" s="233" t="n"/>
      <c r="AJ112" s="233" t="n"/>
      <c r="AK112" s="233" t="n"/>
      <c r="AL112" s="233" t="n"/>
      <c r="AM112" s="233" t="n"/>
      <c r="AN112" s="233" t="n"/>
      <c r="AO112" s="233" t="n"/>
      <c r="AP112" s="233" t="n"/>
      <c r="AQ112" s="233" t="n"/>
      <c r="AR112" s="233" t="n"/>
      <c r="AS112" s="233" t="n"/>
      <c r="AT112" s="233" t="n"/>
      <c r="AU112" s="233" t="n"/>
      <c r="AV112" s="233" t="n"/>
      <c r="AW112" s="233" t="n"/>
      <c r="AX112" s="233" t="n"/>
      <c r="AY112" s="233" t="n"/>
      <c r="AZ112" s="233" t="n"/>
      <c r="BA112" s="233" t="n"/>
      <c r="BB112" s="233" t="n"/>
      <c r="BC112" s="233" t="n"/>
      <c r="BD112" s="233" t="n"/>
      <c r="BE112" s="233" t="n"/>
      <c r="BF112" s="233" t="n"/>
      <c r="BG112" s="233" t="n"/>
      <c r="BH112" s="233" t="n"/>
      <c r="BI112" s="233" t="n"/>
      <c r="BJ112" s="233" t="n"/>
      <c r="BK112" s="233" t="n"/>
      <c r="BL112" s="233" t="n"/>
      <c r="BM112" s="233" t="n"/>
    </row>
    <row r="113" ht="15.75" customHeight="1" s="349">
      <c r="A113" s="31" t="n"/>
      <c r="B113" s="307" t="n"/>
      <c r="C113" s="307" t="n"/>
      <c r="D113" s="146" t="n"/>
      <c r="E113" s="307" t="n"/>
      <c r="F113" s="307" t="n"/>
      <c r="G113" s="307" t="n"/>
      <c r="H113" s="307" t="n"/>
      <c r="I113" s="307" t="n"/>
      <c r="J113" s="307" t="n"/>
      <c r="K113" s="307" t="n"/>
      <c r="L113" s="307" t="n"/>
      <c r="M113" s="307" t="n"/>
      <c r="N113" s="307" t="n"/>
      <c r="O113" s="233" t="n"/>
      <c r="P113" s="233" t="n"/>
      <c r="Q113" s="233" t="n"/>
      <c r="R113" s="233" t="n"/>
      <c r="S113" s="233" t="n"/>
      <c r="T113" s="233" t="n"/>
      <c r="U113" s="233" t="n"/>
      <c r="V113" s="233" t="n"/>
      <c r="W113" s="233" t="n"/>
      <c r="X113" s="233" t="n"/>
      <c r="Y113" s="233" t="n"/>
      <c r="Z113" s="233" t="n"/>
      <c r="AA113" s="233" t="n"/>
      <c r="AB113" s="233" t="n"/>
      <c r="AC113" s="233" t="n"/>
      <c r="AD113" s="233" t="n"/>
      <c r="AE113" s="233" t="n"/>
      <c r="AF113" s="233" t="n"/>
      <c r="AG113" s="233" t="n"/>
      <c r="AH113" s="233" t="n"/>
      <c r="AI113" s="233" t="n"/>
      <c r="AJ113" s="233" t="n"/>
      <c r="AK113" s="233" t="n"/>
      <c r="AL113" s="233" t="n"/>
      <c r="AM113" s="233" t="n"/>
      <c r="AN113" s="233" t="n"/>
      <c r="AO113" s="233" t="n"/>
      <c r="AP113" s="233" t="n"/>
      <c r="AQ113" s="233" t="n"/>
      <c r="AR113" s="233" t="n"/>
      <c r="AS113" s="233" t="n"/>
      <c r="AT113" s="233" t="n"/>
      <c r="AU113" s="233" t="n"/>
      <c r="AV113" s="233" t="n"/>
      <c r="AW113" s="233" t="n"/>
      <c r="AX113" s="233" t="n"/>
      <c r="AY113" s="233" t="n"/>
      <c r="AZ113" s="233" t="n"/>
      <c r="BA113" s="233" t="n"/>
      <c r="BB113" s="233" t="n"/>
      <c r="BC113" s="233" t="n"/>
      <c r="BD113" s="233" t="n"/>
      <c r="BE113" s="233" t="n"/>
      <c r="BF113" s="233" t="n"/>
      <c r="BG113" s="233" t="n"/>
      <c r="BH113" s="233" t="n"/>
      <c r="BI113" s="233" t="n"/>
      <c r="BJ113" s="233" t="n"/>
      <c r="BK113" s="233" t="n"/>
      <c r="BL113" s="233" t="n"/>
      <c r="BM113" s="233" t="n"/>
    </row>
    <row r="114" ht="15.75" customHeight="1" s="349">
      <c r="A114" s="31" t="n"/>
      <c r="B114" s="307" t="n"/>
      <c r="C114" s="307" t="n"/>
      <c r="D114" s="146" t="n"/>
      <c r="E114" s="307" t="n"/>
      <c r="F114" s="307" t="n"/>
      <c r="G114" s="307" t="n"/>
      <c r="H114" s="307" t="n"/>
      <c r="I114" s="307" t="n"/>
      <c r="J114" s="307" t="n"/>
      <c r="K114" s="307" t="n"/>
      <c r="L114" s="307" t="n"/>
      <c r="M114" s="307" t="n"/>
      <c r="N114" s="307" t="n"/>
      <c r="O114" s="233" t="n"/>
      <c r="P114" s="233" t="n"/>
      <c r="Q114" s="233" t="n"/>
      <c r="R114" s="233" t="n"/>
      <c r="S114" s="233" t="n"/>
      <c r="T114" s="233" t="n"/>
      <c r="U114" s="233" t="n"/>
      <c r="V114" s="233" t="n"/>
      <c r="W114" s="233" t="n"/>
      <c r="X114" s="233" t="n"/>
      <c r="Y114" s="233" t="n"/>
      <c r="Z114" s="233" t="n"/>
      <c r="AA114" s="233" t="n"/>
      <c r="AB114" s="233" t="n"/>
      <c r="AC114" s="233" t="n"/>
      <c r="AD114" s="233" t="n"/>
      <c r="AE114" s="233" t="n"/>
      <c r="AF114" s="233" t="n"/>
      <c r="AG114" s="233" t="n"/>
      <c r="AH114" s="233" t="n"/>
      <c r="AI114" s="233" t="n"/>
      <c r="AJ114" s="233" t="n"/>
      <c r="AK114" s="233" t="n"/>
      <c r="AL114" s="233" t="n"/>
      <c r="AM114" s="233" t="n"/>
      <c r="AN114" s="233" t="n"/>
      <c r="AO114" s="233" t="n"/>
      <c r="AP114" s="233" t="n"/>
      <c r="AQ114" s="233" t="n"/>
      <c r="AR114" s="233" t="n"/>
      <c r="AS114" s="233" t="n"/>
      <c r="AT114" s="233" t="n"/>
      <c r="AU114" s="233" t="n"/>
      <c r="AV114" s="233" t="n"/>
      <c r="AW114" s="233" t="n"/>
      <c r="AX114" s="233" t="n"/>
      <c r="AY114" s="233" t="n"/>
      <c r="AZ114" s="233" t="n"/>
      <c r="BA114" s="233" t="n"/>
      <c r="BB114" s="233" t="n"/>
      <c r="BC114" s="233" t="n"/>
      <c r="BD114" s="233" t="n"/>
      <c r="BE114" s="233" t="n"/>
      <c r="BF114" s="233" t="n"/>
      <c r="BG114" s="233" t="n"/>
      <c r="BH114" s="233" t="n"/>
      <c r="BI114" s="233" t="n"/>
      <c r="BJ114" s="233" t="n"/>
      <c r="BK114" s="233" t="n"/>
      <c r="BL114" s="233" t="n"/>
      <c r="BM114" s="233" t="n"/>
    </row>
    <row r="115" ht="15.75" customHeight="1" s="349">
      <c r="A115" s="31" t="n"/>
      <c r="B115" s="307" t="n"/>
      <c r="C115" s="307" t="n"/>
      <c r="D115" s="146" t="n"/>
      <c r="E115" s="307" t="n"/>
      <c r="F115" s="307" t="n"/>
      <c r="G115" s="307" t="n"/>
      <c r="H115" s="307" t="n"/>
      <c r="I115" s="307" t="n"/>
      <c r="J115" s="307" t="n"/>
      <c r="K115" s="307" t="n"/>
      <c r="L115" s="307" t="n"/>
      <c r="M115" s="307" t="n"/>
      <c r="N115" s="307" t="n"/>
      <c r="O115" s="233" t="n"/>
      <c r="P115" s="233" t="n"/>
      <c r="Q115" s="233" t="n"/>
      <c r="R115" s="233" t="n"/>
      <c r="S115" s="233" t="n"/>
      <c r="T115" s="233" t="n"/>
      <c r="U115" s="233" t="n"/>
      <c r="V115" s="233" t="n"/>
      <c r="W115" s="233" t="n"/>
      <c r="X115" s="233" t="n"/>
      <c r="Y115" s="233" t="n"/>
      <c r="Z115" s="233" t="n"/>
      <c r="AA115" s="233" t="n"/>
      <c r="AB115" s="233" t="n"/>
      <c r="AC115" s="233" t="n"/>
      <c r="AD115" s="233" t="n"/>
      <c r="AE115" s="233" t="n"/>
      <c r="AF115" s="233" t="n"/>
      <c r="AG115" s="233" t="n"/>
      <c r="AH115" s="233" t="n"/>
      <c r="AI115" s="233" t="n"/>
      <c r="AJ115" s="233" t="n"/>
      <c r="AK115" s="233" t="n"/>
      <c r="AL115" s="233" t="n"/>
      <c r="AM115" s="233" t="n"/>
      <c r="AN115" s="233" t="n"/>
      <c r="AO115" s="233" t="n"/>
      <c r="AP115" s="233" t="n"/>
      <c r="AQ115" s="233" t="n"/>
      <c r="AR115" s="233" t="n"/>
      <c r="AS115" s="233" t="n"/>
      <c r="AT115" s="233" t="n"/>
      <c r="AU115" s="233" t="n"/>
      <c r="AV115" s="233" t="n"/>
      <c r="AW115" s="233" t="n"/>
      <c r="AX115" s="233" t="n"/>
      <c r="AY115" s="233" t="n"/>
      <c r="AZ115" s="233" t="n"/>
      <c r="BA115" s="233" t="n"/>
      <c r="BB115" s="233" t="n"/>
      <c r="BC115" s="233" t="n"/>
      <c r="BD115" s="233" t="n"/>
      <c r="BE115" s="233" t="n"/>
      <c r="BF115" s="233" t="n"/>
      <c r="BG115" s="233" t="n"/>
      <c r="BH115" s="233" t="n"/>
      <c r="BI115" s="233" t="n"/>
      <c r="BJ115" s="233" t="n"/>
      <c r="BK115" s="233" t="n"/>
      <c r="BL115" s="233" t="n"/>
      <c r="BM115" s="233" t="n"/>
    </row>
    <row r="116" ht="15.75" customHeight="1" s="349">
      <c r="A116" s="31" t="n"/>
      <c r="B116" s="307" t="n"/>
      <c r="C116" s="307" t="n"/>
      <c r="D116" s="146" t="n"/>
      <c r="E116" s="307" t="n"/>
      <c r="F116" s="307" t="n"/>
      <c r="G116" s="307" t="n"/>
      <c r="H116" s="307" t="n"/>
      <c r="I116" s="307" t="n"/>
      <c r="J116" s="307" t="n"/>
      <c r="K116" s="307" t="n"/>
      <c r="L116" s="307" t="n"/>
      <c r="M116" s="307" t="n"/>
      <c r="N116" s="307" t="n"/>
      <c r="O116" s="233" t="n"/>
      <c r="P116" s="233" t="n"/>
      <c r="Q116" s="233" t="n"/>
      <c r="R116" s="233" t="n"/>
      <c r="S116" s="233" t="n"/>
      <c r="T116" s="233" t="n"/>
      <c r="U116" s="233" t="n"/>
      <c r="V116" s="233" t="n"/>
      <c r="W116" s="233" t="n"/>
      <c r="X116" s="233" t="n"/>
      <c r="Y116" s="233" t="n"/>
      <c r="Z116" s="233" t="n"/>
      <c r="AA116" s="233" t="n"/>
      <c r="AB116" s="233" t="n"/>
      <c r="AC116" s="233" t="n"/>
      <c r="AD116" s="233" t="n"/>
      <c r="AE116" s="233" t="n"/>
      <c r="AF116" s="233" t="n"/>
      <c r="AG116" s="233" t="n"/>
      <c r="AH116" s="233" t="n"/>
      <c r="AI116" s="233" t="n"/>
      <c r="AJ116" s="233" t="n"/>
      <c r="AK116" s="233" t="n"/>
      <c r="AL116" s="233" t="n"/>
      <c r="AM116" s="233" t="n"/>
      <c r="AN116" s="233" t="n"/>
      <c r="AO116" s="233" t="n"/>
      <c r="AP116" s="233" t="n"/>
      <c r="AQ116" s="233" t="n"/>
      <c r="AR116" s="233" t="n"/>
      <c r="AS116" s="233" t="n"/>
      <c r="AT116" s="233" t="n"/>
      <c r="AU116" s="233" t="n"/>
      <c r="AV116" s="233" t="n"/>
      <c r="AW116" s="233" t="n"/>
      <c r="AX116" s="233" t="n"/>
      <c r="AY116" s="233" t="n"/>
      <c r="AZ116" s="233" t="n"/>
      <c r="BA116" s="233" t="n"/>
      <c r="BB116" s="233" t="n"/>
      <c r="BC116" s="233" t="n"/>
      <c r="BD116" s="233" t="n"/>
      <c r="BE116" s="233" t="n"/>
      <c r="BF116" s="233" t="n"/>
      <c r="BG116" s="233" t="n"/>
      <c r="BH116" s="233" t="n"/>
      <c r="BI116" s="233" t="n"/>
      <c r="BJ116" s="233" t="n"/>
      <c r="BK116" s="233" t="n"/>
      <c r="BL116" s="233" t="n"/>
      <c r="BM116" s="233" t="n"/>
    </row>
    <row r="117" ht="15.75" customHeight="1" s="349">
      <c r="A117" s="31" t="n"/>
      <c r="B117" s="307" t="n"/>
      <c r="C117" s="307" t="n"/>
      <c r="D117" s="146" t="n"/>
      <c r="E117" s="307" t="n"/>
      <c r="F117" s="307" t="n"/>
      <c r="G117" s="307" t="n"/>
      <c r="H117" s="307" t="n"/>
      <c r="I117" s="307" t="n"/>
      <c r="J117" s="307" t="n"/>
      <c r="K117" s="307" t="n"/>
      <c r="L117" s="307" t="n"/>
      <c r="M117" s="307" t="n"/>
      <c r="N117" s="307" t="n"/>
      <c r="O117" s="233" t="n"/>
      <c r="P117" s="233" t="n"/>
      <c r="Q117" s="233" t="n"/>
      <c r="R117" s="233" t="n"/>
      <c r="S117" s="233" t="n"/>
      <c r="T117" s="233" t="n"/>
      <c r="U117" s="233" t="n"/>
      <c r="V117" s="233" t="n"/>
      <c r="W117" s="233" t="n"/>
      <c r="X117" s="233" t="n"/>
      <c r="Y117" s="233" t="n"/>
      <c r="Z117" s="233" t="n"/>
      <c r="AA117" s="233" t="n"/>
      <c r="AB117" s="233" t="n"/>
      <c r="AC117" s="233" t="n"/>
      <c r="AD117" s="233" t="n"/>
      <c r="AE117" s="233" t="n"/>
      <c r="AF117" s="233" t="n"/>
      <c r="AG117" s="233" t="n"/>
      <c r="AH117" s="233" t="n"/>
      <c r="AI117" s="233" t="n"/>
      <c r="AJ117" s="233" t="n"/>
      <c r="AK117" s="233" t="n"/>
      <c r="AL117" s="233" t="n"/>
      <c r="AM117" s="233" t="n"/>
      <c r="AN117" s="233" t="n"/>
      <c r="AO117" s="233" t="n"/>
      <c r="AP117" s="233" t="n"/>
      <c r="AQ117" s="233" t="n"/>
      <c r="AR117" s="233" t="n"/>
      <c r="AS117" s="233" t="n"/>
      <c r="AT117" s="233" t="n"/>
      <c r="AU117" s="233" t="n"/>
      <c r="AV117" s="233" t="n"/>
      <c r="AW117" s="233" t="n"/>
      <c r="AX117" s="233" t="n"/>
      <c r="AY117" s="233" t="n"/>
      <c r="AZ117" s="233" t="n"/>
      <c r="BA117" s="233" t="n"/>
      <c r="BB117" s="233" t="n"/>
      <c r="BC117" s="233" t="n"/>
      <c r="BD117" s="233" t="n"/>
      <c r="BE117" s="233" t="n"/>
      <c r="BF117" s="233" t="n"/>
      <c r="BG117" s="233" t="n"/>
      <c r="BH117" s="233" t="n"/>
      <c r="BI117" s="233" t="n"/>
      <c r="BJ117" s="233" t="n"/>
      <c r="BK117" s="233" t="n"/>
      <c r="BL117" s="233" t="n"/>
      <c r="BM117" s="233" t="n"/>
    </row>
    <row r="118" ht="15.75" customHeight="1" s="349">
      <c r="A118" s="31" t="n"/>
      <c r="B118" s="307" t="n"/>
      <c r="C118" s="307" t="n"/>
      <c r="D118" s="146" t="n"/>
      <c r="E118" s="307" t="n"/>
      <c r="F118" s="307" t="n"/>
      <c r="G118" s="307" t="n"/>
      <c r="H118" s="307" t="n"/>
      <c r="I118" s="307" t="n"/>
      <c r="J118" s="307" t="n"/>
      <c r="K118" s="307" t="n"/>
      <c r="L118" s="307" t="n"/>
      <c r="M118" s="307" t="n"/>
      <c r="N118" s="307" t="n"/>
      <c r="O118" s="233" t="n"/>
      <c r="P118" s="233" t="n"/>
      <c r="Q118" s="233" t="n"/>
      <c r="R118" s="233" t="n"/>
      <c r="S118" s="233" t="n"/>
      <c r="T118" s="233" t="n"/>
      <c r="U118" s="233" t="n"/>
      <c r="V118" s="233" t="n"/>
      <c r="W118" s="233" t="n"/>
      <c r="X118" s="233" t="n"/>
      <c r="Y118" s="233" t="n"/>
      <c r="Z118" s="233" t="n"/>
      <c r="AA118" s="233" t="n"/>
      <c r="AB118" s="233" t="n"/>
      <c r="AC118" s="233" t="n"/>
      <c r="AD118" s="233" t="n"/>
      <c r="AE118" s="233" t="n"/>
      <c r="AF118" s="233" t="n"/>
      <c r="AG118" s="233" t="n"/>
      <c r="AH118" s="233" t="n"/>
      <c r="AI118" s="233" t="n"/>
      <c r="AJ118" s="233" t="n"/>
      <c r="AK118" s="233" t="n"/>
      <c r="AL118" s="233" t="n"/>
      <c r="AM118" s="233" t="n"/>
      <c r="AN118" s="233" t="n"/>
      <c r="AO118" s="233" t="n"/>
      <c r="AP118" s="233" t="n"/>
      <c r="AQ118" s="233" t="n"/>
      <c r="AR118" s="233" t="n"/>
      <c r="AS118" s="233" t="n"/>
      <c r="AT118" s="233" t="n"/>
      <c r="AU118" s="233" t="n"/>
      <c r="AV118" s="233" t="n"/>
      <c r="AW118" s="233" t="n"/>
      <c r="AX118" s="233" t="n"/>
      <c r="AY118" s="233" t="n"/>
      <c r="AZ118" s="233" t="n"/>
      <c r="BA118" s="233" t="n"/>
      <c r="BB118" s="233" t="n"/>
      <c r="BC118" s="233" t="n"/>
      <c r="BD118" s="233" t="n"/>
      <c r="BE118" s="233" t="n"/>
      <c r="BF118" s="233" t="n"/>
      <c r="BG118" s="233" t="n"/>
      <c r="BH118" s="233" t="n"/>
      <c r="BI118" s="233" t="n"/>
      <c r="BJ118" s="233" t="n"/>
      <c r="BK118" s="233" t="n"/>
      <c r="BL118" s="233" t="n"/>
      <c r="BM118" s="233" t="n"/>
    </row>
    <row r="119" ht="15.75" customHeight="1" s="349">
      <c r="A119" s="31" t="n"/>
      <c r="B119" s="307" t="n"/>
      <c r="C119" s="307" t="n"/>
      <c r="D119" s="146" t="n"/>
      <c r="E119" s="307" t="n"/>
      <c r="F119" s="307" t="n"/>
      <c r="G119" s="307" t="n"/>
      <c r="H119" s="307" t="n"/>
      <c r="I119" s="307" t="n"/>
      <c r="J119" s="307" t="n"/>
      <c r="K119" s="307" t="n"/>
      <c r="L119" s="307" t="n"/>
      <c r="M119" s="307" t="n"/>
      <c r="N119" s="307" t="n"/>
      <c r="O119" s="233" t="n"/>
      <c r="P119" s="233" t="n"/>
      <c r="Q119" s="233" t="n"/>
      <c r="R119" s="233" t="n"/>
      <c r="S119" s="233" t="n"/>
      <c r="T119" s="233" t="n"/>
      <c r="U119" s="233" t="n"/>
      <c r="V119" s="233" t="n"/>
      <c r="W119" s="233" t="n"/>
      <c r="X119" s="233" t="n"/>
      <c r="Y119" s="233" t="n"/>
      <c r="Z119" s="233" t="n"/>
      <c r="AA119" s="233" t="n"/>
      <c r="AB119" s="233" t="n"/>
      <c r="AC119" s="233" t="n"/>
      <c r="AD119" s="233" t="n"/>
      <c r="AE119" s="233" t="n"/>
      <c r="AF119" s="233" t="n"/>
      <c r="AG119" s="233" t="n"/>
      <c r="AH119" s="233" t="n"/>
      <c r="AI119" s="233" t="n"/>
      <c r="AJ119" s="233" t="n"/>
      <c r="AK119" s="233" t="n"/>
      <c r="AL119" s="233" t="n"/>
      <c r="AM119" s="233" t="n"/>
      <c r="AN119" s="233" t="n"/>
      <c r="AO119" s="233" t="n"/>
      <c r="AP119" s="233" t="n"/>
      <c r="AQ119" s="233" t="n"/>
      <c r="AR119" s="233" t="n"/>
      <c r="AS119" s="233" t="n"/>
      <c r="AT119" s="233" t="n"/>
      <c r="AU119" s="233" t="n"/>
      <c r="AV119" s="233" t="n"/>
      <c r="AW119" s="233" t="n"/>
      <c r="AX119" s="233" t="n"/>
      <c r="AY119" s="233" t="n"/>
      <c r="AZ119" s="233" t="n"/>
      <c r="BA119" s="233" t="n"/>
      <c r="BB119" s="233" t="n"/>
      <c r="BC119" s="233" t="n"/>
      <c r="BD119" s="233" t="n"/>
      <c r="BE119" s="233" t="n"/>
      <c r="BF119" s="233" t="n"/>
      <c r="BG119" s="233" t="n"/>
      <c r="BH119" s="233" t="n"/>
      <c r="BI119" s="233" t="n"/>
      <c r="BJ119" s="233" t="n"/>
      <c r="BK119" s="233" t="n"/>
      <c r="BL119" s="233" t="n"/>
      <c r="BM119" s="233" t="n"/>
    </row>
    <row r="120" ht="15.75" customHeight="1" s="349">
      <c r="A120" s="31" t="n"/>
      <c r="B120" s="307" t="n"/>
      <c r="C120" s="307" t="n"/>
      <c r="D120" s="146" t="n"/>
      <c r="E120" s="307" t="n"/>
      <c r="F120" s="307" t="n"/>
      <c r="G120" s="307" t="n"/>
      <c r="H120" s="307" t="n"/>
      <c r="I120" s="307" t="n"/>
      <c r="J120" s="307" t="n"/>
      <c r="K120" s="307" t="n"/>
      <c r="L120" s="307" t="n"/>
      <c r="M120" s="307" t="n"/>
      <c r="N120" s="307" t="n"/>
      <c r="O120" s="233" t="n"/>
      <c r="P120" s="233" t="n"/>
      <c r="Q120" s="233" t="n"/>
      <c r="R120" s="233" t="n"/>
      <c r="S120" s="233" t="n"/>
      <c r="T120" s="233" t="n"/>
      <c r="U120" s="233" t="n"/>
      <c r="V120" s="233" t="n"/>
      <c r="W120" s="233" t="n"/>
      <c r="X120" s="233" t="n"/>
      <c r="Y120" s="233" t="n"/>
      <c r="Z120" s="233" t="n"/>
      <c r="AA120" s="233" t="n"/>
      <c r="AB120" s="233" t="n"/>
      <c r="AC120" s="233" t="n"/>
      <c r="AD120" s="233" t="n"/>
      <c r="AE120" s="233" t="n"/>
      <c r="AF120" s="233" t="n"/>
      <c r="AG120" s="233" t="n"/>
      <c r="AH120" s="233" t="n"/>
      <c r="AI120" s="233" t="n"/>
      <c r="AJ120" s="233" t="n"/>
      <c r="AK120" s="233" t="n"/>
      <c r="AL120" s="233" t="n"/>
      <c r="AM120" s="233" t="n"/>
      <c r="AN120" s="233" t="n"/>
      <c r="AO120" s="233" t="n"/>
      <c r="AP120" s="233" t="n"/>
      <c r="AQ120" s="233" t="n"/>
      <c r="AR120" s="233" t="n"/>
      <c r="AS120" s="233" t="n"/>
      <c r="AT120" s="233" t="n"/>
      <c r="AU120" s="233" t="n"/>
      <c r="AV120" s="233" t="n"/>
      <c r="AW120" s="233" t="n"/>
      <c r="AX120" s="233" t="n"/>
      <c r="AY120" s="233" t="n"/>
      <c r="AZ120" s="233" t="n"/>
      <c r="BA120" s="233" t="n"/>
      <c r="BB120" s="233" t="n"/>
      <c r="BC120" s="233" t="n"/>
      <c r="BD120" s="233" t="n"/>
      <c r="BE120" s="233" t="n"/>
      <c r="BF120" s="233" t="n"/>
      <c r="BG120" s="233" t="n"/>
      <c r="BH120" s="233" t="n"/>
      <c r="BI120" s="233" t="n"/>
      <c r="BJ120" s="233" t="n"/>
      <c r="BK120" s="233" t="n"/>
      <c r="BL120" s="233" t="n"/>
      <c r="BM120" s="233" t="n"/>
    </row>
    <row r="121" ht="15.75" customHeight="1" s="349">
      <c r="A121" s="31" t="n"/>
      <c r="B121" s="307" t="n"/>
      <c r="C121" s="307" t="n"/>
      <c r="D121" s="146" t="n"/>
      <c r="E121" s="307" t="n"/>
      <c r="F121" s="307" t="n"/>
      <c r="G121" s="307" t="n"/>
      <c r="H121" s="307" t="n"/>
      <c r="I121" s="307" t="n"/>
      <c r="J121" s="307" t="n"/>
      <c r="K121" s="307" t="n"/>
      <c r="L121" s="307" t="n"/>
      <c r="M121" s="307" t="n"/>
      <c r="N121" s="307" t="n"/>
      <c r="O121" s="233" t="n"/>
      <c r="P121" s="233" t="n"/>
      <c r="Q121" s="233" t="n"/>
      <c r="R121" s="233" t="n"/>
      <c r="S121" s="233" t="n"/>
      <c r="T121" s="233" t="n"/>
      <c r="U121" s="233" t="n"/>
      <c r="V121" s="233" t="n"/>
      <c r="W121" s="233" t="n"/>
      <c r="X121" s="233" t="n"/>
      <c r="Y121" s="233" t="n"/>
      <c r="Z121" s="233" t="n"/>
      <c r="AA121" s="233" t="n"/>
      <c r="AB121" s="233" t="n"/>
      <c r="AC121" s="233" t="n"/>
      <c r="AD121" s="233" t="n"/>
      <c r="AE121" s="233" t="n"/>
      <c r="AF121" s="233" t="n"/>
      <c r="AG121" s="233" t="n"/>
      <c r="AH121" s="233" t="n"/>
      <c r="AI121" s="233" t="n"/>
      <c r="AJ121" s="233" t="n"/>
      <c r="AK121" s="233" t="n"/>
      <c r="AL121" s="233" t="n"/>
      <c r="AM121" s="233" t="n"/>
      <c r="AN121" s="233" t="n"/>
      <c r="AO121" s="233" t="n"/>
      <c r="AP121" s="233" t="n"/>
      <c r="AQ121" s="233" t="n"/>
      <c r="AR121" s="233" t="n"/>
      <c r="AS121" s="233" t="n"/>
      <c r="AT121" s="233" t="n"/>
      <c r="AU121" s="233" t="n"/>
      <c r="AV121" s="233" t="n"/>
      <c r="AW121" s="233" t="n"/>
      <c r="AX121" s="233" t="n"/>
      <c r="AY121" s="233" t="n"/>
      <c r="AZ121" s="233" t="n"/>
      <c r="BA121" s="233" t="n"/>
      <c r="BB121" s="233" t="n"/>
      <c r="BC121" s="233" t="n"/>
      <c r="BD121" s="233" t="n"/>
      <c r="BE121" s="233" t="n"/>
      <c r="BF121" s="233" t="n"/>
      <c r="BG121" s="233" t="n"/>
      <c r="BH121" s="233" t="n"/>
      <c r="BI121" s="233" t="n"/>
      <c r="BJ121" s="233" t="n"/>
      <c r="BK121" s="233" t="n"/>
      <c r="BL121" s="233" t="n"/>
      <c r="BM121" s="233" t="n"/>
    </row>
    <row r="122" ht="15.75" customHeight="1" s="349">
      <c r="A122" s="31" t="n"/>
      <c r="B122" s="307" t="n"/>
      <c r="C122" s="307" t="n"/>
      <c r="D122" s="146" t="n"/>
      <c r="E122" s="307" t="n"/>
      <c r="F122" s="307" t="n"/>
      <c r="G122" s="307" t="n"/>
      <c r="H122" s="307" t="n"/>
      <c r="I122" s="307" t="n"/>
      <c r="J122" s="307" t="n"/>
      <c r="K122" s="307" t="n"/>
      <c r="L122" s="307" t="n"/>
      <c r="M122" s="307" t="n"/>
      <c r="N122" s="307" t="n"/>
      <c r="O122" s="233" t="n"/>
      <c r="P122" s="233" t="n"/>
      <c r="Q122" s="233" t="n"/>
      <c r="R122" s="233" t="n"/>
      <c r="S122" s="233" t="n"/>
      <c r="T122" s="233" t="n"/>
      <c r="U122" s="233" t="n"/>
      <c r="V122" s="233" t="n"/>
      <c r="W122" s="233" t="n"/>
      <c r="X122" s="233" t="n"/>
      <c r="Y122" s="233" t="n"/>
      <c r="Z122" s="233" t="n"/>
      <c r="AA122" s="233" t="n"/>
      <c r="AB122" s="233" t="n"/>
      <c r="AC122" s="233" t="n"/>
      <c r="AD122" s="233" t="n"/>
      <c r="AE122" s="233" t="n"/>
      <c r="AF122" s="233" t="n"/>
      <c r="AG122" s="233" t="n"/>
      <c r="AH122" s="233" t="n"/>
      <c r="AI122" s="233" t="n"/>
      <c r="AJ122" s="233" t="n"/>
      <c r="AK122" s="233" t="n"/>
      <c r="AL122" s="233" t="n"/>
      <c r="AM122" s="233" t="n"/>
      <c r="AN122" s="233" t="n"/>
      <c r="AO122" s="233" t="n"/>
      <c r="AP122" s="233" t="n"/>
      <c r="AQ122" s="233" t="n"/>
      <c r="AR122" s="233" t="n"/>
      <c r="AS122" s="233" t="n"/>
      <c r="AT122" s="233" t="n"/>
      <c r="AU122" s="233" t="n"/>
      <c r="AV122" s="233" t="n"/>
      <c r="AW122" s="233" t="n"/>
      <c r="AX122" s="233" t="n"/>
      <c r="AY122" s="233" t="n"/>
      <c r="AZ122" s="233" t="n"/>
      <c r="BA122" s="233" t="n"/>
      <c r="BB122" s="233" t="n"/>
      <c r="BC122" s="233" t="n"/>
      <c r="BD122" s="233" t="n"/>
      <c r="BE122" s="233" t="n"/>
      <c r="BF122" s="233" t="n"/>
      <c r="BG122" s="233" t="n"/>
      <c r="BH122" s="233" t="n"/>
      <c r="BI122" s="233" t="n"/>
      <c r="BJ122" s="233" t="n"/>
      <c r="BK122" s="233" t="n"/>
      <c r="BL122" s="233" t="n"/>
      <c r="BM122" s="233" t="n"/>
    </row>
    <row r="123" ht="15.75" customHeight="1" s="349">
      <c r="A123" s="31" t="n"/>
      <c r="B123" s="307" t="n"/>
      <c r="C123" s="307" t="n"/>
      <c r="D123" s="146" t="n"/>
      <c r="E123" s="307" t="n"/>
      <c r="F123" s="307" t="n"/>
      <c r="G123" s="307" t="n"/>
      <c r="H123" s="307" t="n"/>
      <c r="I123" s="307" t="n"/>
      <c r="J123" s="307" t="n"/>
      <c r="K123" s="307" t="n"/>
      <c r="L123" s="307" t="n"/>
      <c r="M123" s="307" t="n"/>
      <c r="N123" s="307" t="n"/>
      <c r="O123" s="233" t="n"/>
      <c r="P123" s="233" t="n"/>
      <c r="Q123" s="233" t="n"/>
      <c r="R123" s="233" t="n"/>
      <c r="S123" s="233" t="n"/>
      <c r="T123" s="233" t="n"/>
      <c r="U123" s="233" t="n"/>
      <c r="V123" s="233" t="n"/>
      <c r="W123" s="233" t="n"/>
      <c r="X123" s="233" t="n"/>
      <c r="Y123" s="233" t="n"/>
      <c r="Z123" s="233" t="n"/>
      <c r="AA123" s="233" t="n"/>
      <c r="AB123" s="233" t="n"/>
      <c r="AC123" s="233" t="n"/>
      <c r="AD123" s="233" t="n"/>
      <c r="AE123" s="233" t="n"/>
      <c r="AF123" s="233" t="n"/>
      <c r="AG123" s="233" t="n"/>
      <c r="AH123" s="233" t="n"/>
      <c r="AI123" s="233" t="n"/>
      <c r="AJ123" s="233" t="n"/>
      <c r="AK123" s="233" t="n"/>
      <c r="AL123" s="233" t="n"/>
      <c r="AM123" s="233" t="n"/>
      <c r="AN123" s="233" t="n"/>
      <c r="AO123" s="233" t="n"/>
      <c r="AP123" s="233" t="n"/>
      <c r="AQ123" s="233" t="n"/>
      <c r="AR123" s="233" t="n"/>
      <c r="AS123" s="233" t="n"/>
      <c r="AT123" s="233" t="n"/>
      <c r="AU123" s="233" t="n"/>
      <c r="AV123" s="233" t="n"/>
      <c r="AW123" s="233" t="n"/>
      <c r="AX123" s="233" t="n"/>
      <c r="AY123" s="233" t="n"/>
      <c r="AZ123" s="233" t="n"/>
      <c r="BA123" s="233" t="n"/>
      <c r="BB123" s="233" t="n"/>
      <c r="BC123" s="233" t="n"/>
      <c r="BD123" s="233" t="n"/>
      <c r="BE123" s="233" t="n"/>
      <c r="BF123" s="233" t="n"/>
      <c r="BG123" s="233" t="n"/>
      <c r="BH123" s="233" t="n"/>
      <c r="BI123" s="233" t="n"/>
      <c r="BJ123" s="233" t="n"/>
      <c r="BK123" s="233" t="n"/>
      <c r="BL123" s="233" t="n"/>
      <c r="BM123" s="233" t="n"/>
    </row>
    <row r="124" ht="15.75" customHeight="1" s="349">
      <c r="A124" s="31" t="n"/>
      <c r="B124" s="307" t="n"/>
      <c r="C124" s="307" t="n"/>
      <c r="D124" s="146" t="n"/>
      <c r="E124" s="307" t="n"/>
      <c r="F124" s="307" t="n"/>
      <c r="G124" s="307" t="n"/>
      <c r="H124" s="307" t="n"/>
      <c r="I124" s="307" t="n"/>
      <c r="J124" s="307" t="n"/>
      <c r="K124" s="307" t="n"/>
      <c r="L124" s="307" t="n"/>
      <c r="M124" s="307" t="n"/>
      <c r="N124" s="307" t="n"/>
      <c r="O124" s="233" t="n"/>
      <c r="P124" s="233" t="n"/>
      <c r="Q124" s="233" t="n"/>
      <c r="R124" s="233" t="n"/>
      <c r="S124" s="233" t="n"/>
      <c r="T124" s="233" t="n"/>
      <c r="U124" s="233" t="n"/>
      <c r="V124" s="233" t="n"/>
      <c r="W124" s="233" t="n"/>
      <c r="X124" s="233" t="n"/>
      <c r="Y124" s="233" t="n"/>
      <c r="Z124" s="233" t="n"/>
      <c r="AA124" s="233" t="n"/>
      <c r="AB124" s="233" t="n"/>
      <c r="AC124" s="233" t="n"/>
      <c r="AD124" s="233" t="n"/>
      <c r="AE124" s="233" t="n"/>
      <c r="AF124" s="233" t="n"/>
      <c r="AG124" s="233" t="n"/>
      <c r="AH124" s="233" t="n"/>
      <c r="AI124" s="233" t="n"/>
      <c r="AJ124" s="233" t="n"/>
      <c r="AK124" s="233" t="n"/>
      <c r="AL124" s="233" t="n"/>
      <c r="AM124" s="233" t="n"/>
      <c r="AN124" s="233" t="n"/>
      <c r="AO124" s="233" t="n"/>
      <c r="AP124" s="233" t="n"/>
      <c r="AQ124" s="233" t="n"/>
      <c r="AR124" s="233" t="n"/>
      <c r="AS124" s="233" t="n"/>
      <c r="AT124" s="233" t="n"/>
      <c r="AU124" s="233" t="n"/>
      <c r="AV124" s="233" t="n"/>
      <c r="AW124" s="233" t="n"/>
      <c r="AX124" s="233" t="n"/>
      <c r="AY124" s="233" t="n"/>
      <c r="AZ124" s="233" t="n"/>
      <c r="BA124" s="233" t="n"/>
      <c r="BB124" s="233" t="n"/>
      <c r="BC124" s="233" t="n"/>
      <c r="BD124" s="233" t="n"/>
      <c r="BE124" s="233" t="n"/>
      <c r="BF124" s="233" t="n"/>
      <c r="BG124" s="233" t="n"/>
      <c r="BH124" s="233" t="n"/>
      <c r="BI124" s="233" t="n"/>
      <c r="BJ124" s="233" t="n"/>
      <c r="BK124" s="233" t="n"/>
      <c r="BL124" s="233" t="n"/>
      <c r="BM124" s="233" t="n"/>
    </row>
    <row r="125" ht="15.75" customHeight="1" s="349">
      <c r="A125" s="31" t="n"/>
      <c r="B125" s="307" t="n"/>
      <c r="C125" s="307" t="n"/>
      <c r="D125" s="146" t="n"/>
      <c r="E125" s="307" t="n"/>
      <c r="F125" s="307" t="n"/>
      <c r="G125" s="307" t="n"/>
      <c r="H125" s="307" t="n"/>
      <c r="I125" s="307" t="n"/>
      <c r="J125" s="307" t="n"/>
      <c r="K125" s="307" t="n"/>
      <c r="L125" s="307" t="n"/>
      <c r="M125" s="307" t="n"/>
      <c r="N125" s="307" t="n"/>
      <c r="O125" s="233" t="n"/>
      <c r="P125" s="233" t="n"/>
      <c r="Q125" s="233" t="n"/>
      <c r="R125" s="233" t="n"/>
      <c r="S125" s="233" t="n"/>
      <c r="T125" s="233" t="n"/>
      <c r="U125" s="233" t="n"/>
      <c r="V125" s="233" t="n"/>
      <c r="W125" s="233" t="n"/>
      <c r="X125" s="233" t="n"/>
      <c r="Y125" s="233" t="n"/>
      <c r="Z125" s="233" t="n"/>
      <c r="AA125" s="233" t="n"/>
      <c r="AB125" s="233" t="n"/>
      <c r="AC125" s="233" t="n"/>
      <c r="AD125" s="233" t="n"/>
      <c r="AE125" s="233" t="n"/>
      <c r="AF125" s="233" t="n"/>
      <c r="AG125" s="233" t="n"/>
      <c r="AH125" s="233" t="n"/>
      <c r="AI125" s="233" t="n"/>
      <c r="AJ125" s="233" t="n"/>
      <c r="AK125" s="233" t="n"/>
      <c r="AL125" s="233" t="n"/>
      <c r="AM125" s="233" t="n"/>
      <c r="AN125" s="233" t="n"/>
      <c r="AO125" s="233" t="n"/>
      <c r="AP125" s="233" t="n"/>
      <c r="AQ125" s="233" t="n"/>
      <c r="AR125" s="233" t="n"/>
      <c r="AS125" s="233" t="n"/>
      <c r="AT125" s="233" t="n"/>
      <c r="AU125" s="233" t="n"/>
      <c r="AV125" s="233" t="n"/>
      <c r="AW125" s="233" t="n"/>
      <c r="AX125" s="233" t="n"/>
      <c r="AY125" s="233" t="n"/>
      <c r="AZ125" s="233" t="n"/>
      <c r="BA125" s="233" t="n"/>
      <c r="BB125" s="233" t="n"/>
      <c r="BC125" s="233" t="n"/>
      <c r="BD125" s="233" t="n"/>
      <c r="BE125" s="233" t="n"/>
      <c r="BF125" s="233" t="n"/>
      <c r="BG125" s="233" t="n"/>
      <c r="BH125" s="233" t="n"/>
      <c r="BI125" s="233" t="n"/>
      <c r="BJ125" s="233" t="n"/>
      <c r="BK125" s="233" t="n"/>
      <c r="BL125" s="233" t="n"/>
      <c r="BM125" s="233" t="n"/>
    </row>
    <row r="126" ht="15.75" customHeight="1" s="349">
      <c r="A126" s="31" t="n"/>
      <c r="B126" s="307" t="n"/>
      <c r="C126" s="307" t="n"/>
      <c r="D126" s="146" t="n"/>
      <c r="E126" s="307" t="n"/>
      <c r="F126" s="307" t="n"/>
      <c r="G126" s="307" t="n"/>
      <c r="H126" s="307" t="n"/>
      <c r="I126" s="307" t="n"/>
      <c r="J126" s="307" t="n"/>
      <c r="K126" s="307" t="n"/>
      <c r="L126" s="307" t="n"/>
      <c r="M126" s="307" t="n"/>
      <c r="N126" s="307" t="n"/>
      <c r="O126" s="233" t="n"/>
      <c r="P126" s="233" t="n"/>
      <c r="Q126" s="233" t="n"/>
      <c r="R126" s="233" t="n"/>
      <c r="S126" s="233" t="n"/>
      <c r="T126" s="233" t="n"/>
      <c r="U126" s="233" t="n"/>
      <c r="V126" s="233" t="n"/>
      <c r="W126" s="233" t="n"/>
      <c r="X126" s="233" t="n"/>
      <c r="Y126" s="233" t="n"/>
      <c r="Z126" s="233" t="n"/>
      <c r="AA126" s="233" t="n"/>
      <c r="AB126" s="233" t="n"/>
      <c r="AC126" s="233" t="n"/>
      <c r="AD126" s="233" t="n"/>
      <c r="AE126" s="233" t="n"/>
      <c r="AF126" s="233" t="n"/>
      <c r="AG126" s="233" t="n"/>
      <c r="AH126" s="233" t="n"/>
      <c r="AI126" s="233" t="n"/>
      <c r="AJ126" s="233" t="n"/>
      <c r="AK126" s="233" t="n"/>
      <c r="AL126" s="233" t="n"/>
      <c r="AM126" s="233" t="n"/>
      <c r="AN126" s="233" t="n"/>
      <c r="AO126" s="233" t="n"/>
      <c r="AP126" s="233" t="n"/>
      <c r="AQ126" s="233" t="n"/>
      <c r="AR126" s="233" t="n"/>
      <c r="AS126" s="233" t="n"/>
      <c r="AT126" s="233" t="n"/>
      <c r="AU126" s="233" t="n"/>
      <c r="AV126" s="233" t="n"/>
      <c r="AW126" s="233" t="n"/>
      <c r="AX126" s="233" t="n"/>
      <c r="AY126" s="233" t="n"/>
      <c r="AZ126" s="233" t="n"/>
      <c r="BA126" s="233" t="n"/>
      <c r="BB126" s="233" t="n"/>
      <c r="BC126" s="233" t="n"/>
      <c r="BD126" s="233" t="n"/>
      <c r="BE126" s="233" t="n"/>
      <c r="BF126" s="233" t="n"/>
      <c r="BG126" s="233" t="n"/>
      <c r="BH126" s="233" t="n"/>
      <c r="BI126" s="233" t="n"/>
      <c r="BJ126" s="233" t="n"/>
      <c r="BK126" s="233" t="n"/>
      <c r="BL126" s="233" t="n"/>
      <c r="BM126" s="233" t="n"/>
    </row>
    <row r="127" ht="15.75" customHeight="1" s="349">
      <c r="A127" s="31" t="n"/>
      <c r="B127" s="307" t="n"/>
      <c r="C127" s="307" t="n"/>
      <c r="D127" s="146" t="n"/>
      <c r="E127" s="307" t="n"/>
      <c r="F127" s="307" t="n"/>
      <c r="G127" s="307" t="n"/>
      <c r="H127" s="307" t="n"/>
      <c r="I127" s="307" t="n"/>
      <c r="J127" s="307" t="n"/>
      <c r="K127" s="307" t="n"/>
      <c r="L127" s="307" t="n"/>
      <c r="M127" s="307" t="n"/>
      <c r="N127" s="307" t="n"/>
      <c r="O127" s="233" t="n"/>
      <c r="P127" s="233" t="n"/>
      <c r="Q127" s="233" t="n"/>
      <c r="R127" s="233" t="n"/>
      <c r="S127" s="233" t="n"/>
      <c r="T127" s="233" t="n"/>
      <c r="U127" s="233" t="n"/>
      <c r="V127" s="233" t="n"/>
      <c r="W127" s="233" t="n"/>
      <c r="X127" s="233" t="n"/>
      <c r="Y127" s="233" t="n"/>
      <c r="Z127" s="233" t="n"/>
      <c r="AA127" s="233" t="n"/>
      <c r="AB127" s="233" t="n"/>
      <c r="AC127" s="233" t="n"/>
      <c r="AD127" s="233" t="n"/>
      <c r="AE127" s="233" t="n"/>
      <c r="AF127" s="233" t="n"/>
      <c r="AG127" s="233" t="n"/>
      <c r="AH127" s="233" t="n"/>
      <c r="AI127" s="233" t="n"/>
      <c r="AJ127" s="233" t="n"/>
      <c r="AK127" s="233" t="n"/>
      <c r="AL127" s="233" t="n"/>
      <c r="AM127" s="233" t="n"/>
      <c r="AN127" s="233" t="n"/>
      <c r="AO127" s="233" t="n"/>
      <c r="AP127" s="233" t="n"/>
      <c r="AQ127" s="233" t="n"/>
      <c r="AR127" s="233" t="n"/>
      <c r="AS127" s="233" t="n"/>
      <c r="AT127" s="233" t="n"/>
      <c r="AU127" s="233" t="n"/>
      <c r="AV127" s="233" t="n"/>
      <c r="AW127" s="233" t="n"/>
      <c r="AX127" s="233" t="n"/>
      <c r="AY127" s="233" t="n"/>
      <c r="AZ127" s="233" t="n"/>
      <c r="BA127" s="233" t="n"/>
      <c r="BB127" s="233" t="n"/>
      <c r="BC127" s="233" t="n"/>
      <c r="BD127" s="233" t="n"/>
      <c r="BE127" s="233" t="n"/>
      <c r="BF127" s="233" t="n"/>
      <c r="BG127" s="233" t="n"/>
      <c r="BH127" s="233" t="n"/>
      <c r="BI127" s="233" t="n"/>
      <c r="BJ127" s="233" t="n"/>
      <c r="BK127" s="233" t="n"/>
      <c r="BL127" s="233" t="n"/>
      <c r="BM127" s="233" t="n"/>
    </row>
    <row r="128" ht="15.75" customHeight="1" s="349">
      <c r="A128" s="31" t="n"/>
      <c r="B128" s="307" t="n"/>
      <c r="C128" s="307" t="n"/>
      <c r="D128" s="146" t="n"/>
      <c r="E128" s="307" t="n"/>
      <c r="F128" s="307" t="n"/>
      <c r="G128" s="307" t="n"/>
      <c r="H128" s="307" t="n"/>
      <c r="I128" s="307" t="n"/>
      <c r="J128" s="307" t="n"/>
      <c r="K128" s="307" t="n"/>
      <c r="L128" s="307" t="n"/>
      <c r="M128" s="307" t="n"/>
      <c r="N128" s="307" t="n"/>
      <c r="O128" s="233" t="n"/>
      <c r="P128" s="233" t="n"/>
      <c r="Q128" s="233" t="n"/>
      <c r="R128" s="233" t="n"/>
      <c r="S128" s="233" t="n"/>
      <c r="T128" s="233" t="n"/>
      <c r="U128" s="233" t="n"/>
      <c r="V128" s="233" t="n"/>
      <c r="W128" s="233" t="n"/>
      <c r="X128" s="233" t="n"/>
      <c r="Y128" s="233" t="n"/>
      <c r="Z128" s="233" t="n"/>
      <c r="AA128" s="233" t="n"/>
      <c r="AB128" s="233" t="n"/>
      <c r="AC128" s="233" t="n"/>
      <c r="AD128" s="233" t="n"/>
      <c r="AE128" s="233" t="n"/>
      <c r="AF128" s="233" t="n"/>
      <c r="AG128" s="233" t="n"/>
      <c r="AH128" s="233" t="n"/>
      <c r="AI128" s="233" t="n"/>
      <c r="AJ128" s="233" t="n"/>
      <c r="AK128" s="233" t="n"/>
      <c r="AL128" s="233" t="n"/>
      <c r="AM128" s="233" t="n"/>
      <c r="AN128" s="233" t="n"/>
      <c r="AO128" s="233" t="n"/>
      <c r="AP128" s="233" t="n"/>
      <c r="AQ128" s="233" t="n"/>
      <c r="AR128" s="233" t="n"/>
      <c r="AS128" s="233" t="n"/>
      <c r="AT128" s="233" t="n"/>
      <c r="AU128" s="233" t="n"/>
      <c r="AV128" s="233" t="n"/>
      <c r="AW128" s="233" t="n"/>
      <c r="AX128" s="233" t="n"/>
      <c r="AY128" s="233" t="n"/>
      <c r="AZ128" s="233" t="n"/>
      <c r="BA128" s="233" t="n"/>
      <c r="BB128" s="233" t="n"/>
      <c r="BC128" s="233" t="n"/>
      <c r="BD128" s="233" t="n"/>
      <c r="BE128" s="233" t="n"/>
      <c r="BF128" s="233" t="n"/>
      <c r="BG128" s="233" t="n"/>
      <c r="BH128" s="233" t="n"/>
      <c r="BI128" s="233" t="n"/>
      <c r="BJ128" s="233" t="n"/>
      <c r="BK128" s="233" t="n"/>
      <c r="BL128" s="233" t="n"/>
      <c r="BM128" s="233" t="n"/>
    </row>
    <row r="129" ht="15.75" customHeight="1" s="349">
      <c r="A129" s="31" t="n"/>
      <c r="B129" s="307" t="n"/>
      <c r="C129" s="307" t="n"/>
      <c r="D129" s="146" t="n"/>
      <c r="E129" s="307" t="n"/>
      <c r="F129" s="307" t="n"/>
      <c r="G129" s="307" t="n"/>
      <c r="H129" s="307" t="n"/>
      <c r="I129" s="307" t="n"/>
      <c r="J129" s="307" t="n"/>
      <c r="K129" s="307" t="n"/>
      <c r="L129" s="307" t="n"/>
      <c r="M129" s="307" t="n"/>
      <c r="N129" s="307" t="n"/>
      <c r="O129" s="233" t="n"/>
      <c r="P129" s="233" t="n"/>
      <c r="Q129" s="233" t="n"/>
      <c r="R129" s="233" t="n"/>
      <c r="S129" s="233" t="n"/>
      <c r="T129" s="233" t="n"/>
      <c r="U129" s="233" t="n"/>
      <c r="V129" s="233" t="n"/>
      <c r="W129" s="233" t="n"/>
      <c r="X129" s="233" t="n"/>
      <c r="Y129" s="233" t="n"/>
      <c r="Z129" s="233" t="n"/>
      <c r="AA129" s="233" t="n"/>
      <c r="AB129" s="233" t="n"/>
      <c r="AC129" s="233" t="n"/>
      <c r="AD129" s="233" t="n"/>
      <c r="AE129" s="233" t="n"/>
      <c r="AF129" s="233" t="n"/>
      <c r="AG129" s="233" t="n"/>
      <c r="AH129" s="233" t="n"/>
      <c r="AI129" s="233" t="n"/>
      <c r="AJ129" s="233" t="n"/>
      <c r="AK129" s="233" t="n"/>
      <c r="AL129" s="233" t="n"/>
      <c r="AM129" s="233" t="n"/>
      <c r="AN129" s="233" t="n"/>
      <c r="AO129" s="233" t="n"/>
      <c r="AP129" s="233" t="n"/>
      <c r="AQ129" s="233" t="n"/>
      <c r="AR129" s="233" t="n"/>
      <c r="AS129" s="233" t="n"/>
      <c r="AT129" s="233" t="n"/>
      <c r="AU129" s="233" t="n"/>
      <c r="AV129" s="233" t="n"/>
      <c r="AW129" s="233" t="n"/>
      <c r="AX129" s="233" t="n"/>
      <c r="AY129" s="233" t="n"/>
      <c r="AZ129" s="233" t="n"/>
      <c r="BA129" s="233" t="n"/>
      <c r="BB129" s="233" t="n"/>
      <c r="BC129" s="233" t="n"/>
      <c r="BD129" s="233" t="n"/>
      <c r="BE129" s="233" t="n"/>
      <c r="BF129" s="233" t="n"/>
      <c r="BG129" s="233" t="n"/>
      <c r="BH129" s="233" t="n"/>
      <c r="BI129" s="233" t="n"/>
      <c r="BJ129" s="233" t="n"/>
      <c r="BK129" s="233" t="n"/>
      <c r="BL129" s="233" t="n"/>
      <c r="BM129" s="233" t="n"/>
    </row>
    <row r="130" ht="15.75" customHeight="1" s="349">
      <c r="A130" s="31" t="n"/>
      <c r="B130" s="307" t="n"/>
      <c r="C130" s="307" t="n"/>
      <c r="D130" s="146" t="n"/>
      <c r="E130" s="307" t="n"/>
      <c r="F130" s="307" t="n"/>
      <c r="G130" s="307" t="n"/>
      <c r="H130" s="307" t="n"/>
      <c r="I130" s="307" t="n"/>
      <c r="J130" s="307" t="n"/>
      <c r="K130" s="307" t="n"/>
      <c r="L130" s="307" t="n"/>
      <c r="M130" s="307" t="n"/>
      <c r="N130" s="307" t="n"/>
      <c r="O130" s="233" t="n"/>
      <c r="P130" s="233" t="n"/>
      <c r="Q130" s="233" t="n"/>
      <c r="R130" s="233" t="n"/>
      <c r="S130" s="233" t="n"/>
      <c r="T130" s="233" t="n"/>
      <c r="U130" s="233" t="n"/>
      <c r="V130" s="233" t="n"/>
      <c r="W130" s="233" t="n"/>
      <c r="X130" s="233" t="n"/>
      <c r="Y130" s="233" t="n"/>
      <c r="Z130" s="233" t="n"/>
      <c r="AA130" s="233" t="n"/>
      <c r="AB130" s="233" t="n"/>
      <c r="AC130" s="233" t="n"/>
      <c r="AD130" s="233" t="n"/>
      <c r="AE130" s="233" t="n"/>
      <c r="AF130" s="233" t="n"/>
      <c r="AG130" s="233" t="n"/>
      <c r="AH130" s="233" t="n"/>
      <c r="AI130" s="233" t="n"/>
      <c r="AJ130" s="233" t="n"/>
      <c r="AK130" s="233" t="n"/>
      <c r="AL130" s="233" t="n"/>
      <c r="AM130" s="233" t="n"/>
      <c r="AN130" s="233" t="n"/>
      <c r="AO130" s="233" t="n"/>
      <c r="AP130" s="233" t="n"/>
      <c r="AQ130" s="233" t="n"/>
      <c r="AR130" s="233" t="n"/>
      <c r="AS130" s="233" t="n"/>
      <c r="AT130" s="233" t="n"/>
      <c r="AU130" s="233" t="n"/>
      <c r="AV130" s="233" t="n"/>
      <c r="AW130" s="233" t="n"/>
      <c r="AX130" s="233" t="n"/>
      <c r="AY130" s="233" t="n"/>
      <c r="AZ130" s="233" t="n"/>
      <c r="BA130" s="233" t="n"/>
      <c r="BB130" s="233" t="n"/>
      <c r="BC130" s="233" t="n"/>
      <c r="BD130" s="233" t="n"/>
      <c r="BE130" s="233" t="n"/>
      <c r="BF130" s="233" t="n"/>
      <c r="BG130" s="233" t="n"/>
      <c r="BH130" s="233" t="n"/>
      <c r="BI130" s="233" t="n"/>
      <c r="BJ130" s="233" t="n"/>
      <c r="BK130" s="233" t="n"/>
      <c r="BL130" s="233" t="n"/>
      <c r="BM130" s="233" t="n"/>
    </row>
    <row r="131" ht="15.75" customHeight="1" s="349">
      <c r="A131" s="31" t="n"/>
      <c r="B131" s="307" t="n"/>
      <c r="C131" s="307" t="n"/>
      <c r="D131" s="146" t="n"/>
      <c r="E131" s="307" t="n"/>
      <c r="F131" s="307" t="n"/>
      <c r="G131" s="307" t="n"/>
      <c r="H131" s="307" t="n"/>
      <c r="I131" s="307" t="n"/>
      <c r="J131" s="307" t="n"/>
      <c r="K131" s="307" t="n"/>
      <c r="L131" s="307" t="n"/>
      <c r="M131" s="307" t="n"/>
      <c r="N131" s="307" t="n"/>
      <c r="O131" s="233" t="n"/>
      <c r="P131" s="233" t="n"/>
      <c r="Q131" s="233" t="n"/>
      <c r="R131" s="233" t="n"/>
      <c r="S131" s="233" t="n"/>
      <c r="T131" s="233" t="n"/>
      <c r="U131" s="233" t="n"/>
      <c r="V131" s="233" t="n"/>
      <c r="W131" s="233" t="n"/>
      <c r="X131" s="233" t="n"/>
      <c r="Y131" s="233" t="n"/>
      <c r="Z131" s="233" t="n"/>
      <c r="AA131" s="233" t="n"/>
      <c r="AB131" s="233" t="n"/>
      <c r="AC131" s="233" t="n"/>
      <c r="AD131" s="233" t="n"/>
      <c r="AE131" s="233" t="n"/>
      <c r="AF131" s="233" t="n"/>
      <c r="AG131" s="233" t="n"/>
      <c r="AH131" s="233" t="n"/>
      <c r="AI131" s="233" t="n"/>
      <c r="AJ131" s="233" t="n"/>
      <c r="AK131" s="233" t="n"/>
      <c r="AL131" s="233" t="n"/>
      <c r="AM131" s="233" t="n"/>
      <c r="AN131" s="233" t="n"/>
      <c r="AO131" s="233" t="n"/>
      <c r="AP131" s="233" t="n"/>
      <c r="AQ131" s="233" t="n"/>
      <c r="AR131" s="233" t="n"/>
      <c r="AS131" s="233" t="n"/>
      <c r="AT131" s="233" t="n"/>
      <c r="AU131" s="233" t="n"/>
      <c r="AV131" s="233" t="n"/>
      <c r="AW131" s="233" t="n"/>
      <c r="AX131" s="233" t="n"/>
      <c r="AY131" s="233" t="n"/>
      <c r="AZ131" s="233" t="n"/>
      <c r="BA131" s="233" t="n"/>
      <c r="BB131" s="233" t="n"/>
      <c r="BC131" s="233" t="n"/>
      <c r="BD131" s="233" t="n"/>
      <c r="BE131" s="233" t="n"/>
      <c r="BF131" s="233" t="n"/>
      <c r="BG131" s="233" t="n"/>
      <c r="BH131" s="233" t="n"/>
      <c r="BI131" s="233" t="n"/>
      <c r="BJ131" s="233" t="n"/>
      <c r="BK131" s="233" t="n"/>
      <c r="BL131" s="233" t="n"/>
      <c r="BM131" s="233" t="n"/>
    </row>
    <row r="132" ht="15.75" customHeight="1" s="349">
      <c r="A132" s="31" t="n"/>
      <c r="B132" s="307" t="n"/>
      <c r="C132" s="307" t="n"/>
      <c r="D132" s="146" t="n"/>
      <c r="E132" s="307" t="n"/>
      <c r="F132" s="307" t="n"/>
      <c r="G132" s="307" t="n"/>
      <c r="H132" s="307" t="n"/>
      <c r="I132" s="307" t="n"/>
      <c r="J132" s="307" t="n"/>
      <c r="K132" s="307" t="n"/>
      <c r="L132" s="307" t="n"/>
      <c r="M132" s="307" t="n"/>
      <c r="N132" s="307" t="n"/>
      <c r="O132" s="233" t="n"/>
      <c r="P132" s="233" t="n"/>
      <c r="Q132" s="233" t="n"/>
      <c r="R132" s="233" t="n"/>
      <c r="S132" s="233" t="n"/>
      <c r="T132" s="233" t="n"/>
      <c r="U132" s="233" t="n"/>
      <c r="V132" s="233" t="n"/>
      <c r="W132" s="233" t="n"/>
      <c r="X132" s="233" t="n"/>
      <c r="Y132" s="233" t="n"/>
      <c r="Z132" s="233" t="n"/>
      <c r="AA132" s="233" t="n"/>
      <c r="AB132" s="233" t="n"/>
      <c r="AC132" s="233" t="n"/>
      <c r="AD132" s="233" t="n"/>
      <c r="AE132" s="233" t="n"/>
      <c r="AF132" s="233" t="n"/>
      <c r="AG132" s="233" t="n"/>
      <c r="AH132" s="233" t="n"/>
      <c r="AI132" s="233" t="n"/>
      <c r="AJ132" s="233" t="n"/>
      <c r="AK132" s="233" t="n"/>
      <c r="AL132" s="233" t="n"/>
      <c r="AM132" s="233" t="n"/>
      <c r="AN132" s="233" t="n"/>
      <c r="AO132" s="233" t="n"/>
      <c r="AP132" s="233" t="n"/>
      <c r="AQ132" s="233" t="n"/>
      <c r="AR132" s="233" t="n"/>
      <c r="AS132" s="233" t="n"/>
      <c r="AT132" s="233" t="n"/>
      <c r="AU132" s="233" t="n"/>
      <c r="AV132" s="233" t="n"/>
      <c r="AW132" s="233" t="n"/>
      <c r="AX132" s="233" t="n"/>
      <c r="AY132" s="233" t="n"/>
      <c r="AZ132" s="233" t="n"/>
      <c r="BA132" s="233" t="n"/>
      <c r="BB132" s="233" t="n"/>
      <c r="BC132" s="233" t="n"/>
      <c r="BD132" s="233" t="n"/>
      <c r="BE132" s="233" t="n"/>
      <c r="BF132" s="233" t="n"/>
      <c r="BG132" s="233" t="n"/>
      <c r="BH132" s="233" t="n"/>
      <c r="BI132" s="233" t="n"/>
      <c r="BJ132" s="233" t="n"/>
      <c r="BK132" s="233" t="n"/>
      <c r="BL132" s="233" t="n"/>
      <c r="BM132" s="233" t="n"/>
    </row>
    <row r="133" ht="15.75" customHeight="1" s="349">
      <c r="A133" s="31" t="n"/>
      <c r="B133" s="307" t="n"/>
      <c r="C133" s="307" t="n"/>
      <c r="D133" s="146" t="n"/>
      <c r="E133" s="307" t="n"/>
      <c r="F133" s="307" t="n"/>
      <c r="G133" s="307" t="n"/>
      <c r="H133" s="307" t="n"/>
      <c r="I133" s="307" t="n"/>
      <c r="J133" s="307" t="n"/>
      <c r="K133" s="307" t="n"/>
      <c r="L133" s="307" t="n"/>
      <c r="M133" s="307" t="n"/>
      <c r="N133" s="307" t="n"/>
      <c r="O133" s="233" t="n"/>
      <c r="P133" s="233" t="n"/>
      <c r="Q133" s="233" t="n"/>
      <c r="R133" s="233" t="n"/>
      <c r="S133" s="233" t="n"/>
      <c r="T133" s="233" t="n"/>
      <c r="U133" s="233" t="n"/>
      <c r="V133" s="233" t="n"/>
      <c r="W133" s="233" t="n"/>
      <c r="X133" s="233" t="n"/>
      <c r="Y133" s="233" t="n"/>
      <c r="Z133" s="233" t="n"/>
      <c r="AA133" s="233" t="n"/>
      <c r="AB133" s="233" t="n"/>
      <c r="AC133" s="233" t="n"/>
      <c r="AD133" s="233" t="n"/>
      <c r="AE133" s="233" t="n"/>
      <c r="AF133" s="233" t="n"/>
      <c r="AG133" s="233" t="n"/>
      <c r="AH133" s="233" t="n"/>
      <c r="AI133" s="233" t="n"/>
      <c r="AJ133" s="233" t="n"/>
      <c r="AK133" s="233" t="n"/>
      <c r="AL133" s="233" t="n"/>
      <c r="AM133" s="233" t="n"/>
      <c r="AN133" s="233" t="n"/>
      <c r="AO133" s="233" t="n"/>
      <c r="AP133" s="233" t="n"/>
      <c r="AQ133" s="233" t="n"/>
      <c r="AR133" s="233" t="n"/>
      <c r="AS133" s="233" t="n"/>
      <c r="AT133" s="233" t="n"/>
      <c r="AU133" s="233" t="n"/>
      <c r="AV133" s="233" t="n"/>
      <c r="AW133" s="233" t="n"/>
      <c r="AX133" s="233" t="n"/>
      <c r="AY133" s="233" t="n"/>
      <c r="AZ133" s="233" t="n"/>
      <c r="BA133" s="233" t="n"/>
      <c r="BB133" s="233" t="n"/>
      <c r="BC133" s="233" t="n"/>
      <c r="BD133" s="233" t="n"/>
      <c r="BE133" s="233" t="n"/>
      <c r="BF133" s="233" t="n"/>
      <c r="BG133" s="233" t="n"/>
      <c r="BH133" s="233" t="n"/>
      <c r="BI133" s="233" t="n"/>
      <c r="BJ133" s="233" t="n"/>
      <c r="BK133" s="233" t="n"/>
      <c r="BL133" s="233" t="n"/>
      <c r="BM133" s="233" t="n"/>
    </row>
    <row r="134" ht="15.75" customHeight="1" s="349">
      <c r="A134" s="31" t="n"/>
      <c r="B134" s="307" t="n"/>
      <c r="C134" s="307" t="n"/>
      <c r="D134" s="146" t="n"/>
      <c r="E134" s="307" t="n"/>
      <c r="F134" s="307" t="n"/>
      <c r="G134" s="307" t="n"/>
      <c r="H134" s="307" t="n"/>
      <c r="I134" s="307" t="n"/>
      <c r="J134" s="307" t="n"/>
      <c r="K134" s="307" t="n"/>
      <c r="L134" s="307" t="n"/>
      <c r="M134" s="307" t="n"/>
      <c r="N134" s="307" t="n"/>
      <c r="O134" s="233" t="n"/>
      <c r="P134" s="233" t="n"/>
      <c r="Q134" s="233" t="n"/>
      <c r="R134" s="233" t="n"/>
      <c r="S134" s="233" t="n"/>
      <c r="T134" s="233" t="n"/>
      <c r="U134" s="233" t="n"/>
      <c r="V134" s="233" t="n"/>
      <c r="W134" s="233" t="n"/>
      <c r="X134" s="233" t="n"/>
      <c r="Y134" s="233" t="n"/>
      <c r="Z134" s="233" t="n"/>
      <c r="AA134" s="233" t="n"/>
      <c r="AB134" s="233" t="n"/>
      <c r="AC134" s="233" t="n"/>
      <c r="AD134" s="233" t="n"/>
      <c r="AE134" s="233" t="n"/>
      <c r="AF134" s="233" t="n"/>
      <c r="AG134" s="233" t="n"/>
      <c r="AH134" s="233" t="n"/>
      <c r="AI134" s="233" t="n"/>
      <c r="AJ134" s="233" t="n"/>
      <c r="AK134" s="233" t="n"/>
      <c r="AL134" s="233" t="n"/>
      <c r="AM134" s="233" t="n"/>
      <c r="AN134" s="233" t="n"/>
      <c r="AO134" s="233" t="n"/>
      <c r="AP134" s="233" t="n"/>
      <c r="AQ134" s="233" t="n"/>
      <c r="AR134" s="233" t="n"/>
      <c r="AS134" s="233" t="n"/>
      <c r="AT134" s="233" t="n"/>
      <c r="AU134" s="233" t="n"/>
      <c r="AV134" s="233" t="n"/>
      <c r="AW134" s="233" t="n"/>
      <c r="AX134" s="233" t="n"/>
      <c r="AY134" s="233" t="n"/>
      <c r="AZ134" s="233" t="n"/>
      <c r="BA134" s="233" t="n"/>
      <c r="BB134" s="233" t="n"/>
      <c r="BC134" s="233" t="n"/>
      <c r="BD134" s="233" t="n"/>
      <c r="BE134" s="233" t="n"/>
      <c r="BF134" s="233" t="n"/>
      <c r="BG134" s="233" t="n"/>
      <c r="BH134" s="233" t="n"/>
      <c r="BI134" s="233" t="n"/>
      <c r="BJ134" s="233" t="n"/>
      <c r="BK134" s="233" t="n"/>
      <c r="BL134" s="233" t="n"/>
      <c r="BM134" s="233" t="n"/>
    </row>
    <row r="135" ht="15.75" customHeight="1" s="349">
      <c r="A135" s="31" t="n"/>
      <c r="B135" s="307" t="n"/>
      <c r="C135" s="307" t="n"/>
      <c r="D135" s="146" t="n"/>
      <c r="E135" s="307" t="n"/>
      <c r="F135" s="307" t="n"/>
      <c r="G135" s="307" t="n"/>
      <c r="H135" s="307" t="n"/>
      <c r="I135" s="307" t="n"/>
      <c r="J135" s="307" t="n"/>
      <c r="K135" s="307" t="n"/>
      <c r="L135" s="307" t="n"/>
      <c r="M135" s="307" t="n"/>
      <c r="N135" s="307" t="n"/>
      <c r="O135" s="233" t="n"/>
      <c r="P135" s="233" t="n"/>
      <c r="Q135" s="233" t="n"/>
      <c r="R135" s="233" t="n"/>
      <c r="S135" s="233" t="n"/>
      <c r="T135" s="233" t="n"/>
      <c r="U135" s="233" t="n"/>
      <c r="V135" s="233" t="n"/>
      <c r="W135" s="233" t="n"/>
      <c r="X135" s="233" t="n"/>
      <c r="Y135" s="233" t="n"/>
      <c r="Z135" s="233" t="n"/>
      <c r="AA135" s="233" t="n"/>
      <c r="AB135" s="233" t="n"/>
      <c r="AC135" s="233" t="n"/>
      <c r="AD135" s="233" t="n"/>
      <c r="AE135" s="233" t="n"/>
      <c r="AF135" s="233" t="n"/>
      <c r="AG135" s="233" t="n"/>
      <c r="AH135" s="233" t="n"/>
      <c r="AI135" s="233" t="n"/>
      <c r="AJ135" s="233" t="n"/>
      <c r="AK135" s="233" t="n"/>
      <c r="AL135" s="233" t="n"/>
      <c r="AM135" s="233" t="n"/>
      <c r="AN135" s="233" t="n"/>
      <c r="AO135" s="233" t="n"/>
      <c r="AP135" s="233" t="n"/>
      <c r="AQ135" s="233" t="n"/>
      <c r="AR135" s="233" t="n"/>
      <c r="AS135" s="233" t="n"/>
      <c r="AT135" s="233" t="n"/>
      <c r="AU135" s="233" t="n"/>
      <c r="AV135" s="233" t="n"/>
      <c r="AW135" s="233" t="n"/>
      <c r="AX135" s="233" t="n"/>
      <c r="AY135" s="233" t="n"/>
      <c r="AZ135" s="233" t="n"/>
      <c r="BA135" s="233" t="n"/>
      <c r="BB135" s="233" t="n"/>
      <c r="BC135" s="233" t="n"/>
      <c r="BD135" s="233" t="n"/>
      <c r="BE135" s="233" t="n"/>
      <c r="BF135" s="233" t="n"/>
      <c r="BG135" s="233" t="n"/>
      <c r="BH135" s="233" t="n"/>
      <c r="BI135" s="233" t="n"/>
      <c r="BJ135" s="233" t="n"/>
      <c r="BK135" s="233" t="n"/>
      <c r="BL135" s="233" t="n"/>
      <c r="BM135" s="233" t="n"/>
    </row>
    <row r="136" ht="15.75" customHeight="1" s="349">
      <c r="A136" s="31" t="n"/>
      <c r="B136" s="307" t="n"/>
      <c r="C136" s="307" t="n"/>
      <c r="D136" s="146" t="n"/>
      <c r="E136" s="307" t="n"/>
      <c r="F136" s="307" t="n"/>
      <c r="G136" s="307" t="n"/>
      <c r="H136" s="307" t="n"/>
      <c r="I136" s="307" t="n"/>
      <c r="J136" s="307" t="n"/>
      <c r="K136" s="307" t="n"/>
      <c r="L136" s="307" t="n"/>
      <c r="M136" s="307" t="n"/>
      <c r="N136" s="307" t="n"/>
      <c r="O136" s="233" t="n"/>
      <c r="P136" s="233" t="n"/>
      <c r="Q136" s="233" t="n"/>
      <c r="R136" s="233" t="n"/>
      <c r="S136" s="233" t="n"/>
      <c r="T136" s="233" t="n"/>
      <c r="U136" s="233" t="n"/>
      <c r="V136" s="233" t="n"/>
      <c r="W136" s="233" t="n"/>
      <c r="X136" s="233" t="n"/>
      <c r="Y136" s="233" t="n"/>
      <c r="Z136" s="233" t="n"/>
      <c r="AA136" s="233" t="n"/>
      <c r="AB136" s="233" t="n"/>
      <c r="AC136" s="233" t="n"/>
      <c r="AD136" s="233" t="n"/>
      <c r="AE136" s="233" t="n"/>
      <c r="AF136" s="233" t="n"/>
      <c r="AG136" s="233" t="n"/>
      <c r="AH136" s="233" t="n"/>
      <c r="AI136" s="233" t="n"/>
      <c r="AJ136" s="233" t="n"/>
      <c r="AK136" s="233" t="n"/>
      <c r="AL136" s="233" t="n"/>
      <c r="AM136" s="233" t="n"/>
      <c r="AN136" s="233" t="n"/>
      <c r="AO136" s="233" t="n"/>
      <c r="AP136" s="233" t="n"/>
      <c r="AQ136" s="233" t="n"/>
      <c r="AR136" s="233" t="n"/>
      <c r="AS136" s="233" t="n"/>
      <c r="AT136" s="233" t="n"/>
      <c r="AU136" s="233" t="n"/>
      <c r="AV136" s="233" t="n"/>
      <c r="AW136" s="233" t="n"/>
      <c r="AX136" s="233" t="n"/>
      <c r="AY136" s="233" t="n"/>
      <c r="AZ136" s="233" t="n"/>
      <c r="BA136" s="233" t="n"/>
      <c r="BB136" s="233" t="n"/>
      <c r="BC136" s="233" t="n"/>
      <c r="BD136" s="233" t="n"/>
      <c r="BE136" s="233" t="n"/>
      <c r="BF136" s="233" t="n"/>
      <c r="BG136" s="233" t="n"/>
      <c r="BH136" s="233" t="n"/>
      <c r="BI136" s="233" t="n"/>
      <c r="BJ136" s="233" t="n"/>
      <c r="BK136" s="233" t="n"/>
      <c r="BL136" s="233" t="n"/>
      <c r="BM136" s="233" t="n"/>
    </row>
    <row r="137" ht="15.75" customHeight="1" s="349">
      <c r="A137" s="31" t="n"/>
      <c r="B137" s="307" t="n"/>
      <c r="C137" s="307" t="n"/>
      <c r="D137" s="146" t="n"/>
      <c r="E137" s="307" t="n"/>
      <c r="F137" s="307" t="n"/>
      <c r="G137" s="307" t="n"/>
      <c r="H137" s="307" t="n"/>
      <c r="I137" s="307" t="n"/>
      <c r="J137" s="307" t="n"/>
      <c r="K137" s="307" t="n"/>
      <c r="L137" s="307" t="n"/>
      <c r="M137" s="307" t="n"/>
      <c r="N137" s="307" t="n"/>
      <c r="O137" s="233" t="n"/>
      <c r="P137" s="233" t="n"/>
      <c r="Q137" s="233" t="n"/>
      <c r="R137" s="233" t="n"/>
      <c r="S137" s="233" t="n"/>
      <c r="T137" s="233" t="n"/>
      <c r="U137" s="233" t="n"/>
      <c r="V137" s="233" t="n"/>
      <c r="W137" s="233" t="n"/>
      <c r="X137" s="233" t="n"/>
      <c r="Y137" s="233" t="n"/>
      <c r="Z137" s="233" t="n"/>
      <c r="AA137" s="233" t="n"/>
      <c r="AB137" s="233" t="n"/>
      <c r="AC137" s="233" t="n"/>
      <c r="AD137" s="233" t="n"/>
      <c r="AE137" s="233" t="n"/>
      <c r="AF137" s="233" t="n"/>
      <c r="AG137" s="233" t="n"/>
      <c r="AH137" s="233" t="n"/>
      <c r="AI137" s="233" t="n"/>
      <c r="AJ137" s="233" t="n"/>
      <c r="AK137" s="233" t="n"/>
      <c r="AL137" s="233" t="n"/>
      <c r="AM137" s="233" t="n"/>
      <c r="AN137" s="233" t="n"/>
      <c r="AO137" s="233" t="n"/>
      <c r="AP137" s="233" t="n"/>
      <c r="AQ137" s="233" t="n"/>
      <c r="AR137" s="233" t="n"/>
      <c r="AS137" s="233" t="n"/>
      <c r="AT137" s="233" t="n"/>
      <c r="AU137" s="233" t="n"/>
      <c r="AV137" s="233" t="n"/>
      <c r="AW137" s="233" t="n"/>
      <c r="AX137" s="233" t="n"/>
      <c r="AY137" s="233" t="n"/>
      <c r="AZ137" s="233" t="n"/>
      <c r="BA137" s="233" t="n"/>
      <c r="BB137" s="233" t="n"/>
      <c r="BC137" s="233" t="n"/>
      <c r="BD137" s="233" t="n"/>
      <c r="BE137" s="233" t="n"/>
      <c r="BF137" s="233" t="n"/>
      <c r="BG137" s="233" t="n"/>
      <c r="BH137" s="233" t="n"/>
      <c r="BI137" s="233" t="n"/>
      <c r="BJ137" s="233" t="n"/>
      <c r="BK137" s="233" t="n"/>
      <c r="BL137" s="233" t="n"/>
      <c r="BM137" s="233" t="n"/>
    </row>
    <row r="138" ht="15.75" customHeight="1" s="349">
      <c r="A138" s="31" t="n"/>
      <c r="B138" s="307" t="n"/>
      <c r="C138" s="307" t="n"/>
      <c r="D138" s="146" t="n"/>
      <c r="E138" s="307" t="n"/>
      <c r="F138" s="307" t="n"/>
      <c r="G138" s="307" t="n"/>
      <c r="H138" s="307" t="n"/>
      <c r="I138" s="307" t="n"/>
      <c r="J138" s="307" t="n"/>
      <c r="K138" s="307" t="n"/>
      <c r="L138" s="307" t="n"/>
      <c r="M138" s="307" t="n"/>
      <c r="N138" s="307" t="n"/>
      <c r="O138" s="233" t="n"/>
      <c r="P138" s="233" t="n"/>
      <c r="Q138" s="233" t="n"/>
      <c r="R138" s="233" t="n"/>
      <c r="S138" s="233" t="n"/>
      <c r="T138" s="233" t="n"/>
      <c r="U138" s="233" t="n"/>
      <c r="V138" s="233" t="n"/>
      <c r="W138" s="233" t="n"/>
      <c r="X138" s="233" t="n"/>
      <c r="Y138" s="233" t="n"/>
      <c r="Z138" s="233" t="n"/>
      <c r="AA138" s="233" t="n"/>
      <c r="AB138" s="233" t="n"/>
      <c r="AC138" s="233" t="n"/>
      <c r="AD138" s="233" t="n"/>
      <c r="AE138" s="233" t="n"/>
      <c r="AF138" s="233" t="n"/>
      <c r="AG138" s="233" t="n"/>
      <c r="AH138" s="233" t="n"/>
      <c r="AI138" s="233" t="n"/>
      <c r="AJ138" s="233" t="n"/>
      <c r="AK138" s="233" t="n"/>
      <c r="AL138" s="233" t="n"/>
      <c r="AM138" s="233" t="n"/>
      <c r="AN138" s="233" t="n"/>
      <c r="AO138" s="233" t="n"/>
      <c r="AP138" s="233" t="n"/>
      <c r="AQ138" s="233" t="n"/>
      <c r="AR138" s="233" t="n"/>
      <c r="AS138" s="233" t="n"/>
      <c r="AT138" s="233" t="n"/>
      <c r="AU138" s="233" t="n"/>
      <c r="AV138" s="233" t="n"/>
      <c r="AW138" s="233" t="n"/>
      <c r="AX138" s="233" t="n"/>
      <c r="AY138" s="233" t="n"/>
      <c r="AZ138" s="233" t="n"/>
      <c r="BA138" s="233" t="n"/>
      <c r="BB138" s="233" t="n"/>
      <c r="BC138" s="233" t="n"/>
      <c r="BD138" s="233" t="n"/>
      <c r="BE138" s="233" t="n"/>
      <c r="BF138" s="233" t="n"/>
      <c r="BG138" s="233" t="n"/>
      <c r="BH138" s="233" t="n"/>
      <c r="BI138" s="233" t="n"/>
      <c r="BJ138" s="233" t="n"/>
      <c r="BK138" s="233" t="n"/>
      <c r="BL138" s="233" t="n"/>
      <c r="BM138" s="233" t="n"/>
    </row>
    <row r="139" ht="15.75" customHeight="1" s="349">
      <c r="A139" s="31" t="n"/>
      <c r="B139" s="307" t="n"/>
      <c r="C139" s="307" t="n"/>
      <c r="D139" s="146" t="n"/>
      <c r="E139" s="307" t="n"/>
      <c r="F139" s="307" t="n"/>
      <c r="G139" s="307" t="n"/>
      <c r="H139" s="307" t="n"/>
      <c r="I139" s="307" t="n"/>
      <c r="J139" s="307" t="n"/>
      <c r="K139" s="307" t="n"/>
      <c r="L139" s="307" t="n"/>
      <c r="M139" s="307" t="n"/>
      <c r="N139" s="307" t="n"/>
      <c r="O139" s="233" t="n"/>
      <c r="P139" s="233" t="n"/>
      <c r="Q139" s="233" t="n"/>
      <c r="R139" s="233" t="n"/>
      <c r="S139" s="233" t="n"/>
      <c r="T139" s="233" t="n"/>
      <c r="U139" s="233" t="n"/>
      <c r="V139" s="233" t="n"/>
      <c r="W139" s="233" t="n"/>
      <c r="X139" s="233" t="n"/>
      <c r="Y139" s="233" t="n"/>
      <c r="Z139" s="233" t="n"/>
      <c r="AA139" s="233" t="n"/>
      <c r="AB139" s="233" t="n"/>
      <c r="AC139" s="233" t="n"/>
      <c r="AD139" s="233" t="n"/>
      <c r="AE139" s="233" t="n"/>
      <c r="AF139" s="233" t="n"/>
      <c r="AG139" s="233" t="n"/>
      <c r="AH139" s="233" t="n"/>
      <c r="AI139" s="233" t="n"/>
      <c r="AJ139" s="233" t="n"/>
      <c r="AK139" s="233" t="n"/>
      <c r="AL139" s="233" t="n"/>
      <c r="AM139" s="233" t="n"/>
      <c r="AN139" s="233" t="n"/>
      <c r="AO139" s="233" t="n"/>
      <c r="AP139" s="233" t="n"/>
      <c r="AQ139" s="233" t="n"/>
      <c r="AR139" s="233" t="n"/>
      <c r="AS139" s="233" t="n"/>
      <c r="AT139" s="233" t="n"/>
      <c r="AU139" s="233" t="n"/>
      <c r="AV139" s="233" t="n"/>
      <c r="AW139" s="233" t="n"/>
      <c r="AX139" s="233" t="n"/>
      <c r="AY139" s="233" t="n"/>
      <c r="AZ139" s="233" t="n"/>
      <c r="BA139" s="233" t="n"/>
      <c r="BB139" s="233" t="n"/>
      <c r="BC139" s="233" t="n"/>
      <c r="BD139" s="233" t="n"/>
      <c r="BE139" s="233" t="n"/>
      <c r="BF139" s="233" t="n"/>
      <c r="BG139" s="233" t="n"/>
      <c r="BH139" s="233" t="n"/>
      <c r="BI139" s="233" t="n"/>
      <c r="BJ139" s="233" t="n"/>
      <c r="BK139" s="233" t="n"/>
      <c r="BL139" s="233" t="n"/>
      <c r="BM139" s="233" t="n"/>
    </row>
    <row r="140" ht="15.75" customHeight="1" s="349">
      <c r="A140" s="31" t="n"/>
      <c r="B140" s="307" t="n"/>
      <c r="C140" s="307" t="n"/>
      <c r="D140" s="146" t="n"/>
      <c r="E140" s="307" t="n"/>
      <c r="F140" s="307" t="n"/>
      <c r="G140" s="307" t="n"/>
      <c r="H140" s="307" t="n"/>
      <c r="I140" s="307" t="n"/>
      <c r="J140" s="307" t="n"/>
      <c r="K140" s="307" t="n"/>
      <c r="L140" s="307" t="n"/>
      <c r="M140" s="307" t="n"/>
      <c r="N140" s="307" t="n"/>
      <c r="O140" s="233" t="n"/>
      <c r="P140" s="233" t="n"/>
      <c r="Q140" s="233" t="n"/>
      <c r="R140" s="233" t="n"/>
      <c r="S140" s="233" t="n"/>
      <c r="T140" s="233" t="n"/>
      <c r="U140" s="233" t="n"/>
      <c r="V140" s="233" t="n"/>
      <c r="W140" s="233" t="n"/>
      <c r="X140" s="233" t="n"/>
      <c r="Y140" s="233" t="n"/>
      <c r="Z140" s="233" t="n"/>
      <c r="AA140" s="233" t="n"/>
      <c r="AB140" s="233" t="n"/>
      <c r="AC140" s="233" t="n"/>
      <c r="AD140" s="233" t="n"/>
      <c r="AE140" s="233" t="n"/>
      <c r="AF140" s="233" t="n"/>
      <c r="AG140" s="233" t="n"/>
      <c r="AH140" s="233" t="n"/>
      <c r="AI140" s="233" t="n"/>
      <c r="AJ140" s="233" t="n"/>
      <c r="AK140" s="233" t="n"/>
      <c r="AL140" s="233" t="n"/>
      <c r="AM140" s="233" t="n"/>
      <c r="AN140" s="233" t="n"/>
      <c r="AO140" s="233" t="n"/>
      <c r="AP140" s="233" t="n"/>
      <c r="AQ140" s="233" t="n"/>
      <c r="AR140" s="233" t="n"/>
      <c r="AS140" s="233" t="n"/>
      <c r="AT140" s="233" t="n"/>
      <c r="AU140" s="233" t="n"/>
      <c r="AV140" s="233" t="n"/>
      <c r="AW140" s="233" t="n"/>
      <c r="AX140" s="233" t="n"/>
      <c r="AY140" s="233" t="n"/>
      <c r="AZ140" s="233" t="n"/>
      <c r="BA140" s="233" t="n"/>
      <c r="BB140" s="233" t="n"/>
      <c r="BC140" s="233" t="n"/>
      <c r="BD140" s="233" t="n"/>
      <c r="BE140" s="233" t="n"/>
      <c r="BF140" s="233" t="n"/>
      <c r="BG140" s="233" t="n"/>
      <c r="BH140" s="233" t="n"/>
      <c r="BI140" s="233" t="n"/>
      <c r="BJ140" s="233" t="n"/>
      <c r="BK140" s="233" t="n"/>
      <c r="BL140" s="233" t="n"/>
      <c r="BM140" s="233" t="n"/>
    </row>
    <row r="141" ht="15.75" customHeight="1" s="349">
      <c r="A141" s="31" t="n"/>
      <c r="B141" s="307" t="n"/>
      <c r="C141" s="307" t="n"/>
      <c r="D141" s="146" t="n"/>
      <c r="E141" s="307" t="n"/>
      <c r="F141" s="307" t="n"/>
      <c r="G141" s="307" t="n"/>
      <c r="H141" s="307" t="n"/>
      <c r="I141" s="307" t="n"/>
      <c r="J141" s="307" t="n"/>
      <c r="K141" s="307" t="n"/>
      <c r="L141" s="307" t="n"/>
      <c r="M141" s="307" t="n"/>
      <c r="N141" s="307" t="n"/>
      <c r="O141" s="233" t="n"/>
      <c r="P141" s="233" t="n"/>
      <c r="Q141" s="233" t="n"/>
      <c r="R141" s="233" t="n"/>
      <c r="S141" s="233" t="n"/>
      <c r="T141" s="233" t="n"/>
      <c r="U141" s="233" t="n"/>
      <c r="V141" s="233" t="n"/>
      <c r="W141" s="233" t="n"/>
      <c r="X141" s="233" t="n"/>
      <c r="Y141" s="233" t="n"/>
      <c r="Z141" s="233" t="n"/>
      <c r="AA141" s="233" t="n"/>
      <c r="AB141" s="233" t="n"/>
      <c r="AC141" s="233" t="n"/>
      <c r="AD141" s="233" t="n"/>
      <c r="AE141" s="233" t="n"/>
      <c r="AF141" s="233" t="n"/>
      <c r="AG141" s="233" t="n"/>
      <c r="AH141" s="233" t="n"/>
      <c r="AI141" s="233" t="n"/>
      <c r="AJ141" s="233" t="n"/>
      <c r="AK141" s="233" t="n"/>
      <c r="AL141" s="233" t="n"/>
      <c r="AM141" s="233" t="n"/>
      <c r="AN141" s="233" t="n"/>
      <c r="AO141" s="233" t="n"/>
      <c r="AP141" s="233" t="n"/>
      <c r="AQ141" s="233" t="n"/>
      <c r="AR141" s="233" t="n"/>
      <c r="AS141" s="233" t="n"/>
      <c r="AT141" s="233" t="n"/>
      <c r="AU141" s="233" t="n"/>
      <c r="AV141" s="233" t="n"/>
      <c r="AW141" s="233" t="n"/>
      <c r="AX141" s="233" t="n"/>
      <c r="AY141" s="233" t="n"/>
      <c r="AZ141" s="233" t="n"/>
      <c r="BA141" s="233" t="n"/>
      <c r="BB141" s="233" t="n"/>
      <c r="BC141" s="233" t="n"/>
      <c r="BD141" s="233" t="n"/>
      <c r="BE141" s="233" t="n"/>
      <c r="BF141" s="233" t="n"/>
      <c r="BG141" s="233" t="n"/>
      <c r="BH141" s="233" t="n"/>
      <c r="BI141" s="233" t="n"/>
      <c r="BJ141" s="233" t="n"/>
      <c r="BK141" s="233" t="n"/>
      <c r="BL141" s="233" t="n"/>
      <c r="BM141" s="233" t="n"/>
    </row>
    <row r="142" ht="15.75" customHeight="1" s="349">
      <c r="A142" s="31" t="n"/>
      <c r="B142" s="307" t="n"/>
      <c r="C142" s="307" t="n"/>
      <c r="D142" s="146" t="n"/>
      <c r="E142" s="307" t="n"/>
      <c r="F142" s="307" t="n"/>
      <c r="G142" s="307" t="n"/>
      <c r="H142" s="307" t="n"/>
      <c r="I142" s="307" t="n"/>
      <c r="J142" s="307" t="n"/>
      <c r="K142" s="307" t="n"/>
      <c r="L142" s="307" t="n"/>
      <c r="M142" s="307" t="n"/>
      <c r="N142" s="307" t="n"/>
      <c r="O142" s="233" t="n"/>
      <c r="P142" s="233" t="n"/>
      <c r="Q142" s="233" t="n"/>
      <c r="R142" s="233" t="n"/>
      <c r="S142" s="233" t="n"/>
      <c r="T142" s="233" t="n"/>
      <c r="U142" s="233" t="n"/>
      <c r="V142" s="233" t="n"/>
      <c r="W142" s="233" t="n"/>
      <c r="X142" s="233" t="n"/>
      <c r="Y142" s="233" t="n"/>
      <c r="Z142" s="233" t="n"/>
      <c r="AA142" s="233" t="n"/>
      <c r="AB142" s="233" t="n"/>
      <c r="AC142" s="233" t="n"/>
      <c r="AD142" s="233" t="n"/>
      <c r="AE142" s="233" t="n"/>
      <c r="AF142" s="233" t="n"/>
      <c r="AG142" s="233" t="n"/>
      <c r="AH142" s="233" t="n"/>
      <c r="AI142" s="233" t="n"/>
      <c r="AJ142" s="233" t="n"/>
      <c r="AK142" s="233" t="n"/>
      <c r="AL142" s="233" t="n"/>
      <c r="AM142" s="233" t="n"/>
      <c r="AN142" s="233" t="n"/>
      <c r="AO142" s="233" t="n"/>
      <c r="AP142" s="233" t="n"/>
      <c r="AQ142" s="233" t="n"/>
      <c r="AR142" s="233" t="n"/>
      <c r="AS142" s="233" t="n"/>
      <c r="AT142" s="233" t="n"/>
      <c r="AU142" s="233" t="n"/>
      <c r="AV142" s="233" t="n"/>
      <c r="AW142" s="233" t="n"/>
      <c r="AX142" s="233" t="n"/>
      <c r="AY142" s="233" t="n"/>
      <c r="AZ142" s="233" t="n"/>
      <c r="BA142" s="233" t="n"/>
      <c r="BB142" s="233" t="n"/>
      <c r="BC142" s="233" t="n"/>
      <c r="BD142" s="233" t="n"/>
      <c r="BE142" s="233" t="n"/>
      <c r="BF142" s="233" t="n"/>
      <c r="BG142" s="233" t="n"/>
      <c r="BH142" s="233" t="n"/>
      <c r="BI142" s="233" t="n"/>
      <c r="BJ142" s="233" t="n"/>
      <c r="BK142" s="233" t="n"/>
      <c r="BL142" s="233" t="n"/>
      <c r="BM142" s="233" t="n"/>
    </row>
    <row r="143" ht="15.75" customHeight="1" s="349">
      <c r="A143" s="31" t="n"/>
      <c r="B143" s="307" t="n"/>
      <c r="C143" s="307" t="n"/>
      <c r="D143" s="146" t="n"/>
      <c r="E143" s="307" t="n"/>
      <c r="F143" s="307" t="n"/>
      <c r="G143" s="307" t="n"/>
      <c r="H143" s="307" t="n"/>
      <c r="I143" s="307" t="n"/>
      <c r="J143" s="307" t="n"/>
      <c r="K143" s="307" t="n"/>
      <c r="L143" s="307" t="n"/>
      <c r="M143" s="307" t="n"/>
      <c r="N143" s="307" t="n"/>
      <c r="O143" s="233" t="n"/>
      <c r="P143" s="233" t="n"/>
      <c r="Q143" s="233" t="n"/>
      <c r="R143" s="233" t="n"/>
      <c r="S143" s="233" t="n"/>
      <c r="T143" s="233" t="n"/>
      <c r="U143" s="233" t="n"/>
      <c r="V143" s="233" t="n"/>
      <c r="W143" s="233" t="n"/>
      <c r="X143" s="233" t="n"/>
      <c r="Y143" s="233" t="n"/>
      <c r="Z143" s="233" t="n"/>
      <c r="AA143" s="233" t="n"/>
      <c r="AB143" s="233" t="n"/>
      <c r="AC143" s="233" t="n"/>
      <c r="AD143" s="233" t="n"/>
      <c r="AE143" s="233" t="n"/>
      <c r="AF143" s="233" t="n"/>
      <c r="AG143" s="233" t="n"/>
      <c r="AH143" s="233" t="n"/>
      <c r="AI143" s="233" t="n"/>
      <c r="AJ143" s="233" t="n"/>
      <c r="AK143" s="233" t="n"/>
      <c r="AL143" s="233" t="n"/>
      <c r="AM143" s="233" t="n"/>
      <c r="AN143" s="233" t="n"/>
      <c r="AO143" s="233" t="n"/>
      <c r="AP143" s="233" t="n"/>
      <c r="AQ143" s="233" t="n"/>
      <c r="AR143" s="233" t="n"/>
      <c r="AS143" s="233" t="n"/>
      <c r="AT143" s="233" t="n"/>
      <c r="AU143" s="233" t="n"/>
      <c r="AV143" s="233" t="n"/>
      <c r="AW143" s="233" t="n"/>
      <c r="AX143" s="233" t="n"/>
      <c r="AY143" s="233" t="n"/>
      <c r="AZ143" s="233" t="n"/>
      <c r="BA143" s="233" t="n"/>
      <c r="BB143" s="233" t="n"/>
      <c r="BC143" s="233" t="n"/>
      <c r="BD143" s="233" t="n"/>
      <c r="BE143" s="233" t="n"/>
      <c r="BF143" s="233" t="n"/>
      <c r="BG143" s="233" t="n"/>
      <c r="BH143" s="233" t="n"/>
      <c r="BI143" s="233" t="n"/>
      <c r="BJ143" s="233" t="n"/>
      <c r="BK143" s="233" t="n"/>
      <c r="BL143" s="233" t="n"/>
      <c r="BM143" s="233" t="n"/>
    </row>
    <row r="144" ht="15.75" customHeight="1" s="349">
      <c r="A144" s="31" t="n"/>
      <c r="B144" s="307" t="n"/>
      <c r="C144" s="307" t="n"/>
      <c r="D144" s="146" t="n"/>
      <c r="E144" s="307" t="n"/>
      <c r="F144" s="307" t="n"/>
      <c r="G144" s="307" t="n"/>
      <c r="H144" s="307" t="n"/>
      <c r="I144" s="307" t="n"/>
      <c r="J144" s="307" t="n"/>
      <c r="K144" s="307" t="n"/>
      <c r="L144" s="307" t="n"/>
      <c r="M144" s="307" t="n"/>
      <c r="N144" s="307" t="n"/>
      <c r="O144" s="233" t="n"/>
      <c r="P144" s="233" t="n"/>
      <c r="Q144" s="233" t="n"/>
      <c r="R144" s="233" t="n"/>
      <c r="S144" s="233" t="n"/>
      <c r="T144" s="233" t="n"/>
      <c r="U144" s="233" t="n"/>
      <c r="V144" s="233" t="n"/>
      <c r="W144" s="233" t="n"/>
      <c r="X144" s="233" t="n"/>
      <c r="Y144" s="233" t="n"/>
      <c r="Z144" s="233" t="n"/>
      <c r="AA144" s="233" t="n"/>
      <c r="AB144" s="233" t="n"/>
      <c r="AC144" s="233" t="n"/>
      <c r="AD144" s="233" t="n"/>
      <c r="AE144" s="233" t="n"/>
      <c r="AF144" s="233" t="n"/>
      <c r="AG144" s="233" t="n"/>
      <c r="AH144" s="233" t="n"/>
      <c r="AI144" s="233" t="n"/>
      <c r="AJ144" s="233" t="n"/>
      <c r="AK144" s="233" t="n"/>
      <c r="AL144" s="233" t="n"/>
      <c r="AM144" s="233" t="n"/>
      <c r="AN144" s="233" t="n"/>
      <c r="AO144" s="233" t="n"/>
      <c r="AP144" s="233" t="n"/>
      <c r="AQ144" s="233" t="n"/>
      <c r="AR144" s="233" t="n"/>
      <c r="AS144" s="233" t="n"/>
      <c r="AT144" s="233" t="n"/>
      <c r="AU144" s="233" t="n"/>
      <c r="AV144" s="233" t="n"/>
      <c r="AW144" s="233" t="n"/>
      <c r="AX144" s="233" t="n"/>
      <c r="AY144" s="233" t="n"/>
      <c r="AZ144" s="233" t="n"/>
      <c r="BA144" s="233" t="n"/>
      <c r="BB144" s="233" t="n"/>
      <c r="BC144" s="233" t="n"/>
      <c r="BD144" s="233" t="n"/>
      <c r="BE144" s="233" t="n"/>
      <c r="BF144" s="233" t="n"/>
      <c r="BG144" s="233" t="n"/>
      <c r="BH144" s="233" t="n"/>
      <c r="BI144" s="233" t="n"/>
      <c r="BJ144" s="233" t="n"/>
      <c r="BK144" s="233" t="n"/>
      <c r="BL144" s="233" t="n"/>
      <c r="BM144" s="233" t="n"/>
    </row>
    <row r="145" ht="15.75" customHeight="1" s="349">
      <c r="A145" s="31" t="n"/>
      <c r="B145" s="307" t="n"/>
      <c r="C145" s="307" t="n"/>
      <c r="D145" s="146" t="n"/>
      <c r="E145" s="307" t="n"/>
      <c r="F145" s="307" t="n"/>
      <c r="G145" s="307" t="n"/>
      <c r="H145" s="307" t="n"/>
      <c r="I145" s="307" t="n"/>
      <c r="J145" s="307" t="n"/>
      <c r="K145" s="307" t="n"/>
      <c r="L145" s="307" t="n"/>
      <c r="M145" s="307" t="n"/>
      <c r="N145" s="307" t="n"/>
      <c r="O145" s="233" t="n"/>
      <c r="P145" s="233" t="n"/>
      <c r="Q145" s="233" t="n"/>
      <c r="R145" s="233" t="n"/>
      <c r="S145" s="233" t="n"/>
      <c r="T145" s="233" t="n"/>
      <c r="U145" s="233" t="n"/>
      <c r="V145" s="233" t="n"/>
      <c r="W145" s="233" t="n"/>
      <c r="X145" s="233" t="n"/>
      <c r="Y145" s="233" t="n"/>
      <c r="Z145" s="233" t="n"/>
      <c r="AA145" s="233" t="n"/>
      <c r="AB145" s="233" t="n"/>
      <c r="AC145" s="233" t="n"/>
      <c r="AD145" s="233" t="n"/>
      <c r="AE145" s="233" t="n"/>
      <c r="AF145" s="233" t="n"/>
      <c r="AG145" s="233" t="n"/>
      <c r="AH145" s="233" t="n"/>
      <c r="AI145" s="233" t="n"/>
      <c r="AJ145" s="233" t="n"/>
      <c r="AK145" s="233" t="n"/>
      <c r="AL145" s="233" t="n"/>
      <c r="AM145" s="233" t="n"/>
      <c r="AN145" s="233" t="n"/>
      <c r="AO145" s="233" t="n"/>
      <c r="AP145" s="233" t="n"/>
      <c r="AQ145" s="233" t="n"/>
      <c r="AR145" s="233" t="n"/>
      <c r="AS145" s="233" t="n"/>
      <c r="AT145" s="233" t="n"/>
      <c r="AU145" s="233" t="n"/>
      <c r="AV145" s="233" t="n"/>
      <c r="AW145" s="233" t="n"/>
      <c r="AX145" s="233" t="n"/>
      <c r="AY145" s="233" t="n"/>
      <c r="AZ145" s="233" t="n"/>
      <c r="BA145" s="233" t="n"/>
      <c r="BB145" s="233" t="n"/>
      <c r="BC145" s="233" t="n"/>
      <c r="BD145" s="233" t="n"/>
      <c r="BE145" s="233" t="n"/>
      <c r="BF145" s="233" t="n"/>
      <c r="BG145" s="233" t="n"/>
      <c r="BH145" s="233" t="n"/>
      <c r="BI145" s="233" t="n"/>
      <c r="BJ145" s="233" t="n"/>
      <c r="BK145" s="233" t="n"/>
      <c r="BL145" s="233" t="n"/>
      <c r="BM145" s="233" t="n"/>
    </row>
    <row r="146" ht="15.75" customHeight="1" s="349">
      <c r="A146" s="31" t="n"/>
      <c r="B146" s="307" t="n"/>
      <c r="C146" s="307" t="n"/>
      <c r="D146" s="146" t="n"/>
      <c r="E146" s="307" t="n"/>
      <c r="F146" s="307" t="n"/>
      <c r="G146" s="307" t="n"/>
      <c r="H146" s="307" t="n"/>
      <c r="I146" s="307" t="n"/>
      <c r="J146" s="307" t="n"/>
      <c r="K146" s="307" t="n"/>
      <c r="L146" s="307" t="n"/>
      <c r="M146" s="307" t="n"/>
      <c r="N146" s="307" t="n"/>
      <c r="O146" s="233" t="n"/>
      <c r="P146" s="233" t="n"/>
      <c r="Q146" s="233" t="n"/>
      <c r="R146" s="233" t="n"/>
      <c r="S146" s="233" t="n"/>
      <c r="T146" s="233" t="n"/>
      <c r="U146" s="233" t="n"/>
      <c r="V146" s="233" t="n"/>
      <c r="W146" s="233" t="n"/>
      <c r="X146" s="233" t="n"/>
      <c r="Y146" s="233" t="n"/>
      <c r="Z146" s="233" t="n"/>
      <c r="AA146" s="233" t="n"/>
      <c r="AB146" s="233" t="n"/>
      <c r="AC146" s="233" t="n"/>
      <c r="AD146" s="233" t="n"/>
      <c r="AE146" s="233" t="n"/>
      <c r="AF146" s="233" t="n"/>
      <c r="AG146" s="233" t="n"/>
      <c r="AH146" s="233" t="n"/>
      <c r="AI146" s="233" t="n"/>
      <c r="AJ146" s="233" t="n"/>
      <c r="AK146" s="233" t="n"/>
      <c r="AL146" s="233" t="n"/>
      <c r="AM146" s="233" t="n"/>
      <c r="AN146" s="233" t="n"/>
      <c r="AO146" s="233" t="n"/>
      <c r="AP146" s="233" t="n"/>
      <c r="AQ146" s="233" t="n"/>
      <c r="AR146" s="233" t="n"/>
      <c r="AS146" s="233" t="n"/>
      <c r="AT146" s="233" t="n"/>
      <c r="AU146" s="233" t="n"/>
      <c r="AV146" s="233" t="n"/>
      <c r="AW146" s="233" t="n"/>
      <c r="AX146" s="233" t="n"/>
      <c r="AY146" s="233" t="n"/>
      <c r="AZ146" s="233" t="n"/>
      <c r="BA146" s="233" t="n"/>
      <c r="BB146" s="233" t="n"/>
      <c r="BC146" s="233" t="n"/>
      <c r="BD146" s="233" t="n"/>
      <c r="BE146" s="233" t="n"/>
      <c r="BF146" s="233" t="n"/>
      <c r="BG146" s="233" t="n"/>
      <c r="BH146" s="233" t="n"/>
      <c r="BI146" s="233" t="n"/>
      <c r="BJ146" s="233" t="n"/>
      <c r="BK146" s="233" t="n"/>
      <c r="BL146" s="233" t="n"/>
      <c r="BM146" s="233" t="n"/>
    </row>
    <row r="147" ht="15.75" customHeight="1" s="349">
      <c r="A147" s="31" t="n"/>
      <c r="B147" s="307" t="n"/>
      <c r="C147" s="307" t="n"/>
      <c r="D147" s="146" t="n"/>
      <c r="E147" s="307" t="n"/>
      <c r="F147" s="307" t="n"/>
      <c r="G147" s="307" t="n"/>
      <c r="H147" s="307" t="n"/>
      <c r="I147" s="307" t="n"/>
      <c r="J147" s="307" t="n"/>
      <c r="K147" s="307" t="n"/>
      <c r="L147" s="307" t="n"/>
      <c r="M147" s="307" t="n"/>
      <c r="N147" s="307" t="n"/>
      <c r="O147" s="233" t="n"/>
      <c r="P147" s="233" t="n"/>
      <c r="Q147" s="233" t="n"/>
      <c r="R147" s="233" t="n"/>
      <c r="S147" s="233" t="n"/>
      <c r="T147" s="233" t="n"/>
      <c r="U147" s="233" t="n"/>
      <c r="V147" s="233" t="n"/>
      <c r="W147" s="233" t="n"/>
      <c r="X147" s="233" t="n"/>
      <c r="Y147" s="233" t="n"/>
      <c r="Z147" s="233" t="n"/>
      <c r="AA147" s="233" t="n"/>
      <c r="AB147" s="233" t="n"/>
      <c r="AC147" s="233" t="n"/>
      <c r="AD147" s="233" t="n"/>
      <c r="AE147" s="233" t="n"/>
      <c r="AF147" s="233" t="n"/>
      <c r="AG147" s="233" t="n"/>
      <c r="AH147" s="233" t="n"/>
      <c r="AI147" s="233" t="n"/>
      <c r="AJ147" s="233" t="n"/>
      <c r="AK147" s="233" t="n"/>
      <c r="AL147" s="233" t="n"/>
      <c r="AM147" s="233" t="n"/>
      <c r="AN147" s="233" t="n"/>
      <c r="AO147" s="233" t="n"/>
      <c r="AP147" s="233" t="n"/>
      <c r="AQ147" s="233" t="n"/>
      <c r="AR147" s="233" t="n"/>
      <c r="AS147" s="233" t="n"/>
      <c r="AT147" s="233" t="n"/>
      <c r="AU147" s="233" t="n"/>
      <c r="AV147" s="233" t="n"/>
      <c r="AW147" s="233" t="n"/>
      <c r="AX147" s="233" t="n"/>
      <c r="AY147" s="233" t="n"/>
      <c r="AZ147" s="233" t="n"/>
      <c r="BA147" s="233" t="n"/>
      <c r="BB147" s="233" t="n"/>
      <c r="BC147" s="233" t="n"/>
      <c r="BD147" s="233" t="n"/>
      <c r="BE147" s="233" t="n"/>
      <c r="BF147" s="233" t="n"/>
      <c r="BG147" s="233" t="n"/>
      <c r="BH147" s="233" t="n"/>
      <c r="BI147" s="233" t="n"/>
      <c r="BJ147" s="233" t="n"/>
      <c r="BK147" s="233" t="n"/>
      <c r="BL147" s="233" t="n"/>
      <c r="BM147" s="233" t="n"/>
    </row>
    <row r="148" ht="15.75" customHeight="1" s="349">
      <c r="A148" s="31" t="n"/>
      <c r="B148" s="307" t="n"/>
      <c r="C148" s="307" t="n"/>
      <c r="D148" s="146" t="n"/>
      <c r="E148" s="307" t="n"/>
      <c r="F148" s="307" t="n"/>
      <c r="G148" s="307" t="n"/>
      <c r="H148" s="307" t="n"/>
      <c r="I148" s="307" t="n"/>
      <c r="J148" s="307" t="n"/>
      <c r="K148" s="307" t="n"/>
      <c r="L148" s="307" t="n"/>
      <c r="M148" s="307" t="n"/>
      <c r="N148" s="307" t="n"/>
      <c r="O148" s="233" t="n"/>
      <c r="P148" s="233" t="n"/>
      <c r="Q148" s="233" t="n"/>
      <c r="R148" s="233" t="n"/>
      <c r="S148" s="233" t="n"/>
      <c r="T148" s="233" t="n"/>
      <c r="U148" s="233" t="n"/>
      <c r="V148" s="233" t="n"/>
      <c r="W148" s="233" t="n"/>
      <c r="X148" s="233" t="n"/>
      <c r="Y148" s="233" t="n"/>
      <c r="Z148" s="233" t="n"/>
      <c r="AA148" s="233" t="n"/>
      <c r="AB148" s="233" t="n"/>
      <c r="AC148" s="233" t="n"/>
      <c r="AD148" s="233" t="n"/>
      <c r="AE148" s="233" t="n"/>
      <c r="AF148" s="233" t="n"/>
      <c r="AG148" s="233" t="n"/>
      <c r="AH148" s="233" t="n"/>
      <c r="AI148" s="233" t="n"/>
      <c r="AJ148" s="233" t="n"/>
      <c r="AK148" s="233" t="n"/>
      <c r="AL148" s="233" t="n"/>
      <c r="AM148" s="233" t="n"/>
      <c r="AN148" s="233" t="n"/>
      <c r="AO148" s="233" t="n"/>
      <c r="AP148" s="233" t="n"/>
      <c r="AQ148" s="233" t="n"/>
      <c r="AR148" s="233" t="n"/>
      <c r="AS148" s="233" t="n"/>
      <c r="AT148" s="233" t="n"/>
      <c r="AU148" s="233" t="n"/>
      <c r="AV148" s="233" t="n"/>
      <c r="AW148" s="233" t="n"/>
      <c r="AX148" s="233" t="n"/>
      <c r="AY148" s="233" t="n"/>
      <c r="AZ148" s="233" t="n"/>
      <c r="BA148" s="233" t="n"/>
      <c r="BB148" s="233" t="n"/>
      <c r="BC148" s="233" t="n"/>
      <c r="BD148" s="233" t="n"/>
      <c r="BE148" s="233" t="n"/>
      <c r="BF148" s="233" t="n"/>
      <c r="BG148" s="233" t="n"/>
      <c r="BH148" s="233" t="n"/>
      <c r="BI148" s="233" t="n"/>
      <c r="BJ148" s="233" t="n"/>
      <c r="BK148" s="233" t="n"/>
      <c r="BL148" s="233" t="n"/>
      <c r="BM148" s="233" t="n"/>
    </row>
    <row r="149" ht="15.75" customHeight="1" s="349">
      <c r="A149" s="31" t="n"/>
      <c r="B149" s="307" t="n"/>
      <c r="C149" s="307" t="n"/>
      <c r="D149" s="146" t="n"/>
      <c r="E149" s="307" t="n"/>
      <c r="F149" s="307" t="n"/>
      <c r="G149" s="307" t="n"/>
      <c r="H149" s="307" t="n"/>
      <c r="I149" s="307" t="n"/>
      <c r="J149" s="307" t="n"/>
      <c r="K149" s="307" t="n"/>
      <c r="L149" s="307" t="n"/>
      <c r="M149" s="307" t="n"/>
      <c r="N149" s="307" t="n"/>
      <c r="O149" s="233" t="n"/>
      <c r="P149" s="233" t="n"/>
      <c r="Q149" s="233" t="n"/>
      <c r="R149" s="233" t="n"/>
      <c r="S149" s="233" t="n"/>
      <c r="T149" s="233" t="n"/>
      <c r="U149" s="233" t="n"/>
      <c r="V149" s="233" t="n"/>
      <c r="W149" s="233" t="n"/>
      <c r="X149" s="233" t="n"/>
      <c r="Y149" s="233" t="n"/>
      <c r="Z149" s="233" t="n"/>
      <c r="AA149" s="233" t="n"/>
      <c r="AB149" s="233" t="n"/>
      <c r="AC149" s="233" t="n"/>
      <c r="AD149" s="233" t="n"/>
      <c r="AE149" s="233" t="n"/>
      <c r="AF149" s="233" t="n"/>
      <c r="AG149" s="233" t="n"/>
      <c r="AH149" s="233" t="n"/>
      <c r="AI149" s="233" t="n"/>
      <c r="AJ149" s="233" t="n"/>
      <c r="AK149" s="233" t="n"/>
      <c r="AL149" s="233" t="n"/>
      <c r="AM149" s="233" t="n"/>
      <c r="AN149" s="233" t="n"/>
      <c r="AO149" s="233" t="n"/>
      <c r="AP149" s="233" t="n"/>
      <c r="AQ149" s="233" t="n"/>
      <c r="AR149" s="233" t="n"/>
      <c r="AS149" s="233" t="n"/>
      <c r="AT149" s="233" t="n"/>
      <c r="AU149" s="233" t="n"/>
      <c r="AV149" s="233" t="n"/>
      <c r="AW149" s="233" t="n"/>
      <c r="AX149" s="233" t="n"/>
      <c r="AY149" s="233" t="n"/>
      <c r="AZ149" s="233" t="n"/>
      <c r="BA149" s="233" t="n"/>
      <c r="BB149" s="233" t="n"/>
      <c r="BC149" s="233" t="n"/>
      <c r="BD149" s="233" t="n"/>
      <c r="BE149" s="233" t="n"/>
      <c r="BF149" s="233" t="n"/>
      <c r="BG149" s="233" t="n"/>
      <c r="BH149" s="233" t="n"/>
      <c r="BI149" s="233" t="n"/>
      <c r="BJ149" s="233" t="n"/>
      <c r="BK149" s="233" t="n"/>
      <c r="BL149" s="233" t="n"/>
      <c r="BM149" s="233" t="n"/>
    </row>
    <row r="150" ht="15.75" customHeight="1" s="349">
      <c r="A150" s="31" t="n"/>
      <c r="B150" s="307" t="n"/>
      <c r="C150" s="307" t="n"/>
      <c r="D150" s="146" t="n"/>
      <c r="E150" s="307" t="n"/>
      <c r="F150" s="307" t="n"/>
      <c r="G150" s="307" t="n"/>
      <c r="H150" s="307" t="n"/>
      <c r="I150" s="307" t="n"/>
      <c r="J150" s="307" t="n"/>
      <c r="K150" s="307" t="n"/>
      <c r="L150" s="307" t="n"/>
      <c r="M150" s="307" t="n"/>
      <c r="N150" s="307" t="n"/>
      <c r="O150" s="233" t="n"/>
      <c r="P150" s="233" t="n"/>
      <c r="Q150" s="233" t="n"/>
      <c r="R150" s="233" t="n"/>
      <c r="S150" s="233" t="n"/>
      <c r="T150" s="233" t="n"/>
      <c r="U150" s="233" t="n"/>
      <c r="V150" s="233" t="n"/>
      <c r="W150" s="233" t="n"/>
      <c r="X150" s="233" t="n"/>
      <c r="Y150" s="233" t="n"/>
      <c r="Z150" s="233" t="n"/>
      <c r="AA150" s="233" t="n"/>
      <c r="AB150" s="233" t="n"/>
      <c r="AC150" s="233" t="n"/>
      <c r="AD150" s="233" t="n"/>
      <c r="AE150" s="233" t="n"/>
      <c r="AF150" s="233" t="n"/>
      <c r="AG150" s="233" t="n"/>
      <c r="AH150" s="233" t="n"/>
      <c r="AI150" s="233" t="n"/>
      <c r="AJ150" s="233" t="n"/>
      <c r="AK150" s="233" t="n"/>
      <c r="AL150" s="233" t="n"/>
      <c r="AM150" s="233" t="n"/>
      <c r="AN150" s="233" t="n"/>
      <c r="AO150" s="233" t="n"/>
      <c r="AP150" s="233" t="n"/>
      <c r="AQ150" s="233" t="n"/>
      <c r="AR150" s="233" t="n"/>
      <c r="AS150" s="233" t="n"/>
      <c r="AT150" s="233" t="n"/>
      <c r="AU150" s="233" t="n"/>
      <c r="AV150" s="233" t="n"/>
      <c r="AW150" s="233" t="n"/>
      <c r="AX150" s="233" t="n"/>
      <c r="AY150" s="233" t="n"/>
      <c r="AZ150" s="233" t="n"/>
      <c r="BA150" s="233" t="n"/>
      <c r="BB150" s="233" t="n"/>
      <c r="BC150" s="233" t="n"/>
      <c r="BD150" s="233" t="n"/>
      <c r="BE150" s="233" t="n"/>
      <c r="BF150" s="233" t="n"/>
      <c r="BG150" s="233" t="n"/>
      <c r="BH150" s="233" t="n"/>
      <c r="BI150" s="233" t="n"/>
      <c r="BJ150" s="233" t="n"/>
      <c r="BK150" s="233" t="n"/>
      <c r="BL150" s="233" t="n"/>
      <c r="BM150" s="233" t="n"/>
    </row>
    <row r="151" ht="15.75" customHeight="1" s="349">
      <c r="A151" s="31" t="n"/>
      <c r="B151" s="307" t="n"/>
      <c r="C151" s="307" t="n"/>
      <c r="D151" s="146" t="n"/>
      <c r="E151" s="307" t="n"/>
      <c r="F151" s="307" t="n"/>
      <c r="G151" s="307" t="n"/>
      <c r="H151" s="307" t="n"/>
      <c r="I151" s="307" t="n"/>
      <c r="J151" s="307" t="n"/>
      <c r="K151" s="307" t="n"/>
      <c r="L151" s="307" t="n"/>
      <c r="M151" s="307" t="n"/>
      <c r="N151" s="307" t="n"/>
      <c r="O151" s="233" t="n"/>
      <c r="P151" s="233" t="n"/>
      <c r="Q151" s="233" t="n"/>
      <c r="R151" s="233" t="n"/>
      <c r="S151" s="233" t="n"/>
      <c r="T151" s="233" t="n"/>
      <c r="U151" s="233" t="n"/>
      <c r="V151" s="233" t="n"/>
      <c r="W151" s="233" t="n"/>
      <c r="X151" s="233" t="n"/>
      <c r="Y151" s="233" t="n"/>
      <c r="Z151" s="233" t="n"/>
      <c r="AA151" s="233" t="n"/>
      <c r="AB151" s="233" t="n"/>
      <c r="AC151" s="233" t="n"/>
      <c r="AD151" s="233" t="n"/>
      <c r="AE151" s="233" t="n"/>
      <c r="AF151" s="233" t="n"/>
      <c r="AG151" s="233" t="n"/>
      <c r="AH151" s="233" t="n"/>
      <c r="AI151" s="233" t="n"/>
      <c r="AJ151" s="233" t="n"/>
      <c r="AK151" s="233" t="n"/>
      <c r="AL151" s="233" t="n"/>
      <c r="AM151" s="233" t="n"/>
      <c r="AN151" s="233" t="n"/>
      <c r="AO151" s="233" t="n"/>
      <c r="AP151" s="233" t="n"/>
      <c r="AQ151" s="233" t="n"/>
      <c r="AR151" s="233" t="n"/>
      <c r="AS151" s="233" t="n"/>
      <c r="AT151" s="233" t="n"/>
      <c r="AU151" s="233" t="n"/>
      <c r="AV151" s="233" t="n"/>
      <c r="AW151" s="233" t="n"/>
      <c r="AX151" s="233" t="n"/>
      <c r="AY151" s="233" t="n"/>
      <c r="AZ151" s="233" t="n"/>
      <c r="BA151" s="233" t="n"/>
      <c r="BB151" s="233" t="n"/>
      <c r="BC151" s="233" t="n"/>
      <c r="BD151" s="233" t="n"/>
      <c r="BE151" s="233" t="n"/>
      <c r="BF151" s="233" t="n"/>
      <c r="BG151" s="233" t="n"/>
      <c r="BH151" s="233" t="n"/>
      <c r="BI151" s="233" t="n"/>
      <c r="BJ151" s="233" t="n"/>
      <c r="BK151" s="233" t="n"/>
      <c r="BL151" s="233" t="n"/>
      <c r="BM151" s="233" t="n"/>
    </row>
    <row r="152" ht="15.75" customHeight="1" s="349">
      <c r="A152" s="31" t="n"/>
      <c r="B152" s="307" t="n"/>
      <c r="C152" s="307" t="n"/>
      <c r="D152" s="146" t="n"/>
      <c r="E152" s="307" t="n"/>
      <c r="F152" s="307" t="n"/>
      <c r="G152" s="307" t="n"/>
      <c r="H152" s="307" t="n"/>
      <c r="I152" s="307" t="n"/>
      <c r="J152" s="307" t="n"/>
      <c r="K152" s="307" t="n"/>
      <c r="L152" s="307" t="n"/>
      <c r="M152" s="307" t="n"/>
      <c r="N152" s="307" t="n"/>
      <c r="O152" s="233" t="n"/>
      <c r="P152" s="233" t="n"/>
      <c r="Q152" s="233" t="n"/>
      <c r="R152" s="233" t="n"/>
      <c r="S152" s="233" t="n"/>
      <c r="T152" s="233" t="n"/>
      <c r="U152" s="233" t="n"/>
      <c r="V152" s="233" t="n"/>
      <c r="W152" s="233" t="n"/>
      <c r="X152" s="233" t="n"/>
      <c r="Y152" s="233" t="n"/>
      <c r="Z152" s="233" t="n"/>
      <c r="AA152" s="233" t="n"/>
      <c r="AB152" s="233" t="n"/>
      <c r="AC152" s="233" t="n"/>
      <c r="AD152" s="233" t="n"/>
      <c r="AE152" s="233" t="n"/>
      <c r="AF152" s="233" t="n"/>
      <c r="AG152" s="233" t="n"/>
      <c r="AH152" s="233" t="n"/>
      <c r="AI152" s="233" t="n"/>
      <c r="AJ152" s="233" t="n"/>
      <c r="AK152" s="233" t="n"/>
      <c r="AL152" s="233" t="n"/>
      <c r="AM152" s="233" t="n"/>
      <c r="AN152" s="233" t="n"/>
      <c r="AO152" s="233" t="n"/>
      <c r="AP152" s="233" t="n"/>
      <c r="AQ152" s="233" t="n"/>
      <c r="AR152" s="233" t="n"/>
      <c r="AS152" s="233" t="n"/>
      <c r="AT152" s="233" t="n"/>
      <c r="AU152" s="233" t="n"/>
      <c r="AV152" s="233" t="n"/>
      <c r="AW152" s="233" t="n"/>
      <c r="AX152" s="233" t="n"/>
      <c r="AY152" s="233" t="n"/>
      <c r="AZ152" s="233" t="n"/>
      <c r="BA152" s="233" t="n"/>
      <c r="BB152" s="233" t="n"/>
      <c r="BC152" s="233" t="n"/>
      <c r="BD152" s="233" t="n"/>
      <c r="BE152" s="233" t="n"/>
      <c r="BF152" s="233" t="n"/>
      <c r="BG152" s="233" t="n"/>
      <c r="BH152" s="233" t="n"/>
      <c r="BI152" s="233" t="n"/>
      <c r="BJ152" s="233" t="n"/>
      <c r="BK152" s="233" t="n"/>
      <c r="BL152" s="233" t="n"/>
      <c r="BM152" s="233" t="n"/>
    </row>
    <row r="153" ht="15.75" customHeight="1" s="349">
      <c r="A153" s="31" t="n"/>
      <c r="B153" s="307" t="n"/>
      <c r="C153" s="307" t="n"/>
      <c r="D153" s="146" t="n"/>
      <c r="E153" s="307" t="n"/>
      <c r="F153" s="307" t="n"/>
      <c r="G153" s="307" t="n"/>
      <c r="H153" s="307" t="n"/>
      <c r="I153" s="307" t="n"/>
      <c r="J153" s="307" t="n"/>
      <c r="K153" s="307" t="n"/>
      <c r="L153" s="307" t="n"/>
      <c r="M153" s="307" t="n"/>
      <c r="N153" s="307" t="n"/>
      <c r="O153" s="233" t="n"/>
      <c r="P153" s="233" t="n"/>
      <c r="Q153" s="233" t="n"/>
      <c r="R153" s="233" t="n"/>
      <c r="S153" s="233" t="n"/>
      <c r="T153" s="233" t="n"/>
      <c r="U153" s="233" t="n"/>
      <c r="V153" s="233" t="n"/>
      <c r="W153" s="233" t="n"/>
      <c r="X153" s="233" t="n"/>
      <c r="Y153" s="233" t="n"/>
      <c r="Z153" s="233" t="n"/>
      <c r="AA153" s="233" t="n"/>
      <c r="AB153" s="233" t="n"/>
      <c r="AC153" s="233" t="n"/>
      <c r="AD153" s="233" t="n"/>
      <c r="AE153" s="233" t="n"/>
      <c r="AF153" s="233" t="n"/>
      <c r="AG153" s="233" t="n"/>
      <c r="AH153" s="233" t="n"/>
      <c r="AI153" s="233" t="n"/>
      <c r="AJ153" s="233" t="n"/>
      <c r="AK153" s="233" t="n"/>
      <c r="AL153" s="233" t="n"/>
      <c r="AM153" s="233" t="n"/>
      <c r="AN153" s="233" t="n"/>
      <c r="AO153" s="233" t="n"/>
      <c r="AP153" s="233" t="n"/>
      <c r="AQ153" s="233" t="n"/>
      <c r="AR153" s="233" t="n"/>
      <c r="AS153" s="233" t="n"/>
      <c r="AT153" s="233" t="n"/>
      <c r="AU153" s="233" t="n"/>
      <c r="AV153" s="233" t="n"/>
      <c r="AW153" s="233" t="n"/>
      <c r="AX153" s="233" t="n"/>
      <c r="AY153" s="233" t="n"/>
      <c r="AZ153" s="233" t="n"/>
      <c r="BA153" s="233" t="n"/>
      <c r="BB153" s="233" t="n"/>
      <c r="BC153" s="233" t="n"/>
      <c r="BD153" s="233" t="n"/>
      <c r="BE153" s="233" t="n"/>
      <c r="BF153" s="233" t="n"/>
      <c r="BG153" s="233" t="n"/>
      <c r="BH153" s="233" t="n"/>
      <c r="BI153" s="233" t="n"/>
      <c r="BJ153" s="233" t="n"/>
      <c r="BK153" s="233" t="n"/>
      <c r="BL153" s="233" t="n"/>
      <c r="BM153" s="233" t="n"/>
    </row>
    <row r="154" ht="15.75" customHeight="1" s="349">
      <c r="A154" s="31" t="n"/>
      <c r="B154" s="307" t="n"/>
      <c r="C154" s="307" t="n"/>
      <c r="D154" s="146" t="n"/>
      <c r="E154" s="307" t="n"/>
      <c r="F154" s="307" t="n"/>
      <c r="G154" s="307" t="n"/>
      <c r="H154" s="307" t="n"/>
      <c r="I154" s="307" t="n"/>
      <c r="J154" s="307" t="n"/>
      <c r="K154" s="307" t="n"/>
      <c r="L154" s="307" t="n"/>
      <c r="M154" s="307" t="n"/>
      <c r="N154" s="307" t="n"/>
      <c r="O154" s="233" t="n"/>
      <c r="P154" s="233" t="n"/>
      <c r="Q154" s="233" t="n"/>
      <c r="R154" s="233" t="n"/>
      <c r="S154" s="233" t="n"/>
      <c r="T154" s="233" t="n"/>
      <c r="U154" s="233" t="n"/>
      <c r="V154" s="233" t="n"/>
      <c r="W154" s="233" t="n"/>
      <c r="X154" s="233" t="n"/>
      <c r="Y154" s="233" t="n"/>
      <c r="Z154" s="233" t="n"/>
      <c r="AA154" s="233" t="n"/>
      <c r="AB154" s="233" t="n"/>
      <c r="AC154" s="233" t="n"/>
      <c r="AD154" s="233" t="n"/>
      <c r="AE154" s="233" t="n"/>
      <c r="AF154" s="233" t="n"/>
      <c r="AG154" s="233" t="n"/>
      <c r="AH154" s="233" t="n"/>
      <c r="AI154" s="233" t="n"/>
      <c r="AJ154" s="233" t="n"/>
      <c r="AK154" s="233" t="n"/>
      <c r="AL154" s="233" t="n"/>
      <c r="AM154" s="233" t="n"/>
      <c r="AN154" s="233" t="n"/>
      <c r="AO154" s="233" t="n"/>
      <c r="AP154" s="233" t="n"/>
      <c r="AQ154" s="233" t="n"/>
      <c r="AR154" s="233" t="n"/>
      <c r="AS154" s="233" t="n"/>
      <c r="AT154" s="233" t="n"/>
      <c r="AU154" s="233" t="n"/>
      <c r="AV154" s="233" t="n"/>
      <c r="AW154" s="233" t="n"/>
      <c r="AX154" s="233" t="n"/>
      <c r="AY154" s="233" t="n"/>
      <c r="AZ154" s="233" t="n"/>
      <c r="BA154" s="233" t="n"/>
      <c r="BB154" s="233" t="n"/>
      <c r="BC154" s="233" t="n"/>
      <c r="BD154" s="233" t="n"/>
      <c r="BE154" s="233" t="n"/>
      <c r="BF154" s="233" t="n"/>
      <c r="BG154" s="233" t="n"/>
      <c r="BH154" s="233" t="n"/>
      <c r="BI154" s="233" t="n"/>
      <c r="BJ154" s="233" t="n"/>
      <c r="BK154" s="233" t="n"/>
      <c r="BL154" s="233" t="n"/>
      <c r="BM154" s="233" t="n"/>
    </row>
    <row r="155" ht="15.75" customHeight="1" s="349">
      <c r="A155" s="31" t="n"/>
      <c r="B155" s="307" t="n"/>
      <c r="C155" s="307" t="n"/>
      <c r="D155" s="146" t="n"/>
      <c r="E155" s="307" t="n"/>
      <c r="F155" s="307" t="n"/>
      <c r="G155" s="307" t="n"/>
      <c r="H155" s="307" t="n"/>
      <c r="I155" s="307" t="n"/>
      <c r="J155" s="307" t="n"/>
      <c r="K155" s="307" t="n"/>
      <c r="L155" s="307" t="n"/>
      <c r="M155" s="307" t="n"/>
      <c r="N155" s="307" t="n"/>
      <c r="O155" s="233" t="n"/>
      <c r="P155" s="233" t="n"/>
      <c r="Q155" s="233" t="n"/>
      <c r="R155" s="233" t="n"/>
      <c r="S155" s="233" t="n"/>
      <c r="T155" s="233" t="n"/>
      <c r="U155" s="233" t="n"/>
      <c r="V155" s="233" t="n"/>
      <c r="W155" s="233" t="n"/>
      <c r="X155" s="233" t="n"/>
      <c r="Y155" s="233" t="n"/>
      <c r="Z155" s="233" t="n"/>
      <c r="AA155" s="233" t="n"/>
      <c r="AB155" s="233" t="n"/>
      <c r="AC155" s="233" t="n"/>
      <c r="AD155" s="233" t="n"/>
      <c r="AE155" s="233" t="n"/>
      <c r="AF155" s="233" t="n"/>
      <c r="AG155" s="233" t="n"/>
      <c r="AH155" s="233" t="n"/>
      <c r="AI155" s="233" t="n"/>
      <c r="AJ155" s="233" t="n"/>
      <c r="AK155" s="233" t="n"/>
      <c r="AL155" s="233" t="n"/>
      <c r="AM155" s="233" t="n"/>
      <c r="AN155" s="233" t="n"/>
      <c r="AO155" s="233" t="n"/>
      <c r="AP155" s="233" t="n"/>
      <c r="AQ155" s="233" t="n"/>
      <c r="AR155" s="233" t="n"/>
      <c r="AS155" s="233" t="n"/>
      <c r="AT155" s="233" t="n"/>
      <c r="AU155" s="233" t="n"/>
      <c r="AV155" s="233" t="n"/>
      <c r="AW155" s="233" t="n"/>
      <c r="AX155" s="233" t="n"/>
      <c r="AY155" s="233" t="n"/>
      <c r="AZ155" s="233" t="n"/>
      <c r="BA155" s="233" t="n"/>
      <c r="BB155" s="233" t="n"/>
      <c r="BC155" s="233" t="n"/>
      <c r="BD155" s="233" t="n"/>
      <c r="BE155" s="233" t="n"/>
      <c r="BF155" s="233" t="n"/>
      <c r="BG155" s="233" t="n"/>
      <c r="BH155" s="233" t="n"/>
      <c r="BI155" s="233" t="n"/>
      <c r="BJ155" s="233" t="n"/>
      <c r="BK155" s="233" t="n"/>
      <c r="BL155" s="233" t="n"/>
      <c r="BM155" s="233" t="n"/>
    </row>
    <row r="156" ht="15.75" customHeight="1" s="349">
      <c r="A156" s="31" t="n"/>
      <c r="B156" s="307" t="n"/>
      <c r="C156" s="307" t="n"/>
      <c r="D156" s="146" t="n"/>
      <c r="E156" s="307" t="n"/>
      <c r="F156" s="307" t="n"/>
      <c r="G156" s="307" t="n"/>
      <c r="H156" s="307" t="n"/>
      <c r="I156" s="307" t="n"/>
      <c r="J156" s="307" t="n"/>
      <c r="K156" s="307" t="n"/>
      <c r="L156" s="307" t="n"/>
      <c r="M156" s="307" t="n"/>
      <c r="N156" s="307" t="n"/>
      <c r="O156" s="233" t="n"/>
      <c r="P156" s="233" t="n"/>
      <c r="Q156" s="233" t="n"/>
      <c r="R156" s="233" t="n"/>
      <c r="S156" s="233" t="n"/>
      <c r="T156" s="233" t="n"/>
      <c r="U156" s="233" t="n"/>
      <c r="V156" s="233" t="n"/>
      <c r="W156" s="233" t="n"/>
      <c r="X156" s="233" t="n"/>
      <c r="Y156" s="233" t="n"/>
      <c r="Z156" s="233" t="n"/>
      <c r="AA156" s="233" t="n"/>
      <c r="AB156" s="233" t="n"/>
      <c r="AC156" s="233" t="n"/>
      <c r="AD156" s="233" t="n"/>
      <c r="AE156" s="233" t="n"/>
      <c r="AF156" s="233" t="n"/>
      <c r="AG156" s="233" t="n"/>
      <c r="AH156" s="233" t="n"/>
      <c r="AI156" s="233" t="n"/>
      <c r="AJ156" s="233" t="n"/>
      <c r="AK156" s="233" t="n"/>
      <c r="AL156" s="233" t="n"/>
      <c r="AM156" s="233" t="n"/>
      <c r="AN156" s="233" t="n"/>
      <c r="AO156" s="233" t="n"/>
      <c r="AP156" s="233" t="n"/>
      <c r="AQ156" s="233" t="n"/>
      <c r="AR156" s="233" t="n"/>
      <c r="AS156" s="233" t="n"/>
      <c r="AT156" s="233" t="n"/>
      <c r="AU156" s="233" t="n"/>
      <c r="AV156" s="233" t="n"/>
      <c r="AW156" s="233" t="n"/>
      <c r="AX156" s="233" t="n"/>
      <c r="AY156" s="233" t="n"/>
      <c r="AZ156" s="233" t="n"/>
      <c r="BA156" s="233" t="n"/>
      <c r="BB156" s="233" t="n"/>
      <c r="BC156" s="233" t="n"/>
      <c r="BD156" s="233" t="n"/>
      <c r="BE156" s="233" t="n"/>
      <c r="BF156" s="233" t="n"/>
      <c r="BG156" s="233" t="n"/>
      <c r="BH156" s="233" t="n"/>
      <c r="BI156" s="233" t="n"/>
      <c r="BJ156" s="233" t="n"/>
      <c r="BK156" s="233" t="n"/>
      <c r="BL156" s="233" t="n"/>
      <c r="BM156" s="233" t="n"/>
    </row>
    <row r="157" ht="15.75" customHeight="1" s="349">
      <c r="A157" s="31" t="n"/>
      <c r="B157" s="307" t="n"/>
      <c r="C157" s="307" t="n"/>
      <c r="D157" s="146" t="n"/>
      <c r="E157" s="307" t="n"/>
      <c r="F157" s="307" t="n"/>
      <c r="G157" s="307" t="n"/>
      <c r="H157" s="307" t="n"/>
      <c r="I157" s="307" t="n"/>
      <c r="J157" s="307" t="n"/>
      <c r="K157" s="307" t="n"/>
      <c r="L157" s="307" t="n"/>
      <c r="M157" s="307" t="n"/>
      <c r="N157" s="307" t="n"/>
      <c r="O157" s="233" t="n"/>
      <c r="P157" s="233" t="n"/>
      <c r="Q157" s="233" t="n"/>
      <c r="R157" s="233" t="n"/>
      <c r="S157" s="233" t="n"/>
      <c r="T157" s="233" t="n"/>
      <c r="U157" s="233" t="n"/>
      <c r="V157" s="233" t="n"/>
      <c r="W157" s="233" t="n"/>
      <c r="X157" s="233" t="n"/>
      <c r="Y157" s="233" t="n"/>
      <c r="Z157" s="233" t="n"/>
      <c r="AA157" s="233" t="n"/>
      <c r="AB157" s="233" t="n"/>
      <c r="AC157" s="233" t="n"/>
      <c r="AD157" s="233" t="n"/>
      <c r="AE157" s="233" t="n"/>
      <c r="AF157" s="233" t="n"/>
      <c r="AG157" s="233" t="n"/>
      <c r="AH157" s="233" t="n"/>
      <c r="AI157" s="233" t="n"/>
      <c r="AJ157" s="233" t="n"/>
      <c r="AK157" s="233" t="n"/>
      <c r="AL157" s="233" t="n"/>
      <c r="AM157" s="233" t="n"/>
      <c r="AN157" s="233" t="n"/>
      <c r="AO157" s="233" t="n"/>
      <c r="AP157" s="233" t="n"/>
      <c r="AQ157" s="233" t="n"/>
      <c r="AR157" s="233" t="n"/>
      <c r="AS157" s="233" t="n"/>
      <c r="AT157" s="233" t="n"/>
      <c r="AU157" s="233" t="n"/>
      <c r="AV157" s="233" t="n"/>
      <c r="AW157" s="233" t="n"/>
      <c r="AX157" s="233" t="n"/>
      <c r="AY157" s="233" t="n"/>
      <c r="AZ157" s="233" t="n"/>
      <c r="BA157" s="233" t="n"/>
      <c r="BB157" s="233" t="n"/>
      <c r="BC157" s="233" t="n"/>
      <c r="BD157" s="233" t="n"/>
      <c r="BE157" s="233" t="n"/>
      <c r="BF157" s="233" t="n"/>
      <c r="BG157" s="233" t="n"/>
      <c r="BH157" s="233" t="n"/>
      <c r="BI157" s="233" t="n"/>
      <c r="BJ157" s="233" t="n"/>
      <c r="BK157" s="233" t="n"/>
      <c r="BL157" s="233" t="n"/>
      <c r="BM157" s="233" t="n"/>
    </row>
    <row r="158" ht="15.75" customHeight="1" s="349">
      <c r="A158" s="31" t="n"/>
      <c r="B158" s="307" t="n"/>
      <c r="C158" s="307" t="n"/>
      <c r="D158" s="146" t="n"/>
      <c r="E158" s="307" t="n"/>
      <c r="F158" s="307" t="n"/>
      <c r="G158" s="307" t="n"/>
      <c r="H158" s="307" t="n"/>
      <c r="I158" s="307" t="n"/>
      <c r="J158" s="307" t="n"/>
      <c r="K158" s="307" t="n"/>
      <c r="L158" s="307" t="n"/>
      <c r="M158" s="307" t="n"/>
      <c r="N158" s="307" t="n"/>
      <c r="O158" s="233" t="n"/>
      <c r="P158" s="233" t="n"/>
      <c r="Q158" s="233" t="n"/>
      <c r="R158" s="233" t="n"/>
      <c r="S158" s="233" t="n"/>
      <c r="T158" s="233" t="n"/>
      <c r="U158" s="233" t="n"/>
      <c r="V158" s="233" t="n"/>
      <c r="W158" s="233" t="n"/>
      <c r="X158" s="233" t="n"/>
      <c r="Y158" s="233" t="n"/>
      <c r="Z158" s="233" t="n"/>
      <c r="AA158" s="233" t="n"/>
      <c r="AB158" s="233" t="n"/>
      <c r="AC158" s="233" t="n"/>
      <c r="AD158" s="233" t="n"/>
      <c r="AE158" s="233" t="n"/>
      <c r="AF158" s="233" t="n"/>
      <c r="AG158" s="233" t="n"/>
      <c r="AH158" s="233" t="n"/>
      <c r="AI158" s="233" t="n"/>
      <c r="AJ158" s="233" t="n"/>
      <c r="AK158" s="233" t="n"/>
      <c r="AL158" s="233" t="n"/>
      <c r="AM158" s="233" t="n"/>
      <c r="AN158" s="233" t="n"/>
      <c r="AO158" s="233" t="n"/>
      <c r="AP158" s="233" t="n"/>
      <c r="AQ158" s="233" t="n"/>
      <c r="AR158" s="233" t="n"/>
      <c r="AS158" s="233" t="n"/>
      <c r="AT158" s="233" t="n"/>
      <c r="AU158" s="233" t="n"/>
      <c r="AV158" s="233" t="n"/>
      <c r="AW158" s="233" t="n"/>
      <c r="AX158" s="233" t="n"/>
      <c r="AY158" s="233" t="n"/>
      <c r="AZ158" s="233" t="n"/>
      <c r="BA158" s="233" t="n"/>
      <c r="BB158" s="233" t="n"/>
      <c r="BC158" s="233" t="n"/>
      <c r="BD158" s="233" t="n"/>
      <c r="BE158" s="233" t="n"/>
      <c r="BF158" s="233" t="n"/>
      <c r="BG158" s="233" t="n"/>
      <c r="BH158" s="233" t="n"/>
      <c r="BI158" s="233" t="n"/>
      <c r="BJ158" s="233" t="n"/>
      <c r="BK158" s="233" t="n"/>
      <c r="BL158" s="233" t="n"/>
      <c r="BM158" s="233" t="n"/>
    </row>
    <row r="159" ht="15.75" customHeight="1" s="349">
      <c r="A159" s="31" t="n"/>
      <c r="B159" s="307" t="n"/>
      <c r="C159" s="307" t="n"/>
      <c r="D159" s="146" t="n"/>
      <c r="E159" s="307" t="n"/>
      <c r="F159" s="307" t="n"/>
      <c r="G159" s="307" t="n"/>
      <c r="H159" s="307" t="n"/>
      <c r="I159" s="307" t="n"/>
      <c r="J159" s="307" t="n"/>
      <c r="K159" s="307" t="n"/>
      <c r="L159" s="307" t="n"/>
      <c r="M159" s="307" t="n"/>
      <c r="N159" s="307" t="n"/>
      <c r="O159" s="233" t="n"/>
      <c r="P159" s="233" t="n"/>
      <c r="Q159" s="233" t="n"/>
      <c r="R159" s="233" t="n"/>
      <c r="S159" s="233" t="n"/>
      <c r="T159" s="233" t="n"/>
      <c r="U159" s="233" t="n"/>
      <c r="V159" s="233" t="n"/>
      <c r="W159" s="233" t="n"/>
      <c r="X159" s="233" t="n"/>
      <c r="Y159" s="233" t="n"/>
      <c r="Z159" s="233" t="n"/>
      <c r="AA159" s="233" t="n"/>
      <c r="AB159" s="233" t="n"/>
      <c r="AC159" s="233" t="n"/>
      <c r="AD159" s="233" t="n"/>
      <c r="AE159" s="233" t="n"/>
      <c r="AF159" s="233" t="n"/>
      <c r="AG159" s="233" t="n"/>
      <c r="AH159" s="233" t="n"/>
      <c r="AI159" s="233" t="n"/>
      <c r="AJ159" s="233" t="n"/>
      <c r="AK159" s="233" t="n"/>
      <c r="AL159" s="233" t="n"/>
      <c r="AM159" s="233" t="n"/>
      <c r="AN159" s="233" t="n"/>
      <c r="AO159" s="233" t="n"/>
      <c r="AP159" s="233" t="n"/>
      <c r="AQ159" s="233" t="n"/>
      <c r="AR159" s="233" t="n"/>
      <c r="AS159" s="233" t="n"/>
      <c r="AT159" s="233" t="n"/>
      <c r="AU159" s="233" t="n"/>
      <c r="AV159" s="233" t="n"/>
      <c r="AW159" s="233" t="n"/>
      <c r="AX159" s="233" t="n"/>
      <c r="AY159" s="233" t="n"/>
      <c r="AZ159" s="233" t="n"/>
      <c r="BA159" s="233" t="n"/>
      <c r="BB159" s="233" t="n"/>
      <c r="BC159" s="233" t="n"/>
      <c r="BD159" s="233" t="n"/>
      <c r="BE159" s="233" t="n"/>
      <c r="BF159" s="233" t="n"/>
      <c r="BG159" s="233" t="n"/>
      <c r="BH159" s="233" t="n"/>
      <c r="BI159" s="233" t="n"/>
      <c r="BJ159" s="233" t="n"/>
      <c r="BK159" s="233" t="n"/>
      <c r="BL159" s="233" t="n"/>
      <c r="BM159" s="233" t="n"/>
    </row>
    <row r="160" ht="15.75" customHeight="1" s="349">
      <c r="A160" s="31" t="n"/>
      <c r="B160" s="307" t="n"/>
      <c r="C160" s="307" t="n"/>
      <c r="D160" s="146" t="n"/>
      <c r="E160" s="307" t="n"/>
      <c r="F160" s="307" t="n"/>
      <c r="G160" s="307" t="n"/>
      <c r="H160" s="307" t="n"/>
      <c r="I160" s="307" t="n"/>
      <c r="J160" s="307" t="n"/>
      <c r="K160" s="307" t="n"/>
      <c r="L160" s="307" t="n"/>
      <c r="M160" s="307" t="n"/>
      <c r="N160" s="307" t="n"/>
      <c r="O160" s="233" t="n"/>
      <c r="P160" s="233" t="n"/>
      <c r="Q160" s="233" t="n"/>
      <c r="R160" s="233" t="n"/>
      <c r="S160" s="233" t="n"/>
      <c r="T160" s="233" t="n"/>
      <c r="U160" s="233" t="n"/>
      <c r="V160" s="233" t="n"/>
      <c r="W160" s="233" t="n"/>
      <c r="X160" s="233" t="n"/>
      <c r="Y160" s="233" t="n"/>
      <c r="Z160" s="233" t="n"/>
      <c r="AA160" s="233" t="n"/>
      <c r="AB160" s="233" t="n"/>
      <c r="AC160" s="233" t="n"/>
      <c r="AD160" s="233" t="n"/>
      <c r="AE160" s="233" t="n"/>
      <c r="AF160" s="233" t="n"/>
      <c r="AG160" s="233" t="n"/>
      <c r="AH160" s="233" t="n"/>
      <c r="AI160" s="233" t="n"/>
      <c r="AJ160" s="233" t="n"/>
      <c r="AK160" s="233" t="n"/>
      <c r="AL160" s="233" t="n"/>
      <c r="AM160" s="233" t="n"/>
      <c r="AN160" s="233" t="n"/>
      <c r="AO160" s="233" t="n"/>
      <c r="AP160" s="233" t="n"/>
      <c r="AQ160" s="233" t="n"/>
      <c r="AR160" s="233" t="n"/>
      <c r="AS160" s="233" t="n"/>
      <c r="AT160" s="233" t="n"/>
      <c r="AU160" s="233" t="n"/>
      <c r="AV160" s="233" t="n"/>
      <c r="AW160" s="233" t="n"/>
      <c r="AX160" s="233" t="n"/>
      <c r="AY160" s="233" t="n"/>
      <c r="AZ160" s="233" t="n"/>
      <c r="BA160" s="233" t="n"/>
      <c r="BB160" s="233" t="n"/>
      <c r="BC160" s="233" t="n"/>
      <c r="BD160" s="233" t="n"/>
      <c r="BE160" s="233" t="n"/>
      <c r="BF160" s="233" t="n"/>
      <c r="BG160" s="233" t="n"/>
      <c r="BH160" s="233" t="n"/>
      <c r="BI160" s="233" t="n"/>
      <c r="BJ160" s="233" t="n"/>
      <c r="BK160" s="233" t="n"/>
      <c r="BL160" s="233" t="n"/>
      <c r="BM160" s="233" t="n"/>
    </row>
    <row r="161" ht="15.75" customHeight="1" s="349">
      <c r="A161" s="31" t="n"/>
      <c r="B161" s="307" t="n"/>
      <c r="C161" s="307" t="n"/>
      <c r="D161" s="146" t="n"/>
      <c r="E161" s="307" t="n"/>
      <c r="F161" s="307" t="n"/>
      <c r="G161" s="307" t="n"/>
      <c r="H161" s="307" t="n"/>
      <c r="I161" s="307" t="n"/>
      <c r="J161" s="307" t="n"/>
      <c r="K161" s="307" t="n"/>
      <c r="L161" s="307" t="n"/>
      <c r="M161" s="307" t="n"/>
      <c r="N161" s="307" t="n"/>
      <c r="O161" s="233" t="n"/>
      <c r="P161" s="233" t="n"/>
      <c r="Q161" s="233" t="n"/>
      <c r="R161" s="233" t="n"/>
      <c r="S161" s="233" t="n"/>
      <c r="T161" s="233" t="n"/>
      <c r="U161" s="233" t="n"/>
      <c r="V161" s="233" t="n"/>
      <c r="W161" s="233" t="n"/>
      <c r="X161" s="233" t="n"/>
      <c r="Y161" s="233" t="n"/>
      <c r="Z161" s="233" t="n"/>
      <c r="AA161" s="233" t="n"/>
      <c r="AB161" s="233" t="n"/>
      <c r="AC161" s="233" t="n"/>
      <c r="AD161" s="233" t="n"/>
      <c r="AE161" s="233" t="n"/>
      <c r="AF161" s="233" t="n"/>
      <c r="AG161" s="233" t="n"/>
      <c r="AH161" s="233" t="n"/>
      <c r="AI161" s="233" t="n"/>
      <c r="AJ161" s="233" t="n"/>
      <c r="AK161" s="233" t="n"/>
      <c r="AL161" s="233" t="n"/>
      <c r="AM161" s="233" t="n"/>
      <c r="AN161" s="233" t="n"/>
      <c r="AO161" s="233" t="n"/>
      <c r="AP161" s="233" t="n"/>
      <c r="AQ161" s="233" t="n"/>
      <c r="AR161" s="233" t="n"/>
      <c r="AS161" s="233" t="n"/>
      <c r="AT161" s="233" t="n"/>
      <c r="AU161" s="233" t="n"/>
      <c r="AV161" s="233" t="n"/>
      <c r="AW161" s="233" t="n"/>
      <c r="AX161" s="233" t="n"/>
      <c r="AY161" s="233" t="n"/>
      <c r="AZ161" s="233" t="n"/>
      <c r="BA161" s="233" t="n"/>
      <c r="BB161" s="233" t="n"/>
      <c r="BC161" s="233" t="n"/>
      <c r="BD161" s="233" t="n"/>
      <c r="BE161" s="233" t="n"/>
      <c r="BF161" s="233" t="n"/>
      <c r="BG161" s="233" t="n"/>
      <c r="BH161" s="233" t="n"/>
      <c r="BI161" s="233" t="n"/>
      <c r="BJ161" s="233" t="n"/>
      <c r="BK161" s="233" t="n"/>
      <c r="BL161" s="233" t="n"/>
      <c r="BM161" s="233" t="n"/>
    </row>
    <row r="162" ht="15.75" customHeight="1" s="349">
      <c r="A162" s="31" t="n"/>
      <c r="B162" s="307" t="n"/>
      <c r="C162" s="307" t="n"/>
      <c r="D162" s="146" t="n"/>
      <c r="E162" s="307" t="n"/>
      <c r="F162" s="307" t="n"/>
      <c r="G162" s="307" t="n"/>
      <c r="H162" s="307" t="n"/>
      <c r="I162" s="307" t="n"/>
      <c r="J162" s="307" t="n"/>
      <c r="K162" s="307" t="n"/>
      <c r="L162" s="307" t="n"/>
      <c r="M162" s="307" t="n"/>
      <c r="N162" s="307" t="n"/>
      <c r="O162" s="233" t="n"/>
      <c r="P162" s="233" t="n"/>
      <c r="Q162" s="233" t="n"/>
      <c r="R162" s="233" t="n"/>
      <c r="S162" s="233" t="n"/>
      <c r="T162" s="233" t="n"/>
      <c r="U162" s="233" t="n"/>
      <c r="V162" s="233" t="n"/>
      <c r="W162" s="233" t="n"/>
      <c r="X162" s="233" t="n"/>
      <c r="Y162" s="233" t="n"/>
      <c r="Z162" s="233" t="n"/>
      <c r="AA162" s="233" t="n"/>
      <c r="AB162" s="233" t="n"/>
      <c r="AC162" s="233" t="n"/>
      <c r="AD162" s="233" t="n"/>
      <c r="AE162" s="233" t="n"/>
      <c r="AF162" s="233" t="n"/>
      <c r="AG162" s="233" t="n"/>
      <c r="AH162" s="233" t="n"/>
      <c r="AI162" s="233" t="n"/>
      <c r="AJ162" s="233" t="n"/>
      <c r="AK162" s="233" t="n"/>
      <c r="AL162" s="233" t="n"/>
      <c r="AM162" s="233" t="n"/>
      <c r="AN162" s="233" t="n"/>
      <c r="AO162" s="233" t="n"/>
      <c r="AP162" s="233" t="n"/>
      <c r="AQ162" s="233" t="n"/>
      <c r="AR162" s="233" t="n"/>
      <c r="AS162" s="233" t="n"/>
      <c r="AT162" s="233" t="n"/>
      <c r="AU162" s="233" t="n"/>
      <c r="AV162" s="233" t="n"/>
      <c r="AW162" s="233" t="n"/>
      <c r="AX162" s="233" t="n"/>
      <c r="AY162" s="233" t="n"/>
      <c r="AZ162" s="233" t="n"/>
      <c r="BA162" s="233" t="n"/>
      <c r="BB162" s="233" t="n"/>
      <c r="BC162" s="233" t="n"/>
      <c r="BD162" s="233" t="n"/>
      <c r="BE162" s="233" t="n"/>
      <c r="BF162" s="233" t="n"/>
      <c r="BG162" s="233" t="n"/>
      <c r="BH162" s="233" t="n"/>
      <c r="BI162" s="233" t="n"/>
      <c r="BJ162" s="233" t="n"/>
      <c r="BK162" s="233" t="n"/>
      <c r="BL162" s="233" t="n"/>
      <c r="BM162" s="233" t="n"/>
    </row>
    <row r="163" ht="15.75" customHeight="1" s="349">
      <c r="A163" s="31" t="n"/>
      <c r="B163" s="307" t="n"/>
      <c r="C163" s="307" t="n"/>
      <c r="D163" s="146" t="n"/>
      <c r="E163" s="307" t="n"/>
      <c r="F163" s="307" t="n"/>
      <c r="G163" s="307" t="n"/>
      <c r="H163" s="307" t="n"/>
      <c r="I163" s="307" t="n"/>
      <c r="J163" s="307" t="n"/>
      <c r="K163" s="307" t="n"/>
      <c r="L163" s="307" t="n"/>
      <c r="M163" s="307" t="n"/>
      <c r="N163" s="307" t="n"/>
      <c r="O163" s="233" t="n"/>
      <c r="P163" s="233" t="n"/>
      <c r="Q163" s="233" t="n"/>
      <c r="R163" s="233" t="n"/>
      <c r="S163" s="233" t="n"/>
      <c r="T163" s="233" t="n"/>
      <c r="U163" s="233" t="n"/>
      <c r="V163" s="233" t="n"/>
      <c r="W163" s="233" t="n"/>
      <c r="X163" s="233" t="n"/>
      <c r="Y163" s="233" t="n"/>
      <c r="Z163" s="233" t="n"/>
      <c r="AA163" s="233" t="n"/>
      <c r="AB163" s="233" t="n"/>
      <c r="AC163" s="233" t="n"/>
      <c r="AD163" s="233" t="n"/>
      <c r="AE163" s="233" t="n"/>
      <c r="AF163" s="233" t="n"/>
      <c r="AG163" s="233" t="n"/>
      <c r="AH163" s="233" t="n"/>
      <c r="AI163" s="233" t="n"/>
      <c r="AJ163" s="233" t="n"/>
      <c r="AK163" s="233" t="n"/>
      <c r="AL163" s="233" t="n"/>
      <c r="AM163" s="233" t="n"/>
      <c r="AN163" s="233" t="n"/>
      <c r="AO163" s="233" t="n"/>
      <c r="AP163" s="233" t="n"/>
      <c r="AQ163" s="233" t="n"/>
      <c r="AR163" s="233" t="n"/>
      <c r="AS163" s="233" t="n"/>
      <c r="AT163" s="233" t="n"/>
      <c r="AU163" s="233" t="n"/>
      <c r="AV163" s="233" t="n"/>
      <c r="AW163" s="233" t="n"/>
      <c r="AX163" s="233" t="n"/>
      <c r="AY163" s="233" t="n"/>
      <c r="AZ163" s="233" t="n"/>
      <c r="BA163" s="233" t="n"/>
      <c r="BB163" s="233" t="n"/>
      <c r="BC163" s="233" t="n"/>
      <c r="BD163" s="233" t="n"/>
      <c r="BE163" s="233" t="n"/>
      <c r="BF163" s="233" t="n"/>
      <c r="BG163" s="233" t="n"/>
      <c r="BH163" s="233" t="n"/>
      <c r="BI163" s="233" t="n"/>
      <c r="BJ163" s="233" t="n"/>
      <c r="BK163" s="233" t="n"/>
      <c r="BL163" s="233" t="n"/>
      <c r="BM163" s="233" t="n"/>
    </row>
    <row r="164" ht="15.75" customHeight="1" s="349">
      <c r="A164" s="31" t="n"/>
      <c r="B164" s="307" t="n"/>
      <c r="C164" s="307" t="n"/>
      <c r="D164" s="146" t="n"/>
      <c r="E164" s="307" t="n"/>
      <c r="F164" s="307" t="n"/>
      <c r="G164" s="307" t="n"/>
      <c r="H164" s="307" t="n"/>
      <c r="I164" s="307" t="n"/>
      <c r="J164" s="307" t="n"/>
      <c r="K164" s="307" t="n"/>
      <c r="L164" s="307" t="n"/>
      <c r="M164" s="307" t="n"/>
      <c r="N164" s="307" t="n"/>
      <c r="O164" s="233" t="n"/>
      <c r="P164" s="233" t="n"/>
      <c r="Q164" s="233" t="n"/>
      <c r="R164" s="233" t="n"/>
      <c r="S164" s="233" t="n"/>
      <c r="T164" s="233" t="n"/>
      <c r="U164" s="233" t="n"/>
      <c r="V164" s="233" t="n"/>
      <c r="W164" s="233" t="n"/>
      <c r="X164" s="233" t="n"/>
      <c r="Y164" s="233" t="n"/>
      <c r="Z164" s="233" t="n"/>
      <c r="AA164" s="233" t="n"/>
      <c r="AB164" s="233" t="n"/>
      <c r="AC164" s="233" t="n"/>
      <c r="AD164" s="233" t="n"/>
      <c r="AE164" s="233" t="n"/>
      <c r="AF164" s="233" t="n"/>
      <c r="AG164" s="233" t="n"/>
      <c r="AH164" s="233" t="n"/>
      <c r="AI164" s="233" t="n"/>
      <c r="AJ164" s="233" t="n"/>
      <c r="AK164" s="233" t="n"/>
      <c r="AL164" s="233" t="n"/>
      <c r="AM164" s="233" t="n"/>
      <c r="AN164" s="233" t="n"/>
      <c r="AO164" s="233" t="n"/>
      <c r="AP164" s="233" t="n"/>
      <c r="AQ164" s="233" t="n"/>
      <c r="AR164" s="233" t="n"/>
      <c r="AS164" s="233" t="n"/>
      <c r="AT164" s="233" t="n"/>
      <c r="AU164" s="233" t="n"/>
      <c r="AV164" s="233" t="n"/>
      <c r="AW164" s="233" t="n"/>
      <c r="AX164" s="233" t="n"/>
      <c r="AY164" s="233" t="n"/>
      <c r="AZ164" s="233" t="n"/>
      <c r="BA164" s="233" t="n"/>
      <c r="BB164" s="233" t="n"/>
      <c r="BC164" s="233" t="n"/>
      <c r="BD164" s="233" t="n"/>
      <c r="BE164" s="233" t="n"/>
      <c r="BF164" s="233" t="n"/>
      <c r="BG164" s="233" t="n"/>
      <c r="BH164" s="233" t="n"/>
      <c r="BI164" s="233" t="n"/>
      <c r="BJ164" s="233" t="n"/>
      <c r="BK164" s="233" t="n"/>
      <c r="BL164" s="233" t="n"/>
      <c r="BM164" s="233" t="n"/>
    </row>
    <row r="165" ht="15.75" customHeight="1" s="349">
      <c r="A165" s="31" t="n"/>
      <c r="B165" s="307" t="n"/>
      <c r="C165" s="307" t="n"/>
      <c r="D165" s="146" t="n"/>
      <c r="E165" s="307" t="n"/>
      <c r="F165" s="307" t="n"/>
      <c r="G165" s="307" t="n"/>
      <c r="H165" s="307" t="n"/>
      <c r="I165" s="307" t="n"/>
      <c r="J165" s="307" t="n"/>
      <c r="K165" s="307" t="n"/>
      <c r="L165" s="307" t="n"/>
      <c r="M165" s="307" t="n"/>
      <c r="N165" s="307" t="n"/>
      <c r="O165" s="233" t="n"/>
      <c r="P165" s="233" t="n"/>
      <c r="Q165" s="233" t="n"/>
      <c r="R165" s="233" t="n"/>
      <c r="S165" s="233" t="n"/>
      <c r="T165" s="233" t="n"/>
      <c r="U165" s="233" t="n"/>
      <c r="V165" s="233" t="n"/>
      <c r="W165" s="233" t="n"/>
      <c r="X165" s="233" t="n"/>
      <c r="Y165" s="233" t="n"/>
      <c r="Z165" s="233" t="n"/>
      <c r="AA165" s="233" t="n"/>
      <c r="AB165" s="233" t="n"/>
      <c r="AC165" s="233" t="n"/>
      <c r="AD165" s="233" t="n"/>
      <c r="AE165" s="233" t="n"/>
      <c r="AF165" s="233" t="n"/>
      <c r="AG165" s="233" t="n"/>
      <c r="AH165" s="233" t="n"/>
      <c r="AI165" s="233" t="n"/>
      <c r="AJ165" s="233" t="n"/>
      <c r="AK165" s="233" t="n"/>
      <c r="AL165" s="233" t="n"/>
      <c r="AM165" s="233" t="n"/>
      <c r="AN165" s="233" t="n"/>
      <c r="AO165" s="233" t="n"/>
      <c r="AP165" s="233" t="n"/>
      <c r="AQ165" s="233" t="n"/>
      <c r="AR165" s="233" t="n"/>
      <c r="AS165" s="233" t="n"/>
      <c r="AT165" s="233" t="n"/>
      <c r="AU165" s="233" t="n"/>
      <c r="AV165" s="233" t="n"/>
      <c r="AW165" s="233" t="n"/>
      <c r="AX165" s="233" t="n"/>
      <c r="AY165" s="233" t="n"/>
      <c r="AZ165" s="233" t="n"/>
      <c r="BA165" s="233" t="n"/>
      <c r="BB165" s="233" t="n"/>
      <c r="BC165" s="233" t="n"/>
      <c r="BD165" s="233" t="n"/>
      <c r="BE165" s="233" t="n"/>
      <c r="BF165" s="233" t="n"/>
      <c r="BG165" s="233" t="n"/>
      <c r="BH165" s="233" t="n"/>
      <c r="BI165" s="233" t="n"/>
      <c r="BJ165" s="233" t="n"/>
      <c r="BK165" s="233" t="n"/>
      <c r="BL165" s="233" t="n"/>
      <c r="BM165" s="233" t="n"/>
    </row>
    <row r="166" ht="15.75" customHeight="1" s="349">
      <c r="A166" s="31" t="n"/>
      <c r="B166" s="307" t="n"/>
      <c r="C166" s="307" t="n"/>
      <c r="D166" s="146" t="n"/>
      <c r="E166" s="307" t="n"/>
      <c r="F166" s="307" t="n"/>
      <c r="G166" s="307" t="n"/>
      <c r="H166" s="307" t="n"/>
      <c r="I166" s="307" t="n"/>
      <c r="J166" s="307" t="n"/>
      <c r="K166" s="307" t="n"/>
      <c r="L166" s="307" t="n"/>
      <c r="M166" s="307" t="n"/>
      <c r="N166" s="307" t="n"/>
      <c r="O166" s="233" t="n"/>
      <c r="P166" s="233" t="n"/>
      <c r="Q166" s="233" t="n"/>
      <c r="R166" s="233" t="n"/>
      <c r="S166" s="233" t="n"/>
      <c r="T166" s="233" t="n"/>
      <c r="U166" s="233" t="n"/>
      <c r="V166" s="233" t="n"/>
      <c r="W166" s="233" t="n"/>
      <c r="X166" s="233" t="n"/>
      <c r="Y166" s="233" t="n"/>
      <c r="Z166" s="233" t="n"/>
      <c r="AA166" s="233" t="n"/>
      <c r="AB166" s="233" t="n"/>
      <c r="AC166" s="233" t="n"/>
      <c r="AD166" s="233" t="n"/>
      <c r="AE166" s="233" t="n"/>
      <c r="AF166" s="233" t="n"/>
      <c r="AG166" s="233" t="n"/>
      <c r="AH166" s="233" t="n"/>
      <c r="AI166" s="233" t="n"/>
      <c r="AJ166" s="233" t="n"/>
      <c r="AK166" s="233" t="n"/>
      <c r="AL166" s="233" t="n"/>
      <c r="AM166" s="233" t="n"/>
      <c r="AN166" s="233" t="n"/>
      <c r="AO166" s="233" t="n"/>
      <c r="AP166" s="233" t="n"/>
      <c r="AQ166" s="233" t="n"/>
      <c r="AR166" s="233" t="n"/>
      <c r="AS166" s="233" t="n"/>
      <c r="AT166" s="233" t="n"/>
      <c r="AU166" s="233" t="n"/>
      <c r="AV166" s="233" t="n"/>
      <c r="AW166" s="233" t="n"/>
      <c r="AX166" s="233" t="n"/>
      <c r="AY166" s="233" t="n"/>
      <c r="AZ166" s="233" t="n"/>
      <c r="BA166" s="233" t="n"/>
      <c r="BB166" s="233" t="n"/>
      <c r="BC166" s="233" t="n"/>
      <c r="BD166" s="233" t="n"/>
      <c r="BE166" s="233" t="n"/>
      <c r="BF166" s="233" t="n"/>
      <c r="BG166" s="233" t="n"/>
      <c r="BH166" s="233" t="n"/>
      <c r="BI166" s="233" t="n"/>
      <c r="BJ166" s="233" t="n"/>
      <c r="BK166" s="233" t="n"/>
      <c r="BL166" s="233" t="n"/>
      <c r="BM166" s="233" t="n"/>
    </row>
    <row r="167" ht="15.75" customHeight="1" s="349">
      <c r="A167" s="31" t="n"/>
      <c r="B167" s="307" t="n"/>
      <c r="C167" s="307" t="n"/>
      <c r="D167" s="146" t="n"/>
      <c r="E167" s="307" t="n"/>
      <c r="F167" s="307" t="n"/>
      <c r="G167" s="307" t="n"/>
      <c r="H167" s="307" t="n"/>
      <c r="I167" s="307" t="n"/>
      <c r="J167" s="307" t="n"/>
      <c r="K167" s="307" t="n"/>
      <c r="L167" s="307" t="n"/>
      <c r="M167" s="307" t="n"/>
      <c r="N167" s="307" t="n"/>
      <c r="O167" s="233" t="n"/>
      <c r="P167" s="233" t="n"/>
      <c r="Q167" s="233" t="n"/>
      <c r="R167" s="233" t="n"/>
      <c r="S167" s="233" t="n"/>
      <c r="T167" s="233" t="n"/>
      <c r="U167" s="233" t="n"/>
      <c r="V167" s="233" t="n"/>
      <c r="W167" s="233" t="n"/>
      <c r="X167" s="233" t="n"/>
      <c r="Y167" s="233" t="n"/>
      <c r="Z167" s="233" t="n"/>
      <c r="AA167" s="233" t="n"/>
      <c r="AB167" s="233" t="n"/>
      <c r="AC167" s="233" t="n"/>
      <c r="AD167" s="233" t="n"/>
      <c r="AE167" s="233" t="n"/>
      <c r="AF167" s="233" t="n"/>
      <c r="AG167" s="233" t="n"/>
      <c r="AH167" s="233" t="n"/>
      <c r="AI167" s="233" t="n"/>
      <c r="AJ167" s="233" t="n"/>
      <c r="AK167" s="233" t="n"/>
      <c r="AL167" s="233" t="n"/>
      <c r="AM167" s="233" t="n"/>
      <c r="AN167" s="233" t="n"/>
      <c r="AO167" s="233" t="n"/>
      <c r="AP167" s="233" t="n"/>
      <c r="AQ167" s="233" t="n"/>
      <c r="AR167" s="233" t="n"/>
      <c r="AS167" s="233" t="n"/>
      <c r="AT167" s="233" t="n"/>
      <c r="AU167" s="233" t="n"/>
      <c r="AV167" s="233" t="n"/>
      <c r="AW167" s="233" t="n"/>
      <c r="AX167" s="233" t="n"/>
      <c r="AY167" s="233" t="n"/>
      <c r="AZ167" s="233" t="n"/>
      <c r="BA167" s="233" t="n"/>
      <c r="BB167" s="233" t="n"/>
      <c r="BC167" s="233" t="n"/>
      <c r="BD167" s="233" t="n"/>
      <c r="BE167" s="233" t="n"/>
      <c r="BF167" s="233" t="n"/>
      <c r="BG167" s="233" t="n"/>
      <c r="BH167" s="233" t="n"/>
      <c r="BI167" s="233" t="n"/>
      <c r="BJ167" s="233" t="n"/>
      <c r="BK167" s="233" t="n"/>
      <c r="BL167" s="233" t="n"/>
      <c r="BM167" s="233" t="n"/>
    </row>
    <row r="168" ht="15.75" customHeight="1" s="349">
      <c r="A168" s="31" t="n"/>
      <c r="B168" s="307" t="n"/>
      <c r="C168" s="307" t="n"/>
      <c r="D168" s="146" t="n"/>
      <c r="E168" s="307" t="n"/>
      <c r="F168" s="307" t="n"/>
      <c r="G168" s="307" t="n"/>
      <c r="H168" s="307" t="n"/>
      <c r="I168" s="307" t="n"/>
      <c r="J168" s="307" t="n"/>
      <c r="K168" s="307" t="n"/>
      <c r="L168" s="307" t="n"/>
      <c r="M168" s="307" t="n"/>
      <c r="N168" s="307" t="n"/>
      <c r="O168" s="233" t="n"/>
      <c r="P168" s="233" t="n"/>
      <c r="Q168" s="233" t="n"/>
      <c r="R168" s="233" t="n"/>
      <c r="S168" s="233" t="n"/>
      <c r="T168" s="233" t="n"/>
      <c r="U168" s="233" t="n"/>
      <c r="V168" s="233" t="n"/>
      <c r="W168" s="233" t="n"/>
      <c r="X168" s="233" t="n"/>
      <c r="Y168" s="233" t="n"/>
      <c r="Z168" s="233" t="n"/>
      <c r="AA168" s="233" t="n"/>
      <c r="AB168" s="233" t="n"/>
      <c r="AC168" s="233" t="n"/>
      <c r="AD168" s="233" t="n"/>
      <c r="AE168" s="233" t="n"/>
      <c r="AF168" s="233" t="n"/>
      <c r="AG168" s="233" t="n"/>
      <c r="AH168" s="233" t="n"/>
      <c r="AI168" s="233" t="n"/>
      <c r="AJ168" s="233" t="n"/>
      <c r="AK168" s="233" t="n"/>
      <c r="AL168" s="233" t="n"/>
      <c r="AM168" s="233" t="n"/>
      <c r="AN168" s="233" t="n"/>
      <c r="AO168" s="233" t="n"/>
      <c r="AP168" s="233" t="n"/>
      <c r="AQ168" s="233" t="n"/>
      <c r="AR168" s="233" t="n"/>
      <c r="AS168" s="233" t="n"/>
      <c r="AT168" s="233" t="n"/>
      <c r="AU168" s="233" t="n"/>
      <c r="AV168" s="233" t="n"/>
      <c r="AW168" s="233" t="n"/>
      <c r="AX168" s="233" t="n"/>
      <c r="AY168" s="233" t="n"/>
      <c r="AZ168" s="233" t="n"/>
      <c r="BA168" s="233" t="n"/>
      <c r="BB168" s="233" t="n"/>
      <c r="BC168" s="233" t="n"/>
      <c r="BD168" s="233" t="n"/>
      <c r="BE168" s="233" t="n"/>
      <c r="BF168" s="233" t="n"/>
      <c r="BG168" s="233" t="n"/>
      <c r="BH168" s="233" t="n"/>
      <c r="BI168" s="233" t="n"/>
      <c r="BJ168" s="233" t="n"/>
      <c r="BK168" s="233" t="n"/>
      <c r="BL168" s="233" t="n"/>
      <c r="BM168" s="233" t="n"/>
    </row>
    <row r="169" ht="15.75" customHeight="1" s="349">
      <c r="A169" s="31" t="n"/>
      <c r="B169" s="307" t="n"/>
      <c r="C169" s="307" t="n"/>
      <c r="D169" s="146" t="n"/>
      <c r="E169" s="307" t="n"/>
      <c r="F169" s="307" t="n"/>
      <c r="G169" s="307" t="n"/>
      <c r="H169" s="307" t="n"/>
      <c r="I169" s="307" t="n"/>
      <c r="J169" s="307" t="n"/>
      <c r="K169" s="307" t="n"/>
      <c r="L169" s="307" t="n"/>
      <c r="M169" s="307" t="n"/>
      <c r="N169" s="307" t="n"/>
      <c r="O169" s="233" t="n"/>
      <c r="P169" s="233" t="n"/>
      <c r="Q169" s="233" t="n"/>
      <c r="R169" s="233" t="n"/>
      <c r="S169" s="233" t="n"/>
      <c r="T169" s="233" t="n"/>
      <c r="U169" s="233" t="n"/>
      <c r="V169" s="233" t="n"/>
      <c r="W169" s="233" t="n"/>
      <c r="X169" s="233" t="n"/>
      <c r="Y169" s="233" t="n"/>
      <c r="Z169" s="233" t="n"/>
      <c r="AA169" s="233" t="n"/>
      <c r="AB169" s="233" t="n"/>
      <c r="AC169" s="233" t="n"/>
      <c r="AD169" s="233" t="n"/>
      <c r="AE169" s="233" t="n"/>
      <c r="AF169" s="233" t="n"/>
      <c r="AG169" s="233" t="n"/>
      <c r="AH169" s="233" t="n"/>
      <c r="AI169" s="233" t="n"/>
      <c r="AJ169" s="233" t="n"/>
      <c r="AK169" s="233" t="n"/>
      <c r="AL169" s="233" t="n"/>
      <c r="AM169" s="233" t="n"/>
      <c r="AN169" s="233" t="n"/>
      <c r="AO169" s="233" t="n"/>
      <c r="AP169" s="233" t="n"/>
      <c r="AQ169" s="233" t="n"/>
      <c r="AR169" s="233" t="n"/>
      <c r="AS169" s="233" t="n"/>
      <c r="AT169" s="233" t="n"/>
      <c r="AU169" s="233" t="n"/>
      <c r="AV169" s="233" t="n"/>
      <c r="AW169" s="233" t="n"/>
      <c r="AX169" s="233" t="n"/>
      <c r="AY169" s="233" t="n"/>
      <c r="AZ169" s="233" t="n"/>
      <c r="BA169" s="233" t="n"/>
      <c r="BB169" s="233" t="n"/>
      <c r="BC169" s="233" t="n"/>
      <c r="BD169" s="233" t="n"/>
      <c r="BE169" s="233" t="n"/>
      <c r="BF169" s="233" t="n"/>
      <c r="BG169" s="233" t="n"/>
      <c r="BH169" s="233" t="n"/>
      <c r="BI169" s="233" t="n"/>
      <c r="BJ169" s="233" t="n"/>
      <c r="BK169" s="233" t="n"/>
      <c r="BL169" s="233" t="n"/>
      <c r="BM169" s="233" t="n"/>
    </row>
    <row r="170" ht="15.75" customHeight="1" s="349">
      <c r="A170" s="31" t="n"/>
      <c r="B170" s="307" t="n"/>
      <c r="C170" s="307" t="n"/>
      <c r="D170" s="146" t="n"/>
      <c r="E170" s="307" t="n"/>
      <c r="F170" s="307" t="n"/>
      <c r="G170" s="307" t="n"/>
      <c r="H170" s="307" t="n"/>
      <c r="I170" s="307" t="n"/>
      <c r="J170" s="307" t="n"/>
      <c r="K170" s="307" t="n"/>
      <c r="L170" s="307" t="n"/>
      <c r="M170" s="307" t="n"/>
      <c r="N170" s="307" t="n"/>
      <c r="O170" s="233" t="n"/>
      <c r="P170" s="233" t="n"/>
      <c r="Q170" s="233" t="n"/>
      <c r="R170" s="233" t="n"/>
      <c r="S170" s="233" t="n"/>
      <c r="T170" s="233" t="n"/>
      <c r="U170" s="233" t="n"/>
      <c r="V170" s="233" t="n"/>
      <c r="W170" s="233" t="n"/>
      <c r="X170" s="233" t="n"/>
      <c r="Y170" s="233" t="n"/>
      <c r="Z170" s="233" t="n"/>
      <c r="AA170" s="233" t="n"/>
      <c r="AB170" s="233" t="n"/>
      <c r="AC170" s="233" t="n"/>
      <c r="AD170" s="233" t="n"/>
      <c r="AE170" s="233" t="n"/>
      <c r="AF170" s="233" t="n"/>
      <c r="AG170" s="233" t="n"/>
      <c r="AH170" s="233" t="n"/>
      <c r="AI170" s="233" t="n"/>
      <c r="AJ170" s="233" t="n"/>
      <c r="AK170" s="233" t="n"/>
      <c r="AL170" s="233" t="n"/>
      <c r="AM170" s="233" t="n"/>
      <c r="AN170" s="233" t="n"/>
      <c r="AO170" s="233" t="n"/>
      <c r="AP170" s="233" t="n"/>
      <c r="AQ170" s="233" t="n"/>
      <c r="AR170" s="233" t="n"/>
      <c r="AS170" s="233" t="n"/>
      <c r="AT170" s="233" t="n"/>
      <c r="AU170" s="233" t="n"/>
      <c r="AV170" s="233" t="n"/>
      <c r="AW170" s="233" t="n"/>
      <c r="AX170" s="233" t="n"/>
      <c r="AY170" s="233" t="n"/>
      <c r="AZ170" s="233" t="n"/>
      <c r="BA170" s="233" t="n"/>
      <c r="BB170" s="233" t="n"/>
      <c r="BC170" s="233" t="n"/>
      <c r="BD170" s="233" t="n"/>
      <c r="BE170" s="233" t="n"/>
      <c r="BF170" s="233" t="n"/>
      <c r="BG170" s="233" t="n"/>
      <c r="BH170" s="233" t="n"/>
      <c r="BI170" s="233" t="n"/>
      <c r="BJ170" s="233" t="n"/>
      <c r="BK170" s="233" t="n"/>
      <c r="BL170" s="233" t="n"/>
      <c r="BM170" s="233" t="n"/>
    </row>
    <row r="171" ht="15.75" customHeight="1" s="349">
      <c r="A171" s="31" t="n"/>
      <c r="B171" s="307" t="n"/>
      <c r="C171" s="307" t="n"/>
      <c r="D171" s="146" t="n"/>
      <c r="E171" s="307" t="n"/>
      <c r="F171" s="307" t="n"/>
      <c r="G171" s="307" t="n"/>
      <c r="H171" s="307" t="n"/>
      <c r="I171" s="307" t="n"/>
      <c r="J171" s="307" t="n"/>
      <c r="K171" s="307" t="n"/>
      <c r="L171" s="307" t="n"/>
      <c r="M171" s="307" t="n"/>
      <c r="N171" s="307" t="n"/>
      <c r="O171" s="233" t="n"/>
      <c r="P171" s="233" t="n"/>
      <c r="Q171" s="233" t="n"/>
      <c r="R171" s="233" t="n"/>
      <c r="S171" s="233" t="n"/>
      <c r="T171" s="233" t="n"/>
      <c r="U171" s="233" t="n"/>
      <c r="V171" s="233" t="n"/>
      <c r="W171" s="233" t="n"/>
      <c r="X171" s="233" t="n"/>
      <c r="Y171" s="233" t="n"/>
      <c r="Z171" s="233" t="n"/>
      <c r="AA171" s="233" t="n"/>
      <c r="AB171" s="233" t="n"/>
      <c r="AC171" s="233" t="n"/>
      <c r="AD171" s="233" t="n"/>
      <c r="AE171" s="233" t="n"/>
      <c r="AF171" s="233" t="n"/>
      <c r="AG171" s="233" t="n"/>
      <c r="AH171" s="233" t="n"/>
      <c r="AI171" s="233" t="n"/>
      <c r="AJ171" s="233" t="n"/>
      <c r="AK171" s="233" t="n"/>
      <c r="AL171" s="233" t="n"/>
      <c r="AM171" s="233" t="n"/>
      <c r="AN171" s="233" t="n"/>
      <c r="AO171" s="233" t="n"/>
      <c r="AP171" s="233" t="n"/>
      <c r="AQ171" s="233" t="n"/>
      <c r="AR171" s="233" t="n"/>
      <c r="AS171" s="233" t="n"/>
      <c r="AT171" s="233" t="n"/>
      <c r="AU171" s="233" t="n"/>
      <c r="AV171" s="233" t="n"/>
      <c r="AW171" s="233" t="n"/>
      <c r="AX171" s="233" t="n"/>
      <c r="AY171" s="233" t="n"/>
      <c r="AZ171" s="233" t="n"/>
      <c r="BA171" s="233" t="n"/>
      <c r="BB171" s="233" t="n"/>
      <c r="BC171" s="233" t="n"/>
      <c r="BD171" s="233" t="n"/>
      <c r="BE171" s="233" t="n"/>
      <c r="BF171" s="233" t="n"/>
      <c r="BG171" s="233" t="n"/>
      <c r="BH171" s="233" t="n"/>
      <c r="BI171" s="233" t="n"/>
      <c r="BJ171" s="233" t="n"/>
      <c r="BK171" s="233" t="n"/>
      <c r="BL171" s="233" t="n"/>
      <c r="BM171" s="233" t="n"/>
    </row>
    <row r="172" ht="15.75" customHeight="1" s="349">
      <c r="A172" s="31" t="n"/>
      <c r="B172" s="307" t="n"/>
      <c r="C172" s="307" t="n"/>
      <c r="D172" s="146" t="n"/>
      <c r="E172" s="307" t="n"/>
      <c r="F172" s="307" t="n"/>
      <c r="G172" s="307" t="n"/>
      <c r="H172" s="307" t="n"/>
      <c r="I172" s="307" t="n"/>
      <c r="J172" s="307" t="n"/>
      <c r="K172" s="307" t="n"/>
      <c r="L172" s="307" t="n"/>
      <c r="M172" s="307" t="n"/>
      <c r="N172" s="307" t="n"/>
      <c r="O172" s="233" t="n"/>
      <c r="P172" s="233" t="n"/>
      <c r="Q172" s="233" t="n"/>
      <c r="R172" s="233" t="n"/>
      <c r="S172" s="233" t="n"/>
      <c r="T172" s="233" t="n"/>
      <c r="U172" s="233" t="n"/>
      <c r="V172" s="233" t="n"/>
      <c r="W172" s="233" t="n"/>
      <c r="X172" s="233" t="n"/>
      <c r="Y172" s="233" t="n"/>
      <c r="Z172" s="233" t="n"/>
      <c r="AA172" s="233" t="n"/>
      <c r="AB172" s="233" t="n"/>
      <c r="AC172" s="233" t="n"/>
      <c r="AD172" s="233" t="n"/>
      <c r="AE172" s="233" t="n"/>
      <c r="AF172" s="233" t="n"/>
      <c r="AG172" s="233" t="n"/>
      <c r="AH172" s="233" t="n"/>
      <c r="AI172" s="233" t="n"/>
      <c r="AJ172" s="233" t="n"/>
      <c r="AK172" s="233" t="n"/>
      <c r="AL172" s="233" t="n"/>
      <c r="AM172" s="233" t="n"/>
      <c r="AN172" s="233" t="n"/>
      <c r="AO172" s="233" t="n"/>
      <c r="AP172" s="233" t="n"/>
      <c r="AQ172" s="233" t="n"/>
      <c r="AR172" s="233" t="n"/>
      <c r="AS172" s="233" t="n"/>
      <c r="AT172" s="233" t="n"/>
      <c r="AU172" s="233" t="n"/>
      <c r="AV172" s="233" t="n"/>
      <c r="AW172" s="233" t="n"/>
      <c r="AX172" s="233" t="n"/>
      <c r="AY172" s="233" t="n"/>
      <c r="AZ172" s="233" t="n"/>
      <c r="BA172" s="233" t="n"/>
      <c r="BB172" s="233" t="n"/>
      <c r="BC172" s="233" t="n"/>
      <c r="BD172" s="233" t="n"/>
      <c r="BE172" s="233" t="n"/>
      <c r="BF172" s="233" t="n"/>
      <c r="BG172" s="233" t="n"/>
      <c r="BH172" s="233" t="n"/>
      <c r="BI172" s="233" t="n"/>
      <c r="BJ172" s="233" t="n"/>
      <c r="BK172" s="233" t="n"/>
      <c r="BL172" s="233" t="n"/>
      <c r="BM172" s="233" t="n"/>
    </row>
    <row r="173" ht="15.75" customHeight="1" s="349">
      <c r="A173" s="31" t="n"/>
      <c r="B173" s="307" t="n"/>
      <c r="C173" s="307" t="n"/>
      <c r="D173" s="146" t="n"/>
      <c r="E173" s="307" t="n"/>
      <c r="F173" s="307" t="n"/>
      <c r="G173" s="307" t="n"/>
      <c r="H173" s="307" t="n"/>
      <c r="I173" s="307" t="n"/>
      <c r="J173" s="307" t="n"/>
      <c r="K173" s="307" t="n"/>
      <c r="L173" s="307" t="n"/>
      <c r="M173" s="307" t="n"/>
      <c r="N173" s="307" t="n"/>
      <c r="O173" s="233" t="n"/>
      <c r="P173" s="233" t="n"/>
      <c r="Q173" s="233" t="n"/>
      <c r="R173" s="233" t="n"/>
      <c r="S173" s="233" t="n"/>
      <c r="T173" s="233" t="n"/>
      <c r="U173" s="233" t="n"/>
      <c r="V173" s="233" t="n"/>
      <c r="W173" s="233" t="n"/>
      <c r="X173" s="233" t="n"/>
      <c r="Y173" s="233" t="n"/>
      <c r="Z173" s="233" t="n"/>
      <c r="AA173" s="233" t="n"/>
      <c r="AB173" s="233" t="n"/>
      <c r="AC173" s="233" t="n"/>
      <c r="AD173" s="233" t="n"/>
      <c r="AE173" s="233" t="n"/>
      <c r="AF173" s="233" t="n"/>
      <c r="AG173" s="233" t="n"/>
      <c r="AH173" s="233" t="n"/>
      <c r="AI173" s="233" t="n"/>
      <c r="AJ173" s="233" t="n"/>
      <c r="AK173" s="233" t="n"/>
      <c r="AL173" s="233" t="n"/>
      <c r="AM173" s="233" t="n"/>
      <c r="AN173" s="233" t="n"/>
      <c r="AO173" s="233" t="n"/>
      <c r="AP173" s="233" t="n"/>
      <c r="AQ173" s="233" t="n"/>
      <c r="AR173" s="233" t="n"/>
      <c r="AS173" s="233" t="n"/>
      <c r="AT173" s="233" t="n"/>
      <c r="AU173" s="233" t="n"/>
      <c r="AV173" s="233" t="n"/>
      <c r="AW173" s="233" t="n"/>
      <c r="AX173" s="233" t="n"/>
      <c r="AY173" s="233" t="n"/>
      <c r="AZ173" s="233" t="n"/>
      <c r="BA173" s="233" t="n"/>
      <c r="BB173" s="233" t="n"/>
      <c r="BC173" s="233" t="n"/>
      <c r="BD173" s="233" t="n"/>
      <c r="BE173" s="233" t="n"/>
      <c r="BF173" s="233" t="n"/>
      <c r="BG173" s="233" t="n"/>
      <c r="BH173" s="233" t="n"/>
      <c r="BI173" s="233" t="n"/>
      <c r="BJ173" s="233" t="n"/>
      <c r="BK173" s="233" t="n"/>
      <c r="BL173" s="233" t="n"/>
      <c r="BM173" s="233" t="n"/>
    </row>
    <row r="174" ht="15.75" customHeight="1" s="349">
      <c r="A174" s="31" t="n"/>
      <c r="B174" s="307" t="n"/>
      <c r="C174" s="307" t="n"/>
      <c r="D174" s="146" t="n"/>
      <c r="E174" s="307" t="n"/>
      <c r="F174" s="307" t="n"/>
      <c r="G174" s="307" t="n"/>
      <c r="H174" s="307" t="n"/>
      <c r="I174" s="307" t="n"/>
      <c r="J174" s="307" t="n"/>
      <c r="K174" s="307" t="n"/>
      <c r="L174" s="307" t="n"/>
      <c r="M174" s="307" t="n"/>
      <c r="N174" s="307" t="n"/>
      <c r="O174" s="233" t="n"/>
      <c r="P174" s="233" t="n"/>
      <c r="Q174" s="233" t="n"/>
      <c r="R174" s="233" t="n"/>
      <c r="S174" s="233" t="n"/>
      <c r="T174" s="233" t="n"/>
      <c r="U174" s="233" t="n"/>
      <c r="V174" s="233" t="n"/>
      <c r="W174" s="233" t="n"/>
      <c r="X174" s="233" t="n"/>
      <c r="Y174" s="233" t="n"/>
      <c r="Z174" s="233" t="n"/>
      <c r="AA174" s="233" t="n"/>
      <c r="AB174" s="233" t="n"/>
      <c r="AC174" s="233" t="n"/>
      <c r="AD174" s="233" t="n"/>
      <c r="AE174" s="233" t="n"/>
      <c r="AF174" s="233" t="n"/>
      <c r="AG174" s="233" t="n"/>
      <c r="AH174" s="233" t="n"/>
      <c r="AI174" s="233" t="n"/>
      <c r="AJ174" s="233" t="n"/>
      <c r="AK174" s="233" t="n"/>
      <c r="AL174" s="233" t="n"/>
      <c r="AM174" s="233" t="n"/>
      <c r="AN174" s="233" t="n"/>
      <c r="AO174" s="233" t="n"/>
      <c r="AP174" s="233" t="n"/>
      <c r="AQ174" s="233" t="n"/>
      <c r="AR174" s="233" t="n"/>
      <c r="AS174" s="233" t="n"/>
      <c r="AT174" s="233" t="n"/>
      <c r="AU174" s="233" t="n"/>
      <c r="AV174" s="233" t="n"/>
      <c r="AW174" s="233" t="n"/>
      <c r="AX174" s="233" t="n"/>
      <c r="AY174" s="233" t="n"/>
      <c r="AZ174" s="233" t="n"/>
      <c r="BA174" s="233" t="n"/>
      <c r="BB174" s="233" t="n"/>
      <c r="BC174" s="233" t="n"/>
      <c r="BD174" s="233" t="n"/>
      <c r="BE174" s="233" t="n"/>
      <c r="BF174" s="233" t="n"/>
      <c r="BG174" s="233" t="n"/>
      <c r="BH174" s="233" t="n"/>
      <c r="BI174" s="233" t="n"/>
      <c r="BJ174" s="233" t="n"/>
      <c r="BK174" s="233" t="n"/>
      <c r="BL174" s="233" t="n"/>
      <c r="BM174" s="233" t="n"/>
    </row>
    <row r="175" ht="15.75" customHeight="1" s="349">
      <c r="A175" s="31" t="n"/>
      <c r="B175" s="307" t="n"/>
      <c r="C175" s="307" t="n"/>
      <c r="D175" s="146" t="n"/>
      <c r="E175" s="307" t="n"/>
      <c r="F175" s="307" t="n"/>
      <c r="G175" s="307" t="n"/>
      <c r="H175" s="307" t="n"/>
      <c r="I175" s="307" t="n"/>
      <c r="J175" s="307" t="n"/>
      <c r="K175" s="307" t="n"/>
      <c r="L175" s="307" t="n"/>
      <c r="M175" s="307" t="n"/>
      <c r="N175" s="307" t="n"/>
      <c r="O175" s="233" t="n"/>
      <c r="P175" s="233" t="n"/>
      <c r="Q175" s="233" t="n"/>
      <c r="R175" s="233" t="n"/>
      <c r="S175" s="233" t="n"/>
      <c r="T175" s="233" t="n"/>
      <c r="U175" s="233" t="n"/>
      <c r="V175" s="233" t="n"/>
      <c r="W175" s="233" t="n"/>
      <c r="X175" s="233" t="n"/>
      <c r="Y175" s="233" t="n"/>
      <c r="Z175" s="233" t="n"/>
      <c r="AA175" s="233" t="n"/>
      <c r="AB175" s="233" t="n"/>
      <c r="AC175" s="233" t="n"/>
      <c r="AD175" s="233" t="n"/>
      <c r="AE175" s="233" t="n"/>
      <c r="AF175" s="233" t="n"/>
      <c r="AG175" s="233" t="n"/>
      <c r="AH175" s="233" t="n"/>
      <c r="AI175" s="233" t="n"/>
      <c r="AJ175" s="233" t="n"/>
      <c r="AK175" s="233" t="n"/>
      <c r="AL175" s="233" t="n"/>
      <c r="AM175" s="233" t="n"/>
      <c r="AN175" s="233" t="n"/>
      <c r="AO175" s="233" t="n"/>
      <c r="AP175" s="233" t="n"/>
      <c r="AQ175" s="233" t="n"/>
      <c r="AR175" s="233" t="n"/>
      <c r="AS175" s="233" t="n"/>
      <c r="AT175" s="233" t="n"/>
      <c r="AU175" s="233" t="n"/>
      <c r="AV175" s="233" t="n"/>
      <c r="AW175" s="233" t="n"/>
      <c r="AX175" s="233" t="n"/>
      <c r="AY175" s="233" t="n"/>
      <c r="AZ175" s="233" t="n"/>
      <c r="BA175" s="233" t="n"/>
      <c r="BB175" s="233" t="n"/>
      <c r="BC175" s="233" t="n"/>
      <c r="BD175" s="233" t="n"/>
      <c r="BE175" s="233" t="n"/>
      <c r="BF175" s="233" t="n"/>
      <c r="BG175" s="233" t="n"/>
      <c r="BH175" s="233" t="n"/>
      <c r="BI175" s="233" t="n"/>
      <c r="BJ175" s="233" t="n"/>
      <c r="BK175" s="233" t="n"/>
      <c r="BL175" s="233" t="n"/>
      <c r="BM175" s="233" t="n"/>
    </row>
    <row r="176" ht="15.75" customHeight="1" s="349">
      <c r="A176" s="31" t="n"/>
      <c r="B176" s="307" t="n"/>
      <c r="C176" s="307" t="n"/>
      <c r="D176" s="146" t="n"/>
      <c r="E176" s="307" t="n"/>
      <c r="F176" s="307" t="n"/>
      <c r="G176" s="307" t="n"/>
      <c r="H176" s="307" t="n"/>
      <c r="I176" s="307" t="n"/>
      <c r="J176" s="307" t="n"/>
      <c r="K176" s="307" t="n"/>
      <c r="L176" s="307" t="n"/>
      <c r="M176" s="307" t="n"/>
      <c r="N176" s="307" t="n"/>
      <c r="O176" s="233" t="n"/>
      <c r="P176" s="233" t="n"/>
      <c r="Q176" s="233" t="n"/>
      <c r="R176" s="233" t="n"/>
      <c r="S176" s="233" t="n"/>
      <c r="T176" s="233" t="n"/>
      <c r="U176" s="233" t="n"/>
      <c r="V176" s="233" t="n"/>
      <c r="W176" s="233" t="n"/>
      <c r="X176" s="233" t="n"/>
      <c r="Y176" s="233" t="n"/>
      <c r="Z176" s="233" t="n"/>
      <c r="AA176" s="233" t="n"/>
      <c r="AB176" s="233" t="n"/>
      <c r="AC176" s="233" t="n"/>
      <c r="AD176" s="233" t="n"/>
      <c r="AE176" s="233" t="n"/>
      <c r="AF176" s="233" t="n"/>
      <c r="AG176" s="233" t="n"/>
      <c r="AH176" s="233" t="n"/>
      <c r="AI176" s="233" t="n"/>
      <c r="AJ176" s="233" t="n"/>
      <c r="AK176" s="233" t="n"/>
      <c r="AL176" s="233" t="n"/>
      <c r="AM176" s="233" t="n"/>
      <c r="AN176" s="233" t="n"/>
      <c r="AO176" s="233" t="n"/>
      <c r="AP176" s="233" t="n"/>
      <c r="AQ176" s="233" t="n"/>
      <c r="AR176" s="233" t="n"/>
      <c r="AS176" s="233" t="n"/>
      <c r="AT176" s="233" t="n"/>
      <c r="AU176" s="233" t="n"/>
      <c r="AV176" s="233" t="n"/>
      <c r="AW176" s="233" t="n"/>
      <c r="AX176" s="233" t="n"/>
      <c r="AY176" s="233" t="n"/>
      <c r="AZ176" s="233" t="n"/>
      <c r="BA176" s="233" t="n"/>
      <c r="BB176" s="233" t="n"/>
      <c r="BC176" s="233" t="n"/>
      <c r="BD176" s="233" t="n"/>
      <c r="BE176" s="233" t="n"/>
      <c r="BF176" s="233" t="n"/>
      <c r="BG176" s="233" t="n"/>
      <c r="BH176" s="233" t="n"/>
      <c r="BI176" s="233" t="n"/>
      <c r="BJ176" s="233" t="n"/>
      <c r="BK176" s="233" t="n"/>
      <c r="BL176" s="233" t="n"/>
      <c r="BM176" s="233" t="n"/>
    </row>
    <row r="177" ht="15.75" customHeight="1" s="349">
      <c r="A177" s="31" t="n"/>
      <c r="B177" s="307" t="n"/>
      <c r="C177" s="307" t="n"/>
      <c r="D177" s="146" t="n"/>
      <c r="E177" s="307" t="n"/>
      <c r="F177" s="307" t="n"/>
      <c r="G177" s="307" t="n"/>
      <c r="H177" s="307" t="n"/>
      <c r="I177" s="307" t="n"/>
      <c r="J177" s="307" t="n"/>
      <c r="K177" s="307" t="n"/>
      <c r="L177" s="307" t="n"/>
      <c r="M177" s="307" t="n"/>
      <c r="N177" s="307" t="n"/>
      <c r="O177" s="233" t="n"/>
      <c r="P177" s="233" t="n"/>
      <c r="Q177" s="233" t="n"/>
      <c r="R177" s="233" t="n"/>
      <c r="S177" s="233" t="n"/>
      <c r="T177" s="233" t="n"/>
      <c r="U177" s="233" t="n"/>
      <c r="V177" s="233" t="n"/>
      <c r="W177" s="233" t="n"/>
      <c r="X177" s="233" t="n"/>
      <c r="Y177" s="233" t="n"/>
      <c r="Z177" s="233" t="n"/>
      <c r="AA177" s="233" t="n"/>
      <c r="AB177" s="233" t="n"/>
      <c r="AC177" s="233" t="n"/>
      <c r="AD177" s="233" t="n"/>
      <c r="AE177" s="233" t="n"/>
      <c r="AF177" s="233" t="n"/>
      <c r="AG177" s="233" t="n"/>
      <c r="AH177" s="233" t="n"/>
      <c r="AI177" s="233" t="n"/>
      <c r="AJ177" s="233" t="n"/>
      <c r="AK177" s="233" t="n"/>
      <c r="AL177" s="233" t="n"/>
      <c r="AM177" s="233" t="n"/>
      <c r="AN177" s="233" t="n"/>
      <c r="AO177" s="233" t="n"/>
      <c r="AP177" s="233" t="n"/>
      <c r="AQ177" s="233" t="n"/>
      <c r="AR177" s="233" t="n"/>
      <c r="AS177" s="233" t="n"/>
      <c r="AT177" s="233" t="n"/>
      <c r="AU177" s="233" t="n"/>
      <c r="AV177" s="233" t="n"/>
      <c r="AW177" s="233" t="n"/>
      <c r="AX177" s="233" t="n"/>
      <c r="AY177" s="233" t="n"/>
      <c r="AZ177" s="233" t="n"/>
      <c r="BA177" s="233" t="n"/>
      <c r="BB177" s="233" t="n"/>
      <c r="BC177" s="233" t="n"/>
      <c r="BD177" s="233" t="n"/>
      <c r="BE177" s="233" t="n"/>
      <c r="BF177" s="233" t="n"/>
      <c r="BG177" s="233" t="n"/>
      <c r="BH177" s="233" t="n"/>
      <c r="BI177" s="233" t="n"/>
      <c r="BJ177" s="233" t="n"/>
      <c r="BK177" s="233" t="n"/>
      <c r="BL177" s="233" t="n"/>
      <c r="BM177" s="233" t="n"/>
    </row>
    <row r="178" ht="15.75" customHeight="1" s="349">
      <c r="A178" s="31" t="n"/>
      <c r="B178" s="307" t="n"/>
      <c r="C178" s="307" t="n"/>
      <c r="D178" s="146" t="n"/>
      <c r="E178" s="307" t="n"/>
      <c r="F178" s="307" t="n"/>
      <c r="G178" s="307" t="n"/>
      <c r="H178" s="307" t="n"/>
      <c r="I178" s="307" t="n"/>
      <c r="J178" s="307" t="n"/>
      <c r="K178" s="307" t="n"/>
      <c r="L178" s="307" t="n"/>
      <c r="M178" s="307" t="n"/>
      <c r="N178" s="307" t="n"/>
      <c r="O178" s="233" t="n"/>
      <c r="P178" s="233" t="n"/>
      <c r="Q178" s="233" t="n"/>
      <c r="R178" s="233" t="n"/>
      <c r="S178" s="233" t="n"/>
      <c r="T178" s="233" t="n"/>
      <c r="U178" s="233" t="n"/>
      <c r="V178" s="233" t="n"/>
      <c r="W178" s="233" t="n"/>
      <c r="X178" s="233" t="n"/>
      <c r="Y178" s="233" t="n"/>
      <c r="Z178" s="233" t="n"/>
      <c r="AA178" s="233" t="n"/>
      <c r="AB178" s="233" t="n"/>
      <c r="AC178" s="233" t="n"/>
      <c r="AD178" s="233" t="n"/>
      <c r="AE178" s="233" t="n"/>
      <c r="AF178" s="233" t="n"/>
      <c r="AG178" s="233" t="n"/>
      <c r="AH178" s="233" t="n"/>
      <c r="AI178" s="233" t="n"/>
      <c r="AJ178" s="233" t="n"/>
      <c r="AK178" s="233" t="n"/>
      <c r="AL178" s="233" t="n"/>
      <c r="AM178" s="233" t="n"/>
      <c r="AN178" s="233" t="n"/>
      <c r="AO178" s="233" t="n"/>
      <c r="AP178" s="233" t="n"/>
      <c r="AQ178" s="233" t="n"/>
      <c r="AR178" s="233" t="n"/>
      <c r="AS178" s="233" t="n"/>
      <c r="AT178" s="233" t="n"/>
      <c r="AU178" s="233" t="n"/>
      <c r="AV178" s="233" t="n"/>
      <c r="AW178" s="233" t="n"/>
      <c r="AX178" s="233" t="n"/>
      <c r="AY178" s="233" t="n"/>
      <c r="AZ178" s="233" t="n"/>
      <c r="BA178" s="233" t="n"/>
      <c r="BB178" s="233" t="n"/>
      <c r="BC178" s="233" t="n"/>
      <c r="BD178" s="233" t="n"/>
      <c r="BE178" s="233" t="n"/>
      <c r="BF178" s="233" t="n"/>
      <c r="BG178" s="233" t="n"/>
      <c r="BH178" s="233" t="n"/>
      <c r="BI178" s="233" t="n"/>
      <c r="BJ178" s="233" t="n"/>
      <c r="BK178" s="233" t="n"/>
      <c r="BL178" s="233" t="n"/>
      <c r="BM178" s="233" t="n"/>
    </row>
    <row r="179" ht="15.75" customHeight="1" s="349">
      <c r="A179" s="31" t="n"/>
      <c r="B179" s="307" t="n"/>
      <c r="C179" s="307" t="n"/>
      <c r="D179" s="146" t="n"/>
      <c r="E179" s="307" t="n"/>
      <c r="F179" s="307" t="n"/>
      <c r="G179" s="307" t="n"/>
      <c r="H179" s="307" t="n"/>
      <c r="I179" s="307" t="n"/>
      <c r="J179" s="307" t="n"/>
      <c r="K179" s="307" t="n"/>
      <c r="L179" s="307" t="n"/>
      <c r="M179" s="307" t="n"/>
      <c r="N179" s="307" t="n"/>
      <c r="O179" s="233" t="n"/>
      <c r="P179" s="233" t="n"/>
      <c r="Q179" s="233" t="n"/>
      <c r="R179" s="233" t="n"/>
      <c r="S179" s="233" t="n"/>
      <c r="T179" s="233" t="n"/>
      <c r="U179" s="233" t="n"/>
      <c r="V179" s="233" t="n"/>
      <c r="W179" s="233" t="n"/>
      <c r="X179" s="233" t="n"/>
      <c r="Y179" s="233" t="n"/>
      <c r="Z179" s="233" t="n"/>
      <c r="AA179" s="233" t="n"/>
      <c r="AB179" s="233" t="n"/>
      <c r="AC179" s="233" t="n"/>
      <c r="AD179" s="233" t="n"/>
      <c r="AE179" s="233" t="n"/>
      <c r="AF179" s="233" t="n"/>
      <c r="AG179" s="233" t="n"/>
      <c r="AH179" s="233" t="n"/>
      <c r="AI179" s="233" t="n"/>
      <c r="AJ179" s="233" t="n"/>
      <c r="AK179" s="233" t="n"/>
      <c r="AL179" s="233" t="n"/>
      <c r="AM179" s="233" t="n"/>
      <c r="AN179" s="233" t="n"/>
      <c r="AO179" s="233" t="n"/>
      <c r="AP179" s="233" t="n"/>
      <c r="AQ179" s="233" t="n"/>
      <c r="AR179" s="233" t="n"/>
      <c r="AS179" s="233" t="n"/>
      <c r="AT179" s="233" t="n"/>
      <c r="AU179" s="233" t="n"/>
      <c r="AV179" s="233" t="n"/>
      <c r="AW179" s="233" t="n"/>
      <c r="AX179" s="233" t="n"/>
      <c r="AY179" s="233" t="n"/>
      <c r="AZ179" s="233" t="n"/>
      <c r="BA179" s="233" t="n"/>
      <c r="BB179" s="233" t="n"/>
      <c r="BC179" s="233" t="n"/>
      <c r="BD179" s="233" t="n"/>
      <c r="BE179" s="233" t="n"/>
      <c r="BF179" s="233" t="n"/>
      <c r="BG179" s="233" t="n"/>
      <c r="BH179" s="233" t="n"/>
      <c r="BI179" s="233" t="n"/>
      <c r="BJ179" s="233" t="n"/>
      <c r="BK179" s="233" t="n"/>
      <c r="BL179" s="233" t="n"/>
      <c r="BM179" s="233" t="n"/>
    </row>
    <row r="180" ht="15.75" customHeight="1" s="349">
      <c r="A180" s="31" t="n"/>
      <c r="B180" s="307" t="n"/>
      <c r="C180" s="307" t="n"/>
      <c r="D180" s="146" t="n"/>
      <c r="E180" s="307" t="n"/>
      <c r="F180" s="307" t="n"/>
      <c r="G180" s="307" t="n"/>
      <c r="H180" s="307" t="n"/>
      <c r="I180" s="307" t="n"/>
      <c r="J180" s="307" t="n"/>
      <c r="K180" s="307" t="n"/>
      <c r="L180" s="307" t="n"/>
      <c r="M180" s="307" t="n"/>
      <c r="N180" s="307" t="n"/>
      <c r="O180" s="233" t="n"/>
      <c r="P180" s="233" t="n"/>
      <c r="Q180" s="233" t="n"/>
      <c r="R180" s="233" t="n"/>
      <c r="S180" s="233" t="n"/>
      <c r="T180" s="233" t="n"/>
      <c r="U180" s="233" t="n"/>
      <c r="V180" s="233" t="n"/>
      <c r="W180" s="233" t="n"/>
      <c r="X180" s="233" t="n"/>
      <c r="Y180" s="233" t="n"/>
      <c r="Z180" s="233" t="n"/>
      <c r="AA180" s="233" t="n"/>
      <c r="AB180" s="233" t="n"/>
      <c r="AC180" s="233" t="n"/>
      <c r="AD180" s="233" t="n"/>
      <c r="AE180" s="233" t="n"/>
      <c r="AF180" s="233" t="n"/>
      <c r="AG180" s="233" t="n"/>
      <c r="AH180" s="233" t="n"/>
      <c r="AI180" s="233" t="n"/>
      <c r="AJ180" s="233" t="n"/>
      <c r="AK180" s="233" t="n"/>
      <c r="AL180" s="233" t="n"/>
      <c r="AM180" s="233" t="n"/>
      <c r="AN180" s="233" t="n"/>
      <c r="AO180" s="233" t="n"/>
      <c r="AP180" s="233" t="n"/>
      <c r="AQ180" s="233" t="n"/>
      <c r="AR180" s="233" t="n"/>
      <c r="AS180" s="233" t="n"/>
      <c r="AT180" s="233" t="n"/>
      <c r="AU180" s="233" t="n"/>
      <c r="AV180" s="233" t="n"/>
      <c r="AW180" s="233" t="n"/>
      <c r="AX180" s="233" t="n"/>
      <c r="AY180" s="233" t="n"/>
      <c r="AZ180" s="233" t="n"/>
      <c r="BA180" s="233" t="n"/>
      <c r="BB180" s="233" t="n"/>
      <c r="BC180" s="233" t="n"/>
      <c r="BD180" s="233" t="n"/>
      <c r="BE180" s="233" t="n"/>
      <c r="BF180" s="233" t="n"/>
      <c r="BG180" s="233" t="n"/>
      <c r="BH180" s="233" t="n"/>
      <c r="BI180" s="233" t="n"/>
      <c r="BJ180" s="233" t="n"/>
      <c r="BK180" s="233" t="n"/>
      <c r="BL180" s="233" t="n"/>
      <c r="BM180" s="233" t="n"/>
    </row>
    <row r="181" ht="15.75" customHeight="1" s="349">
      <c r="A181" s="31" t="n"/>
      <c r="B181" s="307" t="n"/>
      <c r="C181" s="307" t="n"/>
      <c r="D181" s="146" t="n"/>
      <c r="E181" s="307" t="n"/>
      <c r="F181" s="307" t="n"/>
      <c r="G181" s="307" t="n"/>
      <c r="H181" s="307" t="n"/>
      <c r="I181" s="307" t="n"/>
      <c r="J181" s="307" t="n"/>
      <c r="K181" s="307" t="n"/>
      <c r="L181" s="307" t="n"/>
      <c r="M181" s="307" t="n"/>
      <c r="N181" s="307" t="n"/>
      <c r="O181" s="233" t="n"/>
      <c r="P181" s="233" t="n"/>
      <c r="Q181" s="233" t="n"/>
      <c r="R181" s="233" t="n"/>
      <c r="S181" s="233" t="n"/>
      <c r="T181" s="233" t="n"/>
      <c r="U181" s="233" t="n"/>
      <c r="V181" s="233" t="n"/>
      <c r="W181" s="233" t="n"/>
      <c r="X181" s="233" t="n"/>
      <c r="Y181" s="233" t="n"/>
      <c r="Z181" s="233" t="n"/>
      <c r="AA181" s="233" t="n"/>
      <c r="AB181" s="233" t="n"/>
      <c r="AC181" s="233" t="n"/>
      <c r="AD181" s="233" t="n"/>
      <c r="AE181" s="233" t="n"/>
      <c r="AF181" s="233" t="n"/>
      <c r="AG181" s="233" t="n"/>
      <c r="AH181" s="233" t="n"/>
      <c r="AI181" s="233" t="n"/>
      <c r="AJ181" s="233" t="n"/>
      <c r="AK181" s="233" t="n"/>
      <c r="AL181" s="233" t="n"/>
      <c r="AM181" s="233" t="n"/>
      <c r="AN181" s="233" t="n"/>
      <c r="AO181" s="233" t="n"/>
      <c r="AP181" s="233" t="n"/>
      <c r="AQ181" s="233" t="n"/>
      <c r="AR181" s="233" t="n"/>
      <c r="AS181" s="233" t="n"/>
      <c r="AT181" s="233" t="n"/>
      <c r="AU181" s="233" t="n"/>
      <c r="AV181" s="233" t="n"/>
      <c r="AW181" s="233" t="n"/>
      <c r="AX181" s="233" t="n"/>
      <c r="AY181" s="233" t="n"/>
      <c r="AZ181" s="233" t="n"/>
      <c r="BA181" s="233" t="n"/>
      <c r="BB181" s="233" t="n"/>
      <c r="BC181" s="233" t="n"/>
      <c r="BD181" s="233" t="n"/>
      <c r="BE181" s="233" t="n"/>
      <c r="BF181" s="233" t="n"/>
      <c r="BG181" s="233" t="n"/>
      <c r="BH181" s="233" t="n"/>
      <c r="BI181" s="233" t="n"/>
      <c r="BJ181" s="233" t="n"/>
      <c r="BK181" s="233" t="n"/>
      <c r="BL181" s="233" t="n"/>
      <c r="BM181" s="233" t="n"/>
    </row>
    <row r="182" ht="15.75" customHeight="1" s="349">
      <c r="A182" s="31" t="n"/>
      <c r="B182" s="307" t="n"/>
      <c r="C182" s="307" t="n"/>
      <c r="D182" s="146" t="n"/>
      <c r="E182" s="307" t="n"/>
      <c r="F182" s="307" t="n"/>
      <c r="G182" s="307" t="n"/>
      <c r="H182" s="307" t="n"/>
      <c r="I182" s="307" t="n"/>
      <c r="J182" s="307" t="n"/>
      <c r="K182" s="307" t="n"/>
      <c r="L182" s="307" t="n"/>
      <c r="M182" s="307" t="n"/>
      <c r="N182" s="307" t="n"/>
      <c r="O182" s="233" t="n"/>
      <c r="P182" s="233" t="n"/>
      <c r="Q182" s="233" t="n"/>
      <c r="R182" s="233" t="n"/>
      <c r="S182" s="233" t="n"/>
      <c r="T182" s="233" t="n"/>
      <c r="U182" s="233" t="n"/>
      <c r="V182" s="233" t="n"/>
      <c r="W182" s="233" t="n"/>
      <c r="X182" s="233" t="n"/>
      <c r="Y182" s="233" t="n"/>
      <c r="Z182" s="233" t="n"/>
      <c r="AA182" s="233" t="n"/>
      <c r="AB182" s="233" t="n"/>
      <c r="AC182" s="233" t="n"/>
      <c r="AD182" s="233" t="n"/>
      <c r="AE182" s="233" t="n"/>
      <c r="AF182" s="233" t="n"/>
      <c r="AG182" s="233" t="n"/>
      <c r="AH182" s="233" t="n"/>
      <c r="AI182" s="233" t="n"/>
      <c r="AJ182" s="233" t="n"/>
      <c r="AK182" s="233" t="n"/>
      <c r="AL182" s="233" t="n"/>
      <c r="AM182" s="233" t="n"/>
      <c r="AN182" s="233" t="n"/>
      <c r="AO182" s="233" t="n"/>
      <c r="AP182" s="233" t="n"/>
      <c r="AQ182" s="233" t="n"/>
      <c r="AR182" s="233" t="n"/>
      <c r="AS182" s="233" t="n"/>
      <c r="AT182" s="233" t="n"/>
      <c r="AU182" s="233" t="n"/>
      <c r="AV182" s="233" t="n"/>
      <c r="AW182" s="233" t="n"/>
      <c r="AX182" s="233" t="n"/>
      <c r="AY182" s="233" t="n"/>
      <c r="AZ182" s="233" t="n"/>
      <c r="BA182" s="233" t="n"/>
      <c r="BB182" s="233" t="n"/>
      <c r="BC182" s="233" t="n"/>
      <c r="BD182" s="233" t="n"/>
      <c r="BE182" s="233" t="n"/>
      <c r="BF182" s="233" t="n"/>
      <c r="BG182" s="233" t="n"/>
      <c r="BH182" s="233" t="n"/>
      <c r="BI182" s="233" t="n"/>
      <c r="BJ182" s="233" t="n"/>
      <c r="BK182" s="233" t="n"/>
      <c r="BL182" s="233" t="n"/>
      <c r="BM182" s="233" t="n"/>
    </row>
    <row r="183" ht="15.75" customHeight="1" s="349">
      <c r="A183" s="31" t="n"/>
      <c r="B183" s="307" t="n"/>
      <c r="C183" s="307" t="n"/>
      <c r="D183" s="146" t="n"/>
      <c r="E183" s="307" t="n"/>
      <c r="F183" s="307" t="n"/>
      <c r="G183" s="307" t="n"/>
      <c r="H183" s="307" t="n"/>
      <c r="I183" s="307" t="n"/>
      <c r="J183" s="307" t="n"/>
      <c r="K183" s="307" t="n"/>
      <c r="L183" s="307" t="n"/>
      <c r="M183" s="307" t="n"/>
      <c r="N183" s="307" t="n"/>
      <c r="O183" s="233" t="n"/>
      <c r="P183" s="233" t="n"/>
      <c r="Q183" s="233" t="n"/>
      <c r="R183" s="233" t="n"/>
      <c r="S183" s="233" t="n"/>
      <c r="T183" s="233" t="n"/>
      <c r="U183" s="233" t="n"/>
      <c r="V183" s="233" t="n"/>
      <c r="W183" s="233" t="n"/>
      <c r="X183" s="233" t="n"/>
      <c r="Y183" s="233" t="n"/>
      <c r="Z183" s="233" t="n"/>
      <c r="AA183" s="233" t="n"/>
      <c r="AB183" s="233" t="n"/>
      <c r="AC183" s="233" t="n"/>
      <c r="AD183" s="233" t="n"/>
      <c r="AE183" s="233" t="n"/>
      <c r="AF183" s="233" t="n"/>
      <c r="AG183" s="233" t="n"/>
      <c r="AH183" s="233" t="n"/>
      <c r="AI183" s="233" t="n"/>
      <c r="AJ183" s="233" t="n"/>
      <c r="AK183" s="233" t="n"/>
      <c r="AL183" s="233" t="n"/>
      <c r="AM183" s="233" t="n"/>
      <c r="AN183" s="233" t="n"/>
      <c r="AO183" s="233" t="n"/>
      <c r="AP183" s="233" t="n"/>
      <c r="AQ183" s="233" t="n"/>
      <c r="AR183" s="233" t="n"/>
      <c r="AS183" s="233" t="n"/>
      <c r="AT183" s="233" t="n"/>
      <c r="AU183" s="233" t="n"/>
      <c r="AV183" s="233" t="n"/>
      <c r="AW183" s="233" t="n"/>
      <c r="AX183" s="233" t="n"/>
      <c r="AY183" s="233" t="n"/>
      <c r="AZ183" s="233" t="n"/>
      <c r="BA183" s="233" t="n"/>
      <c r="BB183" s="233" t="n"/>
      <c r="BC183" s="233" t="n"/>
      <c r="BD183" s="233" t="n"/>
      <c r="BE183" s="233" t="n"/>
      <c r="BF183" s="233" t="n"/>
      <c r="BG183" s="233" t="n"/>
      <c r="BH183" s="233" t="n"/>
      <c r="BI183" s="233" t="n"/>
      <c r="BJ183" s="233" t="n"/>
      <c r="BK183" s="233" t="n"/>
      <c r="BL183" s="233" t="n"/>
      <c r="BM183" s="233" t="n"/>
    </row>
    <row r="184" ht="15.75" customHeight="1" s="349">
      <c r="A184" s="31" t="n"/>
      <c r="B184" s="307" t="n"/>
      <c r="C184" s="307" t="n"/>
      <c r="D184" s="146" t="n"/>
      <c r="E184" s="307" t="n"/>
      <c r="F184" s="307" t="n"/>
      <c r="G184" s="307" t="n"/>
      <c r="H184" s="307" t="n"/>
      <c r="I184" s="307" t="n"/>
      <c r="J184" s="307" t="n"/>
      <c r="K184" s="307" t="n"/>
      <c r="L184" s="307" t="n"/>
      <c r="M184" s="307" t="n"/>
      <c r="N184" s="307" t="n"/>
      <c r="O184" s="233" t="n"/>
      <c r="P184" s="233" t="n"/>
      <c r="Q184" s="233" t="n"/>
      <c r="R184" s="233" t="n"/>
      <c r="S184" s="233" t="n"/>
      <c r="T184" s="233" t="n"/>
      <c r="U184" s="233" t="n"/>
      <c r="V184" s="233" t="n"/>
      <c r="W184" s="233" t="n"/>
      <c r="X184" s="233" t="n"/>
      <c r="Y184" s="233" t="n"/>
      <c r="Z184" s="233" t="n"/>
      <c r="AA184" s="233" t="n"/>
      <c r="AB184" s="233" t="n"/>
      <c r="AC184" s="233" t="n"/>
      <c r="AD184" s="233" t="n"/>
      <c r="AE184" s="233" t="n"/>
      <c r="AF184" s="233" t="n"/>
      <c r="AG184" s="233" t="n"/>
      <c r="AH184" s="233" t="n"/>
      <c r="AI184" s="233" t="n"/>
      <c r="AJ184" s="233" t="n"/>
      <c r="AK184" s="233" t="n"/>
      <c r="AL184" s="233" t="n"/>
      <c r="AM184" s="233" t="n"/>
      <c r="AN184" s="233" t="n"/>
      <c r="AO184" s="233" t="n"/>
      <c r="AP184" s="233" t="n"/>
      <c r="AQ184" s="233" t="n"/>
      <c r="AR184" s="233" t="n"/>
      <c r="AS184" s="233" t="n"/>
      <c r="AT184" s="233" t="n"/>
      <c r="AU184" s="233" t="n"/>
      <c r="AV184" s="233" t="n"/>
      <c r="AW184" s="233" t="n"/>
      <c r="AX184" s="233" t="n"/>
      <c r="AY184" s="233" t="n"/>
      <c r="AZ184" s="233" t="n"/>
      <c r="BA184" s="233" t="n"/>
      <c r="BB184" s="233" t="n"/>
      <c r="BC184" s="233" t="n"/>
      <c r="BD184" s="233" t="n"/>
      <c r="BE184" s="233" t="n"/>
      <c r="BF184" s="233" t="n"/>
      <c r="BG184" s="233" t="n"/>
      <c r="BH184" s="233" t="n"/>
      <c r="BI184" s="233" t="n"/>
      <c r="BJ184" s="233" t="n"/>
      <c r="BK184" s="233" t="n"/>
      <c r="BL184" s="233" t="n"/>
      <c r="BM184" s="233" t="n"/>
    </row>
    <row r="185" ht="15.75" customHeight="1" s="349">
      <c r="A185" s="31" t="n"/>
      <c r="B185" s="307" t="n"/>
      <c r="C185" s="307" t="n"/>
      <c r="D185" s="146" t="n"/>
      <c r="E185" s="307" t="n"/>
      <c r="F185" s="307" t="n"/>
      <c r="G185" s="307" t="n"/>
      <c r="H185" s="307" t="n"/>
      <c r="I185" s="307" t="n"/>
      <c r="J185" s="307" t="n"/>
      <c r="K185" s="307" t="n"/>
      <c r="L185" s="307" t="n"/>
      <c r="M185" s="307" t="n"/>
      <c r="N185" s="307" t="n"/>
      <c r="O185" s="233" t="n"/>
      <c r="P185" s="233" t="n"/>
      <c r="Q185" s="233" t="n"/>
      <c r="R185" s="233" t="n"/>
      <c r="S185" s="233" t="n"/>
      <c r="T185" s="233" t="n"/>
      <c r="U185" s="233" t="n"/>
      <c r="V185" s="233" t="n"/>
      <c r="W185" s="233" t="n"/>
      <c r="X185" s="233" t="n"/>
      <c r="Y185" s="233" t="n"/>
      <c r="Z185" s="233" t="n"/>
      <c r="AA185" s="233" t="n"/>
      <c r="AB185" s="233" t="n"/>
      <c r="AC185" s="233" t="n"/>
      <c r="AD185" s="233" t="n"/>
      <c r="AE185" s="233" t="n"/>
      <c r="AF185" s="233" t="n"/>
      <c r="AG185" s="233" t="n"/>
      <c r="AH185" s="233" t="n"/>
      <c r="AI185" s="233" t="n"/>
      <c r="AJ185" s="233" t="n"/>
      <c r="AK185" s="233" t="n"/>
      <c r="AL185" s="233" t="n"/>
      <c r="AM185" s="233" t="n"/>
      <c r="AN185" s="233" t="n"/>
      <c r="AO185" s="233" t="n"/>
      <c r="AP185" s="233" t="n"/>
      <c r="AQ185" s="233" t="n"/>
      <c r="AR185" s="233" t="n"/>
      <c r="AS185" s="233" t="n"/>
      <c r="AT185" s="233" t="n"/>
      <c r="AU185" s="233" t="n"/>
      <c r="AV185" s="233" t="n"/>
      <c r="AW185" s="233" t="n"/>
      <c r="AX185" s="233" t="n"/>
      <c r="AY185" s="233" t="n"/>
      <c r="AZ185" s="233" t="n"/>
      <c r="BA185" s="233" t="n"/>
      <c r="BB185" s="233" t="n"/>
      <c r="BC185" s="233" t="n"/>
      <c r="BD185" s="233" t="n"/>
      <c r="BE185" s="233" t="n"/>
      <c r="BF185" s="233" t="n"/>
      <c r="BG185" s="233" t="n"/>
      <c r="BH185" s="233" t="n"/>
      <c r="BI185" s="233" t="n"/>
      <c r="BJ185" s="233" t="n"/>
      <c r="BK185" s="233" t="n"/>
      <c r="BL185" s="233" t="n"/>
      <c r="BM185" s="233" t="n"/>
    </row>
    <row r="186" ht="15.75" customHeight="1" s="349">
      <c r="A186" s="31" t="n"/>
      <c r="B186" s="307" t="n"/>
      <c r="C186" s="307" t="n"/>
      <c r="D186" s="146" t="n"/>
      <c r="E186" s="307" t="n"/>
      <c r="F186" s="307" t="n"/>
      <c r="G186" s="307" t="n"/>
      <c r="H186" s="307" t="n"/>
      <c r="I186" s="307" t="n"/>
      <c r="J186" s="307" t="n"/>
      <c r="K186" s="307" t="n"/>
      <c r="L186" s="307" t="n"/>
      <c r="M186" s="307" t="n"/>
      <c r="N186" s="307" t="n"/>
      <c r="O186" s="233" t="n"/>
      <c r="P186" s="233" t="n"/>
      <c r="Q186" s="233" t="n"/>
      <c r="R186" s="233" t="n"/>
      <c r="S186" s="233" t="n"/>
      <c r="T186" s="233" t="n"/>
      <c r="U186" s="233" t="n"/>
      <c r="V186" s="233" t="n"/>
      <c r="W186" s="233" t="n"/>
      <c r="X186" s="233" t="n"/>
      <c r="Y186" s="233" t="n"/>
      <c r="Z186" s="233" t="n"/>
      <c r="AA186" s="233" t="n"/>
      <c r="AB186" s="233" t="n"/>
      <c r="AC186" s="233" t="n"/>
      <c r="AD186" s="233" t="n"/>
      <c r="AE186" s="233" t="n"/>
      <c r="AF186" s="233" t="n"/>
      <c r="AG186" s="233" t="n"/>
      <c r="AH186" s="233" t="n"/>
      <c r="AI186" s="233" t="n"/>
      <c r="AJ186" s="233" t="n"/>
      <c r="AK186" s="233" t="n"/>
      <c r="AL186" s="233" t="n"/>
      <c r="AM186" s="233" t="n"/>
      <c r="AN186" s="233" t="n"/>
      <c r="AO186" s="233" t="n"/>
      <c r="AP186" s="233" t="n"/>
      <c r="AQ186" s="233" t="n"/>
      <c r="AR186" s="233" t="n"/>
      <c r="AS186" s="233" t="n"/>
      <c r="AT186" s="233" t="n"/>
      <c r="AU186" s="233" t="n"/>
      <c r="AV186" s="233" t="n"/>
      <c r="AW186" s="233" t="n"/>
      <c r="AX186" s="233" t="n"/>
      <c r="AY186" s="233" t="n"/>
      <c r="AZ186" s="233" t="n"/>
      <c r="BA186" s="233" t="n"/>
      <c r="BB186" s="233" t="n"/>
      <c r="BC186" s="233" t="n"/>
      <c r="BD186" s="233" t="n"/>
      <c r="BE186" s="233" t="n"/>
      <c r="BF186" s="233" t="n"/>
      <c r="BG186" s="233" t="n"/>
      <c r="BH186" s="233" t="n"/>
      <c r="BI186" s="233" t="n"/>
      <c r="BJ186" s="233" t="n"/>
      <c r="BK186" s="233" t="n"/>
      <c r="BL186" s="233" t="n"/>
      <c r="BM186" s="233" t="n"/>
    </row>
    <row r="187" ht="15.75" customHeight="1" s="349">
      <c r="A187" s="31" t="n"/>
      <c r="B187" s="307" t="n"/>
      <c r="C187" s="307" t="n"/>
      <c r="D187" s="146" t="n"/>
      <c r="E187" s="307" t="n"/>
      <c r="F187" s="307" t="n"/>
      <c r="G187" s="307" t="n"/>
      <c r="H187" s="307" t="n"/>
      <c r="I187" s="307" t="n"/>
      <c r="J187" s="307" t="n"/>
      <c r="K187" s="307" t="n"/>
      <c r="L187" s="307" t="n"/>
      <c r="M187" s="307" t="n"/>
      <c r="N187" s="307" t="n"/>
      <c r="O187" s="233" t="n"/>
      <c r="P187" s="233" t="n"/>
      <c r="Q187" s="233" t="n"/>
      <c r="R187" s="233" t="n"/>
      <c r="S187" s="233" t="n"/>
      <c r="T187" s="233" t="n"/>
      <c r="U187" s="233" t="n"/>
      <c r="V187" s="233" t="n"/>
      <c r="W187" s="233" t="n"/>
      <c r="X187" s="233" t="n"/>
      <c r="Y187" s="233" t="n"/>
      <c r="Z187" s="233" t="n"/>
      <c r="AA187" s="233" t="n"/>
      <c r="AB187" s="233" t="n"/>
      <c r="AC187" s="233" t="n"/>
      <c r="AD187" s="233" t="n"/>
      <c r="AE187" s="233" t="n"/>
      <c r="AF187" s="233" t="n"/>
      <c r="AG187" s="233" t="n"/>
      <c r="AH187" s="233" t="n"/>
      <c r="AI187" s="233" t="n"/>
      <c r="AJ187" s="233" t="n"/>
      <c r="AK187" s="233" t="n"/>
      <c r="AL187" s="233" t="n"/>
      <c r="AM187" s="233" t="n"/>
      <c r="AN187" s="233" t="n"/>
      <c r="AO187" s="233" t="n"/>
      <c r="AP187" s="233" t="n"/>
      <c r="AQ187" s="233" t="n"/>
      <c r="AR187" s="233" t="n"/>
      <c r="AS187" s="233" t="n"/>
      <c r="AT187" s="233" t="n"/>
      <c r="AU187" s="233" t="n"/>
      <c r="AV187" s="233" t="n"/>
      <c r="AW187" s="233" t="n"/>
      <c r="AX187" s="233" t="n"/>
      <c r="AY187" s="233" t="n"/>
      <c r="AZ187" s="233" t="n"/>
      <c r="BA187" s="233" t="n"/>
      <c r="BB187" s="233" t="n"/>
      <c r="BC187" s="233" t="n"/>
      <c r="BD187" s="233" t="n"/>
      <c r="BE187" s="233" t="n"/>
      <c r="BF187" s="233" t="n"/>
      <c r="BG187" s="233" t="n"/>
      <c r="BH187" s="233" t="n"/>
      <c r="BI187" s="233" t="n"/>
      <c r="BJ187" s="233" t="n"/>
      <c r="BK187" s="233" t="n"/>
      <c r="BL187" s="233" t="n"/>
      <c r="BM187" s="233" t="n"/>
    </row>
    <row r="188" ht="15.75" customHeight="1" s="349">
      <c r="A188" s="31" t="n"/>
      <c r="B188" s="307" t="n"/>
      <c r="C188" s="307" t="n"/>
      <c r="D188" s="146" t="n"/>
      <c r="E188" s="307" t="n"/>
      <c r="F188" s="307" t="n"/>
      <c r="G188" s="307" t="n"/>
      <c r="H188" s="307" t="n"/>
      <c r="I188" s="307" t="n"/>
      <c r="J188" s="307" t="n"/>
      <c r="K188" s="307" t="n"/>
      <c r="L188" s="307" t="n"/>
      <c r="M188" s="307" t="n"/>
      <c r="N188" s="307" t="n"/>
      <c r="O188" s="233" t="n"/>
      <c r="P188" s="233" t="n"/>
      <c r="Q188" s="233" t="n"/>
      <c r="R188" s="233" t="n"/>
      <c r="S188" s="233" t="n"/>
      <c r="T188" s="233" t="n"/>
      <c r="U188" s="233" t="n"/>
      <c r="V188" s="233" t="n"/>
      <c r="W188" s="233" t="n"/>
      <c r="X188" s="233" t="n"/>
      <c r="Y188" s="233" t="n"/>
      <c r="Z188" s="233" t="n"/>
      <c r="AA188" s="233" t="n"/>
      <c r="AB188" s="233" t="n"/>
      <c r="AC188" s="233" t="n"/>
      <c r="AD188" s="233" t="n"/>
      <c r="AE188" s="233" t="n"/>
      <c r="AF188" s="233" t="n"/>
      <c r="AG188" s="233" t="n"/>
      <c r="AH188" s="233" t="n"/>
      <c r="AI188" s="233" t="n"/>
      <c r="AJ188" s="233" t="n"/>
      <c r="AK188" s="233" t="n"/>
      <c r="AL188" s="233" t="n"/>
      <c r="AM188" s="233" t="n"/>
      <c r="AN188" s="233" t="n"/>
      <c r="AO188" s="233" t="n"/>
      <c r="AP188" s="233" t="n"/>
      <c r="AQ188" s="233" t="n"/>
      <c r="AR188" s="233" t="n"/>
      <c r="AS188" s="233" t="n"/>
      <c r="AT188" s="233" t="n"/>
      <c r="AU188" s="233" t="n"/>
      <c r="AV188" s="233" t="n"/>
      <c r="AW188" s="233" t="n"/>
      <c r="AX188" s="233" t="n"/>
      <c r="AY188" s="233" t="n"/>
      <c r="AZ188" s="233" t="n"/>
      <c r="BA188" s="233" t="n"/>
      <c r="BB188" s="233" t="n"/>
      <c r="BC188" s="233" t="n"/>
      <c r="BD188" s="233" t="n"/>
      <c r="BE188" s="233" t="n"/>
      <c r="BF188" s="233" t="n"/>
      <c r="BG188" s="233" t="n"/>
      <c r="BH188" s="233" t="n"/>
      <c r="BI188" s="233" t="n"/>
      <c r="BJ188" s="233" t="n"/>
      <c r="BK188" s="233" t="n"/>
      <c r="BL188" s="233" t="n"/>
      <c r="BM188" s="233" t="n"/>
    </row>
    <row r="189" ht="15.75" customHeight="1" s="349">
      <c r="A189" s="31" t="n"/>
      <c r="B189" s="307" t="n"/>
      <c r="C189" s="307" t="n"/>
      <c r="D189" s="146" t="n"/>
      <c r="E189" s="307" t="n"/>
      <c r="F189" s="307" t="n"/>
      <c r="G189" s="307" t="n"/>
      <c r="H189" s="307" t="n"/>
      <c r="I189" s="307" t="n"/>
      <c r="J189" s="307" t="n"/>
      <c r="K189" s="307" t="n"/>
      <c r="L189" s="307" t="n"/>
      <c r="M189" s="307" t="n"/>
      <c r="N189" s="307" t="n"/>
      <c r="O189" s="233" t="n"/>
      <c r="P189" s="233" t="n"/>
      <c r="Q189" s="233" t="n"/>
      <c r="R189" s="233" t="n"/>
      <c r="S189" s="233" t="n"/>
      <c r="T189" s="233" t="n"/>
      <c r="U189" s="233" t="n"/>
      <c r="V189" s="233" t="n"/>
      <c r="W189" s="233" t="n"/>
      <c r="X189" s="233" t="n"/>
      <c r="Y189" s="233" t="n"/>
      <c r="Z189" s="233" t="n"/>
      <c r="AA189" s="233" t="n"/>
      <c r="AB189" s="233" t="n"/>
      <c r="AC189" s="233" t="n"/>
      <c r="AD189" s="233" t="n"/>
      <c r="AE189" s="233" t="n"/>
      <c r="AF189" s="233" t="n"/>
      <c r="AG189" s="233" t="n"/>
      <c r="AH189" s="233" t="n"/>
      <c r="AI189" s="233" t="n"/>
      <c r="AJ189" s="233" t="n"/>
      <c r="AK189" s="233" t="n"/>
      <c r="AL189" s="233" t="n"/>
      <c r="AM189" s="233" t="n"/>
      <c r="AN189" s="233" t="n"/>
      <c r="AO189" s="233" t="n"/>
      <c r="AP189" s="233" t="n"/>
      <c r="AQ189" s="233" t="n"/>
      <c r="AR189" s="233" t="n"/>
      <c r="AS189" s="233" t="n"/>
      <c r="AT189" s="233" t="n"/>
      <c r="AU189" s="233" t="n"/>
      <c r="AV189" s="233" t="n"/>
      <c r="AW189" s="233" t="n"/>
      <c r="AX189" s="233" t="n"/>
      <c r="AY189" s="233" t="n"/>
      <c r="AZ189" s="233" t="n"/>
      <c r="BA189" s="233" t="n"/>
      <c r="BB189" s="233" t="n"/>
      <c r="BC189" s="233" t="n"/>
      <c r="BD189" s="233" t="n"/>
      <c r="BE189" s="233" t="n"/>
      <c r="BF189" s="233" t="n"/>
      <c r="BG189" s="233" t="n"/>
      <c r="BH189" s="233" t="n"/>
      <c r="BI189" s="233" t="n"/>
      <c r="BJ189" s="233" t="n"/>
      <c r="BK189" s="233" t="n"/>
      <c r="BL189" s="233" t="n"/>
      <c r="BM189" s="233" t="n"/>
    </row>
    <row r="190" ht="15.75" customHeight="1" s="349">
      <c r="A190" s="31" t="n"/>
      <c r="B190" s="307" t="n"/>
      <c r="C190" s="307" t="n"/>
      <c r="D190" s="146" t="n"/>
      <c r="E190" s="307" t="n"/>
      <c r="F190" s="307" t="n"/>
      <c r="G190" s="307" t="n"/>
      <c r="H190" s="307" t="n"/>
      <c r="I190" s="307" t="n"/>
      <c r="J190" s="307" t="n"/>
      <c r="K190" s="307" t="n"/>
      <c r="L190" s="307" t="n"/>
      <c r="M190" s="307" t="n"/>
      <c r="N190" s="307" t="n"/>
      <c r="O190" s="233" t="n"/>
      <c r="P190" s="233" t="n"/>
      <c r="Q190" s="233" t="n"/>
      <c r="R190" s="233" t="n"/>
      <c r="S190" s="233" t="n"/>
      <c r="T190" s="233" t="n"/>
      <c r="U190" s="233" t="n"/>
      <c r="V190" s="233" t="n"/>
      <c r="W190" s="233" t="n"/>
      <c r="X190" s="233" t="n"/>
      <c r="Y190" s="233" t="n"/>
      <c r="Z190" s="233" t="n"/>
      <c r="AA190" s="233" t="n"/>
      <c r="AB190" s="233" t="n"/>
      <c r="AC190" s="233" t="n"/>
      <c r="AD190" s="233" t="n"/>
      <c r="AE190" s="233" t="n"/>
      <c r="AF190" s="233" t="n"/>
      <c r="AG190" s="233" t="n"/>
      <c r="AH190" s="233" t="n"/>
      <c r="AI190" s="233" t="n"/>
      <c r="AJ190" s="233" t="n"/>
      <c r="AK190" s="233" t="n"/>
      <c r="AL190" s="233" t="n"/>
      <c r="AM190" s="233" t="n"/>
      <c r="AN190" s="233" t="n"/>
      <c r="AO190" s="233" t="n"/>
      <c r="AP190" s="233" t="n"/>
      <c r="AQ190" s="233" t="n"/>
      <c r="AR190" s="233" t="n"/>
      <c r="AS190" s="233" t="n"/>
      <c r="AT190" s="233" t="n"/>
      <c r="AU190" s="233" t="n"/>
      <c r="AV190" s="233" t="n"/>
      <c r="AW190" s="233" t="n"/>
      <c r="AX190" s="233" t="n"/>
      <c r="AY190" s="233" t="n"/>
      <c r="AZ190" s="233" t="n"/>
      <c r="BA190" s="233" t="n"/>
      <c r="BB190" s="233" t="n"/>
      <c r="BC190" s="233" t="n"/>
      <c r="BD190" s="233" t="n"/>
      <c r="BE190" s="233" t="n"/>
      <c r="BF190" s="233" t="n"/>
      <c r="BG190" s="233" t="n"/>
      <c r="BH190" s="233" t="n"/>
      <c r="BI190" s="233" t="n"/>
      <c r="BJ190" s="233" t="n"/>
      <c r="BK190" s="233" t="n"/>
      <c r="BL190" s="233" t="n"/>
      <c r="BM190" s="233" t="n"/>
    </row>
    <row r="191" ht="15.75" customHeight="1" s="349">
      <c r="A191" s="31" t="n"/>
      <c r="B191" s="307" t="n"/>
      <c r="C191" s="307" t="n"/>
      <c r="D191" s="146" t="n"/>
      <c r="E191" s="307" t="n"/>
      <c r="F191" s="307" t="n"/>
      <c r="G191" s="307" t="n"/>
      <c r="H191" s="307" t="n"/>
      <c r="I191" s="307" t="n"/>
      <c r="J191" s="307" t="n"/>
      <c r="K191" s="307" t="n"/>
      <c r="L191" s="307" t="n"/>
      <c r="M191" s="307" t="n"/>
      <c r="N191" s="307" t="n"/>
      <c r="O191" s="233" t="n"/>
      <c r="P191" s="233" t="n"/>
      <c r="Q191" s="233" t="n"/>
      <c r="R191" s="233" t="n"/>
      <c r="S191" s="233" t="n"/>
      <c r="T191" s="233" t="n"/>
      <c r="U191" s="233" t="n"/>
      <c r="V191" s="233" t="n"/>
      <c r="W191" s="233" t="n"/>
      <c r="X191" s="233" t="n"/>
      <c r="Y191" s="233" t="n"/>
      <c r="Z191" s="233" t="n"/>
      <c r="AA191" s="233" t="n"/>
      <c r="AB191" s="233" t="n"/>
      <c r="AC191" s="233" t="n"/>
      <c r="AD191" s="233" t="n"/>
      <c r="AE191" s="233" t="n"/>
      <c r="AF191" s="233" t="n"/>
      <c r="AG191" s="233" t="n"/>
      <c r="AH191" s="233" t="n"/>
      <c r="AI191" s="233" t="n"/>
      <c r="AJ191" s="233" t="n"/>
      <c r="AK191" s="233" t="n"/>
      <c r="AL191" s="233" t="n"/>
      <c r="AM191" s="233" t="n"/>
      <c r="AN191" s="233" t="n"/>
      <c r="AO191" s="233" t="n"/>
      <c r="AP191" s="233" t="n"/>
      <c r="AQ191" s="233" t="n"/>
      <c r="AR191" s="233" t="n"/>
      <c r="AS191" s="233" t="n"/>
      <c r="AT191" s="233" t="n"/>
      <c r="AU191" s="233" t="n"/>
      <c r="AV191" s="233" t="n"/>
      <c r="AW191" s="233" t="n"/>
      <c r="AX191" s="233" t="n"/>
      <c r="AY191" s="233" t="n"/>
      <c r="AZ191" s="233" t="n"/>
      <c r="BA191" s="233" t="n"/>
      <c r="BB191" s="233" t="n"/>
      <c r="BC191" s="233" t="n"/>
      <c r="BD191" s="233" t="n"/>
      <c r="BE191" s="233" t="n"/>
      <c r="BF191" s="233" t="n"/>
      <c r="BG191" s="233" t="n"/>
      <c r="BH191" s="233" t="n"/>
      <c r="BI191" s="233" t="n"/>
      <c r="BJ191" s="233" t="n"/>
      <c r="BK191" s="233" t="n"/>
      <c r="BL191" s="233" t="n"/>
      <c r="BM191" s="233" t="n"/>
    </row>
    <row r="192" ht="15.75" customHeight="1" s="349">
      <c r="A192" s="31" t="n"/>
      <c r="B192" s="307" t="n"/>
      <c r="C192" s="307" t="n"/>
      <c r="D192" s="146" t="n"/>
      <c r="E192" s="307" t="n"/>
      <c r="F192" s="307" t="n"/>
      <c r="G192" s="307" t="n"/>
      <c r="H192" s="307" t="n"/>
      <c r="I192" s="307" t="n"/>
      <c r="J192" s="307" t="n"/>
      <c r="K192" s="307" t="n"/>
      <c r="L192" s="307" t="n"/>
      <c r="M192" s="307" t="n"/>
      <c r="N192" s="307" t="n"/>
      <c r="O192" s="233" t="n"/>
      <c r="P192" s="233" t="n"/>
      <c r="Q192" s="233" t="n"/>
      <c r="R192" s="233" t="n"/>
      <c r="S192" s="233" t="n"/>
      <c r="T192" s="233" t="n"/>
      <c r="U192" s="233" t="n"/>
      <c r="V192" s="233" t="n"/>
      <c r="W192" s="233" t="n"/>
      <c r="X192" s="233" t="n"/>
      <c r="Y192" s="233" t="n"/>
      <c r="Z192" s="233" t="n"/>
      <c r="AA192" s="233" t="n"/>
      <c r="AB192" s="233" t="n"/>
      <c r="AC192" s="233" t="n"/>
      <c r="AD192" s="233" t="n"/>
      <c r="AE192" s="233" t="n"/>
      <c r="AF192" s="233" t="n"/>
      <c r="AG192" s="233" t="n"/>
      <c r="AH192" s="233" t="n"/>
      <c r="AI192" s="233" t="n"/>
      <c r="AJ192" s="233" t="n"/>
      <c r="AK192" s="233" t="n"/>
      <c r="AL192" s="233" t="n"/>
      <c r="AM192" s="233" t="n"/>
      <c r="AN192" s="233" t="n"/>
      <c r="AO192" s="233" t="n"/>
      <c r="AP192" s="233" t="n"/>
      <c r="AQ192" s="233" t="n"/>
      <c r="AR192" s="233" t="n"/>
      <c r="AS192" s="233" t="n"/>
      <c r="AT192" s="233" t="n"/>
      <c r="AU192" s="233" t="n"/>
      <c r="AV192" s="233" t="n"/>
      <c r="AW192" s="233" t="n"/>
      <c r="AX192" s="233" t="n"/>
      <c r="AY192" s="233" t="n"/>
      <c r="AZ192" s="233" t="n"/>
      <c r="BA192" s="233" t="n"/>
      <c r="BB192" s="233" t="n"/>
      <c r="BC192" s="233" t="n"/>
      <c r="BD192" s="233" t="n"/>
      <c r="BE192" s="233" t="n"/>
      <c r="BF192" s="233" t="n"/>
      <c r="BG192" s="233" t="n"/>
      <c r="BH192" s="233" t="n"/>
      <c r="BI192" s="233" t="n"/>
      <c r="BJ192" s="233" t="n"/>
      <c r="BK192" s="233" t="n"/>
      <c r="BL192" s="233" t="n"/>
      <c r="BM192" s="233" t="n"/>
    </row>
    <row r="193" ht="15.75" customHeight="1" s="349">
      <c r="A193" s="31" t="n"/>
      <c r="B193" s="307" t="n"/>
      <c r="C193" s="307" t="n"/>
      <c r="D193" s="146" t="n"/>
      <c r="E193" s="307" t="n"/>
      <c r="F193" s="307" t="n"/>
      <c r="G193" s="307" t="n"/>
      <c r="H193" s="307" t="n"/>
      <c r="I193" s="307" t="n"/>
      <c r="J193" s="307" t="n"/>
      <c r="K193" s="307" t="n"/>
      <c r="L193" s="307" t="n"/>
      <c r="M193" s="307" t="n"/>
      <c r="N193" s="307" t="n"/>
      <c r="O193" s="233" t="n"/>
      <c r="P193" s="233" t="n"/>
      <c r="Q193" s="233" t="n"/>
      <c r="R193" s="233" t="n"/>
      <c r="S193" s="233" t="n"/>
      <c r="T193" s="233" t="n"/>
      <c r="U193" s="233" t="n"/>
      <c r="V193" s="233" t="n"/>
      <c r="W193" s="233" t="n"/>
      <c r="X193" s="233" t="n"/>
      <c r="Y193" s="233" t="n"/>
      <c r="Z193" s="233" t="n"/>
      <c r="AA193" s="233" t="n"/>
      <c r="AB193" s="233" t="n"/>
      <c r="AC193" s="233" t="n"/>
      <c r="AD193" s="233" t="n"/>
      <c r="AE193" s="233" t="n"/>
      <c r="AF193" s="233" t="n"/>
      <c r="AG193" s="233" t="n"/>
      <c r="AH193" s="233" t="n"/>
      <c r="AI193" s="233" t="n"/>
      <c r="AJ193" s="233" t="n"/>
      <c r="AK193" s="233" t="n"/>
      <c r="AL193" s="233" t="n"/>
      <c r="AM193" s="233" t="n"/>
      <c r="AN193" s="233" t="n"/>
      <c r="AO193" s="233" t="n"/>
      <c r="AP193" s="233" t="n"/>
      <c r="AQ193" s="233" t="n"/>
      <c r="AR193" s="233" t="n"/>
      <c r="AS193" s="233" t="n"/>
      <c r="AT193" s="233" t="n"/>
      <c r="AU193" s="233" t="n"/>
      <c r="AV193" s="233" t="n"/>
      <c r="AW193" s="233" t="n"/>
      <c r="AX193" s="233" t="n"/>
      <c r="AY193" s="233" t="n"/>
      <c r="AZ193" s="233" t="n"/>
      <c r="BA193" s="233" t="n"/>
      <c r="BB193" s="233" t="n"/>
      <c r="BC193" s="233" t="n"/>
      <c r="BD193" s="233" t="n"/>
      <c r="BE193" s="233" t="n"/>
      <c r="BF193" s="233" t="n"/>
      <c r="BG193" s="233" t="n"/>
      <c r="BH193" s="233" t="n"/>
      <c r="BI193" s="233" t="n"/>
      <c r="BJ193" s="233" t="n"/>
      <c r="BK193" s="233" t="n"/>
      <c r="BL193" s="233" t="n"/>
      <c r="BM193" s="233" t="n"/>
    </row>
    <row r="194" ht="15.75" customHeight="1" s="349">
      <c r="A194" s="31" t="n"/>
      <c r="B194" s="307" t="n"/>
      <c r="C194" s="307" t="n"/>
      <c r="D194" s="146" t="n"/>
      <c r="E194" s="307" t="n"/>
      <c r="F194" s="307" t="n"/>
      <c r="G194" s="307" t="n"/>
      <c r="H194" s="307" t="n"/>
      <c r="I194" s="307" t="n"/>
      <c r="J194" s="307" t="n"/>
      <c r="K194" s="307" t="n"/>
      <c r="L194" s="307" t="n"/>
      <c r="M194" s="307" t="n"/>
      <c r="N194" s="307" t="n"/>
      <c r="O194" s="233" t="n"/>
      <c r="P194" s="233" t="n"/>
      <c r="Q194" s="233" t="n"/>
      <c r="R194" s="233" t="n"/>
      <c r="S194" s="233" t="n"/>
      <c r="T194" s="233" t="n"/>
      <c r="U194" s="233" t="n"/>
      <c r="V194" s="233" t="n"/>
      <c r="W194" s="233" t="n"/>
      <c r="X194" s="233" t="n"/>
      <c r="Y194" s="233" t="n"/>
      <c r="Z194" s="233" t="n"/>
      <c r="AA194" s="233" t="n"/>
      <c r="AB194" s="233" t="n"/>
      <c r="AC194" s="233" t="n"/>
      <c r="AD194" s="233" t="n"/>
      <c r="AE194" s="233" t="n"/>
      <c r="AF194" s="233" t="n"/>
      <c r="AG194" s="233" t="n"/>
      <c r="AH194" s="233" t="n"/>
      <c r="AI194" s="233" t="n"/>
      <c r="AJ194" s="233" t="n"/>
      <c r="AK194" s="233" t="n"/>
      <c r="AL194" s="233" t="n"/>
      <c r="AM194" s="233" t="n"/>
      <c r="AN194" s="233" t="n"/>
      <c r="AO194" s="233" t="n"/>
      <c r="AP194" s="233" t="n"/>
      <c r="AQ194" s="233" t="n"/>
      <c r="AR194" s="233" t="n"/>
      <c r="AS194" s="233" t="n"/>
      <c r="AT194" s="233" t="n"/>
      <c r="AU194" s="233" t="n"/>
      <c r="AV194" s="233" t="n"/>
      <c r="AW194" s="233" t="n"/>
      <c r="AX194" s="233" t="n"/>
      <c r="AY194" s="233" t="n"/>
      <c r="AZ194" s="233" t="n"/>
      <c r="BA194" s="233" t="n"/>
      <c r="BB194" s="233" t="n"/>
      <c r="BC194" s="233" t="n"/>
      <c r="BD194" s="233" t="n"/>
      <c r="BE194" s="233" t="n"/>
      <c r="BF194" s="233" t="n"/>
      <c r="BG194" s="233" t="n"/>
      <c r="BH194" s="233" t="n"/>
      <c r="BI194" s="233" t="n"/>
      <c r="BJ194" s="233" t="n"/>
      <c r="BK194" s="233" t="n"/>
      <c r="BL194" s="233" t="n"/>
      <c r="BM194" s="233" t="n"/>
    </row>
    <row r="195" ht="15.75" customHeight="1" s="349">
      <c r="A195" s="31" t="n"/>
      <c r="B195" s="307" t="n"/>
      <c r="C195" s="307" t="n"/>
      <c r="D195" s="146" t="n"/>
      <c r="E195" s="307" t="n"/>
      <c r="F195" s="307" t="n"/>
      <c r="G195" s="307" t="n"/>
      <c r="H195" s="307" t="n"/>
      <c r="I195" s="307" t="n"/>
      <c r="J195" s="307" t="n"/>
      <c r="K195" s="307" t="n"/>
      <c r="L195" s="307" t="n"/>
      <c r="M195" s="307" t="n"/>
      <c r="N195" s="307" t="n"/>
      <c r="O195" s="233" t="n"/>
      <c r="P195" s="233" t="n"/>
      <c r="Q195" s="233" t="n"/>
      <c r="R195" s="233" t="n"/>
      <c r="S195" s="233" t="n"/>
      <c r="T195" s="233" t="n"/>
      <c r="U195" s="233" t="n"/>
      <c r="V195" s="233" t="n"/>
      <c r="W195" s="233" t="n"/>
      <c r="X195" s="233" t="n"/>
      <c r="Y195" s="233" t="n"/>
      <c r="Z195" s="233" t="n"/>
      <c r="AA195" s="233" t="n"/>
      <c r="AB195" s="233" t="n"/>
      <c r="AC195" s="233" t="n"/>
      <c r="AD195" s="233" t="n"/>
      <c r="AE195" s="233" t="n"/>
      <c r="AF195" s="233" t="n"/>
      <c r="AG195" s="233" t="n"/>
      <c r="AH195" s="233" t="n"/>
      <c r="AI195" s="233" t="n"/>
      <c r="AJ195" s="233" t="n"/>
      <c r="AK195" s="233" t="n"/>
      <c r="AL195" s="233" t="n"/>
      <c r="AM195" s="233" t="n"/>
      <c r="AN195" s="233" t="n"/>
      <c r="AO195" s="233" t="n"/>
      <c r="AP195" s="233" t="n"/>
      <c r="AQ195" s="233" t="n"/>
      <c r="AR195" s="233" t="n"/>
      <c r="AS195" s="233" t="n"/>
      <c r="AT195" s="233" t="n"/>
      <c r="AU195" s="233" t="n"/>
      <c r="AV195" s="233" t="n"/>
      <c r="AW195" s="233" t="n"/>
      <c r="AX195" s="233" t="n"/>
      <c r="AY195" s="233" t="n"/>
      <c r="AZ195" s="233" t="n"/>
      <c r="BA195" s="233" t="n"/>
      <c r="BB195" s="233" t="n"/>
      <c r="BC195" s="233" t="n"/>
      <c r="BD195" s="233" t="n"/>
      <c r="BE195" s="233" t="n"/>
      <c r="BF195" s="233" t="n"/>
      <c r="BG195" s="233" t="n"/>
      <c r="BH195" s="233" t="n"/>
      <c r="BI195" s="233" t="n"/>
      <c r="BJ195" s="233" t="n"/>
      <c r="BK195" s="233" t="n"/>
      <c r="BL195" s="233" t="n"/>
      <c r="BM195" s="233" t="n"/>
    </row>
    <row r="196" ht="15.75" customHeight="1" s="349">
      <c r="A196" s="31" t="n"/>
      <c r="B196" s="307" t="n"/>
      <c r="C196" s="307" t="n"/>
      <c r="D196" s="146" t="n"/>
      <c r="E196" s="307" t="n"/>
      <c r="F196" s="307" t="n"/>
      <c r="G196" s="307" t="n"/>
      <c r="H196" s="307" t="n"/>
      <c r="I196" s="307" t="n"/>
      <c r="J196" s="307" t="n"/>
      <c r="K196" s="307" t="n"/>
      <c r="L196" s="307" t="n"/>
      <c r="M196" s="307" t="n"/>
      <c r="N196" s="307" t="n"/>
      <c r="O196" s="233" t="n"/>
      <c r="P196" s="233" t="n"/>
      <c r="Q196" s="233" t="n"/>
      <c r="R196" s="233" t="n"/>
      <c r="S196" s="233" t="n"/>
      <c r="T196" s="233" t="n"/>
      <c r="U196" s="233" t="n"/>
      <c r="V196" s="233" t="n"/>
      <c r="W196" s="233" t="n"/>
      <c r="X196" s="233" t="n"/>
      <c r="Y196" s="233" t="n"/>
      <c r="Z196" s="233" t="n"/>
      <c r="AA196" s="233" t="n"/>
      <c r="AB196" s="233" t="n"/>
      <c r="AC196" s="233" t="n"/>
      <c r="AD196" s="233" t="n"/>
      <c r="AE196" s="233" t="n"/>
      <c r="AF196" s="233" t="n"/>
      <c r="AG196" s="233" t="n"/>
      <c r="AH196" s="233" t="n"/>
      <c r="AI196" s="233" t="n"/>
      <c r="AJ196" s="233" t="n"/>
      <c r="AK196" s="233" t="n"/>
      <c r="AL196" s="233" t="n"/>
      <c r="AM196" s="233" t="n"/>
      <c r="AN196" s="233" t="n"/>
      <c r="AO196" s="233" t="n"/>
      <c r="AP196" s="233" t="n"/>
      <c r="AQ196" s="233" t="n"/>
      <c r="AR196" s="233" t="n"/>
      <c r="AS196" s="233" t="n"/>
      <c r="AT196" s="233" t="n"/>
      <c r="AU196" s="233" t="n"/>
      <c r="AV196" s="233" t="n"/>
      <c r="AW196" s="233" t="n"/>
      <c r="AX196" s="233" t="n"/>
      <c r="AY196" s="233" t="n"/>
      <c r="AZ196" s="233" t="n"/>
      <c r="BA196" s="233" t="n"/>
      <c r="BB196" s="233" t="n"/>
      <c r="BC196" s="233" t="n"/>
      <c r="BD196" s="233" t="n"/>
      <c r="BE196" s="233" t="n"/>
      <c r="BF196" s="233" t="n"/>
      <c r="BG196" s="233" t="n"/>
      <c r="BH196" s="233" t="n"/>
      <c r="BI196" s="233" t="n"/>
      <c r="BJ196" s="233" t="n"/>
      <c r="BK196" s="233" t="n"/>
      <c r="BL196" s="233" t="n"/>
      <c r="BM196" s="233" t="n"/>
    </row>
    <row r="197" ht="15.75" customHeight="1" s="349">
      <c r="A197" s="31" t="n"/>
      <c r="B197" s="307" t="n"/>
      <c r="C197" s="307" t="n"/>
      <c r="D197" s="146" t="n"/>
      <c r="E197" s="307" t="n"/>
      <c r="F197" s="307" t="n"/>
      <c r="G197" s="307" t="n"/>
      <c r="H197" s="307" t="n"/>
      <c r="I197" s="307" t="n"/>
      <c r="J197" s="307" t="n"/>
      <c r="K197" s="307" t="n"/>
      <c r="L197" s="307" t="n"/>
      <c r="M197" s="307" t="n"/>
      <c r="N197" s="307" t="n"/>
      <c r="O197" s="233" t="n"/>
      <c r="P197" s="233" t="n"/>
      <c r="Q197" s="233" t="n"/>
      <c r="R197" s="233" t="n"/>
      <c r="S197" s="233" t="n"/>
      <c r="T197" s="233" t="n"/>
      <c r="U197" s="233" t="n"/>
      <c r="V197" s="233" t="n"/>
      <c r="W197" s="233" t="n"/>
      <c r="X197" s="233" t="n"/>
      <c r="Y197" s="233" t="n"/>
      <c r="Z197" s="233" t="n"/>
      <c r="AA197" s="233" t="n"/>
      <c r="AB197" s="233" t="n"/>
      <c r="AC197" s="233" t="n"/>
      <c r="AD197" s="233" t="n"/>
      <c r="AE197" s="233" t="n"/>
      <c r="AF197" s="233" t="n"/>
      <c r="AG197" s="233" t="n"/>
      <c r="AH197" s="233" t="n"/>
      <c r="AI197" s="233" t="n"/>
      <c r="AJ197" s="233" t="n"/>
      <c r="AK197" s="233" t="n"/>
      <c r="AL197" s="233" t="n"/>
      <c r="AM197" s="233" t="n"/>
      <c r="AN197" s="233" t="n"/>
      <c r="AO197" s="233" t="n"/>
      <c r="AP197" s="233" t="n"/>
      <c r="AQ197" s="233" t="n"/>
      <c r="AR197" s="233" t="n"/>
      <c r="AS197" s="233" t="n"/>
      <c r="AT197" s="233" t="n"/>
      <c r="AU197" s="233" t="n"/>
      <c r="AV197" s="233" t="n"/>
      <c r="AW197" s="233" t="n"/>
      <c r="AX197" s="233" t="n"/>
      <c r="AY197" s="233" t="n"/>
      <c r="AZ197" s="233" t="n"/>
      <c r="BA197" s="233" t="n"/>
      <c r="BB197" s="233" t="n"/>
      <c r="BC197" s="233" t="n"/>
      <c r="BD197" s="233" t="n"/>
      <c r="BE197" s="233" t="n"/>
      <c r="BF197" s="233" t="n"/>
      <c r="BG197" s="233" t="n"/>
      <c r="BH197" s="233" t="n"/>
      <c r="BI197" s="233" t="n"/>
      <c r="BJ197" s="233" t="n"/>
      <c r="BK197" s="233" t="n"/>
      <c r="BL197" s="233" t="n"/>
      <c r="BM197" s="233" t="n"/>
    </row>
    <row r="198" ht="15.75" customHeight="1" s="349">
      <c r="A198" s="31" t="n"/>
      <c r="B198" s="307" t="n"/>
      <c r="C198" s="307" t="n"/>
      <c r="D198" s="146" t="n"/>
      <c r="E198" s="307" t="n"/>
      <c r="F198" s="307" t="n"/>
      <c r="G198" s="307" t="n"/>
      <c r="H198" s="307" t="n"/>
      <c r="I198" s="307" t="n"/>
      <c r="J198" s="307" t="n"/>
      <c r="K198" s="307" t="n"/>
      <c r="L198" s="307" t="n"/>
      <c r="M198" s="307" t="n"/>
      <c r="N198" s="307" t="n"/>
      <c r="O198" s="233" t="n"/>
      <c r="P198" s="233" t="n"/>
      <c r="Q198" s="233" t="n"/>
      <c r="R198" s="233" t="n"/>
      <c r="S198" s="233" t="n"/>
      <c r="T198" s="233" t="n"/>
      <c r="U198" s="233" t="n"/>
      <c r="V198" s="233" t="n"/>
      <c r="W198" s="233" t="n"/>
      <c r="X198" s="233" t="n"/>
      <c r="Y198" s="233" t="n"/>
      <c r="Z198" s="233" t="n"/>
      <c r="AA198" s="233" t="n"/>
      <c r="AB198" s="233" t="n"/>
      <c r="AC198" s="233" t="n"/>
      <c r="AD198" s="233" t="n"/>
      <c r="AE198" s="233" t="n"/>
      <c r="AF198" s="233" t="n"/>
      <c r="AG198" s="233" t="n"/>
      <c r="AH198" s="233" t="n"/>
      <c r="AI198" s="233" t="n"/>
      <c r="AJ198" s="233" t="n"/>
      <c r="AK198" s="233" t="n"/>
      <c r="AL198" s="233" t="n"/>
      <c r="AM198" s="233" t="n"/>
      <c r="AN198" s="233" t="n"/>
      <c r="AO198" s="233" t="n"/>
      <c r="AP198" s="233" t="n"/>
      <c r="AQ198" s="233" t="n"/>
      <c r="AR198" s="233" t="n"/>
      <c r="AS198" s="233" t="n"/>
      <c r="AT198" s="233" t="n"/>
      <c r="AU198" s="233" t="n"/>
      <c r="AV198" s="233" t="n"/>
      <c r="AW198" s="233" t="n"/>
      <c r="AX198" s="233" t="n"/>
      <c r="AY198" s="233" t="n"/>
      <c r="AZ198" s="233" t="n"/>
      <c r="BA198" s="233" t="n"/>
      <c r="BB198" s="233" t="n"/>
      <c r="BC198" s="233" t="n"/>
      <c r="BD198" s="233" t="n"/>
      <c r="BE198" s="233" t="n"/>
      <c r="BF198" s="233" t="n"/>
      <c r="BG198" s="233" t="n"/>
      <c r="BH198" s="233" t="n"/>
      <c r="BI198" s="233" t="n"/>
      <c r="BJ198" s="233" t="n"/>
      <c r="BK198" s="233" t="n"/>
      <c r="BL198" s="233" t="n"/>
      <c r="BM198" s="233" t="n"/>
    </row>
    <row r="199" ht="15.75" customHeight="1" s="349">
      <c r="A199" s="31" t="n"/>
      <c r="B199" s="307" t="n"/>
      <c r="C199" s="307" t="n"/>
      <c r="D199" s="146" t="n"/>
      <c r="E199" s="307" t="n"/>
      <c r="F199" s="307" t="n"/>
      <c r="G199" s="307" t="n"/>
      <c r="H199" s="307" t="n"/>
      <c r="I199" s="307" t="n"/>
      <c r="J199" s="307" t="n"/>
      <c r="K199" s="307" t="n"/>
      <c r="L199" s="307" t="n"/>
      <c r="M199" s="307" t="n"/>
      <c r="N199" s="307" t="n"/>
      <c r="O199" s="233" t="n"/>
      <c r="P199" s="233" t="n"/>
      <c r="Q199" s="233" t="n"/>
      <c r="R199" s="233" t="n"/>
      <c r="S199" s="233" t="n"/>
      <c r="T199" s="233" t="n"/>
      <c r="U199" s="233" t="n"/>
      <c r="V199" s="233" t="n"/>
      <c r="W199" s="233" t="n"/>
      <c r="X199" s="233" t="n"/>
      <c r="Y199" s="233" t="n"/>
      <c r="Z199" s="233" t="n"/>
      <c r="AA199" s="233" t="n"/>
      <c r="AB199" s="233" t="n"/>
      <c r="AC199" s="233" t="n"/>
      <c r="AD199" s="233" t="n"/>
      <c r="AE199" s="233" t="n"/>
      <c r="AF199" s="233" t="n"/>
      <c r="AG199" s="233" t="n"/>
      <c r="AH199" s="233" t="n"/>
      <c r="AI199" s="233" t="n"/>
      <c r="AJ199" s="233" t="n"/>
      <c r="AK199" s="233" t="n"/>
      <c r="AL199" s="233" t="n"/>
      <c r="AM199" s="233" t="n"/>
      <c r="AN199" s="233" t="n"/>
      <c r="AO199" s="233" t="n"/>
      <c r="AP199" s="233" t="n"/>
      <c r="AQ199" s="233" t="n"/>
      <c r="AR199" s="233" t="n"/>
      <c r="AS199" s="233" t="n"/>
      <c r="AT199" s="233" t="n"/>
      <c r="AU199" s="233" t="n"/>
      <c r="AV199" s="233" t="n"/>
      <c r="AW199" s="233" t="n"/>
      <c r="AX199" s="233" t="n"/>
      <c r="AY199" s="233" t="n"/>
      <c r="AZ199" s="233" t="n"/>
      <c r="BA199" s="233" t="n"/>
      <c r="BB199" s="233" t="n"/>
      <c r="BC199" s="233" t="n"/>
      <c r="BD199" s="233" t="n"/>
      <c r="BE199" s="233" t="n"/>
      <c r="BF199" s="233" t="n"/>
      <c r="BG199" s="233" t="n"/>
      <c r="BH199" s="233" t="n"/>
      <c r="BI199" s="233" t="n"/>
      <c r="BJ199" s="233" t="n"/>
      <c r="BK199" s="233" t="n"/>
      <c r="BL199" s="233" t="n"/>
      <c r="BM199" s="233" t="n"/>
    </row>
    <row r="200" ht="15.75" customHeight="1" s="349">
      <c r="A200" s="31" t="n"/>
      <c r="B200" s="307" t="n"/>
      <c r="C200" s="307" t="n"/>
      <c r="D200" s="146" t="n"/>
      <c r="E200" s="307" t="n"/>
      <c r="F200" s="307" t="n"/>
      <c r="G200" s="307" t="n"/>
      <c r="H200" s="307" t="n"/>
      <c r="I200" s="307" t="n"/>
      <c r="J200" s="307" t="n"/>
      <c r="K200" s="307" t="n"/>
      <c r="L200" s="307" t="n"/>
      <c r="M200" s="307" t="n"/>
      <c r="N200" s="307" t="n"/>
      <c r="O200" s="233" t="n"/>
      <c r="P200" s="233" t="n"/>
      <c r="Q200" s="233" t="n"/>
      <c r="R200" s="233" t="n"/>
      <c r="S200" s="233" t="n"/>
      <c r="T200" s="233" t="n"/>
      <c r="U200" s="233" t="n"/>
      <c r="V200" s="233" t="n"/>
      <c r="W200" s="233" t="n"/>
      <c r="X200" s="233" t="n"/>
      <c r="Y200" s="233" t="n"/>
      <c r="Z200" s="233" t="n"/>
      <c r="AA200" s="233" t="n"/>
      <c r="AB200" s="233" t="n"/>
      <c r="AC200" s="233" t="n"/>
      <c r="AD200" s="233" t="n"/>
      <c r="AE200" s="233" t="n"/>
      <c r="AF200" s="233" t="n"/>
      <c r="AG200" s="233" t="n"/>
      <c r="AH200" s="233" t="n"/>
      <c r="AI200" s="233" t="n"/>
      <c r="AJ200" s="233" t="n"/>
      <c r="AK200" s="233" t="n"/>
      <c r="AL200" s="233" t="n"/>
      <c r="AM200" s="233" t="n"/>
      <c r="AN200" s="233" t="n"/>
      <c r="AO200" s="233" t="n"/>
      <c r="AP200" s="233" t="n"/>
      <c r="AQ200" s="233" t="n"/>
      <c r="AR200" s="233" t="n"/>
      <c r="AS200" s="233" t="n"/>
      <c r="AT200" s="233" t="n"/>
      <c r="AU200" s="233" t="n"/>
      <c r="AV200" s="233" t="n"/>
      <c r="AW200" s="233" t="n"/>
      <c r="AX200" s="233" t="n"/>
      <c r="AY200" s="233" t="n"/>
      <c r="AZ200" s="233" t="n"/>
      <c r="BA200" s="233" t="n"/>
      <c r="BB200" s="233" t="n"/>
      <c r="BC200" s="233" t="n"/>
      <c r="BD200" s="233" t="n"/>
      <c r="BE200" s="233" t="n"/>
      <c r="BF200" s="233" t="n"/>
      <c r="BG200" s="233" t="n"/>
      <c r="BH200" s="233" t="n"/>
      <c r="BI200" s="233" t="n"/>
      <c r="BJ200" s="233" t="n"/>
      <c r="BK200" s="233" t="n"/>
      <c r="BL200" s="233" t="n"/>
      <c r="BM200" s="233" t="n"/>
    </row>
    <row r="201" ht="15.75" customHeight="1" s="349">
      <c r="A201" s="31" t="n"/>
      <c r="B201" s="307" t="n"/>
      <c r="C201" s="307" t="n"/>
      <c r="D201" s="146" t="n"/>
      <c r="E201" s="307" t="n"/>
      <c r="F201" s="307" t="n"/>
      <c r="G201" s="307" t="n"/>
      <c r="H201" s="307" t="n"/>
      <c r="I201" s="307" t="n"/>
      <c r="J201" s="307" t="n"/>
      <c r="K201" s="307" t="n"/>
      <c r="L201" s="307" t="n"/>
      <c r="M201" s="307" t="n"/>
      <c r="N201" s="307" t="n"/>
      <c r="O201" s="233" t="n"/>
      <c r="P201" s="233" t="n"/>
      <c r="Q201" s="233" t="n"/>
      <c r="R201" s="233" t="n"/>
      <c r="S201" s="233" t="n"/>
      <c r="T201" s="233" t="n"/>
      <c r="U201" s="233" t="n"/>
      <c r="V201" s="233" t="n"/>
      <c r="W201" s="233" t="n"/>
      <c r="X201" s="233" t="n"/>
      <c r="Y201" s="233" t="n"/>
      <c r="Z201" s="233" t="n"/>
      <c r="AA201" s="233" t="n"/>
      <c r="AB201" s="233" t="n"/>
      <c r="AC201" s="233" t="n"/>
      <c r="AD201" s="233" t="n"/>
      <c r="AE201" s="233" t="n"/>
      <c r="AF201" s="233" t="n"/>
      <c r="AG201" s="233" t="n"/>
      <c r="AH201" s="233" t="n"/>
      <c r="AI201" s="233" t="n"/>
      <c r="AJ201" s="233" t="n"/>
      <c r="AK201" s="233" t="n"/>
      <c r="AL201" s="233" t="n"/>
      <c r="AM201" s="233" t="n"/>
      <c r="AN201" s="233" t="n"/>
      <c r="AO201" s="233" t="n"/>
      <c r="AP201" s="233" t="n"/>
      <c r="AQ201" s="233" t="n"/>
      <c r="AR201" s="233" t="n"/>
      <c r="AS201" s="233" t="n"/>
      <c r="AT201" s="233" t="n"/>
      <c r="AU201" s="233" t="n"/>
      <c r="AV201" s="233" t="n"/>
      <c r="AW201" s="233" t="n"/>
      <c r="AX201" s="233" t="n"/>
      <c r="AY201" s="233" t="n"/>
      <c r="AZ201" s="233" t="n"/>
      <c r="BA201" s="233" t="n"/>
      <c r="BB201" s="233" t="n"/>
      <c r="BC201" s="233" t="n"/>
      <c r="BD201" s="233" t="n"/>
      <c r="BE201" s="233" t="n"/>
      <c r="BF201" s="233" t="n"/>
      <c r="BG201" s="233" t="n"/>
      <c r="BH201" s="233" t="n"/>
      <c r="BI201" s="233" t="n"/>
      <c r="BJ201" s="233" t="n"/>
      <c r="BK201" s="233" t="n"/>
      <c r="BL201" s="233" t="n"/>
      <c r="BM201" s="233" t="n"/>
    </row>
    <row r="202" ht="15.75" customHeight="1" s="349">
      <c r="A202" s="31" t="n"/>
      <c r="B202" s="307" t="n"/>
      <c r="C202" s="307" t="n"/>
      <c r="D202" s="146" t="n"/>
      <c r="E202" s="307" t="n"/>
      <c r="F202" s="307" t="n"/>
      <c r="G202" s="307" t="n"/>
      <c r="H202" s="307" t="n"/>
      <c r="I202" s="307" t="n"/>
      <c r="J202" s="307" t="n"/>
      <c r="K202" s="307" t="n"/>
      <c r="L202" s="307" t="n"/>
      <c r="M202" s="307" t="n"/>
      <c r="N202" s="307" t="n"/>
      <c r="O202" s="233" t="n"/>
      <c r="P202" s="233" t="n"/>
      <c r="Q202" s="233" t="n"/>
      <c r="R202" s="233" t="n"/>
      <c r="S202" s="233" t="n"/>
      <c r="T202" s="233" t="n"/>
      <c r="U202" s="233" t="n"/>
      <c r="V202" s="233" t="n"/>
      <c r="W202" s="233" t="n"/>
      <c r="X202" s="233" t="n"/>
      <c r="Y202" s="233" t="n"/>
      <c r="Z202" s="233" t="n"/>
      <c r="AA202" s="233" t="n"/>
      <c r="AB202" s="233" t="n"/>
      <c r="AC202" s="233" t="n"/>
      <c r="AD202" s="233" t="n"/>
      <c r="AE202" s="233" t="n"/>
      <c r="AF202" s="233" t="n"/>
      <c r="AG202" s="233" t="n"/>
      <c r="AH202" s="233" t="n"/>
      <c r="AI202" s="233" t="n"/>
      <c r="AJ202" s="233" t="n"/>
      <c r="AK202" s="233" t="n"/>
      <c r="AL202" s="233" t="n"/>
      <c r="AM202" s="233" t="n"/>
      <c r="AN202" s="233" t="n"/>
      <c r="AO202" s="233" t="n"/>
      <c r="AP202" s="233" t="n"/>
      <c r="AQ202" s="233" t="n"/>
      <c r="AR202" s="233" t="n"/>
      <c r="AS202" s="233" t="n"/>
      <c r="AT202" s="233" t="n"/>
      <c r="AU202" s="233" t="n"/>
      <c r="AV202" s="233" t="n"/>
      <c r="AW202" s="233" t="n"/>
      <c r="AX202" s="233" t="n"/>
      <c r="AY202" s="233" t="n"/>
      <c r="AZ202" s="233" t="n"/>
      <c r="BA202" s="233" t="n"/>
      <c r="BB202" s="233" t="n"/>
      <c r="BC202" s="233" t="n"/>
      <c r="BD202" s="233" t="n"/>
      <c r="BE202" s="233" t="n"/>
      <c r="BF202" s="233" t="n"/>
      <c r="BG202" s="233" t="n"/>
      <c r="BH202" s="233" t="n"/>
      <c r="BI202" s="233" t="n"/>
      <c r="BJ202" s="233" t="n"/>
      <c r="BK202" s="233" t="n"/>
      <c r="BL202" s="233" t="n"/>
      <c r="BM202" s="233" t="n"/>
    </row>
    <row r="203" ht="15.75" customHeight="1" s="349">
      <c r="A203" s="31" t="n"/>
      <c r="B203" s="307" t="n"/>
      <c r="C203" s="307" t="n"/>
      <c r="D203" s="146" t="n"/>
      <c r="E203" s="307" t="n"/>
      <c r="F203" s="307" t="n"/>
      <c r="G203" s="307" t="n"/>
      <c r="H203" s="307" t="n"/>
      <c r="I203" s="307" t="n"/>
      <c r="J203" s="307" t="n"/>
      <c r="K203" s="307" t="n"/>
      <c r="L203" s="307" t="n"/>
      <c r="M203" s="307" t="n"/>
      <c r="N203" s="307" t="n"/>
      <c r="O203" s="233" t="n"/>
      <c r="P203" s="233" t="n"/>
      <c r="Q203" s="233" t="n"/>
      <c r="R203" s="233" t="n"/>
      <c r="S203" s="233" t="n"/>
      <c r="T203" s="233" t="n"/>
      <c r="U203" s="233" t="n"/>
      <c r="V203" s="233" t="n"/>
      <c r="W203" s="233" t="n"/>
      <c r="X203" s="233" t="n"/>
      <c r="Y203" s="233" t="n"/>
      <c r="Z203" s="233" t="n"/>
      <c r="AA203" s="233" t="n"/>
      <c r="AB203" s="233" t="n"/>
      <c r="AC203" s="233" t="n"/>
      <c r="AD203" s="233" t="n"/>
      <c r="AE203" s="233" t="n"/>
      <c r="AF203" s="233" t="n"/>
      <c r="AG203" s="233" t="n"/>
      <c r="AH203" s="233" t="n"/>
      <c r="AI203" s="233" t="n"/>
      <c r="AJ203" s="233" t="n"/>
      <c r="AK203" s="233" t="n"/>
      <c r="AL203" s="233" t="n"/>
      <c r="AM203" s="233" t="n"/>
      <c r="AN203" s="233" t="n"/>
      <c r="AO203" s="233" t="n"/>
      <c r="AP203" s="233" t="n"/>
      <c r="AQ203" s="233" t="n"/>
      <c r="AR203" s="233" t="n"/>
      <c r="AS203" s="233" t="n"/>
      <c r="AT203" s="233" t="n"/>
      <c r="AU203" s="233" t="n"/>
      <c r="AV203" s="233" t="n"/>
      <c r="AW203" s="233" t="n"/>
      <c r="AX203" s="233" t="n"/>
      <c r="AY203" s="233" t="n"/>
      <c r="AZ203" s="233" t="n"/>
      <c r="BA203" s="233" t="n"/>
      <c r="BB203" s="233" t="n"/>
      <c r="BC203" s="233" t="n"/>
      <c r="BD203" s="233" t="n"/>
      <c r="BE203" s="233" t="n"/>
      <c r="BF203" s="233" t="n"/>
      <c r="BG203" s="233" t="n"/>
      <c r="BH203" s="233" t="n"/>
      <c r="BI203" s="233" t="n"/>
      <c r="BJ203" s="233" t="n"/>
      <c r="BK203" s="233" t="n"/>
      <c r="BL203" s="233" t="n"/>
      <c r="BM203" s="233" t="n"/>
    </row>
    <row r="204" ht="15.75" customHeight="1" s="349">
      <c r="A204" s="31" t="n"/>
      <c r="B204" s="307" t="n"/>
      <c r="C204" s="307" t="n"/>
      <c r="D204" s="146" t="n"/>
      <c r="E204" s="307" t="n"/>
      <c r="F204" s="307" t="n"/>
      <c r="G204" s="307" t="n"/>
      <c r="H204" s="307" t="n"/>
      <c r="I204" s="307" t="n"/>
      <c r="J204" s="307" t="n"/>
      <c r="K204" s="307" t="n"/>
      <c r="L204" s="307" t="n"/>
      <c r="M204" s="307" t="n"/>
      <c r="N204" s="307" t="n"/>
      <c r="O204" s="233" t="n"/>
      <c r="P204" s="233" t="n"/>
      <c r="Q204" s="233" t="n"/>
      <c r="R204" s="233" t="n"/>
      <c r="S204" s="233" t="n"/>
      <c r="T204" s="233" t="n"/>
      <c r="U204" s="233" t="n"/>
      <c r="V204" s="233" t="n"/>
      <c r="W204" s="233" t="n"/>
      <c r="X204" s="233" t="n"/>
      <c r="Y204" s="233" t="n"/>
      <c r="Z204" s="233" t="n"/>
      <c r="AA204" s="233" t="n"/>
      <c r="AB204" s="233" t="n"/>
      <c r="AC204" s="233" t="n"/>
      <c r="AD204" s="233" t="n"/>
      <c r="AE204" s="233" t="n"/>
      <c r="AF204" s="233" t="n"/>
      <c r="AG204" s="233" t="n"/>
      <c r="AH204" s="233" t="n"/>
      <c r="AI204" s="233" t="n"/>
      <c r="AJ204" s="233" t="n"/>
      <c r="AK204" s="233" t="n"/>
      <c r="AL204" s="233" t="n"/>
      <c r="AM204" s="233" t="n"/>
      <c r="AN204" s="233" t="n"/>
      <c r="AO204" s="233" t="n"/>
      <c r="AP204" s="233" t="n"/>
      <c r="AQ204" s="233" t="n"/>
      <c r="AR204" s="233" t="n"/>
      <c r="AS204" s="233" t="n"/>
      <c r="AT204" s="233" t="n"/>
      <c r="AU204" s="233" t="n"/>
      <c r="AV204" s="233" t="n"/>
      <c r="AW204" s="233" t="n"/>
      <c r="AX204" s="233" t="n"/>
      <c r="AY204" s="233" t="n"/>
      <c r="AZ204" s="233" t="n"/>
      <c r="BA204" s="233" t="n"/>
      <c r="BB204" s="233" t="n"/>
      <c r="BC204" s="233" t="n"/>
      <c r="BD204" s="233" t="n"/>
      <c r="BE204" s="233" t="n"/>
      <c r="BF204" s="233" t="n"/>
      <c r="BG204" s="233" t="n"/>
      <c r="BH204" s="233" t="n"/>
      <c r="BI204" s="233" t="n"/>
      <c r="BJ204" s="233" t="n"/>
      <c r="BK204" s="233" t="n"/>
      <c r="BL204" s="233" t="n"/>
      <c r="BM204" s="233" t="n"/>
    </row>
    <row r="205" ht="15.75" customHeight="1" s="349">
      <c r="A205" s="31" t="n"/>
      <c r="B205" s="307" t="n"/>
      <c r="C205" s="307" t="n"/>
      <c r="D205" s="146" t="n"/>
      <c r="E205" s="307" t="n"/>
      <c r="F205" s="307" t="n"/>
      <c r="G205" s="307" t="n"/>
      <c r="H205" s="307" t="n"/>
      <c r="I205" s="307" t="n"/>
      <c r="J205" s="307" t="n"/>
      <c r="K205" s="307" t="n"/>
      <c r="L205" s="307" t="n"/>
      <c r="M205" s="307" t="n"/>
      <c r="N205" s="307" t="n"/>
      <c r="O205" s="233" t="n"/>
      <c r="P205" s="233" t="n"/>
      <c r="Q205" s="233" t="n"/>
      <c r="R205" s="233" t="n"/>
      <c r="S205" s="233" t="n"/>
      <c r="T205" s="233" t="n"/>
      <c r="U205" s="233" t="n"/>
      <c r="V205" s="233" t="n"/>
      <c r="W205" s="233" t="n"/>
      <c r="X205" s="233" t="n"/>
      <c r="Y205" s="233" t="n"/>
      <c r="Z205" s="233" t="n"/>
      <c r="AA205" s="233" t="n"/>
      <c r="AB205" s="233" t="n"/>
      <c r="AC205" s="233" t="n"/>
      <c r="AD205" s="233" t="n"/>
      <c r="AE205" s="233" t="n"/>
      <c r="AF205" s="233" t="n"/>
      <c r="AG205" s="233" t="n"/>
      <c r="AH205" s="233" t="n"/>
      <c r="AI205" s="233" t="n"/>
      <c r="AJ205" s="233" t="n"/>
      <c r="AK205" s="233" t="n"/>
      <c r="AL205" s="233" t="n"/>
      <c r="AM205" s="233" t="n"/>
      <c r="AN205" s="233" t="n"/>
      <c r="AO205" s="233" t="n"/>
      <c r="AP205" s="233" t="n"/>
      <c r="AQ205" s="233" t="n"/>
      <c r="AR205" s="233" t="n"/>
      <c r="AS205" s="233" t="n"/>
      <c r="AT205" s="233" t="n"/>
      <c r="AU205" s="233" t="n"/>
      <c r="AV205" s="233" t="n"/>
      <c r="AW205" s="233" t="n"/>
      <c r="AX205" s="233" t="n"/>
      <c r="AY205" s="233" t="n"/>
      <c r="AZ205" s="233" t="n"/>
      <c r="BA205" s="233" t="n"/>
      <c r="BB205" s="233" t="n"/>
      <c r="BC205" s="233" t="n"/>
      <c r="BD205" s="233" t="n"/>
      <c r="BE205" s="233" t="n"/>
      <c r="BF205" s="233" t="n"/>
      <c r="BG205" s="233" t="n"/>
      <c r="BH205" s="233" t="n"/>
      <c r="BI205" s="233" t="n"/>
      <c r="BJ205" s="233" t="n"/>
      <c r="BK205" s="233" t="n"/>
      <c r="BL205" s="233" t="n"/>
      <c r="BM205" s="233" t="n"/>
    </row>
    <row r="206" ht="15.75" customHeight="1" s="349">
      <c r="A206" s="31" t="n"/>
      <c r="B206" s="307" t="n"/>
      <c r="C206" s="307" t="n"/>
      <c r="D206" s="146" t="n"/>
      <c r="E206" s="307" t="n"/>
      <c r="F206" s="307" t="n"/>
      <c r="G206" s="307" t="n"/>
      <c r="H206" s="307" t="n"/>
      <c r="I206" s="307" t="n"/>
      <c r="J206" s="307" t="n"/>
      <c r="K206" s="307" t="n"/>
      <c r="L206" s="307" t="n"/>
      <c r="M206" s="307" t="n"/>
      <c r="N206" s="307" t="n"/>
      <c r="O206" s="233" t="n"/>
      <c r="P206" s="233" t="n"/>
      <c r="Q206" s="233" t="n"/>
      <c r="R206" s="233" t="n"/>
      <c r="S206" s="233" t="n"/>
      <c r="T206" s="233" t="n"/>
      <c r="U206" s="233" t="n"/>
      <c r="V206" s="233" t="n"/>
      <c r="W206" s="233" t="n"/>
      <c r="X206" s="233" t="n"/>
      <c r="Y206" s="233" t="n"/>
      <c r="Z206" s="233" t="n"/>
      <c r="AA206" s="233" t="n"/>
      <c r="AB206" s="233" t="n"/>
      <c r="AC206" s="233" t="n"/>
      <c r="AD206" s="233" t="n"/>
      <c r="AE206" s="233" t="n"/>
      <c r="AF206" s="233" t="n"/>
      <c r="AG206" s="233" t="n"/>
      <c r="AH206" s="233" t="n"/>
      <c r="AI206" s="233" t="n"/>
      <c r="AJ206" s="233" t="n"/>
      <c r="AK206" s="233" t="n"/>
      <c r="AL206" s="233" t="n"/>
      <c r="AM206" s="233" t="n"/>
      <c r="AN206" s="233" t="n"/>
      <c r="AO206" s="233" t="n"/>
      <c r="AP206" s="233" t="n"/>
      <c r="AQ206" s="233" t="n"/>
      <c r="AR206" s="233" t="n"/>
      <c r="AS206" s="233" t="n"/>
      <c r="AT206" s="233" t="n"/>
      <c r="AU206" s="233" t="n"/>
      <c r="AV206" s="233" t="n"/>
      <c r="AW206" s="233" t="n"/>
      <c r="AX206" s="233" t="n"/>
      <c r="AY206" s="233" t="n"/>
      <c r="AZ206" s="233" t="n"/>
      <c r="BA206" s="233" t="n"/>
      <c r="BB206" s="233" t="n"/>
      <c r="BC206" s="233" t="n"/>
      <c r="BD206" s="233" t="n"/>
      <c r="BE206" s="233" t="n"/>
      <c r="BF206" s="233" t="n"/>
      <c r="BG206" s="233" t="n"/>
      <c r="BH206" s="233" t="n"/>
      <c r="BI206" s="233" t="n"/>
      <c r="BJ206" s="233" t="n"/>
      <c r="BK206" s="233" t="n"/>
      <c r="BL206" s="233" t="n"/>
      <c r="BM206" s="233" t="n"/>
    </row>
    <row r="207" ht="15.75" customHeight="1" s="349">
      <c r="A207" s="31" t="n"/>
      <c r="B207" s="307" t="n"/>
      <c r="C207" s="307" t="n"/>
      <c r="D207" s="146" t="n"/>
      <c r="E207" s="307" t="n"/>
      <c r="F207" s="307" t="n"/>
      <c r="G207" s="307" t="n"/>
      <c r="H207" s="307" t="n"/>
      <c r="I207" s="307" t="n"/>
      <c r="J207" s="307" t="n"/>
      <c r="K207" s="307" t="n"/>
      <c r="L207" s="307" t="n"/>
      <c r="M207" s="307" t="n"/>
      <c r="N207" s="307" t="n"/>
      <c r="O207" s="233" t="n"/>
      <c r="P207" s="233" t="n"/>
      <c r="Q207" s="233" t="n"/>
      <c r="R207" s="233" t="n"/>
      <c r="S207" s="233" t="n"/>
      <c r="T207" s="233" t="n"/>
      <c r="U207" s="233" t="n"/>
      <c r="V207" s="233" t="n"/>
      <c r="W207" s="233" t="n"/>
      <c r="X207" s="233" t="n"/>
      <c r="Y207" s="233" t="n"/>
      <c r="Z207" s="233" t="n"/>
      <c r="AA207" s="233" t="n"/>
      <c r="AB207" s="233" t="n"/>
      <c r="AC207" s="233" t="n"/>
      <c r="AD207" s="233" t="n"/>
      <c r="AE207" s="233" t="n"/>
      <c r="AF207" s="233" t="n"/>
      <c r="AG207" s="233" t="n"/>
      <c r="AH207" s="233" t="n"/>
      <c r="AI207" s="233" t="n"/>
      <c r="AJ207" s="233" t="n"/>
      <c r="AK207" s="233" t="n"/>
      <c r="AL207" s="233" t="n"/>
      <c r="AM207" s="233" t="n"/>
      <c r="AN207" s="233" t="n"/>
      <c r="AO207" s="233" t="n"/>
      <c r="AP207" s="233" t="n"/>
      <c r="AQ207" s="233" t="n"/>
      <c r="AR207" s="233" t="n"/>
      <c r="AS207" s="233" t="n"/>
      <c r="AT207" s="233" t="n"/>
      <c r="AU207" s="233" t="n"/>
      <c r="AV207" s="233" t="n"/>
      <c r="AW207" s="233" t="n"/>
      <c r="AX207" s="233" t="n"/>
      <c r="AY207" s="233" t="n"/>
      <c r="AZ207" s="233" t="n"/>
      <c r="BA207" s="233" t="n"/>
      <c r="BB207" s="233" t="n"/>
      <c r="BC207" s="233" t="n"/>
      <c r="BD207" s="233" t="n"/>
      <c r="BE207" s="233" t="n"/>
      <c r="BF207" s="233" t="n"/>
      <c r="BG207" s="233" t="n"/>
      <c r="BH207" s="233" t="n"/>
      <c r="BI207" s="233" t="n"/>
      <c r="BJ207" s="233" t="n"/>
      <c r="BK207" s="233" t="n"/>
      <c r="BL207" s="233" t="n"/>
      <c r="BM207" s="233" t="n"/>
    </row>
    <row r="208" ht="15.75" customHeight="1" s="349">
      <c r="A208" s="31" t="n"/>
      <c r="B208" s="307" t="n"/>
      <c r="C208" s="307" t="n"/>
      <c r="D208" s="146" t="n"/>
      <c r="E208" s="307" t="n"/>
      <c r="F208" s="307" t="n"/>
      <c r="G208" s="307" t="n"/>
      <c r="H208" s="307" t="n"/>
      <c r="I208" s="307" t="n"/>
      <c r="J208" s="307" t="n"/>
      <c r="K208" s="307" t="n"/>
      <c r="L208" s="307" t="n"/>
      <c r="M208" s="307" t="n"/>
      <c r="N208" s="307" t="n"/>
      <c r="O208" s="233" t="n"/>
      <c r="P208" s="233" t="n"/>
      <c r="Q208" s="233" t="n"/>
      <c r="R208" s="233" t="n"/>
      <c r="S208" s="233" t="n"/>
      <c r="T208" s="233" t="n"/>
      <c r="U208" s="233" t="n"/>
      <c r="V208" s="233" t="n"/>
      <c r="W208" s="233" t="n"/>
      <c r="X208" s="233" t="n"/>
      <c r="Y208" s="233" t="n"/>
      <c r="Z208" s="233" t="n"/>
      <c r="AA208" s="233" t="n"/>
      <c r="AB208" s="233" t="n"/>
      <c r="AC208" s="233" t="n"/>
      <c r="AD208" s="233" t="n"/>
      <c r="AE208" s="233" t="n"/>
      <c r="AF208" s="233" t="n"/>
      <c r="AG208" s="233" t="n"/>
      <c r="AH208" s="233" t="n"/>
      <c r="AI208" s="233" t="n"/>
      <c r="AJ208" s="233" t="n"/>
      <c r="AK208" s="233" t="n"/>
      <c r="AL208" s="233" t="n"/>
      <c r="AM208" s="233" t="n"/>
      <c r="AN208" s="233" t="n"/>
      <c r="AO208" s="233" t="n"/>
      <c r="AP208" s="233" t="n"/>
      <c r="AQ208" s="233" t="n"/>
      <c r="AR208" s="233" t="n"/>
      <c r="AS208" s="233" t="n"/>
      <c r="AT208" s="233" t="n"/>
      <c r="AU208" s="233" t="n"/>
      <c r="AV208" s="233" t="n"/>
      <c r="AW208" s="233" t="n"/>
      <c r="AX208" s="233" t="n"/>
      <c r="AY208" s="233" t="n"/>
      <c r="AZ208" s="233" t="n"/>
      <c r="BA208" s="233" t="n"/>
      <c r="BB208" s="233" t="n"/>
      <c r="BC208" s="233" t="n"/>
      <c r="BD208" s="233" t="n"/>
      <c r="BE208" s="233" t="n"/>
      <c r="BF208" s="233" t="n"/>
      <c r="BG208" s="233" t="n"/>
      <c r="BH208" s="233" t="n"/>
      <c r="BI208" s="233" t="n"/>
      <c r="BJ208" s="233" t="n"/>
      <c r="BK208" s="233" t="n"/>
      <c r="BL208" s="233" t="n"/>
      <c r="BM208" s="233" t="n"/>
    </row>
    <row r="209" ht="15.75" customHeight="1" s="349">
      <c r="A209" s="31" t="n"/>
      <c r="B209" s="307" t="n"/>
      <c r="C209" s="307" t="n"/>
      <c r="D209" s="146" t="n"/>
      <c r="E209" s="307" t="n"/>
      <c r="F209" s="307" t="n"/>
      <c r="G209" s="307" t="n"/>
      <c r="H209" s="307" t="n"/>
      <c r="I209" s="307" t="n"/>
      <c r="J209" s="307" t="n"/>
      <c r="K209" s="307" t="n"/>
      <c r="L209" s="307" t="n"/>
      <c r="M209" s="307" t="n"/>
      <c r="N209" s="307" t="n"/>
      <c r="O209" s="233" t="n"/>
      <c r="P209" s="233" t="n"/>
      <c r="Q209" s="233" t="n"/>
      <c r="R209" s="233" t="n"/>
      <c r="S209" s="233" t="n"/>
      <c r="T209" s="233" t="n"/>
      <c r="U209" s="233" t="n"/>
      <c r="V209" s="233" t="n"/>
      <c r="W209" s="233" t="n"/>
      <c r="X209" s="233" t="n"/>
      <c r="Y209" s="233" t="n"/>
      <c r="Z209" s="233" t="n"/>
      <c r="AA209" s="233" t="n"/>
      <c r="AB209" s="233" t="n"/>
      <c r="AC209" s="233" t="n"/>
      <c r="AD209" s="233" t="n"/>
      <c r="AE209" s="233" t="n"/>
      <c r="AF209" s="233" t="n"/>
      <c r="AG209" s="233" t="n"/>
      <c r="AH209" s="233" t="n"/>
      <c r="AI209" s="233" t="n"/>
      <c r="AJ209" s="233" t="n"/>
      <c r="AK209" s="233" t="n"/>
      <c r="AL209" s="233" t="n"/>
      <c r="AM209" s="233" t="n"/>
      <c r="AN209" s="233" t="n"/>
      <c r="AO209" s="233" t="n"/>
      <c r="AP209" s="233" t="n"/>
      <c r="AQ209" s="233" t="n"/>
      <c r="AR209" s="233" t="n"/>
      <c r="AS209" s="233" t="n"/>
      <c r="AT209" s="233" t="n"/>
      <c r="AU209" s="233" t="n"/>
      <c r="AV209" s="233" t="n"/>
      <c r="AW209" s="233" t="n"/>
      <c r="AX209" s="233" t="n"/>
      <c r="AY209" s="233" t="n"/>
      <c r="AZ209" s="233" t="n"/>
      <c r="BA209" s="233" t="n"/>
      <c r="BB209" s="233" t="n"/>
      <c r="BC209" s="233" t="n"/>
      <c r="BD209" s="233" t="n"/>
      <c r="BE209" s="233" t="n"/>
      <c r="BF209" s="233" t="n"/>
      <c r="BG209" s="233" t="n"/>
      <c r="BH209" s="233" t="n"/>
      <c r="BI209" s="233" t="n"/>
      <c r="BJ209" s="233" t="n"/>
      <c r="BK209" s="233" t="n"/>
      <c r="BL209" s="233" t="n"/>
      <c r="BM209" s="233" t="n"/>
    </row>
    <row r="210" ht="15.75" customHeight="1" s="349">
      <c r="A210" s="31" t="n"/>
      <c r="B210" s="307" t="n"/>
      <c r="C210" s="307" t="n"/>
      <c r="D210" s="146" t="n"/>
      <c r="E210" s="307" t="n"/>
      <c r="F210" s="307" t="n"/>
      <c r="G210" s="307" t="n"/>
      <c r="H210" s="307" t="n"/>
      <c r="I210" s="307" t="n"/>
      <c r="J210" s="307" t="n"/>
      <c r="K210" s="307" t="n"/>
      <c r="L210" s="307" t="n"/>
      <c r="M210" s="307" t="n"/>
      <c r="N210" s="307" t="n"/>
      <c r="O210" s="233" t="n"/>
      <c r="P210" s="233" t="n"/>
      <c r="Q210" s="233" t="n"/>
      <c r="R210" s="233" t="n"/>
      <c r="S210" s="233" t="n"/>
      <c r="T210" s="233" t="n"/>
      <c r="U210" s="233" t="n"/>
      <c r="V210" s="233" t="n"/>
      <c r="W210" s="233" t="n"/>
      <c r="X210" s="233" t="n"/>
      <c r="Y210" s="233" t="n"/>
      <c r="Z210" s="233" t="n"/>
      <c r="AA210" s="233" t="n"/>
      <c r="AB210" s="233" t="n"/>
      <c r="AC210" s="233" t="n"/>
      <c r="AD210" s="233" t="n"/>
      <c r="AE210" s="233" t="n"/>
      <c r="AF210" s="233" t="n"/>
      <c r="AG210" s="233" t="n"/>
      <c r="AH210" s="233" t="n"/>
      <c r="AI210" s="233" t="n"/>
      <c r="AJ210" s="233" t="n"/>
      <c r="AK210" s="233" t="n"/>
      <c r="AL210" s="233" t="n"/>
      <c r="AM210" s="233" t="n"/>
      <c r="AN210" s="233" t="n"/>
      <c r="AO210" s="233" t="n"/>
      <c r="AP210" s="233" t="n"/>
      <c r="AQ210" s="233" t="n"/>
      <c r="AR210" s="233" t="n"/>
      <c r="AS210" s="233" t="n"/>
      <c r="AT210" s="233" t="n"/>
      <c r="AU210" s="233" t="n"/>
      <c r="AV210" s="233" t="n"/>
      <c r="AW210" s="233" t="n"/>
      <c r="AX210" s="233" t="n"/>
      <c r="AY210" s="233" t="n"/>
      <c r="AZ210" s="233" t="n"/>
      <c r="BA210" s="233" t="n"/>
      <c r="BB210" s="233" t="n"/>
      <c r="BC210" s="233" t="n"/>
      <c r="BD210" s="233" t="n"/>
      <c r="BE210" s="233" t="n"/>
      <c r="BF210" s="233" t="n"/>
      <c r="BG210" s="233" t="n"/>
      <c r="BH210" s="233" t="n"/>
      <c r="BI210" s="233" t="n"/>
      <c r="BJ210" s="233" t="n"/>
      <c r="BK210" s="233" t="n"/>
      <c r="BL210" s="233" t="n"/>
      <c r="BM210" s="233" t="n"/>
    </row>
    <row r="211" ht="15.75" customHeight="1" s="349">
      <c r="A211" s="31" t="n"/>
      <c r="B211" s="307" t="n"/>
      <c r="C211" s="307" t="n"/>
      <c r="D211" s="146" t="n"/>
      <c r="E211" s="307" t="n"/>
      <c r="F211" s="307" t="n"/>
      <c r="G211" s="307" t="n"/>
      <c r="H211" s="307" t="n"/>
      <c r="I211" s="307" t="n"/>
      <c r="J211" s="307" t="n"/>
      <c r="K211" s="307" t="n"/>
      <c r="L211" s="307" t="n"/>
      <c r="M211" s="307" t="n"/>
      <c r="N211" s="307" t="n"/>
      <c r="O211" s="233" t="n"/>
      <c r="P211" s="233" t="n"/>
      <c r="Q211" s="233" t="n"/>
      <c r="R211" s="233" t="n"/>
      <c r="S211" s="233" t="n"/>
      <c r="T211" s="233" t="n"/>
      <c r="U211" s="233" t="n"/>
      <c r="V211" s="233" t="n"/>
      <c r="W211" s="233" t="n"/>
      <c r="X211" s="233" t="n"/>
      <c r="Y211" s="233" t="n"/>
      <c r="Z211" s="233" t="n"/>
      <c r="AA211" s="233" t="n"/>
      <c r="AB211" s="233" t="n"/>
      <c r="AC211" s="233" t="n"/>
      <c r="AD211" s="233" t="n"/>
      <c r="AE211" s="233" t="n"/>
      <c r="AF211" s="233" t="n"/>
      <c r="AG211" s="233" t="n"/>
      <c r="AH211" s="233" t="n"/>
      <c r="AI211" s="233" t="n"/>
      <c r="AJ211" s="233" t="n"/>
      <c r="AK211" s="233" t="n"/>
      <c r="AL211" s="233" t="n"/>
      <c r="AM211" s="233" t="n"/>
      <c r="AN211" s="233" t="n"/>
      <c r="AO211" s="233" t="n"/>
      <c r="AP211" s="233" t="n"/>
      <c r="AQ211" s="233" t="n"/>
      <c r="AR211" s="233" t="n"/>
      <c r="AS211" s="233" t="n"/>
      <c r="AT211" s="233" t="n"/>
      <c r="AU211" s="233" t="n"/>
      <c r="AV211" s="233" t="n"/>
      <c r="AW211" s="233" t="n"/>
      <c r="AX211" s="233" t="n"/>
      <c r="AY211" s="233" t="n"/>
      <c r="AZ211" s="233" t="n"/>
      <c r="BA211" s="233" t="n"/>
      <c r="BB211" s="233" t="n"/>
      <c r="BC211" s="233" t="n"/>
      <c r="BD211" s="233" t="n"/>
      <c r="BE211" s="233" t="n"/>
      <c r="BF211" s="233" t="n"/>
      <c r="BG211" s="233" t="n"/>
      <c r="BH211" s="233" t="n"/>
      <c r="BI211" s="233" t="n"/>
      <c r="BJ211" s="233" t="n"/>
      <c r="BK211" s="233" t="n"/>
      <c r="BL211" s="233" t="n"/>
      <c r="BM211" s="233" t="n"/>
    </row>
    <row r="212" ht="15.75" customHeight="1" s="349">
      <c r="A212" s="31" t="n"/>
      <c r="B212" s="307" t="n"/>
      <c r="C212" s="307" t="n"/>
      <c r="D212" s="146" t="n"/>
      <c r="E212" s="307" t="n"/>
      <c r="F212" s="307" t="n"/>
      <c r="G212" s="307" t="n"/>
      <c r="H212" s="307" t="n"/>
      <c r="I212" s="307" t="n"/>
      <c r="J212" s="307" t="n"/>
      <c r="K212" s="307" t="n"/>
      <c r="L212" s="307" t="n"/>
      <c r="M212" s="307" t="n"/>
      <c r="N212" s="307" t="n"/>
      <c r="O212" s="233" t="n"/>
      <c r="P212" s="233" t="n"/>
      <c r="Q212" s="233" t="n"/>
      <c r="R212" s="233" t="n"/>
      <c r="S212" s="233" t="n"/>
      <c r="T212" s="233" t="n"/>
      <c r="U212" s="233" t="n"/>
      <c r="V212" s="233" t="n"/>
      <c r="W212" s="233" t="n"/>
      <c r="X212" s="233" t="n"/>
      <c r="Y212" s="233" t="n"/>
      <c r="Z212" s="233" t="n"/>
      <c r="AA212" s="233" t="n"/>
      <c r="AB212" s="233" t="n"/>
      <c r="AC212" s="233" t="n"/>
      <c r="AD212" s="233" t="n"/>
      <c r="AE212" s="233" t="n"/>
      <c r="AF212" s="233" t="n"/>
      <c r="AG212" s="233" t="n"/>
      <c r="AH212" s="233" t="n"/>
      <c r="AI212" s="233" t="n"/>
      <c r="AJ212" s="233" t="n"/>
      <c r="AK212" s="233" t="n"/>
      <c r="AL212" s="233" t="n"/>
      <c r="AM212" s="233" t="n"/>
      <c r="AN212" s="233" t="n"/>
      <c r="AO212" s="233" t="n"/>
      <c r="AP212" s="233" t="n"/>
      <c r="AQ212" s="233" t="n"/>
      <c r="AR212" s="233" t="n"/>
      <c r="AS212" s="233" t="n"/>
      <c r="AT212" s="233" t="n"/>
      <c r="AU212" s="233" t="n"/>
      <c r="AV212" s="233" t="n"/>
      <c r="AW212" s="233" t="n"/>
      <c r="AX212" s="233" t="n"/>
      <c r="AY212" s="233" t="n"/>
      <c r="AZ212" s="233" t="n"/>
      <c r="BA212" s="233" t="n"/>
      <c r="BB212" s="233" t="n"/>
      <c r="BC212" s="233" t="n"/>
      <c r="BD212" s="233" t="n"/>
      <c r="BE212" s="233" t="n"/>
      <c r="BF212" s="233" t="n"/>
      <c r="BG212" s="233" t="n"/>
      <c r="BH212" s="233" t="n"/>
      <c r="BI212" s="233" t="n"/>
      <c r="BJ212" s="233" t="n"/>
      <c r="BK212" s="233" t="n"/>
      <c r="BL212" s="233" t="n"/>
      <c r="BM212" s="233" t="n"/>
    </row>
    <row r="213" ht="15.75" customHeight="1" s="349">
      <c r="A213" s="31" t="n"/>
      <c r="B213" s="307" t="n"/>
      <c r="C213" s="307" t="n"/>
      <c r="D213" s="146" t="n"/>
      <c r="E213" s="307" t="n"/>
      <c r="F213" s="307" t="n"/>
      <c r="G213" s="307" t="n"/>
      <c r="H213" s="307" t="n"/>
      <c r="I213" s="307" t="n"/>
      <c r="J213" s="307" t="n"/>
      <c r="K213" s="307" t="n"/>
      <c r="L213" s="307" t="n"/>
      <c r="M213" s="307" t="n"/>
      <c r="N213" s="307" t="n"/>
      <c r="O213" s="233" t="n"/>
      <c r="P213" s="233" t="n"/>
      <c r="Q213" s="233" t="n"/>
      <c r="R213" s="233" t="n"/>
      <c r="S213" s="233" t="n"/>
      <c r="T213" s="233" t="n"/>
      <c r="U213" s="233" t="n"/>
      <c r="V213" s="233" t="n"/>
      <c r="W213" s="233" t="n"/>
      <c r="X213" s="233" t="n"/>
      <c r="Y213" s="233" t="n"/>
      <c r="Z213" s="233" t="n"/>
      <c r="AA213" s="233" t="n"/>
      <c r="AB213" s="233" t="n"/>
      <c r="AC213" s="233" t="n"/>
      <c r="AD213" s="233" t="n"/>
      <c r="AE213" s="233" t="n"/>
      <c r="AF213" s="233" t="n"/>
      <c r="AG213" s="233" t="n"/>
      <c r="AH213" s="233" t="n"/>
      <c r="AI213" s="233" t="n"/>
      <c r="AJ213" s="233" t="n"/>
      <c r="AK213" s="233" t="n"/>
      <c r="AL213" s="233" t="n"/>
      <c r="AM213" s="233" t="n"/>
      <c r="AN213" s="233" t="n"/>
      <c r="AO213" s="233" t="n"/>
      <c r="AP213" s="233" t="n"/>
      <c r="AQ213" s="233" t="n"/>
      <c r="AR213" s="233" t="n"/>
      <c r="AS213" s="233" t="n"/>
      <c r="AT213" s="233" t="n"/>
      <c r="AU213" s="233" t="n"/>
      <c r="AV213" s="233" t="n"/>
      <c r="AW213" s="233" t="n"/>
      <c r="AX213" s="233" t="n"/>
      <c r="AY213" s="233" t="n"/>
      <c r="AZ213" s="233" t="n"/>
      <c r="BA213" s="233" t="n"/>
      <c r="BB213" s="233" t="n"/>
      <c r="BC213" s="233" t="n"/>
      <c r="BD213" s="233" t="n"/>
      <c r="BE213" s="233" t="n"/>
      <c r="BF213" s="233" t="n"/>
      <c r="BG213" s="233" t="n"/>
      <c r="BH213" s="233" t="n"/>
      <c r="BI213" s="233" t="n"/>
      <c r="BJ213" s="233" t="n"/>
      <c r="BK213" s="233" t="n"/>
      <c r="BL213" s="233" t="n"/>
      <c r="BM213" s="233" t="n"/>
    </row>
    <row r="214" ht="15.75" customHeight="1" s="349">
      <c r="A214" s="31" t="n"/>
      <c r="B214" s="307" t="n"/>
      <c r="C214" s="307" t="n"/>
      <c r="D214" s="146" t="n"/>
      <c r="E214" s="307" t="n"/>
      <c r="F214" s="307" t="n"/>
      <c r="G214" s="307" t="n"/>
      <c r="H214" s="307" t="n"/>
      <c r="I214" s="307" t="n"/>
      <c r="J214" s="307" t="n"/>
      <c r="K214" s="307" t="n"/>
      <c r="L214" s="307" t="n"/>
      <c r="M214" s="307" t="n"/>
      <c r="N214" s="307" t="n"/>
      <c r="O214" s="233" t="n"/>
      <c r="P214" s="233" t="n"/>
      <c r="Q214" s="233" t="n"/>
      <c r="R214" s="233" t="n"/>
      <c r="S214" s="233" t="n"/>
      <c r="T214" s="233" t="n"/>
      <c r="U214" s="233" t="n"/>
      <c r="V214" s="233" t="n"/>
      <c r="W214" s="233" t="n"/>
      <c r="X214" s="233" t="n"/>
      <c r="Y214" s="233" t="n"/>
      <c r="Z214" s="233" t="n"/>
      <c r="AA214" s="233" t="n"/>
      <c r="AB214" s="233" t="n"/>
      <c r="AC214" s="233" t="n"/>
      <c r="AD214" s="233" t="n"/>
      <c r="AE214" s="233" t="n"/>
      <c r="AF214" s="233" t="n"/>
      <c r="AG214" s="233" t="n"/>
      <c r="AH214" s="233" t="n"/>
      <c r="AI214" s="233" t="n"/>
      <c r="AJ214" s="233" t="n"/>
      <c r="AK214" s="233" t="n"/>
      <c r="AL214" s="233" t="n"/>
      <c r="AM214" s="233" t="n"/>
      <c r="AN214" s="233" t="n"/>
      <c r="AO214" s="233" t="n"/>
      <c r="AP214" s="233" t="n"/>
      <c r="AQ214" s="233" t="n"/>
      <c r="AR214" s="233" t="n"/>
      <c r="AS214" s="233" t="n"/>
      <c r="AT214" s="233" t="n"/>
      <c r="AU214" s="233" t="n"/>
      <c r="AV214" s="233" t="n"/>
      <c r="AW214" s="233" t="n"/>
      <c r="AX214" s="233" t="n"/>
      <c r="AY214" s="233" t="n"/>
      <c r="AZ214" s="233" t="n"/>
      <c r="BA214" s="233" t="n"/>
      <c r="BB214" s="233" t="n"/>
      <c r="BC214" s="233" t="n"/>
      <c r="BD214" s="233" t="n"/>
      <c r="BE214" s="233" t="n"/>
      <c r="BF214" s="233" t="n"/>
      <c r="BG214" s="233" t="n"/>
      <c r="BH214" s="233" t="n"/>
      <c r="BI214" s="233" t="n"/>
      <c r="BJ214" s="233" t="n"/>
      <c r="BK214" s="233" t="n"/>
      <c r="BL214" s="233" t="n"/>
      <c r="BM214" s="233" t="n"/>
    </row>
    <row r="215" ht="15.75" customHeight="1" s="349">
      <c r="A215" s="31" t="n"/>
      <c r="B215" s="307" t="n"/>
      <c r="C215" s="307" t="n"/>
      <c r="D215" s="146" t="n"/>
      <c r="E215" s="307" t="n"/>
      <c r="F215" s="307" t="n"/>
      <c r="G215" s="307" t="n"/>
      <c r="H215" s="307" t="n"/>
      <c r="I215" s="307" t="n"/>
      <c r="J215" s="307" t="n"/>
      <c r="K215" s="307" t="n"/>
      <c r="L215" s="307" t="n"/>
      <c r="M215" s="307" t="n"/>
      <c r="N215" s="307" t="n"/>
      <c r="O215" s="233" t="n"/>
      <c r="P215" s="233" t="n"/>
      <c r="Q215" s="233" t="n"/>
      <c r="R215" s="233" t="n"/>
      <c r="S215" s="233" t="n"/>
      <c r="T215" s="233" t="n"/>
      <c r="U215" s="233" t="n"/>
      <c r="V215" s="233" t="n"/>
      <c r="W215" s="233" t="n"/>
      <c r="X215" s="233" t="n"/>
      <c r="Y215" s="233" t="n"/>
      <c r="Z215" s="233" t="n"/>
      <c r="AA215" s="233" t="n"/>
      <c r="AB215" s="233" t="n"/>
      <c r="AC215" s="233" t="n"/>
      <c r="AD215" s="233" t="n"/>
      <c r="AE215" s="233" t="n"/>
      <c r="AF215" s="233" t="n"/>
      <c r="AG215" s="233" t="n"/>
      <c r="AH215" s="233" t="n"/>
      <c r="AI215" s="233" t="n"/>
      <c r="AJ215" s="233" t="n"/>
      <c r="AK215" s="233" t="n"/>
      <c r="AL215" s="233" t="n"/>
      <c r="AM215" s="233" t="n"/>
      <c r="AN215" s="233" t="n"/>
      <c r="AO215" s="233" t="n"/>
      <c r="AP215" s="233" t="n"/>
      <c r="AQ215" s="233" t="n"/>
      <c r="AR215" s="233" t="n"/>
      <c r="AS215" s="233" t="n"/>
      <c r="AT215" s="233" t="n"/>
      <c r="AU215" s="233" t="n"/>
      <c r="AV215" s="233" t="n"/>
      <c r="AW215" s="233" t="n"/>
      <c r="AX215" s="233" t="n"/>
      <c r="AY215" s="233" t="n"/>
      <c r="AZ215" s="233" t="n"/>
      <c r="BA215" s="233" t="n"/>
      <c r="BB215" s="233" t="n"/>
      <c r="BC215" s="233" t="n"/>
      <c r="BD215" s="233" t="n"/>
      <c r="BE215" s="233" t="n"/>
      <c r="BF215" s="233" t="n"/>
      <c r="BG215" s="233" t="n"/>
      <c r="BH215" s="233" t="n"/>
      <c r="BI215" s="233" t="n"/>
      <c r="BJ215" s="233" t="n"/>
      <c r="BK215" s="233" t="n"/>
      <c r="BL215" s="233" t="n"/>
      <c r="BM215" s="233" t="n"/>
    </row>
    <row r="216" ht="15.75" customHeight="1" s="349">
      <c r="A216" s="31" t="n"/>
      <c r="B216" s="307" t="n"/>
      <c r="C216" s="307" t="n"/>
      <c r="D216" s="146" t="n"/>
      <c r="E216" s="307" t="n"/>
      <c r="F216" s="307" t="n"/>
      <c r="G216" s="307" t="n"/>
      <c r="H216" s="307" t="n"/>
      <c r="I216" s="307" t="n"/>
      <c r="J216" s="307" t="n"/>
      <c r="K216" s="307" t="n"/>
      <c r="L216" s="307" t="n"/>
      <c r="M216" s="307" t="n"/>
      <c r="N216" s="307" t="n"/>
      <c r="O216" s="233" t="n"/>
      <c r="P216" s="233" t="n"/>
      <c r="Q216" s="233" t="n"/>
      <c r="R216" s="233" t="n"/>
      <c r="S216" s="233" t="n"/>
      <c r="T216" s="233" t="n"/>
      <c r="U216" s="233" t="n"/>
      <c r="V216" s="233" t="n"/>
      <c r="W216" s="233" t="n"/>
      <c r="X216" s="233" t="n"/>
      <c r="Y216" s="233" t="n"/>
      <c r="Z216" s="233" t="n"/>
      <c r="AA216" s="233" t="n"/>
      <c r="AB216" s="233" t="n"/>
      <c r="AC216" s="233" t="n"/>
      <c r="AD216" s="233" t="n"/>
      <c r="AE216" s="233" t="n"/>
      <c r="AF216" s="233" t="n"/>
      <c r="AG216" s="233" t="n"/>
      <c r="AH216" s="233" t="n"/>
      <c r="AI216" s="233" t="n"/>
      <c r="AJ216" s="233" t="n"/>
      <c r="AK216" s="233" t="n"/>
      <c r="AL216" s="233" t="n"/>
      <c r="AM216" s="233" t="n"/>
      <c r="AN216" s="233" t="n"/>
      <c r="AO216" s="233" t="n"/>
      <c r="AP216" s="233" t="n"/>
      <c r="AQ216" s="233" t="n"/>
      <c r="AR216" s="233" t="n"/>
      <c r="AS216" s="233" t="n"/>
      <c r="AT216" s="233" t="n"/>
      <c r="AU216" s="233" t="n"/>
      <c r="AV216" s="233" t="n"/>
      <c r="AW216" s="233" t="n"/>
      <c r="AX216" s="233" t="n"/>
      <c r="AY216" s="233" t="n"/>
      <c r="AZ216" s="233" t="n"/>
      <c r="BA216" s="233" t="n"/>
      <c r="BB216" s="233" t="n"/>
      <c r="BC216" s="233" t="n"/>
      <c r="BD216" s="233" t="n"/>
      <c r="BE216" s="233" t="n"/>
      <c r="BF216" s="233" t="n"/>
      <c r="BG216" s="233" t="n"/>
      <c r="BH216" s="233" t="n"/>
      <c r="BI216" s="233" t="n"/>
      <c r="BJ216" s="233" t="n"/>
      <c r="BK216" s="233" t="n"/>
      <c r="BL216" s="233" t="n"/>
      <c r="BM216" s="233" t="n"/>
    </row>
    <row r="217" ht="15.75" customHeight="1" s="349">
      <c r="A217" s="31" t="n"/>
      <c r="B217" s="307" t="n"/>
      <c r="C217" s="307" t="n"/>
      <c r="D217" s="146" t="n"/>
      <c r="E217" s="307" t="n"/>
      <c r="F217" s="307" t="n"/>
      <c r="G217" s="307" t="n"/>
      <c r="H217" s="307" t="n"/>
      <c r="I217" s="307" t="n"/>
      <c r="J217" s="307" t="n"/>
      <c r="K217" s="307" t="n"/>
      <c r="L217" s="307" t="n"/>
      <c r="M217" s="307" t="n"/>
      <c r="N217" s="307" t="n"/>
      <c r="O217" s="233" t="n"/>
      <c r="P217" s="233" t="n"/>
      <c r="Q217" s="233" t="n"/>
      <c r="R217" s="233" t="n"/>
      <c r="S217" s="233" t="n"/>
      <c r="T217" s="233" t="n"/>
      <c r="U217" s="233" t="n"/>
      <c r="V217" s="233" t="n"/>
      <c r="W217" s="233" t="n"/>
      <c r="X217" s="233" t="n"/>
      <c r="Y217" s="233" t="n"/>
      <c r="Z217" s="233" t="n"/>
      <c r="AA217" s="233" t="n"/>
      <c r="AB217" s="233" t="n"/>
      <c r="AC217" s="233" t="n"/>
      <c r="AD217" s="233" t="n"/>
      <c r="AE217" s="233" t="n"/>
      <c r="AF217" s="233" t="n"/>
      <c r="AG217" s="233" t="n"/>
      <c r="AH217" s="233" t="n"/>
      <c r="AI217" s="233" t="n"/>
      <c r="AJ217" s="233" t="n"/>
      <c r="AK217" s="233" t="n"/>
      <c r="AL217" s="233" t="n"/>
      <c r="AM217" s="233" t="n"/>
      <c r="AN217" s="233" t="n"/>
      <c r="AO217" s="233" t="n"/>
      <c r="AP217" s="233" t="n"/>
      <c r="AQ217" s="233" t="n"/>
      <c r="AR217" s="233" t="n"/>
      <c r="AS217" s="233" t="n"/>
      <c r="AT217" s="233" t="n"/>
      <c r="AU217" s="233" t="n"/>
      <c r="AV217" s="233" t="n"/>
      <c r="AW217" s="233" t="n"/>
      <c r="AX217" s="233" t="n"/>
      <c r="AY217" s="233" t="n"/>
      <c r="AZ217" s="233" t="n"/>
      <c r="BA217" s="233" t="n"/>
      <c r="BB217" s="233" t="n"/>
      <c r="BC217" s="233" t="n"/>
      <c r="BD217" s="233" t="n"/>
      <c r="BE217" s="233" t="n"/>
      <c r="BF217" s="233" t="n"/>
      <c r="BG217" s="233" t="n"/>
      <c r="BH217" s="233" t="n"/>
      <c r="BI217" s="233" t="n"/>
      <c r="BJ217" s="233" t="n"/>
      <c r="BK217" s="233" t="n"/>
      <c r="BL217" s="233" t="n"/>
      <c r="BM217" s="233" t="n"/>
    </row>
    <row r="218" ht="15.75" customHeight="1" s="349">
      <c r="A218" s="31" t="n"/>
      <c r="B218" s="307" t="n"/>
      <c r="C218" s="307" t="n"/>
      <c r="D218" s="146" t="n"/>
      <c r="E218" s="307" t="n"/>
      <c r="F218" s="307" t="n"/>
      <c r="G218" s="307" t="n"/>
      <c r="H218" s="307" t="n"/>
      <c r="I218" s="307" t="n"/>
      <c r="J218" s="307" t="n"/>
      <c r="K218" s="307" t="n"/>
      <c r="L218" s="307" t="n"/>
      <c r="M218" s="307" t="n"/>
      <c r="N218" s="307" t="n"/>
      <c r="O218" s="233" t="n"/>
      <c r="P218" s="233" t="n"/>
      <c r="Q218" s="233" t="n"/>
      <c r="R218" s="233" t="n"/>
      <c r="S218" s="233" t="n"/>
      <c r="T218" s="233" t="n"/>
      <c r="U218" s="233" t="n"/>
      <c r="V218" s="233" t="n"/>
      <c r="W218" s="233" t="n"/>
      <c r="X218" s="233" t="n"/>
      <c r="Y218" s="233" t="n"/>
      <c r="Z218" s="233" t="n"/>
      <c r="AA218" s="233" t="n"/>
      <c r="AB218" s="233" t="n"/>
      <c r="AC218" s="233" t="n"/>
      <c r="AD218" s="233" t="n"/>
      <c r="AE218" s="233" t="n"/>
      <c r="AF218" s="233" t="n"/>
      <c r="AG218" s="233" t="n"/>
      <c r="AH218" s="233" t="n"/>
      <c r="AI218" s="233" t="n"/>
      <c r="AJ218" s="233" t="n"/>
      <c r="AK218" s="233" t="n"/>
      <c r="AL218" s="233" t="n"/>
      <c r="AM218" s="233" t="n"/>
      <c r="AN218" s="233" t="n"/>
      <c r="AO218" s="233" t="n"/>
      <c r="AP218" s="233" t="n"/>
      <c r="AQ218" s="233" t="n"/>
      <c r="AR218" s="233" t="n"/>
      <c r="AS218" s="233" t="n"/>
      <c r="AT218" s="233" t="n"/>
      <c r="AU218" s="233" t="n"/>
      <c r="AV218" s="233" t="n"/>
      <c r="AW218" s="233" t="n"/>
      <c r="AX218" s="233" t="n"/>
      <c r="AY218" s="233" t="n"/>
      <c r="AZ218" s="233" t="n"/>
      <c r="BA218" s="233" t="n"/>
      <c r="BB218" s="233" t="n"/>
      <c r="BC218" s="233" t="n"/>
      <c r="BD218" s="233" t="n"/>
      <c r="BE218" s="233" t="n"/>
      <c r="BF218" s="233" t="n"/>
      <c r="BG218" s="233" t="n"/>
      <c r="BH218" s="233" t="n"/>
      <c r="BI218" s="233" t="n"/>
      <c r="BJ218" s="233" t="n"/>
      <c r="BK218" s="233" t="n"/>
      <c r="BL218" s="233" t="n"/>
      <c r="BM218" s="233" t="n"/>
    </row>
    <row r="219" ht="15.75" customHeight="1" s="349">
      <c r="A219" s="31" t="n"/>
      <c r="B219" s="307" t="n"/>
      <c r="C219" s="307" t="n"/>
      <c r="D219" s="146" t="n"/>
      <c r="E219" s="307" t="n"/>
      <c r="F219" s="307" t="n"/>
      <c r="G219" s="307" t="n"/>
      <c r="H219" s="307" t="n"/>
      <c r="I219" s="307" t="n"/>
      <c r="J219" s="307" t="n"/>
      <c r="K219" s="307" t="n"/>
      <c r="L219" s="307" t="n"/>
      <c r="M219" s="307" t="n"/>
      <c r="N219" s="307" t="n"/>
      <c r="O219" s="233" t="n"/>
      <c r="P219" s="233" t="n"/>
      <c r="Q219" s="233" t="n"/>
      <c r="R219" s="233" t="n"/>
      <c r="S219" s="233" t="n"/>
      <c r="T219" s="233" t="n"/>
      <c r="U219" s="233" t="n"/>
      <c r="V219" s="233" t="n"/>
      <c r="W219" s="233" t="n"/>
      <c r="X219" s="233" t="n"/>
      <c r="Y219" s="233" t="n"/>
      <c r="Z219" s="233" t="n"/>
      <c r="AA219" s="233" t="n"/>
      <c r="AB219" s="233" t="n"/>
      <c r="AC219" s="233" t="n"/>
      <c r="AD219" s="233" t="n"/>
      <c r="AE219" s="233" t="n"/>
      <c r="AF219" s="233" t="n"/>
      <c r="AG219" s="233" t="n"/>
      <c r="AH219" s="233" t="n"/>
      <c r="AI219" s="233" t="n"/>
      <c r="AJ219" s="233" t="n"/>
      <c r="AK219" s="233" t="n"/>
      <c r="AL219" s="233" t="n"/>
      <c r="AM219" s="233" t="n"/>
      <c r="AN219" s="233" t="n"/>
      <c r="AO219" s="233" t="n"/>
      <c r="AP219" s="233" t="n"/>
      <c r="AQ219" s="233" t="n"/>
      <c r="AR219" s="233" t="n"/>
      <c r="AS219" s="233" t="n"/>
      <c r="AT219" s="233" t="n"/>
      <c r="AU219" s="233" t="n"/>
      <c r="AV219" s="233" t="n"/>
      <c r="AW219" s="233" t="n"/>
      <c r="AX219" s="233" t="n"/>
      <c r="AY219" s="233" t="n"/>
      <c r="AZ219" s="233" t="n"/>
      <c r="BA219" s="233" t="n"/>
      <c r="BB219" s="233" t="n"/>
      <c r="BC219" s="233" t="n"/>
      <c r="BD219" s="233" t="n"/>
      <c r="BE219" s="233" t="n"/>
      <c r="BF219" s="233" t="n"/>
      <c r="BG219" s="233" t="n"/>
      <c r="BH219" s="233" t="n"/>
      <c r="BI219" s="233" t="n"/>
      <c r="BJ219" s="233" t="n"/>
      <c r="BK219" s="233" t="n"/>
      <c r="BL219" s="233" t="n"/>
      <c r="BM219" s="233" t="n"/>
    </row>
    <row r="220" ht="15.75" customHeight="1" s="349">
      <c r="A220" s="31" t="n"/>
      <c r="B220" s="307" t="n"/>
      <c r="C220" s="307" t="n"/>
      <c r="D220" s="146" t="n"/>
      <c r="E220" s="307" t="n"/>
      <c r="F220" s="307" t="n"/>
      <c r="G220" s="307" t="n"/>
      <c r="H220" s="307" t="n"/>
      <c r="I220" s="307" t="n"/>
      <c r="J220" s="307" t="n"/>
      <c r="K220" s="307" t="n"/>
      <c r="L220" s="307" t="n"/>
      <c r="M220" s="307" t="n"/>
      <c r="N220" s="307" t="n"/>
      <c r="O220" s="233" t="n"/>
      <c r="P220" s="233" t="n"/>
      <c r="Q220" s="233" t="n"/>
      <c r="R220" s="233" t="n"/>
      <c r="S220" s="233" t="n"/>
      <c r="T220" s="233" t="n"/>
      <c r="U220" s="233" t="n"/>
      <c r="V220" s="233" t="n"/>
      <c r="W220" s="233" t="n"/>
      <c r="X220" s="233" t="n"/>
      <c r="Y220" s="233" t="n"/>
      <c r="Z220" s="233" t="n"/>
      <c r="AA220" s="233" t="n"/>
      <c r="AB220" s="233" t="n"/>
      <c r="AC220" s="233" t="n"/>
      <c r="AD220" s="233" t="n"/>
      <c r="AE220" s="233" t="n"/>
      <c r="AF220" s="233" t="n"/>
      <c r="AG220" s="233" t="n"/>
      <c r="AH220" s="233" t="n"/>
      <c r="AI220" s="233" t="n"/>
      <c r="AJ220" s="233" t="n"/>
      <c r="AK220" s="233" t="n"/>
      <c r="AL220" s="233" t="n"/>
      <c r="AM220" s="233" t="n"/>
      <c r="AN220" s="233" t="n"/>
      <c r="AO220" s="233" t="n"/>
      <c r="AP220" s="233" t="n"/>
      <c r="AQ220" s="233" t="n"/>
      <c r="AR220" s="233" t="n"/>
      <c r="AS220" s="233" t="n"/>
      <c r="AT220" s="233" t="n"/>
      <c r="AU220" s="233" t="n"/>
      <c r="AV220" s="233" t="n"/>
      <c r="AW220" s="233" t="n"/>
      <c r="AX220" s="233" t="n"/>
      <c r="AY220" s="233" t="n"/>
      <c r="AZ220" s="233" t="n"/>
      <c r="BA220" s="233" t="n"/>
      <c r="BB220" s="233" t="n"/>
      <c r="BC220" s="233" t="n"/>
      <c r="BD220" s="233" t="n"/>
      <c r="BE220" s="233" t="n"/>
      <c r="BF220" s="233" t="n"/>
      <c r="BG220" s="233" t="n"/>
      <c r="BH220" s="233" t="n"/>
      <c r="BI220" s="233" t="n"/>
      <c r="BJ220" s="233" t="n"/>
      <c r="BK220" s="233" t="n"/>
      <c r="BL220" s="233" t="n"/>
      <c r="BM220" s="233" t="n"/>
    </row>
    <row r="221" ht="15.75" customHeight="1" s="349">
      <c r="A221" s="31" t="n"/>
      <c r="B221" s="307" t="n"/>
      <c r="C221" s="307" t="n"/>
      <c r="D221" s="146" t="n"/>
      <c r="E221" s="307" t="n"/>
      <c r="F221" s="307" t="n"/>
      <c r="G221" s="307" t="n"/>
      <c r="H221" s="307" t="n"/>
      <c r="I221" s="307" t="n"/>
      <c r="J221" s="307" t="n"/>
      <c r="K221" s="307" t="n"/>
      <c r="L221" s="307" t="n"/>
      <c r="M221" s="307" t="n"/>
      <c r="N221" s="307" t="n"/>
      <c r="O221" s="233" t="n"/>
      <c r="P221" s="233" t="n"/>
      <c r="Q221" s="233" t="n"/>
      <c r="R221" s="233" t="n"/>
      <c r="S221" s="233" t="n"/>
      <c r="T221" s="233" t="n"/>
      <c r="U221" s="233" t="n"/>
      <c r="V221" s="233" t="n"/>
      <c r="W221" s="233" t="n"/>
      <c r="X221" s="233" t="n"/>
      <c r="Y221" s="233" t="n"/>
      <c r="Z221" s="233" t="n"/>
      <c r="AA221" s="233" t="n"/>
      <c r="AB221" s="233" t="n"/>
      <c r="AC221" s="233" t="n"/>
      <c r="AD221" s="233" t="n"/>
      <c r="AE221" s="233" t="n"/>
      <c r="AF221" s="233" t="n"/>
      <c r="AG221" s="233" t="n"/>
      <c r="AH221" s="233" t="n"/>
      <c r="AI221" s="233" t="n"/>
      <c r="AJ221" s="233" t="n"/>
      <c r="AK221" s="233" t="n"/>
      <c r="AL221" s="233" t="n"/>
      <c r="AM221" s="233" t="n"/>
      <c r="AN221" s="233" t="n"/>
      <c r="AO221" s="233" t="n"/>
      <c r="AP221" s="233" t="n"/>
      <c r="AQ221" s="233" t="n"/>
      <c r="AR221" s="233" t="n"/>
      <c r="AS221" s="233" t="n"/>
      <c r="AT221" s="233" t="n"/>
      <c r="AU221" s="233" t="n"/>
      <c r="AV221" s="233" t="n"/>
      <c r="AW221" s="233" t="n"/>
      <c r="AX221" s="233" t="n"/>
      <c r="AY221" s="233" t="n"/>
      <c r="AZ221" s="233" t="n"/>
      <c r="BA221" s="233" t="n"/>
      <c r="BB221" s="233" t="n"/>
      <c r="BC221" s="233" t="n"/>
      <c r="BD221" s="233" t="n"/>
      <c r="BE221" s="233" t="n"/>
      <c r="BF221" s="233" t="n"/>
      <c r="BG221" s="233" t="n"/>
      <c r="BH221" s="233" t="n"/>
      <c r="BI221" s="233" t="n"/>
      <c r="BJ221" s="233" t="n"/>
      <c r="BK221" s="233" t="n"/>
      <c r="BL221" s="233" t="n"/>
      <c r="BM221" s="233" t="n"/>
    </row>
    <row r="222" ht="15.75" customHeight="1" s="349">
      <c r="A222" s="31" t="n"/>
      <c r="B222" s="307" t="n"/>
      <c r="C222" s="307" t="n"/>
      <c r="D222" s="146" t="n"/>
      <c r="E222" s="307" t="n"/>
      <c r="F222" s="307" t="n"/>
      <c r="G222" s="307" t="n"/>
      <c r="H222" s="307" t="n"/>
      <c r="I222" s="307" t="n"/>
      <c r="J222" s="307" t="n"/>
      <c r="K222" s="307" t="n"/>
      <c r="L222" s="307" t="n"/>
      <c r="M222" s="307" t="n"/>
      <c r="N222" s="307" t="n"/>
      <c r="O222" s="233" t="n"/>
      <c r="P222" s="233" t="n"/>
      <c r="Q222" s="233" t="n"/>
      <c r="R222" s="233" t="n"/>
      <c r="S222" s="233" t="n"/>
      <c r="T222" s="233" t="n"/>
      <c r="U222" s="233" t="n"/>
      <c r="V222" s="233" t="n"/>
      <c r="W222" s="233" t="n"/>
      <c r="X222" s="233" t="n"/>
      <c r="Y222" s="233" t="n"/>
      <c r="Z222" s="233" t="n"/>
      <c r="AA222" s="233" t="n"/>
      <c r="AB222" s="233" t="n"/>
      <c r="AC222" s="233" t="n"/>
      <c r="AD222" s="233" t="n"/>
      <c r="AE222" s="233" t="n"/>
      <c r="AF222" s="233" t="n"/>
      <c r="AG222" s="233" t="n"/>
      <c r="AH222" s="233" t="n"/>
      <c r="AI222" s="233" t="n"/>
      <c r="AJ222" s="233" t="n"/>
      <c r="AK222" s="233" t="n"/>
      <c r="AL222" s="233" t="n"/>
      <c r="AM222" s="233" t="n"/>
      <c r="AN222" s="233" t="n"/>
      <c r="AO222" s="233" t="n"/>
      <c r="AP222" s="233" t="n"/>
      <c r="AQ222" s="233" t="n"/>
      <c r="AR222" s="233" t="n"/>
      <c r="AS222" s="233" t="n"/>
      <c r="AT222" s="233" t="n"/>
      <c r="AU222" s="233" t="n"/>
      <c r="AV222" s="233" t="n"/>
      <c r="AW222" s="233" t="n"/>
      <c r="AX222" s="233" t="n"/>
      <c r="AY222" s="233" t="n"/>
      <c r="AZ222" s="233" t="n"/>
      <c r="BA222" s="233" t="n"/>
      <c r="BB222" s="233" t="n"/>
      <c r="BC222" s="233" t="n"/>
      <c r="BD222" s="233" t="n"/>
      <c r="BE222" s="233" t="n"/>
      <c r="BF222" s="233" t="n"/>
      <c r="BG222" s="233" t="n"/>
      <c r="BH222" s="233" t="n"/>
      <c r="BI222" s="233" t="n"/>
      <c r="BJ222" s="233" t="n"/>
      <c r="BK222" s="233" t="n"/>
      <c r="BL222" s="233" t="n"/>
      <c r="BM222" s="233" t="n"/>
    </row>
    <row r="223" ht="15.75" customHeight="1" s="349">
      <c r="A223" s="31" t="n"/>
      <c r="B223" s="307" t="n"/>
      <c r="C223" s="307" t="n"/>
      <c r="D223" s="146" t="n"/>
      <c r="E223" s="307" t="n"/>
      <c r="F223" s="307" t="n"/>
      <c r="G223" s="307" t="n"/>
      <c r="H223" s="307" t="n"/>
      <c r="I223" s="307" t="n"/>
      <c r="J223" s="307" t="n"/>
      <c r="K223" s="307" t="n"/>
      <c r="L223" s="307" t="n"/>
      <c r="M223" s="307" t="n"/>
      <c r="N223" s="307" t="n"/>
      <c r="O223" s="233" t="n"/>
      <c r="P223" s="233" t="n"/>
      <c r="Q223" s="233" t="n"/>
      <c r="R223" s="233" t="n"/>
      <c r="S223" s="233" t="n"/>
      <c r="T223" s="233" t="n"/>
      <c r="U223" s="233" t="n"/>
      <c r="V223" s="233" t="n"/>
      <c r="W223" s="233" t="n"/>
      <c r="X223" s="233" t="n"/>
      <c r="Y223" s="233" t="n"/>
      <c r="Z223" s="233" t="n"/>
      <c r="AA223" s="233" t="n"/>
      <c r="AB223" s="233" t="n"/>
      <c r="AC223" s="233" t="n"/>
      <c r="AD223" s="233" t="n"/>
      <c r="AE223" s="233" t="n"/>
      <c r="AF223" s="233" t="n"/>
      <c r="AG223" s="233" t="n"/>
      <c r="AH223" s="233" t="n"/>
      <c r="AI223" s="233" t="n"/>
      <c r="AJ223" s="233" t="n"/>
      <c r="AK223" s="233" t="n"/>
      <c r="AL223" s="233" t="n"/>
      <c r="AM223" s="233" t="n"/>
      <c r="AN223" s="233" t="n"/>
      <c r="AO223" s="233" t="n"/>
      <c r="AP223" s="233" t="n"/>
      <c r="AQ223" s="233" t="n"/>
      <c r="AR223" s="233" t="n"/>
      <c r="AS223" s="233" t="n"/>
      <c r="AT223" s="233" t="n"/>
      <c r="AU223" s="233" t="n"/>
      <c r="AV223" s="233" t="n"/>
      <c r="AW223" s="233" t="n"/>
      <c r="AX223" s="233" t="n"/>
      <c r="AY223" s="233" t="n"/>
      <c r="AZ223" s="233" t="n"/>
      <c r="BA223" s="233" t="n"/>
      <c r="BB223" s="233" t="n"/>
      <c r="BC223" s="233" t="n"/>
      <c r="BD223" s="233" t="n"/>
      <c r="BE223" s="233" t="n"/>
      <c r="BF223" s="233" t="n"/>
      <c r="BG223" s="233" t="n"/>
      <c r="BH223" s="233" t="n"/>
      <c r="BI223" s="233" t="n"/>
      <c r="BJ223" s="233" t="n"/>
      <c r="BK223" s="233" t="n"/>
      <c r="BL223" s="233" t="n"/>
      <c r="BM223" s="233" t="n"/>
    </row>
    <row r="224" ht="15.75" customHeight="1" s="349">
      <c r="A224" s="31" t="n"/>
      <c r="B224" s="307" t="n"/>
      <c r="C224" s="307" t="n"/>
      <c r="D224" s="146" t="n"/>
      <c r="E224" s="307" t="n"/>
      <c r="F224" s="307" t="n"/>
      <c r="G224" s="307" t="n"/>
      <c r="H224" s="307" t="n"/>
      <c r="I224" s="307" t="n"/>
      <c r="J224" s="307" t="n"/>
      <c r="K224" s="307" t="n"/>
      <c r="L224" s="307" t="n"/>
      <c r="M224" s="307" t="n"/>
      <c r="N224" s="307" t="n"/>
      <c r="O224" s="233" t="n"/>
      <c r="P224" s="233" t="n"/>
      <c r="Q224" s="233" t="n"/>
      <c r="R224" s="233" t="n"/>
      <c r="S224" s="233" t="n"/>
      <c r="T224" s="233" t="n"/>
      <c r="U224" s="233" t="n"/>
      <c r="V224" s="233" t="n"/>
      <c r="W224" s="233" t="n"/>
      <c r="X224" s="233" t="n"/>
      <c r="Y224" s="233" t="n"/>
      <c r="Z224" s="233" t="n"/>
      <c r="AA224" s="233" t="n"/>
      <c r="AB224" s="233" t="n"/>
      <c r="AC224" s="233" t="n"/>
      <c r="AD224" s="233" t="n"/>
      <c r="AE224" s="233" t="n"/>
      <c r="AF224" s="233" t="n"/>
      <c r="AG224" s="233" t="n"/>
      <c r="AH224" s="233" t="n"/>
      <c r="AI224" s="233" t="n"/>
      <c r="AJ224" s="233" t="n"/>
      <c r="AK224" s="233" t="n"/>
      <c r="AL224" s="233" t="n"/>
      <c r="AM224" s="233" t="n"/>
      <c r="AN224" s="233" t="n"/>
      <c r="AO224" s="233" t="n"/>
      <c r="AP224" s="233" t="n"/>
      <c r="AQ224" s="233" t="n"/>
      <c r="AR224" s="233" t="n"/>
      <c r="AS224" s="233" t="n"/>
      <c r="AT224" s="233" t="n"/>
      <c r="AU224" s="233" t="n"/>
      <c r="AV224" s="233" t="n"/>
      <c r="AW224" s="233" t="n"/>
      <c r="AX224" s="233" t="n"/>
      <c r="AY224" s="233" t="n"/>
      <c r="AZ224" s="233" t="n"/>
      <c r="BA224" s="233" t="n"/>
      <c r="BB224" s="233" t="n"/>
      <c r="BC224" s="233" t="n"/>
      <c r="BD224" s="233" t="n"/>
      <c r="BE224" s="233" t="n"/>
      <c r="BF224" s="233" t="n"/>
      <c r="BG224" s="233" t="n"/>
      <c r="BH224" s="233" t="n"/>
      <c r="BI224" s="233" t="n"/>
      <c r="BJ224" s="233" t="n"/>
      <c r="BK224" s="233" t="n"/>
      <c r="BL224" s="233" t="n"/>
      <c r="BM224" s="233" t="n"/>
    </row>
    <row r="225" ht="15.75" customHeight="1" s="349">
      <c r="A225" s="31" t="n"/>
      <c r="B225" s="307" t="n"/>
      <c r="C225" s="307" t="n"/>
      <c r="D225" s="146" t="n"/>
      <c r="E225" s="307" t="n"/>
      <c r="F225" s="307" t="n"/>
      <c r="G225" s="307" t="n"/>
      <c r="H225" s="307" t="n"/>
      <c r="I225" s="307" t="n"/>
      <c r="J225" s="307" t="n"/>
      <c r="K225" s="307" t="n"/>
      <c r="L225" s="307" t="n"/>
      <c r="M225" s="307" t="n"/>
      <c r="N225" s="307" t="n"/>
      <c r="O225" s="233" t="n"/>
      <c r="P225" s="233" t="n"/>
      <c r="Q225" s="233" t="n"/>
      <c r="R225" s="233" t="n"/>
      <c r="S225" s="233" t="n"/>
      <c r="T225" s="233" t="n"/>
      <c r="U225" s="233" t="n"/>
      <c r="V225" s="233" t="n"/>
      <c r="W225" s="233" t="n"/>
      <c r="X225" s="233" t="n"/>
      <c r="Y225" s="233" t="n"/>
      <c r="Z225" s="233" t="n"/>
      <c r="AA225" s="233" t="n"/>
      <c r="AB225" s="233" t="n"/>
      <c r="AC225" s="233" t="n"/>
      <c r="AD225" s="233" t="n"/>
      <c r="AE225" s="233" t="n"/>
      <c r="AF225" s="233" t="n"/>
      <c r="AG225" s="233" t="n"/>
      <c r="AH225" s="233" t="n"/>
      <c r="AI225" s="233" t="n"/>
      <c r="AJ225" s="233" t="n"/>
      <c r="AK225" s="233" t="n"/>
      <c r="AL225" s="233" t="n"/>
      <c r="AM225" s="233" t="n"/>
      <c r="AN225" s="233" t="n"/>
      <c r="AO225" s="233" t="n"/>
      <c r="AP225" s="233" t="n"/>
      <c r="AQ225" s="233" t="n"/>
      <c r="AR225" s="233" t="n"/>
      <c r="AS225" s="233" t="n"/>
      <c r="AT225" s="233" t="n"/>
      <c r="AU225" s="233" t="n"/>
      <c r="AV225" s="233" t="n"/>
      <c r="AW225" s="233" t="n"/>
      <c r="AX225" s="233" t="n"/>
      <c r="AY225" s="233" t="n"/>
      <c r="AZ225" s="233" t="n"/>
      <c r="BA225" s="233" t="n"/>
      <c r="BB225" s="233" t="n"/>
      <c r="BC225" s="233" t="n"/>
      <c r="BD225" s="233" t="n"/>
      <c r="BE225" s="233" t="n"/>
      <c r="BF225" s="233" t="n"/>
      <c r="BG225" s="233" t="n"/>
      <c r="BH225" s="233" t="n"/>
      <c r="BI225" s="233" t="n"/>
      <c r="BJ225" s="233" t="n"/>
      <c r="BK225" s="233" t="n"/>
      <c r="BL225" s="233" t="n"/>
      <c r="BM225" s="233" t="n"/>
    </row>
    <row r="226" ht="15.75" customHeight="1" s="349">
      <c r="A226" s="31" t="n"/>
      <c r="B226" s="307" t="n"/>
      <c r="C226" s="307" t="n"/>
      <c r="D226" s="146" t="n"/>
      <c r="E226" s="307" t="n"/>
      <c r="F226" s="307" t="n"/>
      <c r="G226" s="307" t="n"/>
      <c r="H226" s="307" t="n"/>
      <c r="I226" s="307" t="n"/>
      <c r="J226" s="307" t="n"/>
      <c r="K226" s="307" t="n"/>
      <c r="L226" s="307" t="n"/>
      <c r="M226" s="307" t="n"/>
      <c r="N226" s="307" t="n"/>
      <c r="O226" s="233" t="n"/>
      <c r="P226" s="233" t="n"/>
      <c r="Q226" s="233" t="n"/>
      <c r="R226" s="233" t="n"/>
      <c r="S226" s="233" t="n"/>
      <c r="T226" s="233" t="n"/>
      <c r="U226" s="233" t="n"/>
      <c r="V226" s="233" t="n"/>
      <c r="W226" s="233" t="n"/>
      <c r="X226" s="233" t="n"/>
      <c r="Y226" s="233" t="n"/>
      <c r="Z226" s="233" t="n"/>
      <c r="AA226" s="233" t="n"/>
      <c r="AB226" s="233" t="n"/>
      <c r="AC226" s="233" t="n"/>
      <c r="AD226" s="233" t="n"/>
      <c r="AE226" s="233" t="n"/>
      <c r="AF226" s="233" t="n"/>
      <c r="AG226" s="233" t="n"/>
      <c r="AH226" s="233" t="n"/>
      <c r="AI226" s="233" t="n"/>
      <c r="AJ226" s="233" t="n"/>
      <c r="AK226" s="233" t="n"/>
      <c r="AL226" s="233" t="n"/>
      <c r="AM226" s="233" t="n"/>
      <c r="AN226" s="233" t="n"/>
      <c r="AO226" s="233" t="n"/>
      <c r="AP226" s="233" t="n"/>
      <c r="AQ226" s="233" t="n"/>
      <c r="AR226" s="233" t="n"/>
      <c r="AS226" s="233" t="n"/>
      <c r="AT226" s="233" t="n"/>
      <c r="AU226" s="233" t="n"/>
      <c r="AV226" s="233" t="n"/>
      <c r="AW226" s="233" t="n"/>
      <c r="AX226" s="233" t="n"/>
      <c r="AY226" s="233" t="n"/>
      <c r="AZ226" s="233" t="n"/>
      <c r="BA226" s="233" t="n"/>
      <c r="BB226" s="233" t="n"/>
      <c r="BC226" s="233" t="n"/>
      <c r="BD226" s="233" t="n"/>
      <c r="BE226" s="233" t="n"/>
      <c r="BF226" s="233" t="n"/>
      <c r="BG226" s="233" t="n"/>
      <c r="BH226" s="233" t="n"/>
      <c r="BI226" s="233" t="n"/>
      <c r="BJ226" s="233" t="n"/>
      <c r="BK226" s="233" t="n"/>
      <c r="BL226" s="233" t="n"/>
      <c r="BM226" s="233" t="n"/>
    </row>
    <row r="227" ht="15.75" customHeight="1" s="349">
      <c r="A227" s="31" t="n"/>
      <c r="B227" s="307" t="n"/>
      <c r="C227" s="307" t="n"/>
      <c r="D227" s="146" t="n"/>
      <c r="E227" s="307" t="n"/>
      <c r="F227" s="307" t="n"/>
      <c r="G227" s="307" t="n"/>
      <c r="H227" s="307" t="n"/>
      <c r="I227" s="307" t="n"/>
      <c r="J227" s="307" t="n"/>
      <c r="K227" s="307" t="n"/>
      <c r="L227" s="307" t="n"/>
      <c r="M227" s="307" t="n"/>
      <c r="N227" s="307" t="n"/>
      <c r="O227" s="233" t="n"/>
      <c r="P227" s="233" t="n"/>
      <c r="Q227" s="233" t="n"/>
      <c r="R227" s="233" t="n"/>
      <c r="S227" s="233" t="n"/>
      <c r="T227" s="233" t="n"/>
      <c r="U227" s="233" t="n"/>
      <c r="V227" s="233" t="n"/>
      <c r="W227" s="233" t="n"/>
      <c r="X227" s="233" t="n"/>
      <c r="Y227" s="233" t="n"/>
      <c r="Z227" s="233" t="n"/>
      <c r="AA227" s="233" t="n"/>
      <c r="AB227" s="233" t="n"/>
      <c r="AC227" s="233" t="n"/>
      <c r="AD227" s="233" t="n"/>
      <c r="AE227" s="233" t="n"/>
      <c r="AF227" s="233" t="n"/>
      <c r="AG227" s="233" t="n"/>
      <c r="AH227" s="233" t="n"/>
      <c r="AI227" s="233" t="n"/>
      <c r="AJ227" s="233" t="n"/>
      <c r="AK227" s="233" t="n"/>
      <c r="AL227" s="233" t="n"/>
      <c r="AM227" s="233" t="n"/>
      <c r="AN227" s="233" t="n"/>
      <c r="AO227" s="233" t="n"/>
      <c r="AP227" s="233" t="n"/>
      <c r="AQ227" s="233" t="n"/>
      <c r="AR227" s="233" t="n"/>
      <c r="AS227" s="233" t="n"/>
      <c r="AT227" s="233" t="n"/>
      <c r="AU227" s="233" t="n"/>
      <c r="AV227" s="233" t="n"/>
      <c r="AW227" s="233" t="n"/>
      <c r="AX227" s="233" t="n"/>
      <c r="AY227" s="233" t="n"/>
      <c r="AZ227" s="233" t="n"/>
      <c r="BA227" s="233" t="n"/>
      <c r="BB227" s="233" t="n"/>
      <c r="BC227" s="233" t="n"/>
      <c r="BD227" s="233" t="n"/>
      <c r="BE227" s="233" t="n"/>
      <c r="BF227" s="233" t="n"/>
      <c r="BG227" s="233" t="n"/>
      <c r="BH227" s="233" t="n"/>
      <c r="BI227" s="233" t="n"/>
      <c r="BJ227" s="233" t="n"/>
      <c r="BK227" s="233" t="n"/>
      <c r="BL227" s="233" t="n"/>
      <c r="BM227" s="233" t="n"/>
    </row>
    <row r="228" ht="15.75" customHeight="1" s="349">
      <c r="A228" s="31" t="n"/>
      <c r="B228" s="307" t="n"/>
      <c r="C228" s="307" t="n"/>
      <c r="D228" s="146" t="n"/>
      <c r="E228" s="307" t="n"/>
      <c r="F228" s="307" t="n"/>
      <c r="G228" s="307" t="n"/>
      <c r="H228" s="307" t="n"/>
      <c r="I228" s="307" t="n"/>
      <c r="J228" s="307" t="n"/>
      <c r="K228" s="307" t="n"/>
      <c r="L228" s="307" t="n"/>
      <c r="M228" s="307" t="n"/>
      <c r="N228" s="307" t="n"/>
      <c r="O228" s="233" t="n"/>
      <c r="P228" s="233" t="n"/>
      <c r="Q228" s="233" t="n"/>
      <c r="R228" s="233" t="n"/>
      <c r="S228" s="233" t="n"/>
      <c r="T228" s="233" t="n"/>
      <c r="U228" s="233" t="n"/>
      <c r="V228" s="233" t="n"/>
      <c r="W228" s="233" t="n"/>
      <c r="X228" s="233" t="n"/>
      <c r="Y228" s="233" t="n"/>
      <c r="Z228" s="233" t="n"/>
      <c r="AA228" s="233" t="n"/>
      <c r="AB228" s="233" t="n"/>
      <c r="AC228" s="233" t="n"/>
      <c r="AD228" s="233" t="n"/>
      <c r="AE228" s="233" t="n"/>
      <c r="AF228" s="233" t="n"/>
      <c r="AG228" s="233" t="n"/>
      <c r="AH228" s="233" t="n"/>
      <c r="AI228" s="233" t="n"/>
      <c r="AJ228" s="233" t="n"/>
      <c r="AK228" s="233" t="n"/>
      <c r="AL228" s="233" t="n"/>
      <c r="AM228" s="233" t="n"/>
      <c r="AN228" s="233" t="n"/>
      <c r="AO228" s="233" t="n"/>
      <c r="AP228" s="233" t="n"/>
      <c r="AQ228" s="233" t="n"/>
      <c r="AR228" s="233" t="n"/>
      <c r="AS228" s="233" t="n"/>
      <c r="AT228" s="233" t="n"/>
      <c r="AU228" s="233" t="n"/>
      <c r="AV228" s="233" t="n"/>
      <c r="AW228" s="233" t="n"/>
      <c r="AX228" s="233" t="n"/>
      <c r="AY228" s="233" t="n"/>
      <c r="AZ228" s="233" t="n"/>
      <c r="BA228" s="233" t="n"/>
      <c r="BB228" s="233" t="n"/>
      <c r="BC228" s="233" t="n"/>
      <c r="BD228" s="233" t="n"/>
      <c r="BE228" s="233" t="n"/>
      <c r="BF228" s="233" t="n"/>
      <c r="BG228" s="233" t="n"/>
      <c r="BH228" s="233" t="n"/>
      <c r="BI228" s="233" t="n"/>
      <c r="BJ228" s="233" t="n"/>
      <c r="BK228" s="233" t="n"/>
      <c r="BL228" s="233" t="n"/>
      <c r="BM228" s="233" t="n"/>
    </row>
    <row r="229" ht="15.75" customHeight="1" s="349">
      <c r="A229" s="31" t="n"/>
      <c r="B229" s="307" t="n"/>
      <c r="C229" s="307" t="n"/>
      <c r="D229" s="146" t="n"/>
      <c r="E229" s="307" t="n"/>
      <c r="F229" s="307" t="n"/>
      <c r="G229" s="307" t="n"/>
      <c r="H229" s="307" t="n"/>
      <c r="I229" s="307" t="n"/>
      <c r="J229" s="307" t="n"/>
      <c r="K229" s="307" t="n"/>
      <c r="L229" s="307" t="n"/>
      <c r="M229" s="307" t="n"/>
      <c r="N229" s="307" t="n"/>
      <c r="O229" s="233" t="n"/>
      <c r="P229" s="233" t="n"/>
      <c r="Q229" s="233" t="n"/>
      <c r="R229" s="233" t="n"/>
      <c r="S229" s="233" t="n"/>
      <c r="T229" s="233" t="n"/>
      <c r="U229" s="233" t="n"/>
      <c r="V229" s="233" t="n"/>
      <c r="W229" s="233" t="n"/>
      <c r="X229" s="233" t="n"/>
      <c r="Y229" s="233" t="n"/>
      <c r="Z229" s="233" t="n"/>
      <c r="AA229" s="233" t="n"/>
      <c r="AB229" s="233" t="n"/>
      <c r="AC229" s="233" t="n"/>
      <c r="AD229" s="233" t="n"/>
      <c r="AE229" s="233" t="n"/>
      <c r="AF229" s="233" t="n"/>
      <c r="AG229" s="233" t="n"/>
      <c r="AH229" s="233" t="n"/>
      <c r="AI229" s="233" t="n"/>
      <c r="AJ229" s="233" t="n"/>
      <c r="AK229" s="233" t="n"/>
      <c r="AL229" s="233" t="n"/>
      <c r="AM229" s="233" t="n"/>
      <c r="AN229" s="233" t="n"/>
      <c r="AO229" s="233" t="n"/>
      <c r="AP229" s="233" t="n"/>
      <c r="AQ229" s="233" t="n"/>
      <c r="AR229" s="233" t="n"/>
      <c r="AS229" s="233" t="n"/>
      <c r="AT229" s="233" t="n"/>
      <c r="AU229" s="233" t="n"/>
      <c r="AV229" s="233" t="n"/>
      <c r="AW229" s="233" t="n"/>
      <c r="AX229" s="233" t="n"/>
      <c r="AY229" s="233" t="n"/>
      <c r="AZ229" s="233" t="n"/>
      <c r="BA229" s="233" t="n"/>
      <c r="BB229" s="233" t="n"/>
      <c r="BC229" s="233" t="n"/>
      <c r="BD229" s="233" t="n"/>
      <c r="BE229" s="233" t="n"/>
      <c r="BF229" s="233" t="n"/>
      <c r="BG229" s="233" t="n"/>
      <c r="BH229" s="233" t="n"/>
      <c r="BI229" s="233" t="n"/>
      <c r="BJ229" s="233" t="n"/>
      <c r="BK229" s="233" t="n"/>
      <c r="BL229" s="233" t="n"/>
      <c r="BM229" s="233" t="n"/>
    </row>
    <row r="230" ht="15.75" customHeight="1" s="349">
      <c r="A230" s="31" t="n"/>
      <c r="B230" s="307" t="n"/>
      <c r="C230" s="307" t="n"/>
      <c r="D230" s="146" t="n"/>
      <c r="E230" s="307" t="n"/>
      <c r="F230" s="307" t="n"/>
      <c r="G230" s="307" t="n"/>
      <c r="H230" s="307" t="n"/>
      <c r="I230" s="307" t="n"/>
      <c r="J230" s="307" t="n"/>
      <c r="K230" s="307" t="n"/>
      <c r="L230" s="307" t="n"/>
      <c r="M230" s="307" t="n"/>
      <c r="N230" s="307" t="n"/>
      <c r="O230" s="233" t="n"/>
      <c r="P230" s="233" t="n"/>
      <c r="Q230" s="233" t="n"/>
      <c r="R230" s="233" t="n"/>
      <c r="S230" s="233" t="n"/>
      <c r="T230" s="233" t="n"/>
      <c r="U230" s="233" t="n"/>
      <c r="V230" s="233" t="n"/>
      <c r="W230" s="233" t="n"/>
      <c r="X230" s="233" t="n"/>
      <c r="Y230" s="233" t="n"/>
      <c r="Z230" s="233" t="n"/>
      <c r="AA230" s="233" t="n"/>
      <c r="AB230" s="233" t="n"/>
      <c r="AC230" s="233" t="n"/>
      <c r="AD230" s="233" t="n"/>
      <c r="AE230" s="233" t="n"/>
      <c r="AF230" s="233" t="n"/>
      <c r="AG230" s="233" t="n"/>
      <c r="AH230" s="233" t="n"/>
      <c r="AI230" s="233" t="n"/>
      <c r="AJ230" s="233" t="n"/>
      <c r="AK230" s="233" t="n"/>
      <c r="AL230" s="233" t="n"/>
      <c r="AM230" s="233" t="n"/>
      <c r="AN230" s="233" t="n"/>
      <c r="AO230" s="233" t="n"/>
      <c r="AP230" s="233" t="n"/>
      <c r="AQ230" s="233" t="n"/>
      <c r="AR230" s="233" t="n"/>
      <c r="AS230" s="233" t="n"/>
      <c r="AT230" s="233" t="n"/>
      <c r="AU230" s="233" t="n"/>
      <c r="AV230" s="233" t="n"/>
      <c r="AW230" s="233" t="n"/>
      <c r="AX230" s="233" t="n"/>
      <c r="AY230" s="233" t="n"/>
      <c r="AZ230" s="233" t="n"/>
      <c r="BA230" s="233" t="n"/>
      <c r="BB230" s="233" t="n"/>
      <c r="BC230" s="233" t="n"/>
      <c r="BD230" s="233" t="n"/>
      <c r="BE230" s="233" t="n"/>
      <c r="BF230" s="233" t="n"/>
      <c r="BG230" s="233" t="n"/>
      <c r="BH230" s="233" t="n"/>
      <c r="BI230" s="233" t="n"/>
      <c r="BJ230" s="233" t="n"/>
      <c r="BK230" s="233" t="n"/>
      <c r="BL230" s="233" t="n"/>
      <c r="BM230" s="233" t="n"/>
    </row>
    <row r="231" ht="15.75" customHeight="1" s="349">
      <c r="A231" s="31" t="n"/>
      <c r="B231" s="307" t="n"/>
      <c r="C231" s="307" t="n"/>
      <c r="D231" s="146" t="n"/>
      <c r="E231" s="307" t="n"/>
      <c r="F231" s="307" t="n"/>
      <c r="G231" s="307" t="n"/>
      <c r="H231" s="307" t="n"/>
      <c r="I231" s="307" t="n"/>
      <c r="J231" s="307" t="n"/>
      <c r="K231" s="307" t="n"/>
      <c r="L231" s="307" t="n"/>
      <c r="M231" s="307" t="n"/>
      <c r="N231" s="307" t="n"/>
      <c r="O231" s="233" t="n"/>
      <c r="P231" s="233" t="n"/>
      <c r="Q231" s="233" t="n"/>
      <c r="R231" s="233" t="n"/>
      <c r="S231" s="233" t="n"/>
      <c r="T231" s="233" t="n"/>
      <c r="U231" s="233" t="n"/>
      <c r="V231" s="233" t="n"/>
      <c r="W231" s="233" t="n"/>
      <c r="X231" s="233" t="n"/>
      <c r="Y231" s="233" t="n"/>
      <c r="Z231" s="233" t="n"/>
      <c r="AA231" s="233" t="n"/>
      <c r="AB231" s="233" t="n"/>
      <c r="AC231" s="233" t="n"/>
      <c r="AD231" s="233" t="n"/>
      <c r="AE231" s="233" t="n"/>
      <c r="AF231" s="233" t="n"/>
      <c r="AG231" s="233" t="n"/>
      <c r="AH231" s="233" t="n"/>
      <c r="AI231" s="233" t="n"/>
      <c r="AJ231" s="233" t="n"/>
      <c r="AK231" s="233" t="n"/>
      <c r="AL231" s="233" t="n"/>
      <c r="AM231" s="233" t="n"/>
      <c r="AN231" s="233" t="n"/>
      <c r="AO231" s="233" t="n"/>
      <c r="AP231" s="233" t="n"/>
      <c r="AQ231" s="233" t="n"/>
      <c r="AR231" s="233" t="n"/>
      <c r="AS231" s="233" t="n"/>
      <c r="AT231" s="233" t="n"/>
      <c r="AU231" s="233" t="n"/>
      <c r="AV231" s="233" t="n"/>
      <c r="AW231" s="233" t="n"/>
      <c r="AX231" s="233" t="n"/>
      <c r="AY231" s="233" t="n"/>
      <c r="AZ231" s="233" t="n"/>
      <c r="BA231" s="233" t="n"/>
      <c r="BB231" s="233" t="n"/>
      <c r="BC231" s="233" t="n"/>
      <c r="BD231" s="233" t="n"/>
      <c r="BE231" s="233" t="n"/>
      <c r="BF231" s="233" t="n"/>
      <c r="BG231" s="233" t="n"/>
      <c r="BH231" s="233" t="n"/>
      <c r="BI231" s="233" t="n"/>
      <c r="BJ231" s="233" t="n"/>
      <c r="BK231" s="233" t="n"/>
      <c r="BL231" s="233" t="n"/>
      <c r="BM231" s="233" t="n"/>
    </row>
    <row r="232" ht="15.75" customHeight="1" s="349">
      <c r="A232" s="31" t="n"/>
      <c r="B232" s="307" t="n"/>
      <c r="C232" s="307" t="n"/>
      <c r="D232" s="146" t="n"/>
      <c r="E232" s="307" t="n"/>
      <c r="F232" s="307" t="n"/>
      <c r="G232" s="307" t="n"/>
      <c r="H232" s="307" t="n"/>
      <c r="I232" s="307" t="n"/>
      <c r="J232" s="307" t="n"/>
      <c r="K232" s="307" t="n"/>
      <c r="L232" s="307" t="n"/>
      <c r="M232" s="307" t="n"/>
      <c r="N232" s="307" t="n"/>
      <c r="O232" s="233" t="n"/>
      <c r="P232" s="233" t="n"/>
      <c r="Q232" s="233" t="n"/>
      <c r="R232" s="233" t="n"/>
      <c r="S232" s="233" t="n"/>
      <c r="T232" s="233" t="n"/>
      <c r="U232" s="233" t="n"/>
      <c r="V232" s="233" t="n"/>
      <c r="W232" s="233" t="n"/>
      <c r="X232" s="233" t="n"/>
      <c r="Y232" s="233" t="n"/>
      <c r="Z232" s="233" t="n"/>
      <c r="AA232" s="233" t="n"/>
      <c r="AB232" s="233" t="n"/>
      <c r="AC232" s="233" t="n"/>
      <c r="AD232" s="233" t="n"/>
      <c r="AE232" s="233" t="n"/>
      <c r="AF232" s="233" t="n"/>
      <c r="AG232" s="233" t="n"/>
      <c r="AH232" s="233" t="n"/>
      <c r="AI232" s="233" t="n"/>
      <c r="AJ232" s="233" t="n"/>
      <c r="AK232" s="233" t="n"/>
      <c r="AL232" s="233" t="n"/>
      <c r="AM232" s="233" t="n"/>
      <c r="AN232" s="233" t="n"/>
      <c r="AO232" s="233" t="n"/>
      <c r="AP232" s="233" t="n"/>
      <c r="AQ232" s="233" t="n"/>
      <c r="AR232" s="233" t="n"/>
      <c r="AS232" s="233" t="n"/>
      <c r="AT232" s="233" t="n"/>
      <c r="AU232" s="233" t="n"/>
      <c r="AV232" s="233" t="n"/>
      <c r="AW232" s="233" t="n"/>
      <c r="AX232" s="233" t="n"/>
      <c r="AY232" s="233" t="n"/>
      <c r="AZ232" s="233" t="n"/>
      <c r="BA232" s="233" t="n"/>
      <c r="BB232" s="233" t="n"/>
      <c r="BC232" s="233" t="n"/>
      <c r="BD232" s="233" t="n"/>
      <c r="BE232" s="233" t="n"/>
      <c r="BF232" s="233" t="n"/>
      <c r="BG232" s="233" t="n"/>
      <c r="BH232" s="233" t="n"/>
      <c r="BI232" s="233" t="n"/>
      <c r="BJ232" s="233" t="n"/>
      <c r="BK232" s="233" t="n"/>
      <c r="BL232" s="233" t="n"/>
      <c r="BM232" s="233" t="n"/>
    </row>
    <row r="233" ht="15.75" customHeight="1" s="349">
      <c r="A233" s="31" t="n"/>
      <c r="B233" s="307" t="n"/>
      <c r="C233" s="307" t="n"/>
      <c r="D233" s="146" t="n"/>
      <c r="E233" s="307" t="n"/>
      <c r="F233" s="307" t="n"/>
      <c r="G233" s="307" t="n"/>
      <c r="H233" s="307" t="n"/>
      <c r="I233" s="307" t="n"/>
      <c r="J233" s="307" t="n"/>
      <c r="K233" s="307" t="n"/>
      <c r="L233" s="307" t="n"/>
      <c r="M233" s="307" t="n"/>
      <c r="N233" s="307" t="n"/>
      <c r="O233" s="233" t="n"/>
      <c r="P233" s="233" t="n"/>
      <c r="Q233" s="233" t="n"/>
      <c r="R233" s="233" t="n"/>
      <c r="S233" s="233" t="n"/>
      <c r="T233" s="233" t="n"/>
      <c r="U233" s="233" t="n"/>
      <c r="V233" s="233" t="n"/>
      <c r="W233" s="233" t="n"/>
      <c r="X233" s="233" t="n"/>
      <c r="Y233" s="233" t="n"/>
      <c r="Z233" s="233" t="n"/>
      <c r="AA233" s="233" t="n"/>
      <c r="AB233" s="233" t="n"/>
      <c r="AC233" s="233" t="n"/>
      <c r="AD233" s="233" t="n"/>
      <c r="AE233" s="233" t="n"/>
      <c r="AF233" s="233" t="n"/>
      <c r="AG233" s="233" t="n"/>
      <c r="AH233" s="233" t="n"/>
      <c r="AI233" s="233" t="n"/>
      <c r="AJ233" s="233" t="n"/>
      <c r="AK233" s="233" t="n"/>
      <c r="AL233" s="233" t="n"/>
      <c r="AM233" s="233" t="n"/>
      <c r="AN233" s="233" t="n"/>
      <c r="AO233" s="233" t="n"/>
      <c r="AP233" s="233" t="n"/>
      <c r="AQ233" s="233" t="n"/>
      <c r="AR233" s="233" t="n"/>
      <c r="AS233" s="233" t="n"/>
      <c r="AT233" s="233" t="n"/>
      <c r="AU233" s="233" t="n"/>
      <c r="AV233" s="233" t="n"/>
      <c r="AW233" s="233" t="n"/>
      <c r="AX233" s="233" t="n"/>
      <c r="AY233" s="233" t="n"/>
      <c r="AZ233" s="233" t="n"/>
      <c r="BA233" s="233" t="n"/>
      <c r="BB233" s="233" t="n"/>
      <c r="BC233" s="233" t="n"/>
      <c r="BD233" s="233" t="n"/>
      <c r="BE233" s="233" t="n"/>
      <c r="BF233" s="233" t="n"/>
      <c r="BG233" s="233" t="n"/>
      <c r="BH233" s="233" t="n"/>
      <c r="BI233" s="233" t="n"/>
      <c r="BJ233" s="233" t="n"/>
      <c r="BK233" s="233" t="n"/>
      <c r="BL233" s="233" t="n"/>
      <c r="BM233" s="233" t="n"/>
    </row>
    <row r="234" ht="15.75" customHeight="1" s="349">
      <c r="A234" s="31" t="n"/>
      <c r="B234" s="307" t="n"/>
      <c r="C234" s="307" t="n"/>
      <c r="D234" s="146" t="n"/>
      <c r="E234" s="307" t="n"/>
      <c r="F234" s="307" t="n"/>
      <c r="G234" s="307" t="n"/>
      <c r="H234" s="307" t="n"/>
      <c r="I234" s="307" t="n"/>
      <c r="J234" s="307" t="n"/>
      <c r="K234" s="307" t="n"/>
      <c r="L234" s="307" t="n"/>
      <c r="M234" s="307" t="n"/>
      <c r="N234" s="307" t="n"/>
      <c r="O234" s="233" t="n"/>
      <c r="P234" s="233" t="n"/>
      <c r="Q234" s="233" t="n"/>
      <c r="R234" s="233" t="n"/>
      <c r="S234" s="233" t="n"/>
      <c r="T234" s="233" t="n"/>
      <c r="U234" s="233" t="n"/>
      <c r="V234" s="233" t="n"/>
      <c r="W234" s="233" t="n"/>
      <c r="X234" s="233" t="n"/>
      <c r="Y234" s="233" t="n"/>
      <c r="Z234" s="233" t="n"/>
      <c r="AA234" s="233" t="n"/>
      <c r="AB234" s="233" t="n"/>
      <c r="AC234" s="233" t="n"/>
      <c r="AD234" s="233" t="n"/>
      <c r="AE234" s="233" t="n"/>
      <c r="AF234" s="233" t="n"/>
      <c r="AG234" s="233" t="n"/>
      <c r="AH234" s="233" t="n"/>
      <c r="AI234" s="233" t="n"/>
      <c r="AJ234" s="233" t="n"/>
      <c r="AK234" s="233" t="n"/>
      <c r="AL234" s="233" t="n"/>
      <c r="AM234" s="233" t="n"/>
      <c r="AN234" s="233" t="n"/>
      <c r="AO234" s="233" t="n"/>
      <c r="AP234" s="233" t="n"/>
      <c r="AQ234" s="233" t="n"/>
      <c r="AR234" s="233" t="n"/>
      <c r="AS234" s="233" t="n"/>
      <c r="AT234" s="233" t="n"/>
      <c r="AU234" s="233" t="n"/>
      <c r="AV234" s="233" t="n"/>
      <c r="AW234" s="233" t="n"/>
      <c r="AX234" s="233" t="n"/>
      <c r="AY234" s="233" t="n"/>
      <c r="AZ234" s="233" t="n"/>
      <c r="BA234" s="233" t="n"/>
      <c r="BB234" s="233" t="n"/>
      <c r="BC234" s="233" t="n"/>
      <c r="BD234" s="233" t="n"/>
      <c r="BE234" s="233" t="n"/>
      <c r="BF234" s="233" t="n"/>
      <c r="BG234" s="233" t="n"/>
      <c r="BH234" s="233" t="n"/>
      <c r="BI234" s="233" t="n"/>
      <c r="BJ234" s="233" t="n"/>
      <c r="BK234" s="233" t="n"/>
      <c r="BL234" s="233" t="n"/>
      <c r="BM234" s="233" t="n"/>
    </row>
    <row r="235" ht="15.75" customHeight="1" s="349">
      <c r="A235" s="31" t="n"/>
      <c r="B235" s="307" t="n"/>
      <c r="C235" s="307" t="n"/>
      <c r="D235" s="146" t="n"/>
      <c r="E235" s="307" t="n"/>
      <c r="F235" s="307" t="n"/>
      <c r="G235" s="307" t="n"/>
      <c r="H235" s="307" t="n"/>
      <c r="I235" s="307" t="n"/>
      <c r="J235" s="307" t="n"/>
      <c r="K235" s="307" t="n"/>
      <c r="L235" s="307" t="n"/>
      <c r="M235" s="307" t="n"/>
      <c r="N235" s="307" t="n"/>
      <c r="O235" s="233" t="n"/>
      <c r="P235" s="233" t="n"/>
      <c r="Q235" s="233" t="n"/>
      <c r="R235" s="233" t="n"/>
      <c r="S235" s="233" t="n"/>
      <c r="T235" s="233" t="n"/>
      <c r="U235" s="233" t="n"/>
      <c r="V235" s="233" t="n"/>
      <c r="W235" s="233" t="n"/>
      <c r="X235" s="233" t="n"/>
      <c r="Y235" s="233" t="n"/>
      <c r="Z235" s="233" t="n"/>
      <c r="AA235" s="233" t="n"/>
      <c r="AB235" s="233" t="n"/>
      <c r="AC235" s="233" t="n"/>
      <c r="AD235" s="233" t="n"/>
      <c r="AE235" s="233" t="n"/>
      <c r="AF235" s="233" t="n"/>
      <c r="AG235" s="233" t="n"/>
      <c r="AH235" s="233" t="n"/>
      <c r="AI235" s="233" t="n"/>
      <c r="AJ235" s="233" t="n"/>
      <c r="AK235" s="233" t="n"/>
      <c r="AL235" s="233" t="n"/>
      <c r="AM235" s="233" t="n"/>
      <c r="AN235" s="233" t="n"/>
      <c r="AO235" s="233" t="n"/>
      <c r="AP235" s="233" t="n"/>
      <c r="AQ235" s="233" t="n"/>
      <c r="AR235" s="233" t="n"/>
      <c r="AS235" s="233" t="n"/>
      <c r="AT235" s="233" t="n"/>
      <c r="AU235" s="233" t="n"/>
      <c r="AV235" s="233" t="n"/>
      <c r="AW235" s="233" t="n"/>
      <c r="AX235" s="233" t="n"/>
      <c r="AY235" s="233" t="n"/>
      <c r="AZ235" s="233" t="n"/>
      <c r="BA235" s="233" t="n"/>
      <c r="BB235" s="233" t="n"/>
      <c r="BC235" s="233" t="n"/>
      <c r="BD235" s="233" t="n"/>
      <c r="BE235" s="233" t="n"/>
      <c r="BF235" s="233" t="n"/>
      <c r="BG235" s="233" t="n"/>
      <c r="BH235" s="233" t="n"/>
      <c r="BI235" s="233" t="n"/>
      <c r="BJ235" s="233" t="n"/>
      <c r="BK235" s="233" t="n"/>
      <c r="BL235" s="233" t="n"/>
      <c r="BM235" s="233" t="n"/>
    </row>
    <row r="236" ht="15.75" customHeight="1" s="349">
      <c r="A236" s="31" t="n"/>
      <c r="B236" s="307" t="n"/>
      <c r="C236" s="307" t="n"/>
      <c r="D236" s="146" t="n"/>
      <c r="E236" s="307" t="n"/>
      <c r="F236" s="307" t="n"/>
      <c r="G236" s="307" t="n"/>
      <c r="H236" s="307" t="n"/>
      <c r="I236" s="307" t="n"/>
      <c r="J236" s="307" t="n"/>
      <c r="K236" s="307" t="n"/>
      <c r="L236" s="307" t="n"/>
      <c r="M236" s="307" t="n"/>
      <c r="N236" s="307" t="n"/>
      <c r="O236" s="233" t="n"/>
      <c r="P236" s="233" t="n"/>
      <c r="Q236" s="233" t="n"/>
      <c r="R236" s="233" t="n"/>
      <c r="S236" s="233" t="n"/>
      <c r="T236" s="233" t="n"/>
      <c r="U236" s="233" t="n"/>
      <c r="V236" s="233" t="n"/>
      <c r="W236" s="233" t="n"/>
      <c r="X236" s="233" t="n"/>
      <c r="Y236" s="233" t="n"/>
      <c r="Z236" s="233" t="n"/>
      <c r="AA236" s="233" t="n"/>
      <c r="AB236" s="233" t="n"/>
      <c r="AC236" s="233" t="n"/>
      <c r="AD236" s="233" t="n"/>
      <c r="AE236" s="233" t="n"/>
      <c r="AF236" s="233" t="n"/>
      <c r="AG236" s="233" t="n"/>
      <c r="AH236" s="233" t="n"/>
      <c r="AI236" s="233" t="n"/>
      <c r="AJ236" s="233" t="n"/>
      <c r="AK236" s="233" t="n"/>
      <c r="AL236" s="233" t="n"/>
      <c r="AM236" s="233" t="n"/>
      <c r="AN236" s="233" t="n"/>
      <c r="AO236" s="233" t="n"/>
      <c r="AP236" s="233" t="n"/>
      <c r="AQ236" s="233" t="n"/>
      <c r="AR236" s="233" t="n"/>
      <c r="AS236" s="233" t="n"/>
      <c r="AT236" s="233" t="n"/>
      <c r="AU236" s="233" t="n"/>
      <c r="AV236" s="233" t="n"/>
      <c r="AW236" s="233" t="n"/>
      <c r="AX236" s="233" t="n"/>
      <c r="AY236" s="233" t="n"/>
      <c r="AZ236" s="233" t="n"/>
      <c r="BA236" s="233" t="n"/>
      <c r="BB236" s="233" t="n"/>
      <c r="BC236" s="233" t="n"/>
      <c r="BD236" s="233" t="n"/>
      <c r="BE236" s="233" t="n"/>
      <c r="BF236" s="233" t="n"/>
      <c r="BG236" s="233" t="n"/>
      <c r="BH236" s="233" t="n"/>
      <c r="BI236" s="233" t="n"/>
      <c r="BJ236" s="233" t="n"/>
      <c r="BK236" s="233" t="n"/>
      <c r="BL236" s="233" t="n"/>
      <c r="BM236" s="233" t="n"/>
    </row>
    <row r="237" ht="15.75" customHeight="1" s="349">
      <c r="A237" s="31" t="n"/>
      <c r="B237" s="307" t="n"/>
      <c r="C237" s="307" t="n"/>
      <c r="D237" s="146" t="n"/>
      <c r="E237" s="307" t="n"/>
      <c r="F237" s="307" t="n"/>
      <c r="G237" s="307" t="n"/>
      <c r="H237" s="307" t="n"/>
      <c r="I237" s="307" t="n"/>
      <c r="J237" s="307" t="n"/>
      <c r="K237" s="307" t="n"/>
      <c r="L237" s="307" t="n"/>
      <c r="M237" s="307" t="n"/>
      <c r="N237" s="307" t="n"/>
      <c r="O237" s="233" t="n"/>
      <c r="P237" s="233" t="n"/>
      <c r="Q237" s="233" t="n"/>
      <c r="R237" s="233" t="n"/>
      <c r="S237" s="233" t="n"/>
      <c r="T237" s="233" t="n"/>
      <c r="U237" s="233" t="n"/>
      <c r="V237" s="233" t="n"/>
      <c r="W237" s="233" t="n"/>
      <c r="X237" s="233" t="n"/>
      <c r="Y237" s="233" t="n"/>
      <c r="Z237" s="233" t="n"/>
      <c r="AA237" s="233" t="n"/>
      <c r="AB237" s="233" t="n"/>
      <c r="AC237" s="233" t="n"/>
      <c r="AD237" s="233" t="n"/>
      <c r="AE237" s="233" t="n"/>
      <c r="AF237" s="233" t="n"/>
      <c r="AG237" s="233" t="n"/>
      <c r="AH237" s="233" t="n"/>
      <c r="AI237" s="233" t="n"/>
      <c r="AJ237" s="233" t="n"/>
      <c r="AK237" s="233" t="n"/>
      <c r="AL237" s="233" t="n"/>
      <c r="AM237" s="233" t="n"/>
      <c r="AN237" s="233" t="n"/>
      <c r="AO237" s="233" t="n"/>
      <c r="AP237" s="233" t="n"/>
      <c r="AQ237" s="233" t="n"/>
      <c r="AR237" s="233" t="n"/>
      <c r="AS237" s="233" t="n"/>
      <c r="AT237" s="233" t="n"/>
      <c r="AU237" s="233" t="n"/>
      <c r="AV237" s="233" t="n"/>
      <c r="AW237" s="233" t="n"/>
      <c r="AX237" s="233" t="n"/>
      <c r="AY237" s="233" t="n"/>
      <c r="AZ237" s="233" t="n"/>
      <c r="BA237" s="233" t="n"/>
      <c r="BB237" s="233" t="n"/>
      <c r="BC237" s="233" t="n"/>
      <c r="BD237" s="233" t="n"/>
      <c r="BE237" s="233" t="n"/>
      <c r="BF237" s="233" t="n"/>
      <c r="BG237" s="233" t="n"/>
      <c r="BH237" s="233" t="n"/>
      <c r="BI237" s="233" t="n"/>
      <c r="BJ237" s="233" t="n"/>
      <c r="BK237" s="233" t="n"/>
      <c r="BL237" s="233" t="n"/>
      <c r="BM237" s="233" t="n"/>
    </row>
    <row r="238" ht="15.75" customHeight="1" s="349">
      <c r="A238" s="31" t="n"/>
      <c r="B238" s="307" t="n"/>
      <c r="C238" s="307" t="n"/>
      <c r="D238" s="146" t="n"/>
      <c r="E238" s="307" t="n"/>
      <c r="F238" s="307" t="n"/>
      <c r="G238" s="307" t="n"/>
      <c r="H238" s="307" t="n"/>
      <c r="I238" s="307" t="n"/>
      <c r="J238" s="307" t="n"/>
      <c r="K238" s="307" t="n"/>
      <c r="L238" s="307" t="n"/>
      <c r="M238" s="307" t="n"/>
      <c r="N238" s="307" t="n"/>
      <c r="O238" s="233" t="n"/>
      <c r="P238" s="233" t="n"/>
      <c r="Q238" s="233" t="n"/>
      <c r="R238" s="233" t="n"/>
      <c r="S238" s="233" t="n"/>
      <c r="T238" s="233" t="n"/>
      <c r="U238" s="233" t="n"/>
      <c r="V238" s="233" t="n"/>
      <c r="W238" s="233" t="n"/>
      <c r="X238" s="233" t="n"/>
      <c r="Y238" s="233" t="n"/>
      <c r="Z238" s="233" t="n"/>
      <c r="AA238" s="233" t="n"/>
      <c r="AB238" s="233" t="n"/>
      <c r="AC238" s="233" t="n"/>
      <c r="AD238" s="233" t="n"/>
      <c r="AE238" s="233" t="n"/>
      <c r="AF238" s="233" t="n"/>
      <c r="AG238" s="233" t="n"/>
      <c r="AH238" s="233" t="n"/>
      <c r="AI238" s="233" t="n"/>
      <c r="AJ238" s="233" t="n"/>
      <c r="AK238" s="233" t="n"/>
      <c r="AL238" s="233" t="n"/>
      <c r="AM238" s="233" t="n"/>
      <c r="AN238" s="233" t="n"/>
      <c r="AO238" s="233" t="n"/>
      <c r="AP238" s="233" t="n"/>
      <c r="AQ238" s="233" t="n"/>
      <c r="AR238" s="233" t="n"/>
      <c r="AS238" s="233" t="n"/>
      <c r="AT238" s="233" t="n"/>
      <c r="AU238" s="233" t="n"/>
      <c r="AV238" s="233" t="n"/>
      <c r="AW238" s="233" t="n"/>
      <c r="AX238" s="233" t="n"/>
      <c r="AY238" s="233" t="n"/>
      <c r="AZ238" s="233" t="n"/>
      <c r="BA238" s="233" t="n"/>
      <c r="BB238" s="233" t="n"/>
      <c r="BC238" s="233" t="n"/>
      <c r="BD238" s="233" t="n"/>
      <c r="BE238" s="233" t="n"/>
      <c r="BF238" s="233" t="n"/>
      <c r="BG238" s="233" t="n"/>
      <c r="BH238" s="233" t="n"/>
      <c r="BI238" s="233" t="n"/>
      <c r="BJ238" s="233" t="n"/>
      <c r="BK238" s="233" t="n"/>
      <c r="BL238" s="233" t="n"/>
      <c r="BM238" s="233" t="n"/>
    </row>
    <row r="239" ht="15.75" customHeight="1" s="349">
      <c r="A239" s="31" t="n"/>
      <c r="B239" s="307" t="n"/>
      <c r="C239" s="307" t="n"/>
      <c r="D239" s="146" t="n"/>
      <c r="E239" s="307" t="n"/>
      <c r="F239" s="307" t="n"/>
      <c r="G239" s="307" t="n"/>
      <c r="H239" s="307" t="n"/>
      <c r="I239" s="307" t="n"/>
      <c r="J239" s="307" t="n"/>
      <c r="K239" s="307" t="n"/>
      <c r="L239" s="307" t="n"/>
      <c r="M239" s="307" t="n"/>
      <c r="N239" s="307" t="n"/>
      <c r="O239" s="233" t="n"/>
      <c r="P239" s="233" t="n"/>
      <c r="Q239" s="233" t="n"/>
      <c r="R239" s="233" t="n"/>
      <c r="S239" s="233" t="n"/>
      <c r="T239" s="233" t="n"/>
      <c r="U239" s="233" t="n"/>
      <c r="V239" s="233" t="n"/>
      <c r="W239" s="233" t="n"/>
      <c r="X239" s="233" t="n"/>
      <c r="Y239" s="233" t="n"/>
      <c r="Z239" s="233" t="n"/>
      <c r="AA239" s="233" t="n"/>
      <c r="AB239" s="233" t="n"/>
      <c r="AC239" s="233" t="n"/>
      <c r="AD239" s="233" t="n"/>
      <c r="AE239" s="233" t="n"/>
      <c r="AF239" s="233" t="n"/>
      <c r="AG239" s="233" t="n"/>
      <c r="AH239" s="233" t="n"/>
      <c r="AI239" s="233" t="n"/>
      <c r="AJ239" s="233" t="n"/>
      <c r="AK239" s="233" t="n"/>
      <c r="AL239" s="233" t="n"/>
      <c r="AM239" s="233" t="n"/>
      <c r="AN239" s="233" t="n"/>
      <c r="AO239" s="233" t="n"/>
      <c r="AP239" s="233" t="n"/>
      <c r="AQ239" s="233" t="n"/>
      <c r="AR239" s="233" t="n"/>
      <c r="AS239" s="233" t="n"/>
      <c r="AT239" s="233" t="n"/>
      <c r="AU239" s="233" t="n"/>
      <c r="AV239" s="233" t="n"/>
      <c r="AW239" s="233" t="n"/>
      <c r="AX239" s="233" t="n"/>
      <c r="AY239" s="233" t="n"/>
      <c r="AZ239" s="233" t="n"/>
      <c r="BA239" s="233" t="n"/>
      <c r="BB239" s="233" t="n"/>
      <c r="BC239" s="233" t="n"/>
      <c r="BD239" s="233" t="n"/>
      <c r="BE239" s="233" t="n"/>
      <c r="BF239" s="233" t="n"/>
      <c r="BG239" s="233" t="n"/>
      <c r="BH239" s="233" t="n"/>
      <c r="BI239" s="233" t="n"/>
      <c r="BJ239" s="233" t="n"/>
      <c r="BK239" s="233" t="n"/>
      <c r="BL239" s="233" t="n"/>
      <c r="BM239" s="233" t="n"/>
    </row>
    <row r="240" ht="15.75" customHeight="1" s="349">
      <c r="A240" s="31" t="n"/>
      <c r="B240" s="307" t="n"/>
      <c r="C240" s="307" t="n"/>
      <c r="D240" s="146" t="n"/>
      <c r="E240" s="307" t="n"/>
      <c r="F240" s="307" t="n"/>
      <c r="G240" s="307" t="n"/>
      <c r="H240" s="307" t="n"/>
      <c r="I240" s="307" t="n"/>
      <c r="J240" s="307" t="n"/>
      <c r="K240" s="307" t="n"/>
      <c r="L240" s="307" t="n"/>
      <c r="M240" s="307" t="n"/>
      <c r="N240" s="307" t="n"/>
      <c r="O240" s="233" t="n"/>
      <c r="P240" s="233" t="n"/>
      <c r="Q240" s="233" t="n"/>
      <c r="R240" s="233" t="n"/>
      <c r="S240" s="233" t="n"/>
      <c r="T240" s="233" t="n"/>
      <c r="U240" s="233" t="n"/>
      <c r="V240" s="233" t="n"/>
      <c r="W240" s="233" t="n"/>
      <c r="X240" s="233" t="n"/>
      <c r="Y240" s="233" t="n"/>
      <c r="Z240" s="233" t="n"/>
      <c r="AA240" s="233" t="n"/>
      <c r="AB240" s="233" t="n"/>
      <c r="AC240" s="233" t="n"/>
      <c r="AD240" s="233" t="n"/>
      <c r="AE240" s="233" t="n"/>
      <c r="AF240" s="233" t="n"/>
      <c r="AG240" s="233" t="n"/>
      <c r="AH240" s="233" t="n"/>
      <c r="AI240" s="233" t="n"/>
      <c r="AJ240" s="233" t="n"/>
      <c r="AK240" s="233" t="n"/>
      <c r="AL240" s="233" t="n"/>
      <c r="AM240" s="233" t="n"/>
      <c r="AN240" s="233" t="n"/>
      <c r="AO240" s="233" t="n"/>
      <c r="AP240" s="233" t="n"/>
      <c r="AQ240" s="233" t="n"/>
      <c r="AR240" s="233" t="n"/>
      <c r="AS240" s="233" t="n"/>
      <c r="AT240" s="233" t="n"/>
      <c r="AU240" s="233" t="n"/>
      <c r="AV240" s="233" t="n"/>
      <c r="AW240" s="233" t="n"/>
      <c r="AX240" s="233" t="n"/>
      <c r="AY240" s="233" t="n"/>
      <c r="AZ240" s="233" t="n"/>
      <c r="BA240" s="233" t="n"/>
      <c r="BB240" s="233" t="n"/>
      <c r="BC240" s="233" t="n"/>
      <c r="BD240" s="233" t="n"/>
      <c r="BE240" s="233" t="n"/>
      <c r="BF240" s="233" t="n"/>
      <c r="BG240" s="233" t="n"/>
      <c r="BH240" s="233" t="n"/>
      <c r="BI240" s="233" t="n"/>
      <c r="BJ240" s="233" t="n"/>
      <c r="BK240" s="233" t="n"/>
      <c r="BL240" s="233" t="n"/>
      <c r="BM240" s="233" t="n"/>
    </row>
    <row r="241" ht="15.75" customHeight="1" s="349">
      <c r="A241" s="31" t="n"/>
      <c r="B241" s="307" t="n"/>
      <c r="C241" s="307" t="n"/>
      <c r="D241" s="146" t="n"/>
      <c r="E241" s="307" t="n"/>
      <c r="F241" s="307" t="n"/>
      <c r="G241" s="307" t="n"/>
      <c r="H241" s="307" t="n"/>
      <c r="I241" s="307" t="n"/>
      <c r="J241" s="307" t="n"/>
      <c r="K241" s="307" t="n"/>
      <c r="L241" s="307" t="n"/>
      <c r="M241" s="307" t="n"/>
      <c r="N241" s="307" t="n"/>
      <c r="O241" s="233" t="n"/>
      <c r="P241" s="233" t="n"/>
      <c r="Q241" s="233" t="n"/>
      <c r="R241" s="233" t="n"/>
      <c r="S241" s="233" t="n"/>
      <c r="T241" s="233" t="n"/>
      <c r="U241" s="233" t="n"/>
      <c r="V241" s="233" t="n"/>
      <c r="W241" s="233" t="n"/>
      <c r="X241" s="233" t="n"/>
      <c r="Y241" s="233" t="n"/>
      <c r="Z241" s="233" t="n"/>
      <c r="AA241" s="233" t="n"/>
      <c r="AB241" s="233" t="n"/>
      <c r="AC241" s="233" t="n"/>
      <c r="AD241" s="233" t="n"/>
      <c r="AE241" s="233" t="n"/>
      <c r="AF241" s="233" t="n"/>
      <c r="AG241" s="233" t="n"/>
      <c r="AH241" s="233" t="n"/>
      <c r="AI241" s="233" t="n"/>
      <c r="AJ241" s="233" t="n"/>
      <c r="AK241" s="233" t="n"/>
      <c r="AL241" s="233" t="n"/>
      <c r="AM241" s="233" t="n"/>
      <c r="AN241" s="233" t="n"/>
      <c r="AO241" s="233" t="n"/>
      <c r="AP241" s="233" t="n"/>
      <c r="AQ241" s="233" t="n"/>
      <c r="AR241" s="233" t="n"/>
      <c r="AS241" s="233" t="n"/>
      <c r="AT241" s="233" t="n"/>
      <c r="AU241" s="233" t="n"/>
      <c r="AV241" s="233" t="n"/>
      <c r="AW241" s="233" t="n"/>
      <c r="AX241" s="233" t="n"/>
      <c r="AY241" s="233" t="n"/>
      <c r="AZ241" s="233" t="n"/>
      <c r="BA241" s="233" t="n"/>
      <c r="BB241" s="233" t="n"/>
      <c r="BC241" s="233" t="n"/>
      <c r="BD241" s="233" t="n"/>
      <c r="BE241" s="233" t="n"/>
      <c r="BF241" s="233" t="n"/>
      <c r="BG241" s="233" t="n"/>
      <c r="BH241" s="233" t="n"/>
      <c r="BI241" s="233" t="n"/>
      <c r="BJ241" s="233" t="n"/>
      <c r="BK241" s="233" t="n"/>
      <c r="BL241" s="233" t="n"/>
      <c r="BM241" s="233" t="n"/>
    </row>
    <row r="242" ht="15.75" customHeight="1" s="349">
      <c r="A242" s="31" t="n"/>
      <c r="B242" s="307" t="n"/>
      <c r="C242" s="307" t="n"/>
      <c r="D242" s="146" t="n"/>
      <c r="E242" s="307" t="n"/>
      <c r="F242" s="307" t="n"/>
      <c r="G242" s="307" t="n"/>
      <c r="H242" s="307" t="n"/>
      <c r="I242" s="307" t="n"/>
      <c r="J242" s="307" t="n"/>
      <c r="K242" s="307" t="n"/>
      <c r="L242" s="307" t="n"/>
      <c r="M242" s="307" t="n"/>
      <c r="N242" s="307" t="n"/>
      <c r="O242" s="233" t="n"/>
      <c r="P242" s="233" t="n"/>
      <c r="Q242" s="233" t="n"/>
      <c r="R242" s="233" t="n"/>
      <c r="S242" s="233" t="n"/>
      <c r="T242" s="233" t="n"/>
      <c r="U242" s="233" t="n"/>
      <c r="V242" s="233" t="n"/>
      <c r="W242" s="233" t="n"/>
      <c r="X242" s="233" t="n"/>
      <c r="Y242" s="233" t="n"/>
      <c r="Z242" s="233" t="n"/>
      <c r="AA242" s="233" t="n"/>
      <c r="AB242" s="233" t="n"/>
      <c r="AC242" s="233" t="n"/>
      <c r="AD242" s="233" t="n"/>
      <c r="AE242" s="233" t="n"/>
      <c r="AF242" s="233" t="n"/>
      <c r="AG242" s="233" t="n"/>
      <c r="AH242" s="233" t="n"/>
      <c r="AI242" s="233" t="n"/>
      <c r="AJ242" s="233" t="n"/>
      <c r="AK242" s="233" t="n"/>
      <c r="AL242" s="233" t="n"/>
      <c r="AM242" s="233" t="n"/>
      <c r="AN242" s="233" t="n"/>
      <c r="AO242" s="233" t="n"/>
      <c r="AP242" s="233" t="n"/>
      <c r="AQ242" s="233" t="n"/>
      <c r="AR242" s="233" t="n"/>
      <c r="AS242" s="233" t="n"/>
      <c r="AT242" s="233" t="n"/>
      <c r="AU242" s="233" t="n"/>
      <c r="AV242" s="233" t="n"/>
      <c r="AW242" s="233" t="n"/>
      <c r="AX242" s="233" t="n"/>
      <c r="AY242" s="233" t="n"/>
      <c r="AZ242" s="233" t="n"/>
      <c r="BA242" s="233" t="n"/>
      <c r="BB242" s="233" t="n"/>
      <c r="BC242" s="233" t="n"/>
      <c r="BD242" s="233" t="n"/>
      <c r="BE242" s="233" t="n"/>
      <c r="BF242" s="233" t="n"/>
      <c r="BG242" s="233" t="n"/>
      <c r="BH242" s="233" t="n"/>
      <c r="BI242" s="233" t="n"/>
      <c r="BJ242" s="233" t="n"/>
      <c r="BK242" s="233" t="n"/>
      <c r="BL242" s="233" t="n"/>
      <c r="BM242" s="233" t="n"/>
    </row>
    <row r="243" ht="15.75" customHeight="1" s="349">
      <c r="A243" s="31" t="n"/>
      <c r="B243" s="307" t="n"/>
      <c r="C243" s="307" t="n"/>
      <c r="D243" s="146" t="n"/>
      <c r="E243" s="307" t="n"/>
      <c r="F243" s="307" t="n"/>
      <c r="G243" s="307" t="n"/>
      <c r="H243" s="307" t="n"/>
      <c r="I243" s="307" t="n"/>
      <c r="J243" s="307" t="n"/>
      <c r="K243" s="307" t="n"/>
      <c r="L243" s="307" t="n"/>
      <c r="M243" s="307" t="n"/>
      <c r="N243" s="307" t="n"/>
      <c r="O243" s="233" t="n"/>
      <c r="P243" s="233" t="n"/>
      <c r="Q243" s="233" t="n"/>
      <c r="R243" s="233" t="n"/>
      <c r="S243" s="233" t="n"/>
      <c r="T243" s="233" t="n"/>
      <c r="U243" s="233" t="n"/>
      <c r="V243" s="233" t="n"/>
      <c r="W243" s="233" t="n"/>
      <c r="X243" s="233" t="n"/>
      <c r="Y243" s="233" t="n"/>
      <c r="Z243" s="233" t="n"/>
      <c r="AA243" s="233" t="n"/>
      <c r="AB243" s="233" t="n"/>
      <c r="AC243" s="233" t="n"/>
      <c r="AD243" s="233" t="n"/>
      <c r="AE243" s="233" t="n"/>
      <c r="AF243" s="233" t="n"/>
      <c r="AG243" s="233" t="n"/>
      <c r="AH243" s="233" t="n"/>
      <c r="AI243" s="233" t="n"/>
      <c r="AJ243" s="233" t="n"/>
      <c r="AK243" s="233" t="n"/>
      <c r="AL243" s="233" t="n"/>
      <c r="AM243" s="233" t="n"/>
      <c r="AN243" s="233" t="n"/>
      <c r="AO243" s="233" t="n"/>
      <c r="AP243" s="233" t="n"/>
      <c r="AQ243" s="233" t="n"/>
      <c r="AR243" s="233" t="n"/>
      <c r="AS243" s="233" t="n"/>
      <c r="AT243" s="233" t="n"/>
      <c r="AU243" s="233" t="n"/>
      <c r="AV243" s="233" t="n"/>
      <c r="AW243" s="233" t="n"/>
      <c r="AX243" s="233" t="n"/>
      <c r="AY243" s="233" t="n"/>
      <c r="AZ243" s="233" t="n"/>
      <c r="BA243" s="233" t="n"/>
      <c r="BB243" s="233" t="n"/>
      <c r="BC243" s="233" t="n"/>
      <c r="BD243" s="233" t="n"/>
      <c r="BE243" s="233" t="n"/>
      <c r="BF243" s="233" t="n"/>
      <c r="BG243" s="233" t="n"/>
      <c r="BH243" s="233" t="n"/>
      <c r="BI243" s="233" t="n"/>
      <c r="BJ243" s="233" t="n"/>
      <c r="BK243" s="233" t="n"/>
      <c r="BL243" s="233" t="n"/>
      <c r="BM243" s="233" t="n"/>
    </row>
    <row r="244" ht="15.75" customHeight="1" s="349"/>
    <row r="245" ht="15.75" customHeight="1" s="349"/>
    <row r="246" ht="15.75" customHeight="1" s="349"/>
    <row r="247" ht="15.75" customHeight="1" s="349"/>
    <row r="248" ht="15.75" customHeight="1" s="349"/>
    <row r="249" ht="15.75" customHeight="1" s="349"/>
    <row r="250" ht="15.75" customHeight="1" s="349"/>
    <row r="251" ht="15.75" customHeight="1" s="349"/>
    <row r="252" ht="15.75" customHeight="1" s="349"/>
    <row r="253" ht="15.75" customHeight="1" s="349"/>
    <row r="254" ht="15.75" customHeight="1" s="349"/>
    <row r="255" ht="15.75" customHeight="1" s="349"/>
    <row r="256" ht="15.75" customHeight="1" s="349"/>
    <row r="257" ht="15.75" customHeight="1" s="349"/>
    <row r="258" ht="15.75" customHeight="1" s="349"/>
    <row r="259" ht="15.75" customHeight="1" s="349"/>
    <row r="260" ht="15.75" customHeight="1" s="349"/>
    <row r="261" ht="15.75" customHeight="1" s="349"/>
    <row r="262" ht="15.75" customHeight="1" s="349"/>
    <row r="263" ht="15.75" customHeight="1" s="349"/>
    <row r="264" ht="15.75" customHeight="1" s="349"/>
    <row r="265" ht="15.75" customHeight="1" s="349"/>
    <row r="266" ht="15.75" customHeight="1" s="349"/>
    <row r="267" ht="15.75" customHeight="1" s="349"/>
    <row r="268" ht="15.75" customHeight="1" s="349"/>
    <row r="269" ht="15.75" customHeight="1" s="349"/>
    <row r="270" ht="15.75" customHeight="1" s="349"/>
    <row r="271" ht="15.75" customHeight="1" s="349"/>
    <row r="272" ht="15.75" customHeight="1" s="349"/>
    <row r="273" ht="15.75" customHeight="1" s="349"/>
    <row r="274" ht="15.75" customHeight="1" s="349"/>
    <row r="275" ht="15.75" customHeight="1" s="349"/>
    <row r="276" ht="15.75" customHeight="1" s="349"/>
    <row r="277" ht="15.75" customHeight="1" s="349"/>
    <row r="278" ht="15.75" customHeight="1" s="349"/>
    <row r="279" ht="15.75" customHeight="1" s="349"/>
    <row r="280" ht="15.75" customHeight="1" s="349"/>
    <row r="281" ht="15.75" customHeight="1" s="349"/>
    <row r="282" ht="15.75" customHeight="1" s="349"/>
    <row r="283" ht="15.75" customHeight="1" s="349"/>
    <row r="284" ht="15.75" customHeight="1" s="349"/>
    <row r="285" ht="15.75" customHeight="1" s="349"/>
    <row r="286" ht="15.75" customHeight="1" s="349"/>
    <row r="287" ht="15.75" customHeight="1" s="349"/>
    <row r="288" ht="15.75" customHeight="1" s="349"/>
    <row r="289" ht="15.75" customHeight="1" s="349"/>
    <row r="290" ht="15.75" customHeight="1" s="349"/>
    <row r="291" ht="15.75" customHeight="1" s="349"/>
    <row r="292" ht="15.75" customHeight="1" s="349"/>
    <row r="293" ht="15.75" customHeight="1" s="349"/>
    <row r="294" ht="15.75" customHeight="1" s="349"/>
    <row r="295" ht="15.75" customHeight="1" s="349"/>
    <row r="296" ht="15.75" customHeight="1" s="349"/>
    <row r="297" ht="15.75" customHeight="1" s="349"/>
    <row r="298" ht="15.75" customHeight="1" s="349"/>
    <row r="299" ht="15.75" customHeight="1" s="349"/>
    <row r="300" ht="15.75" customHeight="1" s="349"/>
    <row r="301" ht="15.75" customHeight="1" s="349"/>
    <row r="302" ht="15.75" customHeight="1" s="349"/>
    <row r="303" ht="15.75" customHeight="1" s="349"/>
    <row r="304" ht="15.75" customHeight="1" s="349"/>
    <row r="305" ht="15.75" customHeight="1" s="349"/>
    <row r="306" ht="15.75" customHeight="1" s="349"/>
    <row r="307" ht="15.75" customHeight="1" s="349"/>
    <row r="308" ht="15.75" customHeight="1" s="349"/>
    <row r="309" ht="15.75" customHeight="1" s="349"/>
    <row r="310" ht="15.75" customHeight="1" s="349"/>
    <row r="311" ht="15.75" customHeight="1" s="349"/>
    <row r="312" ht="15.75" customHeight="1" s="349"/>
    <row r="313" ht="15.75" customHeight="1" s="349"/>
    <row r="314" ht="15.75" customHeight="1" s="349"/>
    <row r="315" ht="15.75" customHeight="1" s="349"/>
    <row r="316" ht="15.75" customHeight="1" s="349"/>
    <row r="317" ht="15.75" customHeight="1" s="349"/>
    <row r="318" ht="15.75" customHeight="1" s="349"/>
    <row r="319" ht="15.75" customHeight="1" s="349"/>
    <row r="320" ht="15.75" customHeight="1" s="349"/>
    <row r="321" ht="15.75" customHeight="1" s="349"/>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row r="994" ht="15.75" customHeight="1" s="349"/>
    <row r="995" ht="15.75" customHeight="1" s="349"/>
    <row r="996" ht="15.75" customHeight="1" s="349"/>
    <row r="997" ht="15.75" customHeight="1" s="349"/>
    <row r="998" ht="15.75" customHeight="1" s="349"/>
    <row r="999" ht="15.75" customHeight="1" s="349"/>
    <row r="1000" ht="15.75" customHeight="1" s="349"/>
  </sheetData>
  <pageMargins left="0.75" right="0.75" top="1" bottom="1" header="0" footer="0"/>
  <pageSetup orientation="landscape"/>
</worksheet>
</file>

<file path=xl/worksheets/sheet9.xml><?xml version="1.0" encoding="utf-8"?>
<worksheet xmlns="http://schemas.openxmlformats.org/spreadsheetml/2006/main">
  <sheetPr>
    <outlinePr summaryBelow="0" summaryRight="0"/>
    <pageSetUpPr/>
  </sheetPr>
  <dimension ref="A1:BT460"/>
  <sheetViews>
    <sheetView showGridLines="0" workbookViewId="0">
      <selection activeCell="A1" sqref="A1"/>
    </sheetView>
  </sheetViews>
  <sheetFormatPr baseColWidth="8" defaultColWidth="14.43" defaultRowHeight="15" customHeight="1"/>
  <cols>
    <col width="14.43" customWidth="1" style="349" min="1" max="1"/>
    <col width="28.86" customWidth="1" style="349" min="2" max="2"/>
    <col width="14.43" customWidth="1" style="349" min="3" max="3"/>
    <col width="18.29" customWidth="1" style="349" min="4" max="4"/>
    <col width="14.43" customWidth="1" style="349" min="5" max="6"/>
    <col width="16.71" customWidth="1" style="349" min="8" max="8"/>
    <col width="43" customWidth="1" style="349" min="70" max="70"/>
  </cols>
  <sheetData>
    <row r="1">
      <c r="A1" s="281" t="n"/>
      <c r="B1" s="11" t="inlineStr">
        <is>
          <t>PERSONNEL — Monthly Employer Cost (€)</t>
        </is>
      </c>
      <c r="BE1" s="11" t="n"/>
      <c r="BF1" s="11" t="n"/>
      <c r="BG1" s="11" t="n"/>
      <c r="BH1" s="11" t="n"/>
      <c r="BI1" s="11" t="n"/>
      <c r="BJ1" s="11" t="n"/>
      <c r="BK1" s="11" t="n"/>
      <c r="BL1" s="11" t="n"/>
      <c r="BM1" s="11" t="n"/>
      <c r="BN1" s="11" t="n"/>
      <c r="BO1" s="11" t="n"/>
      <c r="BP1" s="11" t="n"/>
      <c r="BQ1" s="18" t="n"/>
      <c r="BR1" s="18" t="n"/>
      <c r="BS1" s="18" t="n"/>
      <c r="BT1" s="18" t="n"/>
    </row>
    <row r="2">
      <c r="A2" s="282" t="inlineStr">
        <is>
          <t>#</t>
        </is>
      </c>
      <c r="B2" s="282" t="inlineStr">
        <is>
          <t>Name</t>
        </is>
      </c>
      <c r="C2" s="282" t="inlineStr">
        <is>
          <t>Dept</t>
        </is>
      </c>
      <c r="D2" s="282" t="inlineStr">
        <is>
          <t>Role</t>
        </is>
      </c>
      <c r="E2" s="282" t="inlineStr">
        <is>
          <t>Type</t>
        </is>
      </c>
      <c r="F2" s="282" t="inlineStr">
        <is>
          <t>Start</t>
        </is>
      </c>
      <c r="G2" s="282" t="inlineStr">
        <is>
          <t>End</t>
        </is>
      </c>
      <c r="H2" s="282" t="inlineStr">
        <is>
          <t>Monthly Cost (€)</t>
        </is>
      </c>
      <c r="I2" s="55" t="n">
        <v>45658</v>
      </c>
      <c r="J2" s="55" t="n">
        <v>45689</v>
      </c>
      <c r="K2" s="55" t="n">
        <v>45717</v>
      </c>
      <c r="L2" s="55" t="n">
        <v>45748</v>
      </c>
      <c r="M2" s="55" t="n">
        <v>45778</v>
      </c>
      <c r="N2" s="55" t="n">
        <v>45809</v>
      </c>
      <c r="O2" s="55" t="n">
        <v>45839</v>
      </c>
      <c r="P2" s="55" t="n">
        <v>45870</v>
      </c>
      <c r="Q2" s="55" t="n">
        <v>45901</v>
      </c>
      <c r="R2" s="55" t="n">
        <v>45931</v>
      </c>
      <c r="S2" s="55" t="n">
        <v>45962</v>
      </c>
      <c r="T2" s="55" t="n">
        <v>45992</v>
      </c>
      <c r="U2" s="55" t="n">
        <v>46023</v>
      </c>
      <c r="V2" s="55" t="n">
        <v>46054</v>
      </c>
      <c r="W2" s="55" t="n">
        <v>46082</v>
      </c>
      <c r="X2" s="55" t="n">
        <v>46113</v>
      </c>
      <c r="Y2" s="55" t="n">
        <v>46143</v>
      </c>
      <c r="Z2" s="55" t="n">
        <v>46174</v>
      </c>
      <c r="AA2" s="55" t="n">
        <v>46204</v>
      </c>
      <c r="AB2" s="55" t="n">
        <v>46235</v>
      </c>
      <c r="AC2" s="55" t="n">
        <v>46266</v>
      </c>
      <c r="AD2" s="55" t="n">
        <v>46296</v>
      </c>
      <c r="AE2" s="55" t="n">
        <v>46327</v>
      </c>
      <c r="AF2" s="55" t="n">
        <v>46357</v>
      </c>
      <c r="AG2" s="55" t="n">
        <v>46388</v>
      </c>
      <c r="AH2" s="55" t="n">
        <v>46419</v>
      </c>
      <c r="AI2" s="55" t="n">
        <v>46447</v>
      </c>
      <c r="AJ2" s="55" t="n">
        <v>46478</v>
      </c>
      <c r="AK2" s="55" t="n">
        <v>46508</v>
      </c>
      <c r="AL2" s="55" t="n">
        <v>46539</v>
      </c>
      <c r="AM2" s="55" t="n">
        <v>46569</v>
      </c>
      <c r="AN2" s="55" t="n">
        <v>46600</v>
      </c>
      <c r="AO2" s="55" t="n">
        <v>46631</v>
      </c>
      <c r="AP2" s="55" t="n">
        <v>46661</v>
      </c>
      <c r="AQ2" s="55" t="n">
        <v>46692</v>
      </c>
      <c r="AR2" s="55" t="n">
        <v>46722</v>
      </c>
      <c r="AS2" s="55" t="n">
        <v>46753</v>
      </c>
      <c r="AT2" s="55" t="n">
        <v>46784</v>
      </c>
      <c r="AU2" s="55" t="n">
        <v>46813</v>
      </c>
      <c r="AV2" s="55" t="n">
        <v>46844</v>
      </c>
      <c r="AW2" s="55" t="n">
        <v>46874</v>
      </c>
      <c r="AX2" s="55" t="n">
        <v>46905</v>
      </c>
      <c r="AY2" s="55" t="n">
        <v>46935</v>
      </c>
      <c r="AZ2" s="55" t="n">
        <v>46966</v>
      </c>
      <c r="BA2" s="55" t="n">
        <v>46997</v>
      </c>
      <c r="BB2" s="55" t="n">
        <v>47027</v>
      </c>
      <c r="BC2" s="55" t="n">
        <v>47058</v>
      </c>
      <c r="BD2" s="55" t="n">
        <v>47088</v>
      </c>
      <c r="BE2" s="55" t="n">
        <v>47119</v>
      </c>
      <c r="BF2" s="55" t="n">
        <v>47150</v>
      </c>
      <c r="BG2" s="55" t="n">
        <v>47178</v>
      </c>
      <c r="BH2" s="55" t="n">
        <v>47209</v>
      </c>
      <c r="BI2" s="55" t="n">
        <v>47239</v>
      </c>
      <c r="BJ2" s="55" t="n">
        <v>47270</v>
      </c>
      <c r="BK2" s="55" t="n">
        <v>47300</v>
      </c>
      <c r="BL2" s="55" t="n">
        <v>47331</v>
      </c>
      <c r="BM2" s="55" t="n">
        <v>47362</v>
      </c>
      <c r="BN2" s="55" t="n">
        <v>47392</v>
      </c>
      <c r="BO2" s="55" t="n">
        <v>47423</v>
      </c>
      <c r="BP2" s="55" t="n">
        <v>47453</v>
      </c>
      <c r="BQ2" s="78" t="n"/>
      <c r="BR2" s="315" t="inlineStr">
        <is>
          <t>what this row does</t>
        </is>
      </c>
      <c r="BS2" s="78" t="n"/>
      <c r="BT2" s="78" t="n"/>
    </row>
    <row r="3">
      <c r="A3" s="283" t="n">
        <v>1</v>
      </c>
      <c r="B3" s="284" t="inlineStr">
        <is>
          <t>R&amp;D Engineer</t>
        </is>
      </c>
      <c r="C3" s="23" t="inlineStr">
        <is>
          <t>R&amp;D</t>
        </is>
      </c>
      <c r="D3" s="285" t="inlineStr">
        <is>
          <t>Field Engineer</t>
        </is>
      </c>
      <c r="E3" s="23" t="inlineStr">
        <is>
          <t>Current</t>
        </is>
      </c>
      <c r="F3" s="318" t="n">
        <v>45901</v>
      </c>
      <c r="G3" s="287" t="n"/>
      <c r="H3" s="288" t="n">
        <v>5500</v>
      </c>
      <c r="I3" s="289">
        <f>IF(AND(F3&lt;=DATE(2025,1,1),OR(G3="",G3&gt;=DATE(2025,1,1))),H3*(1+Assumptions!$C$7)^0,0)</f>
        <v/>
      </c>
      <c r="J3" s="289">
        <f>IF(AND(F3&lt;=DATE(2025,2,1),OR(G3="",G3&gt;=DATE(2025,2,1))),H3*(1+Assumptions!$C$7)^0,0)</f>
        <v/>
      </c>
      <c r="K3" s="289">
        <f>IF(AND(F3&lt;=DATE(2025,3,1),OR(G3="",G3&gt;=DATE(2025,3,1))),H3*(1+Assumptions!$C$7)^0,0)</f>
        <v/>
      </c>
      <c r="L3" s="289">
        <f>IF(AND(F3&lt;=DATE(2025,4,1),OR(G3="",G3&gt;=DATE(2025,4,1))),H3*(1+Assumptions!$C$7)^0,0)</f>
        <v/>
      </c>
      <c r="M3" s="289">
        <f>IF(AND(F3&lt;=DATE(2025,5,1),OR(G3="",G3&gt;=DATE(2025,5,1))),H3*(1+Assumptions!$C$7)^0,0)</f>
        <v/>
      </c>
      <c r="N3" s="289">
        <f>IF(AND(F3&lt;=DATE(2025,6,1),OR(G3="",G3&gt;=DATE(2025,6,1))),H3*(1+Assumptions!$C$7)^0,0)</f>
        <v/>
      </c>
      <c r="O3" s="289">
        <f>IF(AND(F3&lt;=DATE(2025,7,1),OR(G3="",G3&gt;=DATE(2025,7,1))),H3*(1+Assumptions!$C$7)^0,0)</f>
        <v/>
      </c>
      <c r="P3" s="289">
        <f>IF(AND(F3&lt;=DATE(2025,8,1),OR(G3="",G3&gt;=DATE(2025,8,1))),H3*(1+Assumptions!$C$7)^0,0)</f>
        <v/>
      </c>
      <c r="Q3" s="289">
        <f>IF(AND(F3&lt;=DATE(2025,9,1),OR(G3="",G3&gt;=DATE(2025,9,1))),H3*(1+Assumptions!$C$7)^0,0)</f>
        <v/>
      </c>
      <c r="R3" s="289">
        <f>IF(AND(F3&lt;=DATE(2025,10,1),OR(G3="",G3&gt;=DATE(2025,10,1))),H3*(1+Assumptions!$C$7)^0,0)</f>
        <v/>
      </c>
      <c r="S3" s="289">
        <f>IF(AND(F3&lt;=DATE(2025,11,1),OR(G3="",G3&gt;=DATE(2025,11,1))),H3*(1+Assumptions!$C$7)^0,0)</f>
        <v/>
      </c>
      <c r="T3" s="289">
        <f>IF(AND(F3&lt;=DATE(2025,12,1),OR(G3="",G3&gt;=DATE(2025,12,1))),H3*(1+Assumptions!$C$7)^0,0)</f>
        <v/>
      </c>
      <c r="U3" s="289">
        <f>IF(AND(F3&lt;=DATE(2026,1,1),OR(G3="",G3&gt;=DATE(2026,1,1))),H3*(1+Assumptions!$C$7)^1,0)</f>
        <v/>
      </c>
      <c r="V3" s="289">
        <f>IF(AND(F3&lt;=DATE(2026,2,1),OR(G3="",G3&gt;=DATE(2026,2,1))),H3*(1+Assumptions!$C$7)^1,0)</f>
        <v/>
      </c>
      <c r="W3" s="289">
        <f>IF(AND(F3&lt;=DATE(2026,3,1),OR(G3="",G3&gt;=DATE(2026,3,1))),H3*(1+Assumptions!$C$7)^1,0)</f>
        <v/>
      </c>
      <c r="X3" s="289">
        <f>IF(AND(F3&lt;=DATE(2026,4,1),OR(G3="",G3&gt;=DATE(2026,4,1))),H3*(1+Assumptions!$C$7)^1,0)</f>
        <v/>
      </c>
      <c r="Y3" s="289">
        <f>IF(AND(F3&lt;=DATE(2026,5,1),OR(G3="",G3&gt;=DATE(2026,5,1))),H3*(1+Assumptions!$C$7)^1,0)</f>
        <v/>
      </c>
      <c r="Z3" s="289">
        <f>IF(AND(F3&lt;=DATE(2026,6,1),OR(G3="",G3&gt;=DATE(2026,6,1))),H3*(1+Assumptions!$C$7)^1,0)</f>
        <v/>
      </c>
      <c r="AA3" s="289">
        <f>IF(AND(F3&lt;=DATE(2026,7,1),OR(G3="",G3&gt;=DATE(2026,7,1))),H3*(1+Assumptions!$C$7)^1,0)</f>
        <v/>
      </c>
      <c r="AB3" s="289">
        <f>IF(AND(F3&lt;=DATE(2026,8,1),OR(G3="",G3&gt;=DATE(2026,8,1))),H3*(1+Assumptions!$C$7)^1,0)</f>
        <v/>
      </c>
      <c r="AC3" s="289">
        <f>IF(AND(F3&lt;=DATE(2026,9,1),OR(G3="",G3&gt;=DATE(2026,9,1))),H3*(1+Assumptions!$C$7)^1,0)</f>
        <v/>
      </c>
      <c r="AD3" s="289">
        <f>IF(AND(F3&lt;=DATE(2026,10,1),OR(G3="",G3&gt;=DATE(2026,10,1))),H3*(1+Assumptions!$C$7)^1,0)</f>
        <v/>
      </c>
      <c r="AE3" s="289">
        <f>IF(AND(F3&lt;=DATE(2026,11,1),OR(G3="",G3&gt;=DATE(2026,11,1))),H3*(1+Assumptions!$C$7)^1,0)</f>
        <v/>
      </c>
      <c r="AF3" s="289">
        <f>IF(AND(F3&lt;=DATE(2026,12,1),OR(G3="",G3&gt;=DATE(2026,12,1))),H3*(1+Assumptions!$C$7)^1,0)</f>
        <v/>
      </c>
      <c r="AG3" s="289">
        <f>IF(AND(F3&lt;=DATE(2027,1,1),OR(G3="",G3&gt;=DATE(2027,1,1))),H3*(1+Assumptions!$C$7)^2,0)</f>
        <v/>
      </c>
      <c r="AH3" s="289">
        <f>IF(AND(F3&lt;=DATE(2027,2,1),OR(G3="",G3&gt;=DATE(2027,2,1))),H3*(1+Assumptions!$C$7)^2,0)</f>
        <v/>
      </c>
      <c r="AI3" s="289">
        <f>IF(AND(F3&lt;=DATE(2027,3,1),OR(G3="",G3&gt;=DATE(2027,3,1))),H3*(1+Assumptions!$C$7)^2,0)</f>
        <v/>
      </c>
      <c r="AJ3" s="289">
        <f>IF(AND(F3&lt;=DATE(2027,4,1),OR(G3="",G3&gt;=DATE(2027,4,1))),H3*(1+Assumptions!$C$7)^2,0)</f>
        <v/>
      </c>
      <c r="AK3" s="289">
        <f>IF(AND(F3&lt;=DATE(2027,5,1),OR(G3="",G3&gt;=DATE(2027,5,1))),H3*(1+Assumptions!$C$7)^2,0)</f>
        <v/>
      </c>
      <c r="AL3" s="289">
        <f>IF(AND(F3&lt;=DATE(2027,6,1),OR(G3="",G3&gt;=DATE(2027,6,1))),H3*(1+Assumptions!$C$7)^2,0)</f>
        <v/>
      </c>
      <c r="AM3" s="289">
        <f>IF(AND(F3&lt;=DATE(2027,7,1),OR(G3="",G3&gt;=DATE(2027,7,1))),H3*(1+Assumptions!$C$7)^2,0)</f>
        <v/>
      </c>
      <c r="AN3" s="289">
        <f>IF(AND(F3&lt;=DATE(2027,8,1),OR(G3="",G3&gt;=DATE(2027,8,1))),H3*(1+Assumptions!$C$7)^2,0)</f>
        <v/>
      </c>
      <c r="AO3" s="289">
        <f>IF(AND(F3&lt;=DATE(2027,9,1),OR(G3="",G3&gt;=DATE(2027,9,1))),H3*(1+Assumptions!$C$7)^2,0)</f>
        <v/>
      </c>
      <c r="AP3" s="289">
        <f>IF(AND(F3&lt;=DATE(2027,10,1),OR(G3="",G3&gt;=DATE(2027,10,1))),H3*(1+Assumptions!$C$7)^2,0)</f>
        <v/>
      </c>
      <c r="AQ3" s="289">
        <f>IF(AND(F3&lt;=DATE(2027,11,1),OR(G3="",G3&gt;=DATE(2027,11,1))),H3*(1+Assumptions!$C$7)^2,0)</f>
        <v/>
      </c>
      <c r="AR3" s="289">
        <f>IF(AND(F3&lt;=DATE(2027,12,1),OR(G3="",G3&gt;=DATE(2027,12,1))),H3*(1+Assumptions!$C$7)^2,0)</f>
        <v/>
      </c>
      <c r="AS3" s="289">
        <f>IF(AND(F3&lt;=DATE(2028,1,1),OR(G3="",G3&gt;=DATE(2028,1,1))),H3*(1+Assumptions!$C$7)^3,0)</f>
        <v/>
      </c>
      <c r="AT3" s="289">
        <f>IF(AND(F3&lt;=DATE(2028,2,1),OR(G3="",G3&gt;=DATE(2028,2,1))),H3*(1+Assumptions!$C$7)^3,0)</f>
        <v/>
      </c>
      <c r="AU3" s="289">
        <f>IF(AND(F3&lt;=DATE(2028,3,1),OR(G3="",G3&gt;=DATE(2028,3,1))),H3*(1+Assumptions!$C$7)^3,0)</f>
        <v/>
      </c>
      <c r="AV3" s="289">
        <f>IF(AND(F3&lt;=DATE(2028,4,1),OR(G3="",G3&gt;=DATE(2028,4,1))),H3*(1+Assumptions!$C$7)^3,0)</f>
        <v/>
      </c>
      <c r="AW3" s="289">
        <f>IF(AND(F3&lt;=DATE(2028,5,1),OR(G3="",G3&gt;=DATE(2028,5,1))),H3*(1+Assumptions!$C$7)^3,0)</f>
        <v/>
      </c>
      <c r="AX3" s="289">
        <f>IF(AND(F3&lt;=DATE(2028,6,1),OR(G3="",G3&gt;=DATE(2028,6,1))),H3*(1+Assumptions!$C$7)^3,0)</f>
        <v/>
      </c>
      <c r="AY3" s="289">
        <f>IF(AND(F3&lt;=DATE(2028,7,1),OR(G3="",G3&gt;=DATE(2028,7,1))),H3*(1+Assumptions!$C$7)^3,0)</f>
        <v/>
      </c>
      <c r="AZ3" s="289">
        <f>IF(AND(F3&lt;=DATE(2028,8,1),OR(G3="",G3&gt;=DATE(2028,8,1))),H3*(1+Assumptions!$C$7)^3,0)</f>
        <v/>
      </c>
      <c r="BA3" s="289">
        <f>IF(AND(F3&lt;=DATE(2028,9,1),OR(G3="",G3&gt;=DATE(2028,9,1))),H3*(1+Assumptions!$C$7)^3,0)</f>
        <v/>
      </c>
      <c r="BB3" s="289">
        <f>IF(AND(F3&lt;=DATE(2028,10,1),OR(G3="",G3&gt;=DATE(2028,10,1))),H3*(1+Assumptions!$C$7)^3,0)</f>
        <v/>
      </c>
      <c r="BC3" s="289">
        <f>IF(AND(F3&lt;=DATE(2028,11,1),OR(G3="",G3&gt;=DATE(2028,11,1))),H3*(1+Assumptions!$C$7)^3,0)</f>
        <v/>
      </c>
      <c r="BD3" s="289">
        <f>IF(AND(F3&lt;=DATE(2028,12,1),OR(G3="",G3&gt;=DATE(2028,12,1))),H3*(1+Assumptions!$C$7)^3,0)</f>
        <v/>
      </c>
      <c r="BE3" s="289">
        <f>IF(AND(F3&lt;=DATE(2029,1,1),OR(G3="",G3&gt;=DATE(2029,1,1))),H3*(1+Assumptions!$C$7)^4,0)</f>
        <v/>
      </c>
      <c r="BF3" s="289">
        <f>IF(AND(F3&lt;=DATE(2029,2,1),OR(G3="",G3&gt;=DATE(2029,2,1))),H3*(1+Assumptions!$C$7)^4,0)</f>
        <v/>
      </c>
      <c r="BG3" s="289">
        <f>IF(AND(F3&lt;=DATE(2029,3,1),OR(G3="",G3&gt;=DATE(2029,3,1))),H3*(1+Assumptions!$C$7)^4,0)</f>
        <v/>
      </c>
      <c r="BH3" s="289">
        <f>IF(AND(F3&lt;=DATE(2029,4,1),OR(G3="",G3&gt;=DATE(2029,4,1))),H3*(1+Assumptions!$C$7)^4,0)</f>
        <v/>
      </c>
      <c r="BI3" s="289">
        <f>IF(AND(F3&lt;=DATE(2029,5,1),OR(G3="",G3&gt;=DATE(2029,5,1))),H3*(1+Assumptions!$C$7)^4,0)</f>
        <v/>
      </c>
      <c r="BJ3" s="289">
        <f>IF(AND(F3&lt;=DATE(2029,6,1),OR(G3="",G3&gt;=DATE(2029,6,1))),H3*(1+Assumptions!$C$7)^4,0)</f>
        <v/>
      </c>
      <c r="BK3" s="289">
        <f>IF(AND(F3&lt;=DATE(2029,7,1),OR(G3="",G3&gt;=DATE(2029,7,1))),H3*(1+Assumptions!$C$7)^4,0)</f>
        <v/>
      </c>
      <c r="BL3" s="289">
        <f>IF(AND(F3&lt;=DATE(2029,8,1),OR(G3="",G3&gt;=DATE(2029,8,1))),H3*(1+Assumptions!$C$7)^4,0)</f>
        <v/>
      </c>
      <c r="BM3" s="289">
        <f>IF(AND(F3&lt;=DATE(2029,9,1),OR(G3="",G3&gt;=DATE(2029,9,1))),H3*(1+Assumptions!$C$7)^4,0)</f>
        <v/>
      </c>
      <c r="BN3" s="289">
        <f>IF(AND(F3&lt;=DATE(2029,10,1),OR(G3="",G3&gt;=DATE(2029,10,1))),H3*(1+Assumptions!$C$7)^4,0)</f>
        <v/>
      </c>
      <c r="BO3" s="289">
        <f>IF(AND(F3&lt;=DATE(2029,11,1),OR(G3="",G3&gt;=DATE(2029,11,1))),H3*(1+Assumptions!$C$7)^4,0)</f>
        <v/>
      </c>
      <c r="BP3" s="289">
        <f>IF(AND(F3&lt;=DATE(2029,12,1),OR(G3="",G3&gt;=DATE(2029,12,1))),H3*(1+Assumptions!$C$7)^4,0)</f>
        <v/>
      </c>
      <c r="BQ3" s="295" t="n"/>
      <c r="BR3" s="350" t="inlineStr">
        <is>
          <t>paid this month if started and not yet left; +8% each calendar year</t>
        </is>
      </c>
      <c r="BS3" s="295" t="n"/>
      <c r="BT3" s="295" t="n"/>
    </row>
    <row r="4">
      <c r="A4" s="296" t="n">
        <v>2</v>
      </c>
      <c r="B4" s="284" t="inlineStr">
        <is>
          <t>Project manager</t>
        </is>
      </c>
      <c r="C4" s="285" t="inlineStr">
        <is>
          <t>R&amp;D</t>
        </is>
      </c>
      <c r="D4" s="285" t="inlineStr">
        <is>
          <t>R&amp;D Engineer</t>
        </is>
      </c>
      <c r="E4" s="297" t="inlineStr">
        <is>
          <t>Current</t>
        </is>
      </c>
      <c r="F4" s="318" t="n">
        <v>45901</v>
      </c>
      <c r="G4" s="298" t="n"/>
      <c r="H4" s="288" t="n">
        <v>7500</v>
      </c>
      <c r="I4" s="299">
        <f>IF(AND(F4&lt;=DATE(2025,1,1),OR(G4="",G4&gt;=DATE(2025,1,1))),H4*(1+Assumptions!$C$7)^0,0)</f>
        <v/>
      </c>
      <c r="J4" s="299">
        <f>IF(AND(F4&lt;=DATE(2025,2,1),OR(G4="",G4&gt;=DATE(2025,2,1))),H4*(1+Assumptions!$C$7)^0,0)</f>
        <v/>
      </c>
      <c r="K4" s="299">
        <f>IF(AND(F4&lt;=DATE(2025,3,1),OR(G4="",G4&gt;=DATE(2025,3,1))),H4*(1+Assumptions!$C$7)^0,0)</f>
        <v/>
      </c>
      <c r="L4" s="299">
        <f>IF(AND(F4&lt;=DATE(2025,4,1),OR(G4="",G4&gt;=DATE(2025,4,1))),H4*(1+Assumptions!$C$7)^0,0)</f>
        <v/>
      </c>
      <c r="M4" s="299">
        <f>IF(AND(F4&lt;=DATE(2025,5,1),OR(G4="",G4&gt;=DATE(2025,5,1))),H4*(1+Assumptions!$C$7)^0,0)</f>
        <v/>
      </c>
      <c r="N4" s="299">
        <f>IF(AND(F4&lt;=DATE(2025,6,1),OR(G4="",G4&gt;=DATE(2025,6,1))),H4*(1+Assumptions!$C$7)^0,0)</f>
        <v/>
      </c>
      <c r="O4" s="299">
        <f>IF(AND(F4&lt;=DATE(2025,7,1),OR(G4="",G4&gt;=DATE(2025,7,1))),H4*(1+Assumptions!$C$7)^0,0)</f>
        <v/>
      </c>
      <c r="P4" s="299">
        <f>IF(AND(F4&lt;=DATE(2025,8,1),OR(G4="",G4&gt;=DATE(2025,8,1))),H4*(1+Assumptions!$C$7)^0,0)</f>
        <v/>
      </c>
      <c r="Q4" s="299">
        <f>IF(AND(F4&lt;=DATE(2025,9,1),OR(G4="",G4&gt;=DATE(2025,9,1))),H4*(1+Assumptions!$C$7)^0,0)</f>
        <v/>
      </c>
      <c r="R4" s="299">
        <f>IF(AND(F4&lt;=DATE(2025,10,1),OR(G4="",G4&gt;=DATE(2025,10,1))),H4*(1+Assumptions!$C$7)^0,0)</f>
        <v/>
      </c>
      <c r="S4" s="299">
        <f>IF(AND(F4&lt;=DATE(2025,11,1),OR(G4="",G4&gt;=DATE(2025,11,1))),H4*(1+Assumptions!$C$7)^0,0)</f>
        <v/>
      </c>
      <c r="T4" s="299">
        <f>IF(AND(F4&lt;=DATE(2025,12,1),OR(G4="",G4&gt;=DATE(2025,12,1))),H4*(1+Assumptions!$C$7)^0,0)</f>
        <v/>
      </c>
      <c r="U4" s="299">
        <f>IF(AND(F4&lt;=DATE(2026,1,1),OR(G4="",G4&gt;=DATE(2026,1,1))),H4*(1+Assumptions!$C$7)^1,0)</f>
        <v/>
      </c>
      <c r="V4" s="299">
        <f>IF(AND(F4&lt;=DATE(2026,2,1),OR(G4="",G4&gt;=DATE(2026,2,1))),H4*(1+Assumptions!$C$7)^1,0)</f>
        <v/>
      </c>
      <c r="W4" s="299">
        <f>IF(AND(F4&lt;=DATE(2026,3,1),OR(G4="",G4&gt;=DATE(2026,3,1))),H4*(1+Assumptions!$C$7)^1,0)</f>
        <v/>
      </c>
      <c r="X4" s="299">
        <f>IF(AND(F4&lt;=DATE(2026,4,1),OR(G4="",G4&gt;=DATE(2026,4,1))),H4*(1+Assumptions!$C$7)^1,0)</f>
        <v/>
      </c>
      <c r="Y4" s="299">
        <f>IF(AND(F4&lt;=DATE(2026,5,1),OR(G4="",G4&gt;=DATE(2026,5,1))),H4*(1+Assumptions!$C$7)^1,0)</f>
        <v/>
      </c>
      <c r="Z4" s="299">
        <f>IF(AND(F4&lt;=DATE(2026,6,1),OR(G4="",G4&gt;=DATE(2026,6,1))),H4*(1+Assumptions!$C$7)^1,0)</f>
        <v/>
      </c>
      <c r="AA4" s="299">
        <f>IF(AND(F4&lt;=DATE(2026,7,1),OR(G4="",G4&gt;=DATE(2026,7,1))),H4*(1+Assumptions!$C$7)^1,0)</f>
        <v/>
      </c>
      <c r="AB4" s="299">
        <f>IF(AND(F4&lt;=DATE(2026,8,1),OR(G4="",G4&gt;=DATE(2026,8,1))),H4*(1+Assumptions!$C$7)^1,0)</f>
        <v/>
      </c>
      <c r="AC4" s="299">
        <f>IF(AND(F4&lt;=DATE(2026,9,1),OR(G4="",G4&gt;=DATE(2026,9,1))),H4*(1+Assumptions!$C$7)^1,0)</f>
        <v/>
      </c>
      <c r="AD4" s="299">
        <f>IF(AND(F4&lt;=DATE(2026,10,1),OR(G4="",G4&gt;=DATE(2026,10,1))),H4*(1+Assumptions!$C$7)^1,0)</f>
        <v/>
      </c>
      <c r="AE4" s="299">
        <f>IF(AND(F4&lt;=DATE(2026,11,1),OR(G4="",G4&gt;=DATE(2026,11,1))),H4*(1+Assumptions!$C$7)^1,0)</f>
        <v/>
      </c>
      <c r="AF4" s="299">
        <f>IF(AND(F4&lt;=DATE(2026,12,1),OR(G4="",G4&gt;=DATE(2026,12,1))),H4*(1+Assumptions!$C$7)^1,0)</f>
        <v/>
      </c>
      <c r="AG4" s="299">
        <f>IF(AND(F4&lt;=DATE(2027,1,1),OR(G4="",G4&gt;=DATE(2027,1,1))),H4*(1+Assumptions!$C$7)^2,0)</f>
        <v/>
      </c>
      <c r="AH4" s="299">
        <f>IF(AND(F4&lt;=DATE(2027,2,1),OR(G4="",G4&gt;=DATE(2027,2,1))),H4*(1+Assumptions!$C$7)^2,0)</f>
        <v/>
      </c>
      <c r="AI4" s="299">
        <f>IF(AND(F4&lt;=DATE(2027,3,1),OR(G4="",G4&gt;=DATE(2027,3,1))),H4*(1+Assumptions!$C$7)^2,0)</f>
        <v/>
      </c>
      <c r="AJ4" s="299">
        <f>IF(AND(F4&lt;=DATE(2027,4,1),OR(G4="",G4&gt;=DATE(2027,4,1))),H4*(1+Assumptions!$C$7)^2,0)</f>
        <v/>
      </c>
      <c r="AK4" s="299">
        <f>IF(AND(F4&lt;=DATE(2027,5,1),OR(G4="",G4&gt;=DATE(2027,5,1))),H4*(1+Assumptions!$C$7)^2,0)</f>
        <v/>
      </c>
      <c r="AL4" s="299">
        <f>IF(AND(F4&lt;=DATE(2027,6,1),OR(G4="",G4&gt;=DATE(2027,6,1))),H4*(1+Assumptions!$C$7)^2,0)</f>
        <v/>
      </c>
      <c r="AM4" s="299">
        <f>IF(AND(F4&lt;=DATE(2027,7,1),OR(G4="",G4&gt;=DATE(2027,7,1))),H4*(1+Assumptions!$C$7)^2,0)</f>
        <v/>
      </c>
      <c r="AN4" s="299">
        <f>IF(AND(F4&lt;=DATE(2027,8,1),OR(G4="",G4&gt;=DATE(2027,8,1))),H4*(1+Assumptions!$C$7)^2,0)</f>
        <v/>
      </c>
      <c r="AO4" s="299">
        <f>IF(AND(F4&lt;=DATE(2027,9,1),OR(G4="",G4&gt;=DATE(2027,9,1))),H4*(1+Assumptions!$C$7)^2,0)</f>
        <v/>
      </c>
      <c r="AP4" s="299">
        <f>IF(AND(F4&lt;=DATE(2027,10,1),OR(G4="",G4&gt;=DATE(2027,10,1))),H4*(1+Assumptions!$C$7)^2,0)</f>
        <v/>
      </c>
      <c r="AQ4" s="299">
        <f>IF(AND(F4&lt;=DATE(2027,11,1),OR(G4="",G4&gt;=DATE(2027,11,1))),H4*(1+Assumptions!$C$7)^2,0)</f>
        <v/>
      </c>
      <c r="AR4" s="299">
        <f>IF(AND(F4&lt;=DATE(2027,12,1),OR(G4="",G4&gt;=DATE(2027,12,1))),H4*(1+Assumptions!$C$7)^2,0)</f>
        <v/>
      </c>
      <c r="AS4" s="299">
        <f>IF(AND(F4&lt;=DATE(2028,1,1),OR(G4="",G4&gt;=DATE(2028,1,1))),H4*(1+Assumptions!$C$7)^3,0)</f>
        <v/>
      </c>
      <c r="AT4" s="299">
        <f>IF(AND(F4&lt;=DATE(2028,2,1),OR(G4="",G4&gt;=DATE(2028,2,1))),H4*(1+Assumptions!$C$7)^3,0)</f>
        <v/>
      </c>
      <c r="AU4" s="299">
        <f>IF(AND(F4&lt;=DATE(2028,3,1),OR(G4="",G4&gt;=DATE(2028,3,1))),H4*(1+Assumptions!$C$7)^3,0)</f>
        <v/>
      </c>
      <c r="AV4" s="299">
        <f>IF(AND(F4&lt;=DATE(2028,4,1),OR(G4="",G4&gt;=DATE(2028,4,1))),H4*(1+Assumptions!$C$7)^3,0)</f>
        <v/>
      </c>
      <c r="AW4" s="299">
        <f>IF(AND(F4&lt;=DATE(2028,5,1),OR(G4="",G4&gt;=DATE(2028,5,1))),H4*(1+Assumptions!$C$7)^3,0)</f>
        <v/>
      </c>
      <c r="AX4" s="299">
        <f>IF(AND(F4&lt;=DATE(2028,6,1),OR(G4="",G4&gt;=DATE(2028,6,1))),H4*(1+Assumptions!$C$7)^3,0)</f>
        <v/>
      </c>
      <c r="AY4" s="299">
        <f>IF(AND(F4&lt;=DATE(2028,7,1),OR(G4="",G4&gt;=DATE(2028,7,1))),H4*(1+Assumptions!$C$7)^3,0)</f>
        <v/>
      </c>
      <c r="AZ4" s="299">
        <f>IF(AND(F4&lt;=DATE(2028,8,1),OR(G4="",G4&gt;=DATE(2028,8,1))),H4*(1+Assumptions!$C$7)^3,0)</f>
        <v/>
      </c>
      <c r="BA4" s="299">
        <f>IF(AND(F4&lt;=DATE(2028,9,1),OR(G4="",G4&gt;=DATE(2028,9,1))),H4*(1+Assumptions!$C$7)^3,0)</f>
        <v/>
      </c>
      <c r="BB4" s="299">
        <f>IF(AND(F4&lt;=DATE(2028,10,1),OR(G4="",G4&gt;=DATE(2028,10,1))),H4*(1+Assumptions!$C$7)^3,0)</f>
        <v/>
      </c>
      <c r="BC4" s="299">
        <f>IF(AND(F4&lt;=DATE(2028,11,1),OR(G4="",G4&gt;=DATE(2028,11,1))),H4*(1+Assumptions!$C$7)^3,0)</f>
        <v/>
      </c>
      <c r="BD4" s="299">
        <f>IF(AND(F4&lt;=DATE(2028,12,1),OR(G4="",G4&gt;=DATE(2028,12,1))),H4*(1+Assumptions!$C$7)^3,0)</f>
        <v/>
      </c>
      <c r="BE4" s="299">
        <f>IF(AND(F4&lt;=DATE(2029,1,1),OR(G4="",G4&gt;=DATE(2029,1,1))),H4*(1+Assumptions!$C$7)^4,0)</f>
        <v/>
      </c>
      <c r="BF4" s="299">
        <f>IF(AND(F4&lt;=DATE(2029,2,1),OR(G4="",G4&gt;=DATE(2029,2,1))),H4*(1+Assumptions!$C$7)^4,0)</f>
        <v/>
      </c>
      <c r="BG4" s="299">
        <f>IF(AND(F4&lt;=DATE(2029,3,1),OR(G4="",G4&gt;=DATE(2029,3,1))),H4*(1+Assumptions!$C$7)^4,0)</f>
        <v/>
      </c>
      <c r="BH4" s="299">
        <f>IF(AND(F4&lt;=DATE(2029,4,1),OR(G4="",G4&gt;=DATE(2029,4,1))),H4*(1+Assumptions!$C$7)^4,0)</f>
        <v/>
      </c>
      <c r="BI4" s="299">
        <f>IF(AND(F4&lt;=DATE(2029,5,1),OR(G4="",G4&gt;=DATE(2029,5,1))),H4*(1+Assumptions!$C$7)^4,0)</f>
        <v/>
      </c>
      <c r="BJ4" s="299">
        <f>IF(AND(F4&lt;=DATE(2029,6,1),OR(G4="",G4&gt;=DATE(2029,6,1))),H4*(1+Assumptions!$C$7)^4,0)</f>
        <v/>
      </c>
      <c r="BK4" s="299">
        <f>IF(AND(F4&lt;=DATE(2029,7,1),OR(G4="",G4&gt;=DATE(2029,7,1))),H4*(1+Assumptions!$C$7)^4,0)</f>
        <v/>
      </c>
      <c r="BL4" s="299">
        <f>IF(AND(F4&lt;=DATE(2029,8,1),OR(G4="",G4&gt;=DATE(2029,8,1))),H4*(1+Assumptions!$C$7)^4,0)</f>
        <v/>
      </c>
      <c r="BM4" s="299">
        <f>IF(AND(F4&lt;=DATE(2029,9,1),OR(G4="",G4&gt;=DATE(2029,9,1))),H4*(1+Assumptions!$C$7)^4,0)</f>
        <v/>
      </c>
      <c r="BN4" s="299">
        <f>IF(AND(F4&lt;=DATE(2029,10,1),OR(G4="",G4&gt;=DATE(2029,10,1))),H4*(1+Assumptions!$C$7)^4,0)</f>
        <v/>
      </c>
      <c r="BO4" s="299">
        <f>IF(AND(F4&lt;=DATE(2029,11,1),OR(G4="",G4&gt;=DATE(2029,11,1))),H4*(1+Assumptions!$C$7)^4,0)</f>
        <v/>
      </c>
      <c r="BP4" s="299">
        <f>IF(AND(F4&lt;=DATE(2029,12,1),OR(G4="",G4&gt;=DATE(2029,12,1))),H4*(1+Assumptions!$C$7)^4,0)</f>
        <v/>
      </c>
      <c r="BQ4" s="226" t="n"/>
      <c r="BR4" s="350" t="inlineStr">
        <is>
          <t>paid this month if started and not yet left; +8% each calendar year</t>
        </is>
      </c>
      <c r="BS4" s="226" t="n"/>
      <c r="BT4" s="226" t="n"/>
    </row>
    <row r="5">
      <c r="A5" s="309" t="n">
        <v>3</v>
      </c>
      <c r="B5" s="284" t="inlineStr">
        <is>
          <t>R&amp;D Engineer</t>
        </is>
      </c>
      <c r="C5" s="23" t="inlineStr">
        <is>
          <t>R&amp;D</t>
        </is>
      </c>
      <c r="D5" s="23" t="inlineStr">
        <is>
          <t>R&amp;D Engineer</t>
        </is>
      </c>
      <c r="E5" s="310" t="inlineStr">
        <is>
          <t>Current</t>
        </is>
      </c>
      <c r="F5" s="318" t="n">
        <v>45901</v>
      </c>
      <c r="G5" s="311" t="n"/>
      <c r="H5" s="288" t="n">
        <v>3000</v>
      </c>
      <c r="I5" s="289">
        <f>IF(AND(F5&lt;=DATE(2025,1,1),OR(G5="",G5&gt;=DATE(2025,1,1))),H5*(1+Assumptions!$C$7)^0,0)</f>
        <v/>
      </c>
      <c r="J5" s="289">
        <f>IF(AND(F5&lt;=DATE(2025,2,1),OR(G5="",G5&gt;=DATE(2025,2,1))),H5*(1+Assumptions!$C$7)^0,0)</f>
        <v/>
      </c>
      <c r="K5" s="289">
        <f>IF(AND(F5&lt;=DATE(2025,3,1),OR(G5="",G5&gt;=DATE(2025,3,1))),H5*(1+Assumptions!$C$7)^0,0)</f>
        <v/>
      </c>
      <c r="L5" s="289">
        <f>IF(AND(F5&lt;=DATE(2025,4,1),OR(G5="",G5&gt;=DATE(2025,4,1))),H5*(1+Assumptions!$C$7)^0,0)</f>
        <v/>
      </c>
      <c r="M5" s="289">
        <f>IF(AND(F5&lt;=DATE(2025,5,1),OR(G5="",G5&gt;=DATE(2025,5,1))),H5*(1+Assumptions!$C$7)^0,0)</f>
        <v/>
      </c>
      <c r="N5" s="289">
        <f>IF(AND(F5&lt;=DATE(2025,6,1),OR(G5="",G5&gt;=DATE(2025,6,1))),H5*(1+Assumptions!$C$7)^0,0)</f>
        <v/>
      </c>
      <c r="O5" s="289">
        <f>IF(AND(F5&lt;=DATE(2025,7,1),OR(G5="",G5&gt;=DATE(2025,7,1))),H5*(1+Assumptions!$C$7)^0,0)</f>
        <v/>
      </c>
      <c r="P5" s="289">
        <f>IF(AND(F5&lt;=DATE(2025,8,1),OR(G5="",G5&gt;=DATE(2025,8,1))),H5*(1+Assumptions!$C$7)^0,0)</f>
        <v/>
      </c>
      <c r="Q5" s="289">
        <f>IF(AND(F5&lt;=DATE(2025,9,1),OR(G5="",G5&gt;=DATE(2025,9,1))),H5*(1+Assumptions!$C$7)^0,0)</f>
        <v/>
      </c>
      <c r="R5" s="289">
        <f>IF(AND(F5&lt;=DATE(2025,10,1),OR(G5="",G5&gt;=DATE(2025,10,1))),H5*(1+Assumptions!$C$7)^0,0)</f>
        <v/>
      </c>
      <c r="S5" s="289">
        <f>IF(AND(F5&lt;=DATE(2025,11,1),OR(G5="",G5&gt;=DATE(2025,11,1))),H5*(1+Assumptions!$C$7)^0,0)</f>
        <v/>
      </c>
      <c r="T5" s="289">
        <f>IF(AND(F5&lt;=DATE(2025,12,1),OR(G5="",G5&gt;=DATE(2025,12,1))),H5*(1+Assumptions!$C$7)^0,0)</f>
        <v/>
      </c>
      <c r="U5" s="289">
        <f>IF(AND(F5&lt;=DATE(2026,1,1),OR(G5="",G5&gt;=DATE(2026,1,1))),H5*(1+Assumptions!$C$7)^1,0)</f>
        <v/>
      </c>
      <c r="V5" s="289">
        <f>IF(AND(F5&lt;=DATE(2026,2,1),OR(G5="",G5&gt;=DATE(2026,2,1))),H5*(1+Assumptions!$C$7)^1,0)</f>
        <v/>
      </c>
      <c r="W5" s="289">
        <f>IF(AND(F5&lt;=DATE(2026,3,1),OR(G5="",G5&gt;=DATE(2026,3,1))),H5*(1+Assumptions!$C$7)^1,0)</f>
        <v/>
      </c>
      <c r="X5" s="289">
        <f>IF(AND(F5&lt;=DATE(2026,4,1),OR(G5="",G5&gt;=DATE(2026,4,1))),H5*(1+Assumptions!$C$7)^1,0)</f>
        <v/>
      </c>
      <c r="Y5" s="289">
        <f>IF(AND(F5&lt;=DATE(2026,5,1),OR(G5="",G5&gt;=DATE(2026,5,1))),H5*(1+Assumptions!$C$7)^1,0)</f>
        <v/>
      </c>
      <c r="Z5" s="289">
        <f>IF(AND(F5&lt;=DATE(2026,6,1),OR(G5="",G5&gt;=DATE(2026,6,1))),H5*(1+Assumptions!$C$7)^1,0)</f>
        <v/>
      </c>
      <c r="AA5" s="289">
        <f>IF(AND(F5&lt;=DATE(2026,7,1),OR(G5="",G5&gt;=DATE(2026,7,1))),H5*(1+Assumptions!$C$7)^1,0)</f>
        <v/>
      </c>
      <c r="AB5" s="289">
        <f>IF(AND(F5&lt;=DATE(2026,8,1),OR(G5="",G5&gt;=DATE(2026,8,1))),H5*(1+Assumptions!$C$7)^1,0)</f>
        <v/>
      </c>
      <c r="AC5" s="289">
        <f>IF(AND(F5&lt;=DATE(2026,9,1),OR(G5="",G5&gt;=DATE(2026,9,1))),H5*(1+Assumptions!$C$7)^1,0)</f>
        <v/>
      </c>
      <c r="AD5" s="289">
        <f>IF(AND(F5&lt;=DATE(2026,10,1),OR(G5="",G5&gt;=DATE(2026,10,1))),H5*(1+Assumptions!$C$7)^1,0)</f>
        <v/>
      </c>
      <c r="AE5" s="289">
        <f>IF(AND(F5&lt;=DATE(2026,11,1),OR(G5="",G5&gt;=DATE(2026,11,1))),H5*(1+Assumptions!$C$7)^1,0)</f>
        <v/>
      </c>
      <c r="AF5" s="289">
        <f>IF(AND(F5&lt;=DATE(2026,12,1),OR(G5="",G5&gt;=DATE(2026,12,1))),H5*(1+Assumptions!$C$7)^1,0)</f>
        <v/>
      </c>
      <c r="AG5" s="289">
        <f>IF(AND(F5&lt;=DATE(2027,1,1),OR(G5="",G5&gt;=DATE(2027,1,1))),H5*(1+Assumptions!$C$7)^2,0)</f>
        <v/>
      </c>
      <c r="AH5" s="289">
        <f>IF(AND(F5&lt;=DATE(2027,2,1),OR(G5="",G5&gt;=DATE(2027,2,1))),H5*(1+Assumptions!$C$7)^2,0)</f>
        <v/>
      </c>
      <c r="AI5" s="289">
        <f>IF(AND(F5&lt;=DATE(2027,3,1),OR(G5="",G5&gt;=DATE(2027,3,1))),H5*(1+Assumptions!$C$7)^2,0)</f>
        <v/>
      </c>
      <c r="AJ5" s="289">
        <f>IF(AND(F5&lt;=DATE(2027,4,1),OR(G5="",G5&gt;=DATE(2027,4,1))),H5*(1+Assumptions!$C$7)^2,0)</f>
        <v/>
      </c>
      <c r="AK5" s="289">
        <f>IF(AND(F5&lt;=DATE(2027,5,1),OR(G5="",G5&gt;=DATE(2027,5,1))),H5*(1+Assumptions!$C$7)^2,0)</f>
        <v/>
      </c>
      <c r="AL5" s="289">
        <f>IF(AND(F5&lt;=DATE(2027,6,1),OR(G5="",G5&gt;=DATE(2027,6,1))),H5*(1+Assumptions!$C$7)^2,0)</f>
        <v/>
      </c>
      <c r="AM5" s="289">
        <f>IF(AND(F5&lt;=DATE(2027,7,1),OR(G5="",G5&gt;=DATE(2027,7,1))),H5*(1+Assumptions!$C$7)^2,0)</f>
        <v/>
      </c>
      <c r="AN5" s="289">
        <f>IF(AND(F5&lt;=DATE(2027,8,1),OR(G5="",G5&gt;=DATE(2027,8,1))),H5*(1+Assumptions!$C$7)^2,0)</f>
        <v/>
      </c>
      <c r="AO5" s="289">
        <f>IF(AND(F5&lt;=DATE(2027,9,1),OR(G5="",G5&gt;=DATE(2027,9,1))),H5*(1+Assumptions!$C$7)^2,0)</f>
        <v/>
      </c>
      <c r="AP5" s="289">
        <f>IF(AND(F5&lt;=DATE(2027,10,1),OR(G5="",G5&gt;=DATE(2027,10,1))),H5*(1+Assumptions!$C$7)^2,0)</f>
        <v/>
      </c>
      <c r="AQ5" s="289">
        <f>IF(AND(F5&lt;=DATE(2027,11,1),OR(G5="",G5&gt;=DATE(2027,11,1))),H5*(1+Assumptions!$C$7)^2,0)</f>
        <v/>
      </c>
      <c r="AR5" s="289">
        <f>IF(AND(F5&lt;=DATE(2027,12,1),OR(G5="",G5&gt;=DATE(2027,12,1))),H5*(1+Assumptions!$C$7)^2,0)</f>
        <v/>
      </c>
      <c r="AS5" s="289">
        <f>IF(AND(F5&lt;=DATE(2028,1,1),OR(G5="",G5&gt;=DATE(2028,1,1))),H5*(1+Assumptions!$C$7)^3,0)</f>
        <v/>
      </c>
      <c r="AT5" s="289">
        <f>IF(AND(F5&lt;=DATE(2028,2,1),OR(G5="",G5&gt;=DATE(2028,2,1))),H5*(1+Assumptions!$C$7)^3,0)</f>
        <v/>
      </c>
      <c r="AU5" s="289">
        <f>IF(AND(F5&lt;=DATE(2028,3,1),OR(G5="",G5&gt;=DATE(2028,3,1))),H5*(1+Assumptions!$C$7)^3,0)</f>
        <v/>
      </c>
      <c r="AV5" s="289">
        <f>IF(AND(F5&lt;=DATE(2028,4,1),OR(G5="",G5&gt;=DATE(2028,4,1))),H5*(1+Assumptions!$C$7)^3,0)</f>
        <v/>
      </c>
      <c r="AW5" s="289">
        <f>IF(AND(F5&lt;=DATE(2028,5,1),OR(G5="",G5&gt;=DATE(2028,5,1))),H5*(1+Assumptions!$C$7)^3,0)</f>
        <v/>
      </c>
      <c r="AX5" s="289">
        <f>IF(AND(F5&lt;=DATE(2028,6,1),OR(G5="",G5&gt;=DATE(2028,6,1))),H5*(1+Assumptions!$C$7)^3,0)</f>
        <v/>
      </c>
      <c r="AY5" s="289">
        <f>IF(AND(F5&lt;=DATE(2028,7,1),OR(G5="",G5&gt;=DATE(2028,7,1))),H5*(1+Assumptions!$C$7)^3,0)</f>
        <v/>
      </c>
      <c r="AZ5" s="289">
        <f>IF(AND(F5&lt;=DATE(2028,8,1),OR(G5="",G5&gt;=DATE(2028,8,1))),H5*(1+Assumptions!$C$7)^3,0)</f>
        <v/>
      </c>
      <c r="BA5" s="289">
        <f>IF(AND(F5&lt;=DATE(2028,9,1),OR(G5="",G5&gt;=DATE(2028,9,1))),H5*(1+Assumptions!$C$7)^3,0)</f>
        <v/>
      </c>
      <c r="BB5" s="289">
        <f>IF(AND(F5&lt;=DATE(2028,10,1),OR(G5="",G5&gt;=DATE(2028,10,1))),H5*(1+Assumptions!$C$7)^3,0)</f>
        <v/>
      </c>
      <c r="BC5" s="289">
        <f>IF(AND(F5&lt;=DATE(2028,11,1),OR(G5="",G5&gt;=DATE(2028,11,1))),H5*(1+Assumptions!$C$7)^3,0)</f>
        <v/>
      </c>
      <c r="BD5" s="289">
        <f>IF(AND(F5&lt;=DATE(2028,12,1),OR(G5="",G5&gt;=DATE(2028,12,1))),H5*(1+Assumptions!$C$7)^3,0)</f>
        <v/>
      </c>
      <c r="BE5" s="289">
        <f>IF(AND(F5&lt;=DATE(2029,1,1),OR(G5="",G5&gt;=DATE(2029,1,1))),H5*(1+Assumptions!$C$7)^4,0)</f>
        <v/>
      </c>
      <c r="BF5" s="289">
        <f>IF(AND(F5&lt;=DATE(2029,2,1),OR(G5="",G5&gt;=DATE(2029,2,1))),H5*(1+Assumptions!$C$7)^4,0)</f>
        <v/>
      </c>
      <c r="BG5" s="289">
        <f>IF(AND(F5&lt;=DATE(2029,3,1),OR(G5="",G5&gt;=DATE(2029,3,1))),H5*(1+Assumptions!$C$7)^4,0)</f>
        <v/>
      </c>
      <c r="BH5" s="289">
        <f>IF(AND(F5&lt;=DATE(2029,4,1),OR(G5="",G5&gt;=DATE(2029,4,1))),H5*(1+Assumptions!$C$7)^4,0)</f>
        <v/>
      </c>
      <c r="BI5" s="289">
        <f>IF(AND(F5&lt;=DATE(2029,5,1),OR(G5="",G5&gt;=DATE(2029,5,1))),H5*(1+Assumptions!$C$7)^4,0)</f>
        <v/>
      </c>
      <c r="BJ5" s="289">
        <f>IF(AND(F5&lt;=DATE(2029,6,1),OR(G5="",G5&gt;=DATE(2029,6,1))),H5*(1+Assumptions!$C$7)^4,0)</f>
        <v/>
      </c>
      <c r="BK5" s="289">
        <f>IF(AND(F5&lt;=DATE(2029,7,1),OR(G5="",G5&gt;=DATE(2029,7,1))),H5*(1+Assumptions!$C$7)^4,0)</f>
        <v/>
      </c>
      <c r="BL5" s="289">
        <f>IF(AND(F5&lt;=DATE(2029,8,1),OR(G5="",G5&gt;=DATE(2029,8,1))),H5*(1+Assumptions!$C$7)^4,0)</f>
        <v/>
      </c>
      <c r="BM5" s="289">
        <f>IF(AND(F5&lt;=DATE(2029,9,1),OR(G5="",G5&gt;=DATE(2029,9,1))),H5*(1+Assumptions!$C$7)^4,0)</f>
        <v/>
      </c>
      <c r="BN5" s="289">
        <f>IF(AND(F5&lt;=DATE(2029,10,1),OR(G5="",G5&gt;=DATE(2029,10,1))),H5*(1+Assumptions!$C$7)^4,0)</f>
        <v/>
      </c>
      <c r="BO5" s="289">
        <f>IF(AND(F5&lt;=DATE(2029,11,1),OR(G5="",G5&gt;=DATE(2029,11,1))),H5*(1+Assumptions!$C$7)^4,0)</f>
        <v/>
      </c>
      <c r="BP5" s="289">
        <f>IF(AND(F5&lt;=DATE(2029,12,1),OR(G5="",G5&gt;=DATE(2029,12,1))),H5*(1+Assumptions!$C$7)^4,0)</f>
        <v/>
      </c>
      <c r="BQ5" s="226" t="n"/>
      <c r="BR5" s="350" t="inlineStr">
        <is>
          <t>paid this month if started and not yet left; +8% each calendar year</t>
        </is>
      </c>
      <c r="BS5" s="226" t="n"/>
      <c r="BT5" s="226" t="n"/>
    </row>
    <row r="6">
      <c r="A6" s="296" t="n">
        <v>4</v>
      </c>
      <c r="B6" s="284" t="inlineStr">
        <is>
          <t>R&amp;D Engineer</t>
        </is>
      </c>
      <c r="C6" s="285" t="inlineStr">
        <is>
          <t>R&amp;D</t>
        </is>
      </c>
      <c r="D6" s="285" t="inlineStr">
        <is>
          <t>R&amp;D Engineer</t>
        </is>
      </c>
      <c r="E6" s="297" t="inlineStr">
        <is>
          <t>Current</t>
        </is>
      </c>
      <c r="F6" s="318" t="n">
        <v>45901</v>
      </c>
      <c r="G6" s="298" t="n"/>
      <c r="H6" s="288" t="n">
        <v>6000</v>
      </c>
      <c r="I6" s="299">
        <f>IF(AND(F6&lt;=DATE(2025,1,1),OR(G6="",G6&gt;=DATE(2025,1,1))),H6*(1+Assumptions!$C$7)^0,0)</f>
        <v/>
      </c>
      <c r="J6" s="299">
        <f>IF(AND(F6&lt;=DATE(2025,2,1),OR(G6="",G6&gt;=DATE(2025,2,1))),H6*(1+Assumptions!$C$7)^0,0)</f>
        <v/>
      </c>
      <c r="K6" s="299">
        <f>IF(AND(F6&lt;=DATE(2025,3,1),OR(G6="",G6&gt;=DATE(2025,3,1))),H6*(1+Assumptions!$C$7)^0,0)</f>
        <v/>
      </c>
      <c r="L6" s="299">
        <f>IF(AND(F6&lt;=DATE(2025,4,1),OR(G6="",G6&gt;=DATE(2025,4,1))),H6*(1+Assumptions!$C$7)^0,0)</f>
        <v/>
      </c>
      <c r="M6" s="299">
        <f>IF(AND(F6&lt;=DATE(2025,5,1),OR(G6="",G6&gt;=DATE(2025,5,1))),H6*(1+Assumptions!$C$7)^0,0)</f>
        <v/>
      </c>
      <c r="N6" s="299">
        <f>IF(AND(F6&lt;=DATE(2025,6,1),OR(G6="",G6&gt;=DATE(2025,6,1))),H6*(1+Assumptions!$C$7)^0,0)</f>
        <v/>
      </c>
      <c r="O6" s="299">
        <f>IF(AND(F6&lt;=DATE(2025,7,1),OR(G6="",G6&gt;=DATE(2025,7,1))),H6*(1+Assumptions!$C$7)^0,0)</f>
        <v/>
      </c>
      <c r="P6" s="299">
        <f>IF(AND(F6&lt;=DATE(2025,8,1),OR(G6="",G6&gt;=DATE(2025,8,1))),H6*(1+Assumptions!$C$7)^0,0)</f>
        <v/>
      </c>
      <c r="Q6" s="299">
        <f>IF(AND(F6&lt;=DATE(2025,9,1),OR(G6="",G6&gt;=DATE(2025,9,1))),H6*(1+Assumptions!$C$7)^0,0)</f>
        <v/>
      </c>
      <c r="R6" s="299">
        <f>IF(AND(F6&lt;=DATE(2025,10,1),OR(G6="",G6&gt;=DATE(2025,10,1))),H6*(1+Assumptions!$C$7)^0,0)</f>
        <v/>
      </c>
      <c r="S6" s="299">
        <f>IF(AND(F6&lt;=DATE(2025,11,1),OR(G6="",G6&gt;=DATE(2025,11,1))),H6*(1+Assumptions!$C$7)^0,0)</f>
        <v/>
      </c>
      <c r="T6" s="299">
        <f>IF(AND(F6&lt;=DATE(2025,12,1),OR(G6="",G6&gt;=DATE(2025,12,1))),H6*(1+Assumptions!$C$7)^0,0)</f>
        <v/>
      </c>
      <c r="U6" s="299">
        <f>IF(AND(F6&lt;=DATE(2026,1,1),OR(G6="",G6&gt;=DATE(2026,1,1))),H6*(1+Assumptions!$C$7)^1,0)</f>
        <v/>
      </c>
      <c r="V6" s="299">
        <f>IF(AND(F6&lt;=DATE(2026,2,1),OR(G6="",G6&gt;=DATE(2026,2,1))),H6*(1+Assumptions!$C$7)^1,0)</f>
        <v/>
      </c>
      <c r="W6" s="299">
        <f>IF(AND(F6&lt;=DATE(2026,3,1),OR(G6="",G6&gt;=DATE(2026,3,1))),H6*(1+Assumptions!$C$7)^1,0)</f>
        <v/>
      </c>
      <c r="X6" s="299">
        <f>IF(AND(F6&lt;=DATE(2026,4,1),OR(G6="",G6&gt;=DATE(2026,4,1))),H6*(1+Assumptions!$C$7)^1,0)</f>
        <v/>
      </c>
      <c r="Y6" s="299">
        <f>IF(AND(F6&lt;=DATE(2026,5,1),OR(G6="",G6&gt;=DATE(2026,5,1))),H6*(1+Assumptions!$C$7)^1,0)</f>
        <v/>
      </c>
      <c r="Z6" s="299">
        <f>IF(AND(F6&lt;=DATE(2026,6,1),OR(G6="",G6&gt;=DATE(2026,6,1))),H6*(1+Assumptions!$C$7)^1,0)</f>
        <v/>
      </c>
      <c r="AA6" s="299">
        <f>IF(AND(F6&lt;=DATE(2026,7,1),OR(G6="",G6&gt;=DATE(2026,7,1))),H6*(1+Assumptions!$C$7)^1,0)</f>
        <v/>
      </c>
      <c r="AB6" s="299">
        <f>IF(AND(F6&lt;=DATE(2026,8,1),OR(G6="",G6&gt;=DATE(2026,8,1))),H6*(1+Assumptions!$C$7)^1,0)</f>
        <v/>
      </c>
      <c r="AC6" s="299">
        <f>IF(AND(F6&lt;=DATE(2026,9,1),OR(G6="",G6&gt;=DATE(2026,9,1))),H6*(1+Assumptions!$C$7)^1,0)</f>
        <v/>
      </c>
      <c r="AD6" s="299">
        <f>IF(AND(F6&lt;=DATE(2026,10,1),OR(G6="",G6&gt;=DATE(2026,10,1))),H6*(1+Assumptions!$C$7)^1,0)</f>
        <v/>
      </c>
      <c r="AE6" s="299">
        <f>IF(AND(F6&lt;=DATE(2026,11,1),OR(G6="",G6&gt;=DATE(2026,11,1))),H6*(1+Assumptions!$C$7)^1,0)</f>
        <v/>
      </c>
      <c r="AF6" s="299">
        <f>IF(AND(F6&lt;=DATE(2026,12,1),OR(G6="",G6&gt;=DATE(2026,12,1))),H6*(1+Assumptions!$C$7)^1,0)</f>
        <v/>
      </c>
      <c r="AG6" s="299">
        <f>IF(AND(F6&lt;=DATE(2027,1,1),OR(G6="",G6&gt;=DATE(2027,1,1))),H6*(1+Assumptions!$C$7)^2,0)</f>
        <v/>
      </c>
      <c r="AH6" s="299">
        <f>IF(AND(F6&lt;=DATE(2027,2,1),OR(G6="",G6&gt;=DATE(2027,2,1))),H6*(1+Assumptions!$C$7)^2,0)</f>
        <v/>
      </c>
      <c r="AI6" s="299">
        <f>IF(AND(F6&lt;=DATE(2027,3,1),OR(G6="",G6&gt;=DATE(2027,3,1))),H6*(1+Assumptions!$C$7)^2,0)</f>
        <v/>
      </c>
      <c r="AJ6" s="299">
        <f>IF(AND(F6&lt;=DATE(2027,4,1),OR(G6="",G6&gt;=DATE(2027,4,1))),H6*(1+Assumptions!$C$7)^2,0)</f>
        <v/>
      </c>
      <c r="AK6" s="299">
        <f>IF(AND(F6&lt;=DATE(2027,5,1),OR(G6="",G6&gt;=DATE(2027,5,1))),H6*(1+Assumptions!$C$7)^2,0)</f>
        <v/>
      </c>
      <c r="AL6" s="299">
        <f>IF(AND(F6&lt;=DATE(2027,6,1),OR(G6="",G6&gt;=DATE(2027,6,1))),H6*(1+Assumptions!$C$7)^2,0)</f>
        <v/>
      </c>
      <c r="AM6" s="299">
        <f>IF(AND(F6&lt;=DATE(2027,7,1),OR(G6="",G6&gt;=DATE(2027,7,1))),H6*(1+Assumptions!$C$7)^2,0)</f>
        <v/>
      </c>
      <c r="AN6" s="299">
        <f>IF(AND(F6&lt;=DATE(2027,8,1),OR(G6="",G6&gt;=DATE(2027,8,1))),H6*(1+Assumptions!$C$7)^2,0)</f>
        <v/>
      </c>
      <c r="AO6" s="299">
        <f>IF(AND(F6&lt;=DATE(2027,9,1),OR(G6="",G6&gt;=DATE(2027,9,1))),H6*(1+Assumptions!$C$7)^2,0)</f>
        <v/>
      </c>
      <c r="AP6" s="299">
        <f>IF(AND(F6&lt;=DATE(2027,10,1),OR(G6="",G6&gt;=DATE(2027,10,1))),H6*(1+Assumptions!$C$7)^2,0)</f>
        <v/>
      </c>
      <c r="AQ6" s="299">
        <f>IF(AND(F6&lt;=DATE(2027,11,1),OR(G6="",G6&gt;=DATE(2027,11,1))),H6*(1+Assumptions!$C$7)^2,0)</f>
        <v/>
      </c>
      <c r="AR6" s="299">
        <f>IF(AND(F6&lt;=DATE(2027,12,1),OR(G6="",G6&gt;=DATE(2027,12,1))),H6*(1+Assumptions!$C$7)^2,0)</f>
        <v/>
      </c>
      <c r="AS6" s="299">
        <f>IF(AND(F6&lt;=DATE(2028,1,1),OR(G6="",G6&gt;=DATE(2028,1,1))),H6*(1+Assumptions!$C$7)^3,0)</f>
        <v/>
      </c>
      <c r="AT6" s="299">
        <f>IF(AND(F6&lt;=DATE(2028,2,1),OR(G6="",G6&gt;=DATE(2028,2,1))),H6*(1+Assumptions!$C$7)^3,0)</f>
        <v/>
      </c>
      <c r="AU6" s="299">
        <f>IF(AND(F6&lt;=DATE(2028,3,1),OR(G6="",G6&gt;=DATE(2028,3,1))),H6*(1+Assumptions!$C$7)^3,0)</f>
        <v/>
      </c>
      <c r="AV6" s="299">
        <f>IF(AND(F6&lt;=DATE(2028,4,1),OR(G6="",G6&gt;=DATE(2028,4,1))),H6*(1+Assumptions!$C$7)^3,0)</f>
        <v/>
      </c>
      <c r="AW6" s="299">
        <f>IF(AND(F6&lt;=DATE(2028,5,1),OR(G6="",G6&gt;=DATE(2028,5,1))),H6*(1+Assumptions!$C$7)^3,0)</f>
        <v/>
      </c>
      <c r="AX6" s="299">
        <f>IF(AND(F6&lt;=DATE(2028,6,1),OR(G6="",G6&gt;=DATE(2028,6,1))),H6*(1+Assumptions!$C$7)^3,0)</f>
        <v/>
      </c>
      <c r="AY6" s="299">
        <f>IF(AND(F6&lt;=DATE(2028,7,1),OR(G6="",G6&gt;=DATE(2028,7,1))),H6*(1+Assumptions!$C$7)^3,0)</f>
        <v/>
      </c>
      <c r="AZ6" s="299">
        <f>IF(AND(F6&lt;=DATE(2028,8,1),OR(G6="",G6&gt;=DATE(2028,8,1))),H6*(1+Assumptions!$C$7)^3,0)</f>
        <v/>
      </c>
      <c r="BA6" s="299">
        <f>IF(AND(F6&lt;=DATE(2028,9,1),OR(G6="",G6&gt;=DATE(2028,9,1))),H6*(1+Assumptions!$C$7)^3,0)</f>
        <v/>
      </c>
      <c r="BB6" s="299">
        <f>IF(AND(F6&lt;=DATE(2028,10,1),OR(G6="",G6&gt;=DATE(2028,10,1))),H6*(1+Assumptions!$C$7)^3,0)</f>
        <v/>
      </c>
      <c r="BC6" s="299">
        <f>IF(AND(F6&lt;=DATE(2028,11,1),OR(G6="",G6&gt;=DATE(2028,11,1))),H6*(1+Assumptions!$C$7)^3,0)</f>
        <v/>
      </c>
      <c r="BD6" s="299">
        <f>IF(AND(F6&lt;=DATE(2028,12,1),OR(G6="",G6&gt;=DATE(2028,12,1))),H6*(1+Assumptions!$C$7)^3,0)</f>
        <v/>
      </c>
      <c r="BE6" s="299">
        <f>IF(AND(F6&lt;=DATE(2029,1,1),OR(G6="",G6&gt;=DATE(2029,1,1))),H6*(1+Assumptions!$C$7)^4,0)</f>
        <v/>
      </c>
      <c r="BF6" s="299">
        <f>IF(AND(F6&lt;=DATE(2029,2,1),OR(G6="",G6&gt;=DATE(2029,2,1))),H6*(1+Assumptions!$C$7)^4,0)</f>
        <v/>
      </c>
      <c r="BG6" s="299">
        <f>IF(AND(F6&lt;=DATE(2029,3,1),OR(G6="",G6&gt;=DATE(2029,3,1))),H6*(1+Assumptions!$C$7)^4,0)</f>
        <v/>
      </c>
      <c r="BH6" s="299">
        <f>IF(AND(F6&lt;=DATE(2029,4,1),OR(G6="",G6&gt;=DATE(2029,4,1))),H6*(1+Assumptions!$C$7)^4,0)</f>
        <v/>
      </c>
      <c r="BI6" s="299">
        <f>IF(AND(F6&lt;=DATE(2029,5,1),OR(G6="",G6&gt;=DATE(2029,5,1))),H6*(1+Assumptions!$C$7)^4,0)</f>
        <v/>
      </c>
      <c r="BJ6" s="299">
        <f>IF(AND(F6&lt;=DATE(2029,6,1),OR(G6="",G6&gt;=DATE(2029,6,1))),H6*(1+Assumptions!$C$7)^4,0)</f>
        <v/>
      </c>
      <c r="BK6" s="299">
        <f>IF(AND(F6&lt;=DATE(2029,7,1),OR(G6="",G6&gt;=DATE(2029,7,1))),H6*(1+Assumptions!$C$7)^4,0)</f>
        <v/>
      </c>
      <c r="BL6" s="299">
        <f>IF(AND(F6&lt;=DATE(2029,8,1),OR(G6="",G6&gt;=DATE(2029,8,1))),H6*(1+Assumptions!$C$7)^4,0)</f>
        <v/>
      </c>
      <c r="BM6" s="299">
        <f>IF(AND(F6&lt;=DATE(2029,9,1),OR(G6="",G6&gt;=DATE(2029,9,1))),H6*(1+Assumptions!$C$7)^4,0)</f>
        <v/>
      </c>
      <c r="BN6" s="299">
        <f>IF(AND(F6&lt;=DATE(2029,10,1),OR(G6="",G6&gt;=DATE(2029,10,1))),H6*(1+Assumptions!$C$7)^4,0)</f>
        <v/>
      </c>
      <c r="BO6" s="299">
        <f>IF(AND(F6&lt;=DATE(2029,11,1),OR(G6="",G6&gt;=DATE(2029,11,1))),H6*(1+Assumptions!$C$7)^4,0)</f>
        <v/>
      </c>
      <c r="BP6" s="299">
        <f>IF(AND(F6&lt;=DATE(2029,12,1),OR(G6="",G6&gt;=DATE(2029,12,1))),H6*(1+Assumptions!$C$7)^4,0)</f>
        <v/>
      </c>
      <c r="BQ6" s="226" t="n"/>
      <c r="BR6" s="350" t="inlineStr">
        <is>
          <t>paid this month if started and not yet left; +8% each calendar year</t>
        </is>
      </c>
      <c r="BS6" s="226" t="n"/>
      <c r="BT6" s="226" t="n"/>
    </row>
    <row r="7">
      <c r="A7" s="309" t="n">
        <v>5</v>
      </c>
      <c r="B7" s="312" t="inlineStr">
        <is>
          <t>Firmware Engineer</t>
        </is>
      </c>
      <c r="C7" s="23" t="inlineStr">
        <is>
          <t>R&amp;D</t>
        </is>
      </c>
      <c r="D7" s="23" t="inlineStr">
        <is>
          <t>R&amp;D Engineer</t>
        </is>
      </c>
      <c r="E7" s="310" t="inlineStr">
        <is>
          <t>Current</t>
        </is>
      </c>
      <c r="F7" s="318" t="n">
        <v>45901</v>
      </c>
      <c r="G7" s="311" t="n"/>
      <c r="H7" s="288" t="n">
        <v>7000</v>
      </c>
      <c r="I7" s="289">
        <f>IF(AND(F7&lt;=DATE(2025,1,1),OR(G7="",G7&gt;=DATE(2025,1,1))),H7*(1+Assumptions!$C$7)^0,0)</f>
        <v/>
      </c>
      <c r="J7" s="289">
        <f>IF(AND(F7&lt;=DATE(2025,2,1),OR(G7="",G7&gt;=DATE(2025,2,1))),H7*(1+Assumptions!$C$7)^0,0)</f>
        <v/>
      </c>
      <c r="K7" s="289">
        <f>IF(AND(F7&lt;=DATE(2025,3,1),OR(G7="",G7&gt;=DATE(2025,3,1))),H7*(1+Assumptions!$C$7)^0,0)</f>
        <v/>
      </c>
      <c r="L7" s="289">
        <f>IF(AND(F7&lt;=DATE(2025,4,1),OR(G7="",G7&gt;=DATE(2025,4,1))),H7*(1+Assumptions!$C$7)^0,0)</f>
        <v/>
      </c>
      <c r="M7" s="289">
        <f>IF(AND(F7&lt;=DATE(2025,5,1),OR(G7="",G7&gt;=DATE(2025,5,1))),H7*(1+Assumptions!$C$7)^0,0)</f>
        <v/>
      </c>
      <c r="N7" s="289">
        <f>IF(AND(F7&lt;=DATE(2025,6,1),OR(G7="",G7&gt;=DATE(2025,6,1))),H7*(1+Assumptions!$C$7)^0,0)</f>
        <v/>
      </c>
      <c r="O7" s="289">
        <f>IF(AND(F7&lt;=DATE(2025,7,1),OR(G7="",G7&gt;=DATE(2025,7,1))),H7*(1+Assumptions!$C$7)^0,0)</f>
        <v/>
      </c>
      <c r="P7" s="289">
        <f>IF(AND(F7&lt;=DATE(2025,8,1),OR(G7="",G7&gt;=DATE(2025,8,1))),H7*(1+Assumptions!$C$7)^0,0)</f>
        <v/>
      </c>
      <c r="Q7" s="289">
        <f>IF(AND(F7&lt;=DATE(2025,9,1),OR(G7="",G7&gt;=DATE(2025,9,1))),H7*(1+Assumptions!$C$7)^0,0)</f>
        <v/>
      </c>
      <c r="R7" s="289">
        <f>IF(AND(F7&lt;=DATE(2025,10,1),OR(G7="",G7&gt;=DATE(2025,10,1))),H7*(1+Assumptions!$C$7)^0,0)</f>
        <v/>
      </c>
      <c r="S7" s="289">
        <f>IF(AND(F7&lt;=DATE(2025,11,1),OR(G7="",G7&gt;=DATE(2025,11,1))),H7*(1+Assumptions!$C$7)^0,0)</f>
        <v/>
      </c>
      <c r="T7" s="289">
        <f>IF(AND(F7&lt;=DATE(2025,12,1),OR(G7="",G7&gt;=DATE(2025,12,1))),H7*(1+Assumptions!$C$7)^0,0)</f>
        <v/>
      </c>
      <c r="U7" s="289">
        <f>IF(AND(F7&lt;=DATE(2026,1,1),OR(G7="",G7&gt;=DATE(2026,1,1))),H7*(1+Assumptions!$C$7)^1,0)</f>
        <v/>
      </c>
      <c r="V7" s="289">
        <f>IF(AND(F7&lt;=DATE(2026,2,1),OR(G7="",G7&gt;=DATE(2026,2,1))),H7*(1+Assumptions!$C$7)^1,0)</f>
        <v/>
      </c>
      <c r="W7" s="289">
        <f>IF(AND(F7&lt;=DATE(2026,3,1),OR(G7="",G7&gt;=DATE(2026,3,1))),H7*(1+Assumptions!$C$7)^1,0)</f>
        <v/>
      </c>
      <c r="X7" s="289">
        <f>IF(AND(F7&lt;=DATE(2026,4,1),OR(G7="",G7&gt;=DATE(2026,4,1))),H7*(1+Assumptions!$C$7)^1,0)</f>
        <v/>
      </c>
      <c r="Y7" s="289">
        <f>IF(AND(F7&lt;=DATE(2026,5,1),OR(G7="",G7&gt;=DATE(2026,5,1))),H7*(1+Assumptions!$C$7)^1,0)</f>
        <v/>
      </c>
      <c r="Z7" s="289">
        <f>IF(AND(F7&lt;=DATE(2026,6,1),OR(G7="",G7&gt;=DATE(2026,6,1))),H7*(1+Assumptions!$C$7)^1,0)</f>
        <v/>
      </c>
      <c r="AA7" s="289">
        <f>IF(AND(F7&lt;=DATE(2026,7,1),OR(G7="",G7&gt;=DATE(2026,7,1))),H7*(1+Assumptions!$C$7)^1,0)</f>
        <v/>
      </c>
      <c r="AB7" s="289">
        <f>IF(AND(F7&lt;=DATE(2026,8,1),OR(G7="",G7&gt;=DATE(2026,8,1))),H7*(1+Assumptions!$C$7)^1,0)</f>
        <v/>
      </c>
      <c r="AC7" s="289">
        <f>IF(AND(F7&lt;=DATE(2026,9,1),OR(G7="",G7&gt;=DATE(2026,9,1))),H7*(1+Assumptions!$C$7)^1,0)</f>
        <v/>
      </c>
      <c r="AD7" s="289">
        <f>IF(AND(F7&lt;=DATE(2026,10,1),OR(G7="",G7&gt;=DATE(2026,10,1))),H7*(1+Assumptions!$C$7)^1,0)</f>
        <v/>
      </c>
      <c r="AE7" s="289">
        <f>IF(AND(F7&lt;=DATE(2026,11,1),OR(G7="",G7&gt;=DATE(2026,11,1))),H7*(1+Assumptions!$C$7)^1,0)</f>
        <v/>
      </c>
      <c r="AF7" s="289">
        <f>IF(AND(F7&lt;=DATE(2026,12,1),OR(G7="",G7&gt;=DATE(2026,12,1))),H7*(1+Assumptions!$C$7)^1,0)</f>
        <v/>
      </c>
      <c r="AG7" s="289">
        <f>IF(AND(F7&lt;=DATE(2027,1,1),OR(G7="",G7&gt;=DATE(2027,1,1))),H7*(1+Assumptions!$C$7)^2,0)</f>
        <v/>
      </c>
      <c r="AH7" s="289">
        <f>IF(AND(F7&lt;=DATE(2027,2,1),OR(G7="",G7&gt;=DATE(2027,2,1))),H7*(1+Assumptions!$C$7)^2,0)</f>
        <v/>
      </c>
      <c r="AI7" s="289">
        <f>IF(AND(F7&lt;=DATE(2027,3,1),OR(G7="",G7&gt;=DATE(2027,3,1))),H7*(1+Assumptions!$C$7)^2,0)</f>
        <v/>
      </c>
      <c r="AJ7" s="289">
        <f>IF(AND(F7&lt;=DATE(2027,4,1),OR(G7="",G7&gt;=DATE(2027,4,1))),H7*(1+Assumptions!$C$7)^2,0)</f>
        <v/>
      </c>
      <c r="AK7" s="289">
        <f>IF(AND(F7&lt;=DATE(2027,5,1),OR(G7="",G7&gt;=DATE(2027,5,1))),H7*(1+Assumptions!$C$7)^2,0)</f>
        <v/>
      </c>
      <c r="AL7" s="289">
        <f>IF(AND(F7&lt;=DATE(2027,6,1),OR(G7="",G7&gt;=DATE(2027,6,1))),H7*(1+Assumptions!$C$7)^2,0)</f>
        <v/>
      </c>
      <c r="AM7" s="289">
        <f>IF(AND(F7&lt;=DATE(2027,7,1),OR(G7="",G7&gt;=DATE(2027,7,1))),H7*(1+Assumptions!$C$7)^2,0)</f>
        <v/>
      </c>
      <c r="AN7" s="289">
        <f>IF(AND(F7&lt;=DATE(2027,8,1),OR(G7="",G7&gt;=DATE(2027,8,1))),H7*(1+Assumptions!$C$7)^2,0)</f>
        <v/>
      </c>
      <c r="AO7" s="289">
        <f>IF(AND(F7&lt;=DATE(2027,9,1),OR(G7="",G7&gt;=DATE(2027,9,1))),H7*(1+Assumptions!$C$7)^2,0)</f>
        <v/>
      </c>
      <c r="AP7" s="289">
        <f>IF(AND(F7&lt;=DATE(2027,10,1),OR(G7="",G7&gt;=DATE(2027,10,1))),H7*(1+Assumptions!$C$7)^2,0)</f>
        <v/>
      </c>
      <c r="AQ7" s="289">
        <f>IF(AND(F7&lt;=DATE(2027,11,1),OR(G7="",G7&gt;=DATE(2027,11,1))),H7*(1+Assumptions!$C$7)^2,0)</f>
        <v/>
      </c>
      <c r="AR7" s="289">
        <f>IF(AND(F7&lt;=DATE(2027,12,1),OR(G7="",G7&gt;=DATE(2027,12,1))),H7*(1+Assumptions!$C$7)^2,0)</f>
        <v/>
      </c>
      <c r="AS7" s="289">
        <f>IF(AND(F7&lt;=DATE(2028,1,1),OR(G7="",G7&gt;=DATE(2028,1,1))),H7*(1+Assumptions!$C$7)^3,0)</f>
        <v/>
      </c>
      <c r="AT7" s="289">
        <f>IF(AND(F7&lt;=DATE(2028,2,1),OR(G7="",G7&gt;=DATE(2028,2,1))),H7*(1+Assumptions!$C$7)^3,0)</f>
        <v/>
      </c>
      <c r="AU7" s="289">
        <f>IF(AND(F7&lt;=DATE(2028,3,1),OR(G7="",G7&gt;=DATE(2028,3,1))),H7*(1+Assumptions!$C$7)^3,0)</f>
        <v/>
      </c>
      <c r="AV7" s="289">
        <f>IF(AND(F7&lt;=DATE(2028,4,1),OR(G7="",G7&gt;=DATE(2028,4,1))),H7*(1+Assumptions!$C$7)^3,0)</f>
        <v/>
      </c>
      <c r="AW7" s="289">
        <f>IF(AND(F7&lt;=DATE(2028,5,1),OR(G7="",G7&gt;=DATE(2028,5,1))),H7*(1+Assumptions!$C$7)^3,0)</f>
        <v/>
      </c>
      <c r="AX7" s="289">
        <f>IF(AND(F7&lt;=DATE(2028,6,1),OR(G7="",G7&gt;=DATE(2028,6,1))),H7*(1+Assumptions!$C$7)^3,0)</f>
        <v/>
      </c>
      <c r="AY7" s="289">
        <f>IF(AND(F7&lt;=DATE(2028,7,1),OR(G7="",G7&gt;=DATE(2028,7,1))),H7*(1+Assumptions!$C$7)^3,0)</f>
        <v/>
      </c>
      <c r="AZ7" s="289">
        <f>IF(AND(F7&lt;=DATE(2028,8,1),OR(G7="",G7&gt;=DATE(2028,8,1))),H7*(1+Assumptions!$C$7)^3,0)</f>
        <v/>
      </c>
      <c r="BA7" s="289">
        <f>IF(AND(F7&lt;=DATE(2028,9,1),OR(G7="",G7&gt;=DATE(2028,9,1))),H7*(1+Assumptions!$C$7)^3,0)</f>
        <v/>
      </c>
      <c r="BB7" s="289">
        <f>IF(AND(F7&lt;=DATE(2028,10,1),OR(G7="",G7&gt;=DATE(2028,10,1))),H7*(1+Assumptions!$C$7)^3,0)</f>
        <v/>
      </c>
      <c r="BC7" s="289">
        <f>IF(AND(F7&lt;=DATE(2028,11,1),OR(G7="",G7&gt;=DATE(2028,11,1))),H7*(1+Assumptions!$C$7)^3,0)</f>
        <v/>
      </c>
      <c r="BD7" s="289">
        <f>IF(AND(F7&lt;=DATE(2028,12,1),OR(G7="",G7&gt;=DATE(2028,12,1))),H7*(1+Assumptions!$C$7)^3,0)</f>
        <v/>
      </c>
      <c r="BE7" s="289">
        <f>IF(AND(F7&lt;=DATE(2029,1,1),OR(G7="",G7&gt;=DATE(2029,1,1))),H7*(1+Assumptions!$C$7)^4,0)</f>
        <v/>
      </c>
      <c r="BF7" s="289">
        <f>IF(AND(F7&lt;=DATE(2029,2,1),OR(G7="",G7&gt;=DATE(2029,2,1))),H7*(1+Assumptions!$C$7)^4,0)</f>
        <v/>
      </c>
      <c r="BG7" s="289">
        <f>IF(AND(F7&lt;=DATE(2029,3,1),OR(G7="",G7&gt;=DATE(2029,3,1))),H7*(1+Assumptions!$C$7)^4,0)</f>
        <v/>
      </c>
      <c r="BH7" s="289">
        <f>IF(AND(F7&lt;=DATE(2029,4,1),OR(G7="",G7&gt;=DATE(2029,4,1))),H7*(1+Assumptions!$C$7)^4,0)</f>
        <v/>
      </c>
      <c r="BI7" s="289">
        <f>IF(AND(F7&lt;=DATE(2029,5,1),OR(G7="",G7&gt;=DATE(2029,5,1))),H7*(1+Assumptions!$C$7)^4,0)</f>
        <v/>
      </c>
      <c r="BJ7" s="289">
        <f>IF(AND(F7&lt;=DATE(2029,6,1),OR(G7="",G7&gt;=DATE(2029,6,1))),H7*(1+Assumptions!$C$7)^4,0)</f>
        <v/>
      </c>
      <c r="BK7" s="289">
        <f>IF(AND(F7&lt;=DATE(2029,7,1),OR(G7="",G7&gt;=DATE(2029,7,1))),H7*(1+Assumptions!$C$7)^4,0)</f>
        <v/>
      </c>
      <c r="BL7" s="289">
        <f>IF(AND(F7&lt;=DATE(2029,8,1),OR(G7="",G7&gt;=DATE(2029,8,1))),H7*(1+Assumptions!$C$7)^4,0)</f>
        <v/>
      </c>
      <c r="BM7" s="289">
        <f>IF(AND(F7&lt;=DATE(2029,9,1),OR(G7="",G7&gt;=DATE(2029,9,1))),H7*(1+Assumptions!$C$7)^4,0)</f>
        <v/>
      </c>
      <c r="BN7" s="289">
        <f>IF(AND(F7&lt;=DATE(2029,10,1),OR(G7="",G7&gt;=DATE(2029,10,1))),H7*(1+Assumptions!$C$7)^4,0)</f>
        <v/>
      </c>
      <c r="BO7" s="289">
        <f>IF(AND(F7&lt;=DATE(2029,11,1),OR(G7="",G7&gt;=DATE(2029,11,1))),H7*(1+Assumptions!$C$7)^4,0)</f>
        <v/>
      </c>
      <c r="BP7" s="289">
        <f>IF(AND(F7&lt;=DATE(2029,12,1),OR(G7="",G7&gt;=DATE(2029,12,1))),H7*(1+Assumptions!$C$7)^4,0)</f>
        <v/>
      </c>
      <c r="BQ7" s="226" t="n"/>
      <c r="BR7" s="350" t="inlineStr">
        <is>
          <t>paid this month if started and not yet left; +8% each calendar year</t>
        </is>
      </c>
      <c r="BS7" s="226" t="n"/>
      <c r="BT7" s="226" t="n"/>
    </row>
    <row r="8">
      <c r="A8" s="296" t="n">
        <v>6</v>
      </c>
      <c r="B8" s="284" t="inlineStr">
        <is>
          <t>Mechanical Engineer</t>
        </is>
      </c>
      <c r="C8" s="285" t="inlineStr">
        <is>
          <t>R&amp;D</t>
        </is>
      </c>
      <c r="D8" s="285" t="inlineStr">
        <is>
          <t>R&amp;D Engineer</t>
        </is>
      </c>
      <c r="E8" s="297" t="inlineStr">
        <is>
          <t>Current</t>
        </is>
      </c>
      <c r="F8" s="318" t="n">
        <v>45901</v>
      </c>
      <c r="G8" s="298" t="n"/>
      <c r="H8" s="288" t="n">
        <v>5500</v>
      </c>
      <c r="I8" s="299">
        <f>IF(AND(F8&lt;=DATE(2025,1,1),OR(G8="",G8&gt;=DATE(2025,1,1))),H8*(1+Assumptions!$C$7)^0,0)</f>
        <v/>
      </c>
      <c r="J8" s="299">
        <f>IF(AND(F8&lt;=DATE(2025,2,1),OR(G8="",G8&gt;=DATE(2025,2,1))),H8*(1+Assumptions!$C$7)^0,0)</f>
        <v/>
      </c>
      <c r="K8" s="299">
        <f>IF(AND(F8&lt;=DATE(2025,3,1),OR(G8="",G8&gt;=DATE(2025,3,1))),H8*(1+Assumptions!$C$7)^0,0)</f>
        <v/>
      </c>
      <c r="L8" s="299">
        <f>IF(AND(F8&lt;=DATE(2025,4,1),OR(G8="",G8&gt;=DATE(2025,4,1))),H8*(1+Assumptions!$C$7)^0,0)</f>
        <v/>
      </c>
      <c r="M8" s="299">
        <f>IF(AND(F8&lt;=DATE(2025,5,1),OR(G8="",G8&gt;=DATE(2025,5,1))),H8*(1+Assumptions!$C$7)^0,0)</f>
        <v/>
      </c>
      <c r="N8" s="299">
        <f>IF(AND(F8&lt;=DATE(2025,6,1),OR(G8="",G8&gt;=DATE(2025,6,1))),H8*(1+Assumptions!$C$7)^0,0)</f>
        <v/>
      </c>
      <c r="O8" s="299">
        <f>IF(AND(F8&lt;=DATE(2025,7,1),OR(G8="",G8&gt;=DATE(2025,7,1))),H8*(1+Assumptions!$C$7)^0,0)</f>
        <v/>
      </c>
      <c r="P8" s="299">
        <f>IF(AND(F8&lt;=DATE(2025,8,1),OR(G8="",G8&gt;=DATE(2025,8,1))),H8*(1+Assumptions!$C$7)^0,0)</f>
        <v/>
      </c>
      <c r="Q8" s="299">
        <f>IF(AND(F8&lt;=DATE(2025,9,1),OR(G8="",G8&gt;=DATE(2025,9,1))),H8*(1+Assumptions!$C$7)^0,0)</f>
        <v/>
      </c>
      <c r="R8" s="299">
        <f>IF(AND(F8&lt;=DATE(2025,10,1),OR(G8="",G8&gt;=DATE(2025,10,1))),H8*(1+Assumptions!$C$7)^0,0)</f>
        <v/>
      </c>
      <c r="S8" s="299">
        <f>IF(AND(F8&lt;=DATE(2025,11,1),OR(G8="",G8&gt;=DATE(2025,11,1))),H8*(1+Assumptions!$C$7)^0,0)</f>
        <v/>
      </c>
      <c r="T8" s="299">
        <f>IF(AND(F8&lt;=DATE(2025,12,1),OR(G8="",G8&gt;=DATE(2025,12,1))),H8*(1+Assumptions!$C$7)^0,0)</f>
        <v/>
      </c>
      <c r="U8" s="299">
        <f>IF(AND(F8&lt;=DATE(2026,1,1),OR(G8="",G8&gt;=DATE(2026,1,1))),H8*(1+Assumptions!$C$7)^1,0)</f>
        <v/>
      </c>
      <c r="V8" s="299">
        <f>IF(AND(F8&lt;=DATE(2026,2,1),OR(G8="",G8&gt;=DATE(2026,2,1))),H8*(1+Assumptions!$C$7)^1,0)</f>
        <v/>
      </c>
      <c r="W8" s="299">
        <f>IF(AND(F8&lt;=DATE(2026,3,1),OR(G8="",G8&gt;=DATE(2026,3,1))),H8*(1+Assumptions!$C$7)^1,0)</f>
        <v/>
      </c>
      <c r="X8" s="299">
        <f>IF(AND(F8&lt;=DATE(2026,4,1),OR(G8="",G8&gt;=DATE(2026,4,1))),H8*(1+Assumptions!$C$7)^1,0)</f>
        <v/>
      </c>
      <c r="Y8" s="299">
        <f>IF(AND(F8&lt;=DATE(2026,5,1),OR(G8="",G8&gt;=DATE(2026,5,1))),H8*(1+Assumptions!$C$7)^1,0)</f>
        <v/>
      </c>
      <c r="Z8" s="299">
        <f>IF(AND(F8&lt;=DATE(2026,6,1),OR(G8="",G8&gt;=DATE(2026,6,1))),H8*(1+Assumptions!$C$7)^1,0)</f>
        <v/>
      </c>
      <c r="AA8" s="299">
        <f>IF(AND(F8&lt;=DATE(2026,7,1),OR(G8="",G8&gt;=DATE(2026,7,1))),H8*(1+Assumptions!$C$7)^1,0)</f>
        <v/>
      </c>
      <c r="AB8" s="299">
        <f>IF(AND(F8&lt;=DATE(2026,8,1),OR(G8="",G8&gt;=DATE(2026,8,1))),H8*(1+Assumptions!$C$7)^1,0)</f>
        <v/>
      </c>
      <c r="AC8" s="299">
        <f>IF(AND(F8&lt;=DATE(2026,9,1),OR(G8="",G8&gt;=DATE(2026,9,1))),H8*(1+Assumptions!$C$7)^1,0)</f>
        <v/>
      </c>
      <c r="AD8" s="299">
        <f>IF(AND(F8&lt;=DATE(2026,10,1),OR(G8="",G8&gt;=DATE(2026,10,1))),H8*(1+Assumptions!$C$7)^1,0)</f>
        <v/>
      </c>
      <c r="AE8" s="299">
        <f>IF(AND(F8&lt;=DATE(2026,11,1),OR(G8="",G8&gt;=DATE(2026,11,1))),H8*(1+Assumptions!$C$7)^1,0)</f>
        <v/>
      </c>
      <c r="AF8" s="299">
        <f>IF(AND(F8&lt;=DATE(2026,12,1),OR(G8="",G8&gt;=DATE(2026,12,1))),H8*(1+Assumptions!$C$7)^1,0)</f>
        <v/>
      </c>
      <c r="AG8" s="299">
        <f>IF(AND(F8&lt;=DATE(2027,1,1),OR(G8="",G8&gt;=DATE(2027,1,1))),H8*(1+Assumptions!$C$7)^2,0)</f>
        <v/>
      </c>
      <c r="AH8" s="299">
        <f>IF(AND(F8&lt;=DATE(2027,2,1),OR(G8="",G8&gt;=DATE(2027,2,1))),H8*(1+Assumptions!$C$7)^2,0)</f>
        <v/>
      </c>
      <c r="AI8" s="299">
        <f>IF(AND(F8&lt;=DATE(2027,3,1),OR(G8="",G8&gt;=DATE(2027,3,1))),H8*(1+Assumptions!$C$7)^2,0)</f>
        <v/>
      </c>
      <c r="AJ8" s="299">
        <f>IF(AND(F8&lt;=DATE(2027,4,1),OR(G8="",G8&gt;=DATE(2027,4,1))),H8*(1+Assumptions!$C$7)^2,0)</f>
        <v/>
      </c>
      <c r="AK8" s="299">
        <f>IF(AND(F8&lt;=DATE(2027,5,1),OR(G8="",G8&gt;=DATE(2027,5,1))),H8*(1+Assumptions!$C$7)^2,0)</f>
        <v/>
      </c>
      <c r="AL8" s="299">
        <f>IF(AND(F8&lt;=DATE(2027,6,1),OR(G8="",G8&gt;=DATE(2027,6,1))),H8*(1+Assumptions!$C$7)^2,0)</f>
        <v/>
      </c>
      <c r="AM8" s="299">
        <f>IF(AND(F8&lt;=DATE(2027,7,1),OR(G8="",G8&gt;=DATE(2027,7,1))),H8*(1+Assumptions!$C$7)^2,0)</f>
        <v/>
      </c>
      <c r="AN8" s="299">
        <f>IF(AND(F8&lt;=DATE(2027,8,1),OR(G8="",G8&gt;=DATE(2027,8,1))),H8*(1+Assumptions!$C$7)^2,0)</f>
        <v/>
      </c>
      <c r="AO8" s="299">
        <f>IF(AND(F8&lt;=DATE(2027,9,1),OR(G8="",G8&gt;=DATE(2027,9,1))),H8*(1+Assumptions!$C$7)^2,0)</f>
        <v/>
      </c>
      <c r="AP8" s="299">
        <f>IF(AND(F8&lt;=DATE(2027,10,1),OR(G8="",G8&gt;=DATE(2027,10,1))),H8*(1+Assumptions!$C$7)^2,0)</f>
        <v/>
      </c>
      <c r="AQ8" s="299">
        <f>IF(AND(F8&lt;=DATE(2027,11,1),OR(G8="",G8&gt;=DATE(2027,11,1))),H8*(1+Assumptions!$C$7)^2,0)</f>
        <v/>
      </c>
      <c r="AR8" s="299">
        <f>IF(AND(F8&lt;=DATE(2027,12,1),OR(G8="",G8&gt;=DATE(2027,12,1))),H8*(1+Assumptions!$C$7)^2,0)</f>
        <v/>
      </c>
      <c r="AS8" s="299">
        <f>IF(AND(F8&lt;=DATE(2028,1,1),OR(G8="",G8&gt;=DATE(2028,1,1))),H8*(1+Assumptions!$C$7)^3,0)</f>
        <v/>
      </c>
      <c r="AT8" s="299">
        <f>IF(AND(F8&lt;=DATE(2028,2,1),OR(G8="",G8&gt;=DATE(2028,2,1))),H8*(1+Assumptions!$C$7)^3,0)</f>
        <v/>
      </c>
      <c r="AU8" s="299">
        <f>IF(AND(F8&lt;=DATE(2028,3,1),OR(G8="",G8&gt;=DATE(2028,3,1))),H8*(1+Assumptions!$C$7)^3,0)</f>
        <v/>
      </c>
      <c r="AV8" s="299">
        <f>IF(AND(F8&lt;=DATE(2028,4,1),OR(G8="",G8&gt;=DATE(2028,4,1))),H8*(1+Assumptions!$C$7)^3,0)</f>
        <v/>
      </c>
      <c r="AW8" s="299">
        <f>IF(AND(F8&lt;=DATE(2028,5,1),OR(G8="",G8&gt;=DATE(2028,5,1))),H8*(1+Assumptions!$C$7)^3,0)</f>
        <v/>
      </c>
      <c r="AX8" s="299">
        <f>IF(AND(F8&lt;=DATE(2028,6,1),OR(G8="",G8&gt;=DATE(2028,6,1))),H8*(1+Assumptions!$C$7)^3,0)</f>
        <v/>
      </c>
      <c r="AY8" s="299">
        <f>IF(AND(F8&lt;=DATE(2028,7,1),OR(G8="",G8&gt;=DATE(2028,7,1))),H8*(1+Assumptions!$C$7)^3,0)</f>
        <v/>
      </c>
      <c r="AZ8" s="299">
        <f>IF(AND(F8&lt;=DATE(2028,8,1),OR(G8="",G8&gt;=DATE(2028,8,1))),H8*(1+Assumptions!$C$7)^3,0)</f>
        <v/>
      </c>
      <c r="BA8" s="299">
        <f>IF(AND(F8&lt;=DATE(2028,9,1),OR(G8="",G8&gt;=DATE(2028,9,1))),H8*(1+Assumptions!$C$7)^3,0)</f>
        <v/>
      </c>
      <c r="BB8" s="299">
        <f>IF(AND(F8&lt;=DATE(2028,10,1),OR(G8="",G8&gt;=DATE(2028,10,1))),H8*(1+Assumptions!$C$7)^3,0)</f>
        <v/>
      </c>
      <c r="BC8" s="299">
        <f>IF(AND(F8&lt;=DATE(2028,11,1),OR(G8="",G8&gt;=DATE(2028,11,1))),H8*(1+Assumptions!$C$7)^3,0)</f>
        <v/>
      </c>
      <c r="BD8" s="299">
        <f>IF(AND(F8&lt;=DATE(2028,12,1),OR(G8="",G8&gt;=DATE(2028,12,1))),H8*(1+Assumptions!$C$7)^3,0)</f>
        <v/>
      </c>
      <c r="BE8" s="299">
        <f>IF(AND(F8&lt;=DATE(2029,1,1),OR(G8="",G8&gt;=DATE(2029,1,1))),H8*(1+Assumptions!$C$7)^4,0)</f>
        <v/>
      </c>
      <c r="BF8" s="299">
        <f>IF(AND(F8&lt;=DATE(2029,2,1),OR(G8="",G8&gt;=DATE(2029,2,1))),H8*(1+Assumptions!$C$7)^4,0)</f>
        <v/>
      </c>
      <c r="BG8" s="299">
        <f>IF(AND(F8&lt;=DATE(2029,3,1),OR(G8="",G8&gt;=DATE(2029,3,1))),H8*(1+Assumptions!$C$7)^4,0)</f>
        <v/>
      </c>
      <c r="BH8" s="299">
        <f>IF(AND(F8&lt;=DATE(2029,4,1),OR(G8="",G8&gt;=DATE(2029,4,1))),H8*(1+Assumptions!$C$7)^4,0)</f>
        <v/>
      </c>
      <c r="BI8" s="299">
        <f>IF(AND(F8&lt;=DATE(2029,5,1),OR(G8="",G8&gt;=DATE(2029,5,1))),H8*(1+Assumptions!$C$7)^4,0)</f>
        <v/>
      </c>
      <c r="BJ8" s="299">
        <f>IF(AND(F8&lt;=DATE(2029,6,1),OR(G8="",G8&gt;=DATE(2029,6,1))),H8*(1+Assumptions!$C$7)^4,0)</f>
        <v/>
      </c>
      <c r="BK8" s="299">
        <f>IF(AND(F8&lt;=DATE(2029,7,1),OR(G8="",G8&gt;=DATE(2029,7,1))),H8*(1+Assumptions!$C$7)^4,0)</f>
        <v/>
      </c>
      <c r="BL8" s="299">
        <f>IF(AND(F8&lt;=DATE(2029,8,1),OR(G8="",G8&gt;=DATE(2029,8,1))),H8*(1+Assumptions!$C$7)^4,0)</f>
        <v/>
      </c>
      <c r="BM8" s="299">
        <f>IF(AND(F8&lt;=DATE(2029,9,1),OR(G8="",G8&gt;=DATE(2029,9,1))),H8*(1+Assumptions!$C$7)^4,0)</f>
        <v/>
      </c>
      <c r="BN8" s="299">
        <f>IF(AND(F8&lt;=DATE(2029,10,1),OR(G8="",G8&gt;=DATE(2029,10,1))),H8*(1+Assumptions!$C$7)^4,0)</f>
        <v/>
      </c>
      <c r="BO8" s="299">
        <f>IF(AND(F8&lt;=DATE(2029,11,1),OR(G8="",G8&gt;=DATE(2029,11,1))),H8*(1+Assumptions!$C$7)^4,0)</f>
        <v/>
      </c>
      <c r="BP8" s="299">
        <f>IF(AND(F8&lt;=DATE(2029,12,1),OR(G8="",G8&gt;=DATE(2029,12,1))),H8*(1+Assumptions!$C$7)^4,0)</f>
        <v/>
      </c>
      <c r="BQ8" s="226" t="n"/>
      <c r="BR8" s="350" t="inlineStr">
        <is>
          <t>paid this month if started and not yet left; +8% each calendar year</t>
        </is>
      </c>
      <c r="BS8" s="226" t="n"/>
      <c r="BT8" s="226" t="n"/>
    </row>
    <row r="9">
      <c r="A9" s="309" t="n">
        <v>7</v>
      </c>
      <c r="B9" s="312" t="inlineStr">
        <is>
          <t>Electrical Engineer</t>
        </is>
      </c>
      <c r="C9" s="23" t="inlineStr">
        <is>
          <t>R&amp;D</t>
        </is>
      </c>
      <c r="D9" s="23" t="inlineStr">
        <is>
          <t>R&amp;D Engineer</t>
        </is>
      </c>
      <c r="E9" s="310" t="inlineStr">
        <is>
          <t>Current</t>
        </is>
      </c>
      <c r="F9" s="318" t="n">
        <v>45901</v>
      </c>
      <c r="G9" s="311" t="n"/>
      <c r="H9" s="288" t="n">
        <v>5500</v>
      </c>
      <c r="I9" s="289">
        <f>IF(AND(F9&lt;=DATE(2025,1,1),OR(G9="",G9&gt;=DATE(2025,1,1))),H9*(1+Assumptions!$C$7)^0,0)</f>
        <v/>
      </c>
      <c r="J9" s="289">
        <f>IF(AND(F9&lt;=DATE(2025,2,1),OR(G9="",G9&gt;=DATE(2025,2,1))),H9*(1+Assumptions!$C$7)^0,0)</f>
        <v/>
      </c>
      <c r="K9" s="289">
        <f>IF(AND(F9&lt;=DATE(2025,3,1),OR(G9="",G9&gt;=DATE(2025,3,1))),H9*(1+Assumptions!$C$7)^0,0)</f>
        <v/>
      </c>
      <c r="L9" s="289">
        <f>IF(AND(F9&lt;=DATE(2025,4,1),OR(G9="",G9&gt;=DATE(2025,4,1))),H9*(1+Assumptions!$C$7)^0,0)</f>
        <v/>
      </c>
      <c r="M9" s="289">
        <f>IF(AND(F9&lt;=DATE(2025,5,1),OR(G9="",G9&gt;=DATE(2025,5,1))),H9*(1+Assumptions!$C$7)^0,0)</f>
        <v/>
      </c>
      <c r="N9" s="289">
        <f>IF(AND(F9&lt;=DATE(2025,6,1),OR(G9="",G9&gt;=DATE(2025,6,1))),H9*(1+Assumptions!$C$7)^0,0)</f>
        <v/>
      </c>
      <c r="O9" s="289">
        <f>IF(AND(F9&lt;=DATE(2025,7,1),OR(G9="",G9&gt;=DATE(2025,7,1))),H9*(1+Assumptions!$C$7)^0,0)</f>
        <v/>
      </c>
      <c r="P9" s="289">
        <f>IF(AND(F9&lt;=DATE(2025,8,1),OR(G9="",G9&gt;=DATE(2025,8,1))),H9*(1+Assumptions!$C$7)^0,0)</f>
        <v/>
      </c>
      <c r="Q9" s="289">
        <f>IF(AND(F9&lt;=DATE(2025,9,1),OR(G9="",G9&gt;=DATE(2025,9,1))),H9*(1+Assumptions!$C$7)^0,0)</f>
        <v/>
      </c>
      <c r="R9" s="289">
        <f>IF(AND(F9&lt;=DATE(2025,10,1),OR(G9="",G9&gt;=DATE(2025,10,1))),H9*(1+Assumptions!$C$7)^0,0)</f>
        <v/>
      </c>
      <c r="S9" s="289">
        <f>IF(AND(F9&lt;=DATE(2025,11,1),OR(G9="",G9&gt;=DATE(2025,11,1))),H9*(1+Assumptions!$C$7)^0,0)</f>
        <v/>
      </c>
      <c r="T9" s="289">
        <f>IF(AND(F9&lt;=DATE(2025,12,1),OR(G9="",G9&gt;=DATE(2025,12,1))),H9*(1+Assumptions!$C$7)^0,0)</f>
        <v/>
      </c>
      <c r="U9" s="289">
        <f>IF(AND(F9&lt;=DATE(2026,1,1),OR(G9="",G9&gt;=DATE(2026,1,1))),H9*(1+Assumptions!$C$7)^1,0)</f>
        <v/>
      </c>
      <c r="V9" s="289">
        <f>IF(AND(F9&lt;=DATE(2026,2,1),OR(G9="",G9&gt;=DATE(2026,2,1))),H9*(1+Assumptions!$C$7)^1,0)</f>
        <v/>
      </c>
      <c r="W9" s="289">
        <f>IF(AND(F9&lt;=DATE(2026,3,1),OR(G9="",G9&gt;=DATE(2026,3,1))),H9*(1+Assumptions!$C$7)^1,0)</f>
        <v/>
      </c>
      <c r="X9" s="289">
        <f>IF(AND(F9&lt;=DATE(2026,4,1),OR(G9="",G9&gt;=DATE(2026,4,1))),H9*(1+Assumptions!$C$7)^1,0)</f>
        <v/>
      </c>
      <c r="Y9" s="289">
        <f>IF(AND(F9&lt;=DATE(2026,5,1),OR(G9="",G9&gt;=DATE(2026,5,1))),H9*(1+Assumptions!$C$7)^1,0)</f>
        <v/>
      </c>
      <c r="Z9" s="289">
        <f>IF(AND(F9&lt;=DATE(2026,6,1),OR(G9="",G9&gt;=DATE(2026,6,1))),H9*(1+Assumptions!$C$7)^1,0)</f>
        <v/>
      </c>
      <c r="AA9" s="289">
        <f>IF(AND(F9&lt;=DATE(2026,7,1),OR(G9="",G9&gt;=DATE(2026,7,1))),H9*(1+Assumptions!$C$7)^1,0)</f>
        <v/>
      </c>
      <c r="AB9" s="289">
        <f>IF(AND(F9&lt;=DATE(2026,8,1),OR(G9="",G9&gt;=DATE(2026,8,1))),H9*(1+Assumptions!$C$7)^1,0)</f>
        <v/>
      </c>
      <c r="AC9" s="289">
        <f>IF(AND(F9&lt;=DATE(2026,9,1),OR(G9="",G9&gt;=DATE(2026,9,1))),H9*(1+Assumptions!$C$7)^1,0)</f>
        <v/>
      </c>
      <c r="AD9" s="289">
        <f>IF(AND(F9&lt;=DATE(2026,10,1),OR(G9="",G9&gt;=DATE(2026,10,1))),H9*(1+Assumptions!$C$7)^1,0)</f>
        <v/>
      </c>
      <c r="AE9" s="289">
        <f>IF(AND(F9&lt;=DATE(2026,11,1),OR(G9="",G9&gt;=DATE(2026,11,1))),H9*(1+Assumptions!$C$7)^1,0)</f>
        <v/>
      </c>
      <c r="AF9" s="289">
        <f>IF(AND(F9&lt;=DATE(2026,12,1),OR(G9="",G9&gt;=DATE(2026,12,1))),H9*(1+Assumptions!$C$7)^1,0)</f>
        <v/>
      </c>
      <c r="AG9" s="289">
        <f>IF(AND(F9&lt;=DATE(2027,1,1),OR(G9="",G9&gt;=DATE(2027,1,1))),H9*(1+Assumptions!$C$7)^2,0)</f>
        <v/>
      </c>
      <c r="AH9" s="289">
        <f>IF(AND(F9&lt;=DATE(2027,2,1),OR(G9="",G9&gt;=DATE(2027,2,1))),H9*(1+Assumptions!$C$7)^2,0)</f>
        <v/>
      </c>
      <c r="AI9" s="289">
        <f>IF(AND(F9&lt;=DATE(2027,3,1),OR(G9="",G9&gt;=DATE(2027,3,1))),H9*(1+Assumptions!$C$7)^2,0)</f>
        <v/>
      </c>
      <c r="AJ9" s="289">
        <f>IF(AND(F9&lt;=DATE(2027,4,1),OR(G9="",G9&gt;=DATE(2027,4,1))),H9*(1+Assumptions!$C$7)^2,0)</f>
        <v/>
      </c>
      <c r="AK9" s="289">
        <f>IF(AND(F9&lt;=DATE(2027,5,1),OR(G9="",G9&gt;=DATE(2027,5,1))),H9*(1+Assumptions!$C$7)^2,0)</f>
        <v/>
      </c>
      <c r="AL9" s="289">
        <f>IF(AND(F9&lt;=DATE(2027,6,1),OR(G9="",G9&gt;=DATE(2027,6,1))),H9*(1+Assumptions!$C$7)^2,0)</f>
        <v/>
      </c>
      <c r="AM9" s="289">
        <f>IF(AND(F9&lt;=DATE(2027,7,1),OR(G9="",G9&gt;=DATE(2027,7,1))),H9*(1+Assumptions!$C$7)^2,0)</f>
        <v/>
      </c>
      <c r="AN9" s="289">
        <f>IF(AND(F9&lt;=DATE(2027,8,1),OR(G9="",G9&gt;=DATE(2027,8,1))),H9*(1+Assumptions!$C$7)^2,0)</f>
        <v/>
      </c>
      <c r="AO9" s="289">
        <f>IF(AND(F9&lt;=DATE(2027,9,1),OR(G9="",G9&gt;=DATE(2027,9,1))),H9*(1+Assumptions!$C$7)^2,0)</f>
        <v/>
      </c>
      <c r="AP9" s="289">
        <f>IF(AND(F9&lt;=DATE(2027,10,1),OR(G9="",G9&gt;=DATE(2027,10,1))),H9*(1+Assumptions!$C$7)^2,0)</f>
        <v/>
      </c>
      <c r="AQ9" s="289">
        <f>IF(AND(F9&lt;=DATE(2027,11,1),OR(G9="",G9&gt;=DATE(2027,11,1))),H9*(1+Assumptions!$C$7)^2,0)</f>
        <v/>
      </c>
      <c r="AR9" s="289">
        <f>IF(AND(F9&lt;=DATE(2027,12,1),OR(G9="",G9&gt;=DATE(2027,12,1))),H9*(1+Assumptions!$C$7)^2,0)</f>
        <v/>
      </c>
      <c r="AS9" s="289">
        <f>IF(AND(F9&lt;=DATE(2028,1,1),OR(G9="",G9&gt;=DATE(2028,1,1))),H9*(1+Assumptions!$C$7)^3,0)</f>
        <v/>
      </c>
      <c r="AT9" s="289">
        <f>IF(AND(F9&lt;=DATE(2028,2,1),OR(G9="",G9&gt;=DATE(2028,2,1))),H9*(1+Assumptions!$C$7)^3,0)</f>
        <v/>
      </c>
      <c r="AU9" s="289">
        <f>IF(AND(F9&lt;=DATE(2028,3,1),OR(G9="",G9&gt;=DATE(2028,3,1))),H9*(1+Assumptions!$C$7)^3,0)</f>
        <v/>
      </c>
      <c r="AV9" s="289">
        <f>IF(AND(F9&lt;=DATE(2028,4,1),OR(G9="",G9&gt;=DATE(2028,4,1))),H9*(1+Assumptions!$C$7)^3,0)</f>
        <v/>
      </c>
      <c r="AW9" s="289">
        <f>IF(AND(F9&lt;=DATE(2028,5,1),OR(G9="",G9&gt;=DATE(2028,5,1))),H9*(1+Assumptions!$C$7)^3,0)</f>
        <v/>
      </c>
      <c r="AX9" s="289">
        <f>IF(AND(F9&lt;=DATE(2028,6,1),OR(G9="",G9&gt;=DATE(2028,6,1))),H9*(1+Assumptions!$C$7)^3,0)</f>
        <v/>
      </c>
      <c r="AY9" s="289">
        <f>IF(AND(F9&lt;=DATE(2028,7,1),OR(G9="",G9&gt;=DATE(2028,7,1))),H9*(1+Assumptions!$C$7)^3,0)</f>
        <v/>
      </c>
      <c r="AZ9" s="289">
        <f>IF(AND(F9&lt;=DATE(2028,8,1),OR(G9="",G9&gt;=DATE(2028,8,1))),H9*(1+Assumptions!$C$7)^3,0)</f>
        <v/>
      </c>
      <c r="BA9" s="289">
        <f>IF(AND(F9&lt;=DATE(2028,9,1),OR(G9="",G9&gt;=DATE(2028,9,1))),H9*(1+Assumptions!$C$7)^3,0)</f>
        <v/>
      </c>
      <c r="BB9" s="289">
        <f>IF(AND(F9&lt;=DATE(2028,10,1),OR(G9="",G9&gt;=DATE(2028,10,1))),H9*(1+Assumptions!$C$7)^3,0)</f>
        <v/>
      </c>
      <c r="BC9" s="289">
        <f>IF(AND(F9&lt;=DATE(2028,11,1),OR(G9="",G9&gt;=DATE(2028,11,1))),H9*(1+Assumptions!$C$7)^3,0)</f>
        <v/>
      </c>
      <c r="BD9" s="289">
        <f>IF(AND(F9&lt;=DATE(2028,12,1),OR(G9="",G9&gt;=DATE(2028,12,1))),H9*(1+Assumptions!$C$7)^3,0)</f>
        <v/>
      </c>
      <c r="BE9" s="289">
        <f>IF(AND(F9&lt;=DATE(2029,1,1),OR(G9="",G9&gt;=DATE(2029,1,1))),H9*(1+Assumptions!$C$7)^4,0)</f>
        <v/>
      </c>
      <c r="BF9" s="289">
        <f>IF(AND(F9&lt;=DATE(2029,2,1),OR(G9="",G9&gt;=DATE(2029,2,1))),H9*(1+Assumptions!$C$7)^4,0)</f>
        <v/>
      </c>
      <c r="BG9" s="289">
        <f>IF(AND(F9&lt;=DATE(2029,3,1),OR(G9="",G9&gt;=DATE(2029,3,1))),H9*(1+Assumptions!$C$7)^4,0)</f>
        <v/>
      </c>
      <c r="BH9" s="289">
        <f>IF(AND(F9&lt;=DATE(2029,4,1),OR(G9="",G9&gt;=DATE(2029,4,1))),H9*(1+Assumptions!$C$7)^4,0)</f>
        <v/>
      </c>
      <c r="BI9" s="289">
        <f>IF(AND(F9&lt;=DATE(2029,5,1),OR(G9="",G9&gt;=DATE(2029,5,1))),H9*(1+Assumptions!$C$7)^4,0)</f>
        <v/>
      </c>
      <c r="BJ9" s="289">
        <f>IF(AND(F9&lt;=DATE(2029,6,1),OR(G9="",G9&gt;=DATE(2029,6,1))),H9*(1+Assumptions!$C$7)^4,0)</f>
        <v/>
      </c>
      <c r="BK9" s="289">
        <f>IF(AND(F9&lt;=DATE(2029,7,1),OR(G9="",G9&gt;=DATE(2029,7,1))),H9*(1+Assumptions!$C$7)^4,0)</f>
        <v/>
      </c>
      <c r="BL9" s="289">
        <f>IF(AND(F9&lt;=DATE(2029,8,1),OR(G9="",G9&gt;=DATE(2029,8,1))),H9*(1+Assumptions!$C$7)^4,0)</f>
        <v/>
      </c>
      <c r="BM9" s="289">
        <f>IF(AND(F9&lt;=DATE(2029,9,1),OR(G9="",G9&gt;=DATE(2029,9,1))),H9*(1+Assumptions!$C$7)^4,0)</f>
        <v/>
      </c>
      <c r="BN9" s="289">
        <f>IF(AND(F9&lt;=DATE(2029,10,1),OR(G9="",G9&gt;=DATE(2029,10,1))),H9*(1+Assumptions!$C$7)^4,0)</f>
        <v/>
      </c>
      <c r="BO9" s="289">
        <f>IF(AND(F9&lt;=DATE(2029,11,1),OR(G9="",G9&gt;=DATE(2029,11,1))),H9*(1+Assumptions!$C$7)^4,0)</f>
        <v/>
      </c>
      <c r="BP9" s="289">
        <f>IF(AND(F9&lt;=DATE(2029,12,1),OR(G9="",G9&gt;=DATE(2029,12,1))),H9*(1+Assumptions!$C$7)^4,0)</f>
        <v/>
      </c>
      <c r="BQ9" s="226" t="n"/>
      <c r="BR9" s="350" t="inlineStr">
        <is>
          <t>paid this month if started and not yet left; +8% each calendar year</t>
        </is>
      </c>
      <c r="BS9" s="226" t="n"/>
      <c r="BT9" s="226" t="n"/>
    </row>
    <row r="10">
      <c r="A10" s="309" t="n">
        <v>11</v>
      </c>
      <c r="B10" s="312" t="inlineStr">
        <is>
          <t>CFO (part time)</t>
        </is>
      </c>
      <c r="C10" s="23" t="inlineStr">
        <is>
          <t>G&amp;A</t>
        </is>
      </c>
      <c r="D10" s="23" t="inlineStr">
        <is>
          <t>CFO</t>
        </is>
      </c>
      <c r="E10" s="310" t="inlineStr">
        <is>
          <t>Current</t>
        </is>
      </c>
      <c r="F10" s="318" t="n">
        <v>45901</v>
      </c>
      <c r="G10" s="318" t="n">
        <v>46266</v>
      </c>
      <c r="H10" s="288" t="n">
        <v>4000</v>
      </c>
      <c r="I10" s="289">
        <f>IF(AND(F10&lt;=DATE(2025,1,1),OR(G10="",G10&gt;=DATE(2025,1,1))),H10*(1+Assumptions!$C$7)^0,0)</f>
        <v/>
      </c>
      <c r="J10" s="289">
        <f>IF(AND(F10&lt;=DATE(2025,2,1),OR(G10="",G10&gt;=DATE(2025,2,1))),H10*(1+Assumptions!$C$7)^0,0)</f>
        <v/>
      </c>
      <c r="K10" s="289">
        <f>IF(AND(F10&lt;=DATE(2025,3,1),OR(G10="",G10&gt;=DATE(2025,3,1))),H10*(1+Assumptions!$C$7)^0,0)</f>
        <v/>
      </c>
      <c r="L10" s="289">
        <f>IF(AND(F10&lt;=DATE(2025,4,1),OR(G10="",G10&gt;=DATE(2025,4,1))),H10*(1+Assumptions!$C$7)^0,0)</f>
        <v/>
      </c>
      <c r="M10" s="289">
        <f>IF(AND(F10&lt;=DATE(2025,5,1),OR(G10="",G10&gt;=DATE(2025,5,1))),H10*(1+Assumptions!$C$7)^0,0)</f>
        <v/>
      </c>
      <c r="N10" s="289">
        <f>IF(AND(F10&lt;=DATE(2025,6,1),OR(G10="",G10&gt;=DATE(2025,6,1))),H10*(1+Assumptions!$C$7)^0,0)</f>
        <v/>
      </c>
      <c r="O10" s="289">
        <f>IF(AND(F10&lt;=DATE(2025,7,1),OR(G10="",G10&gt;=DATE(2025,7,1))),H10*(1+Assumptions!$C$7)^0,0)</f>
        <v/>
      </c>
      <c r="P10" s="289">
        <f>IF(AND(F10&lt;=DATE(2025,8,1),OR(G10="",G10&gt;=DATE(2025,8,1))),H10*(1+Assumptions!$C$7)^0,0)</f>
        <v/>
      </c>
      <c r="Q10" s="289">
        <f>IF(AND(F10&lt;=DATE(2025,9,1),OR(G10="",G10&gt;=DATE(2025,9,1))),H10*(1+Assumptions!$C$7)^0,0)</f>
        <v/>
      </c>
      <c r="R10" s="289">
        <f>IF(AND(F10&lt;=DATE(2025,10,1),OR(G10="",G10&gt;=DATE(2025,10,1))),H10*(1+Assumptions!$C$7)^0,0)</f>
        <v/>
      </c>
      <c r="S10" s="289">
        <f>IF(AND(F10&lt;=DATE(2025,11,1),OR(G10="",G10&gt;=DATE(2025,11,1))),H10*(1+Assumptions!$C$7)^0,0)</f>
        <v/>
      </c>
      <c r="T10" s="289">
        <f>IF(AND(F10&lt;=DATE(2025,12,1),OR(G10="",G10&gt;=DATE(2025,12,1))),H10*(1+Assumptions!$C$7)^0,0)</f>
        <v/>
      </c>
      <c r="U10" s="289">
        <f>IF(AND(F10&lt;=DATE(2026,1,1),OR(G10="",G10&gt;=DATE(2026,1,1))),H10*(1+Assumptions!$C$7)^1,0)</f>
        <v/>
      </c>
      <c r="V10" s="289">
        <f>IF(AND(F10&lt;=DATE(2026,2,1),OR(G10="",G10&gt;=DATE(2026,2,1))),H10*(1+Assumptions!$C$7)^1,0)</f>
        <v/>
      </c>
      <c r="W10" s="289">
        <f>IF(AND(F10&lt;=DATE(2026,3,1),OR(G10="",G10&gt;=DATE(2026,3,1))),H10*(1+Assumptions!$C$7)^1,0)</f>
        <v/>
      </c>
      <c r="X10" s="289">
        <f>IF(AND(F10&lt;=DATE(2026,4,1),OR(G10="",G10&gt;=DATE(2026,4,1))),H10*(1+Assumptions!$C$7)^1,0)</f>
        <v/>
      </c>
      <c r="Y10" s="289">
        <f>IF(AND(F10&lt;=DATE(2026,5,1),OR(G10="",G10&gt;=DATE(2026,5,1))),H10*(1+Assumptions!$C$7)^1,0)</f>
        <v/>
      </c>
      <c r="Z10" s="289">
        <f>IF(AND(F10&lt;=DATE(2026,6,1),OR(G10="",G10&gt;=DATE(2026,6,1))),H10*(1+Assumptions!$C$7)^1,0)</f>
        <v/>
      </c>
      <c r="AA10" s="289">
        <f>IF(AND(F10&lt;=DATE(2026,7,1),OR(G10="",G10&gt;=DATE(2026,7,1))),H10*(1+Assumptions!$C$7)^1,0)</f>
        <v/>
      </c>
      <c r="AB10" s="289">
        <f>IF(AND(F10&lt;=DATE(2026,8,1),OR(G10="",G10&gt;=DATE(2026,8,1))),H10*(1+Assumptions!$C$7)^1,0)</f>
        <v/>
      </c>
      <c r="AC10" s="289">
        <f>IF(AND(F10&lt;=DATE(2026,9,1),OR(G10="",G10&gt;=DATE(2026,9,1))),H10*(1+Assumptions!$C$7)^1,0)</f>
        <v/>
      </c>
      <c r="AD10" s="289">
        <f>IF(AND(F10&lt;=DATE(2026,10,1),OR(G10="",G10&gt;=DATE(2026,10,1))),H10*(1+Assumptions!$C$7)^1,0)</f>
        <v/>
      </c>
      <c r="AE10" s="289">
        <f>IF(AND(F10&lt;=DATE(2026,11,1),OR(G10="",G10&gt;=DATE(2026,11,1))),H10*(1+Assumptions!$C$7)^1,0)</f>
        <v/>
      </c>
      <c r="AF10" s="289">
        <f>IF(AND(F10&lt;=DATE(2026,12,1),OR(G10="",G10&gt;=DATE(2026,12,1))),H10*(1+Assumptions!$C$7)^1,0)</f>
        <v/>
      </c>
      <c r="AG10" s="289">
        <f>IF(AND(F10&lt;=DATE(2027,1,1),OR(G10="",G10&gt;=DATE(2027,1,1))),H10*(1+Assumptions!$C$7)^2,0)</f>
        <v/>
      </c>
      <c r="AH10" s="289">
        <f>IF(AND(F10&lt;=DATE(2027,2,1),OR(G10="",G10&gt;=DATE(2027,2,1))),H10*(1+Assumptions!$C$7)^2,0)</f>
        <v/>
      </c>
      <c r="AI10" s="289">
        <f>IF(AND(F10&lt;=DATE(2027,3,1),OR(G10="",G10&gt;=DATE(2027,3,1))),H10*(1+Assumptions!$C$7)^2,0)</f>
        <v/>
      </c>
      <c r="AJ10" s="289">
        <f>IF(AND(F10&lt;=DATE(2027,4,1),OR(G10="",G10&gt;=DATE(2027,4,1))),H10*(1+Assumptions!$C$7)^2,0)</f>
        <v/>
      </c>
      <c r="AK10" s="289">
        <f>IF(AND(F10&lt;=DATE(2027,5,1),OR(G10="",G10&gt;=DATE(2027,5,1))),H10*(1+Assumptions!$C$7)^2,0)</f>
        <v/>
      </c>
      <c r="AL10" s="289">
        <f>IF(AND(F10&lt;=DATE(2027,6,1),OR(G10="",G10&gt;=DATE(2027,6,1))),H10*(1+Assumptions!$C$7)^2,0)</f>
        <v/>
      </c>
      <c r="AM10" s="289">
        <f>IF(AND(F10&lt;=DATE(2027,7,1),OR(G10="",G10&gt;=DATE(2027,7,1))),H10*(1+Assumptions!$C$7)^2,0)</f>
        <v/>
      </c>
      <c r="AN10" s="289">
        <f>IF(AND(F10&lt;=DATE(2027,8,1),OR(G10="",G10&gt;=DATE(2027,8,1))),H10*(1+Assumptions!$C$7)^2,0)</f>
        <v/>
      </c>
      <c r="AO10" s="289">
        <f>IF(AND(F10&lt;=DATE(2027,9,1),OR(G10="",G10&gt;=DATE(2027,9,1))),H10*(1+Assumptions!$C$7)^2,0)</f>
        <v/>
      </c>
      <c r="AP10" s="289">
        <f>IF(AND(F10&lt;=DATE(2027,10,1),OR(G10="",G10&gt;=DATE(2027,10,1))),H10*(1+Assumptions!$C$7)^2,0)</f>
        <v/>
      </c>
      <c r="AQ10" s="289">
        <f>IF(AND(F10&lt;=DATE(2027,11,1),OR(G10="",G10&gt;=DATE(2027,11,1))),H10*(1+Assumptions!$C$7)^2,0)</f>
        <v/>
      </c>
      <c r="AR10" s="289">
        <f>IF(AND(F10&lt;=DATE(2027,12,1),OR(G10="",G10&gt;=DATE(2027,12,1))),H10*(1+Assumptions!$C$7)^2,0)</f>
        <v/>
      </c>
      <c r="AS10" s="289">
        <f>IF(AND(F10&lt;=DATE(2028,1,1),OR(G10="",G10&gt;=DATE(2028,1,1))),H10*(1+Assumptions!$C$7)^3,0)</f>
        <v/>
      </c>
      <c r="AT10" s="289">
        <f>IF(AND(F10&lt;=DATE(2028,2,1),OR(G10="",G10&gt;=DATE(2028,2,1))),H10*(1+Assumptions!$C$7)^3,0)</f>
        <v/>
      </c>
      <c r="AU10" s="289">
        <f>IF(AND(F10&lt;=DATE(2028,3,1),OR(G10="",G10&gt;=DATE(2028,3,1))),H10*(1+Assumptions!$C$7)^3,0)</f>
        <v/>
      </c>
      <c r="AV10" s="289">
        <f>IF(AND(F10&lt;=DATE(2028,4,1),OR(G10="",G10&gt;=DATE(2028,4,1))),H10*(1+Assumptions!$C$7)^3,0)</f>
        <v/>
      </c>
      <c r="AW10" s="289">
        <f>IF(AND(F10&lt;=DATE(2028,5,1),OR(G10="",G10&gt;=DATE(2028,5,1))),H10*(1+Assumptions!$C$7)^3,0)</f>
        <v/>
      </c>
      <c r="AX10" s="289">
        <f>IF(AND(F10&lt;=DATE(2028,6,1),OR(G10="",G10&gt;=DATE(2028,6,1))),H10*(1+Assumptions!$C$7)^3,0)</f>
        <v/>
      </c>
      <c r="AY10" s="289">
        <f>IF(AND(F10&lt;=DATE(2028,7,1),OR(G10="",G10&gt;=DATE(2028,7,1))),H10*(1+Assumptions!$C$7)^3,0)</f>
        <v/>
      </c>
      <c r="AZ10" s="289">
        <f>IF(AND(F10&lt;=DATE(2028,8,1),OR(G10="",G10&gt;=DATE(2028,8,1))),H10*(1+Assumptions!$C$7)^3,0)</f>
        <v/>
      </c>
      <c r="BA10" s="289">
        <f>IF(AND(F10&lt;=DATE(2028,9,1),OR(G10="",G10&gt;=DATE(2028,9,1))),H10*(1+Assumptions!$C$7)^3,0)</f>
        <v/>
      </c>
      <c r="BB10" s="289">
        <f>IF(AND(F10&lt;=DATE(2028,10,1),OR(G10="",G10&gt;=DATE(2028,10,1))),H10*(1+Assumptions!$C$7)^3,0)</f>
        <v/>
      </c>
      <c r="BC10" s="289">
        <f>IF(AND(F10&lt;=DATE(2028,11,1),OR(G10="",G10&gt;=DATE(2028,11,1))),H10*(1+Assumptions!$C$7)^3,0)</f>
        <v/>
      </c>
      <c r="BD10" s="289">
        <f>IF(AND(F10&lt;=DATE(2028,12,1),OR(G10="",G10&gt;=DATE(2028,12,1))),H10*(1+Assumptions!$C$7)^3,0)</f>
        <v/>
      </c>
      <c r="BE10" s="289">
        <f>IF(AND(F10&lt;=DATE(2029,1,1),OR(G10="",G10&gt;=DATE(2029,1,1))),H10*(1+Assumptions!$C$7)^4,0)</f>
        <v/>
      </c>
      <c r="BF10" s="289">
        <f>IF(AND(F10&lt;=DATE(2029,2,1),OR(G10="",G10&gt;=DATE(2029,2,1))),H10*(1+Assumptions!$C$7)^4,0)</f>
        <v/>
      </c>
      <c r="BG10" s="289">
        <f>IF(AND(F10&lt;=DATE(2029,3,1),OR(G10="",G10&gt;=DATE(2029,3,1))),H10*(1+Assumptions!$C$7)^4,0)</f>
        <v/>
      </c>
      <c r="BH10" s="289">
        <f>IF(AND(F10&lt;=DATE(2029,4,1),OR(G10="",G10&gt;=DATE(2029,4,1))),H10*(1+Assumptions!$C$7)^4,0)</f>
        <v/>
      </c>
      <c r="BI10" s="289">
        <f>IF(AND(F10&lt;=DATE(2029,5,1),OR(G10="",G10&gt;=DATE(2029,5,1))),H10*(1+Assumptions!$C$7)^4,0)</f>
        <v/>
      </c>
      <c r="BJ10" s="289">
        <f>IF(AND(F10&lt;=DATE(2029,6,1),OR(G10="",G10&gt;=DATE(2029,6,1))),H10*(1+Assumptions!$C$7)^4,0)</f>
        <v/>
      </c>
      <c r="BK10" s="289">
        <f>IF(AND(F10&lt;=DATE(2029,7,1),OR(G10="",G10&gt;=DATE(2029,7,1))),H10*(1+Assumptions!$C$7)^4,0)</f>
        <v/>
      </c>
      <c r="BL10" s="289">
        <f>IF(AND(F10&lt;=DATE(2029,8,1),OR(G10="",G10&gt;=DATE(2029,8,1))),H10*(1+Assumptions!$C$7)^4,0)</f>
        <v/>
      </c>
      <c r="BM10" s="289">
        <f>IF(AND(F10&lt;=DATE(2029,9,1),OR(G10="",G10&gt;=DATE(2029,9,1))),H10*(1+Assumptions!$C$7)^4,0)</f>
        <v/>
      </c>
      <c r="BN10" s="289">
        <f>IF(AND(F10&lt;=DATE(2029,10,1),OR(G10="",G10&gt;=DATE(2029,10,1))),H10*(1+Assumptions!$C$7)^4,0)</f>
        <v/>
      </c>
      <c r="BO10" s="289">
        <f>IF(AND(F10&lt;=DATE(2029,11,1),OR(G10="",G10&gt;=DATE(2029,11,1))),H10*(1+Assumptions!$C$7)^4,0)</f>
        <v/>
      </c>
      <c r="BP10" s="289">
        <f>IF(AND(F10&lt;=DATE(2029,12,1),OR(G10="",G10&gt;=DATE(2029,12,1))),H10*(1+Assumptions!$C$7)^4,0)</f>
        <v/>
      </c>
      <c r="BQ10" s="226" t="n"/>
      <c r="BR10" s="350" t="inlineStr">
        <is>
          <t>paid this month if started and not yet left; +8% each calendar year</t>
        </is>
      </c>
      <c r="BS10" s="226" t="n"/>
      <c r="BT10" s="226" t="n"/>
    </row>
    <row r="11">
      <c r="A11" s="296" t="n">
        <v>8</v>
      </c>
      <c r="B11" s="284" t="inlineStr">
        <is>
          <t>CTO</t>
        </is>
      </c>
      <c r="C11" s="285" t="inlineStr">
        <is>
          <t>R&amp;D</t>
        </is>
      </c>
      <c r="D11" s="285" t="inlineStr">
        <is>
          <t>CTO</t>
        </is>
      </c>
      <c r="E11" s="297" t="inlineStr">
        <is>
          <t>Current</t>
        </is>
      </c>
      <c r="F11" s="318" t="n">
        <v>46266</v>
      </c>
      <c r="G11" s="298" t="n"/>
      <c r="H11" s="288" t="n">
        <v>11500</v>
      </c>
      <c r="I11" s="299">
        <f>IF(AND(F11&lt;=DATE(2025,1,1),OR(G11="",G11&gt;=DATE(2025,1,1))),H11*(1+Assumptions!$C$7)^0,0)</f>
        <v/>
      </c>
      <c r="J11" s="299">
        <f>IF(AND(F11&lt;=DATE(2025,2,1),OR(G11="",G11&gt;=DATE(2025,2,1))),H11*(1+Assumptions!$C$7)^0,0)</f>
        <v/>
      </c>
      <c r="K11" s="299">
        <f>IF(AND(F11&lt;=DATE(2025,3,1),OR(G11="",G11&gt;=DATE(2025,3,1))),H11*(1+Assumptions!$C$7)^0,0)</f>
        <v/>
      </c>
      <c r="L11" s="299">
        <f>IF(AND(F11&lt;=DATE(2025,4,1),OR(G11="",G11&gt;=DATE(2025,4,1))),H11*(1+Assumptions!$C$7)^0,0)</f>
        <v/>
      </c>
      <c r="M11" s="299">
        <f>IF(AND(F11&lt;=DATE(2025,5,1),OR(G11="",G11&gt;=DATE(2025,5,1))),H11*(1+Assumptions!$C$7)^0,0)</f>
        <v/>
      </c>
      <c r="N11" s="299">
        <f>IF(AND(F11&lt;=DATE(2025,6,1),OR(G11="",G11&gt;=DATE(2025,6,1))),H11*(1+Assumptions!$C$7)^0,0)</f>
        <v/>
      </c>
      <c r="O11" s="299">
        <f>IF(AND(F11&lt;=DATE(2025,7,1),OR(G11="",G11&gt;=DATE(2025,7,1))),H11*(1+Assumptions!$C$7)^0,0)</f>
        <v/>
      </c>
      <c r="P11" s="299">
        <f>IF(AND(F11&lt;=DATE(2025,8,1),OR(G11="",G11&gt;=DATE(2025,8,1))),H11*(1+Assumptions!$C$7)^0,0)</f>
        <v/>
      </c>
      <c r="Q11" s="299" t="n">
        <v>7500</v>
      </c>
      <c r="R11" s="299" t="n">
        <v>7500</v>
      </c>
      <c r="S11" s="299" t="n">
        <v>7500</v>
      </c>
      <c r="T11" s="299" t="n">
        <v>7500</v>
      </c>
      <c r="U11" s="299" t="n">
        <v>7500</v>
      </c>
      <c r="V11" s="299" t="n">
        <v>7500</v>
      </c>
      <c r="W11" s="299" t="n">
        <v>7500</v>
      </c>
      <c r="X11" s="299" t="n">
        <v>7500</v>
      </c>
      <c r="Y11" s="299" t="n">
        <v>7500</v>
      </c>
      <c r="Z11" s="299" t="n">
        <v>7500</v>
      </c>
      <c r="AA11" s="299" t="n">
        <v>7500</v>
      </c>
      <c r="AB11" s="299" t="n">
        <v>7500</v>
      </c>
      <c r="AC11" s="299">
        <f>IF(AND(F11&lt;=DATE(2026,9,1),OR(G11="",G11&gt;=DATE(2026,9,1))),H11)</f>
        <v/>
      </c>
      <c r="AD11" s="299">
        <f>IF(AND(F11&lt;=DATE(2026,10,1),OR(G11="",G11&gt;=DATE(2026,10,1))),H11*(1+Assumptions!$C$7)^1,0)</f>
        <v/>
      </c>
      <c r="AE11" s="299">
        <f>IF(AND(F11&lt;=DATE(2026,11,1),OR(G11="",G11&gt;=DATE(2026,11,1))),H11*(1+Assumptions!$C$7)^1,0)</f>
        <v/>
      </c>
      <c r="AF11" s="299">
        <f>IF(AND(F11&lt;=DATE(2026,12,1),OR(G11="",G11&gt;=DATE(2026,12,1))),H11*(1+Assumptions!$C$7)^1,0)</f>
        <v/>
      </c>
      <c r="AG11" s="299">
        <f>IF(AND(F11&lt;=DATE(2027,1,1),OR(G11="",G11&gt;=DATE(2027,1,1))),H11*(1+Assumptions!$C$7)^2,0)</f>
        <v/>
      </c>
      <c r="AH11" s="299">
        <f>IF(AND(F11&lt;=DATE(2027,2,1),OR(G11="",G11&gt;=DATE(2027,2,1))),H11*(1+Assumptions!$C$7)^2,0)</f>
        <v/>
      </c>
      <c r="AI11" s="299">
        <f>IF(AND(F11&lt;=DATE(2027,3,1),OR(G11="",G11&gt;=DATE(2027,3,1))),H11*(1+Assumptions!$C$7)^2,0)</f>
        <v/>
      </c>
      <c r="AJ11" s="299">
        <f>IF(AND(F11&lt;=DATE(2027,4,1),OR(G11="",G11&gt;=DATE(2027,4,1))),H11*(1+Assumptions!$C$7)^2,0)</f>
        <v/>
      </c>
      <c r="AK11" s="299">
        <f>IF(AND(F11&lt;=DATE(2027,5,1),OR(G11="",G11&gt;=DATE(2027,5,1))),H11*(1+Assumptions!$C$7)^2,0)</f>
        <v/>
      </c>
      <c r="AL11" s="299">
        <f>IF(AND(F11&lt;=DATE(2027,6,1),OR(G11="",G11&gt;=DATE(2027,6,1))),H11*(1+Assumptions!$C$7)^2,0)</f>
        <v/>
      </c>
      <c r="AM11" s="299">
        <f>IF(AND(F11&lt;=DATE(2027,7,1),OR(G11="",G11&gt;=DATE(2027,7,1))),H11*(1+Assumptions!$C$7)^2,0)</f>
        <v/>
      </c>
      <c r="AN11" s="299">
        <f>IF(AND(F11&lt;=DATE(2027,8,1),OR(G11="",G11&gt;=DATE(2027,8,1))),H11*(1+Assumptions!$C$7)^2,0)</f>
        <v/>
      </c>
      <c r="AO11" s="299">
        <f>IF(AND(F11&lt;=DATE(2027,9,1),OR(G11="",G11&gt;=DATE(2027,9,1))),H11*(1+Assumptions!$C$7)^2,0)</f>
        <v/>
      </c>
      <c r="AP11" s="299">
        <f>IF(AND(F11&lt;=DATE(2027,10,1),OR(G11="",G11&gt;=DATE(2027,10,1))),H11*(1+Assumptions!$C$7)^2,0)</f>
        <v/>
      </c>
      <c r="AQ11" s="299">
        <f>IF(AND(F11&lt;=DATE(2027,11,1),OR(G11="",G11&gt;=DATE(2027,11,1))),H11*(1+Assumptions!$C$7)^2,0)</f>
        <v/>
      </c>
      <c r="AR11" s="299">
        <f>IF(AND(F11&lt;=DATE(2027,12,1),OR(G11="",G11&gt;=DATE(2027,12,1))),H11*(1+Assumptions!$C$7)^2,0)</f>
        <v/>
      </c>
      <c r="AS11" s="299">
        <f>IF(AND(F11&lt;=DATE(2028,1,1),OR(G11="",G11&gt;=DATE(2028,1,1))),H11*(1+Assumptions!$C$7)^3,0)</f>
        <v/>
      </c>
      <c r="AT11" s="299">
        <f>IF(AND(F11&lt;=DATE(2028,2,1),OR(G11="",G11&gt;=DATE(2028,2,1))),H11*(1+Assumptions!$C$7)^3,0)</f>
        <v/>
      </c>
      <c r="AU11" s="299">
        <f>IF(AND(F11&lt;=DATE(2028,3,1),OR(G11="",G11&gt;=DATE(2028,3,1))),H11*(1+Assumptions!$C$7)^3,0)</f>
        <v/>
      </c>
      <c r="AV11" s="299">
        <f>IF(AND(F11&lt;=DATE(2028,4,1),OR(G11="",G11&gt;=DATE(2028,4,1))),H11*(1+Assumptions!$C$7)^3,0)</f>
        <v/>
      </c>
      <c r="AW11" s="299">
        <f>IF(AND(F11&lt;=DATE(2028,5,1),OR(G11="",G11&gt;=DATE(2028,5,1))),H11*(1+Assumptions!$C$7)^3,0)</f>
        <v/>
      </c>
      <c r="AX11" s="299">
        <f>IF(AND(F11&lt;=DATE(2028,6,1),OR(G11="",G11&gt;=DATE(2028,6,1))),H11*(1+Assumptions!$C$7)^3,0)</f>
        <v/>
      </c>
      <c r="AY11" s="299">
        <f>IF(AND(F11&lt;=DATE(2028,7,1),OR(G11="",G11&gt;=DATE(2028,7,1))),H11*(1+Assumptions!$C$7)^3,0)</f>
        <v/>
      </c>
      <c r="AZ11" s="299">
        <f>IF(AND(F11&lt;=DATE(2028,8,1),OR(G11="",G11&gt;=DATE(2028,8,1))),H11*(1+Assumptions!$C$7)^3,0)</f>
        <v/>
      </c>
      <c r="BA11" s="299">
        <f>IF(AND(F11&lt;=DATE(2028,9,1),OR(G11="",G11&gt;=DATE(2028,9,1))),H11*(1+Assumptions!$C$7)^3,0)</f>
        <v/>
      </c>
      <c r="BB11" s="299">
        <f>IF(AND(F11&lt;=DATE(2028,10,1),OR(G11="",G11&gt;=DATE(2028,10,1))),H11*(1+Assumptions!$C$7)^3,0)</f>
        <v/>
      </c>
      <c r="BC11" s="299">
        <f>IF(AND(F11&lt;=DATE(2028,11,1),OR(G11="",G11&gt;=DATE(2028,11,1))),H11*(1+Assumptions!$C$7)^3,0)</f>
        <v/>
      </c>
      <c r="BD11" s="299">
        <f>IF(AND(F11&lt;=DATE(2028,12,1),OR(G11="",G11&gt;=DATE(2028,12,1))),H11*(1+Assumptions!$C$7)^3,0)</f>
        <v/>
      </c>
      <c r="BE11" s="299">
        <f>IF(AND(F11&lt;=DATE(2029,1,1),OR(G11="",G11&gt;=DATE(2029,1,1))),H11*(1+Assumptions!$C$7)^4,0)</f>
        <v/>
      </c>
      <c r="BF11" s="299">
        <f>IF(AND(F11&lt;=DATE(2029,2,1),OR(G11="",G11&gt;=DATE(2029,2,1))),H11*(1+Assumptions!$C$7)^4,0)</f>
        <v/>
      </c>
      <c r="BG11" s="299">
        <f>IF(AND(F11&lt;=DATE(2029,3,1),OR(G11="",G11&gt;=DATE(2029,3,1))),H11*(1+Assumptions!$C$7)^4,0)</f>
        <v/>
      </c>
      <c r="BH11" s="299">
        <f>IF(AND(F11&lt;=DATE(2029,4,1),OR(G11="",G11&gt;=DATE(2029,4,1))),H11*(1+Assumptions!$C$7)^4,0)</f>
        <v/>
      </c>
      <c r="BI11" s="299">
        <f>IF(AND(F11&lt;=DATE(2029,5,1),OR(G11="",G11&gt;=DATE(2029,5,1))),H11*(1+Assumptions!$C$7)^4,0)</f>
        <v/>
      </c>
      <c r="BJ11" s="299">
        <f>IF(AND(F11&lt;=DATE(2029,6,1),OR(G11="",G11&gt;=DATE(2029,6,1))),H11*(1+Assumptions!$C$7)^4,0)</f>
        <v/>
      </c>
      <c r="BK11" s="299">
        <f>IF(AND(F11&lt;=DATE(2029,7,1),OR(G11="",G11&gt;=DATE(2029,7,1))),H11*(1+Assumptions!$C$7)^4,0)</f>
        <v/>
      </c>
      <c r="BL11" s="299">
        <f>IF(AND(F11&lt;=DATE(2029,8,1),OR(G11="",G11&gt;=DATE(2029,8,1))),H11*(1+Assumptions!$C$7)^4,0)</f>
        <v/>
      </c>
      <c r="BM11" s="299">
        <f>IF(AND(F11&lt;=DATE(2029,9,1),OR(G11="",G11&gt;=DATE(2029,9,1))),H11*(1+Assumptions!$C$7)^4,0)</f>
        <v/>
      </c>
      <c r="BN11" s="299">
        <f>IF(AND(F11&lt;=DATE(2029,10,1),OR(G11="",G11&gt;=DATE(2029,10,1))),H11*(1+Assumptions!$C$7)^4,0)</f>
        <v/>
      </c>
      <c r="BO11" s="299">
        <f>IF(AND(F11&lt;=DATE(2029,11,1),OR(G11="",G11&gt;=DATE(2029,11,1))),H11*(1+Assumptions!$C$7)^4,0)</f>
        <v/>
      </c>
      <c r="BP11" s="299">
        <f>IF(AND(F11&lt;=DATE(2029,12,1),OR(G11="",G11&gt;=DATE(2029,12,1))),H11*(1+Assumptions!$C$7)^4,0)</f>
        <v/>
      </c>
      <c r="BQ11" s="226" t="n"/>
      <c r="BR11" s="350" t="inlineStr">
        <is>
          <t>paid this month if started and not yet left; +8% each calendar year</t>
        </is>
      </c>
      <c r="BS11" s="226" t="n"/>
      <c r="BT11" s="226" t="n"/>
    </row>
    <row r="12">
      <c r="A12" s="309" t="n">
        <v>9</v>
      </c>
      <c r="B12" s="312" t="inlineStr">
        <is>
          <t>Head of Growth</t>
        </is>
      </c>
      <c r="C12" s="23" t="inlineStr">
        <is>
          <t>S&amp;M</t>
        </is>
      </c>
      <c r="D12" s="23" t="inlineStr">
        <is>
          <t>Growth</t>
        </is>
      </c>
      <c r="E12" s="310" t="inlineStr">
        <is>
          <t>Current</t>
        </is>
      </c>
      <c r="F12" s="318" t="n">
        <v>46054</v>
      </c>
      <c r="G12" s="313" t="n"/>
      <c r="H12" s="288" t="n">
        <v>10000</v>
      </c>
      <c r="I12" s="289">
        <f>IF(AND(F12&lt;=DATE(2025,1,1),OR(G12="",G12&gt;=DATE(2025,1,1))),H12*(1+Assumptions!$C$7)^0,0)</f>
        <v/>
      </c>
      <c r="J12" s="289">
        <f>IF(AND(F12&lt;=DATE(2025,2,1),OR(G12="",G12&gt;=DATE(2025,2,1))),H12*(1+Assumptions!$C$7)^0,0)</f>
        <v/>
      </c>
      <c r="K12" s="289">
        <f>IF(AND(F12&lt;=DATE(2025,3,1),OR(G12="",G12&gt;=DATE(2025,3,1))),H12*(1+Assumptions!$C$7)^0,0)</f>
        <v/>
      </c>
      <c r="L12" s="289">
        <f>IF(AND(F12&lt;=DATE(2025,4,1),OR(G12="",G12&gt;=DATE(2025,4,1))),H12*(1+Assumptions!$C$7)^0,0)</f>
        <v/>
      </c>
      <c r="M12" s="289">
        <f>IF(AND(F12&lt;=DATE(2025,5,1),OR(G12="",G12&gt;=DATE(2025,5,1))),H12*(1+Assumptions!$C$7)^0,0)</f>
        <v/>
      </c>
      <c r="N12" s="289">
        <f>IF(AND(F12&lt;=DATE(2025,6,1),OR(G12="",G12&gt;=DATE(2025,6,1))),H12*(1+Assumptions!$C$7)^0,0)</f>
        <v/>
      </c>
      <c r="O12" s="289">
        <f>IF(AND(F12&lt;=DATE(2025,7,1),OR(G12="",G12&gt;=DATE(2025,7,1))),H12*(1+Assumptions!$C$7)^0,0)</f>
        <v/>
      </c>
      <c r="P12" s="289">
        <f>IF(AND(F12&lt;=DATE(2025,8,1),OR(G12="",G12&gt;=DATE(2025,8,1))),H12*(1+Assumptions!$C$7)^0,0)</f>
        <v/>
      </c>
      <c r="Q12" s="289">
        <f>IF(AND(F12&lt;=DATE(2025,9,1),OR(G12="",G12&gt;=DATE(2025,9,1))),H12*(1+Assumptions!$C$7)^0,0)</f>
        <v/>
      </c>
      <c r="R12" s="289">
        <f>IF(AND(F12&lt;=DATE(2025,10,1),OR(G12="",G12&gt;=DATE(2025,10,1))),H12*(1+Assumptions!$C$7)^0,0)</f>
        <v/>
      </c>
      <c r="S12" s="289">
        <f>IF(AND(F12&lt;=DATE(2025,11,1),OR(G12="",G12&gt;=DATE(2025,11,1))),H12*(1+Assumptions!$C$7)^0,0)</f>
        <v/>
      </c>
      <c r="T12" s="289">
        <f>IF(AND(F12&lt;=DATE(2025,12,1),OR(G12="",G12&gt;=DATE(2025,12,1))),H12*(1+Assumptions!$C$7)^0,0)</f>
        <v/>
      </c>
      <c r="U12" s="289">
        <f>IF(AND(F12&lt;=DATE(2026,1,1),OR(G12="",G12&gt;=DATE(2026,1,1))),H12*(1+Assumptions!$C$7)^1,0)</f>
        <v/>
      </c>
      <c r="V12" s="289">
        <f>IF(AND(F12&lt;=DATE(2026,2,1),OR(G12="",G12&gt;=DATE(2026,2,1))),H12*(1+Assumptions!$C$7)^1,0)</f>
        <v/>
      </c>
      <c r="W12" s="289">
        <f>IF(AND(F12&lt;=DATE(2026,3,1),OR(G12="",G12&gt;=DATE(2026,3,1))),H12*(1+Assumptions!$C$7)^1,0)</f>
        <v/>
      </c>
      <c r="X12" s="289">
        <f>IF(AND(F12&lt;=DATE(2026,4,1),OR(G12="",G12&gt;=DATE(2026,4,1))),H12*(1+Assumptions!$C$7)^1,0)</f>
        <v/>
      </c>
      <c r="Y12" s="289">
        <f>IF(AND(F12&lt;=DATE(2026,5,1),OR(G12="",G12&gt;=DATE(2026,5,1))),H12*(1+Assumptions!$C$7)^1,0)</f>
        <v/>
      </c>
      <c r="Z12" s="289">
        <f>IF(AND(F12&lt;=DATE(2026,6,1),OR(G12="",G12&gt;=DATE(2026,6,1))),H12*(1+Assumptions!$C$7)^1,0)</f>
        <v/>
      </c>
      <c r="AA12" s="289">
        <f>IF(AND(F12&lt;=DATE(2026,7,1),OR(G12="",G12&gt;=DATE(2026,7,1))),H12*(1+Assumptions!$C$7)^1,0)</f>
        <v/>
      </c>
      <c r="AB12" s="289">
        <f>IF(AND(F12&lt;=DATE(2026,8,1),OR(G12="",G12&gt;=DATE(2026,8,1))),H12*(1+Assumptions!$C$7)^1,0)</f>
        <v/>
      </c>
      <c r="AC12" s="289">
        <f>IF(AND(F12&lt;=DATE(2026,9,1),OR(G12="",G12&gt;=DATE(2026,9,1))),H12*(1+Assumptions!$C$7)^1,0)</f>
        <v/>
      </c>
      <c r="AD12" s="289">
        <f>IF(AND(F12&lt;=DATE(2026,10,1),OR(G12="",G12&gt;=DATE(2026,10,1))),H12*(1+Assumptions!$C$7)^1,0)</f>
        <v/>
      </c>
      <c r="AE12" s="289">
        <f>IF(AND(F12&lt;=DATE(2026,11,1),OR(G12="",G12&gt;=DATE(2026,11,1))),H12*(1+Assumptions!$C$7)^1,0)</f>
        <v/>
      </c>
      <c r="AF12" s="289">
        <f>IF(AND(F12&lt;=DATE(2026,12,1),OR(G12="",G12&gt;=DATE(2026,12,1))),H12*(1+Assumptions!$C$7)^1,0)</f>
        <v/>
      </c>
      <c r="AG12" s="289">
        <f>IF(AND(F12&lt;=DATE(2027,1,1),OR(G12="",G12&gt;=DATE(2027,1,1))),H12*(1+Assumptions!$C$7)^2,0)</f>
        <v/>
      </c>
      <c r="AH12" s="289">
        <f>IF(AND(F12&lt;=DATE(2027,2,1),OR(G12="",G12&gt;=DATE(2027,2,1))),H12*(1+Assumptions!$C$7)^2,0)</f>
        <v/>
      </c>
      <c r="AI12" s="289">
        <f>IF(AND(F12&lt;=DATE(2027,3,1),OR(G12="",G12&gt;=DATE(2027,3,1))),H12*(1+Assumptions!$C$7)^2,0)</f>
        <v/>
      </c>
      <c r="AJ12" s="289">
        <f>IF(AND(F12&lt;=DATE(2027,4,1),OR(G12="",G12&gt;=DATE(2027,4,1))),H12*(1+Assumptions!$C$7)^2,0)</f>
        <v/>
      </c>
      <c r="AK12" s="289">
        <f>IF(AND(F12&lt;=DATE(2027,5,1),OR(G12="",G12&gt;=DATE(2027,5,1))),H12*(1+Assumptions!$C$7)^2,0)</f>
        <v/>
      </c>
      <c r="AL12" s="289">
        <f>IF(AND(F12&lt;=DATE(2027,6,1),OR(G12="",G12&gt;=DATE(2027,6,1))),H12*(1+Assumptions!$C$7)^2,0)</f>
        <v/>
      </c>
      <c r="AM12" s="289">
        <f>IF(AND(F12&lt;=DATE(2027,7,1),OR(G12="",G12&gt;=DATE(2027,7,1))),H12*(1+Assumptions!$C$7)^2,0)</f>
        <v/>
      </c>
      <c r="AN12" s="289">
        <f>IF(AND(F12&lt;=DATE(2027,8,1),OR(G12="",G12&gt;=DATE(2027,8,1))),H12*(1+Assumptions!$C$7)^2,0)</f>
        <v/>
      </c>
      <c r="AO12" s="289">
        <f>IF(AND(F12&lt;=DATE(2027,9,1),OR(G12="",G12&gt;=DATE(2027,9,1))),H12*(1+Assumptions!$C$7)^2,0)</f>
        <v/>
      </c>
      <c r="AP12" s="289">
        <f>IF(AND(F12&lt;=DATE(2027,10,1),OR(G12="",G12&gt;=DATE(2027,10,1))),H12*(1+Assumptions!$C$7)^2,0)</f>
        <v/>
      </c>
      <c r="AQ12" s="289">
        <f>IF(AND(F12&lt;=DATE(2027,11,1),OR(G12="",G12&gt;=DATE(2027,11,1))),H12*(1+Assumptions!$C$7)^2,0)</f>
        <v/>
      </c>
      <c r="AR12" s="289">
        <f>IF(AND(F12&lt;=DATE(2027,12,1),OR(G12="",G12&gt;=DATE(2027,12,1))),H12*(1+Assumptions!$C$7)^2,0)</f>
        <v/>
      </c>
      <c r="AS12" s="289">
        <f>IF(AND(F12&lt;=DATE(2028,1,1),OR(G12="",G12&gt;=DATE(2028,1,1))),H12*(1+Assumptions!$C$7)^3,0)</f>
        <v/>
      </c>
      <c r="AT12" s="289">
        <f>IF(AND(F12&lt;=DATE(2028,2,1),OR(G12="",G12&gt;=DATE(2028,2,1))),H12*(1+Assumptions!$C$7)^3,0)</f>
        <v/>
      </c>
      <c r="AU12" s="289">
        <f>IF(AND(F12&lt;=DATE(2028,3,1),OR(G12="",G12&gt;=DATE(2028,3,1))),H12*(1+Assumptions!$C$7)^3,0)</f>
        <v/>
      </c>
      <c r="AV12" s="289">
        <f>IF(AND(F12&lt;=DATE(2028,4,1),OR(G12="",G12&gt;=DATE(2028,4,1))),H12*(1+Assumptions!$C$7)^3,0)</f>
        <v/>
      </c>
      <c r="AW12" s="289">
        <f>IF(AND(F12&lt;=DATE(2028,5,1),OR(G12="",G12&gt;=DATE(2028,5,1))),H12*(1+Assumptions!$C$7)^3,0)</f>
        <v/>
      </c>
      <c r="AX12" s="289">
        <f>IF(AND(F12&lt;=DATE(2028,6,1),OR(G12="",G12&gt;=DATE(2028,6,1))),H12*(1+Assumptions!$C$7)^3,0)</f>
        <v/>
      </c>
      <c r="AY12" s="289">
        <f>IF(AND(F12&lt;=DATE(2028,7,1),OR(G12="",G12&gt;=DATE(2028,7,1))),H12*(1+Assumptions!$C$7)^3,0)</f>
        <v/>
      </c>
      <c r="AZ12" s="289">
        <f>IF(AND(F12&lt;=DATE(2028,8,1),OR(G12="",G12&gt;=DATE(2028,8,1))),H12*(1+Assumptions!$C$7)^3,0)</f>
        <v/>
      </c>
      <c r="BA12" s="289">
        <f>IF(AND(F12&lt;=DATE(2028,9,1),OR(G12="",G12&gt;=DATE(2028,9,1))),H12*(1+Assumptions!$C$7)^3,0)</f>
        <v/>
      </c>
      <c r="BB12" s="289">
        <f>IF(AND(F12&lt;=DATE(2028,10,1),OR(G12="",G12&gt;=DATE(2028,10,1))),H12*(1+Assumptions!$C$7)^3,0)</f>
        <v/>
      </c>
      <c r="BC12" s="289">
        <f>IF(AND(F12&lt;=DATE(2028,11,1),OR(G12="",G12&gt;=DATE(2028,11,1))),H12*(1+Assumptions!$C$7)^3,0)</f>
        <v/>
      </c>
      <c r="BD12" s="289">
        <f>IF(AND(F12&lt;=DATE(2028,12,1),OR(G12="",G12&gt;=DATE(2028,12,1))),H12*(1+Assumptions!$C$7)^3,0)</f>
        <v/>
      </c>
      <c r="BE12" s="289">
        <f>IF(AND(F12&lt;=DATE(2029,1,1),OR(G12="",G12&gt;=DATE(2029,1,1))),H12*(1+Assumptions!$C$7)^4,0)</f>
        <v/>
      </c>
      <c r="BF12" s="289">
        <f>IF(AND(F12&lt;=DATE(2029,2,1),OR(G12="",G12&gt;=DATE(2029,2,1))),H12*(1+Assumptions!$C$7)^4,0)</f>
        <v/>
      </c>
      <c r="BG12" s="289">
        <f>IF(AND(F12&lt;=DATE(2029,3,1),OR(G12="",G12&gt;=DATE(2029,3,1))),H12*(1+Assumptions!$C$7)^4,0)</f>
        <v/>
      </c>
      <c r="BH12" s="289">
        <f>IF(AND(F12&lt;=DATE(2029,4,1),OR(G12="",G12&gt;=DATE(2029,4,1))),H12*(1+Assumptions!$C$7)^4,0)</f>
        <v/>
      </c>
      <c r="BI12" s="289">
        <f>IF(AND(F12&lt;=DATE(2029,5,1),OR(G12="",G12&gt;=DATE(2029,5,1))),H12*(1+Assumptions!$C$7)^4,0)</f>
        <v/>
      </c>
      <c r="BJ12" s="289">
        <f>IF(AND(F12&lt;=DATE(2029,6,1),OR(G12="",G12&gt;=DATE(2029,6,1))),H12*(1+Assumptions!$C$7)^4,0)</f>
        <v/>
      </c>
      <c r="BK12" s="289">
        <f>IF(AND(F12&lt;=DATE(2029,7,1),OR(G12="",G12&gt;=DATE(2029,7,1))),H12*(1+Assumptions!$C$7)^4,0)</f>
        <v/>
      </c>
      <c r="BL12" s="289">
        <f>IF(AND(F12&lt;=DATE(2029,8,1),OR(G12="",G12&gt;=DATE(2029,8,1))),H12*(1+Assumptions!$C$7)^4,0)</f>
        <v/>
      </c>
      <c r="BM12" s="289">
        <f>IF(AND(F12&lt;=DATE(2029,9,1),OR(G12="",G12&gt;=DATE(2029,9,1))),H12*(1+Assumptions!$C$7)^4,0)</f>
        <v/>
      </c>
      <c r="BN12" s="289">
        <f>IF(AND(F12&lt;=DATE(2029,10,1),OR(G12="",G12&gt;=DATE(2029,10,1))),H12*(1+Assumptions!$C$7)^4,0)</f>
        <v/>
      </c>
      <c r="BO12" s="289">
        <f>IF(AND(F12&lt;=DATE(2029,11,1),OR(G12="",G12&gt;=DATE(2029,11,1))),H12*(1+Assumptions!$C$7)^4,0)</f>
        <v/>
      </c>
      <c r="BP12" s="289">
        <f>IF(AND(F12&lt;=DATE(2029,12,1),OR(G12="",G12&gt;=DATE(2029,12,1))),H12*(1+Assumptions!$C$7)^4,0)</f>
        <v/>
      </c>
      <c r="BQ12" s="226" t="n"/>
      <c r="BR12" s="350" t="inlineStr">
        <is>
          <t>paid this month if started and not yet left; +8% each calendar year</t>
        </is>
      </c>
      <c r="BS12" s="226" t="n"/>
      <c r="BT12" s="226" t="n"/>
    </row>
    <row r="13">
      <c r="A13" s="296" t="n">
        <v>10</v>
      </c>
      <c r="B13" s="284" t="inlineStr">
        <is>
          <t>CEO</t>
        </is>
      </c>
      <c r="C13" s="285" t="inlineStr">
        <is>
          <t>G&amp;A</t>
        </is>
      </c>
      <c r="D13" s="285" t="inlineStr">
        <is>
          <t>CEO</t>
        </is>
      </c>
      <c r="E13" s="297" t="inlineStr">
        <is>
          <t>Current</t>
        </is>
      </c>
      <c r="F13" s="318" t="n">
        <v>46266</v>
      </c>
      <c r="G13" s="298" t="n"/>
      <c r="H13" s="288" t="n">
        <v>11500</v>
      </c>
      <c r="I13" s="299">
        <f>IF(AND(F13&lt;=DATE(2025,1,1),OR(G13="",G13&gt;=DATE(2025,1,1))),H13*(1+Assumptions!$C$7)^0,0)</f>
        <v/>
      </c>
      <c r="J13" s="299">
        <f>IF(AND(F13&lt;=DATE(2025,2,1),OR(G13="",G13&gt;=DATE(2025,2,1))),H13*(1+Assumptions!$C$7)^0,0)</f>
        <v/>
      </c>
      <c r="K13" s="299">
        <f>IF(AND(F13&lt;=DATE(2025,3,1),OR(G13="",G13&gt;=DATE(2025,3,1))),H13*(1+Assumptions!$C$7)^0,0)</f>
        <v/>
      </c>
      <c r="L13" s="299">
        <f>IF(AND(F13&lt;=DATE(2025,4,1),OR(G13="",G13&gt;=DATE(2025,4,1))),H13*(1+Assumptions!$C$7)^0,0)</f>
        <v/>
      </c>
      <c r="M13" s="299">
        <f>IF(AND(F13&lt;=DATE(2025,5,1),OR(G13="",G13&gt;=DATE(2025,5,1))),H13*(1+Assumptions!$C$7)^0,0)</f>
        <v/>
      </c>
      <c r="N13" s="299">
        <f>IF(AND(F13&lt;=DATE(2025,6,1),OR(G13="",G13&gt;=DATE(2025,6,1))),H13*(1+Assumptions!$C$7)^0,0)</f>
        <v/>
      </c>
      <c r="O13" s="299">
        <f>IF(AND(F13&lt;=DATE(2025,7,1),OR(G13="",G13&gt;=DATE(2025,7,1))),H13*(1+Assumptions!$C$7)^0,0)</f>
        <v/>
      </c>
      <c r="P13" s="299">
        <f>IF(AND(F13&lt;=DATE(2025,8,1),OR(G13="",G13&gt;=DATE(2025,8,1))),H13*(1+Assumptions!$C$7)^0,0)</f>
        <v/>
      </c>
      <c r="Q13" s="299" t="n">
        <v>7500</v>
      </c>
      <c r="R13" s="299" t="n">
        <v>7500</v>
      </c>
      <c r="S13" s="299" t="n">
        <v>7500</v>
      </c>
      <c r="T13" s="299" t="n">
        <v>7500</v>
      </c>
      <c r="U13" s="299" t="n">
        <v>7500</v>
      </c>
      <c r="V13" s="299" t="n">
        <v>7500</v>
      </c>
      <c r="W13" s="299" t="n">
        <v>7500</v>
      </c>
      <c r="X13" s="299" t="n">
        <v>7500</v>
      </c>
      <c r="Y13" s="299" t="n">
        <v>7500</v>
      </c>
      <c r="Z13" s="299" t="n">
        <v>7500</v>
      </c>
      <c r="AA13" s="299" t="n">
        <v>7500</v>
      </c>
      <c r="AB13" s="299" t="n">
        <v>7500</v>
      </c>
      <c r="AC13" s="299">
        <f>IF(AND(F13&lt;=DATE(2026,9,1),OR(G13="",G13&gt;=DATE(2026,9,1))),H13*(1+Assumptions!$C$7)^1,0)</f>
        <v/>
      </c>
      <c r="AD13" s="299">
        <f>IF(AND(F13&lt;=DATE(2026,10,1),OR(G13="",G13&gt;=DATE(2026,10,1))),H13*(1+Assumptions!$C$7)^1,0)</f>
        <v/>
      </c>
      <c r="AE13" s="299">
        <f>IF(AND(F13&lt;=DATE(2026,11,1),OR(G13="",G13&gt;=DATE(2026,11,1))),H13*(1+Assumptions!$C$7)^1,0)</f>
        <v/>
      </c>
      <c r="AF13" s="299">
        <f>IF(AND(F13&lt;=DATE(2026,12,1),OR(G13="",G13&gt;=DATE(2026,12,1))),H13*(1+Assumptions!$C$7)^1,0)</f>
        <v/>
      </c>
      <c r="AG13" s="299">
        <f>IF(AND(F13&lt;=DATE(2027,1,1),OR(G13="",G13&gt;=DATE(2027,1,1))),H13*(1+Assumptions!$C$7)^2,0)</f>
        <v/>
      </c>
      <c r="AH13" s="299">
        <f>IF(AND(F13&lt;=DATE(2027,2,1),OR(G13="",G13&gt;=DATE(2027,2,1))),H13*(1+Assumptions!$C$7)^2,0)</f>
        <v/>
      </c>
      <c r="AI13" s="299">
        <f>IF(AND(F13&lt;=DATE(2027,3,1),OR(G13="",G13&gt;=DATE(2027,3,1))),H13*(1+Assumptions!$C$7)^2,0)</f>
        <v/>
      </c>
      <c r="AJ13" s="299">
        <f>IF(AND(F13&lt;=DATE(2027,4,1),OR(G13="",G13&gt;=DATE(2027,4,1))),H13*(1+Assumptions!$C$7)^2,0)</f>
        <v/>
      </c>
      <c r="AK13" s="299">
        <f>IF(AND(F13&lt;=DATE(2027,5,1),OR(G13="",G13&gt;=DATE(2027,5,1))),H13*(1+Assumptions!$C$7)^2,0)</f>
        <v/>
      </c>
      <c r="AL13" s="299">
        <f>IF(AND(F13&lt;=DATE(2027,6,1),OR(G13="",G13&gt;=DATE(2027,6,1))),H13*(1+Assumptions!$C$7)^2,0)</f>
        <v/>
      </c>
      <c r="AM13" s="299">
        <f>IF(AND(F13&lt;=DATE(2027,7,1),OR(G13="",G13&gt;=DATE(2027,7,1))),H13*(1+Assumptions!$C$7)^2,0)</f>
        <v/>
      </c>
      <c r="AN13" s="299">
        <f>IF(AND(F13&lt;=DATE(2027,8,1),OR(G13="",G13&gt;=DATE(2027,8,1))),H13*(1+Assumptions!$C$7)^2,0)</f>
        <v/>
      </c>
      <c r="AO13" s="299">
        <f>IF(AND(F13&lt;=DATE(2027,9,1),OR(G13="",G13&gt;=DATE(2027,9,1))),H13*(1+Assumptions!$C$7)^2,0)</f>
        <v/>
      </c>
      <c r="AP13" s="299">
        <f>IF(AND(F13&lt;=DATE(2027,10,1),OR(G13="",G13&gt;=DATE(2027,10,1))),H13*(1+Assumptions!$C$7)^2,0)</f>
        <v/>
      </c>
      <c r="AQ13" s="299">
        <f>IF(AND(F13&lt;=DATE(2027,11,1),OR(G13="",G13&gt;=DATE(2027,11,1))),H13*(1+Assumptions!$C$7)^2,0)</f>
        <v/>
      </c>
      <c r="AR13" s="299">
        <f>IF(AND(F13&lt;=DATE(2027,12,1),OR(G13="",G13&gt;=DATE(2027,12,1))),H13*(1+Assumptions!$C$7)^2,0)</f>
        <v/>
      </c>
      <c r="AS13" s="299">
        <f>IF(AND(F13&lt;=DATE(2028,1,1),OR(G13="",G13&gt;=DATE(2028,1,1))),H13*(1+Assumptions!$C$7)^3,0)</f>
        <v/>
      </c>
      <c r="AT13" s="299">
        <f>IF(AND(F13&lt;=DATE(2028,2,1),OR(G13="",G13&gt;=DATE(2028,2,1))),H13*(1+Assumptions!$C$7)^3,0)</f>
        <v/>
      </c>
      <c r="AU13" s="299">
        <f>IF(AND(F13&lt;=DATE(2028,3,1),OR(G13="",G13&gt;=DATE(2028,3,1))),H13*(1+Assumptions!$C$7)^3,0)</f>
        <v/>
      </c>
      <c r="AV13" s="299">
        <f>IF(AND(F13&lt;=DATE(2028,4,1),OR(G13="",G13&gt;=DATE(2028,4,1))),H13*(1+Assumptions!$C$7)^3,0)</f>
        <v/>
      </c>
      <c r="AW13" s="299">
        <f>IF(AND(F13&lt;=DATE(2028,5,1),OR(G13="",G13&gt;=DATE(2028,5,1))),H13*(1+Assumptions!$C$7)^3,0)</f>
        <v/>
      </c>
      <c r="AX13" s="299">
        <f>IF(AND(F13&lt;=DATE(2028,6,1),OR(G13="",G13&gt;=DATE(2028,6,1))),H13*(1+Assumptions!$C$7)^3,0)</f>
        <v/>
      </c>
      <c r="AY13" s="299">
        <f>IF(AND(F13&lt;=DATE(2028,7,1),OR(G13="",G13&gt;=DATE(2028,7,1))),H13*(1+Assumptions!$C$7)^3,0)</f>
        <v/>
      </c>
      <c r="AZ13" s="299">
        <f>IF(AND(F13&lt;=DATE(2028,8,1),OR(G13="",G13&gt;=DATE(2028,8,1))),H13*(1+Assumptions!$C$7)^3,0)</f>
        <v/>
      </c>
      <c r="BA13" s="299">
        <f>IF(AND(F13&lt;=DATE(2028,9,1),OR(G13="",G13&gt;=DATE(2028,9,1))),H13*(1+Assumptions!$C$7)^3,0)</f>
        <v/>
      </c>
      <c r="BB13" s="299">
        <f>IF(AND(F13&lt;=DATE(2028,10,1),OR(G13="",G13&gt;=DATE(2028,10,1))),H13*(1+Assumptions!$C$7)^3,0)</f>
        <v/>
      </c>
      <c r="BC13" s="299">
        <f>IF(AND(F13&lt;=DATE(2028,11,1),OR(G13="",G13&gt;=DATE(2028,11,1))),H13*(1+Assumptions!$C$7)^3,0)</f>
        <v/>
      </c>
      <c r="BD13" s="299">
        <f>IF(AND(F13&lt;=DATE(2028,12,1),OR(G13="",G13&gt;=DATE(2028,12,1))),H13*(1+Assumptions!$C$7)^3,0)</f>
        <v/>
      </c>
      <c r="BE13" s="299">
        <f>IF(AND(F13&lt;=DATE(2029,1,1),OR(G13="",G13&gt;=DATE(2029,1,1))),H13*(1+Assumptions!$C$7)^4,0)</f>
        <v/>
      </c>
      <c r="BF13" s="299">
        <f>IF(AND(F13&lt;=DATE(2029,2,1),OR(G13="",G13&gt;=DATE(2029,2,1))),H13*(1+Assumptions!$C$7)^4,0)</f>
        <v/>
      </c>
      <c r="BG13" s="299">
        <f>IF(AND(F13&lt;=DATE(2029,3,1),OR(G13="",G13&gt;=DATE(2029,3,1))),H13*(1+Assumptions!$C$7)^4,0)</f>
        <v/>
      </c>
      <c r="BH13" s="299">
        <f>IF(AND(F13&lt;=DATE(2029,4,1),OR(G13="",G13&gt;=DATE(2029,4,1))),H13*(1+Assumptions!$C$7)^4,0)</f>
        <v/>
      </c>
      <c r="BI13" s="299">
        <f>IF(AND(F13&lt;=DATE(2029,5,1),OR(G13="",G13&gt;=DATE(2029,5,1))),H13*(1+Assumptions!$C$7)^4,0)</f>
        <v/>
      </c>
      <c r="BJ13" s="299">
        <f>IF(AND(F13&lt;=DATE(2029,6,1),OR(G13="",G13&gt;=DATE(2029,6,1))),H13*(1+Assumptions!$C$7)^4,0)</f>
        <v/>
      </c>
      <c r="BK13" s="299">
        <f>IF(AND(F13&lt;=DATE(2029,7,1),OR(G13="",G13&gt;=DATE(2029,7,1))),H13*(1+Assumptions!$C$7)^4,0)</f>
        <v/>
      </c>
      <c r="BL13" s="299">
        <f>IF(AND(F13&lt;=DATE(2029,8,1),OR(G13="",G13&gt;=DATE(2029,8,1))),H13*(1+Assumptions!$C$7)^4,0)</f>
        <v/>
      </c>
      <c r="BM13" s="299">
        <f>IF(AND(F13&lt;=DATE(2029,9,1),OR(G13="",G13&gt;=DATE(2029,9,1))),H13*(1+Assumptions!$C$7)^4,0)</f>
        <v/>
      </c>
      <c r="BN13" s="299">
        <f>IF(AND(F13&lt;=DATE(2029,10,1),OR(G13="",G13&gt;=DATE(2029,10,1))),H13*(1+Assumptions!$C$7)^4,0)</f>
        <v/>
      </c>
      <c r="BO13" s="299">
        <f>IF(AND(F13&lt;=DATE(2029,11,1),OR(G13="",G13&gt;=DATE(2029,11,1))),H13*(1+Assumptions!$C$7)^4,0)</f>
        <v/>
      </c>
      <c r="BP13" s="299">
        <f>IF(AND(F13&lt;=DATE(2029,12,1),OR(G13="",G13&gt;=DATE(2029,12,1))),H13*(1+Assumptions!$C$7)^4,0)</f>
        <v/>
      </c>
      <c r="BQ13" s="226" t="n"/>
      <c r="BR13" s="350" t="inlineStr">
        <is>
          <t>paid this month if started and not yet left; +8% each calendar year</t>
        </is>
      </c>
      <c r="BS13" s="226" t="n"/>
      <c r="BT13" s="226" t="n"/>
    </row>
    <row r="14">
      <c r="A14" s="23" t="n"/>
      <c r="B14" s="23" t="n"/>
      <c r="C14" s="23" t="n"/>
      <c r="D14" s="23" t="n"/>
      <c r="E14" s="310" t="n"/>
      <c r="F14" s="310" t="n"/>
      <c r="G14" s="23" t="n"/>
      <c r="H14" s="23" t="n"/>
      <c r="I14" s="295" t="n"/>
      <c r="J14" s="295" t="n"/>
      <c r="K14" s="295" t="n"/>
      <c r="L14" s="295" t="n"/>
      <c r="M14" s="295" t="n"/>
      <c r="N14" s="295" t="n"/>
      <c r="O14" s="295" t="n"/>
      <c r="P14" s="295" t="n"/>
      <c r="Q14" s="295" t="n"/>
      <c r="R14" s="295" t="n"/>
      <c r="S14" s="295" t="n"/>
      <c r="T14" s="295" t="n"/>
      <c r="U14" s="295" t="n"/>
      <c r="V14" s="295" t="n"/>
      <c r="W14" s="295" t="n"/>
      <c r="X14" s="295" t="n"/>
      <c r="Y14" s="295" t="n"/>
      <c r="Z14" s="295" t="n"/>
      <c r="AA14" s="295" t="n"/>
      <c r="AB14" s="295" t="n"/>
      <c r="AC14" s="295" t="n"/>
      <c r="AD14" s="295" t="n"/>
      <c r="AE14" s="295" t="n"/>
      <c r="AF14" s="295" t="n"/>
      <c r="AG14" s="295" t="n"/>
      <c r="AH14" s="295" t="n"/>
      <c r="AI14" s="295" t="n"/>
      <c r="AJ14" s="295" t="n"/>
      <c r="AK14" s="295" t="n"/>
      <c r="AL14" s="295" t="n"/>
      <c r="AM14" s="295" t="n"/>
      <c r="AN14" s="295" t="n"/>
      <c r="AO14" s="295" t="n"/>
      <c r="AP14" s="295" t="n"/>
      <c r="AQ14" s="295" t="n"/>
      <c r="AR14" s="295" t="n"/>
      <c r="AS14" s="295" t="n"/>
      <c r="AT14" s="295" t="n"/>
      <c r="AU14" s="295" t="n"/>
      <c r="AV14" s="295" t="n"/>
      <c r="AW14" s="295" t="n"/>
      <c r="AX14" s="295" t="n"/>
      <c r="AY14" s="295" t="n"/>
      <c r="AZ14" s="295" t="n"/>
      <c r="BA14" s="295" t="n"/>
      <c r="BB14" s="295" t="n"/>
      <c r="BC14" s="295" t="n"/>
      <c r="BD14" s="295" t="n"/>
      <c r="BE14" s="295" t="n"/>
      <c r="BF14" s="295" t="n"/>
      <c r="BG14" s="295" t="n"/>
      <c r="BH14" s="295" t="n"/>
      <c r="BI14" s="295" t="n"/>
      <c r="BJ14" s="295" t="n"/>
      <c r="BK14" s="295" t="n"/>
      <c r="BL14" s="295" t="n"/>
      <c r="BM14" s="295" t="n"/>
      <c r="BN14" s="295" t="n"/>
      <c r="BO14" s="295" t="n"/>
      <c r="BP14" s="295" t="n"/>
      <c r="BQ14" s="226" t="n"/>
      <c r="BR14" s="350" t="n"/>
      <c r="BS14" s="226" t="n"/>
      <c r="BT14" s="226" t="n"/>
    </row>
    <row r="15">
      <c r="A15" s="282" t="inlineStr">
        <is>
          <t>#</t>
        </is>
      </c>
      <c r="B15" s="26" t="inlineStr">
        <is>
          <t>PLANNED HIRES</t>
        </is>
      </c>
      <c r="C15" s="314" t="n"/>
      <c r="D15" s="314" t="n"/>
      <c r="E15" s="314" t="n"/>
      <c r="F15" s="314" t="n"/>
      <c r="G15" s="314" t="n"/>
      <c r="H15" s="314" t="n"/>
      <c r="I15" s="314" t="n"/>
      <c r="J15" s="314" t="n"/>
      <c r="K15" s="314" t="n"/>
      <c r="L15" s="314" t="n"/>
      <c r="M15" s="314" t="n"/>
      <c r="N15" s="314" t="n"/>
      <c r="O15" s="314" t="n"/>
      <c r="P15" s="314" t="n"/>
      <c r="Q15" s="314" t="n"/>
      <c r="R15" s="314" t="n"/>
      <c r="S15" s="314" t="n"/>
      <c r="T15" s="314" t="n"/>
      <c r="U15" s="314" t="n"/>
      <c r="V15" s="314" t="n"/>
      <c r="W15" s="314" t="n"/>
      <c r="X15" s="314" t="n"/>
      <c r="Y15" s="314" t="n"/>
      <c r="Z15" s="314" t="n"/>
      <c r="AA15" s="314" t="n"/>
      <c r="AB15" s="314" t="n"/>
      <c r="AC15" s="314" t="n"/>
      <c r="AD15" s="314" t="n"/>
      <c r="AE15" s="314" t="n"/>
      <c r="AF15" s="314" t="n"/>
      <c r="AG15" s="314" t="n"/>
      <c r="AH15" s="314" t="n"/>
      <c r="AI15" s="314" t="n"/>
      <c r="AJ15" s="314" t="n"/>
      <c r="AK15" s="314" t="n"/>
      <c r="AL15" s="314" t="n"/>
      <c r="AM15" s="314" t="n"/>
      <c r="AN15" s="314" t="n"/>
      <c r="AO15" s="314" t="n"/>
      <c r="AP15" s="314" t="n"/>
      <c r="AQ15" s="314" t="n"/>
      <c r="AR15" s="314" t="n"/>
      <c r="AS15" s="314" t="n"/>
      <c r="AT15" s="314" t="n"/>
      <c r="AU15" s="314" t="n"/>
      <c r="AV15" s="314" t="n"/>
      <c r="AW15" s="314" t="n"/>
      <c r="AX15" s="314" t="n"/>
      <c r="AY15" s="314" t="n"/>
      <c r="AZ15" s="314" t="n"/>
      <c r="BA15" s="314" t="n"/>
      <c r="BB15" s="314" t="n"/>
      <c r="BC15" s="314" t="n"/>
      <c r="BD15" s="314" t="n"/>
      <c r="BE15" s="314" t="n"/>
      <c r="BF15" s="314" t="n"/>
      <c r="BG15" s="314" t="n"/>
      <c r="BH15" s="314" t="n"/>
      <c r="BI15" s="314" t="n"/>
      <c r="BJ15" s="314" t="n"/>
      <c r="BK15" s="314" t="n"/>
      <c r="BL15" s="314" t="n"/>
      <c r="BM15" s="314" t="n"/>
      <c r="BN15" s="314" t="n"/>
      <c r="BO15" s="314" t="n"/>
      <c r="BP15" s="314" t="n"/>
      <c r="BQ15" s="78" t="n"/>
      <c r="BR15" s="315" t="n"/>
      <c r="BS15" s="78" t="n"/>
      <c r="BT15" s="78" t="n"/>
    </row>
    <row r="16">
      <c r="A16" s="321" t="n">
        <v>11</v>
      </c>
      <c r="B16" s="285" t="inlineStr">
        <is>
          <t>New hire</t>
        </is>
      </c>
      <c r="C16" s="285" t="inlineStr">
        <is>
          <t>R&amp;D</t>
        </is>
      </c>
      <c r="D16" s="317" t="inlineStr">
        <is>
          <t>Software Engineer</t>
        </is>
      </c>
      <c r="E16" s="297" t="inlineStr">
        <is>
          <t>Planned</t>
        </is>
      </c>
      <c r="F16" s="318" t="n">
        <v>46327</v>
      </c>
      <c r="G16" s="319" t="n"/>
      <c r="H16" s="288" t="n">
        <v>8000</v>
      </c>
      <c r="I16" s="299">
        <f>IF(AND($F16&lt;=I$2, OR($G16="",$G16&gt;=I$2)),
  $H16 * (1 + Assumptions!$C$7) ^ INT(((YEAR(I$2)-YEAR($F16))*12 + MONTH(I$2)-MONTH($F16)) / 12),
  0)</f>
        <v/>
      </c>
      <c r="J16" s="299">
        <f>IF(AND($F16&lt;=J$2, OR($G16="",$G16&gt;=J$2)),
  $H16 * (1 + Assumptions!$C$7) ^ INT(((YEAR(J$2)-YEAR($F16))*12 + MONTH(J$2)-MONTH($F16)) / 12),
  0)</f>
        <v/>
      </c>
      <c r="K16" s="299">
        <f>IF(AND($F16&lt;=K$2, OR($G16="",$G16&gt;=K$2)),
  $H16 * (1 + Assumptions!$C$7) ^ INT(((YEAR(K$2)-YEAR($F16))*12 + MONTH(K$2)-MONTH($F16)) / 12),
  0)</f>
        <v/>
      </c>
      <c r="L16" s="299">
        <f>IF(AND($F16&lt;=L$2, OR($G16="",$G16&gt;=L$2)),
  $H16 * (1 + Assumptions!$C$7) ^ INT(((YEAR(L$2)-YEAR($F16))*12 + MONTH(L$2)-MONTH($F16)) / 12),
  0)</f>
        <v/>
      </c>
      <c r="M16" s="299">
        <f>IF(AND($F16&lt;=M$2, OR($G16="",$G16&gt;=M$2)),
  $H16 * (1 + Assumptions!$C$7) ^ INT(((YEAR(M$2)-YEAR($F16))*12 + MONTH(M$2)-MONTH($F16)) / 12),
  0)</f>
        <v/>
      </c>
      <c r="N16" s="299">
        <f>IF(AND($F16&lt;=N$2, OR($G16="",$G16&gt;=N$2)),
  $H16 * (1 + Assumptions!$C$7) ^ INT(((YEAR(N$2)-YEAR($F16))*12 + MONTH(N$2)-MONTH($F16)) / 12),
  0)</f>
        <v/>
      </c>
      <c r="O16" s="299">
        <f>IF(AND($F16&lt;=O$2, OR($G16="",$G16&gt;=O$2)),
  $H16 * (1 + Assumptions!$C$7) ^ INT(((YEAR(O$2)-YEAR($F16))*12 + MONTH(O$2)-MONTH($F16)) / 12),
  0)</f>
        <v/>
      </c>
      <c r="P16" s="299">
        <f>IF(AND($F16&lt;=P$2, OR($G16="",$G16&gt;=P$2)),
  $H16 * (1 + Assumptions!$C$7) ^ INT(((YEAR(P$2)-YEAR($F16))*12 + MONTH(P$2)-MONTH($F16)) / 12),
  0)</f>
        <v/>
      </c>
      <c r="Q16" s="299">
        <f>IF(AND($F16&lt;=Q$2, OR($G16="",$G16&gt;=Q$2)),
  $H16 * (1 + Assumptions!$C$7) ^ INT(((YEAR(Q$2)-YEAR($F16))*12 + MONTH(Q$2)-MONTH($F16)) / 12),
  0)</f>
        <v/>
      </c>
      <c r="R16" s="299">
        <f>IF(AND($F16&lt;=R$2, OR($G16="",$G16&gt;=R$2)),
  $H16 * (1 + Assumptions!$C$7) ^ INT(((YEAR(R$2)-YEAR($F16))*12 + MONTH(R$2)-MONTH($F16)) / 12),
  0)</f>
        <v/>
      </c>
      <c r="S16" s="299">
        <f>IF(AND($F16&lt;=S$2, OR($G16="",$G16&gt;=S$2)),
  $H16 * (1 + Assumptions!$C$7) ^ INT(((YEAR(S$2)-YEAR($F16))*12 + MONTH(S$2)-MONTH($F16)) / 12),
  0)</f>
        <v/>
      </c>
      <c r="T16" s="299">
        <f>IF(AND($F16&lt;=T$2, OR($G16="",$G16&gt;=T$2)),
  $H16 * (1 + Assumptions!$C$7) ^ INT(((YEAR(T$2)-YEAR($F16))*12 + MONTH(T$2)-MONTH($F16)) / 12),
  0)</f>
        <v/>
      </c>
      <c r="U16" s="299">
        <f>IF(AND($F16&lt;=U$2, OR($G16="",$G16&gt;=U$2)),
  $H16 * (1 + Assumptions!$C$7) ^ INT(((YEAR(U$2)-YEAR($F16))*12 + MONTH(U$2)-MONTH($F16)) / 12),
  0)</f>
        <v/>
      </c>
      <c r="V16" s="299">
        <f>IF(AND($F16&lt;=V$2, OR($G16="",$G16&gt;=V$2)),
  $H16 * (1 + Assumptions!$C$7) ^ INT(((YEAR(V$2)-YEAR($F16))*12 + MONTH(V$2)-MONTH($F16)) / 12),
  0)</f>
        <v/>
      </c>
      <c r="W16" s="299">
        <f>IF(AND($F16&lt;=W$2, OR($G16="",$G16&gt;=W$2)),
  $H16 * (1 + Assumptions!$C$7) ^ INT(((YEAR(W$2)-YEAR($F16))*12 + MONTH(W$2)-MONTH($F16)) / 12),
  0)</f>
        <v/>
      </c>
      <c r="X16" s="299">
        <f>IF(AND($F16&lt;=X$2, OR($G16="",$G16&gt;=X$2)),
  $H16 * (1 + Assumptions!$C$7) ^ INT(((YEAR(X$2)-YEAR($F16))*12 + MONTH(X$2)-MONTH($F16)) / 12),
  0)</f>
        <v/>
      </c>
      <c r="Y16" s="299">
        <f>IF(AND($F16&lt;=Y$2, OR($G16="",$G16&gt;=Y$2)),
  $H16 * (1 + Assumptions!$C$7) ^ INT(((YEAR(Y$2)-YEAR($F16))*12 + MONTH(Y$2)-MONTH($F16)) / 12),
  0)</f>
        <v/>
      </c>
      <c r="Z16" s="299">
        <f>IF(AND($F16&lt;=Z$2, OR($G16="",$G16&gt;=Z$2)),
  $H16 * (1 + Assumptions!$C$7) ^ INT(((YEAR(Z$2)-YEAR($F16))*12 + MONTH(Z$2)-MONTH($F16)) / 12),
  0)</f>
        <v/>
      </c>
      <c r="AA16" s="299">
        <f>IF(AND($F16&lt;=AA$2, OR($G16="",$G16&gt;=AA$2)),
  $H16 * (1 + Assumptions!$C$7) ^ INT(((YEAR(AA$2)-YEAR($F16))*12 + MONTH(AA$2)-MONTH($F16)) / 12),
  0)</f>
        <v/>
      </c>
      <c r="AB16" s="299">
        <f>IF(AND($F16&lt;=AB$2, OR($G16="",$G16&gt;=AB$2)),
  $H16 * (1 + Assumptions!$C$7) ^ INT(((YEAR(AB$2)-YEAR($F16))*12 + MONTH(AB$2)-MONTH($F16)) / 12),
  0)</f>
        <v/>
      </c>
      <c r="AC16" s="299">
        <f>IF(AND($F16&lt;=AC$2, OR($G16="",$G16&gt;=AC$2)),
  $H16 * (1 + Assumptions!$C$7) ^ INT(((YEAR(AC$2)-YEAR($F16))*12 + MONTH(AC$2)-MONTH($F16)) / 12),
  0)</f>
        <v/>
      </c>
      <c r="AD16" s="299">
        <f>IF(AND($F16&lt;=AD$2, OR($G16="",$G16&gt;=AD$2)),
  $H16 * (1 + Assumptions!$C$7) ^ INT(((YEAR(AD$2)-YEAR($F16))*12 + MONTH(AD$2)-MONTH($F16)) / 12),
  0)</f>
        <v/>
      </c>
      <c r="AE16" s="299">
        <f>IF(AND($F16&lt;=AE$2, OR($G16="",$G16&gt;=AE$2)),
  $H16 * (1 + Assumptions!$C$7) ^ INT(((YEAR(AE$2)-YEAR($F16))*12 + MONTH(AE$2)-MONTH($F16)) / 12),
  0)</f>
        <v/>
      </c>
      <c r="AF16" s="299">
        <f>IF(AND($F16&lt;=AF$2, OR($G16="",$G16&gt;=AF$2)),
  $H16 * (1 + Assumptions!$C$7) ^ INT(((YEAR(AF$2)-YEAR($F16))*12 + MONTH(AF$2)-MONTH($F16)) / 12),
  0)</f>
        <v/>
      </c>
      <c r="AG16" s="299">
        <f>IF(AND($F16&lt;=AG$2, OR($G16="",$G16&gt;=AG$2)),
  $H16 * (1 + Assumptions!$C$7) ^ INT(((YEAR(AG$2)-YEAR($F16))*12 + MONTH(AG$2)-MONTH($F16)) / 12),
  0)</f>
        <v/>
      </c>
      <c r="AH16" s="299">
        <f>IF(AND($F16&lt;=AH$2, OR($G16="",$G16&gt;=AH$2)),
  $H16 * (1 + Assumptions!$C$7) ^ INT(((YEAR(AH$2)-YEAR($F16))*12 + MONTH(AH$2)-MONTH($F16)) / 12),
  0)</f>
        <v/>
      </c>
      <c r="AI16" s="299">
        <f>IF(AND($F16&lt;=AI$2, OR($G16="",$G16&gt;=AI$2)),
  $H16 * (1 + Assumptions!$C$7) ^ INT(((YEAR(AI$2)-YEAR($F16))*12 + MONTH(AI$2)-MONTH($F16)) / 12),
  0)</f>
        <v/>
      </c>
      <c r="AJ16" s="299">
        <f>IF(AND($F16&lt;=AJ$2, OR($G16="",$G16&gt;=AJ$2)),
  $H16 * (1 + Assumptions!$C$7) ^ INT(((YEAR(AJ$2)-YEAR($F16))*12 + MONTH(AJ$2)-MONTH($F16)) / 12),
  0)</f>
        <v/>
      </c>
      <c r="AK16" s="299">
        <f>IF(AND($F16&lt;=AK$2, OR($G16="",$G16&gt;=AK$2)),
  $H16 * (1 + Assumptions!$C$7) ^ INT(((YEAR(AK$2)-YEAR($F16))*12 + MONTH(AK$2)-MONTH($F16)) / 12),
  0)</f>
        <v/>
      </c>
      <c r="AL16" s="299">
        <f>IF(AND($F16&lt;=AL$2, OR($G16="",$G16&gt;=AL$2)),
  $H16 * (1 + Assumptions!$C$7) ^ INT(((YEAR(AL$2)-YEAR($F16))*12 + MONTH(AL$2)-MONTH($F16)) / 12),
  0)</f>
        <v/>
      </c>
      <c r="AM16" s="299">
        <f>IF(AND($F16&lt;=AM$2, OR($G16="",$G16&gt;=AM$2)),
  $H16 * (1 + Assumptions!$C$7) ^ INT(((YEAR(AM$2)-YEAR($F16))*12 + MONTH(AM$2)-MONTH($F16)) / 12),
  0)</f>
        <v/>
      </c>
      <c r="AN16" s="299">
        <f>IF(AND($F16&lt;=AN$2, OR($G16="",$G16&gt;=AN$2)),
  $H16 * (1 + Assumptions!$C$7) ^ INT(((YEAR(AN$2)-YEAR($F16))*12 + MONTH(AN$2)-MONTH($F16)) / 12),
  0)</f>
        <v/>
      </c>
      <c r="AO16" s="299">
        <f>IF(AND($F16&lt;=AO$2, OR($G16="",$G16&gt;=AO$2)),
  $H16 * (1 + Assumptions!$C$7) ^ INT(((YEAR(AO$2)-YEAR($F16))*12 + MONTH(AO$2)-MONTH($F16)) / 12),
  0)</f>
        <v/>
      </c>
      <c r="AP16" s="299">
        <f>IF(AND($F16&lt;=AP$2, OR($G16="",$G16&gt;=AP$2)),
  $H16 * (1 + Assumptions!$C$7) ^ INT(((YEAR(AP$2)-YEAR($F16))*12 + MONTH(AP$2)-MONTH($F16)) / 12),
  0)</f>
        <v/>
      </c>
      <c r="AQ16" s="299">
        <f>IF(AND($F16&lt;=AQ$2, OR($G16="",$G16&gt;=AQ$2)),
  $H16 * (1 + Assumptions!$C$7) ^ INT(((YEAR(AQ$2)-YEAR($F16))*12 + MONTH(AQ$2)-MONTH($F16)) / 12),
  0)</f>
        <v/>
      </c>
      <c r="AR16" s="299">
        <f>IF(AND($F16&lt;=AR$2, OR($G16="",$G16&gt;=AR$2)),
  $H16 * (1 + Assumptions!$C$7) ^ INT(((YEAR(AR$2)-YEAR($F16))*12 + MONTH(AR$2)-MONTH($F16)) / 12),
  0)</f>
        <v/>
      </c>
      <c r="AS16" s="299">
        <f>IF(AND($F16&lt;=AS$2, OR($G16="",$G16&gt;=AS$2)),
  $H16 * (1 + Assumptions!$C$7) ^ INT(((YEAR(AS$2)-YEAR($F16))*12 + MONTH(AS$2)-MONTH($F16)) / 12),
  0)</f>
        <v/>
      </c>
      <c r="AT16" s="299">
        <f>IF(AND($F16&lt;=AT$2, OR($G16="",$G16&gt;=AT$2)),
  $H16 * (1 + Assumptions!$C$7) ^ INT(((YEAR(AT$2)-YEAR($F16))*12 + MONTH(AT$2)-MONTH($F16)) / 12),
  0)</f>
        <v/>
      </c>
      <c r="AU16" s="299">
        <f>IF(AND($F16&lt;=AU$2, OR($G16="",$G16&gt;=AU$2)),
  $H16 * (1 + Assumptions!$C$7) ^ INT(((YEAR(AU$2)-YEAR($F16))*12 + MONTH(AU$2)-MONTH($F16)) / 12),
  0)</f>
        <v/>
      </c>
      <c r="AV16" s="299">
        <f>IF(AND($F16&lt;=AV$2, OR($G16="",$G16&gt;=AV$2)),
  $H16 * (1 + Assumptions!$C$7) ^ INT(((YEAR(AV$2)-YEAR($F16))*12 + MONTH(AV$2)-MONTH($F16)) / 12),
  0)</f>
        <v/>
      </c>
      <c r="AW16" s="299">
        <f>IF(AND($F16&lt;=AW$2, OR($G16="",$G16&gt;=AW$2)),
  $H16 * (1 + Assumptions!$C$7) ^ INT(((YEAR(AW$2)-YEAR($F16))*12 + MONTH(AW$2)-MONTH($F16)) / 12),
  0)</f>
        <v/>
      </c>
      <c r="AX16" s="299">
        <f>IF(AND($F16&lt;=AX$2, OR($G16="",$G16&gt;=AX$2)),
  $H16 * (1 + Assumptions!$C$7) ^ INT(((YEAR(AX$2)-YEAR($F16))*12 + MONTH(AX$2)-MONTH($F16)) / 12),
  0)</f>
        <v/>
      </c>
      <c r="AY16" s="299">
        <f>IF(AND($F16&lt;=AY$2, OR($G16="",$G16&gt;=AY$2)),
  $H16 * (1 + Assumptions!$C$7) ^ INT(((YEAR(AY$2)-YEAR($F16))*12 + MONTH(AY$2)-MONTH($F16)) / 12),
  0)</f>
        <v/>
      </c>
      <c r="AZ16" s="299">
        <f>IF(AND($F16&lt;=AZ$2, OR($G16="",$G16&gt;=AZ$2)),
  $H16 * (1 + Assumptions!$C$7) ^ INT(((YEAR(AZ$2)-YEAR($F16))*12 + MONTH(AZ$2)-MONTH($F16)) / 12),
  0)</f>
        <v/>
      </c>
      <c r="BA16" s="299">
        <f>IF(AND($F16&lt;=BA$2, OR($G16="",$G16&gt;=BA$2)),
  $H16 * (1 + Assumptions!$C$7) ^ INT(((YEAR(BA$2)-YEAR($F16))*12 + MONTH(BA$2)-MONTH($F16)) / 12),
  0)</f>
        <v/>
      </c>
      <c r="BB16" s="299">
        <f>IF(AND($F16&lt;=BB$2, OR($G16="",$G16&gt;=BB$2)),
  $H16 * (1 + Assumptions!$C$7) ^ INT(((YEAR(BB$2)-YEAR($F16))*12 + MONTH(BB$2)-MONTH($F16)) / 12),
  0)</f>
        <v/>
      </c>
      <c r="BC16" s="299">
        <f>IF(AND($F16&lt;=BC$2, OR($G16="",$G16&gt;=BC$2)),
  $H16 * (1 + Assumptions!$C$7) ^ INT(((YEAR(BC$2)-YEAR($F16))*12 + MONTH(BC$2)-MONTH($F16)) / 12),
  0)</f>
        <v/>
      </c>
      <c r="BD16" s="299">
        <f>IF(AND($F16&lt;=BD$2, OR($G16="",$G16&gt;=BD$2)),
  $H16 * (1 + Assumptions!$C$7) ^ INT(((YEAR(BD$2)-YEAR($F16))*12 + MONTH(BD$2)-MONTH($F16)) / 12),
  0)</f>
        <v/>
      </c>
      <c r="BE16" s="299">
        <f>IF(AND($F16&lt;=BE$2, OR($G16="",$G16&gt;=BE$2)),
  $H16 * (1 + Assumptions!$C$7) ^ INT(((YEAR(BE$2)-YEAR($F16))*12 + MONTH(BE$2)-MONTH($F16)) / 12),
  0)</f>
        <v/>
      </c>
      <c r="BF16" s="299">
        <f>IF(AND($F16&lt;=BF$2, OR($G16="",$G16&gt;=BF$2)),
  $H16 * (1 + Assumptions!$C$7) ^ INT(((YEAR(BF$2)-YEAR($F16))*12 + MONTH(BF$2)-MONTH($F16)) / 12),
  0)</f>
        <v/>
      </c>
      <c r="BG16" s="299">
        <f>IF(AND($F16&lt;=BG$2, OR($G16="",$G16&gt;=BG$2)),
  $H16 * (1 + Assumptions!$C$7) ^ INT(((YEAR(BG$2)-YEAR($F16))*12 + MONTH(BG$2)-MONTH($F16)) / 12),
  0)</f>
        <v/>
      </c>
      <c r="BH16" s="299">
        <f>IF(AND($F16&lt;=BH$2, OR($G16="",$G16&gt;=BH$2)),
  $H16 * (1 + Assumptions!$C$7) ^ INT(((YEAR(BH$2)-YEAR($F16))*12 + MONTH(BH$2)-MONTH($F16)) / 12),
  0)</f>
        <v/>
      </c>
      <c r="BI16" s="299">
        <f>IF(AND($F16&lt;=BI$2, OR($G16="",$G16&gt;=BI$2)),
  $H16 * (1 + Assumptions!$C$7) ^ INT(((YEAR(BI$2)-YEAR($F16))*12 + MONTH(BI$2)-MONTH($F16)) / 12),
  0)</f>
        <v/>
      </c>
      <c r="BJ16" s="299">
        <f>IF(AND($F16&lt;=BJ$2, OR($G16="",$G16&gt;=BJ$2)),
  $H16 * (1 + Assumptions!$C$7) ^ INT(((YEAR(BJ$2)-YEAR($F16))*12 + MONTH(BJ$2)-MONTH($F16)) / 12),
  0)</f>
        <v/>
      </c>
      <c r="BK16" s="299">
        <f>IF(AND($F16&lt;=BK$2, OR($G16="",$G16&gt;=BK$2)),
  $H16 * (1 + Assumptions!$C$7) ^ INT(((YEAR(BK$2)-YEAR($F16))*12 + MONTH(BK$2)-MONTH($F16)) / 12),
  0)</f>
        <v/>
      </c>
      <c r="BL16" s="299">
        <f>IF(AND($F16&lt;=BL$2, OR($G16="",$G16&gt;=BL$2)),
  $H16 * (1 + Assumptions!$C$7) ^ INT(((YEAR(BL$2)-YEAR($F16))*12 + MONTH(BL$2)-MONTH($F16)) / 12),
  0)</f>
        <v/>
      </c>
      <c r="BM16" s="299">
        <f>IF(AND($F16&lt;=BM$2, OR($G16="",$G16&gt;=BM$2)),
  $H16 * (1 + Assumptions!$C$7) ^ INT(((YEAR(BM$2)-YEAR($F16))*12 + MONTH(BM$2)-MONTH($F16)) / 12),
  0)</f>
        <v/>
      </c>
      <c r="BN16" s="299">
        <f>IF(AND($F16&lt;=BN$2, OR($G16="",$G16&gt;=BN$2)),
  $H16 * (1 + Assumptions!$C$7) ^ INT(((YEAR(BN$2)-YEAR($F16))*12 + MONTH(BN$2)-MONTH($F16)) / 12),
  0)</f>
        <v/>
      </c>
      <c r="BO16" s="299">
        <f>IF(AND($F16&lt;=BO$2, OR($G16="",$G16&gt;=BO$2)),
  $H16 * (1 + Assumptions!$C$7) ^ INT(((YEAR(BO$2)-YEAR($F16))*12 + MONTH(BO$2)-MONTH($F16)) / 12),
  0)</f>
        <v/>
      </c>
      <c r="BP16" s="299">
        <f>IF(AND($F16&lt;=BP$2, OR($G16="",$G16&gt;=BP$2)),
  $H16 * (1 + Assumptions!$C$7) ^ INT(((YEAR(BP$2)-YEAR($F16))*12 + MONTH(BP$2)-MONTH($F16)) / 12),
  0)</f>
        <v/>
      </c>
      <c r="BQ16" s="31" t="n"/>
      <c r="BR16" s="350" t="inlineStr">
        <is>
          <t>paid this month if started and not yet left; +8% on each work anniversary</t>
        </is>
      </c>
      <c r="BS16" s="31" t="n"/>
      <c r="BT16" s="31" t="n"/>
    </row>
    <row r="17">
      <c r="A17" s="321" t="n">
        <v>12</v>
      </c>
      <c r="B17" s="285" t="inlineStr">
        <is>
          <t>New hire</t>
        </is>
      </c>
      <c r="C17" s="317" t="inlineStr">
        <is>
          <t>G&amp;A</t>
        </is>
      </c>
      <c r="D17" s="317" t="inlineStr">
        <is>
          <t>COO</t>
        </is>
      </c>
      <c r="E17" s="297" t="inlineStr">
        <is>
          <t>Planned</t>
        </is>
      </c>
      <c r="F17" s="318" t="n">
        <v>46266</v>
      </c>
      <c r="G17" s="319" t="n"/>
      <c r="H17" s="288" t="n">
        <v>9000</v>
      </c>
      <c r="I17" s="299">
        <f>IF(AND($F17&lt;=I$2, OR($G17="",$G17&gt;=I$2)),
  $H17 * (1 + Assumptions!$C$7) ^ INT(((YEAR(I$2)-YEAR($F17))*12 + MONTH(I$2)-MONTH($F17)) / 12),
  0)</f>
        <v/>
      </c>
      <c r="J17" s="299">
        <f>IF(AND($F17&lt;=J$2, OR($G17="",$G17&gt;=J$2)),
  $H17 * (1 + Assumptions!$C$7) ^ INT(((YEAR(J$2)-YEAR($F17))*12 + MONTH(J$2)-MONTH($F17)) / 12),
  0)</f>
        <v/>
      </c>
      <c r="K17" s="299">
        <f>IF(AND($F17&lt;=K$2, OR($G17="",$G17&gt;=K$2)),
  $H17 * (1 + Assumptions!$C$7) ^ INT(((YEAR(K$2)-YEAR($F17))*12 + MONTH(K$2)-MONTH($F17)) / 12),
  0)</f>
        <v/>
      </c>
      <c r="L17" s="299">
        <f>IF(AND($F17&lt;=L$2, OR($G17="",$G17&gt;=L$2)),
  $H17 * (1 + Assumptions!$C$7) ^ INT(((YEAR(L$2)-YEAR($F17))*12 + MONTH(L$2)-MONTH($F17)) / 12),
  0)</f>
        <v/>
      </c>
      <c r="M17" s="299">
        <f>IF(AND($F17&lt;=M$2, OR($G17="",$G17&gt;=M$2)),
  $H17 * (1 + Assumptions!$C$7) ^ INT(((YEAR(M$2)-YEAR($F17))*12 + MONTH(M$2)-MONTH($F17)) / 12),
  0)</f>
        <v/>
      </c>
      <c r="N17" s="299">
        <f>IF(AND($F17&lt;=N$2, OR($G17="",$G17&gt;=N$2)),
  $H17 * (1 + Assumptions!$C$7) ^ INT(((YEAR(N$2)-YEAR($F17))*12 + MONTH(N$2)-MONTH($F17)) / 12),
  0)</f>
        <v/>
      </c>
      <c r="O17" s="299">
        <f>IF(AND($F17&lt;=O$2, OR($G17="",$G17&gt;=O$2)),
  $H17 * (1 + Assumptions!$C$7) ^ INT(((YEAR(O$2)-YEAR($F17))*12 + MONTH(O$2)-MONTH($F17)) / 12),
  0)</f>
        <v/>
      </c>
      <c r="P17" s="299">
        <f>IF(AND($F17&lt;=P$2, OR($G17="",$G17&gt;=P$2)),
  $H17 * (1 + Assumptions!$C$7) ^ INT(((YEAR(P$2)-YEAR($F17))*12 + MONTH(P$2)-MONTH($F17)) / 12),
  0)</f>
        <v/>
      </c>
      <c r="Q17" s="299">
        <f>IF(AND($F17&lt;=Q$2, OR($G17="",$G17&gt;=Q$2)),
  $H17 * (1 + Assumptions!$C$7) ^ INT(((YEAR(Q$2)-YEAR($F17))*12 + MONTH(Q$2)-MONTH($F17)) / 12),
  0)</f>
        <v/>
      </c>
      <c r="R17" s="299">
        <f>IF(AND($F17&lt;=R$2, OR($G17="",$G17&gt;=R$2)),
  $H17 * (1 + Assumptions!$C$7) ^ INT(((YEAR(R$2)-YEAR($F17))*12 + MONTH(R$2)-MONTH($F17)) / 12),
  0)</f>
        <v/>
      </c>
      <c r="S17" s="299">
        <f>IF(AND($F17&lt;=S$2, OR($G17="",$G17&gt;=S$2)),
  $H17 * (1 + Assumptions!$C$7) ^ INT(((YEAR(S$2)-YEAR($F17))*12 + MONTH(S$2)-MONTH($F17)) / 12),
  0)</f>
        <v/>
      </c>
      <c r="T17" s="299">
        <f>IF(AND($F17&lt;=T$2, OR($G17="",$G17&gt;=T$2)),
  $H17 * (1 + Assumptions!$C$7) ^ INT(((YEAR(T$2)-YEAR($F17))*12 + MONTH(T$2)-MONTH($F17)) / 12),
  0)</f>
        <v/>
      </c>
      <c r="U17" s="299">
        <f>IF(AND($F17&lt;=U$2, OR($G17="",$G17&gt;=U$2)),
  $H17 * (1 + Assumptions!$C$7) ^ INT(((YEAR(U$2)-YEAR($F17))*12 + MONTH(U$2)-MONTH($F17)) / 12),
  0)</f>
        <v/>
      </c>
      <c r="V17" s="299">
        <f>IF(AND($F17&lt;=V$2, OR($G17="",$G17&gt;=V$2)),
  $H17 * (1 + Assumptions!$C$7) ^ INT(((YEAR(V$2)-YEAR($F17))*12 + MONTH(V$2)-MONTH($F17)) / 12),
  0)</f>
        <v/>
      </c>
      <c r="W17" s="299">
        <f>IF(AND($F17&lt;=W$2, OR($G17="",$G17&gt;=W$2)),
  $H17 * (1 + Assumptions!$C$7) ^ INT(((YEAR(W$2)-YEAR($F17))*12 + MONTH(W$2)-MONTH($F17)) / 12),
  0)</f>
        <v/>
      </c>
      <c r="X17" s="299">
        <f>IF(AND($F17&lt;=X$2, OR($G17="",$G17&gt;=X$2)),
  $H17 * (1 + Assumptions!$C$7) ^ INT(((YEAR(X$2)-YEAR($F17))*12 + MONTH(X$2)-MONTH($F17)) / 12),
  0)</f>
        <v/>
      </c>
      <c r="Y17" s="299">
        <f>IF(AND($F17&lt;=Y$2, OR($G17="",$G17&gt;=Y$2)),
  $H17 * (1 + Assumptions!$C$7) ^ INT(((YEAR(Y$2)-YEAR($F17))*12 + MONTH(Y$2)-MONTH($F17)) / 12),
  0)</f>
        <v/>
      </c>
      <c r="Z17" s="299">
        <f>IF(AND($F17&lt;=Z$2, OR($G17="",$G17&gt;=Z$2)),
  $H17 * (1 + Assumptions!$C$7) ^ INT(((YEAR(Z$2)-YEAR($F17))*12 + MONTH(Z$2)-MONTH($F17)) / 12),
  0)</f>
        <v/>
      </c>
      <c r="AA17" s="299">
        <f>IF(AND($F17&lt;=AA$2, OR($G17="",$G17&gt;=AA$2)),
  $H17 * (1 + Assumptions!$C$7) ^ INT(((YEAR(AA$2)-YEAR($F17))*12 + MONTH(AA$2)-MONTH($F17)) / 12),
  0)</f>
        <v/>
      </c>
      <c r="AB17" s="299">
        <f>IF(AND($F17&lt;=AB$2, OR($G17="",$G17&gt;=AB$2)),
  $H17 * (1 + Assumptions!$C$7) ^ INT(((YEAR(AB$2)-YEAR($F17))*12 + MONTH(AB$2)-MONTH($F17)) / 12),
  0)</f>
        <v/>
      </c>
      <c r="AC17" s="299">
        <f>IF(AND($F17&lt;=AC$2, OR($G17="",$G17&gt;=AC$2)),
  $H17 * (1 + Assumptions!$C$7) ^ INT(((YEAR(AC$2)-YEAR($F17))*12 + MONTH(AC$2)-MONTH($F17)) / 12),
  0)</f>
        <v/>
      </c>
      <c r="AD17" s="299">
        <f>IF(AND($F17&lt;=AD$2, OR($G17="",$G17&gt;=AD$2)),
  $H17 * (1 + Assumptions!$C$7) ^ INT(((YEAR(AD$2)-YEAR($F17))*12 + MONTH(AD$2)-MONTH($F17)) / 12),
  0)</f>
        <v/>
      </c>
      <c r="AE17" s="299">
        <f>IF(AND($F17&lt;=AE$2, OR($G17="",$G17&gt;=AE$2)),
  $H17 * (1 + Assumptions!$C$7) ^ INT(((YEAR(AE$2)-YEAR($F17))*12 + MONTH(AE$2)-MONTH($F17)) / 12),
  0)</f>
        <v/>
      </c>
      <c r="AF17" s="299">
        <f>IF(AND($F17&lt;=AF$2, OR($G17="",$G17&gt;=AF$2)),
  $H17 * (1 + Assumptions!$C$7) ^ INT(((YEAR(AF$2)-YEAR($F17))*12 + MONTH(AF$2)-MONTH($F17)) / 12),
  0)</f>
        <v/>
      </c>
      <c r="AG17" s="299">
        <f>IF(AND($F17&lt;=AG$2, OR($G17="",$G17&gt;=AG$2)),
  $H17 * (1 + Assumptions!$C$7) ^ INT(((YEAR(AG$2)-YEAR($F17))*12 + MONTH(AG$2)-MONTH($F17)) / 12),
  0)</f>
        <v/>
      </c>
      <c r="AH17" s="299">
        <f>IF(AND($F17&lt;=AH$2, OR($G17="",$G17&gt;=AH$2)),
  $H17 * (1 + Assumptions!$C$7) ^ INT(((YEAR(AH$2)-YEAR($F17))*12 + MONTH(AH$2)-MONTH($F17)) / 12),
  0)</f>
        <v/>
      </c>
      <c r="AI17" s="299">
        <f>IF(AND($F17&lt;=AI$2, OR($G17="",$G17&gt;=AI$2)),
  $H17 * (1 + Assumptions!$C$7) ^ INT(((YEAR(AI$2)-YEAR($F17))*12 + MONTH(AI$2)-MONTH($F17)) / 12),
  0)</f>
        <v/>
      </c>
      <c r="AJ17" s="299">
        <f>IF(AND($F17&lt;=AJ$2, OR($G17="",$G17&gt;=AJ$2)),
  $H17 * (1 + Assumptions!$C$7) ^ INT(((YEAR(AJ$2)-YEAR($F17))*12 + MONTH(AJ$2)-MONTH($F17)) / 12),
  0)</f>
        <v/>
      </c>
      <c r="AK17" s="299">
        <f>IF(AND($F17&lt;=AK$2, OR($G17="",$G17&gt;=AK$2)),
  $H17 * (1 + Assumptions!$C$7) ^ INT(((YEAR(AK$2)-YEAR($F17))*12 + MONTH(AK$2)-MONTH($F17)) / 12),
  0)</f>
        <v/>
      </c>
      <c r="AL17" s="299">
        <f>IF(AND($F17&lt;=AL$2, OR($G17="",$G17&gt;=AL$2)),
  $H17 * (1 + Assumptions!$C$7) ^ INT(((YEAR(AL$2)-YEAR($F17))*12 + MONTH(AL$2)-MONTH($F17)) / 12),
  0)</f>
        <v/>
      </c>
      <c r="AM17" s="299">
        <f>IF(AND($F17&lt;=AM$2, OR($G17="",$G17&gt;=AM$2)),
  $H17 * (1 + Assumptions!$C$7) ^ INT(((YEAR(AM$2)-YEAR($F17))*12 + MONTH(AM$2)-MONTH($F17)) / 12),
  0)</f>
        <v/>
      </c>
      <c r="AN17" s="299">
        <f>IF(AND($F17&lt;=AN$2, OR($G17="",$G17&gt;=AN$2)),
  $H17 * (1 + Assumptions!$C$7) ^ INT(((YEAR(AN$2)-YEAR($F17))*12 + MONTH(AN$2)-MONTH($F17)) / 12),
  0)</f>
        <v/>
      </c>
      <c r="AO17" s="299">
        <f>IF(AND($F17&lt;=AO$2, OR($G17="",$G17&gt;=AO$2)),
  $H17 * (1 + Assumptions!$C$7) ^ INT(((YEAR(AO$2)-YEAR($F17))*12 + MONTH(AO$2)-MONTH($F17)) / 12),
  0)</f>
        <v/>
      </c>
      <c r="AP17" s="299">
        <f>IF(AND($F17&lt;=AP$2, OR($G17="",$G17&gt;=AP$2)),
  $H17 * (1 + Assumptions!$C$7) ^ INT(((YEAR(AP$2)-YEAR($F17))*12 + MONTH(AP$2)-MONTH($F17)) / 12),
  0)</f>
        <v/>
      </c>
      <c r="AQ17" s="299">
        <f>IF(AND($F17&lt;=AQ$2, OR($G17="",$G17&gt;=AQ$2)),
  $H17 * (1 + Assumptions!$C$7) ^ INT(((YEAR(AQ$2)-YEAR($F17))*12 + MONTH(AQ$2)-MONTH($F17)) / 12),
  0)</f>
        <v/>
      </c>
      <c r="AR17" s="299">
        <f>IF(AND($F17&lt;=AR$2, OR($G17="",$G17&gt;=AR$2)),
  $H17 * (1 + Assumptions!$C$7) ^ INT(((YEAR(AR$2)-YEAR($F17))*12 + MONTH(AR$2)-MONTH($F17)) / 12),
  0)</f>
        <v/>
      </c>
      <c r="AS17" s="299">
        <f>IF(AND($F17&lt;=AS$2, OR($G17="",$G17&gt;=AS$2)),
  $H17 * (1 + Assumptions!$C$7) ^ INT(((YEAR(AS$2)-YEAR($F17))*12 + MONTH(AS$2)-MONTH($F17)) / 12),
  0)</f>
        <v/>
      </c>
      <c r="AT17" s="299">
        <f>IF(AND($F17&lt;=AT$2, OR($G17="",$G17&gt;=AT$2)),
  $H17 * (1 + Assumptions!$C$7) ^ INT(((YEAR(AT$2)-YEAR($F17))*12 + MONTH(AT$2)-MONTH($F17)) / 12),
  0)</f>
        <v/>
      </c>
      <c r="AU17" s="299">
        <f>IF(AND($F17&lt;=AU$2, OR($G17="",$G17&gt;=AU$2)),
  $H17 * (1 + Assumptions!$C$7) ^ INT(((YEAR(AU$2)-YEAR($F17))*12 + MONTH(AU$2)-MONTH($F17)) / 12),
  0)</f>
        <v/>
      </c>
      <c r="AV17" s="299">
        <f>IF(AND($F17&lt;=AV$2, OR($G17="",$G17&gt;=AV$2)),
  $H17 * (1 + Assumptions!$C$7) ^ INT(((YEAR(AV$2)-YEAR($F17))*12 + MONTH(AV$2)-MONTH($F17)) / 12),
  0)</f>
        <v/>
      </c>
      <c r="AW17" s="299">
        <f>IF(AND($F17&lt;=AW$2, OR($G17="",$G17&gt;=AW$2)),
  $H17 * (1 + Assumptions!$C$7) ^ INT(((YEAR(AW$2)-YEAR($F17))*12 + MONTH(AW$2)-MONTH($F17)) / 12),
  0)</f>
        <v/>
      </c>
      <c r="AX17" s="299">
        <f>IF(AND($F17&lt;=AX$2, OR($G17="",$G17&gt;=AX$2)),
  $H17 * (1 + Assumptions!$C$7) ^ INT(((YEAR(AX$2)-YEAR($F17))*12 + MONTH(AX$2)-MONTH($F17)) / 12),
  0)</f>
        <v/>
      </c>
      <c r="AY17" s="299">
        <f>IF(AND($F17&lt;=AY$2, OR($G17="",$G17&gt;=AY$2)),
  $H17 * (1 + Assumptions!$C$7) ^ INT(((YEAR(AY$2)-YEAR($F17))*12 + MONTH(AY$2)-MONTH($F17)) / 12),
  0)</f>
        <v/>
      </c>
      <c r="AZ17" s="299">
        <f>IF(AND($F17&lt;=AZ$2, OR($G17="",$G17&gt;=AZ$2)),
  $H17 * (1 + Assumptions!$C$7) ^ INT(((YEAR(AZ$2)-YEAR($F17))*12 + MONTH(AZ$2)-MONTH($F17)) / 12),
  0)</f>
        <v/>
      </c>
      <c r="BA17" s="299">
        <f>IF(AND($F17&lt;=BA$2, OR($G17="",$G17&gt;=BA$2)),
  $H17 * (1 + Assumptions!$C$7) ^ INT(((YEAR(BA$2)-YEAR($F17))*12 + MONTH(BA$2)-MONTH($F17)) / 12),
  0)</f>
        <v/>
      </c>
      <c r="BB17" s="299">
        <f>IF(AND($F17&lt;=BB$2, OR($G17="",$G17&gt;=BB$2)),
  $H17 * (1 + Assumptions!$C$7) ^ INT(((YEAR(BB$2)-YEAR($F17))*12 + MONTH(BB$2)-MONTH($F17)) / 12),
  0)</f>
        <v/>
      </c>
      <c r="BC17" s="299">
        <f>IF(AND($F17&lt;=BC$2, OR($G17="",$G17&gt;=BC$2)),
  $H17 * (1 + Assumptions!$C$7) ^ INT(((YEAR(BC$2)-YEAR($F17))*12 + MONTH(BC$2)-MONTH($F17)) / 12),
  0)</f>
        <v/>
      </c>
      <c r="BD17" s="299">
        <f>IF(AND($F17&lt;=BD$2, OR($G17="",$G17&gt;=BD$2)),
  $H17 * (1 + Assumptions!$C$7) ^ INT(((YEAR(BD$2)-YEAR($F17))*12 + MONTH(BD$2)-MONTH($F17)) / 12),
  0)</f>
        <v/>
      </c>
      <c r="BE17" s="299">
        <f>IF(AND($F17&lt;=BE$2, OR($G17="",$G17&gt;=BE$2)),
  $H17 * (1 + Assumptions!$C$7) ^ INT(((YEAR(BE$2)-YEAR($F17))*12 + MONTH(BE$2)-MONTH($F17)) / 12),
  0)</f>
        <v/>
      </c>
      <c r="BF17" s="299">
        <f>IF(AND($F17&lt;=BF$2, OR($G17="",$G17&gt;=BF$2)),
  $H17 * (1 + Assumptions!$C$7) ^ INT(((YEAR(BF$2)-YEAR($F17))*12 + MONTH(BF$2)-MONTH($F17)) / 12),
  0)</f>
        <v/>
      </c>
      <c r="BG17" s="299">
        <f>IF(AND($F17&lt;=BG$2, OR($G17="",$G17&gt;=BG$2)),
  $H17 * (1 + Assumptions!$C$7) ^ INT(((YEAR(BG$2)-YEAR($F17))*12 + MONTH(BG$2)-MONTH($F17)) / 12),
  0)</f>
        <v/>
      </c>
      <c r="BH17" s="299">
        <f>IF(AND($F17&lt;=BH$2, OR($G17="",$G17&gt;=BH$2)),
  $H17 * (1 + Assumptions!$C$7) ^ INT(((YEAR(BH$2)-YEAR($F17))*12 + MONTH(BH$2)-MONTH($F17)) / 12),
  0)</f>
        <v/>
      </c>
      <c r="BI17" s="299">
        <f>IF(AND($F17&lt;=BI$2, OR($G17="",$G17&gt;=BI$2)),
  $H17 * (1 + Assumptions!$C$7) ^ INT(((YEAR(BI$2)-YEAR($F17))*12 + MONTH(BI$2)-MONTH($F17)) / 12),
  0)</f>
        <v/>
      </c>
      <c r="BJ17" s="299">
        <f>IF(AND($F17&lt;=BJ$2, OR($G17="",$G17&gt;=BJ$2)),
  $H17 * (1 + Assumptions!$C$7) ^ INT(((YEAR(BJ$2)-YEAR($F17))*12 + MONTH(BJ$2)-MONTH($F17)) / 12),
  0)</f>
        <v/>
      </c>
      <c r="BK17" s="299">
        <f>IF(AND($F17&lt;=BK$2, OR($G17="",$G17&gt;=BK$2)),
  $H17 * (1 + Assumptions!$C$7) ^ INT(((YEAR(BK$2)-YEAR($F17))*12 + MONTH(BK$2)-MONTH($F17)) / 12),
  0)</f>
        <v/>
      </c>
      <c r="BL17" s="299">
        <f>IF(AND($F17&lt;=BL$2, OR($G17="",$G17&gt;=BL$2)),
  $H17 * (1 + Assumptions!$C$7) ^ INT(((YEAR(BL$2)-YEAR($F17))*12 + MONTH(BL$2)-MONTH($F17)) / 12),
  0)</f>
        <v/>
      </c>
      <c r="BM17" s="299">
        <f>IF(AND($F17&lt;=BM$2, OR($G17="",$G17&gt;=BM$2)),
  $H17 * (1 + Assumptions!$C$7) ^ INT(((YEAR(BM$2)-YEAR($F17))*12 + MONTH(BM$2)-MONTH($F17)) / 12),
  0)</f>
        <v/>
      </c>
      <c r="BN17" s="299">
        <f>IF(AND($F17&lt;=BN$2, OR($G17="",$G17&gt;=BN$2)),
  $H17 * (1 + Assumptions!$C$7) ^ INT(((YEAR(BN$2)-YEAR($F17))*12 + MONTH(BN$2)-MONTH($F17)) / 12),
  0)</f>
        <v/>
      </c>
      <c r="BO17" s="299">
        <f>IF(AND($F17&lt;=BO$2, OR($G17="",$G17&gt;=BO$2)),
  $H17 * (1 + Assumptions!$C$7) ^ INT(((YEAR(BO$2)-YEAR($F17))*12 + MONTH(BO$2)-MONTH($F17)) / 12),
  0)</f>
        <v/>
      </c>
      <c r="BP17" s="299">
        <f>IF(AND($F17&lt;=BP$2, OR($G17="",$G17&gt;=BP$2)),
  $H17 * (1 + Assumptions!$C$7) ^ INT(((YEAR(BP$2)-YEAR($F17))*12 + MONTH(BP$2)-MONTH($F17)) / 12),
  0)</f>
        <v/>
      </c>
      <c r="BQ17" s="31" t="n"/>
      <c r="BR17" s="350" t="inlineStr">
        <is>
          <t>paid this month if started and not yet left; +8% on each work anniversary</t>
        </is>
      </c>
      <c r="BS17" s="31" t="n"/>
      <c r="BT17" s="31" t="n"/>
    </row>
    <row r="18">
      <c r="A18" s="321" t="n">
        <v>13</v>
      </c>
      <c r="B18" s="285" t="inlineStr">
        <is>
          <t>New hire</t>
        </is>
      </c>
      <c r="C18" s="317" t="inlineStr">
        <is>
          <t>R&amp;D</t>
        </is>
      </c>
      <c r="D18" s="317" t="inlineStr">
        <is>
          <t>Maintenance Engineer</t>
        </is>
      </c>
      <c r="E18" s="297" t="inlineStr">
        <is>
          <t>Planned</t>
        </is>
      </c>
      <c r="F18" s="318" t="n">
        <v>46267</v>
      </c>
      <c r="G18" s="320" t="n"/>
      <c r="H18" s="288" t="n">
        <v>6000</v>
      </c>
      <c r="I18" s="299">
        <f>IF(AND($F18&lt;=I$2, OR($G18="",$G18&gt;=I$2)),
  $H18 * (1 + Assumptions!$C$7) ^ INT(((YEAR(I$2)-YEAR($F18))*12 + MONTH(I$2)-MONTH($F18)) / 12),
  0)</f>
        <v/>
      </c>
      <c r="J18" s="299">
        <f>IF(AND($F18&lt;=J$2, OR($G18="",$G18&gt;=J$2)),
  $H18 * (1 + Assumptions!$C$7) ^ INT(((YEAR(J$2)-YEAR($F18))*12 + MONTH(J$2)-MONTH($F18)) / 12),
  0)</f>
        <v/>
      </c>
      <c r="K18" s="299">
        <f>IF(AND($F18&lt;=K$2, OR($G18="",$G18&gt;=K$2)),
  $H18 * (1 + Assumptions!$C$7) ^ INT(((YEAR(K$2)-YEAR($F18))*12 + MONTH(K$2)-MONTH($F18)) / 12),
  0)</f>
        <v/>
      </c>
      <c r="L18" s="299">
        <f>IF(AND($F18&lt;=L$2, OR($G18="",$G18&gt;=L$2)),
  $H18 * (1 + Assumptions!$C$7) ^ INT(((YEAR(L$2)-YEAR($F18))*12 + MONTH(L$2)-MONTH($F18)) / 12),
  0)</f>
        <v/>
      </c>
      <c r="M18" s="299">
        <f>IF(AND($F18&lt;=M$2, OR($G18="",$G18&gt;=M$2)),
  $H18 * (1 + Assumptions!$C$7) ^ INT(((YEAR(M$2)-YEAR($F18))*12 + MONTH(M$2)-MONTH($F18)) / 12),
  0)</f>
        <v/>
      </c>
      <c r="N18" s="299">
        <f>IF(AND($F18&lt;=N$2, OR($G18="",$G18&gt;=N$2)),
  $H18 * (1 + Assumptions!$C$7) ^ INT(((YEAR(N$2)-YEAR($F18))*12 + MONTH(N$2)-MONTH($F18)) / 12),
  0)</f>
        <v/>
      </c>
      <c r="O18" s="299">
        <f>IF(AND($F18&lt;=O$2, OR($G18="",$G18&gt;=O$2)),
  $H18 * (1 + Assumptions!$C$7) ^ INT(((YEAR(O$2)-YEAR($F18))*12 + MONTH(O$2)-MONTH($F18)) / 12),
  0)</f>
        <v/>
      </c>
      <c r="P18" s="299">
        <f>IF(AND($F18&lt;=P$2, OR($G18="",$G18&gt;=P$2)),
  $H18 * (1 + Assumptions!$C$7) ^ INT(((YEAR(P$2)-YEAR($F18))*12 + MONTH(P$2)-MONTH($F18)) / 12),
  0)</f>
        <v/>
      </c>
      <c r="Q18" s="299">
        <f>IF(AND($F18&lt;=Q$2, OR($G18="",$G18&gt;=Q$2)),
  $H18 * (1 + Assumptions!$C$7) ^ INT(((YEAR(Q$2)-YEAR($F18))*12 + MONTH(Q$2)-MONTH($F18)) / 12),
  0)</f>
        <v/>
      </c>
      <c r="R18" s="299">
        <f>IF(AND($F18&lt;=R$2, OR($G18="",$G18&gt;=R$2)),
  $H18 * (1 + Assumptions!$C$7) ^ INT(((YEAR(R$2)-YEAR($F18))*12 + MONTH(R$2)-MONTH($F18)) / 12),
  0)</f>
        <v/>
      </c>
      <c r="S18" s="299">
        <f>IF(AND($F18&lt;=S$2, OR($G18="",$G18&gt;=S$2)),
  $H18 * (1 + Assumptions!$C$7) ^ INT(((YEAR(S$2)-YEAR($F18))*12 + MONTH(S$2)-MONTH($F18)) / 12),
  0)</f>
        <v/>
      </c>
      <c r="T18" s="299">
        <f>IF(AND($F18&lt;=T$2, OR($G18="",$G18&gt;=T$2)),
  $H18 * (1 + Assumptions!$C$7) ^ INT(((YEAR(T$2)-YEAR($F18))*12 + MONTH(T$2)-MONTH($F18)) / 12),
  0)</f>
        <v/>
      </c>
      <c r="U18" s="299">
        <f>IF(AND($F18&lt;=U$2, OR($G18="",$G18&gt;=U$2)),
  $H18 * (1 + Assumptions!$C$7) ^ INT(((YEAR(U$2)-YEAR($F18))*12 + MONTH(U$2)-MONTH($F18)) / 12),
  0)</f>
        <v/>
      </c>
      <c r="V18" s="299">
        <f>IF(AND($F18&lt;=V$2, OR($G18="",$G18&gt;=V$2)),
  $H18 * (1 + Assumptions!$C$7) ^ INT(((YEAR(V$2)-YEAR($F18))*12 + MONTH(V$2)-MONTH($F18)) / 12),
  0)</f>
        <v/>
      </c>
      <c r="W18" s="299">
        <f>IF(AND($F18&lt;=W$2, OR($G18="",$G18&gt;=W$2)),
  $H18 * (1 + Assumptions!$C$7) ^ INT(((YEAR(W$2)-YEAR($F18))*12 + MONTH(W$2)-MONTH($F18)) / 12),
  0)</f>
        <v/>
      </c>
      <c r="X18" s="299">
        <f>IF(AND($F18&lt;=X$2, OR($G18="",$G18&gt;=X$2)),
  $H18 * (1 + Assumptions!$C$7) ^ INT(((YEAR(X$2)-YEAR($F18))*12 + MONTH(X$2)-MONTH($F18)) / 12),
  0)</f>
        <v/>
      </c>
      <c r="Y18" s="299">
        <f>IF(AND($F18&lt;=Y$2, OR($G18="",$G18&gt;=Y$2)),
  $H18 * (1 + Assumptions!$C$7) ^ INT(((YEAR(Y$2)-YEAR($F18))*12 + MONTH(Y$2)-MONTH($F18)) / 12),
  0)</f>
        <v/>
      </c>
      <c r="Z18" s="299">
        <f>IF(AND($F18&lt;=Z$2, OR($G18="",$G18&gt;=Z$2)),
  $H18 * (1 + Assumptions!$C$7) ^ INT(((YEAR(Z$2)-YEAR($F18))*12 + MONTH(Z$2)-MONTH($F18)) / 12),
  0)</f>
        <v/>
      </c>
      <c r="AA18" s="299">
        <f>IF(AND($F18&lt;=AA$2, OR($G18="",$G18&gt;=AA$2)),
  $H18 * (1 + Assumptions!$C$7) ^ INT(((YEAR(AA$2)-YEAR($F18))*12 + MONTH(AA$2)-MONTH($F18)) / 12),
  0)</f>
        <v/>
      </c>
      <c r="AB18" s="299">
        <f>IF(AND($F18&lt;=AB$2, OR($G18="",$G18&gt;=AB$2)),
  $H18 * (1 + Assumptions!$C$7) ^ INT(((YEAR(AB$2)-YEAR($F18))*12 + MONTH(AB$2)-MONTH($F18)) / 12),
  0)</f>
        <v/>
      </c>
      <c r="AC18" s="299">
        <f>IF(AND($F18&lt;=AC$2, OR($G18="",$G18&gt;=AC$2)),
  $H18 * (1 + Assumptions!$C$7) ^ INT(((YEAR(AC$2)-YEAR($F18))*12 + MONTH(AC$2)-MONTH($F18)) / 12),
  0)</f>
        <v/>
      </c>
      <c r="AD18" s="299">
        <f>IF(AND($F18&lt;=AD$2, OR($G18="",$G18&gt;=AD$2)),
  $H18 * (1 + Assumptions!$C$7) ^ INT(((YEAR(AD$2)-YEAR($F18))*12 + MONTH(AD$2)-MONTH($F18)) / 12),
  0)</f>
        <v/>
      </c>
      <c r="AE18" s="299">
        <f>IF(AND($F18&lt;=AE$2, OR($G18="",$G18&gt;=AE$2)),
  $H18 * (1 + Assumptions!$C$7) ^ INT(((YEAR(AE$2)-YEAR($F18))*12 + MONTH(AE$2)-MONTH($F18)) / 12),
  0)</f>
        <v/>
      </c>
      <c r="AF18" s="299">
        <f>IF(AND($F18&lt;=AF$2, OR($G18="",$G18&gt;=AF$2)),
  $H18 * (1 + Assumptions!$C$7) ^ INT(((YEAR(AF$2)-YEAR($F18))*12 + MONTH(AF$2)-MONTH($F18)) / 12),
  0)</f>
        <v/>
      </c>
      <c r="AG18" s="299">
        <f>IF(AND($F18&lt;=AG$2, OR($G18="",$G18&gt;=AG$2)),
  $H18 * (1 + Assumptions!$C$7) ^ INT(((YEAR(AG$2)-YEAR($F18))*12 + MONTH(AG$2)-MONTH($F18)) / 12),
  0)</f>
        <v/>
      </c>
      <c r="AH18" s="299">
        <f>IF(AND($F18&lt;=AH$2, OR($G18="",$G18&gt;=AH$2)),
  $H18 * (1 + Assumptions!$C$7) ^ INT(((YEAR(AH$2)-YEAR($F18))*12 + MONTH(AH$2)-MONTH($F18)) / 12),
  0)</f>
        <v/>
      </c>
      <c r="AI18" s="299">
        <f>IF(AND($F18&lt;=AI$2, OR($G18="",$G18&gt;=AI$2)),
  $H18 * (1 + Assumptions!$C$7) ^ INT(((YEAR(AI$2)-YEAR($F18))*12 + MONTH(AI$2)-MONTH($F18)) / 12),
  0)</f>
        <v/>
      </c>
      <c r="AJ18" s="299">
        <f>IF(AND($F18&lt;=AJ$2, OR($G18="",$G18&gt;=AJ$2)),
  $H18 * (1 + Assumptions!$C$7) ^ INT(((YEAR(AJ$2)-YEAR($F18))*12 + MONTH(AJ$2)-MONTH($F18)) / 12),
  0)</f>
        <v/>
      </c>
      <c r="AK18" s="299">
        <f>IF(AND($F18&lt;=AK$2, OR($G18="",$G18&gt;=AK$2)),
  $H18 * (1 + Assumptions!$C$7) ^ INT(((YEAR(AK$2)-YEAR($F18))*12 + MONTH(AK$2)-MONTH($F18)) / 12),
  0)</f>
        <v/>
      </c>
      <c r="AL18" s="299">
        <f>IF(AND($F18&lt;=AL$2, OR($G18="",$G18&gt;=AL$2)),
  $H18 * (1 + Assumptions!$C$7) ^ INT(((YEAR(AL$2)-YEAR($F18))*12 + MONTH(AL$2)-MONTH($F18)) / 12),
  0)</f>
        <v/>
      </c>
      <c r="AM18" s="299">
        <f>IF(AND($F18&lt;=AM$2, OR($G18="",$G18&gt;=AM$2)),
  $H18 * (1 + Assumptions!$C$7) ^ INT(((YEAR(AM$2)-YEAR($F18))*12 + MONTH(AM$2)-MONTH($F18)) / 12),
  0)</f>
        <v/>
      </c>
      <c r="AN18" s="299">
        <f>IF(AND($F18&lt;=AN$2, OR($G18="",$G18&gt;=AN$2)),
  $H18 * (1 + Assumptions!$C$7) ^ INT(((YEAR(AN$2)-YEAR($F18))*12 + MONTH(AN$2)-MONTH($F18)) / 12),
  0)</f>
        <v/>
      </c>
      <c r="AO18" s="299">
        <f>IF(AND($F18&lt;=AO$2, OR($G18="",$G18&gt;=AO$2)),
  $H18 * (1 + Assumptions!$C$7) ^ INT(((YEAR(AO$2)-YEAR($F18))*12 + MONTH(AO$2)-MONTH($F18)) / 12),
  0)</f>
        <v/>
      </c>
      <c r="AP18" s="299">
        <f>IF(AND($F18&lt;=AP$2, OR($G18="",$G18&gt;=AP$2)),
  $H18 * (1 + Assumptions!$C$7) ^ INT(((YEAR(AP$2)-YEAR($F18))*12 + MONTH(AP$2)-MONTH($F18)) / 12),
  0)</f>
        <v/>
      </c>
      <c r="AQ18" s="299">
        <f>IF(AND($F18&lt;=AQ$2, OR($G18="",$G18&gt;=AQ$2)),
  $H18 * (1 + Assumptions!$C$7) ^ INT(((YEAR(AQ$2)-YEAR($F18))*12 + MONTH(AQ$2)-MONTH($F18)) / 12),
  0)</f>
        <v/>
      </c>
      <c r="AR18" s="299">
        <f>IF(AND($F18&lt;=AR$2, OR($G18="",$G18&gt;=AR$2)),
  $H18 * (1 + Assumptions!$C$7) ^ INT(((YEAR(AR$2)-YEAR($F18))*12 + MONTH(AR$2)-MONTH($F18)) / 12),
  0)</f>
        <v/>
      </c>
      <c r="AS18" s="299">
        <f>IF(AND($F18&lt;=AS$2, OR($G18="",$G18&gt;=AS$2)),
  $H18 * (1 + Assumptions!$C$7) ^ INT(((YEAR(AS$2)-YEAR($F18))*12 + MONTH(AS$2)-MONTH($F18)) / 12),
  0)</f>
        <v/>
      </c>
      <c r="AT18" s="299">
        <f>IF(AND($F18&lt;=AT$2, OR($G18="",$G18&gt;=AT$2)),
  $H18 * (1 + Assumptions!$C$7) ^ INT(((YEAR(AT$2)-YEAR($F18))*12 + MONTH(AT$2)-MONTH($F18)) / 12),
  0)</f>
        <v/>
      </c>
      <c r="AU18" s="299">
        <f>IF(AND($F18&lt;=AU$2, OR($G18="",$G18&gt;=AU$2)),
  $H18 * (1 + Assumptions!$C$7) ^ INT(((YEAR(AU$2)-YEAR($F18))*12 + MONTH(AU$2)-MONTH($F18)) / 12),
  0)</f>
        <v/>
      </c>
      <c r="AV18" s="299">
        <f>IF(AND($F18&lt;=AV$2, OR($G18="",$G18&gt;=AV$2)),
  $H18 * (1 + Assumptions!$C$7) ^ INT(((YEAR(AV$2)-YEAR($F18))*12 + MONTH(AV$2)-MONTH($F18)) / 12),
  0)</f>
        <v/>
      </c>
      <c r="AW18" s="299">
        <f>IF(AND($F18&lt;=AW$2, OR($G18="",$G18&gt;=AW$2)),
  $H18 * (1 + Assumptions!$C$7) ^ INT(((YEAR(AW$2)-YEAR($F18))*12 + MONTH(AW$2)-MONTH($F18)) / 12),
  0)</f>
        <v/>
      </c>
      <c r="AX18" s="299">
        <f>IF(AND($F18&lt;=AX$2, OR($G18="",$G18&gt;=AX$2)),
  $H18 * (1 + Assumptions!$C$7) ^ INT(((YEAR(AX$2)-YEAR($F18))*12 + MONTH(AX$2)-MONTH($F18)) / 12),
  0)</f>
        <v/>
      </c>
      <c r="AY18" s="299">
        <f>IF(AND($F18&lt;=AY$2, OR($G18="",$G18&gt;=AY$2)),
  $H18 * (1 + Assumptions!$C$7) ^ INT(((YEAR(AY$2)-YEAR($F18))*12 + MONTH(AY$2)-MONTH($F18)) / 12),
  0)</f>
        <v/>
      </c>
      <c r="AZ18" s="299">
        <f>IF(AND($F18&lt;=AZ$2, OR($G18="",$G18&gt;=AZ$2)),
  $H18 * (1 + Assumptions!$C$7) ^ INT(((YEAR(AZ$2)-YEAR($F18))*12 + MONTH(AZ$2)-MONTH($F18)) / 12),
  0)</f>
        <v/>
      </c>
      <c r="BA18" s="299">
        <f>IF(AND($F18&lt;=BA$2, OR($G18="",$G18&gt;=BA$2)),
  $H18 * (1 + Assumptions!$C$7) ^ INT(((YEAR(BA$2)-YEAR($F18))*12 + MONTH(BA$2)-MONTH($F18)) / 12),
  0)</f>
        <v/>
      </c>
      <c r="BB18" s="299">
        <f>IF(AND($F18&lt;=BB$2, OR($G18="",$G18&gt;=BB$2)),
  $H18 * (1 + Assumptions!$C$7) ^ INT(((YEAR(BB$2)-YEAR($F18))*12 + MONTH(BB$2)-MONTH($F18)) / 12),
  0)</f>
        <v/>
      </c>
      <c r="BC18" s="299">
        <f>IF(AND($F18&lt;=BC$2, OR($G18="",$G18&gt;=BC$2)),
  $H18 * (1 + Assumptions!$C$7) ^ INT(((YEAR(BC$2)-YEAR($F18))*12 + MONTH(BC$2)-MONTH($F18)) / 12),
  0)</f>
        <v/>
      </c>
      <c r="BD18" s="299">
        <f>IF(AND($F18&lt;=BD$2, OR($G18="",$G18&gt;=BD$2)),
  $H18 * (1 + Assumptions!$C$7) ^ INT(((YEAR(BD$2)-YEAR($F18))*12 + MONTH(BD$2)-MONTH($F18)) / 12),
  0)</f>
        <v/>
      </c>
      <c r="BE18" s="299">
        <f>IF(AND($F18&lt;=BE$2, OR($G18="",$G18&gt;=BE$2)),
  $H18 * (1 + Assumptions!$C$7) ^ INT(((YEAR(BE$2)-YEAR($F18))*12 + MONTH(BE$2)-MONTH($F18)) / 12),
  0)</f>
        <v/>
      </c>
      <c r="BF18" s="299">
        <f>IF(AND($F18&lt;=BF$2, OR($G18="",$G18&gt;=BF$2)),
  $H18 * (1 + Assumptions!$C$7) ^ INT(((YEAR(BF$2)-YEAR($F18))*12 + MONTH(BF$2)-MONTH($F18)) / 12),
  0)</f>
        <v/>
      </c>
      <c r="BG18" s="299">
        <f>IF(AND($F18&lt;=BG$2, OR($G18="",$G18&gt;=BG$2)),
  $H18 * (1 + Assumptions!$C$7) ^ INT(((YEAR(BG$2)-YEAR($F18))*12 + MONTH(BG$2)-MONTH($F18)) / 12),
  0)</f>
        <v/>
      </c>
      <c r="BH18" s="299">
        <f>IF(AND($F18&lt;=BH$2, OR($G18="",$G18&gt;=BH$2)),
  $H18 * (1 + Assumptions!$C$7) ^ INT(((YEAR(BH$2)-YEAR($F18))*12 + MONTH(BH$2)-MONTH($F18)) / 12),
  0)</f>
        <v/>
      </c>
      <c r="BI18" s="299">
        <f>IF(AND($F18&lt;=BI$2, OR($G18="",$G18&gt;=BI$2)),
  $H18 * (1 + Assumptions!$C$7) ^ INT(((YEAR(BI$2)-YEAR($F18))*12 + MONTH(BI$2)-MONTH($F18)) / 12),
  0)</f>
        <v/>
      </c>
      <c r="BJ18" s="299">
        <f>IF(AND($F18&lt;=BJ$2, OR($G18="",$G18&gt;=BJ$2)),
  $H18 * (1 + Assumptions!$C$7) ^ INT(((YEAR(BJ$2)-YEAR($F18))*12 + MONTH(BJ$2)-MONTH($F18)) / 12),
  0)</f>
        <v/>
      </c>
      <c r="BK18" s="299">
        <f>IF(AND($F18&lt;=BK$2, OR($G18="",$G18&gt;=BK$2)),
  $H18 * (1 + Assumptions!$C$7) ^ INT(((YEAR(BK$2)-YEAR($F18))*12 + MONTH(BK$2)-MONTH($F18)) / 12),
  0)</f>
        <v/>
      </c>
      <c r="BL18" s="299">
        <f>IF(AND($F18&lt;=BL$2, OR($G18="",$G18&gt;=BL$2)),
  $H18 * (1 + Assumptions!$C$7) ^ INT(((YEAR(BL$2)-YEAR($F18))*12 + MONTH(BL$2)-MONTH($F18)) / 12),
  0)</f>
        <v/>
      </c>
      <c r="BM18" s="299">
        <f>IF(AND($F18&lt;=BM$2, OR($G18="",$G18&gt;=BM$2)),
  $H18 * (1 + Assumptions!$C$7) ^ INT(((YEAR(BM$2)-YEAR($F18))*12 + MONTH(BM$2)-MONTH($F18)) / 12),
  0)</f>
        <v/>
      </c>
      <c r="BN18" s="299">
        <f>IF(AND($F18&lt;=BN$2, OR($G18="",$G18&gt;=BN$2)),
  $H18 * (1 + Assumptions!$C$7) ^ INT(((YEAR(BN$2)-YEAR($F18))*12 + MONTH(BN$2)-MONTH($F18)) / 12),
  0)</f>
        <v/>
      </c>
      <c r="BO18" s="299">
        <f>IF(AND($F18&lt;=BO$2, OR($G18="",$G18&gt;=BO$2)),
  $H18 * (1 + Assumptions!$C$7) ^ INT(((YEAR(BO$2)-YEAR($F18))*12 + MONTH(BO$2)-MONTH($F18)) / 12),
  0)</f>
        <v/>
      </c>
      <c r="BP18" s="299">
        <f>IF(AND($F18&lt;=BP$2, OR($G18="",$G18&gt;=BP$2)),
  $H18 * (1 + Assumptions!$C$7) ^ INT(((YEAR(BP$2)-YEAR($F18))*12 + MONTH(BP$2)-MONTH($F18)) / 12),
  0)</f>
        <v/>
      </c>
      <c r="BQ18" s="31" t="n"/>
      <c r="BR18" s="350" t="inlineStr">
        <is>
          <t>paid this month if started and not yet left; +8% on each work anniversary</t>
        </is>
      </c>
      <c r="BS18" s="31" t="n"/>
      <c r="BT18" s="31" t="n"/>
    </row>
    <row r="19">
      <c r="A19" s="321" t="n">
        <v>14</v>
      </c>
      <c r="B19" s="285" t="inlineStr">
        <is>
          <t>New hire</t>
        </is>
      </c>
      <c r="C19" s="317" t="inlineStr">
        <is>
          <t>S&amp;M</t>
        </is>
      </c>
      <c r="D19" s="23" t="inlineStr">
        <is>
          <t>Marketing</t>
        </is>
      </c>
      <c r="E19" s="297" t="inlineStr">
        <is>
          <t>Planned</t>
        </is>
      </c>
      <c r="F19" s="318" t="n">
        <v>46268</v>
      </c>
      <c r="G19" s="311" t="n"/>
      <c r="H19" s="288" t="n">
        <v>9000</v>
      </c>
      <c r="I19" s="299">
        <f>IF(AND($F19&lt;=I$2, OR($G19="",$G19&gt;=I$2)),
  $H19 * (1 + Assumptions!$C$7) ^ INT(((YEAR(I$2)-YEAR($F19))*12 + MONTH(I$2)-MONTH($F19)) / 12),
  0)</f>
        <v/>
      </c>
      <c r="J19" s="299">
        <f>IF(AND($F19&lt;=J$2, OR($G19="",$G19&gt;=J$2)),
  $H19 * (1 + Assumptions!$C$7) ^ INT(((YEAR(J$2)-YEAR($F19))*12 + MONTH(J$2)-MONTH($F19)) / 12),
  0)</f>
        <v/>
      </c>
      <c r="K19" s="299">
        <f>IF(AND($F19&lt;=K$2, OR($G19="",$G19&gt;=K$2)),
  $H19 * (1 + Assumptions!$C$7) ^ INT(((YEAR(K$2)-YEAR($F19))*12 + MONTH(K$2)-MONTH($F19)) / 12),
  0)</f>
        <v/>
      </c>
      <c r="L19" s="299">
        <f>IF(AND($F19&lt;=L$2, OR($G19="",$G19&gt;=L$2)),
  $H19 * (1 + Assumptions!$C$7) ^ INT(((YEAR(L$2)-YEAR($F19))*12 + MONTH(L$2)-MONTH($F19)) / 12),
  0)</f>
        <v/>
      </c>
      <c r="M19" s="299">
        <f>IF(AND($F19&lt;=M$2, OR($G19="",$G19&gt;=M$2)),
  $H19 * (1 + Assumptions!$C$7) ^ INT(((YEAR(M$2)-YEAR($F19))*12 + MONTH(M$2)-MONTH($F19)) / 12),
  0)</f>
        <v/>
      </c>
      <c r="N19" s="299">
        <f>IF(AND($F19&lt;=N$2, OR($G19="",$G19&gt;=N$2)),
  $H19 * (1 + Assumptions!$C$7) ^ INT(((YEAR(N$2)-YEAR($F19))*12 + MONTH(N$2)-MONTH($F19)) / 12),
  0)</f>
        <v/>
      </c>
      <c r="O19" s="299">
        <f>IF(AND($F19&lt;=O$2, OR($G19="",$G19&gt;=O$2)),
  $H19 * (1 + Assumptions!$C$7) ^ INT(((YEAR(O$2)-YEAR($F19))*12 + MONTH(O$2)-MONTH($F19)) / 12),
  0)</f>
        <v/>
      </c>
      <c r="P19" s="299">
        <f>IF(AND($F19&lt;=P$2, OR($G19="",$G19&gt;=P$2)),
  $H19 * (1 + Assumptions!$C$7) ^ INT(((YEAR(P$2)-YEAR($F19))*12 + MONTH(P$2)-MONTH($F19)) / 12),
  0)</f>
        <v/>
      </c>
      <c r="Q19" s="299">
        <f>IF(AND($F19&lt;=Q$2, OR($G19="",$G19&gt;=Q$2)),
  $H19 * (1 + Assumptions!$C$7) ^ INT(((YEAR(Q$2)-YEAR($F19))*12 + MONTH(Q$2)-MONTH($F19)) / 12),
  0)</f>
        <v/>
      </c>
      <c r="R19" s="299">
        <f>IF(AND($F19&lt;=R$2, OR($G19="",$G19&gt;=R$2)),
  $H19 * (1 + Assumptions!$C$7) ^ INT(((YEAR(R$2)-YEAR($F19))*12 + MONTH(R$2)-MONTH($F19)) / 12),
  0)</f>
        <v/>
      </c>
      <c r="S19" s="299">
        <f>IF(AND($F19&lt;=S$2, OR($G19="",$G19&gt;=S$2)),
  $H19 * (1 + Assumptions!$C$7) ^ INT(((YEAR(S$2)-YEAR($F19))*12 + MONTH(S$2)-MONTH($F19)) / 12),
  0)</f>
        <v/>
      </c>
      <c r="T19" s="299">
        <f>IF(AND($F19&lt;=T$2, OR($G19="",$G19&gt;=T$2)),
  $H19 * (1 + Assumptions!$C$7) ^ INT(((YEAR(T$2)-YEAR($F19))*12 + MONTH(T$2)-MONTH($F19)) / 12),
  0)</f>
        <v/>
      </c>
      <c r="U19" s="299">
        <f>IF(AND($F19&lt;=U$2, OR($G19="",$G19&gt;=U$2)),
  $H19 * (1 + Assumptions!$C$7) ^ INT(((YEAR(U$2)-YEAR($F19))*12 + MONTH(U$2)-MONTH($F19)) / 12),
  0)</f>
        <v/>
      </c>
      <c r="V19" s="299">
        <f>IF(AND($F19&lt;=V$2, OR($G19="",$G19&gt;=V$2)),
  $H19 * (1 + Assumptions!$C$7) ^ INT(((YEAR(V$2)-YEAR($F19))*12 + MONTH(V$2)-MONTH($F19)) / 12),
  0)</f>
        <v/>
      </c>
      <c r="W19" s="299">
        <f>IF(AND($F19&lt;=W$2, OR($G19="",$G19&gt;=W$2)),
  $H19 * (1 + Assumptions!$C$7) ^ INT(((YEAR(W$2)-YEAR($F19))*12 + MONTH(W$2)-MONTH($F19)) / 12),
  0)</f>
        <v/>
      </c>
      <c r="X19" s="299">
        <f>IF(AND($F19&lt;=X$2, OR($G19="",$G19&gt;=X$2)),
  $H19 * (1 + Assumptions!$C$7) ^ INT(((YEAR(X$2)-YEAR($F19))*12 + MONTH(X$2)-MONTH($F19)) / 12),
  0)</f>
        <v/>
      </c>
      <c r="Y19" s="299">
        <f>IF(AND($F19&lt;=Y$2, OR($G19="",$G19&gt;=Y$2)),
  $H19 * (1 + Assumptions!$C$7) ^ INT(((YEAR(Y$2)-YEAR($F19))*12 + MONTH(Y$2)-MONTH($F19)) / 12),
  0)</f>
        <v/>
      </c>
      <c r="Z19" s="299">
        <f>IF(AND($F19&lt;=Z$2, OR($G19="",$G19&gt;=Z$2)),
  $H19 * (1 + Assumptions!$C$7) ^ INT(((YEAR(Z$2)-YEAR($F19))*12 + MONTH(Z$2)-MONTH($F19)) / 12),
  0)</f>
        <v/>
      </c>
      <c r="AA19" s="299">
        <f>IF(AND($F19&lt;=AA$2, OR($G19="",$G19&gt;=AA$2)),
  $H19 * (1 + Assumptions!$C$7) ^ INT(((YEAR(AA$2)-YEAR($F19))*12 + MONTH(AA$2)-MONTH($F19)) / 12),
  0)</f>
        <v/>
      </c>
      <c r="AB19" s="299">
        <f>IF(AND($F19&lt;=AB$2, OR($G19="",$G19&gt;=AB$2)),
  $H19 * (1 + Assumptions!$C$7) ^ INT(((YEAR(AB$2)-YEAR($F19))*12 + MONTH(AB$2)-MONTH($F19)) / 12),
  0)</f>
        <v/>
      </c>
      <c r="AC19" s="299">
        <f>IF(AND($F19&lt;=AC$2, OR($G19="",$G19&gt;=AC$2)),
  $H19 * (1 + Assumptions!$C$7) ^ INT(((YEAR(AC$2)-YEAR($F19))*12 + MONTH(AC$2)-MONTH($F19)) / 12),
  0)</f>
        <v/>
      </c>
      <c r="AD19" s="299">
        <f>IF(AND($F19&lt;=AD$2, OR($G19="",$G19&gt;=AD$2)),
  $H19 * (1 + Assumptions!$C$7) ^ INT(((YEAR(AD$2)-YEAR($F19))*12 + MONTH(AD$2)-MONTH($F19)) / 12),
  0)</f>
        <v/>
      </c>
      <c r="AE19" s="299">
        <f>IF(AND($F19&lt;=AE$2, OR($G19="",$G19&gt;=AE$2)),
  $H19 * (1 + Assumptions!$C$7) ^ INT(((YEAR(AE$2)-YEAR($F19))*12 + MONTH(AE$2)-MONTH($F19)) / 12),
  0)</f>
        <v/>
      </c>
      <c r="AF19" s="299">
        <f>IF(AND($F19&lt;=AF$2, OR($G19="",$G19&gt;=AF$2)),
  $H19 * (1 + Assumptions!$C$7) ^ INT(((YEAR(AF$2)-YEAR($F19))*12 + MONTH(AF$2)-MONTH($F19)) / 12),
  0)</f>
        <v/>
      </c>
      <c r="AG19" s="299">
        <f>IF(AND($F19&lt;=AG$2, OR($G19="",$G19&gt;=AG$2)),
  $H19 * (1 + Assumptions!$C$7) ^ INT(((YEAR(AG$2)-YEAR($F19))*12 + MONTH(AG$2)-MONTH($F19)) / 12),
  0)</f>
        <v/>
      </c>
      <c r="AH19" s="299">
        <f>IF(AND($F19&lt;=AH$2, OR($G19="",$G19&gt;=AH$2)),
  $H19 * (1 + Assumptions!$C$7) ^ INT(((YEAR(AH$2)-YEAR($F19))*12 + MONTH(AH$2)-MONTH($F19)) / 12),
  0)</f>
        <v/>
      </c>
      <c r="AI19" s="299">
        <f>IF(AND($F19&lt;=AI$2, OR($G19="",$G19&gt;=AI$2)),
  $H19 * (1 + Assumptions!$C$7) ^ INT(((YEAR(AI$2)-YEAR($F19))*12 + MONTH(AI$2)-MONTH($F19)) / 12),
  0)</f>
        <v/>
      </c>
      <c r="AJ19" s="299">
        <f>IF(AND($F19&lt;=AJ$2, OR($G19="",$G19&gt;=AJ$2)),
  $H19 * (1 + Assumptions!$C$7) ^ INT(((YEAR(AJ$2)-YEAR($F19))*12 + MONTH(AJ$2)-MONTH($F19)) / 12),
  0)</f>
        <v/>
      </c>
      <c r="AK19" s="299">
        <f>IF(AND($F19&lt;=AK$2, OR($G19="",$G19&gt;=AK$2)),
  $H19 * (1 + Assumptions!$C$7) ^ INT(((YEAR(AK$2)-YEAR($F19))*12 + MONTH(AK$2)-MONTH($F19)) / 12),
  0)</f>
        <v/>
      </c>
      <c r="AL19" s="299">
        <f>IF(AND($F19&lt;=AL$2, OR($G19="",$G19&gt;=AL$2)),
  $H19 * (1 + Assumptions!$C$7) ^ INT(((YEAR(AL$2)-YEAR($F19))*12 + MONTH(AL$2)-MONTH($F19)) / 12),
  0)</f>
        <v/>
      </c>
      <c r="AM19" s="299">
        <f>IF(AND($F19&lt;=AM$2, OR($G19="",$G19&gt;=AM$2)),
  $H19 * (1 + Assumptions!$C$7) ^ INT(((YEAR(AM$2)-YEAR($F19))*12 + MONTH(AM$2)-MONTH($F19)) / 12),
  0)</f>
        <v/>
      </c>
      <c r="AN19" s="299">
        <f>IF(AND($F19&lt;=AN$2, OR($G19="",$G19&gt;=AN$2)),
  $H19 * (1 + Assumptions!$C$7) ^ INT(((YEAR(AN$2)-YEAR($F19))*12 + MONTH(AN$2)-MONTH($F19)) / 12),
  0)</f>
        <v/>
      </c>
      <c r="AO19" s="299">
        <f>IF(AND($F19&lt;=AO$2, OR($G19="",$G19&gt;=AO$2)),
  $H19 * (1 + Assumptions!$C$7) ^ INT(((YEAR(AO$2)-YEAR($F19))*12 + MONTH(AO$2)-MONTH($F19)) / 12),
  0)</f>
        <v/>
      </c>
      <c r="AP19" s="299">
        <f>IF(AND($F19&lt;=AP$2, OR($G19="",$G19&gt;=AP$2)),
  $H19 * (1 + Assumptions!$C$7) ^ INT(((YEAR(AP$2)-YEAR($F19))*12 + MONTH(AP$2)-MONTH($F19)) / 12),
  0)</f>
        <v/>
      </c>
      <c r="AQ19" s="299">
        <f>IF(AND($F19&lt;=AQ$2, OR($G19="",$G19&gt;=AQ$2)),
  $H19 * (1 + Assumptions!$C$7) ^ INT(((YEAR(AQ$2)-YEAR($F19))*12 + MONTH(AQ$2)-MONTH($F19)) / 12),
  0)</f>
        <v/>
      </c>
      <c r="AR19" s="299">
        <f>IF(AND($F19&lt;=AR$2, OR($G19="",$G19&gt;=AR$2)),
  $H19 * (1 + Assumptions!$C$7) ^ INT(((YEAR(AR$2)-YEAR($F19))*12 + MONTH(AR$2)-MONTH($F19)) / 12),
  0)</f>
        <v/>
      </c>
      <c r="AS19" s="299">
        <f>IF(AND($F19&lt;=AS$2, OR($G19="",$G19&gt;=AS$2)),
  $H19 * (1 + Assumptions!$C$7) ^ INT(((YEAR(AS$2)-YEAR($F19))*12 + MONTH(AS$2)-MONTH($F19)) / 12),
  0)</f>
        <v/>
      </c>
      <c r="AT19" s="299">
        <f>IF(AND($F19&lt;=AT$2, OR($G19="",$G19&gt;=AT$2)),
  $H19 * (1 + Assumptions!$C$7) ^ INT(((YEAR(AT$2)-YEAR($F19))*12 + MONTH(AT$2)-MONTH($F19)) / 12),
  0)</f>
        <v/>
      </c>
      <c r="AU19" s="299">
        <f>IF(AND($F19&lt;=AU$2, OR($G19="",$G19&gt;=AU$2)),
  $H19 * (1 + Assumptions!$C$7) ^ INT(((YEAR(AU$2)-YEAR($F19))*12 + MONTH(AU$2)-MONTH($F19)) / 12),
  0)</f>
        <v/>
      </c>
      <c r="AV19" s="299">
        <f>IF(AND($F19&lt;=AV$2, OR($G19="",$G19&gt;=AV$2)),
  $H19 * (1 + Assumptions!$C$7) ^ INT(((YEAR(AV$2)-YEAR($F19))*12 + MONTH(AV$2)-MONTH($F19)) / 12),
  0)</f>
        <v/>
      </c>
      <c r="AW19" s="299">
        <f>IF(AND($F19&lt;=AW$2, OR($G19="",$G19&gt;=AW$2)),
  $H19 * (1 + Assumptions!$C$7) ^ INT(((YEAR(AW$2)-YEAR($F19))*12 + MONTH(AW$2)-MONTH($F19)) / 12),
  0)</f>
        <v/>
      </c>
      <c r="AX19" s="299">
        <f>IF(AND($F19&lt;=AX$2, OR($G19="",$G19&gt;=AX$2)),
  $H19 * (1 + Assumptions!$C$7) ^ INT(((YEAR(AX$2)-YEAR($F19))*12 + MONTH(AX$2)-MONTH($F19)) / 12),
  0)</f>
        <v/>
      </c>
      <c r="AY19" s="299">
        <f>IF(AND($F19&lt;=AY$2, OR($G19="",$G19&gt;=AY$2)),
  $H19 * (1 + Assumptions!$C$7) ^ INT(((YEAR(AY$2)-YEAR($F19))*12 + MONTH(AY$2)-MONTH($F19)) / 12),
  0)</f>
        <v/>
      </c>
      <c r="AZ19" s="299">
        <f>IF(AND($F19&lt;=AZ$2, OR($G19="",$G19&gt;=AZ$2)),
  $H19 * (1 + Assumptions!$C$7) ^ INT(((YEAR(AZ$2)-YEAR($F19))*12 + MONTH(AZ$2)-MONTH($F19)) / 12),
  0)</f>
        <v/>
      </c>
      <c r="BA19" s="299">
        <f>IF(AND($F19&lt;=BA$2, OR($G19="",$G19&gt;=BA$2)),
  $H19 * (1 + Assumptions!$C$7) ^ INT(((YEAR(BA$2)-YEAR($F19))*12 + MONTH(BA$2)-MONTH($F19)) / 12),
  0)</f>
        <v/>
      </c>
      <c r="BB19" s="299">
        <f>IF(AND($F19&lt;=BB$2, OR($G19="",$G19&gt;=BB$2)),
  $H19 * (1 + Assumptions!$C$7) ^ INT(((YEAR(BB$2)-YEAR($F19))*12 + MONTH(BB$2)-MONTH($F19)) / 12),
  0)</f>
        <v/>
      </c>
      <c r="BC19" s="299">
        <f>IF(AND($F19&lt;=BC$2, OR($G19="",$G19&gt;=BC$2)),
  $H19 * (1 + Assumptions!$C$7) ^ INT(((YEAR(BC$2)-YEAR($F19))*12 + MONTH(BC$2)-MONTH($F19)) / 12),
  0)</f>
        <v/>
      </c>
      <c r="BD19" s="299">
        <f>IF(AND($F19&lt;=BD$2, OR($G19="",$G19&gt;=BD$2)),
  $H19 * (1 + Assumptions!$C$7) ^ INT(((YEAR(BD$2)-YEAR($F19))*12 + MONTH(BD$2)-MONTH($F19)) / 12),
  0)</f>
        <v/>
      </c>
      <c r="BE19" s="299">
        <f>IF(AND($F19&lt;=BE$2, OR($G19="",$G19&gt;=BE$2)),
  $H19 * (1 + Assumptions!$C$7) ^ INT(((YEAR(BE$2)-YEAR($F19))*12 + MONTH(BE$2)-MONTH($F19)) / 12),
  0)</f>
        <v/>
      </c>
      <c r="BF19" s="299">
        <f>IF(AND($F19&lt;=BF$2, OR($G19="",$G19&gt;=BF$2)),
  $H19 * (1 + Assumptions!$C$7) ^ INT(((YEAR(BF$2)-YEAR($F19))*12 + MONTH(BF$2)-MONTH($F19)) / 12),
  0)</f>
        <v/>
      </c>
      <c r="BG19" s="299">
        <f>IF(AND($F19&lt;=BG$2, OR($G19="",$G19&gt;=BG$2)),
  $H19 * (1 + Assumptions!$C$7) ^ INT(((YEAR(BG$2)-YEAR($F19))*12 + MONTH(BG$2)-MONTH($F19)) / 12),
  0)</f>
        <v/>
      </c>
      <c r="BH19" s="299">
        <f>IF(AND($F19&lt;=BH$2, OR($G19="",$G19&gt;=BH$2)),
  $H19 * (1 + Assumptions!$C$7) ^ INT(((YEAR(BH$2)-YEAR($F19))*12 + MONTH(BH$2)-MONTH($F19)) / 12),
  0)</f>
        <v/>
      </c>
      <c r="BI19" s="299">
        <f>IF(AND($F19&lt;=BI$2, OR($G19="",$G19&gt;=BI$2)),
  $H19 * (1 + Assumptions!$C$7) ^ INT(((YEAR(BI$2)-YEAR($F19))*12 + MONTH(BI$2)-MONTH($F19)) / 12),
  0)</f>
        <v/>
      </c>
      <c r="BJ19" s="299">
        <f>IF(AND($F19&lt;=BJ$2, OR($G19="",$G19&gt;=BJ$2)),
  $H19 * (1 + Assumptions!$C$7) ^ INT(((YEAR(BJ$2)-YEAR($F19))*12 + MONTH(BJ$2)-MONTH($F19)) / 12),
  0)</f>
        <v/>
      </c>
      <c r="BK19" s="299">
        <f>IF(AND($F19&lt;=BK$2, OR($G19="",$G19&gt;=BK$2)),
  $H19 * (1 + Assumptions!$C$7) ^ INT(((YEAR(BK$2)-YEAR($F19))*12 + MONTH(BK$2)-MONTH($F19)) / 12),
  0)</f>
        <v/>
      </c>
      <c r="BL19" s="299">
        <f>IF(AND($F19&lt;=BL$2, OR($G19="",$G19&gt;=BL$2)),
  $H19 * (1 + Assumptions!$C$7) ^ INT(((YEAR(BL$2)-YEAR($F19))*12 + MONTH(BL$2)-MONTH($F19)) / 12),
  0)</f>
        <v/>
      </c>
      <c r="BM19" s="299">
        <f>IF(AND($F19&lt;=BM$2, OR($G19="",$G19&gt;=BM$2)),
  $H19 * (1 + Assumptions!$C$7) ^ INT(((YEAR(BM$2)-YEAR($F19))*12 + MONTH(BM$2)-MONTH($F19)) / 12),
  0)</f>
        <v/>
      </c>
      <c r="BN19" s="299">
        <f>IF(AND($F19&lt;=BN$2, OR($G19="",$G19&gt;=BN$2)),
  $H19 * (1 + Assumptions!$C$7) ^ INT(((YEAR(BN$2)-YEAR($F19))*12 + MONTH(BN$2)-MONTH($F19)) / 12),
  0)</f>
        <v/>
      </c>
      <c r="BO19" s="299">
        <f>IF(AND($F19&lt;=BO$2, OR($G19="",$G19&gt;=BO$2)),
  $H19 * (1 + Assumptions!$C$7) ^ INT(((YEAR(BO$2)-YEAR($F19))*12 + MONTH(BO$2)-MONTH($F19)) / 12),
  0)</f>
        <v/>
      </c>
      <c r="BP19" s="299">
        <f>IF(AND($F19&lt;=BP$2, OR($G19="",$G19&gt;=BP$2)),
  $H19 * (1 + Assumptions!$C$7) ^ INT(((YEAR(BP$2)-YEAR($F19))*12 + MONTH(BP$2)-MONTH($F19)) / 12),
  0)</f>
        <v/>
      </c>
      <c r="BQ19" s="31" t="n"/>
      <c r="BR19" s="350" t="inlineStr">
        <is>
          <t>paid this month if started and not yet left; +8% on each work anniversary</t>
        </is>
      </c>
      <c r="BS19" s="31" t="n"/>
      <c r="BT19" s="31" t="n"/>
    </row>
    <row r="20">
      <c r="A20" s="321" t="n">
        <v>15</v>
      </c>
      <c r="B20" s="285" t="inlineStr">
        <is>
          <t>New hire</t>
        </is>
      </c>
      <c r="C20" s="317" t="inlineStr">
        <is>
          <t>G&amp;A</t>
        </is>
      </c>
      <c r="D20" s="317" t="inlineStr">
        <is>
          <t>CFO</t>
        </is>
      </c>
      <c r="E20" s="297" t="inlineStr">
        <is>
          <t>Planned</t>
        </is>
      </c>
      <c r="F20" s="318" t="n">
        <v>46327</v>
      </c>
      <c r="G20" s="318" t="n"/>
      <c r="H20" s="288" t="n">
        <v>9500</v>
      </c>
      <c r="I20" s="299">
        <f>IF(AND($F20&lt;=I$2, OR($G20="",$G20&gt;=I$2)),
  $H20 * (1 + Assumptions!$C$7) ^ INT(((YEAR(I$2)-YEAR($F20))*12 + MONTH(I$2)-MONTH($F20)) / 12),
  0)</f>
        <v/>
      </c>
      <c r="J20" s="299">
        <f>IF(AND($F20&lt;=J$2, OR($G20="",$G20&gt;=J$2)),
  $H20 * (1 + Assumptions!$C$7) ^ INT(((YEAR(J$2)-YEAR($F20))*12 + MONTH(J$2)-MONTH($F20)) / 12),
  0)</f>
        <v/>
      </c>
      <c r="K20" s="299">
        <f>IF(AND($F20&lt;=K$2, OR($G20="",$G20&gt;=K$2)),
  $H20 * (1 + Assumptions!$C$7) ^ INT(((YEAR(K$2)-YEAR($F20))*12 + MONTH(K$2)-MONTH($F20)) / 12),
  0)</f>
        <v/>
      </c>
      <c r="L20" s="299">
        <f>IF(AND($F20&lt;=L$2, OR($G20="",$G20&gt;=L$2)),
  $H20 * (1 + Assumptions!$C$7) ^ INT(((YEAR(L$2)-YEAR($F20))*12 + MONTH(L$2)-MONTH($F20)) / 12),
  0)</f>
        <v/>
      </c>
      <c r="M20" s="299">
        <f>IF(AND($F20&lt;=M$2, OR($G20="",$G20&gt;=M$2)),
  $H20 * (1 + Assumptions!$C$7) ^ INT(((YEAR(M$2)-YEAR($F20))*12 + MONTH(M$2)-MONTH($F20)) / 12),
  0)</f>
        <v/>
      </c>
      <c r="N20" s="299">
        <f>IF(AND($F20&lt;=N$2, OR($G20="",$G20&gt;=N$2)),
  $H20 * (1 + Assumptions!$C$7) ^ INT(((YEAR(N$2)-YEAR($F20))*12 + MONTH(N$2)-MONTH($F20)) / 12),
  0)</f>
        <v/>
      </c>
      <c r="O20" s="299">
        <f>IF(AND($F20&lt;=O$2, OR($G20="",$G20&gt;=O$2)),
  $H20 * (1 + Assumptions!$C$7) ^ INT(((YEAR(O$2)-YEAR($F20))*12 + MONTH(O$2)-MONTH($F20)) / 12),
  0)</f>
        <v/>
      </c>
      <c r="P20" s="299">
        <f>IF(AND($F20&lt;=P$2, OR($G20="",$G20&gt;=P$2)),
  $H20 * (1 + Assumptions!$C$7) ^ INT(((YEAR(P$2)-YEAR($F20))*12 + MONTH(P$2)-MONTH($F20)) / 12),
  0)</f>
        <v/>
      </c>
      <c r="Q20" s="299">
        <f>IF(AND($F20&lt;=Q$2, OR($G20="",$G20&gt;=Q$2)),
  $H20 * (1 + Assumptions!$C$7) ^ INT(((YEAR(Q$2)-YEAR($F20))*12 + MONTH(Q$2)-MONTH($F20)) / 12),
  0)</f>
        <v/>
      </c>
      <c r="R20" s="299">
        <f>IF(AND($F20&lt;=R$2, OR($G20="",$G20&gt;=R$2)),
  $H20 * (1 + Assumptions!$C$7) ^ INT(((YEAR(R$2)-YEAR($F20))*12 + MONTH(R$2)-MONTH($F20)) / 12),
  0)</f>
        <v/>
      </c>
      <c r="S20" s="299">
        <f>IF(AND($F20&lt;=S$2, OR($G20="",$G20&gt;=S$2)),
  $H20 * (1 + Assumptions!$C$7) ^ INT(((YEAR(S$2)-YEAR($F20))*12 + MONTH(S$2)-MONTH($F20)) / 12),
  0)</f>
        <v/>
      </c>
      <c r="T20" s="299">
        <f>IF(AND($F20&lt;=T$2, OR($G20="",$G20&gt;=T$2)),
  $H20 * (1 + Assumptions!$C$7) ^ INT(((YEAR(T$2)-YEAR($F20))*12 + MONTH(T$2)-MONTH($F20)) / 12),
  0)</f>
        <v/>
      </c>
      <c r="U20" s="299">
        <f>IF(AND($F20&lt;=U$2, OR($G20="",$G20&gt;=U$2)),
  $H20 * (1 + Assumptions!$C$7) ^ INT(((YEAR(U$2)-YEAR($F20))*12 + MONTH(U$2)-MONTH($F20)) / 12),
  0)</f>
        <v/>
      </c>
      <c r="V20" s="299">
        <f>IF(AND($F20&lt;=V$2, OR($G20="",$G20&gt;=V$2)),
  $H20 * (1 + Assumptions!$C$7) ^ INT(((YEAR(V$2)-YEAR($F20))*12 + MONTH(V$2)-MONTH($F20)) / 12),
  0)</f>
        <v/>
      </c>
      <c r="W20" s="299">
        <f>IF(AND($F20&lt;=W$2, OR($G20="",$G20&gt;=W$2)),
  $H20 * (1 + Assumptions!$C$7) ^ INT(((YEAR(W$2)-YEAR($F20))*12 + MONTH(W$2)-MONTH($F20)) / 12),
  0)</f>
        <v/>
      </c>
      <c r="X20" s="299">
        <f>IF(AND($F20&lt;=X$2, OR($G20="",$G20&gt;=X$2)),
  $H20 * (1 + Assumptions!$C$7) ^ INT(((YEAR(X$2)-YEAR($F20))*12 + MONTH(X$2)-MONTH($F20)) / 12),
  0)</f>
        <v/>
      </c>
      <c r="Y20" s="299">
        <f>IF(AND($F20&lt;=Y$2, OR($G20="",$G20&gt;=Y$2)),
  $H20 * (1 + Assumptions!$C$7) ^ INT(((YEAR(Y$2)-YEAR($F20))*12 + MONTH(Y$2)-MONTH($F20)) / 12),
  0)</f>
        <v/>
      </c>
      <c r="Z20" s="299">
        <f>IF(AND($F20&lt;=Z$2, OR($G20="",$G20&gt;=Z$2)),
  $H20 * (1 + Assumptions!$C$7) ^ INT(((YEAR(Z$2)-YEAR($F20))*12 + MONTH(Z$2)-MONTH($F20)) / 12),
  0)</f>
        <v/>
      </c>
      <c r="AA20" s="299">
        <f>IF(AND($F20&lt;=AA$2, OR($G20="",$G20&gt;=AA$2)),
  $H20 * (1 + Assumptions!$C$7) ^ INT(((YEAR(AA$2)-YEAR($F20))*12 + MONTH(AA$2)-MONTH($F20)) / 12),
  0)</f>
        <v/>
      </c>
      <c r="AB20" s="299">
        <f>IF(AND($F20&lt;=AB$2, OR($G20="",$G20&gt;=AB$2)),
  $H20 * (1 + Assumptions!$C$7) ^ INT(((YEAR(AB$2)-YEAR($F20))*12 + MONTH(AB$2)-MONTH($F20)) / 12),
  0)</f>
        <v/>
      </c>
      <c r="AC20" s="299">
        <f>IF(AND($F20&lt;=AC$2, OR($G20="",$G20&gt;=AC$2)),
  $H20 * (1 + Assumptions!$C$7) ^ INT(((YEAR(AC$2)-YEAR($F20))*12 + MONTH(AC$2)-MONTH($F20)) / 12),
  0)</f>
        <v/>
      </c>
      <c r="AD20" s="299">
        <f>IF(AND($F20&lt;=AD$2, OR($G20="",$G20&gt;=AD$2)),
  $H20 * (1 + Assumptions!$C$7) ^ INT(((YEAR(AD$2)-YEAR($F20))*12 + MONTH(AD$2)-MONTH($F20)) / 12),
  0)</f>
        <v/>
      </c>
      <c r="AE20" s="299">
        <f>IF(AND($F20&lt;=AE$2, OR($G20="",$G20&gt;=AE$2)),
  $H20 * (1 + Assumptions!$C$7) ^ INT(((YEAR(AE$2)-YEAR($F20))*12 + MONTH(AE$2)-MONTH($F20)) / 12),
  0)</f>
        <v/>
      </c>
      <c r="AF20" s="299">
        <f>IF(AND($F20&lt;=AF$2, OR($G20="",$G20&gt;=AF$2)),
  $H20 * (1 + Assumptions!$C$7) ^ INT(((YEAR(AF$2)-YEAR($F20))*12 + MONTH(AF$2)-MONTH($F20)) / 12),
  0)</f>
        <v/>
      </c>
      <c r="AG20" s="299">
        <f>IF(AND($F20&lt;=AG$2, OR($G20="",$G20&gt;=AG$2)),
  $H20 * (1 + Assumptions!$C$7) ^ INT(((YEAR(AG$2)-YEAR($F20))*12 + MONTH(AG$2)-MONTH($F20)) / 12),
  0)</f>
        <v/>
      </c>
      <c r="AH20" s="299">
        <f>IF(AND($F20&lt;=AH$2, OR($G20="",$G20&gt;=AH$2)),
  $H20 * (1 + Assumptions!$C$7) ^ INT(((YEAR(AH$2)-YEAR($F20))*12 + MONTH(AH$2)-MONTH($F20)) / 12),
  0)</f>
        <v/>
      </c>
      <c r="AI20" s="299">
        <f>IF(AND($F20&lt;=AI$2, OR($G20="",$G20&gt;=AI$2)),
  $H20 * (1 + Assumptions!$C$7) ^ INT(((YEAR(AI$2)-YEAR($F20))*12 + MONTH(AI$2)-MONTH($F20)) / 12),
  0)</f>
        <v/>
      </c>
      <c r="AJ20" s="299">
        <f>IF(AND($F20&lt;=AJ$2, OR($G20="",$G20&gt;=AJ$2)),
  $H20 * (1 + Assumptions!$C$7) ^ INT(((YEAR(AJ$2)-YEAR($F20))*12 + MONTH(AJ$2)-MONTH($F20)) / 12),
  0)</f>
        <v/>
      </c>
      <c r="AK20" s="299">
        <f>IF(AND($F20&lt;=AK$2, OR($G20="",$G20&gt;=AK$2)),
  $H20 * (1 + Assumptions!$C$7) ^ INT(((YEAR(AK$2)-YEAR($F20))*12 + MONTH(AK$2)-MONTH($F20)) / 12),
  0)</f>
        <v/>
      </c>
      <c r="AL20" s="299">
        <f>IF(AND($F20&lt;=AL$2, OR($G20="",$G20&gt;=AL$2)),
  $H20 * (1 + Assumptions!$C$7) ^ INT(((YEAR(AL$2)-YEAR($F20))*12 + MONTH(AL$2)-MONTH($F20)) / 12),
  0)</f>
        <v/>
      </c>
      <c r="AM20" s="299">
        <f>IF(AND($F20&lt;=AM$2, OR($G20="",$G20&gt;=AM$2)),
  $H20 * (1 + Assumptions!$C$7) ^ INT(((YEAR(AM$2)-YEAR($F20))*12 + MONTH(AM$2)-MONTH($F20)) / 12),
  0)</f>
        <v/>
      </c>
      <c r="AN20" s="299">
        <f>IF(AND($F20&lt;=AN$2, OR($G20="",$G20&gt;=AN$2)),
  $H20 * (1 + Assumptions!$C$7) ^ INT(((YEAR(AN$2)-YEAR($F20))*12 + MONTH(AN$2)-MONTH($F20)) / 12),
  0)</f>
        <v/>
      </c>
      <c r="AO20" s="299">
        <f>IF(AND($F20&lt;=AO$2, OR($G20="",$G20&gt;=AO$2)),
  $H20 * (1 + Assumptions!$C$7) ^ INT(((YEAR(AO$2)-YEAR($F20))*12 + MONTH(AO$2)-MONTH($F20)) / 12),
  0)</f>
        <v/>
      </c>
      <c r="AP20" s="299">
        <f>IF(AND($F20&lt;=AP$2, OR($G20="",$G20&gt;=AP$2)),
  $H20 * (1 + Assumptions!$C$7) ^ INT(((YEAR(AP$2)-YEAR($F20))*12 + MONTH(AP$2)-MONTH($F20)) / 12),
  0)</f>
        <v/>
      </c>
      <c r="AQ20" s="299">
        <f>IF(AND($F20&lt;=AQ$2, OR($G20="",$G20&gt;=AQ$2)),
  $H20 * (1 + Assumptions!$C$7) ^ INT(((YEAR(AQ$2)-YEAR($F20))*12 + MONTH(AQ$2)-MONTH($F20)) / 12),
  0)</f>
        <v/>
      </c>
      <c r="AR20" s="299">
        <f>IF(AND($F20&lt;=AR$2, OR($G20="",$G20&gt;=AR$2)),
  $H20 * (1 + Assumptions!$C$7) ^ INT(((YEAR(AR$2)-YEAR($F20))*12 + MONTH(AR$2)-MONTH($F20)) / 12),
  0)</f>
        <v/>
      </c>
      <c r="AS20" s="299">
        <f>IF(AND($F20&lt;=AS$2, OR($G20="",$G20&gt;=AS$2)),
  $H20 * (1 + Assumptions!$C$7) ^ INT(((YEAR(AS$2)-YEAR($F20))*12 + MONTH(AS$2)-MONTH($F20)) / 12),
  0)</f>
        <v/>
      </c>
      <c r="AT20" s="299">
        <f>IF(AND($F20&lt;=AT$2, OR($G20="",$G20&gt;=AT$2)),
  $H20 * (1 + Assumptions!$C$7) ^ INT(((YEAR(AT$2)-YEAR($F20))*12 + MONTH(AT$2)-MONTH($F20)) / 12),
  0)</f>
        <v/>
      </c>
      <c r="AU20" s="299">
        <f>IF(AND($F20&lt;=AU$2, OR($G20="",$G20&gt;=AU$2)),
  $H20 * (1 + Assumptions!$C$7) ^ INT(((YEAR(AU$2)-YEAR($F20))*12 + MONTH(AU$2)-MONTH($F20)) / 12),
  0)</f>
        <v/>
      </c>
      <c r="AV20" s="299">
        <f>IF(AND($F20&lt;=AV$2, OR($G20="",$G20&gt;=AV$2)),
  $H20 * (1 + Assumptions!$C$7) ^ INT(((YEAR(AV$2)-YEAR($F20))*12 + MONTH(AV$2)-MONTH($F20)) / 12),
  0)</f>
        <v/>
      </c>
      <c r="AW20" s="299">
        <f>IF(AND($F20&lt;=AW$2, OR($G20="",$G20&gt;=AW$2)),
  $H20 * (1 + Assumptions!$C$7) ^ INT(((YEAR(AW$2)-YEAR($F20))*12 + MONTH(AW$2)-MONTH($F20)) / 12),
  0)</f>
        <v/>
      </c>
      <c r="AX20" s="299">
        <f>IF(AND($F20&lt;=AX$2, OR($G20="",$G20&gt;=AX$2)),
  $H20 * (1 + Assumptions!$C$7) ^ INT(((YEAR(AX$2)-YEAR($F20))*12 + MONTH(AX$2)-MONTH($F20)) / 12),
  0)</f>
        <v/>
      </c>
      <c r="AY20" s="299">
        <f>IF(AND($F20&lt;=AY$2, OR($G20="",$G20&gt;=AY$2)),
  $H20 * (1 + Assumptions!$C$7) ^ INT(((YEAR(AY$2)-YEAR($F20))*12 + MONTH(AY$2)-MONTH($F20)) / 12),
  0)</f>
        <v/>
      </c>
      <c r="AZ20" s="299">
        <f>IF(AND($F20&lt;=AZ$2, OR($G20="",$G20&gt;=AZ$2)),
  $H20 * (1 + Assumptions!$C$7) ^ INT(((YEAR(AZ$2)-YEAR($F20))*12 + MONTH(AZ$2)-MONTH($F20)) / 12),
  0)</f>
        <v/>
      </c>
      <c r="BA20" s="299">
        <f>IF(AND($F20&lt;=BA$2, OR($G20="",$G20&gt;=BA$2)),
  $H20 * (1 + Assumptions!$C$7) ^ INT(((YEAR(BA$2)-YEAR($F20))*12 + MONTH(BA$2)-MONTH($F20)) / 12),
  0)</f>
        <v/>
      </c>
      <c r="BB20" s="299">
        <f>IF(AND($F20&lt;=BB$2, OR($G20="",$G20&gt;=BB$2)),
  $H20 * (1 + Assumptions!$C$7) ^ INT(((YEAR(BB$2)-YEAR($F20))*12 + MONTH(BB$2)-MONTH($F20)) / 12),
  0)</f>
        <v/>
      </c>
      <c r="BC20" s="299">
        <f>IF(AND($F20&lt;=BC$2, OR($G20="",$G20&gt;=BC$2)),
  $H20 * (1 + Assumptions!$C$7) ^ INT(((YEAR(BC$2)-YEAR($F20))*12 + MONTH(BC$2)-MONTH($F20)) / 12),
  0)</f>
        <v/>
      </c>
      <c r="BD20" s="299">
        <f>IF(AND($F20&lt;=BD$2, OR($G20="",$G20&gt;=BD$2)),
  $H20 * (1 + Assumptions!$C$7) ^ INT(((YEAR(BD$2)-YEAR($F20))*12 + MONTH(BD$2)-MONTH($F20)) / 12),
  0)</f>
        <v/>
      </c>
      <c r="BE20" s="299">
        <f>IF(AND($F20&lt;=BE$2, OR($G20="",$G20&gt;=BE$2)),
  $H20 * (1 + Assumptions!$C$7) ^ INT(((YEAR(BE$2)-YEAR($F20))*12 + MONTH(BE$2)-MONTH($F20)) / 12),
  0)</f>
        <v/>
      </c>
      <c r="BF20" s="299">
        <f>IF(AND($F20&lt;=BF$2, OR($G20="",$G20&gt;=BF$2)),
  $H20 * (1 + Assumptions!$C$7) ^ INT(((YEAR(BF$2)-YEAR($F20))*12 + MONTH(BF$2)-MONTH($F20)) / 12),
  0)</f>
        <v/>
      </c>
      <c r="BG20" s="299">
        <f>IF(AND($F20&lt;=BG$2, OR($G20="",$G20&gt;=BG$2)),
  $H20 * (1 + Assumptions!$C$7) ^ INT(((YEAR(BG$2)-YEAR($F20))*12 + MONTH(BG$2)-MONTH($F20)) / 12),
  0)</f>
        <v/>
      </c>
      <c r="BH20" s="299">
        <f>IF(AND($F20&lt;=BH$2, OR($G20="",$G20&gt;=BH$2)),
  $H20 * (1 + Assumptions!$C$7) ^ INT(((YEAR(BH$2)-YEAR($F20))*12 + MONTH(BH$2)-MONTH($F20)) / 12),
  0)</f>
        <v/>
      </c>
      <c r="BI20" s="299">
        <f>IF(AND($F20&lt;=BI$2, OR($G20="",$G20&gt;=BI$2)),
  $H20 * (1 + Assumptions!$C$7) ^ INT(((YEAR(BI$2)-YEAR($F20))*12 + MONTH(BI$2)-MONTH($F20)) / 12),
  0)</f>
        <v/>
      </c>
      <c r="BJ20" s="299">
        <f>IF(AND($F20&lt;=BJ$2, OR($G20="",$G20&gt;=BJ$2)),
  $H20 * (1 + Assumptions!$C$7) ^ INT(((YEAR(BJ$2)-YEAR($F20))*12 + MONTH(BJ$2)-MONTH($F20)) / 12),
  0)</f>
        <v/>
      </c>
      <c r="BK20" s="299">
        <f>IF(AND($F20&lt;=BK$2, OR($G20="",$G20&gt;=BK$2)),
  $H20 * (1 + Assumptions!$C$7) ^ INT(((YEAR(BK$2)-YEAR($F20))*12 + MONTH(BK$2)-MONTH($F20)) / 12),
  0)</f>
        <v/>
      </c>
      <c r="BL20" s="299">
        <f>IF(AND($F20&lt;=BL$2, OR($G20="",$G20&gt;=BL$2)),
  $H20 * (1 + Assumptions!$C$7) ^ INT(((YEAR(BL$2)-YEAR($F20))*12 + MONTH(BL$2)-MONTH($F20)) / 12),
  0)</f>
        <v/>
      </c>
      <c r="BM20" s="299">
        <f>IF(AND($F20&lt;=BM$2, OR($G20="",$G20&gt;=BM$2)),
  $H20 * (1 + Assumptions!$C$7) ^ INT(((YEAR(BM$2)-YEAR($F20))*12 + MONTH(BM$2)-MONTH($F20)) / 12),
  0)</f>
        <v/>
      </c>
      <c r="BN20" s="299">
        <f>IF(AND($F20&lt;=BN$2, OR($G20="",$G20&gt;=BN$2)),
  $H20 * (1 + Assumptions!$C$7) ^ INT(((YEAR(BN$2)-YEAR($F20))*12 + MONTH(BN$2)-MONTH($F20)) / 12),
  0)</f>
        <v/>
      </c>
      <c r="BO20" s="299">
        <f>IF(AND($F20&lt;=BO$2, OR($G20="",$G20&gt;=BO$2)),
  $H20 * (1 + Assumptions!$C$7) ^ INT(((YEAR(BO$2)-YEAR($F20))*12 + MONTH(BO$2)-MONTH($F20)) / 12),
  0)</f>
        <v/>
      </c>
      <c r="BP20" s="299">
        <f>IF(AND($F20&lt;=BP$2, OR($G20="",$G20&gt;=BP$2)),
  $H20 * (1 + Assumptions!$C$7) ^ INT(((YEAR(BP$2)-YEAR($F20))*12 + MONTH(BP$2)-MONTH($F20)) / 12),
  0)</f>
        <v/>
      </c>
      <c r="BQ20" s="31" t="n"/>
      <c r="BR20" s="350" t="inlineStr">
        <is>
          <t>paid this month if started and not yet left; +8% on each work anniversary</t>
        </is>
      </c>
      <c r="BS20" s="31" t="n"/>
      <c r="BT20" s="31" t="n"/>
    </row>
    <row r="21" ht="15.75" customHeight="1" s="349">
      <c r="A21" s="321" t="n">
        <v>16</v>
      </c>
      <c r="B21" s="285" t="inlineStr">
        <is>
          <t>New hire</t>
        </is>
      </c>
      <c r="C21" s="317" t="inlineStr">
        <is>
          <t>S&amp;M</t>
        </is>
      </c>
      <c r="D21" s="317" t="inlineStr">
        <is>
          <t>Sales</t>
        </is>
      </c>
      <c r="E21" s="297" t="inlineStr">
        <is>
          <t>Planned</t>
        </is>
      </c>
      <c r="F21" s="318" t="n">
        <v>46327</v>
      </c>
      <c r="G21" s="318" t="n"/>
      <c r="H21" s="288" t="n">
        <v>6500</v>
      </c>
      <c r="I21" s="299">
        <f>IF(AND($F21&lt;=I$2, OR($G21="",$G21&gt;=I$2)),
  $H21 * (1 + Assumptions!$C$7) ^ INT(((YEAR(I$2)-YEAR($F21))*12 + MONTH(I$2)-MONTH($F21)) / 12),
  0)</f>
        <v/>
      </c>
      <c r="J21" s="299">
        <f>IF(AND($F21&lt;=J$2, OR($G21="",$G21&gt;=J$2)),
  $H21 * (1 + Assumptions!$C$7) ^ INT(((YEAR(J$2)-YEAR($F21))*12 + MONTH(J$2)-MONTH($F21)) / 12),
  0)</f>
        <v/>
      </c>
      <c r="K21" s="299">
        <f>IF(AND($F21&lt;=K$2, OR($G21="",$G21&gt;=K$2)),
  $H21 * (1 + Assumptions!$C$7) ^ INT(((YEAR(K$2)-YEAR($F21))*12 + MONTH(K$2)-MONTH($F21)) / 12),
  0)</f>
        <v/>
      </c>
      <c r="L21" s="299">
        <f>IF(AND($F21&lt;=L$2, OR($G21="",$G21&gt;=L$2)),
  $H21 * (1 + Assumptions!$C$7) ^ INT(((YEAR(L$2)-YEAR($F21))*12 + MONTH(L$2)-MONTH($F21)) / 12),
  0)</f>
        <v/>
      </c>
      <c r="M21" s="299">
        <f>IF(AND($F21&lt;=M$2, OR($G21="",$G21&gt;=M$2)),
  $H21 * (1 + Assumptions!$C$7) ^ INT(((YEAR(M$2)-YEAR($F21))*12 + MONTH(M$2)-MONTH($F21)) / 12),
  0)</f>
        <v/>
      </c>
      <c r="N21" s="299">
        <f>IF(AND($F21&lt;=N$2, OR($G21="",$G21&gt;=N$2)),
  $H21 * (1 + Assumptions!$C$7) ^ INT(((YEAR(N$2)-YEAR($F21))*12 + MONTH(N$2)-MONTH($F21)) / 12),
  0)</f>
        <v/>
      </c>
      <c r="O21" s="299">
        <f>IF(AND($F21&lt;=O$2, OR($G21="",$G21&gt;=O$2)),
  $H21 * (1 + Assumptions!$C$7) ^ INT(((YEAR(O$2)-YEAR($F21))*12 + MONTH(O$2)-MONTH($F21)) / 12),
  0)</f>
        <v/>
      </c>
      <c r="P21" s="299">
        <f>IF(AND($F21&lt;=P$2, OR($G21="",$G21&gt;=P$2)),
  $H21 * (1 + Assumptions!$C$7) ^ INT(((YEAR(P$2)-YEAR($F21))*12 + MONTH(P$2)-MONTH($F21)) / 12),
  0)</f>
        <v/>
      </c>
      <c r="Q21" s="299">
        <f>IF(AND($F21&lt;=Q$2, OR($G21="",$G21&gt;=Q$2)),
  $H21 * (1 + Assumptions!$C$7) ^ INT(((YEAR(Q$2)-YEAR($F21))*12 + MONTH(Q$2)-MONTH($F21)) / 12),
  0)</f>
        <v/>
      </c>
      <c r="R21" s="299">
        <f>IF(AND($F21&lt;=R$2, OR($G21="",$G21&gt;=R$2)),
  $H21 * (1 + Assumptions!$C$7) ^ INT(((YEAR(R$2)-YEAR($F21))*12 + MONTH(R$2)-MONTH($F21)) / 12),
  0)</f>
        <v/>
      </c>
      <c r="S21" s="299">
        <f>IF(AND($F21&lt;=S$2, OR($G21="",$G21&gt;=S$2)),
  $H21 * (1 + Assumptions!$C$7) ^ INT(((YEAR(S$2)-YEAR($F21))*12 + MONTH(S$2)-MONTH($F21)) / 12),
  0)</f>
        <v/>
      </c>
      <c r="T21" s="299">
        <f>IF(AND($F21&lt;=T$2, OR($G21="",$G21&gt;=T$2)),
  $H21 * (1 + Assumptions!$C$7) ^ INT(((YEAR(T$2)-YEAR($F21))*12 + MONTH(T$2)-MONTH($F21)) / 12),
  0)</f>
        <v/>
      </c>
      <c r="U21" s="299">
        <f>IF(AND($F21&lt;=U$2, OR($G21="",$G21&gt;=U$2)),
  $H21 * (1 + Assumptions!$C$7) ^ INT(((YEAR(U$2)-YEAR($F21))*12 + MONTH(U$2)-MONTH($F21)) / 12),
  0)</f>
        <v/>
      </c>
      <c r="V21" s="299">
        <f>IF(AND($F21&lt;=V$2, OR($G21="",$G21&gt;=V$2)),
  $H21 * (1 + Assumptions!$C$7) ^ INT(((YEAR(V$2)-YEAR($F21))*12 + MONTH(V$2)-MONTH($F21)) / 12),
  0)</f>
        <v/>
      </c>
      <c r="W21" s="299">
        <f>IF(AND($F21&lt;=W$2, OR($G21="",$G21&gt;=W$2)),
  $H21 * (1 + Assumptions!$C$7) ^ INT(((YEAR(W$2)-YEAR($F21))*12 + MONTH(W$2)-MONTH($F21)) / 12),
  0)</f>
        <v/>
      </c>
      <c r="X21" s="299">
        <f>IF(AND($F21&lt;=X$2, OR($G21="",$G21&gt;=X$2)),
  $H21 * (1 + Assumptions!$C$7) ^ INT(((YEAR(X$2)-YEAR($F21))*12 + MONTH(X$2)-MONTH($F21)) / 12),
  0)</f>
        <v/>
      </c>
      <c r="Y21" s="299">
        <f>IF(AND($F21&lt;=Y$2, OR($G21="",$G21&gt;=Y$2)),
  $H21 * (1 + Assumptions!$C$7) ^ INT(((YEAR(Y$2)-YEAR($F21))*12 + MONTH(Y$2)-MONTH($F21)) / 12),
  0)</f>
        <v/>
      </c>
      <c r="Z21" s="299">
        <f>IF(AND($F21&lt;=Z$2, OR($G21="",$G21&gt;=Z$2)),
  $H21 * (1 + Assumptions!$C$7) ^ INT(((YEAR(Z$2)-YEAR($F21))*12 + MONTH(Z$2)-MONTH($F21)) / 12),
  0)</f>
        <v/>
      </c>
      <c r="AA21" s="299">
        <f>IF(AND($F21&lt;=AA$2, OR($G21="",$G21&gt;=AA$2)),
  $H21 * (1 + Assumptions!$C$7) ^ INT(((YEAR(AA$2)-YEAR($F21))*12 + MONTH(AA$2)-MONTH($F21)) / 12),
  0)</f>
        <v/>
      </c>
      <c r="AB21" s="299">
        <f>IF(AND($F21&lt;=AB$2, OR($G21="",$G21&gt;=AB$2)),
  $H21 * (1 + Assumptions!$C$7) ^ INT(((YEAR(AB$2)-YEAR($F21))*12 + MONTH(AB$2)-MONTH($F21)) / 12),
  0)</f>
        <v/>
      </c>
      <c r="AC21" s="299">
        <f>IF(AND($F21&lt;=AC$2, OR($G21="",$G21&gt;=AC$2)),
  $H21 * (1 + Assumptions!$C$7) ^ INT(((YEAR(AC$2)-YEAR($F21))*12 + MONTH(AC$2)-MONTH($F21)) / 12),
  0)</f>
        <v/>
      </c>
      <c r="AD21" s="299">
        <f>IF(AND($F21&lt;=AD$2, OR($G21="",$G21&gt;=AD$2)),
  $H21 * (1 + Assumptions!$C$7) ^ INT(((YEAR(AD$2)-YEAR($F21))*12 + MONTH(AD$2)-MONTH($F21)) / 12),
  0)</f>
        <v/>
      </c>
      <c r="AE21" s="299">
        <f>IF(AND($F21&lt;=AE$2, OR($G21="",$G21&gt;=AE$2)),
  $H21 * (1 + Assumptions!$C$7) ^ INT(((YEAR(AE$2)-YEAR($F21))*12 + MONTH(AE$2)-MONTH($F21)) / 12),
  0)</f>
        <v/>
      </c>
      <c r="AF21" s="299">
        <f>IF(AND($F21&lt;=AF$2, OR($G21="",$G21&gt;=AF$2)),
  $H21 * (1 + Assumptions!$C$7) ^ INT(((YEAR(AF$2)-YEAR($F21))*12 + MONTH(AF$2)-MONTH($F21)) / 12),
  0)</f>
        <v/>
      </c>
      <c r="AG21" s="299">
        <f>IF(AND($F21&lt;=AG$2, OR($G21="",$G21&gt;=AG$2)),
  $H21 * (1 + Assumptions!$C$7) ^ INT(((YEAR(AG$2)-YEAR($F21))*12 + MONTH(AG$2)-MONTH($F21)) / 12),
  0)</f>
        <v/>
      </c>
      <c r="AH21" s="299">
        <f>IF(AND($F21&lt;=AH$2, OR($G21="",$G21&gt;=AH$2)),
  $H21 * (1 + Assumptions!$C$7) ^ INT(((YEAR(AH$2)-YEAR($F21))*12 + MONTH(AH$2)-MONTH($F21)) / 12),
  0)</f>
        <v/>
      </c>
      <c r="AI21" s="299">
        <f>IF(AND($F21&lt;=AI$2, OR($G21="",$G21&gt;=AI$2)),
  $H21 * (1 + Assumptions!$C$7) ^ INT(((YEAR(AI$2)-YEAR($F21))*12 + MONTH(AI$2)-MONTH($F21)) / 12),
  0)</f>
        <v/>
      </c>
      <c r="AJ21" s="299">
        <f>IF(AND($F21&lt;=AJ$2, OR($G21="",$G21&gt;=AJ$2)),
  $H21 * (1 + Assumptions!$C$7) ^ INT(((YEAR(AJ$2)-YEAR($F21))*12 + MONTH(AJ$2)-MONTH($F21)) / 12),
  0)</f>
        <v/>
      </c>
      <c r="AK21" s="299">
        <f>IF(AND($F21&lt;=AK$2, OR($G21="",$G21&gt;=AK$2)),
  $H21 * (1 + Assumptions!$C$7) ^ INT(((YEAR(AK$2)-YEAR($F21))*12 + MONTH(AK$2)-MONTH($F21)) / 12),
  0)</f>
        <v/>
      </c>
      <c r="AL21" s="299">
        <f>IF(AND($F21&lt;=AL$2, OR($G21="",$G21&gt;=AL$2)),
  $H21 * (1 + Assumptions!$C$7) ^ INT(((YEAR(AL$2)-YEAR($F21))*12 + MONTH(AL$2)-MONTH($F21)) / 12),
  0)</f>
        <v/>
      </c>
      <c r="AM21" s="299">
        <f>IF(AND($F21&lt;=AM$2, OR($G21="",$G21&gt;=AM$2)),
  $H21 * (1 + Assumptions!$C$7) ^ INT(((YEAR(AM$2)-YEAR($F21))*12 + MONTH(AM$2)-MONTH($F21)) / 12),
  0)</f>
        <v/>
      </c>
      <c r="AN21" s="299">
        <f>IF(AND($F21&lt;=AN$2, OR($G21="",$G21&gt;=AN$2)),
  $H21 * (1 + Assumptions!$C$7) ^ INT(((YEAR(AN$2)-YEAR($F21))*12 + MONTH(AN$2)-MONTH($F21)) / 12),
  0)</f>
        <v/>
      </c>
      <c r="AO21" s="299">
        <f>IF(AND($F21&lt;=AO$2, OR($G21="",$G21&gt;=AO$2)),
  $H21 * (1 + Assumptions!$C$7) ^ INT(((YEAR(AO$2)-YEAR($F21))*12 + MONTH(AO$2)-MONTH($F21)) / 12),
  0)</f>
        <v/>
      </c>
      <c r="AP21" s="299">
        <f>IF(AND($F21&lt;=AP$2, OR($G21="",$G21&gt;=AP$2)),
  $H21 * (1 + Assumptions!$C$7) ^ INT(((YEAR(AP$2)-YEAR($F21))*12 + MONTH(AP$2)-MONTH($F21)) / 12),
  0)</f>
        <v/>
      </c>
      <c r="AQ21" s="299">
        <f>IF(AND($F21&lt;=AQ$2, OR($G21="",$G21&gt;=AQ$2)),
  $H21 * (1 + Assumptions!$C$7) ^ INT(((YEAR(AQ$2)-YEAR($F21))*12 + MONTH(AQ$2)-MONTH($F21)) / 12),
  0)</f>
        <v/>
      </c>
      <c r="AR21" s="299">
        <f>IF(AND($F21&lt;=AR$2, OR($G21="",$G21&gt;=AR$2)),
  $H21 * (1 + Assumptions!$C$7) ^ INT(((YEAR(AR$2)-YEAR($F21))*12 + MONTH(AR$2)-MONTH($F21)) / 12),
  0)</f>
        <v/>
      </c>
      <c r="AS21" s="299">
        <f>IF(AND($F21&lt;=AS$2, OR($G21="",$G21&gt;=AS$2)),
  $H21 * (1 + Assumptions!$C$7) ^ INT(((YEAR(AS$2)-YEAR($F21))*12 + MONTH(AS$2)-MONTH($F21)) / 12),
  0)</f>
        <v/>
      </c>
      <c r="AT21" s="299">
        <f>IF(AND($F21&lt;=AT$2, OR($G21="",$G21&gt;=AT$2)),
  $H21 * (1 + Assumptions!$C$7) ^ INT(((YEAR(AT$2)-YEAR($F21))*12 + MONTH(AT$2)-MONTH($F21)) / 12),
  0)</f>
        <v/>
      </c>
      <c r="AU21" s="299">
        <f>IF(AND($F21&lt;=AU$2, OR($G21="",$G21&gt;=AU$2)),
  $H21 * (1 + Assumptions!$C$7) ^ INT(((YEAR(AU$2)-YEAR($F21))*12 + MONTH(AU$2)-MONTH($F21)) / 12),
  0)</f>
        <v/>
      </c>
      <c r="AV21" s="299">
        <f>IF(AND($F21&lt;=AV$2, OR($G21="",$G21&gt;=AV$2)),
  $H21 * (1 + Assumptions!$C$7) ^ INT(((YEAR(AV$2)-YEAR($F21))*12 + MONTH(AV$2)-MONTH($F21)) / 12),
  0)</f>
        <v/>
      </c>
      <c r="AW21" s="299">
        <f>IF(AND($F21&lt;=AW$2, OR($G21="",$G21&gt;=AW$2)),
  $H21 * (1 + Assumptions!$C$7) ^ INT(((YEAR(AW$2)-YEAR($F21))*12 + MONTH(AW$2)-MONTH($F21)) / 12),
  0)</f>
        <v/>
      </c>
      <c r="AX21" s="299">
        <f>IF(AND($F21&lt;=AX$2, OR($G21="",$G21&gt;=AX$2)),
  $H21 * (1 + Assumptions!$C$7) ^ INT(((YEAR(AX$2)-YEAR($F21))*12 + MONTH(AX$2)-MONTH($F21)) / 12),
  0)</f>
        <v/>
      </c>
      <c r="AY21" s="299">
        <f>IF(AND($F21&lt;=AY$2, OR($G21="",$G21&gt;=AY$2)),
  $H21 * (1 + Assumptions!$C$7) ^ INT(((YEAR(AY$2)-YEAR($F21))*12 + MONTH(AY$2)-MONTH($F21)) / 12),
  0)</f>
        <v/>
      </c>
      <c r="AZ21" s="299">
        <f>IF(AND($F21&lt;=AZ$2, OR($G21="",$G21&gt;=AZ$2)),
  $H21 * (1 + Assumptions!$C$7) ^ INT(((YEAR(AZ$2)-YEAR($F21))*12 + MONTH(AZ$2)-MONTH($F21)) / 12),
  0)</f>
        <v/>
      </c>
      <c r="BA21" s="299">
        <f>IF(AND($F21&lt;=BA$2, OR($G21="",$G21&gt;=BA$2)),
  $H21 * (1 + Assumptions!$C$7) ^ INT(((YEAR(BA$2)-YEAR($F21))*12 + MONTH(BA$2)-MONTH($F21)) / 12),
  0)</f>
        <v/>
      </c>
      <c r="BB21" s="299">
        <f>IF(AND($F21&lt;=BB$2, OR($G21="",$G21&gt;=BB$2)),
  $H21 * (1 + Assumptions!$C$7) ^ INT(((YEAR(BB$2)-YEAR($F21))*12 + MONTH(BB$2)-MONTH($F21)) / 12),
  0)</f>
        <v/>
      </c>
      <c r="BC21" s="299">
        <f>IF(AND($F21&lt;=BC$2, OR($G21="",$G21&gt;=BC$2)),
  $H21 * (1 + Assumptions!$C$7) ^ INT(((YEAR(BC$2)-YEAR($F21))*12 + MONTH(BC$2)-MONTH($F21)) / 12),
  0)</f>
        <v/>
      </c>
      <c r="BD21" s="299">
        <f>IF(AND($F21&lt;=BD$2, OR($G21="",$G21&gt;=BD$2)),
  $H21 * (1 + Assumptions!$C$7) ^ INT(((YEAR(BD$2)-YEAR($F21))*12 + MONTH(BD$2)-MONTH($F21)) / 12),
  0)</f>
        <v/>
      </c>
      <c r="BE21" s="299">
        <f>IF(AND($F21&lt;=BE$2, OR($G21="",$G21&gt;=BE$2)),
  $H21 * (1 + Assumptions!$C$7) ^ INT(((YEAR(BE$2)-YEAR($F21))*12 + MONTH(BE$2)-MONTH($F21)) / 12),
  0)</f>
        <v/>
      </c>
      <c r="BF21" s="299">
        <f>IF(AND($F21&lt;=BF$2, OR($G21="",$G21&gt;=BF$2)),
  $H21 * (1 + Assumptions!$C$7) ^ INT(((YEAR(BF$2)-YEAR($F21))*12 + MONTH(BF$2)-MONTH($F21)) / 12),
  0)</f>
        <v/>
      </c>
      <c r="BG21" s="299">
        <f>IF(AND($F21&lt;=BG$2, OR($G21="",$G21&gt;=BG$2)),
  $H21 * (1 + Assumptions!$C$7) ^ INT(((YEAR(BG$2)-YEAR($F21))*12 + MONTH(BG$2)-MONTH($F21)) / 12),
  0)</f>
        <v/>
      </c>
      <c r="BH21" s="299">
        <f>IF(AND($F21&lt;=BH$2, OR($G21="",$G21&gt;=BH$2)),
  $H21 * (1 + Assumptions!$C$7) ^ INT(((YEAR(BH$2)-YEAR($F21))*12 + MONTH(BH$2)-MONTH($F21)) / 12),
  0)</f>
        <v/>
      </c>
      <c r="BI21" s="299">
        <f>IF(AND($F21&lt;=BI$2, OR($G21="",$G21&gt;=BI$2)),
  $H21 * (1 + Assumptions!$C$7) ^ INT(((YEAR(BI$2)-YEAR($F21))*12 + MONTH(BI$2)-MONTH($F21)) / 12),
  0)</f>
        <v/>
      </c>
      <c r="BJ21" s="299">
        <f>IF(AND($F21&lt;=BJ$2, OR($G21="",$G21&gt;=BJ$2)),
  $H21 * (1 + Assumptions!$C$7) ^ INT(((YEAR(BJ$2)-YEAR($F21))*12 + MONTH(BJ$2)-MONTH($F21)) / 12),
  0)</f>
        <v/>
      </c>
      <c r="BK21" s="299">
        <f>IF(AND($F21&lt;=BK$2, OR($G21="",$G21&gt;=BK$2)),
  $H21 * (1 + Assumptions!$C$7) ^ INT(((YEAR(BK$2)-YEAR($F21))*12 + MONTH(BK$2)-MONTH($F21)) / 12),
  0)</f>
        <v/>
      </c>
      <c r="BL21" s="299">
        <f>IF(AND($F21&lt;=BL$2, OR($G21="",$G21&gt;=BL$2)),
  $H21 * (1 + Assumptions!$C$7) ^ INT(((YEAR(BL$2)-YEAR($F21))*12 + MONTH(BL$2)-MONTH($F21)) / 12),
  0)</f>
        <v/>
      </c>
      <c r="BM21" s="299">
        <f>IF(AND($F21&lt;=BM$2, OR($G21="",$G21&gt;=BM$2)),
  $H21 * (1 + Assumptions!$C$7) ^ INT(((YEAR(BM$2)-YEAR($F21))*12 + MONTH(BM$2)-MONTH($F21)) / 12),
  0)</f>
        <v/>
      </c>
      <c r="BN21" s="299">
        <f>IF(AND($F21&lt;=BN$2, OR($G21="",$G21&gt;=BN$2)),
  $H21 * (1 + Assumptions!$C$7) ^ INT(((YEAR(BN$2)-YEAR($F21))*12 + MONTH(BN$2)-MONTH($F21)) / 12),
  0)</f>
        <v/>
      </c>
      <c r="BO21" s="299">
        <f>IF(AND($F21&lt;=BO$2, OR($G21="",$G21&gt;=BO$2)),
  $H21 * (1 + Assumptions!$C$7) ^ INT(((YEAR(BO$2)-YEAR($F21))*12 + MONTH(BO$2)-MONTH($F21)) / 12),
  0)</f>
        <v/>
      </c>
      <c r="BP21" s="299">
        <f>IF(AND($F21&lt;=BP$2, OR($G21="",$G21&gt;=BP$2)),
  $H21 * (1 + Assumptions!$C$7) ^ INT(((YEAR(BP$2)-YEAR($F21))*12 + MONTH(BP$2)-MONTH($F21)) / 12),
  0)</f>
        <v/>
      </c>
      <c r="BQ21" s="31" t="n"/>
      <c r="BR21" s="350" t="inlineStr">
        <is>
          <t>paid this month if started and not yet left; +8% on each work anniversary</t>
        </is>
      </c>
      <c r="BS21" s="31" t="n"/>
      <c r="BT21" s="31" t="n"/>
    </row>
    <row r="22" ht="15.75" customHeight="1" s="349">
      <c r="A22" s="321" t="n">
        <v>17</v>
      </c>
      <c r="B22" s="285" t="inlineStr">
        <is>
          <t>New hire</t>
        </is>
      </c>
      <c r="C22" s="285" t="inlineStr">
        <is>
          <t>R&amp;D</t>
        </is>
      </c>
      <c r="D22" s="122" t="inlineStr">
        <is>
          <t>R&amp;D Engineer</t>
        </is>
      </c>
      <c r="E22" s="297" t="inlineStr">
        <is>
          <t>Planned</t>
        </is>
      </c>
      <c r="F22" s="318" t="n">
        <v>46388</v>
      </c>
      <c r="G22" s="320" t="n"/>
      <c r="H22" s="288" t="n">
        <v>7500</v>
      </c>
      <c r="I22" s="299">
        <f>IF(AND($F22&lt;=I$2, OR($G22="",$G22&gt;=I$2)),
  $H22 * (1 + Assumptions!$C$7) ^ INT(((YEAR(I$2)-YEAR($F22))*12 + MONTH(I$2)-MONTH($F22)) / 12),
  0)</f>
        <v/>
      </c>
      <c r="J22" s="299">
        <f>IF(AND($F22&lt;=J$2, OR($G22="",$G22&gt;=J$2)),
  $H22 * (1 + Assumptions!$C$7) ^ INT(((YEAR(J$2)-YEAR($F22))*12 + MONTH(J$2)-MONTH($F22)) / 12),
  0)</f>
        <v/>
      </c>
      <c r="K22" s="299">
        <f>IF(AND($F22&lt;=K$2, OR($G22="",$G22&gt;=K$2)),
  $H22 * (1 + Assumptions!$C$7) ^ INT(((YEAR(K$2)-YEAR($F22))*12 + MONTH(K$2)-MONTH($F22)) / 12),
  0)</f>
        <v/>
      </c>
      <c r="L22" s="299">
        <f>IF(AND($F22&lt;=L$2, OR($G22="",$G22&gt;=L$2)),
  $H22 * (1 + Assumptions!$C$7) ^ INT(((YEAR(L$2)-YEAR($F22))*12 + MONTH(L$2)-MONTH($F22)) / 12),
  0)</f>
        <v/>
      </c>
      <c r="M22" s="299">
        <f>IF(AND($F22&lt;=M$2, OR($G22="",$G22&gt;=M$2)),
  $H22 * (1 + Assumptions!$C$7) ^ INT(((YEAR(M$2)-YEAR($F22))*12 + MONTH(M$2)-MONTH($F22)) / 12),
  0)</f>
        <v/>
      </c>
      <c r="N22" s="299">
        <f>IF(AND($F22&lt;=N$2, OR($G22="",$G22&gt;=N$2)),
  $H22 * (1 + Assumptions!$C$7) ^ INT(((YEAR(N$2)-YEAR($F22))*12 + MONTH(N$2)-MONTH($F22)) / 12),
  0)</f>
        <v/>
      </c>
      <c r="O22" s="299">
        <f>IF(AND($F22&lt;=O$2, OR($G22="",$G22&gt;=O$2)),
  $H22 * (1 + Assumptions!$C$7) ^ INT(((YEAR(O$2)-YEAR($F22))*12 + MONTH(O$2)-MONTH($F22)) / 12),
  0)</f>
        <v/>
      </c>
      <c r="P22" s="299">
        <f>IF(AND($F22&lt;=P$2, OR($G22="",$G22&gt;=P$2)),
  $H22 * (1 + Assumptions!$C$7) ^ INT(((YEAR(P$2)-YEAR($F22))*12 + MONTH(P$2)-MONTH($F22)) / 12),
  0)</f>
        <v/>
      </c>
      <c r="Q22" s="299">
        <f>IF(AND($F22&lt;=Q$2, OR($G22="",$G22&gt;=Q$2)),
  $H22 * (1 + Assumptions!$C$7) ^ INT(((YEAR(Q$2)-YEAR($F22))*12 + MONTH(Q$2)-MONTH($F22)) / 12),
  0)</f>
        <v/>
      </c>
      <c r="R22" s="299">
        <f>IF(AND($F22&lt;=R$2, OR($G22="",$G22&gt;=R$2)),
  $H22 * (1 + Assumptions!$C$7) ^ INT(((YEAR(R$2)-YEAR($F22))*12 + MONTH(R$2)-MONTH($F22)) / 12),
  0)</f>
        <v/>
      </c>
      <c r="S22" s="299">
        <f>IF(AND($F22&lt;=S$2, OR($G22="",$G22&gt;=S$2)),
  $H22 * (1 + Assumptions!$C$7) ^ INT(((YEAR(S$2)-YEAR($F22))*12 + MONTH(S$2)-MONTH($F22)) / 12),
  0)</f>
        <v/>
      </c>
      <c r="T22" s="299">
        <f>IF(AND($F22&lt;=T$2, OR($G22="",$G22&gt;=T$2)),
  $H22 * (1 + Assumptions!$C$7) ^ INT(((YEAR(T$2)-YEAR($F22))*12 + MONTH(T$2)-MONTH($F22)) / 12),
  0)</f>
        <v/>
      </c>
      <c r="U22" s="299">
        <f>IF(AND($F22&lt;=U$2, OR($G22="",$G22&gt;=U$2)),
  $H22 * (1 + Assumptions!$C$7) ^ INT(((YEAR(U$2)-YEAR($F22))*12 + MONTH(U$2)-MONTH($F22)) / 12),
  0)</f>
        <v/>
      </c>
      <c r="V22" s="299">
        <f>IF(AND($F22&lt;=V$2, OR($G22="",$G22&gt;=V$2)),
  $H22 * (1 + Assumptions!$C$7) ^ INT(((YEAR(V$2)-YEAR($F22))*12 + MONTH(V$2)-MONTH($F22)) / 12),
  0)</f>
        <v/>
      </c>
      <c r="W22" s="299">
        <f>IF(AND($F22&lt;=W$2, OR($G22="",$G22&gt;=W$2)),
  $H22 * (1 + Assumptions!$C$7) ^ INT(((YEAR(W$2)-YEAR($F22))*12 + MONTH(W$2)-MONTH($F22)) / 12),
  0)</f>
        <v/>
      </c>
      <c r="X22" s="299">
        <f>IF(AND($F22&lt;=X$2, OR($G22="",$G22&gt;=X$2)),
  $H22 * (1 + Assumptions!$C$7) ^ INT(((YEAR(X$2)-YEAR($F22))*12 + MONTH(X$2)-MONTH($F22)) / 12),
  0)</f>
        <v/>
      </c>
      <c r="Y22" s="299">
        <f>IF(AND($F22&lt;=Y$2, OR($G22="",$G22&gt;=Y$2)),
  $H22 * (1 + Assumptions!$C$7) ^ INT(((YEAR(Y$2)-YEAR($F22))*12 + MONTH(Y$2)-MONTH($F22)) / 12),
  0)</f>
        <v/>
      </c>
      <c r="Z22" s="299">
        <f>IF(AND($F22&lt;=Z$2, OR($G22="",$G22&gt;=Z$2)),
  $H22 * (1 + Assumptions!$C$7) ^ INT(((YEAR(Z$2)-YEAR($F22))*12 + MONTH(Z$2)-MONTH($F22)) / 12),
  0)</f>
        <v/>
      </c>
      <c r="AA22" s="299">
        <f>IF(AND($F22&lt;=AA$2, OR($G22="",$G22&gt;=AA$2)),
  $H22 * (1 + Assumptions!$C$7) ^ INT(((YEAR(AA$2)-YEAR($F22))*12 + MONTH(AA$2)-MONTH($F22)) / 12),
  0)</f>
        <v/>
      </c>
      <c r="AB22" s="299">
        <f>IF(AND($F22&lt;=AB$2, OR($G22="",$G22&gt;=AB$2)),
  $H22 * (1 + Assumptions!$C$7) ^ INT(((YEAR(AB$2)-YEAR($F22))*12 + MONTH(AB$2)-MONTH($F22)) / 12),
  0)</f>
        <v/>
      </c>
      <c r="AC22" s="299">
        <f>IF(AND($F22&lt;=AC$2, OR($G22="",$G22&gt;=AC$2)),
  $H22 * (1 + Assumptions!$C$7) ^ INT(((YEAR(AC$2)-YEAR($F22))*12 + MONTH(AC$2)-MONTH($F22)) / 12),
  0)</f>
        <v/>
      </c>
      <c r="AD22" s="299">
        <f>IF(AND($F22&lt;=AD$2, OR($G22="",$G22&gt;=AD$2)),
  $H22 * (1 + Assumptions!$C$7) ^ INT(((YEAR(AD$2)-YEAR($F22))*12 + MONTH(AD$2)-MONTH($F22)) / 12),
  0)</f>
        <v/>
      </c>
      <c r="AE22" s="299">
        <f>IF(AND($F22&lt;=AE$2, OR($G22="",$G22&gt;=AE$2)),
  $H22 * (1 + Assumptions!$C$7) ^ INT(((YEAR(AE$2)-YEAR($F22))*12 + MONTH(AE$2)-MONTH($F22)) / 12),
  0)</f>
        <v/>
      </c>
      <c r="AF22" s="299">
        <f>IF(AND($F22&lt;=AF$2, OR($G22="",$G22&gt;=AF$2)),
  $H22 * (1 + Assumptions!$C$7) ^ INT(((YEAR(AF$2)-YEAR($F22))*12 + MONTH(AF$2)-MONTH($F22)) / 12),
  0)</f>
        <v/>
      </c>
      <c r="AG22" s="299">
        <f>IF(AND($F22&lt;=AG$2, OR($G22="",$G22&gt;=AG$2)),
  $H22 * (1 + Assumptions!$C$7) ^ INT(((YEAR(AG$2)-YEAR($F22))*12 + MONTH(AG$2)-MONTH($F22)) / 12),
  0)</f>
        <v/>
      </c>
      <c r="AH22" s="299">
        <f>IF(AND($F22&lt;=AH$2, OR($G22="",$G22&gt;=AH$2)),
  $H22 * (1 + Assumptions!$C$7) ^ INT(((YEAR(AH$2)-YEAR($F22))*12 + MONTH(AH$2)-MONTH($F22)) / 12),
  0)</f>
        <v/>
      </c>
      <c r="AI22" s="299">
        <f>IF(AND($F22&lt;=AI$2, OR($G22="",$G22&gt;=AI$2)),
  $H22 * (1 + Assumptions!$C$7) ^ INT(((YEAR(AI$2)-YEAR($F22))*12 + MONTH(AI$2)-MONTH($F22)) / 12),
  0)</f>
        <v/>
      </c>
      <c r="AJ22" s="299">
        <f>IF(AND($F22&lt;=AJ$2, OR($G22="",$G22&gt;=AJ$2)),
  $H22 * (1 + Assumptions!$C$7) ^ INT(((YEAR(AJ$2)-YEAR($F22))*12 + MONTH(AJ$2)-MONTH($F22)) / 12),
  0)</f>
        <v/>
      </c>
      <c r="AK22" s="299">
        <f>IF(AND($F22&lt;=AK$2, OR($G22="",$G22&gt;=AK$2)),
  $H22 * (1 + Assumptions!$C$7) ^ INT(((YEAR(AK$2)-YEAR($F22))*12 + MONTH(AK$2)-MONTH($F22)) / 12),
  0)</f>
        <v/>
      </c>
      <c r="AL22" s="299">
        <f>IF(AND($F22&lt;=AL$2, OR($G22="",$G22&gt;=AL$2)),
  $H22 * (1 + Assumptions!$C$7) ^ INT(((YEAR(AL$2)-YEAR($F22))*12 + MONTH(AL$2)-MONTH($F22)) / 12),
  0)</f>
        <v/>
      </c>
      <c r="AM22" s="299">
        <f>IF(AND($F22&lt;=AM$2, OR($G22="",$G22&gt;=AM$2)),
  $H22 * (1 + Assumptions!$C$7) ^ INT(((YEAR(AM$2)-YEAR($F22))*12 + MONTH(AM$2)-MONTH($F22)) / 12),
  0)</f>
        <v/>
      </c>
      <c r="AN22" s="299">
        <f>IF(AND($F22&lt;=AN$2, OR($G22="",$G22&gt;=AN$2)),
  $H22 * (1 + Assumptions!$C$7) ^ INT(((YEAR(AN$2)-YEAR($F22))*12 + MONTH(AN$2)-MONTH($F22)) / 12),
  0)</f>
        <v/>
      </c>
      <c r="AO22" s="299">
        <f>IF(AND($F22&lt;=AO$2, OR($G22="",$G22&gt;=AO$2)),
  $H22 * (1 + Assumptions!$C$7) ^ INT(((YEAR(AO$2)-YEAR($F22))*12 + MONTH(AO$2)-MONTH($F22)) / 12),
  0)</f>
        <v/>
      </c>
      <c r="AP22" s="299">
        <f>IF(AND($F22&lt;=AP$2, OR($G22="",$G22&gt;=AP$2)),
  $H22 * (1 + Assumptions!$C$7) ^ INT(((YEAR(AP$2)-YEAR($F22))*12 + MONTH(AP$2)-MONTH($F22)) / 12),
  0)</f>
        <v/>
      </c>
      <c r="AQ22" s="299">
        <f>IF(AND($F22&lt;=AQ$2, OR($G22="",$G22&gt;=AQ$2)),
  $H22 * (1 + Assumptions!$C$7) ^ INT(((YEAR(AQ$2)-YEAR($F22))*12 + MONTH(AQ$2)-MONTH($F22)) / 12),
  0)</f>
        <v/>
      </c>
      <c r="AR22" s="299">
        <f>IF(AND($F22&lt;=AR$2, OR($G22="",$G22&gt;=AR$2)),
  $H22 * (1 + Assumptions!$C$7) ^ INT(((YEAR(AR$2)-YEAR($F22))*12 + MONTH(AR$2)-MONTH($F22)) / 12),
  0)</f>
        <v/>
      </c>
      <c r="AS22" s="299">
        <f>IF(AND($F22&lt;=AS$2, OR($G22="",$G22&gt;=AS$2)),
  $H22 * (1 + Assumptions!$C$7) ^ INT(((YEAR(AS$2)-YEAR($F22))*12 + MONTH(AS$2)-MONTH($F22)) / 12),
  0)</f>
        <v/>
      </c>
      <c r="AT22" s="299">
        <f>IF(AND($F22&lt;=AT$2, OR($G22="",$G22&gt;=AT$2)),
  $H22 * (1 + Assumptions!$C$7) ^ INT(((YEAR(AT$2)-YEAR($F22))*12 + MONTH(AT$2)-MONTH($F22)) / 12),
  0)</f>
        <v/>
      </c>
      <c r="AU22" s="299">
        <f>IF(AND($F22&lt;=AU$2, OR($G22="",$G22&gt;=AU$2)),
  $H22 * (1 + Assumptions!$C$7) ^ INT(((YEAR(AU$2)-YEAR($F22))*12 + MONTH(AU$2)-MONTH($F22)) / 12),
  0)</f>
        <v/>
      </c>
      <c r="AV22" s="299">
        <f>IF(AND($F22&lt;=AV$2, OR($G22="",$G22&gt;=AV$2)),
  $H22 * (1 + Assumptions!$C$7) ^ INT(((YEAR(AV$2)-YEAR($F22))*12 + MONTH(AV$2)-MONTH($F22)) / 12),
  0)</f>
        <v/>
      </c>
      <c r="AW22" s="299">
        <f>IF(AND($F22&lt;=AW$2, OR($G22="",$G22&gt;=AW$2)),
  $H22 * (1 + Assumptions!$C$7) ^ INT(((YEAR(AW$2)-YEAR($F22))*12 + MONTH(AW$2)-MONTH($F22)) / 12),
  0)</f>
        <v/>
      </c>
      <c r="AX22" s="299">
        <f>IF(AND($F22&lt;=AX$2, OR($G22="",$G22&gt;=AX$2)),
  $H22 * (1 + Assumptions!$C$7) ^ INT(((YEAR(AX$2)-YEAR($F22))*12 + MONTH(AX$2)-MONTH($F22)) / 12),
  0)</f>
        <v/>
      </c>
      <c r="AY22" s="299">
        <f>IF(AND($F22&lt;=AY$2, OR($G22="",$G22&gt;=AY$2)),
  $H22 * (1 + Assumptions!$C$7) ^ INT(((YEAR(AY$2)-YEAR($F22))*12 + MONTH(AY$2)-MONTH($F22)) / 12),
  0)</f>
        <v/>
      </c>
      <c r="AZ22" s="299">
        <f>IF(AND($F22&lt;=AZ$2, OR($G22="",$G22&gt;=AZ$2)),
  $H22 * (1 + Assumptions!$C$7) ^ INT(((YEAR(AZ$2)-YEAR($F22))*12 + MONTH(AZ$2)-MONTH($F22)) / 12),
  0)</f>
        <v/>
      </c>
      <c r="BA22" s="299">
        <f>IF(AND($F22&lt;=BA$2, OR($G22="",$G22&gt;=BA$2)),
  $H22 * (1 + Assumptions!$C$7) ^ INT(((YEAR(BA$2)-YEAR($F22))*12 + MONTH(BA$2)-MONTH($F22)) / 12),
  0)</f>
        <v/>
      </c>
      <c r="BB22" s="299">
        <f>IF(AND($F22&lt;=BB$2, OR($G22="",$G22&gt;=BB$2)),
  $H22 * (1 + Assumptions!$C$7) ^ INT(((YEAR(BB$2)-YEAR($F22))*12 + MONTH(BB$2)-MONTH($F22)) / 12),
  0)</f>
        <v/>
      </c>
      <c r="BC22" s="299">
        <f>IF(AND($F22&lt;=BC$2, OR($G22="",$G22&gt;=BC$2)),
  $H22 * (1 + Assumptions!$C$7) ^ INT(((YEAR(BC$2)-YEAR($F22))*12 + MONTH(BC$2)-MONTH($F22)) / 12),
  0)</f>
        <v/>
      </c>
      <c r="BD22" s="299">
        <f>IF(AND($F22&lt;=BD$2, OR($G22="",$G22&gt;=BD$2)),
  $H22 * (1 + Assumptions!$C$7) ^ INT(((YEAR(BD$2)-YEAR($F22))*12 + MONTH(BD$2)-MONTH($F22)) / 12),
  0)</f>
        <v/>
      </c>
      <c r="BE22" s="299">
        <f>IF(AND($F22&lt;=BE$2, OR($G22="",$G22&gt;=BE$2)),
  $H22 * (1 + Assumptions!$C$7) ^ INT(((YEAR(BE$2)-YEAR($F22))*12 + MONTH(BE$2)-MONTH($F22)) / 12),
  0)</f>
        <v/>
      </c>
      <c r="BF22" s="299">
        <f>IF(AND($F22&lt;=BF$2, OR($G22="",$G22&gt;=BF$2)),
  $H22 * (1 + Assumptions!$C$7) ^ INT(((YEAR(BF$2)-YEAR($F22))*12 + MONTH(BF$2)-MONTH($F22)) / 12),
  0)</f>
        <v/>
      </c>
      <c r="BG22" s="299">
        <f>IF(AND($F22&lt;=BG$2, OR($G22="",$G22&gt;=BG$2)),
  $H22 * (1 + Assumptions!$C$7) ^ INT(((YEAR(BG$2)-YEAR($F22))*12 + MONTH(BG$2)-MONTH($F22)) / 12),
  0)</f>
        <v/>
      </c>
      <c r="BH22" s="299">
        <f>IF(AND($F22&lt;=BH$2, OR($G22="",$G22&gt;=BH$2)),
  $H22 * (1 + Assumptions!$C$7) ^ INT(((YEAR(BH$2)-YEAR($F22))*12 + MONTH(BH$2)-MONTH($F22)) / 12),
  0)</f>
        <v/>
      </c>
      <c r="BI22" s="299">
        <f>IF(AND($F22&lt;=BI$2, OR($G22="",$G22&gt;=BI$2)),
  $H22 * (1 + Assumptions!$C$7) ^ INT(((YEAR(BI$2)-YEAR($F22))*12 + MONTH(BI$2)-MONTH($F22)) / 12),
  0)</f>
        <v/>
      </c>
      <c r="BJ22" s="299">
        <f>IF(AND($F22&lt;=BJ$2, OR($G22="",$G22&gt;=BJ$2)),
  $H22 * (1 + Assumptions!$C$7) ^ INT(((YEAR(BJ$2)-YEAR($F22))*12 + MONTH(BJ$2)-MONTH($F22)) / 12),
  0)</f>
        <v/>
      </c>
      <c r="BK22" s="299">
        <f>IF(AND($F22&lt;=BK$2, OR($G22="",$G22&gt;=BK$2)),
  $H22 * (1 + Assumptions!$C$7) ^ INT(((YEAR(BK$2)-YEAR($F22))*12 + MONTH(BK$2)-MONTH($F22)) / 12),
  0)</f>
        <v/>
      </c>
      <c r="BL22" s="299">
        <f>IF(AND($F22&lt;=BL$2, OR($G22="",$G22&gt;=BL$2)),
  $H22 * (1 + Assumptions!$C$7) ^ INT(((YEAR(BL$2)-YEAR($F22))*12 + MONTH(BL$2)-MONTH($F22)) / 12),
  0)</f>
        <v/>
      </c>
      <c r="BM22" s="299">
        <f>IF(AND($F22&lt;=BM$2, OR($G22="",$G22&gt;=BM$2)),
  $H22 * (1 + Assumptions!$C$7) ^ INT(((YEAR(BM$2)-YEAR($F22))*12 + MONTH(BM$2)-MONTH($F22)) / 12),
  0)</f>
        <v/>
      </c>
      <c r="BN22" s="299">
        <f>IF(AND($F22&lt;=BN$2, OR($G22="",$G22&gt;=BN$2)),
  $H22 * (1 + Assumptions!$C$7) ^ INT(((YEAR(BN$2)-YEAR($F22))*12 + MONTH(BN$2)-MONTH($F22)) / 12),
  0)</f>
        <v/>
      </c>
      <c r="BO22" s="299">
        <f>IF(AND($F22&lt;=BO$2, OR($G22="",$G22&gt;=BO$2)),
  $H22 * (1 + Assumptions!$C$7) ^ INT(((YEAR(BO$2)-YEAR($F22))*12 + MONTH(BO$2)-MONTH($F22)) / 12),
  0)</f>
        <v/>
      </c>
      <c r="BP22" s="299">
        <f>IF(AND($F22&lt;=BP$2, OR($G22="",$G22&gt;=BP$2)),
  $H22 * (1 + Assumptions!$C$7) ^ INT(((YEAR(BP$2)-YEAR($F22))*12 + MONTH(BP$2)-MONTH($F22)) / 12),
  0)</f>
        <v/>
      </c>
      <c r="BQ22" s="31" t="n"/>
      <c r="BR22" s="350" t="inlineStr">
        <is>
          <t>paid this month if started and not yet left; +8% on each work anniversary</t>
        </is>
      </c>
      <c r="BS22" s="31" t="n"/>
      <c r="BT22" s="31" t="n"/>
    </row>
    <row r="23" ht="15.75" customHeight="1" s="349">
      <c r="A23" s="321" t="n">
        <v>18</v>
      </c>
      <c r="B23" s="285" t="inlineStr">
        <is>
          <t>New hire</t>
        </is>
      </c>
      <c r="C23" s="23" t="inlineStr">
        <is>
          <t>G&amp;A</t>
        </is>
      </c>
      <c r="D23" s="23" t="inlineStr">
        <is>
          <t>Office Support</t>
        </is>
      </c>
      <c r="E23" s="297" t="inlineStr">
        <is>
          <t>Planned</t>
        </is>
      </c>
      <c r="F23" s="318" t="n">
        <v>46388</v>
      </c>
      <c r="G23" s="311" t="n"/>
      <c r="H23" s="288" t="n">
        <v>4500</v>
      </c>
      <c r="I23" s="299">
        <f>IF(AND($F23&lt;=I$2, OR($G23="",$G23&gt;=I$2)),
  $H23 * (1 + Assumptions!$C$7) ^ INT(((YEAR(I$2)-YEAR($F23))*12 + MONTH(I$2)-MONTH($F23)) / 12),
  0)</f>
        <v/>
      </c>
      <c r="J23" s="299">
        <f>IF(AND($F23&lt;=J$2, OR($G23="",$G23&gt;=J$2)),
  $H23 * (1 + Assumptions!$C$7) ^ INT(((YEAR(J$2)-YEAR($F23))*12 + MONTH(J$2)-MONTH($F23)) / 12),
  0)</f>
        <v/>
      </c>
      <c r="K23" s="299">
        <f>IF(AND($F23&lt;=K$2, OR($G23="",$G23&gt;=K$2)),
  $H23 * (1 + Assumptions!$C$7) ^ INT(((YEAR(K$2)-YEAR($F23))*12 + MONTH(K$2)-MONTH($F23)) / 12),
  0)</f>
        <v/>
      </c>
      <c r="L23" s="299">
        <f>IF(AND($F23&lt;=L$2, OR($G23="",$G23&gt;=L$2)),
  $H23 * (1 + Assumptions!$C$7) ^ INT(((YEAR(L$2)-YEAR($F23))*12 + MONTH(L$2)-MONTH($F23)) / 12),
  0)</f>
        <v/>
      </c>
      <c r="M23" s="299">
        <f>IF(AND($F23&lt;=M$2, OR($G23="",$G23&gt;=M$2)),
  $H23 * (1 + Assumptions!$C$7) ^ INT(((YEAR(M$2)-YEAR($F23))*12 + MONTH(M$2)-MONTH($F23)) / 12),
  0)</f>
        <v/>
      </c>
      <c r="N23" s="299">
        <f>IF(AND($F23&lt;=N$2, OR($G23="",$G23&gt;=N$2)),
  $H23 * (1 + Assumptions!$C$7) ^ INT(((YEAR(N$2)-YEAR($F23))*12 + MONTH(N$2)-MONTH($F23)) / 12),
  0)</f>
        <v/>
      </c>
      <c r="O23" s="299">
        <f>IF(AND($F23&lt;=O$2, OR($G23="",$G23&gt;=O$2)),
  $H23 * (1 + Assumptions!$C$7) ^ INT(((YEAR(O$2)-YEAR($F23))*12 + MONTH(O$2)-MONTH($F23)) / 12),
  0)</f>
        <v/>
      </c>
      <c r="P23" s="299">
        <f>IF(AND($F23&lt;=P$2, OR($G23="",$G23&gt;=P$2)),
  $H23 * (1 + Assumptions!$C$7) ^ INT(((YEAR(P$2)-YEAR($F23))*12 + MONTH(P$2)-MONTH($F23)) / 12),
  0)</f>
        <v/>
      </c>
      <c r="Q23" s="299">
        <f>IF(AND($F23&lt;=Q$2, OR($G23="",$G23&gt;=Q$2)),
  $H23 * (1 + Assumptions!$C$7) ^ INT(((YEAR(Q$2)-YEAR($F23))*12 + MONTH(Q$2)-MONTH($F23)) / 12),
  0)</f>
        <v/>
      </c>
      <c r="R23" s="299">
        <f>IF(AND($F23&lt;=R$2, OR($G23="",$G23&gt;=R$2)),
  $H23 * (1 + Assumptions!$C$7) ^ INT(((YEAR(R$2)-YEAR($F23))*12 + MONTH(R$2)-MONTH($F23)) / 12),
  0)</f>
        <v/>
      </c>
      <c r="S23" s="299">
        <f>IF(AND($F23&lt;=S$2, OR($G23="",$G23&gt;=S$2)),
  $H23 * (1 + Assumptions!$C$7) ^ INT(((YEAR(S$2)-YEAR($F23))*12 + MONTH(S$2)-MONTH($F23)) / 12),
  0)</f>
        <v/>
      </c>
      <c r="T23" s="299">
        <f>IF(AND($F23&lt;=T$2, OR($G23="",$G23&gt;=T$2)),
  $H23 * (1 + Assumptions!$C$7) ^ INT(((YEAR(T$2)-YEAR($F23))*12 + MONTH(T$2)-MONTH($F23)) / 12),
  0)</f>
        <v/>
      </c>
      <c r="U23" s="299">
        <f>IF(AND($F23&lt;=U$2, OR($G23="",$G23&gt;=U$2)),
  $H23 * (1 + Assumptions!$C$7) ^ INT(((YEAR(U$2)-YEAR($F23))*12 + MONTH(U$2)-MONTH($F23)) / 12),
  0)</f>
        <v/>
      </c>
      <c r="V23" s="299">
        <f>IF(AND($F23&lt;=V$2, OR($G23="",$G23&gt;=V$2)),
  $H23 * (1 + Assumptions!$C$7) ^ INT(((YEAR(V$2)-YEAR($F23))*12 + MONTH(V$2)-MONTH($F23)) / 12),
  0)</f>
        <v/>
      </c>
      <c r="W23" s="299">
        <f>IF(AND($F23&lt;=W$2, OR($G23="",$G23&gt;=W$2)),
  $H23 * (1 + Assumptions!$C$7) ^ INT(((YEAR(W$2)-YEAR($F23))*12 + MONTH(W$2)-MONTH($F23)) / 12),
  0)</f>
        <v/>
      </c>
      <c r="X23" s="299">
        <f>IF(AND($F23&lt;=X$2, OR($G23="",$G23&gt;=X$2)),
  $H23 * (1 + Assumptions!$C$7) ^ INT(((YEAR(X$2)-YEAR($F23))*12 + MONTH(X$2)-MONTH($F23)) / 12),
  0)</f>
        <v/>
      </c>
      <c r="Y23" s="299">
        <f>IF(AND($F23&lt;=Y$2, OR($G23="",$G23&gt;=Y$2)),
  $H23 * (1 + Assumptions!$C$7) ^ INT(((YEAR(Y$2)-YEAR($F23))*12 + MONTH(Y$2)-MONTH($F23)) / 12),
  0)</f>
        <v/>
      </c>
      <c r="Z23" s="299">
        <f>IF(AND($F23&lt;=Z$2, OR($G23="",$G23&gt;=Z$2)),
  $H23 * (1 + Assumptions!$C$7) ^ INT(((YEAR(Z$2)-YEAR($F23))*12 + MONTH(Z$2)-MONTH($F23)) / 12),
  0)</f>
        <v/>
      </c>
      <c r="AA23" s="299">
        <f>IF(AND($F23&lt;=AA$2, OR($G23="",$G23&gt;=AA$2)),
  $H23 * (1 + Assumptions!$C$7) ^ INT(((YEAR(AA$2)-YEAR($F23))*12 + MONTH(AA$2)-MONTH($F23)) / 12),
  0)</f>
        <v/>
      </c>
      <c r="AB23" s="299">
        <f>IF(AND($F23&lt;=AB$2, OR($G23="",$G23&gt;=AB$2)),
  $H23 * (1 + Assumptions!$C$7) ^ INT(((YEAR(AB$2)-YEAR($F23))*12 + MONTH(AB$2)-MONTH($F23)) / 12),
  0)</f>
        <v/>
      </c>
      <c r="AC23" s="299">
        <f>IF(AND($F23&lt;=AC$2, OR($G23="",$G23&gt;=AC$2)),
  $H23 * (1 + Assumptions!$C$7) ^ INT(((YEAR(AC$2)-YEAR($F23))*12 + MONTH(AC$2)-MONTH($F23)) / 12),
  0)</f>
        <v/>
      </c>
      <c r="AD23" s="299">
        <f>IF(AND($F23&lt;=AD$2, OR($G23="",$G23&gt;=AD$2)),
  $H23 * (1 + Assumptions!$C$7) ^ INT(((YEAR(AD$2)-YEAR($F23))*12 + MONTH(AD$2)-MONTH($F23)) / 12),
  0)</f>
        <v/>
      </c>
      <c r="AE23" s="299">
        <f>IF(AND($F23&lt;=AE$2, OR($G23="",$G23&gt;=AE$2)),
  $H23 * (1 + Assumptions!$C$7) ^ INT(((YEAR(AE$2)-YEAR($F23))*12 + MONTH(AE$2)-MONTH($F23)) / 12),
  0)</f>
        <v/>
      </c>
      <c r="AF23" s="299">
        <f>IF(AND($F23&lt;=AF$2, OR($G23="",$G23&gt;=AF$2)),
  $H23 * (1 + Assumptions!$C$7) ^ INT(((YEAR(AF$2)-YEAR($F23))*12 + MONTH(AF$2)-MONTH($F23)) / 12),
  0)</f>
        <v/>
      </c>
      <c r="AG23" s="299">
        <f>IF(AND($F23&lt;=AG$2, OR($G23="",$G23&gt;=AG$2)),
  $H23 * (1 + Assumptions!$C$7) ^ INT(((YEAR(AG$2)-YEAR($F23))*12 + MONTH(AG$2)-MONTH($F23)) / 12),
  0)</f>
        <v/>
      </c>
      <c r="AH23" s="299">
        <f>IF(AND($F23&lt;=AH$2, OR($G23="",$G23&gt;=AH$2)),
  $H23 * (1 + Assumptions!$C$7) ^ INT(((YEAR(AH$2)-YEAR($F23))*12 + MONTH(AH$2)-MONTH($F23)) / 12),
  0)</f>
        <v/>
      </c>
      <c r="AI23" s="299">
        <f>IF(AND($F23&lt;=AI$2, OR($G23="",$G23&gt;=AI$2)),
  $H23 * (1 + Assumptions!$C$7) ^ INT(((YEAR(AI$2)-YEAR($F23))*12 + MONTH(AI$2)-MONTH($F23)) / 12),
  0)</f>
        <v/>
      </c>
      <c r="AJ23" s="299">
        <f>IF(AND($F23&lt;=AJ$2, OR($G23="",$G23&gt;=AJ$2)),
  $H23 * (1 + Assumptions!$C$7) ^ INT(((YEAR(AJ$2)-YEAR($F23))*12 + MONTH(AJ$2)-MONTH($F23)) / 12),
  0)</f>
        <v/>
      </c>
      <c r="AK23" s="299">
        <f>IF(AND($F23&lt;=AK$2, OR($G23="",$G23&gt;=AK$2)),
  $H23 * (1 + Assumptions!$C$7) ^ INT(((YEAR(AK$2)-YEAR($F23))*12 + MONTH(AK$2)-MONTH($F23)) / 12),
  0)</f>
        <v/>
      </c>
      <c r="AL23" s="299">
        <f>IF(AND($F23&lt;=AL$2, OR($G23="",$G23&gt;=AL$2)),
  $H23 * (1 + Assumptions!$C$7) ^ INT(((YEAR(AL$2)-YEAR($F23))*12 + MONTH(AL$2)-MONTH($F23)) / 12),
  0)</f>
        <v/>
      </c>
      <c r="AM23" s="299">
        <f>IF(AND($F23&lt;=AM$2, OR($G23="",$G23&gt;=AM$2)),
  $H23 * (1 + Assumptions!$C$7) ^ INT(((YEAR(AM$2)-YEAR($F23))*12 + MONTH(AM$2)-MONTH($F23)) / 12),
  0)</f>
        <v/>
      </c>
      <c r="AN23" s="299">
        <f>IF(AND($F23&lt;=AN$2, OR($G23="",$G23&gt;=AN$2)),
  $H23 * (1 + Assumptions!$C$7) ^ INT(((YEAR(AN$2)-YEAR($F23))*12 + MONTH(AN$2)-MONTH($F23)) / 12),
  0)</f>
        <v/>
      </c>
      <c r="AO23" s="299">
        <f>IF(AND($F23&lt;=AO$2, OR($G23="",$G23&gt;=AO$2)),
  $H23 * (1 + Assumptions!$C$7) ^ INT(((YEAR(AO$2)-YEAR($F23))*12 + MONTH(AO$2)-MONTH($F23)) / 12),
  0)</f>
        <v/>
      </c>
      <c r="AP23" s="299">
        <f>IF(AND($F23&lt;=AP$2, OR($G23="",$G23&gt;=AP$2)),
  $H23 * (1 + Assumptions!$C$7) ^ INT(((YEAR(AP$2)-YEAR($F23))*12 + MONTH(AP$2)-MONTH($F23)) / 12),
  0)</f>
        <v/>
      </c>
      <c r="AQ23" s="299">
        <f>IF(AND($F23&lt;=AQ$2, OR($G23="",$G23&gt;=AQ$2)),
  $H23 * (1 + Assumptions!$C$7) ^ INT(((YEAR(AQ$2)-YEAR($F23))*12 + MONTH(AQ$2)-MONTH($F23)) / 12),
  0)</f>
        <v/>
      </c>
      <c r="AR23" s="299">
        <f>IF(AND($F23&lt;=AR$2, OR($G23="",$G23&gt;=AR$2)),
  $H23 * (1 + Assumptions!$C$7) ^ INT(((YEAR(AR$2)-YEAR($F23))*12 + MONTH(AR$2)-MONTH($F23)) / 12),
  0)</f>
        <v/>
      </c>
      <c r="AS23" s="299">
        <f>IF(AND($F23&lt;=AS$2, OR($G23="",$G23&gt;=AS$2)),
  $H23 * (1 + Assumptions!$C$7) ^ INT(((YEAR(AS$2)-YEAR($F23))*12 + MONTH(AS$2)-MONTH($F23)) / 12),
  0)</f>
        <v/>
      </c>
      <c r="AT23" s="299">
        <f>IF(AND($F23&lt;=AT$2, OR($G23="",$G23&gt;=AT$2)),
  $H23 * (1 + Assumptions!$C$7) ^ INT(((YEAR(AT$2)-YEAR($F23))*12 + MONTH(AT$2)-MONTH($F23)) / 12),
  0)</f>
        <v/>
      </c>
      <c r="AU23" s="299">
        <f>IF(AND($F23&lt;=AU$2, OR($G23="",$G23&gt;=AU$2)),
  $H23 * (1 + Assumptions!$C$7) ^ INT(((YEAR(AU$2)-YEAR($F23))*12 + MONTH(AU$2)-MONTH($F23)) / 12),
  0)</f>
        <v/>
      </c>
      <c r="AV23" s="299">
        <f>IF(AND($F23&lt;=AV$2, OR($G23="",$G23&gt;=AV$2)),
  $H23 * (1 + Assumptions!$C$7) ^ INT(((YEAR(AV$2)-YEAR($F23))*12 + MONTH(AV$2)-MONTH($F23)) / 12),
  0)</f>
        <v/>
      </c>
      <c r="AW23" s="299">
        <f>IF(AND($F23&lt;=AW$2, OR($G23="",$G23&gt;=AW$2)),
  $H23 * (1 + Assumptions!$C$7) ^ INT(((YEAR(AW$2)-YEAR($F23))*12 + MONTH(AW$2)-MONTH($F23)) / 12),
  0)</f>
        <v/>
      </c>
      <c r="AX23" s="299">
        <f>IF(AND($F23&lt;=AX$2, OR($G23="",$G23&gt;=AX$2)),
  $H23 * (1 + Assumptions!$C$7) ^ INT(((YEAR(AX$2)-YEAR($F23))*12 + MONTH(AX$2)-MONTH($F23)) / 12),
  0)</f>
        <v/>
      </c>
      <c r="AY23" s="299">
        <f>IF(AND($F23&lt;=AY$2, OR($G23="",$G23&gt;=AY$2)),
  $H23 * (1 + Assumptions!$C$7) ^ INT(((YEAR(AY$2)-YEAR($F23))*12 + MONTH(AY$2)-MONTH($F23)) / 12),
  0)</f>
        <v/>
      </c>
      <c r="AZ23" s="299">
        <f>IF(AND($F23&lt;=AZ$2, OR($G23="",$G23&gt;=AZ$2)),
  $H23 * (1 + Assumptions!$C$7) ^ INT(((YEAR(AZ$2)-YEAR($F23))*12 + MONTH(AZ$2)-MONTH($F23)) / 12),
  0)</f>
        <v/>
      </c>
      <c r="BA23" s="299">
        <f>IF(AND($F23&lt;=BA$2, OR($G23="",$G23&gt;=BA$2)),
  $H23 * (1 + Assumptions!$C$7) ^ INT(((YEAR(BA$2)-YEAR($F23))*12 + MONTH(BA$2)-MONTH($F23)) / 12),
  0)</f>
        <v/>
      </c>
      <c r="BB23" s="299">
        <f>IF(AND($F23&lt;=BB$2, OR($G23="",$G23&gt;=BB$2)),
  $H23 * (1 + Assumptions!$C$7) ^ INT(((YEAR(BB$2)-YEAR($F23))*12 + MONTH(BB$2)-MONTH($F23)) / 12),
  0)</f>
        <v/>
      </c>
      <c r="BC23" s="299">
        <f>IF(AND($F23&lt;=BC$2, OR($G23="",$G23&gt;=BC$2)),
  $H23 * (1 + Assumptions!$C$7) ^ INT(((YEAR(BC$2)-YEAR($F23))*12 + MONTH(BC$2)-MONTH($F23)) / 12),
  0)</f>
        <v/>
      </c>
      <c r="BD23" s="299">
        <f>IF(AND($F23&lt;=BD$2, OR($G23="",$G23&gt;=BD$2)),
  $H23 * (1 + Assumptions!$C$7) ^ INT(((YEAR(BD$2)-YEAR($F23))*12 + MONTH(BD$2)-MONTH($F23)) / 12),
  0)</f>
        <v/>
      </c>
      <c r="BE23" s="299">
        <f>IF(AND($F23&lt;=BE$2, OR($G23="",$G23&gt;=BE$2)),
  $H23 * (1 + Assumptions!$C$7) ^ INT(((YEAR(BE$2)-YEAR($F23))*12 + MONTH(BE$2)-MONTH($F23)) / 12),
  0)</f>
        <v/>
      </c>
      <c r="BF23" s="299">
        <f>IF(AND($F23&lt;=BF$2, OR($G23="",$G23&gt;=BF$2)),
  $H23 * (1 + Assumptions!$C$7) ^ INT(((YEAR(BF$2)-YEAR($F23))*12 + MONTH(BF$2)-MONTH($F23)) / 12),
  0)</f>
        <v/>
      </c>
      <c r="BG23" s="299">
        <f>IF(AND($F23&lt;=BG$2, OR($G23="",$G23&gt;=BG$2)),
  $H23 * (1 + Assumptions!$C$7) ^ INT(((YEAR(BG$2)-YEAR($F23))*12 + MONTH(BG$2)-MONTH($F23)) / 12),
  0)</f>
        <v/>
      </c>
      <c r="BH23" s="299">
        <f>IF(AND($F23&lt;=BH$2, OR($G23="",$G23&gt;=BH$2)),
  $H23 * (1 + Assumptions!$C$7) ^ INT(((YEAR(BH$2)-YEAR($F23))*12 + MONTH(BH$2)-MONTH($F23)) / 12),
  0)</f>
        <v/>
      </c>
      <c r="BI23" s="299">
        <f>IF(AND($F23&lt;=BI$2, OR($G23="",$G23&gt;=BI$2)),
  $H23 * (1 + Assumptions!$C$7) ^ INT(((YEAR(BI$2)-YEAR($F23))*12 + MONTH(BI$2)-MONTH($F23)) / 12),
  0)</f>
        <v/>
      </c>
      <c r="BJ23" s="299">
        <f>IF(AND($F23&lt;=BJ$2, OR($G23="",$G23&gt;=BJ$2)),
  $H23 * (1 + Assumptions!$C$7) ^ INT(((YEAR(BJ$2)-YEAR($F23))*12 + MONTH(BJ$2)-MONTH($F23)) / 12),
  0)</f>
        <v/>
      </c>
      <c r="BK23" s="299">
        <f>IF(AND($F23&lt;=BK$2, OR($G23="",$G23&gt;=BK$2)),
  $H23 * (1 + Assumptions!$C$7) ^ INT(((YEAR(BK$2)-YEAR($F23))*12 + MONTH(BK$2)-MONTH($F23)) / 12),
  0)</f>
        <v/>
      </c>
      <c r="BL23" s="299">
        <f>IF(AND($F23&lt;=BL$2, OR($G23="",$G23&gt;=BL$2)),
  $H23 * (1 + Assumptions!$C$7) ^ INT(((YEAR(BL$2)-YEAR($F23))*12 + MONTH(BL$2)-MONTH($F23)) / 12),
  0)</f>
        <v/>
      </c>
      <c r="BM23" s="299">
        <f>IF(AND($F23&lt;=BM$2, OR($G23="",$G23&gt;=BM$2)),
  $H23 * (1 + Assumptions!$C$7) ^ INT(((YEAR(BM$2)-YEAR($F23))*12 + MONTH(BM$2)-MONTH($F23)) / 12),
  0)</f>
        <v/>
      </c>
      <c r="BN23" s="299">
        <f>IF(AND($F23&lt;=BN$2, OR($G23="",$G23&gt;=BN$2)),
  $H23 * (1 + Assumptions!$C$7) ^ INT(((YEAR(BN$2)-YEAR($F23))*12 + MONTH(BN$2)-MONTH($F23)) / 12),
  0)</f>
        <v/>
      </c>
      <c r="BO23" s="299">
        <f>IF(AND($F23&lt;=BO$2, OR($G23="",$G23&gt;=BO$2)),
  $H23 * (1 + Assumptions!$C$7) ^ INT(((YEAR(BO$2)-YEAR($F23))*12 + MONTH(BO$2)-MONTH($F23)) / 12),
  0)</f>
        <v/>
      </c>
      <c r="BP23" s="299">
        <f>IF(AND($F23&lt;=BP$2, OR($G23="",$G23&gt;=BP$2)),
  $H23 * (1 + Assumptions!$C$7) ^ INT(((YEAR(BP$2)-YEAR($F23))*12 + MONTH(BP$2)-MONTH($F23)) / 12),
  0)</f>
        <v/>
      </c>
      <c r="BQ23" s="31" t="n"/>
      <c r="BR23" s="350" t="inlineStr">
        <is>
          <t>paid this month if started and not yet left; +8% on each work anniversary</t>
        </is>
      </c>
      <c r="BS23" s="31" t="n"/>
      <c r="BT23" s="31" t="n"/>
    </row>
    <row r="24" ht="15.75" customHeight="1" s="349">
      <c r="A24" s="321" t="n">
        <v>19</v>
      </c>
      <c r="B24" s="285" t="inlineStr">
        <is>
          <t>New hire</t>
        </is>
      </c>
      <c r="C24" s="285" t="inlineStr">
        <is>
          <t>R&amp;D</t>
        </is>
      </c>
      <c r="D24" s="317" t="inlineStr">
        <is>
          <t>Product</t>
        </is>
      </c>
      <c r="E24" s="297" t="inlineStr">
        <is>
          <t>Planned</t>
        </is>
      </c>
      <c r="F24" s="318" t="n">
        <v>46388</v>
      </c>
      <c r="G24" s="319" t="n"/>
      <c r="H24" s="288" t="n">
        <v>6500</v>
      </c>
      <c r="I24" s="299">
        <f>IF(AND($F24&lt;=I$2, OR($G24="",$G24&gt;=I$2)),
  $H24 * (1 + Assumptions!$C$7) ^ INT(((YEAR(I$2)-YEAR($F24))*12 + MONTH(I$2)-MONTH($F24)) / 12),
  0)</f>
        <v/>
      </c>
      <c r="J24" s="299">
        <f>IF(AND($F24&lt;=J$2, OR($G24="",$G24&gt;=J$2)),
  $H24 * (1 + Assumptions!$C$7) ^ INT(((YEAR(J$2)-YEAR($F24))*12 + MONTH(J$2)-MONTH($F24)) / 12),
  0)</f>
        <v/>
      </c>
      <c r="K24" s="299">
        <f>IF(AND($F24&lt;=K$2, OR($G24="",$G24&gt;=K$2)),
  $H24 * (1 + Assumptions!$C$7) ^ INT(((YEAR(K$2)-YEAR($F24))*12 + MONTH(K$2)-MONTH($F24)) / 12),
  0)</f>
        <v/>
      </c>
      <c r="L24" s="299">
        <f>IF(AND($F24&lt;=L$2, OR($G24="",$G24&gt;=L$2)),
  $H24 * (1 + Assumptions!$C$7) ^ INT(((YEAR(L$2)-YEAR($F24))*12 + MONTH(L$2)-MONTH($F24)) / 12),
  0)</f>
        <v/>
      </c>
      <c r="M24" s="299">
        <f>IF(AND($F24&lt;=M$2, OR($G24="",$G24&gt;=M$2)),
  $H24 * (1 + Assumptions!$C$7) ^ INT(((YEAR(M$2)-YEAR($F24))*12 + MONTH(M$2)-MONTH($F24)) / 12),
  0)</f>
        <v/>
      </c>
      <c r="N24" s="299">
        <f>IF(AND($F24&lt;=N$2, OR($G24="",$G24&gt;=N$2)),
  $H24 * (1 + Assumptions!$C$7) ^ INT(((YEAR(N$2)-YEAR($F24))*12 + MONTH(N$2)-MONTH($F24)) / 12),
  0)</f>
        <v/>
      </c>
      <c r="O24" s="299">
        <f>IF(AND($F24&lt;=O$2, OR($G24="",$G24&gt;=O$2)),
  $H24 * (1 + Assumptions!$C$7) ^ INT(((YEAR(O$2)-YEAR($F24))*12 + MONTH(O$2)-MONTH($F24)) / 12),
  0)</f>
        <v/>
      </c>
      <c r="P24" s="299">
        <f>IF(AND($F24&lt;=P$2, OR($G24="",$G24&gt;=P$2)),
  $H24 * (1 + Assumptions!$C$7) ^ INT(((YEAR(P$2)-YEAR($F24))*12 + MONTH(P$2)-MONTH($F24)) / 12),
  0)</f>
        <v/>
      </c>
      <c r="Q24" s="299">
        <f>IF(AND($F24&lt;=Q$2, OR($G24="",$G24&gt;=Q$2)),
  $H24 * (1 + Assumptions!$C$7) ^ INT(((YEAR(Q$2)-YEAR($F24))*12 + MONTH(Q$2)-MONTH($F24)) / 12),
  0)</f>
        <v/>
      </c>
      <c r="R24" s="299">
        <f>IF(AND($F24&lt;=R$2, OR($G24="",$G24&gt;=R$2)),
  $H24 * (1 + Assumptions!$C$7) ^ INT(((YEAR(R$2)-YEAR($F24))*12 + MONTH(R$2)-MONTH($F24)) / 12),
  0)</f>
        <v/>
      </c>
      <c r="S24" s="299">
        <f>IF(AND($F24&lt;=S$2, OR($G24="",$G24&gt;=S$2)),
  $H24 * (1 + Assumptions!$C$7) ^ INT(((YEAR(S$2)-YEAR($F24))*12 + MONTH(S$2)-MONTH($F24)) / 12),
  0)</f>
        <v/>
      </c>
      <c r="T24" s="299">
        <f>IF(AND($F24&lt;=T$2, OR($G24="",$G24&gt;=T$2)),
  $H24 * (1 + Assumptions!$C$7) ^ INT(((YEAR(T$2)-YEAR($F24))*12 + MONTH(T$2)-MONTH($F24)) / 12),
  0)</f>
        <v/>
      </c>
      <c r="U24" s="299">
        <f>IF(AND($F24&lt;=U$2, OR($G24="",$G24&gt;=U$2)),
  $H24 * (1 + Assumptions!$C$7) ^ INT(((YEAR(U$2)-YEAR($F24))*12 + MONTH(U$2)-MONTH($F24)) / 12),
  0)</f>
        <v/>
      </c>
      <c r="V24" s="299">
        <f>IF(AND($F24&lt;=V$2, OR($G24="",$G24&gt;=V$2)),
  $H24 * (1 + Assumptions!$C$7) ^ INT(((YEAR(V$2)-YEAR($F24))*12 + MONTH(V$2)-MONTH($F24)) / 12),
  0)</f>
        <v/>
      </c>
      <c r="W24" s="299">
        <f>IF(AND($F24&lt;=W$2, OR($G24="",$G24&gt;=W$2)),
  $H24 * (1 + Assumptions!$C$7) ^ INT(((YEAR(W$2)-YEAR($F24))*12 + MONTH(W$2)-MONTH($F24)) / 12),
  0)</f>
        <v/>
      </c>
      <c r="X24" s="299">
        <f>IF(AND($F24&lt;=X$2, OR($G24="",$G24&gt;=X$2)),
  $H24 * (1 + Assumptions!$C$7) ^ INT(((YEAR(X$2)-YEAR($F24))*12 + MONTH(X$2)-MONTH($F24)) / 12),
  0)</f>
        <v/>
      </c>
      <c r="Y24" s="299">
        <f>IF(AND($F24&lt;=Y$2, OR($G24="",$G24&gt;=Y$2)),
  $H24 * (1 + Assumptions!$C$7) ^ INT(((YEAR(Y$2)-YEAR($F24))*12 + MONTH(Y$2)-MONTH($F24)) / 12),
  0)</f>
        <v/>
      </c>
      <c r="Z24" s="299">
        <f>IF(AND($F24&lt;=Z$2, OR($G24="",$G24&gt;=Z$2)),
  $H24 * (1 + Assumptions!$C$7) ^ INT(((YEAR(Z$2)-YEAR($F24))*12 + MONTH(Z$2)-MONTH($F24)) / 12),
  0)</f>
        <v/>
      </c>
      <c r="AA24" s="299">
        <f>IF(AND($F24&lt;=AA$2, OR($G24="",$G24&gt;=AA$2)),
  $H24 * (1 + Assumptions!$C$7) ^ INT(((YEAR(AA$2)-YEAR($F24))*12 + MONTH(AA$2)-MONTH($F24)) / 12),
  0)</f>
        <v/>
      </c>
      <c r="AB24" s="299">
        <f>IF(AND($F24&lt;=AB$2, OR($G24="",$G24&gt;=AB$2)),
  $H24 * (1 + Assumptions!$C$7) ^ INT(((YEAR(AB$2)-YEAR($F24))*12 + MONTH(AB$2)-MONTH($F24)) / 12),
  0)</f>
        <v/>
      </c>
      <c r="AC24" s="299">
        <f>IF(AND($F24&lt;=AC$2, OR($G24="",$G24&gt;=AC$2)),
  $H24 * (1 + Assumptions!$C$7) ^ INT(((YEAR(AC$2)-YEAR($F24))*12 + MONTH(AC$2)-MONTH($F24)) / 12),
  0)</f>
        <v/>
      </c>
      <c r="AD24" s="299">
        <f>IF(AND($F24&lt;=AD$2, OR($G24="",$G24&gt;=AD$2)),
  $H24 * (1 + Assumptions!$C$7) ^ INT(((YEAR(AD$2)-YEAR($F24))*12 + MONTH(AD$2)-MONTH($F24)) / 12),
  0)</f>
        <v/>
      </c>
      <c r="AE24" s="299">
        <f>IF(AND($F24&lt;=AE$2, OR($G24="",$G24&gt;=AE$2)),
  $H24 * (1 + Assumptions!$C$7) ^ INT(((YEAR(AE$2)-YEAR($F24))*12 + MONTH(AE$2)-MONTH($F24)) / 12),
  0)</f>
        <v/>
      </c>
      <c r="AF24" s="299">
        <f>IF(AND($F24&lt;=AF$2, OR($G24="",$G24&gt;=AF$2)),
  $H24 * (1 + Assumptions!$C$7) ^ INT(((YEAR(AF$2)-YEAR($F24))*12 + MONTH(AF$2)-MONTH($F24)) / 12),
  0)</f>
        <v/>
      </c>
      <c r="AG24" s="299">
        <f>IF(AND($F24&lt;=AG$2, OR($G24="",$G24&gt;=AG$2)),
  $H24 * (1 + Assumptions!$C$7) ^ INT(((YEAR(AG$2)-YEAR($F24))*12 + MONTH(AG$2)-MONTH($F24)) / 12),
  0)</f>
        <v/>
      </c>
      <c r="AH24" s="299">
        <f>IF(AND($F24&lt;=AH$2, OR($G24="",$G24&gt;=AH$2)),
  $H24 * (1 + Assumptions!$C$7) ^ INT(((YEAR(AH$2)-YEAR($F24))*12 + MONTH(AH$2)-MONTH($F24)) / 12),
  0)</f>
        <v/>
      </c>
      <c r="AI24" s="299">
        <f>IF(AND($F24&lt;=AI$2, OR($G24="",$G24&gt;=AI$2)),
  $H24 * (1 + Assumptions!$C$7) ^ INT(((YEAR(AI$2)-YEAR($F24))*12 + MONTH(AI$2)-MONTH($F24)) / 12),
  0)</f>
        <v/>
      </c>
      <c r="AJ24" s="299">
        <f>IF(AND($F24&lt;=AJ$2, OR($G24="",$G24&gt;=AJ$2)),
  $H24 * (1 + Assumptions!$C$7) ^ INT(((YEAR(AJ$2)-YEAR($F24))*12 + MONTH(AJ$2)-MONTH($F24)) / 12),
  0)</f>
        <v/>
      </c>
      <c r="AK24" s="299">
        <f>IF(AND($F24&lt;=AK$2, OR($G24="",$G24&gt;=AK$2)),
  $H24 * (1 + Assumptions!$C$7) ^ INT(((YEAR(AK$2)-YEAR($F24))*12 + MONTH(AK$2)-MONTH($F24)) / 12),
  0)</f>
        <v/>
      </c>
      <c r="AL24" s="299">
        <f>IF(AND($F24&lt;=AL$2, OR($G24="",$G24&gt;=AL$2)),
  $H24 * (1 + Assumptions!$C$7) ^ INT(((YEAR(AL$2)-YEAR($F24))*12 + MONTH(AL$2)-MONTH($F24)) / 12),
  0)</f>
        <v/>
      </c>
      <c r="AM24" s="299">
        <f>IF(AND($F24&lt;=AM$2, OR($G24="",$G24&gt;=AM$2)),
  $H24 * (1 + Assumptions!$C$7) ^ INT(((YEAR(AM$2)-YEAR($F24))*12 + MONTH(AM$2)-MONTH($F24)) / 12),
  0)</f>
        <v/>
      </c>
      <c r="AN24" s="299">
        <f>IF(AND($F24&lt;=AN$2, OR($G24="",$G24&gt;=AN$2)),
  $H24 * (1 + Assumptions!$C$7) ^ INT(((YEAR(AN$2)-YEAR($F24))*12 + MONTH(AN$2)-MONTH($F24)) / 12),
  0)</f>
        <v/>
      </c>
      <c r="AO24" s="299">
        <f>IF(AND($F24&lt;=AO$2, OR($G24="",$G24&gt;=AO$2)),
  $H24 * (1 + Assumptions!$C$7) ^ INT(((YEAR(AO$2)-YEAR($F24))*12 + MONTH(AO$2)-MONTH($F24)) / 12),
  0)</f>
        <v/>
      </c>
      <c r="AP24" s="299">
        <f>IF(AND($F24&lt;=AP$2, OR($G24="",$G24&gt;=AP$2)),
  $H24 * (1 + Assumptions!$C$7) ^ INT(((YEAR(AP$2)-YEAR($F24))*12 + MONTH(AP$2)-MONTH($F24)) / 12),
  0)</f>
        <v/>
      </c>
      <c r="AQ24" s="299">
        <f>IF(AND($F24&lt;=AQ$2, OR($G24="",$G24&gt;=AQ$2)),
  $H24 * (1 + Assumptions!$C$7) ^ INT(((YEAR(AQ$2)-YEAR($F24))*12 + MONTH(AQ$2)-MONTH($F24)) / 12),
  0)</f>
        <v/>
      </c>
      <c r="AR24" s="299">
        <f>IF(AND($F24&lt;=AR$2, OR($G24="",$G24&gt;=AR$2)),
  $H24 * (1 + Assumptions!$C$7) ^ INT(((YEAR(AR$2)-YEAR($F24))*12 + MONTH(AR$2)-MONTH($F24)) / 12),
  0)</f>
        <v/>
      </c>
      <c r="AS24" s="299">
        <f>IF(AND($F24&lt;=AS$2, OR($G24="",$G24&gt;=AS$2)),
  $H24 * (1 + Assumptions!$C$7) ^ INT(((YEAR(AS$2)-YEAR($F24))*12 + MONTH(AS$2)-MONTH($F24)) / 12),
  0)</f>
        <v/>
      </c>
      <c r="AT24" s="299">
        <f>IF(AND($F24&lt;=AT$2, OR($G24="",$G24&gt;=AT$2)),
  $H24 * (1 + Assumptions!$C$7) ^ INT(((YEAR(AT$2)-YEAR($F24))*12 + MONTH(AT$2)-MONTH($F24)) / 12),
  0)</f>
        <v/>
      </c>
      <c r="AU24" s="299">
        <f>IF(AND($F24&lt;=AU$2, OR($G24="",$G24&gt;=AU$2)),
  $H24 * (1 + Assumptions!$C$7) ^ INT(((YEAR(AU$2)-YEAR($F24))*12 + MONTH(AU$2)-MONTH($F24)) / 12),
  0)</f>
        <v/>
      </c>
      <c r="AV24" s="299">
        <f>IF(AND($F24&lt;=AV$2, OR($G24="",$G24&gt;=AV$2)),
  $H24 * (1 + Assumptions!$C$7) ^ INT(((YEAR(AV$2)-YEAR($F24))*12 + MONTH(AV$2)-MONTH($F24)) / 12),
  0)</f>
        <v/>
      </c>
      <c r="AW24" s="299">
        <f>IF(AND($F24&lt;=AW$2, OR($G24="",$G24&gt;=AW$2)),
  $H24 * (1 + Assumptions!$C$7) ^ INT(((YEAR(AW$2)-YEAR($F24))*12 + MONTH(AW$2)-MONTH($F24)) / 12),
  0)</f>
        <v/>
      </c>
      <c r="AX24" s="299">
        <f>IF(AND($F24&lt;=AX$2, OR($G24="",$G24&gt;=AX$2)),
  $H24 * (1 + Assumptions!$C$7) ^ INT(((YEAR(AX$2)-YEAR($F24))*12 + MONTH(AX$2)-MONTH($F24)) / 12),
  0)</f>
        <v/>
      </c>
      <c r="AY24" s="299">
        <f>IF(AND($F24&lt;=AY$2, OR($G24="",$G24&gt;=AY$2)),
  $H24 * (1 + Assumptions!$C$7) ^ INT(((YEAR(AY$2)-YEAR($F24))*12 + MONTH(AY$2)-MONTH($F24)) / 12),
  0)</f>
        <v/>
      </c>
      <c r="AZ24" s="299">
        <f>IF(AND($F24&lt;=AZ$2, OR($G24="",$G24&gt;=AZ$2)),
  $H24 * (1 + Assumptions!$C$7) ^ INT(((YEAR(AZ$2)-YEAR($F24))*12 + MONTH(AZ$2)-MONTH($F24)) / 12),
  0)</f>
        <v/>
      </c>
      <c r="BA24" s="299">
        <f>IF(AND($F24&lt;=BA$2, OR($G24="",$G24&gt;=BA$2)),
  $H24 * (1 + Assumptions!$C$7) ^ INT(((YEAR(BA$2)-YEAR($F24))*12 + MONTH(BA$2)-MONTH($F24)) / 12),
  0)</f>
        <v/>
      </c>
      <c r="BB24" s="299">
        <f>IF(AND($F24&lt;=BB$2, OR($G24="",$G24&gt;=BB$2)),
  $H24 * (1 + Assumptions!$C$7) ^ INT(((YEAR(BB$2)-YEAR($F24))*12 + MONTH(BB$2)-MONTH($F24)) / 12),
  0)</f>
        <v/>
      </c>
      <c r="BC24" s="299">
        <f>IF(AND($F24&lt;=BC$2, OR($G24="",$G24&gt;=BC$2)),
  $H24 * (1 + Assumptions!$C$7) ^ INT(((YEAR(BC$2)-YEAR($F24))*12 + MONTH(BC$2)-MONTH($F24)) / 12),
  0)</f>
        <v/>
      </c>
      <c r="BD24" s="299">
        <f>IF(AND($F24&lt;=BD$2, OR($G24="",$G24&gt;=BD$2)),
  $H24 * (1 + Assumptions!$C$7) ^ INT(((YEAR(BD$2)-YEAR($F24))*12 + MONTH(BD$2)-MONTH($F24)) / 12),
  0)</f>
        <v/>
      </c>
      <c r="BE24" s="299">
        <f>IF(AND($F24&lt;=BE$2, OR($G24="",$G24&gt;=BE$2)),
  $H24 * (1 + Assumptions!$C$7) ^ INT(((YEAR(BE$2)-YEAR($F24))*12 + MONTH(BE$2)-MONTH($F24)) / 12),
  0)</f>
        <v/>
      </c>
      <c r="BF24" s="299">
        <f>IF(AND($F24&lt;=BF$2, OR($G24="",$G24&gt;=BF$2)),
  $H24 * (1 + Assumptions!$C$7) ^ INT(((YEAR(BF$2)-YEAR($F24))*12 + MONTH(BF$2)-MONTH($F24)) / 12),
  0)</f>
        <v/>
      </c>
      <c r="BG24" s="299">
        <f>IF(AND($F24&lt;=BG$2, OR($G24="",$G24&gt;=BG$2)),
  $H24 * (1 + Assumptions!$C$7) ^ INT(((YEAR(BG$2)-YEAR($F24))*12 + MONTH(BG$2)-MONTH($F24)) / 12),
  0)</f>
        <v/>
      </c>
      <c r="BH24" s="299">
        <f>IF(AND($F24&lt;=BH$2, OR($G24="",$G24&gt;=BH$2)),
  $H24 * (1 + Assumptions!$C$7) ^ INT(((YEAR(BH$2)-YEAR($F24))*12 + MONTH(BH$2)-MONTH($F24)) / 12),
  0)</f>
        <v/>
      </c>
      <c r="BI24" s="299">
        <f>IF(AND($F24&lt;=BI$2, OR($G24="",$G24&gt;=BI$2)),
  $H24 * (1 + Assumptions!$C$7) ^ INT(((YEAR(BI$2)-YEAR($F24))*12 + MONTH(BI$2)-MONTH($F24)) / 12),
  0)</f>
        <v/>
      </c>
      <c r="BJ24" s="299">
        <f>IF(AND($F24&lt;=BJ$2, OR($G24="",$G24&gt;=BJ$2)),
  $H24 * (1 + Assumptions!$C$7) ^ INT(((YEAR(BJ$2)-YEAR($F24))*12 + MONTH(BJ$2)-MONTH($F24)) / 12),
  0)</f>
        <v/>
      </c>
      <c r="BK24" s="299">
        <f>IF(AND($F24&lt;=BK$2, OR($G24="",$G24&gt;=BK$2)),
  $H24 * (1 + Assumptions!$C$7) ^ INT(((YEAR(BK$2)-YEAR($F24))*12 + MONTH(BK$2)-MONTH($F24)) / 12),
  0)</f>
        <v/>
      </c>
      <c r="BL24" s="299">
        <f>IF(AND($F24&lt;=BL$2, OR($G24="",$G24&gt;=BL$2)),
  $H24 * (1 + Assumptions!$C$7) ^ INT(((YEAR(BL$2)-YEAR($F24))*12 + MONTH(BL$2)-MONTH($F24)) / 12),
  0)</f>
        <v/>
      </c>
      <c r="BM24" s="299">
        <f>IF(AND($F24&lt;=BM$2, OR($G24="",$G24&gt;=BM$2)),
  $H24 * (1 + Assumptions!$C$7) ^ INT(((YEAR(BM$2)-YEAR($F24))*12 + MONTH(BM$2)-MONTH($F24)) / 12),
  0)</f>
        <v/>
      </c>
      <c r="BN24" s="299">
        <f>IF(AND($F24&lt;=BN$2, OR($G24="",$G24&gt;=BN$2)),
  $H24 * (1 + Assumptions!$C$7) ^ INT(((YEAR(BN$2)-YEAR($F24))*12 + MONTH(BN$2)-MONTH($F24)) / 12),
  0)</f>
        <v/>
      </c>
      <c r="BO24" s="299">
        <f>IF(AND($F24&lt;=BO$2, OR($G24="",$G24&gt;=BO$2)),
  $H24 * (1 + Assumptions!$C$7) ^ INT(((YEAR(BO$2)-YEAR($F24))*12 + MONTH(BO$2)-MONTH($F24)) / 12),
  0)</f>
        <v/>
      </c>
      <c r="BP24" s="299">
        <f>IF(AND($F24&lt;=BP$2, OR($G24="",$G24&gt;=BP$2)),
  $H24 * (1 + Assumptions!$C$7) ^ INT(((YEAR(BP$2)-YEAR($F24))*12 + MONTH(BP$2)-MONTH($F24)) / 12),
  0)</f>
        <v/>
      </c>
      <c r="BQ24" s="31" t="n"/>
      <c r="BR24" s="350" t="inlineStr">
        <is>
          <t>paid this month if started and not yet left; +8% on each work anniversary</t>
        </is>
      </c>
      <c r="BS24" s="31" t="n"/>
      <c r="BT24" s="31" t="n"/>
    </row>
    <row r="25" ht="15.75" customHeight="1" s="349">
      <c r="A25" s="321" t="n">
        <v>20</v>
      </c>
      <c r="B25" s="285" t="inlineStr">
        <is>
          <t>New hire</t>
        </is>
      </c>
      <c r="C25" s="317" t="inlineStr">
        <is>
          <t>G&amp;A</t>
        </is>
      </c>
      <c r="D25" s="321" t="inlineStr">
        <is>
          <t>Logistics</t>
        </is>
      </c>
      <c r="E25" s="297" t="inlineStr">
        <is>
          <t>Planned</t>
        </is>
      </c>
      <c r="F25" s="318" t="n">
        <v>46388</v>
      </c>
      <c r="G25" s="319" t="n"/>
      <c r="H25" s="288" t="n">
        <v>6500</v>
      </c>
      <c r="I25" s="299">
        <f>IF(AND($F25&lt;=I$2, OR($G25="",$G25&gt;=I$2)),
  $H25 * (1 + Assumptions!$C$7) ^ INT(((YEAR(I$2)-YEAR($F25))*12 + MONTH(I$2)-MONTH($F25)) / 12),
  0)</f>
        <v/>
      </c>
      <c r="J25" s="299">
        <f>IF(AND($F25&lt;=J$2, OR($G25="",$G25&gt;=J$2)),
  $H25 * (1 + Assumptions!$C$7) ^ INT(((YEAR(J$2)-YEAR($F25))*12 + MONTH(J$2)-MONTH($F25)) / 12),
  0)</f>
        <v/>
      </c>
      <c r="K25" s="299">
        <f>IF(AND($F25&lt;=K$2, OR($G25="",$G25&gt;=K$2)),
  $H25 * (1 + Assumptions!$C$7) ^ INT(((YEAR(K$2)-YEAR($F25))*12 + MONTH(K$2)-MONTH($F25)) / 12),
  0)</f>
        <v/>
      </c>
      <c r="L25" s="299">
        <f>IF(AND($F25&lt;=L$2, OR($G25="",$G25&gt;=L$2)),
  $H25 * (1 + Assumptions!$C$7) ^ INT(((YEAR(L$2)-YEAR($F25))*12 + MONTH(L$2)-MONTH($F25)) / 12),
  0)</f>
        <v/>
      </c>
      <c r="M25" s="299">
        <f>IF(AND($F25&lt;=M$2, OR($G25="",$G25&gt;=M$2)),
  $H25 * (1 + Assumptions!$C$7) ^ INT(((YEAR(M$2)-YEAR($F25))*12 + MONTH(M$2)-MONTH($F25)) / 12),
  0)</f>
        <v/>
      </c>
      <c r="N25" s="299">
        <f>IF(AND($F25&lt;=N$2, OR($G25="",$G25&gt;=N$2)),
  $H25 * (1 + Assumptions!$C$7) ^ INT(((YEAR(N$2)-YEAR($F25))*12 + MONTH(N$2)-MONTH($F25)) / 12),
  0)</f>
        <v/>
      </c>
      <c r="O25" s="299">
        <f>IF(AND($F25&lt;=O$2, OR($G25="",$G25&gt;=O$2)),
  $H25 * (1 + Assumptions!$C$7) ^ INT(((YEAR(O$2)-YEAR($F25))*12 + MONTH(O$2)-MONTH($F25)) / 12),
  0)</f>
        <v/>
      </c>
      <c r="P25" s="299">
        <f>IF(AND($F25&lt;=P$2, OR($G25="",$G25&gt;=P$2)),
  $H25 * (1 + Assumptions!$C$7) ^ INT(((YEAR(P$2)-YEAR($F25))*12 + MONTH(P$2)-MONTH($F25)) / 12),
  0)</f>
        <v/>
      </c>
      <c r="Q25" s="299">
        <f>IF(AND($F25&lt;=Q$2, OR($G25="",$G25&gt;=Q$2)),
  $H25 * (1 + Assumptions!$C$7) ^ INT(((YEAR(Q$2)-YEAR($F25))*12 + MONTH(Q$2)-MONTH($F25)) / 12),
  0)</f>
        <v/>
      </c>
      <c r="R25" s="299">
        <f>IF(AND($F25&lt;=R$2, OR($G25="",$G25&gt;=R$2)),
  $H25 * (1 + Assumptions!$C$7) ^ INT(((YEAR(R$2)-YEAR($F25))*12 + MONTH(R$2)-MONTH($F25)) / 12),
  0)</f>
        <v/>
      </c>
      <c r="S25" s="299">
        <f>IF(AND($F25&lt;=S$2, OR($G25="",$G25&gt;=S$2)),
  $H25 * (1 + Assumptions!$C$7) ^ INT(((YEAR(S$2)-YEAR($F25))*12 + MONTH(S$2)-MONTH($F25)) / 12),
  0)</f>
        <v/>
      </c>
      <c r="T25" s="299">
        <f>IF(AND($F25&lt;=T$2, OR($G25="",$G25&gt;=T$2)),
  $H25 * (1 + Assumptions!$C$7) ^ INT(((YEAR(T$2)-YEAR($F25))*12 + MONTH(T$2)-MONTH($F25)) / 12),
  0)</f>
        <v/>
      </c>
      <c r="U25" s="299">
        <f>IF(AND($F25&lt;=U$2, OR($G25="",$G25&gt;=U$2)),
  $H25 * (1 + Assumptions!$C$7) ^ INT(((YEAR(U$2)-YEAR($F25))*12 + MONTH(U$2)-MONTH($F25)) / 12),
  0)</f>
        <v/>
      </c>
      <c r="V25" s="299">
        <f>IF(AND($F25&lt;=V$2, OR($G25="",$G25&gt;=V$2)),
  $H25 * (1 + Assumptions!$C$7) ^ INT(((YEAR(V$2)-YEAR($F25))*12 + MONTH(V$2)-MONTH($F25)) / 12),
  0)</f>
        <v/>
      </c>
      <c r="W25" s="299">
        <f>IF(AND($F25&lt;=W$2, OR($G25="",$G25&gt;=W$2)),
  $H25 * (1 + Assumptions!$C$7) ^ INT(((YEAR(W$2)-YEAR($F25))*12 + MONTH(W$2)-MONTH($F25)) / 12),
  0)</f>
        <v/>
      </c>
      <c r="X25" s="299">
        <f>IF(AND($F25&lt;=X$2, OR($G25="",$G25&gt;=X$2)),
  $H25 * (1 + Assumptions!$C$7) ^ INT(((YEAR(X$2)-YEAR($F25))*12 + MONTH(X$2)-MONTH($F25)) / 12),
  0)</f>
        <v/>
      </c>
      <c r="Y25" s="299">
        <f>IF(AND($F25&lt;=Y$2, OR($G25="",$G25&gt;=Y$2)),
  $H25 * (1 + Assumptions!$C$7) ^ INT(((YEAR(Y$2)-YEAR($F25))*12 + MONTH(Y$2)-MONTH($F25)) / 12),
  0)</f>
        <v/>
      </c>
      <c r="Z25" s="299">
        <f>IF(AND($F25&lt;=Z$2, OR($G25="",$G25&gt;=Z$2)),
  $H25 * (1 + Assumptions!$C$7) ^ INT(((YEAR(Z$2)-YEAR($F25))*12 + MONTH(Z$2)-MONTH($F25)) / 12),
  0)</f>
        <v/>
      </c>
      <c r="AA25" s="299">
        <f>IF(AND($F25&lt;=AA$2, OR($G25="",$G25&gt;=AA$2)),
  $H25 * (1 + Assumptions!$C$7) ^ INT(((YEAR(AA$2)-YEAR($F25))*12 + MONTH(AA$2)-MONTH($F25)) / 12),
  0)</f>
        <v/>
      </c>
      <c r="AB25" s="299">
        <f>IF(AND($F25&lt;=AB$2, OR($G25="",$G25&gt;=AB$2)),
  $H25 * (1 + Assumptions!$C$7) ^ INT(((YEAR(AB$2)-YEAR($F25))*12 + MONTH(AB$2)-MONTH($F25)) / 12),
  0)</f>
        <v/>
      </c>
      <c r="AC25" s="299">
        <f>IF(AND($F25&lt;=AC$2, OR($G25="",$G25&gt;=AC$2)),
  $H25 * (1 + Assumptions!$C$7) ^ INT(((YEAR(AC$2)-YEAR($F25))*12 + MONTH(AC$2)-MONTH($F25)) / 12),
  0)</f>
        <v/>
      </c>
      <c r="AD25" s="299">
        <f>IF(AND($F25&lt;=AD$2, OR($G25="",$G25&gt;=AD$2)),
  $H25 * (1 + Assumptions!$C$7) ^ INT(((YEAR(AD$2)-YEAR($F25))*12 + MONTH(AD$2)-MONTH($F25)) / 12),
  0)</f>
        <v/>
      </c>
      <c r="AE25" s="299">
        <f>IF(AND($F25&lt;=AE$2, OR($G25="",$G25&gt;=AE$2)),
  $H25 * (1 + Assumptions!$C$7) ^ INT(((YEAR(AE$2)-YEAR($F25))*12 + MONTH(AE$2)-MONTH($F25)) / 12),
  0)</f>
        <v/>
      </c>
      <c r="AF25" s="299">
        <f>IF(AND($F25&lt;=AF$2, OR($G25="",$G25&gt;=AF$2)),
  $H25 * (1 + Assumptions!$C$7) ^ INT(((YEAR(AF$2)-YEAR($F25))*12 + MONTH(AF$2)-MONTH($F25)) / 12),
  0)</f>
        <v/>
      </c>
      <c r="AG25" s="299">
        <f>IF(AND($F25&lt;=AG$2, OR($G25="",$G25&gt;=AG$2)),
  $H25 * (1 + Assumptions!$C$7) ^ INT(((YEAR(AG$2)-YEAR($F25))*12 + MONTH(AG$2)-MONTH($F25)) / 12),
  0)</f>
        <v/>
      </c>
      <c r="AH25" s="299">
        <f>IF(AND($F25&lt;=AH$2, OR($G25="",$G25&gt;=AH$2)),
  $H25 * (1 + Assumptions!$C$7) ^ INT(((YEAR(AH$2)-YEAR($F25))*12 + MONTH(AH$2)-MONTH($F25)) / 12),
  0)</f>
        <v/>
      </c>
      <c r="AI25" s="299">
        <f>IF(AND($F25&lt;=AI$2, OR($G25="",$G25&gt;=AI$2)),
  $H25 * (1 + Assumptions!$C$7) ^ INT(((YEAR(AI$2)-YEAR($F25))*12 + MONTH(AI$2)-MONTH($F25)) / 12),
  0)</f>
        <v/>
      </c>
      <c r="AJ25" s="299">
        <f>IF(AND($F25&lt;=AJ$2, OR($G25="",$G25&gt;=AJ$2)),
  $H25 * (1 + Assumptions!$C$7) ^ INT(((YEAR(AJ$2)-YEAR($F25))*12 + MONTH(AJ$2)-MONTH($F25)) / 12),
  0)</f>
        <v/>
      </c>
      <c r="AK25" s="299">
        <f>IF(AND($F25&lt;=AK$2, OR($G25="",$G25&gt;=AK$2)),
  $H25 * (1 + Assumptions!$C$7) ^ INT(((YEAR(AK$2)-YEAR($F25))*12 + MONTH(AK$2)-MONTH($F25)) / 12),
  0)</f>
        <v/>
      </c>
      <c r="AL25" s="299">
        <f>IF(AND($F25&lt;=AL$2, OR($G25="",$G25&gt;=AL$2)),
  $H25 * (1 + Assumptions!$C$7) ^ INT(((YEAR(AL$2)-YEAR($F25))*12 + MONTH(AL$2)-MONTH($F25)) / 12),
  0)</f>
        <v/>
      </c>
      <c r="AM25" s="299">
        <f>IF(AND($F25&lt;=AM$2, OR($G25="",$G25&gt;=AM$2)),
  $H25 * (1 + Assumptions!$C$7) ^ INT(((YEAR(AM$2)-YEAR($F25))*12 + MONTH(AM$2)-MONTH($F25)) / 12),
  0)</f>
        <v/>
      </c>
      <c r="AN25" s="299">
        <f>IF(AND($F25&lt;=AN$2, OR($G25="",$G25&gt;=AN$2)),
  $H25 * (1 + Assumptions!$C$7) ^ INT(((YEAR(AN$2)-YEAR($F25))*12 + MONTH(AN$2)-MONTH($F25)) / 12),
  0)</f>
        <v/>
      </c>
      <c r="AO25" s="299">
        <f>IF(AND($F25&lt;=AO$2, OR($G25="",$G25&gt;=AO$2)),
  $H25 * (1 + Assumptions!$C$7) ^ INT(((YEAR(AO$2)-YEAR($F25))*12 + MONTH(AO$2)-MONTH($F25)) / 12),
  0)</f>
        <v/>
      </c>
      <c r="AP25" s="299">
        <f>IF(AND($F25&lt;=AP$2, OR($G25="",$G25&gt;=AP$2)),
  $H25 * (1 + Assumptions!$C$7) ^ INT(((YEAR(AP$2)-YEAR($F25))*12 + MONTH(AP$2)-MONTH($F25)) / 12),
  0)</f>
        <v/>
      </c>
      <c r="AQ25" s="299">
        <f>IF(AND($F25&lt;=AQ$2, OR($G25="",$G25&gt;=AQ$2)),
  $H25 * (1 + Assumptions!$C$7) ^ INT(((YEAR(AQ$2)-YEAR($F25))*12 + MONTH(AQ$2)-MONTH($F25)) / 12),
  0)</f>
        <v/>
      </c>
      <c r="AR25" s="299">
        <f>IF(AND($F25&lt;=AR$2, OR($G25="",$G25&gt;=AR$2)),
  $H25 * (1 + Assumptions!$C$7) ^ INT(((YEAR(AR$2)-YEAR($F25))*12 + MONTH(AR$2)-MONTH($F25)) / 12),
  0)</f>
        <v/>
      </c>
      <c r="AS25" s="299">
        <f>IF(AND($F25&lt;=AS$2, OR($G25="",$G25&gt;=AS$2)),
  $H25 * (1 + Assumptions!$C$7) ^ INT(((YEAR(AS$2)-YEAR($F25))*12 + MONTH(AS$2)-MONTH($F25)) / 12),
  0)</f>
        <v/>
      </c>
      <c r="AT25" s="299">
        <f>IF(AND($F25&lt;=AT$2, OR($G25="",$G25&gt;=AT$2)),
  $H25 * (1 + Assumptions!$C$7) ^ INT(((YEAR(AT$2)-YEAR($F25))*12 + MONTH(AT$2)-MONTH($F25)) / 12),
  0)</f>
        <v/>
      </c>
      <c r="AU25" s="299">
        <f>IF(AND($F25&lt;=AU$2, OR($G25="",$G25&gt;=AU$2)),
  $H25 * (1 + Assumptions!$C$7) ^ INT(((YEAR(AU$2)-YEAR($F25))*12 + MONTH(AU$2)-MONTH($F25)) / 12),
  0)</f>
        <v/>
      </c>
      <c r="AV25" s="299">
        <f>IF(AND($F25&lt;=AV$2, OR($G25="",$G25&gt;=AV$2)),
  $H25 * (1 + Assumptions!$C$7) ^ INT(((YEAR(AV$2)-YEAR($F25))*12 + MONTH(AV$2)-MONTH($F25)) / 12),
  0)</f>
        <v/>
      </c>
      <c r="AW25" s="299">
        <f>IF(AND($F25&lt;=AW$2, OR($G25="",$G25&gt;=AW$2)),
  $H25 * (1 + Assumptions!$C$7) ^ INT(((YEAR(AW$2)-YEAR($F25))*12 + MONTH(AW$2)-MONTH($F25)) / 12),
  0)</f>
        <v/>
      </c>
      <c r="AX25" s="299">
        <f>IF(AND($F25&lt;=AX$2, OR($G25="",$G25&gt;=AX$2)),
  $H25 * (1 + Assumptions!$C$7) ^ INT(((YEAR(AX$2)-YEAR($F25))*12 + MONTH(AX$2)-MONTH($F25)) / 12),
  0)</f>
        <v/>
      </c>
      <c r="AY25" s="299">
        <f>IF(AND($F25&lt;=AY$2, OR($G25="",$G25&gt;=AY$2)),
  $H25 * (1 + Assumptions!$C$7) ^ INT(((YEAR(AY$2)-YEAR($F25))*12 + MONTH(AY$2)-MONTH($F25)) / 12),
  0)</f>
        <v/>
      </c>
      <c r="AZ25" s="299">
        <f>IF(AND($F25&lt;=AZ$2, OR($G25="",$G25&gt;=AZ$2)),
  $H25 * (1 + Assumptions!$C$7) ^ INT(((YEAR(AZ$2)-YEAR($F25))*12 + MONTH(AZ$2)-MONTH($F25)) / 12),
  0)</f>
        <v/>
      </c>
      <c r="BA25" s="299">
        <f>IF(AND($F25&lt;=BA$2, OR($G25="",$G25&gt;=BA$2)),
  $H25 * (1 + Assumptions!$C$7) ^ INT(((YEAR(BA$2)-YEAR($F25))*12 + MONTH(BA$2)-MONTH($F25)) / 12),
  0)</f>
        <v/>
      </c>
      <c r="BB25" s="299">
        <f>IF(AND($F25&lt;=BB$2, OR($G25="",$G25&gt;=BB$2)),
  $H25 * (1 + Assumptions!$C$7) ^ INT(((YEAR(BB$2)-YEAR($F25))*12 + MONTH(BB$2)-MONTH($F25)) / 12),
  0)</f>
        <v/>
      </c>
      <c r="BC25" s="299">
        <f>IF(AND($F25&lt;=BC$2, OR($G25="",$G25&gt;=BC$2)),
  $H25 * (1 + Assumptions!$C$7) ^ INT(((YEAR(BC$2)-YEAR($F25))*12 + MONTH(BC$2)-MONTH($F25)) / 12),
  0)</f>
        <v/>
      </c>
      <c r="BD25" s="299">
        <f>IF(AND($F25&lt;=BD$2, OR($G25="",$G25&gt;=BD$2)),
  $H25 * (1 + Assumptions!$C$7) ^ INT(((YEAR(BD$2)-YEAR($F25))*12 + MONTH(BD$2)-MONTH($F25)) / 12),
  0)</f>
        <v/>
      </c>
      <c r="BE25" s="299">
        <f>IF(AND($F25&lt;=BE$2, OR($G25="",$G25&gt;=BE$2)),
  $H25 * (1 + Assumptions!$C$7) ^ INT(((YEAR(BE$2)-YEAR($F25))*12 + MONTH(BE$2)-MONTH($F25)) / 12),
  0)</f>
        <v/>
      </c>
      <c r="BF25" s="299">
        <f>IF(AND($F25&lt;=BF$2, OR($G25="",$G25&gt;=BF$2)),
  $H25 * (1 + Assumptions!$C$7) ^ INT(((YEAR(BF$2)-YEAR($F25))*12 + MONTH(BF$2)-MONTH($F25)) / 12),
  0)</f>
        <v/>
      </c>
      <c r="BG25" s="299">
        <f>IF(AND($F25&lt;=BG$2, OR($G25="",$G25&gt;=BG$2)),
  $H25 * (1 + Assumptions!$C$7) ^ INT(((YEAR(BG$2)-YEAR($F25))*12 + MONTH(BG$2)-MONTH($F25)) / 12),
  0)</f>
        <v/>
      </c>
      <c r="BH25" s="299">
        <f>IF(AND($F25&lt;=BH$2, OR($G25="",$G25&gt;=BH$2)),
  $H25 * (1 + Assumptions!$C$7) ^ INT(((YEAR(BH$2)-YEAR($F25))*12 + MONTH(BH$2)-MONTH($F25)) / 12),
  0)</f>
        <v/>
      </c>
      <c r="BI25" s="299">
        <f>IF(AND($F25&lt;=BI$2, OR($G25="",$G25&gt;=BI$2)),
  $H25 * (1 + Assumptions!$C$7) ^ INT(((YEAR(BI$2)-YEAR($F25))*12 + MONTH(BI$2)-MONTH($F25)) / 12),
  0)</f>
        <v/>
      </c>
      <c r="BJ25" s="299">
        <f>IF(AND($F25&lt;=BJ$2, OR($G25="",$G25&gt;=BJ$2)),
  $H25 * (1 + Assumptions!$C$7) ^ INT(((YEAR(BJ$2)-YEAR($F25))*12 + MONTH(BJ$2)-MONTH($F25)) / 12),
  0)</f>
        <v/>
      </c>
      <c r="BK25" s="299">
        <f>IF(AND($F25&lt;=BK$2, OR($G25="",$G25&gt;=BK$2)),
  $H25 * (1 + Assumptions!$C$7) ^ INT(((YEAR(BK$2)-YEAR($F25))*12 + MONTH(BK$2)-MONTH($F25)) / 12),
  0)</f>
        <v/>
      </c>
      <c r="BL25" s="299">
        <f>IF(AND($F25&lt;=BL$2, OR($G25="",$G25&gt;=BL$2)),
  $H25 * (1 + Assumptions!$C$7) ^ INT(((YEAR(BL$2)-YEAR($F25))*12 + MONTH(BL$2)-MONTH($F25)) / 12),
  0)</f>
        <v/>
      </c>
      <c r="BM25" s="299">
        <f>IF(AND($F25&lt;=BM$2, OR($G25="",$G25&gt;=BM$2)),
  $H25 * (1 + Assumptions!$C$7) ^ INT(((YEAR(BM$2)-YEAR($F25))*12 + MONTH(BM$2)-MONTH($F25)) / 12),
  0)</f>
        <v/>
      </c>
      <c r="BN25" s="299">
        <f>IF(AND($F25&lt;=BN$2, OR($G25="",$G25&gt;=BN$2)),
  $H25 * (1 + Assumptions!$C$7) ^ INT(((YEAR(BN$2)-YEAR($F25))*12 + MONTH(BN$2)-MONTH($F25)) / 12),
  0)</f>
        <v/>
      </c>
      <c r="BO25" s="299">
        <f>IF(AND($F25&lt;=BO$2, OR($G25="",$G25&gt;=BO$2)),
  $H25 * (1 + Assumptions!$C$7) ^ INT(((YEAR(BO$2)-YEAR($F25))*12 + MONTH(BO$2)-MONTH($F25)) / 12),
  0)</f>
        <v/>
      </c>
      <c r="BP25" s="299">
        <f>IF(AND($F25&lt;=BP$2, OR($G25="",$G25&gt;=BP$2)),
  $H25 * (1 + Assumptions!$C$7) ^ INT(((YEAR(BP$2)-YEAR($F25))*12 + MONTH(BP$2)-MONTH($F25)) / 12),
  0)</f>
        <v/>
      </c>
      <c r="BQ25" s="31" t="n"/>
      <c r="BR25" s="350" t="inlineStr">
        <is>
          <t>paid this month if started and not yet left; +8% on each work anniversary</t>
        </is>
      </c>
      <c r="BS25" s="31" t="n"/>
      <c r="BT25" s="31" t="n"/>
    </row>
    <row r="26" ht="15.75" customHeight="1" s="349">
      <c r="A26" s="321" t="n">
        <v>21</v>
      </c>
      <c r="B26" s="285" t="inlineStr">
        <is>
          <t>New hire</t>
        </is>
      </c>
      <c r="C26" s="285" t="inlineStr">
        <is>
          <t>R&amp;D</t>
        </is>
      </c>
      <c r="D26" s="285" t="inlineStr">
        <is>
          <t>Field Engineer</t>
        </is>
      </c>
      <c r="E26" s="297" t="inlineStr">
        <is>
          <t>Planned</t>
        </is>
      </c>
      <c r="F26" s="318" t="n">
        <v>46388</v>
      </c>
      <c r="G26" s="298" t="n"/>
      <c r="H26" s="288" t="n">
        <v>6500</v>
      </c>
      <c r="I26" s="299">
        <f>IF(AND($F26&lt;=I$2, OR($G26="",$G26&gt;=I$2)),
  $H26 * (1 + Assumptions!$C$7) ^ INT(((YEAR(I$2)-YEAR($F26))*12 + MONTH(I$2)-MONTH($F26)) / 12),
  0)</f>
        <v/>
      </c>
      <c r="J26" s="299">
        <f>IF(AND($F26&lt;=J$2, OR($G26="",$G26&gt;=J$2)),
  $H26 * (1 + Assumptions!$C$7) ^ INT(((YEAR(J$2)-YEAR($F26))*12 + MONTH(J$2)-MONTH($F26)) / 12),
  0)</f>
        <v/>
      </c>
      <c r="K26" s="299">
        <f>IF(AND($F26&lt;=K$2, OR($G26="",$G26&gt;=K$2)),
  $H26 * (1 + Assumptions!$C$7) ^ INT(((YEAR(K$2)-YEAR($F26))*12 + MONTH(K$2)-MONTH($F26)) / 12),
  0)</f>
        <v/>
      </c>
      <c r="L26" s="299">
        <f>IF(AND($F26&lt;=L$2, OR($G26="",$G26&gt;=L$2)),
  $H26 * (1 + Assumptions!$C$7) ^ INT(((YEAR(L$2)-YEAR($F26))*12 + MONTH(L$2)-MONTH($F26)) / 12),
  0)</f>
        <v/>
      </c>
      <c r="M26" s="299">
        <f>IF(AND($F26&lt;=M$2, OR($G26="",$G26&gt;=M$2)),
  $H26 * (1 + Assumptions!$C$7) ^ INT(((YEAR(M$2)-YEAR($F26))*12 + MONTH(M$2)-MONTH($F26)) / 12),
  0)</f>
        <v/>
      </c>
      <c r="N26" s="299">
        <f>IF(AND($F26&lt;=N$2, OR($G26="",$G26&gt;=N$2)),
  $H26 * (1 + Assumptions!$C$7) ^ INT(((YEAR(N$2)-YEAR($F26))*12 + MONTH(N$2)-MONTH($F26)) / 12),
  0)</f>
        <v/>
      </c>
      <c r="O26" s="299">
        <f>IF(AND($F26&lt;=O$2, OR($G26="",$G26&gt;=O$2)),
  $H26 * (1 + Assumptions!$C$7) ^ INT(((YEAR(O$2)-YEAR($F26))*12 + MONTH(O$2)-MONTH($F26)) / 12),
  0)</f>
        <v/>
      </c>
      <c r="P26" s="299">
        <f>IF(AND($F26&lt;=P$2, OR($G26="",$G26&gt;=P$2)),
  $H26 * (1 + Assumptions!$C$7) ^ INT(((YEAR(P$2)-YEAR($F26))*12 + MONTH(P$2)-MONTH($F26)) / 12),
  0)</f>
        <v/>
      </c>
      <c r="Q26" s="299">
        <f>IF(AND($F26&lt;=Q$2, OR($G26="",$G26&gt;=Q$2)),
  $H26 * (1 + Assumptions!$C$7) ^ INT(((YEAR(Q$2)-YEAR($F26))*12 + MONTH(Q$2)-MONTH($F26)) / 12),
  0)</f>
        <v/>
      </c>
      <c r="R26" s="299">
        <f>IF(AND($F26&lt;=R$2, OR($G26="",$G26&gt;=R$2)),
  $H26 * (1 + Assumptions!$C$7) ^ INT(((YEAR(R$2)-YEAR($F26))*12 + MONTH(R$2)-MONTH($F26)) / 12),
  0)</f>
        <v/>
      </c>
      <c r="S26" s="299">
        <f>IF(AND($F26&lt;=S$2, OR($G26="",$G26&gt;=S$2)),
  $H26 * (1 + Assumptions!$C$7) ^ INT(((YEAR(S$2)-YEAR($F26))*12 + MONTH(S$2)-MONTH($F26)) / 12),
  0)</f>
        <v/>
      </c>
      <c r="T26" s="299">
        <f>IF(AND($F26&lt;=T$2, OR($G26="",$G26&gt;=T$2)),
  $H26 * (1 + Assumptions!$C$7) ^ INT(((YEAR(T$2)-YEAR($F26))*12 + MONTH(T$2)-MONTH($F26)) / 12),
  0)</f>
        <v/>
      </c>
      <c r="U26" s="299">
        <f>IF(AND($F26&lt;=U$2, OR($G26="",$G26&gt;=U$2)),
  $H26 * (1 + Assumptions!$C$7) ^ INT(((YEAR(U$2)-YEAR($F26))*12 + MONTH(U$2)-MONTH($F26)) / 12),
  0)</f>
        <v/>
      </c>
      <c r="V26" s="299">
        <f>IF(AND($F26&lt;=V$2, OR($G26="",$G26&gt;=V$2)),
  $H26 * (1 + Assumptions!$C$7) ^ INT(((YEAR(V$2)-YEAR($F26))*12 + MONTH(V$2)-MONTH($F26)) / 12),
  0)</f>
        <v/>
      </c>
      <c r="W26" s="299">
        <f>IF(AND($F26&lt;=W$2, OR($G26="",$G26&gt;=W$2)),
  $H26 * (1 + Assumptions!$C$7) ^ INT(((YEAR(W$2)-YEAR($F26))*12 + MONTH(W$2)-MONTH($F26)) / 12),
  0)</f>
        <v/>
      </c>
      <c r="X26" s="299">
        <f>IF(AND($F26&lt;=X$2, OR($G26="",$G26&gt;=X$2)),
  $H26 * (1 + Assumptions!$C$7) ^ INT(((YEAR(X$2)-YEAR($F26))*12 + MONTH(X$2)-MONTH($F26)) / 12),
  0)</f>
        <v/>
      </c>
      <c r="Y26" s="299">
        <f>IF(AND($F26&lt;=Y$2, OR($G26="",$G26&gt;=Y$2)),
  $H26 * (1 + Assumptions!$C$7) ^ INT(((YEAR(Y$2)-YEAR($F26))*12 + MONTH(Y$2)-MONTH($F26)) / 12),
  0)</f>
        <v/>
      </c>
      <c r="Z26" s="299">
        <f>IF(AND($F26&lt;=Z$2, OR($G26="",$G26&gt;=Z$2)),
  $H26 * (1 + Assumptions!$C$7) ^ INT(((YEAR(Z$2)-YEAR($F26))*12 + MONTH(Z$2)-MONTH($F26)) / 12),
  0)</f>
        <v/>
      </c>
      <c r="AA26" s="299">
        <f>IF(AND($F26&lt;=AA$2, OR($G26="",$G26&gt;=AA$2)),
  $H26 * (1 + Assumptions!$C$7) ^ INT(((YEAR(AA$2)-YEAR($F26))*12 + MONTH(AA$2)-MONTH($F26)) / 12),
  0)</f>
        <v/>
      </c>
      <c r="AB26" s="299">
        <f>IF(AND($F26&lt;=AB$2, OR($G26="",$G26&gt;=AB$2)),
  $H26 * (1 + Assumptions!$C$7) ^ INT(((YEAR(AB$2)-YEAR($F26))*12 + MONTH(AB$2)-MONTH($F26)) / 12),
  0)</f>
        <v/>
      </c>
      <c r="AC26" s="299">
        <f>IF(AND($F26&lt;=AC$2, OR($G26="",$G26&gt;=AC$2)),
  $H26 * (1 + Assumptions!$C$7) ^ INT(((YEAR(AC$2)-YEAR($F26))*12 + MONTH(AC$2)-MONTH($F26)) / 12),
  0)</f>
        <v/>
      </c>
      <c r="AD26" s="299">
        <f>IF(AND($F26&lt;=AD$2, OR($G26="",$G26&gt;=AD$2)),
  $H26 * (1 + Assumptions!$C$7) ^ INT(((YEAR(AD$2)-YEAR($F26))*12 + MONTH(AD$2)-MONTH($F26)) / 12),
  0)</f>
        <v/>
      </c>
      <c r="AE26" s="299">
        <f>IF(AND($F26&lt;=AE$2, OR($G26="",$G26&gt;=AE$2)),
  $H26 * (1 + Assumptions!$C$7) ^ INT(((YEAR(AE$2)-YEAR($F26))*12 + MONTH(AE$2)-MONTH($F26)) / 12),
  0)</f>
        <v/>
      </c>
      <c r="AF26" s="299">
        <f>IF(AND($F26&lt;=AF$2, OR($G26="",$G26&gt;=AF$2)),
  $H26 * (1 + Assumptions!$C$7) ^ INT(((YEAR(AF$2)-YEAR($F26))*12 + MONTH(AF$2)-MONTH($F26)) / 12),
  0)</f>
        <v/>
      </c>
      <c r="AG26" s="299">
        <f>IF(AND($F26&lt;=AG$2, OR($G26="",$G26&gt;=AG$2)),
  $H26 * (1 + Assumptions!$C$7) ^ INT(((YEAR(AG$2)-YEAR($F26))*12 + MONTH(AG$2)-MONTH($F26)) / 12),
  0)</f>
        <v/>
      </c>
      <c r="AH26" s="299">
        <f>IF(AND($F26&lt;=AH$2, OR($G26="",$G26&gt;=AH$2)),
  $H26 * (1 + Assumptions!$C$7) ^ INT(((YEAR(AH$2)-YEAR($F26))*12 + MONTH(AH$2)-MONTH($F26)) / 12),
  0)</f>
        <v/>
      </c>
      <c r="AI26" s="299">
        <f>IF(AND($F26&lt;=AI$2, OR($G26="",$G26&gt;=AI$2)),
  $H26 * (1 + Assumptions!$C$7) ^ INT(((YEAR(AI$2)-YEAR($F26))*12 + MONTH(AI$2)-MONTH($F26)) / 12),
  0)</f>
        <v/>
      </c>
      <c r="AJ26" s="299">
        <f>IF(AND($F26&lt;=AJ$2, OR($G26="",$G26&gt;=AJ$2)),
  $H26 * (1 + Assumptions!$C$7) ^ INT(((YEAR(AJ$2)-YEAR($F26))*12 + MONTH(AJ$2)-MONTH($F26)) / 12),
  0)</f>
        <v/>
      </c>
      <c r="AK26" s="299">
        <f>IF(AND($F26&lt;=AK$2, OR($G26="",$G26&gt;=AK$2)),
  $H26 * (1 + Assumptions!$C$7) ^ INT(((YEAR(AK$2)-YEAR($F26))*12 + MONTH(AK$2)-MONTH($F26)) / 12),
  0)</f>
        <v/>
      </c>
      <c r="AL26" s="299">
        <f>IF(AND($F26&lt;=AL$2, OR($G26="",$G26&gt;=AL$2)),
  $H26 * (1 + Assumptions!$C$7) ^ INT(((YEAR(AL$2)-YEAR($F26))*12 + MONTH(AL$2)-MONTH($F26)) / 12),
  0)</f>
        <v/>
      </c>
      <c r="AM26" s="299">
        <f>IF(AND($F26&lt;=AM$2, OR($G26="",$G26&gt;=AM$2)),
  $H26 * (1 + Assumptions!$C$7) ^ INT(((YEAR(AM$2)-YEAR($F26))*12 + MONTH(AM$2)-MONTH($F26)) / 12),
  0)</f>
        <v/>
      </c>
      <c r="AN26" s="299">
        <f>IF(AND($F26&lt;=AN$2, OR($G26="",$G26&gt;=AN$2)),
  $H26 * (1 + Assumptions!$C$7) ^ INT(((YEAR(AN$2)-YEAR($F26))*12 + MONTH(AN$2)-MONTH($F26)) / 12),
  0)</f>
        <v/>
      </c>
      <c r="AO26" s="299">
        <f>IF(AND($F26&lt;=AO$2, OR($G26="",$G26&gt;=AO$2)),
  $H26 * (1 + Assumptions!$C$7) ^ INT(((YEAR(AO$2)-YEAR($F26))*12 + MONTH(AO$2)-MONTH($F26)) / 12),
  0)</f>
        <v/>
      </c>
      <c r="AP26" s="299">
        <f>IF(AND($F26&lt;=AP$2, OR($G26="",$G26&gt;=AP$2)),
  $H26 * (1 + Assumptions!$C$7) ^ INT(((YEAR(AP$2)-YEAR($F26))*12 + MONTH(AP$2)-MONTH($F26)) / 12),
  0)</f>
        <v/>
      </c>
      <c r="AQ26" s="299">
        <f>IF(AND($F26&lt;=AQ$2, OR($G26="",$G26&gt;=AQ$2)),
  $H26 * (1 + Assumptions!$C$7) ^ INT(((YEAR(AQ$2)-YEAR($F26))*12 + MONTH(AQ$2)-MONTH($F26)) / 12),
  0)</f>
        <v/>
      </c>
      <c r="AR26" s="299">
        <f>IF(AND($F26&lt;=AR$2, OR($G26="",$G26&gt;=AR$2)),
  $H26 * (1 + Assumptions!$C$7) ^ INT(((YEAR(AR$2)-YEAR($F26))*12 + MONTH(AR$2)-MONTH($F26)) / 12),
  0)</f>
        <v/>
      </c>
      <c r="AS26" s="299">
        <f>IF(AND($F26&lt;=AS$2, OR($G26="",$G26&gt;=AS$2)),
  $H26 * (1 + Assumptions!$C$7) ^ INT(((YEAR(AS$2)-YEAR($F26))*12 + MONTH(AS$2)-MONTH($F26)) / 12),
  0)</f>
        <v/>
      </c>
      <c r="AT26" s="299">
        <f>IF(AND($F26&lt;=AT$2, OR($G26="",$G26&gt;=AT$2)),
  $H26 * (1 + Assumptions!$C$7) ^ INT(((YEAR(AT$2)-YEAR($F26))*12 + MONTH(AT$2)-MONTH($F26)) / 12),
  0)</f>
        <v/>
      </c>
      <c r="AU26" s="299">
        <f>IF(AND($F26&lt;=AU$2, OR($G26="",$G26&gt;=AU$2)),
  $H26 * (1 + Assumptions!$C$7) ^ INT(((YEAR(AU$2)-YEAR($F26))*12 + MONTH(AU$2)-MONTH($F26)) / 12),
  0)</f>
        <v/>
      </c>
      <c r="AV26" s="299">
        <f>IF(AND($F26&lt;=AV$2, OR($G26="",$G26&gt;=AV$2)),
  $H26 * (1 + Assumptions!$C$7) ^ INT(((YEAR(AV$2)-YEAR($F26))*12 + MONTH(AV$2)-MONTH($F26)) / 12),
  0)</f>
        <v/>
      </c>
      <c r="AW26" s="299">
        <f>IF(AND($F26&lt;=AW$2, OR($G26="",$G26&gt;=AW$2)),
  $H26 * (1 + Assumptions!$C$7) ^ INT(((YEAR(AW$2)-YEAR($F26))*12 + MONTH(AW$2)-MONTH($F26)) / 12),
  0)</f>
        <v/>
      </c>
      <c r="AX26" s="299">
        <f>IF(AND($F26&lt;=AX$2, OR($G26="",$G26&gt;=AX$2)),
  $H26 * (1 + Assumptions!$C$7) ^ INT(((YEAR(AX$2)-YEAR($F26))*12 + MONTH(AX$2)-MONTH($F26)) / 12),
  0)</f>
        <v/>
      </c>
      <c r="AY26" s="299">
        <f>IF(AND($F26&lt;=AY$2, OR($G26="",$G26&gt;=AY$2)),
  $H26 * (1 + Assumptions!$C$7) ^ INT(((YEAR(AY$2)-YEAR($F26))*12 + MONTH(AY$2)-MONTH($F26)) / 12),
  0)</f>
        <v/>
      </c>
      <c r="AZ26" s="299">
        <f>IF(AND($F26&lt;=AZ$2, OR($G26="",$G26&gt;=AZ$2)),
  $H26 * (1 + Assumptions!$C$7) ^ INT(((YEAR(AZ$2)-YEAR($F26))*12 + MONTH(AZ$2)-MONTH($F26)) / 12),
  0)</f>
        <v/>
      </c>
      <c r="BA26" s="299">
        <f>IF(AND($F26&lt;=BA$2, OR($G26="",$G26&gt;=BA$2)),
  $H26 * (1 + Assumptions!$C$7) ^ INT(((YEAR(BA$2)-YEAR($F26))*12 + MONTH(BA$2)-MONTH($F26)) / 12),
  0)</f>
        <v/>
      </c>
      <c r="BB26" s="299">
        <f>IF(AND($F26&lt;=BB$2, OR($G26="",$G26&gt;=BB$2)),
  $H26 * (1 + Assumptions!$C$7) ^ INT(((YEAR(BB$2)-YEAR($F26))*12 + MONTH(BB$2)-MONTH($F26)) / 12),
  0)</f>
        <v/>
      </c>
      <c r="BC26" s="299">
        <f>IF(AND($F26&lt;=BC$2, OR($G26="",$G26&gt;=BC$2)),
  $H26 * (1 + Assumptions!$C$7) ^ INT(((YEAR(BC$2)-YEAR($F26))*12 + MONTH(BC$2)-MONTH($F26)) / 12),
  0)</f>
        <v/>
      </c>
      <c r="BD26" s="299">
        <f>IF(AND($F26&lt;=BD$2, OR($G26="",$G26&gt;=BD$2)),
  $H26 * (1 + Assumptions!$C$7) ^ INT(((YEAR(BD$2)-YEAR($F26))*12 + MONTH(BD$2)-MONTH($F26)) / 12),
  0)</f>
        <v/>
      </c>
      <c r="BE26" s="299">
        <f>IF(AND($F26&lt;=BE$2, OR($G26="",$G26&gt;=BE$2)),
  $H26 * (1 + Assumptions!$C$7) ^ INT(((YEAR(BE$2)-YEAR($F26))*12 + MONTH(BE$2)-MONTH($F26)) / 12),
  0)</f>
        <v/>
      </c>
      <c r="BF26" s="299">
        <f>IF(AND($F26&lt;=BF$2, OR($G26="",$G26&gt;=BF$2)),
  $H26 * (1 + Assumptions!$C$7) ^ INT(((YEAR(BF$2)-YEAR($F26))*12 + MONTH(BF$2)-MONTH($F26)) / 12),
  0)</f>
        <v/>
      </c>
      <c r="BG26" s="299">
        <f>IF(AND($F26&lt;=BG$2, OR($G26="",$G26&gt;=BG$2)),
  $H26 * (1 + Assumptions!$C$7) ^ INT(((YEAR(BG$2)-YEAR($F26))*12 + MONTH(BG$2)-MONTH($F26)) / 12),
  0)</f>
        <v/>
      </c>
      <c r="BH26" s="299">
        <f>IF(AND($F26&lt;=BH$2, OR($G26="",$G26&gt;=BH$2)),
  $H26 * (1 + Assumptions!$C$7) ^ INT(((YEAR(BH$2)-YEAR($F26))*12 + MONTH(BH$2)-MONTH($F26)) / 12),
  0)</f>
        <v/>
      </c>
      <c r="BI26" s="299">
        <f>IF(AND($F26&lt;=BI$2, OR($G26="",$G26&gt;=BI$2)),
  $H26 * (1 + Assumptions!$C$7) ^ INT(((YEAR(BI$2)-YEAR($F26))*12 + MONTH(BI$2)-MONTH($F26)) / 12),
  0)</f>
        <v/>
      </c>
      <c r="BJ26" s="299">
        <f>IF(AND($F26&lt;=BJ$2, OR($G26="",$G26&gt;=BJ$2)),
  $H26 * (1 + Assumptions!$C$7) ^ INT(((YEAR(BJ$2)-YEAR($F26))*12 + MONTH(BJ$2)-MONTH($F26)) / 12),
  0)</f>
        <v/>
      </c>
      <c r="BK26" s="299">
        <f>IF(AND($F26&lt;=BK$2, OR($G26="",$G26&gt;=BK$2)),
  $H26 * (1 + Assumptions!$C$7) ^ INT(((YEAR(BK$2)-YEAR($F26))*12 + MONTH(BK$2)-MONTH($F26)) / 12),
  0)</f>
        <v/>
      </c>
      <c r="BL26" s="299">
        <f>IF(AND($F26&lt;=BL$2, OR($G26="",$G26&gt;=BL$2)),
  $H26 * (1 + Assumptions!$C$7) ^ INT(((YEAR(BL$2)-YEAR($F26))*12 + MONTH(BL$2)-MONTH($F26)) / 12),
  0)</f>
        <v/>
      </c>
      <c r="BM26" s="299">
        <f>IF(AND($F26&lt;=BM$2, OR($G26="",$G26&gt;=BM$2)),
  $H26 * (1 + Assumptions!$C$7) ^ INT(((YEAR(BM$2)-YEAR($F26))*12 + MONTH(BM$2)-MONTH($F26)) / 12),
  0)</f>
        <v/>
      </c>
      <c r="BN26" s="299">
        <f>IF(AND($F26&lt;=BN$2, OR($G26="",$G26&gt;=BN$2)),
  $H26 * (1 + Assumptions!$C$7) ^ INT(((YEAR(BN$2)-YEAR($F26))*12 + MONTH(BN$2)-MONTH($F26)) / 12),
  0)</f>
        <v/>
      </c>
      <c r="BO26" s="299">
        <f>IF(AND($F26&lt;=BO$2, OR($G26="",$G26&gt;=BO$2)),
  $H26 * (1 + Assumptions!$C$7) ^ INT(((YEAR(BO$2)-YEAR($F26))*12 + MONTH(BO$2)-MONTH($F26)) / 12),
  0)</f>
        <v/>
      </c>
      <c r="BP26" s="299">
        <f>IF(AND($F26&lt;=BP$2, OR($G26="",$G26&gt;=BP$2)),
  $H26 * (1 + Assumptions!$C$7) ^ INT(((YEAR(BP$2)-YEAR($F26))*12 + MONTH(BP$2)-MONTH($F26)) / 12),
  0)</f>
        <v/>
      </c>
      <c r="BQ26" s="31" t="n"/>
      <c r="BR26" s="350" t="inlineStr">
        <is>
          <t>paid this month if started and not yet left; +8% on each work anniversary</t>
        </is>
      </c>
      <c r="BS26" s="31" t="n"/>
      <c r="BT26" s="31" t="n"/>
    </row>
    <row r="27" ht="15.75" customHeight="1" s="349">
      <c r="A27" s="321" t="n">
        <v>22</v>
      </c>
      <c r="B27" s="285" t="inlineStr">
        <is>
          <t>New hire</t>
        </is>
      </c>
      <c r="C27" s="285" t="inlineStr">
        <is>
          <t>R&amp;D</t>
        </is>
      </c>
      <c r="D27" s="321" t="inlineStr">
        <is>
          <t>Field Engineer</t>
        </is>
      </c>
      <c r="E27" s="297" t="inlineStr">
        <is>
          <t>Planned</t>
        </is>
      </c>
      <c r="F27" s="318" t="n">
        <v>46539</v>
      </c>
      <c r="G27" s="311" t="n"/>
      <c r="H27" s="288" t="n">
        <v>6500</v>
      </c>
      <c r="I27" s="299">
        <f>IF(AND($F27&lt;=I$2, OR($G27="",$G27&gt;=I$2)),
  $H27 * (1 + Assumptions!$C$7) ^ INT(((YEAR(I$2)-YEAR($F27))*12 + MONTH(I$2)-MONTH($F27)) / 12),
  0)</f>
        <v/>
      </c>
      <c r="J27" s="299">
        <f>IF(AND($F27&lt;=J$2, OR($G27="",$G27&gt;=J$2)),
  $H27 * (1 + Assumptions!$C$7) ^ INT(((YEAR(J$2)-YEAR($F27))*12 + MONTH(J$2)-MONTH($F27)) / 12),
  0)</f>
        <v/>
      </c>
      <c r="K27" s="299">
        <f>IF(AND($F27&lt;=K$2, OR($G27="",$G27&gt;=K$2)),
  $H27 * (1 + Assumptions!$C$7) ^ INT(((YEAR(K$2)-YEAR($F27))*12 + MONTH(K$2)-MONTH($F27)) / 12),
  0)</f>
        <v/>
      </c>
      <c r="L27" s="299">
        <f>IF(AND($F27&lt;=L$2, OR($G27="",$G27&gt;=L$2)),
  $H27 * (1 + Assumptions!$C$7) ^ INT(((YEAR(L$2)-YEAR($F27))*12 + MONTH(L$2)-MONTH($F27)) / 12),
  0)</f>
        <v/>
      </c>
      <c r="M27" s="299">
        <f>IF(AND($F27&lt;=M$2, OR($G27="",$G27&gt;=M$2)),
  $H27 * (1 + Assumptions!$C$7) ^ INT(((YEAR(M$2)-YEAR($F27))*12 + MONTH(M$2)-MONTH($F27)) / 12),
  0)</f>
        <v/>
      </c>
      <c r="N27" s="299">
        <f>IF(AND($F27&lt;=N$2, OR($G27="",$G27&gt;=N$2)),
  $H27 * (1 + Assumptions!$C$7) ^ INT(((YEAR(N$2)-YEAR($F27))*12 + MONTH(N$2)-MONTH($F27)) / 12),
  0)</f>
        <v/>
      </c>
      <c r="O27" s="299">
        <f>IF(AND($F27&lt;=O$2, OR($G27="",$G27&gt;=O$2)),
  $H27 * (1 + Assumptions!$C$7) ^ INT(((YEAR(O$2)-YEAR($F27))*12 + MONTH(O$2)-MONTH($F27)) / 12),
  0)</f>
        <v/>
      </c>
      <c r="P27" s="299">
        <f>IF(AND($F27&lt;=P$2, OR($G27="",$G27&gt;=P$2)),
  $H27 * (1 + Assumptions!$C$7) ^ INT(((YEAR(P$2)-YEAR($F27))*12 + MONTH(P$2)-MONTH($F27)) / 12),
  0)</f>
        <v/>
      </c>
      <c r="Q27" s="299">
        <f>IF(AND($F27&lt;=Q$2, OR($G27="",$G27&gt;=Q$2)),
  $H27 * (1 + Assumptions!$C$7) ^ INT(((YEAR(Q$2)-YEAR($F27))*12 + MONTH(Q$2)-MONTH($F27)) / 12),
  0)</f>
        <v/>
      </c>
      <c r="R27" s="299">
        <f>IF(AND($F27&lt;=R$2, OR($G27="",$G27&gt;=R$2)),
  $H27 * (1 + Assumptions!$C$7) ^ INT(((YEAR(R$2)-YEAR($F27))*12 + MONTH(R$2)-MONTH($F27)) / 12),
  0)</f>
        <v/>
      </c>
      <c r="S27" s="299">
        <f>IF(AND($F27&lt;=S$2, OR($G27="",$G27&gt;=S$2)),
  $H27 * (1 + Assumptions!$C$7) ^ INT(((YEAR(S$2)-YEAR($F27))*12 + MONTH(S$2)-MONTH($F27)) / 12),
  0)</f>
        <v/>
      </c>
      <c r="T27" s="299">
        <f>IF(AND($F27&lt;=T$2, OR($G27="",$G27&gt;=T$2)),
  $H27 * (1 + Assumptions!$C$7) ^ INT(((YEAR(T$2)-YEAR($F27))*12 + MONTH(T$2)-MONTH($F27)) / 12),
  0)</f>
        <v/>
      </c>
      <c r="U27" s="299">
        <f>IF(AND($F27&lt;=U$2, OR($G27="",$G27&gt;=U$2)),
  $H27 * (1 + Assumptions!$C$7) ^ INT(((YEAR(U$2)-YEAR($F27))*12 + MONTH(U$2)-MONTH($F27)) / 12),
  0)</f>
        <v/>
      </c>
      <c r="V27" s="299">
        <f>IF(AND($F27&lt;=V$2, OR($G27="",$G27&gt;=V$2)),
  $H27 * (1 + Assumptions!$C$7) ^ INT(((YEAR(V$2)-YEAR($F27))*12 + MONTH(V$2)-MONTH($F27)) / 12),
  0)</f>
        <v/>
      </c>
      <c r="W27" s="299">
        <f>IF(AND($F27&lt;=W$2, OR($G27="",$G27&gt;=W$2)),
  $H27 * (1 + Assumptions!$C$7) ^ INT(((YEAR(W$2)-YEAR($F27))*12 + MONTH(W$2)-MONTH($F27)) / 12),
  0)</f>
        <v/>
      </c>
      <c r="X27" s="299">
        <f>IF(AND($F27&lt;=X$2, OR($G27="",$G27&gt;=X$2)),
  $H27 * (1 + Assumptions!$C$7) ^ INT(((YEAR(X$2)-YEAR($F27))*12 + MONTH(X$2)-MONTH($F27)) / 12),
  0)</f>
        <v/>
      </c>
      <c r="Y27" s="299">
        <f>IF(AND($F27&lt;=Y$2, OR($G27="",$G27&gt;=Y$2)),
  $H27 * (1 + Assumptions!$C$7) ^ INT(((YEAR(Y$2)-YEAR($F27))*12 + MONTH(Y$2)-MONTH($F27)) / 12),
  0)</f>
        <v/>
      </c>
      <c r="Z27" s="299">
        <f>IF(AND($F27&lt;=Z$2, OR($G27="",$G27&gt;=Z$2)),
  $H27 * (1 + Assumptions!$C$7) ^ INT(((YEAR(Z$2)-YEAR($F27))*12 + MONTH(Z$2)-MONTH($F27)) / 12),
  0)</f>
        <v/>
      </c>
      <c r="AA27" s="299">
        <f>IF(AND($F27&lt;=AA$2, OR($G27="",$G27&gt;=AA$2)),
  $H27 * (1 + Assumptions!$C$7) ^ INT(((YEAR(AA$2)-YEAR($F27))*12 + MONTH(AA$2)-MONTH($F27)) / 12),
  0)</f>
        <v/>
      </c>
      <c r="AB27" s="299">
        <f>IF(AND($F27&lt;=AB$2, OR($G27="",$G27&gt;=AB$2)),
  $H27 * (1 + Assumptions!$C$7) ^ INT(((YEAR(AB$2)-YEAR($F27))*12 + MONTH(AB$2)-MONTH($F27)) / 12),
  0)</f>
        <v/>
      </c>
      <c r="AC27" s="299">
        <f>IF(AND($F27&lt;=AC$2, OR($G27="",$G27&gt;=AC$2)),
  $H27 * (1 + Assumptions!$C$7) ^ INT(((YEAR(AC$2)-YEAR($F27))*12 + MONTH(AC$2)-MONTH($F27)) / 12),
  0)</f>
        <v/>
      </c>
      <c r="AD27" s="299">
        <f>IF(AND($F27&lt;=AD$2, OR($G27="",$G27&gt;=AD$2)),
  $H27 * (1 + Assumptions!$C$7) ^ INT(((YEAR(AD$2)-YEAR($F27))*12 + MONTH(AD$2)-MONTH($F27)) / 12),
  0)</f>
        <v/>
      </c>
      <c r="AE27" s="299">
        <f>IF(AND($F27&lt;=AE$2, OR($G27="",$G27&gt;=AE$2)),
  $H27 * (1 + Assumptions!$C$7) ^ INT(((YEAR(AE$2)-YEAR($F27))*12 + MONTH(AE$2)-MONTH($F27)) / 12),
  0)</f>
        <v/>
      </c>
      <c r="AF27" s="299">
        <f>IF(AND($F27&lt;=AF$2, OR($G27="",$G27&gt;=AF$2)),
  $H27 * (1 + Assumptions!$C$7) ^ INT(((YEAR(AF$2)-YEAR($F27))*12 + MONTH(AF$2)-MONTH($F27)) / 12),
  0)</f>
        <v/>
      </c>
      <c r="AG27" s="299">
        <f>IF(AND($F27&lt;=AG$2, OR($G27="",$G27&gt;=AG$2)),
  $H27 * (1 + Assumptions!$C$7) ^ INT(((YEAR(AG$2)-YEAR($F27))*12 + MONTH(AG$2)-MONTH($F27)) / 12),
  0)</f>
        <v/>
      </c>
      <c r="AH27" s="299">
        <f>IF(AND($F27&lt;=AH$2, OR($G27="",$G27&gt;=AH$2)),
  $H27 * (1 + Assumptions!$C$7) ^ INT(((YEAR(AH$2)-YEAR($F27))*12 + MONTH(AH$2)-MONTH($F27)) / 12),
  0)</f>
        <v/>
      </c>
      <c r="AI27" s="299">
        <f>IF(AND($F27&lt;=AI$2, OR($G27="",$G27&gt;=AI$2)),
  $H27 * (1 + Assumptions!$C$7) ^ INT(((YEAR(AI$2)-YEAR($F27))*12 + MONTH(AI$2)-MONTH($F27)) / 12),
  0)</f>
        <v/>
      </c>
      <c r="AJ27" s="299">
        <f>IF(AND($F27&lt;=AJ$2, OR($G27="",$G27&gt;=AJ$2)),
  $H27 * (1 + Assumptions!$C$7) ^ INT(((YEAR(AJ$2)-YEAR($F27))*12 + MONTH(AJ$2)-MONTH($F27)) / 12),
  0)</f>
        <v/>
      </c>
      <c r="AK27" s="299">
        <f>IF(AND($F27&lt;=AK$2, OR($G27="",$G27&gt;=AK$2)),
  $H27 * (1 + Assumptions!$C$7) ^ INT(((YEAR(AK$2)-YEAR($F27))*12 + MONTH(AK$2)-MONTH($F27)) / 12),
  0)</f>
        <v/>
      </c>
      <c r="AL27" s="299">
        <f>IF(AND($F27&lt;=AL$2, OR($G27="",$G27&gt;=AL$2)),
  $H27 * (1 + Assumptions!$C$7) ^ INT(((YEAR(AL$2)-YEAR($F27))*12 + MONTH(AL$2)-MONTH($F27)) / 12),
  0)</f>
        <v/>
      </c>
      <c r="AM27" s="299">
        <f>IF(AND($F27&lt;=AM$2, OR($G27="",$G27&gt;=AM$2)),
  $H27 * (1 + Assumptions!$C$7) ^ INT(((YEAR(AM$2)-YEAR($F27))*12 + MONTH(AM$2)-MONTH($F27)) / 12),
  0)</f>
        <v/>
      </c>
      <c r="AN27" s="299">
        <f>IF(AND($F27&lt;=AN$2, OR($G27="",$G27&gt;=AN$2)),
  $H27 * (1 + Assumptions!$C$7) ^ INT(((YEAR(AN$2)-YEAR($F27))*12 + MONTH(AN$2)-MONTH($F27)) / 12),
  0)</f>
        <v/>
      </c>
      <c r="AO27" s="299">
        <f>IF(AND($F27&lt;=AO$2, OR($G27="",$G27&gt;=AO$2)),
  $H27 * (1 + Assumptions!$C$7) ^ INT(((YEAR(AO$2)-YEAR($F27))*12 + MONTH(AO$2)-MONTH($F27)) / 12),
  0)</f>
        <v/>
      </c>
      <c r="AP27" s="299">
        <f>IF(AND($F27&lt;=AP$2, OR($G27="",$G27&gt;=AP$2)),
  $H27 * (1 + Assumptions!$C$7) ^ INT(((YEAR(AP$2)-YEAR($F27))*12 + MONTH(AP$2)-MONTH($F27)) / 12),
  0)</f>
        <v/>
      </c>
      <c r="AQ27" s="299">
        <f>IF(AND($F27&lt;=AQ$2, OR($G27="",$G27&gt;=AQ$2)),
  $H27 * (1 + Assumptions!$C$7) ^ INT(((YEAR(AQ$2)-YEAR($F27))*12 + MONTH(AQ$2)-MONTH($F27)) / 12),
  0)</f>
        <v/>
      </c>
      <c r="AR27" s="299">
        <f>IF(AND($F27&lt;=AR$2, OR($G27="",$G27&gt;=AR$2)),
  $H27 * (1 + Assumptions!$C$7) ^ INT(((YEAR(AR$2)-YEAR($F27))*12 + MONTH(AR$2)-MONTH($F27)) / 12),
  0)</f>
        <v/>
      </c>
      <c r="AS27" s="299">
        <f>IF(AND($F27&lt;=AS$2, OR($G27="",$G27&gt;=AS$2)),
  $H27 * (1 + Assumptions!$C$7) ^ INT(((YEAR(AS$2)-YEAR($F27))*12 + MONTH(AS$2)-MONTH($F27)) / 12),
  0)</f>
        <v/>
      </c>
      <c r="AT27" s="299">
        <f>IF(AND($F27&lt;=AT$2, OR($G27="",$G27&gt;=AT$2)),
  $H27 * (1 + Assumptions!$C$7) ^ INT(((YEAR(AT$2)-YEAR($F27))*12 + MONTH(AT$2)-MONTH($F27)) / 12),
  0)</f>
        <v/>
      </c>
      <c r="AU27" s="299">
        <f>IF(AND($F27&lt;=AU$2, OR($G27="",$G27&gt;=AU$2)),
  $H27 * (1 + Assumptions!$C$7) ^ INT(((YEAR(AU$2)-YEAR($F27))*12 + MONTH(AU$2)-MONTH($F27)) / 12),
  0)</f>
        <v/>
      </c>
      <c r="AV27" s="299">
        <f>IF(AND($F27&lt;=AV$2, OR($G27="",$G27&gt;=AV$2)),
  $H27 * (1 + Assumptions!$C$7) ^ INT(((YEAR(AV$2)-YEAR($F27))*12 + MONTH(AV$2)-MONTH($F27)) / 12),
  0)</f>
        <v/>
      </c>
      <c r="AW27" s="299">
        <f>IF(AND($F27&lt;=AW$2, OR($G27="",$G27&gt;=AW$2)),
  $H27 * (1 + Assumptions!$C$7) ^ INT(((YEAR(AW$2)-YEAR($F27))*12 + MONTH(AW$2)-MONTH($F27)) / 12),
  0)</f>
        <v/>
      </c>
      <c r="AX27" s="299">
        <f>IF(AND($F27&lt;=AX$2, OR($G27="",$G27&gt;=AX$2)),
  $H27 * (1 + Assumptions!$C$7) ^ INT(((YEAR(AX$2)-YEAR($F27))*12 + MONTH(AX$2)-MONTH($F27)) / 12),
  0)</f>
        <v/>
      </c>
      <c r="AY27" s="299">
        <f>IF(AND($F27&lt;=AY$2, OR($G27="",$G27&gt;=AY$2)),
  $H27 * (1 + Assumptions!$C$7) ^ INT(((YEAR(AY$2)-YEAR($F27))*12 + MONTH(AY$2)-MONTH($F27)) / 12),
  0)</f>
        <v/>
      </c>
      <c r="AZ27" s="299">
        <f>IF(AND($F27&lt;=AZ$2, OR($G27="",$G27&gt;=AZ$2)),
  $H27 * (1 + Assumptions!$C$7) ^ INT(((YEAR(AZ$2)-YEAR($F27))*12 + MONTH(AZ$2)-MONTH($F27)) / 12),
  0)</f>
        <v/>
      </c>
      <c r="BA27" s="299">
        <f>IF(AND($F27&lt;=BA$2, OR($G27="",$G27&gt;=BA$2)),
  $H27 * (1 + Assumptions!$C$7) ^ INT(((YEAR(BA$2)-YEAR($F27))*12 + MONTH(BA$2)-MONTH($F27)) / 12),
  0)</f>
        <v/>
      </c>
      <c r="BB27" s="299">
        <f>IF(AND($F27&lt;=BB$2, OR($G27="",$G27&gt;=BB$2)),
  $H27 * (1 + Assumptions!$C$7) ^ INT(((YEAR(BB$2)-YEAR($F27))*12 + MONTH(BB$2)-MONTH($F27)) / 12),
  0)</f>
        <v/>
      </c>
      <c r="BC27" s="299">
        <f>IF(AND($F27&lt;=BC$2, OR($G27="",$G27&gt;=BC$2)),
  $H27 * (1 + Assumptions!$C$7) ^ INT(((YEAR(BC$2)-YEAR($F27))*12 + MONTH(BC$2)-MONTH($F27)) / 12),
  0)</f>
        <v/>
      </c>
      <c r="BD27" s="299">
        <f>IF(AND($F27&lt;=BD$2, OR($G27="",$G27&gt;=BD$2)),
  $H27 * (1 + Assumptions!$C$7) ^ INT(((YEAR(BD$2)-YEAR($F27))*12 + MONTH(BD$2)-MONTH($F27)) / 12),
  0)</f>
        <v/>
      </c>
      <c r="BE27" s="299">
        <f>IF(AND($F27&lt;=BE$2, OR($G27="",$G27&gt;=BE$2)),
  $H27 * (1 + Assumptions!$C$7) ^ INT(((YEAR(BE$2)-YEAR($F27))*12 + MONTH(BE$2)-MONTH($F27)) / 12),
  0)</f>
        <v/>
      </c>
      <c r="BF27" s="299">
        <f>IF(AND($F27&lt;=BF$2, OR($G27="",$G27&gt;=BF$2)),
  $H27 * (1 + Assumptions!$C$7) ^ INT(((YEAR(BF$2)-YEAR($F27))*12 + MONTH(BF$2)-MONTH($F27)) / 12),
  0)</f>
        <v/>
      </c>
      <c r="BG27" s="299">
        <f>IF(AND($F27&lt;=BG$2, OR($G27="",$G27&gt;=BG$2)),
  $H27 * (1 + Assumptions!$C$7) ^ INT(((YEAR(BG$2)-YEAR($F27))*12 + MONTH(BG$2)-MONTH($F27)) / 12),
  0)</f>
        <v/>
      </c>
      <c r="BH27" s="299">
        <f>IF(AND($F27&lt;=BH$2, OR($G27="",$G27&gt;=BH$2)),
  $H27 * (1 + Assumptions!$C$7) ^ INT(((YEAR(BH$2)-YEAR($F27))*12 + MONTH(BH$2)-MONTH($F27)) / 12),
  0)</f>
        <v/>
      </c>
      <c r="BI27" s="299">
        <f>IF(AND($F27&lt;=BI$2, OR($G27="",$G27&gt;=BI$2)),
  $H27 * (1 + Assumptions!$C$7) ^ INT(((YEAR(BI$2)-YEAR($F27))*12 + MONTH(BI$2)-MONTH($F27)) / 12),
  0)</f>
        <v/>
      </c>
      <c r="BJ27" s="299">
        <f>IF(AND($F27&lt;=BJ$2, OR($G27="",$G27&gt;=BJ$2)),
  $H27 * (1 + Assumptions!$C$7) ^ INT(((YEAR(BJ$2)-YEAR($F27))*12 + MONTH(BJ$2)-MONTH($F27)) / 12),
  0)</f>
        <v/>
      </c>
      <c r="BK27" s="299">
        <f>IF(AND($F27&lt;=BK$2, OR($G27="",$G27&gt;=BK$2)),
  $H27 * (1 + Assumptions!$C$7) ^ INT(((YEAR(BK$2)-YEAR($F27))*12 + MONTH(BK$2)-MONTH($F27)) / 12),
  0)</f>
        <v/>
      </c>
      <c r="BL27" s="299">
        <f>IF(AND($F27&lt;=BL$2, OR($G27="",$G27&gt;=BL$2)),
  $H27 * (1 + Assumptions!$C$7) ^ INT(((YEAR(BL$2)-YEAR($F27))*12 + MONTH(BL$2)-MONTH($F27)) / 12),
  0)</f>
        <v/>
      </c>
      <c r="BM27" s="299">
        <f>IF(AND($F27&lt;=BM$2, OR($G27="",$G27&gt;=BM$2)),
  $H27 * (1 + Assumptions!$C$7) ^ INT(((YEAR(BM$2)-YEAR($F27))*12 + MONTH(BM$2)-MONTH($F27)) / 12),
  0)</f>
        <v/>
      </c>
      <c r="BN27" s="299">
        <f>IF(AND($F27&lt;=BN$2, OR($G27="",$G27&gt;=BN$2)),
  $H27 * (1 + Assumptions!$C$7) ^ INT(((YEAR(BN$2)-YEAR($F27))*12 + MONTH(BN$2)-MONTH($F27)) / 12),
  0)</f>
        <v/>
      </c>
      <c r="BO27" s="299">
        <f>IF(AND($F27&lt;=BO$2, OR($G27="",$G27&gt;=BO$2)),
  $H27 * (1 + Assumptions!$C$7) ^ INT(((YEAR(BO$2)-YEAR($F27))*12 + MONTH(BO$2)-MONTH($F27)) / 12),
  0)</f>
        <v/>
      </c>
      <c r="BP27" s="299">
        <f>IF(AND($F27&lt;=BP$2, OR($G27="",$G27&gt;=BP$2)),
  $H27 * (1 + Assumptions!$C$7) ^ INT(((YEAR(BP$2)-YEAR($F27))*12 + MONTH(BP$2)-MONTH($F27)) / 12),
  0)</f>
        <v/>
      </c>
      <c r="BQ27" s="31" t="n"/>
      <c r="BR27" s="350" t="inlineStr">
        <is>
          <t>paid this month if started and not yet left; +8% on each work anniversary</t>
        </is>
      </c>
      <c r="BS27" s="31" t="n"/>
      <c r="BT27" s="31" t="n"/>
    </row>
    <row r="28" ht="15.75" customHeight="1" s="349">
      <c r="A28" s="321" t="n">
        <v>23</v>
      </c>
      <c r="B28" s="285" t="inlineStr">
        <is>
          <t>New hire</t>
        </is>
      </c>
      <c r="C28" s="285" t="inlineStr">
        <is>
          <t>S&amp;M</t>
        </is>
      </c>
      <c r="D28" s="317" t="inlineStr">
        <is>
          <t>Partner Manager</t>
        </is>
      </c>
      <c r="E28" s="297" t="inlineStr">
        <is>
          <t>Planned</t>
        </is>
      </c>
      <c r="F28" s="318">
        <f>IF(Assumptions!$D$82=2,DATE(2027,2,1),DATE(2027,6,1))</f>
        <v/>
      </c>
      <c r="G28" s="319" t="n"/>
      <c r="H28" s="288" t="n">
        <v>7500</v>
      </c>
      <c r="I28" s="299">
        <f>IF(AND($F28&lt;=I$2, OR($G28="",$G28&gt;=I$2)),
  $H28 * (1 + Assumptions!$C$7) ^ INT(((YEAR(I$2)-YEAR($F28))*12 + MONTH(I$2)-MONTH($F28)) / 12),
  0)</f>
        <v/>
      </c>
      <c r="J28" s="299">
        <f>IF(AND($F28&lt;=J$2, OR($G28="",$G28&gt;=J$2)),
  $H28 * (1 + Assumptions!$C$7) ^ INT(((YEAR(J$2)-YEAR($F28))*12 + MONTH(J$2)-MONTH($F28)) / 12),
  0)</f>
        <v/>
      </c>
      <c r="K28" s="299">
        <f>IF(AND($F28&lt;=K$2, OR($G28="",$G28&gt;=K$2)),
  $H28 * (1 + Assumptions!$C$7) ^ INT(((YEAR(K$2)-YEAR($F28))*12 + MONTH(K$2)-MONTH($F28)) / 12),
  0)</f>
        <v/>
      </c>
      <c r="L28" s="299">
        <f>IF(AND($F28&lt;=L$2, OR($G28="",$G28&gt;=L$2)),
  $H28 * (1 + Assumptions!$C$7) ^ INT(((YEAR(L$2)-YEAR($F28))*12 + MONTH(L$2)-MONTH($F28)) / 12),
  0)</f>
        <v/>
      </c>
      <c r="M28" s="299">
        <f>IF(AND($F28&lt;=M$2, OR($G28="",$G28&gt;=M$2)),
  $H28 * (1 + Assumptions!$C$7) ^ INT(((YEAR(M$2)-YEAR($F28))*12 + MONTH(M$2)-MONTH($F28)) / 12),
  0)</f>
        <v/>
      </c>
      <c r="N28" s="299">
        <f>IF(AND($F28&lt;=N$2, OR($G28="",$G28&gt;=N$2)),
  $H28 * (1 + Assumptions!$C$7) ^ INT(((YEAR(N$2)-YEAR($F28))*12 + MONTH(N$2)-MONTH($F28)) / 12),
  0)</f>
        <v/>
      </c>
      <c r="O28" s="299">
        <f>IF(AND($F28&lt;=O$2, OR($G28="",$G28&gt;=O$2)),
  $H28 * (1 + Assumptions!$C$7) ^ INT(((YEAR(O$2)-YEAR($F28))*12 + MONTH(O$2)-MONTH($F28)) / 12),
  0)</f>
        <v/>
      </c>
      <c r="P28" s="299">
        <f>IF(AND($F28&lt;=P$2, OR($G28="",$G28&gt;=P$2)),
  $H28 * (1 + Assumptions!$C$7) ^ INT(((YEAR(P$2)-YEAR($F28))*12 + MONTH(P$2)-MONTH($F28)) / 12),
  0)</f>
        <v/>
      </c>
      <c r="Q28" s="299">
        <f>IF(AND($F28&lt;=Q$2, OR($G28="",$G28&gt;=Q$2)),
  $H28 * (1 + Assumptions!$C$7) ^ INT(((YEAR(Q$2)-YEAR($F28))*12 + MONTH(Q$2)-MONTH($F28)) / 12),
  0)</f>
        <v/>
      </c>
      <c r="R28" s="299">
        <f>IF(AND($F28&lt;=R$2, OR($G28="",$G28&gt;=R$2)),
  $H28 * (1 + Assumptions!$C$7) ^ INT(((YEAR(R$2)-YEAR($F28))*12 + MONTH(R$2)-MONTH($F28)) / 12),
  0)</f>
        <v/>
      </c>
      <c r="S28" s="299">
        <f>IF(AND($F28&lt;=S$2, OR($G28="",$G28&gt;=S$2)),
  $H28 * (1 + Assumptions!$C$7) ^ INT(((YEAR(S$2)-YEAR($F28))*12 + MONTH(S$2)-MONTH($F28)) / 12),
  0)</f>
        <v/>
      </c>
      <c r="T28" s="299">
        <f>IF(AND($F28&lt;=T$2, OR($G28="",$G28&gt;=T$2)),
  $H28 * (1 + Assumptions!$C$7) ^ INT(((YEAR(T$2)-YEAR($F28))*12 + MONTH(T$2)-MONTH($F28)) / 12),
  0)</f>
        <v/>
      </c>
      <c r="U28" s="299">
        <f>IF(AND($F28&lt;=U$2, OR($G28="",$G28&gt;=U$2)),
  $H28 * (1 + Assumptions!$C$7) ^ INT(((YEAR(U$2)-YEAR($F28))*12 + MONTH(U$2)-MONTH($F28)) / 12),
  0)</f>
        <v/>
      </c>
      <c r="V28" s="299">
        <f>IF(AND($F28&lt;=V$2, OR($G28="",$G28&gt;=V$2)),
  $H28 * (1 + Assumptions!$C$7) ^ INT(((YEAR(V$2)-YEAR($F28))*12 + MONTH(V$2)-MONTH($F28)) / 12),
  0)</f>
        <v/>
      </c>
      <c r="W28" s="299">
        <f>IF(AND($F28&lt;=W$2, OR($G28="",$G28&gt;=W$2)),
  $H28 * (1 + Assumptions!$C$7) ^ INT(((YEAR(W$2)-YEAR($F28))*12 + MONTH(W$2)-MONTH($F28)) / 12),
  0)</f>
        <v/>
      </c>
      <c r="X28" s="299">
        <f>IF(AND($F28&lt;=X$2, OR($G28="",$G28&gt;=X$2)),
  $H28 * (1 + Assumptions!$C$7) ^ INT(((YEAR(X$2)-YEAR($F28))*12 + MONTH(X$2)-MONTH($F28)) / 12),
  0)</f>
        <v/>
      </c>
      <c r="Y28" s="299">
        <f>IF(AND($F28&lt;=Y$2, OR($G28="",$G28&gt;=Y$2)),
  $H28 * (1 + Assumptions!$C$7) ^ INT(((YEAR(Y$2)-YEAR($F28))*12 + MONTH(Y$2)-MONTH($F28)) / 12),
  0)</f>
        <v/>
      </c>
      <c r="Z28" s="299">
        <f>IF(AND($F28&lt;=Z$2, OR($G28="",$G28&gt;=Z$2)),
  $H28 * (1 + Assumptions!$C$7) ^ INT(((YEAR(Z$2)-YEAR($F28))*12 + MONTH(Z$2)-MONTH($F28)) / 12),
  0)</f>
        <v/>
      </c>
      <c r="AA28" s="299">
        <f>IF(AND($F28&lt;=AA$2, OR($G28="",$G28&gt;=AA$2)),
  $H28 * (1 + Assumptions!$C$7) ^ INT(((YEAR(AA$2)-YEAR($F28))*12 + MONTH(AA$2)-MONTH($F28)) / 12),
  0)</f>
        <v/>
      </c>
      <c r="AB28" s="299">
        <f>IF(AND($F28&lt;=AB$2, OR($G28="",$G28&gt;=AB$2)),
  $H28 * (1 + Assumptions!$C$7) ^ INT(((YEAR(AB$2)-YEAR($F28))*12 + MONTH(AB$2)-MONTH($F28)) / 12),
  0)</f>
        <v/>
      </c>
      <c r="AC28" s="299">
        <f>IF(AND($F28&lt;=AC$2, OR($G28="",$G28&gt;=AC$2)),
  $H28 * (1 + Assumptions!$C$7) ^ INT(((YEAR(AC$2)-YEAR($F28))*12 + MONTH(AC$2)-MONTH($F28)) / 12),
  0)</f>
        <v/>
      </c>
      <c r="AD28" s="299">
        <f>IF(AND($F28&lt;=AD$2, OR($G28="",$G28&gt;=AD$2)),
  $H28 * (1 + Assumptions!$C$7) ^ INT(((YEAR(AD$2)-YEAR($F28))*12 + MONTH(AD$2)-MONTH($F28)) / 12),
  0)</f>
        <v/>
      </c>
      <c r="AE28" s="299">
        <f>IF(AND($F28&lt;=AE$2, OR($G28="",$G28&gt;=AE$2)),
  $H28 * (1 + Assumptions!$C$7) ^ INT(((YEAR(AE$2)-YEAR($F28))*12 + MONTH(AE$2)-MONTH($F28)) / 12),
  0)</f>
        <v/>
      </c>
      <c r="AF28" s="299">
        <f>IF(AND($F28&lt;=AF$2, OR($G28="",$G28&gt;=AF$2)),
  $H28 * (1 + Assumptions!$C$7) ^ INT(((YEAR(AF$2)-YEAR($F28))*12 + MONTH(AF$2)-MONTH($F28)) / 12),
  0)</f>
        <v/>
      </c>
      <c r="AG28" s="299">
        <f>IF(AND($F28&lt;=AG$2, OR($G28="",$G28&gt;=AG$2)),
  $H28 * (1 + Assumptions!$C$7) ^ INT(((YEAR(AG$2)-YEAR($F28))*12 + MONTH(AG$2)-MONTH($F28)) / 12),
  0)</f>
        <v/>
      </c>
      <c r="AH28" s="299">
        <f>IF(AND($F28&lt;=AH$2, OR($G28="",$G28&gt;=AH$2)),
  $H28 * (1 + Assumptions!$C$7) ^ INT(((YEAR(AH$2)-YEAR($F28))*12 + MONTH(AH$2)-MONTH($F28)) / 12),
  0)</f>
        <v/>
      </c>
      <c r="AI28" s="299">
        <f>IF(AND($F28&lt;=AI$2, OR($G28="",$G28&gt;=AI$2)),
  $H28 * (1 + Assumptions!$C$7) ^ INT(((YEAR(AI$2)-YEAR($F28))*12 + MONTH(AI$2)-MONTH($F28)) / 12),
  0)</f>
        <v/>
      </c>
      <c r="AJ28" s="299">
        <f>IF(AND($F28&lt;=AJ$2, OR($G28="",$G28&gt;=AJ$2)),
  $H28 * (1 + Assumptions!$C$7) ^ INT(((YEAR(AJ$2)-YEAR($F28))*12 + MONTH(AJ$2)-MONTH($F28)) / 12),
  0)</f>
        <v/>
      </c>
      <c r="AK28" s="299">
        <f>IF(AND($F28&lt;=AK$2, OR($G28="",$G28&gt;=AK$2)),
  $H28 * (1 + Assumptions!$C$7) ^ INT(((YEAR(AK$2)-YEAR($F28))*12 + MONTH(AK$2)-MONTH($F28)) / 12),
  0)</f>
        <v/>
      </c>
      <c r="AL28" s="299">
        <f>IF(AND($F28&lt;=AL$2, OR($G28="",$G28&gt;=AL$2)),
  $H28 * (1 + Assumptions!$C$7) ^ INT(((YEAR(AL$2)-YEAR($F28))*12 + MONTH(AL$2)-MONTH($F28)) / 12),
  0)</f>
        <v/>
      </c>
      <c r="AM28" s="299">
        <f>IF(AND($F28&lt;=AM$2, OR($G28="",$G28&gt;=AM$2)),
  $H28 * (1 + Assumptions!$C$7) ^ INT(((YEAR(AM$2)-YEAR($F28))*12 + MONTH(AM$2)-MONTH($F28)) / 12),
  0)</f>
        <v/>
      </c>
      <c r="AN28" s="299">
        <f>IF(AND($F28&lt;=AN$2, OR($G28="",$G28&gt;=AN$2)),
  $H28 * (1 + Assumptions!$C$7) ^ INT(((YEAR(AN$2)-YEAR($F28))*12 + MONTH(AN$2)-MONTH($F28)) / 12),
  0)</f>
        <v/>
      </c>
      <c r="AO28" s="299">
        <f>IF(AND($F28&lt;=AO$2, OR($G28="",$G28&gt;=AO$2)),
  $H28 * (1 + Assumptions!$C$7) ^ INT(((YEAR(AO$2)-YEAR($F28))*12 + MONTH(AO$2)-MONTH($F28)) / 12),
  0)</f>
        <v/>
      </c>
      <c r="AP28" s="299">
        <f>IF(AND($F28&lt;=AP$2, OR($G28="",$G28&gt;=AP$2)),
  $H28 * (1 + Assumptions!$C$7) ^ INT(((YEAR(AP$2)-YEAR($F28))*12 + MONTH(AP$2)-MONTH($F28)) / 12),
  0)</f>
        <v/>
      </c>
      <c r="AQ28" s="299">
        <f>IF(AND($F28&lt;=AQ$2, OR($G28="",$G28&gt;=AQ$2)),
  $H28 * (1 + Assumptions!$C$7) ^ INT(((YEAR(AQ$2)-YEAR($F28))*12 + MONTH(AQ$2)-MONTH($F28)) / 12),
  0)</f>
        <v/>
      </c>
      <c r="AR28" s="299">
        <f>IF(AND($F28&lt;=AR$2, OR($G28="",$G28&gt;=AR$2)),
  $H28 * (1 + Assumptions!$C$7) ^ INT(((YEAR(AR$2)-YEAR($F28))*12 + MONTH(AR$2)-MONTH($F28)) / 12),
  0)</f>
        <v/>
      </c>
      <c r="AS28" s="299">
        <f>IF(AND($F28&lt;=AS$2, OR($G28="",$G28&gt;=AS$2)),
  $H28 * (1 + Assumptions!$C$7) ^ INT(((YEAR(AS$2)-YEAR($F28))*12 + MONTH(AS$2)-MONTH($F28)) / 12),
  0)</f>
        <v/>
      </c>
      <c r="AT28" s="299">
        <f>IF(AND($F28&lt;=AT$2, OR($G28="",$G28&gt;=AT$2)),
  $H28 * (1 + Assumptions!$C$7) ^ INT(((YEAR(AT$2)-YEAR($F28))*12 + MONTH(AT$2)-MONTH($F28)) / 12),
  0)</f>
        <v/>
      </c>
      <c r="AU28" s="299">
        <f>IF(AND($F28&lt;=AU$2, OR($G28="",$G28&gt;=AU$2)),
  $H28 * (1 + Assumptions!$C$7) ^ INT(((YEAR(AU$2)-YEAR($F28))*12 + MONTH(AU$2)-MONTH($F28)) / 12),
  0)</f>
        <v/>
      </c>
      <c r="AV28" s="299">
        <f>IF(AND($F28&lt;=AV$2, OR($G28="",$G28&gt;=AV$2)),
  $H28 * (1 + Assumptions!$C$7) ^ INT(((YEAR(AV$2)-YEAR($F28))*12 + MONTH(AV$2)-MONTH($F28)) / 12),
  0)</f>
        <v/>
      </c>
      <c r="AW28" s="299">
        <f>IF(AND($F28&lt;=AW$2, OR($G28="",$G28&gt;=AW$2)),
  $H28 * (1 + Assumptions!$C$7) ^ INT(((YEAR(AW$2)-YEAR($F28))*12 + MONTH(AW$2)-MONTH($F28)) / 12),
  0)</f>
        <v/>
      </c>
      <c r="AX28" s="299">
        <f>IF(AND($F28&lt;=AX$2, OR($G28="",$G28&gt;=AX$2)),
  $H28 * (1 + Assumptions!$C$7) ^ INT(((YEAR(AX$2)-YEAR($F28))*12 + MONTH(AX$2)-MONTH($F28)) / 12),
  0)</f>
        <v/>
      </c>
      <c r="AY28" s="299">
        <f>IF(AND($F28&lt;=AY$2, OR($G28="",$G28&gt;=AY$2)),
  $H28 * (1 + Assumptions!$C$7) ^ INT(((YEAR(AY$2)-YEAR($F28))*12 + MONTH(AY$2)-MONTH($F28)) / 12),
  0)</f>
        <v/>
      </c>
      <c r="AZ28" s="299">
        <f>IF(AND($F28&lt;=AZ$2, OR($G28="",$G28&gt;=AZ$2)),
  $H28 * (1 + Assumptions!$C$7) ^ INT(((YEAR(AZ$2)-YEAR($F28))*12 + MONTH(AZ$2)-MONTH($F28)) / 12),
  0)</f>
        <v/>
      </c>
      <c r="BA28" s="299">
        <f>IF(AND($F28&lt;=BA$2, OR($G28="",$G28&gt;=BA$2)),
  $H28 * (1 + Assumptions!$C$7) ^ INT(((YEAR(BA$2)-YEAR($F28))*12 + MONTH(BA$2)-MONTH($F28)) / 12),
  0)</f>
        <v/>
      </c>
      <c r="BB28" s="299">
        <f>IF(AND($F28&lt;=BB$2, OR($G28="",$G28&gt;=BB$2)),
  $H28 * (1 + Assumptions!$C$7) ^ INT(((YEAR(BB$2)-YEAR($F28))*12 + MONTH(BB$2)-MONTH($F28)) / 12),
  0)</f>
        <v/>
      </c>
      <c r="BC28" s="299">
        <f>IF(AND($F28&lt;=BC$2, OR($G28="",$G28&gt;=BC$2)),
  $H28 * (1 + Assumptions!$C$7) ^ INT(((YEAR(BC$2)-YEAR($F28))*12 + MONTH(BC$2)-MONTH($F28)) / 12),
  0)</f>
        <v/>
      </c>
      <c r="BD28" s="299">
        <f>IF(AND($F28&lt;=BD$2, OR($G28="",$G28&gt;=BD$2)),
  $H28 * (1 + Assumptions!$C$7) ^ INT(((YEAR(BD$2)-YEAR($F28))*12 + MONTH(BD$2)-MONTH($F28)) / 12),
  0)</f>
        <v/>
      </c>
      <c r="BE28" s="299">
        <f>IF(AND($F28&lt;=BE$2, OR($G28="",$G28&gt;=BE$2)),
  $H28 * (1 + Assumptions!$C$7) ^ INT(((YEAR(BE$2)-YEAR($F28))*12 + MONTH(BE$2)-MONTH($F28)) / 12),
  0)</f>
        <v/>
      </c>
      <c r="BF28" s="299">
        <f>IF(AND($F28&lt;=BF$2, OR($G28="",$G28&gt;=BF$2)),
  $H28 * (1 + Assumptions!$C$7) ^ INT(((YEAR(BF$2)-YEAR($F28))*12 + MONTH(BF$2)-MONTH($F28)) / 12),
  0)</f>
        <v/>
      </c>
      <c r="BG28" s="299">
        <f>IF(AND($F28&lt;=BG$2, OR($G28="",$G28&gt;=BG$2)),
  $H28 * (1 + Assumptions!$C$7) ^ INT(((YEAR(BG$2)-YEAR($F28))*12 + MONTH(BG$2)-MONTH($F28)) / 12),
  0)</f>
        <v/>
      </c>
      <c r="BH28" s="299">
        <f>IF(AND($F28&lt;=BH$2, OR($G28="",$G28&gt;=BH$2)),
  $H28 * (1 + Assumptions!$C$7) ^ INT(((YEAR(BH$2)-YEAR($F28))*12 + MONTH(BH$2)-MONTH($F28)) / 12),
  0)</f>
        <v/>
      </c>
      <c r="BI28" s="299">
        <f>IF(AND($F28&lt;=BI$2, OR($G28="",$G28&gt;=BI$2)),
  $H28 * (1 + Assumptions!$C$7) ^ INT(((YEAR(BI$2)-YEAR($F28))*12 + MONTH(BI$2)-MONTH($F28)) / 12),
  0)</f>
        <v/>
      </c>
      <c r="BJ28" s="299">
        <f>IF(AND($F28&lt;=BJ$2, OR($G28="",$G28&gt;=BJ$2)),
  $H28 * (1 + Assumptions!$C$7) ^ INT(((YEAR(BJ$2)-YEAR($F28))*12 + MONTH(BJ$2)-MONTH($F28)) / 12),
  0)</f>
        <v/>
      </c>
      <c r="BK28" s="299">
        <f>IF(AND($F28&lt;=BK$2, OR($G28="",$G28&gt;=BK$2)),
  $H28 * (1 + Assumptions!$C$7) ^ INT(((YEAR(BK$2)-YEAR($F28))*12 + MONTH(BK$2)-MONTH($F28)) / 12),
  0)</f>
        <v/>
      </c>
      <c r="BL28" s="299">
        <f>IF(AND($F28&lt;=BL$2, OR($G28="",$G28&gt;=BL$2)),
  $H28 * (1 + Assumptions!$C$7) ^ INT(((YEAR(BL$2)-YEAR($F28))*12 + MONTH(BL$2)-MONTH($F28)) / 12),
  0)</f>
        <v/>
      </c>
      <c r="BM28" s="299">
        <f>IF(AND($F28&lt;=BM$2, OR($G28="",$G28&gt;=BM$2)),
  $H28 * (1 + Assumptions!$C$7) ^ INT(((YEAR(BM$2)-YEAR($F28))*12 + MONTH(BM$2)-MONTH($F28)) / 12),
  0)</f>
        <v/>
      </c>
      <c r="BN28" s="299">
        <f>IF(AND($F28&lt;=BN$2, OR($G28="",$G28&gt;=BN$2)),
  $H28 * (1 + Assumptions!$C$7) ^ INT(((YEAR(BN$2)-YEAR($F28))*12 + MONTH(BN$2)-MONTH($F28)) / 12),
  0)</f>
        <v/>
      </c>
      <c r="BO28" s="299">
        <f>IF(AND($F28&lt;=BO$2, OR($G28="",$G28&gt;=BO$2)),
  $H28 * (1 + Assumptions!$C$7) ^ INT(((YEAR(BO$2)-YEAR($F28))*12 + MONTH(BO$2)-MONTH($F28)) / 12),
  0)</f>
        <v/>
      </c>
      <c r="BP28" s="299">
        <f>IF(AND($F28&lt;=BP$2, OR($G28="",$G28&gt;=BP$2)),
  $H28 * (1 + Assumptions!$C$7) ^ INT(((YEAR(BP$2)-YEAR($F28))*12 + MONTH(BP$2)-MONTH($F28)) / 12),
  0)</f>
        <v/>
      </c>
      <c r="BQ28" s="307" t="n"/>
      <c r="BR28" s="83" t="inlineStr">
        <is>
          <t>paid this month if started and not yet left; +8% on each work anniversary</t>
        </is>
      </c>
      <c r="BS28" s="307" t="n"/>
      <c r="BT28" s="307" t="n"/>
    </row>
    <row r="29" ht="15.75" customHeight="1" s="349">
      <c r="A29" s="321" t="n">
        <v>24</v>
      </c>
      <c r="B29" s="285" t="inlineStr">
        <is>
          <t>New hire</t>
        </is>
      </c>
      <c r="C29" s="285" t="inlineStr">
        <is>
          <t>S&amp;M</t>
        </is>
      </c>
      <c r="D29" s="122" t="inlineStr">
        <is>
          <t>Marketing</t>
        </is>
      </c>
      <c r="E29" s="297" t="inlineStr">
        <is>
          <t>Planned</t>
        </is>
      </c>
      <c r="F29" s="318" t="n">
        <v>46539</v>
      </c>
      <c r="G29" s="319" t="n"/>
      <c r="H29" s="288" t="n">
        <v>7500</v>
      </c>
      <c r="I29" s="299">
        <f>IF(AND($F29&lt;=I$2, OR($G29="",$G29&gt;=I$2)),
  $H29 * (1 + Assumptions!$C$7) ^ INT(((YEAR(I$2)-YEAR($F29))*12 + MONTH(I$2)-MONTH($F29)) / 12),
  0)</f>
        <v/>
      </c>
      <c r="J29" s="299">
        <f>IF(AND($F29&lt;=J$2, OR($G29="",$G29&gt;=J$2)),
  $H29 * (1 + Assumptions!$C$7) ^ INT(((YEAR(J$2)-YEAR($F29))*12 + MONTH(J$2)-MONTH($F29)) / 12),
  0)</f>
        <v/>
      </c>
      <c r="K29" s="299">
        <f>IF(AND($F29&lt;=K$2, OR($G29="",$G29&gt;=K$2)),
  $H29 * (1 + Assumptions!$C$7) ^ INT(((YEAR(K$2)-YEAR($F29))*12 + MONTH(K$2)-MONTH($F29)) / 12),
  0)</f>
        <v/>
      </c>
      <c r="L29" s="299">
        <f>IF(AND($F29&lt;=L$2, OR($G29="",$G29&gt;=L$2)),
  $H29 * (1 + Assumptions!$C$7) ^ INT(((YEAR(L$2)-YEAR($F29))*12 + MONTH(L$2)-MONTH($F29)) / 12),
  0)</f>
        <v/>
      </c>
      <c r="M29" s="299">
        <f>IF(AND($F29&lt;=M$2, OR($G29="",$G29&gt;=M$2)),
  $H29 * (1 + Assumptions!$C$7) ^ INT(((YEAR(M$2)-YEAR($F29))*12 + MONTH(M$2)-MONTH($F29)) / 12),
  0)</f>
        <v/>
      </c>
      <c r="N29" s="299">
        <f>IF(AND($F29&lt;=N$2, OR($G29="",$G29&gt;=N$2)),
  $H29 * (1 + Assumptions!$C$7) ^ INT(((YEAR(N$2)-YEAR($F29))*12 + MONTH(N$2)-MONTH($F29)) / 12),
  0)</f>
        <v/>
      </c>
      <c r="O29" s="299">
        <f>IF(AND($F29&lt;=O$2, OR($G29="",$G29&gt;=O$2)),
  $H29 * (1 + Assumptions!$C$7) ^ INT(((YEAR(O$2)-YEAR($F29))*12 + MONTH(O$2)-MONTH($F29)) / 12),
  0)</f>
        <v/>
      </c>
      <c r="P29" s="299">
        <f>IF(AND($F29&lt;=P$2, OR($G29="",$G29&gt;=P$2)),
  $H29 * (1 + Assumptions!$C$7) ^ INT(((YEAR(P$2)-YEAR($F29))*12 + MONTH(P$2)-MONTH($F29)) / 12),
  0)</f>
        <v/>
      </c>
      <c r="Q29" s="299">
        <f>IF(AND($F29&lt;=Q$2, OR($G29="",$G29&gt;=Q$2)),
  $H29 * (1 + Assumptions!$C$7) ^ INT(((YEAR(Q$2)-YEAR($F29))*12 + MONTH(Q$2)-MONTH($F29)) / 12),
  0)</f>
        <v/>
      </c>
      <c r="R29" s="299">
        <f>IF(AND($F29&lt;=R$2, OR($G29="",$G29&gt;=R$2)),
  $H29 * (1 + Assumptions!$C$7) ^ INT(((YEAR(R$2)-YEAR($F29))*12 + MONTH(R$2)-MONTH($F29)) / 12),
  0)</f>
        <v/>
      </c>
      <c r="S29" s="299">
        <f>IF(AND($F29&lt;=S$2, OR($G29="",$G29&gt;=S$2)),
  $H29 * (1 + Assumptions!$C$7) ^ INT(((YEAR(S$2)-YEAR($F29))*12 + MONTH(S$2)-MONTH($F29)) / 12),
  0)</f>
        <v/>
      </c>
      <c r="T29" s="299">
        <f>IF(AND($F29&lt;=T$2, OR($G29="",$G29&gt;=T$2)),
  $H29 * (1 + Assumptions!$C$7) ^ INT(((YEAR(T$2)-YEAR($F29))*12 + MONTH(T$2)-MONTH($F29)) / 12),
  0)</f>
        <v/>
      </c>
      <c r="U29" s="299">
        <f>IF(AND($F29&lt;=U$2, OR($G29="",$G29&gt;=U$2)),
  $H29 * (1 + Assumptions!$C$7) ^ INT(((YEAR(U$2)-YEAR($F29))*12 + MONTH(U$2)-MONTH($F29)) / 12),
  0)</f>
        <v/>
      </c>
      <c r="V29" s="299">
        <f>IF(AND($F29&lt;=V$2, OR($G29="",$G29&gt;=V$2)),
  $H29 * (1 + Assumptions!$C$7) ^ INT(((YEAR(V$2)-YEAR($F29))*12 + MONTH(V$2)-MONTH($F29)) / 12),
  0)</f>
        <v/>
      </c>
      <c r="W29" s="299">
        <f>IF(AND($F29&lt;=W$2, OR($G29="",$G29&gt;=W$2)),
  $H29 * (1 + Assumptions!$C$7) ^ INT(((YEAR(W$2)-YEAR($F29))*12 + MONTH(W$2)-MONTH($F29)) / 12),
  0)</f>
        <v/>
      </c>
      <c r="X29" s="299">
        <f>IF(AND($F29&lt;=X$2, OR($G29="",$G29&gt;=X$2)),
  $H29 * (1 + Assumptions!$C$7) ^ INT(((YEAR(X$2)-YEAR($F29))*12 + MONTH(X$2)-MONTH($F29)) / 12),
  0)</f>
        <v/>
      </c>
      <c r="Y29" s="299">
        <f>IF(AND($F29&lt;=Y$2, OR($G29="",$G29&gt;=Y$2)),
  $H29 * (1 + Assumptions!$C$7) ^ INT(((YEAR(Y$2)-YEAR($F29))*12 + MONTH(Y$2)-MONTH($F29)) / 12),
  0)</f>
        <v/>
      </c>
      <c r="Z29" s="299">
        <f>IF(AND($F29&lt;=Z$2, OR($G29="",$G29&gt;=Z$2)),
  $H29 * (1 + Assumptions!$C$7) ^ INT(((YEAR(Z$2)-YEAR($F29))*12 + MONTH(Z$2)-MONTH($F29)) / 12),
  0)</f>
        <v/>
      </c>
      <c r="AA29" s="299">
        <f>IF(AND($F29&lt;=AA$2, OR($G29="",$G29&gt;=AA$2)),
  $H29 * (1 + Assumptions!$C$7) ^ INT(((YEAR(AA$2)-YEAR($F29))*12 + MONTH(AA$2)-MONTH($F29)) / 12),
  0)</f>
        <v/>
      </c>
      <c r="AB29" s="299">
        <f>IF(AND($F29&lt;=AB$2, OR($G29="",$G29&gt;=AB$2)),
  $H29 * (1 + Assumptions!$C$7) ^ INT(((YEAR(AB$2)-YEAR($F29))*12 + MONTH(AB$2)-MONTH($F29)) / 12),
  0)</f>
        <v/>
      </c>
      <c r="AC29" s="299">
        <f>IF(AND($F29&lt;=AC$2, OR($G29="",$G29&gt;=AC$2)),
  $H29 * (1 + Assumptions!$C$7) ^ INT(((YEAR(AC$2)-YEAR($F29))*12 + MONTH(AC$2)-MONTH($F29)) / 12),
  0)</f>
        <v/>
      </c>
      <c r="AD29" s="299">
        <f>IF(AND($F29&lt;=AD$2, OR($G29="",$G29&gt;=AD$2)),
  $H29 * (1 + Assumptions!$C$7) ^ INT(((YEAR(AD$2)-YEAR($F29))*12 + MONTH(AD$2)-MONTH($F29)) / 12),
  0)</f>
        <v/>
      </c>
      <c r="AE29" s="299">
        <f>IF(AND($F29&lt;=AE$2, OR($G29="",$G29&gt;=AE$2)),
  $H29 * (1 + Assumptions!$C$7) ^ INT(((YEAR(AE$2)-YEAR($F29))*12 + MONTH(AE$2)-MONTH($F29)) / 12),
  0)</f>
        <v/>
      </c>
      <c r="AF29" s="299">
        <f>IF(AND($F29&lt;=AF$2, OR($G29="",$G29&gt;=AF$2)),
  $H29 * (1 + Assumptions!$C$7) ^ INT(((YEAR(AF$2)-YEAR($F29))*12 + MONTH(AF$2)-MONTH($F29)) / 12),
  0)</f>
        <v/>
      </c>
      <c r="AG29" s="299">
        <f>IF(AND($F29&lt;=AG$2, OR($G29="",$G29&gt;=AG$2)),
  $H29 * (1 + Assumptions!$C$7) ^ INT(((YEAR(AG$2)-YEAR($F29))*12 + MONTH(AG$2)-MONTH($F29)) / 12),
  0)</f>
        <v/>
      </c>
      <c r="AH29" s="299">
        <f>IF(AND($F29&lt;=AH$2, OR($G29="",$G29&gt;=AH$2)),
  $H29 * (1 + Assumptions!$C$7) ^ INT(((YEAR(AH$2)-YEAR($F29))*12 + MONTH(AH$2)-MONTH($F29)) / 12),
  0)</f>
        <v/>
      </c>
      <c r="AI29" s="299">
        <f>IF(AND($F29&lt;=AI$2, OR($G29="",$G29&gt;=AI$2)),
  $H29 * (1 + Assumptions!$C$7) ^ INT(((YEAR(AI$2)-YEAR($F29))*12 + MONTH(AI$2)-MONTH($F29)) / 12),
  0)</f>
        <v/>
      </c>
      <c r="AJ29" s="299">
        <f>IF(AND($F29&lt;=AJ$2, OR($G29="",$G29&gt;=AJ$2)),
  $H29 * (1 + Assumptions!$C$7) ^ INT(((YEAR(AJ$2)-YEAR($F29))*12 + MONTH(AJ$2)-MONTH($F29)) / 12),
  0)</f>
        <v/>
      </c>
      <c r="AK29" s="299">
        <f>IF(AND($F29&lt;=AK$2, OR($G29="",$G29&gt;=AK$2)),
  $H29 * (1 + Assumptions!$C$7) ^ INT(((YEAR(AK$2)-YEAR($F29))*12 + MONTH(AK$2)-MONTH($F29)) / 12),
  0)</f>
        <v/>
      </c>
      <c r="AL29" s="299">
        <f>IF(AND($F29&lt;=AL$2, OR($G29="",$G29&gt;=AL$2)),
  $H29 * (1 + Assumptions!$C$7) ^ INT(((YEAR(AL$2)-YEAR($F29))*12 + MONTH(AL$2)-MONTH($F29)) / 12),
  0)</f>
        <v/>
      </c>
      <c r="AM29" s="299">
        <f>IF(AND($F29&lt;=AM$2, OR($G29="",$G29&gt;=AM$2)),
  $H29 * (1 + Assumptions!$C$7) ^ INT(((YEAR(AM$2)-YEAR($F29))*12 + MONTH(AM$2)-MONTH($F29)) / 12),
  0)</f>
        <v/>
      </c>
      <c r="AN29" s="299">
        <f>IF(AND($F29&lt;=AN$2, OR($G29="",$G29&gt;=AN$2)),
  $H29 * (1 + Assumptions!$C$7) ^ INT(((YEAR(AN$2)-YEAR($F29))*12 + MONTH(AN$2)-MONTH($F29)) / 12),
  0)</f>
        <v/>
      </c>
      <c r="AO29" s="299">
        <f>IF(AND($F29&lt;=AO$2, OR($G29="",$G29&gt;=AO$2)),
  $H29 * (1 + Assumptions!$C$7) ^ INT(((YEAR(AO$2)-YEAR($F29))*12 + MONTH(AO$2)-MONTH($F29)) / 12),
  0)</f>
        <v/>
      </c>
      <c r="AP29" s="299">
        <f>IF(AND($F29&lt;=AP$2, OR($G29="",$G29&gt;=AP$2)),
  $H29 * (1 + Assumptions!$C$7) ^ INT(((YEAR(AP$2)-YEAR($F29))*12 + MONTH(AP$2)-MONTH($F29)) / 12),
  0)</f>
        <v/>
      </c>
      <c r="AQ29" s="299">
        <f>IF(AND($F29&lt;=AQ$2, OR($G29="",$G29&gt;=AQ$2)),
  $H29 * (1 + Assumptions!$C$7) ^ INT(((YEAR(AQ$2)-YEAR($F29))*12 + MONTH(AQ$2)-MONTH($F29)) / 12),
  0)</f>
        <v/>
      </c>
      <c r="AR29" s="299">
        <f>IF(AND($F29&lt;=AR$2, OR($G29="",$G29&gt;=AR$2)),
  $H29 * (1 + Assumptions!$C$7) ^ INT(((YEAR(AR$2)-YEAR($F29))*12 + MONTH(AR$2)-MONTH($F29)) / 12),
  0)</f>
        <v/>
      </c>
      <c r="AS29" s="299">
        <f>IF(AND($F29&lt;=AS$2, OR($G29="",$G29&gt;=AS$2)),
  $H29 * (1 + Assumptions!$C$7) ^ INT(((YEAR(AS$2)-YEAR($F29))*12 + MONTH(AS$2)-MONTH($F29)) / 12),
  0)</f>
        <v/>
      </c>
      <c r="AT29" s="299">
        <f>IF(AND($F29&lt;=AT$2, OR($G29="",$G29&gt;=AT$2)),
  $H29 * (1 + Assumptions!$C$7) ^ INT(((YEAR(AT$2)-YEAR($F29))*12 + MONTH(AT$2)-MONTH($F29)) / 12),
  0)</f>
        <v/>
      </c>
      <c r="AU29" s="299">
        <f>IF(AND($F29&lt;=AU$2, OR($G29="",$G29&gt;=AU$2)),
  $H29 * (1 + Assumptions!$C$7) ^ INT(((YEAR(AU$2)-YEAR($F29))*12 + MONTH(AU$2)-MONTH($F29)) / 12),
  0)</f>
        <v/>
      </c>
      <c r="AV29" s="299">
        <f>IF(AND($F29&lt;=AV$2, OR($G29="",$G29&gt;=AV$2)),
  $H29 * (1 + Assumptions!$C$7) ^ INT(((YEAR(AV$2)-YEAR($F29))*12 + MONTH(AV$2)-MONTH($F29)) / 12),
  0)</f>
        <v/>
      </c>
      <c r="AW29" s="299">
        <f>IF(AND($F29&lt;=AW$2, OR($G29="",$G29&gt;=AW$2)),
  $H29 * (1 + Assumptions!$C$7) ^ INT(((YEAR(AW$2)-YEAR($F29))*12 + MONTH(AW$2)-MONTH($F29)) / 12),
  0)</f>
        <v/>
      </c>
      <c r="AX29" s="299">
        <f>IF(AND($F29&lt;=AX$2, OR($G29="",$G29&gt;=AX$2)),
  $H29 * (1 + Assumptions!$C$7) ^ INT(((YEAR(AX$2)-YEAR($F29))*12 + MONTH(AX$2)-MONTH($F29)) / 12),
  0)</f>
        <v/>
      </c>
      <c r="AY29" s="299">
        <f>IF(AND($F29&lt;=AY$2, OR($G29="",$G29&gt;=AY$2)),
  $H29 * (1 + Assumptions!$C$7) ^ INT(((YEAR(AY$2)-YEAR($F29))*12 + MONTH(AY$2)-MONTH($F29)) / 12),
  0)</f>
        <v/>
      </c>
      <c r="AZ29" s="299">
        <f>IF(AND($F29&lt;=AZ$2, OR($G29="",$G29&gt;=AZ$2)),
  $H29 * (1 + Assumptions!$C$7) ^ INT(((YEAR(AZ$2)-YEAR($F29))*12 + MONTH(AZ$2)-MONTH($F29)) / 12),
  0)</f>
        <v/>
      </c>
      <c r="BA29" s="299">
        <f>IF(AND($F29&lt;=BA$2, OR($G29="",$G29&gt;=BA$2)),
  $H29 * (1 + Assumptions!$C$7) ^ INT(((YEAR(BA$2)-YEAR($F29))*12 + MONTH(BA$2)-MONTH($F29)) / 12),
  0)</f>
        <v/>
      </c>
      <c r="BB29" s="299">
        <f>IF(AND($F29&lt;=BB$2, OR($G29="",$G29&gt;=BB$2)),
  $H29 * (1 + Assumptions!$C$7) ^ INT(((YEAR(BB$2)-YEAR($F29))*12 + MONTH(BB$2)-MONTH($F29)) / 12),
  0)</f>
        <v/>
      </c>
      <c r="BC29" s="299">
        <f>IF(AND($F29&lt;=BC$2, OR($G29="",$G29&gt;=BC$2)),
  $H29 * (1 + Assumptions!$C$7) ^ INT(((YEAR(BC$2)-YEAR($F29))*12 + MONTH(BC$2)-MONTH($F29)) / 12),
  0)</f>
        <v/>
      </c>
      <c r="BD29" s="299">
        <f>IF(AND($F29&lt;=BD$2, OR($G29="",$G29&gt;=BD$2)),
  $H29 * (1 + Assumptions!$C$7) ^ INT(((YEAR(BD$2)-YEAR($F29))*12 + MONTH(BD$2)-MONTH($F29)) / 12),
  0)</f>
        <v/>
      </c>
      <c r="BE29" s="299">
        <f>IF(AND($F29&lt;=BE$2, OR($G29="",$G29&gt;=BE$2)),
  $H29 * (1 + Assumptions!$C$7) ^ INT(((YEAR(BE$2)-YEAR($F29))*12 + MONTH(BE$2)-MONTH($F29)) / 12),
  0)</f>
        <v/>
      </c>
      <c r="BF29" s="299">
        <f>IF(AND($F29&lt;=BF$2, OR($G29="",$G29&gt;=BF$2)),
  $H29 * (1 + Assumptions!$C$7) ^ INT(((YEAR(BF$2)-YEAR($F29))*12 + MONTH(BF$2)-MONTH($F29)) / 12),
  0)</f>
        <v/>
      </c>
      <c r="BG29" s="299">
        <f>IF(AND($F29&lt;=BG$2, OR($G29="",$G29&gt;=BG$2)),
  $H29 * (1 + Assumptions!$C$7) ^ INT(((YEAR(BG$2)-YEAR($F29))*12 + MONTH(BG$2)-MONTH($F29)) / 12),
  0)</f>
        <v/>
      </c>
      <c r="BH29" s="299">
        <f>IF(AND($F29&lt;=BH$2, OR($G29="",$G29&gt;=BH$2)),
  $H29 * (1 + Assumptions!$C$7) ^ INT(((YEAR(BH$2)-YEAR($F29))*12 + MONTH(BH$2)-MONTH($F29)) / 12),
  0)</f>
        <v/>
      </c>
      <c r="BI29" s="299">
        <f>IF(AND($F29&lt;=BI$2, OR($G29="",$G29&gt;=BI$2)),
  $H29 * (1 + Assumptions!$C$7) ^ INT(((YEAR(BI$2)-YEAR($F29))*12 + MONTH(BI$2)-MONTH($F29)) / 12),
  0)</f>
        <v/>
      </c>
      <c r="BJ29" s="299">
        <f>IF(AND($F29&lt;=BJ$2, OR($G29="",$G29&gt;=BJ$2)),
  $H29 * (1 + Assumptions!$C$7) ^ INT(((YEAR(BJ$2)-YEAR($F29))*12 + MONTH(BJ$2)-MONTH($F29)) / 12),
  0)</f>
        <v/>
      </c>
      <c r="BK29" s="299">
        <f>IF(AND($F29&lt;=BK$2, OR($G29="",$G29&gt;=BK$2)),
  $H29 * (1 + Assumptions!$C$7) ^ INT(((YEAR(BK$2)-YEAR($F29))*12 + MONTH(BK$2)-MONTH($F29)) / 12),
  0)</f>
        <v/>
      </c>
      <c r="BL29" s="299">
        <f>IF(AND($F29&lt;=BL$2, OR($G29="",$G29&gt;=BL$2)),
  $H29 * (1 + Assumptions!$C$7) ^ INT(((YEAR(BL$2)-YEAR($F29))*12 + MONTH(BL$2)-MONTH($F29)) / 12),
  0)</f>
        <v/>
      </c>
      <c r="BM29" s="299">
        <f>IF(AND($F29&lt;=BM$2, OR($G29="",$G29&gt;=BM$2)),
  $H29 * (1 + Assumptions!$C$7) ^ INT(((YEAR(BM$2)-YEAR($F29))*12 + MONTH(BM$2)-MONTH($F29)) / 12),
  0)</f>
        <v/>
      </c>
      <c r="BN29" s="299">
        <f>IF(AND($F29&lt;=BN$2, OR($G29="",$G29&gt;=BN$2)),
  $H29 * (1 + Assumptions!$C$7) ^ INT(((YEAR(BN$2)-YEAR($F29))*12 + MONTH(BN$2)-MONTH($F29)) / 12),
  0)</f>
        <v/>
      </c>
      <c r="BO29" s="299">
        <f>IF(AND($F29&lt;=BO$2, OR($G29="",$G29&gt;=BO$2)),
  $H29 * (1 + Assumptions!$C$7) ^ INT(((YEAR(BO$2)-YEAR($F29))*12 + MONTH(BO$2)-MONTH($F29)) / 12),
  0)</f>
        <v/>
      </c>
      <c r="BP29" s="299">
        <f>IF(AND($F29&lt;=BP$2, OR($G29="",$G29&gt;=BP$2)),
  $H29 * (1 + Assumptions!$C$7) ^ INT(((YEAR(BP$2)-YEAR($F29))*12 + MONTH(BP$2)-MONTH($F29)) / 12),
  0)</f>
        <v/>
      </c>
      <c r="BQ29" s="307" t="n"/>
      <c r="BR29" s="83" t="inlineStr">
        <is>
          <t>paid this month if started and not yet left; +8% on each work anniversary</t>
        </is>
      </c>
      <c r="BS29" s="307" t="n"/>
      <c r="BT29" s="307" t="n"/>
    </row>
    <row r="30" ht="15.75" customHeight="1" s="349">
      <c r="A30" s="321" t="n">
        <v>25</v>
      </c>
      <c r="B30" s="285" t="inlineStr">
        <is>
          <t>New hire</t>
        </is>
      </c>
      <c r="C30" s="285" t="inlineStr">
        <is>
          <t>S&amp;M</t>
        </is>
      </c>
      <c r="D30" s="321" t="inlineStr">
        <is>
          <t>Sales</t>
        </is>
      </c>
      <c r="E30" s="297" t="inlineStr">
        <is>
          <t>Planned</t>
        </is>
      </c>
      <c r="F30" s="318">
        <f>IF(Assumptions!$D$82=2,DATE(2027,1,1),DATE(2027,6,1))</f>
        <v/>
      </c>
      <c r="G30" s="319" t="n"/>
      <c r="H30" s="288" t="n">
        <v>7500</v>
      </c>
      <c r="I30" s="299">
        <f>IF(AND($F30&lt;=I$2, OR($G30="",$G30&gt;=I$2)),
  $H30 * (1 + Assumptions!$C$7) ^ INT(((YEAR(I$2)-YEAR($F30))*12 + MONTH(I$2)-MONTH($F30)) / 12),
  0)</f>
        <v/>
      </c>
      <c r="J30" s="299">
        <f>IF(AND($F30&lt;=J$2, OR($G30="",$G30&gt;=J$2)),
  $H30 * (1 + Assumptions!$C$7) ^ INT(((YEAR(J$2)-YEAR($F30))*12 + MONTH(J$2)-MONTH($F30)) / 12),
  0)</f>
        <v/>
      </c>
      <c r="K30" s="299">
        <f>IF(AND($F30&lt;=K$2, OR($G30="",$G30&gt;=K$2)),
  $H30 * (1 + Assumptions!$C$7) ^ INT(((YEAR(K$2)-YEAR($F30))*12 + MONTH(K$2)-MONTH($F30)) / 12),
  0)</f>
        <v/>
      </c>
      <c r="L30" s="299">
        <f>IF(AND($F30&lt;=L$2, OR($G30="",$G30&gt;=L$2)),
  $H30 * (1 + Assumptions!$C$7) ^ INT(((YEAR(L$2)-YEAR($F30))*12 + MONTH(L$2)-MONTH($F30)) / 12),
  0)</f>
        <v/>
      </c>
      <c r="M30" s="299">
        <f>IF(AND($F30&lt;=M$2, OR($G30="",$G30&gt;=M$2)),
  $H30 * (1 + Assumptions!$C$7) ^ INT(((YEAR(M$2)-YEAR($F30))*12 + MONTH(M$2)-MONTH($F30)) / 12),
  0)</f>
        <v/>
      </c>
      <c r="N30" s="299">
        <f>IF(AND($F30&lt;=N$2, OR($G30="",$G30&gt;=N$2)),
  $H30 * (1 + Assumptions!$C$7) ^ INT(((YEAR(N$2)-YEAR($F30))*12 + MONTH(N$2)-MONTH($F30)) / 12),
  0)</f>
        <v/>
      </c>
      <c r="O30" s="299">
        <f>IF(AND($F30&lt;=O$2, OR($G30="",$G30&gt;=O$2)),
  $H30 * (1 + Assumptions!$C$7) ^ INT(((YEAR(O$2)-YEAR($F30))*12 + MONTH(O$2)-MONTH($F30)) / 12),
  0)</f>
        <v/>
      </c>
      <c r="P30" s="299">
        <f>IF(AND($F30&lt;=P$2, OR($G30="",$G30&gt;=P$2)),
  $H30 * (1 + Assumptions!$C$7) ^ INT(((YEAR(P$2)-YEAR($F30))*12 + MONTH(P$2)-MONTH($F30)) / 12),
  0)</f>
        <v/>
      </c>
      <c r="Q30" s="299">
        <f>IF(AND($F30&lt;=Q$2, OR($G30="",$G30&gt;=Q$2)),
  $H30 * (1 + Assumptions!$C$7) ^ INT(((YEAR(Q$2)-YEAR($F30))*12 + MONTH(Q$2)-MONTH($F30)) / 12),
  0)</f>
        <v/>
      </c>
      <c r="R30" s="299">
        <f>IF(AND($F30&lt;=R$2, OR($G30="",$G30&gt;=R$2)),
  $H30 * (1 + Assumptions!$C$7) ^ INT(((YEAR(R$2)-YEAR($F30))*12 + MONTH(R$2)-MONTH($F30)) / 12),
  0)</f>
        <v/>
      </c>
      <c r="S30" s="299">
        <f>IF(AND($F30&lt;=S$2, OR($G30="",$G30&gt;=S$2)),
  $H30 * (1 + Assumptions!$C$7) ^ INT(((YEAR(S$2)-YEAR($F30))*12 + MONTH(S$2)-MONTH($F30)) / 12),
  0)</f>
        <v/>
      </c>
      <c r="T30" s="299">
        <f>IF(AND($F30&lt;=T$2, OR($G30="",$G30&gt;=T$2)),
  $H30 * (1 + Assumptions!$C$7) ^ INT(((YEAR(T$2)-YEAR($F30))*12 + MONTH(T$2)-MONTH($F30)) / 12),
  0)</f>
        <v/>
      </c>
      <c r="U30" s="299">
        <f>IF(AND($F30&lt;=U$2, OR($G30="",$G30&gt;=U$2)),
  $H30 * (1 + Assumptions!$C$7) ^ INT(((YEAR(U$2)-YEAR($F30))*12 + MONTH(U$2)-MONTH($F30)) / 12),
  0)</f>
        <v/>
      </c>
      <c r="V30" s="299">
        <f>IF(AND($F30&lt;=V$2, OR($G30="",$G30&gt;=V$2)),
  $H30 * (1 + Assumptions!$C$7) ^ INT(((YEAR(V$2)-YEAR($F30))*12 + MONTH(V$2)-MONTH($F30)) / 12),
  0)</f>
        <v/>
      </c>
      <c r="W30" s="299">
        <f>IF(AND($F30&lt;=W$2, OR($G30="",$G30&gt;=W$2)),
  $H30 * (1 + Assumptions!$C$7) ^ INT(((YEAR(W$2)-YEAR($F30))*12 + MONTH(W$2)-MONTH($F30)) / 12),
  0)</f>
        <v/>
      </c>
      <c r="X30" s="299">
        <f>IF(AND($F30&lt;=X$2, OR($G30="",$G30&gt;=X$2)),
  $H30 * (1 + Assumptions!$C$7) ^ INT(((YEAR(X$2)-YEAR($F30))*12 + MONTH(X$2)-MONTH($F30)) / 12),
  0)</f>
        <v/>
      </c>
      <c r="Y30" s="299">
        <f>IF(AND($F30&lt;=Y$2, OR($G30="",$G30&gt;=Y$2)),
  $H30 * (1 + Assumptions!$C$7) ^ INT(((YEAR(Y$2)-YEAR($F30))*12 + MONTH(Y$2)-MONTH($F30)) / 12),
  0)</f>
        <v/>
      </c>
      <c r="Z30" s="299">
        <f>IF(AND($F30&lt;=Z$2, OR($G30="",$G30&gt;=Z$2)),
  $H30 * (1 + Assumptions!$C$7) ^ INT(((YEAR(Z$2)-YEAR($F30))*12 + MONTH(Z$2)-MONTH($F30)) / 12),
  0)</f>
        <v/>
      </c>
      <c r="AA30" s="299">
        <f>IF(AND($F30&lt;=AA$2, OR($G30="",$G30&gt;=AA$2)),
  $H30 * (1 + Assumptions!$C$7) ^ INT(((YEAR(AA$2)-YEAR($F30))*12 + MONTH(AA$2)-MONTH($F30)) / 12),
  0)</f>
        <v/>
      </c>
      <c r="AB30" s="299">
        <f>IF(AND($F30&lt;=AB$2, OR($G30="",$G30&gt;=AB$2)),
  $H30 * (1 + Assumptions!$C$7) ^ INT(((YEAR(AB$2)-YEAR($F30))*12 + MONTH(AB$2)-MONTH($F30)) / 12),
  0)</f>
        <v/>
      </c>
      <c r="AC30" s="299">
        <f>IF(AND($F30&lt;=AC$2, OR($G30="",$G30&gt;=AC$2)),
  $H30 * (1 + Assumptions!$C$7) ^ INT(((YEAR(AC$2)-YEAR($F30))*12 + MONTH(AC$2)-MONTH($F30)) / 12),
  0)</f>
        <v/>
      </c>
      <c r="AD30" s="299">
        <f>IF(AND($F30&lt;=AD$2, OR($G30="",$G30&gt;=AD$2)),
  $H30 * (1 + Assumptions!$C$7) ^ INT(((YEAR(AD$2)-YEAR($F30))*12 + MONTH(AD$2)-MONTH($F30)) / 12),
  0)</f>
        <v/>
      </c>
      <c r="AE30" s="299">
        <f>IF(AND($F30&lt;=AE$2, OR($G30="",$G30&gt;=AE$2)),
  $H30 * (1 + Assumptions!$C$7) ^ INT(((YEAR(AE$2)-YEAR($F30))*12 + MONTH(AE$2)-MONTH($F30)) / 12),
  0)</f>
        <v/>
      </c>
      <c r="AF30" s="299">
        <f>IF(AND($F30&lt;=AF$2, OR($G30="",$G30&gt;=AF$2)),
  $H30 * (1 + Assumptions!$C$7) ^ INT(((YEAR(AF$2)-YEAR($F30))*12 + MONTH(AF$2)-MONTH($F30)) / 12),
  0)</f>
        <v/>
      </c>
      <c r="AG30" s="299">
        <f>IF(AND($F30&lt;=AG$2, OR($G30="",$G30&gt;=AG$2)),
  $H30 * (1 + Assumptions!$C$7) ^ INT(((YEAR(AG$2)-YEAR($F30))*12 + MONTH(AG$2)-MONTH($F30)) / 12),
  0)</f>
        <v/>
      </c>
      <c r="AH30" s="299">
        <f>IF(AND($F30&lt;=AH$2, OR($G30="",$G30&gt;=AH$2)),
  $H30 * (1 + Assumptions!$C$7) ^ INT(((YEAR(AH$2)-YEAR($F30))*12 + MONTH(AH$2)-MONTH($F30)) / 12),
  0)</f>
        <v/>
      </c>
      <c r="AI30" s="299">
        <f>IF(AND($F30&lt;=AI$2, OR($G30="",$G30&gt;=AI$2)),
  $H30 * (1 + Assumptions!$C$7) ^ INT(((YEAR(AI$2)-YEAR($F30))*12 + MONTH(AI$2)-MONTH($F30)) / 12),
  0)</f>
        <v/>
      </c>
      <c r="AJ30" s="299">
        <f>IF(AND($F30&lt;=AJ$2, OR($G30="",$G30&gt;=AJ$2)),
  $H30 * (1 + Assumptions!$C$7) ^ INT(((YEAR(AJ$2)-YEAR($F30))*12 + MONTH(AJ$2)-MONTH($F30)) / 12),
  0)</f>
        <v/>
      </c>
      <c r="AK30" s="299">
        <f>IF(AND($F30&lt;=AK$2, OR($G30="",$G30&gt;=AK$2)),
  $H30 * (1 + Assumptions!$C$7) ^ INT(((YEAR(AK$2)-YEAR($F30))*12 + MONTH(AK$2)-MONTH($F30)) / 12),
  0)</f>
        <v/>
      </c>
      <c r="AL30" s="299">
        <f>IF(AND($F30&lt;=AL$2, OR($G30="",$G30&gt;=AL$2)),
  $H30 * (1 + Assumptions!$C$7) ^ INT(((YEAR(AL$2)-YEAR($F30))*12 + MONTH(AL$2)-MONTH($F30)) / 12),
  0)</f>
        <v/>
      </c>
      <c r="AM30" s="299">
        <f>IF(AND($F30&lt;=AM$2, OR($G30="",$G30&gt;=AM$2)),
  $H30 * (1 + Assumptions!$C$7) ^ INT(((YEAR(AM$2)-YEAR($F30))*12 + MONTH(AM$2)-MONTH($F30)) / 12),
  0)</f>
        <v/>
      </c>
      <c r="AN30" s="299">
        <f>IF(AND($F30&lt;=AN$2, OR($G30="",$G30&gt;=AN$2)),
  $H30 * (1 + Assumptions!$C$7) ^ INT(((YEAR(AN$2)-YEAR($F30))*12 + MONTH(AN$2)-MONTH($F30)) / 12),
  0)</f>
        <v/>
      </c>
      <c r="AO30" s="299">
        <f>IF(AND($F30&lt;=AO$2, OR($G30="",$G30&gt;=AO$2)),
  $H30 * (1 + Assumptions!$C$7) ^ INT(((YEAR(AO$2)-YEAR($F30))*12 + MONTH(AO$2)-MONTH($F30)) / 12),
  0)</f>
        <v/>
      </c>
      <c r="AP30" s="299">
        <f>IF(AND($F30&lt;=AP$2, OR($G30="",$G30&gt;=AP$2)),
  $H30 * (1 + Assumptions!$C$7) ^ INT(((YEAR(AP$2)-YEAR($F30))*12 + MONTH(AP$2)-MONTH($F30)) / 12),
  0)</f>
        <v/>
      </c>
      <c r="AQ30" s="299">
        <f>IF(AND($F30&lt;=AQ$2, OR($G30="",$G30&gt;=AQ$2)),
  $H30 * (1 + Assumptions!$C$7) ^ INT(((YEAR(AQ$2)-YEAR($F30))*12 + MONTH(AQ$2)-MONTH($F30)) / 12),
  0)</f>
        <v/>
      </c>
      <c r="AR30" s="299">
        <f>IF(AND($F30&lt;=AR$2, OR($G30="",$G30&gt;=AR$2)),
  $H30 * (1 + Assumptions!$C$7) ^ INT(((YEAR(AR$2)-YEAR($F30))*12 + MONTH(AR$2)-MONTH($F30)) / 12),
  0)</f>
        <v/>
      </c>
      <c r="AS30" s="299">
        <f>IF(AND($F30&lt;=AS$2, OR($G30="",$G30&gt;=AS$2)),
  $H30 * (1 + Assumptions!$C$7) ^ INT(((YEAR(AS$2)-YEAR($F30))*12 + MONTH(AS$2)-MONTH($F30)) / 12),
  0)</f>
        <v/>
      </c>
      <c r="AT30" s="299">
        <f>IF(AND($F30&lt;=AT$2, OR($G30="",$G30&gt;=AT$2)),
  $H30 * (1 + Assumptions!$C$7) ^ INT(((YEAR(AT$2)-YEAR($F30))*12 + MONTH(AT$2)-MONTH($F30)) / 12),
  0)</f>
        <v/>
      </c>
      <c r="AU30" s="299">
        <f>IF(AND($F30&lt;=AU$2, OR($G30="",$G30&gt;=AU$2)),
  $H30 * (1 + Assumptions!$C$7) ^ INT(((YEAR(AU$2)-YEAR($F30))*12 + MONTH(AU$2)-MONTH($F30)) / 12),
  0)</f>
        <v/>
      </c>
      <c r="AV30" s="299">
        <f>IF(AND($F30&lt;=AV$2, OR($G30="",$G30&gt;=AV$2)),
  $H30 * (1 + Assumptions!$C$7) ^ INT(((YEAR(AV$2)-YEAR($F30))*12 + MONTH(AV$2)-MONTH($F30)) / 12),
  0)</f>
        <v/>
      </c>
      <c r="AW30" s="299">
        <f>IF(AND($F30&lt;=AW$2, OR($G30="",$G30&gt;=AW$2)),
  $H30 * (1 + Assumptions!$C$7) ^ INT(((YEAR(AW$2)-YEAR($F30))*12 + MONTH(AW$2)-MONTH($F30)) / 12),
  0)</f>
        <v/>
      </c>
      <c r="AX30" s="299">
        <f>IF(AND($F30&lt;=AX$2, OR($G30="",$G30&gt;=AX$2)),
  $H30 * (1 + Assumptions!$C$7) ^ INT(((YEAR(AX$2)-YEAR($F30))*12 + MONTH(AX$2)-MONTH($F30)) / 12),
  0)</f>
        <v/>
      </c>
      <c r="AY30" s="299">
        <f>IF(AND($F30&lt;=AY$2, OR($G30="",$G30&gt;=AY$2)),
  $H30 * (1 + Assumptions!$C$7) ^ INT(((YEAR(AY$2)-YEAR($F30))*12 + MONTH(AY$2)-MONTH($F30)) / 12),
  0)</f>
        <v/>
      </c>
      <c r="AZ30" s="299">
        <f>IF(AND($F30&lt;=AZ$2, OR($G30="",$G30&gt;=AZ$2)),
  $H30 * (1 + Assumptions!$C$7) ^ INT(((YEAR(AZ$2)-YEAR($F30))*12 + MONTH(AZ$2)-MONTH($F30)) / 12),
  0)</f>
        <v/>
      </c>
      <c r="BA30" s="299">
        <f>IF(AND($F30&lt;=BA$2, OR($G30="",$G30&gt;=BA$2)),
  $H30 * (1 + Assumptions!$C$7) ^ INT(((YEAR(BA$2)-YEAR($F30))*12 + MONTH(BA$2)-MONTH($F30)) / 12),
  0)</f>
        <v/>
      </c>
      <c r="BB30" s="299">
        <f>IF(AND($F30&lt;=BB$2, OR($G30="",$G30&gt;=BB$2)),
  $H30 * (1 + Assumptions!$C$7) ^ INT(((YEAR(BB$2)-YEAR($F30))*12 + MONTH(BB$2)-MONTH($F30)) / 12),
  0)</f>
        <v/>
      </c>
      <c r="BC30" s="299">
        <f>IF(AND($F30&lt;=BC$2, OR($G30="",$G30&gt;=BC$2)),
  $H30 * (1 + Assumptions!$C$7) ^ INT(((YEAR(BC$2)-YEAR($F30))*12 + MONTH(BC$2)-MONTH($F30)) / 12),
  0)</f>
        <v/>
      </c>
      <c r="BD30" s="299">
        <f>IF(AND($F30&lt;=BD$2, OR($G30="",$G30&gt;=BD$2)),
  $H30 * (1 + Assumptions!$C$7) ^ INT(((YEAR(BD$2)-YEAR($F30))*12 + MONTH(BD$2)-MONTH($F30)) / 12),
  0)</f>
        <v/>
      </c>
      <c r="BE30" s="299">
        <f>IF(AND($F30&lt;=BE$2, OR($G30="",$G30&gt;=BE$2)),
  $H30 * (1 + Assumptions!$C$7) ^ INT(((YEAR(BE$2)-YEAR($F30))*12 + MONTH(BE$2)-MONTH($F30)) / 12),
  0)</f>
        <v/>
      </c>
      <c r="BF30" s="299">
        <f>IF(AND($F30&lt;=BF$2, OR($G30="",$G30&gt;=BF$2)),
  $H30 * (1 + Assumptions!$C$7) ^ INT(((YEAR(BF$2)-YEAR($F30))*12 + MONTH(BF$2)-MONTH($F30)) / 12),
  0)</f>
        <v/>
      </c>
      <c r="BG30" s="299">
        <f>IF(AND($F30&lt;=BG$2, OR($G30="",$G30&gt;=BG$2)),
  $H30 * (1 + Assumptions!$C$7) ^ INT(((YEAR(BG$2)-YEAR($F30))*12 + MONTH(BG$2)-MONTH($F30)) / 12),
  0)</f>
        <v/>
      </c>
      <c r="BH30" s="299">
        <f>IF(AND($F30&lt;=BH$2, OR($G30="",$G30&gt;=BH$2)),
  $H30 * (1 + Assumptions!$C$7) ^ INT(((YEAR(BH$2)-YEAR($F30))*12 + MONTH(BH$2)-MONTH($F30)) / 12),
  0)</f>
        <v/>
      </c>
      <c r="BI30" s="299">
        <f>IF(AND($F30&lt;=BI$2, OR($G30="",$G30&gt;=BI$2)),
  $H30 * (1 + Assumptions!$C$7) ^ INT(((YEAR(BI$2)-YEAR($F30))*12 + MONTH(BI$2)-MONTH($F30)) / 12),
  0)</f>
        <v/>
      </c>
      <c r="BJ30" s="299">
        <f>IF(AND($F30&lt;=BJ$2, OR($G30="",$G30&gt;=BJ$2)),
  $H30 * (1 + Assumptions!$C$7) ^ INT(((YEAR(BJ$2)-YEAR($F30))*12 + MONTH(BJ$2)-MONTH($F30)) / 12),
  0)</f>
        <v/>
      </c>
      <c r="BK30" s="299">
        <f>IF(AND($F30&lt;=BK$2, OR($G30="",$G30&gt;=BK$2)),
  $H30 * (1 + Assumptions!$C$7) ^ INT(((YEAR(BK$2)-YEAR($F30))*12 + MONTH(BK$2)-MONTH($F30)) / 12),
  0)</f>
        <v/>
      </c>
      <c r="BL30" s="299">
        <f>IF(AND($F30&lt;=BL$2, OR($G30="",$G30&gt;=BL$2)),
  $H30 * (1 + Assumptions!$C$7) ^ INT(((YEAR(BL$2)-YEAR($F30))*12 + MONTH(BL$2)-MONTH($F30)) / 12),
  0)</f>
        <v/>
      </c>
      <c r="BM30" s="299">
        <f>IF(AND($F30&lt;=BM$2, OR($G30="",$G30&gt;=BM$2)),
  $H30 * (1 + Assumptions!$C$7) ^ INT(((YEAR(BM$2)-YEAR($F30))*12 + MONTH(BM$2)-MONTH($F30)) / 12),
  0)</f>
        <v/>
      </c>
      <c r="BN30" s="299">
        <f>IF(AND($F30&lt;=BN$2, OR($G30="",$G30&gt;=BN$2)),
  $H30 * (1 + Assumptions!$C$7) ^ INT(((YEAR(BN$2)-YEAR($F30))*12 + MONTH(BN$2)-MONTH($F30)) / 12),
  0)</f>
        <v/>
      </c>
      <c r="BO30" s="299">
        <f>IF(AND($F30&lt;=BO$2, OR($G30="",$G30&gt;=BO$2)),
  $H30 * (1 + Assumptions!$C$7) ^ INT(((YEAR(BO$2)-YEAR($F30))*12 + MONTH(BO$2)-MONTH($F30)) / 12),
  0)</f>
        <v/>
      </c>
      <c r="BP30" s="299">
        <f>IF(AND($F30&lt;=BP$2, OR($G30="",$G30&gt;=BP$2)),
  $H30 * (1 + Assumptions!$C$7) ^ INT(((YEAR(BP$2)-YEAR($F30))*12 + MONTH(BP$2)-MONTH($F30)) / 12),
  0)</f>
        <v/>
      </c>
      <c r="BQ30" s="307" t="n"/>
      <c r="BR30" s="83" t="inlineStr">
        <is>
          <t>paid this month if started and not yet left; +8% on each work anniversary</t>
        </is>
      </c>
      <c r="BS30" s="307" t="n"/>
      <c r="BT30" s="307" t="n"/>
    </row>
    <row r="31" ht="15.75" customHeight="1" s="349">
      <c r="A31" s="321" t="n">
        <v>26</v>
      </c>
      <c r="B31" s="285" t="inlineStr">
        <is>
          <t>New hire</t>
        </is>
      </c>
      <c r="C31" s="23" t="inlineStr">
        <is>
          <t>G&amp;A</t>
        </is>
      </c>
      <c r="D31" s="321" t="inlineStr">
        <is>
          <t>Finance</t>
        </is>
      </c>
      <c r="E31" s="297" t="inlineStr">
        <is>
          <t>Planned</t>
        </is>
      </c>
      <c r="F31" s="318" t="n">
        <v>46753</v>
      </c>
      <c r="G31" s="319" t="n"/>
      <c r="H31" s="288" t="n">
        <v>7500</v>
      </c>
      <c r="I31" s="299">
        <f>IF(AND($F31&lt;=I$2, OR($G31="",$G31&gt;=I$2)),
  $H31 * (1 + Assumptions!$C$7) ^ INT(((YEAR(I$2)-YEAR($F31))*12 + MONTH(I$2)-MONTH($F31)) / 12),
  0)</f>
        <v/>
      </c>
      <c r="J31" s="299">
        <f>IF(AND($F31&lt;=J$2, OR($G31="",$G31&gt;=J$2)),
  $H31 * (1 + Assumptions!$C$7) ^ INT(((YEAR(J$2)-YEAR($F31))*12 + MONTH(J$2)-MONTH($F31)) / 12),
  0)</f>
        <v/>
      </c>
      <c r="K31" s="299">
        <f>IF(AND($F31&lt;=K$2, OR($G31="",$G31&gt;=K$2)),
  $H31 * (1 + Assumptions!$C$7) ^ INT(((YEAR(K$2)-YEAR($F31))*12 + MONTH(K$2)-MONTH($F31)) / 12),
  0)</f>
        <v/>
      </c>
      <c r="L31" s="299">
        <f>IF(AND($F31&lt;=L$2, OR($G31="",$G31&gt;=L$2)),
  $H31 * (1 + Assumptions!$C$7) ^ INT(((YEAR(L$2)-YEAR($F31))*12 + MONTH(L$2)-MONTH($F31)) / 12),
  0)</f>
        <v/>
      </c>
      <c r="M31" s="299">
        <f>IF(AND($F31&lt;=M$2, OR($G31="",$G31&gt;=M$2)),
  $H31 * (1 + Assumptions!$C$7) ^ INT(((YEAR(M$2)-YEAR($F31))*12 + MONTH(M$2)-MONTH($F31)) / 12),
  0)</f>
        <v/>
      </c>
      <c r="N31" s="299">
        <f>IF(AND($F31&lt;=N$2, OR($G31="",$G31&gt;=N$2)),
  $H31 * (1 + Assumptions!$C$7) ^ INT(((YEAR(N$2)-YEAR($F31))*12 + MONTH(N$2)-MONTH($F31)) / 12),
  0)</f>
        <v/>
      </c>
      <c r="O31" s="299">
        <f>IF(AND($F31&lt;=O$2, OR($G31="",$G31&gt;=O$2)),
  $H31 * (1 + Assumptions!$C$7) ^ INT(((YEAR(O$2)-YEAR($F31))*12 + MONTH(O$2)-MONTH($F31)) / 12),
  0)</f>
        <v/>
      </c>
      <c r="P31" s="299">
        <f>IF(AND($F31&lt;=P$2, OR($G31="",$G31&gt;=P$2)),
  $H31 * (1 + Assumptions!$C$7) ^ INT(((YEAR(P$2)-YEAR($F31))*12 + MONTH(P$2)-MONTH($F31)) / 12),
  0)</f>
        <v/>
      </c>
      <c r="Q31" s="299">
        <f>IF(AND($F31&lt;=Q$2, OR($G31="",$G31&gt;=Q$2)),
  $H31 * (1 + Assumptions!$C$7) ^ INT(((YEAR(Q$2)-YEAR($F31))*12 + MONTH(Q$2)-MONTH($F31)) / 12),
  0)</f>
        <v/>
      </c>
      <c r="R31" s="299">
        <f>IF(AND($F31&lt;=R$2, OR($G31="",$G31&gt;=R$2)),
  $H31 * (1 + Assumptions!$C$7) ^ INT(((YEAR(R$2)-YEAR($F31))*12 + MONTH(R$2)-MONTH($F31)) / 12),
  0)</f>
        <v/>
      </c>
      <c r="S31" s="299">
        <f>IF(AND($F31&lt;=S$2, OR($G31="",$G31&gt;=S$2)),
  $H31 * (1 + Assumptions!$C$7) ^ INT(((YEAR(S$2)-YEAR($F31))*12 + MONTH(S$2)-MONTH($F31)) / 12),
  0)</f>
        <v/>
      </c>
      <c r="T31" s="299">
        <f>IF(AND($F31&lt;=T$2, OR($G31="",$G31&gt;=T$2)),
  $H31 * (1 + Assumptions!$C$7) ^ INT(((YEAR(T$2)-YEAR($F31))*12 + MONTH(T$2)-MONTH($F31)) / 12),
  0)</f>
        <v/>
      </c>
      <c r="U31" s="299">
        <f>IF(AND($F31&lt;=U$2, OR($G31="",$G31&gt;=U$2)),
  $H31 * (1 + Assumptions!$C$7) ^ INT(((YEAR(U$2)-YEAR($F31))*12 + MONTH(U$2)-MONTH($F31)) / 12),
  0)</f>
        <v/>
      </c>
      <c r="V31" s="299">
        <f>IF(AND($F31&lt;=V$2, OR($G31="",$G31&gt;=V$2)),
  $H31 * (1 + Assumptions!$C$7) ^ INT(((YEAR(V$2)-YEAR($F31))*12 + MONTH(V$2)-MONTH($F31)) / 12),
  0)</f>
        <v/>
      </c>
      <c r="W31" s="299">
        <f>IF(AND($F31&lt;=W$2, OR($G31="",$G31&gt;=W$2)),
  $H31 * (1 + Assumptions!$C$7) ^ INT(((YEAR(W$2)-YEAR($F31))*12 + MONTH(W$2)-MONTH($F31)) / 12),
  0)</f>
        <v/>
      </c>
      <c r="X31" s="299">
        <f>IF(AND($F31&lt;=X$2, OR($G31="",$G31&gt;=X$2)),
  $H31 * (1 + Assumptions!$C$7) ^ INT(((YEAR(X$2)-YEAR($F31))*12 + MONTH(X$2)-MONTH($F31)) / 12),
  0)</f>
        <v/>
      </c>
      <c r="Y31" s="299">
        <f>IF(AND($F31&lt;=Y$2, OR($G31="",$G31&gt;=Y$2)),
  $H31 * (1 + Assumptions!$C$7) ^ INT(((YEAR(Y$2)-YEAR($F31))*12 + MONTH(Y$2)-MONTH($F31)) / 12),
  0)</f>
        <v/>
      </c>
      <c r="Z31" s="299">
        <f>IF(AND($F31&lt;=Z$2, OR($G31="",$G31&gt;=Z$2)),
  $H31 * (1 + Assumptions!$C$7) ^ INT(((YEAR(Z$2)-YEAR($F31))*12 + MONTH(Z$2)-MONTH($F31)) / 12),
  0)</f>
        <v/>
      </c>
      <c r="AA31" s="299">
        <f>IF(AND($F31&lt;=AA$2, OR($G31="",$G31&gt;=AA$2)),
  $H31 * (1 + Assumptions!$C$7) ^ INT(((YEAR(AA$2)-YEAR($F31))*12 + MONTH(AA$2)-MONTH($F31)) / 12),
  0)</f>
        <v/>
      </c>
      <c r="AB31" s="299">
        <f>IF(AND($F31&lt;=AB$2, OR($G31="",$G31&gt;=AB$2)),
  $H31 * (1 + Assumptions!$C$7) ^ INT(((YEAR(AB$2)-YEAR($F31))*12 + MONTH(AB$2)-MONTH($F31)) / 12),
  0)</f>
        <v/>
      </c>
      <c r="AC31" s="299">
        <f>IF(AND($F31&lt;=AC$2, OR($G31="",$G31&gt;=AC$2)),
  $H31 * (1 + Assumptions!$C$7) ^ INT(((YEAR(AC$2)-YEAR($F31))*12 + MONTH(AC$2)-MONTH($F31)) / 12),
  0)</f>
        <v/>
      </c>
      <c r="AD31" s="299">
        <f>IF(AND($F31&lt;=AD$2, OR($G31="",$G31&gt;=AD$2)),
  $H31 * (1 + Assumptions!$C$7) ^ INT(((YEAR(AD$2)-YEAR($F31))*12 + MONTH(AD$2)-MONTH($F31)) / 12),
  0)</f>
        <v/>
      </c>
      <c r="AE31" s="299">
        <f>IF(AND($F31&lt;=AE$2, OR($G31="",$G31&gt;=AE$2)),
  $H31 * (1 + Assumptions!$C$7) ^ INT(((YEAR(AE$2)-YEAR($F31))*12 + MONTH(AE$2)-MONTH($F31)) / 12),
  0)</f>
        <v/>
      </c>
      <c r="AF31" s="299">
        <f>IF(AND($F31&lt;=AF$2, OR($G31="",$G31&gt;=AF$2)),
  $H31 * (1 + Assumptions!$C$7) ^ INT(((YEAR(AF$2)-YEAR($F31))*12 + MONTH(AF$2)-MONTH($F31)) / 12),
  0)</f>
        <v/>
      </c>
      <c r="AG31" s="299">
        <f>IF(AND($F31&lt;=AG$2, OR($G31="",$G31&gt;=AG$2)),
  $H31 * (1 + Assumptions!$C$7) ^ INT(((YEAR(AG$2)-YEAR($F31))*12 + MONTH(AG$2)-MONTH($F31)) / 12),
  0)</f>
        <v/>
      </c>
      <c r="AH31" s="299">
        <f>IF(AND($F31&lt;=AH$2, OR($G31="",$G31&gt;=AH$2)),
  $H31 * (1 + Assumptions!$C$7) ^ INT(((YEAR(AH$2)-YEAR($F31))*12 + MONTH(AH$2)-MONTH($F31)) / 12),
  0)</f>
        <v/>
      </c>
      <c r="AI31" s="299">
        <f>IF(AND($F31&lt;=AI$2, OR($G31="",$G31&gt;=AI$2)),
  $H31 * (1 + Assumptions!$C$7) ^ INT(((YEAR(AI$2)-YEAR($F31))*12 + MONTH(AI$2)-MONTH($F31)) / 12),
  0)</f>
        <v/>
      </c>
      <c r="AJ31" s="299">
        <f>IF(AND($F31&lt;=AJ$2, OR($G31="",$G31&gt;=AJ$2)),
  $H31 * (1 + Assumptions!$C$7) ^ INT(((YEAR(AJ$2)-YEAR($F31))*12 + MONTH(AJ$2)-MONTH($F31)) / 12),
  0)</f>
        <v/>
      </c>
      <c r="AK31" s="299">
        <f>IF(AND($F31&lt;=AK$2, OR($G31="",$G31&gt;=AK$2)),
  $H31 * (1 + Assumptions!$C$7) ^ INT(((YEAR(AK$2)-YEAR($F31))*12 + MONTH(AK$2)-MONTH($F31)) / 12),
  0)</f>
        <v/>
      </c>
      <c r="AL31" s="299">
        <f>IF(AND($F31&lt;=AL$2, OR($G31="",$G31&gt;=AL$2)),
  $H31 * (1 + Assumptions!$C$7) ^ INT(((YEAR(AL$2)-YEAR($F31))*12 + MONTH(AL$2)-MONTH($F31)) / 12),
  0)</f>
        <v/>
      </c>
      <c r="AM31" s="299">
        <f>IF(AND($F31&lt;=AM$2, OR($G31="",$G31&gt;=AM$2)),
  $H31 * (1 + Assumptions!$C$7) ^ INT(((YEAR(AM$2)-YEAR($F31))*12 + MONTH(AM$2)-MONTH($F31)) / 12),
  0)</f>
        <v/>
      </c>
      <c r="AN31" s="299">
        <f>IF(AND($F31&lt;=AN$2, OR($G31="",$G31&gt;=AN$2)),
  $H31 * (1 + Assumptions!$C$7) ^ INT(((YEAR(AN$2)-YEAR($F31))*12 + MONTH(AN$2)-MONTH($F31)) / 12),
  0)</f>
        <v/>
      </c>
      <c r="AO31" s="299">
        <f>IF(AND($F31&lt;=AO$2, OR($G31="",$G31&gt;=AO$2)),
  $H31 * (1 + Assumptions!$C$7) ^ INT(((YEAR(AO$2)-YEAR($F31))*12 + MONTH(AO$2)-MONTH($F31)) / 12),
  0)</f>
        <v/>
      </c>
      <c r="AP31" s="299">
        <f>IF(AND($F31&lt;=AP$2, OR($G31="",$G31&gt;=AP$2)),
  $H31 * (1 + Assumptions!$C$7) ^ INT(((YEAR(AP$2)-YEAR($F31))*12 + MONTH(AP$2)-MONTH($F31)) / 12),
  0)</f>
        <v/>
      </c>
      <c r="AQ31" s="299">
        <f>IF(AND($F31&lt;=AQ$2, OR($G31="",$G31&gt;=AQ$2)),
  $H31 * (1 + Assumptions!$C$7) ^ INT(((YEAR(AQ$2)-YEAR($F31))*12 + MONTH(AQ$2)-MONTH($F31)) / 12),
  0)</f>
        <v/>
      </c>
      <c r="AR31" s="299">
        <f>IF(AND($F31&lt;=AR$2, OR($G31="",$G31&gt;=AR$2)),
  $H31 * (1 + Assumptions!$C$7) ^ INT(((YEAR(AR$2)-YEAR($F31))*12 + MONTH(AR$2)-MONTH($F31)) / 12),
  0)</f>
        <v/>
      </c>
      <c r="AS31" s="299">
        <f>IF(AND($F31&lt;=AS$2, OR($G31="",$G31&gt;=AS$2)),
  $H31 * (1 + Assumptions!$C$7) ^ INT(((YEAR(AS$2)-YEAR($F31))*12 + MONTH(AS$2)-MONTH($F31)) / 12),
  0)</f>
        <v/>
      </c>
      <c r="AT31" s="299">
        <f>IF(AND($F31&lt;=AT$2, OR($G31="",$G31&gt;=AT$2)),
  $H31 * (1 + Assumptions!$C$7) ^ INT(((YEAR(AT$2)-YEAR($F31))*12 + MONTH(AT$2)-MONTH($F31)) / 12),
  0)</f>
        <v/>
      </c>
      <c r="AU31" s="299">
        <f>IF(AND($F31&lt;=AU$2, OR($G31="",$G31&gt;=AU$2)),
  $H31 * (1 + Assumptions!$C$7) ^ INT(((YEAR(AU$2)-YEAR($F31))*12 + MONTH(AU$2)-MONTH($F31)) / 12),
  0)</f>
        <v/>
      </c>
      <c r="AV31" s="299">
        <f>IF(AND($F31&lt;=AV$2, OR($G31="",$G31&gt;=AV$2)),
  $H31 * (1 + Assumptions!$C$7) ^ INT(((YEAR(AV$2)-YEAR($F31))*12 + MONTH(AV$2)-MONTH($F31)) / 12),
  0)</f>
        <v/>
      </c>
      <c r="AW31" s="299">
        <f>IF(AND($F31&lt;=AW$2, OR($G31="",$G31&gt;=AW$2)),
  $H31 * (1 + Assumptions!$C$7) ^ INT(((YEAR(AW$2)-YEAR($F31))*12 + MONTH(AW$2)-MONTH($F31)) / 12),
  0)</f>
        <v/>
      </c>
      <c r="AX31" s="299">
        <f>IF(AND($F31&lt;=AX$2, OR($G31="",$G31&gt;=AX$2)),
  $H31 * (1 + Assumptions!$C$7) ^ INT(((YEAR(AX$2)-YEAR($F31))*12 + MONTH(AX$2)-MONTH($F31)) / 12),
  0)</f>
        <v/>
      </c>
      <c r="AY31" s="299">
        <f>IF(AND($F31&lt;=AY$2, OR($G31="",$G31&gt;=AY$2)),
  $H31 * (1 + Assumptions!$C$7) ^ INT(((YEAR(AY$2)-YEAR($F31))*12 + MONTH(AY$2)-MONTH($F31)) / 12),
  0)</f>
        <v/>
      </c>
      <c r="AZ31" s="299">
        <f>IF(AND($F31&lt;=AZ$2, OR($G31="",$G31&gt;=AZ$2)),
  $H31 * (1 + Assumptions!$C$7) ^ INT(((YEAR(AZ$2)-YEAR($F31))*12 + MONTH(AZ$2)-MONTH($F31)) / 12),
  0)</f>
        <v/>
      </c>
      <c r="BA31" s="299">
        <f>IF(AND($F31&lt;=BA$2, OR($G31="",$G31&gt;=BA$2)),
  $H31 * (1 + Assumptions!$C$7) ^ INT(((YEAR(BA$2)-YEAR($F31))*12 + MONTH(BA$2)-MONTH($F31)) / 12),
  0)</f>
        <v/>
      </c>
      <c r="BB31" s="299">
        <f>IF(AND($F31&lt;=BB$2, OR($G31="",$G31&gt;=BB$2)),
  $H31 * (1 + Assumptions!$C$7) ^ INT(((YEAR(BB$2)-YEAR($F31))*12 + MONTH(BB$2)-MONTH($F31)) / 12),
  0)</f>
        <v/>
      </c>
      <c r="BC31" s="299">
        <f>IF(AND($F31&lt;=BC$2, OR($G31="",$G31&gt;=BC$2)),
  $H31 * (1 + Assumptions!$C$7) ^ INT(((YEAR(BC$2)-YEAR($F31))*12 + MONTH(BC$2)-MONTH($F31)) / 12),
  0)</f>
        <v/>
      </c>
      <c r="BD31" s="299">
        <f>IF(AND($F31&lt;=BD$2, OR($G31="",$G31&gt;=BD$2)),
  $H31 * (1 + Assumptions!$C$7) ^ INT(((YEAR(BD$2)-YEAR($F31))*12 + MONTH(BD$2)-MONTH($F31)) / 12),
  0)</f>
        <v/>
      </c>
      <c r="BE31" s="299">
        <f>IF(AND($F31&lt;=BE$2, OR($G31="",$G31&gt;=BE$2)),
  $H31 * (1 + Assumptions!$C$7) ^ INT(((YEAR(BE$2)-YEAR($F31))*12 + MONTH(BE$2)-MONTH($F31)) / 12),
  0)</f>
        <v/>
      </c>
      <c r="BF31" s="299">
        <f>IF(AND($F31&lt;=BF$2, OR($G31="",$G31&gt;=BF$2)),
  $H31 * (1 + Assumptions!$C$7) ^ INT(((YEAR(BF$2)-YEAR($F31))*12 + MONTH(BF$2)-MONTH($F31)) / 12),
  0)</f>
        <v/>
      </c>
      <c r="BG31" s="299">
        <f>IF(AND($F31&lt;=BG$2, OR($G31="",$G31&gt;=BG$2)),
  $H31 * (1 + Assumptions!$C$7) ^ INT(((YEAR(BG$2)-YEAR($F31))*12 + MONTH(BG$2)-MONTH($F31)) / 12),
  0)</f>
        <v/>
      </c>
      <c r="BH31" s="299">
        <f>IF(AND($F31&lt;=BH$2, OR($G31="",$G31&gt;=BH$2)),
  $H31 * (1 + Assumptions!$C$7) ^ INT(((YEAR(BH$2)-YEAR($F31))*12 + MONTH(BH$2)-MONTH($F31)) / 12),
  0)</f>
        <v/>
      </c>
      <c r="BI31" s="299">
        <f>IF(AND($F31&lt;=BI$2, OR($G31="",$G31&gt;=BI$2)),
  $H31 * (1 + Assumptions!$C$7) ^ INT(((YEAR(BI$2)-YEAR($F31))*12 + MONTH(BI$2)-MONTH($F31)) / 12),
  0)</f>
        <v/>
      </c>
      <c r="BJ31" s="299">
        <f>IF(AND($F31&lt;=BJ$2, OR($G31="",$G31&gt;=BJ$2)),
  $H31 * (1 + Assumptions!$C$7) ^ INT(((YEAR(BJ$2)-YEAR($F31))*12 + MONTH(BJ$2)-MONTH($F31)) / 12),
  0)</f>
        <v/>
      </c>
      <c r="BK31" s="299">
        <f>IF(AND($F31&lt;=BK$2, OR($G31="",$G31&gt;=BK$2)),
  $H31 * (1 + Assumptions!$C$7) ^ INT(((YEAR(BK$2)-YEAR($F31))*12 + MONTH(BK$2)-MONTH($F31)) / 12),
  0)</f>
        <v/>
      </c>
      <c r="BL31" s="299">
        <f>IF(AND($F31&lt;=BL$2, OR($G31="",$G31&gt;=BL$2)),
  $H31 * (1 + Assumptions!$C$7) ^ INT(((YEAR(BL$2)-YEAR($F31))*12 + MONTH(BL$2)-MONTH($F31)) / 12),
  0)</f>
        <v/>
      </c>
      <c r="BM31" s="299">
        <f>IF(AND($F31&lt;=BM$2, OR($G31="",$G31&gt;=BM$2)),
  $H31 * (1 + Assumptions!$C$7) ^ INT(((YEAR(BM$2)-YEAR($F31))*12 + MONTH(BM$2)-MONTH($F31)) / 12),
  0)</f>
        <v/>
      </c>
      <c r="BN31" s="299">
        <f>IF(AND($F31&lt;=BN$2, OR($G31="",$G31&gt;=BN$2)),
  $H31 * (1 + Assumptions!$C$7) ^ INT(((YEAR(BN$2)-YEAR($F31))*12 + MONTH(BN$2)-MONTH($F31)) / 12),
  0)</f>
        <v/>
      </c>
      <c r="BO31" s="299">
        <f>IF(AND($F31&lt;=BO$2, OR($G31="",$G31&gt;=BO$2)),
  $H31 * (1 + Assumptions!$C$7) ^ INT(((YEAR(BO$2)-YEAR($F31))*12 + MONTH(BO$2)-MONTH($F31)) / 12),
  0)</f>
        <v/>
      </c>
      <c r="BP31" s="299">
        <f>IF(AND($F31&lt;=BP$2, OR($G31="",$G31&gt;=BP$2)),
  $H31 * (1 + Assumptions!$C$7) ^ INT(((YEAR(BP$2)-YEAR($F31))*12 + MONTH(BP$2)-MONTH($F31)) / 12),
  0)</f>
        <v/>
      </c>
      <c r="BQ31" s="307" t="n"/>
      <c r="BR31" s="83" t="inlineStr">
        <is>
          <t>paid this month if started and not yet left; +8% on each work anniversary</t>
        </is>
      </c>
      <c r="BS31" s="307" t="n"/>
      <c r="BT31" s="307" t="n"/>
    </row>
    <row r="32" ht="15.75" customHeight="1" s="349">
      <c r="A32" s="321" t="n">
        <v>27</v>
      </c>
      <c r="B32" s="285" t="inlineStr">
        <is>
          <t>New hire</t>
        </is>
      </c>
      <c r="C32" s="285" t="inlineStr">
        <is>
          <t>S&amp;M</t>
        </is>
      </c>
      <c r="D32" s="122" t="inlineStr">
        <is>
          <t>R&amp;D Engineer</t>
        </is>
      </c>
      <c r="E32" s="297" t="inlineStr">
        <is>
          <t>Planned</t>
        </is>
      </c>
      <c r="F32" s="318" t="n">
        <v>46753</v>
      </c>
      <c r="G32" s="319" t="n"/>
      <c r="H32" s="288" t="n">
        <v>7500</v>
      </c>
      <c r="I32" s="299">
        <f>IF(AND($F32&lt;=I$2, OR($G32="",$G32&gt;=I$2)),
  $H32 * (1 + Assumptions!$C$7) ^ INT(((YEAR(I$2)-YEAR($F32))*12 + MONTH(I$2)-MONTH($F32)) / 12),
  0)</f>
        <v/>
      </c>
      <c r="J32" s="299">
        <f>IF(AND($F32&lt;=J$2, OR($G32="",$G32&gt;=J$2)),
  $H32 * (1 + Assumptions!$C$7) ^ INT(((YEAR(J$2)-YEAR($F32))*12 + MONTH(J$2)-MONTH($F32)) / 12),
  0)</f>
        <v/>
      </c>
      <c r="K32" s="299">
        <f>IF(AND($F32&lt;=K$2, OR($G32="",$G32&gt;=K$2)),
  $H32 * (1 + Assumptions!$C$7) ^ INT(((YEAR(K$2)-YEAR($F32))*12 + MONTH(K$2)-MONTH($F32)) / 12),
  0)</f>
        <v/>
      </c>
      <c r="L32" s="299">
        <f>IF(AND($F32&lt;=L$2, OR($G32="",$G32&gt;=L$2)),
  $H32 * (1 + Assumptions!$C$7) ^ INT(((YEAR(L$2)-YEAR($F32))*12 + MONTH(L$2)-MONTH($F32)) / 12),
  0)</f>
        <v/>
      </c>
      <c r="M32" s="299">
        <f>IF(AND($F32&lt;=M$2, OR($G32="",$G32&gt;=M$2)),
  $H32 * (1 + Assumptions!$C$7) ^ INT(((YEAR(M$2)-YEAR($F32))*12 + MONTH(M$2)-MONTH($F32)) / 12),
  0)</f>
        <v/>
      </c>
      <c r="N32" s="299">
        <f>IF(AND($F32&lt;=N$2, OR($G32="",$G32&gt;=N$2)),
  $H32 * (1 + Assumptions!$C$7) ^ INT(((YEAR(N$2)-YEAR($F32))*12 + MONTH(N$2)-MONTH($F32)) / 12),
  0)</f>
        <v/>
      </c>
      <c r="O32" s="299">
        <f>IF(AND($F32&lt;=O$2, OR($G32="",$G32&gt;=O$2)),
  $H32 * (1 + Assumptions!$C$7) ^ INT(((YEAR(O$2)-YEAR($F32))*12 + MONTH(O$2)-MONTH($F32)) / 12),
  0)</f>
        <v/>
      </c>
      <c r="P32" s="299">
        <f>IF(AND($F32&lt;=P$2, OR($G32="",$G32&gt;=P$2)),
  $H32 * (1 + Assumptions!$C$7) ^ INT(((YEAR(P$2)-YEAR($F32))*12 + MONTH(P$2)-MONTH($F32)) / 12),
  0)</f>
        <v/>
      </c>
      <c r="Q32" s="299">
        <f>IF(AND($F32&lt;=Q$2, OR($G32="",$G32&gt;=Q$2)),
  $H32 * (1 + Assumptions!$C$7) ^ INT(((YEAR(Q$2)-YEAR($F32))*12 + MONTH(Q$2)-MONTH($F32)) / 12),
  0)</f>
        <v/>
      </c>
      <c r="R32" s="299">
        <f>IF(AND($F32&lt;=R$2, OR($G32="",$G32&gt;=R$2)),
  $H32 * (1 + Assumptions!$C$7) ^ INT(((YEAR(R$2)-YEAR($F32))*12 + MONTH(R$2)-MONTH($F32)) / 12),
  0)</f>
        <v/>
      </c>
      <c r="S32" s="299">
        <f>IF(AND($F32&lt;=S$2, OR($G32="",$G32&gt;=S$2)),
  $H32 * (1 + Assumptions!$C$7) ^ INT(((YEAR(S$2)-YEAR($F32))*12 + MONTH(S$2)-MONTH($F32)) / 12),
  0)</f>
        <v/>
      </c>
      <c r="T32" s="299">
        <f>IF(AND($F32&lt;=T$2, OR($G32="",$G32&gt;=T$2)),
  $H32 * (1 + Assumptions!$C$7) ^ INT(((YEAR(T$2)-YEAR($F32))*12 + MONTH(T$2)-MONTH($F32)) / 12),
  0)</f>
        <v/>
      </c>
      <c r="U32" s="299">
        <f>IF(AND($F32&lt;=U$2, OR($G32="",$G32&gt;=U$2)),
  $H32 * (1 + Assumptions!$C$7) ^ INT(((YEAR(U$2)-YEAR($F32))*12 + MONTH(U$2)-MONTH($F32)) / 12),
  0)</f>
        <v/>
      </c>
      <c r="V32" s="299">
        <f>IF(AND($F32&lt;=V$2, OR($G32="",$G32&gt;=V$2)),
  $H32 * (1 + Assumptions!$C$7) ^ INT(((YEAR(V$2)-YEAR($F32))*12 + MONTH(V$2)-MONTH($F32)) / 12),
  0)</f>
        <v/>
      </c>
      <c r="W32" s="299">
        <f>IF(AND($F32&lt;=W$2, OR($G32="",$G32&gt;=W$2)),
  $H32 * (1 + Assumptions!$C$7) ^ INT(((YEAR(W$2)-YEAR($F32))*12 + MONTH(W$2)-MONTH($F32)) / 12),
  0)</f>
        <v/>
      </c>
      <c r="X32" s="299">
        <f>IF(AND($F32&lt;=X$2, OR($G32="",$G32&gt;=X$2)),
  $H32 * (1 + Assumptions!$C$7) ^ INT(((YEAR(X$2)-YEAR($F32))*12 + MONTH(X$2)-MONTH($F32)) / 12),
  0)</f>
        <v/>
      </c>
      <c r="Y32" s="299">
        <f>IF(AND($F32&lt;=Y$2, OR($G32="",$G32&gt;=Y$2)),
  $H32 * (1 + Assumptions!$C$7) ^ INT(((YEAR(Y$2)-YEAR($F32))*12 + MONTH(Y$2)-MONTH($F32)) / 12),
  0)</f>
        <v/>
      </c>
      <c r="Z32" s="299">
        <f>IF(AND($F32&lt;=Z$2, OR($G32="",$G32&gt;=Z$2)),
  $H32 * (1 + Assumptions!$C$7) ^ INT(((YEAR(Z$2)-YEAR($F32))*12 + MONTH(Z$2)-MONTH($F32)) / 12),
  0)</f>
        <v/>
      </c>
      <c r="AA32" s="299">
        <f>IF(AND($F32&lt;=AA$2, OR($G32="",$G32&gt;=AA$2)),
  $H32 * (1 + Assumptions!$C$7) ^ INT(((YEAR(AA$2)-YEAR($F32))*12 + MONTH(AA$2)-MONTH($F32)) / 12),
  0)</f>
        <v/>
      </c>
      <c r="AB32" s="299">
        <f>IF(AND($F32&lt;=AB$2, OR($G32="",$G32&gt;=AB$2)),
  $H32 * (1 + Assumptions!$C$7) ^ INT(((YEAR(AB$2)-YEAR($F32))*12 + MONTH(AB$2)-MONTH($F32)) / 12),
  0)</f>
        <v/>
      </c>
      <c r="AC32" s="299">
        <f>IF(AND($F32&lt;=AC$2, OR($G32="",$G32&gt;=AC$2)),
  $H32 * (1 + Assumptions!$C$7) ^ INT(((YEAR(AC$2)-YEAR($F32))*12 + MONTH(AC$2)-MONTH($F32)) / 12),
  0)</f>
        <v/>
      </c>
      <c r="AD32" s="299">
        <f>IF(AND($F32&lt;=AD$2, OR($G32="",$G32&gt;=AD$2)),
  $H32 * (1 + Assumptions!$C$7) ^ INT(((YEAR(AD$2)-YEAR($F32))*12 + MONTH(AD$2)-MONTH($F32)) / 12),
  0)</f>
        <v/>
      </c>
      <c r="AE32" s="299">
        <f>IF(AND($F32&lt;=AE$2, OR($G32="",$G32&gt;=AE$2)),
  $H32 * (1 + Assumptions!$C$7) ^ INT(((YEAR(AE$2)-YEAR($F32))*12 + MONTH(AE$2)-MONTH($F32)) / 12),
  0)</f>
        <v/>
      </c>
      <c r="AF32" s="299">
        <f>IF(AND($F32&lt;=AF$2, OR($G32="",$G32&gt;=AF$2)),
  $H32 * (1 + Assumptions!$C$7) ^ INT(((YEAR(AF$2)-YEAR($F32))*12 + MONTH(AF$2)-MONTH($F32)) / 12),
  0)</f>
        <v/>
      </c>
      <c r="AG32" s="299">
        <f>IF(AND($F32&lt;=AG$2, OR($G32="",$G32&gt;=AG$2)),
  $H32 * (1 + Assumptions!$C$7) ^ INT(((YEAR(AG$2)-YEAR($F32))*12 + MONTH(AG$2)-MONTH($F32)) / 12),
  0)</f>
        <v/>
      </c>
      <c r="AH32" s="299">
        <f>IF(AND($F32&lt;=AH$2, OR($G32="",$G32&gt;=AH$2)),
  $H32 * (1 + Assumptions!$C$7) ^ INT(((YEAR(AH$2)-YEAR($F32))*12 + MONTH(AH$2)-MONTH($F32)) / 12),
  0)</f>
        <v/>
      </c>
      <c r="AI32" s="299">
        <f>IF(AND($F32&lt;=AI$2, OR($G32="",$G32&gt;=AI$2)),
  $H32 * (1 + Assumptions!$C$7) ^ INT(((YEAR(AI$2)-YEAR($F32))*12 + MONTH(AI$2)-MONTH($F32)) / 12),
  0)</f>
        <v/>
      </c>
      <c r="AJ32" s="299">
        <f>IF(AND($F32&lt;=AJ$2, OR($G32="",$G32&gt;=AJ$2)),
  $H32 * (1 + Assumptions!$C$7) ^ INT(((YEAR(AJ$2)-YEAR($F32))*12 + MONTH(AJ$2)-MONTH($F32)) / 12),
  0)</f>
        <v/>
      </c>
      <c r="AK32" s="299">
        <f>IF(AND($F32&lt;=AK$2, OR($G32="",$G32&gt;=AK$2)),
  $H32 * (1 + Assumptions!$C$7) ^ INT(((YEAR(AK$2)-YEAR($F32))*12 + MONTH(AK$2)-MONTH($F32)) / 12),
  0)</f>
        <v/>
      </c>
      <c r="AL32" s="299">
        <f>IF(AND($F32&lt;=AL$2, OR($G32="",$G32&gt;=AL$2)),
  $H32 * (1 + Assumptions!$C$7) ^ INT(((YEAR(AL$2)-YEAR($F32))*12 + MONTH(AL$2)-MONTH($F32)) / 12),
  0)</f>
        <v/>
      </c>
      <c r="AM32" s="299">
        <f>IF(AND($F32&lt;=AM$2, OR($G32="",$G32&gt;=AM$2)),
  $H32 * (1 + Assumptions!$C$7) ^ INT(((YEAR(AM$2)-YEAR($F32))*12 + MONTH(AM$2)-MONTH($F32)) / 12),
  0)</f>
        <v/>
      </c>
      <c r="AN32" s="299">
        <f>IF(AND($F32&lt;=AN$2, OR($G32="",$G32&gt;=AN$2)),
  $H32 * (1 + Assumptions!$C$7) ^ INT(((YEAR(AN$2)-YEAR($F32))*12 + MONTH(AN$2)-MONTH($F32)) / 12),
  0)</f>
        <v/>
      </c>
      <c r="AO32" s="299">
        <f>IF(AND($F32&lt;=AO$2, OR($G32="",$G32&gt;=AO$2)),
  $H32 * (1 + Assumptions!$C$7) ^ INT(((YEAR(AO$2)-YEAR($F32))*12 + MONTH(AO$2)-MONTH($F32)) / 12),
  0)</f>
        <v/>
      </c>
      <c r="AP32" s="299">
        <f>IF(AND($F32&lt;=AP$2, OR($G32="",$G32&gt;=AP$2)),
  $H32 * (1 + Assumptions!$C$7) ^ INT(((YEAR(AP$2)-YEAR($F32))*12 + MONTH(AP$2)-MONTH($F32)) / 12),
  0)</f>
        <v/>
      </c>
      <c r="AQ32" s="299">
        <f>IF(AND($F32&lt;=AQ$2, OR($G32="",$G32&gt;=AQ$2)),
  $H32 * (1 + Assumptions!$C$7) ^ INT(((YEAR(AQ$2)-YEAR($F32))*12 + MONTH(AQ$2)-MONTH($F32)) / 12),
  0)</f>
        <v/>
      </c>
      <c r="AR32" s="299">
        <f>IF(AND($F32&lt;=AR$2, OR($G32="",$G32&gt;=AR$2)),
  $H32 * (1 + Assumptions!$C$7) ^ INT(((YEAR(AR$2)-YEAR($F32))*12 + MONTH(AR$2)-MONTH($F32)) / 12),
  0)</f>
        <v/>
      </c>
      <c r="AS32" s="299">
        <f>IF(AND($F32&lt;=AS$2, OR($G32="",$G32&gt;=AS$2)),
  $H32 * (1 + Assumptions!$C$7) ^ INT(((YEAR(AS$2)-YEAR($F32))*12 + MONTH(AS$2)-MONTH($F32)) / 12),
  0)</f>
        <v/>
      </c>
      <c r="AT32" s="299">
        <f>IF(AND($F32&lt;=AT$2, OR($G32="",$G32&gt;=AT$2)),
  $H32 * (1 + Assumptions!$C$7) ^ INT(((YEAR(AT$2)-YEAR($F32))*12 + MONTH(AT$2)-MONTH($F32)) / 12),
  0)</f>
        <v/>
      </c>
      <c r="AU32" s="299">
        <f>IF(AND($F32&lt;=AU$2, OR($G32="",$G32&gt;=AU$2)),
  $H32 * (1 + Assumptions!$C$7) ^ INT(((YEAR(AU$2)-YEAR($F32))*12 + MONTH(AU$2)-MONTH($F32)) / 12),
  0)</f>
        <v/>
      </c>
      <c r="AV32" s="299">
        <f>IF(AND($F32&lt;=AV$2, OR($G32="",$G32&gt;=AV$2)),
  $H32 * (1 + Assumptions!$C$7) ^ INT(((YEAR(AV$2)-YEAR($F32))*12 + MONTH(AV$2)-MONTH($F32)) / 12),
  0)</f>
        <v/>
      </c>
      <c r="AW32" s="299">
        <f>IF(AND($F32&lt;=AW$2, OR($G32="",$G32&gt;=AW$2)),
  $H32 * (1 + Assumptions!$C$7) ^ INT(((YEAR(AW$2)-YEAR($F32))*12 + MONTH(AW$2)-MONTH($F32)) / 12),
  0)</f>
        <v/>
      </c>
      <c r="AX32" s="299">
        <f>IF(AND($F32&lt;=AX$2, OR($G32="",$G32&gt;=AX$2)),
  $H32 * (1 + Assumptions!$C$7) ^ INT(((YEAR(AX$2)-YEAR($F32))*12 + MONTH(AX$2)-MONTH($F32)) / 12),
  0)</f>
        <v/>
      </c>
      <c r="AY32" s="299">
        <f>IF(AND($F32&lt;=AY$2, OR($G32="",$G32&gt;=AY$2)),
  $H32 * (1 + Assumptions!$C$7) ^ INT(((YEAR(AY$2)-YEAR($F32))*12 + MONTH(AY$2)-MONTH($F32)) / 12),
  0)</f>
        <v/>
      </c>
      <c r="AZ32" s="299">
        <f>IF(AND($F32&lt;=AZ$2, OR($G32="",$G32&gt;=AZ$2)),
  $H32 * (1 + Assumptions!$C$7) ^ INT(((YEAR(AZ$2)-YEAR($F32))*12 + MONTH(AZ$2)-MONTH($F32)) / 12),
  0)</f>
        <v/>
      </c>
      <c r="BA32" s="299">
        <f>IF(AND($F32&lt;=BA$2, OR($G32="",$G32&gt;=BA$2)),
  $H32 * (1 + Assumptions!$C$7) ^ INT(((YEAR(BA$2)-YEAR($F32))*12 + MONTH(BA$2)-MONTH($F32)) / 12),
  0)</f>
        <v/>
      </c>
      <c r="BB32" s="299">
        <f>IF(AND($F32&lt;=BB$2, OR($G32="",$G32&gt;=BB$2)),
  $H32 * (1 + Assumptions!$C$7) ^ INT(((YEAR(BB$2)-YEAR($F32))*12 + MONTH(BB$2)-MONTH($F32)) / 12),
  0)</f>
        <v/>
      </c>
      <c r="BC32" s="299">
        <f>IF(AND($F32&lt;=BC$2, OR($G32="",$G32&gt;=BC$2)),
  $H32 * (1 + Assumptions!$C$7) ^ INT(((YEAR(BC$2)-YEAR($F32))*12 + MONTH(BC$2)-MONTH($F32)) / 12),
  0)</f>
        <v/>
      </c>
      <c r="BD32" s="299">
        <f>IF(AND($F32&lt;=BD$2, OR($G32="",$G32&gt;=BD$2)),
  $H32 * (1 + Assumptions!$C$7) ^ INT(((YEAR(BD$2)-YEAR($F32))*12 + MONTH(BD$2)-MONTH($F32)) / 12),
  0)</f>
        <v/>
      </c>
      <c r="BE32" s="299">
        <f>IF(AND($F32&lt;=BE$2, OR($G32="",$G32&gt;=BE$2)),
  $H32 * (1 + Assumptions!$C$7) ^ INT(((YEAR(BE$2)-YEAR($F32))*12 + MONTH(BE$2)-MONTH($F32)) / 12),
  0)</f>
        <v/>
      </c>
      <c r="BF32" s="299">
        <f>IF(AND($F32&lt;=BF$2, OR($G32="",$G32&gt;=BF$2)),
  $H32 * (1 + Assumptions!$C$7) ^ INT(((YEAR(BF$2)-YEAR($F32))*12 + MONTH(BF$2)-MONTH($F32)) / 12),
  0)</f>
        <v/>
      </c>
      <c r="BG32" s="299">
        <f>IF(AND($F32&lt;=BG$2, OR($G32="",$G32&gt;=BG$2)),
  $H32 * (1 + Assumptions!$C$7) ^ INT(((YEAR(BG$2)-YEAR($F32))*12 + MONTH(BG$2)-MONTH($F32)) / 12),
  0)</f>
        <v/>
      </c>
      <c r="BH32" s="299">
        <f>IF(AND($F32&lt;=BH$2, OR($G32="",$G32&gt;=BH$2)),
  $H32 * (1 + Assumptions!$C$7) ^ INT(((YEAR(BH$2)-YEAR($F32))*12 + MONTH(BH$2)-MONTH($F32)) / 12),
  0)</f>
        <v/>
      </c>
      <c r="BI32" s="299">
        <f>IF(AND($F32&lt;=BI$2, OR($G32="",$G32&gt;=BI$2)),
  $H32 * (1 + Assumptions!$C$7) ^ INT(((YEAR(BI$2)-YEAR($F32))*12 + MONTH(BI$2)-MONTH($F32)) / 12),
  0)</f>
        <v/>
      </c>
      <c r="BJ32" s="299">
        <f>IF(AND($F32&lt;=BJ$2, OR($G32="",$G32&gt;=BJ$2)),
  $H32 * (1 + Assumptions!$C$7) ^ INT(((YEAR(BJ$2)-YEAR($F32))*12 + MONTH(BJ$2)-MONTH($F32)) / 12),
  0)</f>
        <v/>
      </c>
      <c r="BK32" s="299">
        <f>IF(AND($F32&lt;=BK$2, OR($G32="",$G32&gt;=BK$2)),
  $H32 * (1 + Assumptions!$C$7) ^ INT(((YEAR(BK$2)-YEAR($F32))*12 + MONTH(BK$2)-MONTH($F32)) / 12),
  0)</f>
        <v/>
      </c>
      <c r="BL32" s="299">
        <f>IF(AND($F32&lt;=BL$2, OR($G32="",$G32&gt;=BL$2)),
  $H32 * (1 + Assumptions!$C$7) ^ INT(((YEAR(BL$2)-YEAR($F32))*12 + MONTH(BL$2)-MONTH($F32)) / 12),
  0)</f>
        <v/>
      </c>
      <c r="BM32" s="299">
        <f>IF(AND($F32&lt;=BM$2, OR($G32="",$G32&gt;=BM$2)),
  $H32 * (1 + Assumptions!$C$7) ^ INT(((YEAR(BM$2)-YEAR($F32))*12 + MONTH(BM$2)-MONTH($F32)) / 12),
  0)</f>
        <v/>
      </c>
      <c r="BN32" s="299">
        <f>IF(AND($F32&lt;=BN$2, OR($G32="",$G32&gt;=BN$2)),
  $H32 * (1 + Assumptions!$C$7) ^ INT(((YEAR(BN$2)-YEAR($F32))*12 + MONTH(BN$2)-MONTH($F32)) / 12),
  0)</f>
        <v/>
      </c>
      <c r="BO32" s="299">
        <f>IF(AND($F32&lt;=BO$2, OR($G32="",$G32&gt;=BO$2)),
  $H32 * (1 + Assumptions!$C$7) ^ INT(((YEAR(BO$2)-YEAR($F32))*12 + MONTH(BO$2)-MONTH($F32)) / 12),
  0)</f>
        <v/>
      </c>
      <c r="BP32" s="299">
        <f>IF(AND($F32&lt;=BP$2, OR($G32="",$G32&gt;=BP$2)),
  $H32 * (1 + Assumptions!$C$7) ^ INT(((YEAR(BP$2)-YEAR($F32))*12 + MONTH(BP$2)-MONTH($F32)) / 12),
  0)</f>
        <v/>
      </c>
      <c r="BQ32" s="307" t="n"/>
      <c r="BR32" s="83" t="inlineStr">
        <is>
          <t>paid this month if started and not yet left; +8% on each work anniversary</t>
        </is>
      </c>
      <c r="BS32" s="307" t="n"/>
      <c r="BT32" s="307" t="n"/>
    </row>
    <row r="33" ht="15.75" customHeight="1" s="349">
      <c r="A33" s="321" t="n">
        <v>28</v>
      </c>
      <c r="B33" s="285" t="inlineStr">
        <is>
          <t>New hire</t>
        </is>
      </c>
      <c r="C33" s="285" t="inlineStr">
        <is>
          <t>S&amp;M</t>
        </is>
      </c>
      <c r="D33" s="317" t="inlineStr">
        <is>
          <t>Partner Manager</t>
        </is>
      </c>
      <c r="E33" s="297" t="inlineStr">
        <is>
          <t>Planned</t>
        </is>
      </c>
      <c r="F33" s="318" t="n">
        <v>46753</v>
      </c>
      <c r="G33" s="319" t="n"/>
      <c r="H33" s="288" t="n">
        <v>7500</v>
      </c>
      <c r="I33" s="299">
        <f>IF(AND($F33&lt;=I$2, OR($G33="",$G33&gt;=I$2)),
  $H33 * (1 + Assumptions!$C$7) ^ INT(((YEAR(I$2)-YEAR($F33))*12 + MONTH(I$2)-MONTH($F33)) / 12),
  0)</f>
        <v/>
      </c>
      <c r="J33" s="299">
        <f>IF(AND($F33&lt;=J$2, OR($G33="",$G33&gt;=J$2)),
  $H33 * (1 + Assumptions!$C$7) ^ INT(((YEAR(J$2)-YEAR($F33))*12 + MONTH(J$2)-MONTH($F33)) / 12),
  0)</f>
        <v/>
      </c>
      <c r="K33" s="299">
        <f>IF(AND($F33&lt;=K$2, OR($G33="",$G33&gt;=K$2)),
  $H33 * (1 + Assumptions!$C$7) ^ INT(((YEAR(K$2)-YEAR($F33))*12 + MONTH(K$2)-MONTH($F33)) / 12),
  0)</f>
        <v/>
      </c>
      <c r="L33" s="299">
        <f>IF(AND($F33&lt;=L$2, OR($G33="",$G33&gt;=L$2)),
  $H33 * (1 + Assumptions!$C$7) ^ INT(((YEAR(L$2)-YEAR($F33))*12 + MONTH(L$2)-MONTH($F33)) / 12),
  0)</f>
        <v/>
      </c>
      <c r="M33" s="299">
        <f>IF(AND($F33&lt;=M$2, OR($G33="",$G33&gt;=M$2)),
  $H33 * (1 + Assumptions!$C$7) ^ INT(((YEAR(M$2)-YEAR($F33))*12 + MONTH(M$2)-MONTH($F33)) / 12),
  0)</f>
        <v/>
      </c>
      <c r="N33" s="299">
        <f>IF(AND($F33&lt;=N$2, OR($G33="",$G33&gt;=N$2)),
  $H33 * (1 + Assumptions!$C$7) ^ INT(((YEAR(N$2)-YEAR($F33))*12 + MONTH(N$2)-MONTH($F33)) / 12),
  0)</f>
        <v/>
      </c>
      <c r="O33" s="299">
        <f>IF(AND($F33&lt;=O$2, OR($G33="",$G33&gt;=O$2)),
  $H33 * (1 + Assumptions!$C$7) ^ INT(((YEAR(O$2)-YEAR($F33))*12 + MONTH(O$2)-MONTH($F33)) / 12),
  0)</f>
        <v/>
      </c>
      <c r="P33" s="299">
        <f>IF(AND($F33&lt;=P$2, OR($G33="",$G33&gt;=P$2)),
  $H33 * (1 + Assumptions!$C$7) ^ INT(((YEAR(P$2)-YEAR($F33))*12 + MONTH(P$2)-MONTH($F33)) / 12),
  0)</f>
        <v/>
      </c>
      <c r="Q33" s="299">
        <f>IF(AND($F33&lt;=Q$2, OR($G33="",$G33&gt;=Q$2)),
  $H33 * (1 + Assumptions!$C$7) ^ INT(((YEAR(Q$2)-YEAR($F33))*12 + MONTH(Q$2)-MONTH($F33)) / 12),
  0)</f>
        <v/>
      </c>
      <c r="R33" s="299">
        <f>IF(AND($F33&lt;=R$2, OR($G33="",$G33&gt;=R$2)),
  $H33 * (1 + Assumptions!$C$7) ^ INT(((YEAR(R$2)-YEAR($F33))*12 + MONTH(R$2)-MONTH($F33)) / 12),
  0)</f>
        <v/>
      </c>
      <c r="S33" s="299">
        <f>IF(AND($F33&lt;=S$2, OR($G33="",$G33&gt;=S$2)),
  $H33 * (1 + Assumptions!$C$7) ^ INT(((YEAR(S$2)-YEAR($F33))*12 + MONTH(S$2)-MONTH($F33)) / 12),
  0)</f>
        <v/>
      </c>
      <c r="T33" s="299">
        <f>IF(AND($F33&lt;=T$2, OR($G33="",$G33&gt;=T$2)),
  $H33 * (1 + Assumptions!$C$7) ^ INT(((YEAR(T$2)-YEAR($F33))*12 + MONTH(T$2)-MONTH($F33)) / 12),
  0)</f>
        <v/>
      </c>
      <c r="U33" s="299">
        <f>IF(AND($F33&lt;=U$2, OR($G33="",$G33&gt;=U$2)),
  $H33 * (1 + Assumptions!$C$7) ^ INT(((YEAR(U$2)-YEAR($F33))*12 + MONTH(U$2)-MONTH($F33)) / 12),
  0)</f>
        <v/>
      </c>
      <c r="V33" s="299">
        <f>IF(AND($F33&lt;=V$2, OR($G33="",$G33&gt;=V$2)),
  $H33 * (1 + Assumptions!$C$7) ^ INT(((YEAR(V$2)-YEAR($F33))*12 + MONTH(V$2)-MONTH($F33)) / 12),
  0)</f>
        <v/>
      </c>
      <c r="W33" s="299">
        <f>IF(AND($F33&lt;=W$2, OR($G33="",$G33&gt;=W$2)),
  $H33 * (1 + Assumptions!$C$7) ^ INT(((YEAR(W$2)-YEAR($F33))*12 + MONTH(W$2)-MONTH($F33)) / 12),
  0)</f>
        <v/>
      </c>
      <c r="X33" s="299">
        <f>IF(AND($F33&lt;=X$2, OR($G33="",$G33&gt;=X$2)),
  $H33 * (1 + Assumptions!$C$7) ^ INT(((YEAR(X$2)-YEAR($F33))*12 + MONTH(X$2)-MONTH($F33)) / 12),
  0)</f>
        <v/>
      </c>
      <c r="Y33" s="299">
        <f>IF(AND($F33&lt;=Y$2, OR($G33="",$G33&gt;=Y$2)),
  $H33 * (1 + Assumptions!$C$7) ^ INT(((YEAR(Y$2)-YEAR($F33))*12 + MONTH(Y$2)-MONTH($F33)) / 12),
  0)</f>
        <v/>
      </c>
      <c r="Z33" s="299">
        <f>IF(AND($F33&lt;=Z$2, OR($G33="",$G33&gt;=Z$2)),
  $H33 * (1 + Assumptions!$C$7) ^ INT(((YEAR(Z$2)-YEAR($F33))*12 + MONTH(Z$2)-MONTH($F33)) / 12),
  0)</f>
        <v/>
      </c>
      <c r="AA33" s="299">
        <f>IF(AND($F33&lt;=AA$2, OR($G33="",$G33&gt;=AA$2)),
  $H33 * (1 + Assumptions!$C$7) ^ INT(((YEAR(AA$2)-YEAR($F33))*12 + MONTH(AA$2)-MONTH($F33)) / 12),
  0)</f>
        <v/>
      </c>
      <c r="AB33" s="299">
        <f>IF(AND($F33&lt;=AB$2, OR($G33="",$G33&gt;=AB$2)),
  $H33 * (1 + Assumptions!$C$7) ^ INT(((YEAR(AB$2)-YEAR($F33))*12 + MONTH(AB$2)-MONTH($F33)) / 12),
  0)</f>
        <v/>
      </c>
      <c r="AC33" s="299">
        <f>IF(AND($F33&lt;=AC$2, OR($G33="",$G33&gt;=AC$2)),
  $H33 * (1 + Assumptions!$C$7) ^ INT(((YEAR(AC$2)-YEAR($F33))*12 + MONTH(AC$2)-MONTH($F33)) / 12),
  0)</f>
        <v/>
      </c>
      <c r="AD33" s="299">
        <f>IF(AND($F33&lt;=AD$2, OR($G33="",$G33&gt;=AD$2)),
  $H33 * (1 + Assumptions!$C$7) ^ INT(((YEAR(AD$2)-YEAR($F33))*12 + MONTH(AD$2)-MONTH($F33)) / 12),
  0)</f>
        <v/>
      </c>
      <c r="AE33" s="299">
        <f>IF(AND($F33&lt;=AE$2, OR($G33="",$G33&gt;=AE$2)),
  $H33 * (1 + Assumptions!$C$7) ^ INT(((YEAR(AE$2)-YEAR($F33))*12 + MONTH(AE$2)-MONTH($F33)) / 12),
  0)</f>
        <v/>
      </c>
      <c r="AF33" s="299">
        <f>IF(AND($F33&lt;=AF$2, OR($G33="",$G33&gt;=AF$2)),
  $H33 * (1 + Assumptions!$C$7) ^ INT(((YEAR(AF$2)-YEAR($F33))*12 + MONTH(AF$2)-MONTH($F33)) / 12),
  0)</f>
        <v/>
      </c>
      <c r="AG33" s="299">
        <f>IF(AND($F33&lt;=AG$2, OR($G33="",$G33&gt;=AG$2)),
  $H33 * (1 + Assumptions!$C$7) ^ INT(((YEAR(AG$2)-YEAR($F33))*12 + MONTH(AG$2)-MONTH($F33)) / 12),
  0)</f>
        <v/>
      </c>
      <c r="AH33" s="299">
        <f>IF(AND($F33&lt;=AH$2, OR($G33="",$G33&gt;=AH$2)),
  $H33 * (1 + Assumptions!$C$7) ^ INT(((YEAR(AH$2)-YEAR($F33))*12 + MONTH(AH$2)-MONTH($F33)) / 12),
  0)</f>
        <v/>
      </c>
      <c r="AI33" s="299">
        <f>IF(AND($F33&lt;=AI$2, OR($G33="",$G33&gt;=AI$2)),
  $H33 * (1 + Assumptions!$C$7) ^ INT(((YEAR(AI$2)-YEAR($F33))*12 + MONTH(AI$2)-MONTH($F33)) / 12),
  0)</f>
        <v/>
      </c>
      <c r="AJ33" s="299">
        <f>IF(AND($F33&lt;=AJ$2, OR($G33="",$G33&gt;=AJ$2)),
  $H33 * (1 + Assumptions!$C$7) ^ INT(((YEAR(AJ$2)-YEAR($F33))*12 + MONTH(AJ$2)-MONTH($F33)) / 12),
  0)</f>
        <v/>
      </c>
      <c r="AK33" s="299">
        <f>IF(AND($F33&lt;=AK$2, OR($G33="",$G33&gt;=AK$2)),
  $H33 * (1 + Assumptions!$C$7) ^ INT(((YEAR(AK$2)-YEAR($F33))*12 + MONTH(AK$2)-MONTH($F33)) / 12),
  0)</f>
        <v/>
      </c>
      <c r="AL33" s="299">
        <f>IF(AND($F33&lt;=AL$2, OR($G33="",$G33&gt;=AL$2)),
  $H33 * (1 + Assumptions!$C$7) ^ INT(((YEAR(AL$2)-YEAR($F33))*12 + MONTH(AL$2)-MONTH($F33)) / 12),
  0)</f>
        <v/>
      </c>
      <c r="AM33" s="299">
        <f>IF(AND($F33&lt;=AM$2, OR($G33="",$G33&gt;=AM$2)),
  $H33 * (1 + Assumptions!$C$7) ^ INT(((YEAR(AM$2)-YEAR($F33))*12 + MONTH(AM$2)-MONTH($F33)) / 12),
  0)</f>
        <v/>
      </c>
      <c r="AN33" s="299">
        <f>IF(AND($F33&lt;=AN$2, OR($G33="",$G33&gt;=AN$2)),
  $H33 * (1 + Assumptions!$C$7) ^ INT(((YEAR(AN$2)-YEAR($F33))*12 + MONTH(AN$2)-MONTH($F33)) / 12),
  0)</f>
        <v/>
      </c>
      <c r="AO33" s="299">
        <f>IF(AND($F33&lt;=AO$2, OR($G33="",$G33&gt;=AO$2)),
  $H33 * (1 + Assumptions!$C$7) ^ INT(((YEAR(AO$2)-YEAR($F33))*12 + MONTH(AO$2)-MONTH($F33)) / 12),
  0)</f>
        <v/>
      </c>
      <c r="AP33" s="299">
        <f>IF(AND($F33&lt;=AP$2, OR($G33="",$G33&gt;=AP$2)),
  $H33 * (1 + Assumptions!$C$7) ^ INT(((YEAR(AP$2)-YEAR($F33))*12 + MONTH(AP$2)-MONTH($F33)) / 12),
  0)</f>
        <v/>
      </c>
      <c r="AQ33" s="299">
        <f>IF(AND($F33&lt;=AQ$2, OR($G33="",$G33&gt;=AQ$2)),
  $H33 * (1 + Assumptions!$C$7) ^ INT(((YEAR(AQ$2)-YEAR($F33))*12 + MONTH(AQ$2)-MONTH($F33)) / 12),
  0)</f>
        <v/>
      </c>
      <c r="AR33" s="299">
        <f>IF(AND($F33&lt;=AR$2, OR($G33="",$G33&gt;=AR$2)),
  $H33 * (1 + Assumptions!$C$7) ^ INT(((YEAR(AR$2)-YEAR($F33))*12 + MONTH(AR$2)-MONTH($F33)) / 12),
  0)</f>
        <v/>
      </c>
      <c r="AS33" s="299">
        <f>IF(AND($F33&lt;=AS$2, OR($G33="",$G33&gt;=AS$2)),
  $H33 * (1 + Assumptions!$C$7) ^ INT(((YEAR(AS$2)-YEAR($F33))*12 + MONTH(AS$2)-MONTH($F33)) / 12),
  0)</f>
        <v/>
      </c>
      <c r="AT33" s="299">
        <f>IF(AND($F33&lt;=AT$2, OR($G33="",$G33&gt;=AT$2)),
  $H33 * (1 + Assumptions!$C$7) ^ INT(((YEAR(AT$2)-YEAR($F33))*12 + MONTH(AT$2)-MONTH($F33)) / 12),
  0)</f>
        <v/>
      </c>
      <c r="AU33" s="299">
        <f>IF(AND($F33&lt;=AU$2, OR($G33="",$G33&gt;=AU$2)),
  $H33 * (1 + Assumptions!$C$7) ^ INT(((YEAR(AU$2)-YEAR($F33))*12 + MONTH(AU$2)-MONTH($F33)) / 12),
  0)</f>
        <v/>
      </c>
      <c r="AV33" s="299">
        <f>IF(AND($F33&lt;=AV$2, OR($G33="",$G33&gt;=AV$2)),
  $H33 * (1 + Assumptions!$C$7) ^ INT(((YEAR(AV$2)-YEAR($F33))*12 + MONTH(AV$2)-MONTH($F33)) / 12),
  0)</f>
        <v/>
      </c>
      <c r="AW33" s="299">
        <f>IF(AND($F33&lt;=AW$2, OR($G33="",$G33&gt;=AW$2)),
  $H33 * (1 + Assumptions!$C$7) ^ INT(((YEAR(AW$2)-YEAR($F33))*12 + MONTH(AW$2)-MONTH($F33)) / 12),
  0)</f>
        <v/>
      </c>
      <c r="AX33" s="299">
        <f>IF(AND($F33&lt;=AX$2, OR($G33="",$G33&gt;=AX$2)),
  $H33 * (1 + Assumptions!$C$7) ^ INT(((YEAR(AX$2)-YEAR($F33))*12 + MONTH(AX$2)-MONTH($F33)) / 12),
  0)</f>
        <v/>
      </c>
      <c r="AY33" s="299">
        <f>IF(AND($F33&lt;=AY$2, OR($G33="",$G33&gt;=AY$2)),
  $H33 * (1 + Assumptions!$C$7) ^ INT(((YEAR(AY$2)-YEAR($F33))*12 + MONTH(AY$2)-MONTH($F33)) / 12),
  0)</f>
        <v/>
      </c>
      <c r="AZ33" s="299">
        <f>IF(AND($F33&lt;=AZ$2, OR($G33="",$G33&gt;=AZ$2)),
  $H33 * (1 + Assumptions!$C$7) ^ INT(((YEAR(AZ$2)-YEAR($F33))*12 + MONTH(AZ$2)-MONTH($F33)) / 12),
  0)</f>
        <v/>
      </c>
      <c r="BA33" s="299">
        <f>IF(AND($F33&lt;=BA$2, OR($G33="",$G33&gt;=BA$2)),
  $H33 * (1 + Assumptions!$C$7) ^ INT(((YEAR(BA$2)-YEAR($F33))*12 + MONTH(BA$2)-MONTH($F33)) / 12),
  0)</f>
        <v/>
      </c>
      <c r="BB33" s="299">
        <f>IF(AND($F33&lt;=BB$2, OR($G33="",$G33&gt;=BB$2)),
  $H33 * (1 + Assumptions!$C$7) ^ INT(((YEAR(BB$2)-YEAR($F33))*12 + MONTH(BB$2)-MONTH($F33)) / 12),
  0)</f>
        <v/>
      </c>
      <c r="BC33" s="299">
        <f>IF(AND($F33&lt;=BC$2, OR($G33="",$G33&gt;=BC$2)),
  $H33 * (1 + Assumptions!$C$7) ^ INT(((YEAR(BC$2)-YEAR($F33))*12 + MONTH(BC$2)-MONTH($F33)) / 12),
  0)</f>
        <v/>
      </c>
      <c r="BD33" s="299">
        <f>IF(AND($F33&lt;=BD$2, OR($G33="",$G33&gt;=BD$2)),
  $H33 * (1 + Assumptions!$C$7) ^ INT(((YEAR(BD$2)-YEAR($F33))*12 + MONTH(BD$2)-MONTH($F33)) / 12),
  0)</f>
        <v/>
      </c>
      <c r="BE33" s="299">
        <f>IF(AND($F33&lt;=BE$2, OR($G33="",$G33&gt;=BE$2)),
  $H33 * (1 + Assumptions!$C$7) ^ INT(((YEAR(BE$2)-YEAR($F33))*12 + MONTH(BE$2)-MONTH($F33)) / 12),
  0)</f>
        <v/>
      </c>
      <c r="BF33" s="299">
        <f>IF(AND($F33&lt;=BF$2, OR($G33="",$G33&gt;=BF$2)),
  $H33 * (1 + Assumptions!$C$7) ^ INT(((YEAR(BF$2)-YEAR($F33))*12 + MONTH(BF$2)-MONTH($F33)) / 12),
  0)</f>
        <v/>
      </c>
      <c r="BG33" s="299">
        <f>IF(AND($F33&lt;=BG$2, OR($G33="",$G33&gt;=BG$2)),
  $H33 * (1 + Assumptions!$C$7) ^ INT(((YEAR(BG$2)-YEAR($F33))*12 + MONTH(BG$2)-MONTH($F33)) / 12),
  0)</f>
        <v/>
      </c>
      <c r="BH33" s="299">
        <f>IF(AND($F33&lt;=BH$2, OR($G33="",$G33&gt;=BH$2)),
  $H33 * (1 + Assumptions!$C$7) ^ INT(((YEAR(BH$2)-YEAR($F33))*12 + MONTH(BH$2)-MONTH($F33)) / 12),
  0)</f>
        <v/>
      </c>
      <c r="BI33" s="299">
        <f>IF(AND($F33&lt;=BI$2, OR($G33="",$G33&gt;=BI$2)),
  $H33 * (1 + Assumptions!$C$7) ^ INT(((YEAR(BI$2)-YEAR($F33))*12 + MONTH(BI$2)-MONTH($F33)) / 12),
  0)</f>
        <v/>
      </c>
      <c r="BJ33" s="299">
        <f>IF(AND($F33&lt;=BJ$2, OR($G33="",$G33&gt;=BJ$2)),
  $H33 * (1 + Assumptions!$C$7) ^ INT(((YEAR(BJ$2)-YEAR($F33))*12 + MONTH(BJ$2)-MONTH($F33)) / 12),
  0)</f>
        <v/>
      </c>
      <c r="BK33" s="299">
        <f>IF(AND($F33&lt;=BK$2, OR($G33="",$G33&gt;=BK$2)),
  $H33 * (1 + Assumptions!$C$7) ^ INT(((YEAR(BK$2)-YEAR($F33))*12 + MONTH(BK$2)-MONTH($F33)) / 12),
  0)</f>
        <v/>
      </c>
      <c r="BL33" s="299">
        <f>IF(AND($F33&lt;=BL$2, OR($G33="",$G33&gt;=BL$2)),
  $H33 * (1 + Assumptions!$C$7) ^ INT(((YEAR(BL$2)-YEAR($F33))*12 + MONTH(BL$2)-MONTH($F33)) / 12),
  0)</f>
        <v/>
      </c>
      <c r="BM33" s="299">
        <f>IF(AND($F33&lt;=BM$2, OR($G33="",$G33&gt;=BM$2)),
  $H33 * (1 + Assumptions!$C$7) ^ INT(((YEAR(BM$2)-YEAR($F33))*12 + MONTH(BM$2)-MONTH($F33)) / 12),
  0)</f>
        <v/>
      </c>
      <c r="BN33" s="299">
        <f>IF(AND($F33&lt;=BN$2, OR($G33="",$G33&gt;=BN$2)),
  $H33 * (1 + Assumptions!$C$7) ^ INT(((YEAR(BN$2)-YEAR($F33))*12 + MONTH(BN$2)-MONTH($F33)) / 12),
  0)</f>
        <v/>
      </c>
      <c r="BO33" s="299">
        <f>IF(AND($F33&lt;=BO$2, OR($G33="",$G33&gt;=BO$2)),
  $H33 * (1 + Assumptions!$C$7) ^ INT(((YEAR(BO$2)-YEAR($F33))*12 + MONTH(BO$2)-MONTH($F33)) / 12),
  0)</f>
        <v/>
      </c>
      <c r="BP33" s="299">
        <f>IF(AND($F33&lt;=BP$2, OR($G33="",$G33&gt;=BP$2)),
  $H33 * (1 + Assumptions!$C$7) ^ INT(((YEAR(BP$2)-YEAR($F33))*12 + MONTH(BP$2)-MONTH($F33)) / 12),
  0)</f>
        <v/>
      </c>
      <c r="BQ33" s="307" t="n"/>
      <c r="BR33" s="83" t="inlineStr">
        <is>
          <t>paid this month if started and not yet left; +8% on each work anniversary</t>
        </is>
      </c>
      <c r="BS33" s="307" t="n"/>
      <c r="BT33" s="307" t="n"/>
    </row>
    <row r="34" ht="15.75" customHeight="1" s="349">
      <c r="A34" s="321" t="n">
        <v>29</v>
      </c>
      <c r="B34" s="285" t="inlineStr">
        <is>
          <t>New hire</t>
        </is>
      </c>
      <c r="C34" s="285" t="inlineStr">
        <is>
          <t>S&amp;M</t>
        </is>
      </c>
      <c r="D34" s="317" t="inlineStr">
        <is>
          <t>Partner Manager</t>
        </is>
      </c>
      <c r="E34" s="297" t="inlineStr">
        <is>
          <t>Planned</t>
        </is>
      </c>
      <c r="F34" s="318">
        <f>IF(Assumptions!$D$82=2,DATE(2027,8,1),DATE(2028,6,2))</f>
        <v/>
      </c>
      <c r="G34" s="319" t="n"/>
      <c r="H34" s="288" t="n">
        <v>7500</v>
      </c>
      <c r="I34" s="299">
        <f>IF(AND($F34&lt;=I$2, OR($G34="",$G34&gt;=I$2)),
  $H34 * (1 + Assumptions!$C$7) ^ INT(((YEAR(I$2)-YEAR($F34))*12 + MONTH(I$2)-MONTH($F34)) / 12),
  0)</f>
        <v/>
      </c>
      <c r="J34" s="299">
        <f>IF(AND($F34&lt;=J$2, OR($G34="",$G34&gt;=J$2)),
  $H34 * (1 + Assumptions!$C$7) ^ INT(((YEAR(J$2)-YEAR($F34))*12 + MONTH(J$2)-MONTH($F34)) / 12),
  0)</f>
        <v/>
      </c>
      <c r="K34" s="299">
        <f>IF(AND($F34&lt;=K$2, OR($G34="",$G34&gt;=K$2)),
  $H34 * (1 + Assumptions!$C$7) ^ INT(((YEAR(K$2)-YEAR($F34))*12 + MONTH(K$2)-MONTH($F34)) / 12),
  0)</f>
        <v/>
      </c>
      <c r="L34" s="299">
        <f>IF(AND($F34&lt;=L$2, OR($G34="",$G34&gt;=L$2)),
  $H34 * (1 + Assumptions!$C$7) ^ INT(((YEAR(L$2)-YEAR($F34))*12 + MONTH(L$2)-MONTH($F34)) / 12),
  0)</f>
        <v/>
      </c>
      <c r="M34" s="299">
        <f>IF(AND($F34&lt;=M$2, OR($G34="",$G34&gt;=M$2)),
  $H34 * (1 + Assumptions!$C$7) ^ INT(((YEAR(M$2)-YEAR($F34))*12 + MONTH(M$2)-MONTH($F34)) / 12),
  0)</f>
        <v/>
      </c>
      <c r="N34" s="299">
        <f>IF(AND($F34&lt;=N$2, OR($G34="",$G34&gt;=N$2)),
  $H34 * (1 + Assumptions!$C$7) ^ INT(((YEAR(N$2)-YEAR($F34))*12 + MONTH(N$2)-MONTH($F34)) / 12),
  0)</f>
        <v/>
      </c>
      <c r="O34" s="299">
        <f>IF(AND($F34&lt;=O$2, OR($G34="",$G34&gt;=O$2)),
  $H34 * (1 + Assumptions!$C$7) ^ INT(((YEAR(O$2)-YEAR($F34))*12 + MONTH(O$2)-MONTH($F34)) / 12),
  0)</f>
        <v/>
      </c>
      <c r="P34" s="299">
        <f>IF(AND($F34&lt;=P$2, OR($G34="",$G34&gt;=P$2)),
  $H34 * (1 + Assumptions!$C$7) ^ INT(((YEAR(P$2)-YEAR($F34))*12 + MONTH(P$2)-MONTH($F34)) / 12),
  0)</f>
        <v/>
      </c>
      <c r="Q34" s="299">
        <f>IF(AND($F34&lt;=Q$2, OR($G34="",$G34&gt;=Q$2)),
  $H34 * (1 + Assumptions!$C$7) ^ INT(((YEAR(Q$2)-YEAR($F34))*12 + MONTH(Q$2)-MONTH($F34)) / 12),
  0)</f>
        <v/>
      </c>
      <c r="R34" s="299">
        <f>IF(AND($F34&lt;=R$2, OR($G34="",$G34&gt;=R$2)),
  $H34 * (1 + Assumptions!$C$7) ^ INT(((YEAR(R$2)-YEAR($F34))*12 + MONTH(R$2)-MONTH($F34)) / 12),
  0)</f>
        <v/>
      </c>
      <c r="S34" s="299">
        <f>IF(AND($F34&lt;=S$2, OR($G34="",$G34&gt;=S$2)),
  $H34 * (1 + Assumptions!$C$7) ^ INT(((YEAR(S$2)-YEAR($F34))*12 + MONTH(S$2)-MONTH($F34)) / 12),
  0)</f>
        <v/>
      </c>
      <c r="T34" s="299">
        <f>IF(AND($F34&lt;=T$2, OR($G34="",$G34&gt;=T$2)),
  $H34 * (1 + Assumptions!$C$7) ^ INT(((YEAR(T$2)-YEAR($F34))*12 + MONTH(T$2)-MONTH($F34)) / 12),
  0)</f>
        <v/>
      </c>
      <c r="U34" s="299">
        <f>IF(AND($F34&lt;=U$2, OR($G34="",$G34&gt;=U$2)),
  $H34 * (1 + Assumptions!$C$7) ^ INT(((YEAR(U$2)-YEAR($F34))*12 + MONTH(U$2)-MONTH($F34)) / 12),
  0)</f>
        <v/>
      </c>
      <c r="V34" s="299">
        <f>IF(AND($F34&lt;=V$2, OR($G34="",$G34&gt;=V$2)),
  $H34 * (1 + Assumptions!$C$7) ^ INT(((YEAR(V$2)-YEAR($F34))*12 + MONTH(V$2)-MONTH($F34)) / 12),
  0)</f>
        <v/>
      </c>
      <c r="W34" s="299">
        <f>IF(AND($F34&lt;=W$2, OR($G34="",$G34&gt;=W$2)),
  $H34 * (1 + Assumptions!$C$7) ^ INT(((YEAR(W$2)-YEAR($F34))*12 + MONTH(W$2)-MONTH($F34)) / 12),
  0)</f>
        <v/>
      </c>
      <c r="X34" s="299">
        <f>IF(AND($F34&lt;=X$2, OR($G34="",$G34&gt;=X$2)),
  $H34 * (1 + Assumptions!$C$7) ^ INT(((YEAR(X$2)-YEAR($F34))*12 + MONTH(X$2)-MONTH($F34)) / 12),
  0)</f>
        <v/>
      </c>
      <c r="Y34" s="299">
        <f>IF(AND($F34&lt;=Y$2, OR($G34="",$G34&gt;=Y$2)),
  $H34 * (1 + Assumptions!$C$7) ^ INT(((YEAR(Y$2)-YEAR($F34))*12 + MONTH(Y$2)-MONTH($F34)) / 12),
  0)</f>
        <v/>
      </c>
      <c r="Z34" s="299">
        <f>IF(AND($F34&lt;=Z$2, OR($G34="",$G34&gt;=Z$2)),
  $H34 * (1 + Assumptions!$C$7) ^ INT(((YEAR(Z$2)-YEAR($F34))*12 + MONTH(Z$2)-MONTH($F34)) / 12),
  0)</f>
        <v/>
      </c>
      <c r="AA34" s="299">
        <f>IF(AND($F34&lt;=AA$2, OR($G34="",$G34&gt;=AA$2)),
  $H34 * (1 + Assumptions!$C$7) ^ INT(((YEAR(AA$2)-YEAR($F34))*12 + MONTH(AA$2)-MONTH($F34)) / 12),
  0)</f>
        <v/>
      </c>
      <c r="AB34" s="299">
        <f>IF(AND($F34&lt;=AB$2, OR($G34="",$G34&gt;=AB$2)),
  $H34 * (1 + Assumptions!$C$7) ^ INT(((YEAR(AB$2)-YEAR($F34))*12 + MONTH(AB$2)-MONTH($F34)) / 12),
  0)</f>
        <v/>
      </c>
      <c r="AC34" s="299">
        <f>IF(AND($F34&lt;=AC$2, OR($G34="",$G34&gt;=AC$2)),
  $H34 * (1 + Assumptions!$C$7) ^ INT(((YEAR(AC$2)-YEAR($F34))*12 + MONTH(AC$2)-MONTH($F34)) / 12),
  0)</f>
        <v/>
      </c>
      <c r="AD34" s="299">
        <f>IF(AND($F34&lt;=AD$2, OR($G34="",$G34&gt;=AD$2)),
  $H34 * (1 + Assumptions!$C$7) ^ INT(((YEAR(AD$2)-YEAR($F34))*12 + MONTH(AD$2)-MONTH($F34)) / 12),
  0)</f>
        <v/>
      </c>
      <c r="AE34" s="299">
        <f>IF(AND($F34&lt;=AE$2, OR($G34="",$G34&gt;=AE$2)),
  $H34 * (1 + Assumptions!$C$7) ^ INT(((YEAR(AE$2)-YEAR($F34))*12 + MONTH(AE$2)-MONTH($F34)) / 12),
  0)</f>
        <v/>
      </c>
      <c r="AF34" s="299">
        <f>IF(AND($F34&lt;=AF$2, OR($G34="",$G34&gt;=AF$2)),
  $H34 * (1 + Assumptions!$C$7) ^ INT(((YEAR(AF$2)-YEAR($F34))*12 + MONTH(AF$2)-MONTH($F34)) / 12),
  0)</f>
        <v/>
      </c>
      <c r="AG34" s="299">
        <f>IF(AND($F34&lt;=AG$2, OR($G34="",$G34&gt;=AG$2)),
  $H34 * (1 + Assumptions!$C$7) ^ INT(((YEAR(AG$2)-YEAR($F34))*12 + MONTH(AG$2)-MONTH($F34)) / 12),
  0)</f>
        <v/>
      </c>
      <c r="AH34" s="299">
        <f>IF(AND($F34&lt;=AH$2, OR($G34="",$G34&gt;=AH$2)),
  $H34 * (1 + Assumptions!$C$7) ^ INT(((YEAR(AH$2)-YEAR($F34))*12 + MONTH(AH$2)-MONTH($F34)) / 12),
  0)</f>
        <v/>
      </c>
      <c r="AI34" s="299">
        <f>IF(AND($F34&lt;=AI$2, OR($G34="",$G34&gt;=AI$2)),
  $H34 * (1 + Assumptions!$C$7) ^ INT(((YEAR(AI$2)-YEAR($F34))*12 + MONTH(AI$2)-MONTH($F34)) / 12),
  0)</f>
        <v/>
      </c>
      <c r="AJ34" s="299">
        <f>IF(AND($F34&lt;=AJ$2, OR($G34="",$G34&gt;=AJ$2)),
  $H34 * (1 + Assumptions!$C$7) ^ INT(((YEAR(AJ$2)-YEAR($F34))*12 + MONTH(AJ$2)-MONTH($F34)) / 12),
  0)</f>
        <v/>
      </c>
      <c r="AK34" s="299">
        <f>IF(AND($F34&lt;=AK$2, OR($G34="",$G34&gt;=AK$2)),
  $H34 * (1 + Assumptions!$C$7) ^ INT(((YEAR(AK$2)-YEAR($F34))*12 + MONTH(AK$2)-MONTH($F34)) / 12),
  0)</f>
        <v/>
      </c>
      <c r="AL34" s="299">
        <f>IF(AND($F34&lt;=AL$2, OR($G34="",$G34&gt;=AL$2)),
  $H34 * (1 + Assumptions!$C$7) ^ INT(((YEAR(AL$2)-YEAR($F34))*12 + MONTH(AL$2)-MONTH($F34)) / 12),
  0)</f>
        <v/>
      </c>
      <c r="AM34" s="299">
        <f>IF(AND($F34&lt;=AM$2, OR($G34="",$G34&gt;=AM$2)),
  $H34 * (1 + Assumptions!$C$7) ^ INT(((YEAR(AM$2)-YEAR($F34))*12 + MONTH(AM$2)-MONTH($F34)) / 12),
  0)</f>
        <v/>
      </c>
      <c r="AN34" s="299">
        <f>IF(AND($F34&lt;=AN$2, OR($G34="",$G34&gt;=AN$2)),
  $H34 * (1 + Assumptions!$C$7) ^ INT(((YEAR(AN$2)-YEAR($F34))*12 + MONTH(AN$2)-MONTH($F34)) / 12),
  0)</f>
        <v/>
      </c>
      <c r="AO34" s="299">
        <f>IF(AND($F34&lt;=AO$2, OR($G34="",$G34&gt;=AO$2)),
  $H34 * (1 + Assumptions!$C$7) ^ INT(((YEAR(AO$2)-YEAR($F34))*12 + MONTH(AO$2)-MONTH($F34)) / 12),
  0)</f>
        <v/>
      </c>
      <c r="AP34" s="299">
        <f>IF(AND($F34&lt;=AP$2, OR($G34="",$G34&gt;=AP$2)),
  $H34 * (1 + Assumptions!$C$7) ^ INT(((YEAR(AP$2)-YEAR($F34))*12 + MONTH(AP$2)-MONTH($F34)) / 12),
  0)</f>
        <v/>
      </c>
      <c r="AQ34" s="299">
        <f>IF(AND($F34&lt;=AQ$2, OR($G34="",$G34&gt;=AQ$2)),
  $H34 * (1 + Assumptions!$C$7) ^ INT(((YEAR(AQ$2)-YEAR($F34))*12 + MONTH(AQ$2)-MONTH($F34)) / 12),
  0)</f>
        <v/>
      </c>
      <c r="AR34" s="299">
        <f>IF(AND($F34&lt;=AR$2, OR($G34="",$G34&gt;=AR$2)),
  $H34 * (1 + Assumptions!$C$7) ^ INT(((YEAR(AR$2)-YEAR($F34))*12 + MONTH(AR$2)-MONTH($F34)) / 12),
  0)</f>
        <v/>
      </c>
      <c r="AS34" s="299">
        <f>IF(AND($F34&lt;=AS$2, OR($G34="",$G34&gt;=AS$2)),
  $H34 * (1 + Assumptions!$C$7) ^ INT(((YEAR(AS$2)-YEAR($F34))*12 + MONTH(AS$2)-MONTH($F34)) / 12),
  0)</f>
        <v/>
      </c>
      <c r="AT34" s="299">
        <f>IF(AND($F34&lt;=AT$2, OR($G34="",$G34&gt;=AT$2)),
  $H34 * (1 + Assumptions!$C$7) ^ INT(((YEAR(AT$2)-YEAR($F34))*12 + MONTH(AT$2)-MONTH($F34)) / 12),
  0)</f>
        <v/>
      </c>
      <c r="AU34" s="299">
        <f>IF(AND($F34&lt;=AU$2, OR($G34="",$G34&gt;=AU$2)),
  $H34 * (1 + Assumptions!$C$7) ^ INT(((YEAR(AU$2)-YEAR($F34))*12 + MONTH(AU$2)-MONTH($F34)) / 12),
  0)</f>
        <v/>
      </c>
      <c r="AV34" s="299">
        <f>IF(AND($F34&lt;=AV$2, OR($G34="",$G34&gt;=AV$2)),
  $H34 * (1 + Assumptions!$C$7) ^ INT(((YEAR(AV$2)-YEAR($F34))*12 + MONTH(AV$2)-MONTH($F34)) / 12),
  0)</f>
        <v/>
      </c>
      <c r="AW34" s="299">
        <f>IF(AND($F34&lt;=AW$2, OR($G34="",$G34&gt;=AW$2)),
  $H34 * (1 + Assumptions!$C$7) ^ INT(((YEAR(AW$2)-YEAR($F34))*12 + MONTH(AW$2)-MONTH($F34)) / 12),
  0)</f>
        <v/>
      </c>
      <c r="AX34" s="299">
        <f>IF(AND($F34&lt;=AX$2, OR($G34="",$G34&gt;=AX$2)),
  $H34 * (1 + Assumptions!$C$7) ^ INT(((YEAR(AX$2)-YEAR($F34))*12 + MONTH(AX$2)-MONTH($F34)) / 12),
  0)</f>
        <v/>
      </c>
      <c r="AY34" s="299">
        <f>IF(AND($F34&lt;=AY$2, OR($G34="",$G34&gt;=AY$2)),
  $H34 * (1 + Assumptions!$C$7) ^ INT(((YEAR(AY$2)-YEAR($F34))*12 + MONTH(AY$2)-MONTH($F34)) / 12),
  0)</f>
        <v/>
      </c>
      <c r="AZ34" s="299">
        <f>IF(AND($F34&lt;=AZ$2, OR($G34="",$G34&gt;=AZ$2)),
  $H34 * (1 + Assumptions!$C$7) ^ INT(((YEAR(AZ$2)-YEAR($F34))*12 + MONTH(AZ$2)-MONTH($F34)) / 12),
  0)</f>
        <v/>
      </c>
      <c r="BA34" s="299">
        <f>IF(AND($F34&lt;=BA$2, OR($G34="",$G34&gt;=BA$2)),
  $H34 * (1 + Assumptions!$C$7) ^ INT(((YEAR(BA$2)-YEAR($F34))*12 + MONTH(BA$2)-MONTH($F34)) / 12),
  0)</f>
        <v/>
      </c>
      <c r="BB34" s="299">
        <f>IF(AND($F34&lt;=BB$2, OR($G34="",$G34&gt;=BB$2)),
  $H34 * (1 + Assumptions!$C$7) ^ INT(((YEAR(BB$2)-YEAR($F34))*12 + MONTH(BB$2)-MONTH($F34)) / 12),
  0)</f>
        <v/>
      </c>
      <c r="BC34" s="299">
        <f>IF(AND($F34&lt;=BC$2, OR($G34="",$G34&gt;=BC$2)),
  $H34 * (1 + Assumptions!$C$7) ^ INT(((YEAR(BC$2)-YEAR($F34))*12 + MONTH(BC$2)-MONTH($F34)) / 12),
  0)</f>
        <v/>
      </c>
      <c r="BD34" s="299">
        <f>IF(AND($F34&lt;=BD$2, OR($G34="",$G34&gt;=BD$2)),
  $H34 * (1 + Assumptions!$C$7) ^ INT(((YEAR(BD$2)-YEAR($F34))*12 + MONTH(BD$2)-MONTH($F34)) / 12),
  0)</f>
        <v/>
      </c>
      <c r="BE34" s="299">
        <f>IF(AND($F34&lt;=BE$2, OR($G34="",$G34&gt;=BE$2)),
  $H34 * (1 + Assumptions!$C$7) ^ INT(((YEAR(BE$2)-YEAR($F34))*12 + MONTH(BE$2)-MONTH($F34)) / 12),
  0)</f>
        <v/>
      </c>
      <c r="BF34" s="299">
        <f>IF(AND($F34&lt;=BF$2, OR($G34="",$G34&gt;=BF$2)),
  $H34 * (1 + Assumptions!$C$7) ^ INT(((YEAR(BF$2)-YEAR($F34))*12 + MONTH(BF$2)-MONTH($F34)) / 12),
  0)</f>
        <v/>
      </c>
      <c r="BG34" s="299">
        <f>IF(AND($F34&lt;=BG$2, OR($G34="",$G34&gt;=BG$2)),
  $H34 * (1 + Assumptions!$C$7) ^ INT(((YEAR(BG$2)-YEAR($F34))*12 + MONTH(BG$2)-MONTH($F34)) / 12),
  0)</f>
        <v/>
      </c>
      <c r="BH34" s="299">
        <f>IF(AND($F34&lt;=BH$2, OR($G34="",$G34&gt;=BH$2)),
  $H34 * (1 + Assumptions!$C$7) ^ INT(((YEAR(BH$2)-YEAR($F34))*12 + MONTH(BH$2)-MONTH($F34)) / 12),
  0)</f>
        <v/>
      </c>
      <c r="BI34" s="299">
        <f>IF(AND($F34&lt;=BI$2, OR($G34="",$G34&gt;=BI$2)),
  $H34 * (1 + Assumptions!$C$7) ^ INT(((YEAR(BI$2)-YEAR($F34))*12 + MONTH(BI$2)-MONTH($F34)) / 12),
  0)</f>
        <v/>
      </c>
      <c r="BJ34" s="299">
        <f>IF(AND($F34&lt;=BJ$2, OR($G34="",$G34&gt;=BJ$2)),
  $H34 * (1 + Assumptions!$C$7) ^ INT(((YEAR(BJ$2)-YEAR($F34))*12 + MONTH(BJ$2)-MONTH($F34)) / 12),
  0)</f>
        <v/>
      </c>
      <c r="BK34" s="299">
        <f>IF(AND($F34&lt;=BK$2, OR($G34="",$G34&gt;=BK$2)),
  $H34 * (1 + Assumptions!$C$7) ^ INT(((YEAR(BK$2)-YEAR($F34))*12 + MONTH(BK$2)-MONTH($F34)) / 12),
  0)</f>
        <v/>
      </c>
      <c r="BL34" s="299">
        <f>IF(AND($F34&lt;=BL$2, OR($G34="",$G34&gt;=BL$2)),
  $H34 * (1 + Assumptions!$C$7) ^ INT(((YEAR(BL$2)-YEAR($F34))*12 + MONTH(BL$2)-MONTH($F34)) / 12),
  0)</f>
        <v/>
      </c>
      <c r="BM34" s="299">
        <f>IF(AND($F34&lt;=BM$2, OR($G34="",$G34&gt;=BM$2)),
  $H34 * (1 + Assumptions!$C$7) ^ INT(((YEAR(BM$2)-YEAR($F34))*12 + MONTH(BM$2)-MONTH($F34)) / 12),
  0)</f>
        <v/>
      </c>
      <c r="BN34" s="299">
        <f>IF(AND($F34&lt;=BN$2, OR($G34="",$G34&gt;=BN$2)),
  $H34 * (1 + Assumptions!$C$7) ^ INT(((YEAR(BN$2)-YEAR($F34))*12 + MONTH(BN$2)-MONTH($F34)) / 12),
  0)</f>
        <v/>
      </c>
      <c r="BO34" s="299">
        <f>IF(AND($F34&lt;=BO$2, OR($G34="",$G34&gt;=BO$2)),
  $H34 * (1 + Assumptions!$C$7) ^ INT(((YEAR(BO$2)-YEAR($F34))*12 + MONTH(BO$2)-MONTH($F34)) / 12),
  0)</f>
        <v/>
      </c>
      <c r="BP34" s="299">
        <f>IF(AND($F34&lt;=BP$2, OR($G34="",$G34&gt;=BP$2)),
  $H34 * (1 + Assumptions!$C$7) ^ INT(((YEAR(BP$2)-YEAR($F34))*12 + MONTH(BP$2)-MONTH($F34)) / 12),
  0)</f>
        <v/>
      </c>
      <c r="BQ34" s="307" t="n"/>
      <c r="BR34" s="83" t="inlineStr">
        <is>
          <t>paid this month if started and not yet left; +8% on each work anniversary</t>
        </is>
      </c>
      <c r="BS34" s="307" t="n"/>
      <c r="BT34" s="307" t="n"/>
    </row>
    <row r="35" ht="15.75" customHeight="1" s="349">
      <c r="A35" s="321" t="n">
        <v>30</v>
      </c>
      <c r="B35" s="285" t="inlineStr">
        <is>
          <t>New hire</t>
        </is>
      </c>
      <c r="C35" s="23" t="inlineStr">
        <is>
          <t>S&amp;M</t>
        </is>
      </c>
      <c r="D35" s="321" t="inlineStr">
        <is>
          <t>Account Manager</t>
        </is>
      </c>
      <c r="E35" s="297" t="inlineStr">
        <is>
          <t>Planned</t>
        </is>
      </c>
      <c r="F35" s="318">
        <f>IF(Assumptions!$D$82=2,DATE(2027,10,1),DATE(2028,6,3))</f>
        <v/>
      </c>
      <c r="G35" s="319" t="n"/>
      <c r="H35" s="288" t="n">
        <v>8000</v>
      </c>
      <c r="I35" s="299">
        <f>IF(AND($F35&lt;=I$2, OR($G35="",$G35&gt;=I$2)),
  $H35 * (1 + Assumptions!$C$7) ^ INT(((YEAR(I$2)-YEAR($F35))*12 + MONTH(I$2)-MONTH($F35)) / 12),
  0)</f>
        <v/>
      </c>
      <c r="J35" s="299">
        <f>IF(AND($F35&lt;=J$2, OR($G35="",$G35&gt;=J$2)),
  $H35 * (1 + Assumptions!$C$7) ^ INT(((YEAR(J$2)-YEAR($F35))*12 + MONTH(J$2)-MONTH($F35)) / 12),
  0)</f>
        <v/>
      </c>
      <c r="K35" s="299">
        <f>IF(AND($F35&lt;=K$2, OR($G35="",$G35&gt;=K$2)),
  $H35 * (1 + Assumptions!$C$7) ^ INT(((YEAR(K$2)-YEAR($F35))*12 + MONTH(K$2)-MONTH($F35)) / 12),
  0)</f>
        <v/>
      </c>
      <c r="L35" s="299">
        <f>IF(AND($F35&lt;=L$2, OR($G35="",$G35&gt;=L$2)),
  $H35 * (1 + Assumptions!$C$7) ^ INT(((YEAR(L$2)-YEAR($F35))*12 + MONTH(L$2)-MONTH($F35)) / 12),
  0)</f>
        <v/>
      </c>
      <c r="M35" s="299">
        <f>IF(AND($F35&lt;=M$2, OR($G35="",$G35&gt;=M$2)),
  $H35 * (1 + Assumptions!$C$7) ^ INT(((YEAR(M$2)-YEAR($F35))*12 + MONTH(M$2)-MONTH($F35)) / 12),
  0)</f>
        <v/>
      </c>
      <c r="N35" s="299">
        <f>IF(AND($F35&lt;=N$2, OR($G35="",$G35&gt;=N$2)),
  $H35 * (1 + Assumptions!$C$7) ^ INT(((YEAR(N$2)-YEAR($F35))*12 + MONTH(N$2)-MONTH($F35)) / 12),
  0)</f>
        <v/>
      </c>
      <c r="O35" s="299">
        <f>IF(AND($F35&lt;=O$2, OR($G35="",$G35&gt;=O$2)),
  $H35 * (1 + Assumptions!$C$7) ^ INT(((YEAR(O$2)-YEAR($F35))*12 + MONTH(O$2)-MONTH($F35)) / 12),
  0)</f>
        <v/>
      </c>
      <c r="P35" s="299">
        <f>IF(AND($F35&lt;=P$2, OR($G35="",$G35&gt;=P$2)),
  $H35 * (1 + Assumptions!$C$7) ^ INT(((YEAR(P$2)-YEAR($F35))*12 + MONTH(P$2)-MONTH($F35)) / 12),
  0)</f>
        <v/>
      </c>
      <c r="Q35" s="299">
        <f>IF(AND($F35&lt;=Q$2, OR($G35="",$G35&gt;=Q$2)),
  $H35 * (1 + Assumptions!$C$7) ^ INT(((YEAR(Q$2)-YEAR($F35))*12 + MONTH(Q$2)-MONTH($F35)) / 12),
  0)</f>
        <v/>
      </c>
      <c r="R35" s="299">
        <f>IF(AND($F35&lt;=R$2, OR($G35="",$G35&gt;=R$2)),
  $H35 * (1 + Assumptions!$C$7) ^ INT(((YEAR(R$2)-YEAR($F35))*12 + MONTH(R$2)-MONTH($F35)) / 12),
  0)</f>
        <v/>
      </c>
      <c r="S35" s="299">
        <f>IF(AND($F35&lt;=S$2, OR($G35="",$G35&gt;=S$2)),
  $H35 * (1 + Assumptions!$C$7) ^ INT(((YEAR(S$2)-YEAR($F35))*12 + MONTH(S$2)-MONTH($F35)) / 12),
  0)</f>
        <v/>
      </c>
      <c r="T35" s="299">
        <f>IF(AND($F35&lt;=T$2, OR($G35="",$G35&gt;=T$2)),
  $H35 * (1 + Assumptions!$C$7) ^ INT(((YEAR(T$2)-YEAR($F35))*12 + MONTH(T$2)-MONTH($F35)) / 12),
  0)</f>
        <v/>
      </c>
      <c r="U35" s="299">
        <f>IF(AND($F35&lt;=U$2, OR($G35="",$G35&gt;=U$2)),
  $H35 * (1 + Assumptions!$C$7) ^ INT(((YEAR(U$2)-YEAR($F35))*12 + MONTH(U$2)-MONTH($F35)) / 12),
  0)</f>
        <v/>
      </c>
      <c r="V35" s="299">
        <f>IF(AND($F35&lt;=V$2, OR($G35="",$G35&gt;=V$2)),
  $H35 * (1 + Assumptions!$C$7) ^ INT(((YEAR(V$2)-YEAR($F35))*12 + MONTH(V$2)-MONTH($F35)) / 12),
  0)</f>
        <v/>
      </c>
      <c r="W35" s="299">
        <f>IF(AND($F35&lt;=W$2, OR($G35="",$G35&gt;=W$2)),
  $H35 * (1 + Assumptions!$C$7) ^ INT(((YEAR(W$2)-YEAR($F35))*12 + MONTH(W$2)-MONTH($F35)) / 12),
  0)</f>
        <v/>
      </c>
      <c r="X35" s="299">
        <f>IF(AND($F35&lt;=X$2, OR($G35="",$G35&gt;=X$2)),
  $H35 * (1 + Assumptions!$C$7) ^ INT(((YEAR(X$2)-YEAR($F35))*12 + MONTH(X$2)-MONTH($F35)) / 12),
  0)</f>
        <v/>
      </c>
      <c r="Y35" s="299">
        <f>IF(AND($F35&lt;=Y$2, OR($G35="",$G35&gt;=Y$2)),
  $H35 * (1 + Assumptions!$C$7) ^ INT(((YEAR(Y$2)-YEAR($F35))*12 + MONTH(Y$2)-MONTH($F35)) / 12),
  0)</f>
        <v/>
      </c>
      <c r="Z35" s="299">
        <f>IF(AND($F35&lt;=Z$2, OR($G35="",$G35&gt;=Z$2)),
  $H35 * (1 + Assumptions!$C$7) ^ INT(((YEAR(Z$2)-YEAR($F35))*12 + MONTH(Z$2)-MONTH($F35)) / 12),
  0)</f>
        <v/>
      </c>
      <c r="AA35" s="299">
        <f>IF(AND($F35&lt;=AA$2, OR($G35="",$G35&gt;=AA$2)),
  $H35 * (1 + Assumptions!$C$7) ^ INT(((YEAR(AA$2)-YEAR($F35))*12 + MONTH(AA$2)-MONTH($F35)) / 12),
  0)</f>
        <v/>
      </c>
      <c r="AB35" s="299">
        <f>IF(AND($F35&lt;=AB$2, OR($G35="",$G35&gt;=AB$2)),
  $H35 * (1 + Assumptions!$C$7) ^ INT(((YEAR(AB$2)-YEAR($F35))*12 + MONTH(AB$2)-MONTH($F35)) / 12),
  0)</f>
        <v/>
      </c>
      <c r="AC35" s="299">
        <f>IF(AND($F35&lt;=AC$2, OR($G35="",$G35&gt;=AC$2)),
  $H35 * (1 + Assumptions!$C$7) ^ INT(((YEAR(AC$2)-YEAR($F35))*12 + MONTH(AC$2)-MONTH($F35)) / 12),
  0)</f>
        <v/>
      </c>
      <c r="AD35" s="299">
        <f>IF(AND($F35&lt;=AD$2, OR($G35="",$G35&gt;=AD$2)),
  $H35 * (1 + Assumptions!$C$7) ^ INT(((YEAR(AD$2)-YEAR($F35))*12 + MONTH(AD$2)-MONTH($F35)) / 12),
  0)</f>
        <v/>
      </c>
      <c r="AE35" s="299">
        <f>IF(AND($F35&lt;=AE$2, OR($G35="",$G35&gt;=AE$2)),
  $H35 * (1 + Assumptions!$C$7) ^ INT(((YEAR(AE$2)-YEAR($F35))*12 + MONTH(AE$2)-MONTH($F35)) / 12),
  0)</f>
        <v/>
      </c>
      <c r="AF35" s="299">
        <f>IF(AND($F35&lt;=AF$2, OR($G35="",$G35&gt;=AF$2)),
  $H35 * (1 + Assumptions!$C$7) ^ INT(((YEAR(AF$2)-YEAR($F35))*12 + MONTH(AF$2)-MONTH($F35)) / 12),
  0)</f>
        <v/>
      </c>
      <c r="AG35" s="299">
        <f>IF(AND($F35&lt;=AG$2, OR($G35="",$G35&gt;=AG$2)),
  $H35 * (1 + Assumptions!$C$7) ^ INT(((YEAR(AG$2)-YEAR($F35))*12 + MONTH(AG$2)-MONTH($F35)) / 12),
  0)</f>
        <v/>
      </c>
      <c r="AH35" s="299">
        <f>IF(AND($F35&lt;=AH$2, OR($G35="",$G35&gt;=AH$2)),
  $H35 * (1 + Assumptions!$C$7) ^ INT(((YEAR(AH$2)-YEAR($F35))*12 + MONTH(AH$2)-MONTH($F35)) / 12),
  0)</f>
        <v/>
      </c>
      <c r="AI35" s="299">
        <f>IF(AND($F35&lt;=AI$2, OR($G35="",$G35&gt;=AI$2)),
  $H35 * (1 + Assumptions!$C$7) ^ INT(((YEAR(AI$2)-YEAR($F35))*12 + MONTH(AI$2)-MONTH($F35)) / 12),
  0)</f>
        <v/>
      </c>
      <c r="AJ35" s="299">
        <f>IF(AND($F35&lt;=AJ$2, OR($G35="",$G35&gt;=AJ$2)),
  $H35 * (1 + Assumptions!$C$7) ^ INT(((YEAR(AJ$2)-YEAR($F35))*12 + MONTH(AJ$2)-MONTH($F35)) / 12),
  0)</f>
        <v/>
      </c>
      <c r="AK35" s="299">
        <f>IF(AND($F35&lt;=AK$2, OR($G35="",$G35&gt;=AK$2)),
  $H35 * (1 + Assumptions!$C$7) ^ INT(((YEAR(AK$2)-YEAR($F35))*12 + MONTH(AK$2)-MONTH($F35)) / 12),
  0)</f>
        <v/>
      </c>
      <c r="AL35" s="299">
        <f>IF(AND($F35&lt;=AL$2, OR($G35="",$G35&gt;=AL$2)),
  $H35 * (1 + Assumptions!$C$7) ^ INT(((YEAR(AL$2)-YEAR($F35))*12 + MONTH(AL$2)-MONTH($F35)) / 12),
  0)</f>
        <v/>
      </c>
      <c r="AM35" s="299">
        <f>IF(AND($F35&lt;=AM$2, OR($G35="",$G35&gt;=AM$2)),
  $H35 * (1 + Assumptions!$C$7) ^ INT(((YEAR(AM$2)-YEAR($F35))*12 + MONTH(AM$2)-MONTH($F35)) / 12),
  0)</f>
        <v/>
      </c>
      <c r="AN35" s="299">
        <f>IF(AND($F35&lt;=AN$2, OR($G35="",$G35&gt;=AN$2)),
  $H35 * (1 + Assumptions!$C$7) ^ INT(((YEAR(AN$2)-YEAR($F35))*12 + MONTH(AN$2)-MONTH($F35)) / 12),
  0)</f>
        <v/>
      </c>
      <c r="AO35" s="299">
        <f>IF(AND($F35&lt;=AO$2, OR($G35="",$G35&gt;=AO$2)),
  $H35 * (1 + Assumptions!$C$7) ^ INT(((YEAR(AO$2)-YEAR($F35))*12 + MONTH(AO$2)-MONTH($F35)) / 12),
  0)</f>
        <v/>
      </c>
      <c r="AP35" s="299">
        <f>IF(AND($F35&lt;=AP$2, OR($G35="",$G35&gt;=AP$2)),
  $H35 * (1 + Assumptions!$C$7) ^ INT(((YEAR(AP$2)-YEAR($F35))*12 + MONTH(AP$2)-MONTH($F35)) / 12),
  0)</f>
        <v/>
      </c>
      <c r="AQ35" s="299">
        <f>IF(AND($F35&lt;=AQ$2, OR($G35="",$G35&gt;=AQ$2)),
  $H35 * (1 + Assumptions!$C$7) ^ INT(((YEAR(AQ$2)-YEAR($F35))*12 + MONTH(AQ$2)-MONTH($F35)) / 12),
  0)</f>
        <v/>
      </c>
      <c r="AR35" s="299">
        <f>IF(AND($F35&lt;=AR$2, OR($G35="",$G35&gt;=AR$2)),
  $H35 * (1 + Assumptions!$C$7) ^ INT(((YEAR(AR$2)-YEAR($F35))*12 + MONTH(AR$2)-MONTH($F35)) / 12),
  0)</f>
        <v/>
      </c>
      <c r="AS35" s="299">
        <f>IF(AND($F35&lt;=AS$2, OR($G35="",$G35&gt;=AS$2)),
  $H35 * (1 + Assumptions!$C$7) ^ INT(((YEAR(AS$2)-YEAR($F35))*12 + MONTH(AS$2)-MONTH($F35)) / 12),
  0)</f>
        <v/>
      </c>
      <c r="AT35" s="299">
        <f>IF(AND($F35&lt;=AT$2, OR($G35="",$G35&gt;=AT$2)),
  $H35 * (1 + Assumptions!$C$7) ^ INT(((YEAR(AT$2)-YEAR($F35))*12 + MONTH(AT$2)-MONTH($F35)) / 12),
  0)</f>
        <v/>
      </c>
      <c r="AU35" s="299">
        <f>IF(AND($F35&lt;=AU$2, OR($G35="",$G35&gt;=AU$2)),
  $H35 * (1 + Assumptions!$C$7) ^ INT(((YEAR(AU$2)-YEAR($F35))*12 + MONTH(AU$2)-MONTH($F35)) / 12),
  0)</f>
        <v/>
      </c>
      <c r="AV35" s="299">
        <f>IF(AND($F35&lt;=AV$2, OR($G35="",$G35&gt;=AV$2)),
  $H35 * (1 + Assumptions!$C$7) ^ INT(((YEAR(AV$2)-YEAR($F35))*12 + MONTH(AV$2)-MONTH($F35)) / 12),
  0)</f>
        <v/>
      </c>
      <c r="AW35" s="299">
        <f>IF(AND($F35&lt;=AW$2, OR($G35="",$G35&gt;=AW$2)),
  $H35 * (1 + Assumptions!$C$7) ^ INT(((YEAR(AW$2)-YEAR($F35))*12 + MONTH(AW$2)-MONTH($F35)) / 12),
  0)</f>
        <v/>
      </c>
      <c r="AX35" s="299">
        <f>IF(AND($F35&lt;=AX$2, OR($G35="",$G35&gt;=AX$2)),
  $H35 * (1 + Assumptions!$C$7) ^ INT(((YEAR(AX$2)-YEAR($F35))*12 + MONTH(AX$2)-MONTH($F35)) / 12),
  0)</f>
        <v/>
      </c>
      <c r="AY35" s="299">
        <f>IF(AND($F35&lt;=AY$2, OR($G35="",$G35&gt;=AY$2)),
  $H35 * (1 + Assumptions!$C$7) ^ INT(((YEAR(AY$2)-YEAR($F35))*12 + MONTH(AY$2)-MONTH($F35)) / 12),
  0)</f>
        <v/>
      </c>
      <c r="AZ35" s="299">
        <f>IF(AND($F35&lt;=AZ$2, OR($G35="",$G35&gt;=AZ$2)),
  $H35 * (1 + Assumptions!$C$7) ^ INT(((YEAR(AZ$2)-YEAR($F35))*12 + MONTH(AZ$2)-MONTH($F35)) / 12),
  0)</f>
        <v/>
      </c>
      <c r="BA35" s="299">
        <f>IF(AND($F35&lt;=BA$2, OR($G35="",$G35&gt;=BA$2)),
  $H35 * (1 + Assumptions!$C$7) ^ INT(((YEAR(BA$2)-YEAR($F35))*12 + MONTH(BA$2)-MONTH($F35)) / 12),
  0)</f>
        <v/>
      </c>
      <c r="BB35" s="299">
        <f>IF(AND($F35&lt;=BB$2, OR($G35="",$G35&gt;=BB$2)),
  $H35 * (1 + Assumptions!$C$7) ^ INT(((YEAR(BB$2)-YEAR($F35))*12 + MONTH(BB$2)-MONTH($F35)) / 12),
  0)</f>
        <v/>
      </c>
      <c r="BC35" s="299">
        <f>IF(AND($F35&lt;=BC$2, OR($G35="",$G35&gt;=BC$2)),
  $H35 * (1 + Assumptions!$C$7) ^ INT(((YEAR(BC$2)-YEAR($F35))*12 + MONTH(BC$2)-MONTH($F35)) / 12),
  0)</f>
        <v/>
      </c>
      <c r="BD35" s="299">
        <f>IF(AND($F35&lt;=BD$2, OR($G35="",$G35&gt;=BD$2)),
  $H35 * (1 + Assumptions!$C$7) ^ INT(((YEAR(BD$2)-YEAR($F35))*12 + MONTH(BD$2)-MONTH($F35)) / 12),
  0)</f>
        <v/>
      </c>
      <c r="BE35" s="299">
        <f>IF(AND($F35&lt;=BE$2, OR($G35="",$G35&gt;=BE$2)),
  $H35 * (1 + Assumptions!$C$7) ^ INT(((YEAR(BE$2)-YEAR($F35))*12 + MONTH(BE$2)-MONTH($F35)) / 12),
  0)</f>
        <v/>
      </c>
      <c r="BF35" s="299">
        <f>IF(AND($F35&lt;=BF$2, OR($G35="",$G35&gt;=BF$2)),
  $H35 * (1 + Assumptions!$C$7) ^ INT(((YEAR(BF$2)-YEAR($F35))*12 + MONTH(BF$2)-MONTH($F35)) / 12),
  0)</f>
        <v/>
      </c>
      <c r="BG35" s="299">
        <f>IF(AND($F35&lt;=BG$2, OR($G35="",$G35&gt;=BG$2)),
  $H35 * (1 + Assumptions!$C$7) ^ INT(((YEAR(BG$2)-YEAR($F35))*12 + MONTH(BG$2)-MONTH($F35)) / 12),
  0)</f>
        <v/>
      </c>
      <c r="BH35" s="299">
        <f>IF(AND($F35&lt;=BH$2, OR($G35="",$G35&gt;=BH$2)),
  $H35 * (1 + Assumptions!$C$7) ^ INT(((YEAR(BH$2)-YEAR($F35))*12 + MONTH(BH$2)-MONTH($F35)) / 12),
  0)</f>
        <v/>
      </c>
      <c r="BI35" s="299">
        <f>IF(AND($F35&lt;=BI$2, OR($G35="",$G35&gt;=BI$2)),
  $H35 * (1 + Assumptions!$C$7) ^ INT(((YEAR(BI$2)-YEAR($F35))*12 + MONTH(BI$2)-MONTH($F35)) / 12),
  0)</f>
        <v/>
      </c>
      <c r="BJ35" s="299">
        <f>IF(AND($F35&lt;=BJ$2, OR($G35="",$G35&gt;=BJ$2)),
  $H35 * (1 + Assumptions!$C$7) ^ INT(((YEAR(BJ$2)-YEAR($F35))*12 + MONTH(BJ$2)-MONTH($F35)) / 12),
  0)</f>
        <v/>
      </c>
      <c r="BK35" s="299">
        <f>IF(AND($F35&lt;=BK$2, OR($G35="",$G35&gt;=BK$2)),
  $H35 * (1 + Assumptions!$C$7) ^ INT(((YEAR(BK$2)-YEAR($F35))*12 + MONTH(BK$2)-MONTH($F35)) / 12),
  0)</f>
        <v/>
      </c>
      <c r="BL35" s="299">
        <f>IF(AND($F35&lt;=BL$2, OR($G35="",$G35&gt;=BL$2)),
  $H35 * (1 + Assumptions!$C$7) ^ INT(((YEAR(BL$2)-YEAR($F35))*12 + MONTH(BL$2)-MONTH($F35)) / 12),
  0)</f>
        <v/>
      </c>
      <c r="BM35" s="299">
        <f>IF(AND($F35&lt;=BM$2, OR($G35="",$G35&gt;=BM$2)),
  $H35 * (1 + Assumptions!$C$7) ^ INT(((YEAR(BM$2)-YEAR($F35))*12 + MONTH(BM$2)-MONTH($F35)) / 12),
  0)</f>
        <v/>
      </c>
      <c r="BN35" s="299">
        <f>IF(AND($F35&lt;=BN$2, OR($G35="",$G35&gt;=BN$2)),
  $H35 * (1 + Assumptions!$C$7) ^ INT(((YEAR(BN$2)-YEAR($F35))*12 + MONTH(BN$2)-MONTH($F35)) / 12),
  0)</f>
        <v/>
      </c>
      <c r="BO35" s="299">
        <f>IF(AND($F35&lt;=BO$2, OR($G35="",$G35&gt;=BO$2)),
  $H35 * (1 + Assumptions!$C$7) ^ INT(((YEAR(BO$2)-YEAR($F35))*12 + MONTH(BO$2)-MONTH($F35)) / 12),
  0)</f>
        <v/>
      </c>
      <c r="BP35" s="299">
        <f>IF(AND($F35&lt;=BP$2, OR($G35="",$G35&gt;=BP$2)),
  $H35 * (1 + Assumptions!$C$7) ^ INT(((YEAR(BP$2)-YEAR($F35))*12 + MONTH(BP$2)-MONTH($F35)) / 12),
  0)</f>
        <v/>
      </c>
      <c r="BQ35" s="307" t="n"/>
      <c r="BR35" s="83" t="inlineStr">
        <is>
          <t>paid this month if started and not yet left; +8% on each work anniversary</t>
        </is>
      </c>
      <c r="BS35" s="307" t="n"/>
      <c r="BT35" s="307" t="n"/>
    </row>
    <row r="36" ht="15.75" customHeight="1" s="349">
      <c r="A36" s="321" t="n">
        <v>31</v>
      </c>
      <c r="B36" s="285" t="inlineStr">
        <is>
          <t>New hire</t>
        </is>
      </c>
      <c r="C36" s="23" t="inlineStr">
        <is>
          <t>S&amp;M</t>
        </is>
      </c>
      <c r="D36" s="321" t="inlineStr">
        <is>
          <t>Account Manager</t>
        </is>
      </c>
      <c r="E36" s="297" t="inlineStr">
        <is>
          <t>Planned</t>
        </is>
      </c>
      <c r="F36" s="318">
        <f>IF(Assumptions!$D$82=2,DATE(2028,1,3),DATE(2028,6,4))</f>
        <v/>
      </c>
      <c r="G36" s="319" t="n"/>
      <c r="H36" s="288" t="n">
        <v>8000</v>
      </c>
      <c r="I36" s="299">
        <f>IF(AND($F36&lt;=I$2, OR($G36="",$G36&gt;=I$2)),
  $H36 * (1 + Assumptions!$C$7) ^ INT(((YEAR(I$2)-YEAR($F36))*12 + MONTH(I$2)-MONTH($F36)) / 12),
  0)</f>
        <v/>
      </c>
      <c r="J36" s="299">
        <f>IF(AND($F36&lt;=J$2, OR($G36="",$G36&gt;=J$2)),
  $H36 * (1 + Assumptions!$C$7) ^ INT(((YEAR(J$2)-YEAR($F36))*12 + MONTH(J$2)-MONTH($F36)) / 12),
  0)</f>
        <v/>
      </c>
      <c r="K36" s="299">
        <f>IF(AND($F36&lt;=K$2, OR($G36="",$G36&gt;=K$2)),
  $H36 * (1 + Assumptions!$C$7) ^ INT(((YEAR(K$2)-YEAR($F36))*12 + MONTH(K$2)-MONTH($F36)) / 12),
  0)</f>
        <v/>
      </c>
      <c r="L36" s="299">
        <f>IF(AND($F36&lt;=L$2, OR($G36="",$G36&gt;=L$2)),
  $H36 * (1 + Assumptions!$C$7) ^ INT(((YEAR(L$2)-YEAR($F36))*12 + MONTH(L$2)-MONTH($F36)) / 12),
  0)</f>
        <v/>
      </c>
      <c r="M36" s="299">
        <f>IF(AND($F36&lt;=M$2, OR($G36="",$G36&gt;=M$2)),
  $H36 * (1 + Assumptions!$C$7) ^ INT(((YEAR(M$2)-YEAR($F36))*12 + MONTH(M$2)-MONTH($F36)) / 12),
  0)</f>
        <v/>
      </c>
      <c r="N36" s="299">
        <f>IF(AND($F36&lt;=N$2, OR($G36="",$G36&gt;=N$2)),
  $H36 * (1 + Assumptions!$C$7) ^ INT(((YEAR(N$2)-YEAR($F36))*12 + MONTH(N$2)-MONTH($F36)) / 12),
  0)</f>
        <v/>
      </c>
      <c r="O36" s="299">
        <f>IF(AND($F36&lt;=O$2, OR($G36="",$G36&gt;=O$2)),
  $H36 * (1 + Assumptions!$C$7) ^ INT(((YEAR(O$2)-YEAR($F36))*12 + MONTH(O$2)-MONTH($F36)) / 12),
  0)</f>
        <v/>
      </c>
      <c r="P36" s="299">
        <f>IF(AND($F36&lt;=P$2, OR($G36="",$G36&gt;=P$2)),
  $H36 * (1 + Assumptions!$C$7) ^ INT(((YEAR(P$2)-YEAR($F36))*12 + MONTH(P$2)-MONTH($F36)) / 12),
  0)</f>
        <v/>
      </c>
      <c r="Q36" s="299">
        <f>IF(AND($F36&lt;=Q$2, OR($G36="",$G36&gt;=Q$2)),
  $H36 * (1 + Assumptions!$C$7) ^ INT(((YEAR(Q$2)-YEAR($F36))*12 + MONTH(Q$2)-MONTH($F36)) / 12),
  0)</f>
        <v/>
      </c>
      <c r="R36" s="299">
        <f>IF(AND($F36&lt;=R$2, OR($G36="",$G36&gt;=R$2)),
  $H36 * (1 + Assumptions!$C$7) ^ INT(((YEAR(R$2)-YEAR($F36))*12 + MONTH(R$2)-MONTH($F36)) / 12),
  0)</f>
        <v/>
      </c>
      <c r="S36" s="299">
        <f>IF(AND($F36&lt;=S$2, OR($G36="",$G36&gt;=S$2)),
  $H36 * (1 + Assumptions!$C$7) ^ INT(((YEAR(S$2)-YEAR($F36))*12 + MONTH(S$2)-MONTH($F36)) / 12),
  0)</f>
        <v/>
      </c>
      <c r="T36" s="299">
        <f>IF(AND($F36&lt;=T$2, OR($G36="",$G36&gt;=T$2)),
  $H36 * (1 + Assumptions!$C$7) ^ INT(((YEAR(T$2)-YEAR($F36))*12 + MONTH(T$2)-MONTH($F36)) / 12),
  0)</f>
        <v/>
      </c>
      <c r="U36" s="299">
        <f>IF(AND($F36&lt;=U$2, OR($G36="",$G36&gt;=U$2)),
  $H36 * (1 + Assumptions!$C$7) ^ INT(((YEAR(U$2)-YEAR($F36))*12 + MONTH(U$2)-MONTH($F36)) / 12),
  0)</f>
        <v/>
      </c>
      <c r="V36" s="299">
        <f>IF(AND($F36&lt;=V$2, OR($G36="",$G36&gt;=V$2)),
  $H36 * (1 + Assumptions!$C$7) ^ INT(((YEAR(V$2)-YEAR($F36))*12 + MONTH(V$2)-MONTH($F36)) / 12),
  0)</f>
        <v/>
      </c>
      <c r="W36" s="299">
        <f>IF(AND($F36&lt;=W$2, OR($G36="",$G36&gt;=W$2)),
  $H36 * (1 + Assumptions!$C$7) ^ INT(((YEAR(W$2)-YEAR($F36))*12 + MONTH(W$2)-MONTH($F36)) / 12),
  0)</f>
        <v/>
      </c>
      <c r="X36" s="299">
        <f>IF(AND($F36&lt;=X$2, OR($G36="",$G36&gt;=X$2)),
  $H36 * (1 + Assumptions!$C$7) ^ INT(((YEAR(X$2)-YEAR($F36))*12 + MONTH(X$2)-MONTH($F36)) / 12),
  0)</f>
        <v/>
      </c>
      <c r="Y36" s="299">
        <f>IF(AND($F36&lt;=Y$2, OR($G36="",$G36&gt;=Y$2)),
  $H36 * (1 + Assumptions!$C$7) ^ INT(((YEAR(Y$2)-YEAR($F36))*12 + MONTH(Y$2)-MONTH($F36)) / 12),
  0)</f>
        <v/>
      </c>
      <c r="Z36" s="299">
        <f>IF(AND($F36&lt;=Z$2, OR($G36="",$G36&gt;=Z$2)),
  $H36 * (1 + Assumptions!$C$7) ^ INT(((YEAR(Z$2)-YEAR($F36))*12 + MONTH(Z$2)-MONTH($F36)) / 12),
  0)</f>
        <v/>
      </c>
      <c r="AA36" s="299">
        <f>IF(AND($F36&lt;=AA$2, OR($G36="",$G36&gt;=AA$2)),
  $H36 * (1 + Assumptions!$C$7) ^ INT(((YEAR(AA$2)-YEAR($F36))*12 + MONTH(AA$2)-MONTH($F36)) / 12),
  0)</f>
        <v/>
      </c>
      <c r="AB36" s="299">
        <f>IF(AND($F36&lt;=AB$2, OR($G36="",$G36&gt;=AB$2)),
  $H36 * (1 + Assumptions!$C$7) ^ INT(((YEAR(AB$2)-YEAR($F36))*12 + MONTH(AB$2)-MONTH($F36)) / 12),
  0)</f>
        <v/>
      </c>
      <c r="AC36" s="299">
        <f>IF(AND($F36&lt;=AC$2, OR($G36="",$G36&gt;=AC$2)),
  $H36 * (1 + Assumptions!$C$7) ^ INT(((YEAR(AC$2)-YEAR($F36))*12 + MONTH(AC$2)-MONTH($F36)) / 12),
  0)</f>
        <v/>
      </c>
      <c r="AD36" s="299">
        <f>IF(AND($F36&lt;=AD$2, OR($G36="",$G36&gt;=AD$2)),
  $H36 * (1 + Assumptions!$C$7) ^ INT(((YEAR(AD$2)-YEAR($F36))*12 + MONTH(AD$2)-MONTH($F36)) / 12),
  0)</f>
        <v/>
      </c>
      <c r="AE36" s="299">
        <f>IF(AND($F36&lt;=AE$2, OR($G36="",$G36&gt;=AE$2)),
  $H36 * (1 + Assumptions!$C$7) ^ INT(((YEAR(AE$2)-YEAR($F36))*12 + MONTH(AE$2)-MONTH($F36)) / 12),
  0)</f>
        <v/>
      </c>
      <c r="AF36" s="299">
        <f>IF(AND($F36&lt;=AF$2, OR($G36="",$G36&gt;=AF$2)),
  $H36 * (1 + Assumptions!$C$7) ^ INT(((YEAR(AF$2)-YEAR($F36))*12 + MONTH(AF$2)-MONTH($F36)) / 12),
  0)</f>
        <v/>
      </c>
      <c r="AG36" s="299">
        <f>IF(AND($F36&lt;=AG$2, OR($G36="",$G36&gt;=AG$2)),
  $H36 * (1 + Assumptions!$C$7) ^ INT(((YEAR(AG$2)-YEAR($F36))*12 + MONTH(AG$2)-MONTH($F36)) / 12),
  0)</f>
        <v/>
      </c>
      <c r="AH36" s="299">
        <f>IF(AND($F36&lt;=AH$2, OR($G36="",$G36&gt;=AH$2)),
  $H36 * (1 + Assumptions!$C$7) ^ INT(((YEAR(AH$2)-YEAR($F36))*12 + MONTH(AH$2)-MONTH($F36)) / 12),
  0)</f>
        <v/>
      </c>
      <c r="AI36" s="299">
        <f>IF(AND($F36&lt;=AI$2, OR($G36="",$G36&gt;=AI$2)),
  $H36 * (1 + Assumptions!$C$7) ^ INT(((YEAR(AI$2)-YEAR($F36))*12 + MONTH(AI$2)-MONTH($F36)) / 12),
  0)</f>
        <v/>
      </c>
      <c r="AJ36" s="299">
        <f>IF(AND($F36&lt;=AJ$2, OR($G36="",$G36&gt;=AJ$2)),
  $H36 * (1 + Assumptions!$C$7) ^ INT(((YEAR(AJ$2)-YEAR($F36))*12 + MONTH(AJ$2)-MONTH($F36)) / 12),
  0)</f>
        <v/>
      </c>
      <c r="AK36" s="299">
        <f>IF(AND($F36&lt;=AK$2, OR($G36="",$G36&gt;=AK$2)),
  $H36 * (1 + Assumptions!$C$7) ^ INT(((YEAR(AK$2)-YEAR($F36))*12 + MONTH(AK$2)-MONTH($F36)) / 12),
  0)</f>
        <v/>
      </c>
      <c r="AL36" s="299">
        <f>IF(AND($F36&lt;=AL$2, OR($G36="",$G36&gt;=AL$2)),
  $H36 * (1 + Assumptions!$C$7) ^ INT(((YEAR(AL$2)-YEAR($F36))*12 + MONTH(AL$2)-MONTH($F36)) / 12),
  0)</f>
        <v/>
      </c>
      <c r="AM36" s="299">
        <f>IF(AND($F36&lt;=AM$2, OR($G36="",$G36&gt;=AM$2)),
  $H36 * (1 + Assumptions!$C$7) ^ INT(((YEAR(AM$2)-YEAR($F36))*12 + MONTH(AM$2)-MONTH($F36)) / 12),
  0)</f>
        <v/>
      </c>
      <c r="AN36" s="299">
        <f>IF(AND($F36&lt;=AN$2, OR($G36="",$G36&gt;=AN$2)),
  $H36 * (1 + Assumptions!$C$7) ^ INT(((YEAR(AN$2)-YEAR($F36))*12 + MONTH(AN$2)-MONTH($F36)) / 12),
  0)</f>
        <v/>
      </c>
      <c r="AO36" s="299">
        <f>IF(AND($F36&lt;=AO$2, OR($G36="",$G36&gt;=AO$2)),
  $H36 * (1 + Assumptions!$C$7) ^ INT(((YEAR(AO$2)-YEAR($F36))*12 + MONTH(AO$2)-MONTH($F36)) / 12),
  0)</f>
        <v/>
      </c>
      <c r="AP36" s="299">
        <f>IF(AND($F36&lt;=AP$2, OR($G36="",$G36&gt;=AP$2)),
  $H36 * (1 + Assumptions!$C$7) ^ INT(((YEAR(AP$2)-YEAR($F36))*12 + MONTH(AP$2)-MONTH($F36)) / 12),
  0)</f>
        <v/>
      </c>
      <c r="AQ36" s="299">
        <f>IF(AND($F36&lt;=AQ$2, OR($G36="",$G36&gt;=AQ$2)),
  $H36 * (1 + Assumptions!$C$7) ^ INT(((YEAR(AQ$2)-YEAR($F36))*12 + MONTH(AQ$2)-MONTH($F36)) / 12),
  0)</f>
        <v/>
      </c>
      <c r="AR36" s="299">
        <f>IF(AND($F36&lt;=AR$2, OR($G36="",$G36&gt;=AR$2)),
  $H36 * (1 + Assumptions!$C$7) ^ INT(((YEAR(AR$2)-YEAR($F36))*12 + MONTH(AR$2)-MONTH($F36)) / 12),
  0)</f>
        <v/>
      </c>
      <c r="AS36" s="299">
        <f>IF(AND($F36&lt;=AS$2, OR($G36="",$G36&gt;=AS$2)),
  $H36 * (1 + Assumptions!$C$7) ^ INT(((YEAR(AS$2)-YEAR($F36))*12 + MONTH(AS$2)-MONTH($F36)) / 12),
  0)</f>
        <v/>
      </c>
      <c r="AT36" s="299">
        <f>IF(AND($F36&lt;=AT$2, OR($G36="",$G36&gt;=AT$2)),
  $H36 * (1 + Assumptions!$C$7) ^ INT(((YEAR(AT$2)-YEAR($F36))*12 + MONTH(AT$2)-MONTH($F36)) / 12),
  0)</f>
        <v/>
      </c>
      <c r="AU36" s="299">
        <f>IF(AND($F36&lt;=AU$2, OR($G36="",$G36&gt;=AU$2)),
  $H36 * (1 + Assumptions!$C$7) ^ INT(((YEAR(AU$2)-YEAR($F36))*12 + MONTH(AU$2)-MONTH($F36)) / 12),
  0)</f>
        <v/>
      </c>
      <c r="AV36" s="299">
        <f>IF(AND($F36&lt;=AV$2, OR($G36="",$G36&gt;=AV$2)),
  $H36 * (1 + Assumptions!$C$7) ^ INT(((YEAR(AV$2)-YEAR($F36))*12 + MONTH(AV$2)-MONTH($F36)) / 12),
  0)</f>
        <v/>
      </c>
      <c r="AW36" s="299">
        <f>IF(AND($F36&lt;=AW$2, OR($G36="",$G36&gt;=AW$2)),
  $H36 * (1 + Assumptions!$C$7) ^ INT(((YEAR(AW$2)-YEAR($F36))*12 + MONTH(AW$2)-MONTH($F36)) / 12),
  0)</f>
        <v/>
      </c>
      <c r="AX36" s="299">
        <f>IF(AND($F36&lt;=AX$2, OR($G36="",$G36&gt;=AX$2)),
  $H36 * (1 + Assumptions!$C$7) ^ INT(((YEAR(AX$2)-YEAR($F36))*12 + MONTH(AX$2)-MONTH($F36)) / 12),
  0)</f>
        <v/>
      </c>
      <c r="AY36" s="299">
        <f>IF(AND($F36&lt;=AY$2, OR($G36="",$G36&gt;=AY$2)),
  $H36 * (1 + Assumptions!$C$7) ^ INT(((YEAR(AY$2)-YEAR($F36))*12 + MONTH(AY$2)-MONTH($F36)) / 12),
  0)</f>
        <v/>
      </c>
      <c r="AZ36" s="299">
        <f>IF(AND($F36&lt;=AZ$2, OR($G36="",$G36&gt;=AZ$2)),
  $H36 * (1 + Assumptions!$C$7) ^ INT(((YEAR(AZ$2)-YEAR($F36))*12 + MONTH(AZ$2)-MONTH($F36)) / 12),
  0)</f>
        <v/>
      </c>
      <c r="BA36" s="299">
        <f>IF(AND($F36&lt;=BA$2, OR($G36="",$G36&gt;=BA$2)),
  $H36 * (1 + Assumptions!$C$7) ^ INT(((YEAR(BA$2)-YEAR($F36))*12 + MONTH(BA$2)-MONTH($F36)) / 12),
  0)</f>
        <v/>
      </c>
      <c r="BB36" s="299">
        <f>IF(AND($F36&lt;=BB$2, OR($G36="",$G36&gt;=BB$2)),
  $H36 * (1 + Assumptions!$C$7) ^ INT(((YEAR(BB$2)-YEAR($F36))*12 + MONTH(BB$2)-MONTH($F36)) / 12),
  0)</f>
        <v/>
      </c>
      <c r="BC36" s="299">
        <f>IF(AND($F36&lt;=BC$2, OR($G36="",$G36&gt;=BC$2)),
  $H36 * (1 + Assumptions!$C$7) ^ INT(((YEAR(BC$2)-YEAR($F36))*12 + MONTH(BC$2)-MONTH($F36)) / 12),
  0)</f>
        <v/>
      </c>
      <c r="BD36" s="299">
        <f>IF(AND($F36&lt;=BD$2, OR($G36="",$G36&gt;=BD$2)),
  $H36 * (1 + Assumptions!$C$7) ^ INT(((YEAR(BD$2)-YEAR($F36))*12 + MONTH(BD$2)-MONTH($F36)) / 12),
  0)</f>
        <v/>
      </c>
      <c r="BE36" s="299">
        <f>IF(AND($F36&lt;=BE$2, OR($G36="",$G36&gt;=BE$2)),
  $H36 * (1 + Assumptions!$C$7) ^ INT(((YEAR(BE$2)-YEAR($F36))*12 + MONTH(BE$2)-MONTH($F36)) / 12),
  0)</f>
        <v/>
      </c>
      <c r="BF36" s="299">
        <f>IF(AND($F36&lt;=BF$2, OR($G36="",$G36&gt;=BF$2)),
  $H36 * (1 + Assumptions!$C$7) ^ INT(((YEAR(BF$2)-YEAR($F36))*12 + MONTH(BF$2)-MONTH($F36)) / 12),
  0)</f>
        <v/>
      </c>
      <c r="BG36" s="299">
        <f>IF(AND($F36&lt;=BG$2, OR($G36="",$G36&gt;=BG$2)),
  $H36 * (1 + Assumptions!$C$7) ^ INT(((YEAR(BG$2)-YEAR($F36))*12 + MONTH(BG$2)-MONTH($F36)) / 12),
  0)</f>
        <v/>
      </c>
      <c r="BH36" s="299">
        <f>IF(AND($F36&lt;=BH$2, OR($G36="",$G36&gt;=BH$2)),
  $H36 * (1 + Assumptions!$C$7) ^ INT(((YEAR(BH$2)-YEAR($F36))*12 + MONTH(BH$2)-MONTH($F36)) / 12),
  0)</f>
        <v/>
      </c>
      <c r="BI36" s="299">
        <f>IF(AND($F36&lt;=BI$2, OR($G36="",$G36&gt;=BI$2)),
  $H36 * (1 + Assumptions!$C$7) ^ INT(((YEAR(BI$2)-YEAR($F36))*12 + MONTH(BI$2)-MONTH($F36)) / 12),
  0)</f>
        <v/>
      </c>
      <c r="BJ36" s="299">
        <f>IF(AND($F36&lt;=BJ$2, OR($G36="",$G36&gt;=BJ$2)),
  $H36 * (1 + Assumptions!$C$7) ^ INT(((YEAR(BJ$2)-YEAR($F36))*12 + MONTH(BJ$2)-MONTH($F36)) / 12),
  0)</f>
        <v/>
      </c>
      <c r="BK36" s="299">
        <f>IF(AND($F36&lt;=BK$2, OR($G36="",$G36&gt;=BK$2)),
  $H36 * (1 + Assumptions!$C$7) ^ INT(((YEAR(BK$2)-YEAR($F36))*12 + MONTH(BK$2)-MONTH($F36)) / 12),
  0)</f>
        <v/>
      </c>
      <c r="BL36" s="299">
        <f>IF(AND($F36&lt;=BL$2, OR($G36="",$G36&gt;=BL$2)),
  $H36 * (1 + Assumptions!$C$7) ^ INT(((YEAR(BL$2)-YEAR($F36))*12 + MONTH(BL$2)-MONTH($F36)) / 12),
  0)</f>
        <v/>
      </c>
      <c r="BM36" s="299">
        <f>IF(AND($F36&lt;=BM$2, OR($G36="",$G36&gt;=BM$2)),
  $H36 * (1 + Assumptions!$C$7) ^ INT(((YEAR(BM$2)-YEAR($F36))*12 + MONTH(BM$2)-MONTH($F36)) / 12),
  0)</f>
        <v/>
      </c>
      <c r="BN36" s="299">
        <f>IF(AND($F36&lt;=BN$2, OR($G36="",$G36&gt;=BN$2)),
  $H36 * (1 + Assumptions!$C$7) ^ INT(((YEAR(BN$2)-YEAR($F36))*12 + MONTH(BN$2)-MONTH($F36)) / 12),
  0)</f>
        <v/>
      </c>
      <c r="BO36" s="299">
        <f>IF(AND($F36&lt;=BO$2, OR($G36="",$G36&gt;=BO$2)),
  $H36 * (1 + Assumptions!$C$7) ^ INT(((YEAR(BO$2)-YEAR($F36))*12 + MONTH(BO$2)-MONTH($F36)) / 12),
  0)</f>
        <v/>
      </c>
      <c r="BP36" s="299">
        <f>IF(AND($F36&lt;=BP$2, OR($G36="",$G36&gt;=BP$2)),
  $H36 * (1 + Assumptions!$C$7) ^ INT(((YEAR(BP$2)-YEAR($F36))*12 + MONTH(BP$2)-MONTH($F36)) / 12),
  0)</f>
        <v/>
      </c>
      <c r="BQ36" s="307" t="n"/>
      <c r="BR36" s="83" t="inlineStr">
        <is>
          <t>paid this month if started and not yet left; +8% on each work anniversary</t>
        </is>
      </c>
      <c r="BS36" s="307" t="n"/>
      <c r="BT36" s="307" t="n"/>
    </row>
    <row r="37" ht="15.75" customHeight="1" s="349">
      <c r="A37" s="321" t="n">
        <v>32</v>
      </c>
      <c r="B37" s="285" t="inlineStr">
        <is>
          <t>New hire</t>
        </is>
      </c>
      <c r="C37" s="317" t="inlineStr">
        <is>
          <t>G&amp;A</t>
        </is>
      </c>
      <c r="D37" s="321" t="inlineStr">
        <is>
          <t>Logistics</t>
        </is>
      </c>
      <c r="E37" s="297" t="inlineStr">
        <is>
          <t>Planned</t>
        </is>
      </c>
      <c r="F37" s="318">
        <f>IF(Assumptions!$D$82=2,DATE(2028,1,1),DATE(2028,10,1))</f>
        <v/>
      </c>
      <c r="G37" s="319" t="n"/>
      <c r="H37" s="288" t="n">
        <v>6500</v>
      </c>
      <c r="I37" s="299">
        <f>IF(AND($F37&lt;=I$2, OR($G37="",$G37&gt;=I$2)),
  $H37 * (1 + Assumptions!$C$7) ^ INT(((YEAR(I$2)-YEAR($F37))*12 + MONTH(I$2)-MONTH($F37)) / 12),
  0)</f>
        <v/>
      </c>
      <c r="J37" s="299">
        <f>IF(AND($F37&lt;=J$2, OR($G37="",$G37&gt;=J$2)),
  $H37 * (1 + Assumptions!$C$7) ^ INT(((YEAR(J$2)-YEAR($F37))*12 + MONTH(J$2)-MONTH($F37)) / 12),
  0)</f>
        <v/>
      </c>
      <c r="K37" s="299">
        <f>IF(AND($F37&lt;=K$2, OR($G37="",$G37&gt;=K$2)),
  $H37 * (1 + Assumptions!$C$7) ^ INT(((YEAR(K$2)-YEAR($F37))*12 + MONTH(K$2)-MONTH($F37)) / 12),
  0)</f>
        <v/>
      </c>
      <c r="L37" s="299">
        <f>IF(AND($F37&lt;=L$2, OR($G37="",$G37&gt;=L$2)),
  $H37 * (1 + Assumptions!$C$7) ^ INT(((YEAR(L$2)-YEAR($F37))*12 + MONTH(L$2)-MONTH($F37)) / 12),
  0)</f>
        <v/>
      </c>
      <c r="M37" s="299">
        <f>IF(AND($F37&lt;=M$2, OR($G37="",$G37&gt;=M$2)),
  $H37 * (1 + Assumptions!$C$7) ^ INT(((YEAR(M$2)-YEAR($F37))*12 + MONTH(M$2)-MONTH($F37)) / 12),
  0)</f>
        <v/>
      </c>
      <c r="N37" s="299">
        <f>IF(AND($F37&lt;=N$2, OR($G37="",$G37&gt;=N$2)),
  $H37 * (1 + Assumptions!$C$7) ^ INT(((YEAR(N$2)-YEAR($F37))*12 + MONTH(N$2)-MONTH($F37)) / 12),
  0)</f>
        <v/>
      </c>
      <c r="O37" s="299">
        <f>IF(AND($F37&lt;=O$2, OR($G37="",$G37&gt;=O$2)),
  $H37 * (1 + Assumptions!$C$7) ^ INT(((YEAR(O$2)-YEAR($F37))*12 + MONTH(O$2)-MONTH($F37)) / 12),
  0)</f>
        <v/>
      </c>
      <c r="P37" s="299">
        <f>IF(AND($F37&lt;=P$2, OR($G37="",$G37&gt;=P$2)),
  $H37 * (1 + Assumptions!$C$7) ^ INT(((YEAR(P$2)-YEAR($F37))*12 + MONTH(P$2)-MONTH($F37)) / 12),
  0)</f>
        <v/>
      </c>
      <c r="Q37" s="299">
        <f>IF(AND($F37&lt;=Q$2, OR($G37="",$G37&gt;=Q$2)),
  $H37 * (1 + Assumptions!$C$7) ^ INT(((YEAR(Q$2)-YEAR($F37))*12 + MONTH(Q$2)-MONTH($F37)) / 12),
  0)</f>
        <v/>
      </c>
      <c r="R37" s="299">
        <f>IF(AND($F37&lt;=R$2, OR($G37="",$G37&gt;=R$2)),
  $H37 * (1 + Assumptions!$C$7) ^ INT(((YEAR(R$2)-YEAR($F37))*12 + MONTH(R$2)-MONTH($F37)) / 12),
  0)</f>
        <v/>
      </c>
      <c r="S37" s="299">
        <f>IF(AND($F37&lt;=S$2, OR($G37="",$G37&gt;=S$2)),
  $H37 * (1 + Assumptions!$C$7) ^ INT(((YEAR(S$2)-YEAR($F37))*12 + MONTH(S$2)-MONTH($F37)) / 12),
  0)</f>
        <v/>
      </c>
      <c r="T37" s="299">
        <f>IF(AND($F37&lt;=T$2, OR($G37="",$G37&gt;=T$2)),
  $H37 * (1 + Assumptions!$C$7) ^ INT(((YEAR(T$2)-YEAR($F37))*12 + MONTH(T$2)-MONTH($F37)) / 12),
  0)</f>
        <v/>
      </c>
      <c r="U37" s="299">
        <f>IF(AND($F37&lt;=U$2, OR($G37="",$G37&gt;=U$2)),
  $H37 * (1 + Assumptions!$C$7) ^ INT(((YEAR(U$2)-YEAR($F37))*12 + MONTH(U$2)-MONTH($F37)) / 12),
  0)</f>
        <v/>
      </c>
      <c r="V37" s="299">
        <f>IF(AND($F37&lt;=V$2, OR($G37="",$G37&gt;=V$2)),
  $H37 * (1 + Assumptions!$C$7) ^ INT(((YEAR(V$2)-YEAR($F37))*12 + MONTH(V$2)-MONTH($F37)) / 12),
  0)</f>
        <v/>
      </c>
      <c r="W37" s="299">
        <f>IF(AND($F37&lt;=W$2, OR($G37="",$G37&gt;=W$2)),
  $H37 * (1 + Assumptions!$C$7) ^ INT(((YEAR(W$2)-YEAR($F37))*12 + MONTH(W$2)-MONTH($F37)) / 12),
  0)</f>
        <v/>
      </c>
      <c r="X37" s="299">
        <f>IF(AND($F37&lt;=X$2, OR($G37="",$G37&gt;=X$2)),
  $H37 * (1 + Assumptions!$C$7) ^ INT(((YEAR(X$2)-YEAR($F37))*12 + MONTH(X$2)-MONTH($F37)) / 12),
  0)</f>
        <v/>
      </c>
      <c r="Y37" s="299">
        <f>IF(AND($F37&lt;=Y$2, OR($G37="",$G37&gt;=Y$2)),
  $H37 * (1 + Assumptions!$C$7) ^ INT(((YEAR(Y$2)-YEAR($F37))*12 + MONTH(Y$2)-MONTH($F37)) / 12),
  0)</f>
        <v/>
      </c>
      <c r="Z37" s="299">
        <f>IF(AND($F37&lt;=Z$2, OR($G37="",$G37&gt;=Z$2)),
  $H37 * (1 + Assumptions!$C$7) ^ INT(((YEAR(Z$2)-YEAR($F37))*12 + MONTH(Z$2)-MONTH($F37)) / 12),
  0)</f>
        <v/>
      </c>
      <c r="AA37" s="299">
        <f>IF(AND($F37&lt;=AA$2, OR($G37="",$G37&gt;=AA$2)),
  $H37 * (1 + Assumptions!$C$7) ^ INT(((YEAR(AA$2)-YEAR($F37))*12 + MONTH(AA$2)-MONTH($F37)) / 12),
  0)</f>
        <v/>
      </c>
      <c r="AB37" s="299">
        <f>IF(AND($F37&lt;=AB$2, OR($G37="",$G37&gt;=AB$2)),
  $H37 * (1 + Assumptions!$C$7) ^ INT(((YEAR(AB$2)-YEAR($F37))*12 + MONTH(AB$2)-MONTH($F37)) / 12),
  0)</f>
        <v/>
      </c>
      <c r="AC37" s="299">
        <f>IF(AND($F37&lt;=AC$2, OR($G37="",$G37&gt;=AC$2)),
  $H37 * (1 + Assumptions!$C$7) ^ INT(((YEAR(AC$2)-YEAR($F37))*12 + MONTH(AC$2)-MONTH($F37)) / 12),
  0)</f>
        <v/>
      </c>
      <c r="AD37" s="299">
        <f>IF(AND($F37&lt;=AD$2, OR($G37="",$G37&gt;=AD$2)),
  $H37 * (1 + Assumptions!$C$7) ^ INT(((YEAR(AD$2)-YEAR($F37))*12 + MONTH(AD$2)-MONTH($F37)) / 12),
  0)</f>
        <v/>
      </c>
      <c r="AE37" s="299">
        <f>IF(AND($F37&lt;=AE$2, OR($G37="",$G37&gt;=AE$2)),
  $H37 * (1 + Assumptions!$C$7) ^ INT(((YEAR(AE$2)-YEAR($F37))*12 + MONTH(AE$2)-MONTH($F37)) / 12),
  0)</f>
        <v/>
      </c>
      <c r="AF37" s="299">
        <f>IF(AND($F37&lt;=AF$2, OR($G37="",$G37&gt;=AF$2)),
  $H37 * (1 + Assumptions!$C$7) ^ INT(((YEAR(AF$2)-YEAR($F37))*12 + MONTH(AF$2)-MONTH($F37)) / 12),
  0)</f>
        <v/>
      </c>
      <c r="AG37" s="299">
        <f>IF(AND($F37&lt;=AG$2, OR($G37="",$G37&gt;=AG$2)),
  $H37 * (1 + Assumptions!$C$7) ^ INT(((YEAR(AG$2)-YEAR($F37))*12 + MONTH(AG$2)-MONTH($F37)) / 12),
  0)</f>
        <v/>
      </c>
      <c r="AH37" s="299">
        <f>IF(AND($F37&lt;=AH$2, OR($G37="",$G37&gt;=AH$2)),
  $H37 * (1 + Assumptions!$C$7) ^ INT(((YEAR(AH$2)-YEAR($F37))*12 + MONTH(AH$2)-MONTH($F37)) / 12),
  0)</f>
        <v/>
      </c>
      <c r="AI37" s="299">
        <f>IF(AND($F37&lt;=AI$2, OR($G37="",$G37&gt;=AI$2)),
  $H37 * (1 + Assumptions!$C$7) ^ INT(((YEAR(AI$2)-YEAR($F37))*12 + MONTH(AI$2)-MONTH($F37)) / 12),
  0)</f>
        <v/>
      </c>
      <c r="AJ37" s="299">
        <f>IF(AND($F37&lt;=AJ$2, OR($G37="",$G37&gt;=AJ$2)),
  $H37 * (1 + Assumptions!$C$7) ^ INT(((YEAR(AJ$2)-YEAR($F37))*12 + MONTH(AJ$2)-MONTH($F37)) / 12),
  0)</f>
        <v/>
      </c>
      <c r="AK37" s="299">
        <f>IF(AND($F37&lt;=AK$2, OR($G37="",$G37&gt;=AK$2)),
  $H37 * (1 + Assumptions!$C$7) ^ INT(((YEAR(AK$2)-YEAR($F37))*12 + MONTH(AK$2)-MONTH($F37)) / 12),
  0)</f>
        <v/>
      </c>
      <c r="AL37" s="299">
        <f>IF(AND($F37&lt;=AL$2, OR($G37="",$G37&gt;=AL$2)),
  $H37 * (1 + Assumptions!$C$7) ^ INT(((YEAR(AL$2)-YEAR($F37))*12 + MONTH(AL$2)-MONTH($F37)) / 12),
  0)</f>
        <v/>
      </c>
      <c r="AM37" s="299">
        <f>IF(AND($F37&lt;=AM$2, OR($G37="",$G37&gt;=AM$2)),
  $H37 * (1 + Assumptions!$C$7) ^ INT(((YEAR(AM$2)-YEAR($F37))*12 + MONTH(AM$2)-MONTH($F37)) / 12),
  0)</f>
        <v/>
      </c>
      <c r="AN37" s="299">
        <f>IF(AND($F37&lt;=AN$2, OR($G37="",$G37&gt;=AN$2)),
  $H37 * (1 + Assumptions!$C$7) ^ INT(((YEAR(AN$2)-YEAR($F37))*12 + MONTH(AN$2)-MONTH($F37)) / 12),
  0)</f>
        <v/>
      </c>
      <c r="AO37" s="299">
        <f>IF(AND($F37&lt;=AO$2, OR($G37="",$G37&gt;=AO$2)),
  $H37 * (1 + Assumptions!$C$7) ^ INT(((YEAR(AO$2)-YEAR($F37))*12 + MONTH(AO$2)-MONTH($F37)) / 12),
  0)</f>
        <v/>
      </c>
      <c r="AP37" s="299">
        <f>IF(AND($F37&lt;=AP$2, OR($G37="",$G37&gt;=AP$2)),
  $H37 * (1 + Assumptions!$C$7) ^ INT(((YEAR(AP$2)-YEAR($F37))*12 + MONTH(AP$2)-MONTH($F37)) / 12),
  0)</f>
        <v/>
      </c>
      <c r="AQ37" s="299">
        <f>IF(AND($F37&lt;=AQ$2, OR($G37="",$G37&gt;=AQ$2)),
  $H37 * (1 + Assumptions!$C$7) ^ INT(((YEAR(AQ$2)-YEAR($F37))*12 + MONTH(AQ$2)-MONTH($F37)) / 12),
  0)</f>
        <v/>
      </c>
      <c r="AR37" s="299">
        <f>IF(AND($F37&lt;=AR$2, OR($G37="",$G37&gt;=AR$2)),
  $H37 * (1 + Assumptions!$C$7) ^ INT(((YEAR(AR$2)-YEAR($F37))*12 + MONTH(AR$2)-MONTH($F37)) / 12),
  0)</f>
        <v/>
      </c>
      <c r="AS37" s="299">
        <f>IF(AND($F37&lt;=AS$2, OR($G37="",$G37&gt;=AS$2)),
  $H37 * (1 + Assumptions!$C$7) ^ INT(((YEAR(AS$2)-YEAR($F37))*12 + MONTH(AS$2)-MONTH($F37)) / 12),
  0)</f>
        <v/>
      </c>
      <c r="AT37" s="299">
        <f>IF(AND($F37&lt;=AT$2, OR($G37="",$G37&gt;=AT$2)),
  $H37 * (1 + Assumptions!$C$7) ^ INT(((YEAR(AT$2)-YEAR($F37))*12 + MONTH(AT$2)-MONTH($F37)) / 12),
  0)</f>
        <v/>
      </c>
      <c r="AU37" s="299">
        <f>IF(AND($F37&lt;=AU$2, OR($G37="",$G37&gt;=AU$2)),
  $H37 * (1 + Assumptions!$C$7) ^ INT(((YEAR(AU$2)-YEAR($F37))*12 + MONTH(AU$2)-MONTH($F37)) / 12),
  0)</f>
        <v/>
      </c>
      <c r="AV37" s="299">
        <f>IF(AND($F37&lt;=AV$2, OR($G37="",$G37&gt;=AV$2)),
  $H37 * (1 + Assumptions!$C$7) ^ INT(((YEAR(AV$2)-YEAR($F37))*12 + MONTH(AV$2)-MONTH($F37)) / 12),
  0)</f>
        <v/>
      </c>
      <c r="AW37" s="299">
        <f>IF(AND($F37&lt;=AW$2, OR($G37="",$G37&gt;=AW$2)),
  $H37 * (1 + Assumptions!$C$7) ^ INT(((YEAR(AW$2)-YEAR($F37))*12 + MONTH(AW$2)-MONTH($F37)) / 12),
  0)</f>
        <v/>
      </c>
      <c r="AX37" s="299">
        <f>IF(AND($F37&lt;=AX$2, OR($G37="",$G37&gt;=AX$2)),
  $H37 * (1 + Assumptions!$C$7) ^ INT(((YEAR(AX$2)-YEAR($F37))*12 + MONTH(AX$2)-MONTH($F37)) / 12),
  0)</f>
        <v/>
      </c>
      <c r="AY37" s="299">
        <f>IF(AND($F37&lt;=AY$2, OR($G37="",$G37&gt;=AY$2)),
  $H37 * (1 + Assumptions!$C$7) ^ INT(((YEAR(AY$2)-YEAR($F37))*12 + MONTH(AY$2)-MONTH($F37)) / 12),
  0)</f>
        <v/>
      </c>
      <c r="AZ37" s="299">
        <f>IF(AND($F37&lt;=AZ$2, OR($G37="",$G37&gt;=AZ$2)),
  $H37 * (1 + Assumptions!$C$7) ^ INT(((YEAR(AZ$2)-YEAR($F37))*12 + MONTH(AZ$2)-MONTH($F37)) / 12),
  0)</f>
        <v/>
      </c>
      <c r="BA37" s="299">
        <f>IF(AND($F37&lt;=BA$2, OR($G37="",$G37&gt;=BA$2)),
  $H37 * (1 + Assumptions!$C$7) ^ INT(((YEAR(BA$2)-YEAR($F37))*12 + MONTH(BA$2)-MONTH($F37)) / 12),
  0)</f>
        <v/>
      </c>
      <c r="BB37" s="299">
        <f>IF(AND($F37&lt;=BB$2, OR($G37="",$G37&gt;=BB$2)),
  $H37 * (1 + Assumptions!$C$7) ^ INT(((YEAR(BB$2)-YEAR($F37))*12 + MONTH(BB$2)-MONTH($F37)) / 12),
  0)</f>
        <v/>
      </c>
      <c r="BC37" s="299">
        <f>IF(AND($F37&lt;=BC$2, OR($G37="",$G37&gt;=BC$2)),
  $H37 * (1 + Assumptions!$C$7) ^ INT(((YEAR(BC$2)-YEAR($F37))*12 + MONTH(BC$2)-MONTH($F37)) / 12),
  0)</f>
        <v/>
      </c>
      <c r="BD37" s="299">
        <f>IF(AND($F37&lt;=BD$2, OR($G37="",$G37&gt;=BD$2)),
  $H37 * (1 + Assumptions!$C$7) ^ INT(((YEAR(BD$2)-YEAR($F37))*12 + MONTH(BD$2)-MONTH($F37)) / 12),
  0)</f>
        <v/>
      </c>
      <c r="BE37" s="299">
        <f>IF(AND($F37&lt;=BE$2, OR($G37="",$G37&gt;=BE$2)),
  $H37 * (1 + Assumptions!$C$7) ^ INT(((YEAR(BE$2)-YEAR($F37))*12 + MONTH(BE$2)-MONTH($F37)) / 12),
  0)</f>
        <v/>
      </c>
      <c r="BF37" s="299">
        <f>IF(AND($F37&lt;=BF$2, OR($G37="",$G37&gt;=BF$2)),
  $H37 * (1 + Assumptions!$C$7) ^ INT(((YEAR(BF$2)-YEAR($F37))*12 + MONTH(BF$2)-MONTH($F37)) / 12),
  0)</f>
        <v/>
      </c>
      <c r="BG37" s="299">
        <f>IF(AND($F37&lt;=BG$2, OR($G37="",$G37&gt;=BG$2)),
  $H37 * (1 + Assumptions!$C$7) ^ INT(((YEAR(BG$2)-YEAR($F37))*12 + MONTH(BG$2)-MONTH($F37)) / 12),
  0)</f>
        <v/>
      </c>
      <c r="BH37" s="299">
        <f>IF(AND($F37&lt;=BH$2, OR($G37="",$G37&gt;=BH$2)),
  $H37 * (1 + Assumptions!$C$7) ^ INT(((YEAR(BH$2)-YEAR($F37))*12 + MONTH(BH$2)-MONTH($F37)) / 12),
  0)</f>
        <v/>
      </c>
      <c r="BI37" s="299">
        <f>IF(AND($F37&lt;=BI$2, OR($G37="",$G37&gt;=BI$2)),
  $H37 * (1 + Assumptions!$C$7) ^ INT(((YEAR(BI$2)-YEAR($F37))*12 + MONTH(BI$2)-MONTH($F37)) / 12),
  0)</f>
        <v/>
      </c>
      <c r="BJ37" s="299">
        <f>IF(AND($F37&lt;=BJ$2, OR($G37="",$G37&gt;=BJ$2)),
  $H37 * (1 + Assumptions!$C$7) ^ INT(((YEAR(BJ$2)-YEAR($F37))*12 + MONTH(BJ$2)-MONTH($F37)) / 12),
  0)</f>
        <v/>
      </c>
      <c r="BK37" s="299">
        <f>IF(AND($F37&lt;=BK$2, OR($G37="",$G37&gt;=BK$2)),
  $H37 * (1 + Assumptions!$C$7) ^ INT(((YEAR(BK$2)-YEAR($F37))*12 + MONTH(BK$2)-MONTH($F37)) / 12),
  0)</f>
        <v/>
      </c>
      <c r="BL37" s="299">
        <f>IF(AND($F37&lt;=BL$2, OR($G37="",$G37&gt;=BL$2)),
  $H37 * (1 + Assumptions!$C$7) ^ INT(((YEAR(BL$2)-YEAR($F37))*12 + MONTH(BL$2)-MONTH($F37)) / 12),
  0)</f>
        <v/>
      </c>
      <c r="BM37" s="299">
        <f>IF(AND($F37&lt;=BM$2, OR($G37="",$G37&gt;=BM$2)),
  $H37 * (1 + Assumptions!$C$7) ^ INT(((YEAR(BM$2)-YEAR($F37))*12 + MONTH(BM$2)-MONTH($F37)) / 12),
  0)</f>
        <v/>
      </c>
      <c r="BN37" s="299">
        <f>IF(AND($F37&lt;=BN$2, OR($G37="",$G37&gt;=BN$2)),
  $H37 * (1 + Assumptions!$C$7) ^ INT(((YEAR(BN$2)-YEAR($F37))*12 + MONTH(BN$2)-MONTH($F37)) / 12),
  0)</f>
        <v/>
      </c>
      <c r="BO37" s="299">
        <f>IF(AND($F37&lt;=BO$2, OR($G37="",$G37&gt;=BO$2)),
  $H37 * (1 + Assumptions!$C$7) ^ INT(((YEAR(BO$2)-YEAR($F37))*12 + MONTH(BO$2)-MONTH($F37)) / 12),
  0)</f>
        <v/>
      </c>
      <c r="BP37" s="299">
        <f>IF(AND($F37&lt;=BP$2, OR($G37="",$G37&gt;=BP$2)),
  $H37 * (1 + Assumptions!$C$7) ^ INT(((YEAR(BP$2)-YEAR($F37))*12 + MONTH(BP$2)-MONTH($F37)) / 12),
  0)</f>
        <v/>
      </c>
      <c r="BQ37" s="31" t="n"/>
      <c r="BR37" s="350" t="inlineStr">
        <is>
          <t>paid this month if started and not yet left; +8% on each work anniversary</t>
        </is>
      </c>
      <c r="BS37" s="31" t="n"/>
      <c r="BT37" s="31" t="n"/>
    </row>
    <row r="38" ht="15.75" customHeight="1" s="349">
      <c r="A38" s="321" t="n">
        <v>33</v>
      </c>
      <c r="B38" s="285" t="inlineStr">
        <is>
          <t>New hire</t>
        </is>
      </c>
      <c r="C38" s="23" t="inlineStr">
        <is>
          <t>S&amp;M</t>
        </is>
      </c>
      <c r="D38" s="321" t="inlineStr">
        <is>
          <t>Account Manager</t>
        </is>
      </c>
      <c r="E38" s="297" t="inlineStr">
        <is>
          <t>Planned</t>
        </is>
      </c>
      <c r="F38" s="318" t="n">
        <v>47027</v>
      </c>
      <c r="G38" s="319" t="n"/>
      <c r="H38" s="288" t="n">
        <v>8000</v>
      </c>
      <c r="I38" s="299">
        <f>IF(AND($F38&lt;=I$2, OR($G38="",$G38&gt;=I$2)),
  $H38 * (1 + Assumptions!$C$7) ^ INT(((YEAR(I$2)-YEAR($F38))*12 + MONTH(I$2)-MONTH($F38)) / 12),
  0)</f>
        <v/>
      </c>
      <c r="J38" s="299">
        <f>IF(AND($F38&lt;=J$2, OR($G38="",$G38&gt;=J$2)),
  $H38 * (1 + Assumptions!$C$7) ^ INT(((YEAR(J$2)-YEAR($F38))*12 + MONTH(J$2)-MONTH($F38)) / 12),
  0)</f>
        <v/>
      </c>
      <c r="K38" s="299">
        <f>IF(AND($F38&lt;=K$2, OR($G38="",$G38&gt;=K$2)),
  $H38 * (1 + Assumptions!$C$7) ^ INT(((YEAR(K$2)-YEAR($F38))*12 + MONTH(K$2)-MONTH($F38)) / 12),
  0)</f>
        <v/>
      </c>
      <c r="L38" s="299">
        <f>IF(AND($F38&lt;=L$2, OR($G38="",$G38&gt;=L$2)),
  $H38 * (1 + Assumptions!$C$7) ^ INT(((YEAR(L$2)-YEAR($F38))*12 + MONTH(L$2)-MONTH($F38)) / 12),
  0)</f>
        <v/>
      </c>
      <c r="M38" s="299">
        <f>IF(AND($F38&lt;=M$2, OR($G38="",$G38&gt;=M$2)),
  $H38 * (1 + Assumptions!$C$7) ^ INT(((YEAR(M$2)-YEAR($F38))*12 + MONTH(M$2)-MONTH($F38)) / 12),
  0)</f>
        <v/>
      </c>
      <c r="N38" s="299">
        <f>IF(AND($F38&lt;=N$2, OR($G38="",$G38&gt;=N$2)),
  $H38 * (1 + Assumptions!$C$7) ^ INT(((YEAR(N$2)-YEAR($F38))*12 + MONTH(N$2)-MONTH($F38)) / 12),
  0)</f>
        <v/>
      </c>
      <c r="O38" s="299">
        <f>IF(AND($F38&lt;=O$2, OR($G38="",$G38&gt;=O$2)),
  $H38 * (1 + Assumptions!$C$7) ^ INT(((YEAR(O$2)-YEAR($F38))*12 + MONTH(O$2)-MONTH($F38)) / 12),
  0)</f>
        <v/>
      </c>
      <c r="P38" s="299">
        <f>IF(AND($F38&lt;=P$2, OR($G38="",$G38&gt;=P$2)),
  $H38 * (1 + Assumptions!$C$7) ^ INT(((YEAR(P$2)-YEAR($F38))*12 + MONTH(P$2)-MONTH($F38)) / 12),
  0)</f>
        <v/>
      </c>
      <c r="Q38" s="299">
        <f>IF(AND($F38&lt;=Q$2, OR($G38="",$G38&gt;=Q$2)),
  $H38 * (1 + Assumptions!$C$7) ^ INT(((YEAR(Q$2)-YEAR($F38))*12 + MONTH(Q$2)-MONTH($F38)) / 12),
  0)</f>
        <v/>
      </c>
      <c r="R38" s="299">
        <f>IF(AND($F38&lt;=R$2, OR($G38="",$G38&gt;=R$2)),
  $H38 * (1 + Assumptions!$C$7) ^ INT(((YEAR(R$2)-YEAR($F38))*12 + MONTH(R$2)-MONTH($F38)) / 12),
  0)</f>
        <v/>
      </c>
      <c r="S38" s="299">
        <f>IF(AND($F38&lt;=S$2, OR($G38="",$G38&gt;=S$2)),
  $H38 * (1 + Assumptions!$C$7) ^ INT(((YEAR(S$2)-YEAR($F38))*12 + MONTH(S$2)-MONTH($F38)) / 12),
  0)</f>
        <v/>
      </c>
      <c r="T38" s="299">
        <f>IF(AND($F38&lt;=T$2, OR($G38="",$G38&gt;=T$2)),
  $H38 * (1 + Assumptions!$C$7) ^ INT(((YEAR(T$2)-YEAR($F38))*12 + MONTH(T$2)-MONTH($F38)) / 12),
  0)</f>
        <v/>
      </c>
      <c r="U38" s="299">
        <f>IF(AND($F38&lt;=U$2, OR($G38="",$G38&gt;=U$2)),
  $H38 * (1 + Assumptions!$C$7) ^ INT(((YEAR(U$2)-YEAR($F38))*12 + MONTH(U$2)-MONTH($F38)) / 12),
  0)</f>
        <v/>
      </c>
      <c r="V38" s="299">
        <f>IF(AND($F38&lt;=V$2, OR($G38="",$G38&gt;=V$2)),
  $H38 * (1 + Assumptions!$C$7) ^ INT(((YEAR(V$2)-YEAR($F38))*12 + MONTH(V$2)-MONTH($F38)) / 12),
  0)</f>
        <v/>
      </c>
      <c r="W38" s="299">
        <f>IF(AND($F38&lt;=W$2, OR($G38="",$G38&gt;=W$2)),
  $H38 * (1 + Assumptions!$C$7) ^ INT(((YEAR(W$2)-YEAR($F38))*12 + MONTH(W$2)-MONTH($F38)) / 12),
  0)</f>
        <v/>
      </c>
      <c r="X38" s="299">
        <f>IF(AND($F38&lt;=X$2, OR($G38="",$G38&gt;=X$2)),
  $H38 * (1 + Assumptions!$C$7) ^ INT(((YEAR(X$2)-YEAR($F38))*12 + MONTH(X$2)-MONTH($F38)) / 12),
  0)</f>
        <v/>
      </c>
      <c r="Y38" s="299">
        <f>IF(AND($F38&lt;=Y$2, OR($G38="",$G38&gt;=Y$2)),
  $H38 * (1 + Assumptions!$C$7) ^ INT(((YEAR(Y$2)-YEAR($F38))*12 + MONTH(Y$2)-MONTH($F38)) / 12),
  0)</f>
        <v/>
      </c>
      <c r="Z38" s="299">
        <f>IF(AND($F38&lt;=Z$2, OR($G38="",$G38&gt;=Z$2)),
  $H38 * (1 + Assumptions!$C$7) ^ INT(((YEAR(Z$2)-YEAR($F38))*12 + MONTH(Z$2)-MONTH($F38)) / 12),
  0)</f>
        <v/>
      </c>
      <c r="AA38" s="299">
        <f>IF(AND($F38&lt;=AA$2, OR($G38="",$G38&gt;=AA$2)),
  $H38 * (1 + Assumptions!$C$7) ^ INT(((YEAR(AA$2)-YEAR($F38))*12 + MONTH(AA$2)-MONTH($F38)) / 12),
  0)</f>
        <v/>
      </c>
      <c r="AB38" s="299">
        <f>IF(AND($F38&lt;=AB$2, OR($G38="",$G38&gt;=AB$2)),
  $H38 * (1 + Assumptions!$C$7) ^ INT(((YEAR(AB$2)-YEAR($F38))*12 + MONTH(AB$2)-MONTH($F38)) / 12),
  0)</f>
        <v/>
      </c>
      <c r="AC38" s="299">
        <f>IF(AND($F38&lt;=AC$2, OR($G38="",$G38&gt;=AC$2)),
  $H38 * (1 + Assumptions!$C$7) ^ INT(((YEAR(AC$2)-YEAR($F38))*12 + MONTH(AC$2)-MONTH($F38)) / 12),
  0)</f>
        <v/>
      </c>
      <c r="AD38" s="299">
        <f>IF(AND($F38&lt;=AD$2, OR($G38="",$G38&gt;=AD$2)),
  $H38 * (1 + Assumptions!$C$7) ^ INT(((YEAR(AD$2)-YEAR($F38))*12 + MONTH(AD$2)-MONTH($F38)) / 12),
  0)</f>
        <v/>
      </c>
      <c r="AE38" s="299">
        <f>IF(AND($F38&lt;=AE$2, OR($G38="",$G38&gt;=AE$2)),
  $H38 * (1 + Assumptions!$C$7) ^ INT(((YEAR(AE$2)-YEAR($F38))*12 + MONTH(AE$2)-MONTH($F38)) / 12),
  0)</f>
        <v/>
      </c>
      <c r="AF38" s="299">
        <f>IF(AND($F38&lt;=AF$2, OR($G38="",$G38&gt;=AF$2)),
  $H38 * (1 + Assumptions!$C$7) ^ INT(((YEAR(AF$2)-YEAR($F38))*12 + MONTH(AF$2)-MONTH($F38)) / 12),
  0)</f>
        <v/>
      </c>
      <c r="AG38" s="299">
        <f>IF(AND($F38&lt;=AG$2, OR($G38="",$G38&gt;=AG$2)),
  $H38 * (1 + Assumptions!$C$7) ^ INT(((YEAR(AG$2)-YEAR($F38))*12 + MONTH(AG$2)-MONTH($F38)) / 12),
  0)</f>
        <v/>
      </c>
      <c r="AH38" s="299">
        <f>IF(AND($F38&lt;=AH$2, OR($G38="",$G38&gt;=AH$2)),
  $H38 * (1 + Assumptions!$C$7) ^ INT(((YEAR(AH$2)-YEAR($F38))*12 + MONTH(AH$2)-MONTH($F38)) / 12),
  0)</f>
        <v/>
      </c>
      <c r="AI38" s="299">
        <f>IF(AND($F38&lt;=AI$2, OR($G38="",$G38&gt;=AI$2)),
  $H38 * (1 + Assumptions!$C$7) ^ INT(((YEAR(AI$2)-YEAR($F38))*12 + MONTH(AI$2)-MONTH($F38)) / 12),
  0)</f>
        <v/>
      </c>
      <c r="AJ38" s="299">
        <f>IF(AND($F38&lt;=AJ$2, OR($G38="",$G38&gt;=AJ$2)),
  $H38 * (1 + Assumptions!$C$7) ^ INT(((YEAR(AJ$2)-YEAR($F38))*12 + MONTH(AJ$2)-MONTH($F38)) / 12),
  0)</f>
        <v/>
      </c>
      <c r="AK38" s="299">
        <f>IF(AND($F38&lt;=AK$2, OR($G38="",$G38&gt;=AK$2)),
  $H38 * (1 + Assumptions!$C$7) ^ INT(((YEAR(AK$2)-YEAR($F38))*12 + MONTH(AK$2)-MONTH($F38)) / 12),
  0)</f>
        <v/>
      </c>
      <c r="AL38" s="299">
        <f>IF(AND($F38&lt;=AL$2, OR($G38="",$G38&gt;=AL$2)),
  $H38 * (1 + Assumptions!$C$7) ^ INT(((YEAR(AL$2)-YEAR($F38))*12 + MONTH(AL$2)-MONTH($F38)) / 12),
  0)</f>
        <v/>
      </c>
      <c r="AM38" s="299">
        <f>IF(AND($F38&lt;=AM$2, OR($G38="",$G38&gt;=AM$2)),
  $H38 * (1 + Assumptions!$C$7) ^ INT(((YEAR(AM$2)-YEAR($F38))*12 + MONTH(AM$2)-MONTH($F38)) / 12),
  0)</f>
        <v/>
      </c>
      <c r="AN38" s="299">
        <f>IF(AND($F38&lt;=AN$2, OR($G38="",$G38&gt;=AN$2)),
  $H38 * (1 + Assumptions!$C$7) ^ INT(((YEAR(AN$2)-YEAR($F38))*12 + MONTH(AN$2)-MONTH($F38)) / 12),
  0)</f>
        <v/>
      </c>
      <c r="AO38" s="299">
        <f>IF(AND($F38&lt;=AO$2, OR($G38="",$G38&gt;=AO$2)),
  $H38 * (1 + Assumptions!$C$7) ^ INT(((YEAR(AO$2)-YEAR($F38))*12 + MONTH(AO$2)-MONTH($F38)) / 12),
  0)</f>
        <v/>
      </c>
      <c r="AP38" s="299">
        <f>IF(AND($F38&lt;=AP$2, OR($G38="",$G38&gt;=AP$2)),
  $H38 * (1 + Assumptions!$C$7) ^ INT(((YEAR(AP$2)-YEAR($F38))*12 + MONTH(AP$2)-MONTH($F38)) / 12),
  0)</f>
        <v/>
      </c>
      <c r="AQ38" s="299">
        <f>IF(AND($F38&lt;=AQ$2, OR($G38="",$G38&gt;=AQ$2)),
  $H38 * (1 + Assumptions!$C$7) ^ INT(((YEAR(AQ$2)-YEAR($F38))*12 + MONTH(AQ$2)-MONTH($F38)) / 12),
  0)</f>
        <v/>
      </c>
      <c r="AR38" s="299">
        <f>IF(AND($F38&lt;=AR$2, OR($G38="",$G38&gt;=AR$2)),
  $H38 * (1 + Assumptions!$C$7) ^ INT(((YEAR(AR$2)-YEAR($F38))*12 + MONTH(AR$2)-MONTH($F38)) / 12),
  0)</f>
        <v/>
      </c>
      <c r="AS38" s="299">
        <f>IF(AND($F38&lt;=AS$2, OR($G38="",$G38&gt;=AS$2)),
  $H38 * (1 + Assumptions!$C$7) ^ INT(((YEAR(AS$2)-YEAR($F38))*12 + MONTH(AS$2)-MONTH($F38)) / 12),
  0)</f>
        <v/>
      </c>
      <c r="AT38" s="299">
        <f>IF(AND($F38&lt;=AT$2, OR($G38="",$G38&gt;=AT$2)),
  $H38 * (1 + Assumptions!$C$7) ^ INT(((YEAR(AT$2)-YEAR($F38))*12 + MONTH(AT$2)-MONTH($F38)) / 12),
  0)</f>
        <v/>
      </c>
      <c r="AU38" s="299">
        <f>IF(AND($F38&lt;=AU$2, OR($G38="",$G38&gt;=AU$2)),
  $H38 * (1 + Assumptions!$C$7) ^ INT(((YEAR(AU$2)-YEAR($F38))*12 + MONTH(AU$2)-MONTH($F38)) / 12),
  0)</f>
        <v/>
      </c>
      <c r="AV38" s="299">
        <f>IF(AND($F38&lt;=AV$2, OR($G38="",$G38&gt;=AV$2)),
  $H38 * (1 + Assumptions!$C$7) ^ INT(((YEAR(AV$2)-YEAR($F38))*12 + MONTH(AV$2)-MONTH($F38)) / 12),
  0)</f>
        <v/>
      </c>
      <c r="AW38" s="299">
        <f>IF(AND($F38&lt;=AW$2, OR($G38="",$G38&gt;=AW$2)),
  $H38 * (1 + Assumptions!$C$7) ^ INT(((YEAR(AW$2)-YEAR($F38))*12 + MONTH(AW$2)-MONTH($F38)) / 12),
  0)</f>
        <v/>
      </c>
      <c r="AX38" s="299">
        <f>IF(AND($F38&lt;=AX$2, OR($G38="",$G38&gt;=AX$2)),
  $H38 * (1 + Assumptions!$C$7) ^ INT(((YEAR(AX$2)-YEAR($F38))*12 + MONTH(AX$2)-MONTH($F38)) / 12),
  0)</f>
        <v/>
      </c>
      <c r="AY38" s="299">
        <f>IF(AND($F38&lt;=AY$2, OR($G38="",$G38&gt;=AY$2)),
  $H38 * (1 + Assumptions!$C$7) ^ INT(((YEAR(AY$2)-YEAR($F38))*12 + MONTH(AY$2)-MONTH($F38)) / 12),
  0)</f>
        <v/>
      </c>
      <c r="AZ38" s="299">
        <f>IF(AND($F38&lt;=AZ$2, OR($G38="",$G38&gt;=AZ$2)),
  $H38 * (1 + Assumptions!$C$7) ^ INT(((YEAR(AZ$2)-YEAR($F38))*12 + MONTH(AZ$2)-MONTH($F38)) / 12),
  0)</f>
        <v/>
      </c>
      <c r="BA38" s="299">
        <f>IF(AND($F38&lt;=BA$2, OR($G38="",$G38&gt;=BA$2)),
  $H38 * (1 + Assumptions!$C$7) ^ INT(((YEAR(BA$2)-YEAR($F38))*12 + MONTH(BA$2)-MONTH($F38)) / 12),
  0)</f>
        <v/>
      </c>
      <c r="BB38" s="299">
        <f>IF(AND($F38&lt;=BB$2, OR($G38="",$G38&gt;=BB$2)),
  $H38 * (1 + Assumptions!$C$7) ^ INT(((YEAR(BB$2)-YEAR($F38))*12 + MONTH(BB$2)-MONTH($F38)) / 12),
  0)</f>
        <v/>
      </c>
      <c r="BC38" s="299">
        <f>IF(AND($F38&lt;=BC$2, OR($G38="",$G38&gt;=BC$2)),
  $H38 * (1 + Assumptions!$C$7) ^ INT(((YEAR(BC$2)-YEAR($F38))*12 + MONTH(BC$2)-MONTH($F38)) / 12),
  0)</f>
        <v/>
      </c>
      <c r="BD38" s="299">
        <f>IF(AND($F38&lt;=BD$2, OR($G38="",$G38&gt;=BD$2)),
  $H38 * (1 + Assumptions!$C$7) ^ INT(((YEAR(BD$2)-YEAR($F38))*12 + MONTH(BD$2)-MONTH($F38)) / 12),
  0)</f>
        <v/>
      </c>
      <c r="BE38" s="299">
        <f>IF(AND($F38&lt;=BE$2, OR($G38="",$G38&gt;=BE$2)),
  $H38 * (1 + Assumptions!$C$7) ^ INT(((YEAR(BE$2)-YEAR($F38))*12 + MONTH(BE$2)-MONTH($F38)) / 12),
  0)</f>
        <v/>
      </c>
      <c r="BF38" s="299">
        <f>IF(AND($F38&lt;=BF$2, OR($G38="",$G38&gt;=BF$2)),
  $H38 * (1 + Assumptions!$C$7) ^ INT(((YEAR(BF$2)-YEAR($F38))*12 + MONTH(BF$2)-MONTH($F38)) / 12),
  0)</f>
        <v/>
      </c>
      <c r="BG38" s="299">
        <f>IF(AND($F38&lt;=BG$2, OR($G38="",$G38&gt;=BG$2)),
  $H38 * (1 + Assumptions!$C$7) ^ INT(((YEAR(BG$2)-YEAR($F38))*12 + MONTH(BG$2)-MONTH($F38)) / 12),
  0)</f>
        <v/>
      </c>
      <c r="BH38" s="299">
        <f>IF(AND($F38&lt;=BH$2, OR($G38="",$G38&gt;=BH$2)),
  $H38 * (1 + Assumptions!$C$7) ^ INT(((YEAR(BH$2)-YEAR($F38))*12 + MONTH(BH$2)-MONTH($F38)) / 12),
  0)</f>
        <v/>
      </c>
      <c r="BI38" s="299">
        <f>IF(AND($F38&lt;=BI$2, OR($G38="",$G38&gt;=BI$2)),
  $H38 * (1 + Assumptions!$C$7) ^ INT(((YEAR(BI$2)-YEAR($F38))*12 + MONTH(BI$2)-MONTH($F38)) / 12),
  0)</f>
        <v/>
      </c>
      <c r="BJ38" s="299">
        <f>IF(AND($F38&lt;=BJ$2, OR($G38="",$G38&gt;=BJ$2)),
  $H38 * (1 + Assumptions!$C$7) ^ INT(((YEAR(BJ$2)-YEAR($F38))*12 + MONTH(BJ$2)-MONTH($F38)) / 12),
  0)</f>
        <v/>
      </c>
      <c r="BK38" s="299">
        <f>IF(AND($F38&lt;=BK$2, OR($G38="",$G38&gt;=BK$2)),
  $H38 * (1 + Assumptions!$C$7) ^ INT(((YEAR(BK$2)-YEAR($F38))*12 + MONTH(BK$2)-MONTH($F38)) / 12),
  0)</f>
        <v/>
      </c>
      <c r="BL38" s="299">
        <f>IF(AND($F38&lt;=BL$2, OR($G38="",$G38&gt;=BL$2)),
  $H38 * (1 + Assumptions!$C$7) ^ INT(((YEAR(BL$2)-YEAR($F38))*12 + MONTH(BL$2)-MONTH($F38)) / 12),
  0)</f>
        <v/>
      </c>
      <c r="BM38" s="299">
        <f>IF(AND($F38&lt;=BM$2, OR($G38="",$G38&gt;=BM$2)),
  $H38 * (1 + Assumptions!$C$7) ^ INT(((YEAR(BM$2)-YEAR($F38))*12 + MONTH(BM$2)-MONTH($F38)) / 12),
  0)</f>
        <v/>
      </c>
      <c r="BN38" s="299">
        <f>IF(AND($F38&lt;=BN$2, OR($G38="",$G38&gt;=BN$2)),
  $H38 * (1 + Assumptions!$C$7) ^ INT(((YEAR(BN$2)-YEAR($F38))*12 + MONTH(BN$2)-MONTH($F38)) / 12),
  0)</f>
        <v/>
      </c>
      <c r="BO38" s="299">
        <f>IF(AND($F38&lt;=BO$2, OR($G38="",$G38&gt;=BO$2)),
  $H38 * (1 + Assumptions!$C$7) ^ INT(((YEAR(BO$2)-YEAR($F38))*12 + MONTH(BO$2)-MONTH($F38)) / 12),
  0)</f>
        <v/>
      </c>
      <c r="BP38" s="299">
        <f>IF(AND($F38&lt;=BP$2, OR($G38="",$G38&gt;=BP$2)),
  $H38 * (1 + Assumptions!$C$7) ^ INT(((YEAR(BP$2)-YEAR($F38))*12 + MONTH(BP$2)-MONTH($F38)) / 12),
  0)</f>
        <v/>
      </c>
      <c r="BQ38" s="307" t="n"/>
      <c r="BR38" s="83" t="inlineStr">
        <is>
          <t>paid this month if started and not yet left; +8% on each work anniversary</t>
        </is>
      </c>
      <c r="BS38" s="307" t="n"/>
      <c r="BT38" s="307" t="n"/>
    </row>
    <row r="39" ht="15.75" customHeight="1" s="349">
      <c r="A39" s="321" t="n">
        <v>34</v>
      </c>
      <c r="B39" s="285" t="inlineStr">
        <is>
          <t>New hire</t>
        </is>
      </c>
      <c r="C39" s="23" t="inlineStr">
        <is>
          <t>S&amp;M</t>
        </is>
      </c>
      <c r="D39" s="321" t="inlineStr">
        <is>
          <t>Sales</t>
        </is>
      </c>
      <c r="E39" s="297" t="inlineStr">
        <is>
          <t>Planned</t>
        </is>
      </c>
      <c r="F39" s="318">
        <f>IF(Assumptions!$D$82=2,DATE(2027,3,1),DATE(2028,10,1))</f>
        <v/>
      </c>
      <c r="G39" s="319" t="n"/>
      <c r="H39" s="288" t="n">
        <v>6500</v>
      </c>
      <c r="I39" s="299">
        <f>IF(AND($F39&lt;=I$2, OR($G39="",$G39&gt;=I$2)),
  $H39 * (1 + Assumptions!$C$7) ^ INT(((YEAR(I$2)-YEAR($F39))*12 + MONTH(I$2)-MONTH($F39)) / 12),
  0)</f>
        <v/>
      </c>
      <c r="J39" s="299">
        <f>IF(AND($F39&lt;=J$2, OR($G39="",$G39&gt;=J$2)),
  $H39 * (1 + Assumptions!$C$7) ^ INT(((YEAR(J$2)-YEAR($F39))*12 + MONTH(J$2)-MONTH($F39)) / 12),
  0)</f>
        <v/>
      </c>
      <c r="K39" s="299">
        <f>IF(AND($F39&lt;=K$2, OR($G39="",$G39&gt;=K$2)),
  $H39 * (1 + Assumptions!$C$7) ^ INT(((YEAR(K$2)-YEAR($F39))*12 + MONTH(K$2)-MONTH($F39)) / 12),
  0)</f>
        <v/>
      </c>
      <c r="L39" s="299">
        <f>IF(AND($F39&lt;=L$2, OR($G39="",$G39&gt;=L$2)),
  $H39 * (1 + Assumptions!$C$7) ^ INT(((YEAR(L$2)-YEAR($F39))*12 + MONTH(L$2)-MONTH($F39)) / 12),
  0)</f>
        <v/>
      </c>
      <c r="M39" s="299">
        <f>IF(AND($F39&lt;=M$2, OR($G39="",$G39&gt;=M$2)),
  $H39 * (1 + Assumptions!$C$7) ^ INT(((YEAR(M$2)-YEAR($F39))*12 + MONTH(M$2)-MONTH($F39)) / 12),
  0)</f>
        <v/>
      </c>
      <c r="N39" s="299">
        <f>IF(AND($F39&lt;=N$2, OR($G39="",$G39&gt;=N$2)),
  $H39 * (1 + Assumptions!$C$7) ^ INT(((YEAR(N$2)-YEAR($F39))*12 + MONTH(N$2)-MONTH($F39)) / 12),
  0)</f>
        <v/>
      </c>
      <c r="O39" s="299">
        <f>IF(AND($F39&lt;=O$2, OR($G39="",$G39&gt;=O$2)),
  $H39 * (1 + Assumptions!$C$7) ^ INT(((YEAR(O$2)-YEAR($F39))*12 + MONTH(O$2)-MONTH($F39)) / 12),
  0)</f>
        <v/>
      </c>
      <c r="P39" s="299">
        <f>IF(AND($F39&lt;=P$2, OR($G39="",$G39&gt;=P$2)),
  $H39 * (1 + Assumptions!$C$7) ^ INT(((YEAR(P$2)-YEAR($F39))*12 + MONTH(P$2)-MONTH($F39)) / 12),
  0)</f>
        <v/>
      </c>
      <c r="Q39" s="299">
        <f>IF(AND($F39&lt;=Q$2, OR($G39="",$G39&gt;=Q$2)),
  $H39 * (1 + Assumptions!$C$7) ^ INT(((YEAR(Q$2)-YEAR($F39))*12 + MONTH(Q$2)-MONTH($F39)) / 12),
  0)</f>
        <v/>
      </c>
      <c r="R39" s="299">
        <f>IF(AND($F39&lt;=R$2, OR($G39="",$G39&gt;=R$2)),
  $H39 * (1 + Assumptions!$C$7) ^ INT(((YEAR(R$2)-YEAR($F39))*12 + MONTH(R$2)-MONTH($F39)) / 12),
  0)</f>
        <v/>
      </c>
      <c r="S39" s="299">
        <f>IF(AND($F39&lt;=S$2, OR($G39="",$G39&gt;=S$2)),
  $H39 * (1 + Assumptions!$C$7) ^ INT(((YEAR(S$2)-YEAR($F39))*12 + MONTH(S$2)-MONTH($F39)) / 12),
  0)</f>
        <v/>
      </c>
      <c r="T39" s="299">
        <f>IF(AND($F39&lt;=T$2, OR($G39="",$G39&gt;=T$2)),
  $H39 * (1 + Assumptions!$C$7) ^ INT(((YEAR(T$2)-YEAR($F39))*12 + MONTH(T$2)-MONTH($F39)) / 12),
  0)</f>
        <v/>
      </c>
      <c r="U39" s="299">
        <f>IF(AND($F39&lt;=U$2, OR($G39="",$G39&gt;=U$2)),
  $H39 * (1 + Assumptions!$C$7) ^ INT(((YEAR(U$2)-YEAR($F39))*12 + MONTH(U$2)-MONTH($F39)) / 12),
  0)</f>
        <v/>
      </c>
      <c r="V39" s="299">
        <f>IF(AND($F39&lt;=V$2, OR($G39="",$G39&gt;=V$2)),
  $H39 * (1 + Assumptions!$C$7) ^ INT(((YEAR(V$2)-YEAR($F39))*12 + MONTH(V$2)-MONTH($F39)) / 12),
  0)</f>
        <v/>
      </c>
      <c r="W39" s="299">
        <f>IF(AND($F39&lt;=W$2, OR($G39="",$G39&gt;=W$2)),
  $H39 * (1 + Assumptions!$C$7) ^ INT(((YEAR(W$2)-YEAR($F39))*12 + MONTH(W$2)-MONTH($F39)) / 12),
  0)</f>
        <v/>
      </c>
      <c r="X39" s="299">
        <f>IF(AND($F39&lt;=X$2, OR($G39="",$G39&gt;=X$2)),
  $H39 * (1 + Assumptions!$C$7) ^ INT(((YEAR(X$2)-YEAR($F39))*12 + MONTH(X$2)-MONTH($F39)) / 12),
  0)</f>
        <v/>
      </c>
      <c r="Y39" s="299">
        <f>IF(AND($F39&lt;=Y$2, OR($G39="",$G39&gt;=Y$2)),
  $H39 * (1 + Assumptions!$C$7) ^ INT(((YEAR(Y$2)-YEAR($F39))*12 + MONTH(Y$2)-MONTH($F39)) / 12),
  0)</f>
        <v/>
      </c>
      <c r="Z39" s="299">
        <f>IF(AND($F39&lt;=Z$2, OR($G39="",$G39&gt;=Z$2)),
  $H39 * (1 + Assumptions!$C$7) ^ INT(((YEAR(Z$2)-YEAR($F39))*12 + MONTH(Z$2)-MONTH($F39)) / 12),
  0)</f>
        <v/>
      </c>
      <c r="AA39" s="299">
        <f>IF(AND($F39&lt;=AA$2, OR($G39="",$G39&gt;=AA$2)),
  $H39 * (1 + Assumptions!$C$7) ^ INT(((YEAR(AA$2)-YEAR($F39))*12 + MONTH(AA$2)-MONTH($F39)) / 12),
  0)</f>
        <v/>
      </c>
      <c r="AB39" s="299">
        <f>IF(AND($F39&lt;=AB$2, OR($G39="",$G39&gt;=AB$2)),
  $H39 * (1 + Assumptions!$C$7) ^ INT(((YEAR(AB$2)-YEAR($F39))*12 + MONTH(AB$2)-MONTH($F39)) / 12),
  0)</f>
        <v/>
      </c>
      <c r="AC39" s="299">
        <f>IF(AND($F39&lt;=AC$2, OR($G39="",$G39&gt;=AC$2)),
  $H39 * (1 + Assumptions!$C$7) ^ INT(((YEAR(AC$2)-YEAR($F39))*12 + MONTH(AC$2)-MONTH($F39)) / 12),
  0)</f>
        <v/>
      </c>
      <c r="AD39" s="299">
        <f>IF(AND($F39&lt;=AD$2, OR($G39="",$G39&gt;=AD$2)),
  $H39 * (1 + Assumptions!$C$7) ^ INT(((YEAR(AD$2)-YEAR($F39))*12 + MONTH(AD$2)-MONTH($F39)) / 12),
  0)</f>
        <v/>
      </c>
      <c r="AE39" s="299">
        <f>IF(AND($F39&lt;=AE$2, OR($G39="",$G39&gt;=AE$2)),
  $H39 * (1 + Assumptions!$C$7) ^ INT(((YEAR(AE$2)-YEAR($F39))*12 + MONTH(AE$2)-MONTH($F39)) / 12),
  0)</f>
        <v/>
      </c>
      <c r="AF39" s="299">
        <f>IF(AND($F39&lt;=AF$2, OR($G39="",$G39&gt;=AF$2)),
  $H39 * (1 + Assumptions!$C$7) ^ INT(((YEAR(AF$2)-YEAR($F39))*12 + MONTH(AF$2)-MONTH($F39)) / 12),
  0)</f>
        <v/>
      </c>
      <c r="AG39" s="299">
        <f>IF(AND($F39&lt;=AG$2, OR($G39="",$G39&gt;=AG$2)),
  $H39 * (1 + Assumptions!$C$7) ^ INT(((YEAR(AG$2)-YEAR($F39))*12 + MONTH(AG$2)-MONTH($F39)) / 12),
  0)</f>
        <v/>
      </c>
      <c r="AH39" s="299">
        <f>IF(AND($F39&lt;=AH$2, OR($G39="",$G39&gt;=AH$2)),
  $H39 * (1 + Assumptions!$C$7) ^ INT(((YEAR(AH$2)-YEAR($F39))*12 + MONTH(AH$2)-MONTH($F39)) / 12),
  0)</f>
        <v/>
      </c>
      <c r="AI39" s="299">
        <f>IF(AND($F39&lt;=AI$2, OR($G39="",$G39&gt;=AI$2)),
  $H39 * (1 + Assumptions!$C$7) ^ INT(((YEAR(AI$2)-YEAR($F39))*12 + MONTH(AI$2)-MONTH($F39)) / 12),
  0)</f>
        <v/>
      </c>
      <c r="AJ39" s="299">
        <f>IF(AND($F39&lt;=AJ$2, OR($G39="",$G39&gt;=AJ$2)),
  $H39 * (1 + Assumptions!$C$7) ^ INT(((YEAR(AJ$2)-YEAR($F39))*12 + MONTH(AJ$2)-MONTH($F39)) / 12),
  0)</f>
        <v/>
      </c>
      <c r="AK39" s="299">
        <f>IF(AND($F39&lt;=AK$2, OR($G39="",$G39&gt;=AK$2)),
  $H39 * (1 + Assumptions!$C$7) ^ INT(((YEAR(AK$2)-YEAR($F39))*12 + MONTH(AK$2)-MONTH($F39)) / 12),
  0)</f>
        <v/>
      </c>
      <c r="AL39" s="299">
        <f>IF(AND($F39&lt;=AL$2, OR($G39="",$G39&gt;=AL$2)),
  $H39 * (1 + Assumptions!$C$7) ^ INT(((YEAR(AL$2)-YEAR($F39))*12 + MONTH(AL$2)-MONTH($F39)) / 12),
  0)</f>
        <v/>
      </c>
      <c r="AM39" s="299">
        <f>IF(AND($F39&lt;=AM$2, OR($G39="",$G39&gt;=AM$2)),
  $H39 * (1 + Assumptions!$C$7) ^ INT(((YEAR(AM$2)-YEAR($F39))*12 + MONTH(AM$2)-MONTH($F39)) / 12),
  0)</f>
        <v/>
      </c>
      <c r="AN39" s="299">
        <f>IF(AND($F39&lt;=AN$2, OR($G39="",$G39&gt;=AN$2)),
  $H39 * (1 + Assumptions!$C$7) ^ INT(((YEAR(AN$2)-YEAR($F39))*12 + MONTH(AN$2)-MONTH($F39)) / 12),
  0)</f>
        <v/>
      </c>
      <c r="AO39" s="299">
        <f>IF(AND($F39&lt;=AO$2, OR($G39="",$G39&gt;=AO$2)),
  $H39 * (1 + Assumptions!$C$7) ^ INT(((YEAR(AO$2)-YEAR($F39))*12 + MONTH(AO$2)-MONTH($F39)) / 12),
  0)</f>
        <v/>
      </c>
      <c r="AP39" s="299">
        <f>IF(AND($F39&lt;=AP$2, OR($G39="",$G39&gt;=AP$2)),
  $H39 * (1 + Assumptions!$C$7) ^ INT(((YEAR(AP$2)-YEAR($F39))*12 + MONTH(AP$2)-MONTH($F39)) / 12),
  0)</f>
        <v/>
      </c>
      <c r="AQ39" s="299">
        <f>IF(AND($F39&lt;=AQ$2, OR($G39="",$G39&gt;=AQ$2)),
  $H39 * (1 + Assumptions!$C$7) ^ INT(((YEAR(AQ$2)-YEAR($F39))*12 + MONTH(AQ$2)-MONTH($F39)) / 12),
  0)</f>
        <v/>
      </c>
      <c r="AR39" s="299">
        <f>IF(AND($F39&lt;=AR$2, OR($G39="",$G39&gt;=AR$2)),
  $H39 * (1 + Assumptions!$C$7) ^ INT(((YEAR(AR$2)-YEAR($F39))*12 + MONTH(AR$2)-MONTH($F39)) / 12),
  0)</f>
        <v/>
      </c>
      <c r="AS39" s="299">
        <f>IF(AND($F39&lt;=AS$2, OR($G39="",$G39&gt;=AS$2)),
  $H39 * (1 + Assumptions!$C$7) ^ INT(((YEAR(AS$2)-YEAR($F39))*12 + MONTH(AS$2)-MONTH($F39)) / 12),
  0)</f>
        <v/>
      </c>
      <c r="AT39" s="299">
        <f>IF(AND($F39&lt;=AT$2, OR($G39="",$G39&gt;=AT$2)),
  $H39 * (1 + Assumptions!$C$7) ^ INT(((YEAR(AT$2)-YEAR($F39))*12 + MONTH(AT$2)-MONTH($F39)) / 12),
  0)</f>
        <v/>
      </c>
      <c r="AU39" s="299">
        <f>IF(AND($F39&lt;=AU$2, OR($G39="",$G39&gt;=AU$2)),
  $H39 * (1 + Assumptions!$C$7) ^ INT(((YEAR(AU$2)-YEAR($F39))*12 + MONTH(AU$2)-MONTH($F39)) / 12),
  0)</f>
        <v/>
      </c>
      <c r="AV39" s="299">
        <f>IF(AND($F39&lt;=AV$2, OR($G39="",$G39&gt;=AV$2)),
  $H39 * (1 + Assumptions!$C$7) ^ INT(((YEAR(AV$2)-YEAR($F39))*12 + MONTH(AV$2)-MONTH($F39)) / 12),
  0)</f>
        <v/>
      </c>
      <c r="AW39" s="299">
        <f>IF(AND($F39&lt;=AW$2, OR($G39="",$G39&gt;=AW$2)),
  $H39 * (1 + Assumptions!$C$7) ^ INT(((YEAR(AW$2)-YEAR($F39))*12 + MONTH(AW$2)-MONTH($F39)) / 12),
  0)</f>
        <v/>
      </c>
      <c r="AX39" s="299">
        <f>IF(AND($F39&lt;=AX$2, OR($G39="",$G39&gt;=AX$2)),
  $H39 * (1 + Assumptions!$C$7) ^ INT(((YEAR(AX$2)-YEAR($F39))*12 + MONTH(AX$2)-MONTH($F39)) / 12),
  0)</f>
        <v/>
      </c>
      <c r="AY39" s="299">
        <f>IF(AND($F39&lt;=AY$2, OR($G39="",$G39&gt;=AY$2)),
  $H39 * (1 + Assumptions!$C$7) ^ INT(((YEAR(AY$2)-YEAR($F39))*12 + MONTH(AY$2)-MONTH($F39)) / 12),
  0)</f>
        <v/>
      </c>
      <c r="AZ39" s="299">
        <f>IF(AND($F39&lt;=AZ$2, OR($G39="",$G39&gt;=AZ$2)),
  $H39 * (1 + Assumptions!$C$7) ^ INT(((YEAR(AZ$2)-YEAR($F39))*12 + MONTH(AZ$2)-MONTH($F39)) / 12),
  0)</f>
        <v/>
      </c>
      <c r="BA39" s="299">
        <f>IF(AND($F39&lt;=BA$2, OR($G39="",$G39&gt;=BA$2)),
  $H39 * (1 + Assumptions!$C$7) ^ INT(((YEAR(BA$2)-YEAR($F39))*12 + MONTH(BA$2)-MONTH($F39)) / 12),
  0)</f>
        <v/>
      </c>
      <c r="BB39" s="299">
        <f>IF(AND($F39&lt;=BB$2, OR($G39="",$G39&gt;=BB$2)),
  $H39 * (1 + Assumptions!$C$7) ^ INT(((YEAR(BB$2)-YEAR($F39))*12 + MONTH(BB$2)-MONTH($F39)) / 12),
  0)</f>
        <v/>
      </c>
      <c r="BC39" s="299">
        <f>IF(AND($F39&lt;=BC$2, OR($G39="",$G39&gt;=BC$2)),
  $H39 * (1 + Assumptions!$C$7) ^ INT(((YEAR(BC$2)-YEAR($F39))*12 + MONTH(BC$2)-MONTH($F39)) / 12),
  0)</f>
        <v/>
      </c>
      <c r="BD39" s="299">
        <f>IF(AND($F39&lt;=BD$2, OR($G39="",$G39&gt;=BD$2)),
  $H39 * (1 + Assumptions!$C$7) ^ INT(((YEAR(BD$2)-YEAR($F39))*12 + MONTH(BD$2)-MONTH($F39)) / 12),
  0)</f>
        <v/>
      </c>
      <c r="BE39" s="299">
        <f>IF(AND($F39&lt;=BE$2, OR($G39="",$G39&gt;=BE$2)),
  $H39 * (1 + Assumptions!$C$7) ^ INT(((YEAR(BE$2)-YEAR($F39))*12 + MONTH(BE$2)-MONTH($F39)) / 12),
  0)</f>
        <v/>
      </c>
      <c r="BF39" s="299">
        <f>IF(AND($F39&lt;=BF$2, OR($G39="",$G39&gt;=BF$2)),
  $H39 * (1 + Assumptions!$C$7) ^ INT(((YEAR(BF$2)-YEAR($F39))*12 + MONTH(BF$2)-MONTH($F39)) / 12),
  0)</f>
        <v/>
      </c>
      <c r="BG39" s="299">
        <f>IF(AND($F39&lt;=BG$2, OR($G39="",$G39&gt;=BG$2)),
  $H39 * (1 + Assumptions!$C$7) ^ INT(((YEAR(BG$2)-YEAR($F39))*12 + MONTH(BG$2)-MONTH($F39)) / 12),
  0)</f>
        <v/>
      </c>
      <c r="BH39" s="299">
        <f>IF(AND($F39&lt;=BH$2, OR($G39="",$G39&gt;=BH$2)),
  $H39 * (1 + Assumptions!$C$7) ^ INT(((YEAR(BH$2)-YEAR($F39))*12 + MONTH(BH$2)-MONTH($F39)) / 12),
  0)</f>
        <v/>
      </c>
      <c r="BI39" s="299">
        <f>IF(AND($F39&lt;=BI$2, OR($G39="",$G39&gt;=BI$2)),
  $H39 * (1 + Assumptions!$C$7) ^ INT(((YEAR(BI$2)-YEAR($F39))*12 + MONTH(BI$2)-MONTH($F39)) / 12),
  0)</f>
        <v/>
      </c>
      <c r="BJ39" s="299">
        <f>IF(AND($F39&lt;=BJ$2, OR($G39="",$G39&gt;=BJ$2)),
  $H39 * (1 + Assumptions!$C$7) ^ INT(((YEAR(BJ$2)-YEAR($F39))*12 + MONTH(BJ$2)-MONTH($F39)) / 12),
  0)</f>
        <v/>
      </c>
      <c r="BK39" s="299">
        <f>IF(AND($F39&lt;=BK$2, OR($G39="",$G39&gt;=BK$2)),
  $H39 * (1 + Assumptions!$C$7) ^ INT(((YEAR(BK$2)-YEAR($F39))*12 + MONTH(BK$2)-MONTH($F39)) / 12),
  0)</f>
        <v/>
      </c>
      <c r="BL39" s="299">
        <f>IF(AND($F39&lt;=BL$2, OR($G39="",$G39&gt;=BL$2)),
  $H39 * (1 + Assumptions!$C$7) ^ INT(((YEAR(BL$2)-YEAR($F39))*12 + MONTH(BL$2)-MONTH($F39)) / 12),
  0)</f>
        <v/>
      </c>
      <c r="BM39" s="299">
        <f>IF(AND($F39&lt;=BM$2, OR($G39="",$G39&gt;=BM$2)),
  $H39 * (1 + Assumptions!$C$7) ^ INT(((YEAR(BM$2)-YEAR($F39))*12 + MONTH(BM$2)-MONTH($F39)) / 12),
  0)</f>
        <v/>
      </c>
      <c r="BN39" s="299">
        <f>IF(AND($F39&lt;=BN$2, OR($G39="",$G39&gt;=BN$2)),
  $H39 * (1 + Assumptions!$C$7) ^ INT(((YEAR(BN$2)-YEAR($F39))*12 + MONTH(BN$2)-MONTH($F39)) / 12),
  0)</f>
        <v/>
      </c>
      <c r="BO39" s="299">
        <f>IF(AND($F39&lt;=BO$2, OR($G39="",$G39&gt;=BO$2)),
  $H39 * (1 + Assumptions!$C$7) ^ INT(((YEAR(BO$2)-YEAR($F39))*12 + MONTH(BO$2)-MONTH($F39)) / 12),
  0)</f>
        <v/>
      </c>
      <c r="BP39" s="299">
        <f>IF(AND($F39&lt;=BP$2, OR($G39="",$G39&gt;=BP$2)),
  $H39 * (1 + Assumptions!$C$7) ^ INT(((YEAR(BP$2)-YEAR($F39))*12 + MONTH(BP$2)-MONTH($F39)) / 12),
  0)</f>
        <v/>
      </c>
      <c r="BQ39" s="307" t="n"/>
      <c r="BR39" s="83" t="inlineStr">
        <is>
          <t>paid this month if started and not yet left; +8% on each work anniversary</t>
        </is>
      </c>
      <c r="BS39" s="307" t="n"/>
      <c r="BT39" s="307" t="n"/>
    </row>
    <row r="40" ht="15.75" customHeight="1" s="349">
      <c r="A40" s="321" t="n">
        <v>35</v>
      </c>
      <c r="B40" s="285" t="inlineStr">
        <is>
          <t>New hire</t>
        </is>
      </c>
      <c r="C40" s="23" t="inlineStr">
        <is>
          <t>S&amp;M</t>
        </is>
      </c>
      <c r="D40" s="321" t="inlineStr">
        <is>
          <t>Sales</t>
        </is>
      </c>
      <c r="E40" s="297" t="inlineStr">
        <is>
          <t>Planned</t>
        </is>
      </c>
      <c r="F40" s="318">
        <f>IF(Assumptions!$D$82=2,DATE(2027,4,1),DATE(2028,10,2))</f>
        <v/>
      </c>
      <c r="G40" s="319" t="n"/>
      <c r="H40" s="288" t="n">
        <v>6500</v>
      </c>
      <c r="I40" s="299">
        <f>IF(AND($F40&lt;=I$2, OR($G40="",$G40&gt;=I$2)),
  $H40 * (1 + Assumptions!$C$7) ^ INT(((YEAR(I$2)-YEAR($F40))*12 + MONTH(I$2)-MONTH($F40)) / 12),
  0)</f>
        <v/>
      </c>
      <c r="J40" s="299">
        <f>IF(AND($F40&lt;=J$2, OR($G40="",$G40&gt;=J$2)),
  $H40 * (1 + Assumptions!$C$7) ^ INT(((YEAR(J$2)-YEAR($F40))*12 + MONTH(J$2)-MONTH($F40)) / 12),
  0)</f>
        <v/>
      </c>
      <c r="K40" s="299">
        <f>IF(AND($F40&lt;=K$2, OR($G40="",$G40&gt;=K$2)),
  $H40 * (1 + Assumptions!$C$7) ^ INT(((YEAR(K$2)-YEAR($F40))*12 + MONTH(K$2)-MONTH($F40)) / 12),
  0)</f>
        <v/>
      </c>
      <c r="L40" s="299">
        <f>IF(AND($F40&lt;=L$2, OR($G40="",$G40&gt;=L$2)),
  $H40 * (1 + Assumptions!$C$7) ^ INT(((YEAR(L$2)-YEAR($F40))*12 + MONTH(L$2)-MONTH($F40)) / 12),
  0)</f>
        <v/>
      </c>
      <c r="M40" s="299">
        <f>IF(AND($F40&lt;=M$2, OR($G40="",$G40&gt;=M$2)),
  $H40 * (1 + Assumptions!$C$7) ^ INT(((YEAR(M$2)-YEAR($F40))*12 + MONTH(M$2)-MONTH($F40)) / 12),
  0)</f>
        <v/>
      </c>
      <c r="N40" s="299">
        <f>IF(AND($F40&lt;=N$2, OR($G40="",$G40&gt;=N$2)),
  $H40 * (1 + Assumptions!$C$7) ^ INT(((YEAR(N$2)-YEAR($F40))*12 + MONTH(N$2)-MONTH($F40)) / 12),
  0)</f>
        <v/>
      </c>
      <c r="O40" s="299">
        <f>IF(AND($F40&lt;=O$2, OR($G40="",$G40&gt;=O$2)),
  $H40 * (1 + Assumptions!$C$7) ^ INT(((YEAR(O$2)-YEAR($F40))*12 + MONTH(O$2)-MONTH($F40)) / 12),
  0)</f>
        <v/>
      </c>
      <c r="P40" s="299">
        <f>IF(AND($F40&lt;=P$2, OR($G40="",$G40&gt;=P$2)),
  $H40 * (1 + Assumptions!$C$7) ^ INT(((YEAR(P$2)-YEAR($F40))*12 + MONTH(P$2)-MONTH($F40)) / 12),
  0)</f>
        <v/>
      </c>
      <c r="Q40" s="299">
        <f>IF(AND($F40&lt;=Q$2, OR($G40="",$G40&gt;=Q$2)),
  $H40 * (1 + Assumptions!$C$7) ^ INT(((YEAR(Q$2)-YEAR($F40))*12 + MONTH(Q$2)-MONTH($F40)) / 12),
  0)</f>
        <v/>
      </c>
      <c r="R40" s="299">
        <f>IF(AND($F40&lt;=R$2, OR($G40="",$G40&gt;=R$2)),
  $H40 * (1 + Assumptions!$C$7) ^ INT(((YEAR(R$2)-YEAR($F40))*12 + MONTH(R$2)-MONTH($F40)) / 12),
  0)</f>
        <v/>
      </c>
      <c r="S40" s="299">
        <f>IF(AND($F40&lt;=S$2, OR($G40="",$G40&gt;=S$2)),
  $H40 * (1 + Assumptions!$C$7) ^ INT(((YEAR(S$2)-YEAR($F40))*12 + MONTH(S$2)-MONTH($F40)) / 12),
  0)</f>
        <v/>
      </c>
      <c r="T40" s="299">
        <f>IF(AND($F40&lt;=T$2, OR($G40="",$G40&gt;=T$2)),
  $H40 * (1 + Assumptions!$C$7) ^ INT(((YEAR(T$2)-YEAR($F40))*12 + MONTH(T$2)-MONTH($F40)) / 12),
  0)</f>
        <v/>
      </c>
      <c r="U40" s="299">
        <f>IF(AND($F40&lt;=U$2, OR($G40="",$G40&gt;=U$2)),
  $H40 * (1 + Assumptions!$C$7) ^ INT(((YEAR(U$2)-YEAR($F40))*12 + MONTH(U$2)-MONTH($F40)) / 12),
  0)</f>
        <v/>
      </c>
      <c r="V40" s="299">
        <f>IF(AND($F40&lt;=V$2, OR($G40="",$G40&gt;=V$2)),
  $H40 * (1 + Assumptions!$C$7) ^ INT(((YEAR(V$2)-YEAR($F40))*12 + MONTH(V$2)-MONTH($F40)) / 12),
  0)</f>
        <v/>
      </c>
      <c r="W40" s="299">
        <f>IF(AND($F40&lt;=W$2, OR($G40="",$G40&gt;=W$2)),
  $H40 * (1 + Assumptions!$C$7) ^ INT(((YEAR(W$2)-YEAR($F40))*12 + MONTH(W$2)-MONTH($F40)) / 12),
  0)</f>
        <v/>
      </c>
      <c r="X40" s="299">
        <f>IF(AND($F40&lt;=X$2, OR($G40="",$G40&gt;=X$2)),
  $H40 * (1 + Assumptions!$C$7) ^ INT(((YEAR(X$2)-YEAR($F40))*12 + MONTH(X$2)-MONTH($F40)) / 12),
  0)</f>
        <v/>
      </c>
      <c r="Y40" s="299">
        <f>IF(AND($F40&lt;=Y$2, OR($G40="",$G40&gt;=Y$2)),
  $H40 * (1 + Assumptions!$C$7) ^ INT(((YEAR(Y$2)-YEAR($F40))*12 + MONTH(Y$2)-MONTH($F40)) / 12),
  0)</f>
        <v/>
      </c>
      <c r="Z40" s="299">
        <f>IF(AND($F40&lt;=Z$2, OR($G40="",$G40&gt;=Z$2)),
  $H40 * (1 + Assumptions!$C$7) ^ INT(((YEAR(Z$2)-YEAR($F40))*12 + MONTH(Z$2)-MONTH($F40)) / 12),
  0)</f>
        <v/>
      </c>
      <c r="AA40" s="299">
        <f>IF(AND($F40&lt;=AA$2, OR($G40="",$G40&gt;=AA$2)),
  $H40 * (1 + Assumptions!$C$7) ^ INT(((YEAR(AA$2)-YEAR($F40))*12 + MONTH(AA$2)-MONTH($F40)) / 12),
  0)</f>
        <v/>
      </c>
      <c r="AB40" s="299">
        <f>IF(AND($F40&lt;=AB$2, OR($G40="",$G40&gt;=AB$2)),
  $H40 * (1 + Assumptions!$C$7) ^ INT(((YEAR(AB$2)-YEAR($F40))*12 + MONTH(AB$2)-MONTH($F40)) / 12),
  0)</f>
        <v/>
      </c>
      <c r="AC40" s="299">
        <f>IF(AND($F40&lt;=AC$2, OR($G40="",$G40&gt;=AC$2)),
  $H40 * (1 + Assumptions!$C$7) ^ INT(((YEAR(AC$2)-YEAR($F40))*12 + MONTH(AC$2)-MONTH($F40)) / 12),
  0)</f>
        <v/>
      </c>
      <c r="AD40" s="299">
        <f>IF(AND($F40&lt;=AD$2, OR($G40="",$G40&gt;=AD$2)),
  $H40 * (1 + Assumptions!$C$7) ^ INT(((YEAR(AD$2)-YEAR($F40))*12 + MONTH(AD$2)-MONTH($F40)) / 12),
  0)</f>
        <v/>
      </c>
      <c r="AE40" s="299">
        <f>IF(AND($F40&lt;=AE$2, OR($G40="",$G40&gt;=AE$2)),
  $H40 * (1 + Assumptions!$C$7) ^ INT(((YEAR(AE$2)-YEAR($F40))*12 + MONTH(AE$2)-MONTH($F40)) / 12),
  0)</f>
        <v/>
      </c>
      <c r="AF40" s="299">
        <f>IF(AND($F40&lt;=AF$2, OR($G40="",$G40&gt;=AF$2)),
  $H40 * (1 + Assumptions!$C$7) ^ INT(((YEAR(AF$2)-YEAR($F40))*12 + MONTH(AF$2)-MONTH($F40)) / 12),
  0)</f>
        <v/>
      </c>
      <c r="AG40" s="299">
        <f>IF(AND($F40&lt;=AG$2, OR($G40="",$G40&gt;=AG$2)),
  $H40 * (1 + Assumptions!$C$7) ^ INT(((YEAR(AG$2)-YEAR($F40))*12 + MONTH(AG$2)-MONTH($F40)) / 12),
  0)</f>
        <v/>
      </c>
      <c r="AH40" s="299">
        <f>IF(AND($F40&lt;=AH$2, OR($G40="",$G40&gt;=AH$2)),
  $H40 * (1 + Assumptions!$C$7) ^ INT(((YEAR(AH$2)-YEAR($F40))*12 + MONTH(AH$2)-MONTH($F40)) / 12),
  0)</f>
        <v/>
      </c>
      <c r="AI40" s="299">
        <f>IF(AND($F40&lt;=AI$2, OR($G40="",$G40&gt;=AI$2)),
  $H40 * (1 + Assumptions!$C$7) ^ INT(((YEAR(AI$2)-YEAR($F40))*12 + MONTH(AI$2)-MONTH($F40)) / 12),
  0)</f>
        <v/>
      </c>
      <c r="AJ40" s="299">
        <f>IF(AND($F40&lt;=AJ$2, OR($G40="",$G40&gt;=AJ$2)),
  $H40 * (1 + Assumptions!$C$7) ^ INT(((YEAR(AJ$2)-YEAR($F40))*12 + MONTH(AJ$2)-MONTH($F40)) / 12),
  0)</f>
        <v/>
      </c>
      <c r="AK40" s="299">
        <f>IF(AND($F40&lt;=AK$2, OR($G40="",$G40&gt;=AK$2)),
  $H40 * (1 + Assumptions!$C$7) ^ INT(((YEAR(AK$2)-YEAR($F40))*12 + MONTH(AK$2)-MONTH($F40)) / 12),
  0)</f>
        <v/>
      </c>
      <c r="AL40" s="299">
        <f>IF(AND($F40&lt;=AL$2, OR($G40="",$G40&gt;=AL$2)),
  $H40 * (1 + Assumptions!$C$7) ^ INT(((YEAR(AL$2)-YEAR($F40))*12 + MONTH(AL$2)-MONTH($F40)) / 12),
  0)</f>
        <v/>
      </c>
      <c r="AM40" s="299">
        <f>IF(AND($F40&lt;=AM$2, OR($G40="",$G40&gt;=AM$2)),
  $H40 * (1 + Assumptions!$C$7) ^ INT(((YEAR(AM$2)-YEAR($F40))*12 + MONTH(AM$2)-MONTH($F40)) / 12),
  0)</f>
        <v/>
      </c>
      <c r="AN40" s="299">
        <f>IF(AND($F40&lt;=AN$2, OR($G40="",$G40&gt;=AN$2)),
  $H40 * (1 + Assumptions!$C$7) ^ INT(((YEAR(AN$2)-YEAR($F40))*12 + MONTH(AN$2)-MONTH($F40)) / 12),
  0)</f>
        <v/>
      </c>
      <c r="AO40" s="299">
        <f>IF(AND($F40&lt;=AO$2, OR($G40="",$G40&gt;=AO$2)),
  $H40 * (1 + Assumptions!$C$7) ^ INT(((YEAR(AO$2)-YEAR($F40))*12 + MONTH(AO$2)-MONTH($F40)) / 12),
  0)</f>
        <v/>
      </c>
      <c r="AP40" s="299">
        <f>IF(AND($F40&lt;=AP$2, OR($G40="",$G40&gt;=AP$2)),
  $H40 * (1 + Assumptions!$C$7) ^ INT(((YEAR(AP$2)-YEAR($F40))*12 + MONTH(AP$2)-MONTH($F40)) / 12),
  0)</f>
        <v/>
      </c>
      <c r="AQ40" s="299">
        <f>IF(AND($F40&lt;=AQ$2, OR($G40="",$G40&gt;=AQ$2)),
  $H40 * (1 + Assumptions!$C$7) ^ INT(((YEAR(AQ$2)-YEAR($F40))*12 + MONTH(AQ$2)-MONTH($F40)) / 12),
  0)</f>
        <v/>
      </c>
      <c r="AR40" s="299">
        <f>IF(AND($F40&lt;=AR$2, OR($G40="",$G40&gt;=AR$2)),
  $H40 * (1 + Assumptions!$C$7) ^ INT(((YEAR(AR$2)-YEAR($F40))*12 + MONTH(AR$2)-MONTH($F40)) / 12),
  0)</f>
        <v/>
      </c>
      <c r="AS40" s="299">
        <f>IF(AND($F40&lt;=AS$2, OR($G40="",$G40&gt;=AS$2)),
  $H40 * (1 + Assumptions!$C$7) ^ INT(((YEAR(AS$2)-YEAR($F40))*12 + MONTH(AS$2)-MONTH($F40)) / 12),
  0)</f>
        <v/>
      </c>
      <c r="AT40" s="299">
        <f>IF(AND($F40&lt;=AT$2, OR($G40="",$G40&gt;=AT$2)),
  $H40 * (1 + Assumptions!$C$7) ^ INT(((YEAR(AT$2)-YEAR($F40))*12 + MONTH(AT$2)-MONTH($F40)) / 12),
  0)</f>
        <v/>
      </c>
      <c r="AU40" s="299">
        <f>IF(AND($F40&lt;=AU$2, OR($G40="",$G40&gt;=AU$2)),
  $H40 * (1 + Assumptions!$C$7) ^ INT(((YEAR(AU$2)-YEAR($F40))*12 + MONTH(AU$2)-MONTH($F40)) / 12),
  0)</f>
        <v/>
      </c>
      <c r="AV40" s="299">
        <f>IF(AND($F40&lt;=AV$2, OR($G40="",$G40&gt;=AV$2)),
  $H40 * (1 + Assumptions!$C$7) ^ INT(((YEAR(AV$2)-YEAR($F40))*12 + MONTH(AV$2)-MONTH($F40)) / 12),
  0)</f>
        <v/>
      </c>
      <c r="AW40" s="299">
        <f>IF(AND($F40&lt;=AW$2, OR($G40="",$G40&gt;=AW$2)),
  $H40 * (1 + Assumptions!$C$7) ^ INT(((YEAR(AW$2)-YEAR($F40))*12 + MONTH(AW$2)-MONTH($F40)) / 12),
  0)</f>
        <v/>
      </c>
      <c r="AX40" s="299">
        <f>IF(AND($F40&lt;=AX$2, OR($G40="",$G40&gt;=AX$2)),
  $H40 * (1 + Assumptions!$C$7) ^ INT(((YEAR(AX$2)-YEAR($F40))*12 + MONTH(AX$2)-MONTH($F40)) / 12),
  0)</f>
        <v/>
      </c>
      <c r="AY40" s="299">
        <f>IF(AND($F40&lt;=AY$2, OR($G40="",$G40&gt;=AY$2)),
  $H40 * (1 + Assumptions!$C$7) ^ INT(((YEAR(AY$2)-YEAR($F40))*12 + MONTH(AY$2)-MONTH($F40)) / 12),
  0)</f>
        <v/>
      </c>
      <c r="AZ40" s="299">
        <f>IF(AND($F40&lt;=AZ$2, OR($G40="",$G40&gt;=AZ$2)),
  $H40 * (1 + Assumptions!$C$7) ^ INT(((YEAR(AZ$2)-YEAR($F40))*12 + MONTH(AZ$2)-MONTH($F40)) / 12),
  0)</f>
        <v/>
      </c>
      <c r="BA40" s="299">
        <f>IF(AND($F40&lt;=BA$2, OR($G40="",$G40&gt;=BA$2)),
  $H40 * (1 + Assumptions!$C$7) ^ INT(((YEAR(BA$2)-YEAR($F40))*12 + MONTH(BA$2)-MONTH($F40)) / 12),
  0)</f>
        <v/>
      </c>
      <c r="BB40" s="299">
        <f>IF(AND($F40&lt;=BB$2, OR($G40="",$G40&gt;=BB$2)),
  $H40 * (1 + Assumptions!$C$7) ^ INT(((YEAR(BB$2)-YEAR($F40))*12 + MONTH(BB$2)-MONTH($F40)) / 12),
  0)</f>
        <v/>
      </c>
      <c r="BC40" s="299">
        <f>IF(AND($F40&lt;=BC$2, OR($G40="",$G40&gt;=BC$2)),
  $H40 * (1 + Assumptions!$C$7) ^ INT(((YEAR(BC$2)-YEAR($F40))*12 + MONTH(BC$2)-MONTH($F40)) / 12),
  0)</f>
        <v/>
      </c>
      <c r="BD40" s="299">
        <f>IF(AND($F40&lt;=BD$2, OR($G40="",$G40&gt;=BD$2)),
  $H40 * (1 + Assumptions!$C$7) ^ INT(((YEAR(BD$2)-YEAR($F40))*12 + MONTH(BD$2)-MONTH($F40)) / 12),
  0)</f>
        <v/>
      </c>
      <c r="BE40" s="299">
        <f>IF(AND($F40&lt;=BE$2, OR($G40="",$G40&gt;=BE$2)),
  $H40 * (1 + Assumptions!$C$7) ^ INT(((YEAR(BE$2)-YEAR($F40))*12 + MONTH(BE$2)-MONTH($F40)) / 12),
  0)</f>
        <v/>
      </c>
      <c r="BF40" s="299">
        <f>IF(AND($F40&lt;=BF$2, OR($G40="",$G40&gt;=BF$2)),
  $H40 * (1 + Assumptions!$C$7) ^ INT(((YEAR(BF$2)-YEAR($F40))*12 + MONTH(BF$2)-MONTH($F40)) / 12),
  0)</f>
        <v/>
      </c>
      <c r="BG40" s="299">
        <f>IF(AND($F40&lt;=BG$2, OR($G40="",$G40&gt;=BG$2)),
  $H40 * (1 + Assumptions!$C$7) ^ INT(((YEAR(BG$2)-YEAR($F40))*12 + MONTH(BG$2)-MONTH($F40)) / 12),
  0)</f>
        <v/>
      </c>
      <c r="BH40" s="299">
        <f>IF(AND($F40&lt;=BH$2, OR($G40="",$G40&gt;=BH$2)),
  $H40 * (1 + Assumptions!$C$7) ^ INT(((YEAR(BH$2)-YEAR($F40))*12 + MONTH(BH$2)-MONTH($F40)) / 12),
  0)</f>
        <v/>
      </c>
      <c r="BI40" s="299">
        <f>IF(AND($F40&lt;=BI$2, OR($G40="",$G40&gt;=BI$2)),
  $H40 * (1 + Assumptions!$C$7) ^ INT(((YEAR(BI$2)-YEAR($F40))*12 + MONTH(BI$2)-MONTH($F40)) / 12),
  0)</f>
        <v/>
      </c>
      <c r="BJ40" s="299">
        <f>IF(AND($F40&lt;=BJ$2, OR($G40="",$G40&gt;=BJ$2)),
  $H40 * (1 + Assumptions!$C$7) ^ INT(((YEAR(BJ$2)-YEAR($F40))*12 + MONTH(BJ$2)-MONTH($F40)) / 12),
  0)</f>
        <v/>
      </c>
      <c r="BK40" s="299">
        <f>IF(AND($F40&lt;=BK$2, OR($G40="",$G40&gt;=BK$2)),
  $H40 * (1 + Assumptions!$C$7) ^ INT(((YEAR(BK$2)-YEAR($F40))*12 + MONTH(BK$2)-MONTH($F40)) / 12),
  0)</f>
        <v/>
      </c>
      <c r="BL40" s="299">
        <f>IF(AND($F40&lt;=BL$2, OR($G40="",$G40&gt;=BL$2)),
  $H40 * (1 + Assumptions!$C$7) ^ INT(((YEAR(BL$2)-YEAR($F40))*12 + MONTH(BL$2)-MONTH($F40)) / 12),
  0)</f>
        <v/>
      </c>
      <c r="BM40" s="299">
        <f>IF(AND($F40&lt;=BM$2, OR($G40="",$G40&gt;=BM$2)),
  $H40 * (1 + Assumptions!$C$7) ^ INT(((YEAR(BM$2)-YEAR($F40))*12 + MONTH(BM$2)-MONTH($F40)) / 12),
  0)</f>
        <v/>
      </c>
      <c r="BN40" s="299">
        <f>IF(AND($F40&lt;=BN$2, OR($G40="",$G40&gt;=BN$2)),
  $H40 * (1 + Assumptions!$C$7) ^ INT(((YEAR(BN$2)-YEAR($F40))*12 + MONTH(BN$2)-MONTH($F40)) / 12),
  0)</f>
        <v/>
      </c>
      <c r="BO40" s="299">
        <f>IF(AND($F40&lt;=BO$2, OR($G40="",$G40&gt;=BO$2)),
  $H40 * (1 + Assumptions!$C$7) ^ INT(((YEAR(BO$2)-YEAR($F40))*12 + MONTH(BO$2)-MONTH($F40)) / 12),
  0)</f>
        <v/>
      </c>
      <c r="BP40" s="299">
        <f>IF(AND($F40&lt;=BP$2, OR($G40="",$G40&gt;=BP$2)),
  $H40 * (1 + Assumptions!$C$7) ^ INT(((YEAR(BP$2)-YEAR($F40))*12 + MONTH(BP$2)-MONTH($F40)) / 12),
  0)</f>
        <v/>
      </c>
      <c r="BQ40" s="307" t="n"/>
      <c r="BR40" s="83" t="inlineStr">
        <is>
          <t>paid this month if started and not yet left; +8% on each work anniversary</t>
        </is>
      </c>
      <c r="BS40" s="307" t="n"/>
      <c r="BT40" s="307" t="n"/>
    </row>
    <row r="41" ht="15.75" customHeight="1" s="349">
      <c r="A41" s="321" t="n">
        <v>36</v>
      </c>
      <c r="B41" s="285" t="inlineStr">
        <is>
          <t>New hire</t>
        </is>
      </c>
      <c r="C41" s="23" t="inlineStr">
        <is>
          <t>R&amp;D</t>
        </is>
      </c>
      <c r="D41" s="321" t="inlineStr">
        <is>
          <t>Field Engineer</t>
        </is>
      </c>
      <c r="E41" s="297" t="inlineStr">
        <is>
          <t>Planned</t>
        </is>
      </c>
      <c r="F41" s="318">
        <f>IF(Assumptions!$D$82=2,DATE(2028,1,1),DATE(2029,1,1))</f>
        <v/>
      </c>
      <c r="G41" s="319" t="n"/>
      <c r="H41" s="288" t="n">
        <v>6500</v>
      </c>
      <c r="I41" s="299">
        <f>IF(AND($F41&lt;=I$2, OR($G41="",$G41&gt;=I$2)),
  $H41 * (1 + Assumptions!$C$7) ^ INT(((YEAR(I$2)-YEAR($F41))*12 + MONTH(I$2)-MONTH($F41)) / 12),
  0)</f>
        <v/>
      </c>
      <c r="J41" s="299">
        <f>IF(AND($F41&lt;=J$2, OR($G41="",$G41&gt;=J$2)),
  $H41 * (1 + Assumptions!$C$7) ^ INT(((YEAR(J$2)-YEAR($F41))*12 + MONTH(J$2)-MONTH($F41)) / 12),
  0)</f>
        <v/>
      </c>
      <c r="K41" s="299">
        <f>IF(AND($F41&lt;=K$2, OR($G41="",$G41&gt;=K$2)),
  $H41 * (1 + Assumptions!$C$7) ^ INT(((YEAR(K$2)-YEAR($F41))*12 + MONTH(K$2)-MONTH($F41)) / 12),
  0)</f>
        <v/>
      </c>
      <c r="L41" s="299">
        <f>IF(AND($F41&lt;=L$2, OR($G41="",$G41&gt;=L$2)),
  $H41 * (1 + Assumptions!$C$7) ^ INT(((YEAR(L$2)-YEAR($F41))*12 + MONTH(L$2)-MONTH($F41)) / 12),
  0)</f>
        <v/>
      </c>
      <c r="M41" s="299">
        <f>IF(AND($F41&lt;=M$2, OR($G41="",$G41&gt;=M$2)),
  $H41 * (1 + Assumptions!$C$7) ^ INT(((YEAR(M$2)-YEAR($F41))*12 + MONTH(M$2)-MONTH($F41)) / 12),
  0)</f>
        <v/>
      </c>
      <c r="N41" s="299">
        <f>IF(AND($F41&lt;=N$2, OR($G41="",$G41&gt;=N$2)),
  $H41 * (1 + Assumptions!$C$7) ^ INT(((YEAR(N$2)-YEAR($F41))*12 + MONTH(N$2)-MONTH($F41)) / 12),
  0)</f>
        <v/>
      </c>
      <c r="O41" s="299">
        <f>IF(AND($F41&lt;=O$2, OR($G41="",$G41&gt;=O$2)),
  $H41 * (1 + Assumptions!$C$7) ^ INT(((YEAR(O$2)-YEAR($F41))*12 + MONTH(O$2)-MONTH($F41)) / 12),
  0)</f>
        <v/>
      </c>
      <c r="P41" s="299">
        <f>IF(AND($F41&lt;=P$2, OR($G41="",$G41&gt;=P$2)),
  $H41 * (1 + Assumptions!$C$7) ^ INT(((YEAR(P$2)-YEAR($F41))*12 + MONTH(P$2)-MONTH($F41)) / 12),
  0)</f>
        <v/>
      </c>
      <c r="Q41" s="299">
        <f>IF(AND($F41&lt;=Q$2, OR($G41="",$G41&gt;=Q$2)),
  $H41 * (1 + Assumptions!$C$7) ^ INT(((YEAR(Q$2)-YEAR($F41))*12 + MONTH(Q$2)-MONTH($F41)) / 12),
  0)</f>
        <v/>
      </c>
      <c r="R41" s="299">
        <f>IF(AND($F41&lt;=R$2, OR($G41="",$G41&gt;=R$2)),
  $H41 * (1 + Assumptions!$C$7) ^ INT(((YEAR(R$2)-YEAR($F41))*12 + MONTH(R$2)-MONTH($F41)) / 12),
  0)</f>
        <v/>
      </c>
      <c r="S41" s="299">
        <f>IF(AND($F41&lt;=S$2, OR($G41="",$G41&gt;=S$2)),
  $H41 * (1 + Assumptions!$C$7) ^ INT(((YEAR(S$2)-YEAR($F41))*12 + MONTH(S$2)-MONTH($F41)) / 12),
  0)</f>
        <v/>
      </c>
      <c r="T41" s="299">
        <f>IF(AND($F41&lt;=T$2, OR($G41="",$G41&gt;=T$2)),
  $H41 * (1 + Assumptions!$C$7) ^ INT(((YEAR(T$2)-YEAR($F41))*12 + MONTH(T$2)-MONTH($F41)) / 12),
  0)</f>
        <v/>
      </c>
      <c r="U41" s="299">
        <f>IF(AND($F41&lt;=U$2, OR($G41="",$G41&gt;=U$2)),
  $H41 * (1 + Assumptions!$C$7) ^ INT(((YEAR(U$2)-YEAR($F41))*12 + MONTH(U$2)-MONTH($F41)) / 12),
  0)</f>
        <v/>
      </c>
      <c r="V41" s="299">
        <f>IF(AND($F41&lt;=V$2, OR($G41="",$G41&gt;=V$2)),
  $H41 * (1 + Assumptions!$C$7) ^ INT(((YEAR(V$2)-YEAR($F41))*12 + MONTH(V$2)-MONTH($F41)) / 12),
  0)</f>
        <v/>
      </c>
      <c r="W41" s="299">
        <f>IF(AND($F41&lt;=W$2, OR($G41="",$G41&gt;=W$2)),
  $H41 * (1 + Assumptions!$C$7) ^ INT(((YEAR(W$2)-YEAR($F41))*12 + MONTH(W$2)-MONTH($F41)) / 12),
  0)</f>
        <v/>
      </c>
      <c r="X41" s="299">
        <f>IF(AND($F41&lt;=X$2, OR($G41="",$G41&gt;=X$2)),
  $H41 * (1 + Assumptions!$C$7) ^ INT(((YEAR(X$2)-YEAR($F41))*12 + MONTH(X$2)-MONTH($F41)) / 12),
  0)</f>
        <v/>
      </c>
      <c r="Y41" s="299">
        <f>IF(AND($F41&lt;=Y$2, OR($G41="",$G41&gt;=Y$2)),
  $H41 * (1 + Assumptions!$C$7) ^ INT(((YEAR(Y$2)-YEAR($F41))*12 + MONTH(Y$2)-MONTH($F41)) / 12),
  0)</f>
        <v/>
      </c>
      <c r="Z41" s="299">
        <f>IF(AND($F41&lt;=Z$2, OR($G41="",$G41&gt;=Z$2)),
  $H41 * (1 + Assumptions!$C$7) ^ INT(((YEAR(Z$2)-YEAR($F41))*12 + MONTH(Z$2)-MONTH($F41)) / 12),
  0)</f>
        <v/>
      </c>
      <c r="AA41" s="299">
        <f>IF(AND($F41&lt;=AA$2, OR($G41="",$G41&gt;=AA$2)),
  $H41 * (1 + Assumptions!$C$7) ^ INT(((YEAR(AA$2)-YEAR($F41))*12 + MONTH(AA$2)-MONTH($F41)) / 12),
  0)</f>
        <v/>
      </c>
      <c r="AB41" s="299">
        <f>IF(AND($F41&lt;=AB$2, OR($G41="",$G41&gt;=AB$2)),
  $H41 * (1 + Assumptions!$C$7) ^ INT(((YEAR(AB$2)-YEAR($F41))*12 + MONTH(AB$2)-MONTH($F41)) / 12),
  0)</f>
        <v/>
      </c>
      <c r="AC41" s="299">
        <f>IF(AND($F41&lt;=AC$2, OR($G41="",$G41&gt;=AC$2)),
  $H41 * (1 + Assumptions!$C$7) ^ INT(((YEAR(AC$2)-YEAR($F41))*12 + MONTH(AC$2)-MONTH($F41)) / 12),
  0)</f>
        <v/>
      </c>
      <c r="AD41" s="299">
        <f>IF(AND($F41&lt;=AD$2, OR($G41="",$G41&gt;=AD$2)),
  $H41 * (1 + Assumptions!$C$7) ^ INT(((YEAR(AD$2)-YEAR($F41))*12 + MONTH(AD$2)-MONTH($F41)) / 12),
  0)</f>
        <v/>
      </c>
      <c r="AE41" s="299">
        <f>IF(AND($F41&lt;=AE$2, OR($G41="",$G41&gt;=AE$2)),
  $H41 * (1 + Assumptions!$C$7) ^ INT(((YEAR(AE$2)-YEAR($F41))*12 + MONTH(AE$2)-MONTH($F41)) / 12),
  0)</f>
        <v/>
      </c>
      <c r="AF41" s="299">
        <f>IF(AND($F41&lt;=AF$2, OR($G41="",$G41&gt;=AF$2)),
  $H41 * (1 + Assumptions!$C$7) ^ INT(((YEAR(AF$2)-YEAR($F41))*12 + MONTH(AF$2)-MONTH($F41)) / 12),
  0)</f>
        <v/>
      </c>
      <c r="AG41" s="299">
        <f>IF(AND($F41&lt;=AG$2, OR($G41="",$G41&gt;=AG$2)),
  $H41 * (1 + Assumptions!$C$7) ^ INT(((YEAR(AG$2)-YEAR($F41))*12 + MONTH(AG$2)-MONTH($F41)) / 12),
  0)</f>
        <v/>
      </c>
      <c r="AH41" s="299">
        <f>IF(AND($F41&lt;=AH$2, OR($G41="",$G41&gt;=AH$2)),
  $H41 * (1 + Assumptions!$C$7) ^ INT(((YEAR(AH$2)-YEAR($F41))*12 + MONTH(AH$2)-MONTH($F41)) / 12),
  0)</f>
        <v/>
      </c>
      <c r="AI41" s="299">
        <f>IF(AND($F41&lt;=AI$2, OR($G41="",$G41&gt;=AI$2)),
  $H41 * (1 + Assumptions!$C$7) ^ INT(((YEAR(AI$2)-YEAR($F41))*12 + MONTH(AI$2)-MONTH($F41)) / 12),
  0)</f>
        <v/>
      </c>
      <c r="AJ41" s="299">
        <f>IF(AND($F41&lt;=AJ$2, OR($G41="",$G41&gt;=AJ$2)),
  $H41 * (1 + Assumptions!$C$7) ^ INT(((YEAR(AJ$2)-YEAR($F41))*12 + MONTH(AJ$2)-MONTH($F41)) / 12),
  0)</f>
        <v/>
      </c>
      <c r="AK41" s="299">
        <f>IF(AND($F41&lt;=AK$2, OR($G41="",$G41&gt;=AK$2)),
  $H41 * (1 + Assumptions!$C$7) ^ INT(((YEAR(AK$2)-YEAR($F41))*12 + MONTH(AK$2)-MONTH($F41)) / 12),
  0)</f>
        <v/>
      </c>
      <c r="AL41" s="299">
        <f>IF(AND($F41&lt;=AL$2, OR($G41="",$G41&gt;=AL$2)),
  $H41 * (1 + Assumptions!$C$7) ^ INT(((YEAR(AL$2)-YEAR($F41))*12 + MONTH(AL$2)-MONTH($F41)) / 12),
  0)</f>
        <v/>
      </c>
      <c r="AM41" s="299">
        <f>IF(AND($F41&lt;=AM$2, OR($G41="",$G41&gt;=AM$2)),
  $H41 * (1 + Assumptions!$C$7) ^ INT(((YEAR(AM$2)-YEAR($F41))*12 + MONTH(AM$2)-MONTH($F41)) / 12),
  0)</f>
        <v/>
      </c>
      <c r="AN41" s="299">
        <f>IF(AND($F41&lt;=AN$2, OR($G41="",$G41&gt;=AN$2)),
  $H41 * (1 + Assumptions!$C$7) ^ INT(((YEAR(AN$2)-YEAR($F41))*12 + MONTH(AN$2)-MONTH($F41)) / 12),
  0)</f>
        <v/>
      </c>
      <c r="AO41" s="299">
        <f>IF(AND($F41&lt;=AO$2, OR($G41="",$G41&gt;=AO$2)),
  $H41 * (1 + Assumptions!$C$7) ^ INT(((YEAR(AO$2)-YEAR($F41))*12 + MONTH(AO$2)-MONTH($F41)) / 12),
  0)</f>
        <v/>
      </c>
      <c r="AP41" s="299">
        <f>IF(AND($F41&lt;=AP$2, OR($G41="",$G41&gt;=AP$2)),
  $H41 * (1 + Assumptions!$C$7) ^ INT(((YEAR(AP$2)-YEAR($F41))*12 + MONTH(AP$2)-MONTH($F41)) / 12),
  0)</f>
        <v/>
      </c>
      <c r="AQ41" s="299">
        <f>IF(AND($F41&lt;=AQ$2, OR($G41="",$G41&gt;=AQ$2)),
  $H41 * (1 + Assumptions!$C$7) ^ INT(((YEAR(AQ$2)-YEAR($F41))*12 + MONTH(AQ$2)-MONTH($F41)) / 12),
  0)</f>
        <v/>
      </c>
      <c r="AR41" s="299">
        <f>IF(AND($F41&lt;=AR$2, OR($G41="",$G41&gt;=AR$2)),
  $H41 * (1 + Assumptions!$C$7) ^ INT(((YEAR(AR$2)-YEAR($F41))*12 + MONTH(AR$2)-MONTH($F41)) / 12),
  0)</f>
        <v/>
      </c>
      <c r="AS41" s="299">
        <f>IF(AND($F41&lt;=AS$2, OR($G41="",$G41&gt;=AS$2)),
  $H41 * (1 + Assumptions!$C$7) ^ INT(((YEAR(AS$2)-YEAR($F41))*12 + MONTH(AS$2)-MONTH($F41)) / 12),
  0)</f>
        <v/>
      </c>
      <c r="AT41" s="299">
        <f>IF(AND($F41&lt;=AT$2, OR($G41="",$G41&gt;=AT$2)),
  $H41 * (1 + Assumptions!$C$7) ^ INT(((YEAR(AT$2)-YEAR($F41))*12 + MONTH(AT$2)-MONTH($F41)) / 12),
  0)</f>
        <v/>
      </c>
      <c r="AU41" s="299">
        <f>IF(AND($F41&lt;=AU$2, OR($G41="",$G41&gt;=AU$2)),
  $H41 * (1 + Assumptions!$C$7) ^ INT(((YEAR(AU$2)-YEAR($F41))*12 + MONTH(AU$2)-MONTH($F41)) / 12),
  0)</f>
        <v/>
      </c>
      <c r="AV41" s="299">
        <f>IF(AND($F41&lt;=AV$2, OR($G41="",$G41&gt;=AV$2)),
  $H41 * (1 + Assumptions!$C$7) ^ INT(((YEAR(AV$2)-YEAR($F41))*12 + MONTH(AV$2)-MONTH($F41)) / 12),
  0)</f>
        <v/>
      </c>
      <c r="AW41" s="299">
        <f>IF(AND($F41&lt;=AW$2, OR($G41="",$G41&gt;=AW$2)),
  $H41 * (1 + Assumptions!$C$7) ^ INT(((YEAR(AW$2)-YEAR($F41))*12 + MONTH(AW$2)-MONTH($F41)) / 12),
  0)</f>
        <v/>
      </c>
      <c r="AX41" s="299">
        <f>IF(AND($F41&lt;=AX$2, OR($G41="",$G41&gt;=AX$2)),
  $H41 * (1 + Assumptions!$C$7) ^ INT(((YEAR(AX$2)-YEAR($F41))*12 + MONTH(AX$2)-MONTH($F41)) / 12),
  0)</f>
        <v/>
      </c>
      <c r="AY41" s="299">
        <f>IF(AND($F41&lt;=AY$2, OR($G41="",$G41&gt;=AY$2)),
  $H41 * (1 + Assumptions!$C$7) ^ INT(((YEAR(AY$2)-YEAR($F41))*12 + MONTH(AY$2)-MONTH($F41)) / 12),
  0)</f>
        <v/>
      </c>
      <c r="AZ41" s="299">
        <f>IF(AND($F41&lt;=AZ$2, OR($G41="",$G41&gt;=AZ$2)),
  $H41 * (1 + Assumptions!$C$7) ^ INT(((YEAR(AZ$2)-YEAR($F41))*12 + MONTH(AZ$2)-MONTH($F41)) / 12),
  0)</f>
        <v/>
      </c>
      <c r="BA41" s="299">
        <f>IF(AND($F41&lt;=BA$2, OR($G41="",$G41&gt;=BA$2)),
  $H41 * (1 + Assumptions!$C$7) ^ INT(((YEAR(BA$2)-YEAR($F41))*12 + MONTH(BA$2)-MONTH($F41)) / 12),
  0)</f>
        <v/>
      </c>
      <c r="BB41" s="299">
        <f>IF(AND($F41&lt;=BB$2, OR($G41="",$G41&gt;=BB$2)),
  $H41 * (1 + Assumptions!$C$7) ^ INT(((YEAR(BB$2)-YEAR($F41))*12 + MONTH(BB$2)-MONTH($F41)) / 12),
  0)</f>
        <v/>
      </c>
      <c r="BC41" s="299">
        <f>IF(AND($F41&lt;=BC$2, OR($G41="",$G41&gt;=BC$2)),
  $H41 * (1 + Assumptions!$C$7) ^ INT(((YEAR(BC$2)-YEAR($F41))*12 + MONTH(BC$2)-MONTH($F41)) / 12),
  0)</f>
        <v/>
      </c>
      <c r="BD41" s="299">
        <f>IF(AND($F41&lt;=BD$2, OR($G41="",$G41&gt;=BD$2)),
  $H41 * (1 + Assumptions!$C$7) ^ INT(((YEAR(BD$2)-YEAR($F41))*12 + MONTH(BD$2)-MONTH($F41)) / 12),
  0)</f>
        <v/>
      </c>
      <c r="BE41" s="299">
        <f>IF(AND($F41&lt;=BE$2, OR($G41="",$G41&gt;=BE$2)),
  $H41 * (1 + Assumptions!$C$7) ^ INT(((YEAR(BE$2)-YEAR($F41))*12 + MONTH(BE$2)-MONTH($F41)) / 12),
  0)</f>
        <v/>
      </c>
      <c r="BF41" s="299">
        <f>IF(AND($F41&lt;=BF$2, OR($G41="",$G41&gt;=BF$2)),
  $H41 * (1 + Assumptions!$C$7) ^ INT(((YEAR(BF$2)-YEAR($F41))*12 + MONTH(BF$2)-MONTH($F41)) / 12),
  0)</f>
        <v/>
      </c>
      <c r="BG41" s="299">
        <f>IF(AND($F41&lt;=BG$2, OR($G41="",$G41&gt;=BG$2)),
  $H41 * (1 + Assumptions!$C$7) ^ INT(((YEAR(BG$2)-YEAR($F41))*12 + MONTH(BG$2)-MONTH($F41)) / 12),
  0)</f>
        <v/>
      </c>
      <c r="BH41" s="299">
        <f>IF(AND($F41&lt;=BH$2, OR($G41="",$G41&gt;=BH$2)),
  $H41 * (1 + Assumptions!$C$7) ^ INT(((YEAR(BH$2)-YEAR($F41))*12 + MONTH(BH$2)-MONTH($F41)) / 12),
  0)</f>
        <v/>
      </c>
      <c r="BI41" s="299">
        <f>IF(AND($F41&lt;=BI$2, OR($G41="",$G41&gt;=BI$2)),
  $H41 * (1 + Assumptions!$C$7) ^ INT(((YEAR(BI$2)-YEAR($F41))*12 + MONTH(BI$2)-MONTH($F41)) / 12),
  0)</f>
        <v/>
      </c>
      <c r="BJ41" s="299">
        <f>IF(AND($F41&lt;=BJ$2, OR($G41="",$G41&gt;=BJ$2)),
  $H41 * (1 + Assumptions!$C$7) ^ INT(((YEAR(BJ$2)-YEAR($F41))*12 + MONTH(BJ$2)-MONTH($F41)) / 12),
  0)</f>
        <v/>
      </c>
      <c r="BK41" s="299">
        <f>IF(AND($F41&lt;=BK$2, OR($G41="",$G41&gt;=BK$2)),
  $H41 * (1 + Assumptions!$C$7) ^ INT(((YEAR(BK$2)-YEAR($F41))*12 + MONTH(BK$2)-MONTH($F41)) / 12),
  0)</f>
        <v/>
      </c>
      <c r="BL41" s="299">
        <f>IF(AND($F41&lt;=BL$2, OR($G41="",$G41&gt;=BL$2)),
  $H41 * (1 + Assumptions!$C$7) ^ INT(((YEAR(BL$2)-YEAR($F41))*12 + MONTH(BL$2)-MONTH($F41)) / 12),
  0)</f>
        <v/>
      </c>
      <c r="BM41" s="299">
        <f>IF(AND($F41&lt;=BM$2, OR($G41="",$G41&gt;=BM$2)),
  $H41 * (1 + Assumptions!$C$7) ^ INT(((YEAR(BM$2)-YEAR($F41))*12 + MONTH(BM$2)-MONTH($F41)) / 12),
  0)</f>
        <v/>
      </c>
      <c r="BN41" s="299">
        <f>IF(AND($F41&lt;=BN$2, OR($G41="",$G41&gt;=BN$2)),
  $H41 * (1 + Assumptions!$C$7) ^ INT(((YEAR(BN$2)-YEAR($F41))*12 + MONTH(BN$2)-MONTH($F41)) / 12),
  0)</f>
        <v/>
      </c>
      <c r="BO41" s="299">
        <f>IF(AND($F41&lt;=BO$2, OR($G41="",$G41&gt;=BO$2)),
  $H41 * (1 + Assumptions!$C$7) ^ INT(((YEAR(BO$2)-YEAR($F41))*12 + MONTH(BO$2)-MONTH($F41)) / 12),
  0)</f>
        <v/>
      </c>
      <c r="BP41" s="299">
        <f>IF(AND($F41&lt;=BP$2, OR($G41="",$G41&gt;=BP$2)),
  $H41 * (1 + Assumptions!$C$7) ^ INT(((YEAR(BP$2)-YEAR($F41))*12 + MONTH(BP$2)-MONTH($F41)) / 12),
  0)</f>
        <v/>
      </c>
      <c r="BQ41" s="307" t="n"/>
      <c r="BR41" s="83" t="inlineStr">
        <is>
          <t>paid this month if started and not yet left; +8% on each work anniversary</t>
        </is>
      </c>
      <c r="BS41" s="307" t="n"/>
      <c r="BT41" s="307" t="n"/>
    </row>
    <row r="42" ht="15.75" customHeight="1" s="349">
      <c r="A42" s="321" t="n">
        <v>37</v>
      </c>
      <c r="B42" s="285" t="inlineStr">
        <is>
          <t>New hire</t>
        </is>
      </c>
      <c r="C42" s="23" t="inlineStr">
        <is>
          <t>R&amp;D</t>
        </is>
      </c>
      <c r="D42" s="321" t="inlineStr">
        <is>
          <t>Field Engineer</t>
        </is>
      </c>
      <c r="E42" s="297" t="inlineStr">
        <is>
          <t>Planned</t>
        </is>
      </c>
      <c r="F42" s="318">
        <f>IF(Assumptions!$D$82=2,DATE(2028,1,2),DATE(2029,1,1))</f>
        <v/>
      </c>
      <c r="G42" s="319" t="n"/>
      <c r="H42" s="288" t="n">
        <v>6500</v>
      </c>
      <c r="I42" s="299">
        <f>IF(AND($F42&lt;=I$2, OR($G42="",$G42&gt;=I$2)),
  $H42 * (1 + Assumptions!$C$7) ^ INT(((YEAR(I$2)-YEAR($F42))*12 + MONTH(I$2)-MONTH($F42)) / 12),
  0)</f>
        <v/>
      </c>
      <c r="J42" s="299">
        <f>IF(AND($F42&lt;=J$2, OR($G42="",$G42&gt;=J$2)),
  $H42 * (1 + Assumptions!$C$7) ^ INT(((YEAR(J$2)-YEAR($F42))*12 + MONTH(J$2)-MONTH($F42)) / 12),
  0)</f>
        <v/>
      </c>
      <c r="K42" s="299">
        <f>IF(AND($F42&lt;=K$2, OR($G42="",$G42&gt;=K$2)),
  $H42 * (1 + Assumptions!$C$7) ^ INT(((YEAR(K$2)-YEAR($F42))*12 + MONTH(K$2)-MONTH($F42)) / 12),
  0)</f>
        <v/>
      </c>
      <c r="L42" s="299">
        <f>IF(AND($F42&lt;=L$2, OR($G42="",$G42&gt;=L$2)),
  $H42 * (1 + Assumptions!$C$7) ^ INT(((YEAR(L$2)-YEAR($F42))*12 + MONTH(L$2)-MONTH($F42)) / 12),
  0)</f>
        <v/>
      </c>
      <c r="M42" s="299">
        <f>IF(AND($F42&lt;=M$2, OR($G42="",$G42&gt;=M$2)),
  $H42 * (1 + Assumptions!$C$7) ^ INT(((YEAR(M$2)-YEAR($F42))*12 + MONTH(M$2)-MONTH($F42)) / 12),
  0)</f>
        <v/>
      </c>
      <c r="N42" s="299">
        <f>IF(AND($F42&lt;=N$2, OR($G42="",$G42&gt;=N$2)),
  $H42 * (1 + Assumptions!$C$7) ^ INT(((YEAR(N$2)-YEAR($F42))*12 + MONTH(N$2)-MONTH($F42)) / 12),
  0)</f>
        <v/>
      </c>
      <c r="O42" s="299">
        <f>IF(AND($F42&lt;=O$2, OR($G42="",$G42&gt;=O$2)),
  $H42 * (1 + Assumptions!$C$7) ^ INT(((YEAR(O$2)-YEAR($F42))*12 + MONTH(O$2)-MONTH($F42)) / 12),
  0)</f>
        <v/>
      </c>
      <c r="P42" s="299">
        <f>IF(AND($F42&lt;=P$2, OR($G42="",$G42&gt;=P$2)),
  $H42 * (1 + Assumptions!$C$7) ^ INT(((YEAR(P$2)-YEAR($F42))*12 + MONTH(P$2)-MONTH($F42)) / 12),
  0)</f>
        <v/>
      </c>
      <c r="Q42" s="299">
        <f>IF(AND($F42&lt;=Q$2, OR($G42="",$G42&gt;=Q$2)),
  $H42 * (1 + Assumptions!$C$7) ^ INT(((YEAR(Q$2)-YEAR($F42))*12 + MONTH(Q$2)-MONTH($F42)) / 12),
  0)</f>
        <v/>
      </c>
      <c r="R42" s="299">
        <f>IF(AND($F42&lt;=R$2, OR($G42="",$G42&gt;=R$2)),
  $H42 * (1 + Assumptions!$C$7) ^ INT(((YEAR(R$2)-YEAR($F42))*12 + MONTH(R$2)-MONTH($F42)) / 12),
  0)</f>
        <v/>
      </c>
      <c r="S42" s="299">
        <f>IF(AND($F42&lt;=S$2, OR($G42="",$G42&gt;=S$2)),
  $H42 * (1 + Assumptions!$C$7) ^ INT(((YEAR(S$2)-YEAR($F42))*12 + MONTH(S$2)-MONTH($F42)) / 12),
  0)</f>
        <v/>
      </c>
      <c r="T42" s="299">
        <f>IF(AND($F42&lt;=T$2, OR($G42="",$G42&gt;=T$2)),
  $H42 * (1 + Assumptions!$C$7) ^ INT(((YEAR(T$2)-YEAR($F42))*12 + MONTH(T$2)-MONTH($F42)) / 12),
  0)</f>
        <v/>
      </c>
      <c r="U42" s="299">
        <f>IF(AND($F42&lt;=U$2, OR($G42="",$G42&gt;=U$2)),
  $H42 * (1 + Assumptions!$C$7) ^ INT(((YEAR(U$2)-YEAR($F42))*12 + MONTH(U$2)-MONTH($F42)) / 12),
  0)</f>
        <v/>
      </c>
      <c r="V42" s="299">
        <f>IF(AND($F42&lt;=V$2, OR($G42="",$G42&gt;=V$2)),
  $H42 * (1 + Assumptions!$C$7) ^ INT(((YEAR(V$2)-YEAR($F42))*12 + MONTH(V$2)-MONTH($F42)) / 12),
  0)</f>
        <v/>
      </c>
      <c r="W42" s="299">
        <f>IF(AND($F42&lt;=W$2, OR($G42="",$G42&gt;=W$2)),
  $H42 * (1 + Assumptions!$C$7) ^ INT(((YEAR(W$2)-YEAR($F42))*12 + MONTH(W$2)-MONTH($F42)) / 12),
  0)</f>
        <v/>
      </c>
      <c r="X42" s="299">
        <f>IF(AND($F42&lt;=X$2, OR($G42="",$G42&gt;=X$2)),
  $H42 * (1 + Assumptions!$C$7) ^ INT(((YEAR(X$2)-YEAR($F42))*12 + MONTH(X$2)-MONTH($F42)) / 12),
  0)</f>
        <v/>
      </c>
      <c r="Y42" s="299">
        <f>IF(AND($F42&lt;=Y$2, OR($G42="",$G42&gt;=Y$2)),
  $H42 * (1 + Assumptions!$C$7) ^ INT(((YEAR(Y$2)-YEAR($F42))*12 + MONTH(Y$2)-MONTH($F42)) / 12),
  0)</f>
        <v/>
      </c>
      <c r="Z42" s="299">
        <f>IF(AND($F42&lt;=Z$2, OR($G42="",$G42&gt;=Z$2)),
  $H42 * (1 + Assumptions!$C$7) ^ INT(((YEAR(Z$2)-YEAR($F42))*12 + MONTH(Z$2)-MONTH($F42)) / 12),
  0)</f>
        <v/>
      </c>
      <c r="AA42" s="299">
        <f>IF(AND($F42&lt;=AA$2, OR($G42="",$G42&gt;=AA$2)),
  $H42 * (1 + Assumptions!$C$7) ^ INT(((YEAR(AA$2)-YEAR($F42))*12 + MONTH(AA$2)-MONTH($F42)) / 12),
  0)</f>
        <v/>
      </c>
      <c r="AB42" s="299">
        <f>IF(AND($F42&lt;=AB$2, OR($G42="",$G42&gt;=AB$2)),
  $H42 * (1 + Assumptions!$C$7) ^ INT(((YEAR(AB$2)-YEAR($F42))*12 + MONTH(AB$2)-MONTH($F42)) / 12),
  0)</f>
        <v/>
      </c>
      <c r="AC42" s="299">
        <f>IF(AND($F42&lt;=AC$2, OR($G42="",$G42&gt;=AC$2)),
  $H42 * (1 + Assumptions!$C$7) ^ INT(((YEAR(AC$2)-YEAR($F42))*12 + MONTH(AC$2)-MONTH($F42)) / 12),
  0)</f>
        <v/>
      </c>
      <c r="AD42" s="299">
        <f>IF(AND($F42&lt;=AD$2, OR($G42="",$G42&gt;=AD$2)),
  $H42 * (1 + Assumptions!$C$7) ^ INT(((YEAR(AD$2)-YEAR($F42))*12 + MONTH(AD$2)-MONTH($F42)) / 12),
  0)</f>
        <v/>
      </c>
      <c r="AE42" s="299">
        <f>IF(AND($F42&lt;=AE$2, OR($G42="",$G42&gt;=AE$2)),
  $H42 * (1 + Assumptions!$C$7) ^ INT(((YEAR(AE$2)-YEAR($F42))*12 + MONTH(AE$2)-MONTH($F42)) / 12),
  0)</f>
        <v/>
      </c>
      <c r="AF42" s="299">
        <f>IF(AND($F42&lt;=AF$2, OR($G42="",$G42&gt;=AF$2)),
  $H42 * (1 + Assumptions!$C$7) ^ INT(((YEAR(AF$2)-YEAR($F42))*12 + MONTH(AF$2)-MONTH($F42)) / 12),
  0)</f>
        <v/>
      </c>
      <c r="AG42" s="299">
        <f>IF(AND($F42&lt;=AG$2, OR($G42="",$G42&gt;=AG$2)),
  $H42 * (1 + Assumptions!$C$7) ^ INT(((YEAR(AG$2)-YEAR($F42))*12 + MONTH(AG$2)-MONTH($F42)) / 12),
  0)</f>
        <v/>
      </c>
      <c r="AH42" s="299">
        <f>IF(AND($F42&lt;=AH$2, OR($G42="",$G42&gt;=AH$2)),
  $H42 * (1 + Assumptions!$C$7) ^ INT(((YEAR(AH$2)-YEAR($F42))*12 + MONTH(AH$2)-MONTH($F42)) / 12),
  0)</f>
        <v/>
      </c>
      <c r="AI42" s="299">
        <f>IF(AND($F42&lt;=AI$2, OR($G42="",$G42&gt;=AI$2)),
  $H42 * (1 + Assumptions!$C$7) ^ INT(((YEAR(AI$2)-YEAR($F42))*12 + MONTH(AI$2)-MONTH($F42)) / 12),
  0)</f>
        <v/>
      </c>
      <c r="AJ42" s="299">
        <f>IF(AND($F42&lt;=AJ$2, OR($G42="",$G42&gt;=AJ$2)),
  $H42 * (1 + Assumptions!$C$7) ^ INT(((YEAR(AJ$2)-YEAR($F42))*12 + MONTH(AJ$2)-MONTH($F42)) / 12),
  0)</f>
        <v/>
      </c>
      <c r="AK42" s="299">
        <f>IF(AND($F42&lt;=AK$2, OR($G42="",$G42&gt;=AK$2)),
  $H42 * (1 + Assumptions!$C$7) ^ INT(((YEAR(AK$2)-YEAR($F42))*12 + MONTH(AK$2)-MONTH($F42)) / 12),
  0)</f>
        <v/>
      </c>
      <c r="AL42" s="299">
        <f>IF(AND($F42&lt;=AL$2, OR($G42="",$G42&gt;=AL$2)),
  $H42 * (1 + Assumptions!$C$7) ^ INT(((YEAR(AL$2)-YEAR($F42))*12 + MONTH(AL$2)-MONTH($F42)) / 12),
  0)</f>
        <v/>
      </c>
      <c r="AM42" s="299">
        <f>IF(AND($F42&lt;=AM$2, OR($G42="",$G42&gt;=AM$2)),
  $H42 * (1 + Assumptions!$C$7) ^ INT(((YEAR(AM$2)-YEAR($F42))*12 + MONTH(AM$2)-MONTH($F42)) / 12),
  0)</f>
        <v/>
      </c>
      <c r="AN42" s="299">
        <f>IF(AND($F42&lt;=AN$2, OR($G42="",$G42&gt;=AN$2)),
  $H42 * (1 + Assumptions!$C$7) ^ INT(((YEAR(AN$2)-YEAR($F42))*12 + MONTH(AN$2)-MONTH($F42)) / 12),
  0)</f>
        <v/>
      </c>
      <c r="AO42" s="299">
        <f>IF(AND($F42&lt;=AO$2, OR($G42="",$G42&gt;=AO$2)),
  $H42 * (1 + Assumptions!$C$7) ^ INT(((YEAR(AO$2)-YEAR($F42))*12 + MONTH(AO$2)-MONTH($F42)) / 12),
  0)</f>
        <v/>
      </c>
      <c r="AP42" s="299">
        <f>IF(AND($F42&lt;=AP$2, OR($G42="",$G42&gt;=AP$2)),
  $H42 * (1 + Assumptions!$C$7) ^ INT(((YEAR(AP$2)-YEAR($F42))*12 + MONTH(AP$2)-MONTH($F42)) / 12),
  0)</f>
        <v/>
      </c>
      <c r="AQ42" s="299">
        <f>IF(AND($F42&lt;=AQ$2, OR($G42="",$G42&gt;=AQ$2)),
  $H42 * (1 + Assumptions!$C$7) ^ INT(((YEAR(AQ$2)-YEAR($F42))*12 + MONTH(AQ$2)-MONTH($F42)) / 12),
  0)</f>
        <v/>
      </c>
      <c r="AR42" s="299">
        <f>IF(AND($F42&lt;=AR$2, OR($G42="",$G42&gt;=AR$2)),
  $H42 * (1 + Assumptions!$C$7) ^ INT(((YEAR(AR$2)-YEAR($F42))*12 + MONTH(AR$2)-MONTH($F42)) / 12),
  0)</f>
        <v/>
      </c>
      <c r="AS42" s="299">
        <f>IF(AND($F42&lt;=AS$2, OR($G42="",$G42&gt;=AS$2)),
  $H42 * (1 + Assumptions!$C$7) ^ INT(((YEAR(AS$2)-YEAR($F42))*12 + MONTH(AS$2)-MONTH($F42)) / 12),
  0)</f>
        <v/>
      </c>
      <c r="AT42" s="299">
        <f>IF(AND($F42&lt;=AT$2, OR($G42="",$G42&gt;=AT$2)),
  $H42 * (1 + Assumptions!$C$7) ^ INT(((YEAR(AT$2)-YEAR($F42))*12 + MONTH(AT$2)-MONTH($F42)) / 12),
  0)</f>
        <v/>
      </c>
      <c r="AU42" s="299">
        <f>IF(AND($F42&lt;=AU$2, OR($G42="",$G42&gt;=AU$2)),
  $H42 * (1 + Assumptions!$C$7) ^ INT(((YEAR(AU$2)-YEAR($F42))*12 + MONTH(AU$2)-MONTH($F42)) / 12),
  0)</f>
        <v/>
      </c>
      <c r="AV42" s="299">
        <f>IF(AND($F42&lt;=AV$2, OR($G42="",$G42&gt;=AV$2)),
  $H42 * (1 + Assumptions!$C$7) ^ INT(((YEAR(AV$2)-YEAR($F42))*12 + MONTH(AV$2)-MONTH($F42)) / 12),
  0)</f>
        <v/>
      </c>
      <c r="AW42" s="299">
        <f>IF(AND($F42&lt;=AW$2, OR($G42="",$G42&gt;=AW$2)),
  $H42 * (1 + Assumptions!$C$7) ^ INT(((YEAR(AW$2)-YEAR($F42))*12 + MONTH(AW$2)-MONTH($F42)) / 12),
  0)</f>
        <v/>
      </c>
      <c r="AX42" s="299">
        <f>IF(AND($F42&lt;=AX$2, OR($G42="",$G42&gt;=AX$2)),
  $H42 * (1 + Assumptions!$C$7) ^ INT(((YEAR(AX$2)-YEAR($F42))*12 + MONTH(AX$2)-MONTH($F42)) / 12),
  0)</f>
        <v/>
      </c>
      <c r="AY42" s="299">
        <f>IF(AND($F42&lt;=AY$2, OR($G42="",$G42&gt;=AY$2)),
  $H42 * (1 + Assumptions!$C$7) ^ INT(((YEAR(AY$2)-YEAR($F42))*12 + MONTH(AY$2)-MONTH($F42)) / 12),
  0)</f>
        <v/>
      </c>
      <c r="AZ42" s="299">
        <f>IF(AND($F42&lt;=AZ$2, OR($G42="",$G42&gt;=AZ$2)),
  $H42 * (1 + Assumptions!$C$7) ^ INT(((YEAR(AZ$2)-YEAR($F42))*12 + MONTH(AZ$2)-MONTH($F42)) / 12),
  0)</f>
        <v/>
      </c>
      <c r="BA42" s="299">
        <f>IF(AND($F42&lt;=BA$2, OR($G42="",$G42&gt;=BA$2)),
  $H42 * (1 + Assumptions!$C$7) ^ INT(((YEAR(BA$2)-YEAR($F42))*12 + MONTH(BA$2)-MONTH($F42)) / 12),
  0)</f>
        <v/>
      </c>
      <c r="BB42" s="299">
        <f>IF(AND($F42&lt;=BB$2, OR($G42="",$G42&gt;=BB$2)),
  $H42 * (1 + Assumptions!$C$7) ^ INT(((YEAR(BB$2)-YEAR($F42))*12 + MONTH(BB$2)-MONTH($F42)) / 12),
  0)</f>
        <v/>
      </c>
      <c r="BC42" s="299">
        <f>IF(AND($F42&lt;=BC$2, OR($G42="",$G42&gt;=BC$2)),
  $H42 * (1 + Assumptions!$C$7) ^ INT(((YEAR(BC$2)-YEAR($F42))*12 + MONTH(BC$2)-MONTH($F42)) / 12),
  0)</f>
        <v/>
      </c>
      <c r="BD42" s="299">
        <f>IF(AND($F42&lt;=BD$2, OR($G42="",$G42&gt;=BD$2)),
  $H42 * (1 + Assumptions!$C$7) ^ INT(((YEAR(BD$2)-YEAR($F42))*12 + MONTH(BD$2)-MONTH($F42)) / 12),
  0)</f>
        <v/>
      </c>
      <c r="BE42" s="299">
        <f>IF(AND($F42&lt;=BE$2, OR($G42="",$G42&gt;=BE$2)),
  $H42 * (1 + Assumptions!$C$7) ^ INT(((YEAR(BE$2)-YEAR($F42))*12 + MONTH(BE$2)-MONTH($F42)) / 12),
  0)</f>
        <v/>
      </c>
      <c r="BF42" s="299">
        <f>IF(AND($F42&lt;=BF$2, OR($G42="",$G42&gt;=BF$2)),
  $H42 * (1 + Assumptions!$C$7) ^ INT(((YEAR(BF$2)-YEAR($F42))*12 + MONTH(BF$2)-MONTH($F42)) / 12),
  0)</f>
        <v/>
      </c>
      <c r="BG42" s="299">
        <f>IF(AND($F42&lt;=BG$2, OR($G42="",$G42&gt;=BG$2)),
  $H42 * (1 + Assumptions!$C$7) ^ INT(((YEAR(BG$2)-YEAR($F42))*12 + MONTH(BG$2)-MONTH($F42)) / 12),
  0)</f>
        <v/>
      </c>
      <c r="BH42" s="299">
        <f>IF(AND($F42&lt;=BH$2, OR($G42="",$G42&gt;=BH$2)),
  $H42 * (1 + Assumptions!$C$7) ^ INT(((YEAR(BH$2)-YEAR($F42))*12 + MONTH(BH$2)-MONTH($F42)) / 12),
  0)</f>
        <v/>
      </c>
      <c r="BI42" s="299">
        <f>IF(AND($F42&lt;=BI$2, OR($G42="",$G42&gt;=BI$2)),
  $H42 * (1 + Assumptions!$C$7) ^ INT(((YEAR(BI$2)-YEAR($F42))*12 + MONTH(BI$2)-MONTH($F42)) / 12),
  0)</f>
        <v/>
      </c>
      <c r="BJ42" s="299">
        <f>IF(AND($F42&lt;=BJ$2, OR($G42="",$G42&gt;=BJ$2)),
  $H42 * (1 + Assumptions!$C$7) ^ INT(((YEAR(BJ$2)-YEAR($F42))*12 + MONTH(BJ$2)-MONTH($F42)) / 12),
  0)</f>
        <v/>
      </c>
      <c r="BK42" s="299">
        <f>IF(AND($F42&lt;=BK$2, OR($G42="",$G42&gt;=BK$2)),
  $H42 * (1 + Assumptions!$C$7) ^ INT(((YEAR(BK$2)-YEAR($F42))*12 + MONTH(BK$2)-MONTH($F42)) / 12),
  0)</f>
        <v/>
      </c>
      <c r="BL42" s="299">
        <f>IF(AND($F42&lt;=BL$2, OR($G42="",$G42&gt;=BL$2)),
  $H42 * (1 + Assumptions!$C$7) ^ INT(((YEAR(BL$2)-YEAR($F42))*12 + MONTH(BL$2)-MONTH($F42)) / 12),
  0)</f>
        <v/>
      </c>
      <c r="BM42" s="299">
        <f>IF(AND($F42&lt;=BM$2, OR($G42="",$G42&gt;=BM$2)),
  $H42 * (1 + Assumptions!$C$7) ^ INT(((YEAR(BM$2)-YEAR($F42))*12 + MONTH(BM$2)-MONTH($F42)) / 12),
  0)</f>
        <v/>
      </c>
      <c r="BN42" s="299">
        <f>IF(AND($F42&lt;=BN$2, OR($G42="",$G42&gt;=BN$2)),
  $H42 * (1 + Assumptions!$C$7) ^ INT(((YEAR(BN$2)-YEAR($F42))*12 + MONTH(BN$2)-MONTH($F42)) / 12),
  0)</f>
        <v/>
      </c>
      <c r="BO42" s="299">
        <f>IF(AND($F42&lt;=BO$2, OR($G42="",$G42&gt;=BO$2)),
  $H42 * (1 + Assumptions!$C$7) ^ INT(((YEAR(BO$2)-YEAR($F42))*12 + MONTH(BO$2)-MONTH($F42)) / 12),
  0)</f>
        <v/>
      </c>
      <c r="BP42" s="299">
        <f>IF(AND($F42&lt;=BP$2, OR($G42="",$G42&gt;=BP$2)),
  $H42 * (1 + Assumptions!$C$7) ^ INT(((YEAR(BP$2)-YEAR($F42))*12 + MONTH(BP$2)-MONTH($F42)) / 12),
  0)</f>
        <v/>
      </c>
      <c r="BQ42" s="307" t="n"/>
      <c r="BR42" s="83" t="inlineStr">
        <is>
          <t>paid this month if started and not yet left; +8% on each work anniversary</t>
        </is>
      </c>
      <c r="BS42" s="307" t="n"/>
      <c r="BT42" s="307" t="n"/>
    </row>
    <row r="43" ht="15.75" customHeight="1" s="349">
      <c r="A43" s="321" t="n">
        <v>38</v>
      </c>
      <c r="B43" s="285" t="inlineStr">
        <is>
          <t>New hire</t>
        </is>
      </c>
      <c r="C43" s="23" t="inlineStr">
        <is>
          <t>R&amp;D</t>
        </is>
      </c>
      <c r="D43" s="122" t="inlineStr">
        <is>
          <t>R&amp;D Engineer</t>
        </is>
      </c>
      <c r="E43" s="297" t="inlineStr">
        <is>
          <t>Planned</t>
        </is>
      </c>
      <c r="F43" s="318" t="n">
        <v>47178</v>
      </c>
      <c r="G43" s="319" t="n"/>
      <c r="H43" s="288" t="n">
        <v>6500</v>
      </c>
      <c r="I43" s="299">
        <f>IF(AND($F43&lt;=I$2, OR($G43="",$G43&gt;=I$2)),
  $H43 * (1 + Assumptions!$C$7) ^ INT(((YEAR(I$2)-YEAR($F43))*12 + MONTH(I$2)-MONTH($F43)) / 12),
  0)</f>
        <v/>
      </c>
      <c r="J43" s="299">
        <f>IF(AND($F43&lt;=J$2, OR($G43="",$G43&gt;=J$2)),
  $H43 * (1 + Assumptions!$C$7) ^ INT(((YEAR(J$2)-YEAR($F43))*12 + MONTH(J$2)-MONTH($F43)) / 12),
  0)</f>
        <v/>
      </c>
      <c r="K43" s="299">
        <f>IF(AND($F43&lt;=K$2, OR($G43="",$G43&gt;=K$2)),
  $H43 * (1 + Assumptions!$C$7) ^ INT(((YEAR(K$2)-YEAR($F43))*12 + MONTH(K$2)-MONTH($F43)) / 12),
  0)</f>
        <v/>
      </c>
      <c r="L43" s="299">
        <f>IF(AND($F43&lt;=L$2, OR($G43="",$G43&gt;=L$2)),
  $H43 * (1 + Assumptions!$C$7) ^ INT(((YEAR(L$2)-YEAR($F43))*12 + MONTH(L$2)-MONTH($F43)) / 12),
  0)</f>
        <v/>
      </c>
      <c r="M43" s="299">
        <f>IF(AND($F43&lt;=M$2, OR($G43="",$G43&gt;=M$2)),
  $H43 * (1 + Assumptions!$C$7) ^ INT(((YEAR(M$2)-YEAR($F43))*12 + MONTH(M$2)-MONTH($F43)) / 12),
  0)</f>
        <v/>
      </c>
      <c r="N43" s="299">
        <f>IF(AND($F43&lt;=N$2, OR($G43="",$G43&gt;=N$2)),
  $H43 * (1 + Assumptions!$C$7) ^ INT(((YEAR(N$2)-YEAR($F43))*12 + MONTH(N$2)-MONTH($F43)) / 12),
  0)</f>
        <v/>
      </c>
      <c r="O43" s="299">
        <f>IF(AND($F43&lt;=O$2, OR($G43="",$G43&gt;=O$2)),
  $H43 * (1 + Assumptions!$C$7) ^ INT(((YEAR(O$2)-YEAR($F43))*12 + MONTH(O$2)-MONTH($F43)) / 12),
  0)</f>
        <v/>
      </c>
      <c r="P43" s="299">
        <f>IF(AND($F43&lt;=P$2, OR($G43="",$G43&gt;=P$2)),
  $H43 * (1 + Assumptions!$C$7) ^ INT(((YEAR(P$2)-YEAR($F43))*12 + MONTH(P$2)-MONTH($F43)) / 12),
  0)</f>
        <v/>
      </c>
      <c r="Q43" s="299">
        <f>IF(AND($F43&lt;=Q$2, OR($G43="",$G43&gt;=Q$2)),
  $H43 * (1 + Assumptions!$C$7) ^ INT(((YEAR(Q$2)-YEAR($F43))*12 + MONTH(Q$2)-MONTH($F43)) / 12),
  0)</f>
        <v/>
      </c>
      <c r="R43" s="299">
        <f>IF(AND($F43&lt;=R$2, OR($G43="",$G43&gt;=R$2)),
  $H43 * (1 + Assumptions!$C$7) ^ INT(((YEAR(R$2)-YEAR($F43))*12 + MONTH(R$2)-MONTH($F43)) / 12),
  0)</f>
        <v/>
      </c>
      <c r="S43" s="299">
        <f>IF(AND($F43&lt;=S$2, OR($G43="",$G43&gt;=S$2)),
  $H43 * (1 + Assumptions!$C$7) ^ INT(((YEAR(S$2)-YEAR($F43))*12 + MONTH(S$2)-MONTH($F43)) / 12),
  0)</f>
        <v/>
      </c>
      <c r="T43" s="299">
        <f>IF(AND($F43&lt;=T$2, OR($G43="",$G43&gt;=T$2)),
  $H43 * (1 + Assumptions!$C$7) ^ INT(((YEAR(T$2)-YEAR($F43))*12 + MONTH(T$2)-MONTH($F43)) / 12),
  0)</f>
        <v/>
      </c>
      <c r="U43" s="299">
        <f>IF(AND($F43&lt;=U$2, OR($G43="",$G43&gt;=U$2)),
  $H43 * (1 + Assumptions!$C$7) ^ INT(((YEAR(U$2)-YEAR($F43))*12 + MONTH(U$2)-MONTH($F43)) / 12),
  0)</f>
        <v/>
      </c>
      <c r="V43" s="299">
        <f>IF(AND($F43&lt;=V$2, OR($G43="",$G43&gt;=V$2)),
  $H43 * (1 + Assumptions!$C$7) ^ INT(((YEAR(V$2)-YEAR($F43))*12 + MONTH(V$2)-MONTH($F43)) / 12),
  0)</f>
        <v/>
      </c>
      <c r="W43" s="299">
        <f>IF(AND($F43&lt;=W$2, OR($G43="",$G43&gt;=W$2)),
  $H43 * (1 + Assumptions!$C$7) ^ INT(((YEAR(W$2)-YEAR($F43))*12 + MONTH(W$2)-MONTH($F43)) / 12),
  0)</f>
        <v/>
      </c>
      <c r="X43" s="299">
        <f>IF(AND($F43&lt;=X$2, OR($G43="",$G43&gt;=X$2)),
  $H43 * (1 + Assumptions!$C$7) ^ INT(((YEAR(X$2)-YEAR($F43))*12 + MONTH(X$2)-MONTH($F43)) / 12),
  0)</f>
        <v/>
      </c>
      <c r="Y43" s="299">
        <f>IF(AND($F43&lt;=Y$2, OR($G43="",$G43&gt;=Y$2)),
  $H43 * (1 + Assumptions!$C$7) ^ INT(((YEAR(Y$2)-YEAR($F43))*12 + MONTH(Y$2)-MONTH($F43)) / 12),
  0)</f>
        <v/>
      </c>
      <c r="Z43" s="299">
        <f>IF(AND($F43&lt;=Z$2, OR($G43="",$G43&gt;=Z$2)),
  $H43 * (1 + Assumptions!$C$7) ^ INT(((YEAR(Z$2)-YEAR($F43))*12 + MONTH(Z$2)-MONTH($F43)) / 12),
  0)</f>
        <v/>
      </c>
      <c r="AA43" s="299">
        <f>IF(AND($F43&lt;=AA$2, OR($G43="",$G43&gt;=AA$2)),
  $H43 * (1 + Assumptions!$C$7) ^ INT(((YEAR(AA$2)-YEAR($F43))*12 + MONTH(AA$2)-MONTH($F43)) / 12),
  0)</f>
        <v/>
      </c>
      <c r="AB43" s="299">
        <f>IF(AND($F43&lt;=AB$2, OR($G43="",$G43&gt;=AB$2)),
  $H43 * (1 + Assumptions!$C$7) ^ INT(((YEAR(AB$2)-YEAR($F43))*12 + MONTH(AB$2)-MONTH($F43)) / 12),
  0)</f>
        <v/>
      </c>
      <c r="AC43" s="299">
        <f>IF(AND($F43&lt;=AC$2, OR($G43="",$G43&gt;=AC$2)),
  $H43 * (1 + Assumptions!$C$7) ^ INT(((YEAR(AC$2)-YEAR($F43))*12 + MONTH(AC$2)-MONTH($F43)) / 12),
  0)</f>
        <v/>
      </c>
      <c r="AD43" s="299">
        <f>IF(AND($F43&lt;=AD$2, OR($G43="",$G43&gt;=AD$2)),
  $H43 * (1 + Assumptions!$C$7) ^ INT(((YEAR(AD$2)-YEAR($F43))*12 + MONTH(AD$2)-MONTH($F43)) / 12),
  0)</f>
        <v/>
      </c>
      <c r="AE43" s="299">
        <f>IF(AND($F43&lt;=AE$2, OR($G43="",$G43&gt;=AE$2)),
  $H43 * (1 + Assumptions!$C$7) ^ INT(((YEAR(AE$2)-YEAR($F43))*12 + MONTH(AE$2)-MONTH($F43)) / 12),
  0)</f>
        <v/>
      </c>
      <c r="AF43" s="299">
        <f>IF(AND($F43&lt;=AF$2, OR($G43="",$G43&gt;=AF$2)),
  $H43 * (1 + Assumptions!$C$7) ^ INT(((YEAR(AF$2)-YEAR($F43))*12 + MONTH(AF$2)-MONTH($F43)) / 12),
  0)</f>
        <v/>
      </c>
      <c r="AG43" s="299">
        <f>IF(AND($F43&lt;=AG$2, OR($G43="",$G43&gt;=AG$2)),
  $H43 * (1 + Assumptions!$C$7) ^ INT(((YEAR(AG$2)-YEAR($F43))*12 + MONTH(AG$2)-MONTH($F43)) / 12),
  0)</f>
        <v/>
      </c>
      <c r="AH43" s="299">
        <f>IF(AND($F43&lt;=AH$2, OR($G43="",$G43&gt;=AH$2)),
  $H43 * (1 + Assumptions!$C$7) ^ INT(((YEAR(AH$2)-YEAR($F43))*12 + MONTH(AH$2)-MONTH($F43)) / 12),
  0)</f>
        <v/>
      </c>
      <c r="AI43" s="299">
        <f>IF(AND($F43&lt;=AI$2, OR($G43="",$G43&gt;=AI$2)),
  $H43 * (1 + Assumptions!$C$7) ^ INT(((YEAR(AI$2)-YEAR($F43))*12 + MONTH(AI$2)-MONTH($F43)) / 12),
  0)</f>
        <v/>
      </c>
      <c r="AJ43" s="299">
        <f>IF(AND($F43&lt;=AJ$2, OR($G43="",$G43&gt;=AJ$2)),
  $H43 * (1 + Assumptions!$C$7) ^ INT(((YEAR(AJ$2)-YEAR($F43))*12 + MONTH(AJ$2)-MONTH($F43)) / 12),
  0)</f>
        <v/>
      </c>
      <c r="AK43" s="299">
        <f>IF(AND($F43&lt;=AK$2, OR($G43="",$G43&gt;=AK$2)),
  $H43 * (1 + Assumptions!$C$7) ^ INT(((YEAR(AK$2)-YEAR($F43))*12 + MONTH(AK$2)-MONTH($F43)) / 12),
  0)</f>
        <v/>
      </c>
      <c r="AL43" s="299">
        <f>IF(AND($F43&lt;=AL$2, OR($G43="",$G43&gt;=AL$2)),
  $H43 * (1 + Assumptions!$C$7) ^ INT(((YEAR(AL$2)-YEAR($F43))*12 + MONTH(AL$2)-MONTH($F43)) / 12),
  0)</f>
        <v/>
      </c>
      <c r="AM43" s="299">
        <f>IF(AND($F43&lt;=AM$2, OR($G43="",$G43&gt;=AM$2)),
  $H43 * (1 + Assumptions!$C$7) ^ INT(((YEAR(AM$2)-YEAR($F43))*12 + MONTH(AM$2)-MONTH($F43)) / 12),
  0)</f>
        <v/>
      </c>
      <c r="AN43" s="299">
        <f>IF(AND($F43&lt;=AN$2, OR($G43="",$G43&gt;=AN$2)),
  $H43 * (1 + Assumptions!$C$7) ^ INT(((YEAR(AN$2)-YEAR($F43))*12 + MONTH(AN$2)-MONTH($F43)) / 12),
  0)</f>
        <v/>
      </c>
      <c r="AO43" s="299">
        <f>IF(AND($F43&lt;=AO$2, OR($G43="",$G43&gt;=AO$2)),
  $H43 * (1 + Assumptions!$C$7) ^ INT(((YEAR(AO$2)-YEAR($F43))*12 + MONTH(AO$2)-MONTH($F43)) / 12),
  0)</f>
        <v/>
      </c>
      <c r="AP43" s="299">
        <f>IF(AND($F43&lt;=AP$2, OR($G43="",$G43&gt;=AP$2)),
  $H43 * (1 + Assumptions!$C$7) ^ INT(((YEAR(AP$2)-YEAR($F43))*12 + MONTH(AP$2)-MONTH($F43)) / 12),
  0)</f>
        <v/>
      </c>
      <c r="AQ43" s="299">
        <f>IF(AND($F43&lt;=AQ$2, OR($G43="",$G43&gt;=AQ$2)),
  $H43 * (1 + Assumptions!$C$7) ^ INT(((YEAR(AQ$2)-YEAR($F43))*12 + MONTH(AQ$2)-MONTH($F43)) / 12),
  0)</f>
        <v/>
      </c>
      <c r="AR43" s="299">
        <f>IF(AND($F43&lt;=AR$2, OR($G43="",$G43&gt;=AR$2)),
  $H43 * (1 + Assumptions!$C$7) ^ INT(((YEAR(AR$2)-YEAR($F43))*12 + MONTH(AR$2)-MONTH($F43)) / 12),
  0)</f>
        <v/>
      </c>
      <c r="AS43" s="299">
        <f>IF(AND($F43&lt;=AS$2, OR($G43="",$G43&gt;=AS$2)),
  $H43 * (1 + Assumptions!$C$7) ^ INT(((YEAR(AS$2)-YEAR($F43))*12 + MONTH(AS$2)-MONTH($F43)) / 12),
  0)</f>
        <v/>
      </c>
      <c r="AT43" s="299">
        <f>IF(AND($F43&lt;=AT$2, OR($G43="",$G43&gt;=AT$2)),
  $H43 * (1 + Assumptions!$C$7) ^ INT(((YEAR(AT$2)-YEAR($F43))*12 + MONTH(AT$2)-MONTH($F43)) / 12),
  0)</f>
        <v/>
      </c>
      <c r="AU43" s="299">
        <f>IF(AND($F43&lt;=AU$2, OR($G43="",$G43&gt;=AU$2)),
  $H43 * (1 + Assumptions!$C$7) ^ INT(((YEAR(AU$2)-YEAR($F43))*12 + MONTH(AU$2)-MONTH($F43)) / 12),
  0)</f>
        <v/>
      </c>
      <c r="AV43" s="299">
        <f>IF(AND($F43&lt;=AV$2, OR($G43="",$G43&gt;=AV$2)),
  $H43 * (1 + Assumptions!$C$7) ^ INT(((YEAR(AV$2)-YEAR($F43))*12 + MONTH(AV$2)-MONTH($F43)) / 12),
  0)</f>
        <v/>
      </c>
      <c r="AW43" s="299">
        <f>IF(AND($F43&lt;=AW$2, OR($G43="",$G43&gt;=AW$2)),
  $H43 * (1 + Assumptions!$C$7) ^ INT(((YEAR(AW$2)-YEAR($F43))*12 + MONTH(AW$2)-MONTH($F43)) / 12),
  0)</f>
        <v/>
      </c>
      <c r="AX43" s="299">
        <f>IF(AND($F43&lt;=AX$2, OR($G43="",$G43&gt;=AX$2)),
  $H43 * (1 + Assumptions!$C$7) ^ INT(((YEAR(AX$2)-YEAR($F43))*12 + MONTH(AX$2)-MONTH($F43)) / 12),
  0)</f>
        <v/>
      </c>
      <c r="AY43" s="299">
        <f>IF(AND($F43&lt;=AY$2, OR($G43="",$G43&gt;=AY$2)),
  $H43 * (1 + Assumptions!$C$7) ^ INT(((YEAR(AY$2)-YEAR($F43))*12 + MONTH(AY$2)-MONTH($F43)) / 12),
  0)</f>
        <v/>
      </c>
      <c r="AZ43" s="299">
        <f>IF(AND($F43&lt;=AZ$2, OR($G43="",$G43&gt;=AZ$2)),
  $H43 * (1 + Assumptions!$C$7) ^ INT(((YEAR(AZ$2)-YEAR($F43))*12 + MONTH(AZ$2)-MONTH($F43)) / 12),
  0)</f>
        <v/>
      </c>
      <c r="BA43" s="299">
        <f>IF(AND($F43&lt;=BA$2, OR($G43="",$G43&gt;=BA$2)),
  $H43 * (1 + Assumptions!$C$7) ^ INT(((YEAR(BA$2)-YEAR($F43))*12 + MONTH(BA$2)-MONTH($F43)) / 12),
  0)</f>
        <v/>
      </c>
      <c r="BB43" s="299">
        <f>IF(AND($F43&lt;=BB$2, OR($G43="",$G43&gt;=BB$2)),
  $H43 * (1 + Assumptions!$C$7) ^ INT(((YEAR(BB$2)-YEAR($F43))*12 + MONTH(BB$2)-MONTH($F43)) / 12),
  0)</f>
        <v/>
      </c>
      <c r="BC43" s="299">
        <f>IF(AND($F43&lt;=BC$2, OR($G43="",$G43&gt;=BC$2)),
  $H43 * (1 + Assumptions!$C$7) ^ INT(((YEAR(BC$2)-YEAR($F43))*12 + MONTH(BC$2)-MONTH($F43)) / 12),
  0)</f>
        <v/>
      </c>
      <c r="BD43" s="299">
        <f>IF(AND($F43&lt;=BD$2, OR($G43="",$G43&gt;=BD$2)),
  $H43 * (1 + Assumptions!$C$7) ^ INT(((YEAR(BD$2)-YEAR($F43))*12 + MONTH(BD$2)-MONTH($F43)) / 12),
  0)</f>
        <v/>
      </c>
      <c r="BE43" s="299">
        <f>IF(AND($F43&lt;=BE$2, OR($G43="",$G43&gt;=BE$2)),
  $H43 * (1 + Assumptions!$C$7) ^ INT(((YEAR(BE$2)-YEAR($F43))*12 + MONTH(BE$2)-MONTH($F43)) / 12),
  0)</f>
        <v/>
      </c>
      <c r="BF43" s="299">
        <f>IF(AND($F43&lt;=BF$2, OR($G43="",$G43&gt;=BF$2)),
  $H43 * (1 + Assumptions!$C$7) ^ INT(((YEAR(BF$2)-YEAR($F43))*12 + MONTH(BF$2)-MONTH($F43)) / 12),
  0)</f>
        <v/>
      </c>
      <c r="BG43" s="299">
        <f>IF(AND($F43&lt;=BG$2, OR($G43="",$G43&gt;=BG$2)),
  $H43 * (1 + Assumptions!$C$7) ^ INT(((YEAR(BG$2)-YEAR($F43))*12 + MONTH(BG$2)-MONTH($F43)) / 12),
  0)</f>
        <v/>
      </c>
      <c r="BH43" s="299">
        <f>IF(AND($F43&lt;=BH$2, OR($G43="",$G43&gt;=BH$2)),
  $H43 * (1 + Assumptions!$C$7) ^ INT(((YEAR(BH$2)-YEAR($F43))*12 + MONTH(BH$2)-MONTH($F43)) / 12),
  0)</f>
        <v/>
      </c>
      <c r="BI43" s="299">
        <f>IF(AND($F43&lt;=BI$2, OR($G43="",$G43&gt;=BI$2)),
  $H43 * (1 + Assumptions!$C$7) ^ INT(((YEAR(BI$2)-YEAR($F43))*12 + MONTH(BI$2)-MONTH($F43)) / 12),
  0)</f>
        <v/>
      </c>
      <c r="BJ43" s="299">
        <f>IF(AND($F43&lt;=BJ$2, OR($G43="",$G43&gt;=BJ$2)),
  $H43 * (1 + Assumptions!$C$7) ^ INT(((YEAR(BJ$2)-YEAR($F43))*12 + MONTH(BJ$2)-MONTH($F43)) / 12),
  0)</f>
        <v/>
      </c>
      <c r="BK43" s="299">
        <f>IF(AND($F43&lt;=BK$2, OR($G43="",$G43&gt;=BK$2)),
  $H43 * (1 + Assumptions!$C$7) ^ INT(((YEAR(BK$2)-YEAR($F43))*12 + MONTH(BK$2)-MONTH($F43)) / 12),
  0)</f>
        <v/>
      </c>
      <c r="BL43" s="299">
        <f>IF(AND($F43&lt;=BL$2, OR($G43="",$G43&gt;=BL$2)),
  $H43 * (1 + Assumptions!$C$7) ^ INT(((YEAR(BL$2)-YEAR($F43))*12 + MONTH(BL$2)-MONTH($F43)) / 12),
  0)</f>
        <v/>
      </c>
      <c r="BM43" s="299">
        <f>IF(AND($F43&lt;=BM$2, OR($G43="",$G43&gt;=BM$2)),
  $H43 * (1 + Assumptions!$C$7) ^ INT(((YEAR(BM$2)-YEAR($F43))*12 + MONTH(BM$2)-MONTH($F43)) / 12),
  0)</f>
        <v/>
      </c>
      <c r="BN43" s="299">
        <f>IF(AND($F43&lt;=BN$2, OR($G43="",$G43&gt;=BN$2)),
  $H43 * (1 + Assumptions!$C$7) ^ INT(((YEAR(BN$2)-YEAR($F43))*12 + MONTH(BN$2)-MONTH($F43)) / 12),
  0)</f>
        <v/>
      </c>
      <c r="BO43" s="299">
        <f>IF(AND($F43&lt;=BO$2, OR($G43="",$G43&gt;=BO$2)),
  $H43 * (1 + Assumptions!$C$7) ^ INT(((YEAR(BO$2)-YEAR($F43))*12 + MONTH(BO$2)-MONTH($F43)) / 12),
  0)</f>
        <v/>
      </c>
      <c r="BP43" s="299">
        <f>IF(AND($F43&lt;=BP$2, OR($G43="",$G43&gt;=BP$2)),
  $H43 * (1 + Assumptions!$C$7) ^ INT(((YEAR(BP$2)-YEAR($F43))*12 + MONTH(BP$2)-MONTH($F43)) / 12),
  0)</f>
        <v/>
      </c>
      <c r="BQ43" s="307" t="n"/>
      <c r="BR43" s="83" t="inlineStr">
        <is>
          <t>paid this month if started and not yet left; +8% on each work anniversary</t>
        </is>
      </c>
      <c r="BS43" s="307" t="n"/>
      <c r="BT43" s="307" t="n"/>
    </row>
    <row r="44" ht="15.75" customHeight="1" s="349">
      <c r="A44" s="321" t="n">
        <v>39</v>
      </c>
      <c r="B44" s="285" t="inlineStr">
        <is>
          <t>New hire</t>
        </is>
      </c>
      <c r="C44" s="23" t="inlineStr">
        <is>
          <t>R&amp;D</t>
        </is>
      </c>
      <c r="D44" s="321" t="inlineStr">
        <is>
          <t>Field Engineer</t>
        </is>
      </c>
      <c r="E44" s="297" t="inlineStr">
        <is>
          <t>Planned</t>
        </is>
      </c>
      <c r="F44" s="318" t="n">
        <v>47179</v>
      </c>
      <c r="G44" s="319" t="n"/>
      <c r="H44" s="288" t="n">
        <v>6500</v>
      </c>
      <c r="I44" s="299">
        <f>IF(AND($F44&lt;=I$2, OR($G44="",$G44&gt;=I$2)),
  $H44 * (1 + Assumptions!$C$7) ^ INT(((YEAR(I$2)-YEAR($F44))*12 + MONTH(I$2)-MONTH($F44)) / 12),
  0)</f>
        <v/>
      </c>
      <c r="J44" s="299">
        <f>IF(AND($F44&lt;=J$2, OR($G44="",$G44&gt;=J$2)),
  $H44 * (1 + Assumptions!$C$7) ^ INT(((YEAR(J$2)-YEAR($F44))*12 + MONTH(J$2)-MONTH($F44)) / 12),
  0)</f>
        <v/>
      </c>
      <c r="K44" s="299">
        <f>IF(AND($F44&lt;=K$2, OR($G44="",$G44&gt;=K$2)),
  $H44 * (1 + Assumptions!$C$7) ^ INT(((YEAR(K$2)-YEAR($F44))*12 + MONTH(K$2)-MONTH($F44)) / 12),
  0)</f>
        <v/>
      </c>
      <c r="L44" s="299">
        <f>IF(AND($F44&lt;=L$2, OR($G44="",$G44&gt;=L$2)),
  $H44 * (1 + Assumptions!$C$7) ^ INT(((YEAR(L$2)-YEAR($F44))*12 + MONTH(L$2)-MONTH($F44)) / 12),
  0)</f>
        <v/>
      </c>
      <c r="M44" s="299">
        <f>IF(AND($F44&lt;=M$2, OR($G44="",$G44&gt;=M$2)),
  $H44 * (1 + Assumptions!$C$7) ^ INT(((YEAR(M$2)-YEAR($F44))*12 + MONTH(M$2)-MONTH($F44)) / 12),
  0)</f>
        <v/>
      </c>
      <c r="N44" s="299">
        <f>IF(AND($F44&lt;=N$2, OR($G44="",$G44&gt;=N$2)),
  $H44 * (1 + Assumptions!$C$7) ^ INT(((YEAR(N$2)-YEAR($F44))*12 + MONTH(N$2)-MONTH($F44)) / 12),
  0)</f>
        <v/>
      </c>
      <c r="O44" s="299">
        <f>IF(AND($F44&lt;=O$2, OR($G44="",$G44&gt;=O$2)),
  $H44 * (1 + Assumptions!$C$7) ^ INT(((YEAR(O$2)-YEAR($F44))*12 + MONTH(O$2)-MONTH($F44)) / 12),
  0)</f>
        <v/>
      </c>
      <c r="P44" s="299">
        <f>IF(AND($F44&lt;=P$2, OR($G44="",$G44&gt;=P$2)),
  $H44 * (1 + Assumptions!$C$7) ^ INT(((YEAR(P$2)-YEAR($F44))*12 + MONTH(P$2)-MONTH($F44)) / 12),
  0)</f>
        <v/>
      </c>
      <c r="Q44" s="299">
        <f>IF(AND($F44&lt;=Q$2, OR($G44="",$G44&gt;=Q$2)),
  $H44 * (1 + Assumptions!$C$7) ^ INT(((YEAR(Q$2)-YEAR($F44))*12 + MONTH(Q$2)-MONTH($F44)) / 12),
  0)</f>
        <v/>
      </c>
      <c r="R44" s="299">
        <f>IF(AND($F44&lt;=R$2, OR($G44="",$G44&gt;=R$2)),
  $H44 * (1 + Assumptions!$C$7) ^ INT(((YEAR(R$2)-YEAR($F44))*12 + MONTH(R$2)-MONTH($F44)) / 12),
  0)</f>
        <v/>
      </c>
      <c r="S44" s="299">
        <f>IF(AND($F44&lt;=S$2, OR($G44="",$G44&gt;=S$2)),
  $H44 * (1 + Assumptions!$C$7) ^ INT(((YEAR(S$2)-YEAR($F44))*12 + MONTH(S$2)-MONTH($F44)) / 12),
  0)</f>
        <v/>
      </c>
      <c r="T44" s="299">
        <f>IF(AND($F44&lt;=T$2, OR($G44="",$G44&gt;=T$2)),
  $H44 * (1 + Assumptions!$C$7) ^ INT(((YEAR(T$2)-YEAR($F44))*12 + MONTH(T$2)-MONTH($F44)) / 12),
  0)</f>
        <v/>
      </c>
      <c r="U44" s="299">
        <f>IF(AND($F44&lt;=U$2, OR($G44="",$G44&gt;=U$2)),
  $H44 * (1 + Assumptions!$C$7) ^ INT(((YEAR(U$2)-YEAR($F44))*12 + MONTH(U$2)-MONTH($F44)) / 12),
  0)</f>
        <v/>
      </c>
      <c r="V44" s="299">
        <f>IF(AND($F44&lt;=V$2, OR($G44="",$G44&gt;=V$2)),
  $H44 * (1 + Assumptions!$C$7) ^ INT(((YEAR(V$2)-YEAR($F44))*12 + MONTH(V$2)-MONTH($F44)) / 12),
  0)</f>
        <v/>
      </c>
      <c r="W44" s="299">
        <f>IF(AND($F44&lt;=W$2, OR($G44="",$G44&gt;=W$2)),
  $H44 * (1 + Assumptions!$C$7) ^ INT(((YEAR(W$2)-YEAR($F44))*12 + MONTH(W$2)-MONTH($F44)) / 12),
  0)</f>
        <v/>
      </c>
      <c r="X44" s="299">
        <f>IF(AND($F44&lt;=X$2, OR($G44="",$G44&gt;=X$2)),
  $H44 * (1 + Assumptions!$C$7) ^ INT(((YEAR(X$2)-YEAR($F44))*12 + MONTH(X$2)-MONTH($F44)) / 12),
  0)</f>
        <v/>
      </c>
      <c r="Y44" s="299">
        <f>IF(AND($F44&lt;=Y$2, OR($G44="",$G44&gt;=Y$2)),
  $H44 * (1 + Assumptions!$C$7) ^ INT(((YEAR(Y$2)-YEAR($F44))*12 + MONTH(Y$2)-MONTH($F44)) / 12),
  0)</f>
        <v/>
      </c>
      <c r="Z44" s="299">
        <f>IF(AND($F44&lt;=Z$2, OR($G44="",$G44&gt;=Z$2)),
  $H44 * (1 + Assumptions!$C$7) ^ INT(((YEAR(Z$2)-YEAR($F44))*12 + MONTH(Z$2)-MONTH($F44)) / 12),
  0)</f>
        <v/>
      </c>
      <c r="AA44" s="299">
        <f>IF(AND($F44&lt;=AA$2, OR($G44="",$G44&gt;=AA$2)),
  $H44 * (1 + Assumptions!$C$7) ^ INT(((YEAR(AA$2)-YEAR($F44))*12 + MONTH(AA$2)-MONTH($F44)) / 12),
  0)</f>
        <v/>
      </c>
      <c r="AB44" s="299">
        <f>IF(AND($F44&lt;=AB$2, OR($G44="",$G44&gt;=AB$2)),
  $H44 * (1 + Assumptions!$C$7) ^ INT(((YEAR(AB$2)-YEAR($F44))*12 + MONTH(AB$2)-MONTH($F44)) / 12),
  0)</f>
        <v/>
      </c>
      <c r="AC44" s="299">
        <f>IF(AND($F44&lt;=AC$2, OR($G44="",$G44&gt;=AC$2)),
  $H44 * (1 + Assumptions!$C$7) ^ INT(((YEAR(AC$2)-YEAR($F44))*12 + MONTH(AC$2)-MONTH($F44)) / 12),
  0)</f>
        <v/>
      </c>
      <c r="AD44" s="299">
        <f>IF(AND($F44&lt;=AD$2, OR($G44="",$G44&gt;=AD$2)),
  $H44 * (1 + Assumptions!$C$7) ^ INT(((YEAR(AD$2)-YEAR($F44))*12 + MONTH(AD$2)-MONTH($F44)) / 12),
  0)</f>
        <v/>
      </c>
      <c r="AE44" s="299">
        <f>IF(AND($F44&lt;=AE$2, OR($G44="",$G44&gt;=AE$2)),
  $H44 * (1 + Assumptions!$C$7) ^ INT(((YEAR(AE$2)-YEAR($F44))*12 + MONTH(AE$2)-MONTH($F44)) / 12),
  0)</f>
        <v/>
      </c>
      <c r="AF44" s="299">
        <f>IF(AND($F44&lt;=AF$2, OR($G44="",$G44&gt;=AF$2)),
  $H44 * (1 + Assumptions!$C$7) ^ INT(((YEAR(AF$2)-YEAR($F44))*12 + MONTH(AF$2)-MONTH($F44)) / 12),
  0)</f>
        <v/>
      </c>
      <c r="AG44" s="299">
        <f>IF(AND($F44&lt;=AG$2, OR($G44="",$G44&gt;=AG$2)),
  $H44 * (1 + Assumptions!$C$7) ^ INT(((YEAR(AG$2)-YEAR($F44))*12 + MONTH(AG$2)-MONTH($F44)) / 12),
  0)</f>
        <v/>
      </c>
      <c r="AH44" s="299">
        <f>IF(AND($F44&lt;=AH$2, OR($G44="",$G44&gt;=AH$2)),
  $H44 * (1 + Assumptions!$C$7) ^ INT(((YEAR(AH$2)-YEAR($F44))*12 + MONTH(AH$2)-MONTH($F44)) / 12),
  0)</f>
        <v/>
      </c>
      <c r="AI44" s="299">
        <f>IF(AND($F44&lt;=AI$2, OR($G44="",$G44&gt;=AI$2)),
  $H44 * (1 + Assumptions!$C$7) ^ INT(((YEAR(AI$2)-YEAR($F44))*12 + MONTH(AI$2)-MONTH($F44)) / 12),
  0)</f>
        <v/>
      </c>
      <c r="AJ44" s="299">
        <f>IF(AND($F44&lt;=AJ$2, OR($G44="",$G44&gt;=AJ$2)),
  $H44 * (1 + Assumptions!$C$7) ^ INT(((YEAR(AJ$2)-YEAR($F44))*12 + MONTH(AJ$2)-MONTH($F44)) / 12),
  0)</f>
        <v/>
      </c>
      <c r="AK44" s="299">
        <f>IF(AND($F44&lt;=AK$2, OR($G44="",$G44&gt;=AK$2)),
  $H44 * (1 + Assumptions!$C$7) ^ INT(((YEAR(AK$2)-YEAR($F44))*12 + MONTH(AK$2)-MONTH($F44)) / 12),
  0)</f>
        <v/>
      </c>
      <c r="AL44" s="299">
        <f>IF(AND($F44&lt;=AL$2, OR($G44="",$G44&gt;=AL$2)),
  $H44 * (1 + Assumptions!$C$7) ^ INT(((YEAR(AL$2)-YEAR($F44))*12 + MONTH(AL$2)-MONTH($F44)) / 12),
  0)</f>
        <v/>
      </c>
      <c r="AM44" s="299">
        <f>IF(AND($F44&lt;=AM$2, OR($G44="",$G44&gt;=AM$2)),
  $H44 * (1 + Assumptions!$C$7) ^ INT(((YEAR(AM$2)-YEAR($F44))*12 + MONTH(AM$2)-MONTH($F44)) / 12),
  0)</f>
        <v/>
      </c>
      <c r="AN44" s="299">
        <f>IF(AND($F44&lt;=AN$2, OR($G44="",$G44&gt;=AN$2)),
  $H44 * (1 + Assumptions!$C$7) ^ INT(((YEAR(AN$2)-YEAR($F44))*12 + MONTH(AN$2)-MONTH($F44)) / 12),
  0)</f>
        <v/>
      </c>
      <c r="AO44" s="299">
        <f>IF(AND($F44&lt;=AO$2, OR($G44="",$G44&gt;=AO$2)),
  $H44 * (1 + Assumptions!$C$7) ^ INT(((YEAR(AO$2)-YEAR($F44))*12 + MONTH(AO$2)-MONTH($F44)) / 12),
  0)</f>
        <v/>
      </c>
      <c r="AP44" s="299">
        <f>IF(AND($F44&lt;=AP$2, OR($G44="",$G44&gt;=AP$2)),
  $H44 * (1 + Assumptions!$C$7) ^ INT(((YEAR(AP$2)-YEAR($F44))*12 + MONTH(AP$2)-MONTH($F44)) / 12),
  0)</f>
        <v/>
      </c>
      <c r="AQ44" s="299">
        <f>IF(AND($F44&lt;=AQ$2, OR($G44="",$G44&gt;=AQ$2)),
  $H44 * (1 + Assumptions!$C$7) ^ INT(((YEAR(AQ$2)-YEAR($F44))*12 + MONTH(AQ$2)-MONTH($F44)) / 12),
  0)</f>
        <v/>
      </c>
      <c r="AR44" s="299">
        <f>IF(AND($F44&lt;=AR$2, OR($G44="",$G44&gt;=AR$2)),
  $H44 * (1 + Assumptions!$C$7) ^ INT(((YEAR(AR$2)-YEAR($F44))*12 + MONTH(AR$2)-MONTH($F44)) / 12),
  0)</f>
        <v/>
      </c>
      <c r="AS44" s="299">
        <f>IF(AND($F44&lt;=AS$2, OR($G44="",$G44&gt;=AS$2)),
  $H44 * (1 + Assumptions!$C$7) ^ INT(((YEAR(AS$2)-YEAR($F44))*12 + MONTH(AS$2)-MONTH($F44)) / 12),
  0)</f>
        <v/>
      </c>
      <c r="AT44" s="299">
        <f>IF(AND($F44&lt;=AT$2, OR($G44="",$G44&gt;=AT$2)),
  $H44 * (1 + Assumptions!$C$7) ^ INT(((YEAR(AT$2)-YEAR($F44))*12 + MONTH(AT$2)-MONTH($F44)) / 12),
  0)</f>
        <v/>
      </c>
      <c r="AU44" s="299">
        <f>IF(AND($F44&lt;=AU$2, OR($G44="",$G44&gt;=AU$2)),
  $H44 * (1 + Assumptions!$C$7) ^ INT(((YEAR(AU$2)-YEAR($F44))*12 + MONTH(AU$2)-MONTH($F44)) / 12),
  0)</f>
        <v/>
      </c>
      <c r="AV44" s="299">
        <f>IF(AND($F44&lt;=AV$2, OR($G44="",$G44&gt;=AV$2)),
  $H44 * (1 + Assumptions!$C$7) ^ INT(((YEAR(AV$2)-YEAR($F44))*12 + MONTH(AV$2)-MONTH($F44)) / 12),
  0)</f>
        <v/>
      </c>
      <c r="AW44" s="299">
        <f>IF(AND($F44&lt;=AW$2, OR($G44="",$G44&gt;=AW$2)),
  $H44 * (1 + Assumptions!$C$7) ^ INT(((YEAR(AW$2)-YEAR($F44))*12 + MONTH(AW$2)-MONTH($F44)) / 12),
  0)</f>
        <v/>
      </c>
      <c r="AX44" s="299">
        <f>IF(AND($F44&lt;=AX$2, OR($G44="",$G44&gt;=AX$2)),
  $H44 * (1 + Assumptions!$C$7) ^ INT(((YEAR(AX$2)-YEAR($F44))*12 + MONTH(AX$2)-MONTH($F44)) / 12),
  0)</f>
        <v/>
      </c>
      <c r="AY44" s="299">
        <f>IF(AND($F44&lt;=AY$2, OR($G44="",$G44&gt;=AY$2)),
  $H44 * (1 + Assumptions!$C$7) ^ INT(((YEAR(AY$2)-YEAR($F44))*12 + MONTH(AY$2)-MONTH($F44)) / 12),
  0)</f>
        <v/>
      </c>
      <c r="AZ44" s="299">
        <f>IF(AND($F44&lt;=AZ$2, OR($G44="",$G44&gt;=AZ$2)),
  $H44 * (1 + Assumptions!$C$7) ^ INT(((YEAR(AZ$2)-YEAR($F44))*12 + MONTH(AZ$2)-MONTH($F44)) / 12),
  0)</f>
        <v/>
      </c>
      <c r="BA44" s="299">
        <f>IF(AND($F44&lt;=BA$2, OR($G44="",$G44&gt;=BA$2)),
  $H44 * (1 + Assumptions!$C$7) ^ INT(((YEAR(BA$2)-YEAR($F44))*12 + MONTH(BA$2)-MONTH($F44)) / 12),
  0)</f>
        <v/>
      </c>
      <c r="BB44" s="299">
        <f>IF(AND($F44&lt;=BB$2, OR($G44="",$G44&gt;=BB$2)),
  $H44 * (1 + Assumptions!$C$7) ^ INT(((YEAR(BB$2)-YEAR($F44))*12 + MONTH(BB$2)-MONTH($F44)) / 12),
  0)</f>
        <v/>
      </c>
      <c r="BC44" s="299">
        <f>IF(AND($F44&lt;=BC$2, OR($G44="",$G44&gt;=BC$2)),
  $H44 * (1 + Assumptions!$C$7) ^ INT(((YEAR(BC$2)-YEAR($F44))*12 + MONTH(BC$2)-MONTH($F44)) / 12),
  0)</f>
        <v/>
      </c>
      <c r="BD44" s="299">
        <f>IF(AND($F44&lt;=BD$2, OR($G44="",$G44&gt;=BD$2)),
  $H44 * (1 + Assumptions!$C$7) ^ INT(((YEAR(BD$2)-YEAR($F44))*12 + MONTH(BD$2)-MONTH($F44)) / 12),
  0)</f>
        <v/>
      </c>
      <c r="BE44" s="299">
        <f>IF(AND($F44&lt;=BE$2, OR($G44="",$G44&gt;=BE$2)),
  $H44 * (1 + Assumptions!$C$7) ^ INT(((YEAR(BE$2)-YEAR($F44))*12 + MONTH(BE$2)-MONTH($F44)) / 12),
  0)</f>
        <v/>
      </c>
      <c r="BF44" s="299">
        <f>IF(AND($F44&lt;=BF$2, OR($G44="",$G44&gt;=BF$2)),
  $H44 * (1 + Assumptions!$C$7) ^ INT(((YEAR(BF$2)-YEAR($F44))*12 + MONTH(BF$2)-MONTH($F44)) / 12),
  0)</f>
        <v/>
      </c>
      <c r="BG44" s="299">
        <f>IF(AND($F44&lt;=BG$2, OR($G44="",$G44&gt;=BG$2)),
  $H44 * (1 + Assumptions!$C$7) ^ INT(((YEAR(BG$2)-YEAR($F44))*12 + MONTH(BG$2)-MONTH($F44)) / 12),
  0)</f>
        <v/>
      </c>
      <c r="BH44" s="299">
        <f>IF(AND($F44&lt;=BH$2, OR($G44="",$G44&gt;=BH$2)),
  $H44 * (1 + Assumptions!$C$7) ^ INT(((YEAR(BH$2)-YEAR($F44))*12 + MONTH(BH$2)-MONTH($F44)) / 12),
  0)</f>
        <v/>
      </c>
      <c r="BI44" s="299">
        <f>IF(AND($F44&lt;=BI$2, OR($G44="",$G44&gt;=BI$2)),
  $H44 * (1 + Assumptions!$C$7) ^ INT(((YEAR(BI$2)-YEAR($F44))*12 + MONTH(BI$2)-MONTH($F44)) / 12),
  0)</f>
        <v/>
      </c>
      <c r="BJ44" s="299">
        <f>IF(AND($F44&lt;=BJ$2, OR($G44="",$G44&gt;=BJ$2)),
  $H44 * (1 + Assumptions!$C$7) ^ INT(((YEAR(BJ$2)-YEAR($F44))*12 + MONTH(BJ$2)-MONTH($F44)) / 12),
  0)</f>
        <v/>
      </c>
      <c r="BK44" s="299">
        <f>IF(AND($F44&lt;=BK$2, OR($G44="",$G44&gt;=BK$2)),
  $H44 * (1 + Assumptions!$C$7) ^ INT(((YEAR(BK$2)-YEAR($F44))*12 + MONTH(BK$2)-MONTH($F44)) / 12),
  0)</f>
        <v/>
      </c>
      <c r="BL44" s="299">
        <f>IF(AND($F44&lt;=BL$2, OR($G44="",$G44&gt;=BL$2)),
  $H44 * (1 + Assumptions!$C$7) ^ INT(((YEAR(BL$2)-YEAR($F44))*12 + MONTH(BL$2)-MONTH($F44)) / 12),
  0)</f>
        <v/>
      </c>
      <c r="BM44" s="299">
        <f>IF(AND($F44&lt;=BM$2, OR($G44="",$G44&gt;=BM$2)),
  $H44 * (1 + Assumptions!$C$7) ^ INT(((YEAR(BM$2)-YEAR($F44))*12 + MONTH(BM$2)-MONTH($F44)) / 12),
  0)</f>
        <v/>
      </c>
      <c r="BN44" s="299">
        <f>IF(AND($F44&lt;=BN$2, OR($G44="",$G44&gt;=BN$2)),
  $H44 * (1 + Assumptions!$C$7) ^ INT(((YEAR(BN$2)-YEAR($F44))*12 + MONTH(BN$2)-MONTH($F44)) / 12),
  0)</f>
        <v/>
      </c>
      <c r="BO44" s="299">
        <f>IF(AND($F44&lt;=BO$2, OR($G44="",$G44&gt;=BO$2)),
  $H44 * (1 + Assumptions!$C$7) ^ INT(((YEAR(BO$2)-YEAR($F44))*12 + MONTH(BO$2)-MONTH($F44)) / 12),
  0)</f>
        <v/>
      </c>
      <c r="BP44" s="299">
        <f>IF(AND($F44&lt;=BP$2, OR($G44="",$G44&gt;=BP$2)),
  $H44 * (1 + Assumptions!$C$7) ^ INT(((YEAR(BP$2)-YEAR($F44))*12 + MONTH(BP$2)-MONTH($F44)) / 12),
  0)</f>
        <v/>
      </c>
      <c r="BQ44" s="307" t="n"/>
      <c r="BR44" s="83" t="inlineStr">
        <is>
          <t>paid this month if started and not yet left; +8% on each work anniversary</t>
        </is>
      </c>
      <c r="BS44" s="307" t="n"/>
      <c r="BT44" s="307" t="n"/>
    </row>
    <row r="45" ht="16.5" customHeight="1" s="349">
      <c r="A45" s="321" t="n">
        <v>40</v>
      </c>
      <c r="B45" s="285" t="inlineStr">
        <is>
          <t>New hire</t>
        </is>
      </c>
      <c r="C45" s="23" t="inlineStr">
        <is>
          <t>S&amp;M</t>
        </is>
      </c>
      <c r="D45" s="321" t="inlineStr">
        <is>
          <t>Marketing</t>
        </is>
      </c>
      <c r="E45" s="297" t="inlineStr">
        <is>
          <t>Planned</t>
        </is>
      </c>
      <c r="F45" s="318" t="n">
        <v>47180</v>
      </c>
      <c r="G45" s="319" t="n"/>
      <c r="H45" s="288" t="n">
        <v>7500</v>
      </c>
      <c r="I45" s="299">
        <f>IF(AND($F45&lt;=I$2, OR($G45="",$G45&gt;=I$2)),
  $H45 * (1 + Assumptions!$C$7) ^ INT(((YEAR(I$2)-YEAR($F45))*12 + MONTH(I$2)-MONTH($F45)) / 12),
  0)</f>
        <v/>
      </c>
      <c r="J45" s="299">
        <f>IF(AND($F45&lt;=J$2, OR($G45="",$G45&gt;=J$2)),
  $H45 * (1 + Assumptions!$C$7) ^ INT(((YEAR(J$2)-YEAR($F45))*12 + MONTH(J$2)-MONTH($F45)) / 12),
  0)</f>
        <v/>
      </c>
      <c r="K45" s="299">
        <f>IF(AND($F45&lt;=K$2, OR($G45="",$G45&gt;=K$2)),
  $H45 * (1 + Assumptions!$C$7) ^ INT(((YEAR(K$2)-YEAR($F45))*12 + MONTH(K$2)-MONTH($F45)) / 12),
  0)</f>
        <v/>
      </c>
      <c r="L45" s="299">
        <f>IF(AND($F45&lt;=L$2, OR($G45="",$G45&gt;=L$2)),
  $H45 * (1 + Assumptions!$C$7) ^ INT(((YEAR(L$2)-YEAR($F45))*12 + MONTH(L$2)-MONTH($F45)) / 12),
  0)</f>
        <v/>
      </c>
      <c r="M45" s="299">
        <f>IF(AND($F45&lt;=M$2, OR($G45="",$G45&gt;=M$2)),
  $H45 * (1 + Assumptions!$C$7) ^ INT(((YEAR(M$2)-YEAR($F45))*12 + MONTH(M$2)-MONTH($F45)) / 12),
  0)</f>
        <v/>
      </c>
      <c r="N45" s="299">
        <f>IF(AND($F45&lt;=N$2, OR($G45="",$G45&gt;=N$2)),
  $H45 * (1 + Assumptions!$C$7) ^ INT(((YEAR(N$2)-YEAR($F45))*12 + MONTH(N$2)-MONTH($F45)) / 12),
  0)</f>
        <v/>
      </c>
      <c r="O45" s="299">
        <f>IF(AND($F45&lt;=O$2, OR($G45="",$G45&gt;=O$2)),
  $H45 * (1 + Assumptions!$C$7) ^ INT(((YEAR(O$2)-YEAR($F45))*12 + MONTH(O$2)-MONTH($F45)) / 12),
  0)</f>
        <v/>
      </c>
      <c r="P45" s="299">
        <f>IF(AND($F45&lt;=P$2, OR($G45="",$G45&gt;=P$2)),
  $H45 * (1 + Assumptions!$C$7) ^ INT(((YEAR(P$2)-YEAR($F45))*12 + MONTH(P$2)-MONTH($F45)) / 12),
  0)</f>
        <v/>
      </c>
      <c r="Q45" s="299">
        <f>IF(AND($F45&lt;=Q$2, OR($G45="",$G45&gt;=Q$2)),
  $H45 * (1 + Assumptions!$C$7) ^ INT(((YEAR(Q$2)-YEAR($F45))*12 + MONTH(Q$2)-MONTH($F45)) / 12),
  0)</f>
        <v/>
      </c>
      <c r="R45" s="299">
        <f>IF(AND($F45&lt;=R$2, OR($G45="",$G45&gt;=R$2)),
  $H45 * (1 + Assumptions!$C$7) ^ INT(((YEAR(R$2)-YEAR($F45))*12 + MONTH(R$2)-MONTH($F45)) / 12),
  0)</f>
        <v/>
      </c>
      <c r="S45" s="299">
        <f>IF(AND($F45&lt;=S$2, OR($G45="",$G45&gt;=S$2)),
  $H45 * (1 + Assumptions!$C$7) ^ INT(((YEAR(S$2)-YEAR($F45))*12 + MONTH(S$2)-MONTH($F45)) / 12),
  0)</f>
        <v/>
      </c>
      <c r="T45" s="299">
        <f>IF(AND($F45&lt;=T$2, OR($G45="",$G45&gt;=T$2)),
  $H45 * (1 + Assumptions!$C$7) ^ INT(((YEAR(T$2)-YEAR($F45))*12 + MONTH(T$2)-MONTH($F45)) / 12),
  0)</f>
        <v/>
      </c>
      <c r="U45" s="299">
        <f>IF(AND($F45&lt;=U$2, OR($G45="",$G45&gt;=U$2)),
  $H45 * (1 + Assumptions!$C$7) ^ INT(((YEAR(U$2)-YEAR($F45))*12 + MONTH(U$2)-MONTH($F45)) / 12),
  0)</f>
        <v/>
      </c>
      <c r="V45" s="299">
        <f>IF(AND($F45&lt;=V$2, OR($G45="",$G45&gt;=V$2)),
  $H45 * (1 + Assumptions!$C$7) ^ INT(((YEAR(V$2)-YEAR($F45))*12 + MONTH(V$2)-MONTH($F45)) / 12),
  0)</f>
        <v/>
      </c>
      <c r="W45" s="299">
        <f>IF(AND($F45&lt;=W$2, OR($G45="",$G45&gt;=W$2)),
  $H45 * (1 + Assumptions!$C$7) ^ INT(((YEAR(W$2)-YEAR($F45))*12 + MONTH(W$2)-MONTH($F45)) / 12),
  0)</f>
        <v/>
      </c>
      <c r="X45" s="299">
        <f>IF(AND($F45&lt;=X$2, OR($G45="",$G45&gt;=X$2)),
  $H45 * (1 + Assumptions!$C$7) ^ INT(((YEAR(X$2)-YEAR($F45))*12 + MONTH(X$2)-MONTH($F45)) / 12),
  0)</f>
        <v/>
      </c>
      <c r="Y45" s="299">
        <f>IF(AND($F45&lt;=Y$2, OR($G45="",$G45&gt;=Y$2)),
  $H45 * (1 + Assumptions!$C$7) ^ INT(((YEAR(Y$2)-YEAR($F45))*12 + MONTH(Y$2)-MONTH($F45)) / 12),
  0)</f>
        <v/>
      </c>
      <c r="Z45" s="299">
        <f>IF(AND($F45&lt;=Z$2, OR($G45="",$G45&gt;=Z$2)),
  $H45 * (1 + Assumptions!$C$7) ^ INT(((YEAR(Z$2)-YEAR($F45))*12 + MONTH(Z$2)-MONTH($F45)) / 12),
  0)</f>
        <v/>
      </c>
      <c r="AA45" s="299">
        <f>IF(AND($F45&lt;=AA$2, OR($G45="",$G45&gt;=AA$2)),
  $H45 * (1 + Assumptions!$C$7) ^ INT(((YEAR(AA$2)-YEAR($F45))*12 + MONTH(AA$2)-MONTH($F45)) / 12),
  0)</f>
        <v/>
      </c>
      <c r="AB45" s="299">
        <f>IF(AND($F45&lt;=AB$2, OR($G45="",$G45&gt;=AB$2)),
  $H45 * (1 + Assumptions!$C$7) ^ INT(((YEAR(AB$2)-YEAR($F45))*12 + MONTH(AB$2)-MONTH($F45)) / 12),
  0)</f>
        <v/>
      </c>
      <c r="AC45" s="299">
        <f>IF(AND($F45&lt;=AC$2, OR($G45="",$G45&gt;=AC$2)),
  $H45 * (1 + Assumptions!$C$7) ^ INT(((YEAR(AC$2)-YEAR($F45))*12 + MONTH(AC$2)-MONTH($F45)) / 12),
  0)</f>
        <v/>
      </c>
      <c r="AD45" s="299">
        <f>IF(AND($F45&lt;=AD$2, OR($G45="",$G45&gt;=AD$2)),
  $H45 * (1 + Assumptions!$C$7) ^ INT(((YEAR(AD$2)-YEAR($F45))*12 + MONTH(AD$2)-MONTH($F45)) / 12),
  0)</f>
        <v/>
      </c>
      <c r="AE45" s="299">
        <f>IF(AND($F45&lt;=AE$2, OR($G45="",$G45&gt;=AE$2)),
  $H45 * (1 + Assumptions!$C$7) ^ INT(((YEAR(AE$2)-YEAR($F45))*12 + MONTH(AE$2)-MONTH($F45)) / 12),
  0)</f>
        <v/>
      </c>
      <c r="AF45" s="299">
        <f>IF(AND($F45&lt;=AF$2, OR($G45="",$G45&gt;=AF$2)),
  $H45 * (1 + Assumptions!$C$7) ^ INT(((YEAR(AF$2)-YEAR($F45))*12 + MONTH(AF$2)-MONTH($F45)) / 12),
  0)</f>
        <v/>
      </c>
      <c r="AG45" s="299">
        <f>IF(AND($F45&lt;=AG$2, OR($G45="",$G45&gt;=AG$2)),
  $H45 * (1 + Assumptions!$C$7) ^ INT(((YEAR(AG$2)-YEAR($F45))*12 + MONTH(AG$2)-MONTH($F45)) / 12),
  0)</f>
        <v/>
      </c>
      <c r="AH45" s="299">
        <f>IF(AND($F45&lt;=AH$2, OR($G45="",$G45&gt;=AH$2)),
  $H45 * (1 + Assumptions!$C$7) ^ INT(((YEAR(AH$2)-YEAR($F45))*12 + MONTH(AH$2)-MONTH($F45)) / 12),
  0)</f>
        <v/>
      </c>
      <c r="AI45" s="299">
        <f>IF(AND($F45&lt;=AI$2, OR($G45="",$G45&gt;=AI$2)),
  $H45 * (1 + Assumptions!$C$7) ^ INT(((YEAR(AI$2)-YEAR($F45))*12 + MONTH(AI$2)-MONTH($F45)) / 12),
  0)</f>
        <v/>
      </c>
      <c r="AJ45" s="299">
        <f>IF(AND($F45&lt;=AJ$2, OR($G45="",$G45&gt;=AJ$2)),
  $H45 * (1 + Assumptions!$C$7) ^ INT(((YEAR(AJ$2)-YEAR($F45))*12 + MONTH(AJ$2)-MONTH($F45)) / 12),
  0)</f>
        <v/>
      </c>
      <c r="AK45" s="299">
        <f>IF(AND($F45&lt;=AK$2, OR($G45="",$G45&gt;=AK$2)),
  $H45 * (1 + Assumptions!$C$7) ^ INT(((YEAR(AK$2)-YEAR($F45))*12 + MONTH(AK$2)-MONTH($F45)) / 12),
  0)</f>
        <v/>
      </c>
      <c r="AL45" s="299">
        <f>IF(AND($F45&lt;=AL$2, OR($G45="",$G45&gt;=AL$2)),
  $H45 * (1 + Assumptions!$C$7) ^ INT(((YEAR(AL$2)-YEAR($F45))*12 + MONTH(AL$2)-MONTH($F45)) / 12),
  0)</f>
        <v/>
      </c>
      <c r="AM45" s="299">
        <f>IF(AND($F45&lt;=AM$2, OR($G45="",$G45&gt;=AM$2)),
  $H45 * (1 + Assumptions!$C$7) ^ INT(((YEAR(AM$2)-YEAR($F45))*12 + MONTH(AM$2)-MONTH($F45)) / 12),
  0)</f>
        <v/>
      </c>
      <c r="AN45" s="299">
        <f>IF(AND($F45&lt;=AN$2, OR($G45="",$G45&gt;=AN$2)),
  $H45 * (1 + Assumptions!$C$7) ^ INT(((YEAR(AN$2)-YEAR($F45))*12 + MONTH(AN$2)-MONTH($F45)) / 12),
  0)</f>
        <v/>
      </c>
      <c r="AO45" s="299">
        <f>IF(AND($F45&lt;=AO$2, OR($G45="",$G45&gt;=AO$2)),
  $H45 * (1 + Assumptions!$C$7) ^ INT(((YEAR(AO$2)-YEAR($F45))*12 + MONTH(AO$2)-MONTH($F45)) / 12),
  0)</f>
        <v/>
      </c>
      <c r="AP45" s="299">
        <f>IF(AND($F45&lt;=AP$2, OR($G45="",$G45&gt;=AP$2)),
  $H45 * (1 + Assumptions!$C$7) ^ INT(((YEAR(AP$2)-YEAR($F45))*12 + MONTH(AP$2)-MONTH($F45)) / 12),
  0)</f>
        <v/>
      </c>
      <c r="AQ45" s="299">
        <f>IF(AND($F45&lt;=AQ$2, OR($G45="",$G45&gt;=AQ$2)),
  $H45 * (1 + Assumptions!$C$7) ^ INT(((YEAR(AQ$2)-YEAR($F45))*12 + MONTH(AQ$2)-MONTH($F45)) / 12),
  0)</f>
        <v/>
      </c>
      <c r="AR45" s="299">
        <f>IF(AND($F45&lt;=AR$2, OR($G45="",$G45&gt;=AR$2)),
  $H45 * (1 + Assumptions!$C$7) ^ INT(((YEAR(AR$2)-YEAR($F45))*12 + MONTH(AR$2)-MONTH($F45)) / 12),
  0)</f>
        <v/>
      </c>
      <c r="AS45" s="299">
        <f>IF(AND($F45&lt;=AS$2, OR($G45="",$G45&gt;=AS$2)),
  $H45 * (1 + Assumptions!$C$7) ^ INT(((YEAR(AS$2)-YEAR($F45))*12 + MONTH(AS$2)-MONTH($F45)) / 12),
  0)</f>
        <v/>
      </c>
      <c r="AT45" s="299">
        <f>IF(AND($F45&lt;=AT$2, OR($G45="",$G45&gt;=AT$2)),
  $H45 * (1 + Assumptions!$C$7) ^ INT(((YEAR(AT$2)-YEAR($F45))*12 + MONTH(AT$2)-MONTH($F45)) / 12),
  0)</f>
        <v/>
      </c>
      <c r="AU45" s="299">
        <f>IF(AND($F45&lt;=AU$2, OR($G45="",$G45&gt;=AU$2)),
  $H45 * (1 + Assumptions!$C$7) ^ INT(((YEAR(AU$2)-YEAR($F45))*12 + MONTH(AU$2)-MONTH($F45)) / 12),
  0)</f>
        <v/>
      </c>
      <c r="AV45" s="299">
        <f>IF(AND($F45&lt;=AV$2, OR($G45="",$G45&gt;=AV$2)),
  $H45 * (1 + Assumptions!$C$7) ^ INT(((YEAR(AV$2)-YEAR($F45))*12 + MONTH(AV$2)-MONTH($F45)) / 12),
  0)</f>
        <v/>
      </c>
      <c r="AW45" s="299">
        <f>IF(AND($F45&lt;=AW$2, OR($G45="",$G45&gt;=AW$2)),
  $H45 * (1 + Assumptions!$C$7) ^ INT(((YEAR(AW$2)-YEAR($F45))*12 + MONTH(AW$2)-MONTH($F45)) / 12),
  0)</f>
        <v/>
      </c>
      <c r="AX45" s="299">
        <f>IF(AND($F45&lt;=AX$2, OR($G45="",$G45&gt;=AX$2)),
  $H45 * (1 + Assumptions!$C$7) ^ INT(((YEAR(AX$2)-YEAR($F45))*12 + MONTH(AX$2)-MONTH($F45)) / 12),
  0)</f>
        <v/>
      </c>
      <c r="AY45" s="299">
        <f>IF(AND($F45&lt;=AY$2, OR($G45="",$G45&gt;=AY$2)),
  $H45 * (1 + Assumptions!$C$7) ^ INT(((YEAR(AY$2)-YEAR($F45))*12 + MONTH(AY$2)-MONTH($F45)) / 12),
  0)</f>
        <v/>
      </c>
      <c r="AZ45" s="299">
        <f>IF(AND($F45&lt;=AZ$2, OR($G45="",$G45&gt;=AZ$2)),
  $H45 * (1 + Assumptions!$C$7) ^ INT(((YEAR(AZ$2)-YEAR($F45))*12 + MONTH(AZ$2)-MONTH($F45)) / 12),
  0)</f>
        <v/>
      </c>
      <c r="BA45" s="299">
        <f>IF(AND($F45&lt;=BA$2, OR($G45="",$G45&gt;=BA$2)),
  $H45 * (1 + Assumptions!$C$7) ^ INT(((YEAR(BA$2)-YEAR($F45))*12 + MONTH(BA$2)-MONTH($F45)) / 12),
  0)</f>
        <v/>
      </c>
      <c r="BB45" s="299">
        <f>IF(AND($F45&lt;=BB$2, OR($G45="",$G45&gt;=BB$2)),
  $H45 * (1 + Assumptions!$C$7) ^ INT(((YEAR(BB$2)-YEAR($F45))*12 + MONTH(BB$2)-MONTH($F45)) / 12),
  0)</f>
        <v/>
      </c>
      <c r="BC45" s="299">
        <f>IF(AND($F45&lt;=BC$2, OR($G45="",$G45&gt;=BC$2)),
  $H45 * (1 + Assumptions!$C$7) ^ INT(((YEAR(BC$2)-YEAR($F45))*12 + MONTH(BC$2)-MONTH($F45)) / 12),
  0)</f>
        <v/>
      </c>
      <c r="BD45" s="299">
        <f>IF(AND($F45&lt;=BD$2, OR($G45="",$G45&gt;=BD$2)),
  $H45 * (1 + Assumptions!$C$7) ^ INT(((YEAR(BD$2)-YEAR($F45))*12 + MONTH(BD$2)-MONTH($F45)) / 12),
  0)</f>
        <v/>
      </c>
      <c r="BE45" s="299">
        <f>IF(AND($F45&lt;=BE$2, OR($G45="",$G45&gt;=BE$2)),
  $H45 * (1 + Assumptions!$C$7) ^ INT(((YEAR(BE$2)-YEAR($F45))*12 + MONTH(BE$2)-MONTH($F45)) / 12),
  0)</f>
        <v/>
      </c>
      <c r="BF45" s="299">
        <f>IF(AND($F45&lt;=BF$2, OR($G45="",$G45&gt;=BF$2)),
  $H45 * (1 + Assumptions!$C$7) ^ INT(((YEAR(BF$2)-YEAR($F45))*12 + MONTH(BF$2)-MONTH($F45)) / 12),
  0)</f>
        <v/>
      </c>
      <c r="BG45" s="299">
        <f>IF(AND($F45&lt;=BG$2, OR($G45="",$G45&gt;=BG$2)),
  $H45 * (1 + Assumptions!$C$7) ^ INT(((YEAR(BG$2)-YEAR($F45))*12 + MONTH(BG$2)-MONTH($F45)) / 12),
  0)</f>
        <v/>
      </c>
      <c r="BH45" s="299">
        <f>IF(AND($F45&lt;=BH$2, OR($G45="",$G45&gt;=BH$2)),
  $H45 * (1 + Assumptions!$C$7) ^ INT(((YEAR(BH$2)-YEAR($F45))*12 + MONTH(BH$2)-MONTH($F45)) / 12),
  0)</f>
        <v/>
      </c>
      <c r="BI45" s="299">
        <f>IF(AND($F45&lt;=BI$2, OR($G45="",$G45&gt;=BI$2)),
  $H45 * (1 + Assumptions!$C$7) ^ INT(((YEAR(BI$2)-YEAR($F45))*12 + MONTH(BI$2)-MONTH($F45)) / 12),
  0)</f>
        <v/>
      </c>
      <c r="BJ45" s="299">
        <f>IF(AND($F45&lt;=BJ$2, OR($G45="",$G45&gt;=BJ$2)),
  $H45 * (1 + Assumptions!$C$7) ^ INT(((YEAR(BJ$2)-YEAR($F45))*12 + MONTH(BJ$2)-MONTH($F45)) / 12),
  0)</f>
        <v/>
      </c>
      <c r="BK45" s="299">
        <f>IF(AND($F45&lt;=BK$2, OR($G45="",$G45&gt;=BK$2)),
  $H45 * (1 + Assumptions!$C$7) ^ INT(((YEAR(BK$2)-YEAR($F45))*12 + MONTH(BK$2)-MONTH($F45)) / 12),
  0)</f>
        <v/>
      </c>
      <c r="BL45" s="299">
        <f>IF(AND($F45&lt;=BL$2, OR($G45="",$G45&gt;=BL$2)),
  $H45 * (1 + Assumptions!$C$7) ^ INT(((YEAR(BL$2)-YEAR($F45))*12 + MONTH(BL$2)-MONTH($F45)) / 12),
  0)</f>
        <v/>
      </c>
      <c r="BM45" s="299">
        <f>IF(AND($F45&lt;=BM$2, OR($G45="",$G45&gt;=BM$2)),
  $H45 * (1 + Assumptions!$C$7) ^ INT(((YEAR(BM$2)-YEAR($F45))*12 + MONTH(BM$2)-MONTH($F45)) / 12),
  0)</f>
        <v/>
      </c>
      <c r="BN45" s="299">
        <f>IF(AND($F45&lt;=BN$2, OR($G45="",$G45&gt;=BN$2)),
  $H45 * (1 + Assumptions!$C$7) ^ INT(((YEAR(BN$2)-YEAR($F45))*12 + MONTH(BN$2)-MONTH($F45)) / 12),
  0)</f>
        <v/>
      </c>
      <c r="BO45" s="299">
        <f>IF(AND($F45&lt;=BO$2, OR($G45="",$G45&gt;=BO$2)),
  $H45 * (1 + Assumptions!$C$7) ^ INT(((YEAR(BO$2)-YEAR($F45))*12 + MONTH(BO$2)-MONTH($F45)) / 12),
  0)</f>
        <v/>
      </c>
      <c r="BP45" s="299">
        <f>IF(AND($F45&lt;=BP$2, OR($G45="",$G45&gt;=BP$2)),
  $H45 * (1 + Assumptions!$C$7) ^ INT(((YEAR(BP$2)-YEAR($F45))*12 + MONTH(BP$2)-MONTH($F45)) / 12),
  0)</f>
        <v/>
      </c>
      <c r="BQ45" s="307" t="n"/>
      <c r="BR45" s="83" t="inlineStr">
        <is>
          <t>paid this month if started and not yet left; +8% on each work anniversary</t>
        </is>
      </c>
      <c r="BS45" s="307" t="n"/>
      <c r="BT45" s="307" t="n"/>
    </row>
    <row r="46" ht="16.5" customHeight="1" s="349">
      <c r="A46" s="321" t="n">
        <v>41</v>
      </c>
      <c r="B46" s="285" t="inlineStr">
        <is>
          <t>New hire</t>
        </is>
      </c>
      <c r="C46" s="23" t="inlineStr">
        <is>
          <t>S&amp;M</t>
        </is>
      </c>
      <c r="D46" s="321" t="inlineStr">
        <is>
          <t>Marketing</t>
        </is>
      </c>
      <c r="E46" s="297" t="inlineStr">
        <is>
          <t>Planned</t>
        </is>
      </c>
      <c r="F46" s="318" t="n">
        <v>47180</v>
      </c>
      <c r="G46" s="319" t="n"/>
      <c r="H46" s="288" t="n">
        <v>7500</v>
      </c>
      <c r="I46" s="299">
        <f>IF(AND($F46&lt;=I$2, OR($G46="",$G46&gt;=I$2)),
  $H46 * (1 + Assumptions!$C$7) ^ INT(((YEAR(I$2)-YEAR($F46))*12 + MONTH(I$2)-MONTH($F46)) / 12),
  0)</f>
        <v/>
      </c>
      <c r="J46" s="299">
        <f>IF(AND($F46&lt;=J$2, OR($G46="",$G46&gt;=J$2)),
  $H46 * (1 + Assumptions!$C$7) ^ INT(((YEAR(J$2)-YEAR($F46))*12 + MONTH(J$2)-MONTH($F46)) / 12),
  0)</f>
        <v/>
      </c>
      <c r="K46" s="299">
        <f>IF(AND($F46&lt;=K$2, OR($G46="",$G46&gt;=K$2)),
  $H46 * (1 + Assumptions!$C$7) ^ INT(((YEAR(K$2)-YEAR($F46))*12 + MONTH(K$2)-MONTH($F46)) / 12),
  0)</f>
        <v/>
      </c>
      <c r="L46" s="299">
        <f>IF(AND($F46&lt;=L$2, OR($G46="",$G46&gt;=L$2)),
  $H46 * (1 + Assumptions!$C$7) ^ INT(((YEAR(L$2)-YEAR($F46))*12 + MONTH(L$2)-MONTH($F46)) / 12),
  0)</f>
        <v/>
      </c>
      <c r="M46" s="299">
        <f>IF(AND($F46&lt;=M$2, OR($G46="",$G46&gt;=M$2)),
  $H46 * (1 + Assumptions!$C$7) ^ INT(((YEAR(M$2)-YEAR($F46))*12 + MONTH(M$2)-MONTH($F46)) / 12),
  0)</f>
        <v/>
      </c>
      <c r="N46" s="299">
        <f>IF(AND($F46&lt;=N$2, OR($G46="",$G46&gt;=N$2)),
  $H46 * (1 + Assumptions!$C$7) ^ INT(((YEAR(N$2)-YEAR($F46))*12 + MONTH(N$2)-MONTH($F46)) / 12),
  0)</f>
        <v/>
      </c>
      <c r="O46" s="299">
        <f>IF(AND($F46&lt;=O$2, OR($G46="",$G46&gt;=O$2)),
  $H46 * (1 + Assumptions!$C$7) ^ INT(((YEAR(O$2)-YEAR($F46))*12 + MONTH(O$2)-MONTH($F46)) / 12),
  0)</f>
        <v/>
      </c>
      <c r="P46" s="299">
        <f>IF(AND($F46&lt;=P$2, OR($G46="",$G46&gt;=P$2)),
  $H46 * (1 + Assumptions!$C$7) ^ INT(((YEAR(P$2)-YEAR($F46))*12 + MONTH(P$2)-MONTH($F46)) / 12),
  0)</f>
        <v/>
      </c>
      <c r="Q46" s="299">
        <f>IF(AND($F46&lt;=Q$2, OR($G46="",$G46&gt;=Q$2)),
  $H46 * (1 + Assumptions!$C$7) ^ INT(((YEAR(Q$2)-YEAR($F46))*12 + MONTH(Q$2)-MONTH($F46)) / 12),
  0)</f>
        <v/>
      </c>
      <c r="R46" s="299">
        <f>IF(AND($F46&lt;=R$2, OR($G46="",$G46&gt;=R$2)),
  $H46 * (1 + Assumptions!$C$7) ^ INT(((YEAR(R$2)-YEAR($F46))*12 + MONTH(R$2)-MONTH($F46)) / 12),
  0)</f>
        <v/>
      </c>
      <c r="S46" s="299">
        <f>IF(AND($F46&lt;=S$2, OR($G46="",$G46&gt;=S$2)),
  $H46 * (1 + Assumptions!$C$7) ^ INT(((YEAR(S$2)-YEAR($F46))*12 + MONTH(S$2)-MONTH($F46)) / 12),
  0)</f>
        <v/>
      </c>
      <c r="T46" s="299">
        <f>IF(AND($F46&lt;=T$2, OR($G46="",$G46&gt;=T$2)),
  $H46 * (1 + Assumptions!$C$7) ^ INT(((YEAR(T$2)-YEAR($F46))*12 + MONTH(T$2)-MONTH($F46)) / 12),
  0)</f>
        <v/>
      </c>
      <c r="U46" s="299">
        <f>IF(AND($F46&lt;=U$2, OR($G46="",$G46&gt;=U$2)),
  $H46 * (1 + Assumptions!$C$7) ^ INT(((YEAR(U$2)-YEAR($F46))*12 + MONTH(U$2)-MONTH($F46)) / 12),
  0)</f>
        <v/>
      </c>
      <c r="V46" s="299">
        <f>IF(AND($F46&lt;=V$2, OR($G46="",$G46&gt;=V$2)),
  $H46 * (1 + Assumptions!$C$7) ^ INT(((YEAR(V$2)-YEAR($F46))*12 + MONTH(V$2)-MONTH($F46)) / 12),
  0)</f>
        <v/>
      </c>
      <c r="W46" s="299">
        <f>IF(AND($F46&lt;=W$2, OR($G46="",$G46&gt;=W$2)),
  $H46 * (1 + Assumptions!$C$7) ^ INT(((YEAR(W$2)-YEAR($F46))*12 + MONTH(W$2)-MONTH($F46)) / 12),
  0)</f>
        <v/>
      </c>
      <c r="X46" s="299">
        <f>IF(AND($F46&lt;=X$2, OR($G46="",$G46&gt;=X$2)),
  $H46 * (1 + Assumptions!$C$7) ^ INT(((YEAR(X$2)-YEAR($F46))*12 + MONTH(X$2)-MONTH($F46)) / 12),
  0)</f>
        <v/>
      </c>
      <c r="Y46" s="299">
        <f>IF(AND($F46&lt;=Y$2, OR($G46="",$G46&gt;=Y$2)),
  $H46 * (1 + Assumptions!$C$7) ^ INT(((YEAR(Y$2)-YEAR($F46))*12 + MONTH(Y$2)-MONTH($F46)) / 12),
  0)</f>
        <v/>
      </c>
      <c r="Z46" s="299">
        <f>IF(AND($F46&lt;=Z$2, OR($G46="",$G46&gt;=Z$2)),
  $H46 * (1 + Assumptions!$C$7) ^ INT(((YEAR(Z$2)-YEAR($F46))*12 + MONTH(Z$2)-MONTH($F46)) / 12),
  0)</f>
        <v/>
      </c>
      <c r="AA46" s="299">
        <f>IF(AND($F46&lt;=AA$2, OR($G46="",$G46&gt;=AA$2)),
  $H46 * (1 + Assumptions!$C$7) ^ INT(((YEAR(AA$2)-YEAR($F46))*12 + MONTH(AA$2)-MONTH($F46)) / 12),
  0)</f>
        <v/>
      </c>
      <c r="AB46" s="299">
        <f>IF(AND($F46&lt;=AB$2, OR($G46="",$G46&gt;=AB$2)),
  $H46 * (1 + Assumptions!$C$7) ^ INT(((YEAR(AB$2)-YEAR($F46))*12 + MONTH(AB$2)-MONTH($F46)) / 12),
  0)</f>
        <v/>
      </c>
      <c r="AC46" s="299">
        <f>IF(AND($F46&lt;=AC$2, OR($G46="",$G46&gt;=AC$2)),
  $H46 * (1 + Assumptions!$C$7) ^ INT(((YEAR(AC$2)-YEAR($F46))*12 + MONTH(AC$2)-MONTH($F46)) / 12),
  0)</f>
        <v/>
      </c>
      <c r="AD46" s="299">
        <f>IF(AND($F46&lt;=AD$2, OR($G46="",$G46&gt;=AD$2)),
  $H46 * (1 + Assumptions!$C$7) ^ INT(((YEAR(AD$2)-YEAR($F46))*12 + MONTH(AD$2)-MONTH($F46)) / 12),
  0)</f>
        <v/>
      </c>
      <c r="AE46" s="299">
        <f>IF(AND($F46&lt;=AE$2, OR($G46="",$G46&gt;=AE$2)),
  $H46 * (1 + Assumptions!$C$7) ^ INT(((YEAR(AE$2)-YEAR($F46))*12 + MONTH(AE$2)-MONTH($F46)) / 12),
  0)</f>
        <v/>
      </c>
      <c r="AF46" s="299">
        <f>IF(AND($F46&lt;=AF$2, OR($G46="",$G46&gt;=AF$2)),
  $H46 * (1 + Assumptions!$C$7) ^ INT(((YEAR(AF$2)-YEAR($F46))*12 + MONTH(AF$2)-MONTH($F46)) / 12),
  0)</f>
        <v/>
      </c>
      <c r="AG46" s="299">
        <f>IF(AND($F46&lt;=AG$2, OR($G46="",$G46&gt;=AG$2)),
  $H46 * (1 + Assumptions!$C$7) ^ INT(((YEAR(AG$2)-YEAR($F46))*12 + MONTH(AG$2)-MONTH($F46)) / 12),
  0)</f>
        <v/>
      </c>
      <c r="AH46" s="299">
        <f>IF(AND($F46&lt;=AH$2, OR($G46="",$G46&gt;=AH$2)),
  $H46 * (1 + Assumptions!$C$7) ^ INT(((YEAR(AH$2)-YEAR($F46))*12 + MONTH(AH$2)-MONTH($F46)) / 12),
  0)</f>
        <v/>
      </c>
      <c r="AI46" s="299">
        <f>IF(AND($F46&lt;=AI$2, OR($G46="",$G46&gt;=AI$2)),
  $H46 * (1 + Assumptions!$C$7) ^ INT(((YEAR(AI$2)-YEAR($F46))*12 + MONTH(AI$2)-MONTH($F46)) / 12),
  0)</f>
        <v/>
      </c>
      <c r="AJ46" s="299">
        <f>IF(AND($F46&lt;=AJ$2, OR($G46="",$G46&gt;=AJ$2)),
  $H46 * (1 + Assumptions!$C$7) ^ INT(((YEAR(AJ$2)-YEAR($F46))*12 + MONTH(AJ$2)-MONTH($F46)) / 12),
  0)</f>
        <v/>
      </c>
      <c r="AK46" s="299">
        <f>IF(AND($F46&lt;=AK$2, OR($G46="",$G46&gt;=AK$2)),
  $H46 * (1 + Assumptions!$C$7) ^ INT(((YEAR(AK$2)-YEAR($F46))*12 + MONTH(AK$2)-MONTH($F46)) / 12),
  0)</f>
        <v/>
      </c>
      <c r="AL46" s="299">
        <f>IF(AND($F46&lt;=AL$2, OR($G46="",$G46&gt;=AL$2)),
  $H46 * (1 + Assumptions!$C$7) ^ INT(((YEAR(AL$2)-YEAR($F46))*12 + MONTH(AL$2)-MONTH($F46)) / 12),
  0)</f>
        <v/>
      </c>
      <c r="AM46" s="299">
        <f>IF(AND($F46&lt;=AM$2, OR($G46="",$G46&gt;=AM$2)),
  $H46 * (1 + Assumptions!$C$7) ^ INT(((YEAR(AM$2)-YEAR($F46))*12 + MONTH(AM$2)-MONTH($F46)) / 12),
  0)</f>
        <v/>
      </c>
      <c r="AN46" s="299">
        <f>IF(AND($F46&lt;=AN$2, OR($G46="",$G46&gt;=AN$2)),
  $H46 * (1 + Assumptions!$C$7) ^ INT(((YEAR(AN$2)-YEAR($F46))*12 + MONTH(AN$2)-MONTH($F46)) / 12),
  0)</f>
        <v/>
      </c>
      <c r="AO46" s="299">
        <f>IF(AND($F46&lt;=AO$2, OR($G46="",$G46&gt;=AO$2)),
  $H46 * (1 + Assumptions!$C$7) ^ INT(((YEAR(AO$2)-YEAR($F46))*12 + MONTH(AO$2)-MONTH($F46)) / 12),
  0)</f>
        <v/>
      </c>
      <c r="AP46" s="299">
        <f>IF(AND($F46&lt;=AP$2, OR($G46="",$G46&gt;=AP$2)),
  $H46 * (1 + Assumptions!$C$7) ^ INT(((YEAR(AP$2)-YEAR($F46))*12 + MONTH(AP$2)-MONTH($F46)) / 12),
  0)</f>
        <v/>
      </c>
      <c r="AQ46" s="299">
        <f>IF(AND($F46&lt;=AQ$2, OR($G46="",$G46&gt;=AQ$2)),
  $H46 * (1 + Assumptions!$C$7) ^ INT(((YEAR(AQ$2)-YEAR($F46))*12 + MONTH(AQ$2)-MONTH($F46)) / 12),
  0)</f>
        <v/>
      </c>
      <c r="AR46" s="299">
        <f>IF(AND($F46&lt;=AR$2, OR($G46="",$G46&gt;=AR$2)),
  $H46 * (1 + Assumptions!$C$7) ^ INT(((YEAR(AR$2)-YEAR($F46))*12 + MONTH(AR$2)-MONTH($F46)) / 12),
  0)</f>
        <v/>
      </c>
      <c r="AS46" s="299">
        <f>IF(AND($F46&lt;=AS$2, OR($G46="",$G46&gt;=AS$2)),
  $H46 * (1 + Assumptions!$C$7) ^ INT(((YEAR(AS$2)-YEAR($F46))*12 + MONTH(AS$2)-MONTH($F46)) / 12),
  0)</f>
        <v/>
      </c>
      <c r="AT46" s="299">
        <f>IF(AND($F46&lt;=AT$2, OR($G46="",$G46&gt;=AT$2)),
  $H46 * (1 + Assumptions!$C$7) ^ INT(((YEAR(AT$2)-YEAR($F46))*12 + MONTH(AT$2)-MONTH($F46)) / 12),
  0)</f>
        <v/>
      </c>
      <c r="AU46" s="299">
        <f>IF(AND($F46&lt;=AU$2, OR($G46="",$G46&gt;=AU$2)),
  $H46 * (1 + Assumptions!$C$7) ^ INT(((YEAR(AU$2)-YEAR($F46))*12 + MONTH(AU$2)-MONTH($F46)) / 12),
  0)</f>
        <v/>
      </c>
      <c r="AV46" s="299">
        <f>IF(AND($F46&lt;=AV$2, OR($G46="",$G46&gt;=AV$2)),
  $H46 * (1 + Assumptions!$C$7) ^ INT(((YEAR(AV$2)-YEAR($F46))*12 + MONTH(AV$2)-MONTH($F46)) / 12),
  0)</f>
        <v/>
      </c>
      <c r="AW46" s="299">
        <f>IF(AND($F46&lt;=AW$2, OR($G46="",$G46&gt;=AW$2)),
  $H46 * (1 + Assumptions!$C$7) ^ INT(((YEAR(AW$2)-YEAR($F46))*12 + MONTH(AW$2)-MONTH($F46)) / 12),
  0)</f>
        <v/>
      </c>
      <c r="AX46" s="299">
        <f>IF(AND($F46&lt;=AX$2, OR($G46="",$G46&gt;=AX$2)),
  $H46 * (1 + Assumptions!$C$7) ^ INT(((YEAR(AX$2)-YEAR($F46))*12 + MONTH(AX$2)-MONTH($F46)) / 12),
  0)</f>
        <v/>
      </c>
      <c r="AY46" s="299">
        <f>IF(AND($F46&lt;=AY$2, OR($G46="",$G46&gt;=AY$2)),
  $H46 * (1 + Assumptions!$C$7) ^ INT(((YEAR(AY$2)-YEAR($F46))*12 + MONTH(AY$2)-MONTH($F46)) / 12),
  0)</f>
        <v/>
      </c>
      <c r="AZ46" s="299">
        <f>IF(AND($F46&lt;=AZ$2, OR($G46="",$G46&gt;=AZ$2)),
  $H46 * (1 + Assumptions!$C$7) ^ INT(((YEAR(AZ$2)-YEAR($F46))*12 + MONTH(AZ$2)-MONTH($F46)) / 12),
  0)</f>
        <v/>
      </c>
      <c r="BA46" s="299">
        <f>IF(AND($F46&lt;=BA$2, OR($G46="",$G46&gt;=BA$2)),
  $H46 * (1 + Assumptions!$C$7) ^ INT(((YEAR(BA$2)-YEAR($F46))*12 + MONTH(BA$2)-MONTH($F46)) / 12),
  0)</f>
        <v/>
      </c>
      <c r="BB46" s="299">
        <f>IF(AND($F46&lt;=BB$2, OR($G46="",$G46&gt;=BB$2)),
  $H46 * (1 + Assumptions!$C$7) ^ INT(((YEAR(BB$2)-YEAR($F46))*12 + MONTH(BB$2)-MONTH($F46)) / 12),
  0)</f>
        <v/>
      </c>
      <c r="BC46" s="299">
        <f>IF(AND($F46&lt;=BC$2, OR($G46="",$G46&gt;=BC$2)),
  $H46 * (1 + Assumptions!$C$7) ^ INT(((YEAR(BC$2)-YEAR($F46))*12 + MONTH(BC$2)-MONTH($F46)) / 12),
  0)</f>
        <v/>
      </c>
      <c r="BD46" s="299">
        <f>IF(AND($F46&lt;=BD$2, OR($G46="",$G46&gt;=BD$2)),
  $H46 * (1 + Assumptions!$C$7) ^ INT(((YEAR(BD$2)-YEAR($F46))*12 + MONTH(BD$2)-MONTH($F46)) / 12),
  0)</f>
        <v/>
      </c>
      <c r="BE46" s="299">
        <f>IF(AND($F46&lt;=BE$2, OR($G46="",$G46&gt;=BE$2)),
  $H46 * (1 + Assumptions!$C$7) ^ INT(((YEAR(BE$2)-YEAR($F46))*12 + MONTH(BE$2)-MONTH($F46)) / 12),
  0)</f>
        <v/>
      </c>
      <c r="BF46" s="299">
        <f>IF(AND($F46&lt;=BF$2, OR($G46="",$G46&gt;=BF$2)),
  $H46 * (1 + Assumptions!$C$7) ^ INT(((YEAR(BF$2)-YEAR($F46))*12 + MONTH(BF$2)-MONTH($F46)) / 12),
  0)</f>
        <v/>
      </c>
      <c r="BG46" s="299">
        <f>IF(AND($F46&lt;=BG$2, OR($G46="",$G46&gt;=BG$2)),
  $H46 * (1 + Assumptions!$C$7) ^ INT(((YEAR(BG$2)-YEAR($F46))*12 + MONTH(BG$2)-MONTH($F46)) / 12),
  0)</f>
        <v/>
      </c>
      <c r="BH46" s="299">
        <f>IF(AND($F46&lt;=BH$2, OR($G46="",$G46&gt;=BH$2)),
  $H46 * (1 + Assumptions!$C$7) ^ INT(((YEAR(BH$2)-YEAR($F46))*12 + MONTH(BH$2)-MONTH($F46)) / 12),
  0)</f>
        <v/>
      </c>
      <c r="BI46" s="299">
        <f>IF(AND($F46&lt;=BI$2, OR($G46="",$G46&gt;=BI$2)),
  $H46 * (1 + Assumptions!$C$7) ^ INT(((YEAR(BI$2)-YEAR($F46))*12 + MONTH(BI$2)-MONTH($F46)) / 12),
  0)</f>
        <v/>
      </c>
      <c r="BJ46" s="299">
        <f>IF(AND($F46&lt;=BJ$2, OR($G46="",$G46&gt;=BJ$2)),
  $H46 * (1 + Assumptions!$C$7) ^ INT(((YEAR(BJ$2)-YEAR($F46))*12 + MONTH(BJ$2)-MONTH($F46)) / 12),
  0)</f>
        <v/>
      </c>
      <c r="BK46" s="299">
        <f>IF(AND($F46&lt;=BK$2, OR($G46="",$G46&gt;=BK$2)),
  $H46 * (1 + Assumptions!$C$7) ^ INT(((YEAR(BK$2)-YEAR($F46))*12 + MONTH(BK$2)-MONTH($F46)) / 12),
  0)</f>
        <v/>
      </c>
      <c r="BL46" s="299">
        <f>IF(AND($F46&lt;=BL$2, OR($G46="",$G46&gt;=BL$2)),
  $H46 * (1 + Assumptions!$C$7) ^ INT(((YEAR(BL$2)-YEAR($F46))*12 + MONTH(BL$2)-MONTH($F46)) / 12),
  0)</f>
        <v/>
      </c>
      <c r="BM46" s="299">
        <f>IF(AND($F46&lt;=BM$2, OR($G46="",$G46&gt;=BM$2)),
  $H46 * (1 + Assumptions!$C$7) ^ INT(((YEAR(BM$2)-YEAR($F46))*12 + MONTH(BM$2)-MONTH($F46)) / 12),
  0)</f>
        <v/>
      </c>
      <c r="BN46" s="299">
        <f>IF(AND($F46&lt;=BN$2, OR($G46="",$G46&gt;=BN$2)),
  $H46 * (1 + Assumptions!$C$7) ^ INT(((YEAR(BN$2)-YEAR($F46))*12 + MONTH(BN$2)-MONTH($F46)) / 12),
  0)</f>
        <v/>
      </c>
      <c r="BO46" s="299">
        <f>IF(AND($F46&lt;=BO$2, OR($G46="",$G46&gt;=BO$2)),
  $H46 * (1 + Assumptions!$C$7) ^ INT(((YEAR(BO$2)-YEAR($F46))*12 + MONTH(BO$2)-MONTH($F46)) / 12),
  0)</f>
        <v/>
      </c>
      <c r="BP46" s="299">
        <f>IF(AND($F46&lt;=BP$2, OR($G46="",$G46&gt;=BP$2)),
  $H46 * (1 + Assumptions!$C$7) ^ INT(((YEAR(BP$2)-YEAR($F46))*12 + MONTH(BP$2)-MONTH($F46)) / 12),
  0)</f>
        <v/>
      </c>
      <c r="BQ46" s="307" t="n"/>
      <c r="BR46" s="83" t="inlineStr">
        <is>
          <t>paid this month if started and not yet left; +8% on each work anniversary</t>
        </is>
      </c>
      <c r="BS46" s="307" t="n"/>
      <c r="BT46" s="307" t="n"/>
    </row>
    <row r="47" ht="16.5" customHeight="1" s="349">
      <c r="A47" s="321" t="n">
        <v>42</v>
      </c>
      <c r="B47" s="285" t="inlineStr">
        <is>
          <t>New hire</t>
        </is>
      </c>
      <c r="C47" s="23" t="inlineStr">
        <is>
          <t>S&amp;M</t>
        </is>
      </c>
      <c r="D47" s="321" t="inlineStr">
        <is>
          <t>Sales</t>
        </is>
      </c>
      <c r="E47" s="297" t="inlineStr">
        <is>
          <t>Planned</t>
        </is>
      </c>
      <c r="F47" s="318">
        <f>IF(Assumptions!$D$82=2,DATE(2027,6,1),DATE(2029,6,1))</f>
        <v/>
      </c>
      <c r="G47" s="319" t="n"/>
      <c r="H47" s="288" t="n">
        <v>7500</v>
      </c>
      <c r="I47" s="299">
        <f>IF(AND($F47&lt;=I$2, OR($G47="",$G47&gt;=I$2)),
  $H47 * (1 + Assumptions!$C$7) ^ INT(((YEAR(I$2)-YEAR($F47))*12 + MONTH(I$2)-MONTH($F47)) / 12),
  0)</f>
        <v/>
      </c>
      <c r="J47" s="299">
        <f>IF(AND($F47&lt;=J$2, OR($G47="",$G47&gt;=J$2)),
  $H47 * (1 + Assumptions!$C$7) ^ INT(((YEAR(J$2)-YEAR($F47))*12 + MONTH(J$2)-MONTH($F47)) / 12),
  0)</f>
        <v/>
      </c>
      <c r="K47" s="299">
        <f>IF(AND($F47&lt;=K$2, OR($G47="",$G47&gt;=K$2)),
  $H47 * (1 + Assumptions!$C$7) ^ INT(((YEAR(K$2)-YEAR($F47))*12 + MONTH(K$2)-MONTH($F47)) / 12),
  0)</f>
        <v/>
      </c>
      <c r="L47" s="299">
        <f>IF(AND($F47&lt;=L$2, OR($G47="",$G47&gt;=L$2)),
  $H47 * (1 + Assumptions!$C$7) ^ INT(((YEAR(L$2)-YEAR($F47))*12 + MONTH(L$2)-MONTH($F47)) / 12),
  0)</f>
        <v/>
      </c>
      <c r="M47" s="299">
        <f>IF(AND($F47&lt;=M$2, OR($G47="",$G47&gt;=M$2)),
  $H47 * (1 + Assumptions!$C$7) ^ INT(((YEAR(M$2)-YEAR($F47))*12 + MONTH(M$2)-MONTH($F47)) / 12),
  0)</f>
        <v/>
      </c>
      <c r="N47" s="299">
        <f>IF(AND($F47&lt;=N$2, OR($G47="",$G47&gt;=N$2)),
  $H47 * (1 + Assumptions!$C$7) ^ INT(((YEAR(N$2)-YEAR($F47))*12 + MONTH(N$2)-MONTH($F47)) / 12),
  0)</f>
        <v/>
      </c>
      <c r="O47" s="299">
        <f>IF(AND($F47&lt;=O$2, OR($G47="",$G47&gt;=O$2)),
  $H47 * (1 + Assumptions!$C$7) ^ INT(((YEAR(O$2)-YEAR($F47))*12 + MONTH(O$2)-MONTH($F47)) / 12),
  0)</f>
        <v/>
      </c>
      <c r="P47" s="299">
        <f>IF(AND($F47&lt;=P$2, OR($G47="",$G47&gt;=P$2)),
  $H47 * (1 + Assumptions!$C$7) ^ INT(((YEAR(P$2)-YEAR($F47))*12 + MONTH(P$2)-MONTH($F47)) / 12),
  0)</f>
        <v/>
      </c>
      <c r="Q47" s="299">
        <f>IF(AND($F47&lt;=Q$2, OR($G47="",$G47&gt;=Q$2)),
  $H47 * (1 + Assumptions!$C$7) ^ INT(((YEAR(Q$2)-YEAR($F47))*12 + MONTH(Q$2)-MONTH($F47)) / 12),
  0)</f>
        <v/>
      </c>
      <c r="R47" s="299">
        <f>IF(AND($F47&lt;=R$2, OR($G47="",$G47&gt;=R$2)),
  $H47 * (1 + Assumptions!$C$7) ^ INT(((YEAR(R$2)-YEAR($F47))*12 + MONTH(R$2)-MONTH($F47)) / 12),
  0)</f>
        <v/>
      </c>
      <c r="S47" s="299">
        <f>IF(AND($F47&lt;=S$2, OR($G47="",$G47&gt;=S$2)),
  $H47 * (1 + Assumptions!$C$7) ^ INT(((YEAR(S$2)-YEAR($F47))*12 + MONTH(S$2)-MONTH($F47)) / 12),
  0)</f>
        <v/>
      </c>
      <c r="T47" s="299">
        <f>IF(AND($F47&lt;=T$2, OR($G47="",$G47&gt;=T$2)),
  $H47 * (1 + Assumptions!$C$7) ^ INT(((YEAR(T$2)-YEAR($F47))*12 + MONTH(T$2)-MONTH($F47)) / 12),
  0)</f>
        <v/>
      </c>
      <c r="U47" s="299">
        <f>IF(AND($F47&lt;=U$2, OR($G47="",$G47&gt;=U$2)),
  $H47 * (1 + Assumptions!$C$7) ^ INT(((YEAR(U$2)-YEAR($F47))*12 + MONTH(U$2)-MONTH($F47)) / 12),
  0)</f>
        <v/>
      </c>
      <c r="V47" s="299">
        <f>IF(AND($F47&lt;=V$2, OR($G47="",$G47&gt;=V$2)),
  $H47 * (1 + Assumptions!$C$7) ^ INT(((YEAR(V$2)-YEAR($F47))*12 + MONTH(V$2)-MONTH($F47)) / 12),
  0)</f>
        <v/>
      </c>
      <c r="W47" s="299">
        <f>IF(AND($F47&lt;=W$2, OR($G47="",$G47&gt;=W$2)),
  $H47 * (1 + Assumptions!$C$7) ^ INT(((YEAR(W$2)-YEAR($F47))*12 + MONTH(W$2)-MONTH($F47)) / 12),
  0)</f>
        <v/>
      </c>
      <c r="X47" s="299">
        <f>IF(AND($F47&lt;=X$2, OR($G47="",$G47&gt;=X$2)),
  $H47 * (1 + Assumptions!$C$7) ^ INT(((YEAR(X$2)-YEAR($F47))*12 + MONTH(X$2)-MONTH($F47)) / 12),
  0)</f>
        <v/>
      </c>
      <c r="Y47" s="299">
        <f>IF(AND($F47&lt;=Y$2, OR($G47="",$G47&gt;=Y$2)),
  $H47 * (1 + Assumptions!$C$7) ^ INT(((YEAR(Y$2)-YEAR($F47))*12 + MONTH(Y$2)-MONTH($F47)) / 12),
  0)</f>
        <v/>
      </c>
      <c r="Z47" s="299">
        <f>IF(AND($F47&lt;=Z$2, OR($G47="",$G47&gt;=Z$2)),
  $H47 * (1 + Assumptions!$C$7) ^ INT(((YEAR(Z$2)-YEAR($F47))*12 + MONTH(Z$2)-MONTH($F47)) / 12),
  0)</f>
        <v/>
      </c>
      <c r="AA47" s="299">
        <f>IF(AND($F47&lt;=AA$2, OR($G47="",$G47&gt;=AA$2)),
  $H47 * (1 + Assumptions!$C$7) ^ INT(((YEAR(AA$2)-YEAR($F47))*12 + MONTH(AA$2)-MONTH($F47)) / 12),
  0)</f>
        <v/>
      </c>
      <c r="AB47" s="299">
        <f>IF(AND($F47&lt;=AB$2, OR($G47="",$G47&gt;=AB$2)),
  $H47 * (1 + Assumptions!$C$7) ^ INT(((YEAR(AB$2)-YEAR($F47))*12 + MONTH(AB$2)-MONTH($F47)) / 12),
  0)</f>
        <v/>
      </c>
      <c r="AC47" s="299">
        <f>IF(AND($F47&lt;=AC$2, OR($G47="",$G47&gt;=AC$2)),
  $H47 * (1 + Assumptions!$C$7) ^ INT(((YEAR(AC$2)-YEAR($F47))*12 + MONTH(AC$2)-MONTH($F47)) / 12),
  0)</f>
        <v/>
      </c>
      <c r="AD47" s="299">
        <f>IF(AND($F47&lt;=AD$2, OR($G47="",$G47&gt;=AD$2)),
  $H47 * (1 + Assumptions!$C$7) ^ INT(((YEAR(AD$2)-YEAR($F47))*12 + MONTH(AD$2)-MONTH($F47)) / 12),
  0)</f>
        <v/>
      </c>
      <c r="AE47" s="299">
        <f>IF(AND($F47&lt;=AE$2, OR($G47="",$G47&gt;=AE$2)),
  $H47 * (1 + Assumptions!$C$7) ^ INT(((YEAR(AE$2)-YEAR($F47))*12 + MONTH(AE$2)-MONTH($F47)) / 12),
  0)</f>
        <v/>
      </c>
      <c r="AF47" s="299">
        <f>IF(AND($F47&lt;=AF$2, OR($G47="",$G47&gt;=AF$2)),
  $H47 * (1 + Assumptions!$C$7) ^ INT(((YEAR(AF$2)-YEAR($F47))*12 + MONTH(AF$2)-MONTH($F47)) / 12),
  0)</f>
        <v/>
      </c>
      <c r="AG47" s="299">
        <f>IF(AND($F47&lt;=AG$2, OR($G47="",$G47&gt;=AG$2)),
  $H47 * (1 + Assumptions!$C$7) ^ INT(((YEAR(AG$2)-YEAR($F47))*12 + MONTH(AG$2)-MONTH($F47)) / 12),
  0)</f>
        <v/>
      </c>
      <c r="AH47" s="299">
        <f>IF(AND($F47&lt;=AH$2, OR($G47="",$G47&gt;=AH$2)),
  $H47 * (1 + Assumptions!$C$7) ^ INT(((YEAR(AH$2)-YEAR($F47))*12 + MONTH(AH$2)-MONTH($F47)) / 12),
  0)</f>
        <v/>
      </c>
      <c r="AI47" s="299">
        <f>IF(AND($F47&lt;=AI$2, OR($G47="",$G47&gt;=AI$2)),
  $H47 * (1 + Assumptions!$C$7) ^ INT(((YEAR(AI$2)-YEAR($F47))*12 + MONTH(AI$2)-MONTH($F47)) / 12),
  0)</f>
        <v/>
      </c>
      <c r="AJ47" s="299">
        <f>IF(AND($F47&lt;=AJ$2, OR($G47="",$G47&gt;=AJ$2)),
  $H47 * (1 + Assumptions!$C$7) ^ INT(((YEAR(AJ$2)-YEAR($F47))*12 + MONTH(AJ$2)-MONTH($F47)) / 12),
  0)</f>
        <v/>
      </c>
      <c r="AK47" s="299">
        <f>IF(AND($F47&lt;=AK$2, OR($G47="",$G47&gt;=AK$2)),
  $H47 * (1 + Assumptions!$C$7) ^ INT(((YEAR(AK$2)-YEAR($F47))*12 + MONTH(AK$2)-MONTH($F47)) / 12),
  0)</f>
        <v/>
      </c>
      <c r="AL47" s="299">
        <f>IF(AND($F47&lt;=AL$2, OR($G47="",$G47&gt;=AL$2)),
  $H47 * (1 + Assumptions!$C$7) ^ INT(((YEAR(AL$2)-YEAR($F47))*12 + MONTH(AL$2)-MONTH($F47)) / 12),
  0)</f>
        <v/>
      </c>
      <c r="AM47" s="299">
        <f>IF(AND($F47&lt;=AM$2, OR($G47="",$G47&gt;=AM$2)),
  $H47 * (1 + Assumptions!$C$7) ^ INT(((YEAR(AM$2)-YEAR($F47))*12 + MONTH(AM$2)-MONTH($F47)) / 12),
  0)</f>
        <v/>
      </c>
      <c r="AN47" s="299">
        <f>IF(AND($F47&lt;=AN$2, OR($G47="",$G47&gt;=AN$2)),
  $H47 * (1 + Assumptions!$C$7) ^ INT(((YEAR(AN$2)-YEAR($F47))*12 + MONTH(AN$2)-MONTH($F47)) / 12),
  0)</f>
        <v/>
      </c>
      <c r="AO47" s="299">
        <f>IF(AND($F47&lt;=AO$2, OR($G47="",$G47&gt;=AO$2)),
  $H47 * (1 + Assumptions!$C$7) ^ INT(((YEAR(AO$2)-YEAR($F47))*12 + MONTH(AO$2)-MONTH($F47)) / 12),
  0)</f>
        <v/>
      </c>
      <c r="AP47" s="299">
        <f>IF(AND($F47&lt;=AP$2, OR($G47="",$G47&gt;=AP$2)),
  $H47 * (1 + Assumptions!$C$7) ^ INT(((YEAR(AP$2)-YEAR($F47))*12 + MONTH(AP$2)-MONTH($F47)) / 12),
  0)</f>
        <v/>
      </c>
      <c r="AQ47" s="299">
        <f>IF(AND($F47&lt;=AQ$2, OR($G47="",$G47&gt;=AQ$2)),
  $H47 * (1 + Assumptions!$C$7) ^ INT(((YEAR(AQ$2)-YEAR($F47))*12 + MONTH(AQ$2)-MONTH($F47)) / 12),
  0)</f>
        <v/>
      </c>
      <c r="AR47" s="299">
        <f>IF(AND($F47&lt;=AR$2, OR($G47="",$G47&gt;=AR$2)),
  $H47 * (1 + Assumptions!$C$7) ^ INT(((YEAR(AR$2)-YEAR($F47))*12 + MONTH(AR$2)-MONTH($F47)) / 12),
  0)</f>
        <v/>
      </c>
      <c r="AS47" s="299">
        <f>IF(AND($F47&lt;=AS$2, OR($G47="",$G47&gt;=AS$2)),
  $H47 * (1 + Assumptions!$C$7) ^ INT(((YEAR(AS$2)-YEAR($F47))*12 + MONTH(AS$2)-MONTH($F47)) / 12),
  0)</f>
        <v/>
      </c>
      <c r="AT47" s="299">
        <f>IF(AND($F47&lt;=AT$2, OR($G47="",$G47&gt;=AT$2)),
  $H47 * (1 + Assumptions!$C$7) ^ INT(((YEAR(AT$2)-YEAR($F47))*12 + MONTH(AT$2)-MONTH($F47)) / 12),
  0)</f>
        <v/>
      </c>
      <c r="AU47" s="299">
        <f>IF(AND($F47&lt;=AU$2, OR($G47="",$G47&gt;=AU$2)),
  $H47 * (1 + Assumptions!$C$7) ^ INT(((YEAR(AU$2)-YEAR($F47))*12 + MONTH(AU$2)-MONTH($F47)) / 12),
  0)</f>
        <v/>
      </c>
      <c r="AV47" s="299">
        <f>IF(AND($F47&lt;=AV$2, OR($G47="",$G47&gt;=AV$2)),
  $H47 * (1 + Assumptions!$C$7) ^ INT(((YEAR(AV$2)-YEAR($F47))*12 + MONTH(AV$2)-MONTH($F47)) / 12),
  0)</f>
        <v/>
      </c>
      <c r="AW47" s="299">
        <f>IF(AND($F47&lt;=AW$2, OR($G47="",$G47&gt;=AW$2)),
  $H47 * (1 + Assumptions!$C$7) ^ INT(((YEAR(AW$2)-YEAR($F47))*12 + MONTH(AW$2)-MONTH($F47)) / 12),
  0)</f>
        <v/>
      </c>
      <c r="AX47" s="299">
        <f>IF(AND($F47&lt;=AX$2, OR($G47="",$G47&gt;=AX$2)),
  $H47 * (1 + Assumptions!$C$7) ^ INT(((YEAR(AX$2)-YEAR($F47))*12 + MONTH(AX$2)-MONTH($F47)) / 12),
  0)</f>
        <v/>
      </c>
      <c r="AY47" s="299">
        <f>IF(AND($F47&lt;=AY$2, OR($G47="",$G47&gt;=AY$2)),
  $H47 * (1 + Assumptions!$C$7) ^ INT(((YEAR(AY$2)-YEAR($F47))*12 + MONTH(AY$2)-MONTH($F47)) / 12),
  0)</f>
        <v/>
      </c>
      <c r="AZ47" s="299">
        <f>IF(AND($F47&lt;=AZ$2, OR($G47="",$G47&gt;=AZ$2)),
  $H47 * (1 + Assumptions!$C$7) ^ INT(((YEAR(AZ$2)-YEAR($F47))*12 + MONTH(AZ$2)-MONTH($F47)) / 12),
  0)</f>
        <v/>
      </c>
      <c r="BA47" s="299">
        <f>IF(AND($F47&lt;=BA$2, OR($G47="",$G47&gt;=BA$2)),
  $H47 * (1 + Assumptions!$C$7) ^ INT(((YEAR(BA$2)-YEAR($F47))*12 + MONTH(BA$2)-MONTH($F47)) / 12),
  0)</f>
        <v/>
      </c>
      <c r="BB47" s="299">
        <f>IF(AND($F47&lt;=BB$2, OR($G47="",$G47&gt;=BB$2)),
  $H47 * (1 + Assumptions!$C$7) ^ INT(((YEAR(BB$2)-YEAR($F47))*12 + MONTH(BB$2)-MONTH($F47)) / 12),
  0)</f>
        <v/>
      </c>
      <c r="BC47" s="299">
        <f>IF(AND($F47&lt;=BC$2, OR($G47="",$G47&gt;=BC$2)),
  $H47 * (1 + Assumptions!$C$7) ^ INT(((YEAR(BC$2)-YEAR($F47))*12 + MONTH(BC$2)-MONTH($F47)) / 12),
  0)</f>
        <v/>
      </c>
      <c r="BD47" s="299">
        <f>IF(AND($F47&lt;=BD$2, OR($G47="",$G47&gt;=BD$2)),
  $H47 * (1 + Assumptions!$C$7) ^ INT(((YEAR(BD$2)-YEAR($F47))*12 + MONTH(BD$2)-MONTH($F47)) / 12),
  0)</f>
        <v/>
      </c>
      <c r="BE47" s="299">
        <f>IF(AND($F47&lt;=BE$2, OR($G47="",$G47&gt;=BE$2)),
  $H47 * (1 + Assumptions!$C$7) ^ INT(((YEAR(BE$2)-YEAR($F47))*12 + MONTH(BE$2)-MONTH($F47)) / 12),
  0)</f>
        <v/>
      </c>
      <c r="BF47" s="299">
        <f>IF(AND($F47&lt;=BF$2, OR($G47="",$G47&gt;=BF$2)),
  $H47 * (1 + Assumptions!$C$7) ^ INT(((YEAR(BF$2)-YEAR($F47))*12 + MONTH(BF$2)-MONTH($F47)) / 12),
  0)</f>
        <v/>
      </c>
      <c r="BG47" s="299">
        <f>IF(AND($F47&lt;=BG$2, OR($G47="",$G47&gt;=BG$2)),
  $H47 * (1 + Assumptions!$C$7) ^ INT(((YEAR(BG$2)-YEAR($F47))*12 + MONTH(BG$2)-MONTH($F47)) / 12),
  0)</f>
        <v/>
      </c>
      <c r="BH47" s="299">
        <f>IF(AND($F47&lt;=BH$2, OR($G47="",$G47&gt;=BH$2)),
  $H47 * (1 + Assumptions!$C$7) ^ INT(((YEAR(BH$2)-YEAR($F47))*12 + MONTH(BH$2)-MONTH($F47)) / 12),
  0)</f>
        <v/>
      </c>
      <c r="BI47" s="299">
        <f>IF(AND($F47&lt;=BI$2, OR($G47="",$G47&gt;=BI$2)),
  $H47 * (1 + Assumptions!$C$7) ^ INT(((YEAR(BI$2)-YEAR($F47))*12 + MONTH(BI$2)-MONTH($F47)) / 12),
  0)</f>
        <v/>
      </c>
      <c r="BJ47" s="299">
        <f>IF(AND($F47&lt;=BJ$2, OR($G47="",$G47&gt;=BJ$2)),
  $H47 * (1 + Assumptions!$C$7) ^ INT(((YEAR(BJ$2)-YEAR($F47))*12 + MONTH(BJ$2)-MONTH($F47)) / 12),
  0)</f>
        <v/>
      </c>
      <c r="BK47" s="299">
        <f>IF(AND($F47&lt;=BK$2, OR($G47="",$G47&gt;=BK$2)),
  $H47 * (1 + Assumptions!$C$7) ^ INT(((YEAR(BK$2)-YEAR($F47))*12 + MONTH(BK$2)-MONTH($F47)) / 12),
  0)</f>
        <v/>
      </c>
      <c r="BL47" s="299">
        <f>IF(AND($F47&lt;=BL$2, OR($G47="",$G47&gt;=BL$2)),
  $H47 * (1 + Assumptions!$C$7) ^ INT(((YEAR(BL$2)-YEAR($F47))*12 + MONTH(BL$2)-MONTH($F47)) / 12),
  0)</f>
        <v/>
      </c>
      <c r="BM47" s="299">
        <f>IF(AND($F47&lt;=BM$2, OR($G47="",$G47&gt;=BM$2)),
  $H47 * (1 + Assumptions!$C$7) ^ INT(((YEAR(BM$2)-YEAR($F47))*12 + MONTH(BM$2)-MONTH($F47)) / 12),
  0)</f>
        <v/>
      </c>
      <c r="BN47" s="299">
        <f>IF(AND($F47&lt;=BN$2, OR($G47="",$G47&gt;=BN$2)),
  $H47 * (1 + Assumptions!$C$7) ^ INT(((YEAR(BN$2)-YEAR($F47))*12 + MONTH(BN$2)-MONTH($F47)) / 12),
  0)</f>
        <v/>
      </c>
      <c r="BO47" s="299">
        <f>IF(AND($F47&lt;=BO$2, OR($G47="",$G47&gt;=BO$2)),
  $H47 * (1 + Assumptions!$C$7) ^ INT(((YEAR(BO$2)-YEAR($F47))*12 + MONTH(BO$2)-MONTH($F47)) / 12),
  0)</f>
        <v/>
      </c>
      <c r="BP47" s="299">
        <f>IF(AND($F47&lt;=BP$2, OR($G47="",$G47&gt;=BP$2)),
  $H47 * (1 + Assumptions!$C$7) ^ INT(((YEAR(BP$2)-YEAR($F47))*12 + MONTH(BP$2)-MONTH($F47)) / 12),
  0)</f>
        <v/>
      </c>
      <c r="BQ47" s="307" t="n"/>
      <c r="BR47" s="83" t="inlineStr">
        <is>
          <t>paid this month if started and not yet left; +8% on each work anniversary</t>
        </is>
      </c>
      <c r="BS47" s="307" t="n"/>
      <c r="BT47" s="307" t="n"/>
    </row>
    <row r="48" ht="16.5" customHeight="1" s="349">
      <c r="A48" s="321" t="n">
        <v>43</v>
      </c>
      <c r="B48" s="285" t="inlineStr">
        <is>
          <t>New hire</t>
        </is>
      </c>
      <c r="C48" s="23" t="inlineStr">
        <is>
          <t>S&amp;M</t>
        </is>
      </c>
      <c r="D48" s="321" t="inlineStr">
        <is>
          <t>Sales</t>
        </is>
      </c>
      <c r="E48" s="297" t="inlineStr">
        <is>
          <t>Planned</t>
        </is>
      </c>
      <c r="F48" s="318">
        <f>IF(Assumptions!$D$82=2,DATE(2027,7,1),DATE(2029,6,1))</f>
        <v/>
      </c>
      <c r="G48" s="319" t="n"/>
      <c r="H48" s="288" t="n">
        <v>7500</v>
      </c>
      <c r="I48" s="299">
        <f>IF(AND($F48&lt;=I$2, OR($G48="",$G48&gt;=I$2)),
  $H48 * (1 + Assumptions!$C$7) ^ INT(((YEAR(I$2)-YEAR($F48))*12 + MONTH(I$2)-MONTH($F48)) / 12),
  0)</f>
        <v/>
      </c>
      <c r="J48" s="299">
        <f>IF(AND($F48&lt;=J$2, OR($G48="",$G48&gt;=J$2)),
  $H48 * (1 + Assumptions!$C$7) ^ INT(((YEAR(J$2)-YEAR($F48))*12 + MONTH(J$2)-MONTH($F48)) / 12),
  0)</f>
        <v/>
      </c>
      <c r="K48" s="299">
        <f>IF(AND($F48&lt;=K$2, OR($G48="",$G48&gt;=K$2)),
  $H48 * (1 + Assumptions!$C$7) ^ INT(((YEAR(K$2)-YEAR($F48))*12 + MONTH(K$2)-MONTH($F48)) / 12),
  0)</f>
        <v/>
      </c>
      <c r="L48" s="299">
        <f>IF(AND($F48&lt;=L$2, OR($G48="",$G48&gt;=L$2)),
  $H48 * (1 + Assumptions!$C$7) ^ INT(((YEAR(L$2)-YEAR($F48))*12 + MONTH(L$2)-MONTH($F48)) / 12),
  0)</f>
        <v/>
      </c>
      <c r="M48" s="299">
        <f>IF(AND($F48&lt;=M$2, OR($G48="",$G48&gt;=M$2)),
  $H48 * (1 + Assumptions!$C$7) ^ INT(((YEAR(M$2)-YEAR($F48))*12 + MONTH(M$2)-MONTH($F48)) / 12),
  0)</f>
        <v/>
      </c>
      <c r="N48" s="299">
        <f>IF(AND($F48&lt;=N$2, OR($G48="",$G48&gt;=N$2)),
  $H48 * (1 + Assumptions!$C$7) ^ INT(((YEAR(N$2)-YEAR($F48))*12 + MONTH(N$2)-MONTH($F48)) / 12),
  0)</f>
        <v/>
      </c>
      <c r="O48" s="299">
        <f>IF(AND($F48&lt;=O$2, OR($G48="",$G48&gt;=O$2)),
  $H48 * (1 + Assumptions!$C$7) ^ INT(((YEAR(O$2)-YEAR($F48))*12 + MONTH(O$2)-MONTH($F48)) / 12),
  0)</f>
        <v/>
      </c>
      <c r="P48" s="299">
        <f>IF(AND($F48&lt;=P$2, OR($G48="",$G48&gt;=P$2)),
  $H48 * (1 + Assumptions!$C$7) ^ INT(((YEAR(P$2)-YEAR($F48))*12 + MONTH(P$2)-MONTH($F48)) / 12),
  0)</f>
        <v/>
      </c>
      <c r="Q48" s="299">
        <f>IF(AND($F48&lt;=Q$2, OR($G48="",$G48&gt;=Q$2)),
  $H48 * (1 + Assumptions!$C$7) ^ INT(((YEAR(Q$2)-YEAR($F48))*12 + MONTH(Q$2)-MONTH($F48)) / 12),
  0)</f>
        <v/>
      </c>
      <c r="R48" s="299">
        <f>IF(AND($F48&lt;=R$2, OR($G48="",$G48&gt;=R$2)),
  $H48 * (1 + Assumptions!$C$7) ^ INT(((YEAR(R$2)-YEAR($F48))*12 + MONTH(R$2)-MONTH($F48)) / 12),
  0)</f>
        <v/>
      </c>
      <c r="S48" s="299">
        <f>IF(AND($F48&lt;=S$2, OR($G48="",$G48&gt;=S$2)),
  $H48 * (1 + Assumptions!$C$7) ^ INT(((YEAR(S$2)-YEAR($F48))*12 + MONTH(S$2)-MONTH($F48)) / 12),
  0)</f>
        <v/>
      </c>
      <c r="T48" s="299">
        <f>IF(AND($F48&lt;=T$2, OR($G48="",$G48&gt;=T$2)),
  $H48 * (1 + Assumptions!$C$7) ^ INT(((YEAR(T$2)-YEAR($F48))*12 + MONTH(T$2)-MONTH($F48)) / 12),
  0)</f>
        <v/>
      </c>
      <c r="U48" s="299">
        <f>IF(AND($F48&lt;=U$2, OR($G48="",$G48&gt;=U$2)),
  $H48 * (1 + Assumptions!$C$7) ^ INT(((YEAR(U$2)-YEAR($F48))*12 + MONTH(U$2)-MONTH($F48)) / 12),
  0)</f>
        <v/>
      </c>
      <c r="V48" s="299">
        <f>IF(AND($F48&lt;=V$2, OR($G48="",$G48&gt;=V$2)),
  $H48 * (1 + Assumptions!$C$7) ^ INT(((YEAR(V$2)-YEAR($F48))*12 + MONTH(V$2)-MONTH($F48)) / 12),
  0)</f>
        <v/>
      </c>
      <c r="W48" s="299">
        <f>IF(AND($F48&lt;=W$2, OR($G48="",$G48&gt;=W$2)),
  $H48 * (1 + Assumptions!$C$7) ^ INT(((YEAR(W$2)-YEAR($F48))*12 + MONTH(W$2)-MONTH($F48)) / 12),
  0)</f>
        <v/>
      </c>
      <c r="X48" s="299">
        <f>IF(AND($F48&lt;=X$2, OR($G48="",$G48&gt;=X$2)),
  $H48 * (1 + Assumptions!$C$7) ^ INT(((YEAR(X$2)-YEAR($F48))*12 + MONTH(X$2)-MONTH($F48)) / 12),
  0)</f>
        <v/>
      </c>
      <c r="Y48" s="299">
        <f>IF(AND($F48&lt;=Y$2, OR($G48="",$G48&gt;=Y$2)),
  $H48 * (1 + Assumptions!$C$7) ^ INT(((YEAR(Y$2)-YEAR($F48))*12 + MONTH(Y$2)-MONTH($F48)) / 12),
  0)</f>
        <v/>
      </c>
      <c r="Z48" s="299">
        <f>IF(AND($F48&lt;=Z$2, OR($G48="",$G48&gt;=Z$2)),
  $H48 * (1 + Assumptions!$C$7) ^ INT(((YEAR(Z$2)-YEAR($F48))*12 + MONTH(Z$2)-MONTH($F48)) / 12),
  0)</f>
        <v/>
      </c>
      <c r="AA48" s="299">
        <f>IF(AND($F48&lt;=AA$2, OR($G48="",$G48&gt;=AA$2)),
  $H48 * (1 + Assumptions!$C$7) ^ INT(((YEAR(AA$2)-YEAR($F48))*12 + MONTH(AA$2)-MONTH($F48)) / 12),
  0)</f>
        <v/>
      </c>
      <c r="AB48" s="299">
        <f>IF(AND($F48&lt;=AB$2, OR($G48="",$G48&gt;=AB$2)),
  $H48 * (1 + Assumptions!$C$7) ^ INT(((YEAR(AB$2)-YEAR($F48))*12 + MONTH(AB$2)-MONTH($F48)) / 12),
  0)</f>
        <v/>
      </c>
      <c r="AC48" s="299">
        <f>IF(AND($F48&lt;=AC$2, OR($G48="",$G48&gt;=AC$2)),
  $H48 * (1 + Assumptions!$C$7) ^ INT(((YEAR(AC$2)-YEAR($F48))*12 + MONTH(AC$2)-MONTH($F48)) / 12),
  0)</f>
        <v/>
      </c>
      <c r="AD48" s="299">
        <f>IF(AND($F48&lt;=AD$2, OR($G48="",$G48&gt;=AD$2)),
  $H48 * (1 + Assumptions!$C$7) ^ INT(((YEAR(AD$2)-YEAR($F48))*12 + MONTH(AD$2)-MONTH($F48)) / 12),
  0)</f>
        <v/>
      </c>
      <c r="AE48" s="299">
        <f>IF(AND($F48&lt;=AE$2, OR($G48="",$G48&gt;=AE$2)),
  $H48 * (1 + Assumptions!$C$7) ^ INT(((YEAR(AE$2)-YEAR($F48))*12 + MONTH(AE$2)-MONTH($F48)) / 12),
  0)</f>
        <v/>
      </c>
      <c r="AF48" s="299">
        <f>IF(AND($F48&lt;=AF$2, OR($G48="",$G48&gt;=AF$2)),
  $H48 * (1 + Assumptions!$C$7) ^ INT(((YEAR(AF$2)-YEAR($F48))*12 + MONTH(AF$2)-MONTH($F48)) / 12),
  0)</f>
        <v/>
      </c>
      <c r="AG48" s="299">
        <f>IF(AND($F48&lt;=AG$2, OR($G48="",$G48&gt;=AG$2)),
  $H48 * (1 + Assumptions!$C$7) ^ INT(((YEAR(AG$2)-YEAR($F48))*12 + MONTH(AG$2)-MONTH($F48)) / 12),
  0)</f>
        <v/>
      </c>
      <c r="AH48" s="299">
        <f>IF(AND($F48&lt;=AH$2, OR($G48="",$G48&gt;=AH$2)),
  $H48 * (1 + Assumptions!$C$7) ^ INT(((YEAR(AH$2)-YEAR($F48))*12 + MONTH(AH$2)-MONTH($F48)) / 12),
  0)</f>
        <v/>
      </c>
      <c r="AI48" s="299">
        <f>IF(AND($F48&lt;=AI$2, OR($G48="",$G48&gt;=AI$2)),
  $H48 * (1 + Assumptions!$C$7) ^ INT(((YEAR(AI$2)-YEAR($F48))*12 + MONTH(AI$2)-MONTH($F48)) / 12),
  0)</f>
        <v/>
      </c>
      <c r="AJ48" s="299">
        <f>IF(AND($F48&lt;=AJ$2, OR($G48="",$G48&gt;=AJ$2)),
  $H48 * (1 + Assumptions!$C$7) ^ INT(((YEAR(AJ$2)-YEAR($F48))*12 + MONTH(AJ$2)-MONTH($F48)) / 12),
  0)</f>
        <v/>
      </c>
      <c r="AK48" s="299">
        <f>IF(AND($F48&lt;=AK$2, OR($G48="",$G48&gt;=AK$2)),
  $H48 * (1 + Assumptions!$C$7) ^ INT(((YEAR(AK$2)-YEAR($F48))*12 + MONTH(AK$2)-MONTH($F48)) / 12),
  0)</f>
        <v/>
      </c>
      <c r="AL48" s="299">
        <f>IF(AND($F48&lt;=AL$2, OR($G48="",$G48&gt;=AL$2)),
  $H48 * (1 + Assumptions!$C$7) ^ INT(((YEAR(AL$2)-YEAR($F48))*12 + MONTH(AL$2)-MONTH($F48)) / 12),
  0)</f>
        <v/>
      </c>
      <c r="AM48" s="299">
        <f>IF(AND($F48&lt;=AM$2, OR($G48="",$G48&gt;=AM$2)),
  $H48 * (1 + Assumptions!$C$7) ^ INT(((YEAR(AM$2)-YEAR($F48))*12 + MONTH(AM$2)-MONTH($F48)) / 12),
  0)</f>
        <v/>
      </c>
      <c r="AN48" s="299">
        <f>IF(AND($F48&lt;=AN$2, OR($G48="",$G48&gt;=AN$2)),
  $H48 * (1 + Assumptions!$C$7) ^ INT(((YEAR(AN$2)-YEAR($F48))*12 + MONTH(AN$2)-MONTH($F48)) / 12),
  0)</f>
        <v/>
      </c>
      <c r="AO48" s="299">
        <f>IF(AND($F48&lt;=AO$2, OR($G48="",$G48&gt;=AO$2)),
  $H48 * (1 + Assumptions!$C$7) ^ INT(((YEAR(AO$2)-YEAR($F48))*12 + MONTH(AO$2)-MONTH($F48)) / 12),
  0)</f>
        <v/>
      </c>
      <c r="AP48" s="299">
        <f>IF(AND($F48&lt;=AP$2, OR($G48="",$G48&gt;=AP$2)),
  $H48 * (1 + Assumptions!$C$7) ^ INT(((YEAR(AP$2)-YEAR($F48))*12 + MONTH(AP$2)-MONTH($F48)) / 12),
  0)</f>
        <v/>
      </c>
      <c r="AQ48" s="299">
        <f>IF(AND($F48&lt;=AQ$2, OR($G48="",$G48&gt;=AQ$2)),
  $H48 * (1 + Assumptions!$C$7) ^ INT(((YEAR(AQ$2)-YEAR($F48))*12 + MONTH(AQ$2)-MONTH($F48)) / 12),
  0)</f>
        <v/>
      </c>
      <c r="AR48" s="299">
        <f>IF(AND($F48&lt;=AR$2, OR($G48="",$G48&gt;=AR$2)),
  $H48 * (1 + Assumptions!$C$7) ^ INT(((YEAR(AR$2)-YEAR($F48))*12 + MONTH(AR$2)-MONTH($F48)) / 12),
  0)</f>
        <v/>
      </c>
      <c r="AS48" s="299">
        <f>IF(AND($F48&lt;=AS$2, OR($G48="",$G48&gt;=AS$2)),
  $H48 * (1 + Assumptions!$C$7) ^ INT(((YEAR(AS$2)-YEAR($F48))*12 + MONTH(AS$2)-MONTH($F48)) / 12),
  0)</f>
        <v/>
      </c>
      <c r="AT48" s="299">
        <f>IF(AND($F48&lt;=AT$2, OR($G48="",$G48&gt;=AT$2)),
  $H48 * (1 + Assumptions!$C$7) ^ INT(((YEAR(AT$2)-YEAR($F48))*12 + MONTH(AT$2)-MONTH($F48)) / 12),
  0)</f>
        <v/>
      </c>
      <c r="AU48" s="299">
        <f>IF(AND($F48&lt;=AU$2, OR($G48="",$G48&gt;=AU$2)),
  $H48 * (1 + Assumptions!$C$7) ^ INT(((YEAR(AU$2)-YEAR($F48))*12 + MONTH(AU$2)-MONTH($F48)) / 12),
  0)</f>
        <v/>
      </c>
      <c r="AV48" s="299">
        <f>IF(AND($F48&lt;=AV$2, OR($G48="",$G48&gt;=AV$2)),
  $H48 * (1 + Assumptions!$C$7) ^ INT(((YEAR(AV$2)-YEAR($F48))*12 + MONTH(AV$2)-MONTH($F48)) / 12),
  0)</f>
        <v/>
      </c>
      <c r="AW48" s="299">
        <f>IF(AND($F48&lt;=AW$2, OR($G48="",$G48&gt;=AW$2)),
  $H48 * (1 + Assumptions!$C$7) ^ INT(((YEAR(AW$2)-YEAR($F48))*12 + MONTH(AW$2)-MONTH($F48)) / 12),
  0)</f>
        <v/>
      </c>
      <c r="AX48" s="299">
        <f>IF(AND($F48&lt;=AX$2, OR($G48="",$G48&gt;=AX$2)),
  $H48 * (1 + Assumptions!$C$7) ^ INT(((YEAR(AX$2)-YEAR($F48))*12 + MONTH(AX$2)-MONTH($F48)) / 12),
  0)</f>
        <v/>
      </c>
      <c r="AY48" s="299">
        <f>IF(AND($F48&lt;=AY$2, OR($G48="",$G48&gt;=AY$2)),
  $H48 * (1 + Assumptions!$C$7) ^ INT(((YEAR(AY$2)-YEAR($F48))*12 + MONTH(AY$2)-MONTH($F48)) / 12),
  0)</f>
        <v/>
      </c>
      <c r="AZ48" s="299">
        <f>IF(AND($F48&lt;=AZ$2, OR($G48="",$G48&gt;=AZ$2)),
  $H48 * (1 + Assumptions!$C$7) ^ INT(((YEAR(AZ$2)-YEAR($F48))*12 + MONTH(AZ$2)-MONTH($F48)) / 12),
  0)</f>
        <v/>
      </c>
      <c r="BA48" s="299">
        <f>IF(AND($F48&lt;=BA$2, OR($G48="",$G48&gt;=BA$2)),
  $H48 * (1 + Assumptions!$C$7) ^ INT(((YEAR(BA$2)-YEAR($F48))*12 + MONTH(BA$2)-MONTH($F48)) / 12),
  0)</f>
        <v/>
      </c>
      <c r="BB48" s="299">
        <f>IF(AND($F48&lt;=BB$2, OR($G48="",$G48&gt;=BB$2)),
  $H48 * (1 + Assumptions!$C$7) ^ INT(((YEAR(BB$2)-YEAR($F48))*12 + MONTH(BB$2)-MONTH($F48)) / 12),
  0)</f>
        <v/>
      </c>
      <c r="BC48" s="299">
        <f>IF(AND($F48&lt;=BC$2, OR($G48="",$G48&gt;=BC$2)),
  $H48 * (1 + Assumptions!$C$7) ^ INT(((YEAR(BC$2)-YEAR($F48))*12 + MONTH(BC$2)-MONTH($F48)) / 12),
  0)</f>
        <v/>
      </c>
      <c r="BD48" s="299">
        <f>IF(AND($F48&lt;=BD$2, OR($G48="",$G48&gt;=BD$2)),
  $H48 * (1 + Assumptions!$C$7) ^ INT(((YEAR(BD$2)-YEAR($F48))*12 + MONTH(BD$2)-MONTH($F48)) / 12),
  0)</f>
        <v/>
      </c>
      <c r="BE48" s="299">
        <f>IF(AND($F48&lt;=BE$2, OR($G48="",$G48&gt;=BE$2)),
  $H48 * (1 + Assumptions!$C$7) ^ INT(((YEAR(BE$2)-YEAR($F48))*12 + MONTH(BE$2)-MONTH($F48)) / 12),
  0)</f>
        <v/>
      </c>
      <c r="BF48" s="299">
        <f>IF(AND($F48&lt;=BF$2, OR($G48="",$G48&gt;=BF$2)),
  $H48 * (1 + Assumptions!$C$7) ^ INT(((YEAR(BF$2)-YEAR($F48))*12 + MONTH(BF$2)-MONTH($F48)) / 12),
  0)</f>
        <v/>
      </c>
      <c r="BG48" s="299">
        <f>IF(AND($F48&lt;=BG$2, OR($G48="",$G48&gt;=BG$2)),
  $H48 * (1 + Assumptions!$C$7) ^ INT(((YEAR(BG$2)-YEAR($F48))*12 + MONTH(BG$2)-MONTH($F48)) / 12),
  0)</f>
        <v/>
      </c>
      <c r="BH48" s="299">
        <f>IF(AND($F48&lt;=BH$2, OR($G48="",$G48&gt;=BH$2)),
  $H48 * (1 + Assumptions!$C$7) ^ INT(((YEAR(BH$2)-YEAR($F48))*12 + MONTH(BH$2)-MONTH($F48)) / 12),
  0)</f>
        <v/>
      </c>
      <c r="BI48" s="299">
        <f>IF(AND($F48&lt;=BI$2, OR($G48="",$G48&gt;=BI$2)),
  $H48 * (1 + Assumptions!$C$7) ^ INT(((YEAR(BI$2)-YEAR($F48))*12 + MONTH(BI$2)-MONTH($F48)) / 12),
  0)</f>
        <v/>
      </c>
      <c r="BJ48" s="299">
        <f>IF(AND($F48&lt;=BJ$2, OR($G48="",$G48&gt;=BJ$2)),
  $H48 * (1 + Assumptions!$C$7) ^ INT(((YEAR(BJ$2)-YEAR($F48))*12 + MONTH(BJ$2)-MONTH($F48)) / 12),
  0)</f>
        <v/>
      </c>
      <c r="BK48" s="299">
        <f>IF(AND($F48&lt;=BK$2, OR($G48="",$G48&gt;=BK$2)),
  $H48 * (1 + Assumptions!$C$7) ^ INT(((YEAR(BK$2)-YEAR($F48))*12 + MONTH(BK$2)-MONTH($F48)) / 12),
  0)</f>
        <v/>
      </c>
      <c r="BL48" s="299">
        <f>IF(AND($F48&lt;=BL$2, OR($G48="",$G48&gt;=BL$2)),
  $H48 * (1 + Assumptions!$C$7) ^ INT(((YEAR(BL$2)-YEAR($F48))*12 + MONTH(BL$2)-MONTH($F48)) / 12),
  0)</f>
        <v/>
      </c>
      <c r="BM48" s="299">
        <f>IF(AND($F48&lt;=BM$2, OR($G48="",$G48&gt;=BM$2)),
  $H48 * (1 + Assumptions!$C$7) ^ INT(((YEAR(BM$2)-YEAR($F48))*12 + MONTH(BM$2)-MONTH($F48)) / 12),
  0)</f>
        <v/>
      </c>
      <c r="BN48" s="299">
        <f>IF(AND($F48&lt;=BN$2, OR($G48="",$G48&gt;=BN$2)),
  $H48 * (1 + Assumptions!$C$7) ^ INT(((YEAR(BN$2)-YEAR($F48))*12 + MONTH(BN$2)-MONTH($F48)) / 12),
  0)</f>
        <v/>
      </c>
      <c r="BO48" s="299">
        <f>IF(AND($F48&lt;=BO$2, OR($G48="",$G48&gt;=BO$2)),
  $H48 * (1 + Assumptions!$C$7) ^ INT(((YEAR(BO$2)-YEAR($F48))*12 + MONTH(BO$2)-MONTH($F48)) / 12),
  0)</f>
        <v/>
      </c>
      <c r="BP48" s="299">
        <f>IF(AND($F48&lt;=BP$2, OR($G48="",$G48&gt;=BP$2)),
  $H48 * (1 + Assumptions!$C$7) ^ INT(((YEAR(BP$2)-YEAR($F48))*12 + MONTH(BP$2)-MONTH($F48)) / 12),
  0)</f>
        <v/>
      </c>
      <c r="BQ48" s="307" t="n"/>
      <c r="BR48" s="83" t="inlineStr">
        <is>
          <t>paid this month if started and not yet left; +8% on each work anniversary</t>
        </is>
      </c>
      <c r="BS48" s="307" t="n"/>
      <c r="BT48" s="307" t="n"/>
    </row>
    <row r="49" ht="16.5" customHeight="1" s="349">
      <c r="A49" s="321" t="n">
        <v>44</v>
      </c>
      <c r="B49" s="285" t="inlineStr">
        <is>
          <t>New hire</t>
        </is>
      </c>
      <c r="C49" s="23" t="inlineStr">
        <is>
          <t>S&amp;M</t>
        </is>
      </c>
      <c r="D49" s="321" t="inlineStr">
        <is>
          <t>Sales</t>
        </is>
      </c>
      <c r="E49" s="297" t="inlineStr">
        <is>
          <t>Planned</t>
        </is>
      </c>
      <c r="F49" s="318">
        <f>IF(Assumptions!$D$82=2,DATE(2027,9,1),DATE(2029,6,1))</f>
        <v/>
      </c>
      <c r="G49" s="319" t="n"/>
      <c r="H49" s="288" t="n">
        <v>7500</v>
      </c>
      <c r="I49" s="299">
        <f>IF(AND($F49&lt;=I$2, OR($G49="",$G49&gt;=I$2)),
  $H49 * (1 + Assumptions!$C$7) ^ INT(((YEAR(I$2)-YEAR($F49))*12 + MONTH(I$2)-MONTH($F49)) / 12),
  0)</f>
        <v/>
      </c>
      <c r="J49" s="299">
        <f>IF(AND($F49&lt;=J$2, OR($G49="",$G49&gt;=J$2)),
  $H49 * (1 + Assumptions!$C$7) ^ INT(((YEAR(J$2)-YEAR($F49))*12 + MONTH(J$2)-MONTH($F49)) / 12),
  0)</f>
        <v/>
      </c>
      <c r="K49" s="299">
        <f>IF(AND($F49&lt;=K$2, OR($G49="",$G49&gt;=K$2)),
  $H49 * (1 + Assumptions!$C$7) ^ INT(((YEAR(K$2)-YEAR($F49))*12 + MONTH(K$2)-MONTH($F49)) / 12),
  0)</f>
        <v/>
      </c>
      <c r="L49" s="299">
        <f>IF(AND($F49&lt;=L$2, OR($G49="",$G49&gt;=L$2)),
  $H49 * (1 + Assumptions!$C$7) ^ INT(((YEAR(L$2)-YEAR($F49))*12 + MONTH(L$2)-MONTH($F49)) / 12),
  0)</f>
        <v/>
      </c>
      <c r="M49" s="299">
        <f>IF(AND($F49&lt;=M$2, OR($G49="",$G49&gt;=M$2)),
  $H49 * (1 + Assumptions!$C$7) ^ INT(((YEAR(M$2)-YEAR($F49))*12 + MONTH(M$2)-MONTH($F49)) / 12),
  0)</f>
        <v/>
      </c>
      <c r="N49" s="299">
        <f>IF(AND($F49&lt;=N$2, OR($G49="",$G49&gt;=N$2)),
  $H49 * (1 + Assumptions!$C$7) ^ INT(((YEAR(N$2)-YEAR($F49))*12 + MONTH(N$2)-MONTH($F49)) / 12),
  0)</f>
        <v/>
      </c>
      <c r="O49" s="299">
        <f>IF(AND($F49&lt;=O$2, OR($G49="",$G49&gt;=O$2)),
  $H49 * (1 + Assumptions!$C$7) ^ INT(((YEAR(O$2)-YEAR($F49))*12 + MONTH(O$2)-MONTH($F49)) / 12),
  0)</f>
        <v/>
      </c>
      <c r="P49" s="299">
        <f>IF(AND($F49&lt;=P$2, OR($G49="",$G49&gt;=P$2)),
  $H49 * (1 + Assumptions!$C$7) ^ INT(((YEAR(P$2)-YEAR($F49))*12 + MONTH(P$2)-MONTH($F49)) / 12),
  0)</f>
        <v/>
      </c>
      <c r="Q49" s="299">
        <f>IF(AND($F49&lt;=Q$2, OR($G49="",$G49&gt;=Q$2)),
  $H49 * (1 + Assumptions!$C$7) ^ INT(((YEAR(Q$2)-YEAR($F49))*12 + MONTH(Q$2)-MONTH($F49)) / 12),
  0)</f>
        <v/>
      </c>
      <c r="R49" s="299">
        <f>IF(AND($F49&lt;=R$2, OR($G49="",$G49&gt;=R$2)),
  $H49 * (1 + Assumptions!$C$7) ^ INT(((YEAR(R$2)-YEAR($F49))*12 + MONTH(R$2)-MONTH($F49)) / 12),
  0)</f>
        <v/>
      </c>
      <c r="S49" s="299">
        <f>IF(AND($F49&lt;=S$2, OR($G49="",$G49&gt;=S$2)),
  $H49 * (1 + Assumptions!$C$7) ^ INT(((YEAR(S$2)-YEAR($F49))*12 + MONTH(S$2)-MONTH($F49)) / 12),
  0)</f>
        <v/>
      </c>
      <c r="T49" s="299">
        <f>IF(AND($F49&lt;=T$2, OR($G49="",$G49&gt;=T$2)),
  $H49 * (1 + Assumptions!$C$7) ^ INT(((YEAR(T$2)-YEAR($F49))*12 + MONTH(T$2)-MONTH($F49)) / 12),
  0)</f>
        <v/>
      </c>
      <c r="U49" s="299">
        <f>IF(AND($F49&lt;=U$2, OR($G49="",$G49&gt;=U$2)),
  $H49 * (1 + Assumptions!$C$7) ^ INT(((YEAR(U$2)-YEAR($F49))*12 + MONTH(U$2)-MONTH($F49)) / 12),
  0)</f>
        <v/>
      </c>
      <c r="V49" s="299">
        <f>IF(AND($F49&lt;=V$2, OR($G49="",$G49&gt;=V$2)),
  $H49 * (1 + Assumptions!$C$7) ^ INT(((YEAR(V$2)-YEAR($F49))*12 + MONTH(V$2)-MONTH($F49)) / 12),
  0)</f>
        <v/>
      </c>
      <c r="W49" s="299">
        <f>IF(AND($F49&lt;=W$2, OR($G49="",$G49&gt;=W$2)),
  $H49 * (1 + Assumptions!$C$7) ^ INT(((YEAR(W$2)-YEAR($F49))*12 + MONTH(W$2)-MONTH($F49)) / 12),
  0)</f>
        <v/>
      </c>
      <c r="X49" s="299">
        <f>IF(AND($F49&lt;=X$2, OR($G49="",$G49&gt;=X$2)),
  $H49 * (1 + Assumptions!$C$7) ^ INT(((YEAR(X$2)-YEAR($F49))*12 + MONTH(X$2)-MONTH($F49)) / 12),
  0)</f>
        <v/>
      </c>
      <c r="Y49" s="299">
        <f>IF(AND($F49&lt;=Y$2, OR($G49="",$G49&gt;=Y$2)),
  $H49 * (1 + Assumptions!$C$7) ^ INT(((YEAR(Y$2)-YEAR($F49))*12 + MONTH(Y$2)-MONTH($F49)) / 12),
  0)</f>
        <v/>
      </c>
      <c r="Z49" s="299">
        <f>IF(AND($F49&lt;=Z$2, OR($G49="",$G49&gt;=Z$2)),
  $H49 * (1 + Assumptions!$C$7) ^ INT(((YEAR(Z$2)-YEAR($F49))*12 + MONTH(Z$2)-MONTH($F49)) / 12),
  0)</f>
        <v/>
      </c>
      <c r="AA49" s="299">
        <f>IF(AND($F49&lt;=AA$2, OR($G49="",$G49&gt;=AA$2)),
  $H49 * (1 + Assumptions!$C$7) ^ INT(((YEAR(AA$2)-YEAR($F49))*12 + MONTH(AA$2)-MONTH($F49)) / 12),
  0)</f>
        <v/>
      </c>
      <c r="AB49" s="299">
        <f>IF(AND($F49&lt;=AB$2, OR($G49="",$G49&gt;=AB$2)),
  $H49 * (1 + Assumptions!$C$7) ^ INT(((YEAR(AB$2)-YEAR($F49))*12 + MONTH(AB$2)-MONTH($F49)) / 12),
  0)</f>
        <v/>
      </c>
      <c r="AC49" s="299">
        <f>IF(AND($F49&lt;=AC$2, OR($G49="",$G49&gt;=AC$2)),
  $H49 * (1 + Assumptions!$C$7) ^ INT(((YEAR(AC$2)-YEAR($F49))*12 + MONTH(AC$2)-MONTH($F49)) / 12),
  0)</f>
        <v/>
      </c>
      <c r="AD49" s="299">
        <f>IF(AND($F49&lt;=AD$2, OR($G49="",$G49&gt;=AD$2)),
  $H49 * (1 + Assumptions!$C$7) ^ INT(((YEAR(AD$2)-YEAR($F49))*12 + MONTH(AD$2)-MONTH($F49)) / 12),
  0)</f>
        <v/>
      </c>
      <c r="AE49" s="299">
        <f>IF(AND($F49&lt;=AE$2, OR($G49="",$G49&gt;=AE$2)),
  $H49 * (1 + Assumptions!$C$7) ^ INT(((YEAR(AE$2)-YEAR($F49))*12 + MONTH(AE$2)-MONTH($F49)) / 12),
  0)</f>
        <v/>
      </c>
      <c r="AF49" s="299">
        <f>IF(AND($F49&lt;=AF$2, OR($G49="",$G49&gt;=AF$2)),
  $H49 * (1 + Assumptions!$C$7) ^ INT(((YEAR(AF$2)-YEAR($F49))*12 + MONTH(AF$2)-MONTH($F49)) / 12),
  0)</f>
        <v/>
      </c>
      <c r="AG49" s="299">
        <f>IF(AND($F49&lt;=AG$2, OR($G49="",$G49&gt;=AG$2)),
  $H49 * (1 + Assumptions!$C$7) ^ INT(((YEAR(AG$2)-YEAR($F49))*12 + MONTH(AG$2)-MONTH($F49)) / 12),
  0)</f>
        <v/>
      </c>
      <c r="AH49" s="299">
        <f>IF(AND($F49&lt;=AH$2, OR($G49="",$G49&gt;=AH$2)),
  $H49 * (1 + Assumptions!$C$7) ^ INT(((YEAR(AH$2)-YEAR($F49))*12 + MONTH(AH$2)-MONTH($F49)) / 12),
  0)</f>
        <v/>
      </c>
      <c r="AI49" s="299">
        <f>IF(AND($F49&lt;=AI$2, OR($G49="",$G49&gt;=AI$2)),
  $H49 * (1 + Assumptions!$C$7) ^ INT(((YEAR(AI$2)-YEAR($F49))*12 + MONTH(AI$2)-MONTH($F49)) / 12),
  0)</f>
        <v/>
      </c>
      <c r="AJ49" s="299">
        <f>IF(AND($F49&lt;=AJ$2, OR($G49="",$G49&gt;=AJ$2)),
  $H49 * (1 + Assumptions!$C$7) ^ INT(((YEAR(AJ$2)-YEAR($F49))*12 + MONTH(AJ$2)-MONTH($F49)) / 12),
  0)</f>
        <v/>
      </c>
      <c r="AK49" s="299">
        <f>IF(AND($F49&lt;=AK$2, OR($G49="",$G49&gt;=AK$2)),
  $H49 * (1 + Assumptions!$C$7) ^ INT(((YEAR(AK$2)-YEAR($F49))*12 + MONTH(AK$2)-MONTH($F49)) / 12),
  0)</f>
        <v/>
      </c>
      <c r="AL49" s="299">
        <f>IF(AND($F49&lt;=AL$2, OR($G49="",$G49&gt;=AL$2)),
  $H49 * (1 + Assumptions!$C$7) ^ INT(((YEAR(AL$2)-YEAR($F49))*12 + MONTH(AL$2)-MONTH($F49)) / 12),
  0)</f>
        <v/>
      </c>
      <c r="AM49" s="299">
        <f>IF(AND($F49&lt;=AM$2, OR($G49="",$G49&gt;=AM$2)),
  $H49 * (1 + Assumptions!$C$7) ^ INT(((YEAR(AM$2)-YEAR($F49))*12 + MONTH(AM$2)-MONTH($F49)) / 12),
  0)</f>
        <v/>
      </c>
      <c r="AN49" s="299">
        <f>IF(AND($F49&lt;=AN$2, OR($G49="",$G49&gt;=AN$2)),
  $H49 * (1 + Assumptions!$C$7) ^ INT(((YEAR(AN$2)-YEAR($F49))*12 + MONTH(AN$2)-MONTH($F49)) / 12),
  0)</f>
        <v/>
      </c>
      <c r="AO49" s="299">
        <f>IF(AND($F49&lt;=AO$2, OR($G49="",$G49&gt;=AO$2)),
  $H49 * (1 + Assumptions!$C$7) ^ INT(((YEAR(AO$2)-YEAR($F49))*12 + MONTH(AO$2)-MONTH($F49)) / 12),
  0)</f>
        <v/>
      </c>
      <c r="AP49" s="299">
        <f>IF(AND($F49&lt;=AP$2, OR($G49="",$G49&gt;=AP$2)),
  $H49 * (1 + Assumptions!$C$7) ^ INT(((YEAR(AP$2)-YEAR($F49))*12 + MONTH(AP$2)-MONTH($F49)) / 12),
  0)</f>
        <v/>
      </c>
      <c r="AQ49" s="299">
        <f>IF(AND($F49&lt;=AQ$2, OR($G49="",$G49&gt;=AQ$2)),
  $H49 * (1 + Assumptions!$C$7) ^ INT(((YEAR(AQ$2)-YEAR($F49))*12 + MONTH(AQ$2)-MONTH($F49)) / 12),
  0)</f>
        <v/>
      </c>
      <c r="AR49" s="299">
        <f>IF(AND($F49&lt;=AR$2, OR($G49="",$G49&gt;=AR$2)),
  $H49 * (1 + Assumptions!$C$7) ^ INT(((YEAR(AR$2)-YEAR($F49))*12 + MONTH(AR$2)-MONTH($F49)) / 12),
  0)</f>
        <v/>
      </c>
      <c r="AS49" s="299">
        <f>IF(AND($F49&lt;=AS$2, OR($G49="",$G49&gt;=AS$2)),
  $H49 * (1 + Assumptions!$C$7) ^ INT(((YEAR(AS$2)-YEAR($F49))*12 + MONTH(AS$2)-MONTH($F49)) / 12),
  0)</f>
        <v/>
      </c>
      <c r="AT49" s="299">
        <f>IF(AND($F49&lt;=AT$2, OR($G49="",$G49&gt;=AT$2)),
  $H49 * (1 + Assumptions!$C$7) ^ INT(((YEAR(AT$2)-YEAR($F49))*12 + MONTH(AT$2)-MONTH($F49)) / 12),
  0)</f>
        <v/>
      </c>
      <c r="AU49" s="299">
        <f>IF(AND($F49&lt;=AU$2, OR($G49="",$G49&gt;=AU$2)),
  $H49 * (1 + Assumptions!$C$7) ^ INT(((YEAR(AU$2)-YEAR($F49))*12 + MONTH(AU$2)-MONTH($F49)) / 12),
  0)</f>
        <v/>
      </c>
      <c r="AV49" s="299">
        <f>IF(AND($F49&lt;=AV$2, OR($G49="",$G49&gt;=AV$2)),
  $H49 * (1 + Assumptions!$C$7) ^ INT(((YEAR(AV$2)-YEAR($F49))*12 + MONTH(AV$2)-MONTH($F49)) / 12),
  0)</f>
        <v/>
      </c>
      <c r="AW49" s="299">
        <f>IF(AND($F49&lt;=AW$2, OR($G49="",$G49&gt;=AW$2)),
  $H49 * (1 + Assumptions!$C$7) ^ INT(((YEAR(AW$2)-YEAR($F49))*12 + MONTH(AW$2)-MONTH($F49)) / 12),
  0)</f>
        <v/>
      </c>
      <c r="AX49" s="299">
        <f>IF(AND($F49&lt;=AX$2, OR($G49="",$G49&gt;=AX$2)),
  $H49 * (1 + Assumptions!$C$7) ^ INT(((YEAR(AX$2)-YEAR($F49))*12 + MONTH(AX$2)-MONTH($F49)) / 12),
  0)</f>
        <v/>
      </c>
      <c r="AY49" s="299">
        <f>IF(AND($F49&lt;=AY$2, OR($G49="",$G49&gt;=AY$2)),
  $H49 * (1 + Assumptions!$C$7) ^ INT(((YEAR(AY$2)-YEAR($F49))*12 + MONTH(AY$2)-MONTH($F49)) / 12),
  0)</f>
        <v/>
      </c>
      <c r="AZ49" s="299">
        <f>IF(AND($F49&lt;=AZ$2, OR($G49="",$G49&gt;=AZ$2)),
  $H49 * (1 + Assumptions!$C$7) ^ INT(((YEAR(AZ$2)-YEAR($F49))*12 + MONTH(AZ$2)-MONTH($F49)) / 12),
  0)</f>
        <v/>
      </c>
      <c r="BA49" s="299">
        <f>IF(AND($F49&lt;=BA$2, OR($G49="",$G49&gt;=BA$2)),
  $H49 * (1 + Assumptions!$C$7) ^ INT(((YEAR(BA$2)-YEAR($F49))*12 + MONTH(BA$2)-MONTH($F49)) / 12),
  0)</f>
        <v/>
      </c>
      <c r="BB49" s="299">
        <f>IF(AND($F49&lt;=BB$2, OR($G49="",$G49&gt;=BB$2)),
  $H49 * (1 + Assumptions!$C$7) ^ INT(((YEAR(BB$2)-YEAR($F49))*12 + MONTH(BB$2)-MONTH($F49)) / 12),
  0)</f>
        <v/>
      </c>
      <c r="BC49" s="299">
        <f>IF(AND($F49&lt;=BC$2, OR($G49="",$G49&gt;=BC$2)),
  $H49 * (1 + Assumptions!$C$7) ^ INT(((YEAR(BC$2)-YEAR($F49))*12 + MONTH(BC$2)-MONTH($F49)) / 12),
  0)</f>
        <v/>
      </c>
      <c r="BD49" s="299">
        <f>IF(AND($F49&lt;=BD$2, OR($G49="",$G49&gt;=BD$2)),
  $H49 * (1 + Assumptions!$C$7) ^ INT(((YEAR(BD$2)-YEAR($F49))*12 + MONTH(BD$2)-MONTH($F49)) / 12),
  0)</f>
        <v/>
      </c>
      <c r="BE49" s="299">
        <f>IF(AND($F49&lt;=BE$2, OR($G49="",$G49&gt;=BE$2)),
  $H49 * (1 + Assumptions!$C$7) ^ INT(((YEAR(BE$2)-YEAR($F49))*12 + MONTH(BE$2)-MONTH($F49)) / 12),
  0)</f>
        <v/>
      </c>
      <c r="BF49" s="299">
        <f>IF(AND($F49&lt;=BF$2, OR($G49="",$G49&gt;=BF$2)),
  $H49 * (1 + Assumptions!$C$7) ^ INT(((YEAR(BF$2)-YEAR($F49))*12 + MONTH(BF$2)-MONTH($F49)) / 12),
  0)</f>
        <v/>
      </c>
      <c r="BG49" s="299">
        <f>IF(AND($F49&lt;=BG$2, OR($G49="",$G49&gt;=BG$2)),
  $H49 * (1 + Assumptions!$C$7) ^ INT(((YEAR(BG$2)-YEAR($F49))*12 + MONTH(BG$2)-MONTH($F49)) / 12),
  0)</f>
        <v/>
      </c>
      <c r="BH49" s="299">
        <f>IF(AND($F49&lt;=BH$2, OR($G49="",$G49&gt;=BH$2)),
  $H49 * (1 + Assumptions!$C$7) ^ INT(((YEAR(BH$2)-YEAR($F49))*12 + MONTH(BH$2)-MONTH($F49)) / 12),
  0)</f>
        <v/>
      </c>
      <c r="BI49" s="299">
        <f>IF(AND($F49&lt;=BI$2, OR($G49="",$G49&gt;=BI$2)),
  $H49 * (1 + Assumptions!$C$7) ^ INT(((YEAR(BI$2)-YEAR($F49))*12 + MONTH(BI$2)-MONTH($F49)) / 12),
  0)</f>
        <v/>
      </c>
      <c r="BJ49" s="299">
        <f>IF(AND($F49&lt;=BJ$2, OR($G49="",$G49&gt;=BJ$2)),
  $H49 * (1 + Assumptions!$C$7) ^ INT(((YEAR(BJ$2)-YEAR($F49))*12 + MONTH(BJ$2)-MONTH($F49)) / 12),
  0)</f>
        <v/>
      </c>
      <c r="BK49" s="299">
        <f>IF(AND($F49&lt;=BK$2, OR($G49="",$G49&gt;=BK$2)),
  $H49 * (1 + Assumptions!$C$7) ^ INT(((YEAR(BK$2)-YEAR($F49))*12 + MONTH(BK$2)-MONTH($F49)) / 12),
  0)</f>
        <v/>
      </c>
      <c r="BL49" s="299">
        <f>IF(AND($F49&lt;=BL$2, OR($G49="",$G49&gt;=BL$2)),
  $H49 * (1 + Assumptions!$C$7) ^ INT(((YEAR(BL$2)-YEAR($F49))*12 + MONTH(BL$2)-MONTH($F49)) / 12),
  0)</f>
        <v/>
      </c>
      <c r="BM49" s="299">
        <f>IF(AND($F49&lt;=BM$2, OR($G49="",$G49&gt;=BM$2)),
  $H49 * (1 + Assumptions!$C$7) ^ INT(((YEAR(BM$2)-YEAR($F49))*12 + MONTH(BM$2)-MONTH($F49)) / 12),
  0)</f>
        <v/>
      </c>
      <c r="BN49" s="299">
        <f>IF(AND($F49&lt;=BN$2, OR($G49="",$G49&gt;=BN$2)),
  $H49 * (1 + Assumptions!$C$7) ^ INT(((YEAR(BN$2)-YEAR($F49))*12 + MONTH(BN$2)-MONTH($F49)) / 12),
  0)</f>
        <v/>
      </c>
      <c r="BO49" s="299">
        <f>IF(AND($F49&lt;=BO$2, OR($G49="",$G49&gt;=BO$2)),
  $H49 * (1 + Assumptions!$C$7) ^ INT(((YEAR(BO$2)-YEAR($F49))*12 + MONTH(BO$2)-MONTH($F49)) / 12),
  0)</f>
        <v/>
      </c>
      <c r="BP49" s="299">
        <f>IF(AND($F49&lt;=BP$2, OR($G49="",$G49&gt;=BP$2)),
  $H49 * (1 + Assumptions!$C$7) ^ INT(((YEAR(BP$2)-YEAR($F49))*12 + MONTH(BP$2)-MONTH($F49)) / 12),
  0)</f>
        <v/>
      </c>
      <c r="BQ49" s="307" t="n"/>
      <c r="BR49" s="83" t="inlineStr">
        <is>
          <t>paid this month if started and not yet left; +8% on each work anniversary</t>
        </is>
      </c>
      <c r="BS49" s="307" t="n"/>
      <c r="BT49" s="307" t="n"/>
    </row>
    <row r="50" ht="15.75" customHeight="1" s="349">
      <c r="A50" s="321" t="n">
        <v>45</v>
      </c>
      <c r="B50" s="285" t="inlineStr">
        <is>
          <t>New hire</t>
        </is>
      </c>
      <c r="C50" s="23" t="inlineStr">
        <is>
          <t>S&amp;M</t>
        </is>
      </c>
      <c r="D50" s="321" t="inlineStr">
        <is>
          <t>Sales</t>
        </is>
      </c>
      <c r="E50" s="297" t="inlineStr">
        <is>
          <t>Planned</t>
        </is>
      </c>
      <c r="F50" s="318">
        <f>IF(Assumptions!$D$82=2,DATE(2028,1,2),DATE(2029,6,2))</f>
        <v/>
      </c>
      <c r="G50" s="319" t="n"/>
      <c r="H50" s="288" t="n">
        <v>7500</v>
      </c>
      <c r="I50" s="299">
        <f>IF(AND($F50&lt;=I$2, OR($G50="",$G50&gt;=I$2)),
  $H50 * (1 + Assumptions!$C$7) ^ INT(((YEAR(I$2)-YEAR($F50))*12 + MONTH(I$2)-MONTH($F50)) / 12),
  0)</f>
        <v/>
      </c>
      <c r="J50" s="299">
        <f>IF(AND($F50&lt;=J$2, OR($G50="",$G50&gt;=J$2)),
  $H50 * (1 + Assumptions!$C$7) ^ INT(((YEAR(J$2)-YEAR($F50))*12 + MONTH(J$2)-MONTH($F50)) / 12),
  0)</f>
        <v/>
      </c>
      <c r="K50" s="299">
        <f>IF(AND($F50&lt;=K$2, OR($G50="",$G50&gt;=K$2)),
  $H50 * (1 + Assumptions!$C$7) ^ INT(((YEAR(K$2)-YEAR($F50))*12 + MONTH(K$2)-MONTH($F50)) / 12),
  0)</f>
        <v/>
      </c>
      <c r="L50" s="299">
        <f>IF(AND($F50&lt;=L$2, OR($G50="",$G50&gt;=L$2)),
  $H50 * (1 + Assumptions!$C$7) ^ INT(((YEAR(L$2)-YEAR($F50))*12 + MONTH(L$2)-MONTH($F50)) / 12),
  0)</f>
        <v/>
      </c>
      <c r="M50" s="299">
        <f>IF(AND($F50&lt;=M$2, OR($G50="",$G50&gt;=M$2)),
  $H50 * (1 + Assumptions!$C$7) ^ INT(((YEAR(M$2)-YEAR($F50))*12 + MONTH(M$2)-MONTH($F50)) / 12),
  0)</f>
        <v/>
      </c>
      <c r="N50" s="299">
        <f>IF(AND($F50&lt;=N$2, OR($G50="",$G50&gt;=N$2)),
  $H50 * (1 + Assumptions!$C$7) ^ INT(((YEAR(N$2)-YEAR($F50))*12 + MONTH(N$2)-MONTH($F50)) / 12),
  0)</f>
        <v/>
      </c>
      <c r="O50" s="299">
        <f>IF(AND($F50&lt;=O$2, OR($G50="",$G50&gt;=O$2)),
  $H50 * (1 + Assumptions!$C$7) ^ INT(((YEAR(O$2)-YEAR($F50))*12 + MONTH(O$2)-MONTH($F50)) / 12),
  0)</f>
        <v/>
      </c>
      <c r="P50" s="299">
        <f>IF(AND($F50&lt;=P$2, OR($G50="",$G50&gt;=P$2)),
  $H50 * (1 + Assumptions!$C$7) ^ INT(((YEAR(P$2)-YEAR($F50))*12 + MONTH(P$2)-MONTH($F50)) / 12),
  0)</f>
        <v/>
      </c>
      <c r="Q50" s="299">
        <f>IF(AND($F50&lt;=Q$2, OR($G50="",$G50&gt;=Q$2)),
  $H50 * (1 + Assumptions!$C$7) ^ INT(((YEAR(Q$2)-YEAR($F50))*12 + MONTH(Q$2)-MONTH($F50)) / 12),
  0)</f>
        <v/>
      </c>
      <c r="R50" s="299">
        <f>IF(AND($F50&lt;=R$2, OR($G50="",$G50&gt;=R$2)),
  $H50 * (1 + Assumptions!$C$7) ^ INT(((YEAR(R$2)-YEAR($F50))*12 + MONTH(R$2)-MONTH($F50)) / 12),
  0)</f>
        <v/>
      </c>
      <c r="S50" s="299">
        <f>IF(AND($F50&lt;=S$2, OR($G50="",$G50&gt;=S$2)),
  $H50 * (1 + Assumptions!$C$7) ^ INT(((YEAR(S$2)-YEAR($F50))*12 + MONTH(S$2)-MONTH($F50)) / 12),
  0)</f>
        <v/>
      </c>
      <c r="T50" s="299">
        <f>IF(AND($F50&lt;=T$2, OR($G50="",$G50&gt;=T$2)),
  $H50 * (1 + Assumptions!$C$7) ^ INT(((YEAR(T$2)-YEAR($F50))*12 + MONTH(T$2)-MONTH($F50)) / 12),
  0)</f>
        <v/>
      </c>
      <c r="U50" s="299">
        <f>IF(AND($F50&lt;=U$2, OR($G50="",$G50&gt;=U$2)),
  $H50 * (1 + Assumptions!$C$7) ^ INT(((YEAR(U$2)-YEAR($F50))*12 + MONTH(U$2)-MONTH($F50)) / 12),
  0)</f>
        <v/>
      </c>
      <c r="V50" s="299">
        <f>IF(AND($F50&lt;=V$2, OR($G50="",$G50&gt;=V$2)),
  $H50 * (1 + Assumptions!$C$7) ^ INT(((YEAR(V$2)-YEAR($F50))*12 + MONTH(V$2)-MONTH($F50)) / 12),
  0)</f>
        <v/>
      </c>
      <c r="W50" s="299">
        <f>IF(AND($F50&lt;=W$2, OR($G50="",$G50&gt;=W$2)),
  $H50 * (1 + Assumptions!$C$7) ^ INT(((YEAR(W$2)-YEAR($F50))*12 + MONTH(W$2)-MONTH($F50)) / 12),
  0)</f>
        <v/>
      </c>
      <c r="X50" s="299">
        <f>IF(AND($F50&lt;=X$2, OR($G50="",$G50&gt;=X$2)),
  $H50 * (1 + Assumptions!$C$7) ^ INT(((YEAR(X$2)-YEAR($F50))*12 + MONTH(X$2)-MONTH($F50)) / 12),
  0)</f>
        <v/>
      </c>
      <c r="Y50" s="299">
        <f>IF(AND($F50&lt;=Y$2, OR($G50="",$G50&gt;=Y$2)),
  $H50 * (1 + Assumptions!$C$7) ^ INT(((YEAR(Y$2)-YEAR($F50))*12 + MONTH(Y$2)-MONTH($F50)) / 12),
  0)</f>
        <v/>
      </c>
      <c r="Z50" s="299">
        <f>IF(AND($F50&lt;=Z$2, OR($G50="",$G50&gt;=Z$2)),
  $H50 * (1 + Assumptions!$C$7) ^ INT(((YEAR(Z$2)-YEAR($F50))*12 + MONTH(Z$2)-MONTH($F50)) / 12),
  0)</f>
        <v/>
      </c>
      <c r="AA50" s="299">
        <f>IF(AND($F50&lt;=AA$2, OR($G50="",$G50&gt;=AA$2)),
  $H50 * (1 + Assumptions!$C$7) ^ INT(((YEAR(AA$2)-YEAR($F50))*12 + MONTH(AA$2)-MONTH($F50)) / 12),
  0)</f>
        <v/>
      </c>
      <c r="AB50" s="299">
        <f>IF(AND($F50&lt;=AB$2, OR($G50="",$G50&gt;=AB$2)),
  $H50 * (1 + Assumptions!$C$7) ^ INT(((YEAR(AB$2)-YEAR($F50))*12 + MONTH(AB$2)-MONTH($F50)) / 12),
  0)</f>
        <v/>
      </c>
      <c r="AC50" s="299">
        <f>IF(AND($F50&lt;=AC$2, OR($G50="",$G50&gt;=AC$2)),
  $H50 * (1 + Assumptions!$C$7) ^ INT(((YEAR(AC$2)-YEAR($F50))*12 + MONTH(AC$2)-MONTH($F50)) / 12),
  0)</f>
        <v/>
      </c>
      <c r="AD50" s="299">
        <f>IF(AND($F50&lt;=AD$2, OR($G50="",$G50&gt;=AD$2)),
  $H50 * (1 + Assumptions!$C$7) ^ INT(((YEAR(AD$2)-YEAR($F50))*12 + MONTH(AD$2)-MONTH($F50)) / 12),
  0)</f>
        <v/>
      </c>
      <c r="AE50" s="299">
        <f>IF(AND($F50&lt;=AE$2, OR($G50="",$G50&gt;=AE$2)),
  $H50 * (1 + Assumptions!$C$7) ^ INT(((YEAR(AE$2)-YEAR($F50))*12 + MONTH(AE$2)-MONTH($F50)) / 12),
  0)</f>
        <v/>
      </c>
      <c r="AF50" s="299">
        <f>IF(AND($F50&lt;=AF$2, OR($G50="",$G50&gt;=AF$2)),
  $H50 * (1 + Assumptions!$C$7) ^ INT(((YEAR(AF$2)-YEAR($F50))*12 + MONTH(AF$2)-MONTH($F50)) / 12),
  0)</f>
        <v/>
      </c>
      <c r="AG50" s="299">
        <f>IF(AND($F50&lt;=AG$2, OR($G50="",$G50&gt;=AG$2)),
  $H50 * (1 + Assumptions!$C$7) ^ INT(((YEAR(AG$2)-YEAR($F50))*12 + MONTH(AG$2)-MONTH($F50)) / 12),
  0)</f>
        <v/>
      </c>
      <c r="AH50" s="299">
        <f>IF(AND($F50&lt;=AH$2, OR($G50="",$G50&gt;=AH$2)),
  $H50 * (1 + Assumptions!$C$7) ^ INT(((YEAR(AH$2)-YEAR($F50))*12 + MONTH(AH$2)-MONTH($F50)) / 12),
  0)</f>
        <v/>
      </c>
      <c r="AI50" s="299">
        <f>IF(AND($F50&lt;=AI$2, OR($G50="",$G50&gt;=AI$2)),
  $H50 * (1 + Assumptions!$C$7) ^ INT(((YEAR(AI$2)-YEAR($F50))*12 + MONTH(AI$2)-MONTH($F50)) / 12),
  0)</f>
        <v/>
      </c>
      <c r="AJ50" s="299">
        <f>IF(AND($F50&lt;=AJ$2, OR($G50="",$G50&gt;=AJ$2)),
  $H50 * (1 + Assumptions!$C$7) ^ INT(((YEAR(AJ$2)-YEAR($F50))*12 + MONTH(AJ$2)-MONTH($F50)) / 12),
  0)</f>
        <v/>
      </c>
      <c r="AK50" s="299">
        <f>IF(AND($F50&lt;=AK$2, OR($G50="",$G50&gt;=AK$2)),
  $H50 * (1 + Assumptions!$C$7) ^ INT(((YEAR(AK$2)-YEAR($F50))*12 + MONTH(AK$2)-MONTH($F50)) / 12),
  0)</f>
        <v/>
      </c>
      <c r="AL50" s="299">
        <f>IF(AND($F50&lt;=AL$2, OR($G50="",$G50&gt;=AL$2)),
  $H50 * (1 + Assumptions!$C$7) ^ INT(((YEAR(AL$2)-YEAR($F50))*12 + MONTH(AL$2)-MONTH($F50)) / 12),
  0)</f>
        <v/>
      </c>
      <c r="AM50" s="299">
        <f>IF(AND($F50&lt;=AM$2, OR($G50="",$G50&gt;=AM$2)),
  $H50 * (1 + Assumptions!$C$7) ^ INT(((YEAR(AM$2)-YEAR($F50))*12 + MONTH(AM$2)-MONTH($F50)) / 12),
  0)</f>
        <v/>
      </c>
      <c r="AN50" s="299">
        <f>IF(AND($F50&lt;=AN$2, OR($G50="",$G50&gt;=AN$2)),
  $H50 * (1 + Assumptions!$C$7) ^ INT(((YEAR(AN$2)-YEAR($F50))*12 + MONTH(AN$2)-MONTH($F50)) / 12),
  0)</f>
        <v/>
      </c>
      <c r="AO50" s="299">
        <f>IF(AND($F50&lt;=AO$2, OR($G50="",$G50&gt;=AO$2)),
  $H50 * (1 + Assumptions!$C$7) ^ INT(((YEAR(AO$2)-YEAR($F50))*12 + MONTH(AO$2)-MONTH($F50)) / 12),
  0)</f>
        <v/>
      </c>
      <c r="AP50" s="299">
        <f>IF(AND($F50&lt;=AP$2, OR($G50="",$G50&gt;=AP$2)),
  $H50 * (1 + Assumptions!$C$7) ^ INT(((YEAR(AP$2)-YEAR($F50))*12 + MONTH(AP$2)-MONTH($F50)) / 12),
  0)</f>
        <v/>
      </c>
      <c r="AQ50" s="299">
        <f>IF(AND($F50&lt;=AQ$2, OR($G50="",$G50&gt;=AQ$2)),
  $H50 * (1 + Assumptions!$C$7) ^ INT(((YEAR(AQ$2)-YEAR($F50))*12 + MONTH(AQ$2)-MONTH($F50)) / 12),
  0)</f>
        <v/>
      </c>
      <c r="AR50" s="299">
        <f>IF(AND($F50&lt;=AR$2, OR($G50="",$G50&gt;=AR$2)),
  $H50 * (1 + Assumptions!$C$7) ^ INT(((YEAR(AR$2)-YEAR($F50))*12 + MONTH(AR$2)-MONTH($F50)) / 12),
  0)</f>
        <v/>
      </c>
      <c r="AS50" s="299">
        <f>IF(AND($F50&lt;=AS$2, OR($G50="",$G50&gt;=AS$2)),
  $H50 * (1 + Assumptions!$C$7) ^ INT(((YEAR(AS$2)-YEAR($F50))*12 + MONTH(AS$2)-MONTH($F50)) / 12),
  0)</f>
        <v/>
      </c>
      <c r="AT50" s="299">
        <f>IF(AND($F50&lt;=AT$2, OR($G50="",$G50&gt;=AT$2)),
  $H50 * (1 + Assumptions!$C$7) ^ INT(((YEAR(AT$2)-YEAR($F50))*12 + MONTH(AT$2)-MONTH($F50)) / 12),
  0)</f>
        <v/>
      </c>
      <c r="AU50" s="299">
        <f>IF(AND($F50&lt;=AU$2, OR($G50="",$G50&gt;=AU$2)),
  $H50 * (1 + Assumptions!$C$7) ^ INT(((YEAR(AU$2)-YEAR($F50))*12 + MONTH(AU$2)-MONTH($F50)) / 12),
  0)</f>
        <v/>
      </c>
      <c r="AV50" s="299">
        <f>IF(AND($F50&lt;=AV$2, OR($G50="",$G50&gt;=AV$2)),
  $H50 * (1 + Assumptions!$C$7) ^ INT(((YEAR(AV$2)-YEAR($F50))*12 + MONTH(AV$2)-MONTH($F50)) / 12),
  0)</f>
        <v/>
      </c>
      <c r="AW50" s="299">
        <f>IF(AND($F50&lt;=AW$2, OR($G50="",$G50&gt;=AW$2)),
  $H50 * (1 + Assumptions!$C$7) ^ INT(((YEAR(AW$2)-YEAR($F50))*12 + MONTH(AW$2)-MONTH($F50)) / 12),
  0)</f>
        <v/>
      </c>
      <c r="AX50" s="299">
        <f>IF(AND($F50&lt;=AX$2, OR($G50="",$G50&gt;=AX$2)),
  $H50 * (1 + Assumptions!$C$7) ^ INT(((YEAR(AX$2)-YEAR($F50))*12 + MONTH(AX$2)-MONTH($F50)) / 12),
  0)</f>
        <v/>
      </c>
      <c r="AY50" s="299">
        <f>IF(AND($F50&lt;=AY$2, OR($G50="",$G50&gt;=AY$2)),
  $H50 * (1 + Assumptions!$C$7) ^ INT(((YEAR(AY$2)-YEAR($F50))*12 + MONTH(AY$2)-MONTH($F50)) / 12),
  0)</f>
        <v/>
      </c>
      <c r="AZ50" s="299">
        <f>IF(AND($F50&lt;=AZ$2, OR($G50="",$G50&gt;=AZ$2)),
  $H50 * (1 + Assumptions!$C$7) ^ INT(((YEAR(AZ$2)-YEAR($F50))*12 + MONTH(AZ$2)-MONTH($F50)) / 12),
  0)</f>
        <v/>
      </c>
      <c r="BA50" s="299">
        <f>IF(AND($F50&lt;=BA$2, OR($G50="",$G50&gt;=BA$2)),
  $H50 * (1 + Assumptions!$C$7) ^ INT(((YEAR(BA$2)-YEAR($F50))*12 + MONTH(BA$2)-MONTH($F50)) / 12),
  0)</f>
        <v/>
      </c>
      <c r="BB50" s="299">
        <f>IF(AND($F50&lt;=BB$2, OR($G50="",$G50&gt;=BB$2)),
  $H50 * (1 + Assumptions!$C$7) ^ INT(((YEAR(BB$2)-YEAR($F50))*12 + MONTH(BB$2)-MONTH($F50)) / 12),
  0)</f>
        <v/>
      </c>
      <c r="BC50" s="299">
        <f>IF(AND($F50&lt;=BC$2, OR($G50="",$G50&gt;=BC$2)),
  $H50 * (1 + Assumptions!$C$7) ^ INT(((YEAR(BC$2)-YEAR($F50))*12 + MONTH(BC$2)-MONTH($F50)) / 12),
  0)</f>
        <v/>
      </c>
      <c r="BD50" s="299">
        <f>IF(AND($F50&lt;=BD$2, OR($G50="",$G50&gt;=BD$2)),
  $H50 * (1 + Assumptions!$C$7) ^ INT(((YEAR(BD$2)-YEAR($F50))*12 + MONTH(BD$2)-MONTH($F50)) / 12),
  0)</f>
        <v/>
      </c>
      <c r="BE50" s="299">
        <f>IF(AND($F50&lt;=BE$2, OR($G50="",$G50&gt;=BE$2)),
  $H50 * (1 + Assumptions!$C$7) ^ INT(((YEAR(BE$2)-YEAR($F50))*12 + MONTH(BE$2)-MONTH($F50)) / 12),
  0)</f>
        <v/>
      </c>
      <c r="BF50" s="299">
        <f>IF(AND($F50&lt;=BF$2, OR($G50="",$G50&gt;=BF$2)),
  $H50 * (1 + Assumptions!$C$7) ^ INT(((YEAR(BF$2)-YEAR($F50))*12 + MONTH(BF$2)-MONTH($F50)) / 12),
  0)</f>
        <v/>
      </c>
      <c r="BG50" s="299">
        <f>IF(AND($F50&lt;=BG$2, OR($G50="",$G50&gt;=BG$2)),
  $H50 * (1 + Assumptions!$C$7) ^ INT(((YEAR(BG$2)-YEAR($F50))*12 + MONTH(BG$2)-MONTH($F50)) / 12),
  0)</f>
        <v/>
      </c>
      <c r="BH50" s="299">
        <f>IF(AND($F50&lt;=BH$2, OR($G50="",$G50&gt;=BH$2)),
  $H50 * (1 + Assumptions!$C$7) ^ INT(((YEAR(BH$2)-YEAR($F50))*12 + MONTH(BH$2)-MONTH($F50)) / 12),
  0)</f>
        <v/>
      </c>
      <c r="BI50" s="299">
        <f>IF(AND($F50&lt;=BI$2, OR($G50="",$G50&gt;=BI$2)),
  $H50 * (1 + Assumptions!$C$7) ^ INT(((YEAR(BI$2)-YEAR($F50))*12 + MONTH(BI$2)-MONTH($F50)) / 12),
  0)</f>
        <v/>
      </c>
      <c r="BJ50" s="299">
        <f>IF(AND($F50&lt;=BJ$2, OR($G50="",$G50&gt;=BJ$2)),
  $H50 * (1 + Assumptions!$C$7) ^ INT(((YEAR(BJ$2)-YEAR($F50))*12 + MONTH(BJ$2)-MONTH($F50)) / 12),
  0)</f>
        <v/>
      </c>
      <c r="BK50" s="299">
        <f>IF(AND($F50&lt;=BK$2, OR($G50="",$G50&gt;=BK$2)),
  $H50 * (1 + Assumptions!$C$7) ^ INT(((YEAR(BK$2)-YEAR($F50))*12 + MONTH(BK$2)-MONTH($F50)) / 12),
  0)</f>
        <v/>
      </c>
      <c r="BL50" s="299">
        <f>IF(AND($F50&lt;=BL$2, OR($G50="",$G50&gt;=BL$2)),
  $H50 * (1 + Assumptions!$C$7) ^ INT(((YEAR(BL$2)-YEAR($F50))*12 + MONTH(BL$2)-MONTH($F50)) / 12),
  0)</f>
        <v/>
      </c>
      <c r="BM50" s="299">
        <f>IF(AND($F50&lt;=BM$2, OR($G50="",$G50&gt;=BM$2)),
  $H50 * (1 + Assumptions!$C$7) ^ INT(((YEAR(BM$2)-YEAR($F50))*12 + MONTH(BM$2)-MONTH($F50)) / 12),
  0)</f>
        <v/>
      </c>
      <c r="BN50" s="299">
        <f>IF(AND($F50&lt;=BN$2, OR($G50="",$G50&gt;=BN$2)),
  $H50 * (1 + Assumptions!$C$7) ^ INT(((YEAR(BN$2)-YEAR($F50))*12 + MONTH(BN$2)-MONTH($F50)) / 12),
  0)</f>
        <v/>
      </c>
      <c r="BO50" s="299">
        <f>IF(AND($F50&lt;=BO$2, OR($G50="",$G50&gt;=BO$2)),
  $H50 * (1 + Assumptions!$C$7) ^ INT(((YEAR(BO$2)-YEAR($F50))*12 + MONTH(BO$2)-MONTH($F50)) / 12),
  0)</f>
        <v/>
      </c>
      <c r="BP50" s="299">
        <f>IF(AND($F50&lt;=BP$2, OR($G50="",$G50&gt;=BP$2)),
  $H50 * (1 + Assumptions!$C$7) ^ INT(((YEAR(BP$2)-YEAR($F50))*12 + MONTH(BP$2)-MONTH($F50)) / 12),
  0)</f>
        <v/>
      </c>
      <c r="BQ50" s="307" t="n"/>
      <c r="BR50" s="83" t="inlineStr">
        <is>
          <t>paid this month if started and not yet left; +8% on each work anniversary</t>
        </is>
      </c>
      <c r="BS50" s="307" t="n"/>
      <c r="BT50" s="307" t="n"/>
    </row>
    <row r="51" ht="15.75" customHeight="1" s="349">
      <c r="A51" s="321" t="n">
        <v>46</v>
      </c>
      <c r="B51" s="285" t="inlineStr">
        <is>
          <t>New hire</t>
        </is>
      </c>
      <c r="C51" s="23" t="inlineStr">
        <is>
          <t>S&amp;M</t>
        </is>
      </c>
      <c r="D51" s="321" t="inlineStr">
        <is>
          <t>Sales</t>
        </is>
      </c>
      <c r="E51" s="297" t="inlineStr">
        <is>
          <t>Planned</t>
        </is>
      </c>
      <c r="F51" s="318">
        <f>IF(Assumptions!$D$82=2,DATE(2028,1,1),DATE(2029,6,5))</f>
        <v/>
      </c>
      <c r="G51" s="319" t="n"/>
      <c r="H51" s="288" t="n">
        <v>6500</v>
      </c>
      <c r="I51" s="299">
        <f>IF(AND($F51&lt;=I$2, OR($G51="",$G51&gt;=I$2)),
  $H51 * (1 + Assumptions!$C$7) ^ INT(((YEAR(I$2)-YEAR($F51))*12 + MONTH(I$2)-MONTH($F51)) / 12),
  0)</f>
        <v/>
      </c>
      <c r="J51" s="299">
        <f>IF(AND($F51&lt;=J$2, OR($G51="",$G51&gt;=J$2)),
  $H51 * (1 + Assumptions!$C$7) ^ INT(((YEAR(J$2)-YEAR($F51))*12 + MONTH(J$2)-MONTH($F51)) / 12),
  0)</f>
        <v/>
      </c>
      <c r="K51" s="299">
        <f>IF(AND($F51&lt;=K$2, OR($G51="",$G51&gt;=K$2)),
  $H51 * (1 + Assumptions!$C$7) ^ INT(((YEAR(K$2)-YEAR($F51))*12 + MONTH(K$2)-MONTH($F51)) / 12),
  0)</f>
        <v/>
      </c>
      <c r="L51" s="299">
        <f>IF(AND($F51&lt;=L$2, OR($G51="",$G51&gt;=L$2)),
  $H51 * (1 + Assumptions!$C$7) ^ INT(((YEAR(L$2)-YEAR($F51))*12 + MONTH(L$2)-MONTH($F51)) / 12),
  0)</f>
        <v/>
      </c>
      <c r="M51" s="299">
        <f>IF(AND($F51&lt;=M$2, OR($G51="",$G51&gt;=M$2)),
  $H51 * (1 + Assumptions!$C$7) ^ INT(((YEAR(M$2)-YEAR($F51))*12 + MONTH(M$2)-MONTH($F51)) / 12),
  0)</f>
        <v/>
      </c>
      <c r="N51" s="299">
        <f>IF(AND($F51&lt;=N$2, OR($G51="",$G51&gt;=N$2)),
  $H51 * (1 + Assumptions!$C$7) ^ INT(((YEAR(N$2)-YEAR($F51))*12 + MONTH(N$2)-MONTH($F51)) / 12),
  0)</f>
        <v/>
      </c>
      <c r="O51" s="299">
        <f>IF(AND($F51&lt;=O$2, OR($G51="",$G51&gt;=O$2)),
  $H51 * (1 + Assumptions!$C$7) ^ INT(((YEAR(O$2)-YEAR($F51))*12 + MONTH(O$2)-MONTH($F51)) / 12),
  0)</f>
        <v/>
      </c>
      <c r="P51" s="299">
        <f>IF(AND($F51&lt;=P$2, OR($G51="",$G51&gt;=P$2)),
  $H51 * (1 + Assumptions!$C$7) ^ INT(((YEAR(P$2)-YEAR($F51))*12 + MONTH(P$2)-MONTH($F51)) / 12),
  0)</f>
        <v/>
      </c>
      <c r="Q51" s="299">
        <f>IF(AND($F51&lt;=Q$2, OR($G51="",$G51&gt;=Q$2)),
  $H51 * (1 + Assumptions!$C$7) ^ INT(((YEAR(Q$2)-YEAR($F51))*12 + MONTH(Q$2)-MONTH($F51)) / 12),
  0)</f>
        <v/>
      </c>
      <c r="R51" s="299">
        <f>IF(AND($F51&lt;=R$2, OR($G51="",$G51&gt;=R$2)),
  $H51 * (1 + Assumptions!$C$7) ^ INT(((YEAR(R$2)-YEAR($F51))*12 + MONTH(R$2)-MONTH($F51)) / 12),
  0)</f>
        <v/>
      </c>
      <c r="S51" s="299">
        <f>IF(AND($F51&lt;=S$2, OR($G51="",$G51&gt;=S$2)),
  $H51 * (1 + Assumptions!$C$7) ^ INT(((YEAR(S$2)-YEAR($F51))*12 + MONTH(S$2)-MONTH($F51)) / 12),
  0)</f>
        <v/>
      </c>
      <c r="T51" s="299">
        <f>IF(AND($F51&lt;=T$2, OR($G51="",$G51&gt;=T$2)),
  $H51 * (1 + Assumptions!$C$7) ^ INT(((YEAR(T$2)-YEAR($F51))*12 + MONTH(T$2)-MONTH($F51)) / 12),
  0)</f>
        <v/>
      </c>
      <c r="U51" s="299">
        <f>IF(AND($F51&lt;=U$2, OR($G51="",$G51&gt;=U$2)),
  $H51 * (1 + Assumptions!$C$7) ^ INT(((YEAR(U$2)-YEAR($F51))*12 + MONTH(U$2)-MONTH($F51)) / 12),
  0)</f>
        <v/>
      </c>
      <c r="V51" s="299">
        <f>IF(AND($F51&lt;=V$2, OR($G51="",$G51&gt;=V$2)),
  $H51 * (1 + Assumptions!$C$7) ^ INT(((YEAR(V$2)-YEAR($F51))*12 + MONTH(V$2)-MONTH($F51)) / 12),
  0)</f>
        <v/>
      </c>
      <c r="W51" s="299">
        <f>IF(AND($F51&lt;=W$2, OR($G51="",$G51&gt;=W$2)),
  $H51 * (1 + Assumptions!$C$7) ^ INT(((YEAR(W$2)-YEAR($F51))*12 + MONTH(W$2)-MONTH($F51)) / 12),
  0)</f>
        <v/>
      </c>
      <c r="X51" s="299">
        <f>IF(AND($F51&lt;=X$2, OR($G51="",$G51&gt;=X$2)),
  $H51 * (1 + Assumptions!$C$7) ^ INT(((YEAR(X$2)-YEAR($F51))*12 + MONTH(X$2)-MONTH($F51)) / 12),
  0)</f>
        <v/>
      </c>
      <c r="Y51" s="299">
        <f>IF(AND($F51&lt;=Y$2, OR($G51="",$G51&gt;=Y$2)),
  $H51 * (1 + Assumptions!$C$7) ^ INT(((YEAR(Y$2)-YEAR($F51))*12 + MONTH(Y$2)-MONTH($F51)) / 12),
  0)</f>
        <v/>
      </c>
      <c r="Z51" s="299">
        <f>IF(AND($F51&lt;=Z$2, OR($G51="",$G51&gt;=Z$2)),
  $H51 * (1 + Assumptions!$C$7) ^ INT(((YEAR(Z$2)-YEAR($F51))*12 + MONTH(Z$2)-MONTH($F51)) / 12),
  0)</f>
        <v/>
      </c>
      <c r="AA51" s="299">
        <f>IF(AND($F51&lt;=AA$2, OR($G51="",$G51&gt;=AA$2)),
  $H51 * (1 + Assumptions!$C$7) ^ INT(((YEAR(AA$2)-YEAR($F51))*12 + MONTH(AA$2)-MONTH($F51)) / 12),
  0)</f>
        <v/>
      </c>
      <c r="AB51" s="299">
        <f>IF(AND($F51&lt;=AB$2, OR($G51="",$G51&gt;=AB$2)),
  $H51 * (1 + Assumptions!$C$7) ^ INT(((YEAR(AB$2)-YEAR($F51))*12 + MONTH(AB$2)-MONTH($F51)) / 12),
  0)</f>
        <v/>
      </c>
      <c r="AC51" s="299">
        <f>IF(AND($F51&lt;=AC$2, OR($G51="",$G51&gt;=AC$2)),
  $H51 * (1 + Assumptions!$C$7) ^ INT(((YEAR(AC$2)-YEAR($F51))*12 + MONTH(AC$2)-MONTH($F51)) / 12),
  0)</f>
        <v/>
      </c>
      <c r="AD51" s="299">
        <f>IF(AND($F51&lt;=AD$2, OR($G51="",$G51&gt;=AD$2)),
  $H51 * (1 + Assumptions!$C$7) ^ INT(((YEAR(AD$2)-YEAR($F51))*12 + MONTH(AD$2)-MONTH($F51)) / 12),
  0)</f>
        <v/>
      </c>
      <c r="AE51" s="299">
        <f>IF(AND($F51&lt;=AE$2, OR($G51="",$G51&gt;=AE$2)),
  $H51 * (1 + Assumptions!$C$7) ^ INT(((YEAR(AE$2)-YEAR($F51))*12 + MONTH(AE$2)-MONTH($F51)) / 12),
  0)</f>
        <v/>
      </c>
      <c r="AF51" s="299">
        <f>IF(AND($F51&lt;=AF$2, OR($G51="",$G51&gt;=AF$2)),
  $H51 * (1 + Assumptions!$C$7) ^ INT(((YEAR(AF$2)-YEAR($F51))*12 + MONTH(AF$2)-MONTH($F51)) / 12),
  0)</f>
        <v/>
      </c>
      <c r="AG51" s="299">
        <f>IF(AND($F51&lt;=AG$2, OR($G51="",$G51&gt;=AG$2)),
  $H51 * (1 + Assumptions!$C$7) ^ INT(((YEAR(AG$2)-YEAR($F51))*12 + MONTH(AG$2)-MONTH($F51)) / 12),
  0)</f>
        <v/>
      </c>
      <c r="AH51" s="299">
        <f>IF(AND($F51&lt;=AH$2, OR($G51="",$G51&gt;=AH$2)),
  $H51 * (1 + Assumptions!$C$7) ^ INT(((YEAR(AH$2)-YEAR($F51))*12 + MONTH(AH$2)-MONTH($F51)) / 12),
  0)</f>
        <v/>
      </c>
      <c r="AI51" s="299">
        <f>IF(AND($F51&lt;=AI$2, OR($G51="",$G51&gt;=AI$2)),
  $H51 * (1 + Assumptions!$C$7) ^ INT(((YEAR(AI$2)-YEAR($F51))*12 + MONTH(AI$2)-MONTH($F51)) / 12),
  0)</f>
        <v/>
      </c>
      <c r="AJ51" s="299">
        <f>IF(AND($F51&lt;=AJ$2, OR($G51="",$G51&gt;=AJ$2)),
  $H51 * (1 + Assumptions!$C$7) ^ INT(((YEAR(AJ$2)-YEAR($F51))*12 + MONTH(AJ$2)-MONTH($F51)) / 12),
  0)</f>
        <v/>
      </c>
      <c r="AK51" s="299">
        <f>IF(AND($F51&lt;=AK$2, OR($G51="",$G51&gt;=AK$2)),
  $H51 * (1 + Assumptions!$C$7) ^ INT(((YEAR(AK$2)-YEAR($F51))*12 + MONTH(AK$2)-MONTH($F51)) / 12),
  0)</f>
        <v/>
      </c>
      <c r="AL51" s="299">
        <f>IF(AND($F51&lt;=AL$2, OR($G51="",$G51&gt;=AL$2)),
  $H51 * (1 + Assumptions!$C$7) ^ INT(((YEAR(AL$2)-YEAR($F51))*12 + MONTH(AL$2)-MONTH($F51)) / 12),
  0)</f>
        <v/>
      </c>
      <c r="AM51" s="299">
        <f>IF(AND($F51&lt;=AM$2, OR($G51="",$G51&gt;=AM$2)),
  $H51 * (1 + Assumptions!$C$7) ^ INT(((YEAR(AM$2)-YEAR($F51))*12 + MONTH(AM$2)-MONTH($F51)) / 12),
  0)</f>
        <v/>
      </c>
      <c r="AN51" s="299">
        <f>IF(AND($F51&lt;=AN$2, OR($G51="",$G51&gt;=AN$2)),
  $H51 * (1 + Assumptions!$C$7) ^ INT(((YEAR(AN$2)-YEAR($F51))*12 + MONTH(AN$2)-MONTH($F51)) / 12),
  0)</f>
        <v/>
      </c>
      <c r="AO51" s="299">
        <f>IF(AND($F51&lt;=AO$2, OR($G51="",$G51&gt;=AO$2)),
  $H51 * (1 + Assumptions!$C$7) ^ INT(((YEAR(AO$2)-YEAR($F51))*12 + MONTH(AO$2)-MONTH($F51)) / 12),
  0)</f>
        <v/>
      </c>
      <c r="AP51" s="299">
        <f>IF(AND($F51&lt;=AP$2, OR($G51="",$G51&gt;=AP$2)),
  $H51 * (1 + Assumptions!$C$7) ^ INT(((YEAR(AP$2)-YEAR($F51))*12 + MONTH(AP$2)-MONTH($F51)) / 12),
  0)</f>
        <v/>
      </c>
      <c r="AQ51" s="299">
        <f>IF(AND($F51&lt;=AQ$2, OR($G51="",$G51&gt;=AQ$2)),
  $H51 * (1 + Assumptions!$C$7) ^ INT(((YEAR(AQ$2)-YEAR($F51))*12 + MONTH(AQ$2)-MONTH($F51)) / 12),
  0)</f>
        <v/>
      </c>
      <c r="AR51" s="299">
        <f>IF(AND($F51&lt;=AR$2, OR($G51="",$G51&gt;=AR$2)),
  $H51 * (1 + Assumptions!$C$7) ^ INT(((YEAR(AR$2)-YEAR($F51))*12 + MONTH(AR$2)-MONTH($F51)) / 12),
  0)</f>
        <v/>
      </c>
      <c r="AS51" s="299">
        <f>IF(AND($F51&lt;=AS$2, OR($G51="",$G51&gt;=AS$2)),
  $H51 * (1 + Assumptions!$C$7) ^ INT(((YEAR(AS$2)-YEAR($F51))*12 + MONTH(AS$2)-MONTH($F51)) / 12),
  0)</f>
        <v/>
      </c>
      <c r="AT51" s="299">
        <f>IF(AND($F51&lt;=AT$2, OR($G51="",$G51&gt;=AT$2)),
  $H51 * (1 + Assumptions!$C$7) ^ INT(((YEAR(AT$2)-YEAR($F51))*12 + MONTH(AT$2)-MONTH($F51)) / 12),
  0)</f>
        <v/>
      </c>
      <c r="AU51" s="299">
        <f>IF(AND($F51&lt;=AU$2, OR($G51="",$G51&gt;=AU$2)),
  $H51 * (1 + Assumptions!$C$7) ^ INT(((YEAR(AU$2)-YEAR($F51))*12 + MONTH(AU$2)-MONTH($F51)) / 12),
  0)</f>
        <v/>
      </c>
      <c r="AV51" s="299">
        <f>IF(AND($F51&lt;=AV$2, OR($G51="",$G51&gt;=AV$2)),
  $H51 * (1 + Assumptions!$C$7) ^ INT(((YEAR(AV$2)-YEAR($F51))*12 + MONTH(AV$2)-MONTH($F51)) / 12),
  0)</f>
        <v/>
      </c>
      <c r="AW51" s="299">
        <f>IF(AND($F51&lt;=AW$2, OR($G51="",$G51&gt;=AW$2)),
  $H51 * (1 + Assumptions!$C$7) ^ INT(((YEAR(AW$2)-YEAR($F51))*12 + MONTH(AW$2)-MONTH($F51)) / 12),
  0)</f>
        <v/>
      </c>
      <c r="AX51" s="299">
        <f>IF(AND($F51&lt;=AX$2, OR($G51="",$G51&gt;=AX$2)),
  $H51 * (1 + Assumptions!$C$7) ^ INT(((YEAR(AX$2)-YEAR($F51))*12 + MONTH(AX$2)-MONTH($F51)) / 12),
  0)</f>
        <v/>
      </c>
      <c r="AY51" s="299">
        <f>IF(AND($F51&lt;=AY$2, OR($G51="",$G51&gt;=AY$2)),
  $H51 * (1 + Assumptions!$C$7) ^ INT(((YEAR(AY$2)-YEAR($F51))*12 + MONTH(AY$2)-MONTH($F51)) / 12),
  0)</f>
        <v/>
      </c>
      <c r="AZ51" s="299">
        <f>IF(AND($F51&lt;=AZ$2, OR($G51="",$G51&gt;=AZ$2)),
  $H51 * (1 + Assumptions!$C$7) ^ INT(((YEAR(AZ$2)-YEAR($F51))*12 + MONTH(AZ$2)-MONTH($F51)) / 12),
  0)</f>
        <v/>
      </c>
      <c r="BA51" s="299">
        <f>IF(AND($F51&lt;=BA$2, OR($G51="",$G51&gt;=BA$2)),
  $H51 * (1 + Assumptions!$C$7) ^ INT(((YEAR(BA$2)-YEAR($F51))*12 + MONTH(BA$2)-MONTH($F51)) / 12),
  0)</f>
        <v/>
      </c>
      <c r="BB51" s="299">
        <f>IF(AND($F51&lt;=BB$2, OR($G51="",$G51&gt;=BB$2)),
  $H51 * (1 + Assumptions!$C$7) ^ INT(((YEAR(BB$2)-YEAR($F51))*12 + MONTH(BB$2)-MONTH($F51)) / 12),
  0)</f>
        <v/>
      </c>
      <c r="BC51" s="299">
        <f>IF(AND($F51&lt;=BC$2, OR($G51="",$G51&gt;=BC$2)),
  $H51 * (1 + Assumptions!$C$7) ^ INT(((YEAR(BC$2)-YEAR($F51))*12 + MONTH(BC$2)-MONTH($F51)) / 12),
  0)</f>
        <v/>
      </c>
      <c r="BD51" s="299">
        <f>IF(AND($F51&lt;=BD$2, OR($G51="",$G51&gt;=BD$2)),
  $H51 * (1 + Assumptions!$C$7) ^ INT(((YEAR(BD$2)-YEAR($F51))*12 + MONTH(BD$2)-MONTH($F51)) / 12),
  0)</f>
        <v/>
      </c>
      <c r="BE51" s="299">
        <f>IF(AND($F51&lt;=BE$2, OR($G51="",$G51&gt;=BE$2)),
  $H51 * (1 + Assumptions!$C$7) ^ INT(((YEAR(BE$2)-YEAR($F51))*12 + MONTH(BE$2)-MONTH($F51)) / 12),
  0)</f>
        <v/>
      </c>
      <c r="BF51" s="299">
        <f>IF(AND($F51&lt;=BF$2, OR($G51="",$G51&gt;=BF$2)),
  $H51 * (1 + Assumptions!$C$7) ^ INT(((YEAR(BF$2)-YEAR($F51))*12 + MONTH(BF$2)-MONTH($F51)) / 12),
  0)</f>
        <v/>
      </c>
      <c r="BG51" s="299">
        <f>IF(AND($F51&lt;=BG$2, OR($G51="",$G51&gt;=BG$2)),
  $H51 * (1 + Assumptions!$C$7) ^ INT(((YEAR(BG$2)-YEAR($F51))*12 + MONTH(BG$2)-MONTH($F51)) / 12),
  0)</f>
        <v/>
      </c>
      <c r="BH51" s="299">
        <f>IF(AND($F51&lt;=BH$2, OR($G51="",$G51&gt;=BH$2)),
  $H51 * (1 + Assumptions!$C$7) ^ INT(((YEAR(BH$2)-YEAR($F51))*12 + MONTH(BH$2)-MONTH($F51)) / 12),
  0)</f>
        <v/>
      </c>
      <c r="BI51" s="299">
        <f>IF(AND($F51&lt;=BI$2, OR($G51="",$G51&gt;=BI$2)),
  $H51 * (1 + Assumptions!$C$7) ^ INT(((YEAR(BI$2)-YEAR($F51))*12 + MONTH(BI$2)-MONTH($F51)) / 12),
  0)</f>
        <v/>
      </c>
      <c r="BJ51" s="299">
        <f>IF(AND($F51&lt;=BJ$2, OR($G51="",$G51&gt;=BJ$2)),
  $H51 * (1 + Assumptions!$C$7) ^ INT(((YEAR(BJ$2)-YEAR($F51))*12 + MONTH(BJ$2)-MONTH($F51)) / 12),
  0)</f>
        <v/>
      </c>
      <c r="BK51" s="299">
        <f>IF(AND($F51&lt;=BK$2, OR($G51="",$G51&gt;=BK$2)),
  $H51 * (1 + Assumptions!$C$7) ^ INT(((YEAR(BK$2)-YEAR($F51))*12 + MONTH(BK$2)-MONTH($F51)) / 12),
  0)</f>
        <v/>
      </c>
      <c r="BL51" s="299">
        <f>IF(AND($F51&lt;=BL$2, OR($G51="",$G51&gt;=BL$2)),
  $H51 * (1 + Assumptions!$C$7) ^ INT(((YEAR(BL$2)-YEAR($F51))*12 + MONTH(BL$2)-MONTH($F51)) / 12),
  0)</f>
        <v/>
      </c>
      <c r="BM51" s="299">
        <f>IF(AND($F51&lt;=BM$2, OR($G51="",$G51&gt;=BM$2)),
  $H51 * (1 + Assumptions!$C$7) ^ INT(((YEAR(BM$2)-YEAR($F51))*12 + MONTH(BM$2)-MONTH($F51)) / 12),
  0)</f>
        <v/>
      </c>
      <c r="BN51" s="299">
        <f>IF(AND($F51&lt;=BN$2, OR($G51="",$G51&gt;=BN$2)),
  $H51 * (1 + Assumptions!$C$7) ^ INT(((YEAR(BN$2)-YEAR($F51))*12 + MONTH(BN$2)-MONTH($F51)) / 12),
  0)</f>
        <v/>
      </c>
      <c r="BO51" s="299">
        <f>IF(AND($F51&lt;=BO$2, OR($G51="",$G51&gt;=BO$2)),
  $H51 * (1 + Assumptions!$C$7) ^ INT(((YEAR(BO$2)-YEAR($F51))*12 + MONTH(BO$2)-MONTH($F51)) / 12),
  0)</f>
        <v/>
      </c>
      <c r="BP51" s="299">
        <f>IF(AND($F51&lt;=BP$2, OR($G51="",$G51&gt;=BP$2)),
  $H51 * (1 + Assumptions!$C$7) ^ INT(((YEAR(BP$2)-YEAR($F51))*12 + MONTH(BP$2)-MONTH($F51)) / 12),
  0)</f>
        <v/>
      </c>
      <c r="BQ51" s="307" t="n"/>
      <c r="BR51" s="83" t="inlineStr">
        <is>
          <t>paid this month if started and not yet left; +8% on each work anniversary</t>
        </is>
      </c>
      <c r="BS51" s="307" t="n"/>
      <c r="BT51" s="307" t="n"/>
    </row>
    <row r="52" ht="15.75" customHeight="1" s="349">
      <c r="A52" s="321" t="n">
        <v>47</v>
      </c>
      <c r="B52" s="285" t="inlineStr">
        <is>
          <t>New hire</t>
        </is>
      </c>
      <c r="C52" s="285" t="inlineStr">
        <is>
          <t>R&amp;D</t>
        </is>
      </c>
      <c r="D52" s="122" t="inlineStr">
        <is>
          <t>R&amp;D Engineer</t>
        </is>
      </c>
      <c r="E52" s="297" t="inlineStr">
        <is>
          <t>Planned</t>
        </is>
      </c>
      <c r="F52" s="318" t="n">
        <v>47272</v>
      </c>
      <c r="G52" s="320" t="n"/>
      <c r="H52" s="288" t="n">
        <v>7500</v>
      </c>
      <c r="I52" s="299">
        <f>IF(AND($F52&lt;=I$2, OR($G52="",$G52&gt;=I$2)),
  $H52 * (1 + Assumptions!$C$7) ^ INT(((YEAR(I$2)-YEAR($F52))*12 + MONTH(I$2)-MONTH($F52)) / 12),
  0)</f>
        <v/>
      </c>
      <c r="J52" s="299">
        <f>IF(AND($F52&lt;=J$2, OR($G52="",$G52&gt;=J$2)),
  $H52 * (1 + Assumptions!$C$7) ^ INT(((YEAR(J$2)-YEAR($F52))*12 + MONTH(J$2)-MONTH($F52)) / 12),
  0)</f>
        <v/>
      </c>
      <c r="K52" s="299">
        <f>IF(AND($F52&lt;=K$2, OR($G52="",$G52&gt;=K$2)),
  $H52 * (1 + Assumptions!$C$7) ^ INT(((YEAR(K$2)-YEAR($F52))*12 + MONTH(K$2)-MONTH($F52)) / 12),
  0)</f>
        <v/>
      </c>
      <c r="L52" s="299">
        <f>IF(AND($F52&lt;=L$2, OR($G52="",$G52&gt;=L$2)),
  $H52 * (1 + Assumptions!$C$7) ^ INT(((YEAR(L$2)-YEAR($F52))*12 + MONTH(L$2)-MONTH($F52)) / 12),
  0)</f>
        <v/>
      </c>
      <c r="M52" s="299">
        <f>IF(AND($F52&lt;=M$2, OR($G52="",$G52&gt;=M$2)),
  $H52 * (1 + Assumptions!$C$7) ^ INT(((YEAR(M$2)-YEAR($F52))*12 + MONTH(M$2)-MONTH($F52)) / 12),
  0)</f>
        <v/>
      </c>
      <c r="N52" s="299">
        <f>IF(AND($F52&lt;=N$2, OR($G52="",$G52&gt;=N$2)),
  $H52 * (1 + Assumptions!$C$7) ^ INT(((YEAR(N$2)-YEAR($F52))*12 + MONTH(N$2)-MONTH($F52)) / 12),
  0)</f>
        <v/>
      </c>
      <c r="O52" s="299">
        <f>IF(AND($F52&lt;=O$2, OR($G52="",$G52&gt;=O$2)),
  $H52 * (1 + Assumptions!$C$7) ^ INT(((YEAR(O$2)-YEAR($F52))*12 + MONTH(O$2)-MONTH($F52)) / 12),
  0)</f>
        <v/>
      </c>
      <c r="P52" s="299">
        <f>IF(AND($F52&lt;=P$2, OR($G52="",$G52&gt;=P$2)),
  $H52 * (1 + Assumptions!$C$7) ^ INT(((YEAR(P$2)-YEAR($F52))*12 + MONTH(P$2)-MONTH($F52)) / 12),
  0)</f>
        <v/>
      </c>
      <c r="Q52" s="299">
        <f>IF(AND($F52&lt;=Q$2, OR($G52="",$G52&gt;=Q$2)),
  $H52 * (1 + Assumptions!$C$7) ^ INT(((YEAR(Q$2)-YEAR($F52))*12 + MONTH(Q$2)-MONTH($F52)) / 12),
  0)</f>
        <v/>
      </c>
      <c r="R52" s="299">
        <f>IF(AND($F52&lt;=R$2, OR($G52="",$G52&gt;=R$2)),
  $H52 * (1 + Assumptions!$C$7) ^ INT(((YEAR(R$2)-YEAR($F52))*12 + MONTH(R$2)-MONTH($F52)) / 12),
  0)</f>
        <v/>
      </c>
      <c r="S52" s="299">
        <f>IF(AND($F52&lt;=S$2, OR($G52="",$G52&gt;=S$2)),
  $H52 * (1 + Assumptions!$C$7) ^ INT(((YEAR(S$2)-YEAR($F52))*12 + MONTH(S$2)-MONTH($F52)) / 12),
  0)</f>
        <v/>
      </c>
      <c r="T52" s="299">
        <f>IF(AND($F52&lt;=T$2, OR($G52="",$G52&gt;=T$2)),
  $H52 * (1 + Assumptions!$C$7) ^ INT(((YEAR(T$2)-YEAR($F52))*12 + MONTH(T$2)-MONTH($F52)) / 12),
  0)</f>
        <v/>
      </c>
      <c r="U52" s="299">
        <f>IF(AND($F52&lt;=U$2, OR($G52="",$G52&gt;=U$2)),
  $H52 * (1 + Assumptions!$C$7) ^ INT(((YEAR(U$2)-YEAR($F52))*12 + MONTH(U$2)-MONTH($F52)) / 12),
  0)</f>
        <v/>
      </c>
      <c r="V52" s="299">
        <f>IF(AND($F52&lt;=V$2, OR($G52="",$G52&gt;=V$2)),
  $H52 * (1 + Assumptions!$C$7) ^ INT(((YEAR(V$2)-YEAR($F52))*12 + MONTH(V$2)-MONTH($F52)) / 12),
  0)</f>
        <v/>
      </c>
      <c r="W52" s="299">
        <f>IF(AND($F52&lt;=W$2, OR($G52="",$G52&gt;=W$2)),
  $H52 * (1 + Assumptions!$C$7) ^ INT(((YEAR(W$2)-YEAR($F52))*12 + MONTH(W$2)-MONTH($F52)) / 12),
  0)</f>
        <v/>
      </c>
      <c r="X52" s="299">
        <f>IF(AND($F52&lt;=X$2, OR($G52="",$G52&gt;=X$2)),
  $H52 * (1 + Assumptions!$C$7) ^ INT(((YEAR(X$2)-YEAR($F52))*12 + MONTH(X$2)-MONTH($F52)) / 12),
  0)</f>
        <v/>
      </c>
      <c r="Y52" s="299">
        <f>IF(AND($F52&lt;=Y$2, OR($G52="",$G52&gt;=Y$2)),
  $H52 * (1 + Assumptions!$C$7) ^ INT(((YEAR(Y$2)-YEAR($F52))*12 + MONTH(Y$2)-MONTH($F52)) / 12),
  0)</f>
        <v/>
      </c>
      <c r="Z52" s="299">
        <f>IF(AND($F52&lt;=Z$2, OR($G52="",$G52&gt;=Z$2)),
  $H52 * (1 + Assumptions!$C$7) ^ INT(((YEAR(Z$2)-YEAR($F52))*12 + MONTH(Z$2)-MONTH($F52)) / 12),
  0)</f>
        <v/>
      </c>
      <c r="AA52" s="299">
        <f>IF(AND($F52&lt;=AA$2, OR($G52="",$G52&gt;=AA$2)),
  $H52 * (1 + Assumptions!$C$7) ^ INT(((YEAR(AA$2)-YEAR($F52))*12 + MONTH(AA$2)-MONTH($F52)) / 12),
  0)</f>
        <v/>
      </c>
      <c r="AB52" s="299">
        <f>IF(AND($F52&lt;=AB$2, OR($G52="",$G52&gt;=AB$2)),
  $H52 * (1 + Assumptions!$C$7) ^ INT(((YEAR(AB$2)-YEAR($F52))*12 + MONTH(AB$2)-MONTH($F52)) / 12),
  0)</f>
        <v/>
      </c>
      <c r="AC52" s="299">
        <f>IF(AND($F52&lt;=AC$2, OR($G52="",$G52&gt;=AC$2)),
  $H52 * (1 + Assumptions!$C$7) ^ INT(((YEAR(AC$2)-YEAR($F52))*12 + MONTH(AC$2)-MONTH($F52)) / 12),
  0)</f>
        <v/>
      </c>
      <c r="AD52" s="299">
        <f>IF(AND($F52&lt;=AD$2, OR($G52="",$G52&gt;=AD$2)),
  $H52 * (1 + Assumptions!$C$7) ^ INT(((YEAR(AD$2)-YEAR($F52))*12 + MONTH(AD$2)-MONTH($F52)) / 12),
  0)</f>
        <v/>
      </c>
      <c r="AE52" s="299">
        <f>IF(AND($F52&lt;=AE$2, OR($G52="",$G52&gt;=AE$2)),
  $H52 * (1 + Assumptions!$C$7) ^ INT(((YEAR(AE$2)-YEAR($F52))*12 + MONTH(AE$2)-MONTH($F52)) / 12),
  0)</f>
        <v/>
      </c>
      <c r="AF52" s="299">
        <f>IF(AND($F52&lt;=AF$2, OR($G52="",$G52&gt;=AF$2)),
  $H52 * (1 + Assumptions!$C$7) ^ INT(((YEAR(AF$2)-YEAR($F52))*12 + MONTH(AF$2)-MONTH($F52)) / 12),
  0)</f>
        <v/>
      </c>
      <c r="AG52" s="299">
        <f>IF(AND($F52&lt;=AG$2, OR($G52="",$G52&gt;=AG$2)),
  $H52 * (1 + Assumptions!$C$7) ^ INT(((YEAR(AG$2)-YEAR($F52))*12 + MONTH(AG$2)-MONTH($F52)) / 12),
  0)</f>
        <v/>
      </c>
      <c r="AH52" s="299">
        <f>IF(AND($F52&lt;=AH$2, OR($G52="",$G52&gt;=AH$2)),
  $H52 * (1 + Assumptions!$C$7) ^ INT(((YEAR(AH$2)-YEAR($F52))*12 + MONTH(AH$2)-MONTH($F52)) / 12),
  0)</f>
        <v/>
      </c>
      <c r="AI52" s="299">
        <f>IF(AND($F52&lt;=AI$2, OR($G52="",$G52&gt;=AI$2)),
  $H52 * (1 + Assumptions!$C$7) ^ INT(((YEAR(AI$2)-YEAR($F52))*12 + MONTH(AI$2)-MONTH($F52)) / 12),
  0)</f>
        <v/>
      </c>
      <c r="AJ52" s="299">
        <f>IF(AND($F52&lt;=AJ$2, OR($G52="",$G52&gt;=AJ$2)),
  $H52 * (1 + Assumptions!$C$7) ^ INT(((YEAR(AJ$2)-YEAR($F52))*12 + MONTH(AJ$2)-MONTH($F52)) / 12),
  0)</f>
        <v/>
      </c>
      <c r="AK52" s="299">
        <f>IF(AND($F52&lt;=AK$2, OR($G52="",$G52&gt;=AK$2)),
  $H52 * (1 + Assumptions!$C$7) ^ INT(((YEAR(AK$2)-YEAR($F52))*12 + MONTH(AK$2)-MONTH($F52)) / 12),
  0)</f>
        <v/>
      </c>
      <c r="AL52" s="299">
        <f>IF(AND($F52&lt;=AL$2, OR($G52="",$G52&gt;=AL$2)),
  $H52 * (1 + Assumptions!$C$7) ^ INT(((YEAR(AL$2)-YEAR($F52))*12 + MONTH(AL$2)-MONTH($F52)) / 12),
  0)</f>
        <v/>
      </c>
      <c r="AM52" s="299">
        <f>IF(AND($F52&lt;=AM$2, OR($G52="",$G52&gt;=AM$2)),
  $H52 * (1 + Assumptions!$C$7) ^ INT(((YEAR(AM$2)-YEAR($F52))*12 + MONTH(AM$2)-MONTH($F52)) / 12),
  0)</f>
        <v/>
      </c>
      <c r="AN52" s="299">
        <f>IF(AND($F52&lt;=AN$2, OR($G52="",$G52&gt;=AN$2)),
  $H52 * (1 + Assumptions!$C$7) ^ INT(((YEAR(AN$2)-YEAR($F52))*12 + MONTH(AN$2)-MONTH($F52)) / 12),
  0)</f>
        <v/>
      </c>
      <c r="AO52" s="299">
        <f>IF(AND($F52&lt;=AO$2, OR($G52="",$G52&gt;=AO$2)),
  $H52 * (1 + Assumptions!$C$7) ^ INT(((YEAR(AO$2)-YEAR($F52))*12 + MONTH(AO$2)-MONTH($F52)) / 12),
  0)</f>
        <v/>
      </c>
      <c r="AP52" s="299">
        <f>IF(AND($F52&lt;=AP$2, OR($G52="",$G52&gt;=AP$2)),
  $H52 * (1 + Assumptions!$C$7) ^ INT(((YEAR(AP$2)-YEAR($F52))*12 + MONTH(AP$2)-MONTH($F52)) / 12),
  0)</f>
        <v/>
      </c>
      <c r="AQ52" s="299">
        <f>IF(AND($F52&lt;=AQ$2, OR($G52="",$G52&gt;=AQ$2)),
  $H52 * (1 + Assumptions!$C$7) ^ INT(((YEAR(AQ$2)-YEAR($F52))*12 + MONTH(AQ$2)-MONTH($F52)) / 12),
  0)</f>
        <v/>
      </c>
      <c r="AR52" s="299">
        <f>IF(AND($F52&lt;=AR$2, OR($G52="",$G52&gt;=AR$2)),
  $H52 * (1 + Assumptions!$C$7) ^ INT(((YEAR(AR$2)-YEAR($F52))*12 + MONTH(AR$2)-MONTH($F52)) / 12),
  0)</f>
        <v/>
      </c>
      <c r="AS52" s="299">
        <f>IF(AND($F52&lt;=AS$2, OR($G52="",$G52&gt;=AS$2)),
  $H52 * (1 + Assumptions!$C$7) ^ INT(((YEAR(AS$2)-YEAR($F52))*12 + MONTH(AS$2)-MONTH($F52)) / 12),
  0)</f>
        <v/>
      </c>
      <c r="AT52" s="299">
        <f>IF(AND($F52&lt;=AT$2, OR($G52="",$G52&gt;=AT$2)),
  $H52 * (1 + Assumptions!$C$7) ^ INT(((YEAR(AT$2)-YEAR($F52))*12 + MONTH(AT$2)-MONTH($F52)) / 12),
  0)</f>
        <v/>
      </c>
      <c r="AU52" s="299">
        <f>IF(AND($F52&lt;=AU$2, OR($G52="",$G52&gt;=AU$2)),
  $H52 * (1 + Assumptions!$C$7) ^ INT(((YEAR(AU$2)-YEAR($F52))*12 + MONTH(AU$2)-MONTH($F52)) / 12),
  0)</f>
        <v/>
      </c>
      <c r="AV52" s="299">
        <f>IF(AND($F52&lt;=AV$2, OR($G52="",$G52&gt;=AV$2)),
  $H52 * (1 + Assumptions!$C$7) ^ INT(((YEAR(AV$2)-YEAR($F52))*12 + MONTH(AV$2)-MONTH($F52)) / 12),
  0)</f>
        <v/>
      </c>
      <c r="AW52" s="299">
        <f>IF(AND($F52&lt;=AW$2, OR($G52="",$G52&gt;=AW$2)),
  $H52 * (1 + Assumptions!$C$7) ^ INT(((YEAR(AW$2)-YEAR($F52))*12 + MONTH(AW$2)-MONTH($F52)) / 12),
  0)</f>
        <v/>
      </c>
      <c r="AX52" s="299">
        <f>IF(AND($F52&lt;=AX$2, OR($G52="",$G52&gt;=AX$2)),
  $H52 * (1 + Assumptions!$C$7) ^ INT(((YEAR(AX$2)-YEAR($F52))*12 + MONTH(AX$2)-MONTH($F52)) / 12),
  0)</f>
        <v/>
      </c>
      <c r="AY52" s="299">
        <f>IF(AND($F52&lt;=AY$2, OR($G52="",$G52&gt;=AY$2)),
  $H52 * (1 + Assumptions!$C$7) ^ INT(((YEAR(AY$2)-YEAR($F52))*12 + MONTH(AY$2)-MONTH($F52)) / 12),
  0)</f>
        <v/>
      </c>
      <c r="AZ52" s="299">
        <f>IF(AND($F52&lt;=AZ$2, OR($G52="",$G52&gt;=AZ$2)),
  $H52 * (1 + Assumptions!$C$7) ^ INT(((YEAR(AZ$2)-YEAR($F52))*12 + MONTH(AZ$2)-MONTH($F52)) / 12),
  0)</f>
        <v/>
      </c>
      <c r="BA52" s="299">
        <f>IF(AND($F52&lt;=BA$2, OR($G52="",$G52&gt;=BA$2)),
  $H52 * (1 + Assumptions!$C$7) ^ INT(((YEAR(BA$2)-YEAR($F52))*12 + MONTH(BA$2)-MONTH($F52)) / 12),
  0)</f>
        <v/>
      </c>
      <c r="BB52" s="299">
        <f>IF(AND($F52&lt;=BB$2, OR($G52="",$G52&gt;=BB$2)),
  $H52 * (1 + Assumptions!$C$7) ^ INT(((YEAR(BB$2)-YEAR($F52))*12 + MONTH(BB$2)-MONTH($F52)) / 12),
  0)</f>
        <v/>
      </c>
      <c r="BC52" s="299">
        <f>IF(AND($F52&lt;=BC$2, OR($G52="",$G52&gt;=BC$2)),
  $H52 * (1 + Assumptions!$C$7) ^ INT(((YEAR(BC$2)-YEAR($F52))*12 + MONTH(BC$2)-MONTH($F52)) / 12),
  0)</f>
        <v/>
      </c>
      <c r="BD52" s="299">
        <f>IF(AND($F52&lt;=BD$2, OR($G52="",$G52&gt;=BD$2)),
  $H52 * (1 + Assumptions!$C$7) ^ INT(((YEAR(BD$2)-YEAR($F52))*12 + MONTH(BD$2)-MONTH($F52)) / 12),
  0)</f>
        <v/>
      </c>
      <c r="BE52" s="299">
        <f>IF(AND($F52&lt;=BE$2, OR($G52="",$G52&gt;=BE$2)),
  $H52 * (1 + Assumptions!$C$7) ^ INT(((YEAR(BE$2)-YEAR($F52))*12 + MONTH(BE$2)-MONTH($F52)) / 12),
  0)</f>
        <v/>
      </c>
      <c r="BF52" s="299">
        <f>IF(AND($F52&lt;=BF$2, OR($G52="",$G52&gt;=BF$2)),
  $H52 * (1 + Assumptions!$C$7) ^ INT(((YEAR(BF$2)-YEAR($F52))*12 + MONTH(BF$2)-MONTH($F52)) / 12),
  0)</f>
        <v/>
      </c>
      <c r="BG52" s="299">
        <f>IF(AND($F52&lt;=BG$2, OR($G52="",$G52&gt;=BG$2)),
  $H52 * (1 + Assumptions!$C$7) ^ INT(((YEAR(BG$2)-YEAR($F52))*12 + MONTH(BG$2)-MONTH($F52)) / 12),
  0)</f>
        <v/>
      </c>
      <c r="BH52" s="299">
        <f>IF(AND($F52&lt;=BH$2, OR($G52="",$G52&gt;=BH$2)),
  $H52 * (1 + Assumptions!$C$7) ^ INT(((YEAR(BH$2)-YEAR($F52))*12 + MONTH(BH$2)-MONTH($F52)) / 12),
  0)</f>
        <v/>
      </c>
      <c r="BI52" s="299">
        <f>IF(AND($F52&lt;=BI$2, OR($G52="",$G52&gt;=BI$2)),
  $H52 * (1 + Assumptions!$C$7) ^ INT(((YEAR(BI$2)-YEAR($F52))*12 + MONTH(BI$2)-MONTH($F52)) / 12),
  0)</f>
        <v/>
      </c>
      <c r="BJ52" s="299">
        <f>IF(AND($F52&lt;=BJ$2, OR($G52="",$G52&gt;=BJ$2)),
  $H52 * (1 + Assumptions!$C$7) ^ INT(((YEAR(BJ$2)-YEAR($F52))*12 + MONTH(BJ$2)-MONTH($F52)) / 12),
  0)</f>
        <v/>
      </c>
      <c r="BK52" s="299">
        <f>IF(AND($F52&lt;=BK$2, OR($G52="",$G52&gt;=BK$2)),
  $H52 * (1 + Assumptions!$C$7) ^ INT(((YEAR(BK$2)-YEAR($F52))*12 + MONTH(BK$2)-MONTH($F52)) / 12),
  0)</f>
        <v/>
      </c>
      <c r="BL52" s="299">
        <f>IF(AND($F52&lt;=BL$2, OR($G52="",$G52&gt;=BL$2)),
  $H52 * (1 + Assumptions!$C$7) ^ INT(((YEAR(BL$2)-YEAR($F52))*12 + MONTH(BL$2)-MONTH($F52)) / 12),
  0)</f>
        <v/>
      </c>
      <c r="BM52" s="299">
        <f>IF(AND($F52&lt;=BM$2, OR($G52="",$G52&gt;=BM$2)),
  $H52 * (1 + Assumptions!$C$7) ^ INT(((YEAR(BM$2)-YEAR($F52))*12 + MONTH(BM$2)-MONTH($F52)) / 12),
  0)</f>
        <v/>
      </c>
      <c r="BN52" s="299">
        <f>IF(AND($F52&lt;=BN$2, OR($G52="",$G52&gt;=BN$2)),
  $H52 * (1 + Assumptions!$C$7) ^ INT(((YEAR(BN$2)-YEAR($F52))*12 + MONTH(BN$2)-MONTH($F52)) / 12),
  0)</f>
        <v/>
      </c>
      <c r="BO52" s="299">
        <f>IF(AND($F52&lt;=BO$2, OR($G52="",$G52&gt;=BO$2)),
  $H52 * (1 + Assumptions!$C$7) ^ INT(((YEAR(BO$2)-YEAR($F52))*12 + MONTH(BO$2)-MONTH($F52)) / 12),
  0)</f>
        <v/>
      </c>
      <c r="BP52" s="299">
        <f>IF(AND($F52&lt;=BP$2, OR($G52="",$G52&gt;=BP$2)),
  $H52 * (1 + Assumptions!$C$7) ^ INT(((YEAR(BP$2)-YEAR($F52))*12 + MONTH(BP$2)-MONTH($F52)) / 12),
  0)</f>
        <v/>
      </c>
      <c r="BQ52" s="307" t="n"/>
      <c r="BR52" s="83" t="inlineStr">
        <is>
          <t>paid this month if started and not yet left; +8% on each work anniversary</t>
        </is>
      </c>
      <c r="BS52" s="307" t="n"/>
      <c r="BT52" s="307" t="n"/>
    </row>
    <row r="53" ht="15.75" customHeight="1" s="349">
      <c r="A53" s="321" t="n">
        <v>48</v>
      </c>
      <c r="B53" s="285" t="inlineStr">
        <is>
          <t>New hire</t>
        </is>
      </c>
      <c r="C53" s="285" t="inlineStr">
        <is>
          <t>R&amp;D</t>
        </is>
      </c>
      <c r="D53" s="285" t="inlineStr">
        <is>
          <t>Field Engineer</t>
        </is>
      </c>
      <c r="E53" s="297" t="inlineStr">
        <is>
          <t>Planned</t>
        </is>
      </c>
      <c r="F53" s="318" t="n">
        <v>47273</v>
      </c>
      <c r="G53" s="298" t="n"/>
      <c r="H53" s="288" t="n">
        <v>6500</v>
      </c>
      <c r="I53" s="299">
        <f>IF(AND($F53&lt;=I$2, OR($G53="",$G53&gt;=I$2)),
  $H53 * (1 + Assumptions!$C$7) ^ INT(((YEAR(I$2)-YEAR($F53))*12 + MONTH(I$2)-MONTH($F53)) / 12),
  0)</f>
        <v/>
      </c>
      <c r="J53" s="299">
        <f>IF(AND($F53&lt;=J$2, OR($G53="",$G53&gt;=J$2)),
  $H53 * (1 + Assumptions!$C$7) ^ INT(((YEAR(J$2)-YEAR($F53))*12 + MONTH(J$2)-MONTH($F53)) / 12),
  0)</f>
        <v/>
      </c>
      <c r="K53" s="299">
        <f>IF(AND($F53&lt;=K$2, OR($G53="",$G53&gt;=K$2)),
  $H53 * (1 + Assumptions!$C$7) ^ INT(((YEAR(K$2)-YEAR($F53))*12 + MONTH(K$2)-MONTH($F53)) / 12),
  0)</f>
        <v/>
      </c>
      <c r="L53" s="299">
        <f>IF(AND($F53&lt;=L$2, OR($G53="",$G53&gt;=L$2)),
  $H53 * (1 + Assumptions!$C$7) ^ INT(((YEAR(L$2)-YEAR($F53))*12 + MONTH(L$2)-MONTH($F53)) / 12),
  0)</f>
        <v/>
      </c>
      <c r="M53" s="299">
        <f>IF(AND($F53&lt;=M$2, OR($G53="",$G53&gt;=M$2)),
  $H53 * (1 + Assumptions!$C$7) ^ INT(((YEAR(M$2)-YEAR($F53))*12 + MONTH(M$2)-MONTH($F53)) / 12),
  0)</f>
        <v/>
      </c>
      <c r="N53" s="299">
        <f>IF(AND($F53&lt;=N$2, OR($G53="",$G53&gt;=N$2)),
  $H53 * (1 + Assumptions!$C$7) ^ INT(((YEAR(N$2)-YEAR($F53))*12 + MONTH(N$2)-MONTH($F53)) / 12),
  0)</f>
        <v/>
      </c>
      <c r="O53" s="299">
        <f>IF(AND($F53&lt;=O$2, OR($G53="",$G53&gt;=O$2)),
  $H53 * (1 + Assumptions!$C$7) ^ INT(((YEAR(O$2)-YEAR($F53))*12 + MONTH(O$2)-MONTH($F53)) / 12),
  0)</f>
        <v/>
      </c>
      <c r="P53" s="299">
        <f>IF(AND($F53&lt;=P$2, OR($G53="",$G53&gt;=P$2)),
  $H53 * (1 + Assumptions!$C$7) ^ INT(((YEAR(P$2)-YEAR($F53))*12 + MONTH(P$2)-MONTH($F53)) / 12),
  0)</f>
        <v/>
      </c>
      <c r="Q53" s="299">
        <f>IF(AND($F53&lt;=Q$2, OR($G53="",$G53&gt;=Q$2)),
  $H53 * (1 + Assumptions!$C$7) ^ INT(((YEAR(Q$2)-YEAR($F53))*12 + MONTH(Q$2)-MONTH($F53)) / 12),
  0)</f>
        <v/>
      </c>
      <c r="R53" s="299">
        <f>IF(AND($F53&lt;=R$2, OR($G53="",$G53&gt;=R$2)),
  $H53 * (1 + Assumptions!$C$7) ^ INT(((YEAR(R$2)-YEAR($F53))*12 + MONTH(R$2)-MONTH($F53)) / 12),
  0)</f>
        <v/>
      </c>
      <c r="S53" s="299">
        <f>IF(AND($F53&lt;=S$2, OR($G53="",$G53&gt;=S$2)),
  $H53 * (1 + Assumptions!$C$7) ^ INT(((YEAR(S$2)-YEAR($F53))*12 + MONTH(S$2)-MONTH($F53)) / 12),
  0)</f>
        <v/>
      </c>
      <c r="T53" s="299">
        <f>IF(AND($F53&lt;=T$2, OR($G53="",$G53&gt;=T$2)),
  $H53 * (1 + Assumptions!$C$7) ^ INT(((YEAR(T$2)-YEAR($F53))*12 + MONTH(T$2)-MONTH($F53)) / 12),
  0)</f>
        <v/>
      </c>
      <c r="U53" s="299">
        <f>IF(AND($F53&lt;=U$2, OR($G53="",$G53&gt;=U$2)),
  $H53 * (1 + Assumptions!$C$7) ^ INT(((YEAR(U$2)-YEAR($F53))*12 + MONTH(U$2)-MONTH($F53)) / 12),
  0)</f>
        <v/>
      </c>
      <c r="V53" s="299">
        <f>IF(AND($F53&lt;=V$2, OR($G53="",$G53&gt;=V$2)),
  $H53 * (1 + Assumptions!$C$7) ^ INT(((YEAR(V$2)-YEAR($F53))*12 + MONTH(V$2)-MONTH($F53)) / 12),
  0)</f>
        <v/>
      </c>
      <c r="W53" s="299">
        <f>IF(AND($F53&lt;=W$2, OR($G53="",$G53&gt;=W$2)),
  $H53 * (1 + Assumptions!$C$7) ^ INT(((YEAR(W$2)-YEAR($F53))*12 + MONTH(W$2)-MONTH($F53)) / 12),
  0)</f>
        <v/>
      </c>
      <c r="X53" s="299">
        <f>IF(AND($F53&lt;=X$2, OR($G53="",$G53&gt;=X$2)),
  $H53 * (1 + Assumptions!$C$7) ^ INT(((YEAR(X$2)-YEAR($F53))*12 + MONTH(X$2)-MONTH($F53)) / 12),
  0)</f>
        <v/>
      </c>
      <c r="Y53" s="299">
        <f>IF(AND($F53&lt;=Y$2, OR($G53="",$G53&gt;=Y$2)),
  $H53 * (1 + Assumptions!$C$7) ^ INT(((YEAR(Y$2)-YEAR($F53))*12 + MONTH(Y$2)-MONTH($F53)) / 12),
  0)</f>
        <v/>
      </c>
      <c r="Z53" s="299">
        <f>IF(AND($F53&lt;=Z$2, OR($G53="",$G53&gt;=Z$2)),
  $H53 * (1 + Assumptions!$C$7) ^ INT(((YEAR(Z$2)-YEAR($F53))*12 + MONTH(Z$2)-MONTH($F53)) / 12),
  0)</f>
        <v/>
      </c>
      <c r="AA53" s="299">
        <f>IF(AND($F53&lt;=AA$2, OR($G53="",$G53&gt;=AA$2)),
  $H53 * (1 + Assumptions!$C$7) ^ INT(((YEAR(AA$2)-YEAR($F53))*12 + MONTH(AA$2)-MONTH($F53)) / 12),
  0)</f>
        <v/>
      </c>
      <c r="AB53" s="299">
        <f>IF(AND($F53&lt;=AB$2, OR($G53="",$G53&gt;=AB$2)),
  $H53 * (1 + Assumptions!$C$7) ^ INT(((YEAR(AB$2)-YEAR($F53))*12 + MONTH(AB$2)-MONTH($F53)) / 12),
  0)</f>
        <v/>
      </c>
      <c r="AC53" s="299">
        <f>IF(AND($F53&lt;=AC$2, OR($G53="",$G53&gt;=AC$2)),
  $H53 * (1 + Assumptions!$C$7) ^ INT(((YEAR(AC$2)-YEAR($F53))*12 + MONTH(AC$2)-MONTH($F53)) / 12),
  0)</f>
        <v/>
      </c>
      <c r="AD53" s="299">
        <f>IF(AND($F53&lt;=AD$2, OR($G53="",$G53&gt;=AD$2)),
  $H53 * (1 + Assumptions!$C$7) ^ INT(((YEAR(AD$2)-YEAR($F53))*12 + MONTH(AD$2)-MONTH($F53)) / 12),
  0)</f>
        <v/>
      </c>
      <c r="AE53" s="299">
        <f>IF(AND($F53&lt;=AE$2, OR($G53="",$G53&gt;=AE$2)),
  $H53 * (1 + Assumptions!$C$7) ^ INT(((YEAR(AE$2)-YEAR($F53))*12 + MONTH(AE$2)-MONTH($F53)) / 12),
  0)</f>
        <v/>
      </c>
      <c r="AF53" s="299">
        <f>IF(AND($F53&lt;=AF$2, OR($G53="",$G53&gt;=AF$2)),
  $H53 * (1 + Assumptions!$C$7) ^ INT(((YEAR(AF$2)-YEAR($F53))*12 + MONTH(AF$2)-MONTH($F53)) / 12),
  0)</f>
        <v/>
      </c>
      <c r="AG53" s="299">
        <f>IF(AND($F53&lt;=AG$2, OR($G53="",$G53&gt;=AG$2)),
  $H53 * (1 + Assumptions!$C$7) ^ INT(((YEAR(AG$2)-YEAR($F53))*12 + MONTH(AG$2)-MONTH($F53)) / 12),
  0)</f>
        <v/>
      </c>
      <c r="AH53" s="299">
        <f>IF(AND($F53&lt;=AH$2, OR($G53="",$G53&gt;=AH$2)),
  $H53 * (1 + Assumptions!$C$7) ^ INT(((YEAR(AH$2)-YEAR($F53))*12 + MONTH(AH$2)-MONTH($F53)) / 12),
  0)</f>
        <v/>
      </c>
      <c r="AI53" s="299">
        <f>IF(AND($F53&lt;=AI$2, OR($G53="",$G53&gt;=AI$2)),
  $H53 * (1 + Assumptions!$C$7) ^ INT(((YEAR(AI$2)-YEAR($F53))*12 + MONTH(AI$2)-MONTH($F53)) / 12),
  0)</f>
        <v/>
      </c>
      <c r="AJ53" s="299">
        <f>IF(AND($F53&lt;=AJ$2, OR($G53="",$G53&gt;=AJ$2)),
  $H53 * (1 + Assumptions!$C$7) ^ INT(((YEAR(AJ$2)-YEAR($F53))*12 + MONTH(AJ$2)-MONTH($F53)) / 12),
  0)</f>
        <v/>
      </c>
      <c r="AK53" s="299">
        <f>IF(AND($F53&lt;=AK$2, OR($G53="",$G53&gt;=AK$2)),
  $H53 * (1 + Assumptions!$C$7) ^ INT(((YEAR(AK$2)-YEAR($F53))*12 + MONTH(AK$2)-MONTH($F53)) / 12),
  0)</f>
        <v/>
      </c>
      <c r="AL53" s="299">
        <f>IF(AND($F53&lt;=AL$2, OR($G53="",$G53&gt;=AL$2)),
  $H53 * (1 + Assumptions!$C$7) ^ INT(((YEAR(AL$2)-YEAR($F53))*12 + MONTH(AL$2)-MONTH($F53)) / 12),
  0)</f>
        <v/>
      </c>
      <c r="AM53" s="299">
        <f>IF(AND($F53&lt;=AM$2, OR($G53="",$G53&gt;=AM$2)),
  $H53 * (1 + Assumptions!$C$7) ^ INT(((YEAR(AM$2)-YEAR($F53))*12 + MONTH(AM$2)-MONTH($F53)) / 12),
  0)</f>
        <v/>
      </c>
      <c r="AN53" s="299">
        <f>IF(AND($F53&lt;=AN$2, OR($G53="",$G53&gt;=AN$2)),
  $H53 * (1 + Assumptions!$C$7) ^ INT(((YEAR(AN$2)-YEAR($F53))*12 + MONTH(AN$2)-MONTH($F53)) / 12),
  0)</f>
        <v/>
      </c>
      <c r="AO53" s="299">
        <f>IF(AND($F53&lt;=AO$2, OR($G53="",$G53&gt;=AO$2)),
  $H53 * (1 + Assumptions!$C$7) ^ INT(((YEAR(AO$2)-YEAR($F53))*12 + MONTH(AO$2)-MONTH($F53)) / 12),
  0)</f>
        <v/>
      </c>
      <c r="AP53" s="299">
        <f>IF(AND($F53&lt;=AP$2, OR($G53="",$G53&gt;=AP$2)),
  $H53 * (1 + Assumptions!$C$7) ^ INT(((YEAR(AP$2)-YEAR($F53))*12 + MONTH(AP$2)-MONTH($F53)) / 12),
  0)</f>
        <v/>
      </c>
      <c r="AQ53" s="299">
        <f>IF(AND($F53&lt;=AQ$2, OR($G53="",$G53&gt;=AQ$2)),
  $H53 * (1 + Assumptions!$C$7) ^ INT(((YEAR(AQ$2)-YEAR($F53))*12 + MONTH(AQ$2)-MONTH($F53)) / 12),
  0)</f>
        <v/>
      </c>
      <c r="AR53" s="299">
        <f>IF(AND($F53&lt;=AR$2, OR($G53="",$G53&gt;=AR$2)),
  $H53 * (1 + Assumptions!$C$7) ^ INT(((YEAR(AR$2)-YEAR($F53))*12 + MONTH(AR$2)-MONTH($F53)) / 12),
  0)</f>
        <v/>
      </c>
      <c r="AS53" s="299">
        <f>IF(AND($F53&lt;=AS$2, OR($G53="",$G53&gt;=AS$2)),
  $H53 * (1 + Assumptions!$C$7) ^ INT(((YEAR(AS$2)-YEAR($F53))*12 + MONTH(AS$2)-MONTH($F53)) / 12),
  0)</f>
        <v/>
      </c>
      <c r="AT53" s="299">
        <f>IF(AND($F53&lt;=AT$2, OR($G53="",$G53&gt;=AT$2)),
  $H53 * (1 + Assumptions!$C$7) ^ INT(((YEAR(AT$2)-YEAR($F53))*12 + MONTH(AT$2)-MONTH($F53)) / 12),
  0)</f>
        <v/>
      </c>
      <c r="AU53" s="299">
        <f>IF(AND($F53&lt;=AU$2, OR($G53="",$G53&gt;=AU$2)),
  $H53 * (1 + Assumptions!$C$7) ^ INT(((YEAR(AU$2)-YEAR($F53))*12 + MONTH(AU$2)-MONTH($F53)) / 12),
  0)</f>
        <v/>
      </c>
      <c r="AV53" s="299">
        <f>IF(AND($F53&lt;=AV$2, OR($G53="",$G53&gt;=AV$2)),
  $H53 * (1 + Assumptions!$C$7) ^ INT(((YEAR(AV$2)-YEAR($F53))*12 + MONTH(AV$2)-MONTH($F53)) / 12),
  0)</f>
        <v/>
      </c>
      <c r="AW53" s="299">
        <f>IF(AND($F53&lt;=AW$2, OR($G53="",$G53&gt;=AW$2)),
  $H53 * (1 + Assumptions!$C$7) ^ INT(((YEAR(AW$2)-YEAR($F53))*12 + MONTH(AW$2)-MONTH($F53)) / 12),
  0)</f>
        <v/>
      </c>
      <c r="AX53" s="299">
        <f>IF(AND($F53&lt;=AX$2, OR($G53="",$G53&gt;=AX$2)),
  $H53 * (1 + Assumptions!$C$7) ^ INT(((YEAR(AX$2)-YEAR($F53))*12 + MONTH(AX$2)-MONTH($F53)) / 12),
  0)</f>
        <v/>
      </c>
      <c r="AY53" s="299">
        <f>IF(AND($F53&lt;=AY$2, OR($G53="",$G53&gt;=AY$2)),
  $H53 * (1 + Assumptions!$C$7) ^ INT(((YEAR(AY$2)-YEAR($F53))*12 + MONTH(AY$2)-MONTH($F53)) / 12),
  0)</f>
        <v/>
      </c>
      <c r="AZ53" s="299">
        <f>IF(AND($F53&lt;=AZ$2, OR($G53="",$G53&gt;=AZ$2)),
  $H53 * (1 + Assumptions!$C$7) ^ INT(((YEAR(AZ$2)-YEAR($F53))*12 + MONTH(AZ$2)-MONTH($F53)) / 12),
  0)</f>
        <v/>
      </c>
      <c r="BA53" s="299">
        <f>IF(AND($F53&lt;=BA$2, OR($G53="",$G53&gt;=BA$2)),
  $H53 * (1 + Assumptions!$C$7) ^ INT(((YEAR(BA$2)-YEAR($F53))*12 + MONTH(BA$2)-MONTH($F53)) / 12),
  0)</f>
        <v/>
      </c>
      <c r="BB53" s="299">
        <f>IF(AND($F53&lt;=BB$2, OR($G53="",$G53&gt;=BB$2)),
  $H53 * (1 + Assumptions!$C$7) ^ INT(((YEAR(BB$2)-YEAR($F53))*12 + MONTH(BB$2)-MONTH($F53)) / 12),
  0)</f>
        <v/>
      </c>
      <c r="BC53" s="299">
        <f>IF(AND($F53&lt;=BC$2, OR($G53="",$G53&gt;=BC$2)),
  $H53 * (1 + Assumptions!$C$7) ^ INT(((YEAR(BC$2)-YEAR($F53))*12 + MONTH(BC$2)-MONTH($F53)) / 12),
  0)</f>
        <v/>
      </c>
      <c r="BD53" s="299">
        <f>IF(AND($F53&lt;=BD$2, OR($G53="",$G53&gt;=BD$2)),
  $H53 * (1 + Assumptions!$C$7) ^ INT(((YEAR(BD$2)-YEAR($F53))*12 + MONTH(BD$2)-MONTH($F53)) / 12),
  0)</f>
        <v/>
      </c>
      <c r="BE53" s="299">
        <f>IF(AND($F53&lt;=BE$2, OR($G53="",$G53&gt;=BE$2)),
  $H53 * (1 + Assumptions!$C$7) ^ INT(((YEAR(BE$2)-YEAR($F53))*12 + MONTH(BE$2)-MONTH($F53)) / 12),
  0)</f>
        <v/>
      </c>
      <c r="BF53" s="299">
        <f>IF(AND($F53&lt;=BF$2, OR($G53="",$G53&gt;=BF$2)),
  $H53 * (1 + Assumptions!$C$7) ^ INT(((YEAR(BF$2)-YEAR($F53))*12 + MONTH(BF$2)-MONTH($F53)) / 12),
  0)</f>
        <v/>
      </c>
      <c r="BG53" s="299">
        <f>IF(AND($F53&lt;=BG$2, OR($G53="",$G53&gt;=BG$2)),
  $H53 * (1 + Assumptions!$C$7) ^ INT(((YEAR(BG$2)-YEAR($F53))*12 + MONTH(BG$2)-MONTH($F53)) / 12),
  0)</f>
        <v/>
      </c>
      <c r="BH53" s="299">
        <f>IF(AND($F53&lt;=BH$2, OR($G53="",$G53&gt;=BH$2)),
  $H53 * (1 + Assumptions!$C$7) ^ INT(((YEAR(BH$2)-YEAR($F53))*12 + MONTH(BH$2)-MONTH($F53)) / 12),
  0)</f>
        <v/>
      </c>
      <c r="BI53" s="299">
        <f>IF(AND($F53&lt;=BI$2, OR($G53="",$G53&gt;=BI$2)),
  $H53 * (1 + Assumptions!$C$7) ^ INT(((YEAR(BI$2)-YEAR($F53))*12 + MONTH(BI$2)-MONTH($F53)) / 12),
  0)</f>
        <v/>
      </c>
      <c r="BJ53" s="299">
        <f>IF(AND($F53&lt;=BJ$2, OR($G53="",$G53&gt;=BJ$2)),
  $H53 * (1 + Assumptions!$C$7) ^ INT(((YEAR(BJ$2)-YEAR($F53))*12 + MONTH(BJ$2)-MONTH($F53)) / 12),
  0)</f>
        <v/>
      </c>
      <c r="BK53" s="299">
        <f>IF(AND($F53&lt;=BK$2, OR($G53="",$G53&gt;=BK$2)),
  $H53 * (1 + Assumptions!$C$7) ^ INT(((YEAR(BK$2)-YEAR($F53))*12 + MONTH(BK$2)-MONTH($F53)) / 12),
  0)</f>
        <v/>
      </c>
      <c r="BL53" s="299">
        <f>IF(AND($F53&lt;=BL$2, OR($G53="",$G53&gt;=BL$2)),
  $H53 * (1 + Assumptions!$C$7) ^ INT(((YEAR(BL$2)-YEAR($F53))*12 + MONTH(BL$2)-MONTH($F53)) / 12),
  0)</f>
        <v/>
      </c>
      <c r="BM53" s="299">
        <f>IF(AND($F53&lt;=BM$2, OR($G53="",$G53&gt;=BM$2)),
  $H53 * (1 + Assumptions!$C$7) ^ INT(((YEAR(BM$2)-YEAR($F53))*12 + MONTH(BM$2)-MONTH($F53)) / 12),
  0)</f>
        <v/>
      </c>
      <c r="BN53" s="299">
        <f>IF(AND($F53&lt;=BN$2, OR($G53="",$G53&gt;=BN$2)),
  $H53 * (1 + Assumptions!$C$7) ^ INT(((YEAR(BN$2)-YEAR($F53))*12 + MONTH(BN$2)-MONTH($F53)) / 12),
  0)</f>
        <v/>
      </c>
      <c r="BO53" s="299">
        <f>IF(AND($F53&lt;=BO$2, OR($G53="",$G53&gt;=BO$2)),
  $H53 * (1 + Assumptions!$C$7) ^ INT(((YEAR(BO$2)-YEAR($F53))*12 + MONTH(BO$2)-MONTH($F53)) / 12),
  0)</f>
        <v/>
      </c>
      <c r="BP53" s="299">
        <f>IF(AND($F53&lt;=BP$2, OR($G53="",$G53&gt;=BP$2)),
  $H53 * (1 + Assumptions!$C$7) ^ INT(((YEAR(BP$2)-YEAR($F53))*12 + MONTH(BP$2)-MONTH($F53)) / 12),
  0)</f>
        <v/>
      </c>
      <c r="BQ53" s="307" t="n"/>
      <c r="BR53" s="83" t="inlineStr">
        <is>
          <t>paid this month if started and not yet left; +8% on each work anniversary</t>
        </is>
      </c>
      <c r="BS53" s="307" t="n"/>
      <c r="BT53" s="307" t="n"/>
    </row>
    <row r="54" ht="15.75" customHeight="1" s="349">
      <c r="A54" s="321" t="n">
        <v>49</v>
      </c>
      <c r="B54" s="285" t="inlineStr">
        <is>
          <t>New hire</t>
        </is>
      </c>
      <c r="C54" s="23" t="inlineStr">
        <is>
          <t>S&amp;M</t>
        </is>
      </c>
      <c r="D54" s="321" t="inlineStr">
        <is>
          <t>Account Manager</t>
        </is>
      </c>
      <c r="E54" s="297" t="inlineStr">
        <is>
          <t>Planned</t>
        </is>
      </c>
      <c r="F54" s="318" t="n">
        <v>47392</v>
      </c>
      <c r="G54" s="319" t="n"/>
      <c r="H54" s="288" t="n">
        <v>8000</v>
      </c>
      <c r="I54" s="299">
        <f>IF(AND($F54&lt;=I$2, OR($G54="",$G54&gt;=I$2)),
  $H54 * (1 + Assumptions!$C$7) ^ INT(((YEAR(I$2)-YEAR($F54))*12 + MONTH(I$2)-MONTH($F54)) / 12),
  0)</f>
        <v/>
      </c>
      <c r="J54" s="299">
        <f>IF(AND($F54&lt;=J$2, OR($G54="",$G54&gt;=J$2)),
  $H54 * (1 + Assumptions!$C$7) ^ INT(((YEAR(J$2)-YEAR($F54))*12 + MONTH(J$2)-MONTH($F54)) / 12),
  0)</f>
        <v/>
      </c>
      <c r="K54" s="299">
        <f>IF(AND($F54&lt;=K$2, OR($G54="",$G54&gt;=K$2)),
  $H54 * (1 + Assumptions!$C$7) ^ INT(((YEAR(K$2)-YEAR($F54))*12 + MONTH(K$2)-MONTH($F54)) / 12),
  0)</f>
        <v/>
      </c>
      <c r="L54" s="299">
        <f>IF(AND($F54&lt;=L$2, OR($G54="",$G54&gt;=L$2)),
  $H54 * (1 + Assumptions!$C$7) ^ INT(((YEAR(L$2)-YEAR($F54))*12 + MONTH(L$2)-MONTH($F54)) / 12),
  0)</f>
        <v/>
      </c>
      <c r="M54" s="299">
        <f>IF(AND($F54&lt;=M$2, OR($G54="",$G54&gt;=M$2)),
  $H54 * (1 + Assumptions!$C$7) ^ INT(((YEAR(M$2)-YEAR($F54))*12 + MONTH(M$2)-MONTH($F54)) / 12),
  0)</f>
        <v/>
      </c>
      <c r="N54" s="299">
        <f>IF(AND($F54&lt;=N$2, OR($G54="",$G54&gt;=N$2)),
  $H54 * (1 + Assumptions!$C$7) ^ INT(((YEAR(N$2)-YEAR($F54))*12 + MONTH(N$2)-MONTH($F54)) / 12),
  0)</f>
        <v/>
      </c>
      <c r="O54" s="299">
        <f>IF(AND($F54&lt;=O$2, OR($G54="",$G54&gt;=O$2)),
  $H54 * (1 + Assumptions!$C$7) ^ INT(((YEAR(O$2)-YEAR($F54))*12 + MONTH(O$2)-MONTH($F54)) / 12),
  0)</f>
        <v/>
      </c>
      <c r="P54" s="299">
        <f>IF(AND($F54&lt;=P$2, OR($G54="",$G54&gt;=P$2)),
  $H54 * (1 + Assumptions!$C$7) ^ INT(((YEAR(P$2)-YEAR($F54))*12 + MONTH(P$2)-MONTH($F54)) / 12),
  0)</f>
        <v/>
      </c>
      <c r="Q54" s="299">
        <f>IF(AND($F54&lt;=Q$2, OR($G54="",$G54&gt;=Q$2)),
  $H54 * (1 + Assumptions!$C$7) ^ INT(((YEAR(Q$2)-YEAR($F54))*12 + MONTH(Q$2)-MONTH($F54)) / 12),
  0)</f>
        <v/>
      </c>
      <c r="R54" s="299">
        <f>IF(AND($F54&lt;=R$2, OR($G54="",$G54&gt;=R$2)),
  $H54 * (1 + Assumptions!$C$7) ^ INT(((YEAR(R$2)-YEAR($F54))*12 + MONTH(R$2)-MONTH($F54)) / 12),
  0)</f>
        <v/>
      </c>
      <c r="S54" s="299">
        <f>IF(AND($F54&lt;=S$2, OR($G54="",$G54&gt;=S$2)),
  $H54 * (1 + Assumptions!$C$7) ^ INT(((YEAR(S$2)-YEAR($F54))*12 + MONTH(S$2)-MONTH($F54)) / 12),
  0)</f>
        <v/>
      </c>
      <c r="T54" s="299">
        <f>IF(AND($F54&lt;=T$2, OR($G54="",$G54&gt;=T$2)),
  $H54 * (1 + Assumptions!$C$7) ^ INT(((YEAR(T$2)-YEAR($F54))*12 + MONTH(T$2)-MONTH($F54)) / 12),
  0)</f>
        <v/>
      </c>
      <c r="U54" s="299">
        <f>IF(AND($F54&lt;=U$2, OR($G54="",$G54&gt;=U$2)),
  $H54 * (1 + Assumptions!$C$7) ^ INT(((YEAR(U$2)-YEAR($F54))*12 + MONTH(U$2)-MONTH($F54)) / 12),
  0)</f>
        <v/>
      </c>
      <c r="V54" s="299">
        <f>IF(AND($F54&lt;=V$2, OR($G54="",$G54&gt;=V$2)),
  $H54 * (1 + Assumptions!$C$7) ^ INT(((YEAR(V$2)-YEAR($F54))*12 + MONTH(V$2)-MONTH($F54)) / 12),
  0)</f>
        <v/>
      </c>
      <c r="W54" s="299">
        <f>IF(AND($F54&lt;=W$2, OR($G54="",$G54&gt;=W$2)),
  $H54 * (1 + Assumptions!$C$7) ^ INT(((YEAR(W$2)-YEAR($F54))*12 + MONTH(W$2)-MONTH($F54)) / 12),
  0)</f>
        <v/>
      </c>
      <c r="X54" s="299">
        <f>IF(AND($F54&lt;=X$2, OR($G54="",$G54&gt;=X$2)),
  $H54 * (1 + Assumptions!$C$7) ^ INT(((YEAR(X$2)-YEAR($F54))*12 + MONTH(X$2)-MONTH($F54)) / 12),
  0)</f>
        <v/>
      </c>
      <c r="Y54" s="299">
        <f>IF(AND($F54&lt;=Y$2, OR($G54="",$G54&gt;=Y$2)),
  $H54 * (1 + Assumptions!$C$7) ^ INT(((YEAR(Y$2)-YEAR($F54))*12 + MONTH(Y$2)-MONTH($F54)) / 12),
  0)</f>
        <v/>
      </c>
      <c r="Z54" s="299">
        <f>IF(AND($F54&lt;=Z$2, OR($G54="",$G54&gt;=Z$2)),
  $H54 * (1 + Assumptions!$C$7) ^ INT(((YEAR(Z$2)-YEAR($F54))*12 + MONTH(Z$2)-MONTH($F54)) / 12),
  0)</f>
        <v/>
      </c>
      <c r="AA54" s="299">
        <f>IF(AND($F54&lt;=AA$2, OR($G54="",$G54&gt;=AA$2)),
  $H54 * (1 + Assumptions!$C$7) ^ INT(((YEAR(AA$2)-YEAR($F54))*12 + MONTH(AA$2)-MONTH($F54)) / 12),
  0)</f>
        <v/>
      </c>
      <c r="AB54" s="299">
        <f>IF(AND($F54&lt;=AB$2, OR($G54="",$G54&gt;=AB$2)),
  $H54 * (1 + Assumptions!$C$7) ^ INT(((YEAR(AB$2)-YEAR($F54))*12 + MONTH(AB$2)-MONTH($F54)) / 12),
  0)</f>
        <v/>
      </c>
      <c r="AC54" s="299">
        <f>IF(AND($F54&lt;=AC$2, OR($G54="",$G54&gt;=AC$2)),
  $H54 * (1 + Assumptions!$C$7) ^ INT(((YEAR(AC$2)-YEAR($F54))*12 + MONTH(AC$2)-MONTH($F54)) / 12),
  0)</f>
        <v/>
      </c>
      <c r="AD54" s="299">
        <f>IF(AND($F54&lt;=AD$2, OR($G54="",$G54&gt;=AD$2)),
  $H54 * (1 + Assumptions!$C$7) ^ INT(((YEAR(AD$2)-YEAR($F54))*12 + MONTH(AD$2)-MONTH($F54)) / 12),
  0)</f>
        <v/>
      </c>
      <c r="AE54" s="299">
        <f>IF(AND($F54&lt;=AE$2, OR($G54="",$G54&gt;=AE$2)),
  $H54 * (1 + Assumptions!$C$7) ^ INT(((YEAR(AE$2)-YEAR($F54))*12 + MONTH(AE$2)-MONTH($F54)) / 12),
  0)</f>
        <v/>
      </c>
      <c r="AF54" s="299">
        <f>IF(AND($F54&lt;=AF$2, OR($G54="",$G54&gt;=AF$2)),
  $H54 * (1 + Assumptions!$C$7) ^ INT(((YEAR(AF$2)-YEAR($F54))*12 + MONTH(AF$2)-MONTH($F54)) / 12),
  0)</f>
        <v/>
      </c>
      <c r="AG54" s="299">
        <f>IF(AND($F54&lt;=AG$2, OR($G54="",$G54&gt;=AG$2)),
  $H54 * (1 + Assumptions!$C$7) ^ INT(((YEAR(AG$2)-YEAR($F54))*12 + MONTH(AG$2)-MONTH($F54)) / 12),
  0)</f>
        <v/>
      </c>
      <c r="AH54" s="299">
        <f>IF(AND($F54&lt;=AH$2, OR($G54="",$G54&gt;=AH$2)),
  $H54 * (1 + Assumptions!$C$7) ^ INT(((YEAR(AH$2)-YEAR($F54))*12 + MONTH(AH$2)-MONTH($F54)) / 12),
  0)</f>
        <v/>
      </c>
      <c r="AI54" s="299">
        <f>IF(AND($F54&lt;=AI$2, OR($G54="",$G54&gt;=AI$2)),
  $H54 * (1 + Assumptions!$C$7) ^ INT(((YEAR(AI$2)-YEAR($F54))*12 + MONTH(AI$2)-MONTH($F54)) / 12),
  0)</f>
        <v/>
      </c>
      <c r="AJ54" s="299">
        <f>IF(AND($F54&lt;=AJ$2, OR($G54="",$G54&gt;=AJ$2)),
  $H54 * (1 + Assumptions!$C$7) ^ INT(((YEAR(AJ$2)-YEAR($F54))*12 + MONTH(AJ$2)-MONTH($F54)) / 12),
  0)</f>
        <v/>
      </c>
      <c r="AK54" s="299">
        <f>IF(AND($F54&lt;=AK$2, OR($G54="",$G54&gt;=AK$2)),
  $H54 * (1 + Assumptions!$C$7) ^ INT(((YEAR(AK$2)-YEAR($F54))*12 + MONTH(AK$2)-MONTH($F54)) / 12),
  0)</f>
        <v/>
      </c>
      <c r="AL54" s="299">
        <f>IF(AND($F54&lt;=AL$2, OR($G54="",$G54&gt;=AL$2)),
  $H54 * (1 + Assumptions!$C$7) ^ INT(((YEAR(AL$2)-YEAR($F54))*12 + MONTH(AL$2)-MONTH($F54)) / 12),
  0)</f>
        <v/>
      </c>
      <c r="AM54" s="299">
        <f>IF(AND($F54&lt;=AM$2, OR($G54="",$G54&gt;=AM$2)),
  $H54 * (1 + Assumptions!$C$7) ^ INT(((YEAR(AM$2)-YEAR($F54))*12 + MONTH(AM$2)-MONTH($F54)) / 12),
  0)</f>
        <v/>
      </c>
      <c r="AN54" s="299">
        <f>IF(AND($F54&lt;=AN$2, OR($G54="",$G54&gt;=AN$2)),
  $H54 * (1 + Assumptions!$C$7) ^ INT(((YEAR(AN$2)-YEAR($F54))*12 + MONTH(AN$2)-MONTH($F54)) / 12),
  0)</f>
        <v/>
      </c>
      <c r="AO54" s="299">
        <f>IF(AND($F54&lt;=AO$2, OR($G54="",$G54&gt;=AO$2)),
  $H54 * (1 + Assumptions!$C$7) ^ INT(((YEAR(AO$2)-YEAR($F54))*12 + MONTH(AO$2)-MONTH($F54)) / 12),
  0)</f>
        <v/>
      </c>
      <c r="AP54" s="299">
        <f>IF(AND($F54&lt;=AP$2, OR($G54="",$G54&gt;=AP$2)),
  $H54 * (1 + Assumptions!$C$7) ^ INT(((YEAR(AP$2)-YEAR($F54))*12 + MONTH(AP$2)-MONTH($F54)) / 12),
  0)</f>
        <v/>
      </c>
      <c r="AQ54" s="299">
        <f>IF(AND($F54&lt;=AQ$2, OR($G54="",$G54&gt;=AQ$2)),
  $H54 * (1 + Assumptions!$C$7) ^ INT(((YEAR(AQ$2)-YEAR($F54))*12 + MONTH(AQ$2)-MONTH($F54)) / 12),
  0)</f>
        <v/>
      </c>
      <c r="AR54" s="299">
        <f>IF(AND($F54&lt;=AR$2, OR($G54="",$G54&gt;=AR$2)),
  $H54 * (1 + Assumptions!$C$7) ^ INT(((YEAR(AR$2)-YEAR($F54))*12 + MONTH(AR$2)-MONTH($F54)) / 12),
  0)</f>
        <v/>
      </c>
      <c r="AS54" s="299">
        <f>IF(AND($F54&lt;=AS$2, OR($G54="",$G54&gt;=AS$2)),
  $H54 * (1 + Assumptions!$C$7) ^ INT(((YEAR(AS$2)-YEAR($F54))*12 + MONTH(AS$2)-MONTH($F54)) / 12),
  0)</f>
        <v/>
      </c>
      <c r="AT54" s="299">
        <f>IF(AND($F54&lt;=AT$2, OR($G54="",$G54&gt;=AT$2)),
  $H54 * (1 + Assumptions!$C$7) ^ INT(((YEAR(AT$2)-YEAR($F54))*12 + MONTH(AT$2)-MONTH($F54)) / 12),
  0)</f>
        <v/>
      </c>
      <c r="AU54" s="299">
        <f>IF(AND($F54&lt;=AU$2, OR($G54="",$G54&gt;=AU$2)),
  $H54 * (1 + Assumptions!$C$7) ^ INT(((YEAR(AU$2)-YEAR($F54))*12 + MONTH(AU$2)-MONTH($F54)) / 12),
  0)</f>
        <v/>
      </c>
      <c r="AV54" s="299">
        <f>IF(AND($F54&lt;=AV$2, OR($G54="",$G54&gt;=AV$2)),
  $H54 * (1 + Assumptions!$C$7) ^ INT(((YEAR(AV$2)-YEAR($F54))*12 + MONTH(AV$2)-MONTH($F54)) / 12),
  0)</f>
        <v/>
      </c>
      <c r="AW54" s="299">
        <f>IF(AND($F54&lt;=AW$2, OR($G54="",$G54&gt;=AW$2)),
  $H54 * (1 + Assumptions!$C$7) ^ INT(((YEAR(AW$2)-YEAR($F54))*12 + MONTH(AW$2)-MONTH($F54)) / 12),
  0)</f>
        <v/>
      </c>
      <c r="AX54" s="299">
        <f>IF(AND($F54&lt;=AX$2, OR($G54="",$G54&gt;=AX$2)),
  $H54 * (1 + Assumptions!$C$7) ^ INT(((YEAR(AX$2)-YEAR($F54))*12 + MONTH(AX$2)-MONTH($F54)) / 12),
  0)</f>
        <v/>
      </c>
      <c r="AY54" s="299">
        <f>IF(AND($F54&lt;=AY$2, OR($G54="",$G54&gt;=AY$2)),
  $H54 * (1 + Assumptions!$C$7) ^ INT(((YEAR(AY$2)-YEAR($F54))*12 + MONTH(AY$2)-MONTH($F54)) / 12),
  0)</f>
        <v/>
      </c>
      <c r="AZ54" s="299">
        <f>IF(AND($F54&lt;=AZ$2, OR($G54="",$G54&gt;=AZ$2)),
  $H54 * (1 + Assumptions!$C$7) ^ INT(((YEAR(AZ$2)-YEAR($F54))*12 + MONTH(AZ$2)-MONTH($F54)) / 12),
  0)</f>
        <v/>
      </c>
      <c r="BA54" s="299">
        <f>IF(AND($F54&lt;=BA$2, OR($G54="",$G54&gt;=BA$2)),
  $H54 * (1 + Assumptions!$C$7) ^ INT(((YEAR(BA$2)-YEAR($F54))*12 + MONTH(BA$2)-MONTH($F54)) / 12),
  0)</f>
        <v/>
      </c>
      <c r="BB54" s="299">
        <f>IF(AND($F54&lt;=BB$2, OR($G54="",$G54&gt;=BB$2)),
  $H54 * (1 + Assumptions!$C$7) ^ INT(((YEAR(BB$2)-YEAR($F54))*12 + MONTH(BB$2)-MONTH($F54)) / 12),
  0)</f>
        <v/>
      </c>
      <c r="BC54" s="299">
        <f>IF(AND($F54&lt;=BC$2, OR($G54="",$G54&gt;=BC$2)),
  $H54 * (1 + Assumptions!$C$7) ^ INT(((YEAR(BC$2)-YEAR($F54))*12 + MONTH(BC$2)-MONTH($F54)) / 12),
  0)</f>
        <v/>
      </c>
      <c r="BD54" s="299">
        <f>IF(AND($F54&lt;=BD$2, OR($G54="",$G54&gt;=BD$2)),
  $H54 * (1 + Assumptions!$C$7) ^ INT(((YEAR(BD$2)-YEAR($F54))*12 + MONTH(BD$2)-MONTH($F54)) / 12),
  0)</f>
        <v/>
      </c>
      <c r="BE54" s="299">
        <f>IF(AND($F54&lt;=BE$2, OR($G54="",$G54&gt;=BE$2)),
  $H54 * (1 + Assumptions!$C$7) ^ INT(((YEAR(BE$2)-YEAR($F54))*12 + MONTH(BE$2)-MONTH($F54)) / 12),
  0)</f>
        <v/>
      </c>
      <c r="BF54" s="299">
        <f>IF(AND($F54&lt;=BF$2, OR($G54="",$G54&gt;=BF$2)),
  $H54 * (1 + Assumptions!$C$7) ^ INT(((YEAR(BF$2)-YEAR($F54))*12 + MONTH(BF$2)-MONTH($F54)) / 12),
  0)</f>
        <v/>
      </c>
      <c r="BG54" s="299">
        <f>IF(AND($F54&lt;=BG$2, OR($G54="",$G54&gt;=BG$2)),
  $H54 * (1 + Assumptions!$C$7) ^ INT(((YEAR(BG$2)-YEAR($F54))*12 + MONTH(BG$2)-MONTH($F54)) / 12),
  0)</f>
        <v/>
      </c>
      <c r="BH54" s="299">
        <f>IF(AND($F54&lt;=BH$2, OR($G54="",$G54&gt;=BH$2)),
  $H54 * (1 + Assumptions!$C$7) ^ INT(((YEAR(BH$2)-YEAR($F54))*12 + MONTH(BH$2)-MONTH($F54)) / 12),
  0)</f>
        <v/>
      </c>
      <c r="BI54" s="299">
        <f>IF(AND($F54&lt;=BI$2, OR($G54="",$G54&gt;=BI$2)),
  $H54 * (1 + Assumptions!$C$7) ^ INT(((YEAR(BI$2)-YEAR($F54))*12 + MONTH(BI$2)-MONTH($F54)) / 12),
  0)</f>
        <v/>
      </c>
      <c r="BJ54" s="299">
        <f>IF(AND($F54&lt;=BJ$2, OR($G54="",$G54&gt;=BJ$2)),
  $H54 * (1 + Assumptions!$C$7) ^ INT(((YEAR(BJ$2)-YEAR($F54))*12 + MONTH(BJ$2)-MONTH($F54)) / 12),
  0)</f>
        <v/>
      </c>
      <c r="BK54" s="299">
        <f>IF(AND($F54&lt;=BK$2, OR($G54="",$G54&gt;=BK$2)),
  $H54 * (1 + Assumptions!$C$7) ^ INT(((YEAR(BK$2)-YEAR($F54))*12 + MONTH(BK$2)-MONTH($F54)) / 12),
  0)</f>
        <v/>
      </c>
      <c r="BL54" s="299">
        <f>IF(AND($F54&lt;=BL$2, OR($G54="",$G54&gt;=BL$2)),
  $H54 * (1 + Assumptions!$C$7) ^ INT(((YEAR(BL$2)-YEAR($F54))*12 + MONTH(BL$2)-MONTH($F54)) / 12),
  0)</f>
        <v/>
      </c>
      <c r="BM54" s="299">
        <f>IF(AND($F54&lt;=BM$2, OR($G54="",$G54&gt;=BM$2)),
  $H54 * (1 + Assumptions!$C$7) ^ INT(((YEAR(BM$2)-YEAR($F54))*12 + MONTH(BM$2)-MONTH($F54)) / 12),
  0)</f>
        <v/>
      </c>
      <c r="BN54" s="299">
        <f>IF(AND($F54&lt;=BN$2, OR($G54="",$G54&gt;=BN$2)),
  $H54 * (1 + Assumptions!$C$7) ^ INT(((YEAR(BN$2)-YEAR($F54))*12 + MONTH(BN$2)-MONTH($F54)) / 12),
  0)</f>
        <v/>
      </c>
      <c r="BO54" s="299">
        <f>IF(AND($F54&lt;=BO$2, OR($G54="",$G54&gt;=BO$2)),
  $H54 * (1 + Assumptions!$C$7) ^ INT(((YEAR(BO$2)-YEAR($F54))*12 + MONTH(BO$2)-MONTH($F54)) / 12),
  0)</f>
        <v/>
      </c>
      <c r="BP54" s="299">
        <f>IF(AND($F54&lt;=BP$2, OR($G54="",$G54&gt;=BP$2)),
  $H54 * (1 + Assumptions!$C$7) ^ INT(((YEAR(BP$2)-YEAR($F54))*12 + MONTH(BP$2)-MONTH($F54)) / 12),
  0)</f>
        <v/>
      </c>
      <c r="BQ54" s="307" t="n"/>
      <c r="BR54" s="83" t="inlineStr">
        <is>
          <t>paid this month if started and not yet left; +8% on each work anniversary</t>
        </is>
      </c>
      <c r="BS54" s="307" t="n"/>
      <c r="BT54" s="307" t="n"/>
    </row>
    <row r="55" ht="15.75" customHeight="1" s="349">
      <c r="A55" s="321" t="n">
        <v>50</v>
      </c>
      <c r="B55" s="285" t="inlineStr">
        <is>
          <t>New hire</t>
        </is>
      </c>
      <c r="C55" s="23" t="inlineStr">
        <is>
          <t>G&amp;A</t>
        </is>
      </c>
      <c r="D55" s="321" t="inlineStr">
        <is>
          <t>Operations</t>
        </is>
      </c>
      <c r="E55" s="297" t="inlineStr">
        <is>
          <t>Planned</t>
        </is>
      </c>
      <c r="F55" s="318">
        <f>IF(Assumptions!$D$82=2,DATE(2028,6,1),DATE(2029,10,2))</f>
        <v/>
      </c>
      <c r="G55" s="319" t="n"/>
      <c r="H55" s="288" t="n">
        <v>6500</v>
      </c>
      <c r="I55" s="299">
        <f>IF(AND($F55&lt;=I$2, OR($G55="",$G55&gt;=I$2)),
  $H55 * (1 + Assumptions!$C$7) ^ INT(((YEAR(I$2)-YEAR($F55))*12 + MONTH(I$2)-MONTH($F55)) / 12),
  0)</f>
        <v/>
      </c>
      <c r="J55" s="299">
        <f>IF(AND($F55&lt;=J$2, OR($G55="",$G55&gt;=J$2)),
  $H55 * (1 + Assumptions!$C$7) ^ INT(((YEAR(J$2)-YEAR($F55))*12 + MONTH(J$2)-MONTH($F55)) / 12),
  0)</f>
        <v/>
      </c>
      <c r="K55" s="299">
        <f>IF(AND($F55&lt;=K$2, OR($G55="",$G55&gt;=K$2)),
  $H55 * (1 + Assumptions!$C$7) ^ INT(((YEAR(K$2)-YEAR($F55))*12 + MONTH(K$2)-MONTH($F55)) / 12),
  0)</f>
        <v/>
      </c>
      <c r="L55" s="299">
        <f>IF(AND($F55&lt;=L$2, OR($G55="",$G55&gt;=L$2)),
  $H55 * (1 + Assumptions!$C$7) ^ INT(((YEAR(L$2)-YEAR($F55))*12 + MONTH(L$2)-MONTH($F55)) / 12),
  0)</f>
        <v/>
      </c>
      <c r="M55" s="299">
        <f>IF(AND($F55&lt;=M$2, OR($G55="",$G55&gt;=M$2)),
  $H55 * (1 + Assumptions!$C$7) ^ INT(((YEAR(M$2)-YEAR($F55))*12 + MONTH(M$2)-MONTH($F55)) / 12),
  0)</f>
        <v/>
      </c>
      <c r="N55" s="299">
        <f>IF(AND($F55&lt;=N$2, OR($G55="",$G55&gt;=N$2)),
  $H55 * (1 + Assumptions!$C$7) ^ INT(((YEAR(N$2)-YEAR($F55))*12 + MONTH(N$2)-MONTH($F55)) / 12),
  0)</f>
        <v/>
      </c>
      <c r="O55" s="299">
        <f>IF(AND($F55&lt;=O$2, OR($G55="",$G55&gt;=O$2)),
  $H55 * (1 + Assumptions!$C$7) ^ INT(((YEAR(O$2)-YEAR($F55))*12 + MONTH(O$2)-MONTH($F55)) / 12),
  0)</f>
        <v/>
      </c>
      <c r="P55" s="299">
        <f>IF(AND($F55&lt;=P$2, OR($G55="",$G55&gt;=P$2)),
  $H55 * (1 + Assumptions!$C$7) ^ INT(((YEAR(P$2)-YEAR($F55))*12 + MONTH(P$2)-MONTH($F55)) / 12),
  0)</f>
        <v/>
      </c>
      <c r="Q55" s="299">
        <f>IF(AND($F55&lt;=Q$2, OR($G55="",$G55&gt;=Q$2)),
  $H55 * (1 + Assumptions!$C$7) ^ INT(((YEAR(Q$2)-YEAR($F55))*12 + MONTH(Q$2)-MONTH($F55)) / 12),
  0)</f>
        <v/>
      </c>
      <c r="R55" s="299">
        <f>IF(AND($F55&lt;=R$2, OR($G55="",$G55&gt;=R$2)),
  $H55 * (1 + Assumptions!$C$7) ^ INT(((YEAR(R$2)-YEAR($F55))*12 + MONTH(R$2)-MONTH($F55)) / 12),
  0)</f>
        <v/>
      </c>
      <c r="S55" s="299">
        <f>IF(AND($F55&lt;=S$2, OR($G55="",$G55&gt;=S$2)),
  $H55 * (1 + Assumptions!$C$7) ^ INT(((YEAR(S$2)-YEAR($F55))*12 + MONTH(S$2)-MONTH($F55)) / 12),
  0)</f>
        <v/>
      </c>
      <c r="T55" s="299">
        <f>IF(AND($F55&lt;=T$2, OR($G55="",$G55&gt;=T$2)),
  $H55 * (1 + Assumptions!$C$7) ^ INT(((YEAR(T$2)-YEAR($F55))*12 + MONTH(T$2)-MONTH($F55)) / 12),
  0)</f>
        <v/>
      </c>
      <c r="U55" s="299">
        <f>IF(AND($F55&lt;=U$2, OR($G55="",$G55&gt;=U$2)),
  $H55 * (1 + Assumptions!$C$7) ^ INT(((YEAR(U$2)-YEAR($F55))*12 + MONTH(U$2)-MONTH($F55)) / 12),
  0)</f>
        <v/>
      </c>
      <c r="V55" s="299">
        <f>IF(AND($F55&lt;=V$2, OR($G55="",$G55&gt;=V$2)),
  $H55 * (1 + Assumptions!$C$7) ^ INT(((YEAR(V$2)-YEAR($F55))*12 + MONTH(V$2)-MONTH($F55)) / 12),
  0)</f>
        <v/>
      </c>
      <c r="W55" s="299">
        <f>IF(AND($F55&lt;=W$2, OR($G55="",$G55&gt;=W$2)),
  $H55 * (1 + Assumptions!$C$7) ^ INT(((YEAR(W$2)-YEAR($F55))*12 + MONTH(W$2)-MONTH($F55)) / 12),
  0)</f>
        <v/>
      </c>
      <c r="X55" s="299">
        <f>IF(AND($F55&lt;=X$2, OR($G55="",$G55&gt;=X$2)),
  $H55 * (1 + Assumptions!$C$7) ^ INT(((YEAR(X$2)-YEAR($F55))*12 + MONTH(X$2)-MONTH($F55)) / 12),
  0)</f>
        <v/>
      </c>
      <c r="Y55" s="299">
        <f>IF(AND($F55&lt;=Y$2, OR($G55="",$G55&gt;=Y$2)),
  $H55 * (1 + Assumptions!$C$7) ^ INT(((YEAR(Y$2)-YEAR($F55))*12 + MONTH(Y$2)-MONTH($F55)) / 12),
  0)</f>
        <v/>
      </c>
      <c r="Z55" s="299">
        <f>IF(AND($F55&lt;=Z$2, OR($G55="",$G55&gt;=Z$2)),
  $H55 * (1 + Assumptions!$C$7) ^ INT(((YEAR(Z$2)-YEAR($F55))*12 + MONTH(Z$2)-MONTH($F55)) / 12),
  0)</f>
        <v/>
      </c>
      <c r="AA55" s="299">
        <f>IF(AND($F55&lt;=AA$2, OR($G55="",$G55&gt;=AA$2)),
  $H55 * (1 + Assumptions!$C$7) ^ INT(((YEAR(AA$2)-YEAR($F55))*12 + MONTH(AA$2)-MONTH($F55)) / 12),
  0)</f>
        <v/>
      </c>
      <c r="AB55" s="299">
        <f>IF(AND($F55&lt;=AB$2, OR($G55="",$G55&gt;=AB$2)),
  $H55 * (1 + Assumptions!$C$7) ^ INT(((YEAR(AB$2)-YEAR($F55))*12 + MONTH(AB$2)-MONTH($F55)) / 12),
  0)</f>
        <v/>
      </c>
      <c r="AC55" s="299">
        <f>IF(AND($F55&lt;=AC$2, OR($G55="",$G55&gt;=AC$2)),
  $H55 * (1 + Assumptions!$C$7) ^ INT(((YEAR(AC$2)-YEAR($F55))*12 + MONTH(AC$2)-MONTH($F55)) / 12),
  0)</f>
        <v/>
      </c>
      <c r="AD55" s="299">
        <f>IF(AND($F55&lt;=AD$2, OR($G55="",$G55&gt;=AD$2)),
  $H55 * (1 + Assumptions!$C$7) ^ INT(((YEAR(AD$2)-YEAR($F55))*12 + MONTH(AD$2)-MONTH($F55)) / 12),
  0)</f>
        <v/>
      </c>
      <c r="AE55" s="299">
        <f>IF(AND($F55&lt;=AE$2, OR($G55="",$G55&gt;=AE$2)),
  $H55 * (1 + Assumptions!$C$7) ^ INT(((YEAR(AE$2)-YEAR($F55))*12 + MONTH(AE$2)-MONTH($F55)) / 12),
  0)</f>
        <v/>
      </c>
      <c r="AF55" s="299">
        <f>IF(AND($F55&lt;=AF$2, OR($G55="",$G55&gt;=AF$2)),
  $H55 * (1 + Assumptions!$C$7) ^ INT(((YEAR(AF$2)-YEAR($F55))*12 + MONTH(AF$2)-MONTH($F55)) / 12),
  0)</f>
        <v/>
      </c>
      <c r="AG55" s="299">
        <f>IF(AND($F55&lt;=AG$2, OR($G55="",$G55&gt;=AG$2)),
  $H55 * (1 + Assumptions!$C$7) ^ INT(((YEAR(AG$2)-YEAR($F55))*12 + MONTH(AG$2)-MONTH($F55)) / 12),
  0)</f>
        <v/>
      </c>
      <c r="AH55" s="299">
        <f>IF(AND($F55&lt;=AH$2, OR($G55="",$G55&gt;=AH$2)),
  $H55 * (1 + Assumptions!$C$7) ^ INT(((YEAR(AH$2)-YEAR($F55))*12 + MONTH(AH$2)-MONTH($F55)) / 12),
  0)</f>
        <v/>
      </c>
      <c r="AI55" s="299">
        <f>IF(AND($F55&lt;=AI$2, OR($G55="",$G55&gt;=AI$2)),
  $H55 * (1 + Assumptions!$C$7) ^ INT(((YEAR(AI$2)-YEAR($F55))*12 + MONTH(AI$2)-MONTH($F55)) / 12),
  0)</f>
        <v/>
      </c>
      <c r="AJ55" s="299">
        <f>IF(AND($F55&lt;=AJ$2, OR($G55="",$G55&gt;=AJ$2)),
  $H55 * (1 + Assumptions!$C$7) ^ INT(((YEAR(AJ$2)-YEAR($F55))*12 + MONTH(AJ$2)-MONTH($F55)) / 12),
  0)</f>
        <v/>
      </c>
      <c r="AK55" s="299">
        <f>IF(AND($F55&lt;=AK$2, OR($G55="",$G55&gt;=AK$2)),
  $H55 * (1 + Assumptions!$C$7) ^ INT(((YEAR(AK$2)-YEAR($F55))*12 + MONTH(AK$2)-MONTH($F55)) / 12),
  0)</f>
        <v/>
      </c>
      <c r="AL55" s="299">
        <f>IF(AND($F55&lt;=AL$2, OR($G55="",$G55&gt;=AL$2)),
  $H55 * (1 + Assumptions!$C$7) ^ INT(((YEAR(AL$2)-YEAR($F55))*12 + MONTH(AL$2)-MONTH($F55)) / 12),
  0)</f>
        <v/>
      </c>
      <c r="AM55" s="299">
        <f>IF(AND($F55&lt;=AM$2, OR($G55="",$G55&gt;=AM$2)),
  $H55 * (1 + Assumptions!$C$7) ^ INT(((YEAR(AM$2)-YEAR($F55))*12 + MONTH(AM$2)-MONTH($F55)) / 12),
  0)</f>
        <v/>
      </c>
      <c r="AN55" s="299">
        <f>IF(AND($F55&lt;=AN$2, OR($G55="",$G55&gt;=AN$2)),
  $H55 * (1 + Assumptions!$C$7) ^ INT(((YEAR(AN$2)-YEAR($F55))*12 + MONTH(AN$2)-MONTH($F55)) / 12),
  0)</f>
        <v/>
      </c>
      <c r="AO55" s="299">
        <f>IF(AND($F55&lt;=AO$2, OR($G55="",$G55&gt;=AO$2)),
  $H55 * (1 + Assumptions!$C$7) ^ INT(((YEAR(AO$2)-YEAR($F55))*12 + MONTH(AO$2)-MONTH($F55)) / 12),
  0)</f>
        <v/>
      </c>
      <c r="AP55" s="299">
        <f>IF(AND($F55&lt;=AP$2, OR($G55="",$G55&gt;=AP$2)),
  $H55 * (1 + Assumptions!$C$7) ^ INT(((YEAR(AP$2)-YEAR($F55))*12 + MONTH(AP$2)-MONTH($F55)) / 12),
  0)</f>
        <v/>
      </c>
      <c r="AQ55" s="299">
        <f>IF(AND($F55&lt;=AQ$2, OR($G55="",$G55&gt;=AQ$2)),
  $H55 * (1 + Assumptions!$C$7) ^ INT(((YEAR(AQ$2)-YEAR($F55))*12 + MONTH(AQ$2)-MONTH($F55)) / 12),
  0)</f>
        <v/>
      </c>
      <c r="AR55" s="299">
        <f>IF(AND($F55&lt;=AR$2, OR($G55="",$G55&gt;=AR$2)),
  $H55 * (1 + Assumptions!$C$7) ^ INT(((YEAR(AR$2)-YEAR($F55))*12 + MONTH(AR$2)-MONTH($F55)) / 12),
  0)</f>
        <v/>
      </c>
      <c r="AS55" s="299">
        <f>IF(AND($F55&lt;=AS$2, OR($G55="",$G55&gt;=AS$2)),
  $H55 * (1 + Assumptions!$C$7) ^ INT(((YEAR(AS$2)-YEAR($F55))*12 + MONTH(AS$2)-MONTH($F55)) / 12),
  0)</f>
        <v/>
      </c>
      <c r="AT55" s="299">
        <f>IF(AND($F55&lt;=AT$2, OR($G55="",$G55&gt;=AT$2)),
  $H55 * (1 + Assumptions!$C$7) ^ INT(((YEAR(AT$2)-YEAR($F55))*12 + MONTH(AT$2)-MONTH($F55)) / 12),
  0)</f>
        <v/>
      </c>
      <c r="AU55" s="299">
        <f>IF(AND($F55&lt;=AU$2, OR($G55="",$G55&gt;=AU$2)),
  $H55 * (1 + Assumptions!$C$7) ^ INT(((YEAR(AU$2)-YEAR($F55))*12 + MONTH(AU$2)-MONTH($F55)) / 12),
  0)</f>
        <v/>
      </c>
      <c r="AV55" s="299">
        <f>IF(AND($F55&lt;=AV$2, OR($G55="",$G55&gt;=AV$2)),
  $H55 * (1 + Assumptions!$C$7) ^ INT(((YEAR(AV$2)-YEAR($F55))*12 + MONTH(AV$2)-MONTH($F55)) / 12),
  0)</f>
        <v/>
      </c>
      <c r="AW55" s="299">
        <f>IF(AND($F55&lt;=AW$2, OR($G55="",$G55&gt;=AW$2)),
  $H55 * (1 + Assumptions!$C$7) ^ INT(((YEAR(AW$2)-YEAR($F55))*12 + MONTH(AW$2)-MONTH($F55)) / 12),
  0)</f>
        <v/>
      </c>
      <c r="AX55" s="299">
        <f>IF(AND($F55&lt;=AX$2, OR($G55="",$G55&gt;=AX$2)),
  $H55 * (1 + Assumptions!$C$7) ^ INT(((YEAR(AX$2)-YEAR($F55))*12 + MONTH(AX$2)-MONTH($F55)) / 12),
  0)</f>
        <v/>
      </c>
      <c r="AY55" s="299">
        <f>IF(AND($F55&lt;=AY$2, OR($G55="",$G55&gt;=AY$2)),
  $H55 * (1 + Assumptions!$C$7) ^ INT(((YEAR(AY$2)-YEAR($F55))*12 + MONTH(AY$2)-MONTH($F55)) / 12),
  0)</f>
        <v/>
      </c>
      <c r="AZ55" s="299">
        <f>IF(AND($F55&lt;=AZ$2, OR($G55="",$G55&gt;=AZ$2)),
  $H55 * (1 + Assumptions!$C$7) ^ INT(((YEAR(AZ$2)-YEAR($F55))*12 + MONTH(AZ$2)-MONTH($F55)) / 12),
  0)</f>
        <v/>
      </c>
      <c r="BA55" s="299">
        <f>IF(AND($F55&lt;=BA$2, OR($G55="",$G55&gt;=BA$2)),
  $H55 * (1 + Assumptions!$C$7) ^ INT(((YEAR(BA$2)-YEAR($F55))*12 + MONTH(BA$2)-MONTH($F55)) / 12),
  0)</f>
        <v/>
      </c>
      <c r="BB55" s="299">
        <f>IF(AND($F55&lt;=BB$2, OR($G55="",$G55&gt;=BB$2)),
  $H55 * (1 + Assumptions!$C$7) ^ INT(((YEAR(BB$2)-YEAR($F55))*12 + MONTH(BB$2)-MONTH($F55)) / 12),
  0)</f>
        <v/>
      </c>
      <c r="BC55" s="299">
        <f>IF(AND($F55&lt;=BC$2, OR($G55="",$G55&gt;=BC$2)),
  $H55 * (1 + Assumptions!$C$7) ^ INT(((YEAR(BC$2)-YEAR($F55))*12 + MONTH(BC$2)-MONTH($F55)) / 12),
  0)</f>
        <v/>
      </c>
      <c r="BD55" s="299">
        <f>IF(AND($F55&lt;=BD$2, OR($G55="",$G55&gt;=BD$2)),
  $H55 * (1 + Assumptions!$C$7) ^ INT(((YEAR(BD$2)-YEAR($F55))*12 + MONTH(BD$2)-MONTH($F55)) / 12),
  0)</f>
        <v/>
      </c>
      <c r="BE55" s="299">
        <f>IF(AND($F55&lt;=BE$2, OR($G55="",$G55&gt;=BE$2)),
  $H55 * (1 + Assumptions!$C$7) ^ INT(((YEAR(BE$2)-YEAR($F55))*12 + MONTH(BE$2)-MONTH($F55)) / 12),
  0)</f>
        <v/>
      </c>
      <c r="BF55" s="299">
        <f>IF(AND($F55&lt;=BF$2, OR($G55="",$G55&gt;=BF$2)),
  $H55 * (1 + Assumptions!$C$7) ^ INT(((YEAR(BF$2)-YEAR($F55))*12 + MONTH(BF$2)-MONTH($F55)) / 12),
  0)</f>
        <v/>
      </c>
      <c r="BG55" s="299">
        <f>IF(AND($F55&lt;=BG$2, OR($G55="",$G55&gt;=BG$2)),
  $H55 * (1 + Assumptions!$C$7) ^ INT(((YEAR(BG$2)-YEAR($F55))*12 + MONTH(BG$2)-MONTH($F55)) / 12),
  0)</f>
        <v/>
      </c>
      <c r="BH55" s="299">
        <f>IF(AND($F55&lt;=BH$2, OR($G55="",$G55&gt;=BH$2)),
  $H55 * (1 + Assumptions!$C$7) ^ INT(((YEAR(BH$2)-YEAR($F55))*12 + MONTH(BH$2)-MONTH($F55)) / 12),
  0)</f>
        <v/>
      </c>
      <c r="BI55" s="299">
        <f>IF(AND($F55&lt;=BI$2, OR($G55="",$G55&gt;=BI$2)),
  $H55 * (1 + Assumptions!$C$7) ^ INT(((YEAR(BI$2)-YEAR($F55))*12 + MONTH(BI$2)-MONTH($F55)) / 12),
  0)</f>
        <v/>
      </c>
      <c r="BJ55" s="299">
        <f>IF(AND($F55&lt;=BJ$2, OR($G55="",$G55&gt;=BJ$2)),
  $H55 * (1 + Assumptions!$C$7) ^ INT(((YEAR(BJ$2)-YEAR($F55))*12 + MONTH(BJ$2)-MONTH($F55)) / 12),
  0)</f>
        <v/>
      </c>
      <c r="BK55" s="299">
        <f>IF(AND($F55&lt;=BK$2, OR($G55="",$G55&gt;=BK$2)),
  $H55 * (1 + Assumptions!$C$7) ^ INT(((YEAR(BK$2)-YEAR($F55))*12 + MONTH(BK$2)-MONTH($F55)) / 12),
  0)</f>
        <v/>
      </c>
      <c r="BL55" s="299">
        <f>IF(AND($F55&lt;=BL$2, OR($G55="",$G55&gt;=BL$2)),
  $H55 * (1 + Assumptions!$C$7) ^ INT(((YEAR(BL$2)-YEAR($F55))*12 + MONTH(BL$2)-MONTH($F55)) / 12),
  0)</f>
        <v/>
      </c>
      <c r="BM55" s="299">
        <f>IF(AND($F55&lt;=BM$2, OR($G55="",$G55&gt;=BM$2)),
  $H55 * (1 + Assumptions!$C$7) ^ INT(((YEAR(BM$2)-YEAR($F55))*12 + MONTH(BM$2)-MONTH($F55)) / 12),
  0)</f>
        <v/>
      </c>
      <c r="BN55" s="299">
        <f>IF(AND($F55&lt;=BN$2, OR($G55="",$G55&gt;=BN$2)),
  $H55 * (1 + Assumptions!$C$7) ^ INT(((YEAR(BN$2)-YEAR($F55))*12 + MONTH(BN$2)-MONTH($F55)) / 12),
  0)</f>
        <v/>
      </c>
      <c r="BO55" s="299">
        <f>IF(AND($F55&lt;=BO$2, OR($G55="",$G55&gt;=BO$2)),
  $H55 * (1 + Assumptions!$C$7) ^ INT(((YEAR(BO$2)-YEAR($F55))*12 + MONTH(BO$2)-MONTH($F55)) / 12),
  0)</f>
        <v/>
      </c>
      <c r="BP55" s="299">
        <f>IF(AND($F55&lt;=BP$2, OR($G55="",$G55&gt;=BP$2)),
  $H55 * (1 + Assumptions!$C$7) ^ INT(((YEAR(BP$2)-YEAR($F55))*12 + MONTH(BP$2)-MONTH($F55)) / 12),
  0)</f>
        <v/>
      </c>
      <c r="BQ55" s="307" t="n"/>
      <c r="BR55" s="83" t="inlineStr">
        <is>
          <t>paid this month if started and not yet left; +8% on each work anniversary</t>
        </is>
      </c>
      <c r="BS55" s="307" t="n"/>
      <c r="BT55" s="307" t="n"/>
    </row>
    <row r="56" ht="15.75" customHeight="1" s="349">
      <c r="A56" s="321" t="n">
        <v>51</v>
      </c>
      <c r="B56" s="285" t="inlineStr">
        <is>
          <t>New hire</t>
        </is>
      </c>
      <c r="C56" s="23" t="inlineStr">
        <is>
          <t>G&amp;A</t>
        </is>
      </c>
      <c r="D56" s="321" t="inlineStr">
        <is>
          <t>Finance</t>
        </is>
      </c>
      <c r="E56" s="297" t="inlineStr">
        <is>
          <t>Planned</t>
        </is>
      </c>
      <c r="F56" s="318" t="n">
        <v>47394</v>
      </c>
      <c r="G56" s="319" t="n"/>
      <c r="H56" s="288" t="n">
        <v>7500</v>
      </c>
      <c r="I56" s="299">
        <f>IF(AND($F56&lt;=I$2, OR($G56="",$G56&gt;=I$2)),
  $H56 * (1 + Assumptions!$C$7) ^ INT(((YEAR(I$2)-YEAR($F56))*12 + MONTH(I$2)-MONTH($F56)) / 12),
  0)</f>
        <v/>
      </c>
      <c r="J56" s="299">
        <f>IF(AND($F56&lt;=J$2, OR($G56="",$G56&gt;=J$2)),
  $H56 * (1 + Assumptions!$C$7) ^ INT(((YEAR(J$2)-YEAR($F56))*12 + MONTH(J$2)-MONTH($F56)) / 12),
  0)</f>
        <v/>
      </c>
      <c r="K56" s="299">
        <f>IF(AND($F56&lt;=K$2, OR($G56="",$G56&gt;=K$2)),
  $H56 * (1 + Assumptions!$C$7) ^ INT(((YEAR(K$2)-YEAR($F56))*12 + MONTH(K$2)-MONTH($F56)) / 12),
  0)</f>
        <v/>
      </c>
      <c r="L56" s="299">
        <f>IF(AND($F56&lt;=L$2, OR($G56="",$G56&gt;=L$2)),
  $H56 * (1 + Assumptions!$C$7) ^ INT(((YEAR(L$2)-YEAR($F56))*12 + MONTH(L$2)-MONTH($F56)) / 12),
  0)</f>
        <v/>
      </c>
      <c r="M56" s="299">
        <f>IF(AND($F56&lt;=M$2, OR($G56="",$G56&gt;=M$2)),
  $H56 * (1 + Assumptions!$C$7) ^ INT(((YEAR(M$2)-YEAR($F56))*12 + MONTH(M$2)-MONTH($F56)) / 12),
  0)</f>
        <v/>
      </c>
      <c r="N56" s="299">
        <f>IF(AND($F56&lt;=N$2, OR($G56="",$G56&gt;=N$2)),
  $H56 * (1 + Assumptions!$C$7) ^ INT(((YEAR(N$2)-YEAR($F56))*12 + MONTH(N$2)-MONTH($F56)) / 12),
  0)</f>
        <v/>
      </c>
      <c r="O56" s="299">
        <f>IF(AND($F56&lt;=O$2, OR($G56="",$G56&gt;=O$2)),
  $H56 * (1 + Assumptions!$C$7) ^ INT(((YEAR(O$2)-YEAR($F56))*12 + MONTH(O$2)-MONTH($F56)) / 12),
  0)</f>
        <v/>
      </c>
      <c r="P56" s="299">
        <f>IF(AND($F56&lt;=P$2, OR($G56="",$G56&gt;=P$2)),
  $H56 * (1 + Assumptions!$C$7) ^ INT(((YEAR(P$2)-YEAR($F56))*12 + MONTH(P$2)-MONTH($F56)) / 12),
  0)</f>
        <v/>
      </c>
      <c r="Q56" s="299">
        <f>IF(AND($F56&lt;=Q$2, OR($G56="",$G56&gt;=Q$2)),
  $H56 * (1 + Assumptions!$C$7) ^ INT(((YEAR(Q$2)-YEAR($F56))*12 + MONTH(Q$2)-MONTH($F56)) / 12),
  0)</f>
        <v/>
      </c>
      <c r="R56" s="299">
        <f>IF(AND($F56&lt;=R$2, OR($G56="",$G56&gt;=R$2)),
  $H56 * (1 + Assumptions!$C$7) ^ INT(((YEAR(R$2)-YEAR($F56))*12 + MONTH(R$2)-MONTH($F56)) / 12),
  0)</f>
        <v/>
      </c>
      <c r="S56" s="299">
        <f>IF(AND($F56&lt;=S$2, OR($G56="",$G56&gt;=S$2)),
  $H56 * (1 + Assumptions!$C$7) ^ INT(((YEAR(S$2)-YEAR($F56))*12 + MONTH(S$2)-MONTH($F56)) / 12),
  0)</f>
        <v/>
      </c>
      <c r="T56" s="299">
        <f>IF(AND($F56&lt;=T$2, OR($G56="",$G56&gt;=T$2)),
  $H56 * (1 + Assumptions!$C$7) ^ INT(((YEAR(T$2)-YEAR($F56))*12 + MONTH(T$2)-MONTH($F56)) / 12),
  0)</f>
        <v/>
      </c>
      <c r="U56" s="299">
        <f>IF(AND($F56&lt;=U$2, OR($G56="",$G56&gt;=U$2)),
  $H56 * (1 + Assumptions!$C$7) ^ INT(((YEAR(U$2)-YEAR($F56))*12 + MONTH(U$2)-MONTH($F56)) / 12),
  0)</f>
        <v/>
      </c>
      <c r="V56" s="299">
        <f>IF(AND($F56&lt;=V$2, OR($G56="",$G56&gt;=V$2)),
  $H56 * (1 + Assumptions!$C$7) ^ INT(((YEAR(V$2)-YEAR($F56))*12 + MONTH(V$2)-MONTH($F56)) / 12),
  0)</f>
        <v/>
      </c>
      <c r="W56" s="299">
        <f>IF(AND($F56&lt;=W$2, OR($G56="",$G56&gt;=W$2)),
  $H56 * (1 + Assumptions!$C$7) ^ INT(((YEAR(W$2)-YEAR($F56))*12 + MONTH(W$2)-MONTH($F56)) / 12),
  0)</f>
        <v/>
      </c>
      <c r="X56" s="299">
        <f>IF(AND($F56&lt;=X$2, OR($G56="",$G56&gt;=X$2)),
  $H56 * (1 + Assumptions!$C$7) ^ INT(((YEAR(X$2)-YEAR($F56))*12 + MONTH(X$2)-MONTH($F56)) / 12),
  0)</f>
        <v/>
      </c>
      <c r="Y56" s="299">
        <f>IF(AND($F56&lt;=Y$2, OR($G56="",$G56&gt;=Y$2)),
  $H56 * (1 + Assumptions!$C$7) ^ INT(((YEAR(Y$2)-YEAR($F56))*12 + MONTH(Y$2)-MONTH($F56)) / 12),
  0)</f>
        <v/>
      </c>
      <c r="Z56" s="299">
        <f>IF(AND($F56&lt;=Z$2, OR($G56="",$G56&gt;=Z$2)),
  $H56 * (1 + Assumptions!$C$7) ^ INT(((YEAR(Z$2)-YEAR($F56))*12 + MONTH(Z$2)-MONTH($F56)) / 12),
  0)</f>
        <v/>
      </c>
      <c r="AA56" s="299">
        <f>IF(AND($F56&lt;=AA$2, OR($G56="",$G56&gt;=AA$2)),
  $H56 * (1 + Assumptions!$C$7) ^ INT(((YEAR(AA$2)-YEAR($F56))*12 + MONTH(AA$2)-MONTH($F56)) / 12),
  0)</f>
        <v/>
      </c>
      <c r="AB56" s="299">
        <f>IF(AND($F56&lt;=AB$2, OR($G56="",$G56&gt;=AB$2)),
  $H56 * (1 + Assumptions!$C$7) ^ INT(((YEAR(AB$2)-YEAR($F56))*12 + MONTH(AB$2)-MONTH($F56)) / 12),
  0)</f>
        <v/>
      </c>
      <c r="AC56" s="299">
        <f>IF(AND($F56&lt;=AC$2, OR($G56="",$G56&gt;=AC$2)),
  $H56 * (1 + Assumptions!$C$7) ^ INT(((YEAR(AC$2)-YEAR($F56))*12 + MONTH(AC$2)-MONTH($F56)) / 12),
  0)</f>
        <v/>
      </c>
      <c r="AD56" s="299">
        <f>IF(AND($F56&lt;=AD$2, OR($G56="",$G56&gt;=AD$2)),
  $H56 * (1 + Assumptions!$C$7) ^ INT(((YEAR(AD$2)-YEAR($F56))*12 + MONTH(AD$2)-MONTH($F56)) / 12),
  0)</f>
        <v/>
      </c>
      <c r="AE56" s="299">
        <f>IF(AND($F56&lt;=AE$2, OR($G56="",$G56&gt;=AE$2)),
  $H56 * (1 + Assumptions!$C$7) ^ INT(((YEAR(AE$2)-YEAR($F56))*12 + MONTH(AE$2)-MONTH($F56)) / 12),
  0)</f>
        <v/>
      </c>
      <c r="AF56" s="299">
        <f>IF(AND($F56&lt;=AF$2, OR($G56="",$G56&gt;=AF$2)),
  $H56 * (1 + Assumptions!$C$7) ^ INT(((YEAR(AF$2)-YEAR($F56))*12 + MONTH(AF$2)-MONTH($F56)) / 12),
  0)</f>
        <v/>
      </c>
      <c r="AG56" s="299">
        <f>IF(AND($F56&lt;=AG$2, OR($G56="",$G56&gt;=AG$2)),
  $H56 * (1 + Assumptions!$C$7) ^ INT(((YEAR(AG$2)-YEAR($F56))*12 + MONTH(AG$2)-MONTH($F56)) / 12),
  0)</f>
        <v/>
      </c>
      <c r="AH56" s="299">
        <f>IF(AND($F56&lt;=AH$2, OR($G56="",$G56&gt;=AH$2)),
  $H56 * (1 + Assumptions!$C$7) ^ INT(((YEAR(AH$2)-YEAR($F56))*12 + MONTH(AH$2)-MONTH($F56)) / 12),
  0)</f>
        <v/>
      </c>
      <c r="AI56" s="299">
        <f>IF(AND($F56&lt;=AI$2, OR($G56="",$G56&gt;=AI$2)),
  $H56 * (1 + Assumptions!$C$7) ^ INT(((YEAR(AI$2)-YEAR($F56))*12 + MONTH(AI$2)-MONTH($F56)) / 12),
  0)</f>
        <v/>
      </c>
      <c r="AJ56" s="299">
        <f>IF(AND($F56&lt;=AJ$2, OR($G56="",$G56&gt;=AJ$2)),
  $H56 * (1 + Assumptions!$C$7) ^ INT(((YEAR(AJ$2)-YEAR($F56))*12 + MONTH(AJ$2)-MONTH($F56)) / 12),
  0)</f>
        <v/>
      </c>
      <c r="AK56" s="299">
        <f>IF(AND($F56&lt;=AK$2, OR($G56="",$G56&gt;=AK$2)),
  $H56 * (1 + Assumptions!$C$7) ^ INT(((YEAR(AK$2)-YEAR($F56))*12 + MONTH(AK$2)-MONTH($F56)) / 12),
  0)</f>
        <v/>
      </c>
      <c r="AL56" s="299">
        <f>IF(AND($F56&lt;=AL$2, OR($G56="",$G56&gt;=AL$2)),
  $H56 * (1 + Assumptions!$C$7) ^ INT(((YEAR(AL$2)-YEAR($F56))*12 + MONTH(AL$2)-MONTH($F56)) / 12),
  0)</f>
        <v/>
      </c>
      <c r="AM56" s="299">
        <f>IF(AND($F56&lt;=AM$2, OR($G56="",$G56&gt;=AM$2)),
  $H56 * (1 + Assumptions!$C$7) ^ INT(((YEAR(AM$2)-YEAR($F56))*12 + MONTH(AM$2)-MONTH($F56)) / 12),
  0)</f>
        <v/>
      </c>
      <c r="AN56" s="299">
        <f>IF(AND($F56&lt;=AN$2, OR($G56="",$G56&gt;=AN$2)),
  $H56 * (1 + Assumptions!$C$7) ^ INT(((YEAR(AN$2)-YEAR($F56))*12 + MONTH(AN$2)-MONTH($F56)) / 12),
  0)</f>
        <v/>
      </c>
      <c r="AO56" s="299">
        <f>IF(AND($F56&lt;=AO$2, OR($G56="",$G56&gt;=AO$2)),
  $H56 * (1 + Assumptions!$C$7) ^ INT(((YEAR(AO$2)-YEAR($F56))*12 + MONTH(AO$2)-MONTH($F56)) / 12),
  0)</f>
        <v/>
      </c>
      <c r="AP56" s="299">
        <f>IF(AND($F56&lt;=AP$2, OR($G56="",$G56&gt;=AP$2)),
  $H56 * (1 + Assumptions!$C$7) ^ INT(((YEAR(AP$2)-YEAR($F56))*12 + MONTH(AP$2)-MONTH($F56)) / 12),
  0)</f>
        <v/>
      </c>
      <c r="AQ56" s="299">
        <f>IF(AND($F56&lt;=AQ$2, OR($G56="",$G56&gt;=AQ$2)),
  $H56 * (1 + Assumptions!$C$7) ^ INT(((YEAR(AQ$2)-YEAR($F56))*12 + MONTH(AQ$2)-MONTH($F56)) / 12),
  0)</f>
        <v/>
      </c>
      <c r="AR56" s="299">
        <f>IF(AND($F56&lt;=AR$2, OR($G56="",$G56&gt;=AR$2)),
  $H56 * (1 + Assumptions!$C$7) ^ INT(((YEAR(AR$2)-YEAR($F56))*12 + MONTH(AR$2)-MONTH($F56)) / 12),
  0)</f>
        <v/>
      </c>
      <c r="AS56" s="299">
        <f>IF(AND($F56&lt;=AS$2, OR($G56="",$G56&gt;=AS$2)),
  $H56 * (1 + Assumptions!$C$7) ^ INT(((YEAR(AS$2)-YEAR($F56))*12 + MONTH(AS$2)-MONTH($F56)) / 12),
  0)</f>
        <v/>
      </c>
      <c r="AT56" s="299">
        <f>IF(AND($F56&lt;=AT$2, OR($G56="",$G56&gt;=AT$2)),
  $H56 * (1 + Assumptions!$C$7) ^ INT(((YEAR(AT$2)-YEAR($F56))*12 + MONTH(AT$2)-MONTH($F56)) / 12),
  0)</f>
        <v/>
      </c>
      <c r="AU56" s="299">
        <f>IF(AND($F56&lt;=AU$2, OR($G56="",$G56&gt;=AU$2)),
  $H56 * (1 + Assumptions!$C$7) ^ INT(((YEAR(AU$2)-YEAR($F56))*12 + MONTH(AU$2)-MONTH($F56)) / 12),
  0)</f>
        <v/>
      </c>
      <c r="AV56" s="299">
        <f>IF(AND($F56&lt;=AV$2, OR($G56="",$G56&gt;=AV$2)),
  $H56 * (1 + Assumptions!$C$7) ^ INT(((YEAR(AV$2)-YEAR($F56))*12 + MONTH(AV$2)-MONTH($F56)) / 12),
  0)</f>
        <v/>
      </c>
      <c r="AW56" s="299">
        <f>IF(AND($F56&lt;=AW$2, OR($G56="",$G56&gt;=AW$2)),
  $H56 * (1 + Assumptions!$C$7) ^ INT(((YEAR(AW$2)-YEAR($F56))*12 + MONTH(AW$2)-MONTH($F56)) / 12),
  0)</f>
        <v/>
      </c>
      <c r="AX56" s="299">
        <f>IF(AND($F56&lt;=AX$2, OR($G56="",$G56&gt;=AX$2)),
  $H56 * (1 + Assumptions!$C$7) ^ INT(((YEAR(AX$2)-YEAR($F56))*12 + MONTH(AX$2)-MONTH($F56)) / 12),
  0)</f>
        <v/>
      </c>
      <c r="AY56" s="299">
        <f>IF(AND($F56&lt;=AY$2, OR($G56="",$G56&gt;=AY$2)),
  $H56 * (1 + Assumptions!$C$7) ^ INT(((YEAR(AY$2)-YEAR($F56))*12 + MONTH(AY$2)-MONTH($F56)) / 12),
  0)</f>
        <v/>
      </c>
      <c r="AZ56" s="299">
        <f>IF(AND($F56&lt;=AZ$2, OR($G56="",$G56&gt;=AZ$2)),
  $H56 * (1 + Assumptions!$C$7) ^ INT(((YEAR(AZ$2)-YEAR($F56))*12 + MONTH(AZ$2)-MONTH($F56)) / 12),
  0)</f>
        <v/>
      </c>
      <c r="BA56" s="299">
        <f>IF(AND($F56&lt;=BA$2, OR($G56="",$G56&gt;=BA$2)),
  $H56 * (1 + Assumptions!$C$7) ^ INT(((YEAR(BA$2)-YEAR($F56))*12 + MONTH(BA$2)-MONTH($F56)) / 12),
  0)</f>
        <v/>
      </c>
      <c r="BB56" s="299">
        <f>IF(AND($F56&lt;=BB$2, OR($G56="",$G56&gt;=BB$2)),
  $H56 * (1 + Assumptions!$C$7) ^ INT(((YEAR(BB$2)-YEAR($F56))*12 + MONTH(BB$2)-MONTH($F56)) / 12),
  0)</f>
        <v/>
      </c>
      <c r="BC56" s="299">
        <f>IF(AND($F56&lt;=BC$2, OR($G56="",$G56&gt;=BC$2)),
  $H56 * (1 + Assumptions!$C$7) ^ INT(((YEAR(BC$2)-YEAR($F56))*12 + MONTH(BC$2)-MONTH($F56)) / 12),
  0)</f>
        <v/>
      </c>
      <c r="BD56" s="299">
        <f>IF(AND($F56&lt;=BD$2, OR($G56="",$G56&gt;=BD$2)),
  $H56 * (1 + Assumptions!$C$7) ^ INT(((YEAR(BD$2)-YEAR($F56))*12 + MONTH(BD$2)-MONTH($F56)) / 12),
  0)</f>
        <v/>
      </c>
      <c r="BE56" s="299">
        <f>IF(AND($F56&lt;=BE$2, OR($G56="",$G56&gt;=BE$2)),
  $H56 * (1 + Assumptions!$C$7) ^ INT(((YEAR(BE$2)-YEAR($F56))*12 + MONTH(BE$2)-MONTH($F56)) / 12),
  0)</f>
        <v/>
      </c>
      <c r="BF56" s="299">
        <f>IF(AND($F56&lt;=BF$2, OR($G56="",$G56&gt;=BF$2)),
  $H56 * (1 + Assumptions!$C$7) ^ INT(((YEAR(BF$2)-YEAR($F56))*12 + MONTH(BF$2)-MONTH($F56)) / 12),
  0)</f>
        <v/>
      </c>
      <c r="BG56" s="299">
        <f>IF(AND($F56&lt;=BG$2, OR($G56="",$G56&gt;=BG$2)),
  $H56 * (1 + Assumptions!$C$7) ^ INT(((YEAR(BG$2)-YEAR($F56))*12 + MONTH(BG$2)-MONTH($F56)) / 12),
  0)</f>
        <v/>
      </c>
      <c r="BH56" s="299">
        <f>IF(AND($F56&lt;=BH$2, OR($G56="",$G56&gt;=BH$2)),
  $H56 * (1 + Assumptions!$C$7) ^ INT(((YEAR(BH$2)-YEAR($F56))*12 + MONTH(BH$2)-MONTH($F56)) / 12),
  0)</f>
        <v/>
      </c>
      <c r="BI56" s="299">
        <f>IF(AND($F56&lt;=BI$2, OR($G56="",$G56&gt;=BI$2)),
  $H56 * (1 + Assumptions!$C$7) ^ INT(((YEAR(BI$2)-YEAR($F56))*12 + MONTH(BI$2)-MONTH($F56)) / 12),
  0)</f>
        <v/>
      </c>
      <c r="BJ56" s="299">
        <f>IF(AND($F56&lt;=BJ$2, OR($G56="",$G56&gt;=BJ$2)),
  $H56 * (1 + Assumptions!$C$7) ^ INT(((YEAR(BJ$2)-YEAR($F56))*12 + MONTH(BJ$2)-MONTH($F56)) / 12),
  0)</f>
        <v/>
      </c>
      <c r="BK56" s="299">
        <f>IF(AND($F56&lt;=BK$2, OR($G56="",$G56&gt;=BK$2)),
  $H56 * (1 + Assumptions!$C$7) ^ INT(((YEAR(BK$2)-YEAR($F56))*12 + MONTH(BK$2)-MONTH($F56)) / 12),
  0)</f>
        <v/>
      </c>
      <c r="BL56" s="299">
        <f>IF(AND($F56&lt;=BL$2, OR($G56="",$G56&gt;=BL$2)),
  $H56 * (1 + Assumptions!$C$7) ^ INT(((YEAR(BL$2)-YEAR($F56))*12 + MONTH(BL$2)-MONTH($F56)) / 12),
  0)</f>
        <v/>
      </c>
      <c r="BM56" s="299">
        <f>IF(AND($F56&lt;=BM$2, OR($G56="",$G56&gt;=BM$2)),
  $H56 * (1 + Assumptions!$C$7) ^ INT(((YEAR(BM$2)-YEAR($F56))*12 + MONTH(BM$2)-MONTH($F56)) / 12),
  0)</f>
        <v/>
      </c>
      <c r="BN56" s="299">
        <f>IF(AND($F56&lt;=BN$2, OR($G56="",$G56&gt;=BN$2)),
  $H56 * (1 + Assumptions!$C$7) ^ INT(((YEAR(BN$2)-YEAR($F56))*12 + MONTH(BN$2)-MONTH($F56)) / 12),
  0)</f>
        <v/>
      </c>
      <c r="BO56" s="299">
        <f>IF(AND($F56&lt;=BO$2, OR($G56="",$G56&gt;=BO$2)),
  $H56 * (1 + Assumptions!$C$7) ^ INT(((YEAR(BO$2)-YEAR($F56))*12 + MONTH(BO$2)-MONTH($F56)) / 12),
  0)</f>
        <v/>
      </c>
      <c r="BP56" s="299">
        <f>IF(AND($F56&lt;=BP$2, OR($G56="",$G56&gt;=BP$2)),
  $H56 * (1 + Assumptions!$C$7) ^ INT(((YEAR(BP$2)-YEAR($F56))*12 + MONTH(BP$2)-MONTH($F56)) / 12),
  0)</f>
        <v/>
      </c>
      <c r="BQ56" s="307" t="n"/>
      <c r="BR56" s="83" t="inlineStr">
        <is>
          <t>paid this month if started and not yet left; +8% on each work anniversary</t>
        </is>
      </c>
      <c r="BS56" s="307" t="n"/>
      <c r="BT56" s="307" t="n"/>
    </row>
    <row r="57" ht="15.75" customHeight="1" s="349">
      <c r="A57" s="321" t="n">
        <v>52</v>
      </c>
      <c r="B57" s="285" t="inlineStr">
        <is>
          <t>New hire</t>
        </is>
      </c>
      <c r="C57" s="317" t="inlineStr">
        <is>
          <t>S&amp;M</t>
        </is>
      </c>
      <c r="D57" s="317" t="inlineStr">
        <is>
          <t>Sales</t>
        </is>
      </c>
      <c r="E57" s="297" t="inlineStr">
        <is>
          <t>Planned</t>
        </is>
      </c>
      <c r="F57" s="318">
        <f>IF(Assumptions!$D$82=2,DATE(2027,1,1),DATE(2027,1,1))</f>
        <v/>
      </c>
      <c r="G57" s="318" t="n"/>
      <c r="H57" s="288" t="n">
        <v>7500</v>
      </c>
      <c r="I57" s="299">
        <f>IF(AND($F57&lt;=I$2, OR($G57="",$G57&gt;=I$2)),
  $H57 * (1 + Assumptions!$C$7) ^ INT(((YEAR(I$2)-YEAR($F57))*12 + MONTH(I$2)-MONTH($F57)) / 12),
  0)</f>
        <v/>
      </c>
      <c r="J57" s="299">
        <f>IF(AND($F57&lt;=J$2, OR($G57="",$G57&gt;=J$2)),
  $H57 * (1 + Assumptions!$C$7) ^ INT(((YEAR(J$2)-YEAR($F57))*12 + MONTH(J$2)-MONTH($F57)) / 12),
  0)</f>
        <v/>
      </c>
      <c r="K57" s="299">
        <f>IF(AND($F57&lt;=K$2, OR($G57="",$G57&gt;=K$2)),
  $H57 * (1 + Assumptions!$C$7) ^ INT(((YEAR(K$2)-YEAR($F57))*12 + MONTH(K$2)-MONTH($F57)) / 12),
  0)</f>
        <v/>
      </c>
      <c r="L57" s="299">
        <f>IF(AND($F57&lt;=L$2, OR($G57="",$G57&gt;=L$2)),
  $H57 * (1 + Assumptions!$C$7) ^ INT(((YEAR(L$2)-YEAR($F57))*12 + MONTH(L$2)-MONTH($F57)) / 12),
  0)</f>
        <v/>
      </c>
      <c r="M57" s="299">
        <f>IF(AND($F57&lt;=M$2, OR($G57="",$G57&gt;=M$2)),
  $H57 * (1 + Assumptions!$C$7) ^ INT(((YEAR(M$2)-YEAR($F57))*12 + MONTH(M$2)-MONTH($F57)) / 12),
  0)</f>
        <v/>
      </c>
      <c r="N57" s="299">
        <f>IF(AND($F57&lt;=N$2, OR($G57="",$G57&gt;=N$2)),
  $H57 * (1 + Assumptions!$C$7) ^ INT(((YEAR(N$2)-YEAR($F57))*12 + MONTH(N$2)-MONTH($F57)) / 12),
  0)</f>
        <v/>
      </c>
      <c r="O57" s="299">
        <f>IF(AND($F57&lt;=O$2, OR($G57="",$G57&gt;=O$2)),
  $H57 * (1 + Assumptions!$C$7) ^ INT(((YEAR(O$2)-YEAR($F57))*12 + MONTH(O$2)-MONTH($F57)) / 12),
  0)</f>
        <v/>
      </c>
      <c r="P57" s="299">
        <f>IF(AND($F57&lt;=P$2, OR($G57="",$G57&gt;=P$2)),
  $H57 * (1 + Assumptions!$C$7) ^ INT(((YEAR(P$2)-YEAR($F57))*12 + MONTH(P$2)-MONTH($F57)) / 12),
  0)</f>
        <v/>
      </c>
      <c r="Q57" s="299">
        <f>IF(AND($F57&lt;=Q$2, OR($G57="",$G57&gt;=Q$2)),
  $H57 * (1 + Assumptions!$C$7) ^ INT(((YEAR(Q$2)-YEAR($F57))*12 + MONTH(Q$2)-MONTH($F57)) / 12),
  0)</f>
        <v/>
      </c>
      <c r="R57" s="299">
        <f>IF(AND($F57&lt;=R$2, OR($G57="",$G57&gt;=R$2)),
  $H57 * (1 + Assumptions!$C$7) ^ INT(((YEAR(R$2)-YEAR($F57))*12 + MONTH(R$2)-MONTH($F57)) / 12),
  0)</f>
        <v/>
      </c>
      <c r="S57" s="299">
        <f>IF(AND($F57&lt;=S$2, OR($G57="",$G57&gt;=S$2)),
  $H57 * (1 + Assumptions!$C$7) ^ INT(((YEAR(S$2)-YEAR($F57))*12 + MONTH(S$2)-MONTH($F57)) / 12),
  0)</f>
        <v/>
      </c>
      <c r="T57" s="299">
        <f>IF(AND($F57&lt;=T$2, OR($G57="",$G57&gt;=T$2)),
  $H57 * (1 + Assumptions!$C$7) ^ INT(((YEAR(T$2)-YEAR($F57))*12 + MONTH(T$2)-MONTH($F57)) / 12),
  0)</f>
        <v/>
      </c>
      <c r="U57" s="299">
        <f>IF(AND($F57&lt;=U$2, OR($G57="",$G57&gt;=U$2)),
  $H57 * (1 + Assumptions!$C$7) ^ INT(((YEAR(U$2)-YEAR($F57))*12 + MONTH(U$2)-MONTH($F57)) / 12),
  0)</f>
        <v/>
      </c>
      <c r="V57" s="299">
        <f>IF(AND($F57&lt;=V$2, OR($G57="",$G57&gt;=V$2)),
  $H57 * (1 + Assumptions!$C$7) ^ INT(((YEAR(V$2)-YEAR($F57))*12 + MONTH(V$2)-MONTH($F57)) / 12),
  0)</f>
        <v/>
      </c>
      <c r="W57" s="299">
        <f>IF(AND($F57&lt;=W$2, OR($G57="",$G57&gt;=W$2)),
  $H57 * (1 + Assumptions!$C$7) ^ INT(((YEAR(W$2)-YEAR($F57))*12 + MONTH(W$2)-MONTH($F57)) / 12),
  0)</f>
        <v/>
      </c>
      <c r="X57" s="299">
        <f>IF(AND($F57&lt;=X$2, OR($G57="",$G57&gt;=X$2)),
  $H57 * (1 + Assumptions!$C$7) ^ INT(((YEAR(X$2)-YEAR($F57))*12 + MONTH(X$2)-MONTH($F57)) / 12),
  0)</f>
        <v/>
      </c>
      <c r="Y57" s="299">
        <f>IF(AND($F57&lt;=Y$2, OR($G57="",$G57&gt;=Y$2)),
  $H57 * (1 + Assumptions!$C$7) ^ INT(((YEAR(Y$2)-YEAR($F57))*12 + MONTH(Y$2)-MONTH($F57)) / 12),
  0)</f>
        <v/>
      </c>
      <c r="Z57" s="299">
        <f>IF(AND($F57&lt;=Z$2, OR($G57="",$G57&gt;=Z$2)),
  $H57 * (1 + Assumptions!$C$7) ^ INT(((YEAR(Z$2)-YEAR($F57))*12 + MONTH(Z$2)-MONTH($F57)) / 12),
  0)</f>
        <v/>
      </c>
      <c r="AA57" s="299">
        <f>IF(AND($F57&lt;=AA$2, OR($G57="",$G57&gt;=AA$2)),
  $H57 * (1 + Assumptions!$C$7) ^ INT(((YEAR(AA$2)-YEAR($F57))*12 + MONTH(AA$2)-MONTH($F57)) / 12),
  0)</f>
        <v/>
      </c>
      <c r="AB57" s="299">
        <f>IF(AND($F57&lt;=AB$2, OR($G57="",$G57&gt;=AB$2)),
  $H57 * (1 + Assumptions!$C$7) ^ INT(((YEAR(AB$2)-YEAR($F57))*12 + MONTH(AB$2)-MONTH($F57)) / 12),
  0)</f>
        <v/>
      </c>
      <c r="AC57" s="299">
        <f>IF(AND($F57&lt;=AC$2, OR($G57="",$G57&gt;=AC$2)),
  $H57 * (1 + Assumptions!$C$7) ^ INT(((YEAR(AC$2)-YEAR($F57))*12 + MONTH(AC$2)-MONTH($F57)) / 12),
  0)</f>
        <v/>
      </c>
      <c r="AD57" s="299">
        <f>IF(AND($F57&lt;=AD$2, OR($G57="",$G57&gt;=AD$2)),
  $H57 * (1 + Assumptions!$C$7) ^ INT(((YEAR(AD$2)-YEAR($F57))*12 + MONTH(AD$2)-MONTH($F57)) / 12),
  0)</f>
        <v/>
      </c>
      <c r="AE57" s="299">
        <f>IF(AND($F57&lt;=AE$2, OR($G57="",$G57&gt;=AE$2)),
  $H57 * (1 + Assumptions!$C$7) ^ INT(((YEAR(AE$2)-YEAR($F57))*12 + MONTH(AE$2)-MONTH($F57)) / 12),
  0)</f>
        <v/>
      </c>
      <c r="AF57" s="299">
        <f>IF(AND($F57&lt;=AF$2, OR($G57="",$G57&gt;=AF$2)),
  $H57 * (1 + Assumptions!$C$7) ^ INT(((YEAR(AF$2)-YEAR($F57))*12 + MONTH(AF$2)-MONTH($F57)) / 12),
  0)</f>
        <v/>
      </c>
      <c r="AG57" s="299">
        <f>IF(AND($F57&lt;=AG$2, OR($G57="",$G57&gt;=AG$2)),
  $H57 * (1 + Assumptions!$C$7) ^ INT(((YEAR(AG$2)-YEAR($F57))*12 + MONTH(AG$2)-MONTH($F57)) / 12),
  0)</f>
        <v/>
      </c>
      <c r="AH57" s="299">
        <f>IF(AND($F57&lt;=AH$2, OR($G57="",$G57&gt;=AH$2)),
  $H57 * (1 + Assumptions!$C$7) ^ INT(((YEAR(AH$2)-YEAR($F57))*12 + MONTH(AH$2)-MONTH($F57)) / 12),
  0)</f>
        <v/>
      </c>
      <c r="AI57" s="299">
        <f>IF(AND($F57&lt;=AI$2, OR($G57="",$G57&gt;=AI$2)),
  $H57 * (1 + Assumptions!$C$7) ^ INT(((YEAR(AI$2)-YEAR($F57))*12 + MONTH(AI$2)-MONTH($F57)) / 12),
  0)</f>
        <v/>
      </c>
      <c r="AJ57" s="299">
        <f>IF(AND($F57&lt;=AJ$2, OR($G57="",$G57&gt;=AJ$2)),
  $H57 * (1 + Assumptions!$C$7) ^ INT(((YEAR(AJ$2)-YEAR($F57))*12 + MONTH(AJ$2)-MONTH($F57)) / 12),
  0)</f>
        <v/>
      </c>
      <c r="AK57" s="299">
        <f>IF(AND($F57&lt;=AK$2, OR($G57="",$G57&gt;=AK$2)),
  $H57 * (1 + Assumptions!$C$7) ^ INT(((YEAR(AK$2)-YEAR($F57))*12 + MONTH(AK$2)-MONTH($F57)) / 12),
  0)</f>
        <v/>
      </c>
      <c r="AL57" s="299">
        <f>IF(AND($F57&lt;=AL$2, OR($G57="",$G57&gt;=AL$2)),
  $H57 * (1 + Assumptions!$C$7) ^ INT(((YEAR(AL$2)-YEAR($F57))*12 + MONTH(AL$2)-MONTH($F57)) / 12),
  0)</f>
        <v/>
      </c>
      <c r="AM57" s="299">
        <f>IF(AND($F57&lt;=AM$2, OR($G57="",$G57&gt;=AM$2)),
  $H57 * (1 + Assumptions!$C$7) ^ INT(((YEAR(AM$2)-YEAR($F57))*12 + MONTH(AM$2)-MONTH($F57)) / 12),
  0)</f>
        <v/>
      </c>
      <c r="AN57" s="299">
        <f>IF(AND($F57&lt;=AN$2, OR($G57="",$G57&gt;=AN$2)),
  $H57 * (1 + Assumptions!$C$7) ^ INT(((YEAR(AN$2)-YEAR($F57))*12 + MONTH(AN$2)-MONTH($F57)) / 12),
  0)</f>
        <v/>
      </c>
      <c r="AO57" s="299">
        <f>IF(AND($F57&lt;=AO$2, OR($G57="",$G57&gt;=AO$2)),
  $H57 * (1 + Assumptions!$C$7) ^ INT(((YEAR(AO$2)-YEAR($F57))*12 + MONTH(AO$2)-MONTH($F57)) / 12),
  0)</f>
        <v/>
      </c>
      <c r="AP57" s="299">
        <f>IF(AND($F57&lt;=AP$2, OR($G57="",$G57&gt;=AP$2)),
  $H57 * (1 + Assumptions!$C$7) ^ INT(((YEAR(AP$2)-YEAR($F57))*12 + MONTH(AP$2)-MONTH($F57)) / 12),
  0)</f>
        <v/>
      </c>
      <c r="AQ57" s="299">
        <f>IF(AND($F57&lt;=AQ$2, OR($G57="",$G57&gt;=AQ$2)),
  $H57 * (1 + Assumptions!$C$7) ^ INT(((YEAR(AQ$2)-YEAR($F57))*12 + MONTH(AQ$2)-MONTH($F57)) / 12),
  0)</f>
        <v/>
      </c>
      <c r="AR57" s="299">
        <f>IF(AND($F57&lt;=AR$2, OR($G57="",$G57&gt;=AR$2)),
  $H57 * (1 + Assumptions!$C$7) ^ INT(((YEAR(AR$2)-YEAR($F57))*12 + MONTH(AR$2)-MONTH($F57)) / 12),
  0)</f>
        <v/>
      </c>
      <c r="AS57" s="299">
        <f>IF(AND($F57&lt;=AS$2, OR($G57="",$G57&gt;=AS$2)),
  $H57 * (1 + Assumptions!$C$7) ^ INT(((YEAR(AS$2)-YEAR($F57))*12 + MONTH(AS$2)-MONTH($F57)) / 12),
  0)</f>
        <v/>
      </c>
      <c r="AT57" s="299">
        <f>IF(AND($F57&lt;=AT$2, OR($G57="",$G57&gt;=AT$2)),
  $H57 * (1 + Assumptions!$C$7) ^ INT(((YEAR(AT$2)-YEAR($F57))*12 + MONTH(AT$2)-MONTH($F57)) / 12),
  0)</f>
        <v/>
      </c>
      <c r="AU57" s="299">
        <f>IF(AND($F57&lt;=AU$2, OR($G57="",$G57&gt;=AU$2)),
  $H57 * (1 + Assumptions!$C$7) ^ INT(((YEAR(AU$2)-YEAR($F57))*12 + MONTH(AU$2)-MONTH($F57)) / 12),
  0)</f>
        <v/>
      </c>
      <c r="AV57" s="299">
        <f>IF(AND($F57&lt;=AV$2, OR($G57="",$G57&gt;=AV$2)),
  $H57 * (1 + Assumptions!$C$7) ^ INT(((YEAR(AV$2)-YEAR($F57))*12 + MONTH(AV$2)-MONTH($F57)) / 12),
  0)</f>
        <v/>
      </c>
      <c r="AW57" s="299">
        <f>IF(AND($F57&lt;=AW$2, OR($G57="",$G57&gt;=AW$2)),
  $H57 * (1 + Assumptions!$C$7) ^ INT(((YEAR(AW$2)-YEAR($F57))*12 + MONTH(AW$2)-MONTH($F57)) / 12),
  0)</f>
        <v/>
      </c>
      <c r="AX57" s="299">
        <f>IF(AND($F57&lt;=AX$2, OR($G57="",$G57&gt;=AX$2)),
  $H57 * (1 + Assumptions!$C$7) ^ INT(((YEAR(AX$2)-YEAR($F57))*12 + MONTH(AX$2)-MONTH($F57)) / 12),
  0)</f>
        <v/>
      </c>
      <c r="AY57" s="299">
        <f>IF(AND($F57&lt;=AY$2, OR($G57="",$G57&gt;=AY$2)),
  $H57 * (1 + Assumptions!$C$7) ^ INT(((YEAR(AY$2)-YEAR($F57))*12 + MONTH(AY$2)-MONTH($F57)) / 12),
  0)</f>
        <v/>
      </c>
      <c r="AZ57" s="299">
        <f>IF(AND($F57&lt;=AZ$2, OR($G57="",$G57&gt;=AZ$2)),
  $H57 * (1 + Assumptions!$C$7) ^ INT(((YEAR(AZ$2)-YEAR($F57))*12 + MONTH(AZ$2)-MONTH($F57)) / 12),
  0)</f>
        <v/>
      </c>
      <c r="BA57" s="299">
        <f>IF(AND($F57&lt;=BA$2, OR($G57="",$G57&gt;=BA$2)),
  $H57 * (1 + Assumptions!$C$7) ^ INT(((YEAR(BA$2)-YEAR($F57))*12 + MONTH(BA$2)-MONTH($F57)) / 12),
  0)</f>
        <v/>
      </c>
      <c r="BB57" s="299">
        <f>IF(AND($F57&lt;=BB$2, OR($G57="",$G57&gt;=BB$2)),
  $H57 * (1 + Assumptions!$C$7) ^ INT(((YEAR(BB$2)-YEAR($F57))*12 + MONTH(BB$2)-MONTH($F57)) / 12),
  0)</f>
        <v/>
      </c>
      <c r="BC57" s="299">
        <f>IF(AND($F57&lt;=BC$2, OR($G57="",$G57&gt;=BC$2)),
  $H57 * (1 + Assumptions!$C$7) ^ INT(((YEAR(BC$2)-YEAR($F57))*12 + MONTH(BC$2)-MONTH($F57)) / 12),
  0)</f>
        <v/>
      </c>
      <c r="BD57" s="299">
        <f>IF(AND($F57&lt;=BD$2, OR($G57="",$G57&gt;=BD$2)),
  $H57 * (1 + Assumptions!$C$7) ^ INT(((YEAR(BD$2)-YEAR($F57))*12 + MONTH(BD$2)-MONTH($F57)) / 12),
  0)</f>
        <v/>
      </c>
      <c r="BE57" s="299">
        <f>IF(AND($F57&lt;=BE$2, OR($G57="",$G57&gt;=BE$2)),
  $H57 * (1 + Assumptions!$C$7) ^ INT(((YEAR(BE$2)-YEAR($F57))*12 + MONTH(BE$2)-MONTH($F57)) / 12),
  0)</f>
        <v/>
      </c>
      <c r="BF57" s="299">
        <f>IF(AND($F57&lt;=BF$2, OR($G57="",$G57&gt;=BF$2)),
  $H57 * (1 + Assumptions!$C$7) ^ INT(((YEAR(BF$2)-YEAR($F57))*12 + MONTH(BF$2)-MONTH($F57)) / 12),
  0)</f>
        <v/>
      </c>
      <c r="BG57" s="299">
        <f>IF(AND($F57&lt;=BG$2, OR($G57="",$G57&gt;=BG$2)),
  $H57 * (1 + Assumptions!$C$7) ^ INT(((YEAR(BG$2)-YEAR($F57))*12 + MONTH(BG$2)-MONTH($F57)) / 12),
  0)</f>
        <v/>
      </c>
      <c r="BH57" s="299">
        <f>IF(AND($F57&lt;=BH$2, OR($G57="",$G57&gt;=BH$2)),
  $H57 * (1 + Assumptions!$C$7) ^ INT(((YEAR(BH$2)-YEAR($F57))*12 + MONTH(BH$2)-MONTH($F57)) / 12),
  0)</f>
        <v/>
      </c>
      <c r="BI57" s="299">
        <f>IF(AND($F57&lt;=BI$2, OR($G57="",$G57&gt;=BI$2)),
  $H57 * (1 + Assumptions!$C$7) ^ INT(((YEAR(BI$2)-YEAR($F57))*12 + MONTH(BI$2)-MONTH($F57)) / 12),
  0)</f>
        <v/>
      </c>
      <c r="BJ57" s="299">
        <f>IF(AND($F57&lt;=BJ$2, OR($G57="",$G57&gt;=BJ$2)),
  $H57 * (1 + Assumptions!$C$7) ^ INT(((YEAR(BJ$2)-YEAR($F57))*12 + MONTH(BJ$2)-MONTH($F57)) / 12),
  0)</f>
        <v/>
      </c>
      <c r="BK57" s="299">
        <f>IF(AND($F57&lt;=BK$2, OR($G57="",$G57&gt;=BK$2)),
  $H57 * (1 + Assumptions!$C$7) ^ INT(((YEAR(BK$2)-YEAR($F57))*12 + MONTH(BK$2)-MONTH($F57)) / 12),
  0)</f>
        <v/>
      </c>
      <c r="BL57" s="299">
        <f>IF(AND($F57&lt;=BL$2, OR($G57="",$G57&gt;=BL$2)),
  $H57 * (1 + Assumptions!$C$7) ^ INT(((YEAR(BL$2)-YEAR($F57))*12 + MONTH(BL$2)-MONTH($F57)) / 12),
  0)</f>
        <v/>
      </c>
      <c r="BM57" s="299">
        <f>IF(AND($F57&lt;=BM$2, OR($G57="",$G57&gt;=BM$2)),
  $H57 * (1 + Assumptions!$C$7) ^ INT(((YEAR(BM$2)-YEAR($F57))*12 + MONTH(BM$2)-MONTH($F57)) / 12),
  0)</f>
        <v/>
      </c>
      <c r="BN57" s="299">
        <f>IF(AND($F57&lt;=BN$2, OR($G57="",$G57&gt;=BN$2)),
  $H57 * (1 + Assumptions!$C$7) ^ INT(((YEAR(BN$2)-YEAR($F57))*12 + MONTH(BN$2)-MONTH($F57)) / 12),
  0)</f>
        <v/>
      </c>
      <c r="BO57" s="299">
        <f>IF(AND($F57&lt;=BO$2, OR($G57="",$G57&gt;=BO$2)),
  $H57 * (1 + Assumptions!$C$7) ^ INT(((YEAR(BO$2)-YEAR($F57))*12 + MONTH(BO$2)-MONTH($F57)) / 12),
  0)</f>
        <v/>
      </c>
      <c r="BP57" s="299">
        <f>IF(AND($F57&lt;=BP$2, OR($G57="",$G57&gt;=BP$2)),
  $H57 * (1 + Assumptions!$C$7) ^ INT(((YEAR(BP$2)-YEAR($F57))*12 + MONTH(BP$2)-MONTH($F57)) / 12),
  0)</f>
        <v/>
      </c>
      <c r="BQ57" s="31" t="n"/>
      <c r="BR57" s="350" t="n"/>
      <c r="BS57" s="31" t="n"/>
      <c r="BT57" s="31" t="n"/>
    </row>
    <row r="58">
      <c r="A58" s="321" t="n">
        <v>53</v>
      </c>
      <c r="B58" s="285" t="inlineStr">
        <is>
          <t>New hire</t>
        </is>
      </c>
      <c r="C58" s="317" t="inlineStr">
        <is>
          <t>S&amp;M</t>
        </is>
      </c>
      <c r="D58" s="317" t="inlineStr">
        <is>
          <t>Sales</t>
        </is>
      </c>
      <c r="E58" s="297" t="inlineStr">
        <is>
          <t>Planned</t>
        </is>
      </c>
      <c r="F58" s="318">
        <f>IF(Assumptions!$D$82=2,DATE(2027,2,1),DATE(2027,1,1))</f>
        <v/>
      </c>
      <c r="G58" s="318" t="n"/>
      <c r="H58" s="288" t="n">
        <v>7500</v>
      </c>
      <c r="I58" s="299">
        <f>IF(AND($F58&lt;=I$2, OR($G58="",$G58&gt;=I$2)),
  $H58 * (1 + Assumptions!$C$7) ^ INT(((YEAR(I$2)-YEAR($F58))*12 + MONTH(I$2)-MONTH($F58)) / 12),
  0)</f>
        <v/>
      </c>
      <c r="J58" s="299">
        <f>IF(AND($F58&lt;=J$2, OR($G58="",$G58&gt;=J$2)),
  $H58 * (1 + Assumptions!$C$7) ^ INT(((YEAR(J$2)-YEAR($F58))*12 + MONTH(J$2)-MONTH($F58)) / 12),
  0)</f>
        <v/>
      </c>
      <c r="K58" s="299">
        <f>IF(AND($F58&lt;=K$2, OR($G58="",$G58&gt;=K$2)),
  $H58 * (1 + Assumptions!$C$7) ^ INT(((YEAR(K$2)-YEAR($F58))*12 + MONTH(K$2)-MONTH($F58)) / 12),
  0)</f>
        <v/>
      </c>
      <c r="L58" s="299">
        <f>IF(AND($F58&lt;=L$2, OR($G58="",$G58&gt;=L$2)),
  $H58 * (1 + Assumptions!$C$7) ^ INT(((YEAR(L$2)-YEAR($F58))*12 + MONTH(L$2)-MONTH($F58)) / 12),
  0)</f>
        <v/>
      </c>
      <c r="M58" s="299">
        <f>IF(AND($F58&lt;=M$2, OR($G58="",$G58&gt;=M$2)),
  $H58 * (1 + Assumptions!$C$7) ^ INT(((YEAR(M$2)-YEAR($F58))*12 + MONTH(M$2)-MONTH($F58)) / 12),
  0)</f>
        <v/>
      </c>
      <c r="N58" s="299">
        <f>IF(AND($F58&lt;=N$2, OR($G58="",$G58&gt;=N$2)),
  $H58 * (1 + Assumptions!$C$7) ^ INT(((YEAR(N$2)-YEAR($F58))*12 + MONTH(N$2)-MONTH($F58)) / 12),
  0)</f>
        <v/>
      </c>
      <c r="O58" s="299">
        <f>IF(AND($F58&lt;=O$2, OR($G58="",$G58&gt;=O$2)),
  $H58 * (1 + Assumptions!$C$7) ^ INT(((YEAR(O$2)-YEAR($F58))*12 + MONTH(O$2)-MONTH($F58)) / 12),
  0)</f>
        <v/>
      </c>
      <c r="P58" s="299">
        <f>IF(AND($F58&lt;=P$2, OR($G58="",$G58&gt;=P$2)),
  $H58 * (1 + Assumptions!$C$7) ^ INT(((YEAR(P$2)-YEAR($F58))*12 + MONTH(P$2)-MONTH($F58)) / 12),
  0)</f>
        <v/>
      </c>
      <c r="Q58" s="299">
        <f>IF(AND($F58&lt;=Q$2, OR($G58="",$G58&gt;=Q$2)),
  $H58 * (1 + Assumptions!$C$7) ^ INT(((YEAR(Q$2)-YEAR($F58))*12 + MONTH(Q$2)-MONTH($F58)) / 12),
  0)</f>
        <v/>
      </c>
      <c r="R58" s="299">
        <f>IF(AND($F58&lt;=R$2, OR($G58="",$G58&gt;=R$2)),
  $H58 * (1 + Assumptions!$C$7) ^ INT(((YEAR(R$2)-YEAR($F58))*12 + MONTH(R$2)-MONTH($F58)) / 12),
  0)</f>
        <v/>
      </c>
      <c r="S58" s="299">
        <f>IF(AND($F58&lt;=S$2, OR($G58="",$G58&gt;=S$2)),
  $H58 * (1 + Assumptions!$C$7) ^ INT(((YEAR(S$2)-YEAR($F58))*12 + MONTH(S$2)-MONTH($F58)) / 12),
  0)</f>
        <v/>
      </c>
      <c r="T58" s="299">
        <f>IF(AND($F58&lt;=T$2, OR($G58="",$G58&gt;=T$2)),
  $H58 * (1 + Assumptions!$C$7) ^ INT(((YEAR(T$2)-YEAR($F58))*12 + MONTH(T$2)-MONTH($F58)) / 12),
  0)</f>
        <v/>
      </c>
      <c r="U58" s="299">
        <f>IF(AND($F58&lt;=U$2, OR($G58="",$G58&gt;=U$2)),
  $H58 * (1 + Assumptions!$C$7) ^ INT(((YEAR(U$2)-YEAR($F58))*12 + MONTH(U$2)-MONTH($F58)) / 12),
  0)</f>
        <v/>
      </c>
      <c r="V58" s="299">
        <f>IF(AND($F58&lt;=V$2, OR($G58="",$G58&gt;=V$2)),
  $H58 * (1 + Assumptions!$C$7) ^ INT(((YEAR(V$2)-YEAR($F58))*12 + MONTH(V$2)-MONTH($F58)) / 12),
  0)</f>
        <v/>
      </c>
      <c r="W58" s="299">
        <f>IF(AND($F58&lt;=W$2, OR($G58="",$G58&gt;=W$2)),
  $H58 * (1 + Assumptions!$C$7) ^ INT(((YEAR(W$2)-YEAR($F58))*12 + MONTH(W$2)-MONTH($F58)) / 12),
  0)</f>
        <v/>
      </c>
      <c r="X58" s="299">
        <f>IF(AND($F58&lt;=X$2, OR($G58="",$G58&gt;=X$2)),
  $H58 * (1 + Assumptions!$C$7) ^ INT(((YEAR(X$2)-YEAR($F58))*12 + MONTH(X$2)-MONTH($F58)) / 12),
  0)</f>
        <v/>
      </c>
      <c r="Y58" s="299">
        <f>IF(AND($F58&lt;=Y$2, OR($G58="",$G58&gt;=Y$2)),
  $H58 * (1 + Assumptions!$C$7) ^ INT(((YEAR(Y$2)-YEAR($F58))*12 + MONTH(Y$2)-MONTH($F58)) / 12),
  0)</f>
        <v/>
      </c>
      <c r="Z58" s="299">
        <f>IF(AND($F58&lt;=Z$2, OR($G58="",$G58&gt;=Z$2)),
  $H58 * (1 + Assumptions!$C$7) ^ INT(((YEAR(Z$2)-YEAR($F58))*12 + MONTH(Z$2)-MONTH($F58)) / 12),
  0)</f>
        <v/>
      </c>
      <c r="AA58" s="299">
        <f>IF(AND($F58&lt;=AA$2, OR($G58="",$G58&gt;=AA$2)),
  $H58 * (1 + Assumptions!$C$7) ^ INT(((YEAR(AA$2)-YEAR($F58))*12 + MONTH(AA$2)-MONTH($F58)) / 12),
  0)</f>
        <v/>
      </c>
      <c r="AB58" s="299">
        <f>IF(AND($F58&lt;=AB$2, OR($G58="",$G58&gt;=AB$2)),
  $H58 * (1 + Assumptions!$C$7) ^ INT(((YEAR(AB$2)-YEAR($F58))*12 + MONTH(AB$2)-MONTH($F58)) / 12),
  0)</f>
        <v/>
      </c>
      <c r="AC58" s="299">
        <f>IF(AND($F58&lt;=AC$2, OR($G58="",$G58&gt;=AC$2)),
  $H58 * (1 + Assumptions!$C$7) ^ INT(((YEAR(AC$2)-YEAR($F58))*12 + MONTH(AC$2)-MONTH($F58)) / 12),
  0)</f>
        <v/>
      </c>
      <c r="AD58" s="299">
        <f>IF(AND($F58&lt;=AD$2, OR($G58="",$G58&gt;=AD$2)),
  $H58 * (1 + Assumptions!$C$7) ^ INT(((YEAR(AD$2)-YEAR($F58))*12 + MONTH(AD$2)-MONTH($F58)) / 12),
  0)</f>
        <v/>
      </c>
      <c r="AE58" s="299">
        <f>IF(AND($F58&lt;=AE$2, OR($G58="",$G58&gt;=AE$2)),
  $H58 * (1 + Assumptions!$C$7) ^ INT(((YEAR(AE$2)-YEAR($F58))*12 + MONTH(AE$2)-MONTH($F58)) / 12),
  0)</f>
        <v/>
      </c>
      <c r="AF58" s="299">
        <f>IF(AND($F58&lt;=AF$2, OR($G58="",$G58&gt;=AF$2)),
  $H58 * (1 + Assumptions!$C$7) ^ INT(((YEAR(AF$2)-YEAR($F58))*12 + MONTH(AF$2)-MONTH($F58)) / 12),
  0)</f>
        <v/>
      </c>
      <c r="AG58" s="299">
        <f>IF(AND($F58&lt;=AG$2, OR($G58="",$G58&gt;=AG$2)),
  $H58 * (1 + Assumptions!$C$7) ^ INT(((YEAR(AG$2)-YEAR($F58))*12 + MONTH(AG$2)-MONTH($F58)) / 12),
  0)</f>
        <v/>
      </c>
      <c r="AH58" s="299">
        <f>IF(AND($F58&lt;=AH$2, OR($G58="",$G58&gt;=AH$2)),
  $H58 * (1 + Assumptions!$C$7) ^ INT(((YEAR(AH$2)-YEAR($F58))*12 + MONTH(AH$2)-MONTH($F58)) / 12),
  0)</f>
        <v/>
      </c>
      <c r="AI58" s="299">
        <f>IF(AND($F58&lt;=AI$2, OR($G58="",$G58&gt;=AI$2)),
  $H58 * (1 + Assumptions!$C$7) ^ INT(((YEAR(AI$2)-YEAR($F58))*12 + MONTH(AI$2)-MONTH($F58)) / 12),
  0)</f>
        <v/>
      </c>
      <c r="AJ58" s="299">
        <f>IF(AND($F58&lt;=AJ$2, OR($G58="",$G58&gt;=AJ$2)),
  $H58 * (1 + Assumptions!$C$7) ^ INT(((YEAR(AJ$2)-YEAR($F58))*12 + MONTH(AJ$2)-MONTH($F58)) / 12),
  0)</f>
        <v/>
      </c>
      <c r="AK58" s="299">
        <f>IF(AND($F58&lt;=AK$2, OR($G58="",$G58&gt;=AK$2)),
  $H58 * (1 + Assumptions!$C$7) ^ INT(((YEAR(AK$2)-YEAR($F58))*12 + MONTH(AK$2)-MONTH($F58)) / 12),
  0)</f>
        <v/>
      </c>
      <c r="AL58" s="299">
        <f>IF(AND($F58&lt;=AL$2, OR($G58="",$G58&gt;=AL$2)),
  $H58 * (1 + Assumptions!$C$7) ^ INT(((YEAR(AL$2)-YEAR($F58))*12 + MONTH(AL$2)-MONTH($F58)) / 12),
  0)</f>
        <v/>
      </c>
      <c r="AM58" s="299">
        <f>IF(AND($F58&lt;=AM$2, OR($G58="",$G58&gt;=AM$2)),
  $H58 * (1 + Assumptions!$C$7) ^ INT(((YEAR(AM$2)-YEAR($F58))*12 + MONTH(AM$2)-MONTH($F58)) / 12),
  0)</f>
        <v/>
      </c>
      <c r="AN58" s="299">
        <f>IF(AND($F58&lt;=AN$2, OR($G58="",$G58&gt;=AN$2)),
  $H58 * (1 + Assumptions!$C$7) ^ INT(((YEAR(AN$2)-YEAR($F58))*12 + MONTH(AN$2)-MONTH($F58)) / 12),
  0)</f>
        <v/>
      </c>
      <c r="AO58" s="299">
        <f>IF(AND($F58&lt;=AO$2, OR($G58="",$G58&gt;=AO$2)),
  $H58 * (1 + Assumptions!$C$7) ^ INT(((YEAR(AO$2)-YEAR($F58))*12 + MONTH(AO$2)-MONTH($F58)) / 12),
  0)</f>
        <v/>
      </c>
      <c r="AP58" s="299">
        <f>IF(AND($F58&lt;=AP$2, OR($G58="",$G58&gt;=AP$2)),
  $H58 * (1 + Assumptions!$C$7) ^ INT(((YEAR(AP$2)-YEAR($F58))*12 + MONTH(AP$2)-MONTH($F58)) / 12),
  0)</f>
        <v/>
      </c>
      <c r="AQ58" s="299">
        <f>IF(AND($F58&lt;=AQ$2, OR($G58="",$G58&gt;=AQ$2)),
  $H58 * (1 + Assumptions!$C$7) ^ INT(((YEAR(AQ$2)-YEAR($F58))*12 + MONTH(AQ$2)-MONTH($F58)) / 12),
  0)</f>
        <v/>
      </c>
      <c r="AR58" s="299">
        <f>IF(AND($F58&lt;=AR$2, OR($G58="",$G58&gt;=AR$2)),
  $H58 * (1 + Assumptions!$C$7) ^ INT(((YEAR(AR$2)-YEAR($F58))*12 + MONTH(AR$2)-MONTH($F58)) / 12),
  0)</f>
        <v/>
      </c>
      <c r="AS58" s="299">
        <f>IF(AND($F58&lt;=AS$2, OR($G58="",$G58&gt;=AS$2)),
  $H58 * (1 + Assumptions!$C$7) ^ INT(((YEAR(AS$2)-YEAR($F58))*12 + MONTH(AS$2)-MONTH($F58)) / 12),
  0)</f>
        <v/>
      </c>
      <c r="AT58" s="299">
        <f>IF(AND($F58&lt;=AT$2, OR($G58="",$G58&gt;=AT$2)),
  $H58 * (1 + Assumptions!$C$7) ^ INT(((YEAR(AT$2)-YEAR($F58))*12 + MONTH(AT$2)-MONTH($F58)) / 12),
  0)</f>
        <v/>
      </c>
      <c r="AU58" s="299">
        <f>IF(AND($F58&lt;=AU$2, OR($G58="",$G58&gt;=AU$2)),
  $H58 * (1 + Assumptions!$C$7) ^ INT(((YEAR(AU$2)-YEAR($F58))*12 + MONTH(AU$2)-MONTH($F58)) / 12),
  0)</f>
        <v/>
      </c>
      <c r="AV58" s="299">
        <f>IF(AND($F58&lt;=AV$2, OR($G58="",$G58&gt;=AV$2)),
  $H58 * (1 + Assumptions!$C$7) ^ INT(((YEAR(AV$2)-YEAR($F58))*12 + MONTH(AV$2)-MONTH($F58)) / 12),
  0)</f>
        <v/>
      </c>
      <c r="AW58" s="299">
        <f>IF(AND($F58&lt;=AW$2, OR($G58="",$G58&gt;=AW$2)),
  $H58 * (1 + Assumptions!$C$7) ^ INT(((YEAR(AW$2)-YEAR($F58))*12 + MONTH(AW$2)-MONTH($F58)) / 12),
  0)</f>
        <v/>
      </c>
      <c r="AX58" s="299">
        <f>IF(AND($F58&lt;=AX$2, OR($G58="",$G58&gt;=AX$2)),
  $H58 * (1 + Assumptions!$C$7) ^ INT(((YEAR(AX$2)-YEAR($F58))*12 + MONTH(AX$2)-MONTH($F58)) / 12),
  0)</f>
        <v/>
      </c>
      <c r="AY58" s="299">
        <f>IF(AND($F58&lt;=AY$2, OR($G58="",$G58&gt;=AY$2)),
  $H58 * (1 + Assumptions!$C$7) ^ INT(((YEAR(AY$2)-YEAR($F58))*12 + MONTH(AY$2)-MONTH($F58)) / 12),
  0)</f>
        <v/>
      </c>
      <c r="AZ58" s="299">
        <f>IF(AND($F58&lt;=AZ$2, OR($G58="",$G58&gt;=AZ$2)),
  $H58 * (1 + Assumptions!$C$7) ^ INT(((YEAR(AZ$2)-YEAR($F58))*12 + MONTH(AZ$2)-MONTH($F58)) / 12),
  0)</f>
        <v/>
      </c>
      <c r="BA58" s="299">
        <f>IF(AND($F58&lt;=BA$2, OR($G58="",$G58&gt;=BA$2)),
  $H58 * (1 + Assumptions!$C$7) ^ INT(((YEAR(BA$2)-YEAR($F58))*12 + MONTH(BA$2)-MONTH($F58)) / 12),
  0)</f>
        <v/>
      </c>
      <c r="BB58" s="299">
        <f>IF(AND($F58&lt;=BB$2, OR($G58="",$G58&gt;=BB$2)),
  $H58 * (1 + Assumptions!$C$7) ^ INT(((YEAR(BB$2)-YEAR($F58))*12 + MONTH(BB$2)-MONTH($F58)) / 12),
  0)</f>
        <v/>
      </c>
      <c r="BC58" s="299">
        <f>IF(AND($F58&lt;=BC$2, OR($G58="",$G58&gt;=BC$2)),
  $H58 * (1 + Assumptions!$C$7) ^ INT(((YEAR(BC$2)-YEAR($F58))*12 + MONTH(BC$2)-MONTH($F58)) / 12),
  0)</f>
        <v/>
      </c>
      <c r="BD58" s="299">
        <f>IF(AND($F58&lt;=BD$2, OR($G58="",$G58&gt;=BD$2)),
  $H58 * (1 + Assumptions!$C$7) ^ INT(((YEAR(BD$2)-YEAR($F58))*12 + MONTH(BD$2)-MONTH($F58)) / 12),
  0)</f>
        <v/>
      </c>
      <c r="BE58" s="299">
        <f>IF(AND($F58&lt;=BE$2, OR($G58="",$G58&gt;=BE$2)),
  $H58 * (1 + Assumptions!$C$7) ^ INT(((YEAR(BE$2)-YEAR($F58))*12 + MONTH(BE$2)-MONTH($F58)) / 12),
  0)</f>
        <v/>
      </c>
      <c r="BF58" s="299">
        <f>IF(AND($F58&lt;=BF$2, OR($G58="",$G58&gt;=BF$2)),
  $H58 * (1 + Assumptions!$C$7) ^ INT(((YEAR(BF$2)-YEAR($F58))*12 + MONTH(BF$2)-MONTH($F58)) / 12),
  0)</f>
        <v/>
      </c>
      <c r="BG58" s="299">
        <f>IF(AND($F58&lt;=BG$2, OR($G58="",$G58&gt;=BG$2)),
  $H58 * (1 + Assumptions!$C$7) ^ INT(((YEAR(BG$2)-YEAR($F58))*12 + MONTH(BG$2)-MONTH($F58)) / 12),
  0)</f>
        <v/>
      </c>
      <c r="BH58" s="299">
        <f>IF(AND($F58&lt;=BH$2, OR($G58="",$G58&gt;=BH$2)),
  $H58 * (1 + Assumptions!$C$7) ^ INT(((YEAR(BH$2)-YEAR($F58))*12 + MONTH(BH$2)-MONTH($F58)) / 12),
  0)</f>
        <v/>
      </c>
      <c r="BI58" s="299">
        <f>IF(AND($F58&lt;=BI$2, OR($G58="",$G58&gt;=BI$2)),
  $H58 * (1 + Assumptions!$C$7) ^ INT(((YEAR(BI$2)-YEAR($F58))*12 + MONTH(BI$2)-MONTH($F58)) / 12),
  0)</f>
        <v/>
      </c>
      <c r="BJ58" s="299">
        <f>IF(AND($F58&lt;=BJ$2, OR($G58="",$G58&gt;=BJ$2)),
  $H58 * (1 + Assumptions!$C$7) ^ INT(((YEAR(BJ$2)-YEAR($F58))*12 + MONTH(BJ$2)-MONTH($F58)) / 12),
  0)</f>
        <v/>
      </c>
      <c r="BK58" s="299">
        <f>IF(AND($F58&lt;=BK$2, OR($G58="",$G58&gt;=BK$2)),
  $H58 * (1 + Assumptions!$C$7) ^ INT(((YEAR(BK$2)-YEAR($F58))*12 + MONTH(BK$2)-MONTH($F58)) / 12),
  0)</f>
        <v/>
      </c>
      <c r="BL58" s="299">
        <f>IF(AND($F58&lt;=BL$2, OR($G58="",$G58&gt;=BL$2)),
  $H58 * (1 + Assumptions!$C$7) ^ INT(((YEAR(BL$2)-YEAR($F58))*12 + MONTH(BL$2)-MONTH($F58)) / 12),
  0)</f>
        <v/>
      </c>
      <c r="BM58" s="299">
        <f>IF(AND($F58&lt;=BM$2, OR($G58="",$G58&gt;=BM$2)),
  $H58 * (1 + Assumptions!$C$7) ^ INT(((YEAR(BM$2)-YEAR($F58))*12 + MONTH(BM$2)-MONTH($F58)) / 12),
  0)</f>
        <v/>
      </c>
      <c r="BN58" s="299">
        <f>IF(AND($F58&lt;=BN$2, OR($G58="",$G58&gt;=BN$2)),
  $H58 * (1 + Assumptions!$C$7) ^ INT(((YEAR(BN$2)-YEAR($F58))*12 + MONTH(BN$2)-MONTH($F58)) / 12),
  0)</f>
        <v/>
      </c>
      <c r="BO58" s="299">
        <f>IF(AND($F58&lt;=BO$2, OR($G58="",$G58&gt;=BO$2)),
  $H58 * (1 + Assumptions!$C$7) ^ INT(((YEAR(BO$2)-YEAR($F58))*12 + MONTH(BO$2)-MONTH($F58)) / 12),
  0)</f>
        <v/>
      </c>
      <c r="BP58" s="299">
        <f>IF(AND($F58&lt;=BP$2, OR($G58="",$G58&gt;=BP$2)),
  $H58 * (1 + Assumptions!$C$7) ^ INT(((YEAR(BP$2)-YEAR($F58))*12 + MONTH(BP$2)-MONTH($F58)) / 12),
  0)</f>
        <v/>
      </c>
      <c r="BQ58" s="31" t="n"/>
      <c r="BR58" s="350" t="n"/>
      <c r="BS58" s="31" t="n"/>
      <c r="BT58" s="31" t="n"/>
    </row>
    <row r="59" ht="46.5" customHeight="1" s="349">
      <c r="A59" s="321" t="n">
        <v>54</v>
      </c>
      <c r="B59" s="285" t="inlineStr">
        <is>
          <t>New hire</t>
        </is>
      </c>
      <c r="C59" s="317" t="inlineStr">
        <is>
          <t>S&amp;M</t>
        </is>
      </c>
      <c r="D59" s="317" t="inlineStr">
        <is>
          <t>Sales</t>
        </is>
      </c>
      <c r="E59" s="297" t="inlineStr">
        <is>
          <t>Planned</t>
        </is>
      </c>
      <c r="F59" s="318">
        <f>IF(Assumptions!$D$82=2,DATE(2027,8,1),DATE(2027,4,1))</f>
        <v/>
      </c>
      <c r="G59" s="318" t="n"/>
      <c r="H59" s="288" t="n">
        <v>7500</v>
      </c>
      <c r="I59" s="299">
        <f>IF(AND($F59&lt;=I$2, OR($G59="",$G59&gt;=I$2)),
  $H59 * (1 + Assumptions!$C$7) ^ INT(((YEAR(I$2)-YEAR($F59))*12 + MONTH(I$2)-MONTH($F59)) / 12),
  0)</f>
        <v/>
      </c>
      <c r="J59" s="299">
        <f>IF(AND($F59&lt;=J$2, OR($G59="",$G59&gt;=J$2)),
  $H59 * (1 + Assumptions!$C$7) ^ INT(((YEAR(J$2)-YEAR($F59))*12 + MONTH(J$2)-MONTH($F59)) / 12),
  0)</f>
        <v/>
      </c>
      <c r="K59" s="299">
        <f>IF(AND($F59&lt;=K$2, OR($G59="",$G59&gt;=K$2)),
  $H59 * (1 + Assumptions!$C$7) ^ INT(((YEAR(K$2)-YEAR($F59))*12 + MONTH(K$2)-MONTH($F59)) / 12),
  0)</f>
        <v/>
      </c>
      <c r="L59" s="299">
        <f>IF(AND($F59&lt;=L$2, OR($G59="",$G59&gt;=L$2)),
  $H59 * (1 + Assumptions!$C$7) ^ INT(((YEAR(L$2)-YEAR($F59))*12 + MONTH(L$2)-MONTH($F59)) / 12),
  0)</f>
        <v/>
      </c>
      <c r="M59" s="299">
        <f>IF(AND($F59&lt;=M$2, OR($G59="",$G59&gt;=M$2)),
  $H59 * (1 + Assumptions!$C$7) ^ INT(((YEAR(M$2)-YEAR($F59))*12 + MONTH(M$2)-MONTH($F59)) / 12),
  0)</f>
        <v/>
      </c>
      <c r="N59" s="299">
        <f>IF(AND($F59&lt;=N$2, OR($G59="",$G59&gt;=N$2)),
  $H59 * (1 + Assumptions!$C$7) ^ INT(((YEAR(N$2)-YEAR($F59))*12 + MONTH(N$2)-MONTH($F59)) / 12),
  0)</f>
        <v/>
      </c>
      <c r="O59" s="299">
        <f>IF(AND($F59&lt;=O$2, OR($G59="",$G59&gt;=O$2)),
  $H59 * (1 + Assumptions!$C$7) ^ INT(((YEAR(O$2)-YEAR($F59))*12 + MONTH(O$2)-MONTH($F59)) / 12),
  0)</f>
        <v/>
      </c>
      <c r="P59" s="299">
        <f>IF(AND($F59&lt;=P$2, OR($G59="",$G59&gt;=P$2)),
  $H59 * (1 + Assumptions!$C$7) ^ INT(((YEAR(P$2)-YEAR($F59))*12 + MONTH(P$2)-MONTH($F59)) / 12),
  0)</f>
        <v/>
      </c>
      <c r="Q59" s="299">
        <f>IF(AND($F59&lt;=Q$2, OR($G59="",$G59&gt;=Q$2)),
  $H59 * (1 + Assumptions!$C$7) ^ INT(((YEAR(Q$2)-YEAR($F59))*12 + MONTH(Q$2)-MONTH($F59)) / 12),
  0)</f>
        <v/>
      </c>
      <c r="R59" s="299">
        <f>IF(AND($F59&lt;=R$2, OR($G59="",$G59&gt;=R$2)),
  $H59 * (1 + Assumptions!$C$7) ^ INT(((YEAR(R$2)-YEAR($F59))*12 + MONTH(R$2)-MONTH($F59)) / 12),
  0)</f>
        <v/>
      </c>
      <c r="S59" s="299">
        <f>IF(AND($F59&lt;=S$2, OR($G59="",$G59&gt;=S$2)),
  $H59 * (1 + Assumptions!$C$7) ^ INT(((YEAR(S$2)-YEAR($F59))*12 + MONTH(S$2)-MONTH($F59)) / 12),
  0)</f>
        <v/>
      </c>
      <c r="T59" s="299">
        <f>IF(AND($F59&lt;=T$2, OR($G59="",$G59&gt;=T$2)),
  $H59 * (1 + Assumptions!$C$7) ^ INT(((YEAR(T$2)-YEAR($F59))*12 + MONTH(T$2)-MONTH($F59)) / 12),
  0)</f>
        <v/>
      </c>
      <c r="U59" s="299">
        <f>IF(AND($F59&lt;=U$2, OR($G59="",$G59&gt;=U$2)),
  $H59 * (1 + Assumptions!$C$7) ^ INT(((YEAR(U$2)-YEAR($F59))*12 + MONTH(U$2)-MONTH($F59)) / 12),
  0)</f>
        <v/>
      </c>
      <c r="V59" s="299">
        <f>IF(AND($F59&lt;=V$2, OR($G59="",$G59&gt;=V$2)),
  $H59 * (1 + Assumptions!$C$7) ^ INT(((YEAR(V$2)-YEAR($F59))*12 + MONTH(V$2)-MONTH($F59)) / 12),
  0)</f>
        <v/>
      </c>
      <c r="W59" s="299">
        <f>IF(AND($F59&lt;=W$2, OR($G59="",$G59&gt;=W$2)),
  $H59 * (1 + Assumptions!$C$7) ^ INT(((YEAR(W$2)-YEAR($F59))*12 + MONTH(W$2)-MONTH($F59)) / 12),
  0)</f>
        <v/>
      </c>
      <c r="X59" s="299">
        <f>IF(AND($F59&lt;=X$2, OR($G59="",$G59&gt;=X$2)),
  $H59 * (1 + Assumptions!$C$7) ^ INT(((YEAR(X$2)-YEAR($F59))*12 + MONTH(X$2)-MONTH($F59)) / 12),
  0)</f>
        <v/>
      </c>
      <c r="Y59" s="299">
        <f>IF(AND($F59&lt;=Y$2, OR($G59="",$G59&gt;=Y$2)),
  $H59 * (1 + Assumptions!$C$7) ^ INT(((YEAR(Y$2)-YEAR($F59))*12 + MONTH(Y$2)-MONTH($F59)) / 12),
  0)</f>
        <v/>
      </c>
      <c r="Z59" s="299">
        <f>IF(AND($F59&lt;=Z$2, OR($G59="",$G59&gt;=Z$2)),
  $H59 * (1 + Assumptions!$C$7) ^ INT(((YEAR(Z$2)-YEAR($F59))*12 + MONTH(Z$2)-MONTH($F59)) / 12),
  0)</f>
        <v/>
      </c>
      <c r="AA59" s="299">
        <f>IF(AND($F59&lt;=AA$2, OR($G59="",$G59&gt;=AA$2)),
  $H59 * (1 + Assumptions!$C$7) ^ INT(((YEAR(AA$2)-YEAR($F59))*12 + MONTH(AA$2)-MONTH($F59)) / 12),
  0)</f>
        <v/>
      </c>
      <c r="AB59" s="299">
        <f>IF(AND($F59&lt;=AB$2, OR($G59="",$G59&gt;=AB$2)),
  $H59 * (1 + Assumptions!$C$7) ^ INT(((YEAR(AB$2)-YEAR($F59))*12 + MONTH(AB$2)-MONTH($F59)) / 12),
  0)</f>
        <v/>
      </c>
      <c r="AC59" s="299">
        <f>IF(AND($F59&lt;=AC$2, OR($G59="",$G59&gt;=AC$2)),
  $H59 * (1 + Assumptions!$C$7) ^ INT(((YEAR(AC$2)-YEAR($F59))*12 + MONTH(AC$2)-MONTH($F59)) / 12),
  0)</f>
        <v/>
      </c>
      <c r="AD59" s="299">
        <f>IF(AND($F59&lt;=AD$2, OR($G59="",$G59&gt;=AD$2)),
  $H59 * (1 + Assumptions!$C$7) ^ INT(((YEAR(AD$2)-YEAR($F59))*12 + MONTH(AD$2)-MONTH($F59)) / 12),
  0)</f>
        <v/>
      </c>
      <c r="AE59" s="299">
        <f>IF(AND($F59&lt;=AE$2, OR($G59="",$G59&gt;=AE$2)),
  $H59 * (1 + Assumptions!$C$7) ^ INT(((YEAR(AE$2)-YEAR($F59))*12 + MONTH(AE$2)-MONTH($F59)) / 12),
  0)</f>
        <v/>
      </c>
      <c r="AF59" s="299">
        <f>IF(AND($F59&lt;=AF$2, OR($G59="",$G59&gt;=AF$2)),
  $H59 * (1 + Assumptions!$C$7) ^ INT(((YEAR(AF$2)-YEAR($F59))*12 + MONTH(AF$2)-MONTH($F59)) / 12),
  0)</f>
        <v/>
      </c>
      <c r="AG59" s="299">
        <f>IF(AND($F59&lt;=AG$2, OR($G59="",$G59&gt;=AG$2)),
  $H59 * (1 + Assumptions!$C$7) ^ INT(((YEAR(AG$2)-YEAR($F59))*12 + MONTH(AG$2)-MONTH($F59)) / 12),
  0)</f>
        <v/>
      </c>
      <c r="AH59" s="299">
        <f>IF(AND($F59&lt;=AH$2, OR($G59="",$G59&gt;=AH$2)),
  $H59 * (1 + Assumptions!$C$7) ^ INT(((YEAR(AH$2)-YEAR($F59))*12 + MONTH(AH$2)-MONTH($F59)) / 12),
  0)</f>
        <v/>
      </c>
      <c r="AI59" s="299">
        <f>IF(AND($F59&lt;=AI$2, OR($G59="",$G59&gt;=AI$2)),
  $H59 * (1 + Assumptions!$C$7) ^ INT(((YEAR(AI$2)-YEAR($F59))*12 + MONTH(AI$2)-MONTH($F59)) / 12),
  0)</f>
        <v/>
      </c>
      <c r="AJ59" s="299">
        <f>IF(AND($F59&lt;=AJ$2, OR($G59="",$G59&gt;=AJ$2)),
  $H59 * (1 + Assumptions!$C$7) ^ INT(((YEAR(AJ$2)-YEAR($F59))*12 + MONTH(AJ$2)-MONTH($F59)) / 12),
  0)</f>
        <v/>
      </c>
      <c r="AK59" s="299">
        <f>IF(AND($F59&lt;=AK$2, OR($G59="",$G59&gt;=AK$2)),
  $H59 * (1 + Assumptions!$C$7) ^ INT(((YEAR(AK$2)-YEAR($F59))*12 + MONTH(AK$2)-MONTH($F59)) / 12),
  0)</f>
        <v/>
      </c>
      <c r="AL59" s="299">
        <f>IF(AND($F59&lt;=AL$2, OR($G59="",$G59&gt;=AL$2)),
  $H59 * (1 + Assumptions!$C$7) ^ INT(((YEAR(AL$2)-YEAR($F59))*12 + MONTH(AL$2)-MONTH($F59)) / 12),
  0)</f>
        <v/>
      </c>
      <c r="AM59" s="299">
        <f>IF(AND($F59&lt;=AM$2, OR($G59="",$G59&gt;=AM$2)),
  $H59 * (1 + Assumptions!$C$7) ^ INT(((YEAR(AM$2)-YEAR($F59))*12 + MONTH(AM$2)-MONTH($F59)) / 12),
  0)</f>
        <v/>
      </c>
      <c r="AN59" s="299">
        <f>IF(AND($F59&lt;=AN$2, OR($G59="",$G59&gt;=AN$2)),
  $H59 * (1 + Assumptions!$C$7) ^ INT(((YEAR(AN$2)-YEAR($F59))*12 + MONTH(AN$2)-MONTH($F59)) / 12),
  0)</f>
        <v/>
      </c>
      <c r="AO59" s="299">
        <f>IF(AND($F59&lt;=AO$2, OR($G59="",$G59&gt;=AO$2)),
  $H59 * (1 + Assumptions!$C$7) ^ INT(((YEAR(AO$2)-YEAR($F59))*12 + MONTH(AO$2)-MONTH($F59)) / 12),
  0)</f>
        <v/>
      </c>
      <c r="AP59" s="299">
        <f>IF(AND($F59&lt;=AP$2, OR($G59="",$G59&gt;=AP$2)),
  $H59 * (1 + Assumptions!$C$7) ^ INT(((YEAR(AP$2)-YEAR($F59))*12 + MONTH(AP$2)-MONTH($F59)) / 12),
  0)</f>
        <v/>
      </c>
      <c r="AQ59" s="299">
        <f>IF(AND($F59&lt;=AQ$2, OR($G59="",$G59&gt;=AQ$2)),
  $H59 * (1 + Assumptions!$C$7) ^ INT(((YEAR(AQ$2)-YEAR($F59))*12 + MONTH(AQ$2)-MONTH($F59)) / 12),
  0)</f>
        <v/>
      </c>
      <c r="AR59" s="299">
        <f>IF(AND($F59&lt;=AR$2, OR($G59="",$G59&gt;=AR$2)),
  $H59 * (1 + Assumptions!$C$7) ^ INT(((YEAR(AR$2)-YEAR($F59))*12 + MONTH(AR$2)-MONTH($F59)) / 12),
  0)</f>
        <v/>
      </c>
      <c r="AS59" s="299">
        <f>IF(AND($F59&lt;=AS$2, OR($G59="",$G59&gt;=AS$2)),
  $H59 * (1 + Assumptions!$C$7) ^ INT(((YEAR(AS$2)-YEAR($F59))*12 + MONTH(AS$2)-MONTH($F59)) / 12),
  0)</f>
        <v/>
      </c>
      <c r="AT59" s="299">
        <f>IF(AND($F59&lt;=AT$2, OR($G59="",$G59&gt;=AT$2)),
  $H59 * (1 + Assumptions!$C$7) ^ INT(((YEAR(AT$2)-YEAR($F59))*12 + MONTH(AT$2)-MONTH($F59)) / 12),
  0)</f>
        <v/>
      </c>
      <c r="AU59" s="299">
        <f>IF(AND($F59&lt;=AU$2, OR($G59="",$G59&gt;=AU$2)),
  $H59 * (1 + Assumptions!$C$7) ^ INT(((YEAR(AU$2)-YEAR($F59))*12 + MONTH(AU$2)-MONTH($F59)) / 12),
  0)</f>
        <v/>
      </c>
      <c r="AV59" s="299">
        <f>IF(AND($F59&lt;=AV$2, OR($G59="",$G59&gt;=AV$2)),
  $H59 * (1 + Assumptions!$C$7) ^ INT(((YEAR(AV$2)-YEAR($F59))*12 + MONTH(AV$2)-MONTH($F59)) / 12),
  0)</f>
        <v/>
      </c>
      <c r="AW59" s="299">
        <f>IF(AND($F59&lt;=AW$2, OR($G59="",$G59&gt;=AW$2)),
  $H59 * (1 + Assumptions!$C$7) ^ INT(((YEAR(AW$2)-YEAR($F59))*12 + MONTH(AW$2)-MONTH($F59)) / 12),
  0)</f>
        <v/>
      </c>
      <c r="AX59" s="299">
        <f>IF(AND($F59&lt;=AX$2, OR($G59="",$G59&gt;=AX$2)),
  $H59 * (1 + Assumptions!$C$7) ^ INT(((YEAR(AX$2)-YEAR($F59))*12 + MONTH(AX$2)-MONTH($F59)) / 12),
  0)</f>
        <v/>
      </c>
      <c r="AY59" s="299">
        <f>IF(AND($F59&lt;=AY$2, OR($G59="",$G59&gt;=AY$2)),
  $H59 * (1 + Assumptions!$C$7) ^ INT(((YEAR(AY$2)-YEAR($F59))*12 + MONTH(AY$2)-MONTH($F59)) / 12),
  0)</f>
        <v/>
      </c>
      <c r="AZ59" s="299">
        <f>IF(AND($F59&lt;=AZ$2, OR($G59="",$G59&gt;=AZ$2)),
  $H59 * (1 + Assumptions!$C$7) ^ INT(((YEAR(AZ$2)-YEAR($F59))*12 + MONTH(AZ$2)-MONTH($F59)) / 12),
  0)</f>
        <v/>
      </c>
      <c r="BA59" s="299">
        <f>IF(AND($F59&lt;=BA$2, OR($G59="",$G59&gt;=BA$2)),
  $H59 * (1 + Assumptions!$C$7) ^ INT(((YEAR(BA$2)-YEAR($F59))*12 + MONTH(BA$2)-MONTH($F59)) / 12),
  0)</f>
        <v/>
      </c>
      <c r="BB59" s="299">
        <f>IF(AND($F59&lt;=BB$2, OR($G59="",$G59&gt;=BB$2)),
  $H59 * (1 + Assumptions!$C$7) ^ INT(((YEAR(BB$2)-YEAR($F59))*12 + MONTH(BB$2)-MONTH($F59)) / 12),
  0)</f>
        <v/>
      </c>
      <c r="BC59" s="299">
        <f>IF(AND($F59&lt;=BC$2, OR($G59="",$G59&gt;=BC$2)),
  $H59 * (1 + Assumptions!$C$7) ^ INT(((YEAR(BC$2)-YEAR($F59))*12 + MONTH(BC$2)-MONTH($F59)) / 12),
  0)</f>
        <v/>
      </c>
      <c r="BD59" s="299">
        <f>IF(AND($F59&lt;=BD$2, OR($G59="",$G59&gt;=BD$2)),
  $H59 * (1 + Assumptions!$C$7) ^ INT(((YEAR(BD$2)-YEAR($F59))*12 + MONTH(BD$2)-MONTH($F59)) / 12),
  0)</f>
        <v/>
      </c>
      <c r="BE59" s="299">
        <f>IF(AND($F59&lt;=BE$2, OR($G59="",$G59&gt;=BE$2)),
  $H59 * (1 + Assumptions!$C$7) ^ INT(((YEAR(BE$2)-YEAR($F59))*12 + MONTH(BE$2)-MONTH($F59)) / 12),
  0)</f>
        <v/>
      </c>
      <c r="BF59" s="299">
        <f>IF(AND($F59&lt;=BF$2, OR($G59="",$G59&gt;=BF$2)),
  $H59 * (1 + Assumptions!$C$7) ^ INT(((YEAR(BF$2)-YEAR($F59))*12 + MONTH(BF$2)-MONTH($F59)) / 12),
  0)</f>
        <v/>
      </c>
      <c r="BG59" s="299">
        <f>IF(AND($F59&lt;=BG$2, OR($G59="",$G59&gt;=BG$2)),
  $H59 * (1 + Assumptions!$C$7) ^ INT(((YEAR(BG$2)-YEAR($F59))*12 + MONTH(BG$2)-MONTH($F59)) / 12),
  0)</f>
        <v/>
      </c>
      <c r="BH59" s="299">
        <f>IF(AND($F59&lt;=BH$2, OR($G59="",$G59&gt;=BH$2)),
  $H59 * (1 + Assumptions!$C$7) ^ INT(((YEAR(BH$2)-YEAR($F59))*12 + MONTH(BH$2)-MONTH($F59)) / 12),
  0)</f>
        <v/>
      </c>
      <c r="BI59" s="299">
        <f>IF(AND($F59&lt;=BI$2, OR($G59="",$G59&gt;=BI$2)),
  $H59 * (1 + Assumptions!$C$7) ^ INT(((YEAR(BI$2)-YEAR($F59))*12 + MONTH(BI$2)-MONTH($F59)) / 12),
  0)</f>
        <v/>
      </c>
      <c r="BJ59" s="299">
        <f>IF(AND($F59&lt;=BJ$2, OR($G59="",$G59&gt;=BJ$2)),
  $H59 * (1 + Assumptions!$C$7) ^ INT(((YEAR(BJ$2)-YEAR($F59))*12 + MONTH(BJ$2)-MONTH($F59)) / 12),
  0)</f>
        <v/>
      </c>
      <c r="BK59" s="299">
        <f>IF(AND($F59&lt;=BK$2, OR($G59="",$G59&gt;=BK$2)),
  $H59 * (1 + Assumptions!$C$7) ^ INT(((YEAR(BK$2)-YEAR($F59))*12 + MONTH(BK$2)-MONTH($F59)) / 12),
  0)</f>
        <v/>
      </c>
      <c r="BL59" s="299">
        <f>IF(AND($F59&lt;=BL$2, OR($G59="",$G59&gt;=BL$2)),
  $H59 * (1 + Assumptions!$C$7) ^ INT(((YEAR(BL$2)-YEAR($F59))*12 + MONTH(BL$2)-MONTH($F59)) / 12),
  0)</f>
        <v/>
      </c>
      <c r="BM59" s="299">
        <f>IF(AND($F59&lt;=BM$2, OR($G59="",$G59&gt;=BM$2)),
  $H59 * (1 + Assumptions!$C$7) ^ INT(((YEAR(BM$2)-YEAR($F59))*12 + MONTH(BM$2)-MONTH($F59)) / 12),
  0)</f>
        <v/>
      </c>
      <c r="BN59" s="299">
        <f>IF(AND($F59&lt;=BN$2, OR($G59="",$G59&gt;=BN$2)),
  $H59 * (1 + Assumptions!$C$7) ^ INT(((YEAR(BN$2)-YEAR($F59))*12 + MONTH(BN$2)-MONTH($F59)) / 12),
  0)</f>
        <v/>
      </c>
      <c r="BO59" s="299">
        <f>IF(AND($F59&lt;=BO$2, OR($G59="",$G59&gt;=BO$2)),
  $H59 * (1 + Assumptions!$C$7) ^ INT(((YEAR(BO$2)-YEAR($F59))*12 + MONTH(BO$2)-MONTH($F59)) / 12),
  0)</f>
        <v/>
      </c>
      <c r="BP59" s="299">
        <f>IF(AND($F59&lt;=BP$2, OR($G59="",$G59&gt;=BP$2)),
  $H59 * (1 + Assumptions!$C$7) ^ INT(((YEAR(BP$2)-YEAR($F59))*12 + MONTH(BP$2)-MONTH($F59)) / 12),
  0)</f>
        <v/>
      </c>
      <c r="BQ59" s="31" t="n"/>
      <c r="BR59" s="350" t="n"/>
      <c r="BS59" s="31" t="n"/>
      <c r="BT59" s="31" t="n"/>
    </row>
    <row r="60" ht="15.75" customHeight="1" s="349">
      <c r="A60" s="321" t="n">
        <v>55</v>
      </c>
      <c r="B60" s="285" t="inlineStr">
        <is>
          <t>New hire</t>
        </is>
      </c>
      <c r="C60" s="317" t="inlineStr">
        <is>
          <t>S&amp;M</t>
        </is>
      </c>
      <c r="D60" s="317" t="inlineStr">
        <is>
          <t>Sales</t>
        </is>
      </c>
      <c r="E60" s="297" t="inlineStr">
        <is>
          <t>Planned</t>
        </is>
      </c>
      <c r="F60" s="318">
        <f>IF(Assumptions!$D$82=2,DATE(2027,11,1),DATE(2027,12,1))</f>
        <v/>
      </c>
      <c r="G60" s="318" t="n"/>
      <c r="H60" s="288" t="n">
        <v>7500</v>
      </c>
      <c r="I60" s="299">
        <f>IF(AND($F60&lt;=I$2, OR($G60="",$G60&gt;=I$2)),
  $H60 * (1 + Assumptions!$C$7) ^ INT(((YEAR(I$2)-YEAR($F60))*12 + MONTH(I$2)-MONTH($F60)) / 12),
  0)</f>
        <v/>
      </c>
      <c r="J60" s="299">
        <f>IF(AND($F60&lt;=J$2, OR($G60="",$G60&gt;=J$2)),
  $H60 * (1 + Assumptions!$C$7) ^ INT(((YEAR(J$2)-YEAR($F60))*12 + MONTH(J$2)-MONTH($F60)) / 12),
  0)</f>
        <v/>
      </c>
      <c r="K60" s="299">
        <f>IF(AND($F60&lt;=K$2, OR($G60="",$G60&gt;=K$2)),
  $H60 * (1 + Assumptions!$C$7) ^ INT(((YEAR(K$2)-YEAR($F60))*12 + MONTH(K$2)-MONTH($F60)) / 12),
  0)</f>
        <v/>
      </c>
      <c r="L60" s="299">
        <f>IF(AND($F60&lt;=L$2, OR($G60="",$G60&gt;=L$2)),
  $H60 * (1 + Assumptions!$C$7) ^ INT(((YEAR(L$2)-YEAR($F60))*12 + MONTH(L$2)-MONTH($F60)) / 12),
  0)</f>
        <v/>
      </c>
      <c r="M60" s="299">
        <f>IF(AND($F60&lt;=M$2, OR($G60="",$G60&gt;=M$2)),
  $H60 * (1 + Assumptions!$C$7) ^ INT(((YEAR(M$2)-YEAR($F60))*12 + MONTH(M$2)-MONTH($F60)) / 12),
  0)</f>
        <v/>
      </c>
      <c r="N60" s="299">
        <f>IF(AND($F60&lt;=N$2, OR($G60="",$G60&gt;=N$2)),
  $H60 * (1 + Assumptions!$C$7) ^ INT(((YEAR(N$2)-YEAR($F60))*12 + MONTH(N$2)-MONTH($F60)) / 12),
  0)</f>
        <v/>
      </c>
      <c r="O60" s="299">
        <f>IF(AND($F60&lt;=O$2, OR($G60="",$G60&gt;=O$2)),
  $H60 * (1 + Assumptions!$C$7) ^ INT(((YEAR(O$2)-YEAR($F60))*12 + MONTH(O$2)-MONTH($F60)) / 12),
  0)</f>
        <v/>
      </c>
      <c r="P60" s="299">
        <f>IF(AND($F60&lt;=P$2, OR($G60="",$G60&gt;=P$2)),
  $H60 * (1 + Assumptions!$C$7) ^ INT(((YEAR(P$2)-YEAR($F60))*12 + MONTH(P$2)-MONTH($F60)) / 12),
  0)</f>
        <v/>
      </c>
      <c r="Q60" s="299">
        <f>IF(AND($F60&lt;=Q$2, OR($G60="",$G60&gt;=Q$2)),
  $H60 * (1 + Assumptions!$C$7) ^ INT(((YEAR(Q$2)-YEAR($F60))*12 + MONTH(Q$2)-MONTH($F60)) / 12),
  0)</f>
        <v/>
      </c>
      <c r="R60" s="299">
        <f>IF(AND($F60&lt;=R$2, OR($G60="",$G60&gt;=R$2)),
  $H60 * (1 + Assumptions!$C$7) ^ INT(((YEAR(R$2)-YEAR($F60))*12 + MONTH(R$2)-MONTH($F60)) / 12),
  0)</f>
        <v/>
      </c>
      <c r="S60" s="299">
        <f>IF(AND($F60&lt;=S$2, OR($G60="",$G60&gt;=S$2)),
  $H60 * (1 + Assumptions!$C$7) ^ INT(((YEAR(S$2)-YEAR($F60))*12 + MONTH(S$2)-MONTH($F60)) / 12),
  0)</f>
        <v/>
      </c>
      <c r="T60" s="299">
        <f>IF(AND($F60&lt;=T$2, OR($G60="",$G60&gt;=T$2)),
  $H60 * (1 + Assumptions!$C$7) ^ INT(((YEAR(T$2)-YEAR($F60))*12 + MONTH(T$2)-MONTH($F60)) / 12),
  0)</f>
        <v/>
      </c>
      <c r="U60" s="299">
        <f>IF(AND($F60&lt;=U$2, OR($G60="",$G60&gt;=U$2)),
  $H60 * (1 + Assumptions!$C$7) ^ INT(((YEAR(U$2)-YEAR($F60))*12 + MONTH(U$2)-MONTH($F60)) / 12),
  0)</f>
        <v/>
      </c>
      <c r="V60" s="299">
        <f>IF(AND($F60&lt;=V$2, OR($G60="",$G60&gt;=V$2)),
  $H60 * (1 + Assumptions!$C$7) ^ INT(((YEAR(V$2)-YEAR($F60))*12 + MONTH(V$2)-MONTH($F60)) / 12),
  0)</f>
        <v/>
      </c>
      <c r="W60" s="299">
        <f>IF(AND($F60&lt;=W$2, OR($G60="",$G60&gt;=W$2)),
  $H60 * (1 + Assumptions!$C$7) ^ INT(((YEAR(W$2)-YEAR($F60))*12 + MONTH(W$2)-MONTH($F60)) / 12),
  0)</f>
        <v/>
      </c>
      <c r="X60" s="299">
        <f>IF(AND($F60&lt;=X$2, OR($G60="",$G60&gt;=X$2)),
  $H60 * (1 + Assumptions!$C$7) ^ INT(((YEAR(X$2)-YEAR($F60))*12 + MONTH(X$2)-MONTH($F60)) / 12),
  0)</f>
        <v/>
      </c>
      <c r="Y60" s="299">
        <f>IF(AND($F60&lt;=Y$2, OR($G60="",$G60&gt;=Y$2)),
  $H60 * (1 + Assumptions!$C$7) ^ INT(((YEAR(Y$2)-YEAR($F60))*12 + MONTH(Y$2)-MONTH($F60)) / 12),
  0)</f>
        <v/>
      </c>
      <c r="Z60" s="299">
        <f>IF(AND($F60&lt;=Z$2, OR($G60="",$G60&gt;=Z$2)),
  $H60 * (1 + Assumptions!$C$7) ^ INT(((YEAR(Z$2)-YEAR($F60))*12 + MONTH(Z$2)-MONTH($F60)) / 12),
  0)</f>
        <v/>
      </c>
      <c r="AA60" s="299">
        <f>IF(AND($F60&lt;=AA$2, OR($G60="",$G60&gt;=AA$2)),
  $H60 * (1 + Assumptions!$C$7) ^ INT(((YEAR(AA$2)-YEAR($F60))*12 + MONTH(AA$2)-MONTH($F60)) / 12),
  0)</f>
        <v/>
      </c>
      <c r="AB60" s="299">
        <f>IF(AND($F60&lt;=AB$2, OR($G60="",$G60&gt;=AB$2)),
  $H60 * (1 + Assumptions!$C$7) ^ INT(((YEAR(AB$2)-YEAR($F60))*12 + MONTH(AB$2)-MONTH($F60)) / 12),
  0)</f>
        <v/>
      </c>
      <c r="AC60" s="299">
        <f>IF(AND($F60&lt;=AC$2, OR($G60="",$G60&gt;=AC$2)),
  $H60 * (1 + Assumptions!$C$7) ^ INT(((YEAR(AC$2)-YEAR($F60))*12 + MONTH(AC$2)-MONTH($F60)) / 12),
  0)</f>
        <v/>
      </c>
      <c r="AD60" s="299">
        <f>IF(AND($F60&lt;=AD$2, OR($G60="",$G60&gt;=AD$2)),
  $H60 * (1 + Assumptions!$C$7) ^ INT(((YEAR(AD$2)-YEAR($F60))*12 + MONTH(AD$2)-MONTH($F60)) / 12),
  0)</f>
        <v/>
      </c>
      <c r="AE60" s="299">
        <f>IF(AND($F60&lt;=AE$2, OR($G60="",$G60&gt;=AE$2)),
  $H60 * (1 + Assumptions!$C$7) ^ INT(((YEAR(AE$2)-YEAR($F60))*12 + MONTH(AE$2)-MONTH($F60)) / 12),
  0)</f>
        <v/>
      </c>
      <c r="AF60" s="299">
        <f>IF(AND($F60&lt;=AF$2, OR($G60="",$G60&gt;=AF$2)),
  $H60 * (1 + Assumptions!$C$7) ^ INT(((YEAR(AF$2)-YEAR($F60))*12 + MONTH(AF$2)-MONTH($F60)) / 12),
  0)</f>
        <v/>
      </c>
      <c r="AG60" s="299">
        <f>IF(AND($F60&lt;=AG$2, OR($G60="",$G60&gt;=AG$2)),
  $H60 * (1 + Assumptions!$C$7) ^ INT(((YEAR(AG$2)-YEAR($F60))*12 + MONTH(AG$2)-MONTH($F60)) / 12),
  0)</f>
        <v/>
      </c>
      <c r="AH60" s="299">
        <f>IF(AND($F60&lt;=AH$2, OR($G60="",$G60&gt;=AH$2)),
  $H60 * (1 + Assumptions!$C$7) ^ INT(((YEAR(AH$2)-YEAR($F60))*12 + MONTH(AH$2)-MONTH($F60)) / 12),
  0)</f>
        <v/>
      </c>
      <c r="AI60" s="299">
        <f>IF(AND($F60&lt;=AI$2, OR($G60="",$G60&gt;=AI$2)),
  $H60 * (1 + Assumptions!$C$7) ^ INT(((YEAR(AI$2)-YEAR($F60))*12 + MONTH(AI$2)-MONTH($F60)) / 12),
  0)</f>
        <v/>
      </c>
      <c r="AJ60" s="299">
        <f>IF(AND($F60&lt;=AJ$2, OR($G60="",$G60&gt;=AJ$2)),
  $H60 * (1 + Assumptions!$C$7) ^ INT(((YEAR(AJ$2)-YEAR($F60))*12 + MONTH(AJ$2)-MONTH($F60)) / 12),
  0)</f>
        <v/>
      </c>
      <c r="AK60" s="299">
        <f>IF(AND($F60&lt;=AK$2, OR($G60="",$G60&gt;=AK$2)),
  $H60 * (1 + Assumptions!$C$7) ^ INT(((YEAR(AK$2)-YEAR($F60))*12 + MONTH(AK$2)-MONTH($F60)) / 12),
  0)</f>
        <v/>
      </c>
      <c r="AL60" s="299">
        <f>IF(AND($F60&lt;=AL$2, OR($G60="",$G60&gt;=AL$2)),
  $H60 * (1 + Assumptions!$C$7) ^ INT(((YEAR(AL$2)-YEAR($F60))*12 + MONTH(AL$2)-MONTH($F60)) / 12),
  0)</f>
        <v/>
      </c>
      <c r="AM60" s="299">
        <f>IF(AND($F60&lt;=AM$2, OR($G60="",$G60&gt;=AM$2)),
  $H60 * (1 + Assumptions!$C$7) ^ INT(((YEAR(AM$2)-YEAR($F60))*12 + MONTH(AM$2)-MONTH($F60)) / 12),
  0)</f>
        <v/>
      </c>
      <c r="AN60" s="299">
        <f>IF(AND($F60&lt;=AN$2, OR($G60="",$G60&gt;=AN$2)),
  $H60 * (1 + Assumptions!$C$7) ^ INT(((YEAR(AN$2)-YEAR($F60))*12 + MONTH(AN$2)-MONTH($F60)) / 12),
  0)</f>
        <v/>
      </c>
      <c r="AO60" s="299">
        <f>IF(AND($F60&lt;=AO$2, OR($G60="",$G60&gt;=AO$2)),
  $H60 * (1 + Assumptions!$C$7) ^ INT(((YEAR(AO$2)-YEAR($F60))*12 + MONTH(AO$2)-MONTH($F60)) / 12),
  0)</f>
        <v/>
      </c>
      <c r="AP60" s="299">
        <f>IF(AND($F60&lt;=AP$2, OR($G60="",$G60&gt;=AP$2)),
  $H60 * (1 + Assumptions!$C$7) ^ INT(((YEAR(AP$2)-YEAR($F60))*12 + MONTH(AP$2)-MONTH($F60)) / 12),
  0)</f>
        <v/>
      </c>
      <c r="AQ60" s="299">
        <f>IF(AND($F60&lt;=AQ$2, OR($G60="",$G60&gt;=AQ$2)),
  $H60 * (1 + Assumptions!$C$7) ^ INT(((YEAR(AQ$2)-YEAR($F60))*12 + MONTH(AQ$2)-MONTH($F60)) / 12),
  0)</f>
        <v/>
      </c>
      <c r="AR60" s="299">
        <f>IF(AND($F60&lt;=AR$2, OR($G60="",$G60&gt;=AR$2)),
  $H60 * (1 + Assumptions!$C$7) ^ INT(((YEAR(AR$2)-YEAR($F60))*12 + MONTH(AR$2)-MONTH($F60)) / 12),
  0)</f>
        <v/>
      </c>
      <c r="AS60" s="299">
        <f>IF(AND($F60&lt;=AS$2, OR($G60="",$G60&gt;=AS$2)),
  $H60 * (1 + Assumptions!$C$7) ^ INT(((YEAR(AS$2)-YEAR($F60))*12 + MONTH(AS$2)-MONTH($F60)) / 12),
  0)</f>
        <v/>
      </c>
      <c r="AT60" s="299">
        <f>IF(AND($F60&lt;=AT$2, OR($G60="",$G60&gt;=AT$2)),
  $H60 * (1 + Assumptions!$C$7) ^ INT(((YEAR(AT$2)-YEAR($F60))*12 + MONTH(AT$2)-MONTH($F60)) / 12),
  0)</f>
        <v/>
      </c>
      <c r="AU60" s="299">
        <f>IF(AND($F60&lt;=AU$2, OR($G60="",$G60&gt;=AU$2)),
  $H60 * (1 + Assumptions!$C$7) ^ INT(((YEAR(AU$2)-YEAR($F60))*12 + MONTH(AU$2)-MONTH($F60)) / 12),
  0)</f>
        <v/>
      </c>
      <c r="AV60" s="299">
        <f>IF(AND($F60&lt;=AV$2, OR($G60="",$G60&gt;=AV$2)),
  $H60 * (1 + Assumptions!$C$7) ^ INT(((YEAR(AV$2)-YEAR($F60))*12 + MONTH(AV$2)-MONTH($F60)) / 12),
  0)</f>
        <v/>
      </c>
      <c r="AW60" s="299">
        <f>IF(AND($F60&lt;=AW$2, OR($G60="",$G60&gt;=AW$2)),
  $H60 * (1 + Assumptions!$C$7) ^ INT(((YEAR(AW$2)-YEAR($F60))*12 + MONTH(AW$2)-MONTH($F60)) / 12),
  0)</f>
        <v/>
      </c>
      <c r="AX60" s="299">
        <f>IF(AND($F60&lt;=AX$2, OR($G60="",$G60&gt;=AX$2)),
  $H60 * (1 + Assumptions!$C$7) ^ INT(((YEAR(AX$2)-YEAR($F60))*12 + MONTH(AX$2)-MONTH($F60)) / 12),
  0)</f>
        <v/>
      </c>
      <c r="AY60" s="299">
        <f>IF(AND($F60&lt;=AY$2, OR($G60="",$G60&gt;=AY$2)),
  $H60 * (1 + Assumptions!$C$7) ^ INT(((YEAR(AY$2)-YEAR($F60))*12 + MONTH(AY$2)-MONTH($F60)) / 12),
  0)</f>
        <v/>
      </c>
      <c r="AZ60" s="299">
        <f>IF(AND($F60&lt;=AZ$2, OR($G60="",$G60&gt;=AZ$2)),
  $H60 * (1 + Assumptions!$C$7) ^ INT(((YEAR(AZ$2)-YEAR($F60))*12 + MONTH(AZ$2)-MONTH($F60)) / 12),
  0)</f>
        <v/>
      </c>
      <c r="BA60" s="299">
        <f>IF(AND($F60&lt;=BA$2, OR($G60="",$G60&gt;=BA$2)),
  $H60 * (1 + Assumptions!$C$7) ^ INT(((YEAR(BA$2)-YEAR($F60))*12 + MONTH(BA$2)-MONTH($F60)) / 12),
  0)</f>
        <v/>
      </c>
      <c r="BB60" s="299">
        <f>IF(AND($F60&lt;=BB$2, OR($G60="",$G60&gt;=BB$2)),
  $H60 * (1 + Assumptions!$C$7) ^ INT(((YEAR(BB$2)-YEAR($F60))*12 + MONTH(BB$2)-MONTH($F60)) / 12),
  0)</f>
        <v/>
      </c>
      <c r="BC60" s="299">
        <f>IF(AND($F60&lt;=BC$2, OR($G60="",$G60&gt;=BC$2)),
  $H60 * (1 + Assumptions!$C$7) ^ INT(((YEAR(BC$2)-YEAR($F60))*12 + MONTH(BC$2)-MONTH($F60)) / 12),
  0)</f>
        <v/>
      </c>
      <c r="BD60" s="299">
        <f>IF(AND($F60&lt;=BD$2, OR($G60="",$G60&gt;=BD$2)),
  $H60 * (1 + Assumptions!$C$7) ^ INT(((YEAR(BD$2)-YEAR($F60))*12 + MONTH(BD$2)-MONTH($F60)) / 12),
  0)</f>
        <v/>
      </c>
      <c r="BE60" s="299">
        <f>IF(AND($F60&lt;=BE$2, OR($G60="",$G60&gt;=BE$2)),
  $H60 * (1 + Assumptions!$C$7) ^ INT(((YEAR(BE$2)-YEAR($F60))*12 + MONTH(BE$2)-MONTH($F60)) / 12),
  0)</f>
        <v/>
      </c>
      <c r="BF60" s="299">
        <f>IF(AND($F60&lt;=BF$2, OR($G60="",$G60&gt;=BF$2)),
  $H60 * (1 + Assumptions!$C$7) ^ INT(((YEAR(BF$2)-YEAR($F60))*12 + MONTH(BF$2)-MONTH($F60)) / 12),
  0)</f>
        <v/>
      </c>
      <c r="BG60" s="299">
        <f>IF(AND($F60&lt;=BG$2, OR($G60="",$G60&gt;=BG$2)),
  $H60 * (1 + Assumptions!$C$7) ^ INT(((YEAR(BG$2)-YEAR($F60))*12 + MONTH(BG$2)-MONTH($F60)) / 12),
  0)</f>
        <v/>
      </c>
      <c r="BH60" s="299">
        <f>IF(AND($F60&lt;=BH$2, OR($G60="",$G60&gt;=BH$2)),
  $H60 * (1 + Assumptions!$C$7) ^ INT(((YEAR(BH$2)-YEAR($F60))*12 + MONTH(BH$2)-MONTH($F60)) / 12),
  0)</f>
        <v/>
      </c>
      <c r="BI60" s="299">
        <f>IF(AND($F60&lt;=BI$2, OR($G60="",$G60&gt;=BI$2)),
  $H60 * (1 + Assumptions!$C$7) ^ INT(((YEAR(BI$2)-YEAR($F60))*12 + MONTH(BI$2)-MONTH($F60)) / 12),
  0)</f>
        <v/>
      </c>
      <c r="BJ60" s="299">
        <f>IF(AND($F60&lt;=BJ$2, OR($G60="",$G60&gt;=BJ$2)),
  $H60 * (1 + Assumptions!$C$7) ^ INT(((YEAR(BJ$2)-YEAR($F60))*12 + MONTH(BJ$2)-MONTH($F60)) / 12),
  0)</f>
        <v/>
      </c>
      <c r="BK60" s="299">
        <f>IF(AND($F60&lt;=BK$2, OR($G60="",$G60&gt;=BK$2)),
  $H60 * (1 + Assumptions!$C$7) ^ INT(((YEAR(BK$2)-YEAR($F60))*12 + MONTH(BK$2)-MONTH($F60)) / 12),
  0)</f>
        <v/>
      </c>
      <c r="BL60" s="299">
        <f>IF(AND($F60&lt;=BL$2, OR($G60="",$G60&gt;=BL$2)),
  $H60 * (1 + Assumptions!$C$7) ^ INT(((YEAR(BL$2)-YEAR($F60))*12 + MONTH(BL$2)-MONTH($F60)) / 12),
  0)</f>
        <v/>
      </c>
      <c r="BM60" s="299">
        <f>IF(AND($F60&lt;=BM$2, OR($G60="",$G60&gt;=BM$2)),
  $H60 * (1 + Assumptions!$C$7) ^ INT(((YEAR(BM$2)-YEAR($F60))*12 + MONTH(BM$2)-MONTH($F60)) / 12),
  0)</f>
        <v/>
      </c>
      <c r="BN60" s="299">
        <f>IF(AND($F60&lt;=BN$2, OR($G60="",$G60&gt;=BN$2)),
  $H60 * (1 + Assumptions!$C$7) ^ INT(((YEAR(BN$2)-YEAR($F60))*12 + MONTH(BN$2)-MONTH($F60)) / 12),
  0)</f>
        <v/>
      </c>
      <c r="BO60" s="299">
        <f>IF(AND($F60&lt;=BO$2, OR($G60="",$G60&gt;=BO$2)),
  $H60 * (1 + Assumptions!$C$7) ^ INT(((YEAR(BO$2)-YEAR($F60))*12 + MONTH(BO$2)-MONTH($F60)) / 12),
  0)</f>
        <v/>
      </c>
      <c r="BP60" s="299">
        <f>IF(AND($F60&lt;=BP$2, OR($G60="",$G60&gt;=BP$2)),
  $H60 * (1 + Assumptions!$C$7) ^ INT(((YEAR(BP$2)-YEAR($F60))*12 + MONTH(BP$2)-MONTH($F60)) / 12),
  0)</f>
        <v/>
      </c>
      <c r="BQ60" s="31" t="n"/>
      <c r="BR60" s="350" t="n"/>
      <c r="BS60" s="31" t="n"/>
      <c r="BT60" s="31" t="n"/>
    </row>
    <row r="61" ht="15.75" customHeight="1" s="349">
      <c r="A61" s="321" t="n">
        <v>56</v>
      </c>
      <c r="B61" s="285" t="inlineStr">
        <is>
          <t>New hire</t>
        </is>
      </c>
      <c r="C61" s="317" t="inlineStr">
        <is>
          <t>S&amp;M</t>
        </is>
      </c>
      <c r="D61" s="317" t="inlineStr">
        <is>
          <t>Sales</t>
        </is>
      </c>
      <c r="E61" s="297" t="inlineStr">
        <is>
          <t>Planned</t>
        </is>
      </c>
      <c r="F61" s="318">
        <f>IF(Assumptions!$D$82=2,DATE(2027,12,1),DATE(2028,4,1))</f>
        <v/>
      </c>
      <c r="G61" s="318" t="n"/>
      <c r="H61" s="288" t="n">
        <v>7500</v>
      </c>
      <c r="I61" s="299">
        <f>IF(AND($F61&lt;=I$2, OR($G61="",$G61&gt;=I$2)),
  $H61 * (1 + Assumptions!$C$7) ^ INT(((YEAR(I$2)-YEAR($F61))*12 + MONTH(I$2)-MONTH($F61)) / 12),
  0)</f>
        <v/>
      </c>
      <c r="J61" s="299">
        <f>IF(AND($F61&lt;=J$2, OR($G61="",$G61&gt;=J$2)),
  $H61 * (1 + Assumptions!$C$7) ^ INT(((YEAR(J$2)-YEAR($F61))*12 + MONTH(J$2)-MONTH($F61)) / 12),
  0)</f>
        <v/>
      </c>
      <c r="K61" s="299">
        <f>IF(AND($F61&lt;=K$2, OR($G61="",$G61&gt;=K$2)),
  $H61 * (1 + Assumptions!$C$7) ^ INT(((YEAR(K$2)-YEAR($F61))*12 + MONTH(K$2)-MONTH($F61)) / 12),
  0)</f>
        <v/>
      </c>
      <c r="L61" s="299">
        <f>IF(AND($F61&lt;=L$2, OR($G61="",$G61&gt;=L$2)),
  $H61 * (1 + Assumptions!$C$7) ^ INT(((YEAR(L$2)-YEAR($F61))*12 + MONTH(L$2)-MONTH($F61)) / 12),
  0)</f>
        <v/>
      </c>
      <c r="M61" s="299">
        <f>IF(AND($F61&lt;=M$2, OR($G61="",$G61&gt;=M$2)),
  $H61 * (1 + Assumptions!$C$7) ^ INT(((YEAR(M$2)-YEAR($F61))*12 + MONTH(M$2)-MONTH($F61)) / 12),
  0)</f>
        <v/>
      </c>
      <c r="N61" s="299">
        <f>IF(AND($F61&lt;=N$2, OR($G61="",$G61&gt;=N$2)),
  $H61 * (1 + Assumptions!$C$7) ^ INT(((YEAR(N$2)-YEAR($F61))*12 + MONTH(N$2)-MONTH($F61)) / 12),
  0)</f>
        <v/>
      </c>
      <c r="O61" s="299">
        <f>IF(AND($F61&lt;=O$2, OR($G61="",$G61&gt;=O$2)),
  $H61 * (1 + Assumptions!$C$7) ^ INT(((YEAR(O$2)-YEAR($F61))*12 + MONTH(O$2)-MONTH($F61)) / 12),
  0)</f>
        <v/>
      </c>
      <c r="P61" s="299">
        <f>IF(AND($F61&lt;=P$2, OR($G61="",$G61&gt;=P$2)),
  $H61 * (1 + Assumptions!$C$7) ^ INT(((YEAR(P$2)-YEAR($F61))*12 + MONTH(P$2)-MONTH($F61)) / 12),
  0)</f>
        <v/>
      </c>
      <c r="Q61" s="299">
        <f>IF(AND($F61&lt;=Q$2, OR($G61="",$G61&gt;=Q$2)),
  $H61 * (1 + Assumptions!$C$7) ^ INT(((YEAR(Q$2)-YEAR($F61))*12 + MONTH(Q$2)-MONTH($F61)) / 12),
  0)</f>
        <v/>
      </c>
      <c r="R61" s="299">
        <f>IF(AND($F61&lt;=R$2, OR($G61="",$G61&gt;=R$2)),
  $H61 * (1 + Assumptions!$C$7) ^ INT(((YEAR(R$2)-YEAR($F61))*12 + MONTH(R$2)-MONTH($F61)) / 12),
  0)</f>
        <v/>
      </c>
      <c r="S61" s="299">
        <f>IF(AND($F61&lt;=S$2, OR($G61="",$G61&gt;=S$2)),
  $H61 * (1 + Assumptions!$C$7) ^ INT(((YEAR(S$2)-YEAR($F61))*12 + MONTH(S$2)-MONTH($F61)) / 12),
  0)</f>
        <v/>
      </c>
      <c r="T61" s="299">
        <f>IF(AND($F61&lt;=T$2, OR($G61="",$G61&gt;=T$2)),
  $H61 * (1 + Assumptions!$C$7) ^ INT(((YEAR(T$2)-YEAR($F61))*12 + MONTH(T$2)-MONTH($F61)) / 12),
  0)</f>
        <v/>
      </c>
      <c r="U61" s="299">
        <f>IF(AND($F61&lt;=U$2, OR($G61="",$G61&gt;=U$2)),
  $H61 * (1 + Assumptions!$C$7) ^ INT(((YEAR(U$2)-YEAR($F61))*12 + MONTH(U$2)-MONTH($F61)) / 12),
  0)</f>
        <v/>
      </c>
      <c r="V61" s="299">
        <f>IF(AND($F61&lt;=V$2, OR($G61="",$G61&gt;=V$2)),
  $H61 * (1 + Assumptions!$C$7) ^ INT(((YEAR(V$2)-YEAR($F61))*12 + MONTH(V$2)-MONTH($F61)) / 12),
  0)</f>
        <v/>
      </c>
      <c r="W61" s="299">
        <f>IF(AND($F61&lt;=W$2, OR($G61="",$G61&gt;=W$2)),
  $H61 * (1 + Assumptions!$C$7) ^ INT(((YEAR(W$2)-YEAR($F61))*12 + MONTH(W$2)-MONTH($F61)) / 12),
  0)</f>
        <v/>
      </c>
      <c r="X61" s="299">
        <f>IF(AND($F61&lt;=X$2, OR($G61="",$G61&gt;=X$2)),
  $H61 * (1 + Assumptions!$C$7) ^ INT(((YEAR(X$2)-YEAR($F61))*12 + MONTH(X$2)-MONTH($F61)) / 12),
  0)</f>
        <v/>
      </c>
      <c r="Y61" s="299">
        <f>IF(AND($F61&lt;=Y$2, OR($G61="",$G61&gt;=Y$2)),
  $H61 * (1 + Assumptions!$C$7) ^ INT(((YEAR(Y$2)-YEAR($F61))*12 + MONTH(Y$2)-MONTH($F61)) / 12),
  0)</f>
        <v/>
      </c>
      <c r="Z61" s="299">
        <f>IF(AND($F61&lt;=Z$2, OR($G61="",$G61&gt;=Z$2)),
  $H61 * (1 + Assumptions!$C$7) ^ INT(((YEAR(Z$2)-YEAR($F61))*12 + MONTH(Z$2)-MONTH($F61)) / 12),
  0)</f>
        <v/>
      </c>
      <c r="AA61" s="299">
        <f>IF(AND($F61&lt;=AA$2, OR($G61="",$G61&gt;=AA$2)),
  $H61 * (1 + Assumptions!$C$7) ^ INT(((YEAR(AA$2)-YEAR($F61))*12 + MONTH(AA$2)-MONTH($F61)) / 12),
  0)</f>
        <v/>
      </c>
      <c r="AB61" s="299">
        <f>IF(AND($F61&lt;=AB$2, OR($G61="",$G61&gt;=AB$2)),
  $H61 * (1 + Assumptions!$C$7) ^ INT(((YEAR(AB$2)-YEAR($F61))*12 + MONTH(AB$2)-MONTH($F61)) / 12),
  0)</f>
        <v/>
      </c>
      <c r="AC61" s="299">
        <f>IF(AND($F61&lt;=AC$2, OR($G61="",$G61&gt;=AC$2)),
  $H61 * (1 + Assumptions!$C$7) ^ INT(((YEAR(AC$2)-YEAR($F61))*12 + MONTH(AC$2)-MONTH($F61)) / 12),
  0)</f>
        <v/>
      </c>
      <c r="AD61" s="299">
        <f>IF(AND($F61&lt;=AD$2, OR($G61="",$G61&gt;=AD$2)),
  $H61 * (1 + Assumptions!$C$7) ^ INT(((YEAR(AD$2)-YEAR($F61))*12 + MONTH(AD$2)-MONTH($F61)) / 12),
  0)</f>
        <v/>
      </c>
      <c r="AE61" s="299">
        <f>IF(AND($F61&lt;=AE$2, OR($G61="",$G61&gt;=AE$2)),
  $H61 * (1 + Assumptions!$C$7) ^ INT(((YEAR(AE$2)-YEAR($F61))*12 + MONTH(AE$2)-MONTH($F61)) / 12),
  0)</f>
        <v/>
      </c>
      <c r="AF61" s="299">
        <f>IF(AND($F61&lt;=AF$2, OR($G61="",$G61&gt;=AF$2)),
  $H61 * (1 + Assumptions!$C$7) ^ INT(((YEAR(AF$2)-YEAR($F61))*12 + MONTH(AF$2)-MONTH($F61)) / 12),
  0)</f>
        <v/>
      </c>
      <c r="AG61" s="299">
        <f>IF(AND($F61&lt;=AG$2, OR($G61="",$G61&gt;=AG$2)),
  $H61 * (1 + Assumptions!$C$7) ^ INT(((YEAR(AG$2)-YEAR($F61))*12 + MONTH(AG$2)-MONTH($F61)) / 12),
  0)</f>
        <v/>
      </c>
      <c r="AH61" s="299">
        <f>IF(AND($F61&lt;=AH$2, OR($G61="",$G61&gt;=AH$2)),
  $H61 * (1 + Assumptions!$C$7) ^ INT(((YEAR(AH$2)-YEAR($F61))*12 + MONTH(AH$2)-MONTH($F61)) / 12),
  0)</f>
        <v/>
      </c>
      <c r="AI61" s="299">
        <f>IF(AND($F61&lt;=AI$2, OR($G61="",$G61&gt;=AI$2)),
  $H61 * (1 + Assumptions!$C$7) ^ INT(((YEAR(AI$2)-YEAR($F61))*12 + MONTH(AI$2)-MONTH($F61)) / 12),
  0)</f>
        <v/>
      </c>
      <c r="AJ61" s="299">
        <f>IF(AND($F61&lt;=AJ$2, OR($G61="",$G61&gt;=AJ$2)),
  $H61 * (1 + Assumptions!$C$7) ^ INT(((YEAR(AJ$2)-YEAR($F61))*12 + MONTH(AJ$2)-MONTH($F61)) / 12),
  0)</f>
        <v/>
      </c>
      <c r="AK61" s="299">
        <f>IF(AND($F61&lt;=AK$2, OR($G61="",$G61&gt;=AK$2)),
  $H61 * (1 + Assumptions!$C$7) ^ INT(((YEAR(AK$2)-YEAR($F61))*12 + MONTH(AK$2)-MONTH($F61)) / 12),
  0)</f>
        <v/>
      </c>
      <c r="AL61" s="299">
        <f>IF(AND($F61&lt;=AL$2, OR($G61="",$G61&gt;=AL$2)),
  $H61 * (1 + Assumptions!$C$7) ^ INT(((YEAR(AL$2)-YEAR($F61))*12 + MONTH(AL$2)-MONTH($F61)) / 12),
  0)</f>
        <v/>
      </c>
      <c r="AM61" s="299">
        <f>IF(AND($F61&lt;=AM$2, OR($G61="",$G61&gt;=AM$2)),
  $H61 * (1 + Assumptions!$C$7) ^ INT(((YEAR(AM$2)-YEAR($F61))*12 + MONTH(AM$2)-MONTH($F61)) / 12),
  0)</f>
        <v/>
      </c>
      <c r="AN61" s="299">
        <f>IF(AND($F61&lt;=AN$2, OR($G61="",$G61&gt;=AN$2)),
  $H61 * (1 + Assumptions!$C$7) ^ INT(((YEAR(AN$2)-YEAR($F61))*12 + MONTH(AN$2)-MONTH($F61)) / 12),
  0)</f>
        <v/>
      </c>
      <c r="AO61" s="299">
        <f>IF(AND($F61&lt;=AO$2, OR($G61="",$G61&gt;=AO$2)),
  $H61 * (1 + Assumptions!$C$7) ^ INT(((YEAR(AO$2)-YEAR($F61))*12 + MONTH(AO$2)-MONTH($F61)) / 12),
  0)</f>
        <v/>
      </c>
      <c r="AP61" s="299">
        <f>IF(AND($F61&lt;=AP$2, OR($G61="",$G61&gt;=AP$2)),
  $H61 * (1 + Assumptions!$C$7) ^ INT(((YEAR(AP$2)-YEAR($F61))*12 + MONTH(AP$2)-MONTH($F61)) / 12),
  0)</f>
        <v/>
      </c>
      <c r="AQ61" s="299">
        <f>IF(AND($F61&lt;=AQ$2, OR($G61="",$G61&gt;=AQ$2)),
  $H61 * (1 + Assumptions!$C$7) ^ INT(((YEAR(AQ$2)-YEAR($F61))*12 + MONTH(AQ$2)-MONTH($F61)) / 12),
  0)</f>
        <v/>
      </c>
      <c r="AR61" s="299">
        <f>IF(AND($F61&lt;=AR$2, OR($G61="",$G61&gt;=AR$2)),
  $H61 * (1 + Assumptions!$C$7) ^ INT(((YEAR(AR$2)-YEAR($F61))*12 + MONTH(AR$2)-MONTH($F61)) / 12),
  0)</f>
        <v/>
      </c>
      <c r="AS61" s="299">
        <f>IF(AND($F61&lt;=AS$2, OR($G61="",$G61&gt;=AS$2)),
  $H61 * (1 + Assumptions!$C$7) ^ INT(((YEAR(AS$2)-YEAR($F61))*12 + MONTH(AS$2)-MONTH($F61)) / 12),
  0)</f>
        <v/>
      </c>
      <c r="AT61" s="299">
        <f>IF(AND($F61&lt;=AT$2, OR($G61="",$G61&gt;=AT$2)),
  $H61 * (1 + Assumptions!$C$7) ^ INT(((YEAR(AT$2)-YEAR($F61))*12 + MONTH(AT$2)-MONTH($F61)) / 12),
  0)</f>
        <v/>
      </c>
      <c r="AU61" s="299">
        <f>IF(AND($F61&lt;=AU$2, OR($G61="",$G61&gt;=AU$2)),
  $H61 * (1 + Assumptions!$C$7) ^ INT(((YEAR(AU$2)-YEAR($F61))*12 + MONTH(AU$2)-MONTH($F61)) / 12),
  0)</f>
        <v/>
      </c>
      <c r="AV61" s="299">
        <f>IF(AND($F61&lt;=AV$2, OR($G61="",$G61&gt;=AV$2)),
  $H61 * (1 + Assumptions!$C$7) ^ INT(((YEAR(AV$2)-YEAR($F61))*12 + MONTH(AV$2)-MONTH($F61)) / 12),
  0)</f>
        <v/>
      </c>
      <c r="AW61" s="299">
        <f>IF(AND($F61&lt;=AW$2, OR($G61="",$G61&gt;=AW$2)),
  $H61 * (1 + Assumptions!$C$7) ^ INT(((YEAR(AW$2)-YEAR($F61))*12 + MONTH(AW$2)-MONTH($F61)) / 12),
  0)</f>
        <v/>
      </c>
      <c r="AX61" s="299">
        <f>IF(AND($F61&lt;=AX$2, OR($G61="",$G61&gt;=AX$2)),
  $H61 * (1 + Assumptions!$C$7) ^ INT(((YEAR(AX$2)-YEAR($F61))*12 + MONTH(AX$2)-MONTH($F61)) / 12),
  0)</f>
        <v/>
      </c>
      <c r="AY61" s="299">
        <f>IF(AND($F61&lt;=AY$2, OR($G61="",$G61&gt;=AY$2)),
  $H61 * (1 + Assumptions!$C$7) ^ INT(((YEAR(AY$2)-YEAR($F61))*12 + MONTH(AY$2)-MONTH($F61)) / 12),
  0)</f>
        <v/>
      </c>
      <c r="AZ61" s="299">
        <f>IF(AND($F61&lt;=AZ$2, OR($G61="",$G61&gt;=AZ$2)),
  $H61 * (1 + Assumptions!$C$7) ^ INT(((YEAR(AZ$2)-YEAR($F61))*12 + MONTH(AZ$2)-MONTH($F61)) / 12),
  0)</f>
        <v/>
      </c>
      <c r="BA61" s="299">
        <f>IF(AND($F61&lt;=BA$2, OR($G61="",$G61&gt;=BA$2)),
  $H61 * (1 + Assumptions!$C$7) ^ INT(((YEAR(BA$2)-YEAR($F61))*12 + MONTH(BA$2)-MONTH($F61)) / 12),
  0)</f>
        <v/>
      </c>
      <c r="BB61" s="299">
        <f>IF(AND($F61&lt;=BB$2, OR($G61="",$G61&gt;=BB$2)),
  $H61 * (1 + Assumptions!$C$7) ^ INT(((YEAR(BB$2)-YEAR($F61))*12 + MONTH(BB$2)-MONTH($F61)) / 12),
  0)</f>
        <v/>
      </c>
      <c r="BC61" s="299">
        <f>IF(AND($F61&lt;=BC$2, OR($G61="",$G61&gt;=BC$2)),
  $H61 * (1 + Assumptions!$C$7) ^ INT(((YEAR(BC$2)-YEAR($F61))*12 + MONTH(BC$2)-MONTH($F61)) / 12),
  0)</f>
        <v/>
      </c>
      <c r="BD61" s="299">
        <f>IF(AND($F61&lt;=BD$2, OR($G61="",$G61&gt;=BD$2)),
  $H61 * (1 + Assumptions!$C$7) ^ INT(((YEAR(BD$2)-YEAR($F61))*12 + MONTH(BD$2)-MONTH($F61)) / 12),
  0)</f>
        <v/>
      </c>
      <c r="BE61" s="299">
        <f>IF(AND($F61&lt;=BE$2, OR($G61="",$G61&gt;=BE$2)),
  $H61 * (1 + Assumptions!$C$7) ^ INT(((YEAR(BE$2)-YEAR($F61))*12 + MONTH(BE$2)-MONTH($F61)) / 12),
  0)</f>
        <v/>
      </c>
      <c r="BF61" s="299">
        <f>IF(AND($F61&lt;=BF$2, OR($G61="",$G61&gt;=BF$2)),
  $H61 * (1 + Assumptions!$C$7) ^ INT(((YEAR(BF$2)-YEAR($F61))*12 + MONTH(BF$2)-MONTH($F61)) / 12),
  0)</f>
        <v/>
      </c>
      <c r="BG61" s="299">
        <f>IF(AND($F61&lt;=BG$2, OR($G61="",$G61&gt;=BG$2)),
  $H61 * (1 + Assumptions!$C$7) ^ INT(((YEAR(BG$2)-YEAR($F61))*12 + MONTH(BG$2)-MONTH($F61)) / 12),
  0)</f>
        <v/>
      </c>
      <c r="BH61" s="299">
        <f>IF(AND($F61&lt;=BH$2, OR($G61="",$G61&gt;=BH$2)),
  $H61 * (1 + Assumptions!$C$7) ^ INT(((YEAR(BH$2)-YEAR($F61))*12 + MONTH(BH$2)-MONTH($F61)) / 12),
  0)</f>
        <v/>
      </c>
      <c r="BI61" s="299">
        <f>IF(AND($F61&lt;=BI$2, OR($G61="",$G61&gt;=BI$2)),
  $H61 * (1 + Assumptions!$C$7) ^ INT(((YEAR(BI$2)-YEAR($F61))*12 + MONTH(BI$2)-MONTH($F61)) / 12),
  0)</f>
        <v/>
      </c>
      <c r="BJ61" s="299">
        <f>IF(AND($F61&lt;=BJ$2, OR($G61="",$G61&gt;=BJ$2)),
  $H61 * (1 + Assumptions!$C$7) ^ INT(((YEAR(BJ$2)-YEAR($F61))*12 + MONTH(BJ$2)-MONTH($F61)) / 12),
  0)</f>
        <v/>
      </c>
      <c r="BK61" s="299">
        <f>IF(AND($F61&lt;=BK$2, OR($G61="",$G61&gt;=BK$2)),
  $H61 * (1 + Assumptions!$C$7) ^ INT(((YEAR(BK$2)-YEAR($F61))*12 + MONTH(BK$2)-MONTH($F61)) / 12),
  0)</f>
        <v/>
      </c>
      <c r="BL61" s="299">
        <f>IF(AND($F61&lt;=BL$2, OR($G61="",$G61&gt;=BL$2)),
  $H61 * (1 + Assumptions!$C$7) ^ INT(((YEAR(BL$2)-YEAR($F61))*12 + MONTH(BL$2)-MONTH($F61)) / 12),
  0)</f>
        <v/>
      </c>
      <c r="BM61" s="299">
        <f>IF(AND($F61&lt;=BM$2, OR($G61="",$G61&gt;=BM$2)),
  $H61 * (1 + Assumptions!$C$7) ^ INT(((YEAR(BM$2)-YEAR($F61))*12 + MONTH(BM$2)-MONTH($F61)) / 12),
  0)</f>
        <v/>
      </c>
      <c r="BN61" s="299">
        <f>IF(AND($F61&lt;=BN$2, OR($G61="",$G61&gt;=BN$2)),
  $H61 * (1 + Assumptions!$C$7) ^ INT(((YEAR(BN$2)-YEAR($F61))*12 + MONTH(BN$2)-MONTH($F61)) / 12),
  0)</f>
        <v/>
      </c>
      <c r="BO61" s="299">
        <f>IF(AND($F61&lt;=BO$2, OR($G61="",$G61&gt;=BO$2)),
  $H61 * (1 + Assumptions!$C$7) ^ INT(((YEAR(BO$2)-YEAR($F61))*12 + MONTH(BO$2)-MONTH($F61)) / 12),
  0)</f>
        <v/>
      </c>
      <c r="BP61" s="299">
        <f>IF(AND($F61&lt;=BP$2, OR($G61="",$G61&gt;=BP$2)),
  $H61 * (1 + Assumptions!$C$7) ^ INT(((YEAR(BP$2)-YEAR($F61))*12 + MONTH(BP$2)-MONTH($F61)) / 12),
  0)</f>
        <v/>
      </c>
      <c r="BQ61" s="78" t="n"/>
      <c r="BR61" s="315" t="n"/>
      <c r="BS61" s="78" t="n"/>
      <c r="BT61" s="78" t="n"/>
    </row>
    <row r="62" ht="15.75" customHeight="1" s="349">
      <c r="A62" s="321" t="n">
        <v>57</v>
      </c>
      <c r="B62" s="285" t="inlineStr">
        <is>
          <t>New hire</t>
        </is>
      </c>
      <c r="C62" s="317" t="inlineStr">
        <is>
          <t>S&amp;M</t>
        </is>
      </c>
      <c r="D62" s="317" t="inlineStr">
        <is>
          <t>Sales</t>
        </is>
      </c>
      <c r="E62" s="297" t="inlineStr">
        <is>
          <t>Planned</t>
        </is>
      </c>
      <c r="F62" s="318">
        <f>IF(Assumptions!$D$82=2,DATE(2028,4,1),DATE(2028,8,1))</f>
        <v/>
      </c>
      <c r="G62" s="318" t="n"/>
      <c r="H62" s="288" t="n">
        <v>7500</v>
      </c>
      <c r="I62" s="299">
        <f>IF(AND($F62&lt;=I$2, OR($G62="",$G62&gt;=I$2)),
  $H62 * (1 + Assumptions!$C$7) ^ INT(((YEAR(I$2)-YEAR($F62))*12 + MONTH(I$2)-MONTH($F62)) / 12),
  0)</f>
        <v/>
      </c>
      <c r="J62" s="299">
        <f>IF(AND($F62&lt;=J$2, OR($G62="",$G62&gt;=J$2)),
  $H62 * (1 + Assumptions!$C$7) ^ INT(((YEAR(J$2)-YEAR($F62))*12 + MONTH(J$2)-MONTH($F62)) / 12),
  0)</f>
        <v/>
      </c>
      <c r="K62" s="299">
        <f>IF(AND($F62&lt;=K$2, OR($G62="",$G62&gt;=K$2)),
  $H62 * (1 + Assumptions!$C$7) ^ INT(((YEAR(K$2)-YEAR($F62))*12 + MONTH(K$2)-MONTH($F62)) / 12),
  0)</f>
        <v/>
      </c>
      <c r="L62" s="299">
        <f>IF(AND($F62&lt;=L$2, OR($G62="",$G62&gt;=L$2)),
  $H62 * (1 + Assumptions!$C$7) ^ INT(((YEAR(L$2)-YEAR($F62))*12 + MONTH(L$2)-MONTH($F62)) / 12),
  0)</f>
        <v/>
      </c>
      <c r="M62" s="299">
        <f>IF(AND($F62&lt;=M$2, OR($G62="",$G62&gt;=M$2)),
  $H62 * (1 + Assumptions!$C$7) ^ INT(((YEAR(M$2)-YEAR($F62))*12 + MONTH(M$2)-MONTH($F62)) / 12),
  0)</f>
        <v/>
      </c>
      <c r="N62" s="299">
        <f>IF(AND($F62&lt;=N$2, OR($G62="",$G62&gt;=N$2)),
  $H62 * (1 + Assumptions!$C$7) ^ INT(((YEAR(N$2)-YEAR($F62))*12 + MONTH(N$2)-MONTH($F62)) / 12),
  0)</f>
        <v/>
      </c>
      <c r="O62" s="299">
        <f>IF(AND($F62&lt;=O$2, OR($G62="",$G62&gt;=O$2)),
  $H62 * (1 + Assumptions!$C$7) ^ INT(((YEAR(O$2)-YEAR($F62))*12 + MONTH(O$2)-MONTH($F62)) / 12),
  0)</f>
        <v/>
      </c>
      <c r="P62" s="299">
        <f>IF(AND($F62&lt;=P$2, OR($G62="",$G62&gt;=P$2)),
  $H62 * (1 + Assumptions!$C$7) ^ INT(((YEAR(P$2)-YEAR($F62))*12 + MONTH(P$2)-MONTH($F62)) / 12),
  0)</f>
        <v/>
      </c>
      <c r="Q62" s="299">
        <f>IF(AND($F62&lt;=Q$2, OR($G62="",$G62&gt;=Q$2)),
  $H62 * (1 + Assumptions!$C$7) ^ INT(((YEAR(Q$2)-YEAR($F62))*12 + MONTH(Q$2)-MONTH($F62)) / 12),
  0)</f>
        <v/>
      </c>
      <c r="R62" s="299">
        <f>IF(AND($F62&lt;=R$2, OR($G62="",$G62&gt;=R$2)),
  $H62 * (1 + Assumptions!$C$7) ^ INT(((YEAR(R$2)-YEAR($F62))*12 + MONTH(R$2)-MONTH($F62)) / 12),
  0)</f>
        <v/>
      </c>
      <c r="S62" s="299">
        <f>IF(AND($F62&lt;=S$2, OR($G62="",$G62&gt;=S$2)),
  $H62 * (1 + Assumptions!$C$7) ^ INT(((YEAR(S$2)-YEAR($F62))*12 + MONTH(S$2)-MONTH($F62)) / 12),
  0)</f>
        <v/>
      </c>
      <c r="T62" s="299">
        <f>IF(AND($F62&lt;=T$2, OR($G62="",$G62&gt;=T$2)),
  $H62 * (1 + Assumptions!$C$7) ^ INT(((YEAR(T$2)-YEAR($F62))*12 + MONTH(T$2)-MONTH($F62)) / 12),
  0)</f>
        <v/>
      </c>
      <c r="U62" s="299">
        <f>IF(AND($F62&lt;=U$2, OR($G62="",$G62&gt;=U$2)),
  $H62 * (1 + Assumptions!$C$7) ^ INT(((YEAR(U$2)-YEAR($F62))*12 + MONTH(U$2)-MONTH($F62)) / 12),
  0)</f>
        <v/>
      </c>
      <c r="V62" s="299">
        <f>IF(AND($F62&lt;=V$2, OR($G62="",$G62&gt;=V$2)),
  $H62 * (1 + Assumptions!$C$7) ^ INT(((YEAR(V$2)-YEAR($F62))*12 + MONTH(V$2)-MONTH($F62)) / 12),
  0)</f>
        <v/>
      </c>
      <c r="W62" s="299">
        <f>IF(AND($F62&lt;=W$2, OR($G62="",$G62&gt;=W$2)),
  $H62 * (1 + Assumptions!$C$7) ^ INT(((YEAR(W$2)-YEAR($F62))*12 + MONTH(W$2)-MONTH($F62)) / 12),
  0)</f>
        <v/>
      </c>
      <c r="X62" s="299">
        <f>IF(AND($F62&lt;=X$2, OR($G62="",$G62&gt;=X$2)),
  $H62 * (1 + Assumptions!$C$7) ^ INT(((YEAR(X$2)-YEAR($F62))*12 + MONTH(X$2)-MONTH($F62)) / 12),
  0)</f>
        <v/>
      </c>
      <c r="Y62" s="299">
        <f>IF(AND($F62&lt;=Y$2, OR($G62="",$G62&gt;=Y$2)),
  $H62 * (1 + Assumptions!$C$7) ^ INT(((YEAR(Y$2)-YEAR($F62))*12 + MONTH(Y$2)-MONTH($F62)) / 12),
  0)</f>
        <v/>
      </c>
      <c r="Z62" s="299">
        <f>IF(AND($F62&lt;=Z$2, OR($G62="",$G62&gt;=Z$2)),
  $H62 * (1 + Assumptions!$C$7) ^ INT(((YEAR(Z$2)-YEAR($F62))*12 + MONTH(Z$2)-MONTH($F62)) / 12),
  0)</f>
        <v/>
      </c>
      <c r="AA62" s="299">
        <f>IF(AND($F62&lt;=AA$2, OR($G62="",$G62&gt;=AA$2)),
  $H62 * (1 + Assumptions!$C$7) ^ INT(((YEAR(AA$2)-YEAR($F62))*12 + MONTH(AA$2)-MONTH($F62)) / 12),
  0)</f>
        <v/>
      </c>
      <c r="AB62" s="299">
        <f>IF(AND($F62&lt;=AB$2, OR($G62="",$G62&gt;=AB$2)),
  $H62 * (1 + Assumptions!$C$7) ^ INT(((YEAR(AB$2)-YEAR($F62))*12 + MONTH(AB$2)-MONTH($F62)) / 12),
  0)</f>
        <v/>
      </c>
      <c r="AC62" s="299">
        <f>IF(AND($F62&lt;=AC$2, OR($G62="",$G62&gt;=AC$2)),
  $H62 * (1 + Assumptions!$C$7) ^ INT(((YEAR(AC$2)-YEAR($F62))*12 + MONTH(AC$2)-MONTH($F62)) / 12),
  0)</f>
        <v/>
      </c>
      <c r="AD62" s="299">
        <f>IF(AND($F62&lt;=AD$2, OR($G62="",$G62&gt;=AD$2)),
  $H62 * (1 + Assumptions!$C$7) ^ INT(((YEAR(AD$2)-YEAR($F62))*12 + MONTH(AD$2)-MONTH($F62)) / 12),
  0)</f>
        <v/>
      </c>
      <c r="AE62" s="299">
        <f>IF(AND($F62&lt;=AE$2, OR($G62="",$G62&gt;=AE$2)),
  $H62 * (1 + Assumptions!$C$7) ^ INT(((YEAR(AE$2)-YEAR($F62))*12 + MONTH(AE$2)-MONTH($F62)) / 12),
  0)</f>
        <v/>
      </c>
      <c r="AF62" s="299">
        <f>IF(AND($F62&lt;=AF$2, OR($G62="",$G62&gt;=AF$2)),
  $H62 * (1 + Assumptions!$C$7) ^ INT(((YEAR(AF$2)-YEAR($F62))*12 + MONTH(AF$2)-MONTH($F62)) / 12),
  0)</f>
        <v/>
      </c>
      <c r="AG62" s="299">
        <f>IF(AND($F62&lt;=AG$2, OR($G62="",$G62&gt;=AG$2)),
  $H62 * (1 + Assumptions!$C$7) ^ INT(((YEAR(AG$2)-YEAR($F62))*12 + MONTH(AG$2)-MONTH($F62)) / 12),
  0)</f>
        <v/>
      </c>
      <c r="AH62" s="299">
        <f>IF(AND($F62&lt;=AH$2, OR($G62="",$G62&gt;=AH$2)),
  $H62 * (1 + Assumptions!$C$7) ^ INT(((YEAR(AH$2)-YEAR($F62))*12 + MONTH(AH$2)-MONTH($F62)) / 12),
  0)</f>
        <v/>
      </c>
      <c r="AI62" s="299">
        <f>IF(AND($F62&lt;=AI$2, OR($G62="",$G62&gt;=AI$2)),
  $H62 * (1 + Assumptions!$C$7) ^ INT(((YEAR(AI$2)-YEAR($F62))*12 + MONTH(AI$2)-MONTH($F62)) / 12),
  0)</f>
        <v/>
      </c>
      <c r="AJ62" s="299">
        <f>IF(AND($F62&lt;=AJ$2, OR($G62="",$G62&gt;=AJ$2)),
  $H62 * (1 + Assumptions!$C$7) ^ INT(((YEAR(AJ$2)-YEAR($F62))*12 + MONTH(AJ$2)-MONTH($F62)) / 12),
  0)</f>
        <v/>
      </c>
      <c r="AK62" s="299">
        <f>IF(AND($F62&lt;=AK$2, OR($G62="",$G62&gt;=AK$2)),
  $H62 * (1 + Assumptions!$C$7) ^ INT(((YEAR(AK$2)-YEAR($F62))*12 + MONTH(AK$2)-MONTH($F62)) / 12),
  0)</f>
        <v/>
      </c>
      <c r="AL62" s="299">
        <f>IF(AND($F62&lt;=AL$2, OR($G62="",$G62&gt;=AL$2)),
  $H62 * (1 + Assumptions!$C$7) ^ INT(((YEAR(AL$2)-YEAR($F62))*12 + MONTH(AL$2)-MONTH($F62)) / 12),
  0)</f>
        <v/>
      </c>
      <c r="AM62" s="299">
        <f>IF(AND($F62&lt;=AM$2, OR($G62="",$G62&gt;=AM$2)),
  $H62 * (1 + Assumptions!$C$7) ^ INT(((YEAR(AM$2)-YEAR($F62))*12 + MONTH(AM$2)-MONTH($F62)) / 12),
  0)</f>
        <v/>
      </c>
      <c r="AN62" s="299">
        <f>IF(AND($F62&lt;=AN$2, OR($G62="",$G62&gt;=AN$2)),
  $H62 * (1 + Assumptions!$C$7) ^ INT(((YEAR(AN$2)-YEAR($F62))*12 + MONTH(AN$2)-MONTH($F62)) / 12),
  0)</f>
        <v/>
      </c>
      <c r="AO62" s="299">
        <f>IF(AND($F62&lt;=AO$2, OR($G62="",$G62&gt;=AO$2)),
  $H62 * (1 + Assumptions!$C$7) ^ INT(((YEAR(AO$2)-YEAR($F62))*12 + MONTH(AO$2)-MONTH($F62)) / 12),
  0)</f>
        <v/>
      </c>
      <c r="AP62" s="299">
        <f>IF(AND($F62&lt;=AP$2, OR($G62="",$G62&gt;=AP$2)),
  $H62 * (1 + Assumptions!$C$7) ^ INT(((YEAR(AP$2)-YEAR($F62))*12 + MONTH(AP$2)-MONTH($F62)) / 12),
  0)</f>
        <v/>
      </c>
      <c r="AQ62" s="299">
        <f>IF(AND($F62&lt;=AQ$2, OR($G62="",$G62&gt;=AQ$2)),
  $H62 * (1 + Assumptions!$C$7) ^ INT(((YEAR(AQ$2)-YEAR($F62))*12 + MONTH(AQ$2)-MONTH($F62)) / 12),
  0)</f>
        <v/>
      </c>
      <c r="AR62" s="299">
        <f>IF(AND($F62&lt;=AR$2, OR($G62="",$G62&gt;=AR$2)),
  $H62 * (1 + Assumptions!$C$7) ^ INT(((YEAR(AR$2)-YEAR($F62))*12 + MONTH(AR$2)-MONTH($F62)) / 12),
  0)</f>
        <v/>
      </c>
      <c r="AS62" s="299">
        <f>IF(AND($F62&lt;=AS$2, OR($G62="",$G62&gt;=AS$2)),
  $H62 * (1 + Assumptions!$C$7) ^ INT(((YEAR(AS$2)-YEAR($F62))*12 + MONTH(AS$2)-MONTH($F62)) / 12),
  0)</f>
        <v/>
      </c>
      <c r="AT62" s="299">
        <f>IF(AND($F62&lt;=AT$2, OR($G62="",$G62&gt;=AT$2)),
  $H62 * (1 + Assumptions!$C$7) ^ INT(((YEAR(AT$2)-YEAR($F62))*12 + MONTH(AT$2)-MONTH($F62)) / 12),
  0)</f>
        <v/>
      </c>
      <c r="AU62" s="299">
        <f>IF(AND($F62&lt;=AU$2, OR($G62="",$G62&gt;=AU$2)),
  $H62 * (1 + Assumptions!$C$7) ^ INT(((YEAR(AU$2)-YEAR($F62))*12 + MONTH(AU$2)-MONTH($F62)) / 12),
  0)</f>
        <v/>
      </c>
      <c r="AV62" s="299">
        <f>IF(AND($F62&lt;=AV$2, OR($G62="",$G62&gt;=AV$2)),
  $H62 * (1 + Assumptions!$C$7) ^ INT(((YEAR(AV$2)-YEAR($F62))*12 + MONTH(AV$2)-MONTH($F62)) / 12),
  0)</f>
        <v/>
      </c>
      <c r="AW62" s="299">
        <f>IF(AND($F62&lt;=AW$2, OR($G62="",$G62&gt;=AW$2)),
  $H62 * (1 + Assumptions!$C$7) ^ INT(((YEAR(AW$2)-YEAR($F62))*12 + MONTH(AW$2)-MONTH($F62)) / 12),
  0)</f>
        <v/>
      </c>
      <c r="AX62" s="299">
        <f>IF(AND($F62&lt;=AX$2, OR($G62="",$G62&gt;=AX$2)),
  $H62 * (1 + Assumptions!$C$7) ^ INT(((YEAR(AX$2)-YEAR($F62))*12 + MONTH(AX$2)-MONTH($F62)) / 12),
  0)</f>
        <v/>
      </c>
      <c r="AY62" s="299">
        <f>IF(AND($F62&lt;=AY$2, OR($G62="",$G62&gt;=AY$2)),
  $H62 * (1 + Assumptions!$C$7) ^ INT(((YEAR(AY$2)-YEAR($F62))*12 + MONTH(AY$2)-MONTH($F62)) / 12),
  0)</f>
        <v/>
      </c>
      <c r="AZ62" s="299">
        <f>IF(AND($F62&lt;=AZ$2, OR($G62="",$G62&gt;=AZ$2)),
  $H62 * (1 + Assumptions!$C$7) ^ INT(((YEAR(AZ$2)-YEAR($F62))*12 + MONTH(AZ$2)-MONTH($F62)) / 12),
  0)</f>
        <v/>
      </c>
      <c r="BA62" s="299">
        <f>IF(AND($F62&lt;=BA$2, OR($G62="",$G62&gt;=BA$2)),
  $H62 * (1 + Assumptions!$C$7) ^ INT(((YEAR(BA$2)-YEAR($F62))*12 + MONTH(BA$2)-MONTH($F62)) / 12),
  0)</f>
        <v/>
      </c>
      <c r="BB62" s="299">
        <f>IF(AND($F62&lt;=BB$2, OR($G62="",$G62&gt;=BB$2)),
  $H62 * (1 + Assumptions!$C$7) ^ INT(((YEAR(BB$2)-YEAR($F62))*12 + MONTH(BB$2)-MONTH($F62)) / 12),
  0)</f>
        <v/>
      </c>
      <c r="BC62" s="299">
        <f>IF(AND($F62&lt;=BC$2, OR($G62="",$G62&gt;=BC$2)),
  $H62 * (1 + Assumptions!$C$7) ^ INT(((YEAR(BC$2)-YEAR($F62))*12 + MONTH(BC$2)-MONTH($F62)) / 12),
  0)</f>
        <v/>
      </c>
      <c r="BD62" s="299">
        <f>IF(AND($F62&lt;=BD$2, OR($G62="",$G62&gt;=BD$2)),
  $H62 * (1 + Assumptions!$C$7) ^ INT(((YEAR(BD$2)-YEAR($F62))*12 + MONTH(BD$2)-MONTH($F62)) / 12),
  0)</f>
        <v/>
      </c>
      <c r="BE62" s="299">
        <f>IF(AND($F62&lt;=BE$2, OR($G62="",$G62&gt;=BE$2)),
  $H62 * (1 + Assumptions!$C$7) ^ INT(((YEAR(BE$2)-YEAR($F62))*12 + MONTH(BE$2)-MONTH($F62)) / 12),
  0)</f>
        <v/>
      </c>
      <c r="BF62" s="299">
        <f>IF(AND($F62&lt;=BF$2, OR($G62="",$G62&gt;=BF$2)),
  $H62 * (1 + Assumptions!$C$7) ^ INT(((YEAR(BF$2)-YEAR($F62))*12 + MONTH(BF$2)-MONTH($F62)) / 12),
  0)</f>
        <v/>
      </c>
      <c r="BG62" s="299">
        <f>IF(AND($F62&lt;=BG$2, OR($G62="",$G62&gt;=BG$2)),
  $H62 * (1 + Assumptions!$C$7) ^ INT(((YEAR(BG$2)-YEAR($F62))*12 + MONTH(BG$2)-MONTH($F62)) / 12),
  0)</f>
        <v/>
      </c>
      <c r="BH62" s="299">
        <f>IF(AND($F62&lt;=BH$2, OR($G62="",$G62&gt;=BH$2)),
  $H62 * (1 + Assumptions!$C$7) ^ INT(((YEAR(BH$2)-YEAR($F62))*12 + MONTH(BH$2)-MONTH($F62)) / 12),
  0)</f>
        <v/>
      </c>
      <c r="BI62" s="299">
        <f>IF(AND($F62&lt;=BI$2, OR($G62="",$G62&gt;=BI$2)),
  $H62 * (1 + Assumptions!$C$7) ^ INT(((YEAR(BI$2)-YEAR($F62))*12 + MONTH(BI$2)-MONTH($F62)) / 12),
  0)</f>
        <v/>
      </c>
      <c r="BJ62" s="299">
        <f>IF(AND($F62&lt;=BJ$2, OR($G62="",$G62&gt;=BJ$2)),
  $H62 * (1 + Assumptions!$C$7) ^ INT(((YEAR(BJ$2)-YEAR($F62))*12 + MONTH(BJ$2)-MONTH($F62)) / 12),
  0)</f>
        <v/>
      </c>
      <c r="BK62" s="299">
        <f>IF(AND($F62&lt;=BK$2, OR($G62="",$G62&gt;=BK$2)),
  $H62 * (1 + Assumptions!$C$7) ^ INT(((YEAR(BK$2)-YEAR($F62))*12 + MONTH(BK$2)-MONTH($F62)) / 12),
  0)</f>
        <v/>
      </c>
      <c r="BL62" s="299">
        <f>IF(AND($F62&lt;=BL$2, OR($G62="",$G62&gt;=BL$2)),
  $H62 * (1 + Assumptions!$C$7) ^ INT(((YEAR(BL$2)-YEAR($F62))*12 + MONTH(BL$2)-MONTH($F62)) / 12),
  0)</f>
        <v/>
      </c>
      <c r="BM62" s="299">
        <f>IF(AND($F62&lt;=BM$2, OR($G62="",$G62&gt;=BM$2)),
  $H62 * (1 + Assumptions!$C$7) ^ INT(((YEAR(BM$2)-YEAR($F62))*12 + MONTH(BM$2)-MONTH($F62)) / 12),
  0)</f>
        <v/>
      </c>
      <c r="BN62" s="299">
        <f>IF(AND($F62&lt;=BN$2, OR($G62="",$G62&gt;=BN$2)),
  $H62 * (1 + Assumptions!$C$7) ^ INT(((YEAR(BN$2)-YEAR($F62))*12 + MONTH(BN$2)-MONTH($F62)) / 12),
  0)</f>
        <v/>
      </c>
      <c r="BO62" s="299">
        <f>IF(AND($F62&lt;=BO$2, OR($G62="",$G62&gt;=BO$2)),
  $H62 * (1 + Assumptions!$C$7) ^ INT(((YEAR(BO$2)-YEAR($F62))*12 + MONTH(BO$2)-MONTH($F62)) / 12),
  0)</f>
        <v/>
      </c>
      <c r="BP62" s="299">
        <f>IF(AND($F62&lt;=BP$2, OR($G62="",$G62&gt;=BP$2)),
  $H62 * (1 + Assumptions!$C$7) ^ INT(((YEAR(BP$2)-YEAR($F62))*12 + MONTH(BP$2)-MONTH($F62)) / 12),
  0)</f>
        <v/>
      </c>
      <c r="BQ62" s="333" t="n"/>
      <c r="BR62" s="334" t="n"/>
      <c r="BS62" s="335" t="n"/>
      <c r="BT62" s="335" t="n"/>
    </row>
    <row r="63" ht="15.75" customHeight="1" s="349">
      <c r="A63" s="321" t="n">
        <v>58</v>
      </c>
      <c r="B63" s="285" t="inlineStr">
        <is>
          <t>New hire</t>
        </is>
      </c>
      <c r="C63" s="317" t="inlineStr">
        <is>
          <t>S&amp;M</t>
        </is>
      </c>
      <c r="D63" s="317" t="inlineStr">
        <is>
          <t>Sales</t>
        </is>
      </c>
      <c r="E63" s="297" t="inlineStr">
        <is>
          <t>Planned</t>
        </is>
      </c>
      <c r="F63" s="318">
        <f>IF(Assumptions!$D$82=2,DATE(2028,6,1),DATE(2035,1,1))</f>
        <v/>
      </c>
      <c r="G63" s="318" t="n"/>
      <c r="H63" s="288" t="n">
        <v>7500</v>
      </c>
      <c r="I63" s="299">
        <f>IF(AND($F63&lt;=I$2, OR($G63="",$G63&gt;=I$2)),
  $H63 * (1 + Assumptions!$C$7) ^ INT(((YEAR(I$2)-YEAR($F63))*12 + MONTH(I$2)-MONTH($F63)) / 12),
  0)</f>
        <v/>
      </c>
      <c r="J63" s="299">
        <f>IF(AND($F63&lt;=J$2, OR($G63="",$G63&gt;=J$2)),
  $H63 * (1 + Assumptions!$C$7) ^ INT(((YEAR(J$2)-YEAR($F63))*12 + MONTH(J$2)-MONTH($F63)) / 12),
  0)</f>
        <v/>
      </c>
      <c r="K63" s="299">
        <f>IF(AND($F63&lt;=K$2, OR($G63="",$G63&gt;=K$2)),
  $H63 * (1 + Assumptions!$C$7) ^ INT(((YEAR(K$2)-YEAR($F63))*12 + MONTH(K$2)-MONTH($F63)) / 12),
  0)</f>
        <v/>
      </c>
      <c r="L63" s="299">
        <f>IF(AND($F63&lt;=L$2, OR($G63="",$G63&gt;=L$2)),
  $H63 * (1 + Assumptions!$C$7) ^ INT(((YEAR(L$2)-YEAR($F63))*12 + MONTH(L$2)-MONTH($F63)) / 12),
  0)</f>
        <v/>
      </c>
      <c r="M63" s="299">
        <f>IF(AND($F63&lt;=M$2, OR($G63="",$G63&gt;=M$2)),
  $H63 * (1 + Assumptions!$C$7) ^ INT(((YEAR(M$2)-YEAR($F63))*12 + MONTH(M$2)-MONTH($F63)) / 12),
  0)</f>
        <v/>
      </c>
      <c r="N63" s="299">
        <f>IF(AND($F63&lt;=N$2, OR($G63="",$G63&gt;=N$2)),
  $H63 * (1 + Assumptions!$C$7) ^ INT(((YEAR(N$2)-YEAR($F63))*12 + MONTH(N$2)-MONTH($F63)) / 12),
  0)</f>
        <v/>
      </c>
      <c r="O63" s="299">
        <f>IF(AND($F63&lt;=O$2, OR($G63="",$G63&gt;=O$2)),
  $H63 * (1 + Assumptions!$C$7) ^ INT(((YEAR(O$2)-YEAR($F63))*12 + MONTH(O$2)-MONTH($F63)) / 12),
  0)</f>
        <v/>
      </c>
      <c r="P63" s="299">
        <f>IF(AND($F63&lt;=P$2, OR($G63="",$G63&gt;=P$2)),
  $H63 * (1 + Assumptions!$C$7) ^ INT(((YEAR(P$2)-YEAR($F63))*12 + MONTH(P$2)-MONTH($F63)) / 12),
  0)</f>
        <v/>
      </c>
      <c r="Q63" s="299">
        <f>IF(AND($F63&lt;=Q$2, OR($G63="",$G63&gt;=Q$2)),
  $H63 * (1 + Assumptions!$C$7) ^ INT(((YEAR(Q$2)-YEAR($F63))*12 + MONTH(Q$2)-MONTH($F63)) / 12),
  0)</f>
        <v/>
      </c>
      <c r="R63" s="299">
        <f>IF(AND($F63&lt;=R$2, OR($G63="",$G63&gt;=R$2)),
  $H63 * (1 + Assumptions!$C$7) ^ INT(((YEAR(R$2)-YEAR($F63))*12 + MONTH(R$2)-MONTH($F63)) / 12),
  0)</f>
        <v/>
      </c>
      <c r="S63" s="299">
        <f>IF(AND($F63&lt;=S$2, OR($G63="",$G63&gt;=S$2)),
  $H63 * (1 + Assumptions!$C$7) ^ INT(((YEAR(S$2)-YEAR($F63))*12 + MONTH(S$2)-MONTH($F63)) / 12),
  0)</f>
        <v/>
      </c>
      <c r="T63" s="299">
        <f>IF(AND($F63&lt;=T$2, OR($G63="",$G63&gt;=T$2)),
  $H63 * (1 + Assumptions!$C$7) ^ INT(((YEAR(T$2)-YEAR($F63))*12 + MONTH(T$2)-MONTH($F63)) / 12),
  0)</f>
        <v/>
      </c>
      <c r="U63" s="299">
        <f>IF(AND($F63&lt;=U$2, OR($G63="",$G63&gt;=U$2)),
  $H63 * (1 + Assumptions!$C$7) ^ INT(((YEAR(U$2)-YEAR($F63))*12 + MONTH(U$2)-MONTH($F63)) / 12),
  0)</f>
        <v/>
      </c>
      <c r="V63" s="299">
        <f>IF(AND($F63&lt;=V$2, OR($G63="",$G63&gt;=V$2)),
  $H63 * (1 + Assumptions!$C$7) ^ INT(((YEAR(V$2)-YEAR($F63))*12 + MONTH(V$2)-MONTH($F63)) / 12),
  0)</f>
        <v/>
      </c>
      <c r="W63" s="299">
        <f>IF(AND($F63&lt;=W$2, OR($G63="",$G63&gt;=W$2)),
  $H63 * (1 + Assumptions!$C$7) ^ INT(((YEAR(W$2)-YEAR($F63))*12 + MONTH(W$2)-MONTH($F63)) / 12),
  0)</f>
        <v/>
      </c>
      <c r="X63" s="299">
        <f>IF(AND($F63&lt;=X$2, OR($G63="",$G63&gt;=X$2)),
  $H63 * (1 + Assumptions!$C$7) ^ INT(((YEAR(X$2)-YEAR($F63))*12 + MONTH(X$2)-MONTH($F63)) / 12),
  0)</f>
        <v/>
      </c>
      <c r="Y63" s="299">
        <f>IF(AND($F63&lt;=Y$2, OR($G63="",$G63&gt;=Y$2)),
  $H63 * (1 + Assumptions!$C$7) ^ INT(((YEAR(Y$2)-YEAR($F63))*12 + MONTH(Y$2)-MONTH($F63)) / 12),
  0)</f>
        <v/>
      </c>
      <c r="Z63" s="299">
        <f>IF(AND($F63&lt;=Z$2, OR($G63="",$G63&gt;=Z$2)),
  $H63 * (1 + Assumptions!$C$7) ^ INT(((YEAR(Z$2)-YEAR($F63))*12 + MONTH(Z$2)-MONTH($F63)) / 12),
  0)</f>
        <v/>
      </c>
      <c r="AA63" s="299">
        <f>IF(AND($F63&lt;=AA$2, OR($G63="",$G63&gt;=AA$2)),
  $H63 * (1 + Assumptions!$C$7) ^ INT(((YEAR(AA$2)-YEAR($F63))*12 + MONTH(AA$2)-MONTH($F63)) / 12),
  0)</f>
        <v/>
      </c>
      <c r="AB63" s="299">
        <f>IF(AND($F63&lt;=AB$2, OR($G63="",$G63&gt;=AB$2)),
  $H63 * (1 + Assumptions!$C$7) ^ INT(((YEAR(AB$2)-YEAR($F63))*12 + MONTH(AB$2)-MONTH($F63)) / 12),
  0)</f>
        <v/>
      </c>
      <c r="AC63" s="299">
        <f>IF(AND($F63&lt;=AC$2, OR($G63="",$G63&gt;=AC$2)),
  $H63 * (1 + Assumptions!$C$7) ^ INT(((YEAR(AC$2)-YEAR($F63))*12 + MONTH(AC$2)-MONTH($F63)) / 12),
  0)</f>
        <v/>
      </c>
      <c r="AD63" s="299">
        <f>IF(AND($F63&lt;=AD$2, OR($G63="",$G63&gt;=AD$2)),
  $H63 * (1 + Assumptions!$C$7) ^ INT(((YEAR(AD$2)-YEAR($F63))*12 + MONTH(AD$2)-MONTH($F63)) / 12),
  0)</f>
        <v/>
      </c>
      <c r="AE63" s="299">
        <f>IF(AND($F63&lt;=AE$2, OR($G63="",$G63&gt;=AE$2)),
  $H63 * (1 + Assumptions!$C$7) ^ INT(((YEAR(AE$2)-YEAR($F63))*12 + MONTH(AE$2)-MONTH($F63)) / 12),
  0)</f>
        <v/>
      </c>
      <c r="AF63" s="299">
        <f>IF(AND($F63&lt;=AF$2, OR($G63="",$G63&gt;=AF$2)),
  $H63 * (1 + Assumptions!$C$7) ^ INT(((YEAR(AF$2)-YEAR($F63))*12 + MONTH(AF$2)-MONTH($F63)) / 12),
  0)</f>
        <v/>
      </c>
      <c r="AG63" s="299">
        <f>IF(AND($F63&lt;=AG$2, OR($G63="",$G63&gt;=AG$2)),
  $H63 * (1 + Assumptions!$C$7) ^ INT(((YEAR(AG$2)-YEAR($F63))*12 + MONTH(AG$2)-MONTH($F63)) / 12),
  0)</f>
        <v/>
      </c>
      <c r="AH63" s="299">
        <f>IF(AND($F63&lt;=AH$2, OR($G63="",$G63&gt;=AH$2)),
  $H63 * (1 + Assumptions!$C$7) ^ INT(((YEAR(AH$2)-YEAR($F63))*12 + MONTH(AH$2)-MONTH($F63)) / 12),
  0)</f>
        <v/>
      </c>
      <c r="AI63" s="299">
        <f>IF(AND($F63&lt;=AI$2, OR($G63="",$G63&gt;=AI$2)),
  $H63 * (1 + Assumptions!$C$7) ^ INT(((YEAR(AI$2)-YEAR($F63))*12 + MONTH(AI$2)-MONTH($F63)) / 12),
  0)</f>
        <v/>
      </c>
      <c r="AJ63" s="299">
        <f>IF(AND($F63&lt;=AJ$2, OR($G63="",$G63&gt;=AJ$2)),
  $H63 * (1 + Assumptions!$C$7) ^ INT(((YEAR(AJ$2)-YEAR($F63))*12 + MONTH(AJ$2)-MONTH($F63)) / 12),
  0)</f>
        <v/>
      </c>
      <c r="AK63" s="299">
        <f>IF(AND($F63&lt;=AK$2, OR($G63="",$G63&gt;=AK$2)),
  $H63 * (1 + Assumptions!$C$7) ^ INT(((YEAR(AK$2)-YEAR($F63))*12 + MONTH(AK$2)-MONTH($F63)) / 12),
  0)</f>
        <v/>
      </c>
      <c r="AL63" s="299">
        <f>IF(AND($F63&lt;=AL$2, OR($G63="",$G63&gt;=AL$2)),
  $H63 * (1 + Assumptions!$C$7) ^ INT(((YEAR(AL$2)-YEAR($F63))*12 + MONTH(AL$2)-MONTH($F63)) / 12),
  0)</f>
        <v/>
      </c>
      <c r="AM63" s="299">
        <f>IF(AND($F63&lt;=AM$2, OR($G63="",$G63&gt;=AM$2)),
  $H63 * (1 + Assumptions!$C$7) ^ INT(((YEAR(AM$2)-YEAR($F63))*12 + MONTH(AM$2)-MONTH($F63)) / 12),
  0)</f>
        <v/>
      </c>
      <c r="AN63" s="299">
        <f>IF(AND($F63&lt;=AN$2, OR($G63="",$G63&gt;=AN$2)),
  $H63 * (1 + Assumptions!$C$7) ^ INT(((YEAR(AN$2)-YEAR($F63))*12 + MONTH(AN$2)-MONTH($F63)) / 12),
  0)</f>
        <v/>
      </c>
      <c r="AO63" s="299">
        <f>IF(AND($F63&lt;=AO$2, OR($G63="",$G63&gt;=AO$2)),
  $H63 * (1 + Assumptions!$C$7) ^ INT(((YEAR(AO$2)-YEAR($F63))*12 + MONTH(AO$2)-MONTH($F63)) / 12),
  0)</f>
        <v/>
      </c>
      <c r="AP63" s="299">
        <f>IF(AND($F63&lt;=AP$2, OR($G63="",$G63&gt;=AP$2)),
  $H63 * (1 + Assumptions!$C$7) ^ INT(((YEAR(AP$2)-YEAR($F63))*12 + MONTH(AP$2)-MONTH($F63)) / 12),
  0)</f>
        <v/>
      </c>
      <c r="AQ63" s="299">
        <f>IF(AND($F63&lt;=AQ$2, OR($G63="",$G63&gt;=AQ$2)),
  $H63 * (1 + Assumptions!$C$7) ^ INT(((YEAR(AQ$2)-YEAR($F63))*12 + MONTH(AQ$2)-MONTH($F63)) / 12),
  0)</f>
        <v/>
      </c>
      <c r="AR63" s="299">
        <f>IF(AND($F63&lt;=AR$2, OR($G63="",$G63&gt;=AR$2)),
  $H63 * (1 + Assumptions!$C$7) ^ INT(((YEAR(AR$2)-YEAR($F63))*12 + MONTH(AR$2)-MONTH($F63)) / 12),
  0)</f>
        <v/>
      </c>
      <c r="AS63" s="299">
        <f>IF(AND($F63&lt;=AS$2, OR($G63="",$G63&gt;=AS$2)),
  $H63 * (1 + Assumptions!$C$7) ^ INT(((YEAR(AS$2)-YEAR($F63))*12 + MONTH(AS$2)-MONTH($F63)) / 12),
  0)</f>
        <v/>
      </c>
      <c r="AT63" s="299">
        <f>IF(AND($F63&lt;=AT$2, OR($G63="",$G63&gt;=AT$2)),
  $H63 * (1 + Assumptions!$C$7) ^ INT(((YEAR(AT$2)-YEAR($F63))*12 + MONTH(AT$2)-MONTH($F63)) / 12),
  0)</f>
        <v/>
      </c>
      <c r="AU63" s="299">
        <f>IF(AND($F63&lt;=AU$2, OR($G63="",$G63&gt;=AU$2)),
  $H63 * (1 + Assumptions!$C$7) ^ INT(((YEAR(AU$2)-YEAR($F63))*12 + MONTH(AU$2)-MONTH($F63)) / 12),
  0)</f>
        <v/>
      </c>
      <c r="AV63" s="299">
        <f>IF(AND($F63&lt;=AV$2, OR($G63="",$G63&gt;=AV$2)),
  $H63 * (1 + Assumptions!$C$7) ^ INT(((YEAR(AV$2)-YEAR($F63))*12 + MONTH(AV$2)-MONTH($F63)) / 12),
  0)</f>
        <v/>
      </c>
      <c r="AW63" s="299">
        <f>IF(AND($F63&lt;=AW$2, OR($G63="",$G63&gt;=AW$2)),
  $H63 * (1 + Assumptions!$C$7) ^ INT(((YEAR(AW$2)-YEAR($F63))*12 + MONTH(AW$2)-MONTH($F63)) / 12),
  0)</f>
        <v/>
      </c>
      <c r="AX63" s="299">
        <f>IF(AND($F63&lt;=AX$2, OR($G63="",$G63&gt;=AX$2)),
  $H63 * (1 + Assumptions!$C$7) ^ INT(((YEAR(AX$2)-YEAR($F63))*12 + MONTH(AX$2)-MONTH($F63)) / 12),
  0)</f>
        <v/>
      </c>
      <c r="AY63" s="299">
        <f>IF(AND($F63&lt;=AY$2, OR($G63="",$G63&gt;=AY$2)),
  $H63 * (1 + Assumptions!$C$7) ^ INT(((YEAR(AY$2)-YEAR($F63))*12 + MONTH(AY$2)-MONTH($F63)) / 12),
  0)</f>
        <v/>
      </c>
      <c r="AZ63" s="299">
        <f>IF(AND($F63&lt;=AZ$2, OR($G63="",$G63&gt;=AZ$2)),
  $H63 * (1 + Assumptions!$C$7) ^ INT(((YEAR(AZ$2)-YEAR($F63))*12 + MONTH(AZ$2)-MONTH($F63)) / 12),
  0)</f>
        <v/>
      </c>
      <c r="BA63" s="299">
        <f>IF(AND($F63&lt;=BA$2, OR($G63="",$G63&gt;=BA$2)),
  $H63 * (1 + Assumptions!$C$7) ^ INT(((YEAR(BA$2)-YEAR($F63))*12 + MONTH(BA$2)-MONTH($F63)) / 12),
  0)</f>
        <v/>
      </c>
      <c r="BB63" s="299">
        <f>IF(AND($F63&lt;=BB$2, OR($G63="",$G63&gt;=BB$2)),
  $H63 * (1 + Assumptions!$C$7) ^ INT(((YEAR(BB$2)-YEAR($F63))*12 + MONTH(BB$2)-MONTH($F63)) / 12),
  0)</f>
        <v/>
      </c>
      <c r="BC63" s="299">
        <f>IF(AND($F63&lt;=BC$2, OR($G63="",$G63&gt;=BC$2)),
  $H63 * (1 + Assumptions!$C$7) ^ INT(((YEAR(BC$2)-YEAR($F63))*12 + MONTH(BC$2)-MONTH($F63)) / 12),
  0)</f>
        <v/>
      </c>
      <c r="BD63" s="299">
        <f>IF(AND($F63&lt;=BD$2, OR($G63="",$G63&gt;=BD$2)),
  $H63 * (1 + Assumptions!$C$7) ^ INT(((YEAR(BD$2)-YEAR($F63))*12 + MONTH(BD$2)-MONTH($F63)) / 12),
  0)</f>
        <v/>
      </c>
      <c r="BE63" s="299">
        <f>IF(AND($F63&lt;=BE$2, OR($G63="",$G63&gt;=BE$2)),
  $H63 * (1 + Assumptions!$C$7) ^ INT(((YEAR(BE$2)-YEAR($F63))*12 + MONTH(BE$2)-MONTH($F63)) / 12),
  0)</f>
        <v/>
      </c>
      <c r="BF63" s="299">
        <f>IF(AND($F63&lt;=BF$2, OR($G63="",$G63&gt;=BF$2)),
  $H63 * (1 + Assumptions!$C$7) ^ INT(((YEAR(BF$2)-YEAR($F63))*12 + MONTH(BF$2)-MONTH($F63)) / 12),
  0)</f>
        <v/>
      </c>
      <c r="BG63" s="299">
        <f>IF(AND($F63&lt;=BG$2, OR($G63="",$G63&gt;=BG$2)),
  $H63 * (1 + Assumptions!$C$7) ^ INT(((YEAR(BG$2)-YEAR($F63))*12 + MONTH(BG$2)-MONTH($F63)) / 12),
  0)</f>
        <v/>
      </c>
      <c r="BH63" s="299">
        <f>IF(AND($F63&lt;=BH$2, OR($G63="",$G63&gt;=BH$2)),
  $H63 * (1 + Assumptions!$C$7) ^ INT(((YEAR(BH$2)-YEAR($F63))*12 + MONTH(BH$2)-MONTH($F63)) / 12),
  0)</f>
        <v/>
      </c>
      <c r="BI63" s="299">
        <f>IF(AND($F63&lt;=BI$2, OR($G63="",$G63&gt;=BI$2)),
  $H63 * (1 + Assumptions!$C$7) ^ INT(((YEAR(BI$2)-YEAR($F63))*12 + MONTH(BI$2)-MONTH($F63)) / 12),
  0)</f>
        <v/>
      </c>
      <c r="BJ63" s="299">
        <f>IF(AND($F63&lt;=BJ$2, OR($G63="",$G63&gt;=BJ$2)),
  $H63 * (1 + Assumptions!$C$7) ^ INT(((YEAR(BJ$2)-YEAR($F63))*12 + MONTH(BJ$2)-MONTH($F63)) / 12),
  0)</f>
        <v/>
      </c>
      <c r="BK63" s="299">
        <f>IF(AND($F63&lt;=BK$2, OR($G63="",$G63&gt;=BK$2)),
  $H63 * (1 + Assumptions!$C$7) ^ INT(((YEAR(BK$2)-YEAR($F63))*12 + MONTH(BK$2)-MONTH($F63)) / 12),
  0)</f>
        <v/>
      </c>
      <c r="BL63" s="299">
        <f>IF(AND($F63&lt;=BL$2, OR($G63="",$G63&gt;=BL$2)),
  $H63 * (1 + Assumptions!$C$7) ^ INT(((YEAR(BL$2)-YEAR($F63))*12 + MONTH(BL$2)-MONTH($F63)) / 12),
  0)</f>
        <v/>
      </c>
      <c r="BM63" s="299">
        <f>IF(AND($F63&lt;=BM$2, OR($G63="",$G63&gt;=BM$2)),
  $H63 * (1 + Assumptions!$C$7) ^ INT(((YEAR(BM$2)-YEAR($F63))*12 + MONTH(BM$2)-MONTH($F63)) / 12),
  0)</f>
        <v/>
      </c>
      <c r="BN63" s="299">
        <f>IF(AND($F63&lt;=BN$2, OR($G63="",$G63&gt;=BN$2)),
  $H63 * (1 + Assumptions!$C$7) ^ INT(((YEAR(BN$2)-YEAR($F63))*12 + MONTH(BN$2)-MONTH($F63)) / 12),
  0)</f>
        <v/>
      </c>
      <c r="BO63" s="299">
        <f>IF(AND($F63&lt;=BO$2, OR($G63="",$G63&gt;=BO$2)),
  $H63 * (1 + Assumptions!$C$7) ^ INT(((YEAR(BO$2)-YEAR($F63))*12 + MONTH(BO$2)-MONTH($F63)) / 12),
  0)</f>
        <v/>
      </c>
      <c r="BP63" s="299">
        <f>IF(AND($F63&lt;=BP$2, OR($G63="",$G63&gt;=BP$2)),
  $H63 * (1 + Assumptions!$C$7) ^ INT(((YEAR(BP$2)-YEAR($F63))*12 + MONTH(BP$2)-MONTH($F63)) / 12),
  0)</f>
        <v/>
      </c>
      <c r="BQ63" s="333" t="n"/>
      <c r="BR63" s="334" t="n"/>
      <c r="BS63" s="335" t="n"/>
      <c r="BT63" s="335" t="n"/>
    </row>
    <row r="64" ht="15.75" customHeight="1" s="349">
      <c r="A64" s="321" t="n">
        <v>59</v>
      </c>
      <c r="B64" s="285" t="inlineStr">
        <is>
          <t>New hire</t>
        </is>
      </c>
      <c r="C64" s="317" t="inlineStr">
        <is>
          <t>S&amp;M</t>
        </is>
      </c>
      <c r="D64" s="317" t="inlineStr">
        <is>
          <t>Sales</t>
        </is>
      </c>
      <c r="E64" s="297" t="inlineStr">
        <is>
          <t>Planned</t>
        </is>
      </c>
      <c r="F64" s="318">
        <f>IF(Assumptions!$D$82=2,DATE(2028,7,1),DATE(2035,1,1))</f>
        <v/>
      </c>
      <c r="G64" s="318" t="n"/>
      <c r="H64" s="288" t="n">
        <v>7500</v>
      </c>
      <c r="I64" s="299">
        <f>IF(AND($F64&lt;=I$2, OR($G64="",$G64&gt;=I$2)),
  $H64 * (1 + Assumptions!$C$7) ^ INT(((YEAR(I$2)-YEAR($F64))*12 + MONTH(I$2)-MONTH($F64)) / 12),
  0)</f>
        <v/>
      </c>
      <c r="J64" s="299">
        <f>IF(AND($F64&lt;=J$2, OR($G64="",$G64&gt;=J$2)),
  $H64 * (1 + Assumptions!$C$7) ^ INT(((YEAR(J$2)-YEAR($F64))*12 + MONTH(J$2)-MONTH($F64)) / 12),
  0)</f>
        <v/>
      </c>
      <c r="K64" s="299">
        <f>IF(AND($F64&lt;=K$2, OR($G64="",$G64&gt;=K$2)),
  $H64 * (1 + Assumptions!$C$7) ^ INT(((YEAR(K$2)-YEAR($F64))*12 + MONTH(K$2)-MONTH($F64)) / 12),
  0)</f>
        <v/>
      </c>
      <c r="L64" s="299">
        <f>IF(AND($F64&lt;=L$2, OR($G64="",$G64&gt;=L$2)),
  $H64 * (1 + Assumptions!$C$7) ^ INT(((YEAR(L$2)-YEAR($F64))*12 + MONTH(L$2)-MONTH($F64)) / 12),
  0)</f>
        <v/>
      </c>
      <c r="M64" s="299">
        <f>IF(AND($F64&lt;=M$2, OR($G64="",$G64&gt;=M$2)),
  $H64 * (1 + Assumptions!$C$7) ^ INT(((YEAR(M$2)-YEAR($F64))*12 + MONTH(M$2)-MONTH($F64)) / 12),
  0)</f>
        <v/>
      </c>
      <c r="N64" s="299">
        <f>IF(AND($F64&lt;=N$2, OR($G64="",$G64&gt;=N$2)),
  $H64 * (1 + Assumptions!$C$7) ^ INT(((YEAR(N$2)-YEAR($F64))*12 + MONTH(N$2)-MONTH($F64)) / 12),
  0)</f>
        <v/>
      </c>
      <c r="O64" s="299">
        <f>IF(AND($F64&lt;=O$2, OR($G64="",$G64&gt;=O$2)),
  $H64 * (1 + Assumptions!$C$7) ^ INT(((YEAR(O$2)-YEAR($F64))*12 + MONTH(O$2)-MONTH($F64)) / 12),
  0)</f>
        <v/>
      </c>
      <c r="P64" s="299">
        <f>IF(AND($F64&lt;=P$2, OR($G64="",$G64&gt;=P$2)),
  $H64 * (1 + Assumptions!$C$7) ^ INT(((YEAR(P$2)-YEAR($F64))*12 + MONTH(P$2)-MONTH($F64)) / 12),
  0)</f>
        <v/>
      </c>
      <c r="Q64" s="299">
        <f>IF(AND($F64&lt;=Q$2, OR($G64="",$G64&gt;=Q$2)),
  $H64 * (1 + Assumptions!$C$7) ^ INT(((YEAR(Q$2)-YEAR($F64))*12 + MONTH(Q$2)-MONTH($F64)) / 12),
  0)</f>
        <v/>
      </c>
      <c r="R64" s="299">
        <f>IF(AND($F64&lt;=R$2, OR($G64="",$G64&gt;=R$2)),
  $H64 * (1 + Assumptions!$C$7) ^ INT(((YEAR(R$2)-YEAR($F64))*12 + MONTH(R$2)-MONTH($F64)) / 12),
  0)</f>
        <v/>
      </c>
      <c r="S64" s="299">
        <f>IF(AND($F64&lt;=S$2, OR($G64="",$G64&gt;=S$2)),
  $H64 * (1 + Assumptions!$C$7) ^ INT(((YEAR(S$2)-YEAR($F64))*12 + MONTH(S$2)-MONTH($F64)) / 12),
  0)</f>
        <v/>
      </c>
      <c r="T64" s="299">
        <f>IF(AND($F64&lt;=T$2, OR($G64="",$G64&gt;=T$2)),
  $H64 * (1 + Assumptions!$C$7) ^ INT(((YEAR(T$2)-YEAR($F64))*12 + MONTH(T$2)-MONTH($F64)) / 12),
  0)</f>
        <v/>
      </c>
      <c r="U64" s="299">
        <f>IF(AND($F64&lt;=U$2, OR($G64="",$G64&gt;=U$2)),
  $H64 * (1 + Assumptions!$C$7) ^ INT(((YEAR(U$2)-YEAR($F64))*12 + MONTH(U$2)-MONTH($F64)) / 12),
  0)</f>
        <v/>
      </c>
      <c r="V64" s="299">
        <f>IF(AND($F64&lt;=V$2, OR($G64="",$G64&gt;=V$2)),
  $H64 * (1 + Assumptions!$C$7) ^ INT(((YEAR(V$2)-YEAR($F64))*12 + MONTH(V$2)-MONTH($F64)) / 12),
  0)</f>
        <v/>
      </c>
      <c r="W64" s="299">
        <f>IF(AND($F64&lt;=W$2, OR($G64="",$G64&gt;=W$2)),
  $H64 * (1 + Assumptions!$C$7) ^ INT(((YEAR(W$2)-YEAR($F64))*12 + MONTH(W$2)-MONTH($F64)) / 12),
  0)</f>
        <v/>
      </c>
      <c r="X64" s="299">
        <f>IF(AND($F64&lt;=X$2, OR($G64="",$G64&gt;=X$2)),
  $H64 * (1 + Assumptions!$C$7) ^ INT(((YEAR(X$2)-YEAR($F64))*12 + MONTH(X$2)-MONTH($F64)) / 12),
  0)</f>
        <v/>
      </c>
      <c r="Y64" s="299">
        <f>IF(AND($F64&lt;=Y$2, OR($G64="",$G64&gt;=Y$2)),
  $H64 * (1 + Assumptions!$C$7) ^ INT(((YEAR(Y$2)-YEAR($F64))*12 + MONTH(Y$2)-MONTH($F64)) / 12),
  0)</f>
        <v/>
      </c>
      <c r="Z64" s="299">
        <f>IF(AND($F64&lt;=Z$2, OR($G64="",$G64&gt;=Z$2)),
  $H64 * (1 + Assumptions!$C$7) ^ INT(((YEAR(Z$2)-YEAR($F64))*12 + MONTH(Z$2)-MONTH($F64)) / 12),
  0)</f>
        <v/>
      </c>
      <c r="AA64" s="299">
        <f>IF(AND($F64&lt;=AA$2, OR($G64="",$G64&gt;=AA$2)),
  $H64 * (1 + Assumptions!$C$7) ^ INT(((YEAR(AA$2)-YEAR($F64))*12 + MONTH(AA$2)-MONTH($F64)) / 12),
  0)</f>
        <v/>
      </c>
      <c r="AB64" s="299">
        <f>IF(AND($F64&lt;=AB$2, OR($G64="",$G64&gt;=AB$2)),
  $H64 * (1 + Assumptions!$C$7) ^ INT(((YEAR(AB$2)-YEAR($F64))*12 + MONTH(AB$2)-MONTH($F64)) / 12),
  0)</f>
        <v/>
      </c>
      <c r="AC64" s="299">
        <f>IF(AND($F64&lt;=AC$2, OR($G64="",$G64&gt;=AC$2)),
  $H64 * (1 + Assumptions!$C$7) ^ INT(((YEAR(AC$2)-YEAR($F64))*12 + MONTH(AC$2)-MONTH($F64)) / 12),
  0)</f>
        <v/>
      </c>
      <c r="AD64" s="299">
        <f>IF(AND($F64&lt;=AD$2, OR($G64="",$G64&gt;=AD$2)),
  $H64 * (1 + Assumptions!$C$7) ^ INT(((YEAR(AD$2)-YEAR($F64))*12 + MONTH(AD$2)-MONTH($F64)) / 12),
  0)</f>
        <v/>
      </c>
      <c r="AE64" s="299">
        <f>IF(AND($F64&lt;=AE$2, OR($G64="",$G64&gt;=AE$2)),
  $H64 * (1 + Assumptions!$C$7) ^ INT(((YEAR(AE$2)-YEAR($F64))*12 + MONTH(AE$2)-MONTH($F64)) / 12),
  0)</f>
        <v/>
      </c>
      <c r="AF64" s="299">
        <f>IF(AND($F64&lt;=AF$2, OR($G64="",$G64&gt;=AF$2)),
  $H64 * (1 + Assumptions!$C$7) ^ INT(((YEAR(AF$2)-YEAR($F64))*12 + MONTH(AF$2)-MONTH($F64)) / 12),
  0)</f>
        <v/>
      </c>
      <c r="AG64" s="299">
        <f>IF(AND($F64&lt;=AG$2, OR($G64="",$G64&gt;=AG$2)),
  $H64 * (1 + Assumptions!$C$7) ^ INT(((YEAR(AG$2)-YEAR($F64))*12 + MONTH(AG$2)-MONTH($F64)) / 12),
  0)</f>
        <v/>
      </c>
      <c r="AH64" s="299">
        <f>IF(AND($F64&lt;=AH$2, OR($G64="",$G64&gt;=AH$2)),
  $H64 * (1 + Assumptions!$C$7) ^ INT(((YEAR(AH$2)-YEAR($F64))*12 + MONTH(AH$2)-MONTH($F64)) / 12),
  0)</f>
        <v/>
      </c>
      <c r="AI64" s="299">
        <f>IF(AND($F64&lt;=AI$2, OR($G64="",$G64&gt;=AI$2)),
  $H64 * (1 + Assumptions!$C$7) ^ INT(((YEAR(AI$2)-YEAR($F64))*12 + MONTH(AI$2)-MONTH($F64)) / 12),
  0)</f>
        <v/>
      </c>
      <c r="AJ64" s="299">
        <f>IF(AND($F64&lt;=AJ$2, OR($G64="",$G64&gt;=AJ$2)),
  $H64 * (1 + Assumptions!$C$7) ^ INT(((YEAR(AJ$2)-YEAR($F64))*12 + MONTH(AJ$2)-MONTH($F64)) / 12),
  0)</f>
        <v/>
      </c>
      <c r="AK64" s="299">
        <f>IF(AND($F64&lt;=AK$2, OR($G64="",$G64&gt;=AK$2)),
  $H64 * (1 + Assumptions!$C$7) ^ INT(((YEAR(AK$2)-YEAR($F64))*12 + MONTH(AK$2)-MONTH($F64)) / 12),
  0)</f>
        <v/>
      </c>
      <c r="AL64" s="299">
        <f>IF(AND($F64&lt;=AL$2, OR($G64="",$G64&gt;=AL$2)),
  $H64 * (1 + Assumptions!$C$7) ^ INT(((YEAR(AL$2)-YEAR($F64))*12 + MONTH(AL$2)-MONTH($F64)) / 12),
  0)</f>
        <v/>
      </c>
      <c r="AM64" s="299">
        <f>IF(AND($F64&lt;=AM$2, OR($G64="",$G64&gt;=AM$2)),
  $H64 * (1 + Assumptions!$C$7) ^ INT(((YEAR(AM$2)-YEAR($F64))*12 + MONTH(AM$2)-MONTH($F64)) / 12),
  0)</f>
        <v/>
      </c>
      <c r="AN64" s="299">
        <f>IF(AND($F64&lt;=AN$2, OR($G64="",$G64&gt;=AN$2)),
  $H64 * (1 + Assumptions!$C$7) ^ INT(((YEAR(AN$2)-YEAR($F64))*12 + MONTH(AN$2)-MONTH($F64)) / 12),
  0)</f>
        <v/>
      </c>
      <c r="AO64" s="299">
        <f>IF(AND($F64&lt;=AO$2, OR($G64="",$G64&gt;=AO$2)),
  $H64 * (1 + Assumptions!$C$7) ^ INT(((YEAR(AO$2)-YEAR($F64))*12 + MONTH(AO$2)-MONTH($F64)) / 12),
  0)</f>
        <v/>
      </c>
      <c r="AP64" s="299">
        <f>IF(AND($F64&lt;=AP$2, OR($G64="",$G64&gt;=AP$2)),
  $H64 * (1 + Assumptions!$C$7) ^ INT(((YEAR(AP$2)-YEAR($F64))*12 + MONTH(AP$2)-MONTH($F64)) / 12),
  0)</f>
        <v/>
      </c>
      <c r="AQ64" s="299">
        <f>IF(AND($F64&lt;=AQ$2, OR($G64="",$G64&gt;=AQ$2)),
  $H64 * (1 + Assumptions!$C$7) ^ INT(((YEAR(AQ$2)-YEAR($F64))*12 + MONTH(AQ$2)-MONTH($F64)) / 12),
  0)</f>
        <v/>
      </c>
      <c r="AR64" s="299">
        <f>IF(AND($F64&lt;=AR$2, OR($G64="",$G64&gt;=AR$2)),
  $H64 * (1 + Assumptions!$C$7) ^ INT(((YEAR(AR$2)-YEAR($F64))*12 + MONTH(AR$2)-MONTH($F64)) / 12),
  0)</f>
        <v/>
      </c>
      <c r="AS64" s="299">
        <f>IF(AND($F64&lt;=AS$2, OR($G64="",$G64&gt;=AS$2)),
  $H64 * (1 + Assumptions!$C$7) ^ INT(((YEAR(AS$2)-YEAR($F64))*12 + MONTH(AS$2)-MONTH($F64)) / 12),
  0)</f>
        <v/>
      </c>
      <c r="AT64" s="299">
        <f>IF(AND($F64&lt;=AT$2, OR($G64="",$G64&gt;=AT$2)),
  $H64 * (1 + Assumptions!$C$7) ^ INT(((YEAR(AT$2)-YEAR($F64))*12 + MONTH(AT$2)-MONTH($F64)) / 12),
  0)</f>
        <v/>
      </c>
      <c r="AU64" s="299">
        <f>IF(AND($F64&lt;=AU$2, OR($G64="",$G64&gt;=AU$2)),
  $H64 * (1 + Assumptions!$C$7) ^ INT(((YEAR(AU$2)-YEAR($F64))*12 + MONTH(AU$2)-MONTH($F64)) / 12),
  0)</f>
        <v/>
      </c>
      <c r="AV64" s="299">
        <f>IF(AND($F64&lt;=AV$2, OR($G64="",$G64&gt;=AV$2)),
  $H64 * (1 + Assumptions!$C$7) ^ INT(((YEAR(AV$2)-YEAR($F64))*12 + MONTH(AV$2)-MONTH($F64)) / 12),
  0)</f>
        <v/>
      </c>
      <c r="AW64" s="299">
        <f>IF(AND($F64&lt;=AW$2, OR($G64="",$G64&gt;=AW$2)),
  $H64 * (1 + Assumptions!$C$7) ^ INT(((YEAR(AW$2)-YEAR($F64))*12 + MONTH(AW$2)-MONTH($F64)) / 12),
  0)</f>
        <v/>
      </c>
      <c r="AX64" s="299">
        <f>IF(AND($F64&lt;=AX$2, OR($G64="",$G64&gt;=AX$2)),
  $H64 * (1 + Assumptions!$C$7) ^ INT(((YEAR(AX$2)-YEAR($F64))*12 + MONTH(AX$2)-MONTH($F64)) / 12),
  0)</f>
        <v/>
      </c>
      <c r="AY64" s="299">
        <f>IF(AND($F64&lt;=AY$2, OR($G64="",$G64&gt;=AY$2)),
  $H64 * (1 + Assumptions!$C$7) ^ INT(((YEAR(AY$2)-YEAR($F64))*12 + MONTH(AY$2)-MONTH($F64)) / 12),
  0)</f>
        <v/>
      </c>
      <c r="AZ64" s="299">
        <f>IF(AND($F64&lt;=AZ$2, OR($G64="",$G64&gt;=AZ$2)),
  $H64 * (1 + Assumptions!$C$7) ^ INT(((YEAR(AZ$2)-YEAR($F64))*12 + MONTH(AZ$2)-MONTH($F64)) / 12),
  0)</f>
        <v/>
      </c>
      <c r="BA64" s="299">
        <f>IF(AND($F64&lt;=BA$2, OR($G64="",$G64&gt;=BA$2)),
  $H64 * (1 + Assumptions!$C$7) ^ INT(((YEAR(BA$2)-YEAR($F64))*12 + MONTH(BA$2)-MONTH($F64)) / 12),
  0)</f>
        <v/>
      </c>
      <c r="BB64" s="299">
        <f>IF(AND($F64&lt;=BB$2, OR($G64="",$G64&gt;=BB$2)),
  $H64 * (1 + Assumptions!$C$7) ^ INT(((YEAR(BB$2)-YEAR($F64))*12 + MONTH(BB$2)-MONTH($F64)) / 12),
  0)</f>
        <v/>
      </c>
      <c r="BC64" s="299">
        <f>IF(AND($F64&lt;=BC$2, OR($G64="",$G64&gt;=BC$2)),
  $H64 * (1 + Assumptions!$C$7) ^ INT(((YEAR(BC$2)-YEAR($F64))*12 + MONTH(BC$2)-MONTH($F64)) / 12),
  0)</f>
        <v/>
      </c>
      <c r="BD64" s="299">
        <f>IF(AND($F64&lt;=BD$2, OR($G64="",$G64&gt;=BD$2)),
  $H64 * (1 + Assumptions!$C$7) ^ INT(((YEAR(BD$2)-YEAR($F64))*12 + MONTH(BD$2)-MONTH($F64)) / 12),
  0)</f>
        <v/>
      </c>
      <c r="BE64" s="299">
        <f>IF(AND($F64&lt;=BE$2, OR($G64="",$G64&gt;=BE$2)),
  $H64 * (1 + Assumptions!$C$7) ^ INT(((YEAR(BE$2)-YEAR($F64))*12 + MONTH(BE$2)-MONTH($F64)) / 12),
  0)</f>
        <v/>
      </c>
      <c r="BF64" s="299">
        <f>IF(AND($F64&lt;=BF$2, OR($G64="",$G64&gt;=BF$2)),
  $H64 * (1 + Assumptions!$C$7) ^ INT(((YEAR(BF$2)-YEAR($F64))*12 + MONTH(BF$2)-MONTH($F64)) / 12),
  0)</f>
        <v/>
      </c>
      <c r="BG64" s="299">
        <f>IF(AND($F64&lt;=BG$2, OR($G64="",$G64&gt;=BG$2)),
  $H64 * (1 + Assumptions!$C$7) ^ INT(((YEAR(BG$2)-YEAR($F64))*12 + MONTH(BG$2)-MONTH($F64)) / 12),
  0)</f>
        <v/>
      </c>
      <c r="BH64" s="299">
        <f>IF(AND($F64&lt;=BH$2, OR($G64="",$G64&gt;=BH$2)),
  $H64 * (1 + Assumptions!$C$7) ^ INT(((YEAR(BH$2)-YEAR($F64))*12 + MONTH(BH$2)-MONTH($F64)) / 12),
  0)</f>
        <v/>
      </c>
      <c r="BI64" s="299">
        <f>IF(AND($F64&lt;=BI$2, OR($G64="",$G64&gt;=BI$2)),
  $H64 * (1 + Assumptions!$C$7) ^ INT(((YEAR(BI$2)-YEAR($F64))*12 + MONTH(BI$2)-MONTH($F64)) / 12),
  0)</f>
        <v/>
      </c>
      <c r="BJ64" s="299">
        <f>IF(AND($F64&lt;=BJ$2, OR($G64="",$G64&gt;=BJ$2)),
  $H64 * (1 + Assumptions!$C$7) ^ INT(((YEAR(BJ$2)-YEAR($F64))*12 + MONTH(BJ$2)-MONTH($F64)) / 12),
  0)</f>
        <v/>
      </c>
      <c r="BK64" s="299">
        <f>IF(AND($F64&lt;=BK$2, OR($G64="",$G64&gt;=BK$2)),
  $H64 * (1 + Assumptions!$C$7) ^ INT(((YEAR(BK$2)-YEAR($F64))*12 + MONTH(BK$2)-MONTH($F64)) / 12),
  0)</f>
        <v/>
      </c>
      <c r="BL64" s="299">
        <f>IF(AND($F64&lt;=BL$2, OR($G64="",$G64&gt;=BL$2)),
  $H64 * (1 + Assumptions!$C$7) ^ INT(((YEAR(BL$2)-YEAR($F64))*12 + MONTH(BL$2)-MONTH($F64)) / 12),
  0)</f>
        <v/>
      </c>
      <c r="BM64" s="299">
        <f>IF(AND($F64&lt;=BM$2, OR($G64="",$G64&gt;=BM$2)),
  $H64 * (1 + Assumptions!$C$7) ^ INT(((YEAR(BM$2)-YEAR($F64))*12 + MONTH(BM$2)-MONTH($F64)) / 12),
  0)</f>
        <v/>
      </c>
      <c r="BN64" s="299">
        <f>IF(AND($F64&lt;=BN$2, OR($G64="",$G64&gt;=BN$2)),
  $H64 * (1 + Assumptions!$C$7) ^ INT(((YEAR(BN$2)-YEAR($F64))*12 + MONTH(BN$2)-MONTH($F64)) / 12),
  0)</f>
        <v/>
      </c>
      <c r="BO64" s="299">
        <f>IF(AND($F64&lt;=BO$2, OR($G64="",$G64&gt;=BO$2)),
  $H64 * (1 + Assumptions!$C$7) ^ INT(((YEAR(BO$2)-YEAR($F64))*12 + MONTH(BO$2)-MONTH($F64)) / 12),
  0)</f>
        <v/>
      </c>
      <c r="BP64" s="299">
        <f>IF(AND($F64&lt;=BP$2, OR($G64="",$G64&gt;=BP$2)),
  $H64 * (1 + Assumptions!$C$7) ^ INT(((YEAR(BP$2)-YEAR($F64))*12 + MONTH(BP$2)-MONTH($F64)) / 12),
  0)</f>
        <v/>
      </c>
      <c r="BQ64" s="337" t="n"/>
      <c r="BR64" s="334" t="n"/>
      <c r="BS64" s="335" t="n"/>
      <c r="BT64" s="335" t="n"/>
    </row>
    <row r="65" ht="15.75" customHeight="1" s="349">
      <c r="A65" s="321" t="n">
        <v>60</v>
      </c>
      <c r="B65" s="285" t="inlineStr">
        <is>
          <t>New hire</t>
        </is>
      </c>
      <c r="C65" s="317" t="inlineStr">
        <is>
          <t>S&amp;M</t>
        </is>
      </c>
      <c r="D65" s="317" t="inlineStr">
        <is>
          <t>Sales</t>
        </is>
      </c>
      <c r="E65" s="297" t="inlineStr">
        <is>
          <t>Planned</t>
        </is>
      </c>
      <c r="F65" s="318">
        <f>IF(Assumptions!$D$82=2,DATE(2028,8,1),DATE(2035,1,1))</f>
        <v/>
      </c>
      <c r="G65" s="318" t="n"/>
      <c r="H65" s="288" t="n">
        <v>7500</v>
      </c>
      <c r="I65" s="299">
        <f>IF(AND($F65&lt;=I$2, OR($G65="",$G65&gt;=I$2)),
  $H65 * (1 + Assumptions!$C$7) ^ INT(((YEAR(I$2)-YEAR($F65))*12 + MONTH(I$2)-MONTH($F65)) / 12),
  0)</f>
        <v/>
      </c>
      <c r="J65" s="299">
        <f>IF(AND($F65&lt;=J$2, OR($G65="",$G65&gt;=J$2)),
  $H65 * (1 + Assumptions!$C$7) ^ INT(((YEAR(J$2)-YEAR($F65))*12 + MONTH(J$2)-MONTH($F65)) / 12),
  0)</f>
        <v/>
      </c>
      <c r="K65" s="299">
        <f>IF(AND($F65&lt;=K$2, OR($G65="",$G65&gt;=K$2)),
  $H65 * (1 + Assumptions!$C$7) ^ INT(((YEAR(K$2)-YEAR($F65))*12 + MONTH(K$2)-MONTH($F65)) / 12),
  0)</f>
        <v/>
      </c>
      <c r="L65" s="299">
        <f>IF(AND($F65&lt;=L$2, OR($G65="",$G65&gt;=L$2)),
  $H65 * (1 + Assumptions!$C$7) ^ INT(((YEAR(L$2)-YEAR($F65))*12 + MONTH(L$2)-MONTH($F65)) / 12),
  0)</f>
        <v/>
      </c>
      <c r="M65" s="299">
        <f>IF(AND($F65&lt;=M$2, OR($G65="",$G65&gt;=M$2)),
  $H65 * (1 + Assumptions!$C$7) ^ INT(((YEAR(M$2)-YEAR($F65))*12 + MONTH(M$2)-MONTH($F65)) / 12),
  0)</f>
        <v/>
      </c>
      <c r="N65" s="299">
        <f>IF(AND($F65&lt;=N$2, OR($G65="",$G65&gt;=N$2)),
  $H65 * (1 + Assumptions!$C$7) ^ INT(((YEAR(N$2)-YEAR($F65))*12 + MONTH(N$2)-MONTH($F65)) / 12),
  0)</f>
        <v/>
      </c>
      <c r="O65" s="299">
        <f>IF(AND($F65&lt;=O$2, OR($G65="",$G65&gt;=O$2)),
  $H65 * (1 + Assumptions!$C$7) ^ INT(((YEAR(O$2)-YEAR($F65))*12 + MONTH(O$2)-MONTH($F65)) / 12),
  0)</f>
        <v/>
      </c>
      <c r="P65" s="299">
        <f>IF(AND($F65&lt;=P$2, OR($G65="",$G65&gt;=P$2)),
  $H65 * (1 + Assumptions!$C$7) ^ INT(((YEAR(P$2)-YEAR($F65))*12 + MONTH(P$2)-MONTH($F65)) / 12),
  0)</f>
        <v/>
      </c>
      <c r="Q65" s="299">
        <f>IF(AND($F65&lt;=Q$2, OR($G65="",$G65&gt;=Q$2)),
  $H65 * (1 + Assumptions!$C$7) ^ INT(((YEAR(Q$2)-YEAR($F65))*12 + MONTH(Q$2)-MONTH($F65)) / 12),
  0)</f>
        <v/>
      </c>
      <c r="R65" s="299">
        <f>IF(AND($F65&lt;=R$2, OR($G65="",$G65&gt;=R$2)),
  $H65 * (1 + Assumptions!$C$7) ^ INT(((YEAR(R$2)-YEAR($F65))*12 + MONTH(R$2)-MONTH($F65)) / 12),
  0)</f>
        <v/>
      </c>
      <c r="S65" s="299">
        <f>IF(AND($F65&lt;=S$2, OR($G65="",$G65&gt;=S$2)),
  $H65 * (1 + Assumptions!$C$7) ^ INT(((YEAR(S$2)-YEAR($F65))*12 + MONTH(S$2)-MONTH($F65)) / 12),
  0)</f>
        <v/>
      </c>
      <c r="T65" s="299">
        <f>IF(AND($F65&lt;=T$2, OR($G65="",$G65&gt;=T$2)),
  $H65 * (1 + Assumptions!$C$7) ^ INT(((YEAR(T$2)-YEAR($F65))*12 + MONTH(T$2)-MONTH($F65)) / 12),
  0)</f>
        <v/>
      </c>
      <c r="U65" s="299">
        <f>IF(AND($F65&lt;=U$2, OR($G65="",$G65&gt;=U$2)),
  $H65 * (1 + Assumptions!$C$7) ^ INT(((YEAR(U$2)-YEAR($F65))*12 + MONTH(U$2)-MONTH($F65)) / 12),
  0)</f>
        <v/>
      </c>
      <c r="V65" s="299">
        <f>IF(AND($F65&lt;=V$2, OR($G65="",$G65&gt;=V$2)),
  $H65 * (1 + Assumptions!$C$7) ^ INT(((YEAR(V$2)-YEAR($F65))*12 + MONTH(V$2)-MONTH($F65)) / 12),
  0)</f>
        <v/>
      </c>
      <c r="W65" s="299">
        <f>IF(AND($F65&lt;=W$2, OR($G65="",$G65&gt;=W$2)),
  $H65 * (1 + Assumptions!$C$7) ^ INT(((YEAR(W$2)-YEAR($F65))*12 + MONTH(W$2)-MONTH($F65)) / 12),
  0)</f>
        <v/>
      </c>
      <c r="X65" s="299">
        <f>IF(AND($F65&lt;=X$2, OR($G65="",$G65&gt;=X$2)),
  $H65 * (1 + Assumptions!$C$7) ^ INT(((YEAR(X$2)-YEAR($F65))*12 + MONTH(X$2)-MONTH($F65)) / 12),
  0)</f>
        <v/>
      </c>
      <c r="Y65" s="299">
        <f>IF(AND($F65&lt;=Y$2, OR($G65="",$G65&gt;=Y$2)),
  $H65 * (1 + Assumptions!$C$7) ^ INT(((YEAR(Y$2)-YEAR($F65))*12 + MONTH(Y$2)-MONTH($F65)) / 12),
  0)</f>
        <v/>
      </c>
      <c r="Z65" s="299">
        <f>IF(AND($F65&lt;=Z$2, OR($G65="",$G65&gt;=Z$2)),
  $H65 * (1 + Assumptions!$C$7) ^ INT(((YEAR(Z$2)-YEAR($F65))*12 + MONTH(Z$2)-MONTH($F65)) / 12),
  0)</f>
        <v/>
      </c>
      <c r="AA65" s="299">
        <f>IF(AND($F65&lt;=AA$2, OR($G65="",$G65&gt;=AA$2)),
  $H65 * (1 + Assumptions!$C$7) ^ INT(((YEAR(AA$2)-YEAR($F65))*12 + MONTH(AA$2)-MONTH($F65)) / 12),
  0)</f>
        <v/>
      </c>
      <c r="AB65" s="299">
        <f>IF(AND($F65&lt;=AB$2, OR($G65="",$G65&gt;=AB$2)),
  $H65 * (1 + Assumptions!$C$7) ^ INT(((YEAR(AB$2)-YEAR($F65))*12 + MONTH(AB$2)-MONTH($F65)) / 12),
  0)</f>
        <v/>
      </c>
      <c r="AC65" s="299">
        <f>IF(AND($F65&lt;=AC$2, OR($G65="",$G65&gt;=AC$2)),
  $H65 * (1 + Assumptions!$C$7) ^ INT(((YEAR(AC$2)-YEAR($F65))*12 + MONTH(AC$2)-MONTH($F65)) / 12),
  0)</f>
        <v/>
      </c>
      <c r="AD65" s="299">
        <f>IF(AND($F65&lt;=AD$2, OR($G65="",$G65&gt;=AD$2)),
  $H65 * (1 + Assumptions!$C$7) ^ INT(((YEAR(AD$2)-YEAR($F65))*12 + MONTH(AD$2)-MONTH($F65)) / 12),
  0)</f>
        <v/>
      </c>
      <c r="AE65" s="299">
        <f>IF(AND($F65&lt;=AE$2, OR($G65="",$G65&gt;=AE$2)),
  $H65 * (1 + Assumptions!$C$7) ^ INT(((YEAR(AE$2)-YEAR($F65))*12 + MONTH(AE$2)-MONTH($F65)) / 12),
  0)</f>
        <v/>
      </c>
      <c r="AF65" s="299">
        <f>IF(AND($F65&lt;=AF$2, OR($G65="",$G65&gt;=AF$2)),
  $H65 * (1 + Assumptions!$C$7) ^ INT(((YEAR(AF$2)-YEAR($F65))*12 + MONTH(AF$2)-MONTH($F65)) / 12),
  0)</f>
        <v/>
      </c>
      <c r="AG65" s="299">
        <f>IF(AND($F65&lt;=AG$2, OR($G65="",$G65&gt;=AG$2)),
  $H65 * (1 + Assumptions!$C$7) ^ INT(((YEAR(AG$2)-YEAR($F65))*12 + MONTH(AG$2)-MONTH($F65)) / 12),
  0)</f>
        <v/>
      </c>
      <c r="AH65" s="299">
        <f>IF(AND($F65&lt;=AH$2, OR($G65="",$G65&gt;=AH$2)),
  $H65 * (1 + Assumptions!$C$7) ^ INT(((YEAR(AH$2)-YEAR($F65))*12 + MONTH(AH$2)-MONTH($F65)) / 12),
  0)</f>
        <v/>
      </c>
      <c r="AI65" s="299">
        <f>IF(AND($F65&lt;=AI$2, OR($G65="",$G65&gt;=AI$2)),
  $H65 * (1 + Assumptions!$C$7) ^ INT(((YEAR(AI$2)-YEAR($F65))*12 + MONTH(AI$2)-MONTH($F65)) / 12),
  0)</f>
        <v/>
      </c>
      <c r="AJ65" s="299">
        <f>IF(AND($F65&lt;=AJ$2, OR($G65="",$G65&gt;=AJ$2)),
  $H65 * (1 + Assumptions!$C$7) ^ INT(((YEAR(AJ$2)-YEAR($F65))*12 + MONTH(AJ$2)-MONTH($F65)) / 12),
  0)</f>
        <v/>
      </c>
      <c r="AK65" s="299">
        <f>IF(AND($F65&lt;=AK$2, OR($G65="",$G65&gt;=AK$2)),
  $H65 * (1 + Assumptions!$C$7) ^ INT(((YEAR(AK$2)-YEAR($F65))*12 + MONTH(AK$2)-MONTH($F65)) / 12),
  0)</f>
        <v/>
      </c>
      <c r="AL65" s="299">
        <f>IF(AND($F65&lt;=AL$2, OR($G65="",$G65&gt;=AL$2)),
  $H65 * (1 + Assumptions!$C$7) ^ INT(((YEAR(AL$2)-YEAR($F65))*12 + MONTH(AL$2)-MONTH($F65)) / 12),
  0)</f>
        <v/>
      </c>
      <c r="AM65" s="299">
        <f>IF(AND($F65&lt;=AM$2, OR($G65="",$G65&gt;=AM$2)),
  $H65 * (1 + Assumptions!$C$7) ^ INT(((YEAR(AM$2)-YEAR($F65))*12 + MONTH(AM$2)-MONTH($F65)) / 12),
  0)</f>
        <v/>
      </c>
      <c r="AN65" s="299">
        <f>IF(AND($F65&lt;=AN$2, OR($G65="",$G65&gt;=AN$2)),
  $H65 * (1 + Assumptions!$C$7) ^ INT(((YEAR(AN$2)-YEAR($F65))*12 + MONTH(AN$2)-MONTH($F65)) / 12),
  0)</f>
        <v/>
      </c>
      <c r="AO65" s="299">
        <f>IF(AND($F65&lt;=AO$2, OR($G65="",$G65&gt;=AO$2)),
  $H65 * (1 + Assumptions!$C$7) ^ INT(((YEAR(AO$2)-YEAR($F65))*12 + MONTH(AO$2)-MONTH($F65)) / 12),
  0)</f>
        <v/>
      </c>
      <c r="AP65" s="299">
        <f>IF(AND($F65&lt;=AP$2, OR($G65="",$G65&gt;=AP$2)),
  $H65 * (1 + Assumptions!$C$7) ^ INT(((YEAR(AP$2)-YEAR($F65))*12 + MONTH(AP$2)-MONTH($F65)) / 12),
  0)</f>
        <v/>
      </c>
      <c r="AQ65" s="299">
        <f>IF(AND($F65&lt;=AQ$2, OR($G65="",$G65&gt;=AQ$2)),
  $H65 * (1 + Assumptions!$C$7) ^ INT(((YEAR(AQ$2)-YEAR($F65))*12 + MONTH(AQ$2)-MONTH($F65)) / 12),
  0)</f>
        <v/>
      </c>
      <c r="AR65" s="299">
        <f>IF(AND($F65&lt;=AR$2, OR($G65="",$G65&gt;=AR$2)),
  $H65 * (1 + Assumptions!$C$7) ^ INT(((YEAR(AR$2)-YEAR($F65))*12 + MONTH(AR$2)-MONTH($F65)) / 12),
  0)</f>
        <v/>
      </c>
      <c r="AS65" s="299">
        <f>IF(AND($F65&lt;=AS$2, OR($G65="",$G65&gt;=AS$2)),
  $H65 * (1 + Assumptions!$C$7) ^ INT(((YEAR(AS$2)-YEAR($F65))*12 + MONTH(AS$2)-MONTH($F65)) / 12),
  0)</f>
        <v/>
      </c>
      <c r="AT65" s="299">
        <f>IF(AND($F65&lt;=AT$2, OR($G65="",$G65&gt;=AT$2)),
  $H65 * (1 + Assumptions!$C$7) ^ INT(((YEAR(AT$2)-YEAR($F65))*12 + MONTH(AT$2)-MONTH($F65)) / 12),
  0)</f>
        <v/>
      </c>
      <c r="AU65" s="299">
        <f>IF(AND($F65&lt;=AU$2, OR($G65="",$G65&gt;=AU$2)),
  $H65 * (1 + Assumptions!$C$7) ^ INT(((YEAR(AU$2)-YEAR($F65))*12 + MONTH(AU$2)-MONTH($F65)) / 12),
  0)</f>
        <v/>
      </c>
      <c r="AV65" s="299">
        <f>IF(AND($F65&lt;=AV$2, OR($G65="",$G65&gt;=AV$2)),
  $H65 * (1 + Assumptions!$C$7) ^ INT(((YEAR(AV$2)-YEAR($F65))*12 + MONTH(AV$2)-MONTH($F65)) / 12),
  0)</f>
        <v/>
      </c>
      <c r="AW65" s="299">
        <f>IF(AND($F65&lt;=AW$2, OR($G65="",$G65&gt;=AW$2)),
  $H65 * (1 + Assumptions!$C$7) ^ INT(((YEAR(AW$2)-YEAR($F65))*12 + MONTH(AW$2)-MONTH($F65)) / 12),
  0)</f>
        <v/>
      </c>
      <c r="AX65" s="299">
        <f>IF(AND($F65&lt;=AX$2, OR($G65="",$G65&gt;=AX$2)),
  $H65 * (1 + Assumptions!$C$7) ^ INT(((YEAR(AX$2)-YEAR($F65))*12 + MONTH(AX$2)-MONTH($F65)) / 12),
  0)</f>
        <v/>
      </c>
      <c r="AY65" s="299">
        <f>IF(AND($F65&lt;=AY$2, OR($G65="",$G65&gt;=AY$2)),
  $H65 * (1 + Assumptions!$C$7) ^ INT(((YEAR(AY$2)-YEAR($F65))*12 + MONTH(AY$2)-MONTH($F65)) / 12),
  0)</f>
        <v/>
      </c>
      <c r="AZ65" s="299">
        <f>IF(AND($F65&lt;=AZ$2, OR($G65="",$G65&gt;=AZ$2)),
  $H65 * (1 + Assumptions!$C$7) ^ INT(((YEAR(AZ$2)-YEAR($F65))*12 + MONTH(AZ$2)-MONTH($F65)) / 12),
  0)</f>
        <v/>
      </c>
      <c r="BA65" s="299">
        <f>IF(AND($F65&lt;=BA$2, OR($G65="",$G65&gt;=BA$2)),
  $H65 * (1 + Assumptions!$C$7) ^ INT(((YEAR(BA$2)-YEAR($F65))*12 + MONTH(BA$2)-MONTH($F65)) / 12),
  0)</f>
        <v/>
      </c>
      <c r="BB65" s="299">
        <f>IF(AND($F65&lt;=BB$2, OR($G65="",$G65&gt;=BB$2)),
  $H65 * (1 + Assumptions!$C$7) ^ INT(((YEAR(BB$2)-YEAR($F65))*12 + MONTH(BB$2)-MONTH($F65)) / 12),
  0)</f>
        <v/>
      </c>
      <c r="BC65" s="299">
        <f>IF(AND($F65&lt;=BC$2, OR($G65="",$G65&gt;=BC$2)),
  $H65 * (1 + Assumptions!$C$7) ^ INT(((YEAR(BC$2)-YEAR($F65))*12 + MONTH(BC$2)-MONTH($F65)) / 12),
  0)</f>
        <v/>
      </c>
      <c r="BD65" s="299">
        <f>IF(AND($F65&lt;=BD$2, OR($G65="",$G65&gt;=BD$2)),
  $H65 * (1 + Assumptions!$C$7) ^ INT(((YEAR(BD$2)-YEAR($F65))*12 + MONTH(BD$2)-MONTH($F65)) / 12),
  0)</f>
        <v/>
      </c>
      <c r="BE65" s="299">
        <f>IF(AND($F65&lt;=BE$2, OR($G65="",$G65&gt;=BE$2)),
  $H65 * (1 + Assumptions!$C$7) ^ INT(((YEAR(BE$2)-YEAR($F65))*12 + MONTH(BE$2)-MONTH($F65)) / 12),
  0)</f>
        <v/>
      </c>
      <c r="BF65" s="299">
        <f>IF(AND($F65&lt;=BF$2, OR($G65="",$G65&gt;=BF$2)),
  $H65 * (1 + Assumptions!$C$7) ^ INT(((YEAR(BF$2)-YEAR($F65))*12 + MONTH(BF$2)-MONTH($F65)) / 12),
  0)</f>
        <v/>
      </c>
      <c r="BG65" s="299">
        <f>IF(AND($F65&lt;=BG$2, OR($G65="",$G65&gt;=BG$2)),
  $H65 * (1 + Assumptions!$C$7) ^ INT(((YEAR(BG$2)-YEAR($F65))*12 + MONTH(BG$2)-MONTH($F65)) / 12),
  0)</f>
        <v/>
      </c>
      <c r="BH65" s="299">
        <f>IF(AND($F65&lt;=BH$2, OR($G65="",$G65&gt;=BH$2)),
  $H65 * (1 + Assumptions!$C$7) ^ INT(((YEAR(BH$2)-YEAR($F65))*12 + MONTH(BH$2)-MONTH($F65)) / 12),
  0)</f>
        <v/>
      </c>
      <c r="BI65" s="299">
        <f>IF(AND($F65&lt;=BI$2, OR($G65="",$G65&gt;=BI$2)),
  $H65 * (1 + Assumptions!$C$7) ^ INT(((YEAR(BI$2)-YEAR($F65))*12 + MONTH(BI$2)-MONTH($F65)) / 12),
  0)</f>
        <v/>
      </c>
      <c r="BJ65" s="299">
        <f>IF(AND($F65&lt;=BJ$2, OR($G65="",$G65&gt;=BJ$2)),
  $H65 * (1 + Assumptions!$C$7) ^ INT(((YEAR(BJ$2)-YEAR($F65))*12 + MONTH(BJ$2)-MONTH($F65)) / 12),
  0)</f>
        <v/>
      </c>
      <c r="BK65" s="299">
        <f>IF(AND($F65&lt;=BK$2, OR($G65="",$G65&gt;=BK$2)),
  $H65 * (1 + Assumptions!$C$7) ^ INT(((YEAR(BK$2)-YEAR($F65))*12 + MONTH(BK$2)-MONTH($F65)) / 12),
  0)</f>
        <v/>
      </c>
      <c r="BL65" s="299">
        <f>IF(AND($F65&lt;=BL$2, OR($G65="",$G65&gt;=BL$2)),
  $H65 * (1 + Assumptions!$C$7) ^ INT(((YEAR(BL$2)-YEAR($F65))*12 + MONTH(BL$2)-MONTH($F65)) / 12),
  0)</f>
        <v/>
      </c>
      <c r="BM65" s="299">
        <f>IF(AND($F65&lt;=BM$2, OR($G65="",$G65&gt;=BM$2)),
  $H65 * (1 + Assumptions!$C$7) ^ INT(((YEAR(BM$2)-YEAR($F65))*12 + MONTH(BM$2)-MONTH($F65)) / 12),
  0)</f>
        <v/>
      </c>
      <c r="BN65" s="299">
        <f>IF(AND($F65&lt;=BN$2, OR($G65="",$G65&gt;=BN$2)),
  $H65 * (1 + Assumptions!$C$7) ^ INT(((YEAR(BN$2)-YEAR($F65))*12 + MONTH(BN$2)-MONTH($F65)) / 12),
  0)</f>
        <v/>
      </c>
      <c r="BO65" s="299">
        <f>IF(AND($F65&lt;=BO$2, OR($G65="",$G65&gt;=BO$2)),
  $H65 * (1 + Assumptions!$C$7) ^ INT(((YEAR(BO$2)-YEAR($F65))*12 + MONTH(BO$2)-MONTH($F65)) / 12),
  0)</f>
        <v/>
      </c>
      <c r="BP65" s="299">
        <f>IF(AND($F65&lt;=BP$2, OR($G65="",$G65&gt;=BP$2)),
  $H65 * (1 + Assumptions!$C$7) ^ INT(((YEAR(BP$2)-YEAR($F65))*12 + MONTH(BP$2)-MONTH($F65)) / 12),
  0)</f>
        <v/>
      </c>
      <c r="BQ65" s="340" t="n"/>
      <c r="BR65" s="315" t="n"/>
      <c r="BS65" s="341" t="n"/>
      <c r="BT65" s="341" t="n"/>
    </row>
    <row r="66" ht="15.75" customHeight="1" s="349">
      <c r="A66" s="321" t="n">
        <v>61</v>
      </c>
      <c r="B66" s="285" t="inlineStr">
        <is>
          <t>New hire</t>
        </is>
      </c>
      <c r="C66" s="317" t="inlineStr">
        <is>
          <t>S&amp;M</t>
        </is>
      </c>
      <c r="D66" s="317" t="inlineStr">
        <is>
          <t>Sales</t>
        </is>
      </c>
      <c r="E66" s="297" t="inlineStr">
        <is>
          <t>Planned</t>
        </is>
      </c>
      <c r="F66" s="318">
        <f>IF(Assumptions!$D$82=2,DATE(2028,10,1),DATE(2035,1,1))</f>
        <v/>
      </c>
      <c r="G66" s="318" t="n"/>
      <c r="H66" s="288" t="n">
        <v>7500</v>
      </c>
      <c r="I66" s="299">
        <f>IF(AND($F66&lt;=I$2, OR($G66="",$G66&gt;=I$2)),
  $H66 * (1 + Assumptions!$C$7) ^ INT(((YEAR(I$2)-YEAR($F66))*12 + MONTH(I$2)-MONTH($F66)) / 12),
  0)</f>
        <v/>
      </c>
      <c r="J66" s="299">
        <f>IF(AND($F66&lt;=J$2, OR($G66="",$G66&gt;=J$2)),
  $H66 * (1 + Assumptions!$C$7) ^ INT(((YEAR(J$2)-YEAR($F66))*12 + MONTH(J$2)-MONTH($F66)) / 12),
  0)</f>
        <v/>
      </c>
      <c r="K66" s="299">
        <f>IF(AND($F66&lt;=K$2, OR($G66="",$G66&gt;=K$2)),
  $H66 * (1 + Assumptions!$C$7) ^ INT(((YEAR(K$2)-YEAR($F66))*12 + MONTH(K$2)-MONTH($F66)) / 12),
  0)</f>
        <v/>
      </c>
      <c r="L66" s="299">
        <f>IF(AND($F66&lt;=L$2, OR($G66="",$G66&gt;=L$2)),
  $H66 * (1 + Assumptions!$C$7) ^ INT(((YEAR(L$2)-YEAR($F66))*12 + MONTH(L$2)-MONTH($F66)) / 12),
  0)</f>
        <v/>
      </c>
      <c r="M66" s="299">
        <f>IF(AND($F66&lt;=M$2, OR($G66="",$G66&gt;=M$2)),
  $H66 * (1 + Assumptions!$C$7) ^ INT(((YEAR(M$2)-YEAR($F66))*12 + MONTH(M$2)-MONTH($F66)) / 12),
  0)</f>
        <v/>
      </c>
      <c r="N66" s="299">
        <f>IF(AND($F66&lt;=N$2, OR($G66="",$G66&gt;=N$2)),
  $H66 * (1 + Assumptions!$C$7) ^ INT(((YEAR(N$2)-YEAR($F66))*12 + MONTH(N$2)-MONTH($F66)) / 12),
  0)</f>
        <v/>
      </c>
      <c r="O66" s="299">
        <f>IF(AND($F66&lt;=O$2, OR($G66="",$G66&gt;=O$2)),
  $H66 * (1 + Assumptions!$C$7) ^ INT(((YEAR(O$2)-YEAR($F66))*12 + MONTH(O$2)-MONTH($F66)) / 12),
  0)</f>
        <v/>
      </c>
      <c r="P66" s="299">
        <f>IF(AND($F66&lt;=P$2, OR($G66="",$G66&gt;=P$2)),
  $H66 * (1 + Assumptions!$C$7) ^ INT(((YEAR(P$2)-YEAR($F66))*12 + MONTH(P$2)-MONTH($F66)) / 12),
  0)</f>
        <v/>
      </c>
      <c r="Q66" s="299">
        <f>IF(AND($F66&lt;=Q$2, OR($G66="",$G66&gt;=Q$2)),
  $H66 * (1 + Assumptions!$C$7) ^ INT(((YEAR(Q$2)-YEAR($F66))*12 + MONTH(Q$2)-MONTH($F66)) / 12),
  0)</f>
        <v/>
      </c>
      <c r="R66" s="299">
        <f>IF(AND($F66&lt;=R$2, OR($G66="",$G66&gt;=R$2)),
  $H66 * (1 + Assumptions!$C$7) ^ INT(((YEAR(R$2)-YEAR($F66))*12 + MONTH(R$2)-MONTH($F66)) / 12),
  0)</f>
        <v/>
      </c>
      <c r="S66" s="299">
        <f>IF(AND($F66&lt;=S$2, OR($G66="",$G66&gt;=S$2)),
  $H66 * (1 + Assumptions!$C$7) ^ INT(((YEAR(S$2)-YEAR($F66))*12 + MONTH(S$2)-MONTH($F66)) / 12),
  0)</f>
        <v/>
      </c>
      <c r="T66" s="299">
        <f>IF(AND($F66&lt;=T$2, OR($G66="",$G66&gt;=T$2)),
  $H66 * (1 + Assumptions!$C$7) ^ INT(((YEAR(T$2)-YEAR($F66))*12 + MONTH(T$2)-MONTH($F66)) / 12),
  0)</f>
        <v/>
      </c>
      <c r="U66" s="299">
        <f>IF(AND($F66&lt;=U$2, OR($G66="",$G66&gt;=U$2)),
  $H66 * (1 + Assumptions!$C$7) ^ INT(((YEAR(U$2)-YEAR($F66))*12 + MONTH(U$2)-MONTH($F66)) / 12),
  0)</f>
        <v/>
      </c>
      <c r="V66" s="299">
        <f>IF(AND($F66&lt;=V$2, OR($G66="",$G66&gt;=V$2)),
  $H66 * (1 + Assumptions!$C$7) ^ INT(((YEAR(V$2)-YEAR($F66))*12 + MONTH(V$2)-MONTH($F66)) / 12),
  0)</f>
        <v/>
      </c>
      <c r="W66" s="299">
        <f>IF(AND($F66&lt;=W$2, OR($G66="",$G66&gt;=W$2)),
  $H66 * (1 + Assumptions!$C$7) ^ INT(((YEAR(W$2)-YEAR($F66))*12 + MONTH(W$2)-MONTH($F66)) / 12),
  0)</f>
        <v/>
      </c>
      <c r="X66" s="299">
        <f>IF(AND($F66&lt;=X$2, OR($G66="",$G66&gt;=X$2)),
  $H66 * (1 + Assumptions!$C$7) ^ INT(((YEAR(X$2)-YEAR($F66))*12 + MONTH(X$2)-MONTH($F66)) / 12),
  0)</f>
        <v/>
      </c>
      <c r="Y66" s="299">
        <f>IF(AND($F66&lt;=Y$2, OR($G66="",$G66&gt;=Y$2)),
  $H66 * (1 + Assumptions!$C$7) ^ INT(((YEAR(Y$2)-YEAR($F66))*12 + MONTH(Y$2)-MONTH($F66)) / 12),
  0)</f>
        <v/>
      </c>
      <c r="Z66" s="299">
        <f>IF(AND($F66&lt;=Z$2, OR($G66="",$G66&gt;=Z$2)),
  $H66 * (1 + Assumptions!$C$7) ^ INT(((YEAR(Z$2)-YEAR($F66))*12 + MONTH(Z$2)-MONTH($F66)) / 12),
  0)</f>
        <v/>
      </c>
      <c r="AA66" s="299">
        <f>IF(AND($F66&lt;=AA$2, OR($G66="",$G66&gt;=AA$2)),
  $H66 * (1 + Assumptions!$C$7) ^ INT(((YEAR(AA$2)-YEAR($F66))*12 + MONTH(AA$2)-MONTH($F66)) / 12),
  0)</f>
        <v/>
      </c>
      <c r="AB66" s="299">
        <f>IF(AND($F66&lt;=AB$2, OR($G66="",$G66&gt;=AB$2)),
  $H66 * (1 + Assumptions!$C$7) ^ INT(((YEAR(AB$2)-YEAR($F66))*12 + MONTH(AB$2)-MONTH($F66)) / 12),
  0)</f>
        <v/>
      </c>
      <c r="AC66" s="299">
        <f>IF(AND($F66&lt;=AC$2, OR($G66="",$G66&gt;=AC$2)),
  $H66 * (1 + Assumptions!$C$7) ^ INT(((YEAR(AC$2)-YEAR($F66))*12 + MONTH(AC$2)-MONTH($F66)) / 12),
  0)</f>
        <v/>
      </c>
      <c r="AD66" s="299">
        <f>IF(AND($F66&lt;=AD$2, OR($G66="",$G66&gt;=AD$2)),
  $H66 * (1 + Assumptions!$C$7) ^ INT(((YEAR(AD$2)-YEAR($F66))*12 + MONTH(AD$2)-MONTH($F66)) / 12),
  0)</f>
        <v/>
      </c>
      <c r="AE66" s="299">
        <f>IF(AND($F66&lt;=AE$2, OR($G66="",$G66&gt;=AE$2)),
  $H66 * (1 + Assumptions!$C$7) ^ INT(((YEAR(AE$2)-YEAR($F66))*12 + MONTH(AE$2)-MONTH($F66)) / 12),
  0)</f>
        <v/>
      </c>
      <c r="AF66" s="299">
        <f>IF(AND($F66&lt;=AF$2, OR($G66="",$G66&gt;=AF$2)),
  $H66 * (1 + Assumptions!$C$7) ^ INT(((YEAR(AF$2)-YEAR($F66))*12 + MONTH(AF$2)-MONTH($F66)) / 12),
  0)</f>
        <v/>
      </c>
      <c r="AG66" s="299">
        <f>IF(AND($F66&lt;=AG$2, OR($G66="",$G66&gt;=AG$2)),
  $H66 * (1 + Assumptions!$C$7) ^ INT(((YEAR(AG$2)-YEAR($F66))*12 + MONTH(AG$2)-MONTH($F66)) / 12),
  0)</f>
        <v/>
      </c>
      <c r="AH66" s="299">
        <f>IF(AND($F66&lt;=AH$2, OR($G66="",$G66&gt;=AH$2)),
  $H66 * (1 + Assumptions!$C$7) ^ INT(((YEAR(AH$2)-YEAR($F66))*12 + MONTH(AH$2)-MONTH($F66)) / 12),
  0)</f>
        <v/>
      </c>
      <c r="AI66" s="299">
        <f>IF(AND($F66&lt;=AI$2, OR($G66="",$G66&gt;=AI$2)),
  $H66 * (1 + Assumptions!$C$7) ^ INT(((YEAR(AI$2)-YEAR($F66))*12 + MONTH(AI$2)-MONTH($F66)) / 12),
  0)</f>
        <v/>
      </c>
      <c r="AJ66" s="299">
        <f>IF(AND($F66&lt;=AJ$2, OR($G66="",$G66&gt;=AJ$2)),
  $H66 * (1 + Assumptions!$C$7) ^ INT(((YEAR(AJ$2)-YEAR($F66))*12 + MONTH(AJ$2)-MONTH($F66)) / 12),
  0)</f>
        <v/>
      </c>
      <c r="AK66" s="299">
        <f>IF(AND($F66&lt;=AK$2, OR($G66="",$G66&gt;=AK$2)),
  $H66 * (1 + Assumptions!$C$7) ^ INT(((YEAR(AK$2)-YEAR($F66))*12 + MONTH(AK$2)-MONTH($F66)) / 12),
  0)</f>
        <v/>
      </c>
      <c r="AL66" s="299">
        <f>IF(AND($F66&lt;=AL$2, OR($G66="",$G66&gt;=AL$2)),
  $H66 * (1 + Assumptions!$C$7) ^ INT(((YEAR(AL$2)-YEAR($F66))*12 + MONTH(AL$2)-MONTH($F66)) / 12),
  0)</f>
        <v/>
      </c>
      <c r="AM66" s="299">
        <f>IF(AND($F66&lt;=AM$2, OR($G66="",$G66&gt;=AM$2)),
  $H66 * (1 + Assumptions!$C$7) ^ INT(((YEAR(AM$2)-YEAR($F66))*12 + MONTH(AM$2)-MONTH($F66)) / 12),
  0)</f>
        <v/>
      </c>
      <c r="AN66" s="299">
        <f>IF(AND($F66&lt;=AN$2, OR($G66="",$G66&gt;=AN$2)),
  $H66 * (1 + Assumptions!$C$7) ^ INT(((YEAR(AN$2)-YEAR($F66))*12 + MONTH(AN$2)-MONTH($F66)) / 12),
  0)</f>
        <v/>
      </c>
      <c r="AO66" s="299">
        <f>IF(AND($F66&lt;=AO$2, OR($G66="",$G66&gt;=AO$2)),
  $H66 * (1 + Assumptions!$C$7) ^ INT(((YEAR(AO$2)-YEAR($F66))*12 + MONTH(AO$2)-MONTH($F66)) / 12),
  0)</f>
        <v/>
      </c>
      <c r="AP66" s="299">
        <f>IF(AND($F66&lt;=AP$2, OR($G66="",$G66&gt;=AP$2)),
  $H66 * (1 + Assumptions!$C$7) ^ INT(((YEAR(AP$2)-YEAR($F66))*12 + MONTH(AP$2)-MONTH($F66)) / 12),
  0)</f>
        <v/>
      </c>
      <c r="AQ66" s="299">
        <f>IF(AND($F66&lt;=AQ$2, OR($G66="",$G66&gt;=AQ$2)),
  $H66 * (1 + Assumptions!$C$7) ^ INT(((YEAR(AQ$2)-YEAR($F66))*12 + MONTH(AQ$2)-MONTH($F66)) / 12),
  0)</f>
        <v/>
      </c>
      <c r="AR66" s="299">
        <f>IF(AND($F66&lt;=AR$2, OR($G66="",$G66&gt;=AR$2)),
  $H66 * (1 + Assumptions!$C$7) ^ INT(((YEAR(AR$2)-YEAR($F66))*12 + MONTH(AR$2)-MONTH($F66)) / 12),
  0)</f>
        <v/>
      </c>
      <c r="AS66" s="299">
        <f>IF(AND($F66&lt;=AS$2, OR($G66="",$G66&gt;=AS$2)),
  $H66 * (1 + Assumptions!$C$7) ^ INT(((YEAR(AS$2)-YEAR($F66))*12 + MONTH(AS$2)-MONTH($F66)) / 12),
  0)</f>
        <v/>
      </c>
      <c r="AT66" s="299">
        <f>IF(AND($F66&lt;=AT$2, OR($G66="",$G66&gt;=AT$2)),
  $H66 * (1 + Assumptions!$C$7) ^ INT(((YEAR(AT$2)-YEAR($F66))*12 + MONTH(AT$2)-MONTH($F66)) / 12),
  0)</f>
        <v/>
      </c>
      <c r="AU66" s="299">
        <f>IF(AND($F66&lt;=AU$2, OR($G66="",$G66&gt;=AU$2)),
  $H66 * (1 + Assumptions!$C$7) ^ INT(((YEAR(AU$2)-YEAR($F66))*12 + MONTH(AU$2)-MONTH($F66)) / 12),
  0)</f>
        <v/>
      </c>
      <c r="AV66" s="299">
        <f>IF(AND($F66&lt;=AV$2, OR($G66="",$G66&gt;=AV$2)),
  $H66 * (1 + Assumptions!$C$7) ^ INT(((YEAR(AV$2)-YEAR($F66))*12 + MONTH(AV$2)-MONTH($F66)) / 12),
  0)</f>
        <v/>
      </c>
      <c r="AW66" s="299">
        <f>IF(AND($F66&lt;=AW$2, OR($G66="",$G66&gt;=AW$2)),
  $H66 * (1 + Assumptions!$C$7) ^ INT(((YEAR(AW$2)-YEAR($F66))*12 + MONTH(AW$2)-MONTH($F66)) / 12),
  0)</f>
        <v/>
      </c>
      <c r="AX66" s="299">
        <f>IF(AND($F66&lt;=AX$2, OR($G66="",$G66&gt;=AX$2)),
  $H66 * (1 + Assumptions!$C$7) ^ INT(((YEAR(AX$2)-YEAR($F66))*12 + MONTH(AX$2)-MONTH($F66)) / 12),
  0)</f>
        <v/>
      </c>
      <c r="AY66" s="299">
        <f>IF(AND($F66&lt;=AY$2, OR($G66="",$G66&gt;=AY$2)),
  $H66 * (1 + Assumptions!$C$7) ^ INT(((YEAR(AY$2)-YEAR($F66))*12 + MONTH(AY$2)-MONTH($F66)) / 12),
  0)</f>
        <v/>
      </c>
      <c r="AZ66" s="299">
        <f>IF(AND($F66&lt;=AZ$2, OR($G66="",$G66&gt;=AZ$2)),
  $H66 * (1 + Assumptions!$C$7) ^ INT(((YEAR(AZ$2)-YEAR($F66))*12 + MONTH(AZ$2)-MONTH($F66)) / 12),
  0)</f>
        <v/>
      </c>
      <c r="BA66" s="299">
        <f>IF(AND($F66&lt;=BA$2, OR($G66="",$G66&gt;=BA$2)),
  $H66 * (1 + Assumptions!$C$7) ^ INT(((YEAR(BA$2)-YEAR($F66))*12 + MONTH(BA$2)-MONTH($F66)) / 12),
  0)</f>
        <v/>
      </c>
      <c r="BB66" s="299">
        <f>IF(AND($F66&lt;=BB$2, OR($G66="",$G66&gt;=BB$2)),
  $H66 * (1 + Assumptions!$C$7) ^ INT(((YEAR(BB$2)-YEAR($F66))*12 + MONTH(BB$2)-MONTH($F66)) / 12),
  0)</f>
        <v/>
      </c>
      <c r="BC66" s="299">
        <f>IF(AND($F66&lt;=BC$2, OR($G66="",$G66&gt;=BC$2)),
  $H66 * (1 + Assumptions!$C$7) ^ INT(((YEAR(BC$2)-YEAR($F66))*12 + MONTH(BC$2)-MONTH($F66)) / 12),
  0)</f>
        <v/>
      </c>
      <c r="BD66" s="299">
        <f>IF(AND($F66&lt;=BD$2, OR($G66="",$G66&gt;=BD$2)),
  $H66 * (1 + Assumptions!$C$7) ^ INT(((YEAR(BD$2)-YEAR($F66))*12 + MONTH(BD$2)-MONTH($F66)) / 12),
  0)</f>
        <v/>
      </c>
      <c r="BE66" s="299">
        <f>IF(AND($F66&lt;=BE$2, OR($G66="",$G66&gt;=BE$2)),
  $H66 * (1 + Assumptions!$C$7) ^ INT(((YEAR(BE$2)-YEAR($F66))*12 + MONTH(BE$2)-MONTH($F66)) / 12),
  0)</f>
        <v/>
      </c>
      <c r="BF66" s="299">
        <f>IF(AND($F66&lt;=BF$2, OR($G66="",$G66&gt;=BF$2)),
  $H66 * (1 + Assumptions!$C$7) ^ INT(((YEAR(BF$2)-YEAR($F66))*12 + MONTH(BF$2)-MONTH($F66)) / 12),
  0)</f>
        <v/>
      </c>
      <c r="BG66" s="299">
        <f>IF(AND($F66&lt;=BG$2, OR($G66="",$G66&gt;=BG$2)),
  $H66 * (1 + Assumptions!$C$7) ^ INT(((YEAR(BG$2)-YEAR($F66))*12 + MONTH(BG$2)-MONTH($F66)) / 12),
  0)</f>
        <v/>
      </c>
      <c r="BH66" s="299">
        <f>IF(AND($F66&lt;=BH$2, OR($G66="",$G66&gt;=BH$2)),
  $H66 * (1 + Assumptions!$C$7) ^ INT(((YEAR(BH$2)-YEAR($F66))*12 + MONTH(BH$2)-MONTH($F66)) / 12),
  0)</f>
        <v/>
      </c>
      <c r="BI66" s="299">
        <f>IF(AND($F66&lt;=BI$2, OR($G66="",$G66&gt;=BI$2)),
  $H66 * (1 + Assumptions!$C$7) ^ INT(((YEAR(BI$2)-YEAR($F66))*12 + MONTH(BI$2)-MONTH($F66)) / 12),
  0)</f>
        <v/>
      </c>
      <c r="BJ66" s="299">
        <f>IF(AND($F66&lt;=BJ$2, OR($G66="",$G66&gt;=BJ$2)),
  $H66 * (1 + Assumptions!$C$7) ^ INT(((YEAR(BJ$2)-YEAR($F66))*12 + MONTH(BJ$2)-MONTH($F66)) / 12),
  0)</f>
        <v/>
      </c>
      <c r="BK66" s="299">
        <f>IF(AND($F66&lt;=BK$2, OR($G66="",$G66&gt;=BK$2)),
  $H66 * (1 + Assumptions!$C$7) ^ INT(((YEAR(BK$2)-YEAR($F66))*12 + MONTH(BK$2)-MONTH($F66)) / 12),
  0)</f>
        <v/>
      </c>
      <c r="BL66" s="299">
        <f>IF(AND($F66&lt;=BL$2, OR($G66="",$G66&gt;=BL$2)),
  $H66 * (1 + Assumptions!$C$7) ^ INT(((YEAR(BL$2)-YEAR($F66))*12 + MONTH(BL$2)-MONTH($F66)) / 12),
  0)</f>
        <v/>
      </c>
      <c r="BM66" s="299">
        <f>IF(AND($F66&lt;=BM$2, OR($G66="",$G66&gt;=BM$2)),
  $H66 * (1 + Assumptions!$C$7) ^ INT(((YEAR(BM$2)-YEAR($F66))*12 + MONTH(BM$2)-MONTH($F66)) / 12),
  0)</f>
        <v/>
      </c>
      <c r="BN66" s="299">
        <f>IF(AND($F66&lt;=BN$2, OR($G66="",$G66&gt;=BN$2)),
  $H66 * (1 + Assumptions!$C$7) ^ INT(((YEAR(BN$2)-YEAR($F66))*12 + MONTH(BN$2)-MONTH($F66)) / 12),
  0)</f>
        <v/>
      </c>
      <c r="BO66" s="299">
        <f>IF(AND($F66&lt;=BO$2, OR($G66="",$G66&gt;=BO$2)),
  $H66 * (1 + Assumptions!$C$7) ^ INT(((YEAR(BO$2)-YEAR($F66))*12 + MONTH(BO$2)-MONTH($F66)) / 12),
  0)</f>
        <v/>
      </c>
      <c r="BP66" s="299">
        <f>IF(AND($F66&lt;=BP$2, OR($G66="",$G66&gt;=BP$2)),
  $H66 * (1 + Assumptions!$C$7) ^ INT(((YEAR(BP$2)-YEAR($F66))*12 + MONTH(BP$2)-MONTH($F66)) / 12),
  0)</f>
        <v/>
      </c>
      <c r="BQ66" s="31" t="n"/>
      <c r="BR66" s="350" t="n"/>
      <c r="BS66" s="31" t="n"/>
      <c r="BT66" s="31" t="n"/>
    </row>
    <row r="67" ht="15.75" customHeight="1" s="349">
      <c r="A67" s="321" t="n">
        <v>62</v>
      </c>
      <c r="B67" s="285" t="inlineStr">
        <is>
          <t>New hire</t>
        </is>
      </c>
      <c r="C67" s="317" t="inlineStr">
        <is>
          <t>S&amp;M</t>
        </is>
      </c>
      <c r="D67" s="317" t="inlineStr">
        <is>
          <t>Sales</t>
        </is>
      </c>
      <c r="E67" s="297" t="inlineStr">
        <is>
          <t>Planned</t>
        </is>
      </c>
      <c r="F67" s="318">
        <f>IF(Assumptions!$D$82=2,DATE(2028,11,1),DATE(2035,1,1))</f>
        <v/>
      </c>
      <c r="G67" s="318" t="n"/>
      <c r="H67" s="288" t="n">
        <v>7500</v>
      </c>
      <c r="I67" s="299">
        <f>IF(AND($F67&lt;=I$2, OR($G67="",$G67&gt;=I$2)),
  $H67 * (1 + Assumptions!$C$7) ^ INT(((YEAR(I$2)-YEAR($F67))*12 + MONTH(I$2)-MONTH($F67)) / 12),
  0)</f>
        <v/>
      </c>
      <c r="J67" s="299">
        <f>IF(AND($F67&lt;=J$2, OR($G67="",$G67&gt;=J$2)),
  $H67 * (1 + Assumptions!$C$7) ^ INT(((YEAR(J$2)-YEAR($F67))*12 + MONTH(J$2)-MONTH($F67)) / 12),
  0)</f>
        <v/>
      </c>
      <c r="K67" s="299">
        <f>IF(AND($F67&lt;=K$2, OR($G67="",$G67&gt;=K$2)),
  $H67 * (1 + Assumptions!$C$7) ^ INT(((YEAR(K$2)-YEAR($F67))*12 + MONTH(K$2)-MONTH($F67)) / 12),
  0)</f>
        <v/>
      </c>
      <c r="L67" s="299">
        <f>IF(AND($F67&lt;=L$2, OR($G67="",$G67&gt;=L$2)),
  $H67 * (1 + Assumptions!$C$7) ^ INT(((YEAR(L$2)-YEAR($F67))*12 + MONTH(L$2)-MONTH($F67)) / 12),
  0)</f>
        <v/>
      </c>
      <c r="M67" s="299">
        <f>IF(AND($F67&lt;=M$2, OR($G67="",$G67&gt;=M$2)),
  $H67 * (1 + Assumptions!$C$7) ^ INT(((YEAR(M$2)-YEAR($F67))*12 + MONTH(M$2)-MONTH($F67)) / 12),
  0)</f>
        <v/>
      </c>
      <c r="N67" s="299">
        <f>IF(AND($F67&lt;=N$2, OR($G67="",$G67&gt;=N$2)),
  $H67 * (1 + Assumptions!$C$7) ^ INT(((YEAR(N$2)-YEAR($F67))*12 + MONTH(N$2)-MONTH($F67)) / 12),
  0)</f>
        <v/>
      </c>
      <c r="O67" s="299">
        <f>IF(AND($F67&lt;=O$2, OR($G67="",$G67&gt;=O$2)),
  $H67 * (1 + Assumptions!$C$7) ^ INT(((YEAR(O$2)-YEAR($F67))*12 + MONTH(O$2)-MONTH($F67)) / 12),
  0)</f>
        <v/>
      </c>
      <c r="P67" s="299">
        <f>IF(AND($F67&lt;=P$2, OR($G67="",$G67&gt;=P$2)),
  $H67 * (1 + Assumptions!$C$7) ^ INT(((YEAR(P$2)-YEAR($F67))*12 + MONTH(P$2)-MONTH($F67)) / 12),
  0)</f>
        <v/>
      </c>
      <c r="Q67" s="299">
        <f>IF(AND($F67&lt;=Q$2, OR($G67="",$G67&gt;=Q$2)),
  $H67 * (1 + Assumptions!$C$7) ^ INT(((YEAR(Q$2)-YEAR($F67))*12 + MONTH(Q$2)-MONTH($F67)) / 12),
  0)</f>
        <v/>
      </c>
      <c r="R67" s="299">
        <f>IF(AND($F67&lt;=R$2, OR($G67="",$G67&gt;=R$2)),
  $H67 * (1 + Assumptions!$C$7) ^ INT(((YEAR(R$2)-YEAR($F67))*12 + MONTH(R$2)-MONTH($F67)) / 12),
  0)</f>
        <v/>
      </c>
      <c r="S67" s="299">
        <f>IF(AND($F67&lt;=S$2, OR($G67="",$G67&gt;=S$2)),
  $H67 * (1 + Assumptions!$C$7) ^ INT(((YEAR(S$2)-YEAR($F67))*12 + MONTH(S$2)-MONTH($F67)) / 12),
  0)</f>
        <v/>
      </c>
      <c r="T67" s="299">
        <f>IF(AND($F67&lt;=T$2, OR($G67="",$G67&gt;=T$2)),
  $H67 * (1 + Assumptions!$C$7) ^ INT(((YEAR(T$2)-YEAR($F67))*12 + MONTH(T$2)-MONTH($F67)) / 12),
  0)</f>
        <v/>
      </c>
      <c r="U67" s="299">
        <f>IF(AND($F67&lt;=U$2, OR($G67="",$G67&gt;=U$2)),
  $H67 * (1 + Assumptions!$C$7) ^ INT(((YEAR(U$2)-YEAR($F67))*12 + MONTH(U$2)-MONTH($F67)) / 12),
  0)</f>
        <v/>
      </c>
      <c r="V67" s="299">
        <f>IF(AND($F67&lt;=V$2, OR($G67="",$G67&gt;=V$2)),
  $H67 * (1 + Assumptions!$C$7) ^ INT(((YEAR(V$2)-YEAR($F67))*12 + MONTH(V$2)-MONTH($F67)) / 12),
  0)</f>
        <v/>
      </c>
      <c r="W67" s="299">
        <f>IF(AND($F67&lt;=W$2, OR($G67="",$G67&gt;=W$2)),
  $H67 * (1 + Assumptions!$C$7) ^ INT(((YEAR(W$2)-YEAR($F67))*12 + MONTH(W$2)-MONTH($F67)) / 12),
  0)</f>
        <v/>
      </c>
      <c r="X67" s="299">
        <f>IF(AND($F67&lt;=X$2, OR($G67="",$G67&gt;=X$2)),
  $H67 * (1 + Assumptions!$C$7) ^ INT(((YEAR(X$2)-YEAR($F67))*12 + MONTH(X$2)-MONTH($F67)) / 12),
  0)</f>
        <v/>
      </c>
      <c r="Y67" s="299">
        <f>IF(AND($F67&lt;=Y$2, OR($G67="",$G67&gt;=Y$2)),
  $H67 * (1 + Assumptions!$C$7) ^ INT(((YEAR(Y$2)-YEAR($F67))*12 + MONTH(Y$2)-MONTH($F67)) / 12),
  0)</f>
        <v/>
      </c>
      <c r="Z67" s="299">
        <f>IF(AND($F67&lt;=Z$2, OR($G67="",$G67&gt;=Z$2)),
  $H67 * (1 + Assumptions!$C$7) ^ INT(((YEAR(Z$2)-YEAR($F67))*12 + MONTH(Z$2)-MONTH($F67)) / 12),
  0)</f>
        <v/>
      </c>
      <c r="AA67" s="299">
        <f>IF(AND($F67&lt;=AA$2, OR($G67="",$G67&gt;=AA$2)),
  $H67 * (1 + Assumptions!$C$7) ^ INT(((YEAR(AA$2)-YEAR($F67))*12 + MONTH(AA$2)-MONTH($F67)) / 12),
  0)</f>
        <v/>
      </c>
      <c r="AB67" s="299">
        <f>IF(AND($F67&lt;=AB$2, OR($G67="",$G67&gt;=AB$2)),
  $H67 * (1 + Assumptions!$C$7) ^ INT(((YEAR(AB$2)-YEAR($F67))*12 + MONTH(AB$2)-MONTH($F67)) / 12),
  0)</f>
        <v/>
      </c>
      <c r="AC67" s="299">
        <f>IF(AND($F67&lt;=AC$2, OR($G67="",$G67&gt;=AC$2)),
  $H67 * (1 + Assumptions!$C$7) ^ INT(((YEAR(AC$2)-YEAR($F67))*12 + MONTH(AC$2)-MONTH($F67)) / 12),
  0)</f>
        <v/>
      </c>
      <c r="AD67" s="299">
        <f>IF(AND($F67&lt;=AD$2, OR($G67="",$G67&gt;=AD$2)),
  $H67 * (1 + Assumptions!$C$7) ^ INT(((YEAR(AD$2)-YEAR($F67))*12 + MONTH(AD$2)-MONTH($F67)) / 12),
  0)</f>
        <v/>
      </c>
      <c r="AE67" s="299">
        <f>IF(AND($F67&lt;=AE$2, OR($G67="",$G67&gt;=AE$2)),
  $H67 * (1 + Assumptions!$C$7) ^ INT(((YEAR(AE$2)-YEAR($F67))*12 + MONTH(AE$2)-MONTH($F67)) / 12),
  0)</f>
        <v/>
      </c>
      <c r="AF67" s="299">
        <f>IF(AND($F67&lt;=AF$2, OR($G67="",$G67&gt;=AF$2)),
  $H67 * (1 + Assumptions!$C$7) ^ INT(((YEAR(AF$2)-YEAR($F67))*12 + MONTH(AF$2)-MONTH($F67)) / 12),
  0)</f>
        <v/>
      </c>
      <c r="AG67" s="299">
        <f>IF(AND($F67&lt;=AG$2, OR($G67="",$G67&gt;=AG$2)),
  $H67 * (1 + Assumptions!$C$7) ^ INT(((YEAR(AG$2)-YEAR($F67))*12 + MONTH(AG$2)-MONTH($F67)) / 12),
  0)</f>
        <v/>
      </c>
      <c r="AH67" s="299">
        <f>IF(AND($F67&lt;=AH$2, OR($G67="",$G67&gt;=AH$2)),
  $H67 * (1 + Assumptions!$C$7) ^ INT(((YEAR(AH$2)-YEAR($F67))*12 + MONTH(AH$2)-MONTH($F67)) / 12),
  0)</f>
        <v/>
      </c>
      <c r="AI67" s="299">
        <f>IF(AND($F67&lt;=AI$2, OR($G67="",$G67&gt;=AI$2)),
  $H67 * (1 + Assumptions!$C$7) ^ INT(((YEAR(AI$2)-YEAR($F67))*12 + MONTH(AI$2)-MONTH($F67)) / 12),
  0)</f>
        <v/>
      </c>
      <c r="AJ67" s="299">
        <f>IF(AND($F67&lt;=AJ$2, OR($G67="",$G67&gt;=AJ$2)),
  $H67 * (1 + Assumptions!$C$7) ^ INT(((YEAR(AJ$2)-YEAR($F67))*12 + MONTH(AJ$2)-MONTH($F67)) / 12),
  0)</f>
        <v/>
      </c>
      <c r="AK67" s="299">
        <f>IF(AND($F67&lt;=AK$2, OR($G67="",$G67&gt;=AK$2)),
  $H67 * (1 + Assumptions!$C$7) ^ INT(((YEAR(AK$2)-YEAR($F67))*12 + MONTH(AK$2)-MONTH($F67)) / 12),
  0)</f>
        <v/>
      </c>
      <c r="AL67" s="299">
        <f>IF(AND($F67&lt;=AL$2, OR($G67="",$G67&gt;=AL$2)),
  $H67 * (1 + Assumptions!$C$7) ^ INT(((YEAR(AL$2)-YEAR($F67))*12 + MONTH(AL$2)-MONTH($F67)) / 12),
  0)</f>
        <v/>
      </c>
      <c r="AM67" s="299">
        <f>IF(AND($F67&lt;=AM$2, OR($G67="",$G67&gt;=AM$2)),
  $H67 * (1 + Assumptions!$C$7) ^ INT(((YEAR(AM$2)-YEAR($F67))*12 + MONTH(AM$2)-MONTH($F67)) / 12),
  0)</f>
        <v/>
      </c>
      <c r="AN67" s="299">
        <f>IF(AND($F67&lt;=AN$2, OR($G67="",$G67&gt;=AN$2)),
  $H67 * (1 + Assumptions!$C$7) ^ INT(((YEAR(AN$2)-YEAR($F67))*12 + MONTH(AN$2)-MONTH($F67)) / 12),
  0)</f>
        <v/>
      </c>
      <c r="AO67" s="299">
        <f>IF(AND($F67&lt;=AO$2, OR($G67="",$G67&gt;=AO$2)),
  $H67 * (1 + Assumptions!$C$7) ^ INT(((YEAR(AO$2)-YEAR($F67))*12 + MONTH(AO$2)-MONTH($F67)) / 12),
  0)</f>
        <v/>
      </c>
      <c r="AP67" s="299">
        <f>IF(AND($F67&lt;=AP$2, OR($G67="",$G67&gt;=AP$2)),
  $H67 * (1 + Assumptions!$C$7) ^ INT(((YEAR(AP$2)-YEAR($F67))*12 + MONTH(AP$2)-MONTH($F67)) / 12),
  0)</f>
        <v/>
      </c>
      <c r="AQ67" s="299">
        <f>IF(AND($F67&lt;=AQ$2, OR($G67="",$G67&gt;=AQ$2)),
  $H67 * (1 + Assumptions!$C$7) ^ INT(((YEAR(AQ$2)-YEAR($F67))*12 + MONTH(AQ$2)-MONTH($F67)) / 12),
  0)</f>
        <v/>
      </c>
      <c r="AR67" s="299">
        <f>IF(AND($F67&lt;=AR$2, OR($G67="",$G67&gt;=AR$2)),
  $H67 * (1 + Assumptions!$C$7) ^ INT(((YEAR(AR$2)-YEAR($F67))*12 + MONTH(AR$2)-MONTH($F67)) / 12),
  0)</f>
        <v/>
      </c>
      <c r="AS67" s="299">
        <f>IF(AND($F67&lt;=AS$2, OR($G67="",$G67&gt;=AS$2)),
  $H67 * (1 + Assumptions!$C$7) ^ INT(((YEAR(AS$2)-YEAR($F67))*12 + MONTH(AS$2)-MONTH($F67)) / 12),
  0)</f>
        <v/>
      </c>
      <c r="AT67" s="299">
        <f>IF(AND($F67&lt;=AT$2, OR($G67="",$G67&gt;=AT$2)),
  $H67 * (1 + Assumptions!$C$7) ^ INT(((YEAR(AT$2)-YEAR($F67))*12 + MONTH(AT$2)-MONTH($F67)) / 12),
  0)</f>
        <v/>
      </c>
      <c r="AU67" s="299">
        <f>IF(AND($F67&lt;=AU$2, OR($G67="",$G67&gt;=AU$2)),
  $H67 * (1 + Assumptions!$C$7) ^ INT(((YEAR(AU$2)-YEAR($F67))*12 + MONTH(AU$2)-MONTH($F67)) / 12),
  0)</f>
        <v/>
      </c>
      <c r="AV67" s="299">
        <f>IF(AND($F67&lt;=AV$2, OR($G67="",$G67&gt;=AV$2)),
  $H67 * (1 + Assumptions!$C$7) ^ INT(((YEAR(AV$2)-YEAR($F67))*12 + MONTH(AV$2)-MONTH($F67)) / 12),
  0)</f>
        <v/>
      </c>
      <c r="AW67" s="299">
        <f>IF(AND($F67&lt;=AW$2, OR($G67="",$G67&gt;=AW$2)),
  $H67 * (1 + Assumptions!$C$7) ^ INT(((YEAR(AW$2)-YEAR($F67))*12 + MONTH(AW$2)-MONTH($F67)) / 12),
  0)</f>
        <v/>
      </c>
      <c r="AX67" s="299">
        <f>IF(AND($F67&lt;=AX$2, OR($G67="",$G67&gt;=AX$2)),
  $H67 * (1 + Assumptions!$C$7) ^ INT(((YEAR(AX$2)-YEAR($F67))*12 + MONTH(AX$2)-MONTH($F67)) / 12),
  0)</f>
        <v/>
      </c>
      <c r="AY67" s="299">
        <f>IF(AND($F67&lt;=AY$2, OR($G67="",$G67&gt;=AY$2)),
  $H67 * (1 + Assumptions!$C$7) ^ INT(((YEAR(AY$2)-YEAR($F67))*12 + MONTH(AY$2)-MONTH($F67)) / 12),
  0)</f>
        <v/>
      </c>
      <c r="AZ67" s="299">
        <f>IF(AND($F67&lt;=AZ$2, OR($G67="",$G67&gt;=AZ$2)),
  $H67 * (1 + Assumptions!$C$7) ^ INT(((YEAR(AZ$2)-YEAR($F67))*12 + MONTH(AZ$2)-MONTH($F67)) / 12),
  0)</f>
        <v/>
      </c>
      <c r="BA67" s="299">
        <f>IF(AND($F67&lt;=BA$2, OR($G67="",$G67&gt;=BA$2)),
  $H67 * (1 + Assumptions!$C$7) ^ INT(((YEAR(BA$2)-YEAR($F67))*12 + MONTH(BA$2)-MONTH($F67)) / 12),
  0)</f>
        <v/>
      </c>
      <c r="BB67" s="299">
        <f>IF(AND($F67&lt;=BB$2, OR($G67="",$G67&gt;=BB$2)),
  $H67 * (1 + Assumptions!$C$7) ^ INT(((YEAR(BB$2)-YEAR($F67))*12 + MONTH(BB$2)-MONTH($F67)) / 12),
  0)</f>
        <v/>
      </c>
      <c r="BC67" s="299">
        <f>IF(AND($F67&lt;=BC$2, OR($G67="",$G67&gt;=BC$2)),
  $H67 * (1 + Assumptions!$C$7) ^ INT(((YEAR(BC$2)-YEAR($F67))*12 + MONTH(BC$2)-MONTH($F67)) / 12),
  0)</f>
        <v/>
      </c>
      <c r="BD67" s="299">
        <f>IF(AND($F67&lt;=BD$2, OR($G67="",$G67&gt;=BD$2)),
  $H67 * (1 + Assumptions!$C$7) ^ INT(((YEAR(BD$2)-YEAR($F67))*12 + MONTH(BD$2)-MONTH($F67)) / 12),
  0)</f>
        <v/>
      </c>
      <c r="BE67" s="299">
        <f>IF(AND($F67&lt;=BE$2, OR($G67="",$G67&gt;=BE$2)),
  $H67 * (1 + Assumptions!$C$7) ^ INT(((YEAR(BE$2)-YEAR($F67))*12 + MONTH(BE$2)-MONTH($F67)) / 12),
  0)</f>
        <v/>
      </c>
      <c r="BF67" s="299">
        <f>IF(AND($F67&lt;=BF$2, OR($G67="",$G67&gt;=BF$2)),
  $H67 * (1 + Assumptions!$C$7) ^ INT(((YEAR(BF$2)-YEAR($F67))*12 + MONTH(BF$2)-MONTH($F67)) / 12),
  0)</f>
        <v/>
      </c>
      <c r="BG67" s="299">
        <f>IF(AND($F67&lt;=BG$2, OR($G67="",$G67&gt;=BG$2)),
  $H67 * (1 + Assumptions!$C$7) ^ INT(((YEAR(BG$2)-YEAR($F67))*12 + MONTH(BG$2)-MONTH($F67)) / 12),
  0)</f>
        <v/>
      </c>
      <c r="BH67" s="299">
        <f>IF(AND($F67&lt;=BH$2, OR($G67="",$G67&gt;=BH$2)),
  $H67 * (1 + Assumptions!$C$7) ^ INT(((YEAR(BH$2)-YEAR($F67))*12 + MONTH(BH$2)-MONTH($F67)) / 12),
  0)</f>
        <v/>
      </c>
      <c r="BI67" s="299">
        <f>IF(AND($F67&lt;=BI$2, OR($G67="",$G67&gt;=BI$2)),
  $H67 * (1 + Assumptions!$C$7) ^ INT(((YEAR(BI$2)-YEAR($F67))*12 + MONTH(BI$2)-MONTH($F67)) / 12),
  0)</f>
        <v/>
      </c>
      <c r="BJ67" s="299">
        <f>IF(AND($F67&lt;=BJ$2, OR($G67="",$G67&gt;=BJ$2)),
  $H67 * (1 + Assumptions!$C$7) ^ INT(((YEAR(BJ$2)-YEAR($F67))*12 + MONTH(BJ$2)-MONTH($F67)) / 12),
  0)</f>
        <v/>
      </c>
      <c r="BK67" s="299">
        <f>IF(AND($F67&lt;=BK$2, OR($G67="",$G67&gt;=BK$2)),
  $H67 * (1 + Assumptions!$C$7) ^ INT(((YEAR(BK$2)-YEAR($F67))*12 + MONTH(BK$2)-MONTH($F67)) / 12),
  0)</f>
        <v/>
      </c>
      <c r="BL67" s="299">
        <f>IF(AND($F67&lt;=BL$2, OR($G67="",$G67&gt;=BL$2)),
  $H67 * (1 + Assumptions!$C$7) ^ INT(((YEAR(BL$2)-YEAR($F67))*12 + MONTH(BL$2)-MONTH($F67)) / 12),
  0)</f>
        <v/>
      </c>
      <c r="BM67" s="299">
        <f>IF(AND($F67&lt;=BM$2, OR($G67="",$G67&gt;=BM$2)),
  $H67 * (1 + Assumptions!$C$7) ^ INT(((YEAR(BM$2)-YEAR($F67))*12 + MONTH(BM$2)-MONTH($F67)) / 12),
  0)</f>
        <v/>
      </c>
      <c r="BN67" s="299">
        <f>IF(AND($F67&lt;=BN$2, OR($G67="",$G67&gt;=BN$2)),
  $H67 * (1 + Assumptions!$C$7) ^ INT(((YEAR(BN$2)-YEAR($F67))*12 + MONTH(BN$2)-MONTH($F67)) / 12),
  0)</f>
        <v/>
      </c>
      <c r="BO67" s="299">
        <f>IF(AND($F67&lt;=BO$2, OR($G67="",$G67&gt;=BO$2)),
  $H67 * (1 + Assumptions!$C$7) ^ INT(((YEAR(BO$2)-YEAR($F67))*12 + MONTH(BO$2)-MONTH($F67)) / 12),
  0)</f>
        <v/>
      </c>
      <c r="BP67" s="299">
        <f>IF(AND($F67&lt;=BP$2, OR($G67="",$G67&gt;=BP$2)),
  $H67 * (1 + Assumptions!$C$7) ^ INT(((YEAR(BP$2)-YEAR($F67))*12 + MONTH(BP$2)-MONTH($F67)) / 12),
  0)</f>
        <v/>
      </c>
      <c r="BQ67" s="78" t="n"/>
      <c r="BR67" s="315" t="n"/>
      <c r="BS67" s="78" t="n"/>
      <c r="BT67" s="78" t="n"/>
    </row>
    <row r="68" ht="15.75" customHeight="1" s="349">
      <c r="A68" s="321" t="n">
        <v>63</v>
      </c>
      <c r="B68" s="285" t="inlineStr">
        <is>
          <t>New hire</t>
        </is>
      </c>
      <c r="C68" s="317" t="inlineStr">
        <is>
          <t>S&amp;M</t>
        </is>
      </c>
      <c r="D68" s="317" t="inlineStr">
        <is>
          <t>Sales</t>
        </is>
      </c>
      <c r="E68" s="297" t="inlineStr">
        <is>
          <t>Planned</t>
        </is>
      </c>
      <c r="F68" s="318">
        <f>IF(Assumptions!$D$82=2,DATE(2028,12,1),DATE(2035,1,1))</f>
        <v/>
      </c>
      <c r="G68" s="318" t="n"/>
      <c r="H68" s="288" t="n">
        <v>7500</v>
      </c>
      <c r="I68" s="299">
        <f>IF(AND($F68&lt;=I$2, OR($G68="",$G68&gt;=I$2)),
  $H68 * (1 + Assumptions!$C$7) ^ INT(((YEAR(I$2)-YEAR($F68))*12 + MONTH(I$2)-MONTH($F68)) / 12),
  0)</f>
        <v/>
      </c>
      <c r="J68" s="299">
        <f>IF(AND($F68&lt;=J$2, OR($G68="",$G68&gt;=J$2)),
  $H68 * (1 + Assumptions!$C$7) ^ INT(((YEAR(J$2)-YEAR($F68))*12 + MONTH(J$2)-MONTH($F68)) / 12),
  0)</f>
        <v/>
      </c>
      <c r="K68" s="299">
        <f>IF(AND($F68&lt;=K$2, OR($G68="",$G68&gt;=K$2)),
  $H68 * (1 + Assumptions!$C$7) ^ INT(((YEAR(K$2)-YEAR($F68))*12 + MONTH(K$2)-MONTH($F68)) / 12),
  0)</f>
        <v/>
      </c>
      <c r="L68" s="299">
        <f>IF(AND($F68&lt;=L$2, OR($G68="",$G68&gt;=L$2)),
  $H68 * (1 + Assumptions!$C$7) ^ INT(((YEAR(L$2)-YEAR($F68))*12 + MONTH(L$2)-MONTH($F68)) / 12),
  0)</f>
        <v/>
      </c>
      <c r="M68" s="299">
        <f>IF(AND($F68&lt;=M$2, OR($G68="",$G68&gt;=M$2)),
  $H68 * (1 + Assumptions!$C$7) ^ INT(((YEAR(M$2)-YEAR($F68))*12 + MONTH(M$2)-MONTH($F68)) / 12),
  0)</f>
        <v/>
      </c>
      <c r="N68" s="299">
        <f>IF(AND($F68&lt;=N$2, OR($G68="",$G68&gt;=N$2)),
  $H68 * (1 + Assumptions!$C$7) ^ INT(((YEAR(N$2)-YEAR($F68))*12 + MONTH(N$2)-MONTH($F68)) / 12),
  0)</f>
        <v/>
      </c>
      <c r="O68" s="299">
        <f>IF(AND($F68&lt;=O$2, OR($G68="",$G68&gt;=O$2)),
  $H68 * (1 + Assumptions!$C$7) ^ INT(((YEAR(O$2)-YEAR($F68))*12 + MONTH(O$2)-MONTH($F68)) / 12),
  0)</f>
        <v/>
      </c>
      <c r="P68" s="299">
        <f>IF(AND($F68&lt;=P$2, OR($G68="",$G68&gt;=P$2)),
  $H68 * (1 + Assumptions!$C$7) ^ INT(((YEAR(P$2)-YEAR($F68))*12 + MONTH(P$2)-MONTH($F68)) / 12),
  0)</f>
        <v/>
      </c>
      <c r="Q68" s="299">
        <f>IF(AND($F68&lt;=Q$2, OR($G68="",$G68&gt;=Q$2)),
  $H68 * (1 + Assumptions!$C$7) ^ INT(((YEAR(Q$2)-YEAR($F68))*12 + MONTH(Q$2)-MONTH($F68)) / 12),
  0)</f>
        <v/>
      </c>
      <c r="R68" s="299">
        <f>IF(AND($F68&lt;=R$2, OR($G68="",$G68&gt;=R$2)),
  $H68 * (1 + Assumptions!$C$7) ^ INT(((YEAR(R$2)-YEAR($F68))*12 + MONTH(R$2)-MONTH($F68)) / 12),
  0)</f>
        <v/>
      </c>
      <c r="S68" s="299">
        <f>IF(AND($F68&lt;=S$2, OR($G68="",$G68&gt;=S$2)),
  $H68 * (1 + Assumptions!$C$7) ^ INT(((YEAR(S$2)-YEAR($F68))*12 + MONTH(S$2)-MONTH($F68)) / 12),
  0)</f>
        <v/>
      </c>
      <c r="T68" s="299">
        <f>IF(AND($F68&lt;=T$2, OR($G68="",$G68&gt;=T$2)),
  $H68 * (1 + Assumptions!$C$7) ^ INT(((YEAR(T$2)-YEAR($F68))*12 + MONTH(T$2)-MONTH($F68)) / 12),
  0)</f>
        <v/>
      </c>
      <c r="U68" s="299">
        <f>IF(AND($F68&lt;=U$2, OR($G68="",$G68&gt;=U$2)),
  $H68 * (1 + Assumptions!$C$7) ^ INT(((YEAR(U$2)-YEAR($F68))*12 + MONTH(U$2)-MONTH($F68)) / 12),
  0)</f>
        <v/>
      </c>
      <c r="V68" s="299">
        <f>IF(AND($F68&lt;=V$2, OR($G68="",$G68&gt;=V$2)),
  $H68 * (1 + Assumptions!$C$7) ^ INT(((YEAR(V$2)-YEAR($F68))*12 + MONTH(V$2)-MONTH($F68)) / 12),
  0)</f>
        <v/>
      </c>
      <c r="W68" s="299">
        <f>IF(AND($F68&lt;=W$2, OR($G68="",$G68&gt;=W$2)),
  $H68 * (1 + Assumptions!$C$7) ^ INT(((YEAR(W$2)-YEAR($F68))*12 + MONTH(W$2)-MONTH($F68)) / 12),
  0)</f>
        <v/>
      </c>
      <c r="X68" s="299">
        <f>IF(AND($F68&lt;=X$2, OR($G68="",$G68&gt;=X$2)),
  $H68 * (1 + Assumptions!$C$7) ^ INT(((YEAR(X$2)-YEAR($F68))*12 + MONTH(X$2)-MONTH($F68)) / 12),
  0)</f>
        <v/>
      </c>
      <c r="Y68" s="299">
        <f>IF(AND($F68&lt;=Y$2, OR($G68="",$G68&gt;=Y$2)),
  $H68 * (1 + Assumptions!$C$7) ^ INT(((YEAR(Y$2)-YEAR($F68))*12 + MONTH(Y$2)-MONTH($F68)) / 12),
  0)</f>
        <v/>
      </c>
      <c r="Z68" s="299">
        <f>IF(AND($F68&lt;=Z$2, OR($G68="",$G68&gt;=Z$2)),
  $H68 * (1 + Assumptions!$C$7) ^ INT(((YEAR(Z$2)-YEAR($F68))*12 + MONTH(Z$2)-MONTH($F68)) / 12),
  0)</f>
        <v/>
      </c>
      <c r="AA68" s="299">
        <f>IF(AND($F68&lt;=AA$2, OR($G68="",$G68&gt;=AA$2)),
  $H68 * (1 + Assumptions!$C$7) ^ INT(((YEAR(AA$2)-YEAR($F68))*12 + MONTH(AA$2)-MONTH($F68)) / 12),
  0)</f>
        <v/>
      </c>
      <c r="AB68" s="299">
        <f>IF(AND($F68&lt;=AB$2, OR($G68="",$G68&gt;=AB$2)),
  $H68 * (1 + Assumptions!$C$7) ^ INT(((YEAR(AB$2)-YEAR($F68))*12 + MONTH(AB$2)-MONTH($F68)) / 12),
  0)</f>
        <v/>
      </c>
      <c r="AC68" s="299">
        <f>IF(AND($F68&lt;=AC$2, OR($G68="",$G68&gt;=AC$2)),
  $H68 * (1 + Assumptions!$C$7) ^ INT(((YEAR(AC$2)-YEAR($F68))*12 + MONTH(AC$2)-MONTH($F68)) / 12),
  0)</f>
        <v/>
      </c>
      <c r="AD68" s="299">
        <f>IF(AND($F68&lt;=AD$2, OR($G68="",$G68&gt;=AD$2)),
  $H68 * (1 + Assumptions!$C$7) ^ INT(((YEAR(AD$2)-YEAR($F68))*12 + MONTH(AD$2)-MONTH($F68)) / 12),
  0)</f>
        <v/>
      </c>
      <c r="AE68" s="299">
        <f>IF(AND($F68&lt;=AE$2, OR($G68="",$G68&gt;=AE$2)),
  $H68 * (1 + Assumptions!$C$7) ^ INT(((YEAR(AE$2)-YEAR($F68))*12 + MONTH(AE$2)-MONTH($F68)) / 12),
  0)</f>
        <v/>
      </c>
      <c r="AF68" s="299">
        <f>IF(AND($F68&lt;=AF$2, OR($G68="",$G68&gt;=AF$2)),
  $H68 * (1 + Assumptions!$C$7) ^ INT(((YEAR(AF$2)-YEAR($F68))*12 + MONTH(AF$2)-MONTH($F68)) / 12),
  0)</f>
        <v/>
      </c>
      <c r="AG68" s="299">
        <f>IF(AND($F68&lt;=AG$2, OR($G68="",$G68&gt;=AG$2)),
  $H68 * (1 + Assumptions!$C$7) ^ INT(((YEAR(AG$2)-YEAR($F68))*12 + MONTH(AG$2)-MONTH($F68)) / 12),
  0)</f>
        <v/>
      </c>
      <c r="AH68" s="299">
        <f>IF(AND($F68&lt;=AH$2, OR($G68="",$G68&gt;=AH$2)),
  $H68 * (1 + Assumptions!$C$7) ^ INT(((YEAR(AH$2)-YEAR($F68))*12 + MONTH(AH$2)-MONTH($F68)) / 12),
  0)</f>
        <v/>
      </c>
      <c r="AI68" s="299">
        <f>IF(AND($F68&lt;=AI$2, OR($G68="",$G68&gt;=AI$2)),
  $H68 * (1 + Assumptions!$C$7) ^ INT(((YEAR(AI$2)-YEAR($F68))*12 + MONTH(AI$2)-MONTH($F68)) / 12),
  0)</f>
        <v/>
      </c>
      <c r="AJ68" s="299">
        <f>IF(AND($F68&lt;=AJ$2, OR($G68="",$G68&gt;=AJ$2)),
  $H68 * (1 + Assumptions!$C$7) ^ INT(((YEAR(AJ$2)-YEAR($F68))*12 + MONTH(AJ$2)-MONTH($F68)) / 12),
  0)</f>
        <v/>
      </c>
      <c r="AK68" s="299">
        <f>IF(AND($F68&lt;=AK$2, OR($G68="",$G68&gt;=AK$2)),
  $H68 * (1 + Assumptions!$C$7) ^ INT(((YEAR(AK$2)-YEAR($F68))*12 + MONTH(AK$2)-MONTH($F68)) / 12),
  0)</f>
        <v/>
      </c>
      <c r="AL68" s="299">
        <f>IF(AND($F68&lt;=AL$2, OR($G68="",$G68&gt;=AL$2)),
  $H68 * (1 + Assumptions!$C$7) ^ INT(((YEAR(AL$2)-YEAR($F68))*12 + MONTH(AL$2)-MONTH($F68)) / 12),
  0)</f>
        <v/>
      </c>
      <c r="AM68" s="299">
        <f>IF(AND($F68&lt;=AM$2, OR($G68="",$G68&gt;=AM$2)),
  $H68 * (1 + Assumptions!$C$7) ^ INT(((YEAR(AM$2)-YEAR($F68))*12 + MONTH(AM$2)-MONTH($F68)) / 12),
  0)</f>
        <v/>
      </c>
      <c r="AN68" s="299">
        <f>IF(AND($F68&lt;=AN$2, OR($G68="",$G68&gt;=AN$2)),
  $H68 * (1 + Assumptions!$C$7) ^ INT(((YEAR(AN$2)-YEAR($F68))*12 + MONTH(AN$2)-MONTH($F68)) / 12),
  0)</f>
        <v/>
      </c>
      <c r="AO68" s="299">
        <f>IF(AND($F68&lt;=AO$2, OR($G68="",$G68&gt;=AO$2)),
  $H68 * (1 + Assumptions!$C$7) ^ INT(((YEAR(AO$2)-YEAR($F68))*12 + MONTH(AO$2)-MONTH($F68)) / 12),
  0)</f>
        <v/>
      </c>
      <c r="AP68" s="299">
        <f>IF(AND($F68&lt;=AP$2, OR($G68="",$G68&gt;=AP$2)),
  $H68 * (1 + Assumptions!$C$7) ^ INT(((YEAR(AP$2)-YEAR($F68))*12 + MONTH(AP$2)-MONTH($F68)) / 12),
  0)</f>
        <v/>
      </c>
      <c r="AQ68" s="299">
        <f>IF(AND($F68&lt;=AQ$2, OR($G68="",$G68&gt;=AQ$2)),
  $H68 * (1 + Assumptions!$C$7) ^ INT(((YEAR(AQ$2)-YEAR($F68))*12 + MONTH(AQ$2)-MONTH($F68)) / 12),
  0)</f>
        <v/>
      </c>
      <c r="AR68" s="299">
        <f>IF(AND($F68&lt;=AR$2, OR($G68="",$G68&gt;=AR$2)),
  $H68 * (1 + Assumptions!$C$7) ^ INT(((YEAR(AR$2)-YEAR($F68))*12 + MONTH(AR$2)-MONTH($F68)) / 12),
  0)</f>
        <v/>
      </c>
      <c r="AS68" s="299">
        <f>IF(AND($F68&lt;=AS$2, OR($G68="",$G68&gt;=AS$2)),
  $H68 * (1 + Assumptions!$C$7) ^ INT(((YEAR(AS$2)-YEAR($F68))*12 + MONTH(AS$2)-MONTH($F68)) / 12),
  0)</f>
        <v/>
      </c>
      <c r="AT68" s="299">
        <f>IF(AND($F68&lt;=AT$2, OR($G68="",$G68&gt;=AT$2)),
  $H68 * (1 + Assumptions!$C$7) ^ INT(((YEAR(AT$2)-YEAR($F68))*12 + MONTH(AT$2)-MONTH($F68)) / 12),
  0)</f>
        <v/>
      </c>
      <c r="AU68" s="299">
        <f>IF(AND($F68&lt;=AU$2, OR($G68="",$G68&gt;=AU$2)),
  $H68 * (1 + Assumptions!$C$7) ^ INT(((YEAR(AU$2)-YEAR($F68))*12 + MONTH(AU$2)-MONTH($F68)) / 12),
  0)</f>
        <v/>
      </c>
      <c r="AV68" s="299">
        <f>IF(AND($F68&lt;=AV$2, OR($G68="",$G68&gt;=AV$2)),
  $H68 * (1 + Assumptions!$C$7) ^ INT(((YEAR(AV$2)-YEAR($F68))*12 + MONTH(AV$2)-MONTH($F68)) / 12),
  0)</f>
        <v/>
      </c>
      <c r="AW68" s="299">
        <f>IF(AND($F68&lt;=AW$2, OR($G68="",$G68&gt;=AW$2)),
  $H68 * (1 + Assumptions!$C$7) ^ INT(((YEAR(AW$2)-YEAR($F68))*12 + MONTH(AW$2)-MONTH($F68)) / 12),
  0)</f>
        <v/>
      </c>
      <c r="AX68" s="299">
        <f>IF(AND($F68&lt;=AX$2, OR($G68="",$G68&gt;=AX$2)),
  $H68 * (1 + Assumptions!$C$7) ^ INT(((YEAR(AX$2)-YEAR($F68))*12 + MONTH(AX$2)-MONTH($F68)) / 12),
  0)</f>
        <v/>
      </c>
      <c r="AY68" s="299">
        <f>IF(AND($F68&lt;=AY$2, OR($G68="",$G68&gt;=AY$2)),
  $H68 * (1 + Assumptions!$C$7) ^ INT(((YEAR(AY$2)-YEAR($F68))*12 + MONTH(AY$2)-MONTH($F68)) / 12),
  0)</f>
        <v/>
      </c>
      <c r="AZ68" s="299">
        <f>IF(AND($F68&lt;=AZ$2, OR($G68="",$G68&gt;=AZ$2)),
  $H68 * (1 + Assumptions!$C$7) ^ INT(((YEAR(AZ$2)-YEAR($F68))*12 + MONTH(AZ$2)-MONTH($F68)) / 12),
  0)</f>
        <v/>
      </c>
      <c r="BA68" s="299">
        <f>IF(AND($F68&lt;=BA$2, OR($G68="",$G68&gt;=BA$2)),
  $H68 * (1 + Assumptions!$C$7) ^ INT(((YEAR(BA$2)-YEAR($F68))*12 + MONTH(BA$2)-MONTH($F68)) / 12),
  0)</f>
        <v/>
      </c>
      <c r="BB68" s="299">
        <f>IF(AND($F68&lt;=BB$2, OR($G68="",$G68&gt;=BB$2)),
  $H68 * (1 + Assumptions!$C$7) ^ INT(((YEAR(BB$2)-YEAR($F68))*12 + MONTH(BB$2)-MONTH($F68)) / 12),
  0)</f>
        <v/>
      </c>
      <c r="BC68" s="299">
        <f>IF(AND($F68&lt;=BC$2, OR($G68="",$G68&gt;=BC$2)),
  $H68 * (1 + Assumptions!$C$7) ^ INT(((YEAR(BC$2)-YEAR($F68))*12 + MONTH(BC$2)-MONTH($F68)) / 12),
  0)</f>
        <v/>
      </c>
      <c r="BD68" s="299">
        <f>IF(AND($F68&lt;=BD$2, OR($G68="",$G68&gt;=BD$2)),
  $H68 * (1 + Assumptions!$C$7) ^ INT(((YEAR(BD$2)-YEAR($F68))*12 + MONTH(BD$2)-MONTH($F68)) / 12),
  0)</f>
        <v/>
      </c>
      <c r="BE68" s="299">
        <f>IF(AND($F68&lt;=BE$2, OR($G68="",$G68&gt;=BE$2)),
  $H68 * (1 + Assumptions!$C$7) ^ INT(((YEAR(BE$2)-YEAR($F68))*12 + MONTH(BE$2)-MONTH($F68)) / 12),
  0)</f>
        <v/>
      </c>
      <c r="BF68" s="299">
        <f>IF(AND($F68&lt;=BF$2, OR($G68="",$G68&gt;=BF$2)),
  $H68 * (1 + Assumptions!$C$7) ^ INT(((YEAR(BF$2)-YEAR($F68))*12 + MONTH(BF$2)-MONTH($F68)) / 12),
  0)</f>
        <v/>
      </c>
      <c r="BG68" s="299">
        <f>IF(AND($F68&lt;=BG$2, OR($G68="",$G68&gt;=BG$2)),
  $H68 * (1 + Assumptions!$C$7) ^ INT(((YEAR(BG$2)-YEAR($F68))*12 + MONTH(BG$2)-MONTH($F68)) / 12),
  0)</f>
        <v/>
      </c>
      <c r="BH68" s="299">
        <f>IF(AND($F68&lt;=BH$2, OR($G68="",$G68&gt;=BH$2)),
  $H68 * (1 + Assumptions!$C$7) ^ INT(((YEAR(BH$2)-YEAR($F68))*12 + MONTH(BH$2)-MONTH($F68)) / 12),
  0)</f>
        <v/>
      </c>
      <c r="BI68" s="299">
        <f>IF(AND($F68&lt;=BI$2, OR($G68="",$G68&gt;=BI$2)),
  $H68 * (1 + Assumptions!$C$7) ^ INT(((YEAR(BI$2)-YEAR($F68))*12 + MONTH(BI$2)-MONTH($F68)) / 12),
  0)</f>
        <v/>
      </c>
      <c r="BJ68" s="299">
        <f>IF(AND($F68&lt;=BJ$2, OR($G68="",$G68&gt;=BJ$2)),
  $H68 * (1 + Assumptions!$C$7) ^ INT(((YEAR(BJ$2)-YEAR($F68))*12 + MONTH(BJ$2)-MONTH($F68)) / 12),
  0)</f>
        <v/>
      </c>
      <c r="BK68" s="299">
        <f>IF(AND($F68&lt;=BK$2, OR($G68="",$G68&gt;=BK$2)),
  $H68 * (1 + Assumptions!$C$7) ^ INT(((YEAR(BK$2)-YEAR($F68))*12 + MONTH(BK$2)-MONTH($F68)) / 12),
  0)</f>
        <v/>
      </c>
      <c r="BL68" s="299">
        <f>IF(AND($F68&lt;=BL$2, OR($G68="",$G68&gt;=BL$2)),
  $H68 * (1 + Assumptions!$C$7) ^ INT(((YEAR(BL$2)-YEAR($F68))*12 + MONTH(BL$2)-MONTH($F68)) / 12),
  0)</f>
        <v/>
      </c>
      <c r="BM68" s="299">
        <f>IF(AND($F68&lt;=BM$2, OR($G68="",$G68&gt;=BM$2)),
  $H68 * (1 + Assumptions!$C$7) ^ INT(((YEAR(BM$2)-YEAR($F68))*12 + MONTH(BM$2)-MONTH($F68)) / 12),
  0)</f>
        <v/>
      </c>
      <c r="BN68" s="299">
        <f>IF(AND($F68&lt;=BN$2, OR($G68="",$G68&gt;=BN$2)),
  $H68 * (1 + Assumptions!$C$7) ^ INT(((YEAR(BN$2)-YEAR($F68))*12 + MONTH(BN$2)-MONTH($F68)) / 12),
  0)</f>
        <v/>
      </c>
      <c r="BO68" s="299">
        <f>IF(AND($F68&lt;=BO$2, OR($G68="",$G68&gt;=BO$2)),
  $H68 * (1 + Assumptions!$C$7) ^ INT(((YEAR(BO$2)-YEAR($F68))*12 + MONTH(BO$2)-MONTH($F68)) / 12),
  0)</f>
        <v/>
      </c>
      <c r="BP68" s="299">
        <f>IF(AND($F68&lt;=BP$2, OR($G68="",$G68&gt;=BP$2)),
  $H68 * (1 + Assumptions!$C$7) ^ INT(((YEAR(BP$2)-YEAR($F68))*12 + MONTH(BP$2)-MONTH($F68)) / 12),
  0)</f>
        <v/>
      </c>
      <c r="BQ68" s="344" t="n"/>
      <c r="BR68" s="334" t="n"/>
      <c r="BS68" s="345" t="n"/>
      <c r="BT68" s="345" t="n"/>
    </row>
    <row r="69" ht="15.75" customHeight="1" s="349">
      <c r="A69" s="321" t="n">
        <v>64</v>
      </c>
      <c r="B69" s="285" t="inlineStr">
        <is>
          <t>New hire</t>
        </is>
      </c>
      <c r="C69" s="317" t="inlineStr">
        <is>
          <t>S&amp;M</t>
        </is>
      </c>
      <c r="D69" s="317" t="inlineStr">
        <is>
          <t>Sales</t>
        </is>
      </c>
      <c r="E69" s="297" t="inlineStr">
        <is>
          <t>Planned</t>
        </is>
      </c>
      <c r="F69" s="318">
        <f>IF(Assumptions!$D$82=2,DATE(2029,2,1),DATE(2035,1,1))</f>
        <v/>
      </c>
      <c r="G69" s="318" t="n"/>
      <c r="H69" s="288" t="n">
        <v>7500</v>
      </c>
      <c r="I69" s="299">
        <f>IF(AND($F69&lt;=I$2, OR($G69="",$G69&gt;=I$2)),
  $H69 * (1 + Assumptions!$C$7) ^ INT(((YEAR(I$2)-YEAR($F69))*12 + MONTH(I$2)-MONTH($F69)) / 12),
  0)</f>
        <v/>
      </c>
      <c r="J69" s="299">
        <f>IF(AND($F69&lt;=J$2, OR($G69="",$G69&gt;=J$2)),
  $H69 * (1 + Assumptions!$C$7) ^ INT(((YEAR(J$2)-YEAR($F69))*12 + MONTH(J$2)-MONTH($F69)) / 12),
  0)</f>
        <v/>
      </c>
      <c r="K69" s="299">
        <f>IF(AND($F69&lt;=K$2, OR($G69="",$G69&gt;=K$2)),
  $H69 * (1 + Assumptions!$C$7) ^ INT(((YEAR(K$2)-YEAR($F69))*12 + MONTH(K$2)-MONTH($F69)) / 12),
  0)</f>
        <v/>
      </c>
      <c r="L69" s="299">
        <f>IF(AND($F69&lt;=L$2, OR($G69="",$G69&gt;=L$2)),
  $H69 * (1 + Assumptions!$C$7) ^ INT(((YEAR(L$2)-YEAR($F69))*12 + MONTH(L$2)-MONTH($F69)) / 12),
  0)</f>
        <v/>
      </c>
      <c r="M69" s="299">
        <f>IF(AND($F69&lt;=M$2, OR($G69="",$G69&gt;=M$2)),
  $H69 * (1 + Assumptions!$C$7) ^ INT(((YEAR(M$2)-YEAR($F69))*12 + MONTH(M$2)-MONTH($F69)) / 12),
  0)</f>
        <v/>
      </c>
      <c r="N69" s="299">
        <f>IF(AND($F69&lt;=N$2, OR($G69="",$G69&gt;=N$2)),
  $H69 * (1 + Assumptions!$C$7) ^ INT(((YEAR(N$2)-YEAR($F69))*12 + MONTH(N$2)-MONTH($F69)) / 12),
  0)</f>
        <v/>
      </c>
      <c r="O69" s="299">
        <f>IF(AND($F69&lt;=O$2, OR($G69="",$G69&gt;=O$2)),
  $H69 * (1 + Assumptions!$C$7) ^ INT(((YEAR(O$2)-YEAR($F69))*12 + MONTH(O$2)-MONTH($F69)) / 12),
  0)</f>
        <v/>
      </c>
      <c r="P69" s="299">
        <f>IF(AND($F69&lt;=P$2, OR($G69="",$G69&gt;=P$2)),
  $H69 * (1 + Assumptions!$C$7) ^ INT(((YEAR(P$2)-YEAR($F69))*12 + MONTH(P$2)-MONTH($F69)) / 12),
  0)</f>
        <v/>
      </c>
      <c r="Q69" s="299">
        <f>IF(AND($F69&lt;=Q$2, OR($G69="",$G69&gt;=Q$2)),
  $H69 * (1 + Assumptions!$C$7) ^ INT(((YEAR(Q$2)-YEAR($F69))*12 + MONTH(Q$2)-MONTH($F69)) / 12),
  0)</f>
        <v/>
      </c>
      <c r="R69" s="299">
        <f>IF(AND($F69&lt;=R$2, OR($G69="",$G69&gt;=R$2)),
  $H69 * (1 + Assumptions!$C$7) ^ INT(((YEAR(R$2)-YEAR($F69))*12 + MONTH(R$2)-MONTH($F69)) / 12),
  0)</f>
        <v/>
      </c>
      <c r="S69" s="299">
        <f>IF(AND($F69&lt;=S$2, OR($G69="",$G69&gt;=S$2)),
  $H69 * (1 + Assumptions!$C$7) ^ INT(((YEAR(S$2)-YEAR($F69))*12 + MONTH(S$2)-MONTH($F69)) / 12),
  0)</f>
        <v/>
      </c>
      <c r="T69" s="299">
        <f>IF(AND($F69&lt;=T$2, OR($G69="",$G69&gt;=T$2)),
  $H69 * (1 + Assumptions!$C$7) ^ INT(((YEAR(T$2)-YEAR($F69))*12 + MONTH(T$2)-MONTH($F69)) / 12),
  0)</f>
        <v/>
      </c>
      <c r="U69" s="299">
        <f>IF(AND($F69&lt;=U$2, OR($G69="",$G69&gt;=U$2)),
  $H69 * (1 + Assumptions!$C$7) ^ INT(((YEAR(U$2)-YEAR($F69))*12 + MONTH(U$2)-MONTH($F69)) / 12),
  0)</f>
        <v/>
      </c>
      <c r="V69" s="299">
        <f>IF(AND($F69&lt;=V$2, OR($G69="",$G69&gt;=V$2)),
  $H69 * (1 + Assumptions!$C$7) ^ INT(((YEAR(V$2)-YEAR($F69))*12 + MONTH(V$2)-MONTH($F69)) / 12),
  0)</f>
        <v/>
      </c>
      <c r="W69" s="299">
        <f>IF(AND($F69&lt;=W$2, OR($G69="",$G69&gt;=W$2)),
  $H69 * (1 + Assumptions!$C$7) ^ INT(((YEAR(W$2)-YEAR($F69))*12 + MONTH(W$2)-MONTH($F69)) / 12),
  0)</f>
        <v/>
      </c>
      <c r="X69" s="299">
        <f>IF(AND($F69&lt;=X$2, OR($G69="",$G69&gt;=X$2)),
  $H69 * (1 + Assumptions!$C$7) ^ INT(((YEAR(X$2)-YEAR($F69))*12 + MONTH(X$2)-MONTH($F69)) / 12),
  0)</f>
        <v/>
      </c>
      <c r="Y69" s="299">
        <f>IF(AND($F69&lt;=Y$2, OR($G69="",$G69&gt;=Y$2)),
  $H69 * (1 + Assumptions!$C$7) ^ INT(((YEAR(Y$2)-YEAR($F69))*12 + MONTH(Y$2)-MONTH($F69)) / 12),
  0)</f>
        <v/>
      </c>
      <c r="Z69" s="299">
        <f>IF(AND($F69&lt;=Z$2, OR($G69="",$G69&gt;=Z$2)),
  $H69 * (1 + Assumptions!$C$7) ^ INT(((YEAR(Z$2)-YEAR($F69))*12 + MONTH(Z$2)-MONTH($F69)) / 12),
  0)</f>
        <v/>
      </c>
      <c r="AA69" s="299">
        <f>IF(AND($F69&lt;=AA$2, OR($G69="",$G69&gt;=AA$2)),
  $H69 * (1 + Assumptions!$C$7) ^ INT(((YEAR(AA$2)-YEAR($F69))*12 + MONTH(AA$2)-MONTH($F69)) / 12),
  0)</f>
        <v/>
      </c>
      <c r="AB69" s="299">
        <f>IF(AND($F69&lt;=AB$2, OR($G69="",$G69&gt;=AB$2)),
  $H69 * (1 + Assumptions!$C$7) ^ INT(((YEAR(AB$2)-YEAR($F69))*12 + MONTH(AB$2)-MONTH($F69)) / 12),
  0)</f>
        <v/>
      </c>
      <c r="AC69" s="299">
        <f>IF(AND($F69&lt;=AC$2, OR($G69="",$G69&gt;=AC$2)),
  $H69 * (1 + Assumptions!$C$7) ^ INT(((YEAR(AC$2)-YEAR($F69))*12 + MONTH(AC$2)-MONTH($F69)) / 12),
  0)</f>
        <v/>
      </c>
      <c r="AD69" s="299">
        <f>IF(AND($F69&lt;=AD$2, OR($G69="",$G69&gt;=AD$2)),
  $H69 * (1 + Assumptions!$C$7) ^ INT(((YEAR(AD$2)-YEAR($F69))*12 + MONTH(AD$2)-MONTH($F69)) / 12),
  0)</f>
        <v/>
      </c>
      <c r="AE69" s="299">
        <f>IF(AND($F69&lt;=AE$2, OR($G69="",$G69&gt;=AE$2)),
  $H69 * (1 + Assumptions!$C$7) ^ INT(((YEAR(AE$2)-YEAR($F69))*12 + MONTH(AE$2)-MONTH($F69)) / 12),
  0)</f>
        <v/>
      </c>
      <c r="AF69" s="299">
        <f>IF(AND($F69&lt;=AF$2, OR($G69="",$G69&gt;=AF$2)),
  $H69 * (1 + Assumptions!$C$7) ^ INT(((YEAR(AF$2)-YEAR($F69))*12 + MONTH(AF$2)-MONTH($F69)) / 12),
  0)</f>
        <v/>
      </c>
      <c r="AG69" s="299">
        <f>IF(AND($F69&lt;=AG$2, OR($G69="",$G69&gt;=AG$2)),
  $H69 * (1 + Assumptions!$C$7) ^ INT(((YEAR(AG$2)-YEAR($F69))*12 + MONTH(AG$2)-MONTH($F69)) / 12),
  0)</f>
        <v/>
      </c>
      <c r="AH69" s="299">
        <f>IF(AND($F69&lt;=AH$2, OR($G69="",$G69&gt;=AH$2)),
  $H69 * (1 + Assumptions!$C$7) ^ INT(((YEAR(AH$2)-YEAR($F69))*12 + MONTH(AH$2)-MONTH($F69)) / 12),
  0)</f>
        <v/>
      </c>
      <c r="AI69" s="299">
        <f>IF(AND($F69&lt;=AI$2, OR($G69="",$G69&gt;=AI$2)),
  $H69 * (1 + Assumptions!$C$7) ^ INT(((YEAR(AI$2)-YEAR($F69))*12 + MONTH(AI$2)-MONTH($F69)) / 12),
  0)</f>
        <v/>
      </c>
      <c r="AJ69" s="299">
        <f>IF(AND($F69&lt;=AJ$2, OR($G69="",$G69&gt;=AJ$2)),
  $H69 * (1 + Assumptions!$C$7) ^ INT(((YEAR(AJ$2)-YEAR($F69))*12 + MONTH(AJ$2)-MONTH($F69)) / 12),
  0)</f>
        <v/>
      </c>
      <c r="AK69" s="299">
        <f>IF(AND($F69&lt;=AK$2, OR($G69="",$G69&gt;=AK$2)),
  $H69 * (1 + Assumptions!$C$7) ^ INT(((YEAR(AK$2)-YEAR($F69))*12 + MONTH(AK$2)-MONTH($F69)) / 12),
  0)</f>
        <v/>
      </c>
      <c r="AL69" s="299">
        <f>IF(AND($F69&lt;=AL$2, OR($G69="",$G69&gt;=AL$2)),
  $H69 * (1 + Assumptions!$C$7) ^ INT(((YEAR(AL$2)-YEAR($F69))*12 + MONTH(AL$2)-MONTH($F69)) / 12),
  0)</f>
        <v/>
      </c>
      <c r="AM69" s="299">
        <f>IF(AND($F69&lt;=AM$2, OR($G69="",$G69&gt;=AM$2)),
  $H69 * (1 + Assumptions!$C$7) ^ INT(((YEAR(AM$2)-YEAR($F69))*12 + MONTH(AM$2)-MONTH($F69)) / 12),
  0)</f>
        <v/>
      </c>
      <c r="AN69" s="299">
        <f>IF(AND($F69&lt;=AN$2, OR($G69="",$G69&gt;=AN$2)),
  $H69 * (1 + Assumptions!$C$7) ^ INT(((YEAR(AN$2)-YEAR($F69))*12 + MONTH(AN$2)-MONTH($F69)) / 12),
  0)</f>
        <v/>
      </c>
      <c r="AO69" s="299">
        <f>IF(AND($F69&lt;=AO$2, OR($G69="",$G69&gt;=AO$2)),
  $H69 * (1 + Assumptions!$C$7) ^ INT(((YEAR(AO$2)-YEAR($F69))*12 + MONTH(AO$2)-MONTH($F69)) / 12),
  0)</f>
        <v/>
      </c>
      <c r="AP69" s="299">
        <f>IF(AND($F69&lt;=AP$2, OR($G69="",$G69&gt;=AP$2)),
  $H69 * (1 + Assumptions!$C$7) ^ INT(((YEAR(AP$2)-YEAR($F69))*12 + MONTH(AP$2)-MONTH($F69)) / 12),
  0)</f>
        <v/>
      </c>
      <c r="AQ69" s="299">
        <f>IF(AND($F69&lt;=AQ$2, OR($G69="",$G69&gt;=AQ$2)),
  $H69 * (1 + Assumptions!$C$7) ^ INT(((YEAR(AQ$2)-YEAR($F69))*12 + MONTH(AQ$2)-MONTH($F69)) / 12),
  0)</f>
        <v/>
      </c>
      <c r="AR69" s="299">
        <f>IF(AND($F69&lt;=AR$2, OR($G69="",$G69&gt;=AR$2)),
  $H69 * (1 + Assumptions!$C$7) ^ INT(((YEAR(AR$2)-YEAR($F69))*12 + MONTH(AR$2)-MONTH($F69)) / 12),
  0)</f>
        <v/>
      </c>
      <c r="AS69" s="299">
        <f>IF(AND($F69&lt;=AS$2, OR($G69="",$G69&gt;=AS$2)),
  $H69 * (1 + Assumptions!$C$7) ^ INT(((YEAR(AS$2)-YEAR($F69))*12 + MONTH(AS$2)-MONTH($F69)) / 12),
  0)</f>
        <v/>
      </c>
      <c r="AT69" s="299">
        <f>IF(AND($F69&lt;=AT$2, OR($G69="",$G69&gt;=AT$2)),
  $H69 * (1 + Assumptions!$C$7) ^ INT(((YEAR(AT$2)-YEAR($F69))*12 + MONTH(AT$2)-MONTH($F69)) / 12),
  0)</f>
        <v/>
      </c>
      <c r="AU69" s="299">
        <f>IF(AND($F69&lt;=AU$2, OR($G69="",$G69&gt;=AU$2)),
  $H69 * (1 + Assumptions!$C$7) ^ INT(((YEAR(AU$2)-YEAR($F69))*12 + MONTH(AU$2)-MONTH($F69)) / 12),
  0)</f>
        <v/>
      </c>
      <c r="AV69" s="299">
        <f>IF(AND($F69&lt;=AV$2, OR($G69="",$G69&gt;=AV$2)),
  $H69 * (1 + Assumptions!$C$7) ^ INT(((YEAR(AV$2)-YEAR($F69))*12 + MONTH(AV$2)-MONTH($F69)) / 12),
  0)</f>
        <v/>
      </c>
      <c r="AW69" s="299">
        <f>IF(AND($F69&lt;=AW$2, OR($G69="",$G69&gt;=AW$2)),
  $H69 * (1 + Assumptions!$C$7) ^ INT(((YEAR(AW$2)-YEAR($F69))*12 + MONTH(AW$2)-MONTH($F69)) / 12),
  0)</f>
        <v/>
      </c>
      <c r="AX69" s="299">
        <f>IF(AND($F69&lt;=AX$2, OR($G69="",$G69&gt;=AX$2)),
  $H69 * (1 + Assumptions!$C$7) ^ INT(((YEAR(AX$2)-YEAR($F69))*12 + MONTH(AX$2)-MONTH($F69)) / 12),
  0)</f>
        <v/>
      </c>
      <c r="AY69" s="299">
        <f>IF(AND($F69&lt;=AY$2, OR($G69="",$G69&gt;=AY$2)),
  $H69 * (1 + Assumptions!$C$7) ^ INT(((YEAR(AY$2)-YEAR($F69))*12 + MONTH(AY$2)-MONTH($F69)) / 12),
  0)</f>
        <v/>
      </c>
      <c r="AZ69" s="299">
        <f>IF(AND($F69&lt;=AZ$2, OR($G69="",$G69&gt;=AZ$2)),
  $H69 * (1 + Assumptions!$C$7) ^ INT(((YEAR(AZ$2)-YEAR($F69))*12 + MONTH(AZ$2)-MONTH($F69)) / 12),
  0)</f>
        <v/>
      </c>
      <c r="BA69" s="299">
        <f>IF(AND($F69&lt;=BA$2, OR($G69="",$G69&gt;=BA$2)),
  $H69 * (1 + Assumptions!$C$7) ^ INT(((YEAR(BA$2)-YEAR($F69))*12 + MONTH(BA$2)-MONTH($F69)) / 12),
  0)</f>
        <v/>
      </c>
      <c r="BB69" s="299">
        <f>IF(AND($F69&lt;=BB$2, OR($G69="",$G69&gt;=BB$2)),
  $H69 * (1 + Assumptions!$C$7) ^ INT(((YEAR(BB$2)-YEAR($F69))*12 + MONTH(BB$2)-MONTH($F69)) / 12),
  0)</f>
        <v/>
      </c>
      <c r="BC69" s="299">
        <f>IF(AND($F69&lt;=BC$2, OR($G69="",$G69&gt;=BC$2)),
  $H69 * (1 + Assumptions!$C$7) ^ INT(((YEAR(BC$2)-YEAR($F69))*12 + MONTH(BC$2)-MONTH($F69)) / 12),
  0)</f>
        <v/>
      </c>
      <c r="BD69" s="299">
        <f>IF(AND($F69&lt;=BD$2, OR($G69="",$G69&gt;=BD$2)),
  $H69 * (1 + Assumptions!$C$7) ^ INT(((YEAR(BD$2)-YEAR($F69))*12 + MONTH(BD$2)-MONTH($F69)) / 12),
  0)</f>
        <v/>
      </c>
      <c r="BE69" s="299">
        <f>IF(AND($F69&lt;=BE$2, OR($G69="",$G69&gt;=BE$2)),
  $H69 * (1 + Assumptions!$C$7) ^ INT(((YEAR(BE$2)-YEAR($F69))*12 + MONTH(BE$2)-MONTH($F69)) / 12),
  0)</f>
        <v/>
      </c>
      <c r="BF69" s="299">
        <f>IF(AND($F69&lt;=BF$2, OR($G69="",$G69&gt;=BF$2)),
  $H69 * (1 + Assumptions!$C$7) ^ INT(((YEAR(BF$2)-YEAR($F69))*12 + MONTH(BF$2)-MONTH($F69)) / 12),
  0)</f>
        <v/>
      </c>
      <c r="BG69" s="299">
        <f>IF(AND($F69&lt;=BG$2, OR($G69="",$G69&gt;=BG$2)),
  $H69 * (1 + Assumptions!$C$7) ^ INT(((YEAR(BG$2)-YEAR($F69))*12 + MONTH(BG$2)-MONTH($F69)) / 12),
  0)</f>
        <v/>
      </c>
      <c r="BH69" s="299">
        <f>IF(AND($F69&lt;=BH$2, OR($G69="",$G69&gt;=BH$2)),
  $H69 * (1 + Assumptions!$C$7) ^ INT(((YEAR(BH$2)-YEAR($F69))*12 + MONTH(BH$2)-MONTH($F69)) / 12),
  0)</f>
        <v/>
      </c>
      <c r="BI69" s="299">
        <f>IF(AND($F69&lt;=BI$2, OR($G69="",$G69&gt;=BI$2)),
  $H69 * (1 + Assumptions!$C$7) ^ INT(((YEAR(BI$2)-YEAR($F69))*12 + MONTH(BI$2)-MONTH($F69)) / 12),
  0)</f>
        <v/>
      </c>
      <c r="BJ69" s="299">
        <f>IF(AND($F69&lt;=BJ$2, OR($G69="",$G69&gt;=BJ$2)),
  $H69 * (1 + Assumptions!$C$7) ^ INT(((YEAR(BJ$2)-YEAR($F69))*12 + MONTH(BJ$2)-MONTH($F69)) / 12),
  0)</f>
        <v/>
      </c>
      <c r="BK69" s="299">
        <f>IF(AND($F69&lt;=BK$2, OR($G69="",$G69&gt;=BK$2)),
  $H69 * (1 + Assumptions!$C$7) ^ INT(((YEAR(BK$2)-YEAR($F69))*12 + MONTH(BK$2)-MONTH($F69)) / 12),
  0)</f>
        <v/>
      </c>
      <c r="BL69" s="299">
        <f>IF(AND($F69&lt;=BL$2, OR($G69="",$G69&gt;=BL$2)),
  $H69 * (1 + Assumptions!$C$7) ^ INT(((YEAR(BL$2)-YEAR($F69))*12 + MONTH(BL$2)-MONTH($F69)) / 12),
  0)</f>
        <v/>
      </c>
      <c r="BM69" s="299">
        <f>IF(AND($F69&lt;=BM$2, OR($G69="",$G69&gt;=BM$2)),
  $H69 * (1 + Assumptions!$C$7) ^ INT(((YEAR(BM$2)-YEAR($F69))*12 + MONTH(BM$2)-MONTH($F69)) / 12),
  0)</f>
        <v/>
      </c>
      <c r="BN69" s="299">
        <f>IF(AND($F69&lt;=BN$2, OR($G69="",$G69&gt;=BN$2)),
  $H69 * (1 + Assumptions!$C$7) ^ INT(((YEAR(BN$2)-YEAR($F69))*12 + MONTH(BN$2)-MONTH($F69)) / 12),
  0)</f>
        <v/>
      </c>
      <c r="BO69" s="299">
        <f>IF(AND($F69&lt;=BO$2, OR($G69="",$G69&gt;=BO$2)),
  $H69 * (1 + Assumptions!$C$7) ^ INT(((YEAR(BO$2)-YEAR($F69))*12 + MONTH(BO$2)-MONTH($F69)) / 12),
  0)</f>
        <v/>
      </c>
      <c r="BP69" s="299">
        <f>IF(AND($F69&lt;=BP$2, OR($G69="",$G69&gt;=BP$2)),
  $H69 * (1 + Assumptions!$C$7) ^ INT(((YEAR(BP$2)-YEAR($F69))*12 + MONTH(BP$2)-MONTH($F69)) / 12),
  0)</f>
        <v/>
      </c>
      <c r="BQ69" s="344" t="n"/>
      <c r="BR69" s="334" t="n"/>
      <c r="BS69" s="345" t="n"/>
      <c r="BT69" s="345" t="n"/>
    </row>
    <row r="70" ht="15.75" customHeight="1" s="349">
      <c r="A70" s="321" t="n">
        <v>65</v>
      </c>
      <c r="B70" s="285" t="inlineStr">
        <is>
          <t>New hire</t>
        </is>
      </c>
      <c r="C70" s="317" t="inlineStr">
        <is>
          <t>S&amp;M</t>
        </is>
      </c>
      <c r="D70" s="317" t="inlineStr">
        <is>
          <t>Sales</t>
        </is>
      </c>
      <c r="E70" s="297" t="inlineStr">
        <is>
          <t>Planned</t>
        </is>
      </c>
      <c r="F70" s="318">
        <f>IF(Assumptions!$D$82=2,DATE(2029,4,1),DATE(2035,1,1))</f>
        <v/>
      </c>
      <c r="G70" s="318" t="n"/>
      <c r="H70" s="288" t="n">
        <v>7500</v>
      </c>
      <c r="I70" s="299">
        <f>IF(AND($F70&lt;=I$2, OR($G70="",$G70&gt;=I$2)),
  $H70 * (1 + Assumptions!$C$7) ^ INT(((YEAR(I$2)-YEAR($F70))*12 + MONTH(I$2)-MONTH($F70)) / 12),
  0)</f>
        <v/>
      </c>
      <c r="J70" s="299">
        <f>IF(AND($F70&lt;=J$2, OR($G70="",$G70&gt;=J$2)),
  $H70 * (1 + Assumptions!$C$7) ^ INT(((YEAR(J$2)-YEAR($F70))*12 + MONTH(J$2)-MONTH($F70)) / 12),
  0)</f>
        <v/>
      </c>
      <c r="K70" s="299">
        <f>IF(AND($F70&lt;=K$2, OR($G70="",$G70&gt;=K$2)),
  $H70 * (1 + Assumptions!$C$7) ^ INT(((YEAR(K$2)-YEAR($F70))*12 + MONTH(K$2)-MONTH($F70)) / 12),
  0)</f>
        <v/>
      </c>
      <c r="L70" s="299">
        <f>IF(AND($F70&lt;=L$2, OR($G70="",$G70&gt;=L$2)),
  $H70 * (1 + Assumptions!$C$7) ^ INT(((YEAR(L$2)-YEAR($F70))*12 + MONTH(L$2)-MONTH($F70)) / 12),
  0)</f>
        <v/>
      </c>
      <c r="M70" s="299">
        <f>IF(AND($F70&lt;=M$2, OR($G70="",$G70&gt;=M$2)),
  $H70 * (1 + Assumptions!$C$7) ^ INT(((YEAR(M$2)-YEAR($F70))*12 + MONTH(M$2)-MONTH($F70)) / 12),
  0)</f>
        <v/>
      </c>
      <c r="N70" s="299">
        <f>IF(AND($F70&lt;=N$2, OR($G70="",$G70&gt;=N$2)),
  $H70 * (1 + Assumptions!$C$7) ^ INT(((YEAR(N$2)-YEAR($F70))*12 + MONTH(N$2)-MONTH($F70)) / 12),
  0)</f>
        <v/>
      </c>
      <c r="O70" s="299">
        <f>IF(AND($F70&lt;=O$2, OR($G70="",$G70&gt;=O$2)),
  $H70 * (1 + Assumptions!$C$7) ^ INT(((YEAR(O$2)-YEAR($F70))*12 + MONTH(O$2)-MONTH($F70)) / 12),
  0)</f>
        <v/>
      </c>
      <c r="P70" s="299">
        <f>IF(AND($F70&lt;=P$2, OR($G70="",$G70&gt;=P$2)),
  $H70 * (1 + Assumptions!$C$7) ^ INT(((YEAR(P$2)-YEAR($F70))*12 + MONTH(P$2)-MONTH($F70)) / 12),
  0)</f>
        <v/>
      </c>
      <c r="Q70" s="299">
        <f>IF(AND($F70&lt;=Q$2, OR($G70="",$G70&gt;=Q$2)),
  $H70 * (1 + Assumptions!$C$7) ^ INT(((YEAR(Q$2)-YEAR($F70))*12 + MONTH(Q$2)-MONTH($F70)) / 12),
  0)</f>
        <v/>
      </c>
      <c r="R70" s="299">
        <f>IF(AND($F70&lt;=R$2, OR($G70="",$G70&gt;=R$2)),
  $H70 * (1 + Assumptions!$C$7) ^ INT(((YEAR(R$2)-YEAR($F70))*12 + MONTH(R$2)-MONTH($F70)) / 12),
  0)</f>
        <v/>
      </c>
      <c r="S70" s="299">
        <f>IF(AND($F70&lt;=S$2, OR($G70="",$G70&gt;=S$2)),
  $H70 * (1 + Assumptions!$C$7) ^ INT(((YEAR(S$2)-YEAR($F70))*12 + MONTH(S$2)-MONTH($F70)) / 12),
  0)</f>
        <v/>
      </c>
      <c r="T70" s="299">
        <f>IF(AND($F70&lt;=T$2, OR($G70="",$G70&gt;=T$2)),
  $H70 * (1 + Assumptions!$C$7) ^ INT(((YEAR(T$2)-YEAR($F70))*12 + MONTH(T$2)-MONTH($F70)) / 12),
  0)</f>
        <v/>
      </c>
      <c r="U70" s="299">
        <f>IF(AND($F70&lt;=U$2, OR($G70="",$G70&gt;=U$2)),
  $H70 * (1 + Assumptions!$C$7) ^ INT(((YEAR(U$2)-YEAR($F70))*12 + MONTH(U$2)-MONTH($F70)) / 12),
  0)</f>
        <v/>
      </c>
      <c r="V70" s="299">
        <f>IF(AND($F70&lt;=V$2, OR($G70="",$G70&gt;=V$2)),
  $H70 * (1 + Assumptions!$C$7) ^ INT(((YEAR(V$2)-YEAR($F70))*12 + MONTH(V$2)-MONTH($F70)) / 12),
  0)</f>
        <v/>
      </c>
      <c r="W70" s="299">
        <f>IF(AND($F70&lt;=W$2, OR($G70="",$G70&gt;=W$2)),
  $H70 * (1 + Assumptions!$C$7) ^ INT(((YEAR(W$2)-YEAR($F70))*12 + MONTH(W$2)-MONTH($F70)) / 12),
  0)</f>
        <v/>
      </c>
      <c r="X70" s="299">
        <f>IF(AND($F70&lt;=X$2, OR($G70="",$G70&gt;=X$2)),
  $H70 * (1 + Assumptions!$C$7) ^ INT(((YEAR(X$2)-YEAR($F70))*12 + MONTH(X$2)-MONTH($F70)) / 12),
  0)</f>
        <v/>
      </c>
      <c r="Y70" s="299">
        <f>IF(AND($F70&lt;=Y$2, OR($G70="",$G70&gt;=Y$2)),
  $H70 * (1 + Assumptions!$C$7) ^ INT(((YEAR(Y$2)-YEAR($F70))*12 + MONTH(Y$2)-MONTH($F70)) / 12),
  0)</f>
        <v/>
      </c>
      <c r="Z70" s="299">
        <f>IF(AND($F70&lt;=Z$2, OR($G70="",$G70&gt;=Z$2)),
  $H70 * (1 + Assumptions!$C$7) ^ INT(((YEAR(Z$2)-YEAR($F70))*12 + MONTH(Z$2)-MONTH($F70)) / 12),
  0)</f>
        <v/>
      </c>
      <c r="AA70" s="299">
        <f>IF(AND($F70&lt;=AA$2, OR($G70="",$G70&gt;=AA$2)),
  $H70 * (1 + Assumptions!$C$7) ^ INT(((YEAR(AA$2)-YEAR($F70))*12 + MONTH(AA$2)-MONTH($F70)) / 12),
  0)</f>
        <v/>
      </c>
      <c r="AB70" s="299">
        <f>IF(AND($F70&lt;=AB$2, OR($G70="",$G70&gt;=AB$2)),
  $H70 * (1 + Assumptions!$C$7) ^ INT(((YEAR(AB$2)-YEAR($F70))*12 + MONTH(AB$2)-MONTH($F70)) / 12),
  0)</f>
        <v/>
      </c>
      <c r="AC70" s="299">
        <f>IF(AND($F70&lt;=AC$2, OR($G70="",$G70&gt;=AC$2)),
  $H70 * (1 + Assumptions!$C$7) ^ INT(((YEAR(AC$2)-YEAR($F70))*12 + MONTH(AC$2)-MONTH($F70)) / 12),
  0)</f>
        <v/>
      </c>
      <c r="AD70" s="299">
        <f>IF(AND($F70&lt;=AD$2, OR($G70="",$G70&gt;=AD$2)),
  $H70 * (1 + Assumptions!$C$7) ^ INT(((YEAR(AD$2)-YEAR($F70))*12 + MONTH(AD$2)-MONTH($F70)) / 12),
  0)</f>
        <v/>
      </c>
      <c r="AE70" s="299">
        <f>IF(AND($F70&lt;=AE$2, OR($G70="",$G70&gt;=AE$2)),
  $H70 * (1 + Assumptions!$C$7) ^ INT(((YEAR(AE$2)-YEAR($F70))*12 + MONTH(AE$2)-MONTH($F70)) / 12),
  0)</f>
        <v/>
      </c>
      <c r="AF70" s="299">
        <f>IF(AND($F70&lt;=AF$2, OR($G70="",$G70&gt;=AF$2)),
  $H70 * (1 + Assumptions!$C$7) ^ INT(((YEAR(AF$2)-YEAR($F70))*12 + MONTH(AF$2)-MONTH($F70)) / 12),
  0)</f>
        <v/>
      </c>
      <c r="AG70" s="299">
        <f>IF(AND($F70&lt;=AG$2, OR($G70="",$G70&gt;=AG$2)),
  $H70 * (1 + Assumptions!$C$7) ^ INT(((YEAR(AG$2)-YEAR($F70))*12 + MONTH(AG$2)-MONTH($F70)) / 12),
  0)</f>
        <v/>
      </c>
      <c r="AH70" s="299">
        <f>IF(AND($F70&lt;=AH$2, OR($G70="",$G70&gt;=AH$2)),
  $H70 * (1 + Assumptions!$C$7) ^ INT(((YEAR(AH$2)-YEAR($F70))*12 + MONTH(AH$2)-MONTH($F70)) / 12),
  0)</f>
        <v/>
      </c>
      <c r="AI70" s="299">
        <f>IF(AND($F70&lt;=AI$2, OR($G70="",$G70&gt;=AI$2)),
  $H70 * (1 + Assumptions!$C$7) ^ INT(((YEAR(AI$2)-YEAR($F70))*12 + MONTH(AI$2)-MONTH($F70)) / 12),
  0)</f>
        <v/>
      </c>
      <c r="AJ70" s="299">
        <f>IF(AND($F70&lt;=AJ$2, OR($G70="",$G70&gt;=AJ$2)),
  $H70 * (1 + Assumptions!$C$7) ^ INT(((YEAR(AJ$2)-YEAR($F70))*12 + MONTH(AJ$2)-MONTH($F70)) / 12),
  0)</f>
        <v/>
      </c>
      <c r="AK70" s="299">
        <f>IF(AND($F70&lt;=AK$2, OR($G70="",$G70&gt;=AK$2)),
  $H70 * (1 + Assumptions!$C$7) ^ INT(((YEAR(AK$2)-YEAR($F70))*12 + MONTH(AK$2)-MONTH($F70)) / 12),
  0)</f>
        <v/>
      </c>
      <c r="AL70" s="299">
        <f>IF(AND($F70&lt;=AL$2, OR($G70="",$G70&gt;=AL$2)),
  $H70 * (1 + Assumptions!$C$7) ^ INT(((YEAR(AL$2)-YEAR($F70))*12 + MONTH(AL$2)-MONTH($F70)) / 12),
  0)</f>
        <v/>
      </c>
      <c r="AM70" s="299">
        <f>IF(AND($F70&lt;=AM$2, OR($G70="",$G70&gt;=AM$2)),
  $H70 * (1 + Assumptions!$C$7) ^ INT(((YEAR(AM$2)-YEAR($F70))*12 + MONTH(AM$2)-MONTH($F70)) / 12),
  0)</f>
        <v/>
      </c>
      <c r="AN70" s="299">
        <f>IF(AND($F70&lt;=AN$2, OR($G70="",$G70&gt;=AN$2)),
  $H70 * (1 + Assumptions!$C$7) ^ INT(((YEAR(AN$2)-YEAR($F70))*12 + MONTH(AN$2)-MONTH($F70)) / 12),
  0)</f>
        <v/>
      </c>
      <c r="AO70" s="299">
        <f>IF(AND($F70&lt;=AO$2, OR($G70="",$G70&gt;=AO$2)),
  $H70 * (1 + Assumptions!$C$7) ^ INT(((YEAR(AO$2)-YEAR($F70))*12 + MONTH(AO$2)-MONTH($F70)) / 12),
  0)</f>
        <v/>
      </c>
      <c r="AP70" s="299">
        <f>IF(AND($F70&lt;=AP$2, OR($G70="",$G70&gt;=AP$2)),
  $H70 * (1 + Assumptions!$C$7) ^ INT(((YEAR(AP$2)-YEAR($F70))*12 + MONTH(AP$2)-MONTH($F70)) / 12),
  0)</f>
        <v/>
      </c>
      <c r="AQ70" s="299">
        <f>IF(AND($F70&lt;=AQ$2, OR($G70="",$G70&gt;=AQ$2)),
  $H70 * (1 + Assumptions!$C$7) ^ INT(((YEAR(AQ$2)-YEAR($F70))*12 + MONTH(AQ$2)-MONTH($F70)) / 12),
  0)</f>
        <v/>
      </c>
      <c r="AR70" s="299">
        <f>IF(AND($F70&lt;=AR$2, OR($G70="",$G70&gt;=AR$2)),
  $H70 * (1 + Assumptions!$C$7) ^ INT(((YEAR(AR$2)-YEAR($F70))*12 + MONTH(AR$2)-MONTH($F70)) / 12),
  0)</f>
        <v/>
      </c>
      <c r="AS70" s="299">
        <f>IF(AND($F70&lt;=AS$2, OR($G70="",$G70&gt;=AS$2)),
  $H70 * (1 + Assumptions!$C$7) ^ INT(((YEAR(AS$2)-YEAR($F70))*12 + MONTH(AS$2)-MONTH($F70)) / 12),
  0)</f>
        <v/>
      </c>
      <c r="AT70" s="299">
        <f>IF(AND($F70&lt;=AT$2, OR($G70="",$G70&gt;=AT$2)),
  $H70 * (1 + Assumptions!$C$7) ^ INT(((YEAR(AT$2)-YEAR($F70))*12 + MONTH(AT$2)-MONTH($F70)) / 12),
  0)</f>
        <v/>
      </c>
      <c r="AU70" s="299">
        <f>IF(AND($F70&lt;=AU$2, OR($G70="",$G70&gt;=AU$2)),
  $H70 * (1 + Assumptions!$C$7) ^ INT(((YEAR(AU$2)-YEAR($F70))*12 + MONTH(AU$2)-MONTH($F70)) / 12),
  0)</f>
        <v/>
      </c>
      <c r="AV70" s="299">
        <f>IF(AND($F70&lt;=AV$2, OR($G70="",$G70&gt;=AV$2)),
  $H70 * (1 + Assumptions!$C$7) ^ INT(((YEAR(AV$2)-YEAR($F70))*12 + MONTH(AV$2)-MONTH($F70)) / 12),
  0)</f>
        <v/>
      </c>
      <c r="AW70" s="299">
        <f>IF(AND($F70&lt;=AW$2, OR($G70="",$G70&gt;=AW$2)),
  $H70 * (1 + Assumptions!$C$7) ^ INT(((YEAR(AW$2)-YEAR($F70))*12 + MONTH(AW$2)-MONTH($F70)) / 12),
  0)</f>
        <v/>
      </c>
      <c r="AX70" s="299">
        <f>IF(AND($F70&lt;=AX$2, OR($G70="",$G70&gt;=AX$2)),
  $H70 * (1 + Assumptions!$C$7) ^ INT(((YEAR(AX$2)-YEAR($F70))*12 + MONTH(AX$2)-MONTH($F70)) / 12),
  0)</f>
        <v/>
      </c>
      <c r="AY70" s="299">
        <f>IF(AND($F70&lt;=AY$2, OR($G70="",$G70&gt;=AY$2)),
  $H70 * (1 + Assumptions!$C$7) ^ INT(((YEAR(AY$2)-YEAR($F70))*12 + MONTH(AY$2)-MONTH($F70)) / 12),
  0)</f>
        <v/>
      </c>
      <c r="AZ70" s="299">
        <f>IF(AND($F70&lt;=AZ$2, OR($G70="",$G70&gt;=AZ$2)),
  $H70 * (1 + Assumptions!$C$7) ^ INT(((YEAR(AZ$2)-YEAR($F70))*12 + MONTH(AZ$2)-MONTH($F70)) / 12),
  0)</f>
        <v/>
      </c>
      <c r="BA70" s="299">
        <f>IF(AND($F70&lt;=BA$2, OR($G70="",$G70&gt;=BA$2)),
  $H70 * (1 + Assumptions!$C$7) ^ INT(((YEAR(BA$2)-YEAR($F70))*12 + MONTH(BA$2)-MONTH($F70)) / 12),
  0)</f>
        <v/>
      </c>
      <c r="BB70" s="299">
        <f>IF(AND($F70&lt;=BB$2, OR($G70="",$G70&gt;=BB$2)),
  $H70 * (1 + Assumptions!$C$7) ^ INT(((YEAR(BB$2)-YEAR($F70))*12 + MONTH(BB$2)-MONTH($F70)) / 12),
  0)</f>
        <v/>
      </c>
      <c r="BC70" s="299">
        <f>IF(AND($F70&lt;=BC$2, OR($G70="",$G70&gt;=BC$2)),
  $H70 * (1 + Assumptions!$C$7) ^ INT(((YEAR(BC$2)-YEAR($F70))*12 + MONTH(BC$2)-MONTH($F70)) / 12),
  0)</f>
        <v/>
      </c>
      <c r="BD70" s="299">
        <f>IF(AND($F70&lt;=BD$2, OR($G70="",$G70&gt;=BD$2)),
  $H70 * (1 + Assumptions!$C$7) ^ INT(((YEAR(BD$2)-YEAR($F70))*12 + MONTH(BD$2)-MONTH($F70)) / 12),
  0)</f>
        <v/>
      </c>
      <c r="BE70" s="299">
        <f>IF(AND($F70&lt;=BE$2, OR($G70="",$G70&gt;=BE$2)),
  $H70 * (1 + Assumptions!$C$7) ^ INT(((YEAR(BE$2)-YEAR($F70))*12 + MONTH(BE$2)-MONTH($F70)) / 12),
  0)</f>
        <v/>
      </c>
      <c r="BF70" s="299">
        <f>IF(AND($F70&lt;=BF$2, OR($G70="",$G70&gt;=BF$2)),
  $H70 * (1 + Assumptions!$C$7) ^ INT(((YEAR(BF$2)-YEAR($F70))*12 + MONTH(BF$2)-MONTH($F70)) / 12),
  0)</f>
        <v/>
      </c>
      <c r="BG70" s="299">
        <f>IF(AND($F70&lt;=BG$2, OR($G70="",$G70&gt;=BG$2)),
  $H70 * (1 + Assumptions!$C$7) ^ INT(((YEAR(BG$2)-YEAR($F70))*12 + MONTH(BG$2)-MONTH($F70)) / 12),
  0)</f>
        <v/>
      </c>
      <c r="BH70" s="299">
        <f>IF(AND($F70&lt;=BH$2, OR($G70="",$G70&gt;=BH$2)),
  $H70 * (1 + Assumptions!$C$7) ^ INT(((YEAR(BH$2)-YEAR($F70))*12 + MONTH(BH$2)-MONTH($F70)) / 12),
  0)</f>
        <v/>
      </c>
      <c r="BI70" s="299">
        <f>IF(AND($F70&lt;=BI$2, OR($G70="",$G70&gt;=BI$2)),
  $H70 * (1 + Assumptions!$C$7) ^ INT(((YEAR(BI$2)-YEAR($F70))*12 + MONTH(BI$2)-MONTH($F70)) / 12),
  0)</f>
        <v/>
      </c>
      <c r="BJ70" s="299">
        <f>IF(AND($F70&lt;=BJ$2, OR($G70="",$G70&gt;=BJ$2)),
  $H70 * (1 + Assumptions!$C$7) ^ INT(((YEAR(BJ$2)-YEAR($F70))*12 + MONTH(BJ$2)-MONTH($F70)) / 12),
  0)</f>
        <v/>
      </c>
      <c r="BK70" s="299">
        <f>IF(AND($F70&lt;=BK$2, OR($G70="",$G70&gt;=BK$2)),
  $H70 * (1 + Assumptions!$C$7) ^ INT(((YEAR(BK$2)-YEAR($F70))*12 + MONTH(BK$2)-MONTH($F70)) / 12),
  0)</f>
        <v/>
      </c>
      <c r="BL70" s="299">
        <f>IF(AND($F70&lt;=BL$2, OR($G70="",$G70&gt;=BL$2)),
  $H70 * (1 + Assumptions!$C$7) ^ INT(((YEAR(BL$2)-YEAR($F70))*12 + MONTH(BL$2)-MONTH($F70)) / 12),
  0)</f>
        <v/>
      </c>
      <c r="BM70" s="299">
        <f>IF(AND($F70&lt;=BM$2, OR($G70="",$G70&gt;=BM$2)),
  $H70 * (1 + Assumptions!$C$7) ^ INT(((YEAR(BM$2)-YEAR($F70))*12 + MONTH(BM$2)-MONTH($F70)) / 12),
  0)</f>
        <v/>
      </c>
      <c r="BN70" s="299">
        <f>IF(AND($F70&lt;=BN$2, OR($G70="",$G70&gt;=BN$2)),
  $H70 * (1 + Assumptions!$C$7) ^ INT(((YEAR(BN$2)-YEAR($F70))*12 + MONTH(BN$2)-MONTH($F70)) / 12),
  0)</f>
        <v/>
      </c>
      <c r="BO70" s="299">
        <f>IF(AND($F70&lt;=BO$2, OR($G70="",$G70&gt;=BO$2)),
  $H70 * (1 + Assumptions!$C$7) ^ INT(((YEAR(BO$2)-YEAR($F70))*12 + MONTH(BO$2)-MONTH($F70)) / 12),
  0)</f>
        <v/>
      </c>
      <c r="BP70" s="299">
        <f>IF(AND($F70&lt;=BP$2, OR($G70="",$G70&gt;=BP$2)),
  $H70 * (1 + Assumptions!$C$7) ^ INT(((YEAR(BP$2)-YEAR($F70))*12 + MONTH(BP$2)-MONTH($F70)) / 12),
  0)</f>
        <v/>
      </c>
      <c r="BQ70" s="344" t="n"/>
      <c r="BR70" s="334" t="n"/>
      <c r="BS70" s="345" t="n"/>
      <c r="BT70" s="345" t="n"/>
    </row>
    <row r="71" ht="15.75" customHeight="1" s="349">
      <c r="A71" s="321" t="n">
        <v>66</v>
      </c>
      <c r="B71" s="285" t="inlineStr">
        <is>
          <t>New hire</t>
        </is>
      </c>
      <c r="C71" s="317" t="inlineStr">
        <is>
          <t>S&amp;M</t>
        </is>
      </c>
      <c r="D71" s="317" t="inlineStr">
        <is>
          <t>Sales</t>
        </is>
      </c>
      <c r="E71" s="297" t="inlineStr">
        <is>
          <t>Planned</t>
        </is>
      </c>
      <c r="F71" s="318">
        <f>IF(Assumptions!$D$82=2,DATE(2029,6,1),DATE(2035,1,1))</f>
        <v/>
      </c>
      <c r="G71" s="318" t="n"/>
      <c r="H71" s="288" t="n">
        <v>7500</v>
      </c>
      <c r="I71" s="299">
        <f>IF(AND($F71&lt;=I$2, OR($G71="",$G71&gt;=I$2)),
  $H71 * (1 + Assumptions!$C$7) ^ INT(((YEAR(I$2)-YEAR($F71))*12 + MONTH(I$2)-MONTH($F71)) / 12),
  0)</f>
        <v/>
      </c>
      <c r="J71" s="299">
        <f>IF(AND($F71&lt;=J$2, OR($G71="",$G71&gt;=J$2)),
  $H71 * (1 + Assumptions!$C$7) ^ INT(((YEAR(J$2)-YEAR($F71))*12 + MONTH(J$2)-MONTH($F71)) / 12),
  0)</f>
        <v/>
      </c>
      <c r="K71" s="299">
        <f>IF(AND($F71&lt;=K$2, OR($G71="",$G71&gt;=K$2)),
  $H71 * (1 + Assumptions!$C$7) ^ INT(((YEAR(K$2)-YEAR($F71))*12 + MONTH(K$2)-MONTH($F71)) / 12),
  0)</f>
        <v/>
      </c>
      <c r="L71" s="299">
        <f>IF(AND($F71&lt;=L$2, OR($G71="",$G71&gt;=L$2)),
  $H71 * (1 + Assumptions!$C$7) ^ INT(((YEAR(L$2)-YEAR($F71))*12 + MONTH(L$2)-MONTH($F71)) / 12),
  0)</f>
        <v/>
      </c>
      <c r="M71" s="299">
        <f>IF(AND($F71&lt;=M$2, OR($G71="",$G71&gt;=M$2)),
  $H71 * (1 + Assumptions!$C$7) ^ INT(((YEAR(M$2)-YEAR($F71))*12 + MONTH(M$2)-MONTH($F71)) / 12),
  0)</f>
        <v/>
      </c>
      <c r="N71" s="299">
        <f>IF(AND($F71&lt;=N$2, OR($G71="",$G71&gt;=N$2)),
  $H71 * (1 + Assumptions!$C$7) ^ INT(((YEAR(N$2)-YEAR($F71))*12 + MONTH(N$2)-MONTH($F71)) / 12),
  0)</f>
        <v/>
      </c>
      <c r="O71" s="299">
        <f>IF(AND($F71&lt;=O$2, OR($G71="",$G71&gt;=O$2)),
  $H71 * (1 + Assumptions!$C$7) ^ INT(((YEAR(O$2)-YEAR($F71))*12 + MONTH(O$2)-MONTH($F71)) / 12),
  0)</f>
        <v/>
      </c>
      <c r="P71" s="299">
        <f>IF(AND($F71&lt;=P$2, OR($G71="",$G71&gt;=P$2)),
  $H71 * (1 + Assumptions!$C$7) ^ INT(((YEAR(P$2)-YEAR($F71))*12 + MONTH(P$2)-MONTH($F71)) / 12),
  0)</f>
        <v/>
      </c>
      <c r="Q71" s="299">
        <f>IF(AND($F71&lt;=Q$2, OR($G71="",$G71&gt;=Q$2)),
  $H71 * (1 + Assumptions!$C$7) ^ INT(((YEAR(Q$2)-YEAR($F71))*12 + MONTH(Q$2)-MONTH($F71)) / 12),
  0)</f>
        <v/>
      </c>
      <c r="R71" s="299">
        <f>IF(AND($F71&lt;=R$2, OR($G71="",$G71&gt;=R$2)),
  $H71 * (1 + Assumptions!$C$7) ^ INT(((YEAR(R$2)-YEAR($F71))*12 + MONTH(R$2)-MONTH($F71)) / 12),
  0)</f>
        <v/>
      </c>
      <c r="S71" s="299">
        <f>IF(AND($F71&lt;=S$2, OR($G71="",$G71&gt;=S$2)),
  $H71 * (1 + Assumptions!$C$7) ^ INT(((YEAR(S$2)-YEAR($F71))*12 + MONTH(S$2)-MONTH($F71)) / 12),
  0)</f>
        <v/>
      </c>
      <c r="T71" s="299">
        <f>IF(AND($F71&lt;=T$2, OR($G71="",$G71&gt;=T$2)),
  $H71 * (1 + Assumptions!$C$7) ^ INT(((YEAR(T$2)-YEAR($F71))*12 + MONTH(T$2)-MONTH($F71)) / 12),
  0)</f>
        <v/>
      </c>
      <c r="U71" s="299">
        <f>IF(AND($F71&lt;=U$2, OR($G71="",$G71&gt;=U$2)),
  $H71 * (1 + Assumptions!$C$7) ^ INT(((YEAR(U$2)-YEAR($F71))*12 + MONTH(U$2)-MONTH($F71)) / 12),
  0)</f>
        <v/>
      </c>
      <c r="V71" s="299">
        <f>IF(AND($F71&lt;=V$2, OR($G71="",$G71&gt;=V$2)),
  $H71 * (1 + Assumptions!$C$7) ^ INT(((YEAR(V$2)-YEAR($F71))*12 + MONTH(V$2)-MONTH($F71)) / 12),
  0)</f>
        <v/>
      </c>
      <c r="W71" s="299">
        <f>IF(AND($F71&lt;=W$2, OR($G71="",$G71&gt;=W$2)),
  $H71 * (1 + Assumptions!$C$7) ^ INT(((YEAR(W$2)-YEAR($F71))*12 + MONTH(W$2)-MONTH($F71)) / 12),
  0)</f>
        <v/>
      </c>
      <c r="X71" s="299">
        <f>IF(AND($F71&lt;=X$2, OR($G71="",$G71&gt;=X$2)),
  $H71 * (1 + Assumptions!$C$7) ^ INT(((YEAR(X$2)-YEAR($F71))*12 + MONTH(X$2)-MONTH($F71)) / 12),
  0)</f>
        <v/>
      </c>
      <c r="Y71" s="299">
        <f>IF(AND($F71&lt;=Y$2, OR($G71="",$G71&gt;=Y$2)),
  $H71 * (1 + Assumptions!$C$7) ^ INT(((YEAR(Y$2)-YEAR($F71))*12 + MONTH(Y$2)-MONTH($F71)) / 12),
  0)</f>
        <v/>
      </c>
      <c r="Z71" s="299">
        <f>IF(AND($F71&lt;=Z$2, OR($G71="",$G71&gt;=Z$2)),
  $H71 * (1 + Assumptions!$C$7) ^ INT(((YEAR(Z$2)-YEAR($F71))*12 + MONTH(Z$2)-MONTH($F71)) / 12),
  0)</f>
        <v/>
      </c>
      <c r="AA71" s="299">
        <f>IF(AND($F71&lt;=AA$2, OR($G71="",$G71&gt;=AA$2)),
  $H71 * (1 + Assumptions!$C$7) ^ INT(((YEAR(AA$2)-YEAR($F71))*12 + MONTH(AA$2)-MONTH($F71)) / 12),
  0)</f>
        <v/>
      </c>
      <c r="AB71" s="299">
        <f>IF(AND($F71&lt;=AB$2, OR($G71="",$G71&gt;=AB$2)),
  $H71 * (1 + Assumptions!$C$7) ^ INT(((YEAR(AB$2)-YEAR($F71))*12 + MONTH(AB$2)-MONTH($F71)) / 12),
  0)</f>
        <v/>
      </c>
      <c r="AC71" s="299">
        <f>IF(AND($F71&lt;=AC$2, OR($G71="",$G71&gt;=AC$2)),
  $H71 * (1 + Assumptions!$C$7) ^ INT(((YEAR(AC$2)-YEAR($F71))*12 + MONTH(AC$2)-MONTH($F71)) / 12),
  0)</f>
        <v/>
      </c>
      <c r="AD71" s="299">
        <f>IF(AND($F71&lt;=AD$2, OR($G71="",$G71&gt;=AD$2)),
  $H71 * (1 + Assumptions!$C$7) ^ INT(((YEAR(AD$2)-YEAR($F71))*12 + MONTH(AD$2)-MONTH($F71)) / 12),
  0)</f>
        <v/>
      </c>
      <c r="AE71" s="299">
        <f>IF(AND($F71&lt;=AE$2, OR($G71="",$G71&gt;=AE$2)),
  $H71 * (1 + Assumptions!$C$7) ^ INT(((YEAR(AE$2)-YEAR($F71))*12 + MONTH(AE$2)-MONTH($F71)) / 12),
  0)</f>
        <v/>
      </c>
      <c r="AF71" s="299">
        <f>IF(AND($F71&lt;=AF$2, OR($G71="",$G71&gt;=AF$2)),
  $H71 * (1 + Assumptions!$C$7) ^ INT(((YEAR(AF$2)-YEAR($F71))*12 + MONTH(AF$2)-MONTH($F71)) / 12),
  0)</f>
        <v/>
      </c>
      <c r="AG71" s="299">
        <f>IF(AND($F71&lt;=AG$2, OR($G71="",$G71&gt;=AG$2)),
  $H71 * (1 + Assumptions!$C$7) ^ INT(((YEAR(AG$2)-YEAR($F71))*12 + MONTH(AG$2)-MONTH($F71)) / 12),
  0)</f>
        <v/>
      </c>
      <c r="AH71" s="299">
        <f>IF(AND($F71&lt;=AH$2, OR($G71="",$G71&gt;=AH$2)),
  $H71 * (1 + Assumptions!$C$7) ^ INT(((YEAR(AH$2)-YEAR($F71))*12 + MONTH(AH$2)-MONTH($F71)) / 12),
  0)</f>
        <v/>
      </c>
      <c r="AI71" s="299">
        <f>IF(AND($F71&lt;=AI$2, OR($G71="",$G71&gt;=AI$2)),
  $H71 * (1 + Assumptions!$C$7) ^ INT(((YEAR(AI$2)-YEAR($F71))*12 + MONTH(AI$2)-MONTH($F71)) / 12),
  0)</f>
        <v/>
      </c>
      <c r="AJ71" s="299">
        <f>IF(AND($F71&lt;=AJ$2, OR($G71="",$G71&gt;=AJ$2)),
  $H71 * (1 + Assumptions!$C$7) ^ INT(((YEAR(AJ$2)-YEAR($F71))*12 + MONTH(AJ$2)-MONTH($F71)) / 12),
  0)</f>
        <v/>
      </c>
      <c r="AK71" s="299">
        <f>IF(AND($F71&lt;=AK$2, OR($G71="",$G71&gt;=AK$2)),
  $H71 * (1 + Assumptions!$C$7) ^ INT(((YEAR(AK$2)-YEAR($F71))*12 + MONTH(AK$2)-MONTH($F71)) / 12),
  0)</f>
        <v/>
      </c>
      <c r="AL71" s="299">
        <f>IF(AND($F71&lt;=AL$2, OR($G71="",$G71&gt;=AL$2)),
  $H71 * (1 + Assumptions!$C$7) ^ INT(((YEAR(AL$2)-YEAR($F71))*12 + MONTH(AL$2)-MONTH($F71)) / 12),
  0)</f>
        <v/>
      </c>
      <c r="AM71" s="299">
        <f>IF(AND($F71&lt;=AM$2, OR($G71="",$G71&gt;=AM$2)),
  $H71 * (1 + Assumptions!$C$7) ^ INT(((YEAR(AM$2)-YEAR($F71))*12 + MONTH(AM$2)-MONTH($F71)) / 12),
  0)</f>
        <v/>
      </c>
      <c r="AN71" s="299">
        <f>IF(AND($F71&lt;=AN$2, OR($G71="",$G71&gt;=AN$2)),
  $H71 * (1 + Assumptions!$C$7) ^ INT(((YEAR(AN$2)-YEAR($F71))*12 + MONTH(AN$2)-MONTH($F71)) / 12),
  0)</f>
        <v/>
      </c>
      <c r="AO71" s="299">
        <f>IF(AND($F71&lt;=AO$2, OR($G71="",$G71&gt;=AO$2)),
  $H71 * (1 + Assumptions!$C$7) ^ INT(((YEAR(AO$2)-YEAR($F71))*12 + MONTH(AO$2)-MONTH($F71)) / 12),
  0)</f>
        <v/>
      </c>
      <c r="AP71" s="299">
        <f>IF(AND($F71&lt;=AP$2, OR($G71="",$G71&gt;=AP$2)),
  $H71 * (1 + Assumptions!$C$7) ^ INT(((YEAR(AP$2)-YEAR($F71))*12 + MONTH(AP$2)-MONTH($F71)) / 12),
  0)</f>
        <v/>
      </c>
      <c r="AQ71" s="299">
        <f>IF(AND($F71&lt;=AQ$2, OR($G71="",$G71&gt;=AQ$2)),
  $H71 * (1 + Assumptions!$C$7) ^ INT(((YEAR(AQ$2)-YEAR($F71))*12 + MONTH(AQ$2)-MONTH($F71)) / 12),
  0)</f>
        <v/>
      </c>
      <c r="AR71" s="299">
        <f>IF(AND($F71&lt;=AR$2, OR($G71="",$G71&gt;=AR$2)),
  $H71 * (1 + Assumptions!$C$7) ^ INT(((YEAR(AR$2)-YEAR($F71))*12 + MONTH(AR$2)-MONTH($F71)) / 12),
  0)</f>
        <v/>
      </c>
      <c r="AS71" s="299">
        <f>IF(AND($F71&lt;=AS$2, OR($G71="",$G71&gt;=AS$2)),
  $H71 * (1 + Assumptions!$C$7) ^ INT(((YEAR(AS$2)-YEAR($F71))*12 + MONTH(AS$2)-MONTH($F71)) / 12),
  0)</f>
        <v/>
      </c>
      <c r="AT71" s="299">
        <f>IF(AND($F71&lt;=AT$2, OR($G71="",$G71&gt;=AT$2)),
  $H71 * (1 + Assumptions!$C$7) ^ INT(((YEAR(AT$2)-YEAR($F71))*12 + MONTH(AT$2)-MONTH($F71)) / 12),
  0)</f>
        <v/>
      </c>
      <c r="AU71" s="299">
        <f>IF(AND($F71&lt;=AU$2, OR($G71="",$G71&gt;=AU$2)),
  $H71 * (1 + Assumptions!$C$7) ^ INT(((YEAR(AU$2)-YEAR($F71))*12 + MONTH(AU$2)-MONTH($F71)) / 12),
  0)</f>
        <v/>
      </c>
      <c r="AV71" s="299">
        <f>IF(AND($F71&lt;=AV$2, OR($G71="",$G71&gt;=AV$2)),
  $H71 * (1 + Assumptions!$C$7) ^ INT(((YEAR(AV$2)-YEAR($F71))*12 + MONTH(AV$2)-MONTH($F71)) / 12),
  0)</f>
        <v/>
      </c>
      <c r="AW71" s="299">
        <f>IF(AND($F71&lt;=AW$2, OR($G71="",$G71&gt;=AW$2)),
  $H71 * (1 + Assumptions!$C$7) ^ INT(((YEAR(AW$2)-YEAR($F71))*12 + MONTH(AW$2)-MONTH($F71)) / 12),
  0)</f>
        <v/>
      </c>
      <c r="AX71" s="299">
        <f>IF(AND($F71&lt;=AX$2, OR($G71="",$G71&gt;=AX$2)),
  $H71 * (1 + Assumptions!$C$7) ^ INT(((YEAR(AX$2)-YEAR($F71))*12 + MONTH(AX$2)-MONTH($F71)) / 12),
  0)</f>
        <v/>
      </c>
      <c r="AY71" s="299">
        <f>IF(AND($F71&lt;=AY$2, OR($G71="",$G71&gt;=AY$2)),
  $H71 * (1 + Assumptions!$C$7) ^ INT(((YEAR(AY$2)-YEAR($F71))*12 + MONTH(AY$2)-MONTH($F71)) / 12),
  0)</f>
        <v/>
      </c>
      <c r="AZ71" s="299">
        <f>IF(AND($F71&lt;=AZ$2, OR($G71="",$G71&gt;=AZ$2)),
  $H71 * (1 + Assumptions!$C$7) ^ INT(((YEAR(AZ$2)-YEAR($F71))*12 + MONTH(AZ$2)-MONTH($F71)) / 12),
  0)</f>
        <v/>
      </c>
      <c r="BA71" s="299">
        <f>IF(AND($F71&lt;=BA$2, OR($G71="",$G71&gt;=BA$2)),
  $H71 * (1 + Assumptions!$C$7) ^ INT(((YEAR(BA$2)-YEAR($F71))*12 + MONTH(BA$2)-MONTH($F71)) / 12),
  0)</f>
        <v/>
      </c>
      <c r="BB71" s="299">
        <f>IF(AND($F71&lt;=BB$2, OR($G71="",$G71&gt;=BB$2)),
  $H71 * (1 + Assumptions!$C$7) ^ INT(((YEAR(BB$2)-YEAR($F71))*12 + MONTH(BB$2)-MONTH($F71)) / 12),
  0)</f>
        <v/>
      </c>
      <c r="BC71" s="299">
        <f>IF(AND($F71&lt;=BC$2, OR($G71="",$G71&gt;=BC$2)),
  $H71 * (1 + Assumptions!$C$7) ^ INT(((YEAR(BC$2)-YEAR($F71))*12 + MONTH(BC$2)-MONTH($F71)) / 12),
  0)</f>
        <v/>
      </c>
      <c r="BD71" s="299">
        <f>IF(AND($F71&lt;=BD$2, OR($G71="",$G71&gt;=BD$2)),
  $H71 * (1 + Assumptions!$C$7) ^ INT(((YEAR(BD$2)-YEAR($F71))*12 + MONTH(BD$2)-MONTH($F71)) / 12),
  0)</f>
        <v/>
      </c>
      <c r="BE71" s="299">
        <f>IF(AND($F71&lt;=BE$2, OR($G71="",$G71&gt;=BE$2)),
  $H71 * (1 + Assumptions!$C$7) ^ INT(((YEAR(BE$2)-YEAR($F71))*12 + MONTH(BE$2)-MONTH($F71)) / 12),
  0)</f>
        <v/>
      </c>
      <c r="BF71" s="299">
        <f>IF(AND($F71&lt;=BF$2, OR($G71="",$G71&gt;=BF$2)),
  $H71 * (1 + Assumptions!$C$7) ^ INT(((YEAR(BF$2)-YEAR($F71))*12 + MONTH(BF$2)-MONTH($F71)) / 12),
  0)</f>
        <v/>
      </c>
      <c r="BG71" s="299">
        <f>IF(AND($F71&lt;=BG$2, OR($G71="",$G71&gt;=BG$2)),
  $H71 * (1 + Assumptions!$C$7) ^ INT(((YEAR(BG$2)-YEAR($F71))*12 + MONTH(BG$2)-MONTH($F71)) / 12),
  0)</f>
        <v/>
      </c>
      <c r="BH71" s="299">
        <f>IF(AND($F71&lt;=BH$2, OR($G71="",$G71&gt;=BH$2)),
  $H71 * (1 + Assumptions!$C$7) ^ INT(((YEAR(BH$2)-YEAR($F71))*12 + MONTH(BH$2)-MONTH($F71)) / 12),
  0)</f>
        <v/>
      </c>
      <c r="BI71" s="299">
        <f>IF(AND($F71&lt;=BI$2, OR($G71="",$G71&gt;=BI$2)),
  $H71 * (1 + Assumptions!$C$7) ^ INT(((YEAR(BI$2)-YEAR($F71))*12 + MONTH(BI$2)-MONTH($F71)) / 12),
  0)</f>
        <v/>
      </c>
      <c r="BJ71" s="299">
        <f>IF(AND($F71&lt;=BJ$2, OR($G71="",$G71&gt;=BJ$2)),
  $H71 * (1 + Assumptions!$C$7) ^ INT(((YEAR(BJ$2)-YEAR($F71))*12 + MONTH(BJ$2)-MONTH($F71)) / 12),
  0)</f>
        <v/>
      </c>
      <c r="BK71" s="299">
        <f>IF(AND($F71&lt;=BK$2, OR($G71="",$G71&gt;=BK$2)),
  $H71 * (1 + Assumptions!$C$7) ^ INT(((YEAR(BK$2)-YEAR($F71))*12 + MONTH(BK$2)-MONTH($F71)) / 12),
  0)</f>
        <v/>
      </c>
      <c r="BL71" s="299">
        <f>IF(AND($F71&lt;=BL$2, OR($G71="",$G71&gt;=BL$2)),
  $H71 * (1 + Assumptions!$C$7) ^ INT(((YEAR(BL$2)-YEAR($F71))*12 + MONTH(BL$2)-MONTH($F71)) / 12),
  0)</f>
        <v/>
      </c>
      <c r="BM71" s="299">
        <f>IF(AND($F71&lt;=BM$2, OR($G71="",$G71&gt;=BM$2)),
  $H71 * (1 + Assumptions!$C$7) ^ INT(((YEAR(BM$2)-YEAR($F71))*12 + MONTH(BM$2)-MONTH($F71)) / 12),
  0)</f>
        <v/>
      </c>
      <c r="BN71" s="299">
        <f>IF(AND($F71&lt;=BN$2, OR($G71="",$G71&gt;=BN$2)),
  $H71 * (1 + Assumptions!$C$7) ^ INT(((YEAR(BN$2)-YEAR($F71))*12 + MONTH(BN$2)-MONTH($F71)) / 12),
  0)</f>
        <v/>
      </c>
      <c r="BO71" s="299">
        <f>IF(AND($F71&lt;=BO$2, OR($G71="",$G71&gt;=BO$2)),
  $H71 * (1 + Assumptions!$C$7) ^ INT(((YEAR(BO$2)-YEAR($F71))*12 + MONTH(BO$2)-MONTH($F71)) / 12),
  0)</f>
        <v/>
      </c>
      <c r="BP71" s="299">
        <f>IF(AND($F71&lt;=BP$2, OR($G71="",$G71&gt;=BP$2)),
  $H71 * (1 + Assumptions!$C$7) ^ INT(((YEAR(BP$2)-YEAR($F71))*12 + MONTH(BP$2)-MONTH($F71)) / 12),
  0)</f>
        <v/>
      </c>
      <c r="BQ71" s="348" t="n"/>
      <c r="BR71" s="315" t="n"/>
      <c r="BS71" s="78" t="n"/>
      <c r="BT71" s="78" t="n"/>
    </row>
    <row r="72" ht="15.75" customHeight="1" s="349">
      <c r="A72" s="321" t="n">
        <v>67</v>
      </c>
      <c r="B72" s="285" t="inlineStr">
        <is>
          <t>New hire</t>
        </is>
      </c>
      <c r="C72" s="317" t="inlineStr">
        <is>
          <t>S&amp;M</t>
        </is>
      </c>
      <c r="D72" s="317" t="inlineStr">
        <is>
          <t>Sales</t>
        </is>
      </c>
      <c r="E72" s="297" t="inlineStr">
        <is>
          <t>Planned</t>
        </is>
      </c>
      <c r="F72" s="318">
        <f>IF(Assumptions!$D$82=2,DATE(2029,8,1),DATE(2035,1,1))</f>
        <v/>
      </c>
      <c r="G72" s="318" t="n"/>
      <c r="H72" s="288" t="n">
        <v>7500</v>
      </c>
      <c r="I72" s="299">
        <f>IF(AND($F72&lt;=I$2, OR($G72="",$G72&gt;=I$2)),
  $H72 * (1 + Assumptions!$C$7) ^ INT(((YEAR(I$2)-YEAR($F72))*12 + MONTH(I$2)-MONTH($F72)) / 12),
  0)</f>
        <v/>
      </c>
      <c r="J72" s="299">
        <f>IF(AND($F72&lt;=J$2, OR($G72="",$G72&gt;=J$2)),
  $H72 * (1 + Assumptions!$C$7) ^ INT(((YEAR(J$2)-YEAR($F72))*12 + MONTH(J$2)-MONTH($F72)) / 12),
  0)</f>
        <v/>
      </c>
      <c r="K72" s="299">
        <f>IF(AND($F72&lt;=K$2, OR($G72="",$G72&gt;=K$2)),
  $H72 * (1 + Assumptions!$C$7) ^ INT(((YEAR(K$2)-YEAR($F72))*12 + MONTH(K$2)-MONTH($F72)) / 12),
  0)</f>
        <v/>
      </c>
      <c r="L72" s="299">
        <f>IF(AND($F72&lt;=L$2, OR($G72="",$G72&gt;=L$2)),
  $H72 * (1 + Assumptions!$C$7) ^ INT(((YEAR(L$2)-YEAR($F72))*12 + MONTH(L$2)-MONTH($F72)) / 12),
  0)</f>
        <v/>
      </c>
      <c r="M72" s="299">
        <f>IF(AND($F72&lt;=M$2, OR($G72="",$G72&gt;=M$2)),
  $H72 * (1 + Assumptions!$C$7) ^ INT(((YEAR(M$2)-YEAR($F72))*12 + MONTH(M$2)-MONTH($F72)) / 12),
  0)</f>
        <v/>
      </c>
      <c r="N72" s="299">
        <f>IF(AND($F72&lt;=N$2, OR($G72="",$G72&gt;=N$2)),
  $H72 * (1 + Assumptions!$C$7) ^ INT(((YEAR(N$2)-YEAR($F72))*12 + MONTH(N$2)-MONTH($F72)) / 12),
  0)</f>
        <v/>
      </c>
      <c r="O72" s="299">
        <f>IF(AND($F72&lt;=O$2, OR($G72="",$G72&gt;=O$2)),
  $H72 * (1 + Assumptions!$C$7) ^ INT(((YEAR(O$2)-YEAR($F72))*12 + MONTH(O$2)-MONTH($F72)) / 12),
  0)</f>
        <v/>
      </c>
      <c r="P72" s="299">
        <f>IF(AND($F72&lt;=P$2, OR($G72="",$G72&gt;=P$2)),
  $H72 * (1 + Assumptions!$C$7) ^ INT(((YEAR(P$2)-YEAR($F72))*12 + MONTH(P$2)-MONTH($F72)) / 12),
  0)</f>
        <v/>
      </c>
      <c r="Q72" s="299">
        <f>IF(AND($F72&lt;=Q$2, OR($G72="",$G72&gt;=Q$2)),
  $H72 * (1 + Assumptions!$C$7) ^ INT(((YEAR(Q$2)-YEAR($F72))*12 + MONTH(Q$2)-MONTH($F72)) / 12),
  0)</f>
        <v/>
      </c>
      <c r="R72" s="299">
        <f>IF(AND($F72&lt;=R$2, OR($G72="",$G72&gt;=R$2)),
  $H72 * (1 + Assumptions!$C$7) ^ INT(((YEAR(R$2)-YEAR($F72))*12 + MONTH(R$2)-MONTH($F72)) / 12),
  0)</f>
        <v/>
      </c>
      <c r="S72" s="299">
        <f>IF(AND($F72&lt;=S$2, OR($G72="",$G72&gt;=S$2)),
  $H72 * (1 + Assumptions!$C$7) ^ INT(((YEAR(S$2)-YEAR($F72))*12 + MONTH(S$2)-MONTH($F72)) / 12),
  0)</f>
        <v/>
      </c>
      <c r="T72" s="299">
        <f>IF(AND($F72&lt;=T$2, OR($G72="",$G72&gt;=T$2)),
  $H72 * (1 + Assumptions!$C$7) ^ INT(((YEAR(T$2)-YEAR($F72))*12 + MONTH(T$2)-MONTH($F72)) / 12),
  0)</f>
        <v/>
      </c>
      <c r="U72" s="299">
        <f>IF(AND($F72&lt;=U$2, OR($G72="",$G72&gt;=U$2)),
  $H72 * (1 + Assumptions!$C$7) ^ INT(((YEAR(U$2)-YEAR($F72))*12 + MONTH(U$2)-MONTH($F72)) / 12),
  0)</f>
        <v/>
      </c>
      <c r="V72" s="299">
        <f>IF(AND($F72&lt;=V$2, OR($G72="",$G72&gt;=V$2)),
  $H72 * (1 + Assumptions!$C$7) ^ INT(((YEAR(V$2)-YEAR($F72))*12 + MONTH(V$2)-MONTH($F72)) / 12),
  0)</f>
        <v/>
      </c>
      <c r="W72" s="299">
        <f>IF(AND($F72&lt;=W$2, OR($G72="",$G72&gt;=W$2)),
  $H72 * (1 + Assumptions!$C$7) ^ INT(((YEAR(W$2)-YEAR($F72))*12 + MONTH(W$2)-MONTH($F72)) / 12),
  0)</f>
        <v/>
      </c>
      <c r="X72" s="299">
        <f>IF(AND($F72&lt;=X$2, OR($G72="",$G72&gt;=X$2)),
  $H72 * (1 + Assumptions!$C$7) ^ INT(((YEAR(X$2)-YEAR($F72))*12 + MONTH(X$2)-MONTH($F72)) / 12),
  0)</f>
        <v/>
      </c>
      <c r="Y72" s="299">
        <f>IF(AND($F72&lt;=Y$2, OR($G72="",$G72&gt;=Y$2)),
  $H72 * (1 + Assumptions!$C$7) ^ INT(((YEAR(Y$2)-YEAR($F72))*12 + MONTH(Y$2)-MONTH($F72)) / 12),
  0)</f>
        <v/>
      </c>
      <c r="Z72" s="299">
        <f>IF(AND($F72&lt;=Z$2, OR($G72="",$G72&gt;=Z$2)),
  $H72 * (1 + Assumptions!$C$7) ^ INT(((YEAR(Z$2)-YEAR($F72))*12 + MONTH(Z$2)-MONTH($F72)) / 12),
  0)</f>
        <v/>
      </c>
      <c r="AA72" s="299">
        <f>IF(AND($F72&lt;=AA$2, OR($G72="",$G72&gt;=AA$2)),
  $H72 * (1 + Assumptions!$C$7) ^ INT(((YEAR(AA$2)-YEAR($F72))*12 + MONTH(AA$2)-MONTH($F72)) / 12),
  0)</f>
        <v/>
      </c>
      <c r="AB72" s="299">
        <f>IF(AND($F72&lt;=AB$2, OR($G72="",$G72&gt;=AB$2)),
  $H72 * (1 + Assumptions!$C$7) ^ INT(((YEAR(AB$2)-YEAR($F72))*12 + MONTH(AB$2)-MONTH($F72)) / 12),
  0)</f>
        <v/>
      </c>
      <c r="AC72" s="299">
        <f>IF(AND($F72&lt;=AC$2, OR($G72="",$G72&gt;=AC$2)),
  $H72 * (1 + Assumptions!$C$7) ^ INT(((YEAR(AC$2)-YEAR($F72))*12 + MONTH(AC$2)-MONTH($F72)) / 12),
  0)</f>
        <v/>
      </c>
      <c r="AD72" s="299">
        <f>IF(AND($F72&lt;=AD$2, OR($G72="",$G72&gt;=AD$2)),
  $H72 * (1 + Assumptions!$C$7) ^ INT(((YEAR(AD$2)-YEAR($F72))*12 + MONTH(AD$2)-MONTH($F72)) / 12),
  0)</f>
        <v/>
      </c>
      <c r="AE72" s="299">
        <f>IF(AND($F72&lt;=AE$2, OR($G72="",$G72&gt;=AE$2)),
  $H72 * (1 + Assumptions!$C$7) ^ INT(((YEAR(AE$2)-YEAR($F72))*12 + MONTH(AE$2)-MONTH($F72)) / 12),
  0)</f>
        <v/>
      </c>
      <c r="AF72" s="299">
        <f>IF(AND($F72&lt;=AF$2, OR($G72="",$G72&gt;=AF$2)),
  $H72 * (1 + Assumptions!$C$7) ^ INT(((YEAR(AF$2)-YEAR($F72))*12 + MONTH(AF$2)-MONTH($F72)) / 12),
  0)</f>
        <v/>
      </c>
      <c r="AG72" s="299">
        <f>IF(AND($F72&lt;=AG$2, OR($G72="",$G72&gt;=AG$2)),
  $H72 * (1 + Assumptions!$C$7) ^ INT(((YEAR(AG$2)-YEAR($F72))*12 + MONTH(AG$2)-MONTH($F72)) / 12),
  0)</f>
        <v/>
      </c>
      <c r="AH72" s="299">
        <f>IF(AND($F72&lt;=AH$2, OR($G72="",$G72&gt;=AH$2)),
  $H72 * (1 + Assumptions!$C$7) ^ INT(((YEAR(AH$2)-YEAR($F72))*12 + MONTH(AH$2)-MONTH($F72)) / 12),
  0)</f>
        <v/>
      </c>
      <c r="AI72" s="299">
        <f>IF(AND($F72&lt;=AI$2, OR($G72="",$G72&gt;=AI$2)),
  $H72 * (1 + Assumptions!$C$7) ^ INT(((YEAR(AI$2)-YEAR($F72))*12 + MONTH(AI$2)-MONTH($F72)) / 12),
  0)</f>
        <v/>
      </c>
      <c r="AJ72" s="299">
        <f>IF(AND($F72&lt;=AJ$2, OR($G72="",$G72&gt;=AJ$2)),
  $H72 * (1 + Assumptions!$C$7) ^ INT(((YEAR(AJ$2)-YEAR($F72))*12 + MONTH(AJ$2)-MONTH($F72)) / 12),
  0)</f>
        <v/>
      </c>
      <c r="AK72" s="299">
        <f>IF(AND($F72&lt;=AK$2, OR($G72="",$G72&gt;=AK$2)),
  $H72 * (1 + Assumptions!$C$7) ^ INT(((YEAR(AK$2)-YEAR($F72))*12 + MONTH(AK$2)-MONTH($F72)) / 12),
  0)</f>
        <v/>
      </c>
      <c r="AL72" s="299">
        <f>IF(AND($F72&lt;=AL$2, OR($G72="",$G72&gt;=AL$2)),
  $H72 * (1 + Assumptions!$C$7) ^ INT(((YEAR(AL$2)-YEAR($F72))*12 + MONTH(AL$2)-MONTH($F72)) / 12),
  0)</f>
        <v/>
      </c>
      <c r="AM72" s="299">
        <f>IF(AND($F72&lt;=AM$2, OR($G72="",$G72&gt;=AM$2)),
  $H72 * (1 + Assumptions!$C$7) ^ INT(((YEAR(AM$2)-YEAR($F72))*12 + MONTH(AM$2)-MONTH($F72)) / 12),
  0)</f>
        <v/>
      </c>
      <c r="AN72" s="299">
        <f>IF(AND($F72&lt;=AN$2, OR($G72="",$G72&gt;=AN$2)),
  $H72 * (1 + Assumptions!$C$7) ^ INT(((YEAR(AN$2)-YEAR($F72))*12 + MONTH(AN$2)-MONTH($F72)) / 12),
  0)</f>
        <v/>
      </c>
      <c r="AO72" s="299">
        <f>IF(AND($F72&lt;=AO$2, OR($G72="",$G72&gt;=AO$2)),
  $H72 * (1 + Assumptions!$C$7) ^ INT(((YEAR(AO$2)-YEAR($F72))*12 + MONTH(AO$2)-MONTH($F72)) / 12),
  0)</f>
        <v/>
      </c>
      <c r="AP72" s="299">
        <f>IF(AND($F72&lt;=AP$2, OR($G72="",$G72&gt;=AP$2)),
  $H72 * (1 + Assumptions!$C$7) ^ INT(((YEAR(AP$2)-YEAR($F72))*12 + MONTH(AP$2)-MONTH($F72)) / 12),
  0)</f>
        <v/>
      </c>
      <c r="AQ72" s="299">
        <f>IF(AND($F72&lt;=AQ$2, OR($G72="",$G72&gt;=AQ$2)),
  $H72 * (1 + Assumptions!$C$7) ^ INT(((YEAR(AQ$2)-YEAR($F72))*12 + MONTH(AQ$2)-MONTH($F72)) / 12),
  0)</f>
        <v/>
      </c>
      <c r="AR72" s="299">
        <f>IF(AND($F72&lt;=AR$2, OR($G72="",$G72&gt;=AR$2)),
  $H72 * (1 + Assumptions!$C$7) ^ INT(((YEAR(AR$2)-YEAR($F72))*12 + MONTH(AR$2)-MONTH($F72)) / 12),
  0)</f>
        <v/>
      </c>
      <c r="AS72" s="299">
        <f>IF(AND($F72&lt;=AS$2, OR($G72="",$G72&gt;=AS$2)),
  $H72 * (1 + Assumptions!$C$7) ^ INT(((YEAR(AS$2)-YEAR($F72))*12 + MONTH(AS$2)-MONTH($F72)) / 12),
  0)</f>
        <v/>
      </c>
      <c r="AT72" s="299">
        <f>IF(AND($F72&lt;=AT$2, OR($G72="",$G72&gt;=AT$2)),
  $H72 * (1 + Assumptions!$C$7) ^ INT(((YEAR(AT$2)-YEAR($F72))*12 + MONTH(AT$2)-MONTH($F72)) / 12),
  0)</f>
        <v/>
      </c>
      <c r="AU72" s="299">
        <f>IF(AND($F72&lt;=AU$2, OR($G72="",$G72&gt;=AU$2)),
  $H72 * (1 + Assumptions!$C$7) ^ INT(((YEAR(AU$2)-YEAR($F72))*12 + MONTH(AU$2)-MONTH($F72)) / 12),
  0)</f>
        <v/>
      </c>
      <c r="AV72" s="299">
        <f>IF(AND($F72&lt;=AV$2, OR($G72="",$G72&gt;=AV$2)),
  $H72 * (1 + Assumptions!$C$7) ^ INT(((YEAR(AV$2)-YEAR($F72))*12 + MONTH(AV$2)-MONTH($F72)) / 12),
  0)</f>
        <v/>
      </c>
      <c r="AW72" s="299">
        <f>IF(AND($F72&lt;=AW$2, OR($G72="",$G72&gt;=AW$2)),
  $H72 * (1 + Assumptions!$C$7) ^ INT(((YEAR(AW$2)-YEAR($F72))*12 + MONTH(AW$2)-MONTH($F72)) / 12),
  0)</f>
        <v/>
      </c>
      <c r="AX72" s="299">
        <f>IF(AND($F72&lt;=AX$2, OR($G72="",$G72&gt;=AX$2)),
  $H72 * (1 + Assumptions!$C$7) ^ INT(((YEAR(AX$2)-YEAR($F72))*12 + MONTH(AX$2)-MONTH($F72)) / 12),
  0)</f>
        <v/>
      </c>
      <c r="AY72" s="299">
        <f>IF(AND($F72&lt;=AY$2, OR($G72="",$G72&gt;=AY$2)),
  $H72 * (1 + Assumptions!$C$7) ^ INT(((YEAR(AY$2)-YEAR($F72))*12 + MONTH(AY$2)-MONTH($F72)) / 12),
  0)</f>
        <v/>
      </c>
      <c r="AZ72" s="299">
        <f>IF(AND($F72&lt;=AZ$2, OR($G72="",$G72&gt;=AZ$2)),
  $H72 * (1 + Assumptions!$C$7) ^ INT(((YEAR(AZ$2)-YEAR($F72))*12 + MONTH(AZ$2)-MONTH($F72)) / 12),
  0)</f>
        <v/>
      </c>
      <c r="BA72" s="299">
        <f>IF(AND($F72&lt;=BA$2, OR($G72="",$G72&gt;=BA$2)),
  $H72 * (1 + Assumptions!$C$7) ^ INT(((YEAR(BA$2)-YEAR($F72))*12 + MONTH(BA$2)-MONTH($F72)) / 12),
  0)</f>
        <v/>
      </c>
      <c r="BB72" s="299">
        <f>IF(AND($F72&lt;=BB$2, OR($G72="",$G72&gt;=BB$2)),
  $H72 * (1 + Assumptions!$C$7) ^ INT(((YEAR(BB$2)-YEAR($F72))*12 + MONTH(BB$2)-MONTH($F72)) / 12),
  0)</f>
        <v/>
      </c>
      <c r="BC72" s="299">
        <f>IF(AND($F72&lt;=BC$2, OR($G72="",$G72&gt;=BC$2)),
  $H72 * (1 + Assumptions!$C$7) ^ INT(((YEAR(BC$2)-YEAR($F72))*12 + MONTH(BC$2)-MONTH($F72)) / 12),
  0)</f>
        <v/>
      </c>
      <c r="BD72" s="299">
        <f>IF(AND($F72&lt;=BD$2, OR($G72="",$G72&gt;=BD$2)),
  $H72 * (1 + Assumptions!$C$7) ^ INT(((YEAR(BD$2)-YEAR($F72))*12 + MONTH(BD$2)-MONTH($F72)) / 12),
  0)</f>
        <v/>
      </c>
      <c r="BE72" s="299">
        <f>IF(AND($F72&lt;=BE$2, OR($G72="",$G72&gt;=BE$2)),
  $H72 * (1 + Assumptions!$C$7) ^ INT(((YEAR(BE$2)-YEAR($F72))*12 + MONTH(BE$2)-MONTH($F72)) / 12),
  0)</f>
        <v/>
      </c>
      <c r="BF72" s="299">
        <f>IF(AND($F72&lt;=BF$2, OR($G72="",$G72&gt;=BF$2)),
  $H72 * (1 + Assumptions!$C$7) ^ INT(((YEAR(BF$2)-YEAR($F72))*12 + MONTH(BF$2)-MONTH($F72)) / 12),
  0)</f>
        <v/>
      </c>
      <c r="BG72" s="299">
        <f>IF(AND($F72&lt;=BG$2, OR($G72="",$G72&gt;=BG$2)),
  $H72 * (1 + Assumptions!$C$7) ^ INT(((YEAR(BG$2)-YEAR($F72))*12 + MONTH(BG$2)-MONTH($F72)) / 12),
  0)</f>
        <v/>
      </c>
      <c r="BH72" s="299">
        <f>IF(AND($F72&lt;=BH$2, OR($G72="",$G72&gt;=BH$2)),
  $H72 * (1 + Assumptions!$C$7) ^ INT(((YEAR(BH$2)-YEAR($F72))*12 + MONTH(BH$2)-MONTH($F72)) / 12),
  0)</f>
        <v/>
      </c>
      <c r="BI72" s="299">
        <f>IF(AND($F72&lt;=BI$2, OR($G72="",$G72&gt;=BI$2)),
  $H72 * (1 + Assumptions!$C$7) ^ INT(((YEAR(BI$2)-YEAR($F72))*12 + MONTH(BI$2)-MONTH($F72)) / 12),
  0)</f>
        <v/>
      </c>
      <c r="BJ72" s="299">
        <f>IF(AND($F72&lt;=BJ$2, OR($G72="",$G72&gt;=BJ$2)),
  $H72 * (1 + Assumptions!$C$7) ^ INT(((YEAR(BJ$2)-YEAR($F72))*12 + MONTH(BJ$2)-MONTH($F72)) / 12),
  0)</f>
        <v/>
      </c>
      <c r="BK72" s="299">
        <f>IF(AND($F72&lt;=BK$2, OR($G72="",$G72&gt;=BK$2)),
  $H72 * (1 + Assumptions!$C$7) ^ INT(((YEAR(BK$2)-YEAR($F72))*12 + MONTH(BK$2)-MONTH($F72)) / 12),
  0)</f>
        <v/>
      </c>
      <c r="BL72" s="299">
        <f>IF(AND($F72&lt;=BL$2, OR($G72="",$G72&gt;=BL$2)),
  $H72 * (1 + Assumptions!$C$7) ^ INT(((YEAR(BL$2)-YEAR($F72))*12 + MONTH(BL$2)-MONTH($F72)) / 12),
  0)</f>
        <v/>
      </c>
      <c r="BM72" s="299">
        <f>IF(AND($F72&lt;=BM$2, OR($G72="",$G72&gt;=BM$2)),
  $H72 * (1 + Assumptions!$C$7) ^ INT(((YEAR(BM$2)-YEAR($F72))*12 + MONTH(BM$2)-MONTH($F72)) / 12),
  0)</f>
        <v/>
      </c>
      <c r="BN72" s="299">
        <f>IF(AND($F72&lt;=BN$2, OR($G72="",$G72&gt;=BN$2)),
  $H72 * (1 + Assumptions!$C$7) ^ INT(((YEAR(BN$2)-YEAR($F72))*12 + MONTH(BN$2)-MONTH($F72)) / 12),
  0)</f>
        <v/>
      </c>
      <c r="BO72" s="299">
        <f>IF(AND($F72&lt;=BO$2, OR($G72="",$G72&gt;=BO$2)),
  $H72 * (1 + Assumptions!$C$7) ^ INT(((YEAR(BO$2)-YEAR($F72))*12 + MONTH(BO$2)-MONTH($F72)) / 12),
  0)</f>
        <v/>
      </c>
      <c r="BP72" s="299">
        <f>IF(AND($F72&lt;=BP$2, OR($G72="",$G72&gt;=BP$2)),
  $H72 * (1 + Assumptions!$C$7) ^ INT(((YEAR(BP$2)-YEAR($F72))*12 + MONTH(BP$2)-MONTH($F72)) / 12),
  0)</f>
        <v/>
      </c>
      <c r="BQ72" s="31" t="n"/>
      <c r="BR72" s="31" t="n"/>
      <c r="BS72" s="31" t="n"/>
      <c r="BT72" s="31" t="n"/>
    </row>
    <row r="73" ht="15.75" customHeight="1" s="349">
      <c r="A73" s="321" t="n">
        <v>68</v>
      </c>
      <c r="B73" s="285" t="inlineStr">
        <is>
          <t>New hire</t>
        </is>
      </c>
      <c r="C73" s="317" t="inlineStr">
        <is>
          <t>S&amp;M</t>
        </is>
      </c>
      <c r="D73" s="317" t="inlineStr">
        <is>
          <t>Sales</t>
        </is>
      </c>
      <c r="E73" s="297" t="inlineStr">
        <is>
          <t>Planned</t>
        </is>
      </c>
      <c r="F73" s="318">
        <f>IF(Assumptions!$D$82=2,DATE(2029,10,1),DATE(2035,1,1))</f>
        <v/>
      </c>
      <c r="G73" s="318" t="n"/>
      <c r="H73" s="288" t="n">
        <v>7500</v>
      </c>
      <c r="I73" s="299">
        <f>IF(AND($F73&lt;=I$2, OR($G73="",$G73&gt;=I$2)),
  $H73 * (1 + Assumptions!$C$7) ^ INT(((YEAR(I$2)-YEAR($F73))*12 + MONTH(I$2)-MONTH($F73)) / 12),
  0)</f>
        <v/>
      </c>
      <c r="J73" s="299">
        <f>IF(AND($F73&lt;=J$2, OR($G73="",$G73&gt;=J$2)),
  $H73 * (1 + Assumptions!$C$7) ^ INT(((YEAR(J$2)-YEAR($F73))*12 + MONTH(J$2)-MONTH($F73)) / 12),
  0)</f>
        <v/>
      </c>
      <c r="K73" s="299">
        <f>IF(AND($F73&lt;=K$2, OR($G73="",$G73&gt;=K$2)),
  $H73 * (1 + Assumptions!$C$7) ^ INT(((YEAR(K$2)-YEAR($F73))*12 + MONTH(K$2)-MONTH($F73)) / 12),
  0)</f>
        <v/>
      </c>
      <c r="L73" s="299">
        <f>IF(AND($F73&lt;=L$2, OR($G73="",$G73&gt;=L$2)),
  $H73 * (1 + Assumptions!$C$7) ^ INT(((YEAR(L$2)-YEAR($F73))*12 + MONTH(L$2)-MONTH($F73)) / 12),
  0)</f>
        <v/>
      </c>
      <c r="M73" s="299">
        <f>IF(AND($F73&lt;=M$2, OR($G73="",$G73&gt;=M$2)),
  $H73 * (1 + Assumptions!$C$7) ^ INT(((YEAR(M$2)-YEAR($F73))*12 + MONTH(M$2)-MONTH($F73)) / 12),
  0)</f>
        <v/>
      </c>
      <c r="N73" s="299">
        <f>IF(AND($F73&lt;=N$2, OR($G73="",$G73&gt;=N$2)),
  $H73 * (1 + Assumptions!$C$7) ^ INT(((YEAR(N$2)-YEAR($F73))*12 + MONTH(N$2)-MONTH($F73)) / 12),
  0)</f>
        <v/>
      </c>
      <c r="O73" s="299">
        <f>IF(AND($F73&lt;=O$2, OR($G73="",$G73&gt;=O$2)),
  $H73 * (1 + Assumptions!$C$7) ^ INT(((YEAR(O$2)-YEAR($F73))*12 + MONTH(O$2)-MONTH($F73)) / 12),
  0)</f>
        <v/>
      </c>
      <c r="P73" s="299">
        <f>IF(AND($F73&lt;=P$2, OR($G73="",$G73&gt;=P$2)),
  $H73 * (1 + Assumptions!$C$7) ^ INT(((YEAR(P$2)-YEAR($F73))*12 + MONTH(P$2)-MONTH($F73)) / 12),
  0)</f>
        <v/>
      </c>
      <c r="Q73" s="299">
        <f>IF(AND($F73&lt;=Q$2, OR($G73="",$G73&gt;=Q$2)),
  $H73 * (1 + Assumptions!$C$7) ^ INT(((YEAR(Q$2)-YEAR($F73))*12 + MONTH(Q$2)-MONTH($F73)) / 12),
  0)</f>
        <v/>
      </c>
      <c r="R73" s="299">
        <f>IF(AND($F73&lt;=R$2, OR($G73="",$G73&gt;=R$2)),
  $H73 * (1 + Assumptions!$C$7) ^ INT(((YEAR(R$2)-YEAR($F73))*12 + MONTH(R$2)-MONTH($F73)) / 12),
  0)</f>
        <v/>
      </c>
      <c r="S73" s="299">
        <f>IF(AND($F73&lt;=S$2, OR($G73="",$G73&gt;=S$2)),
  $H73 * (1 + Assumptions!$C$7) ^ INT(((YEAR(S$2)-YEAR($F73))*12 + MONTH(S$2)-MONTH($F73)) / 12),
  0)</f>
        <v/>
      </c>
      <c r="T73" s="299">
        <f>IF(AND($F73&lt;=T$2, OR($G73="",$G73&gt;=T$2)),
  $H73 * (1 + Assumptions!$C$7) ^ INT(((YEAR(T$2)-YEAR($F73))*12 + MONTH(T$2)-MONTH($F73)) / 12),
  0)</f>
        <v/>
      </c>
      <c r="U73" s="299">
        <f>IF(AND($F73&lt;=U$2, OR($G73="",$G73&gt;=U$2)),
  $H73 * (1 + Assumptions!$C$7) ^ INT(((YEAR(U$2)-YEAR($F73))*12 + MONTH(U$2)-MONTH($F73)) / 12),
  0)</f>
        <v/>
      </c>
      <c r="V73" s="299">
        <f>IF(AND($F73&lt;=V$2, OR($G73="",$G73&gt;=V$2)),
  $H73 * (1 + Assumptions!$C$7) ^ INT(((YEAR(V$2)-YEAR($F73))*12 + MONTH(V$2)-MONTH($F73)) / 12),
  0)</f>
        <v/>
      </c>
      <c r="W73" s="299">
        <f>IF(AND($F73&lt;=W$2, OR($G73="",$G73&gt;=W$2)),
  $H73 * (1 + Assumptions!$C$7) ^ INT(((YEAR(W$2)-YEAR($F73))*12 + MONTH(W$2)-MONTH($F73)) / 12),
  0)</f>
        <v/>
      </c>
      <c r="X73" s="299">
        <f>IF(AND($F73&lt;=X$2, OR($G73="",$G73&gt;=X$2)),
  $H73 * (1 + Assumptions!$C$7) ^ INT(((YEAR(X$2)-YEAR($F73))*12 + MONTH(X$2)-MONTH($F73)) / 12),
  0)</f>
        <v/>
      </c>
      <c r="Y73" s="299">
        <f>IF(AND($F73&lt;=Y$2, OR($G73="",$G73&gt;=Y$2)),
  $H73 * (1 + Assumptions!$C$7) ^ INT(((YEAR(Y$2)-YEAR($F73))*12 + MONTH(Y$2)-MONTH($F73)) / 12),
  0)</f>
        <v/>
      </c>
      <c r="Z73" s="299">
        <f>IF(AND($F73&lt;=Z$2, OR($G73="",$G73&gt;=Z$2)),
  $H73 * (1 + Assumptions!$C$7) ^ INT(((YEAR(Z$2)-YEAR($F73))*12 + MONTH(Z$2)-MONTH($F73)) / 12),
  0)</f>
        <v/>
      </c>
      <c r="AA73" s="299">
        <f>IF(AND($F73&lt;=AA$2, OR($G73="",$G73&gt;=AA$2)),
  $H73 * (1 + Assumptions!$C$7) ^ INT(((YEAR(AA$2)-YEAR($F73))*12 + MONTH(AA$2)-MONTH($F73)) / 12),
  0)</f>
        <v/>
      </c>
      <c r="AB73" s="299">
        <f>IF(AND($F73&lt;=AB$2, OR($G73="",$G73&gt;=AB$2)),
  $H73 * (1 + Assumptions!$C$7) ^ INT(((YEAR(AB$2)-YEAR($F73))*12 + MONTH(AB$2)-MONTH($F73)) / 12),
  0)</f>
        <v/>
      </c>
      <c r="AC73" s="299">
        <f>IF(AND($F73&lt;=AC$2, OR($G73="",$G73&gt;=AC$2)),
  $H73 * (1 + Assumptions!$C$7) ^ INT(((YEAR(AC$2)-YEAR($F73))*12 + MONTH(AC$2)-MONTH($F73)) / 12),
  0)</f>
        <v/>
      </c>
      <c r="AD73" s="299">
        <f>IF(AND($F73&lt;=AD$2, OR($G73="",$G73&gt;=AD$2)),
  $H73 * (1 + Assumptions!$C$7) ^ INT(((YEAR(AD$2)-YEAR($F73))*12 + MONTH(AD$2)-MONTH($F73)) / 12),
  0)</f>
        <v/>
      </c>
      <c r="AE73" s="299">
        <f>IF(AND($F73&lt;=AE$2, OR($G73="",$G73&gt;=AE$2)),
  $H73 * (1 + Assumptions!$C$7) ^ INT(((YEAR(AE$2)-YEAR($F73))*12 + MONTH(AE$2)-MONTH($F73)) / 12),
  0)</f>
        <v/>
      </c>
      <c r="AF73" s="299">
        <f>IF(AND($F73&lt;=AF$2, OR($G73="",$G73&gt;=AF$2)),
  $H73 * (1 + Assumptions!$C$7) ^ INT(((YEAR(AF$2)-YEAR($F73))*12 + MONTH(AF$2)-MONTH($F73)) / 12),
  0)</f>
        <v/>
      </c>
      <c r="AG73" s="299">
        <f>IF(AND($F73&lt;=AG$2, OR($G73="",$G73&gt;=AG$2)),
  $H73 * (1 + Assumptions!$C$7) ^ INT(((YEAR(AG$2)-YEAR($F73))*12 + MONTH(AG$2)-MONTH($F73)) / 12),
  0)</f>
        <v/>
      </c>
      <c r="AH73" s="299">
        <f>IF(AND($F73&lt;=AH$2, OR($G73="",$G73&gt;=AH$2)),
  $H73 * (1 + Assumptions!$C$7) ^ INT(((YEAR(AH$2)-YEAR($F73))*12 + MONTH(AH$2)-MONTH($F73)) / 12),
  0)</f>
        <v/>
      </c>
      <c r="AI73" s="299">
        <f>IF(AND($F73&lt;=AI$2, OR($G73="",$G73&gt;=AI$2)),
  $H73 * (1 + Assumptions!$C$7) ^ INT(((YEAR(AI$2)-YEAR($F73))*12 + MONTH(AI$2)-MONTH($F73)) / 12),
  0)</f>
        <v/>
      </c>
      <c r="AJ73" s="299">
        <f>IF(AND($F73&lt;=AJ$2, OR($G73="",$G73&gt;=AJ$2)),
  $H73 * (1 + Assumptions!$C$7) ^ INT(((YEAR(AJ$2)-YEAR($F73))*12 + MONTH(AJ$2)-MONTH($F73)) / 12),
  0)</f>
        <v/>
      </c>
      <c r="AK73" s="299">
        <f>IF(AND($F73&lt;=AK$2, OR($G73="",$G73&gt;=AK$2)),
  $H73 * (1 + Assumptions!$C$7) ^ INT(((YEAR(AK$2)-YEAR($F73))*12 + MONTH(AK$2)-MONTH($F73)) / 12),
  0)</f>
        <v/>
      </c>
      <c r="AL73" s="299">
        <f>IF(AND($F73&lt;=AL$2, OR($G73="",$G73&gt;=AL$2)),
  $H73 * (1 + Assumptions!$C$7) ^ INT(((YEAR(AL$2)-YEAR($F73))*12 + MONTH(AL$2)-MONTH($F73)) / 12),
  0)</f>
        <v/>
      </c>
      <c r="AM73" s="299">
        <f>IF(AND($F73&lt;=AM$2, OR($G73="",$G73&gt;=AM$2)),
  $H73 * (1 + Assumptions!$C$7) ^ INT(((YEAR(AM$2)-YEAR($F73))*12 + MONTH(AM$2)-MONTH($F73)) / 12),
  0)</f>
        <v/>
      </c>
      <c r="AN73" s="299">
        <f>IF(AND($F73&lt;=AN$2, OR($G73="",$G73&gt;=AN$2)),
  $H73 * (1 + Assumptions!$C$7) ^ INT(((YEAR(AN$2)-YEAR($F73))*12 + MONTH(AN$2)-MONTH($F73)) / 12),
  0)</f>
        <v/>
      </c>
      <c r="AO73" s="299">
        <f>IF(AND($F73&lt;=AO$2, OR($G73="",$G73&gt;=AO$2)),
  $H73 * (1 + Assumptions!$C$7) ^ INT(((YEAR(AO$2)-YEAR($F73))*12 + MONTH(AO$2)-MONTH($F73)) / 12),
  0)</f>
        <v/>
      </c>
      <c r="AP73" s="299">
        <f>IF(AND($F73&lt;=AP$2, OR($G73="",$G73&gt;=AP$2)),
  $H73 * (1 + Assumptions!$C$7) ^ INT(((YEAR(AP$2)-YEAR($F73))*12 + MONTH(AP$2)-MONTH($F73)) / 12),
  0)</f>
        <v/>
      </c>
      <c r="AQ73" s="299">
        <f>IF(AND($F73&lt;=AQ$2, OR($G73="",$G73&gt;=AQ$2)),
  $H73 * (1 + Assumptions!$C$7) ^ INT(((YEAR(AQ$2)-YEAR($F73))*12 + MONTH(AQ$2)-MONTH($F73)) / 12),
  0)</f>
        <v/>
      </c>
      <c r="AR73" s="299">
        <f>IF(AND($F73&lt;=AR$2, OR($G73="",$G73&gt;=AR$2)),
  $H73 * (1 + Assumptions!$C$7) ^ INT(((YEAR(AR$2)-YEAR($F73))*12 + MONTH(AR$2)-MONTH($F73)) / 12),
  0)</f>
        <v/>
      </c>
      <c r="AS73" s="299">
        <f>IF(AND($F73&lt;=AS$2, OR($G73="",$G73&gt;=AS$2)),
  $H73 * (1 + Assumptions!$C$7) ^ INT(((YEAR(AS$2)-YEAR($F73))*12 + MONTH(AS$2)-MONTH($F73)) / 12),
  0)</f>
        <v/>
      </c>
      <c r="AT73" s="299">
        <f>IF(AND($F73&lt;=AT$2, OR($G73="",$G73&gt;=AT$2)),
  $H73 * (1 + Assumptions!$C$7) ^ INT(((YEAR(AT$2)-YEAR($F73))*12 + MONTH(AT$2)-MONTH($F73)) / 12),
  0)</f>
        <v/>
      </c>
      <c r="AU73" s="299">
        <f>IF(AND($F73&lt;=AU$2, OR($G73="",$G73&gt;=AU$2)),
  $H73 * (1 + Assumptions!$C$7) ^ INT(((YEAR(AU$2)-YEAR($F73))*12 + MONTH(AU$2)-MONTH($F73)) / 12),
  0)</f>
        <v/>
      </c>
      <c r="AV73" s="299">
        <f>IF(AND($F73&lt;=AV$2, OR($G73="",$G73&gt;=AV$2)),
  $H73 * (1 + Assumptions!$C$7) ^ INT(((YEAR(AV$2)-YEAR($F73))*12 + MONTH(AV$2)-MONTH($F73)) / 12),
  0)</f>
        <v/>
      </c>
      <c r="AW73" s="299">
        <f>IF(AND($F73&lt;=AW$2, OR($G73="",$G73&gt;=AW$2)),
  $H73 * (1 + Assumptions!$C$7) ^ INT(((YEAR(AW$2)-YEAR($F73))*12 + MONTH(AW$2)-MONTH($F73)) / 12),
  0)</f>
        <v/>
      </c>
      <c r="AX73" s="299">
        <f>IF(AND($F73&lt;=AX$2, OR($G73="",$G73&gt;=AX$2)),
  $H73 * (1 + Assumptions!$C$7) ^ INT(((YEAR(AX$2)-YEAR($F73))*12 + MONTH(AX$2)-MONTH($F73)) / 12),
  0)</f>
        <v/>
      </c>
      <c r="AY73" s="299">
        <f>IF(AND($F73&lt;=AY$2, OR($G73="",$G73&gt;=AY$2)),
  $H73 * (1 + Assumptions!$C$7) ^ INT(((YEAR(AY$2)-YEAR($F73))*12 + MONTH(AY$2)-MONTH($F73)) / 12),
  0)</f>
        <v/>
      </c>
      <c r="AZ73" s="299">
        <f>IF(AND($F73&lt;=AZ$2, OR($G73="",$G73&gt;=AZ$2)),
  $H73 * (1 + Assumptions!$C$7) ^ INT(((YEAR(AZ$2)-YEAR($F73))*12 + MONTH(AZ$2)-MONTH($F73)) / 12),
  0)</f>
        <v/>
      </c>
      <c r="BA73" s="299">
        <f>IF(AND($F73&lt;=BA$2, OR($G73="",$G73&gt;=BA$2)),
  $H73 * (1 + Assumptions!$C$7) ^ INT(((YEAR(BA$2)-YEAR($F73))*12 + MONTH(BA$2)-MONTH($F73)) / 12),
  0)</f>
        <v/>
      </c>
      <c r="BB73" s="299">
        <f>IF(AND($F73&lt;=BB$2, OR($G73="",$G73&gt;=BB$2)),
  $H73 * (1 + Assumptions!$C$7) ^ INT(((YEAR(BB$2)-YEAR($F73))*12 + MONTH(BB$2)-MONTH($F73)) / 12),
  0)</f>
        <v/>
      </c>
      <c r="BC73" s="299">
        <f>IF(AND($F73&lt;=BC$2, OR($G73="",$G73&gt;=BC$2)),
  $H73 * (1 + Assumptions!$C$7) ^ INT(((YEAR(BC$2)-YEAR($F73))*12 + MONTH(BC$2)-MONTH($F73)) / 12),
  0)</f>
        <v/>
      </c>
      <c r="BD73" s="299">
        <f>IF(AND($F73&lt;=BD$2, OR($G73="",$G73&gt;=BD$2)),
  $H73 * (1 + Assumptions!$C$7) ^ INT(((YEAR(BD$2)-YEAR($F73))*12 + MONTH(BD$2)-MONTH($F73)) / 12),
  0)</f>
        <v/>
      </c>
      <c r="BE73" s="299">
        <f>IF(AND($F73&lt;=BE$2, OR($G73="",$G73&gt;=BE$2)),
  $H73 * (1 + Assumptions!$C$7) ^ INT(((YEAR(BE$2)-YEAR($F73))*12 + MONTH(BE$2)-MONTH($F73)) / 12),
  0)</f>
        <v/>
      </c>
      <c r="BF73" s="299">
        <f>IF(AND($F73&lt;=BF$2, OR($G73="",$G73&gt;=BF$2)),
  $H73 * (1 + Assumptions!$C$7) ^ INT(((YEAR(BF$2)-YEAR($F73))*12 + MONTH(BF$2)-MONTH($F73)) / 12),
  0)</f>
        <v/>
      </c>
      <c r="BG73" s="299">
        <f>IF(AND($F73&lt;=BG$2, OR($G73="",$G73&gt;=BG$2)),
  $H73 * (1 + Assumptions!$C$7) ^ INT(((YEAR(BG$2)-YEAR($F73))*12 + MONTH(BG$2)-MONTH($F73)) / 12),
  0)</f>
        <v/>
      </c>
      <c r="BH73" s="299">
        <f>IF(AND($F73&lt;=BH$2, OR($G73="",$G73&gt;=BH$2)),
  $H73 * (1 + Assumptions!$C$7) ^ INT(((YEAR(BH$2)-YEAR($F73))*12 + MONTH(BH$2)-MONTH($F73)) / 12),
  0)</f>
        <v/>
      </c>
      <c r="BI73" s="299">
        <f>IF(AND($F73&lt;=BI$2, OR($G73="",$G73&gt;=BI$2)),
  $H73 * (1 + Assumptions!$C$7) ^ INT(((YEAR(BI$2)-YEAR($F73))*12 + MONTH(BI$2)-MONTH($F73)) / 12),
  0)</f>
        <v/>
      </c>
      <c r="BJ73" s="299">
        <f>IF(AND($F73&lt;=BJ$2, OR($G73="",$G73&gt;=BJ$2)),
  $H73 * (1 + Assumptions!$C$7) ^ INT(((YEAR(BJ$2)-YEAR($F73))*12 + MONTH(BJ$2)-MONTH($F73)) / 12),
  0)</f>
        <v/>
      </c>
      <c r="BK73" s="299">
        <f>IF(AND($F73&lt;=BK$2, OR($G73="",$G73&gt;=BK$2)),
  $H73 * (1 + Assumptions!$C$7) ^ INT(((YEAR(BK$2)-YEAR($F73))*12 + MONTH(BK$2)-MONTH($F73)) / 12),
  0)</f>
        <v/>
      </c>
      <c r="BL73" s="299">
        <f>IF(AND($F73&lt;=BL$2, OR($G73="",$G73&gt;=BL$2)),
  $H73 * (1 + Assumptions!$C$7) ^ INT(((YEAR(BL$2)-YEAR($F73))*12 + MONTH(BL$2)-MONTH($F73)) / 12),
  0)</f>
        <v/>
      </c>
      <c r="BM73" s="299">
        <f>IF(AND($F73&lt;=BM$2, OR($G73="",$G73&gt;=BM$2)),
  $H73 * (1 + Assumptions!$C$7) ^ INT(((YEAR(BM$2)-YEAR($F73))*12 + MONTH(BM$2)-MONTH($F73)) / 12),
  0)</f>
        <v/>
      </c>
      <c r="BN73" s="299">
        <f>IF(AND($F73&lt;=BN$2, OR($G73="",$G73&gt;=BN$2)),
  $H73 * (1 + Assumptions!$C$7) ^ INT(((YEAR(BN$2)-YEAR($F73))*12 + MONTH(BN$2)-MONTH($F73)) / 12),
  0)</f>
        <v/>
      </c>
      <c r="BO73" s="299">
        <f>IF(AND($F73&lt;=BO$2, OR($G73="",$G73&gt;=BO$2)),
  $H73 * (1 + Assumptions!$C$7) ^ INT(((YEAR(BO$2)-YEAR($F73))*12 + MONTH(BO$2)-MONTH($F73)) / 12),
  0)</f>
        <v/>
      </c>
      <c r="BP73" s="299">
        <f>IF(AND($F73&lt;=BP$2, OR($G73="",$G73&gt;=BP$2)),
  $H73 * (1 + Assumptions!$C$7) ^ INT(((YEAR(BP$2)-YEAR($F73))*12 + MONTH(BP$2)-MONTH($F73)) / 12),
  0)</f>
        <v/>
      </c>
      <c r="BQ73" s="31" t="n"/>
      <c r="BR73" s="31" t="n"/>
      <c r="BS73" s="31" t="n"/>
      <c r="BT73" s="31" t="n"/>
    </row>
    <row r="74" ht="15.75" customHeight="1" s="349">
      <c r="A74" s="321" t="n">
        <v>69</v>
      </c>
      <c r="B74" s="285" t="inlineStr">
        <is>
          <t>New hire</t>
        </is>
      </c>
      <c r="C74" s="317" t="inlineStr">
        <is>
          <t>S&amp;M</t>
        </is>
      </c>
      <c r="D74" s="317" t="inlineStr">
        <is>
          <t>Sales</t>
        </is>
      </c>
      <c r="E74" s="297" t="inlineStr">
        <is>
          <t>Planned</t>
        </is>
      </c>
      <c r="F74" s="318">
        <f>IF(Assumptions!$D$82=2,DATE(2029,12,1),DATE(2035,1,1))</f>
        <v/>
      </c>
      <c r="G74" s="318" t="n"/>
      <c r="H74" s="288" t="n">
        <v>7500</v>
      </c>
      <c r="I74" s="299">
        <f>IF(AND($F74&lt;=I$2, OR($G74="",$G74&gt;=I$2)),
  $H74 * (1 + Assumptions!$C$7) ^ INT(((YEAR(I$2)-YEAR($F74))*12 + MONTH(I$2)-MONTH($F74)) / 12),
  0)</f>
        <v/>
      </c>
      <c r="J74" s="299">
        <f>IF(AND($F74&lt;=J$2, OR($G74="",$G74&gt;=J$2)),
  $H74 * (1 + Assumptions!$C$7) ^ INT(((YEAR(J$2)-YEAR($F74))*12 + MONTH(J$2)-MONTH($F74)) / 12),
  0)</f>
        <v/>
      </c>
      <c r="K74" s="299">
        <f>IF(AND($F74&lt;=K$2, OR($G74="",$G74&gt;=K$2)),
  $H74 * (1 + Assumptions!$C$7) ^ INT(((YEAR(K$2)-YEAR($F74))*12 + MONTH(K$2)-MONTH($F74)) / 12),
  0)</f>
        <v/>
      </c>
      <c r="L74" s="299">
        <f>IF(AND($F74&lt;=L$2, OR($G74="",$G74&gt;=L$2)),
  $H74 * (1 + Assumptions!$C$7) ^ INT(((YEAR(L$2)-YEAR($F74))*12 + MONTH(L$2)-MONTH($F74)) / 12),
  0)</f>
        <v/>
      </c>
      <c r="M74" s="299">
        <f>IF(AND($F74&lt;=M$2, OR($G74="",$G74&gt;=M$2)),
  $H74 * (1 + Assumptions!$C$7) ^ INT(((YEAR(M$2)-YEAR($F74))*12 + MONTH(M$2)-MONTH($F74)) / 12),
  0)</f>
        <v/>
      </c>
      <c r="N74" s="299">
        <f>IF(AND($F74&lt;=N$2, OR($G74="",$G74&gt;=N$2)),
  $H74 * (1 + Assumptions!$C$7) ^ INT(((YEAR(N$2)-YEAR($F74))*12 + MONTH(N$2)-MONTH($F74)) / 12),
  0)</f>
        <v/>
      </c>
      <c r="O74" s="299">
        <f>IF(AND($F74&lt;=O$2, OR($G74="",$G74&gt;=O$2)),
  $H74 * (1 + Assumptions!$C$7) ^ INT(((YEAR(O$2)-YEAR($F74))*12 + MONTH(O$2)-MONTH($F74)) / 12),
  0)</f>
        <v/>
      </c>
      <c r="P74" s="299">
        <f>IF(AND($F74&lt;=P$2, OR($G74="",$G74&gt;=P$2)),
  $H74 * (1 + Assumptions!$C$7) ^ INT(((YEAR(P$2)-YEAR($F74))*12 + MONTH(P$2)-MONTH($F74)) / 12),
  0)</f>
        <v/>
      </c>
      <c r="Q74" s="299">
        <f>IF(AND($F74&lt;=Q$2, OR($G74="",$G74&gt;=Q$2)),
  $H74 * (1 + Assumptions!$C$7) ^ INT(((YEAR(Q$2)-YEAR($F74))*12 + MONTH(Q$2)-MONTH($F74)) / 12),
  0)</f>
        <v/>
      </c>
      <c r="R74" s="299">
        <f>IF(AND($F74&lt;=R$2, OR($G74="",$G74&gt;=R$2)),
  $H74 * (1 + Assumptions!$C$7) ^ INT(((YEAR(R$2)-YEAR($F74))*12 + MONTH(R$2)-MONTH($F74)) / 12),
  0)</f>
        <v/>
      </c>
      <c r="S74" s="299">
        <f>IF(AND($F74&lt;=S$2, OR($G74="",$G74&gt;=S$2)),
  $H74 * (1 + Assumptions!$C$7) ^ INT(((YEAR(S$2)-YEAR($F74))*12 + MONTH(S$2)-MONTH($F74)) / 12),
  0)</f>
        <v/>
      </c>
      <c r="T74" s="299">
        <f>IF(AND($F74&lt;=T$2, OR($G74="",$G74&gt;=T$2)),
  $H74 * (1 + Assumptions!$C$7) ^ INT(((YEAR(T$2)-YEAR($F74))*12 + MONTH(T$2)-MONTH($F74)) / 12),
  0)</f>
        <v/>
      </c>
      <c r="U74" s="299">
        <f>IF(AND($F74&lt;=U$2, OR($G74="",$G74&gt;=U$2)),
  $H74 * (1 + Assumptions!$C$7) ^ INT(((YEAR(U$2)-YEAR($F74))*12 + MONTH(U$2)-MONTH($F74)) / 12),
  0)</f>
        <v/>
      </c>
      <c r="V74" s="299">
        <f>IF(AND($F74&lt;=V$2, OR($G74="",$G74&gt;=V$2)),
  $H74 * (1 + Assumptions!$C$7) ^ INT(((YEAR(V$2)-YEAR($F74))*12 + MONTH(V$2)-MONTH($F74)) / 12),
  0)</f>
        <v/>
      </c>
      <c r="W74" s="299">
        <f>IF(AND($F74&lt;=W$2, OR($G74="",$G74&gt;=W$2)),
  $H74 * (1 + Assumptions!$C$7) ^ INT(((YEAR(W$2)-YEAR($F74))*12 + MONTH(W$2)-MONTH($F74)) / 12),
  0)</f>
        <v/>
      </c>
      <c r="X74" s="299">
        <f>IF(AND($F74&lt;=X$2, OR($G74="",$G74&gt;=X$2)),
  $H74 * (1 + Assumptions!$C$7) ^ INT(((YEAR(X$2)-YEAR($F74))*12 + MONTH(X$2)-MONTH($F74)) / 12),
  0)</f>
        <v/>
      </c>
      <c r="Y74" s="299">
        <f>IF(AND($F74&lt;=Y$2, OR($G74="",$G74&gt;=Y$2)),
  $H74 * (1 + Assumptions!$C$7) ^ INT(((YEAR(Y$2)-YEAR($F74))*12 + MONTH(Y$2)-MONTH($F74)) / 12),
  0)</f>
        <v/>
      </c>
      <c r="Z74" s="299">
        <f>IF(AND($F74&lt;=Z$2, OR($G74="",$G74&gt;=Z$2)),
  $H74 * (1 + Assumptions!$C$7) ^ INT(((YEAR(Z$2)-YEAR($F74))*12 + MONTH(Z$2)-MONTH($F74)) / 12),
  0)</f>
        <v/>
      </c>
      <c r="AA74" s="299">
        <f>IF(AND($F74&lt;=AA$2, OR($G74="",$G74&gt;=AA$2)),
  $H74 * (1 + Assumptions!$C$7) ^ INT(((YEAR(AA$2)-YEAR($F74))*12 + MONTH(AA$2)-MONTH($F74)) / 12),
  0)</f>
        <v/>
      </c>
      <c r="AB74" s="299">
        <f>IF(AND($F74&lt;=AB$2, OR($G74="",$G74&gt;=AB$2)),
  $H74 * (1 + Assumptions!$C$7) ^ INT(((YEAR(AB$2)-YEAR($F74))*12 + MONTH(AB$2)-MONTH($F74)) / 12),
  0)</f>
        <v/>
      </c>
      <c r="AC74" s="299">
        <f>IF(AND($F74&lt;=AC$2, OR($G74="",$G74&gt;=AC$2)),
  $H74 * (1 + Assumptions!$C$7) ^ INT(((YEAR(AC$2)-YEAR($F74))*12 + MONTH(AC$2)-MONTH($F74)) / 12),
  0)</f>
        <v/>
      </c>
      <c r="AD74" s="299">
        <f>IF(AND($F74&lt;=AD$2, OR($G74="",$G74&gt;=AD$2)),
  $H74 * (1 + Assumptions!$C$7) ^ INT(((YEAR(AD$2)-YEAR($F74))*12 + MONTH(AD$2)-MONTH($F74)) / 12),
  0)</f>
        <v/>
      </c>
      <c r="AE74" s="299">
        <f>IF(AND($F74&lt;=AE$2, OR($G74="",$G74&gt;=AE$2)),
  $H74 * (1 + Assumptions!$C$7) ^ INT(((YEAR(AE$2)-YEAR($F74))*12 + MONTH(AE$2)-MONTH($F74)) / 12),
  0)</f>
        <v/>
      </c>
      <c r="AF74" s="299">
        <f>IF(AND($F74&lt;=AF$2, OR($G74="",$G74&gt;=AF$2)),
  $H74 * (1 + Assumptions!$C$7) ^ INT(((YEAR(AF$2)-YEAR($F74))*12 + MONTH(AF$2)-MONTH($F74)) / 12),
  0)</f>
        <v/>
      </c>
      <c r="AG74" s="299">
        <f>IF(AND($F74&lt;=AG$2, OR($G74="",$G74&gt;=AG$2)),
  $H74 * (1 + Assumptions!$C$7) ^ INT(((YEAR(AG$2)-YEAR($F74))*12 + MONTH(AG$2)-MONTH($F74)) / 12),
  0)</f>
        <v/>
      </c>
      <c r="AH74" s="299">
        <f>IF(AND($F74&lt;=AH$2, OR($G74="",$G74&gt;=AH$2)),
  $H74 * (1 + Assumptions!$C$7) ^ INT(((YEAR(AH$2)-YEAR($F74))*12 + MONTH(AH$2)-MONTH($F74)) / 12),
  0)</f>
        <v/>
      </c>
      <c r="AI74" s="299">
        <f>IF(AND($F74&lt;=AI$2, OR($G74="",$G74&gt;=AI$2)),
  $H74 * (1 + Assumptions!$C$7) ^ INT(((YEAR(AI$2)-YEAR($F74))*12 + MONTH(AI$2)-MONTH($F74)) / 12),
  0)</f>
        <v/>
      </c>
      <c r="AJ74" s="299">
        <f>IF(AND($F74&lt;=AJ$2, OR($G74="",$G74&gt;=AJ$2)),
  $H74 * (1 + Assumptions!$C$7) ^ INT(((YEAR(AJ$2)-YEAR($F74))*12 + MONTH(AJ$2)-MONTH($F74)) / 12),
  0)</f>
        <v/>
      </c>
      <c r="AK74" s="299">
        <f>IF(AND($F74&lt;=AK$2, OR($G74="",$G74&gt;=AK$2)),
  $H74 * (1 + Assumptions!$C$7) ^ INT(((YEAR(AK$2)-YEAR($F74))*12 + MONTH(AK$2)-MONTH($F74)) / 12),
  0)</f>
        <v/>
      </c>
      <c r="AL74" s="299">
        <f>IF(AND($F74&lt;=AL$2, OR($G74="",$G74&gt;=AL$2)),
  $H74 * (1 + Assumptions!$C$7) ^ INT(((YEAR(AL$2)-YEAR($F74))*12 + MONTH(AL$2)-MONTH($F74)) / 12),
  0)</f>
        <v/>
      </c>
      <c r="AM74" s="299">
        <f>IF(AND($F74&lt;=AM$2, OR($G74="",$G74&gt;=AM$2)),
  $H74 * (1 + Assumptions!$C$7) ^ INT(((YEAR(AM$2)-YEAR($F74))*12 + MONTH(AM$2)-MONTH($F74)) / 12),
  0)</f>
        <v/>
      </c>
      <c r="AN74" s="299">
        <f>IF(AND($F74&lt;=AN$2, OR($G74="",$G74&gt;=AN$2)),
  $H74 * (1 + Assumptions!$C$7) ^ INT(((YEAR(AN$2)-YEAR($F74))*12 + MONTH(AN$2)-MONTH($F74)) / 12),
  0)</f>
        <v/>
      </c>
      <c r="AO74" s="299">
        <f>IF(AND($F74&lt;=AO$2, OR($G74="",$G74&gt;=AO$2)),
  $H74 * (1 + Assumptions!$C$7) ^ INT(((YEAR(AO$2)-YEAR($F74))*12 + MONTH(AO$2)-MONTH($F74)) / 12),
  0)</f>
        <v/>
      </c>
      <c r="AP74" s="299">
        <f>IF(AND($F74&lt;=AP$2, OR($G74="",$G74&gt;=AP$2)),
  $H74 * (1 + Assumptions!$C$7) ^ INT(((YEAR(AP$2)-YEAR($F74))*12 + MONTH(AP$2)-MONTH($F74)) / 12),
  0)</f>
        <v/>
      </c>
      <c r="AQ74" s="299">
        <f>IF(AND($F74&lt;=AQ$2, OR($G74="",$G74&gt;=AQ$2)),
  $H74 * (1 + Assumptions!$C$7) ^ INT(((YEAR(AQ$2)-YEAR($F74))*12 + MONTH(AQ$2)-MONTH($F74)) / 12),
  0)</f>
        <v/>
      </c>
      <c r="AR74" s="299">
        <f>IF(AND($F74&lt;=AR$2, OR($G74="",$G74&gt;=AR$2)),
  $H74 * (1 + Assumptions!$C$7) ^ INT(((YEAR(AR$2)-YEAR($F74))*12 + MONTH(AR$2)-MONTH($F74)) / 12),
  0)</f>
        <v/>
      </c>
      <c r="AS74" s="299">
        <f>IF(AND($F74&lt;=AS$2, OR($G74="",$G74&gt;=AS$2)),
  $H74 * (1 + Assumptions!$C$7) ^ INT(((YEAR(AS$2)-YEAR($F74))*12 + MONTH(AS$2)-MONTH($F74)) / 12),
  0)</f>
        <v/>
      </c>
      <c r="AT74" s="299">
        <f>IF(AND($F74&lt;=AT$2, OR($G74="",$G74&gt;=AT$2)),
  $H74 * (1 + Assumptions!$C$7) ^ INT(((YEAR(AT$2)-YEAR($F74))*12 + MONTH(AT$2)-MONTH($F74)) / 12),
  0)</f>
        <v/>
      </c>
      <c r="AU74" s="299">
        <f>IF(AND($F74&lt;=AU$2, OR($G74="",$G74&gt;=AU$2)),
  $H74 * (1 + Assumptions!$C$7) ^ INT(((YEAR(AU$2)-YEAR($F74))*12 + MONTH(AU$2)-MONTH($F74)) / 12),
  0)</f>
        <v/>
      </c>
      <c r="AV74" s="299">
        <f>IF(AND($F74&lt;=AV$2, OR($G74="",$G74&gt;=AV$2)),
  $H74 * (1 + Assumptions!$C$7) ^ INT(((YEAR(AV$2)-YEAR($F74))*12 + MONTH(AV$2)-MONTH($F74)) / 12),
  0)</f>
        <v/>
      </c>
      <c r="AW74" s="299">
        <f>IF(AND($F74&lt;=AW$2, OR($G74="",$G74&gt;=AW$2)),
  $H74 * (1 + Assumptions!$C$7) ^ INT(((YEAR(AW$2)-YEAR($F74))*12 + MONTH(AW$2)-MONTH($F74)) / 12),
  0)</f>
        <v/>
      </c>
      <c r="AX74" s="299">
        <f>IF(AND($F74&lt;=AX$2, OR($G74="",$G74&gt;=AX$2)),
  $H74 * (1 + Assumptions!$C$7) ^ INT(((YEAR(AX$2)-YEAR($F74))*12 + MONTH(AX$2)-MONTH($F74)) / 12),
  0)</f>
        <v/>
      </c>
      <c r="AY74" s="299">
        <f>IF(AND($F74&lt;=AY$2, OR($G74="",$G74&gt;=AY$2)),
  $H74 * (1 + Assumptions!$C$7) ^ INT(((YEAR(AY$2)-YEAR($F74))*12 + MONTH(AY$2)-MONTH($F74)) / 12),
  0)</f>
        <v/>
      </c>
      <c r="AZ74" s="299">
        <f>IF(AND($F74&lt;=AZ$2, OR($G74="",$G74&gt;=AZ$2)),
  $H74 * (1 + Assumptions!$C$7) ^ INT(((YEAR(AZ$2)-YEAR($F74))*12 + MONTH(AZ$2)-MONTH($F74)) / 12),
  0)</f>
        <v/>
      </c>
      <c r="BA74" s="299">
        <f>IF(AND($F74&lt;=BA$2, OR($G74="",$G74&gt;=BA$2)),
  $H74 * (1 + Assumptions!$C$7) ^ INT(((YEAR(BA$2)-YEAR($F74))*12 + MONTH(BA$2)-MONTH($F74)) / 12),
  0)</f>
        <v/>
      </c>
      <c r="BB74" s="299">
        <f>IF(AND($F74&lt;=BB$2, OR($G74="",$G74&gt;=BB$2)),
  $H74 * (1 + Assumptions!$C$7) ^ INT(((YEAR(BB$2)-YEAR($F74))*12 + MONTH(BB$2)-MONTH($F74)) / 12),
  0)</f>
        <v/>
      </c>
      <c r="BC74" s="299">
        <f>IF(AND($F74&lt;=BC$2, OR($G74="",$G74&gt;=BC$2)),
  $H74 * (1 + Assumptions!$C$7) ^ INT(((YEAR(BC$2)-YEAR($F74))*12 + MONTH(BC$2)-MONTH($F74)) / 12),
  0)</f>
        <v/>
      </c>
      <c r="BD74" s="299">
        <f>IF(AND($F74&lt;=BD$2, OR($G74="",$G74&gt;=BD$2)),
  $H74 * (1 + Assumptions!$C$7) ^ INT(((YEAR(BD$2)-YEAR($F74))*12 + MONTH(BD$2)-MONTH($F74)) / 12),
  0)</f>
        <v/>
      </c>
      <c r="BE74" s="299">
        <f>IF(AND($F74&lt;=BE$2, OR($G74="",$G74&gt;=BE$2)),
  $H74 * (1 + Assumptions!$C$7) ^ INT(((YEAR(BE$2)-YEAR($F74))*12 + MONTH(BE$2)-MONTH($F74)) / 12),
  0)</f>
        <v/>
      </c>
      <c r="BF74" s="299">
        <f>IF(AND($F74&lt;=BF$2, OR($G74="",$G74&gt;=BF$2)),
  $H74 * (1 + Assumptions!$C$7) ^ INT(((YEAR(BF$2)-YEAR($F74))*12 + MONTH(BF$2)-MONTH($F74)) / 12),
  0)</f>
        <v/>
      </c>
      <c r="BG74" s="299">
        <f>IF(AND($F74&lt;=BG$2, OR($G74="",$G74&gt;=BG$2)),
  $H74 * (1 + Assumptions!$C$7) ^ INT(((YEAR(BG$2)-YEAR($F74))*12 + MONTH(BG$2)-MONTH($F74)) / 12),
  0)</f>
        <v/>
      </c>
      <c r="BH74" s="299">
        <f>IF(AND($F74&lt;=BH$2, OR($G74="",$G74&gt;=BH$2)),
  $H74 * (1 + Assumptions!$C$7) ^ INT(((YEAR(BH$2)-YEAR($F74))*12 + MONTH(BH$2)-MONTH($F74)) / 12),
  0)</f>
        <v/>
      </c>
      <c r="BI74" s="299">
        <f>IF(AND($F74&lt;=BI$2, OR($G74="",$G74&gt;=BI$2)),
  $H74 * (1 + Assumptions!$C$7) ^ INT(((YEAR(BI$2)-YEAR($F74))*12 + MONTH(BI$2)-MONTH($F74)) / 12),
  0)</f>
        <v/>
      </c>
      <c r="BJ74" s="299">
        <f>IF(AND($F74&lt;=BJ$2, OR($G74="",$G74&gt;=BJ$2)),
  $H74 * (1 + Assumptions!$C$7) ^ INT(((YEAR(BJ$2)-YEAR($F74))*12 + MONTH(BJ$2)-MONTH($F74)) / 12),
  0)</f>
        <v/>
      </c>
      <c r="BK74" s="299">
        <f>IF(AND($F74&lt;=BK$2, OR($G74="",$G74&gt;=BK$2)),
  $H74 * (1 + Assumptions!$C$7) ^ INT(((YEAR(BK$2)-YEAR($F74))*12 + MONTH(BK$2)-MONTH($F74)) / 12),
  0)</f>
        <v/>
      </c>
      <c r="BL74" s="299">
        <f>IF(AND($F74&lt;=BL$2, OR($G74="",$G74&gt;=BL$2)),
  $H74 * (1 + Assumptions!$C$7) ^ INT(((YEAR(BL$2)-YEAR($F74))*12 + MONTH(BL$2)-MONTH($F74)) / 12),
  0)</f>
        <v/>
      </c>
      <c r="BM74" s="299">
        <f>IF(AND($F74&lt;=BM$2, OR($G74="",$G74&gt;=BM$2)),
  $H74 * (1 + Assumptions!$C$7) ^ INT(((YEAR(BM$2)-YEAR($F74))*12 + MONTH(BM$2)-MONTH($F74)) / 12),
  0)</f>
        <v/>
      </c>
      <c r="BN74" s="299">
        <f>IF(AND($F74&lt;=BN$2, OR($G74="",$G74&gt;=BN$2)),
  $H74 * (1 + Assumptions!$C$7) ^ INT(((YEAR(BN$2)-YEAR($F74))*12 + MONTH(BN$2)-MONTH($F74)) / 12),
  0)</f>
        <v/>
      </c>
      <c r="BO74" s="299">
        <f>IF(AND($F74&lt;=BO$2, OR($G74="",$G74&gt;=BO$2)),
  $H74 * (1 + Assumptions!$C$7) ^ INT(((YEAR(BO$2)-YEAR($F74))*12 + MONTH(BO$2)-MONTH($F74)) / 12),
  0)</f>
        <v/>
      </c>
      <c r="BP74" s="299">
        <f>IF(AND($F74&lt;=BP$2, OR($G74="",$G74&gt;=BP$2)),
  $H74 * (1 + Assumptions!$C$7) ^ INT(((YEAR(BP$2)-YEAR($F74))*12 + MONTH(BP$2)-MONTH($F74)) / 12),
  0)</f>
        <v/>
      </c>
      <c r="BQ74" s="31" t="n"/>
      <c r="BR74" s="31" t="n"/>
      <c r="BS74" s="31" t="n"/>
      <c r="BT74" s="31" t="n"/>
    </row>
    <row r="75" ht="15.75" customHeight="1" s="349">
      <c r="A75" s="321" t="n">
        <v>70</v>
      </c>
      <c r="B75" s="285" t="inlineStr">
        <is>
          <t>New hire</t>
        </is>
      </c>
      <c r="C75" s="317" t="inlineStr">
        <is>
          <t>S&amp;M</t>
        </is>
      </c>
      <c r="D75" s="317" t="inlineStr">
        <is>
          <t>Partner Manager</t>
        </is>
      </c>
      <c r="E75" s="297" t="inlineStr">
        <is>
          <t>Planned</t>
        </is>
      </c>
      <c r="F75" s="318">
        <f>IF(Assumptions!$D$82=2,DATE(2027,1,1),DATE(2027,1,1))</f>
        <v/>
      </c>
      <c r="G75" s="318" t="n"/>
      <c r="H75" s="288" t="n">
        <v>8000</v>
      </c>
      <c r="I75" s="299">
        <f>IF(AND($F75&lt;=I$2, OR($G75="",$G75&gt;=I$2)),
  $H75 * (1 + Assumptions!$C$7) ^ INT(((YEAR(I$2)-YEAR($F75))*12 + MONTH(I$2)-MONTH($F75)) / 12),
  0)</f>
        <v/>
      </c>
      <c r="J75" s="299">
        <f>IF(AND($F75&lt;=J$2, OR($G75="",$G75&gt;=J$2)),
  $H75 * (1 + Assumptions!$C$7) ^ INT(((YEAR(J$2)-YEAR($F75))*12 + MONTH(J$2)-MONTH($F75)) / 12),
  0)</f>
        <v/>
      </c>
      <c r="K75" s="299">
        <f>IF(AND($F75&lt;=K$2, OR($G75="",$G75&gt;=K$2)),
  $H75 * (1 + Assumptions!$C$7) ^ INT(((YEAR(K$2)-YEAR($F75))*12 + MONTH(K$2)-MONTH($F75)) / 12),
  0)</f>
        <v/>
      </c>
      <c r="L75" s="299">
        <f>IF(AND($F75&lt;=L$2, OR($G75="",$G75&gt;=L$2)),
  $H75 * (1 + Assumptions!$C$7) ^ INT(((YEAR(L$2)-YEAR($F75))*12 + MONTH(L$2)-MONTH($F75)) / 12),
  0)</f>
        <v/>
      </c>
      <c r="M75" s="299">
        <f>IF(AND($F75&lt;=M$2, OR($G75="",$G75&gt;=M$2)),
  $H75 * (1 + Assumptions!$C$7) ^ INT(((YEAR(M$2)-YEAR($F75))*12 + MONTH(M$2)-MONTH($F75)) / 12),
  0)</f>
        <v/>
      </c>
      <c r="N75" s="299">
        <f>IF(AND($F75&lt;=N$2, OR($G75="",$G75&gt;=N$2)),
  $H75 * (1 + Assumptions!$C$7) ^ INT(((YEAR(N$2)-YEAR($F75))*12 + MONTH(N$2)-MONTH($F75)) / 12),
  0)</f>
        <v/>
      </c>
      <c r="O75" s="299">
        <f>IF(AND($F75&lt;=O$2, OR($G75="",$G75&gt;=O$2)),
  $H75 * (1 + Assumptions!$C$7) ^ INT(((YEAR(O$2)-YEAR($F75))*12 + MONTH(O$2)-MONTH($F75)) / 12),
  0)</f>
        <v/>
      </c>
      <c r="P75" s="299">
        <f>IF(AND($F75&lt;=P$2, OR($G75="",$G75&gt;=P$2)),
  $H75 * (1 + Assumptions!$C$7) ^ INT(((YEAR(P$2)-YEAR($F75))*12 + MONTH(P$2)-MONTH($F75)) / 12),
  0)</f>
        <v/>
      </c>
      <c r="Q75" s="299">
        <f>IF(AND($F75&lt;=Q$2, OR($G75="",$G75&gt;=Q$2)),
  $H75 * (1 + Assumptions!$C$7) ^ INT(((YEAR(Q$2)-YEAR($F75))*12 + MONTH(Q$2)-MONTH($F75)) / 12),
  0)</f>
        <v/>
      </c>
      <c r="R75" s="299">
        <f>IF(AND($F75&lt;=R$2, OR($G75="",$G75&gt;=R$2)),
  $H75 * (1 + Assumptions!$C$7) ^ INT(((YEAR(R$2)-YEAR($F75))*12 + MONTH(R$2)-MONTH($F75)) / 12),
  0)</f>
        <v/>
      </c>
      <c r="S75" s="299">
        <f>IF(AND($F75&lt;=S$2, OR($G75="",$G75&gt;=S$2)),
  $H75 * (1 + Assumptions!$C$7) ^ INT(((YEAR(S$2)-YEAR($F75))*12 + MONTH(S$2)-MONTH($F75)) / 12),
  0)</f>
        <v/>
      </c>
      <c r="T75" s="299">
        <f>IF(AND($F75&lt;=T$2, OR($G75="",$G75&gt;=T$2)),
  $H75 * (1 + Assumptions!$C$7) ^ INT(((YEAR(T$2)-YEAR($F75))*12 + MONTH(T$2)-MONTH($F75)) / 12),
  0)</f>
        <v/>
      </c>
      <c r="U75" s="299">
        <f>IF(AND($F75&lt;=U$2, OR($G75="",$G75&gt;=U$2)),
  $H75 * (1 + Assumptions!$C$7) ^ INT(((YEAR(U$2)-YEAR($F75))*12 + MONTH(U$2)-MONTH($F75)) / 12),
  0)</f>
        <v/>
      </c>
      <c r="V75" s="299">
        <f>IF(AND($F75&lt;=V$2, OR($G75="",$G75&gt;=V$2)),
  $H75 * (1 + Assumptions!$C$7) ^ INT(((YEAR(V$2)-YEAR($F75))*12 + MONTH(V$2)-MONTH($F75)) / 12),
  0)</f>
        <v/>
      </c>
      <c r="W75" s="299">
        <f>IF(AND($F75&lt;=W$2, OR($G75="",$G75&gt;=W$2)),
  $H75 * (1 + Assumptions!$C$7) ^ INT(((YEAR(W$2)-YEAR($F75))*12 + MONTH(W$2)-MONTH($F75)) / 12),
  0)</f>
        <v/>
      </c>
      <c r="X75" s="299">
        <f>IF(AND($F75&lt;=X$2, OR($G75="",$G75&gt;=X$2)),
  $H75 * (1 + Assumptions!$C$7) ^ INT(((YEAR(X$2)-YEAR($F75))*12 + MONTH(X$2)-MONTH($F75)) / 12),
  0)</f>
        <v/>
      </c>
      <c r="Y75" s="299">
        <f>IF(AND($F75&lt;=Y$2, OR($G75="",$G75&gt;=Y$2)),
  $H75 * (1 + Assumptions!$C$7) ^ INT(((YEAR(Y$2)-YEAR($F75))*12 + MONTH(Y$2)-MONTH($F75)) / 12),
  0)</f>
        <v/>
      </c>
      <c r="Z75" s="299">
        <f>IF(AND($F75&lt;=Z$2, OR($G75="",$G75&gt;=Z$2)),
  $H75 * (1 + Assumptions!$C$7) ^ INT(((YEAR(Z$2)-YEAR($F75))*12 + MONTH(Z$2)-MONTH($F75)) / 12),
  0)</f>
        <v/>
      </c>
      <c r="AA75" s="299">
        <f>IF(AND($F75&lt;=AA$2, OR($G75="",$G75&gt;=AA$2)),
  $H75 * (1 + Assumptions!$C$7) ^ INT(((YEAR(AA$2)-YEAR($F75))*12 + MONTH(AA$2)-MONTH($F75)) / 12),
  0)</f>
        <v/>
      </c>
      <c r="AB75" s="299">
        <f>IF(AND($F75&lt;=AB$2, OR($G75="",$G75&gt;=AB$2)),
  $H75 * (1 + Assumptions!$C$7) ^ INT(((YEAR(AB$2)-YEAR($F75))*12 + MONTH(AB$2)-MONTH($F75)) / 12),
  0)</f>
        <v/>
      </c>
      <c r="AC75" s="299">
        <f>IF(AND($F75&lt;=AC$2, OR($G75="",$G75&gt;=AC$2)),
  $H75 * (1 + Assumptions!$C$7) ^ INT(((YEAR(AC$2)-YEAR($F75))*12 + MONTH(AC$2)-MONTH($F75)) / 12),
  0)</f>
        <v/>
      </c>
      <c r="AD75" s="299">
        <f>IF(AND($F75&lt;=AD$2, OR($G75="",$G75&gt;=AD$2)),
  $H75 * (1 + Assumptions!$C$7) ^ INT(((YEAR(AD$2)-YEAR($F75))*12 + MONTH(AD$2)-MONTH($F75)) / 12),
  0)</f>
        <v/>
      </c>
      <c r="AE75" s="299">
        <f>IF(AND($F75&lt;=AE$2, OR($G75="",$G75&gt;=AE$2)),
  $H75 * (1 + Assumptions!$C$7) ^ INT(((YEAR(AE$2)-YEAR($F75))*12 + MONTH(AE$2)-MONTH($F75)) / 12),
  0)</f>
        <v/>
      </c>
      <c r="AF75" s="299">
        <f>IF(AND($F75&lt;=AF$2, OR($G75="",$G75&gt;=AF$2)),
  $H75 * (1 + Assumptions!$C$7) ^ INT(((YEAR(AF$2)-YEAR($F75))*12 + MONTH(AF$2)-MONTH($F75)) / 12),
  0)</f>
        <v/>
      </c>
      <c r="AG75" s="299">
        <f>IF(AND($F75&lt;=AG$2, OR($G75="",$G75&gt;=AG$2)),
  $H75 * (1 + Assumptions!$C$7) ^ INT(((YEAR(AG$2)-YEAR($F75))*12 + MONTH(AG$2)-MONTH($F75)) / 12),
  0)</f>
        <v/>
      </c>
      <c r="AH75" s="299">
        <f>IF(AND($F75&lt;=AH$2, OR($G75="",$G75&gt;=AH$2)),
  $H75 * (1 + Assumptions!$C$7) ^ INT(((YEAR(AH$2)-YEAR($F75))*12 + MONTH(AH$2)-MONTH($F75)) / 12),
  0)</f>
        <v/>
      </c>
      <c r="AI75" s="299">
        <f>IF(AND($F75&lt;=AI$2, OR($G75="",$G75&gt;=AI$2)),
  $H75 * (1 + Assumptions!$C$7) ^ INT(((YEAR(AI$2)-YEAR($F75))*12 + MONTH(AI$2)-MONTH($F75)) / 12),
  0)</f>
        <v/>
      </c>
      <c r="AJ75" s="299">
        <f>IF(AND($F75&lt;=AJ$2, OR($G75="",$G75&gt;=AJ$2)),
  $H75 * (1 + Assumptions!$C$7) ^ INT(((YEAR(AJ$2)-YEAR($F75))*12 + MONTH(AJ$2)-MONTH($F75)) / 12),
  0)</f>
        <v/>
      </c>
      <c r="AK75" s="299">
        <f>IF(AND($F75&lt;=AK$2, OR($G75="",$G75&gt;=AK$2)),
  $H75 * (1 + Assumptions!$C$7) ^ INT(((YEAR(AK$2)-YEAR($F75))*12 + MONTH(AK$2)-MONTH($F75)) / 12),
  0)</f>
        <v/>
      </c>
      <c r="AL75" s="299">
        <f>IF(AND($F75&lt;=AL$2, OR($G75="",$G75&gt;=AL$2)),
  $H75 * (1 + Assumptions!$C$7) ^ INT(((YEAR(AL$2)-YEAR($F75))*12 + MONTH(AL$2)-MONTH($F75)) / 12),
  0)</f>
        <v/>
      </c>
      <c r="AM75" s="299">
        <f>IF(AND($F75&lt;=AM$2, OR($G75="",$G75&gt;=AM$2)),
  $H75 * (1 + Assumptions!$C$7) ^ INT(((YEAR(AM$2)-YEAR($F75))*12 + MONTH(AM$2)-MONTH($F75)) / 12),
  0)</f>
        <v/>
      </c>
      <c r="AN75" s="299">
        <f>IF(AND($F75&lt;=AN$2, OR($G75="",$G75&gt;=AN$2)),
  $H75 * (1 + Assumptions!$C$7) ^ INT(((YEAR(AN$2)-YEAR($F75))*12 + MONTH(AN$2)-MONTH($F75)) / 12),
  0)</f>
        <v/>
      </c>
      <c r="AO75" s="299">
        <f>IF(AND($F75&lt;=AO$2, OR($G75="",$G75&gt;=AO$2)),
  $H75 * (1 + Assumptions!$C$7) ^ INT(((YEAR(AO$2)-YEAR($F75))*12 + MONTH(AO$2)-MONTH($F75)) / 12),
  0)</f>
        <v/>
      </c>
      <c r="AP75" s="299">
        <f>IF(AND($F75&lt;=AP$2, OR($G75="",$G75&gt;=AP$2)),
  $H75 * (1 + Assumptions!$C$7) ^ INT(((YEAR(AP$2)-YEAR($F75))*12 + MONTH(AP$2)-MONTH($F75)) / 12),
  0)</f>
        <v/>
      </c>
      <c r="AQ75" s="299">
        <f>IF(AND($F75&lt;=AQ$2, OR($G75="",$G75&gt;=AQ$2)),
  $H75 * (1 + Assumptions!$C$7) ^ INT(((YEAR(AQ$2)-YEAR($F75))*12 + MONTH(AQ$2)-MONTH($F75)) / 12),
  0)</f>
        <v/>
      </c>
      <c r="AR75" s="299">
        <f>IF(AND($F75&lt;=AR$2, OR($G75="",$G75&gt;=AR$2)),
  $H75 * (1 + Assumptions!$C$7) ^ INT(((YEAR(AR$2)-YEAR($F75))*12 + MONTH(AR$2)-MONTH($F75)) / 12),
  0)</f>
        <v/>
      </c>
      <c r="AS75" s="299">
        <f>IF(AND($F75&lt;=AS$2, OR($G75="",$G75&gt;=AS$2)),
  $H75 * (1 + Assumptions!$C$7) ^ INT(((YEAR(AS$2)-YEAR($F75))*12 + MONTH(AS$2)-MONTH($F75)) / 12),
  0)</f>
        <v/>
      </c>
      <c r="AT75" s="299">
        <f>IF(AND($F75&lt;=AT$2, OR($G75="",$G75&gt;=AT$2)),
  $H75 * (1 + Assumptions!$C$7) ^ INT(((YEAR(AT$2)-YEAR($F75))*12 + MONTH(AT$2)-MONTH($F75)) / 12),
  0)</f>
        <v/>
      </c>
      <c r="AU75" s="299">
        <f>IF(AND($F75&lt;=AU$2, OR($G75="",$G75&gt;=AU$2)),
  $H75 * (1 + Assumptions!$C$7) ^ INT(((YEAR(AU$2)-YEAR($F75))*12 + MONTH(AU$2)-MONTH($F75)) / 12),
  0)</f>
        <v/>
      </c>
      <c r="AV75" s="299">
        <f>IF(AND($F75&lt;=AV$2, OR($G75="",$G75&gt;=AV$2)),
  $H75 * (1 + Assumptions!$C$7) ^ INT(((YEAR(AV$2)-YEAR($F75))*12 + MONTH(AV$2)-MONTH($F75)) / 12),
  0)</f>
        <v/>
      </c>
      <c r="AW75" s="299">
        <f>IF(AND($F75&lt;=AW$2, OR($G75="",$G75&gt;=AW$2)),
  $H75 * (1 + Assumptions!$C$7) ^ INT(((YEAR(AW$2)-YEAR($F75))*12 + MONTH(AW$2)-MONTH($F75)) / 12),
  0)</f>
        <v/>
      </c>
      <c r="AX75" s="299">
        <f>IF(AND($F75&lt;=AX$2, OR($G75="",$G75&gt;=AX$2)),
  $H75 * (1 + Assumptions!$C$7) ^ INT(((YEAR(AX$2)-YEAR($F75))*12 + MONTH(AX$2)-MONTH($F75)) / 12),
  0)</f>
        <v/>
      </c>
      <c r="AY75" s="299">
        <f>IF(AND($F75&lt;=AY$2, OR($G75="",$G75&gt;=AY$2)),
  $H75 * (1 + Assumptions!$C$7) ^ INT(((YEAR(AY$2)-YEAR($F75))*12 + MONTH(AY$2)-MONTH($F75)) / 12),
  0)</f>
        <v/>
      </c>
      <c r="AZ75" s="299">
        <f>IF(AND($F75&lt;=AZ$2, OR($G75="",$G75&gt;=AZ$2)),
  $H75 * (1 + Assumptions!$C$7) ^ INT(((YEAR(AZ$2)-YEAR($F75))*12 + MONTH(AZ$2)-MONTH($F75)) / 12),
  0)</f>
        <v/>
      </c>
      <c r="BA75" s="299">
        <f>IF(AND($F75&lt;=BA$2, OR($G75="",$G75&gt;=BA$2)),
  $H75 * (1 + Assumptions!$C$7) ^ INT(((YEAR(BA$2)-YEAR($F75))*12 + MONTH(BA$2)-MONTH($F75)) / 12),
  0)</f>
        <v/>
      </c>
      <c r="BB75" s="299">
        <f>IF(AND($F75&lt;=BB$2, OR($G75="",$G75&gt;=BB$2)),
  $H75 * (1 + Assumptions!$C$7) ^ INT(((YEAR(BB$2)-YEAR($F75))*12 + MONTH(BB$2)-MONTH($F75)) / 12),
  0)</f>
        <v/>
      </c>
      <c r="BC75" s="299">
        <f>IF(AND($F75&lt;=BC$2, OR($G75="",$G75&gt;=BC$2)),
  $H75 * (1 + Assumptions!$C$7) ^ INT(((YEAR(BC$2)-YEAR($F75))*12 + MONTH(BC$2)-MONTH($F75)) / 12),
  0)</f>
        <v/>
      </c>
      <c r="BD75" s="299">
        <f>IF(AND($F75&lt;=BD$2, OR($G75="",$G75&gt;=BD$2)),
  $H75 * (1 + Assumptions!$C$7) ^ INT(((YEAR(BD$2)-YEAR($F75))*12 + MONTH(BD$2)-MONTH($F75)) / 12),
  0)</f>
        <v/>
      </c>
      <c r="BE75" s="299">
        <f>IF(AND($F75&lt;=BE$2, OR($G75="",$G75&gt;=BE$2)),
  $H75 * (1 + Assumptions!$C$7) ^ INT(((YEAR(BE$2)-YEAR($F75))*12 + MONTH(BE$2)-MONTH($F75)) / 12),
  0)</f>
        <v/>
      </c>
      <c r="BF75" s="299">
        <f>IF(AND($F75&lt;=BF$2, OR($G75="",$G75&gt;=BF$2)),
  $H75 * (1 + Assumptions!$C$7) ^ INT(((YEAR(BF$2)-YEAR($F75))*12 + MONTH(BF$2)-MONTH($F75)) / 12),
  0)</f>
        <v/>
      </c>
      <c r="BG75" s="299">
        <f>IF(AND($F75&lt;=BG$2, OR($G75="",$G75&gt;=BG$2)),
  $H75 * (1 + Assumptions!$C$7) ^ INT(((YEAR(BG$2)-YEAR($F75))*12 + MONTH(BG$2)-MONTH($F75)) / 12),
  0)</f>
        <v/>
      </c>
      <c r="BH75" s="299">
        <f>IF(AND($F75&lt;=BH$2, OR($G75="",$G75&gt;=BH$2)),
  $H75 * (1 + Assumptions!$C$7) ^ INT(((YEAR(BH$2)-YEAR($F75))*12 + MONTH(BH$2)-MONTH($F75)) / 12),
  0)</f>
        <v/>
      </c>
      <c r="BI75" s="299">
        <f>IF(AND($F75&lt;=BI$2, OR($G75="",$G75&gt;=BI$2)),
  $H75 * (1 + Assumptions!$C$7) ^ INT(((YEAR(BI$2)-YEAR($F75))*12 + MONTH(BI$2)-MONTH($F75)) / 12),
  0)</f>
        <v/>
      </c>
      <c r="BJ75" s="299">
        <f>IF(AND($F75&lt;=BJ$2, OR($G75="",$G75&gt;=BJ$2)),
  $H75 * (1 + Assumptions!$C$7) ^ INT(((YEAR(BJ$2)-YEAR($F75))*12 + MONTH(BJ$2)-MONTH($F75)) / 12),
  0)</f>
        <v/>
      </c>
      <c r="BK75" s="299">
        <f>IF(AND($F75&lt;=BK$2, OR($G75="",$G75&gt;=BK$2)),
  $H75 * (1 + Assumptions!$C$7) ^ INT(((YEAR(BK$2)-YEAR($F75))*12 + MONTH(BK$2)-MONTH($F75)) / 12),
  0)</f>
        <v/>
      </c>
      <c r="BL75" s="299">
        <f>IF(AND($F75&lt;=BL$2, OR($G75="",$G75&gt;=BL$2)),
  $H75 * (1 + Assumptions!$C$7) ^ INT(((YEAR(BL$2)-YEAR($F75))*12 + MONTH(BL$2)-MONTH($F75)) / 12),
  0)</f>
        <v/>
      </c>
      <c r="BM75" s="299">
        <f>IF(AND($F75&lt;=BM$2, OR($G75="",$G75&gt;=BM$2)),
  $H75 * (1 + Assumptions!$C$7) ^ INT(((YEAR(BM$2)-YEAR($F75))*12 + MONTH(BM$2)-MONTH($F75)) / 12),
  0)</f>
        <v/>
      </c>
      <c r="BN75" s="299">
        <f>IF(AND($F75&lt;=BN$2, OR($G75="",$G75&gt;=BN$2)),
  $H75 * (1 + Assumptions!$C$7) ^ INT(((YEAR(BN$2)-YEAR($F75))*12 + MONTH(BN$2)-MONTH($F75)) / 12),
  0)</f>
        <v/>
      </c>
      <c r="BO75" s="299">
        <f>IF(AND($F75&lt;=BO$2, OR($G75="",$G75&gt;=BO$2)),
  $H75 * (1 + Assumptions!$C$7) ^ INT(((YEAR(BO$2)-YEAR($F75))*12 + MONTH(BO$2)-MONTH($F75)) / 12),
  0)</f>
        <v/>
      </c>
      <c r="BP75" s="299">
        <f>IF(AND($F75&lt;=BP$2, OR($G75="",$G75&gt;=BP$2)),
  $H75 * (1 + Assumptions!$C$7) ^ INT(((YEAR(BP$2)-YEAR($F75))*12 + MONTH(BP$2)-MONTH($F75)) / 12),
  0)</f>
        <v/>
      </c>
      <c r="BQ75" s="31" t="n"/>
      <c r="BR75" s="31" t="n"/>
      <c r="BS75" s="31" t="n"/>
      <c r="BT75" s="31" t="n"/>
    </row>
    <row r="76" ht="15.75" customHeight="1" s="349">
      <c r="A76" s="321" t="n">
        <v>71</v>
      </c>
      <c r="B76" s="285" t="inlineStr">
        <is>
          <t>New hire</t>
        </is>
      </c>
      <c r="C76" s="317" t="inlineStr">
        <is>
          <t>S&amp;M</t>
        </is>
      </c>
      <c r="D76" s="317" t="inlineStr">
        <is>
          <t>Partner Manager</t>
        </is>
      </c>
      <c r="E76" s="297" t="inlineStr">
        <is>
          <t>Planned</t>
        </is>
      </c>
      <c r="F76" s="318">
        <f>IF(Assumptions!$D$82=2,DATE(2029,7,1),DATE(2035,1,1))</f>
        <v/>
      </c>
      <c r="G76" s="318" t="n"/>
      <c r="H76" s="288" t="n">
        <v>8000</v>
      </c>
      <c r="I76" s="299">
        <f>IF(AND($F76&lt;=I$2, OR($G76="",$G76&gt;=I$2)),
  $H76 * (1 + Assumptions!$C$7) ^ INT(((YEAR(I$2)-YEAR($F76))*12 + MONTH(I$2)-MONTH($F76)) / 12),
  0)</f>
        <v/>
      </c>
      <c r="J76" s="299">
        <f>IF(AND($F76&lt;=J$2, OR($G76="",$G76&gt;=J$2)),
  $H76 * (1 + Assumptions!$C$7) ^ INT(((YEAR(J$2)-YEAR($F76))*12 + MONTH(J$2)-MONTH($F76)) / 12),
  0)</f>
        <v/>
      </c>
      <c r="K76" s="299">
        <f>IF(AND($F76&lt;=K$2, OR($G76="",$G76&gt;=K$2)),
  $H76 * (1 + Assumptions!$C$7) ^ INT(((YEAR(K$2)-YEAR($F76))*12 + MONTH(K$2)-MONTH($F76)) / 12),
  0)</f>
        <v/>
      </c>
      <c r="L76" s="299">
        <f>IF(AND($F76&lt;=L$2, OR($G76="",$G76&gt;=L$2)),
  $H76 * (1 + Assumptions!$C$7) ^ INT(((YEAR(L$2)-YEAR($F76))*12 + MONTH(L$2)-MONTH($F76)) / 12),
  0)</f>
        <v/>
      </c>
      <c r="M76" s="299">
        <f>IF(AND($F76&lt;=M$2, OR($G76="",$G76&gt;=M$2)),
  $H76 * (1 + Assumptions!$C$7) ^ INT(((YEAR(M$2)-YEAR($F76))*12 + MONTH(M$2)-MONTH($F76)) / 12),
  0)</f>
        <v/>
      </c>
      <c r="N76" s="299">
        <f>IF(AND($F76&lt;=N$2, OR($G76="",$G76&gt;=N$2)),
  $H76 * (1 + Assumptions!$C$7) ^ INT(((YEAR(N$2)-YEAR($F76))*12 + MONTH(N$2)-MONTH($F76)) / 12),
  0)</f>
        <v/>
      </c>
      <c r="O76" s="299">
        <f>IF(AND($F76&lt;=O$2, OR($G76="",$G76&gt;=O$2)),
  $H76 * (1 + Assumptions!$C$7) ^ INT(((YEAR(O$2)-YEAR($F76))*12 + MONTH(O$2)-MONTH($F76)) / 12),
  0)</f>
        <v/>
      </c>
      <c r="P76" s="299">
        <f>IF(AND($F76&lt;=P$2, OR($G76="",$G76&gt;=P$2)),
  $H76 * (1 + Assumptions!$C$7) ^ INT(((YEAR(P$2)-YEAR($F76))*12 + MONTH(P$2)-MONTH($F76)) / 12),
  0)</f>
        <v/>
      </c>
      <c r="Q76" s="299">
        <f>IF(AND($F76&lt;=Q$2, OR($G76="",$G76&gt;=Q$2)),
  $H76 * (1 + Assumptions!$C$7) ^ INT(((YEAR(Q$2)-YEAR($F76))*12 + MONTH(Q$2)-MONTH($F76)) / 12),
  0)</f>
        <v/>
      </c>
      <c r="R76" s="299">
        <f>IF(AND($F76&lt;=R$2, OR($G76="",$G76&gt;=R$2)),
  $H76 * (1 + Assumptions!$C$7) ^ INT(((YEAR(R$2)-YEAR($F76))*12 + MONTH(R$2)-MONTH($F76)) / 12),
  0)</f>
        <v/>
      </c>
      <c r="S76" s="299">
        <f>IF(AND($F76&lt;=S$2, OR($G76="",$G76&gt;=S$2)),
  $H76 * (1 + Assumptions!$C$7) ^ INT(((YEAR(S$2)-YEAR($F76))*12 + MONTH(S$2)-MONTH($F76)) / 12),
  0)</f>
        <v/>
      </c>
      <c r="T76" s="299">
        <f>IF(AND($F76&lt;=T$2, OR($G76="",$G76&gt;=T$2)),
  $H76 * (1 + Assumptions!$C$7) ^ INT(((YEAR(T$2)-YEAR($F76))*12 + MONTH(T$2)-MONTH($F76)) / 12),
  0)</f>
        <v/>
      </c>
      <c r="U76" s="299">
        <f>IF(AND($F76&lt;=U$2, OR($G76="",$G76&gt;=U$2)),
  $H76 * (1 + Assumptions!$C$7) ^ INT(((YEAR(U$2)-YEAR($F76))*12 + MONTH(U$2)-MONTH($F76)) / 12),
  0)</f>
        <v/>
      </c>
      <c r="V76" s="299">
        <f>IF(AND($F76&lt;=V$2, OR($G76="",$G76&gt;=V$2)),
  $H76 * (1 + Assumptions!$C$7) ^ INT(((YEAR(V$2)-YEAR($F76))*12 + MONTH(V$2)-MONTH($F76)) / 12),
  0)</f>
        <v/>
      </c>
      <c r="W76" s="299">
        <f>IF(AND($F76&lt;=W$2, OR($G76="",$G76&gt;=W$2)),
  $H76 * (1 + Assumptions!$C$7) ^ INT(((YEAR(W$2)-YEAR($F76))*12 + MONTH(W$2)-MONTH($F76)) / 12),
  0)</f>
        <v/>
      </c>
      <c r="X76" s="299">
        <f>IF(AND($F76&lt;=X$2, OR($G76="",$G76&gt;=X$2)),
  $H76 * (1 + Assumptions!$C$7) ^ INT(((YEAR(X$2)-YEAR($F76))*12 + MONTH(X$2)-MONTH($F76)) / 12),
  0)</f>
        <v/>
      </c>
      <c r="Y76" s="299">
        <f>IF(AND($F76&lt;=Y$2, OR($G76="",$G76&gt;=Y$2)),
  $H76 * (1 + Assumptions!$C$7) ^ INT(((YEAR(Y$2)-YEAR($F76))*12 + MONTH(Y$2)-MONTH($F76)) / 12),
  0)</f>
        <v/>
      </c>
      <c r="Z76" s="299">
        <f>IF(AND($F76&lt;=Z$2, OR($G76="",$G76&gt;=Z$2)),
  $H76 * (1 + Assumptions!$C$7) ^ INT(((YEAR(Z$2)-YEAR($F76))*12 + MONTH(Z$2)-MONTH($F76)) / 12),
  0)</f>
        <v/>
      </c>
      <c r="AA76" s="299">
        <f>IF(AND($F76&lt;=AA$2, OR($G76="",$G76&gt;=AA$2)),
  $H76 * (1 + Assumptions!$C$7) ^ INT(((YEAR(AA$2)-YEAR($F76))*12 + MONTH(AA$2)-MONTH($F76)) / 12),
  0)</f>
        <v/>
      </c>
      <c r="AB76" s="299">
        <f>IF(AND($F76&lt;=AB$2, OR($G76="",$G76&gt;=AB$2)),
  $H76 * (1 + Assumptions!$C$7) ^ INT(((YEAR(AB$2)-YEAR($F76))*12 + MONTH(AB$2)-MONTH($F76)) / 12),
  0)</f>
        <v/>
      </c>
      <c r="AC76" s="299">
        <f>IF(AND($F76&lt;=AC$2, OR($G76="",$G76&gt;=AC$2)),
  $H76 * (1 + Assumptions!$C$7) ^ INT(((YEAR(AC$2)-YEAR($F76))*12 + MONTH(AC$2)-MONTH($F76)) / 12),
  0)</f>
        <v/>
      </c>
      <c r="AD76" s="299">
        <f>IF(AND($F76&lt;=AD$2, OR($G76="",$G76&gt;=AD$2)),
  $H76 * (1 + Assumptions!$C$7) ^ INT(((YEAR(AD$2)-YEAR($F76))*12 + MONTH(AD$2)-MONTH($F76)) / 12),
  0)</f>
        <v/>
      </c>
      <c r="AE76" s="299">
        <f>IF(AND($F76&lt;=AE$2, OR($G76="",$G76&gt;=AE$2)),
  $H76 * (1 + Assumptions!$C$7) ^ INT(((YEAR(AE$2)-YEAR($F76))*12 + MONTH(AE$2)-MONTH($F76)) / 12),
  0)</f>
        <v/>
      </c>
      <c r="AF76" s="299">
        <f>IF(AND($F76&lt;=AF$2, OR($G76="",$G76&gt;=AF$2)),
  $H76 * (1 + Assumptions!$C$7) ^ INT(((YEAR(AF$2)-YEAR($F76))*12 + MONTH(AF$2)-MONTH($F76)) / 12),
  0)</f>
        <v/>
      </c>
      <c r="AG76" s="299">
        <f>IF(AND($F76&lt;=AG$2, OR($G76="",$G76&gt;=AG$2)),
  $H76 * (1 + Assumptions!$C$7) ^ INT(((YEAR(AG$2)-YEAR($F76))*12 + MONTH(AG$2)-MONTH($F76)) / 12),
  0)</f>
        <v/>
      </c>
      <c r="AH76" s="299">
        <f>IF(AND($F76&lt;=AH$2, OR($G76="",$G76&gt;=AH$2)),
  $H76 * (1 + Assumptions!$C$7) ^ INT(((YEAR(AH$2)-YEAR($F76))*12 + MONTH(AH$2)-MONTH($F76)) / 12),
  0)</f>
        <v/>
      </c>
      <c r="AI76" s="299">
        <f>IF(AND($F76&lt;=AI$2, OR($G76="",$G76&gt;=AI$2)),
  $H76 * (1 + Assumptions!$C$7) ^ INT(((YEAR(AI$2)-YEAR($F76))*12 + MONTH(AI$2)-MONTH($F76)) / 12),
  0)</f>
        <v/>
      </c>
      <c r="AJ76" s="299">
        <f>IF(AND($F76&lt;=AJ$2, OR($G76="",$G76&gt;=AJ$2)),
  $H76 * (1 + Assumptions!$C$7) ^ INT(((YEAR(AJ$2)-YEAR($F76))*12 + MONTH(AJ$2)-MONTH($F76)) / 12),
  0)</f>
        <v/>
      </c>
      <c r="AK76" s="299">
        <f>IF(AND($F76&lt;=AK$2, OR($G76="",$G76&gt;=AK$2)),
  $H76 * (1 + Assumptions!$C$7) ^ INT(((YEAR(AK$2)-YEAR($F76))*12 + MONTH(AK$2)-MONTH($F76)) / 12),
  0)</f>
        <v/>
      </c>
      <c r="AL76" s="299">
        <f>IF(AND($F76&lt;=AL$2, OR($G76="",$G76&gt;=AL$2)),
  $H76 * (1 + Assumptions!$C$7) ^ INT(((YEAR(AL$2)-YEAR($F76))*12 + MONTH(AL$2)-MONTH($F76)) / 12),
  0)</f>
        <v/>
      </c>
      <c r="AM76" s="299">
        <f>IF(AND($F76&lt;=AM$2, OR($G76="",$G76&gt;=AM$2)),
  $H76 * (1 + Assumptions!$C$7) ^ INT(((YEAR(AM$2)-YEAR($F76))*12 + MONTH(AM$2)-MONTH($F76)) / 12),
  0)</f>
        <v/>
      </c>
      <c r="AN76" s="299">
        <f>IF(AND($F76&lt;=AN$2, OR($G76="",$G76&gt;=AN$2)),
  $H76 * (1 + Assumptions!$C$7) ^ INT(((YEAR(AN$2)-YEAR($F76))*12 + MONTH(AN$2)-MONTH($F76)) / 12),
  0)</f>
        <v/>
      </c>
      <c r="AO76" s="299">
        <f>IF(AND($F76&lt;=AO$2, OR($G76="",$G76&gt;=AO$2)),
  $H76 * (1 + Assumptions!$C$7) ^ INT(((YEAR(AO$2)-YEAR($F76))*12 + MONTH(AO$2)-MONTH($F76)) / 12),
  0)</f>
        <v/>
      </c>
      <c r="AP76" s="299">
        <f>IF(AND($F76&lt;=AP$2, OR($G76="",$G76&gt;=AP$2)),
  $H76 * (1 + Assumptions!$C$7) ^ INT(((YEAR(AP$2)-YEAR($F76))*12 + MONTH(AP$2)-MONTH($F76)) / 12),
  0)</f>
        <v/>
      </c>
      <c r="AQ76" s="299">
        <f>IF(AND($F76&lt;=AQ$2, OR($G76="",$G76&gt;=AQ$2)),
  $H76 * (1 + Assumptions!$C$7) ^ INT(((YEAR(AQ$2)-YEAR($F76))*12 + MONTH(AQ$2)-MONTH($F76)) / 12),
  0)</f>
        <v/>
      </c>
      <c r="AR76" s="299">
        <f>IF(AND($F76&lt;=AR$2, OR($G76="",$G76&gt;=AR$2)),
  $H76 * (1 + Assumptions!$C$7) ^ INT(((YEAR(AR$2)-YEAR($F76))*12 + MONTH(AR$2)-MONTH($F76)) / 12),
  0)</f>
        <v/>
      </c>
      <c r="AS76" s="299">
        <f>IF(AND($F76&lt;=AS$2, OR($G76="",$G76&gt;=AS$2)),
  $H76 * (1 + Assumptions!$C$7) ^ INT(((YEAR(AS$2)-YEAR($F76))*12 + MONTH(AS$2)-MONTH($F76)) / 12),
  0)</f>
        <v/>
      </c>
      <c r="AT76" s="299">
        <f>IF(AND($F76&lt;=AT$2, OR($G76="",$G76&gt;=AT$2)),
  $H76 * (1 + Assumptions!$C$7) ^ INT(((YEAR(AT$2)-YEAR($F76))*12 + MONTH(AT$2)-MONTH($F76)) / 12),
  0)</f>
        <v/>
      </c>
      <c r="AU76" s="299">
        <f>IF(AND($F76&lt;=AU$2, OR($G76="",$G76&gt;=AU$2)),
  $H76 * (1 + Assumptions!$C$7) ^ INT(((YEAR(AU$2)-YEAR($F76))*12 + MONTH(AU$2)-MONTH($F76)) / 12),
  0)</f>
        <v/>
      </c>
      <c r="AV76" s="299">
        <f>IF(AND($F76&lt;=AV$2, OR($G76="",$G76&gt;=AV$2)),
  $H76 * (1 + Assumptions!$C$7) ^ INT(((YEAR(AV$2)-YEAR($F76))*12 + MONTH(AV$2)-MONTH($F76)) / 12),
  0)</f>
        <v/>
      </c>
      <c r="AW76" s="299">
        <f>IF(AND($F76&lt;=AW$2, OR($G76="",$G76&gt;=AW$2)),
  $H76 * (1 + Assumptions!$C$7) ^ INT(((YEAR(AW$2)-YEAR($F76))*12 + MONTH(AW$2)-MONTH($F76)) / 12),
  0)</f>
        <v/>
      </c>
      <c r="AX76" s="299">
        <f>IF(AND($F76&lt;=AX$2, OR($G76="",$G76&gt;=AX$2)),
  $H76 * (1 + Assumptions!$C$7) ^ INT(((YEAR(AX$2)-YEAR($F76))*12 + MONTH(AX$2)-MONTH($F76)) / 12),
  0)</f>
        <v/>
      </c>
      <c r="AY76" s="299">
        <f>IF(AND($F76&lt;=AY$2, OR($G76="",$G76&gt;=AY$2)),
  $H76 * (1 + Assumptions!$C$7) ^ INT(((YEAR(AY$2)-YEAR($F76))*12 + MONTH(AY$2)-MONTH($F76)) / 12),
  0)</f>
        <v/>
      </c>
      <c r="AZ76" s="299">
        <f>IF(AND($F76&lt;=AZ$2, OR($G76="",$G76&gt;=AZ$2)),
  $H76 * (1 + Assumptions!$C$7) ^ INT(((YEAR(AZ$2)-YEAR($F76))*12 + MONTH(AZ$2)-MONTH($F76)) / 12),
  0)</f>
        <v/>
      </c>
      <c r="BA76" s="299">
        <f>IF(AND($F76&lt;=BA$2, OR($G76="",$G76&gt;=BA$2)),
  $H76 * (1 + Assumptions!$C$7) ^ INT(((YEAR(BA$2)-YEAR($F76))*12 + MONTH(BA$2)-MONTH($F76)) / 12),
  0)</f>
        <v/>
      </c>
      <c r="BB76" s="299">
        <f>IF(AND($F76&lt;=BB$2, OR($G76="",$G76&gt;=BB$2)),
  $H76 * (1 + Assumptions!$C$7) ^ INT(((YEAR(BB$2)-YEAR($F76))*12 + MONTH(BB$2)-MONTH($F76)) / 12),
  0)</f>
        <v/>
      </c>
      <c r="BC76" s="299">
        <f>IF(AND($F76&lt;=BC$2, OR($G76="",$G76&gt;=BC$2)),
  $H76 * (1 + Assumptions!$C$7) ^ INT(((YEAR(BC$2)-YEAR($F76))*12 + MONTH(BC$2)-MONTH($F76)) / 12),
  0)</f>
        <v/>
      </c>
      <c r="BD76" s="299">
        <f>IF(AND($F76&lt;=BD$2, OR($G76="",$G76&gt;=BD$2)),
  $H76 * (1 + Assumptions!$C$7) ^ INT(((YEAR(BD$2)-YEAR($F76))*12 + MONTH(BD$2)-MONTH($F76)) / 12),
  0)</f>
        <v/>
      </c>
      <c r="BE76" s="299">
        <f>IF(AND($F76&lt;=BE$2, OR($G76="",$G76&gt;=BE$2)),
  $H76 * (1 + Assumptions!$C$7) ^ INT(((YEAR(BE$2)-YEAR($F76))*12 + MONTH(BE$2)-MONTH($F76)) / 12),
  0)</f>
        <v/>
      </c>
      <c r="BF76" s="299">
        <f>IF(AND($F76&lt;=BF$2, OR($G76="",$G76&gt;=BF$2)),
  $H76 * (1 + Assumptions!$C$7) ^ INT(((YEAR(BF$2)-YEAR($F76))*12 + MONTH(BF$2)-MONTH($F76)) / 12),
  0)</f>
        <v/>
      </c>
      <c r="BG76" s="299">
        <f>IF(AND($F76&lt;=BG$2, OR($G76="",$G76&gt;=BG$2)),
  $H76 * (1 + Assumptions!$C$7) ^ INT(((YEAR(BG$2)-YEAR($F76))*12 + MONTH(BG$2)-MONTH($F76)) / 12),
  0)</f>
        <v/>
      </c>
      <c r="BH76" s="299">
        <f>IF(AND($F76&lt;=BH$2, OR($G76="",$G76&gt;=BH$2)),
  $H76 * (1 + Assumptions!$C$7) ^ INT(((YEAR(BH$2)-YEAR($F76))*12 + MONTH(BH$2)-MONTH($F76)) / 12),
  0)</f>
        <v/>
      </c>
      <c r="BI76" s="299">
        <f>IF(AND($F76&lt;=BI$2, OR($G76="",$G76&gt;=BI$2)),
  $H76 * (1 + Assumptions!$C$7) ^ INT(((YEAR(BI$2)-YEAR($F76))*12 + MONTH(BI$2)-MONTH($F76)) / 12),
  0)</f>
        <v/>
      </c>
      <c r="BJ76" s="299">
        <f>IF(AND($F76&lt;=BJ$2, OR($G76="",$G76&gt;=BJ$2)),
  $H76 * (1 + Assumptions!$C$7) ^ INT(((YEAR(BJ$2)-YEAR($F76))*12 + MONTH(BJ$2)-MONTH($F76)) / 12),
  0)</f>
        <v/>
      </c>
      <c r="BK76" s="299">
        <f>IF(AND($F76&lt;=BK$2, OR($G76="",$G76&gt;=BK$2)),
  $H76 * (1 + Assumptions!$C$7) ^ INT(((YEAR(BK$2)-YEAR($F76))*12 + MONTH(BK$2)-MONTH($F76)) / 12),
  0)</f>
        <v/>
      </c>
      <c r="BL76" s="299">
        <f>IF(AND($F76&lt;=BL$2, OR($G76="",$G76&gt;=BL$2)),
  $H76 * (1 + Assumptions!$C$7) ^ INT(((YEAR(BL$2)-YEAR($F76))*12 + MONTH(BL$2)-MONTH($F76)) / 12),
  0)</f>
        <v/>
      </c>
      <c r="BM76" s="299">
        <f>IF(AND($F76&lt;=BM$2, OR($G76="",$G76&gt;=BM$2)),
  $H76 * (1 + Assumptions!$C$7) ^ INT(((YEAR(BM$2)-YEAR($F76))*12 + MONTH(BM$2)-MONTH($F76)) / 12),
  0)</f>
        <v/>
      </c>
      <c r="BN76" s="299">
        <f>IF(AND($F76&lt;=BN$2, OR($G76="",$G76&gt;=BN$2)),
  $H76 * (1 + Assumptions!$C$7) ^ INT(((YEAR(BN$2)-YEAR($F76))*12 + MONTH(BN$2)-MONTH($F76)) / 12),
  0)</f>
        <v/>
      </c>
      <c r="BO76" s="299">
        <f>IF(AND($F76&lt;=BO$2, OR($G76="",$G76&gt;=BO$2)),
  $H76 * (1 + Assumptions!$C$7) ^ INT(((YEAR(BO$2)-YEAR($F76))*12 + MONTH(BO$2)-MONTH($F76)) / 12),
  0)</f>
        <v/>
      </c>
      <c r="BP76" s="299">
        <f>IF(AND($F76&lt;=BP$2, OR($G76="",$G76&gt;=BP$2)),
  $H76 * (1 + Assumptions!$C$7) ^ INT(((YEAR(BP$2)-YEAR($F76))*12 + MONTH(BP$2)-MONTH($F76)) / 12),
  0)</f>
        <v/>
      </c>
      <c r="BQ76" s="31" t="n"/>
      <c r="BR76" s="31" t="n"/>
      <c r="BS76" s="31" t="n"/>
      <c r="BT76" s="31" t="n"/>
    </row>
    <row r="77" ht="15.75" customHeight="1" s="349">
      <c r="A77" s="321" t="n">
        <v>72</v>
      </c>
      <c r="B77" s="285" t="inlineStr">
        <is>
          <t>New hire</t>
        </is>
      </c>
      <c r="C77" s="317" t="inlineStr">
        <is>
          <t>S&amp;M</t>
        </is>
      </c>
      <c r="D77" s="317" t="inlineStr">
        <is>
          <t>Partner Manager</t>
        </is>
      </c>
      <c r="E77" s="297" t="inlineStr">
        <is>
          <t>Planned</t>
        </is>
      </c>
      <c r="F77" s="318">
        <f>IF(Assumptions!$D$82=2,DATE(2029,9,1),DATE(2035,1,1))</f>
        <v/>
      </c>
      <c r="G77" s="318" t="n"/>
      <c r="H77" s="288" t="n">
        <v>8000</v>
      </c>
      <c r="I77" s="299">
        <f>IF(AND($F77&lt;=I$2, OR($G77="",$G77&gt;=I$2)),
  $H77 * (1 + Assumptions!$C$7) ^ INT(((YEAR(I$2)-YEAR($F77))*12 + MONTH(I$2)-MONTH($F77)) / 12),
  0)</f>
        <v/>
      </c>
      <c r="J77" s="299">
        <f>IF(AND($F77&lt;=J$2, OR($G77="",$G77&gt;=J$2)),
  $H77 * (1 + Assumptions!$C$7) ^ INT(((YEAR(J$2)-YEAR($F77))*12 + MONTH(J$2)-MONTH($F77)) / 12),
  0)</f>
        <v/>
      </c>
      <c r="K77" s="299">
        <f>IF(AND($F77&lt;=K$2, OR($G77="",$G77&gt;=K$2)),
  $H77 * (1 + Assumptions!$C$7) ^ INT(((YEAR(K$2)-YEAR($F77))*12 + MONTH(K$2)-MONTH($F77)) / 12),
  0)</f>
        <v/>
      </c>
      <c r="L77" s="299">
        <f>IF(AND($F77&lt;=L$2, OR($G77="",$G77&gt;=L$2)),
  $H77 * (1 + Assumptions!$C$7) ^ INT(((YEAR(L$2)-YEAR($F77))*12 + MONTH(L$2)-MONTH($F77)) / 12),
  0)</f>
        <v/>
      </c>
      <c r="M77" s="299">
        <f>IF(AND($F77&lt;=M$2, OR($G77="",$G77&gt;=M$2)),
  $H77 * (1 + Assumptions!$C$7) ^ INT(((YEAR(M$2)-YEAR($F77))*12 + MONTH(M$2)-MONTH($F77)) / 12),
  0)</f>
        <v/>
      </c>
      <c r="N77" s="299">
        <f>IF(AND($F77&lt;=N$2, OR($G77="",$G77&gt;=N$2)),
  $H77 * (1 + Assumptions!$C$7) ^ INT(((YEAR(N$2)-YEAR($F77))*12 + MONTH(N$2)-MONTH($F77)) / 12),
  0)</f>
        <v/>
      </c>
      <c r="O77" s="299">
        <f>IF(AND($F77&lt;=O$2, OR($G77="",$G77&gt;=O$2)),
  $H77 * (1 + Assumptions!$C$7) ^ INT(((YEAR(O$2)-YEAR($F77))*12 + MONTH(O$2)-MONTH($F77)) / 12),
  0)</f>
        <v/>
      </c>
      <c r="P77" s="299">
        <f>IF(AND($F77&lt;=P$2, OR($G77="",$G77&gt;=P$2)),
  $H77 * (1 + Assumptions!$C$7) ^ INT(((YEAR(P$2)-YEAR($F77))*12 + MONTH(P$2)-MONTH($F77)) / 12),
  0)</f>
        <v/>
      </c>
      <c r="Q77" s="299">
        <f>IF(AND($F77&lt;=Q$2, OR($G77="",$G77&gt;=Q$2)),
  $H77 * (1 + Assumptions!$C$7) ^ INT(((YEAR(Q$2)-YEAR($F77))*12 + MONTH(Q$2)-MONTH($F77)) / 12),
  0)</f>
        <v/>
      </c>
      <c r="R77" s="299">
        <f>IF(AND($F77&lt;=R$2, OR($G77="",$G77&gt;=R$2)),
  $H77 * (1 + Assumptions!$C$7) ^ INT(((YEAR(R$2)-YEAR($F77))*12 + MONTH(R$2)-MONTH($F77)) / 12),
  0)</f>
        <v/>
      </c>
      <c r="S77" s="299">
        <f>IF(AND($F77&lt;=S$2, OR($G77="",$G77&gt;=S$2)),
  $H77 * (1 + Assumptions!$C$7) ^ INT(((YEAR(S$2)-YEAR($F77))*12 + MONTH(S$2)-MONTH($F77)) / 12),
  0)</f>
        <v/>
      </c>
      <c r="T77" s="299">
        <f>IF(AND($F77&lt;=T$2, OR($G77="",$G77&gt;=T$2)),
  $H77 * (1 + Assumptions!$C$7) ^ INT(((YEAR(T$2)-YEAR($F77))*12 + MONTH(T$2)-MONTH($F77)) / 12),
  0)</f>
        <v/>
      </c>
      <c r="U77" s="299">
        <f>IF(AND($F77&lt;=U$2, OR($G77="",$G77&gt;=U$2)),
  $H77 * (1 + Assumptions!$C$7) ^ INT(((YEAR(U$2)-YEAR($F77))*12 + MONTH(U$2)-MONTH($F77)) / 12),
  0)</f>
        <v/>
      </c>
      <c r="V77" s="299">
        <f>IF(AND($F77&lt;=V$2, OR($G77="",$G77&gt;=V$2)),
  $H77 * (1 + Assumptions!$C$7) ^ INT(((YEAR(V$2)-YEAR($F77))*12 + MONTH(V$2)-MONTH($F77)) / 12),
  0)</f>
        <v/>
      </c>
      <c r="W77" s="299">
        <f>IF(AND($F77&lt;=W$2, OR($G77="",$G77&gt;=W$2)),
  $H77 * (1 + Assumptions!$C$7) ^ INT(((YEAR(W$2)-YEAR($F77))*12 + MONTH(W$2)-MONTH($F77)) / 12),
  0)</f>
        <v/>
      </c>
      <c r="X77" s="299">
        <f>IF(AND($F77&lt;=X$2, OR($G77="",$G77&gt;=X$2)),
  $H77 * (1 + Assumptions!$C$7) ^ INT(((YEAR(X$2)-YEAR($F77))*12 + MONTH(X$2)-MONTH($F77)) / 12),
  0)</f>
        <v/>
      </c>
      <c r="Y77" s="299">
        <f>IF(AND($F77&lt;=Y$2, OR($G77="",$G77&gt;=Y$2)),
  $H77 * (1 + Assumptions!$C$7) ^ INT(((YEAR(Y$2)-YEAR($F77))*12 + MONTH(Y$2)-MONTH($F77)) / 12),
  0)</f>
        <v/>
      </c>
      <c r="Z77" s="299">
        <f>IF(AND($F77&lt;=Z$2, OR($G77="",$G77&gt;=Z$2)),
  $H77 * (1 + Assumptions!$C$7) ^ INT(((YEAR(Z$2)-YEAR($F77))*12 + MONTH(Z$2)-MONTH($F77)) / 12),
  0)</f>
        <v/>
      </c>
      <c r="AA77" s="299">
        <f>IF(AND($F77&lt;=AA$2, OR($G77="",$G77&gt;=AA$2)),
  $H77 * (1 + Assumptions!$C$7) ^ INT(((YEAR(AA$2)-YEAR($F77))*12 + MONTH(AA$2)-MONTH($F77)) / 12),
  0)</f>
        <v/>
      </c>
      <c r="AB77" s="299">
        <f>IF(AND($F77&lt;=AB$2, OR($G77="",$G77&gt;=AB$2)),
  $H77 * (1 + Assumptions!$C$7) ^ INT(((YEAR(AB$2)-YEAR($F77))*12 + MONTH(AB$2)-MONTH($F77)) / 12),
  0)</f>
        <v/>
      </c>
      <c r="AC77" s="299">
        <f>IF(AND($F77&lt;=AC$2, OR($G77="",$G77&gt;=AC$2)),
  $H77 * (1 + Assumptions!$C$7) ^ INT(((YEAR(AC$2)-YEAR($F77))*12 + MONTH(AC$2)-MONTH($F77)) / 12),
  0)</f>
        <v/>
      </c>
      <c r="AD77" s="299">
        <f>IF(AND($F77&lt;=AD$2, OR($G77="",$G77&gt;=AD$2)),
  $H77 * (1 + Assumptions!$C$7) ^ INT(((YEAR(AD$2)-YEAR($F77))*12 + MONTH(AD$2)-MONTH($F77)) / 12),
  0)</f>
        <v/>
      </c>
      <c r="AE77" s="299">
        <f>IF(AND($F77&lt;=AE$2, OR($G77="",$G77&gt;=AE$2)),
  $H77 * (1 + Assumptions!$C$7) ^ INT(((YEAR(AE$2)-YEAR($F77))*12 + MONTH(AE$2)-MONTH($F77)) / 12),
  0)</f>
        <v/>
      </c>
      <c r="AF77" s="299">
        <f>IF(AND($F77&lt;=AF$2, OR($G77="",$G77&gt;=AF$2)),
  $H77 * (1 + Assumptions!$C$7) ^ INT(((YEAR(AF$2)-YEAR($F77))*12 + MONTH(AF$2)-MONTH($F77)) / 12),
  0)</f>
        <v/>
      </c>
      <c r="AG77" s="299">
        <f>IF(AND($F77&lt;=AG$2, OR($G77="",$G77&gt;=AG$2)),
  $H77 * (1 + Assumptions!$C$7) ^ INT(((YEAR(AG$2)-YEAR($F77))*12 + MONTH(AG$2)-MONTH($F77)) / 12),
  0)</f>
        <v/>
      </c>
      <c r="AH77" s="299">
        <f>IF(AND($F77&lt;=AH$2, OR($G77="",$G77&gt;=AH$2)),
  $H77 * (1 + Assumptions!$C$7) ^ INT(((YEAR(AH$2)-YEAR($F77))*12 + MONTH(AH$2)-MONTH($F77)) / 12),
  0)</f>
        <v/>
      </c>
      <c r="AI77" s="299">
        <f>IF(AND($F77&lt;=AI$2, OR($G77="",$G77&gt;=AI$2)),
  $H77 * (1 + Assumptions!$C$7) ^ INT(((YEAR(AI$2)-YEAR($F77))*12 + MONTH(AI$2)-MONTH($F77)) / 12),
  0)</f>
        <v/>
      </c>
      <c r="AJ77" s="299">
        <f>IF(AND($F77&lt;=AJ$2, OR($G77="",$G77&gt;=AJ$2)),
  $H77 * (1 + Assumptions!$C$7) ^ INT(((YEAR(AJ$2)-YEAR($F77))*12 + MONTH(AJ$2)-MONTH($F77)) / 12),
  0)</f>
        <v/>
      </c>
      <c r="AK77" s="299">
        <f>IF(AND($F77&lt;=AK$2, OR($G77="",$G77&gt;=AK$2)),
  $H77 * (1 + Assumptions!$C$7) ^ INT(((YEAR(AK$2)-YEAR($F77))*12 + MONTH(AK$2)-MONTH($F77)) / 12),
  0)</f>
        <v/>
      </c>
      <c r="AL77" s="299">
        <f>IF(AND($F77&lt;=AL$2, OR($G77="",$G77&gt;=AL$2)),
  $H77 * (1 + Assumptions!$C$7) ^ INT(((YEAR(AL$2)-YEAR($F77))*12 + MONTH(AL$2)-MONTH($F77)) / 12),
  0)</f>
        <v/>
      </c>
      <c r="AM77" s="299">
        <f>IF(AND($F77&lt;=AM$2, OR($G77="",$G77&gt;=AM$2)),
  $H77 * (1 + Assumptions!$C$7) ^ INT(((YEAR(AM$2)-YEAR($F77))*12 + MONTH(AM$2)-MONTH($F77)) / 12),
  0)</f>
        <v/>
      </c>
      <c r="AN77" s="299">
        <f>IF(AND($F77&lt;=AN$2, OR($G77="",$G77&gt;=AN$2)),
  $H77 * (1 + Assumptions!$C$7) ^ INT(((YEAR(AN$2)-YEAR($F77))*12 + MONTH(AN$2)-MONTH($F77)) / 12),
  0)</f>
        <v/>
      </c>
      <c r="AO77" s="299">
        <f>IF(AND($F77&lt;=AO$2, OR($G77="",$G77&gt;=AO$2)),
  $H77 * (1 + Assumptions!$C$7) ^ INT(((YEAR(AO$2)-YEAR($F77))*12 + MONTH(AO$2)-MONTH($F77)) / 12),
  0)</f>
        <v/>
      </c>
      <c r="AP77" s="299">
        <f>IF(AND($F77&lt;=AP$2, OR($G77="",$G77&gt;=AP$2)),
  $H77 * (1 + Assumptions!$C$7) ^ INT(((YEAR(AP$2)-YEAR($F77))*12 + MONTH(AP$2)-MONTH($F77)) / 12),
  0)</f>
        <v/>
      </c>
      <c r="AQ77" s="299">
        <f>IF(AND($F77&lt;=AQ$2, OR($G77="",$G77&gt;=AQ$2)),
  $H77 * (1 + Assumptions!$C$7) ^ INT(((YEAR(AQ$2)-YEAR($F77))*12 + MONTH(AQ$2)-MONTH($F77)) / 12),
  0)</f>
        <v/>
      </c>
      <c r="AR77" s="299">
        <f>IF(AND($F77&lt;=AR$2, OR($G77="",$G77&gt;=AR$2)),
  $H77 * (1 + Assumptions!$C$7) ^ INT(((YEAR(AR$2)-YEAR($F77))*12 + MONTH(AR$2)-MONTH($F77)) / 12),
  0)</f>
        <v/>
      </c>
      <c r="AS77" s="299">
        <f>IF(AND($F77&lt;=AS$2, OR($G77="",$G77&gt;=AS$2)),
  $H77 * (1 + Assumptions!$C$7) ^ INT(((YEAR(AS$2)-YEAR($F77))*12 + MONTH(AS$2)-MONTH($F77)) / 12),
  0)</f>
        <v/>
      </c>
      <c r="AT77" s="299">
        <f>IF(AND($F77&lt;=AT$2, OR($G77="",$G77&gt;=AT$2)),
  $H77 * (1 + Assumptions!$C$7) ^ INT(((YEAR(AT$2)-YEAR($F77))*12 + MONTH(AT$2)-MONTH($F77)) / 12),
  0)</f>
        <v/>
      </c>
      <c r="AU77" s="299">
        <f>IF(AND($F77&lt;=AU$2, OR($G77="",$G77&gt;=AU$2)),
  $H77 * (1 + Assumptions!$C$7) ^ INT(((YEAR(AU$2)-YEAR($F77))*12 + MONTH(AU$2)-MONTH($F77)) / 12),
  0)</f>
        <v/>
      </c>
      <c r="AV77" s="299">
        <f>IF(AND($F77&lt;=AV$2, OR($G77="",$G77&gt;=AV$2)),
  $H77 * (1 + Assumptions!$C$7) ^ INT(((YEAR(AV$2)-YEAR($F77))*12 + MONTH(AV$2)-MONTH($F77)) / 12),
  0)</f>
        <v/>
      </c>
      <c r="AW77" s="299">
        <f>IF(AND($F77&lt;=AW$2, OR($G77="",$G77&gt;=AW$2)),
  $H77 * (1 + Assumptions!$C$7) ^ INT(((YEAR(AW$2)-YEAR($F77))*12 + MONTH(AW$2)-MONTH($F77)) / 12),
  0)</f>
        <v/>
      </c>
      <c r="AX77" s="299">
        <f>IF(AND($F77&lt;=AX$2, OR($G77="",$G77&gt;=AX$2)),
  $H77 * (1 + Assumptions!$C$7) ^ INT(((YEAR(AX$2)-YEAR($F77))*12 + MONTH(AX$2)-MONTH($F77)) / 12),
  0)</f>
        <v/>
      </c>
      <c r="AY77" s="299">
        <f>IF(AND($F77&lt;=AY$2, OR($G77="",$G77&gt;=AY$2)),
  $H77 * (1 + Assumptions!$C$7) ^ INT(((YEAR(AY$2)-YEAR($F77))*12 + MONTH(AY$2)-MONTH($F77)) / 12),
  0)</f>
        <v/>
      </c>
      <c r="AZ77" s="299">
        <f>IF(AND($F77&lt;=AZ$2, OR($G77="",$G77&gt;=AZ$2)),
  $H77 * (1 + Assumptions!$C$7) ^ INT(((YEAR(AZ$2)-YEAR($F77))*12 + MONTH(AZ$2)-MONTH($F77)) / 12),
  0)</f>
        <v/>
      </c>
      <c r="BA77" s="299">
        <f>IF(AND($F77&lt;=BA$2, OR($G77="",$G77&gt;=BA$2)),
  $H77 * (1 + Assumptions!$C$7) ^ INT(((YEAR(BA$2)-YEAR($F77))*12 + MONTH(BA$2)-MONTH($F77)) / 12),
  0)</f>
        <v/>
      </c>
      <c r="BB77" s="299">
        <f>IF(AND($F77&lt;=BB$2, OR($G77="",$G77&gt;=BB$2)),
  $H77 * (1 + Assumptions!$C$7) ^ INT(((YEAR(BB$2)-YEAR($F77))*12 + MONTH(BB$2)-MONTH($F77)) / 12),
  0)</f>
        <v/>
      </c>
      <c r="BC77" s="299">
        <f>IF(AND($F77&lt;=BC$2, OR($G77="",$G77&gt;=BC$2)),
  $H77 * (1 + Assumptions!$C$7) ^ INT(((YEAR(BC$2)-YEAR($F77))*12 + MONTH(BC$2)-MONTH($F77)) / 12),
  0)</f>
        <v/>
      </c>
      <c r="BD77" s="299">
        <f>IF(AND($F77&lt;=BD$2, OR($G77="",$G77&gt;=BD$2)),
  $H77 * (1 + Assumptions!$C$7) ^ INT(((YEAR(BD$2)-YEAR($F77))*12 + MONTH(BD$2)-MONTH($F77)) / 12),
  0)</f>
        <v/>
      </c>
      <c r="BE77" s="299">
        <f>IF(AND($F77&lt;=BE$2, OR($G77="",$G77&gt;=BE$2)),
  $H77 * (1 + Assumptions!$C$7) ^ INT(((YEAR(BE$2)-YEAR($F77))*12 + MONTH(BE$2)-MONTH($F77)) / 12),
  0)</f>
        <v/>
      </c>
      <c r="BF77" s="299">
        <f>IF(AND($F77&lt;=BF$2, OR($G77="",$G77&gt;=BF$2)),
  $H77 * (1 + Assumptions!$C$7) ^ INT(((YEAR(BF$2)-YEAR($F77))*12 + MONTH(BF$2)-MONTH($F77)) / 12),
  0)</f>
        <v/>
      </c>
      <c r="BG77" s="299">
        <f>IF(AND($F77&lt;=BG$2, OR($G77="",$G77&gt;=BG$2)),
  $H77 * (1 + Assumptions!$C$7) ^ INT(((YEAR(BG$2)-YEAR($F77))*12 + MONTH(BG$2)-MONTH($F77)) / 12),
  0)</f>
        <v/>
      </c>
      <c r="BH77" s="299">
        <f>IF(AND($F77&lt;=BH$2, OR($G77="",$G77&gt;=BH$2)),
  $H77 * (1 + Assumptions!$C$7) ^ INT(((YEAR(BH$2)-YEAR($F77))*12 + MONTH(BH$2)-MONTH($F77)) / 12),
  0)</f>
        <v/>
      </c>
      <c r="BI77" s="299">
        <f>IF(AND($F77&lt;=BI$2, OR($G77="",$G77&gt;=BI$2)),
  $H77 * (1 + Assumptions!$C$7) ^ INT(((YEAR(BI$2)-YEAR($F77))*12 + MONTH(BI$2)-MONTH($F77)) / 12),
  0)</f>
        <v/>
      </c>
      <c r="BJ77" s="299">
        <f>IF(AND($F77&lt;=BJ$2, OR($G77="",$G77&gt;=BJ$2)),
  $H77 * (1 + Assumptions!$C$7) ^ INT(((YEAR(BJ$2)-YEAR($F77))*12 + MONTH(BJ$2)-MONTH($F77)) / 12),
  0)</f>
        <v/>
      </c>
      <c r="BK77" s="299">
        <f>IF(AND($F77&lt;=BK$2, OR($G77="",$G77&gt;=BK$2)),
  $H77 * (1 + Assumptions!$C$7) ^ INT(((YEAR(BK$2)-YEAR($F77))*12 + MONTH(BK$2)-MONTH($F77)) / 12),
  0)</f>
        <v/>
      </c>
      <c r="BL77" s="299">
        <f>IF(AND($F77&lt;=BL$2, OR($G77="",$G77&gt;=BL$2)),
  $H77 * (1 + Assumptions!$C$7) ^ INT(((YEAR(BL$2)-YEAR($F77))*12 + MONTH(BL$2)-MONTH($F77)) / 12),
  0)</f>
        <v/>
      </c>
      <c r="BM77" s="299">
        <f>IF(AND($F77&lt;=BM$2, OR($G77="",$G77&gt;=BM$2)),
  $H77 * (1 + Assumptions!$C$7) ^ INT(((YEAR(BM$2)-YEAR($F77))*12 + MONTH(BM$2)-MONTH($F77)) / 12),
  0)</f>
        <v/>
      </c>
      <c r="BN77" s="299">
        <f>IF(AND($F77&lt;=BN$2, OR($G77="",$G77&gt;=BN$2)),
  $H77 * (1 + Assumptions!$C$7) ^ INT(((YEAR(BN$2)-YEAR($F77))*12 + MONTH(BN$2)-MONTH($F77)) / 12),
  0)</f>
        <v/>
      </c>
      <c r="BO77" s="299">
        <f>IF(AND($F77&lt;=BO$2, OR($G77="",$G77&gt;=BO$2)),
  $H77 * (1 + Assumptions!$C$7) ^ INT(((YEAR(BO$2)-YEAR($F77))*12 + MONTH(BO$2)-MONTH($F77)) / 12),
  0)</f>
        <v/>
      </c>
      <c r="BP77" s="299">
        <f>IF(AND($F77&lt;=BP$2, OR($G77="",$G77&gt;=BP$2)),
  $H77 * (1 + Assumptions!$C$7) ^ INT(((YEAR(BP$2)-YEAR($F77))*12 + MONTH(BP$2)-MONTH($F77)) / 12),
  0)</f>
        <v/>
      </c>
      <c r="BQ77" s="31" t="n"/>
      <c r="BR77" s="31" t="n"/>
      <c r="BS77" s="31" t="n"/>
      <c r="BT77" s="31" t="n"/>
    </row>
    <row r="78" ht="15.75" customHeight="1" s="349">
      <c r="A78" s="321" t="n">
        <v>73</v>
      </c>
      <c r="B78" s="285" t="inlineStr">
        <is>
          <t>New hire</t>
        </is>
      </c>
      <c r="C78" s="317" t="inlineStr">
        <is>
          <t>S&amp;M</t>
        </is>
      </c>
      <c r="D78" s="317" t="inlineStr">
        <is>
          <t>Installer Trainer</t>
        </is>
      </c>
      <c r="E78" s="297" t="inlineStr">
        <is>
          <t>Planned</t>
        </is>
      </c>
      <c r="F78" s="318">
        <f>IF(Assumptions!$D$82=2,DATE(2027,1,1),DATE(2027,1,1))</f>
        <v/>
      </c>
      <c r="G78" s="318" t="n"/>
      <c r="H78" s="288" t="n">
        <v>7000</v>
      </c>
      <c r="I78" s="299">
        <f>IF(AND($F78&lt;=I$2, OR($G78="",$G78&gt;=I$2)),
  $H78 * (1 + Assumptions!$C$7) ^ INT(((YEAR(I$2)-YEAR($F78))*12 + MONTH(I$2)-MONTH($F78)) / 12),
  0)</f>
        <v/>
      </c>
      <c r="J78" s="299">
        <f>IF(AND($F78&lt;=J$2, OR($G78="",$G78&gt;=J$2)),
  $H78 * (1 + Assumptions!$C$7) ^ INT(((YEAR(J$2)-YEAR($F78))*12 + MONTH(J$2)-MONTH($F78)) / 12),
  0)</f>
        <v/>
      </c>
      <c r="K78" s="299">
        <f>IF(AND($F78&lt;=K$2, OR($G78="",$G78&gt;=K$2)),
  $H78 * (1 + Assumptions!$C$7) ^ INT(((YEAR(K$2)-YEAR($F78))*12 + MONTH(K$2)-MONTH($F78)) / 12),
  0)</f>
        <v/>
      </c>
      <c r="L78" s="299">
        <f>IF(AND($F78&lt;=L$2, OR($G78="",$G78&gt;=L$2)),
  $H78 * (1 + Assumptions!$C$7) ^ INT(((YEAR(L$2)-YEAR($F78))*12 + MONTH(L$2)-MONTH($F78)) / 12),
  0)</f>
        <v/>
      </c>
      <c r="M78" s="299">
        <f>IF(AND($F78&lt;=M$2, OR($G78="",$G78&gt;=M$2)),
  $H78 * (1 + Assumptions!$C$7) ^ INT(((YEAR(M$2)-YEAR($F78))*12 + MONTH(M$2)-MONTH($F78)) / 12),
  0)</f>
        <v/>
      </c>
      <c r="N78" s="299">
        <f>IF(AND($F78&lt;=N$2, OR($G78="",$G78&gt;=N$2)),
  $H78 * (1 + Assumptions!$C$7) ^ INT(((YEAR(N$2)-YEAR($F78))*12 + MONTH(N$2)-MONTH($F78)) / 12),
  0)</f>
        <v/>
      </c>
      <c r="O78" s="299">
        <f>IF(AND($F78&lt;=O$2, OR($G78="",$G78&gt;=O$2)),
  $H78 * (1 + Assumptions!$C$7) ^ INT(((YEAR(O$2)-YEAR($F78))*12 + MONTH(O$2)-MONTH($F78)) / 12),
  0)</f>
        <v/>
      </c>
      <c r="P78" s="299">
        <f>IF(AND($F78&lt;=P$2, OR($G78="",$G78&gt;=P$2)),
  $H78 * (1 + Assumptions!$C$7) ^ INT(((YEAR(P$2)-YEAR($F78))*12 + MONTH(P$2)-MONTH($F78)) / 12),
  0)</f>
        <v/>
      </c>
      <c r="Q78" s="299">
        <f>IF(AND($F78&lt;=Q$2, OR($G78="",$G78&gt;=Q$2)),
  $H78 * (1 + Assumptions!$C$7) ^ INT(((YEAR(Q$2)-YEAR($F78))*12 + MONTH(Q$2)-MONTH($F78)) / 12),
  0)</f>
        <v/>
      </c>
      <c r="R78" s="299">
        <f>IF(AND($F78&lt;=R$2, OR($G78="",$G78&gt;=R$2)),
  $H78 * (1 + Assumptions!$C$7) ^ INT(((YEAR(R$2)-YEAR($F78))*12 + MONTH(R$2)-MONTH($F78)) / 12),
  0)</f>
        <v/>
      </c>
      <c r="S78" s="299">
        <f>IF(AND($F78&lt;=S$2, OR($G78="",$G78&gt;=S$2)),
  $H78 * (1 + Assumptions!$C$7) ^ INT(((YEAR(S$2)-YEAR($F78))*12 + MONTH(S$2)-MONTH($F78)) / 12),
  0)</f>
        <v/>
      </c>
      <c r="T78" s="299">
        <f>IF(AND($F78&lt;=T$2, OR($G78="",$G78&gt;=T$2)),
  $H78 * (1 + Assumptions!$C$7) ^ INT(((YEAR(T$2)-YEAR($F78))*12 + MONTH(T$2)-MONTH($F78)) / 12),
  0)</f>
        <v/>
      </c>
      <c r="U78" s="299">
        <f>IF(AND($F78&lt;=U$2, OR($G78="",$G78&gt;=U$2)),
  $H78 * (1 + Assumptions!$C$7) ^ INT(((YEAR(U$2)-YEAR($F78))*12 + MONTH(U$2)-MONTH($F78)) / 12),
  0)</f>
        <v/>
      </c>
      <c r="V78" s="299">
        <f>IF(AND($F78&lt;=V$2, OR($G78="",$G78&gt;=V$2)),
  $H78 * (1 + Assumptions!$C$7) ^ INT(((YEAR(V$2)-YEAR($F78))*12 + MONTH(V$2)-MONTH($F78)) / 12),
  0)</f>
        <v/>
      </c>
      <c r="W78" s="299">
        <f>IF(AND($F78&lt;=W$2, OR($G78="",$G78&gt;=W$2)),
  $H78 * (1 + Assumptions!$C$7) ^ INT(((YEAR(W$2)-YEAR($F78))*12 + MONTH(W$2)-MONTH($F78)) / 12),
  0)</f>
        <v/>
      </c>
      <c r="X78" s="299">
        <f>IF(AND($F78&lt;=X$2, OR($G78="",$G78&gt;=X$2)),
  $H78 * (1 + Assumptions!$C$7) ^ INT(((YEAR(X$2)-YEAR($F78))*12 + MONTH(X$2)-MONTH($F78)) / 12),
  0)</f>
        <v/>
      </c>
      <c r="Y78" s="299">
        <f>IF(AND($F78&lt;=Y$2, OR($G78="",$G78&gt;=Y$2)),
  $H78 * (1 + Assumptions!$C$7) ^ INT(((YEAR(Y$2)-YEAR($F78))*12 + MONTH(Y$2)-MONTH($F78)) / 12),
  0)</f>
        <v/>
      </c>
      <c r="Z78" s="299">
        <f>IF(AND($F78&lt;=Z$2, OR($G78="",$G78&gt;=Z$2)),
  $H78 * (1 + Assumptions!$C$7) ^ INT(((YEAR(Z$2)-YEAR($F78))*12 + MONTH(Z$2)-MONTH($F78)) / 12),
  0)</f>
        <v/>
      </c>
      <c r="AA78" s="299">
        <f>IF(AND($F78&lt;=AA$2, OR($G78="",$G78&gt;=AA$2)),
  $H78 * (1 + Assumptions!$C$7) ^ INT(((YEAR(AA$2)-YEAR($F78))*12 + MONTH(AA$2)-MONTH($F78)) / 12),
  0)</f>
        <v/>
      </c>
      <c r="AB78" s="299">
        <f>IF(AND($F78&lt;=AB$2, OR($G78="",$G78&gt;=AB$2)),
  $H78 * (1 + Assumptions!$C$7) ^ INT(((YEAR(AB$2)-YEAR($F78))*12 + MONTH(AB$2)-MONTH($F78)) / 12),
  0)</f>
        <v/>
      </c>
      <c r="AC78" s="299">
        <f>IF(AND($F78&lt;=AC$2, OR($G78="",$G78&gt;=AC$2)),
  $H78 * (1 + Assumptions!$C$7) ^ INT(((YEAR(AC$2)-YEAR($F78))*12 + MONTH(AC$2)-MONTH($F78)) / 12),
  0)</f>
        <v/>
      </c>
      <c r="AD78" s="299">
        <f>IF(AND($F78&lt;=AD$2, OR($G78="",$G78&gt;=AD$2)),
  $H78 * (1 + Assumptions!$C$7) ^ INT(((YEAR(AD$2)-YEAR($F78))*12 + MONTH(AD$2)-MONTH($F78)) / 12),
  0)</f>
        <v/>
      </c>
      <c r="AE78" s="299">
        <f>IF(AND($F78&lt;=AE$2, OR($G78="",$G78&gt;=AE$2)),
  $H78 * (1 + Assumptions!$C$7) ^ INT(((YEAR(AE$2)-YEAR($F78))*12 + MONTH(AE$2)-MONTH($F78)) / 12),
  0)</f>
        <v/>
      </c>
      <c r="AF78" s="299">
        <f>IF(AND($F78&lt;=AF$2, OR($G78="",$G78&gt;=AF$2)),
  $H78 * (1 + Assumptions!$C$7) ^ INT(((YEAR(AF$2)-YEAR($F78))*12 + MONTH(AF$2)-MONTH($F78)) / 12),
  0)</f>
        <v/>
      </c>
      <c r="AG78" s="299">
        <f>IF(AND($F78&lt;=AG$2, OR($G78="",$G78&gt;=AG$2)),
  $H78 * (1 + Assumptions!$C$7) ^ INT(((YEAR(AG$2)-YEAR($F78))*12 + MONTH(AG$2)-MONTH($F78)) / 12),
  0)</f>
        <v/>
      </c>
      <c r="AH78" s="299">
        <f>IF(AND($F78&lt;=AH$2, OR($G78="",$G78&gt;=AH$2)),
  $H78 * (1 + Assumptions!$C$7) ^ INT(((YEAR(AH$2)-YEAR($F78))*12 + MONTH(AH$2)-MONTH($F78)) / 12),
  0)</f>
        <v/>
      </c>
      <c r="AI78" s="299">
        <f>IF(AND($F78&lt;=AI$2, OR($G78="",$G78&gt;=AI$2)),
  $H78 * (1 + Assumptions!$C$7) ^ INT(((YEAR(AI$2)-YEAR($F78))*12 + MONTH(AI$2)-MONTH($F78)) / 12),
  0)</f>
        <v/>
      </c>
      <c r="AJ78" s="299">
        <f>IF(AND($F78&lt;=AJ$2, OR($G78="",$G78&gt;=AJ$2)),
  $H78 * (1 + Assumptions!$C$7) ^ INT(((YEAR(AJ$2)-YEAR($F78))*12 + MONTH(AJ$2)-MONTH($F78)) / 12),
  0)</f>
        <v/>
      </c>
      <c r="AK78" s="299">
        <f>IF(AND($F78&lt;=AK$2, OR($G78="",$G78&gt;=AK$2)),
  $H78 * (1 + Assumptions!$C$7) ^ INT(((YEAR(AK$2)-YEAR($F78))*12 + MONTH(AK$2)-MONTH($F78)) / 12),
  0)</f>
        <v/>
      </c>
      <c r="AL78" s="299">
        <f>IF(AND($F78&lt;=AL$2, OR($G78="",$G78&gt;=AL$2)),
  $H78 * (1 + Assumptions!$C$7) ^ INT(((YEAR(AL$2)-YEAR($F78))*12 + MONTH(AL$2)-MONTH($F78)) / 12),
  0)</f>
        <v/>
      </c>
      <c r="AM78" s="299">
        <f>IF(AND($F78&lt;=AM$2, OR($G78="",$G78&gt;=AM$2)),
  $H78 * (1 + Assumptions!$C$7) ^ INT(((YEAR(AM$2)-YEAR($F78))*12 + MONTH(AM$2)-MONTH($F78)) / 12),
  0)</f>
        <v/>
      </c>
      <c r="AN78" s="299">
        <f>IF(AND($F78&lt;=AN$2, OR($G78="",$G78&gt;=AN$2)),
  $H78 * (1 + Assumptions!$C$7) ^ INT(((YEAR(AN$2)-YEAR($F78))*12 + MONTH(AN$2)-MONTH($F78)) / 12),
  0)</f>
        <v/>
      </c>
      <c r="AO78" s="299">
        <f>IF(AND($F78&lt;=AO$2, OR($G78="",$G78&gt;=AO$2)),
  $H78 * (1 + Assumptions!$C$7) ^ INT(((YEAR(AO$2)-YEAR($F78))*12 + MONTH(AO$2)-MONTH($F78)) / 12),
  0)</f>
        <v/>
      </c>
      <c r="AP78" s="299">
        <f>IF(AND($F78&lt;=AP$2, OR($G78="",$G78&gt;=AP$2)),
  $H78 * (1 + Assumptions!$C$7) ^ INT(((YEAR(AP$2)-YEAR($F78))*12 + MONTH(AP$2)-MONTH($F78)) / 12),
  0)</f>
        <v/>
      </c>
      <c r="AQ78" s="299">
        <f>IF(AND($F78&lt;=AQ$2, OR($G78="",$G78&gt;=AQ$2)),
  $H78 * (1 + Assumptions!$C$7) ^ INT(((YEAR(AQ$2)-YEAR($F78))*12 + MONTH(AQ$2)-MONTH($F78)) / 12),
  0)</f>
        <v/>
      </c>
      <c r="AR78" s="299">
        <f>IF(AND($F78&lt;=AR$2, OR($G78="",$G78&gt;=AR$2)),
  $H78 * (1 + Assumptions!$C$7) ^ INT(((YEAR(AR$2)-YEAR($F78))*12 + MONTH(AR$2)-MONTH($F78)) / 12),
  0)</f>
        <v/>
      </c>
      <c r="AS78" s="299">
        <f>IF(AND($F78&lt;=AS$2, OR($G78="",$G78&gt;=AS$2)),
  $H78 * (1 + Assumptions!$C$7) ^ INT(((YEAR(AS$2)-YEAR($F78))*12 + MONTH(AS$2)-MONTH($F78)) / 12),
  0)</f>
        <v/>
      </c>
      <c r="AT78" s="299">
        <f>IF(AND($F78&lt;=AT$2, OR($G78="",$G78&gt;=AT$2)),
  $H78 * (1 + Assumptions!$C$7) ^ INT(((YEAR(AT$2)-YEAR($F78))*12 + MONTH(AT$2)-MONTH($F78)) / 12),
  0)</f>
        <v/>
      </c>
      <c r="AU78" s="299">
        <f>IF(AND($F78&lt;=AU$2, OR($G78="",$G78&gt;=AU$2)),
  $H78 * (1 + Assumptions!$C$7) ^ INT(((YEAR(AU$2)-YEAR($F78))*12 + MONTH(AU$2)-MONTH($F78)) / 12),
  0)</f>
        <v/>
      </c>
      <c r="AV78" s="299">
        <f>IF(AND($F78&lt;=AV$2, OR($G78="",$G78&gt;=AV$2)),
  $H78 * (1 + Assumptions!$C$7) ^ INT(((YEAR(AV$2)-YEAR($F78))*12 + MONTH(AV$2)-MONTH($F78)) / 12),
  0)</f>
        <v/>
      </c>
      <c r="AW78" s="299">
        <f>IF(AND($F78&lt;=AW$2, OR($G78="",$G78&gt;=AW$2)),
  $H78 * (1 + Assumptions!$C$7) ^ INT(((YEAR(AW$2)-YEAR($F78))*12 + MONTH(AW$2)-MONTH($F78)) / 12),
  0)</f>
        <v/>
      </c>
      <c r="AX78" s="299">
        <f>IF(AND($F78&lt;=AX$2, OR($G78="",$G78&gt;=AX$2)),
  $H78 * (1 + Assumptions!$C$7) ^ INT(((YEAR(AX$2)-YEAR($F78))*12 + MONTH(AX$2)-MONTH($F78)) / 12),
  0)</f>
        <v/>
      </c>
      <c r="AY78" s="299">
        <f>IF(AND($F78&lt;=AY$2, OR($G78="",$G78&gt;=AY$2)),
  $H78 * (1 + Assumptions!$C$7) ^ INT(((YEAR(AY$2)-YEAR($F78))*12 + MONTH(AY$2)-MONTH($F78)) / 12),
  0)</f>
        <v/>
      </c>
      <c r="AZ78" s="299">
        <f>IF(AND($F78&lt;=AZ$2, OR($G78="",$G78&gt;=AZ$2)),
  $H78 * (1 + Assumptions!$C$7) ^ INT(((YEAR(AZ$2)-YEAR($F78))*12 + MONTH(AZ$2)-MONTH($F78)) / 12),
  0)</f>
        <v/>
      </c>
      <c r="BA78" s="299">
        <f>IF(AND($F78&lt;=BA$2, OR($G78="",$G78&gt;=BA$2)),
  $H78 * (1 + Assumptions!$C$7) ^ INT(((YEAR(BA$2)-YEAR($F78))*12 + MONTH(BA$2)-MONTH($F78)) / 12),
  0)</f>
        <v/>
      </c>
      <c r="BB78" s="299">
        <f>IF(AND($F78&lt;=BB$2, OR($G78="",$G78&gt;=BB$2)),
  $H78 * (1 + Assumptions!$C$7) ^ INT(((YEAR(BB$2)-YEAR($F78))*12 + MONTH(BB$2)-MONTH($F78)) / 12),
  0)</f>
        <v/>
      </c>
      <c r="BC78" s="299">
        <f>IF(AND($F78&lt;=BC$2, OR($G78="",$G78&gt;=BC$2)),
  $H78 * (1 + Assumptions!$C$7) ^ INT(((YEAR(BC$2)-YEAR($F78))*12 + MONTH(BC$2)-MONTH($F78)) / 12),
  0)</f>
        <v/>
      </c>
      <c r="BD78" s="299">
        <f>IF(AND($F78&lt;=BD$2, OR($G78="",$G78&gt;=BD$2)),
  $H78 * (1 + Assumptions!$C$7) ^ INT(((YEAR(BD$2)-YEAR($F78))*12 + MONTH(BD$2)-MONTH($F78)) / 12),
  0)</f>
        <v/>
      </c>
      <c r="BE78" s="299">
        <f>IF(AND($F78&lt;=BE$2, OR($G78="",$G78&gt;=BE$2)),
  $H78 * (1 + Assumptions!$C$7) ^ INT(((YEAR(BE$2)-YEAR($F78))*12 + MONTH(BE$2)-MONTH($F78)) / 12),
  0)</f>
        <v/>
      </c>
      <c r="BF78" s="299">
        <f>IF(AND($F78&lt;=BF$2, OR($G78="",$G78&gt;=BF$2)),
  $H78 * (1 + Assumptions!$C$7) ^ INT(((YEAR(BF$2)-YEAR($F78))*12 + MONTH(BF$2)-MONTH($F78)) / 12),
  0)</f>
        <v/>
      </c>
      <c r="BG78" s="299">
        <f>IF(AND($F78&lt;=BG$2, OR($G78="",$G78&gt;=BG$2)),
  $H78 * (1 + Assumptions!$C$7) ^ INT(((YEAR(BG$2)-YEAR($F78))*12 + MONTH(BG$2)-MONTH($F78)) / 12),
  0)</f>
        <v/>
      </c>
      <c r="BH78" s="299">
        <f>IF(AND($F78&lt;=BH$2, OR($G78="",$G78&gt;=BH$2)),
  $H78 * (1 + Assumptions!$C$7) ^ INT(((YEAR(BH$2)-YEAR($F78))*12 + MONTH(BH$2)-MONTH($F78)) / 12),
  0)</f>
        <v/>
      </c>
      <c r="BI78" s="299">
        <f>IF(AND($F78&lt;=BI$2, OR($G78="",$G78&gt;=BI$2)),
  $H78 * (1 + Assumptions!$C$7) ^ INT(((YEAR(BI$2)-YEAR($F78))*12 + MONTH(BI$2)-MONTH($F78)) / 12),
  0)</f>
        <v/>
      </c>
      <c r="BJ78" s="299">
        <f>IF(AND($F78&lt;=BJ$2, OR($G78="",$G78&gt;=BJ$2)),
  $H78 * (1 + Assumptions!$C$7) ^ INT(((YEAR(BJ$2)-YEAR($F78))*12 + MONTH(BJ$2)-MONTH($F78)) / 12),
  0)</f>
        <v/>
      </c>
      <c r="BK78" s="299">
        <f>IF(AND($F78&lt;=BK$2, OR($G78="",$G78&gt;=BK$2)),
  $H78 * (1 + Assumptions!$C$7) ^ INT(((YEAR(BK$2)-YEAR($F78))*12 + MONTH(BK$2)-MONTH($F78)) / 12),
  0)</f>
        <v/>
      </c>
      <c r="BL78" s="299">
        <f>IF(AND($F78&lt;=BL$2, OR($G78="",$G78&gt;=BL$2)),
  $H78 * (1 + Assumptions!$C$7) ^ INT(((YEAR(BL$2)-YEAR($F78))*12 + MONTH(BL$2)-MONTH($F78)) / 12),
  0)</f>
        <v/>
      </c>
      <c r="BM78" s="299">
        <f>IF(AND($F78&lt;=BM$2, OR($G78="",$G78&gt;=BM$2)),
  $H78 * (1 + Assumptions!$C$7) ^ INT(((YEAR(BM$2)-YEAR($F78))*12 + MONTH(BM$2)-MONTH($F78)) / 12),
  0)</f>
        <v/>
      </c>
      <c r="BN78" s="299">
        <f>IF(AND($F78&lt;=BN$2, OR($G78="",$G78&gt;=BN$2)),
  $H78 * (1 + Assumptions!$C$7) ^ INT(((YEAR(BN$2)-YEAR($F78))*12 + MONTH(BN$2)-MONTH($F78)) / 12),
  0)</f>
        <v/>
      </c>
      <c r="BO78" s="299">
        <f>IF(AND($F78&lt;=BO$2, OR($G78="",$G78&gt;=BO$2)),
  $H78 * (1 + Assumptions!$C$7) ^ INT(((YEAR(BO$2)-YEAR($F78))*12 + MONTH(BO$2)-MONTH($F78)) / 12),
  0)</f>
        <v/>
      </c>
      <c r="BP78" s="299">
        <f>IF(AND($F78&lt;=BP$2, OR($G78="",$G78&gt;=BP$2)),
  $H78 * (1 + Assumptions!$C$7) ^ INT(((YEAR(BP$2)-YEAR($F78))*12 + MONTH(BP$2)-MONTH($F78)) / 12),
  0)</f>
        <v/>
      </c>
      <c r="BQ78" s="31" t="n"/>
      <c r="BR78" s="31" t="n"/>
      <c r="BS78" s="31" t="n"/>
      <c r="BT78" s="31" t="n"/>
    </row>
    <row r="79" ht="15.75" customHeight="1" s="349">
      <c r="A79" s="321" t="n">
        <v>74</v>
      </c>
      <c r="B79" s="285" t="inlineStr">
        <is>
          <t>New hire</t>
        </is>
      </c>
      <c r="C79" s="317" t="inlineStr">
        <is>
          <t>S&amp;M</t>
        </is>
      </c>
      <c r="D79" s="317" t="inlineStr">
        <is>
          <t>Installer Trainer</t>
        </is>
      </c>
      <c r="E79" s="297" t="inlineStr">
        <is>
          <t>Planned</t>
        </is>
      </c>
      <c r="F79" s="318">
        <f>IF(Assumptions!$D$82=2,DATE(2028,1,1),DATE(2035,1,1))</f>
        <v/>
      </c>
      <c r="G79" s="318" t="n"/>
      <c r="H79" s="288" t="n">
        <v>7000</v>
      </c>
      <c r="I79" s="299">
        <f>IF(AND($F79&lt;=I$2, OR($G79="",$G79&gt;=I$2)),
  $H79 * (1 + Assumptions!$C$7) ^ INT(((YEAR(I$2)-YEAR($F79))*12 + MONTH(I$2)-MONTH($F79)) / 12),
  0)</f>
        <v/>
      </c>
      <c r="J79" s="299">
        <f>IF(AND($F79&lt;=J$2, OR($G79="",$G79&gt;=J$2)),
  $H79 * (1 + Assumptions!$C$7) ^ INT(((YEAR(J$2)-YEAR($F79))*12 + MONTH(J$2)-MONTH($F79)) / 12),
  0)</f>
        <v/>
      </c>
      <c r="K79" s="299">
        <f>IF(AND($F79&lt;=K$2, OR($G79="",$G79&gt;=K$2)),
  $H79 * (1 + Assumptions!$C$7) ^ INT(((YEAR(K$2)-YEAR($F79))*12 + MONTH(K$2)-MONTH($F79)) / 12),
  0)</f>
        <v/>
      </c>
      <c r="L79" s="299">
        <f>IF(AND($F79&lt;=L$2, OR($G79="",$G79&gt;=L$2)),
  $H79 * (1 + Assumptions!$C$7) ^ INT(((YEAR(L$2)-YEAR($F79))*12 + MONTH(L$2)-MONTH($F79)) / 12),
  0)</f>
        <v/>
      </c>
      <c r="M79" s="299">
        <f>IF(AND($F79&lt;=M$2, OR($G79="",$G79&gt;=M$2)),
  $H79 * (1 + Assumptions!$C$7) ^ INT(((YEAR(M$2)-YEAR($F79))*12 + MONTH(M$2)-MONTH($F79)) / 12),
  0)</f>
        <v/>
      </c>
      <c r="N79" s="299">
        <f>IF(AND($F79&lt;=N$2, OR($G79="",$G79&gt;=N$2)),
  $H79 * (1 + Assumptions!$C$7) ^ INT(((YEAR(N$2)-YEAR($F79))*12 + MONTH(N$2)-MONTH($F79)) / 12),
  0)</f>
        <v/>
      </c>
      <c r="O79" s="299">
        <f>IF(AND($F79&lt;=O$2, OR($G79="",$G79&gt;=O$2)),
  $H79 * (1 + Assumptions!$C$7) ^ INT(((YEAR(O$2)-YEAR($F79))*12 + MONTH(O$2)-MONTH($F79)) / 12),
  0)</f>
        <v/>
      </c>
      <c r="P79" s="299">
        <f>IF(AND($F79&lt;=P$2, OR($G79="",$G79&gt;=P$2)),
  $H79 * (1 + Assumptions!$C$7) ^ INT(((YEAR(P$2)-YEAR($F79))*12 + MONTH(P$2)-MONTH($F79)) / 12),
  0)</f>
        <v/>
      </c>
      <c r="Q79" s="299">
        <f>IF(AND($F79&lt;=Q$2, OR($G79="",$G79&gt;=Q$2)),
  $H79 * (1 + Assumptions!$C$7) ^ INT(((YEAR(Q$2)-YEAR($F79))*12 + MONTH(Q$2)-MONTH($F79)) / 12),
  0)</f>
        <v/>
      </c>
      <c r="R79" s="299">
        <f>IF(AND($F79&lt;=R$2, OR($G79="",$G79&gt;=R$2)),
  $H79 * (1 + Assumptions!$C$7) ^ INT(((YEAR(R$2)-YEAR($F79))*12 + MONTH(R$2)-MONTH($F79)) / 12),
  0)</f>
        <v/>
      </c>
      <c r="S79" s="299">
        <f>IF(AND($F79&lt;=S$2, OR($G79="",$G79&gt;=S$2)),
  $H79 * (1 + Assumptions!$C$7) ^ INT(((YEAR(S$2)-YEAR($F79))*12 + MONTH(S$2)-MONTH($F79)) / 12),
  0)</f>
        <v/>
      </c>
      <c r="T79" s="299">
        <f>IF(AND($F79&lt;=T$2, OR($G79="",$G79&gt;=T$2)),
  $H79 * (1 + Assumptions!$C$7) ^ INT(((YEAR(T$2)-YEAR($F79))*12 + MONTH(T$2)-MONTH($F79)) / 12),
  0)</f>
        <v/>
      </c>
      <c r="U79" s="299">
        <f>IF(AND($F79&lt;=U$2, OR($G79="",$G79&gt;=U$2)),
  $H79 * (1 + Assumptions!$C$7) ^ INT(((YEAR(U$2)-YEAR($F79))*12 + MONTH(U$2)-MONTH($F79)) / 12),
  0)</f>
        <v/>
      </c>
      <c r="V79" s="299">
        <f>IF(AND($F79&lt;=V$2, OR($G79="",$G79&gt;=V$2)),
  $H79 * (1 + Assumptions!$C$7) ^ INT(((YEAR(V$2)-YEAR($F79))*12 + MONTH(V$2)-MONTH($F79)) / 12),
  0)</f>
        <v/>
      </c>
      <c r="W79" s="299">
        <f>IF(AND($F79&lt;=W$2, OR($G79="",$G79&gt;=W$2)),
  $H79 * (1 + Assumptions!$C$7) ^ INT(((YEAR(W$2)-YEAR($F79))*12 + MONTH(W$2)-MONTH($F79)) / 12),
  0)</f>
        <v/>
      </c>
      <c r="X79" s="299">
        <f>IF(AND($F79&lt;=X$2, OR($G79="",$G79&gt;=X$2)),
  $H79 * (1 + Assumptions!$C$7) ^ INT(((YEAR(X$2)-YEAR($F79))*12 + MONTH(X$2)-MONTH($F79)) / 12),
  0)</f>
        <v/>
      </c>
      <c r="Y79" s="299">
        <f>IF(AND($F79&lt;=Y$2, OR($G79="",$G79&gt;=Y$2)),
  $H79 * (1 + Assumptions!$C$7) ^ INT(((YEAR(Y$2)-YEAR($F79))*12 + MONTH(Y$2)-MONTH($F79)) / 12),
  0)</f>
        <v/>
      </c>
      <c r="Z79" s="299">
        <f>IF(AND($F79&lt;=Z$2, OR($G79="",$G79&gt;=Z$2)),
  $H79 * (1 + Assumptions!$C$7) ^ INT(((YEAR(Z$2)-YEAR($F79))*12 + MONTH(Z$2)-MONTH($F79)) / 12),
  0)</f>
        <v/>
      </c>
      <c r="AA79" s="299">
        <f>IF(AND($F79&lt;=AA$2, OR($G79="",$G79&gt;=AA$2)),
  $H79 * (1 + Assumptions!$C$7) ^ INT(((YEAR(AA$2)-YEAR($F79))*12 + MONTH(AA$2)-MONTH($F79)) / 12),
  0)</f>
        <v/>
      </c>
      <c r="AB79" s="299">
        <f>IF(AND($F79&lt;=AB$2, OR($G79="",$G79&gt;=AB$2)),
  $H79 * (1 + Assumptions!$C$7) ^ INT(((YEAR(AB$2)-YEAR($F79))*12 + MONTH(AB$2)-MONTH($F79)) / 12),
  0)</f>
        <v/>
      </c>
      <c r="AC79" s="299">
        <f>IF(AND($F79&lt;=AC$2, OR($G79="",$G79&gt;=AC$2)),
  $H79 * (1 + Assumptions!$C$7) ^ INT(((YEAR(AC$2)-YEAR($F79))*12 + MONTH(AC$2)-MONTH($F79)) / 12),
  0)</f>
        <v/>
      </c>
      <c r="AD79" s="299">
        <f>IF(AND($F79&lt;=AD$2, OR($G79="",$G79&gt;=AD$2)),
  $H79 * (1 + Assumptions!$C$7) ^ INT(((YEAR(AD$2)-YEAR($F79))*12 + MONTH(AD$2)-MONTH($F79)) / 12),
  0)</f>
        <v/>
      </c>
      <c r="AE79" s="299">
        <f>IF(AND($F79&lt;=AE$2, OR($G79="",$G79&gt;=AE$2)),
  $H79 * (1 + Assumptions!$C$7) ^ INT(((YEAR(AE$2)-YEAR($F79))*12 + MONTH(AE$2)-MONTH($F79)) / 12),
  0)</f>
        <v/>
      </c>
      <c r="AF79" s="299">
        <f>IF(AND($F79&lt;=AF$2, OR($G79="",$G79&gt;=AF$2)),
  $H79 * (1 + Assumptions!$C$7) ^ INT(((YEAR(AF$2)-YEAR($F79))*12 + MONTH(AF$2)-MONTH($F79)) / 12),
  0)</f>
        <v/>
      </c>
      <c r="AG79" s="299">
        <f>IF(AND($F79&lt;=AG$2, OR($G79="",$G79&gt;=AG$2)),
  $H79 * (1 + Assumptions!$C$7) ^ INT(((YEAR(AG$2)-YEAR($F79))*12 + MONTH(AG$2)-MONTH($F79)) / 12),
  0)</f>
        <v/>
      </c>
      <c r="AH79" s="299">
        <f>IF(AND($F79&lt;=AH$2, OR($G79="",$G79&gt;=AH$2)),
  $H79 * (1 + Assumptions!$C$7) ^ INT(((YEAR(AH$2)-YEAR($F79))*12 + MONTH(AH$2)-MONTH($F79)) / 12),
  0)</f>
        <v/>
      </c>
      <c r="AI79" s="299">
        <f>IF(AND($F79&lt;=AI$2, OR($G79="",$G79&gt;=AI$2)),
  $H79 * (1 + Assumptions!$C$7) ^ INT(((YEAR(AI$2)-YEAR($F79))*12 + MONTH(AI$2)-MONTH($F79)) / 12),
  0)</f>
        <v/>
      </c>
      <c r="AJ79" s="299">
        <f>IF(AND($F79&lt;=AJ$2, OR($G79="",$G79&gt;=AJ$2)),
  $H79 * (1 + Assumptions!$C$7) ^ INT(((YEAR(AJ$2)-YEAR($F79))*12 + MONTH(AJ$2)-MONTH($F79)) / 12),
  0)</f>
        <v/>
      </c>
      <c r="AK79" s="299">
        <f>IF(AND($F79&lt;=AK$2, OR($G79="",$G79&gt;=AK$2)),
  $H79 * (1 + Assumptions!$C$7) ^ INT(((YEAR(AK$2)-YEAR($F79))*12 + MONTH(AK$2)-MONTH($F79)) / 12),
  0)</f>
        <v/>
      </c>
      <c r="AL79" s="299">
        <f>IF(AND($F79&lt;=AL$2, OR($G79="",$G79&gt;=AL$2)),
  $H79 * (1 + Assumptions!$C$7) ^ INT(((YEAR(AL$2)-YEAR($F79))*12 + MONTH(AL$2)-MONTH($F79)) / 12),
  0)</f>
        <v/>
      </c>
      <c r="AM79" s="299">
        <f>IF(AND($F79&lt;=AM$2, OR($G79="",$G79&gt;=AM$2)),
  $H79 * (1 + Assumptions!$C$7) ^ INT(((YEAR(AM$2)-YEAR($F79))*12 + MONTH(AM$2)-MONTH($F79)) / 12),
  0)</f>
        <v/>
      </c>
      <c r="AN79" s="299">
        <f>IF(AND($F79&lt;=AN$2, OR($G79="",$G79&gt;=AN$2)),
  $H79 * (1 + Assumptions!$C$7) ^ INT(((YEAR(AN$2)-YEAR($F79))*12 + MONTH(AN$2)-MONTH($F79)) / 12),
  0)</f>
        <v/>
      </c>
      <c r="AO79" s="299">
        <f>IF(AND($F79&lt;=AO$2, OR($G79="",$G79&gt;=AO$2)),
  $H79 * (1 + Assumptions!$C$7) ^ INT(((YEAR(AO$2)-YEAR($F79))*12 + MONTH(AO$2)-MONTH($F79)) / 12),
  0)</f>
        <v/>
      </c>
      <c r="AP79" s="299">
        <f>IF(AND($F79&lt;=AP$2, OR($G79="",$G79&gt;=AP$2)),
  $H79 * (1 + Assumptions!$C$7) ^ INT(((YEAR(AP$2)-YEAR($F79))*12 + MONTH(AP$2)-MONTH($F79)) / 12),
  0)</f>
        <v/>
      </c>
      <c r="AQ79" s="299">
        <f>IF(AND($F79&lt;=AQ$2, OR($G79="",$G79&gt;=AQ$2)),
  $H79 * (1 + Assumptions!$C$7) ^ INT(((YEAR(AQ$2)-YEAR($F79))*12 + MONTH(AQ$2)-MONTH($F79)) / 12),
  0)</f>
        <v/>
      </c>
      <c r="AR79" s="299">
        <f>IF(AND($F79&lt;=AR$2, OR($G79="",$G79&gt;=AR$2)),
  $H79 * (1 + Assumptions!$C$7) ^ INT(((YEAR(AR$2)-YEAR($F79))*12 + MONTH(AR$2)-MONTH($F79)) / 12),
  0)</f>
        <v/>
      </c>
      <c r="AS79" s="299">
        <f>IF(AND($F79&lt;=AS$2, OR($G79="",$G79&gt;=AS$2)),
  $H79 * (1 + Assumptions!$C$7) ^ INT(((YEAR(AS$2)-YEAR($F79))*12 + MONTH(AS$2)-MONTH($F79)) / 12),
  0)</f>
        <v/>
      </c>
      <c r="AT79" s="299">
        <f>IF(AND($F79&lt;=AT$2, OR($G79="",$G79&gt;=AT$2)),
  $H79 * (1 + Assumptions!$C$7) ^ INT(((YEAR(AT$2)-YEAR($F79))*12 + MONTH(AT$2)-MONTH($F79)) / 12),
  0)</f>
        <v/>
      </c>
      <c r="AU79" s="299">
        <f>IF(AND($F79&lt;=AU$2, OR($G79="",$G79&gt;=AU$2)),
  $H79 * (1 + Assumptions!$C$7) ^ INT(((YEAR(AU$2)-YEAR($F79))*12 + MONTH(AU$2)-MONTH($F79)) / 12),
  0)</f>
        <v/>
      </c>
      <c r="AV79" s="299">
        <f>IF(AND($F79&lt;=AV$2, OR($G79="",$G79&gt;=AV$2)),
  $H79 * (1 + Assumptions!$C$7) ^ INT(((YEAR(AV$2)-YEAR($F79))*12 + MONTH(AV$2)-MONTH($F79)) / 12),
  0)</f>
        <v/>
      </c>
      <c r="AW79" s="299">
        <f>IF(AND($F79&lt;=AW$2, OR($G79="",$G79&gt;=AW$2)),
  $H79 * (1 + Assumptions!$C$7) ^ INT(((YEAR(AW$2)-YEAR($F79))*12 + MONTH(AW$2)-MONTH($F79)) / 12),
  0)</f>
        <v/>
      </c>
      <c r="AX79" s="299">
        <f>IF(AND($F79&lt;=AX$2, OR($G79="",$G79&gt;=AX$2)),
  $H79 * (1 + Assumptions!$C$7) ^ INT(((YEAR(AX$2)-YEAR($F79))*12 + MONTH(AX$2)-MONTH($F79)) / 12),
  0)</f>
        <v/>
      </c>
      <c r="AY79" s="299">
        <f>IF(AND($F79&lt;=AY$2, OR($G79="",$G79&gt;=AY$2)),
  $H79 * (1 + Assumptions!$C$7) ^ INT(((YEAR(AY$2)-YEAR($F79))*12 + MONTH(AY$2)-MONTH($F79)) / 12),
  0)</f>
        <v/>
      </c>
      <c r="AZ79" s="299">
        <f>IF(AND($F79&lt;=AZ$2, OR($G79="",$G79&gt;=AZ$2)),
  $H79 * (1 + Assumptions!$C$7) ^ INT(((YEAR(AZ$2)-YEAR($F79))*12 + MONTH(AZ$2)-MONTH($F79)) / 12),
  0)</f>
        <v/>
      </c>
      <c r="BA79" s="299">
        <f>IF(AND($F79&lt;=BA$2, OR($G79="",$G79&gt;=BA$2)),
  $H79 * (1 + Assumptions!$C$7) ^ INT(((YEAR(BA$2)-YEAR($F79))*12 + MONTH(BA$2)-MONTH($F79)) / 12),
  0)</f>
        <v/>
      </c>
      <c r="BB79" s="299">
        <f>IF(AND($F79&lt;=BB$2, OR($G79="",$G79&gt;=BB$2)),
  $H79 * (1 + Assumptions!$C$7) ^ INT(((YEAR(BB$2)-YEAR($F79))*12 + MONTH(BB$2)-MONTH($F79)) / 12),
  0)</f>
        <v/>
      </c>
      <c r="BC79" s="299">
        <f>IF(AND($F79&lt;=BC$2, OR($G79="",$G79&gt;=BC$2)),
  $H79 * (1 + Assumptions!$C$7) ^ INT(((YEAR(BC$2)-YEAR($F79))*12 + MONTH(BC$2)-MONTH($F79)) / 12),
  0)</f>
        <v/>
      </c>
      <c r="BD79" s="299">
        <f>IF(AND($F79&lt;=BD$2, OR($G79="",$G79&gt;=BD$2)),
  $H79 * (1 + Assumptions!$C$7) ^ INT(((YEAR(BD$2)-YEAR($F79))*12 + MONTH(BD$2)-MONTH($F79)) / 12),
  0)</f>
        <v/>
      </c>
      <c r="BE79" s="299">
        <f>IF(AND($F79&lt;=BE$2, OR($G79="",$G79&gt;=BE$2)),
  $H79 * (1 + Assumptions!$C$7) ^ INT(((YEAR(BE$2)-YEAR($F79))*12 + MONTH(BE$2)-MONTH($F79)) / 12),
  0)</f>
        <v/>
      </c>
      <c r="BF79" s="299">
        <f>IF(AND($F79&lt;=BF$2, OR($G79="",$G79&gt;=BF$2)),
  $H79 * (1 + Assumptions!$C$7) ^ INT(((YEAR(BF$2)-YEAR($F79))*12 + MONTH(BF$2)-MONTH($F79)) / 12),
  0)</f>
        <v/>
      </c>
      <c r="BG79" s="299">
        <f>IF(AND($F79&lt;=BG$2, OR($G79="",$G79&gt;=BG$2)),
  $H79 * (1 + Assumptions!$C$7) ^ INT(((YEAR(BG$2)-YEAR($F79))*12 + MONTH(BG$2)-MONTH($F79)) / 12),
  0)</f>
        <v/>
      </c>
      <c r="BH79" s="299">
        <f>IF(AND($F79&lt;=BH$2, OR($G79="",$G79&gt;=BH$2)),
  $H79 * (1 + Assumptions!$C$7) ^ INT(((YEAR(BH$2)-YEAR($F79))*12 + MONTH(BH$2)-MONTH($F79)) / 12),
  0)</f>
        <v/>
      </c>
      <c r="BI79" s="299">
        <f>IF(AND($F79&lt;=BI$2, OR($G79="",$G79&gt;=BI$2)),
  $H79 * (1 + Assumptions!$C$7) ^ INT(((YEAR(BI$2)-YEAR($F79))*12 + MONTH(BI$2)-MONTH($F79)) / 12),
  0)</f>
        <v/>
      </c>
      <c r="BJ79" s="299">
        <f>IF(AND($F79&lt;=BJ$2, OR($G79="",$G79&gt;=BJ$2)),
  $H79 * (1 + Assumptions!$C$7) ^ INT(((YEAR(BJ$2)-YEAR($F79))*12 + MONTH(BJ$2)-MONTH($F79)) / 12),
  0)</f>
        <v/>
      </c>
      <c r="BK79" s="299">
        <f>IF(AND($F79&lt;=BK$2, OR($G79="",$G79&gt;=BK$2)),
  $H79 * (1 + Assumptions!$C$7) ^ INT(((YEAR(BK$2)-YEAR($F79))*12 + MONTH(BK$2)-MONTH($F79)) / 12),
  0)</f>
        <v/>
      </c>
      <c r="BL79" s="299">
        <f>IF(AND($F79&lt;=BL$2, OR($G79="",$G79&gt;=BL$2)),
  $H79 * (1 + Assumptions!$C$7) ^ INT(((YEAR(BL$2)-YEAR($F79))*12 + MONTH(BL$2)-MONTH($F79)) / 12),
  0)</f>
        <v/>
      </c>
      <c r="BM79" s="299">
        <f>IF(AND($F79&lt;=BM$2, OR($G79="",$G79&gt;=BM$2)),
  $H79 * (1 + Assumptions!$C$7) ^ INT(((YEAR(BM$2)-YEAR($F79))*12 + MONTH(BM$2)-MONTH($F79)) / 12),
  0)</f>
        <v/>
      </c>
      <c r="BN79" s="299">
        <f>IF(AND($F79&lt;=BN$2, OR($G79="",$G79&gt;=BN$2)),
  $H79 * (1 + Assumptions!$C$7) ^ INT(((YEAR(BN$2)-YEAR($F79))*12 + MONTH(BN$2)-MONTH($F79)) / 12),
  0)</f>
        <v/>
      </c>
      <c r="BO79" s="299">
        <f>IF(AND($F79&lt;=BO$2, OR($G79="",$G79&gt;=BO$2)),
  $H79 * (1 + Assumptions!$C$7) ^ INT(((YEAR(BO$2)-YEAR($F79))*12 + MONTH(BO$2)-MONTH($F79)) / 12),
  0)</f>
        <v/>
      </c>
      <c r="BP79" s="299">
        <f>IF(AND($F79&lt;=BP$2, OR($G79="",$G79&gt;=BP$2)),
  $H79 * (1 + Assumptions!$C$7) ^ INT(((YEAR(BP$2)-YEAR($F79))*12 + MONTH(BP$2)-MONTH($F79)) / 12),
  0)</f>
        <v/>
      </c>
      <c r="BQ79" s="31" t="n"/>
      <c r="BR79" s="31" t="n"/>
      <c r="BS79" s="31" t="n"/>
      <c r="BT79" s="31" t="n"/>
    </row>
    <row r="80" ht="15.75" customHeight="1" s="349">
      <c r="A80" s="321" t="n">
        <v>75</v>
      </c>
      <c r="B80" s="285" t="inlineStr">
        <is>
          <t>New hire</t>
        </is>
      </c>
      <c r="C80" s="317" t="inlineStr">
        <is>
          <t>S&amp;M</t>
        </is>
      </c>
      <c r="D80" s="317" t="inlineStr">
        <is>
          <t>Installer Trainer</t>
        </is>
      </c>
      <c r="E80" s="297" t="inlineStr">
        <is>
          <t>Planned</t>
        </is>
      </c>
      <c r="F80" s="318">
        <f>IF(Assumptions!$D$82=2,DATE(2029,1,1),DATE(2035,1,1))</f>
        <v/>
      </c>
      <c r="G80" s="318" t="n"/>
      <c r="H80" s="288" t="n">
        <v>7000</v>
      </c>
      <c r="I80" s="299">
        <f>IF(AND($F80&lt;=I$2, OR($G80="",$G80&gt;=I$2)),
  $H80 * (1 + Assumptions!$C$7) ^ INT(((YEAR(I$2)-YEAR($F80))*12 + MONTH(I$2)-MONTH($F80)) / 12),
  0)</f>
        <v/>
      </c>
      <c r="J80" s="299">
        <f>IF(AND($F80&lt;=J$2, OR($G80="",$G80&gt;=J$2)),
  $H80 * (1 + Assumptions!$C$7) ^ INT(((YEAR(J$2)-YEAR($F80))*12 + MONTH(J$2)-MONTH($F80)) / 12),
  0)</f>
        <v/>
      </c>
      <c r="K80" s="299">
        <f>IF(AND($F80&lt;=K$2, OR($G80="",$G80&gt;=K$2)),
  $H80 * (1 + Assumptions!$C$7) ^ INT(((YEAR(K$2)-YEAR($F80))*12 + MONTH(K$2)-MONTH($F80)) / 12),
  0)</f>
        <v/>
      </c>
      <c r="L80" s="299">
        <f>IF(AND($F80&lt;=L$2, OR($G80="",$G80&gt;=L$2)),
  $H80 * (1 + Assumptions!$C$7) ^ INT(((YEAR(L$2)-YEAR($F80))*12 + MONTH(L$2)-MONTH($F80)) / 12),
  0)</f>
        <v/>
      </c>
      <c r="M80" s="299">
        <f>IF(AND($F80&lt;=M$2, OR($G80="",$G80&gt;=M$2)),
  $H80 * (1 + Assumptions!$C$7) ^ INT(((YEAR(M$2)-YEAR($F80))*12 + MONTH(M$2)-MONTH($F80)) / 12),
  0)</f>
        <v/>
      </c>
      <c r="N80" s="299">
        <f>IF(AND($F80&lt;=N$2, OR($G80="",$G80&gt;=N$2)),
  $H80 * (1 + Assumptions!$C$7) ^ INT(((YEAR(N$2)-YEAR($F80))*12 + MONTH(N$2)-MONTH($F80)) / 12),
  0)</f>
        <v/>
      </c>
      <c r="O80" s="299">
        <f>IF(AND($F80&lt;=O$2, OR($G80="",$G80&gt;=O$2)),
  $H80 * (1 + Assumptions!$C$7) ^ INT(((YEAR(O$2)-YEAR($F80))*12 + MONTH(O$2)-MONTH($F80)) / 12),
  0)</f>
        <v/>
      </c>
      <c r="P80" s="299">
        <f>IF(AND($F80&lt;=P$2, OR($G80="",$G80&gt;=P$2)),
  $H80 * (1 + Assumptions!$C$7) ^ INT(((YEAR(P$2)-YEAR($F80))*12 + MONTH(P$2)-MONTH($F80)) / 12),
  0)</f>
        <v/>
      </c>
      <c r="Q80" s="299">
        <f>IF(AND($F80&lt;=Q$2, OR($G80="",$G80&gt;=Q$2)),
  $H80 * (1 + Assumptions!$C$7) ^ INT(((YEAR(Q$2)-YEAR($F80))*12 + MONTH(Q$2)-MONTH($F80)) / 12),
  0)</f>
        <v/>
      </c>
      <c r="R80" s="299">
        <f>IF(AND($F80&lt;=R$2, OR($G80="",$G80&gt;=R$2)),
  $H80 * (1 + Assumptions!$C$7) ^ INT(((YEAR(R$2)-YEAR($F80))*12 + MONTH(R$2)-MONTH($F80)) / 12),
  0)</f>
        <v/>
      </c>
      <c r="S80" s="299">
        <f>IF(AND($F80&lt;=S$2, OR($G80="",$G80&gt;=S$2)),
  $H80 * (1 + Assumptions!$C$7) ^ INT(((YEAR(S$2)-YEAR($F80))*12 + MONTH(S$2)-MONTH($F80)) / 12),
  0)</f>
        <v/>
      </c>
      <c r="T80" s="299">
        <f>IF(AND($F80&lt;=T$2, OR($G80="",$G80&gt;=T$2)),
  $H80 * (1 + Assumptions!$C$7) ^ INT(((YEAR(T$2)-YEAR($F80))*12 + MONTH(T$2)-MONTH($F80)) / 12),
  0)</f>
        <v/>
      </c>
      <c r="U80" s="299">
        <f>IF(AND($F80&lt;=U$2, OR($G80="",$G80&gt;=U$2)),
  $H80 * (1 + Assumptions!$C$7) ^ INT(((YEAR(U$2)-YEAR($F80))*12 + MONTH(U$2)-MONTH($F80)) / 12),
  0)</f>
        <v/>
      </c>
      <c r="V80" s="299">
        <f>IF(AND($F80&lt;=V$2, OR($G80="",$G80&gt;=V$2)),
  $H80 * (1 + Assumptions!$C$7) ^ INT(((YEAR(V$2)-YEAR($F80))*12 + MONTH(V$2)-MONTH($F80)) / 12),
  0)</f>
        <v/>
      </c>
      <c r="W80" s="299">
        <f>IF(AND($F80&lt;=W$2, OR($G80="",$G80&gt;=W$2)),
  $H80 * (1 + Assumptions!$C$7) ^ INT(((YEAR(W$2)-YEAR($F80))*12 + MONTH(W$2)-MONTH($F80)) / 12),
  0)</f>
        <v/>
      </c>
      <c r="X80" s="299">
        <f>IF(AND($F80&lt;=X$2, OR($G80="",$G80&gt;=X$2)),
  $H80 * (1 + Assumptions!$C$7) ^ INT(((YEAR(X$2)-YEAR($F80))*12 + MONTH(X$2)-MONTH($F80)) / 12),
  0)</f>
        <v/>
      </c>
      <c r="Y80" s="299">
        <f>IF(AND($F80&lt;=Y$2, OR($G80="",$G80&gt;=Y$2)),
  $H80 * (1 + Assumptions!$C$7) ^ INT(((YEAR(Y$2)-YEAR($F80))*12 + MONTH(Y$2)-MONTH($F80)) / 12),
  0)</f>
        <v/>
      </c>
      <c r="Z80" s="299">
        <f>IF(AND($F80&lt;=Z$2, OR($G80="",$G80&gt;=Z$2)),
  $H80 * (1 + Assumptions!$C$7) ^ INT(((YEAR(Z$2)-YEAR($F80))*12 + MONTH(Z$2)-MONTH($F80)) / 12),
  0)</f>
        <v/>
      </c>
      <c r="AA80" s="299">
        <f>IF(AND($F80&lt;=AA$2, OR($G80="",$G80&gt;=AA$2)),
  $H80 * (1 + Assumptions!$C$7) ^ INT(((YEAR(AA$2)-YEAR($F80))*12 + MONTH(AA$2)-MONTH($F80)) / 12),
  0)</f>
        <v/>
      </c>
      <c r="AB80" s="299">
        <f>IF(AND($F80&lt;=AB$2, OR($G80="",$G80&gt;=AB$2)),
  $H80 * (1 + Assumptions!$C$7) ^ INT(((YEAR(AB$2)-YEAR($F80))*12 + MONTH(AB$2)-MONTH($F80)) / 12),
  0)</f>
        <v/>
      </c>
      <c r="AC80" s="299">
        <f>IF(AND($F80&lt;=AC$2, OR($G80="",$G80&gt;=AC$2)),
  $H80 * (1 + Assumptions!$C$7) ^ INT(((YEAR(AC$2)-YEAR($F80))*12 + MONTH(AC$2)-MONTH($F80)) / 12),
  0)</f>
        <v/>
      </c>
      <c r="AD80" s="299">
        <f>IF(AND($F80&lt;=AD$2, OR($G80="",$G80&gt;=AD$2)),
  $H80 * (1 + Assumptions!$C$7) ^ INT(((YEAR(AD$2)-YEAR($F80))*12 + MONTH(AD$2)-MONTH($F80)) / 12),
  0)</f>
        <v/>
      </c>
      <c r="AE80" s="299">
        <f>IF(AND($F80&lt;=AE$2, OR($G80="",$G80&gt;=AE$2)),
  $H80 * (1 + Assumptions!$C$7) ^ INT(((YEAR(AE$2)-YEAR($F80))*12 + MONTH(AE$2)-MONTH($F80)) / 12),
  0)</f>
        <v/>
      </c>
      <c r="AF80" s="299">
        <f>IF(AND($F80&lt;=AF$2, OR($G80="",$G80&gt;=AF$2)),
  $H80 * (1 + Assumptions!$C$7) ^ INT(((YEAR(AF$2)-YEAR($F80))*12 + MONTH(AF$2)-MONTH($F80)) / 12),
  0)</f>
        <v/>
      </c>
      <c r="AG80" s="299">
        <f>IF(AND($F80&lt;=AG$2, OR($G80="",$G80&gt;=AG$2)),
  $H80 * (1 + Assumptions!$C$7) ^ INT(((YEAR(AG$2)-YEAR($F80))*12 + MONTH(AG$2)-MONTH($F80)) / 12),
  0)</f>
        <v/>
      </c>
      <c r="AH80" s="299">
        <f>IF(AND($F80&lt;=AH$2, OR($G80="",$G80&gt;=AH$2)),
  $H80 * (1 + Assumptions!$C$7) ^ INT(((YEAR(AH$2)-YEAR($F80))*12 + MONTH(AH$2)-MONTH($F80)) / 12),
  0)</f>
        <v/>
      </c>
      <c r="AI80" s="299">
        <f>IF(AND($F80&lt;=AI$2, OR($G80="",$G80&gt;=AI$2)),
  $H80 * (1 + Assumptions!$C$7) ^ INT(((YEAR(AI$2)-YEAR($F80))*12 + MONTH(AI$2)-MONTH($F80)) / 12),
  0)</f>
        <v/>
      </c>
      <c r="AJ80" s="299">
        <f>IF(AND($F80&lt;=AJ$2, OR($G80="",$G80&gt;=AJ$2)),
  $H80 * (1 + Assumptions!$C$7) ^ INT(((YEAR(AJ$2)-YEAR($F80))*12 + MONTH(AJ$2)-MONTH($F80)) / 12),
  0)</f>
        <v/>
      </c>
      <c r="AK80" s="299">
        <f>IF(AND($F80&lt;=AK$2, OR($G80="",$G80&gt;=AK$2)),
  $H80 * (1 + Assumptions!$C$7) ^ INT(((YEAR(AK$2)-YEAR($F80))*12 + MONTH(AK$2)-MONTH($F80)) / 12),
  0)</f>
        <v/>
      </c>
      <c r="AL80" s="299">
        <f>IF(AND($F80&lt;=AL$2, OR($G80="",$G80&gt;=AL$2)),
  $H80 * (1 + Assumptions!$C$7) ^ INT(((YEAR(AL$2)-YEAR($F80))*12 + MONTH(AL$2)-MONTH($F80)) / 12),
  0)</f>
        <v/>
      </c>
      <c r="AM80" s="299">
        <f>IF(AND($F80&lt;=AM$2, OR($G80="",$G80&gt;=AM$2)),
  $H80 * (1 + Assumptions!$C$7) ^ INT(((YEAR(AM$2)-YEAR($F80))*12 + MONTH(AM$2)-MONTH($F80)) / 12),
  0)</f>
        <v/>
      </c>
      <c r="AN80" s="299">
        <f>IF(AND($F80&lt;=AN$2, OR($G80="",$G80&gt;=AN$2)),
  $H80 * (1 + Assumptions!$C$7) ^ INT(((YEAR(AN$2)-YEAR($F80))*12 + MONTH(AN$2)-MONTH($F80)) / 12),
  0)</f>
        <v/>
      </c>
      <c r="AO80" s="299">
        <f>IF(AND($F80&lt;=AO$2, OR($G80="",$G80&gt;=AO$2)),
  $H80 * (1 + Assumptions!$C$7) ^ INT(((YEAR(AO$2)-YEAR($F80))*12 + MONTH(AO$2)-MONTH($F80)) / 12),
  0)</f>
        <v/>
      </c>
      <c r="AP80" s="299">
        <f>IF(AND($F80&lt;=AP$2, OR($G80="",$G80&gt;=AP$2)),
  $H80 * (1 + Assumptions!$C$7) ^ INT(((YEAR(AP$2)-YEAR($F80))*12 + MONTH(AP$2)-MONTH($F80)) / 12),
  0)</f>
        <v/>
      </c>
      <c r="AQ80" s="299">
        <f>IF(AND($F80&lt;=AQ$2, OR($G80="",$G80&gt;=AQ$2)),
  $H80 * (1 + Assumptions!$C$7) ^ INT(((YEAR(AQ$2)-YEAR($F80))*12 + MONTH(AQ$2)-MONTH($F80)) / 12),
  0)</f>
        <v/>
      </c>
      <c r="AR80" s="299">
        <f>IF(AND($F80&lt;=AR$2, OR($G80="",$G80&gt;=AR$2)),
  $H80 * (1 + Assumptions!$C$7) ^ INT(((YEAR(AR$2)-YEAR($F80))*12 + MONTH(AR$2)-MONTH($F80)) / 12),
  0)</f>
        <v/>
      </c>
      <c r="AS80" s="299">
        <f>IF(AND($F80&lt;=AS$2, OR($G80="",$G80&gt;=AS$2)),
  $H80 * (1 + Assumptions!$C$7) ^ INT(((YEAR(AS$2)-YEAR($F80))*12 + MONTH(AS$2)-MONTH($F80)) / 12),
  0)</f>
        <v/>
      </c>
      <c r="AT80" s="299">
        <f>IF(AND($F80&lt;=AT$2, OR($G80="",$G80&gt;=AT$2)),
  $H80 * (1 + Assumptions!$C$7) ^ INT(((YEAR(AT$2)-YEAR($F80))*12 + MONTH(AT$2)-MONTH($F80)) / 12),
  0)</f>
        <v/>
      </c>
      <c r="AU80" s="299">
        <f>IF(AND($F80&lt;=AU$2, OR($G80="",$G80&gt;=AU$2)),
  $H80 * (1 + Assumptions!$C$7) ^ INT(((YEAR(AU$2)-YEAR($F80))*12 + MONTH(AU$2)-MONTH($F80)) / 12),
  0)</f>
        <v/>
      </c>
      <c r="AV80" s="299">
        <f>IF(AND($F80&lt;=AV$2, OR($G80="",$G80&gt;=AV$2)),
  $H80 * (1 + Assumptions!$C$7) ^ INT(((YEAR(AV$2)-YEAR($F80))*12 + MONTH(AV$2)-MONTH($F80)) / 12),
  0)</f>
        <v/>
      </c>
      <c r="AW80" s="299">
        <f>IF(AND($F80&lt;=AW$2, OR($G80="",$G80&gt;=AW$2)),
  $H80 * (1 + Assumptions!$C$7) ^ INT(((YEAR(AW$2)-YEAR($F80))*12 + MONTH(AW$2)-MONTH($F80)) / 12),
  0)</f>
        <v/>
      </c>
      <c r="AX80" s="299">
        <f>IF(AND($F80&lt;=AX$2, OR($G80="",$G80&gt;=AX$2)),
  $H80 * (1 + Assumptions!$C$7) ^ INT(((YEAR(AX$2)-YEAR($F80))*12 + MONTH(AX$2)-MONTH($F80)) / 12),
  0)</f>
        <v/>
      </c>
      <c r="AY80" s="299">
        <f>IF(AND($F80&lt;=AY$2, OR($G80="",$G80&gt;=AY$2)),
  $H80 * (1 + Assumptions!$C$7) ^ INT(((YEAR(AY$2)-YEAR($F80))*12 + MONTH(AY$2)-MONTH($F80)) / 12),
  0)</f>
        <v/>
      </c>
      <c r="AZ80" s="299">
        <f>IF(AND($F80&lt;=AZ$2, OR($G80="",$G80&gt;=AZ$2)),
  $H80 * (1 + Assumptions!$C$7) ^ INT(((YEAR(AZ$2)-YEAR($F80))*12 + MONTH(AZ$2)-MONTH($F80)) / 12),
  0)</f>
        <v/>
      </c>
      <c r="BA80" s="299">
        <f>IF(AND($F80&lt;=BA$2, OR($G80="",$G80&gt;=BA$2)),
  $H80 * (1 + Assumptions!$C$7) ^ INT(((YEAR(BA$2)-YEAR($F80))*12 + MONTH(BA$2)-MONTH($F80)) / 12),
  0)</f>
        <v/>
      </c>
      <c r="BB80" s="299">
        <f>IF(AND($F80&lt;=BB$2, OR($G80="",$G80&gt;=BB$2)),
  $H80 * (1 + Assumptions!$C$7) ^ INT(((YEAR(BB$2)-YEAR($F80))*12 + MONTH(BB$2)-MONTH($F80)) / 12),
  0)</f>
        <v/>
      </c>
      <c r="BC80" s="299">
        <f>IF(AND($F80&lt;=BC$2, OR($G80="",$G80&gt;=BC$2)),
  $H80 * (1 + Assumptions!$C$7) ^ INT(((YEAR(BC$2)-YEAR($F80))*12 + MONTH(BC$2)-MONTH($F80)) / 12),
  0)</f>
        <v/>
      </c>
      <c r="BD80" s="299">
        <f>IF(AND($F80&lt;=BD$2, OR($G80="",$G80&gt;=BD$2)),
  $H80 * (1 + Assumptions!$C$7) ^ INT(((YEAR(BD$2)-YEAR($F80))*12 + MONTH(BD$2)-MONTH($F80)) / 12),
  0)</f>
        <v/>
      </c>
      <c r="BE80" s="299">
        <f>IF(AND($F80&lt;=BE$2, OR($G80="",$G80&gt;=BE$2)),
  $H80 * (1 + Assumptions!$C$7) ^ INT(((YEAR(BE$2)-YEAR($F80))*12 + MONTH(BE$2)-MONTH($F80)) / 12),
  0)</f>
        <v/>
      </c>
      <c r="BF80" s="299">
        <f>IF(AND($F80&lt;=BF$2, OR($G80="",$G80&gt;=BF$2)),
  $H80 * (1 + Assumptions!$C$7) ^ INT(((YEAR(BF$2)-YEAR($F80))*12 + MONTH(BF$2)-MONTH($F80)) / 12),
  0)</f>
        <v/>
      </c>
      <c r="BG80" s="299">
        <f>IF(AND($F80&lt;=BG$2, OR($G80="",$G80&gt;=BG$2)),
  $H80 * (1 + Assumptions!$C$7) ^ INT(((YEAR(BG$2)-YEAR($F80))*12 + MONTH(BG$2)-MONTH($F80)) / 12),
  0)</f>
        <v/>
      </c>
      <c r="BH80" s="299">
        <f>IF(AND($F80&lt;=BH$2, OR($G80="",$G80&gt;=BH$2)),
  $H80 * (1 + Assumptions!$C$7) ^ INT(((YEAR(BH$2)-YEAR($F80))*12 + MONTH(BH$2)-MONTH($F80)) / 12),
  0)</f>
        <v/>
      </c>
      <c r="BI80" s="299">
        <f>IF(AND($F80&lt;=BI$2, OR($G80="",$G80&gt;=BI$2)),
  $H80 * (1 + Assumptions!$C$7) ^ INT(((YEAR(BI$2)-YEAR($F80))*12 + MONTH(BI$2)-MONTH($F80)) / 12),
  0)</f>
        <v/>
      </c>
      <c r="BJ80" s="299">
        <f>IF(AND($F80&lt;=BJ$2, OR($G80="",$G80&gt;=BJ$2)),
  $H80 * (1 + Assumptions!$C$7) ^ INT(((YEAR(BJ$2)-YEAR($F80))*12 + MONTH(BJ$2)-MONTH($F80)) / 12),
  0)</f>
        <v/>
      </c>
      <c r="BK80" s="299">
        <f>IF(AND($F80&lt;=BK$2, OR($G80="",$G80&gt;=BK$2)),
  $H80 * (1 + Assumptions!$C$7) ^ INT(((YEAR(BK$2)-YEAR($F80))*12 + MONTH(BK$2)-MONTH($F80)) / 12),
  0)</f>
        <v/>
      </c>
      <c r="BL80" s="299">
        <f>IF(AND($F80&lt;=BL$2, OR($G80="",$G80&gt;=BL$2)),
  $H80 * (1 + Assumptions!$C$7) ^ INT(((YEAR(BL$2)-YEAR($F80))*12 + MONTH(BL$2)-MONTH($F80)) / 12),
  0)</f>
        <v/>
      </c>
      <c r="BM80" s="299">
        <f>IF(AND($F80&lt;=BM$2, OR($G80="",$G80&gt;=BM$2)),
  $H80 * (1 + Assumptions!$C$7) ^ INT(((YEAR(BM$2)-YEAR($F80))*12 + MONTH(BM$2)-MONTH($F80)) / 12),
  0)</f>
        <v/>
      </c>
      <c r="BN80" s="299">
        <f>IF(AND($F80&lt;=BN$2, OR($G80="",$G80&gt;=BN$2)),
  $H80 * (1 + Assumptions!$C$7) ^ INT(((YEAR(BN$2)-YEAR($F80))*12 + MONTH(BN$2)-MONTH($F80)) / 12),
  0)</f>
        <v/>
      </c>
      <c r="BO80" s="299">
        <f>IF(AND($F80&lt;=BO$2, OR($G80="",$G80&gt;=BO$2)),
  $H80 * (1 + Assumptions!$C$7) ^ INT(((YEAR(BO$2)-YEAR($F80))*12 + MONTH(BO$2)-MONTH($F80)) / 12),
  0)</f>
        <v/>
      </c>
      <c r="BP80" s="299">
        <f>IF(AND($F80&lt;=BP$2, OR($G80="",$G80&gt;=BP$2)),
  $H80 * (1 + Assumptions!$C$7) ^ INT(((YEAR(BP$2)-YEAR($F80))*12 + MONTH(BP$2)-MONTH($F80)) / 12),
  0)</f>
        <v/>
      </c>
      <c r="BQ80" s="31" t="n"/>
      <c r="BR80" s="31" t="n"/>
      <c r="BS80" s="31" t="n"/>
      <c r="BT80" s="31" t="n"/>
    </row>
    <row r="81" ht="15.75" customHeight="1" s="349">
      <c r="A81" s="321" t="n">
        <v>76</v>
      </c>
      <c r="B81" s="285" t="inlineStr">
        <is>
          <t>New hire</t>
        </is>
      </c>
      <c r="C81" s="317" t="inlineStr">
        <is>
          <t>S&amp;M</t>
        </is>
      </c>
      <c r="D81" s="317" t="inlineStr">
        <is>
          <t>Order Desk</t>
        </is>
      </c>
      <c r="E81" s="297" t="inlineStr">
        <is>
          <t>Planned</t>
        </is>
      </c>
      <c r="F81" s="318">
        <f>IF(Assumptions!$D$82=2,DATE(2027,1,1),DATE(2027,1,1))</f>
        <v/>
      </c>
      <c r="G81" s="318" t="n"/>
      <c r="H81" s="288" t="n">
        <v>7000</v>
      </c>
      <c r="I81" s="299">
        <f>IF(AND($F81&lt;=I$2, OR($G81="",$G81&gt;=I$2)),
  $H81 * (1 + Assumptions!$C$7) ^ INT(((YEAR(I$2)-YEAR($F81))*12 + MONTH(I$2)-MONTH($F81)) / 12),
  0)</f>
        <v/>
      </c>
      <c r="J81" s="299">
        <f>IF(AND($F81&lt;=J$2, OR($G81="",$G81&gt;=J$2)),
  $H81 * (1 + Assumptions!$C$7) ^ INT(((YEAR(J$2)-YEAR($F81))*12 + MONTH(J$2)-MONTH($F81)) / 12),
  0)</f>
        <v/>
      </c>
      <c r="K81" s="299">
        <f>IF(AND($F81&lt;=K$2, OR($G81="",$G81&gt;=K$2)),
  $H81 * (1 + Assumptions!$C$7) ^ INT(((YEAR(K$2)-YEAR($F81))*12 + MONTH(K$2)-MONTH($F81)) / 12),
  0)</f>
        <v/>
      </c>
      <c r="L81" s="299">
        <f>IF(AND($F81&lt;=L$2, OR($G81="",$G81&gt;=L$2)),
  $H81 * (1 + Assumptions!$C$7) ^ INT(((YEAR(L$2)-YEAR($F81))*12 + MONTH(L$2)-MONTH($F81)) / 12),
  0)</f>
        <v/>
      </c>
      <c r="M81" s="299">
        <f>IF(AND($F81&lt;=M$2, OR($G81="",$G81&gt;=M$2)),
  $H81 * (1 + Assumptions!$C$7) ^ INT(((YEAR(M$2)-YEAR($F81))*12 + MONTH(M$2)-MONTH($F81)) / 12),
  0)</f>
        <v/>
      </c>
      <c r="N81" s="299">
        <f>IF(AND($F81&lt;=N$2, OR($G81="",$G81&gt;=N$2)),
  $H81 * (1 + Assumptions!$C$7) ^ INT(((YEAR(N$2)-YEAR($F81))*12 + MONTH(N$2)-MONTH($F81)) / 12),
  0)</f>
        <v/>
      </c>
      <c r="O81" s="299">
        <f>IF(AND($F81&lt;=O$2, OR($G81="",$G81&gt;=O$2)),
  $H81 * (1 + Assumptions!$C$7) ^ INT(((YEAR(O$2)-YEAR($F81))*12 + MONTH(O$2)-MONTH($F81)) / 12),
  0)</f>
        <v/>
      </c>
      <c r="P81" s="299">
        <f>IF(AND($F81&lt;=P$2, OR($G81="",$G81&gt;=P$2)),
  $H81 * (1 + Assumptions!$C$7) ^ INT(((YEAR(P$2)-YEAR($F81))*12 + MONTH(P$2)-MONTH($F81)) / 12),
  0)</f>
        <v/>
      </c>
      <c r="Q81" s="299">
        <f>IF(AND($F81&lt;=Q$2, OR($G81="",$G81&gt;=Q$2)),
  $H81 * (1 + Assumptions!$C$7) ^ INT(((YEAR(Q$2)-YEAR($F81))*12 + MONTH(Q$2)-MONTH($F81)) / 12),
  0)</f>
        <v/>
      </c>
      <c r="R81" s="299">
        <f>IF(AND($F81&lt;=R$2, OR($G81="",$G81&gt;=R$2)),
  $H81 * (1 + Assumptions!$C$7) ^ INT(((YEAR(R$2)-YEAR($F81))*12 + MONTH(R$2)-MONTH($F81)) / 12),
  0)</f>
        <v/>
      </c>
      <c r="S81" s="299">
        <f>IF(AND($F81&lt;=S$2, OR($G81="",$G81&gt;=S$2)),
  $H81 * (1 + Assumptions!$C$7) ^ INT(((YEAR(S$2)-YEAR($F81))*12 + MONTH(S$2)-MONTH($F81)) / 12),
  0)</f>
        <v/>
      </c>
      <c r="T81" s="299">
        <f>IF(AND($F81&lt;=T$2, OR($G81="",$G81&gt;=T$2)),
  $H81 * (1 + Assumptions!$C$7) ^ INT(((YEAR(T$2)-YEAR($F81))*12 + MONTH(T$2)-MONTH($F81)) / 12),
  0)</f>
        <v/>
      </c>
      <c r="U81" s="299">
        <f>IF(AND($F81&lt;=U$2, OR($G81="",$G81&gt;=U$2)),
  $H81 * (1 + Assumptions!$C$7) ^ INT(((YEAR(U$2)-YEAR($F81))*12 + MONTH(U$2)-MONTH($F81)) / 12),
  0)</f>
        <v/>
      </c>
      <c r="V81" s="299">
        <f>IF(AND($F81&lt;=V$2, OR($G81="",$G81&gt;=V$2)),
  $H81 * (1 + Assumptions!$C$7) ^ INT(((YEAR(V$2)-YEAR($F81))*12 + MONTH(V$2)-MONTH($F81)) / 12),
  0)</f>
        <v/>
      </c>
      <c r="W81" s="299">
        <f>IF(AND($F81&lt;=W$2, OR($G81="",$G81&gt;=W$2)),
  $H81 * (1 + Assumptions!$C$7) ^ INT(((YEAR(W$2)-YEAR($F81))*12 + MONTH(W$2)-MONTH($F81)) / 12),
  0)</f>
        <v/>
      </c>
      <c r="X81" s="299">
        <f>IF(AND($F81&lt;=X$2, OR($G81="",$G81&gt;=X$2)),
  $H81 * (1 + Assumptions!$C$7) ^ INT(((YEAR(X$2)-YEAR($F81))*12 + MONTH(X$2)-MONTH($F81)) / 12),
  0)</f>
        <v/>
      </c>
      <c r="Y81" s="299">
        <f>IF(AND($F81&lt;=Y$2, OR($G81="",$G81&gt;=Y$2)),
  $H81 * (1 + Assumptions!$C$7) ^ INT(((YEAR(Y$2)-YEAR($F81))*12 + MONTH(Y$2)-MONTH($F81)) / 12),
  0)</f>
        <v/>
      </c>
      <c r="Z81" s="299">
        <f>IF(AND($F81&lt;=Z$2, OR($G81="",$G81&gt;=Z$2)),
  $H81 * (1 + Assumptions!$C$7) ^ INT(((YEAR(Z$2)-YEAR($F81))*12 + MONTH(Z$2)-MONTH($F81)) / 12),
  0)</f>
        <v/>
      </c>
      <c r="AA81" s="299">
        <f>IF(AND($F81&lt;=AA$2, OR($G81="",$G81&gt;=AA$2)),
  $H81 * (1 + Assumptions!$C$7) ^ INT(((YEAR(AA$2)-YEAR($F81))*12 + MONTH(AA$2)-MONTH($F81)) / 12),
  0)</f>
        <v/>
      </c>
      <c r="AB81" s="299">
        <f>IF(AND($F81&lt;=AB$2, OR($G81="",$G81&gt;=AB$2)),
  $H81 * (1 + Assumptions!$C$7) ^ INT(((YEAR(AB$2)-YEAR($F81))*12 + MONTH(AB$2)-MONTH($F81)) / 12),
  0)</f>
        <v/>
      </c>
      <c r="AC81" s="299">
        <f>IF(AND($F81&lt;=AC$2, OR($G81="",$G81&gt;=AC$2)),
  $H81 * (1 + Assumptions!$C$7) ^ INT(((YEAR(AC$2)-YEAR($F81))*12 + MONTH(AC$2)-MONTH($F81)) / 12),
  0)</f>
        <v/>
      </c>
      <c r="AD81" s="299">
        <f>IF(AND($F81&lt;=AD$2, OR($G81="",$G81&gt;=AD$2)),
  $H81 * (1 + Assumptions!$C$7) ^ INT(((YEAR(AD$2)-YEAR($F81))*12 + MONTH(AD$2)-MONTH($F81)) / 12),
  0)</f>
        <v/>
      </c>
      <c r="AE81" s="299">
        <f>IF(AND($F81&lt;=AE$2, OR($G81="",$G81&gt;=AE$2)),
  $H81 * (1 + Assumptions!$C$7) ^ INT(((YEAR(AE$2)-YEAR($F81))*12 + MONTH(AE$2)-MONTH($F81)) / 12),
  0)</f>
        <v/>
      </c>
      <c r="AF81" s="299">
        <f>IF(AND($F81&lt;=AF$2, OR($G81="",$G81&gt;=AF$2)),
  $H81 * (1 + Assumptions!$C$7) ^ INT(((YEAR(AF$2)-YEAR($F81))*12 + MONTH(AF$2)-MONTH($F81)) / 12),
  0)</f>
        <v/>
      </c>
      <c r="AG81" s="299">
        <f>IF(AND($F81&lt;=AG$2, OR($G81="",$G81&gt;=AG$2)),
  $H81 * (1 + Assumptions!$C$7) ^ INT(((YEAR(AG$2)-YEAR($F81))*12 + MONTH(AG$2)-MONTH($F81)) / 12),
  0)</f>
        <v/>
      </c>
      <c r="AH81" s="299">
        <f>IF(AND($F81&lt;=AH$2, OR($G81="",$G81&gt;=AH$2)),
  $H81 * (1 + Assumptions!$C$7) ^ INT(((YEAR(AH$2)-YEAR($F81))*12 + MONTH(AH$2)-MONTH($F81)) / 12),
  0)</f>
        <v/>
      </c>
      <c r="AI81" s="299">
        <f>IF(AND($F81&lt;=AI$2, OR($G81="",$G81&gt;=AI$2)),
  $H81 * (1 + Assumptions!$C$7) ^ INT(((YEAR(AI$2)-YEAR($F81))*12 + MONTH(AI$2)-MONTH($F81)) / 12),
  0)</f>
        <v/>
      </c>
      <c r="AJ81" s="299">
        <f>IF(AND($F81&lt;=AJ$2, OR($G81="",$G81&gt;=AJ$2)),
  $H81 * (1 + Assumptions!$C$7) ^ INT(((YEAR(AJ$2)-YEAR($F81))*12 + MONTH(AJ$2)-MONTH($F81)) / 12),
  0)</f>
        <v/>
      </c>
      <c r="AK81" s="299">
        <f>IF(AND($F81&lt;=AK$2, OR($G81="",$G81&gt;=AK$2)),
  $H81 * (1 + Assumptions!$C$7) ^ INT(((YEAR(AK$2)-YEAR($F81))*12 + MONTH(AK$2)-MONTH($F81)) / 12),
  0)</f>
        <v/>
      </c>
      <c r="AL81" s="299">
        <f>IF(AND($F81&lt;=AL$2, OR($G81="",$G81&gt;=AL$2)),
  $H81 * (1 + Assumptions!$C$7) ^ INT(((YEAR(AL$2)-YEAR($F81))*12 + MONTH(AL$2)-MONTH($F81)) / 12),
  0)</f>
        <v/>
      </c>
      <c r="AM81" s="299">
        <f>IF(AND($F81&lt;=AM$2, OR($G81="",$G81&gt;=AM$2)),
  $H81 * (1 + Assumptions!$C$7) ^ INT(((YEAR(AM$2)-YEAR($F81))*12 + MONTH(AM$2)-MONTH($F81)) / 12),
  0)</f>
        <v/>
      </c>
      <c r="AN81" s="299">
        <f>IF(AND($F81&lt;=AN$2, OR($G81="",$G81&gt;=AN$2)),
  $H81 * (1 + Assumptions!$C$7) ^ INT(((YEAR(AN$2)-YEAR($F81))*12 + MONTH(AN$2)-MONTH($F81)) / 12),
  0)</f>
        <v/>
      </c>
      <c r="AO81" s="299">
        <f>IF(AND($F81&lt;=AO$2, OR($G81="",$G81&gt;=AO$2)),
  $H81 * (1 + Assumptions!$C$7) ^ INT(((YEAR(AO$2)-YEAR($F81))*12 + MONTH(AO$2)-MONTH($F81)) / 12),
  0)</f>
        <v/>
      </c>
      <c r="AP81" s="299">
        <f>IF(AND($F81&lt;=AP$2, OR($G81="",$G81&gt;=AP$2)),
  $H81 * (1 + Assumptions!$C$7) ^ INT(((YEAR(AP$2)-YEAR($F81))*12 + MONTH(AP$2)-MONTH($F81)) / 12),
  0)</f>
        <v/>
      </c>
      <c r="AQ81" s="299">
        <f>IF(AND($F81&lt;=AQ$2, OR($G81="",$G81&gt;=AQ$2)),
  $H81 * (1 + Assumptions!$C$7) ^ INT(((YEAR(AQ$2)-YEAR($F81))*12 + MONTH(AQ$2)-MONTH($F81)) / 12),
  0)</f>
        <v/>
      </c>
      <c r="AR81" s="299">
        <f>IF(AND($F81&lt;=AR$2, OR($G81="",$G81&gt;=AR$2)),
  $H81 * (1 + Assumptions!$C$7) ^ INT(((YEAR(AR$2)-YEAR($F81))*12 + MONTH(AR$2)-MONTH($F81)) / 12),
  0)</f>
        <v/>
      </c>
      <c r="AS81" s="299">
        <f>IF(AND($F81&lt;=AS$2, OR($G81="",$G81&gt;=AS$2)),
  $H81 * (1 + Assumptions!$C$7) ^ INT(((YEAR(AS$2)-YEAR($F81))*12 + MONTH(AS$2)-MONTH($F81)) / 12),
  0)</f>
        <v/>
      </c>
      <c r="AT81" s="299">
        <f>IF(AND($F81&lt;=AT$2, OR($G81="",$G81&gt;=AT$2)),
  $H81 * (1 + Assumptions!$C$7) ^ INT(((YEAR(AT$2)-YEAR($F81))*12 + MONTH(AT$2)-MONTH($F81)) / 12),
  0)</f>
        <v/>
      </c>
      <c r="AU81" s="299">
        <f>IF(AND($F81&lt;=AU$2, OR($G81="",$G81&gt;=AU$2)),
  $H81 * (1 + Assumptions!$C$7) ^ INT(((YEAR(AU$2)-YEAR($F81))*12 + MONTH(AU$2)-MONTH($F81)) / 12),
  0)</f>
        <v/>
      </c>
      <c r="AV81" s="299">
        <f>IF(AND($F81&lt;=AV$2, OR($G81="",$G81&gt;=AV$2)),
  $H81 * (1 + Assumptions!$C$7) ^ INT(((YEAR(AV$2)-YEAR($F81))*12 + MONTH(AV$2)-MONTH($F81)) / 12),
  0)</f>
        <v/>
      </c>
      <c r="AW81" s="299">
        <f>IF(AND($F81&lt;=AW$2, OR($G81="",$G81&gt;=AW$2)),
  $H81 * (1 + Assumptions!$C$7) ^ INT(((YEAR(AW$2)-YEAR($F81))*12 + MONTH(AW$2)-MONTH($F81)) / 12),
  0)</f>
        <v/>
      </c>
      <c r="AX81" s="299">
        <f>IF(AND($F81&lt;=AX$2, OR($G81="",$G81&gt;=AX$2)),
  $H81 * (1 + Assumptions!$C$7) ^ INT(((YEAR(AX$2)-YEAR($F81))*12 + MONTH(AX$2)-MONTH($F81)) / 12),
  0)</f>
        <v/>
      </c>
      <c r="AY81" s="299">
        <f>IF(AND($F81&lt;=AY$2, OR($G81="",$G81&gt;=AY$2)),
  $H81 * (1 + Assumptions!$C$7) ^ INT(((YEAR(AY$2)-YEAR($F81))*12 + MONTH(AY$2)-MONTH($F81)) / 12),
  0)</f>
        <v/>
      </c>
      <c r="AZ81" s="299">
        <f>IF(AND($F81&lt;=AZ$2, OR($G81="",$G81&gt;=AZ$2)),
  $H81 * (1 + Assumptions!$C$7) ^ INT(((YEAR(AZ$2)-YEAR($F81))*12 + MONTH(AZ$2)-MONTH($F81)) / 12),
  0)</f>
        <v/>
      </c>
      <c r="BA81" s="299">
        <f>IF(AND($F81&lt;=BA$2, OR($G81="",$G81&gt;=BA$2)),
  $H81 * (1 + Assumptions!$C$7) ^ INT(((YEAR(BA$2)-YEAR($F81))*12 + MONTH(BA$2)-MONTH($F81)) / 12),
  0)</f>
        <v/>
      </c>
      <c r="BB81" s="299">
        <f>IF(AND($F81&lt;=BB$2, OR($G81="",$G81&gt;=BB$2)),
  $H81 * (1 + Assumptions!$C$7) ^ INT(((YEAR(BB$2)-YEAR($F81))*12 + MONTH(BB$2)-MONTH($F81)) / 12),
  0)</f>
        <v/>
      </c>
      <c r="BC81" s="299">
        <f>IF(AND($F81&lt;=BC$2, OR($G81="",$G81&gt;=BC$2)),
  $H81 * (1 + Assumptions!$C$7) ^ INT(((YEAR(BC$2)-YEAR($F81))*12 + MONTH(BC$2)-MONTH($F81)) / 12),
  0)</f>
        <v/>
      </c>
      <c r="BD81" s="299">
        <f>IF(AND($F81&lt;=BD$2, OR($G81="",$G81&gt;=BD$2)),
  $H81 * (1 + Assumptions!$C$7) ^ INT(((YEAR(BD$2)-YEAR($F81))*12 + MONTH(BD$2)-MONTH($F81)) / 12),
  0)</f>
        <v/>
      </c>
      <c r="BE81" s="299">
        <f>IF(AND($F81&lt;=BE$2, OR($G81="",$G81&gt;=BE$2)),
  $H81 * (1 + Assumptions!$C$7) ^ INT(((YEAR(BE$2)-YEAR($F81))*12 + MONTH(BE$2)-MONTH($F81)) / 12),
  0)</f>
        <v/>
      </c>
      <c r="BF81" s="299">
        <f>IF(AND($F81&lt;=BF$2, OR($G81="",$G81&gt;=BF$2)),
  $H81 * (1 + Assumptions!$C$7) ^ INT(((YEAR(BF$2)-YEAR($F81))*12 + MONTH(BF$2)-MONTH($F81)) / 12),
  0)</f>
        <v/>
      </c>
      <c r="BG81" s="299">
        <f>IF(AND($F81&lt;=BG$2, OR($G81="",$G81&gt;=BG$2)),
  $H81 * (1 + Assumptions!$C$7) ^ INT(((YEAR(BG$2)-YEAR($F81))*12 + MONTH(BG$2)-MONTH($F81)) / 12),
  0)</f>
        <v/>
      </c>
      <c r="BH81" s="299">
        <f>IF(AND($F81&lt;=BH$2, OR($G81="",$G81&gt;=BH$2)),
  $H81 * (1 + Assumptions!$C$7) ^ INT(((YEAR(BH$2)-YEAR($F81))*12 + MONTH(BH$2)-MONTH($F81)) / 12),
  0)</f>
        <v/>
      </c>
      <c r="BI81" s="299">
        <f>IF(AND($F81&lt;=BI$2, OR($G81="",$G81&gt;=BI$2)),
  $H81 * (1 + Assumptions!$C$7) ^ INT(((YEAR(BI$2)-YEAR($F81))*12 + MONTH(BI$2)-MONTH($F81)) / 12),
  0)</f>
        <v/>
      </c>
      <c r="BJ81" s="299">
        <f>IF(AND($F81&lt;=BJ$2, OR($G81="",$G81&gt;=BJ$2)),
  $H81 * (1 + Assumptions!$C$7) ^ INT(((YEAR(BJ$2)-YEAR($F81))*12 + MONTH(BJ$2)-MONTH($F81)) / 12),
  0)</f>
        <v/>
      </c>
      <c r="BK81" s="299">
        <f>IF(AND($F81&lt;=BK$2, OR($G81="",$G81&gt;=BK$2)),
  $H81 * (1 + Assumptions!$C$7) ^ INT(((YEAR(BK$2)-YEAR($F81))*12 + MONTH(BK$2)-MONTH($F81)) / 12),
  0)</f>
        <v/>
      </c>
      <c r="BL81" s="299">
        <f>IF(AND($F81&lt;=BL$2, OR($G81="",$G81&gt;=BL$2)),
  $H81 * (1 + Assumptions!$C$7) ^ INT(((YEAR(BL$2)-YEAR($F81))*12 + MONTH(BL$2)-MONTH($F81)) / 12),
  0)</f>
        <v/>
      </c>
      <c r="BM81" s="299">
        <f>IF(AND($F81&lt;=BM$2, OR($G81="",$G81&gt;=BM$2)),
  $H81 * (1 + Assumptions!$C$7) ^ INT(((YEAR(BM$2)-YEAR($F81))*12 + MONTH(BM$2)-MONTH($F81)) / 12),
  0)</f>
        <v/>
      </c>
      <c r="BN81" s="299">
        <f>IF(AND($F81&lt;=BN$2, OR($G81="",$G81&gt;=BN$2)),
  $H81 * (1 + Assumptions!$C$7) ^ INT(((YEAR(BN$2)-YEAR($F81))*12 + MONTH(BN$2)-MONTH($F81)) / 12),
  0)</f>
        <v/>
      </c>
      <c r="BO81" s="299">
        <f>IF(AND($F81&lt;=BO$2, OR($G81="",$G81&gt;=BO$2)),
  $H81 * (1 + Assumptions!$C$7) ^ INT(((YEAR(BO$2)-YEAR($F81))*12 + MONTH(BO$2)-MONTH($F81)) / 12),
  0)</f>
        <v/>
      </c>
      <c r="BP81" s="299">
        <f>IF(AND($F81&lt;=BP$2, OR($G81="",$G81&gt;=BP$2)),
  $H81 * (1 + Assumptions!$C$7) ^ INT(((YEAR(BP$2)-YEAR($F81))*12 + MONTH(BP$2)-MONTH($F81)) / 12),
  0)</f>
        <v/>
      </c>
      <c r="BQ81" s="31" t="n"/>
      <c r="BR81" s="31" t="n"/>
      <c r="BS81" s="31" t="n"/>
      <c r="BT81" s="31" t="n"/>
    </row>
    <row r="82" ht="15.75" customHeight="1" s="349">
      <c r="A82" s="321" t="n">
        <v>77</v>
      </c>
      <c r="B82" s="285" t="inlineStr">
        <is>
          <t>New hire</t>
        </is>
      </c>
      <c r="C82" s="317" t="inlineStr">
        <is>
          <t>S&amp;M</t>
        </is>
      </c>
      <c r="D82" s="317" t="inlineStr">
        <is>
          <t>Order Desk</t>
        </is>
      </c>
      <c r="E82" s="297" t="inlineStr">
        <is>
          <t>Planned</t>
        </is>
      </c>
      <c r="F82" s="318">
        <f>IF(Assumptions!$D$82=2,DATE(2028,1,1),DATE(2029,1,1))</f>
        <v/>
      </c>
      <c r="G82" s="318" t="n"/>
      <c r="H82" s="288" t="n">
        <v>7000</v>
      </c>
      <c r="I82" s="299">
        <f>IF(AND($F82&lt;=I$2, OR($G82="",$G82&gt;=I$2)),
  $H82 * (1 + Assumptions!$C$7) ^ INT(((YEAR(I$2)-YEAR($F82))*12 + MONTH(I$2)-MONTH($F82)) / 12),
  0)</f>
        <v/>
      </c>
      <c r="J82" s="299">
        <f>IF(AND($F82&lt;=J$2, OR($G82="",$G82&gt;=J$2)),
  $H82 * (1 + Assumptions!$C$7) ^ INT(((YEAR(J$2)-YEAR($F82))*12 + MONTH(J$2)-MONTH($F82)) / 12),
  0)</f>
        <v/>
      </c>
      <c r="K82" s="299">
        <f>IF(AND($F82&lt;=K$2, OR($G82="",$G82&gt;=K$2)),
  $H82 * (1 + Assumptions!$C$7) ^ INT(((YEAR(K$2)-YEAR($F82))*12 + MONTH(K$2)-MONTH($F82)) / 12),
  0)</f>
        <v/>
      </c>
      <c r="L82" s="299">
        <f>IF(AND($F82&lt;=L$2, OR($G82="",$G82&gt;=L$2)),
  $H82 * (1 + Assumptions!$C$7) ^ INT(((YEAR(L$2)-YEAR($F82))*12 + MONTH(L$2)-MONTH($F82)) / 12),
  0)</f>
        <v/>
      </c>
      <c r="M82" s="299">
        <f>IF(AND($F82&lt;=M$2, OR($G82="",$G82&gt;=M$2)),
  $H82 * (1 + Assumptions!$C$7) ^ INT(((YEAR(M$2)-YEAR($F82))*12 + MONTH(M$2)-MONTH($F82)) / 12),
  0)</f>
        <v/>
      </c>
      <c r="N82" s="299">
        <f>IF(AND($F82&lt;=N$2, OR($G82="",$G82&gt;=N$2)),
  $H82 * (1 + Assumptions!$C$7) ^ INT(((YEAR(N$2)-YEAR($F82))*12 + MONTH(N$2)-MONTH($F82)) / 12),
  0)</f>
        <v/>
      </c>
      <c r="O82" s="299">
        <f>IF(AND($F82&lt;=O$2, OR($G82="",$G82&gt;=O$2)),
  $H82 * (1 + Assumptions!$C$7) ^ INT(((YEAR(O$2)-YEAR($F82))*12 + MONTH(O$2)-MONTH($F82)) / 12),
  0)</f>
        <v/>
      </c>
      <c r="P82" s="299">
        <f>IF(AND($F82&lt;=P$2, OR($G82="",$G82&gt;=P$2)),
  $H82 * (1 + Assumptions!$C$7) ^ INT(((YEAR(P$2)-YEAR($F82))*12 + MONTH(P$2)-MONTH($F82)) / 12),
  0)</f>
        <v/>
      </c>
      <c r="Q82" s="299">
        <f>IF(AND($F82&lt;=Q$2, OR($G82="",$G82&gt;=Q$2)),
  $H82 * (1 + Assumptions!$C$7) ^ INT(((YEAR(Q$2)-YEAR($F82))*12 + MONTH(Q$2)-MONTH($F82)) / 12),
  0)</f>
        <v/>
      </c>
      <c r="R82" s="299">
        <f>IF(AND($F82&lt;=R$2, OR($G82="",$G82&gt;=R$2)),
  $H82 * (1 + Assumptions!$C$7) ^ INT(((YEAR(R$2)-YEAR($F82))*12 + MONTH(R$2)-MONTH($F82)) / 12),
  0)</f>
        <v/>
      </c>
      <c r="S82" s="299">
        <f>IF(AND($F82&lt;=S$2, OR($G82="",$G82&gt;=S$2)),
  $H82 * (1 + Assumptions!$C$7) ^ INT(((YEAR(S$2)-YEAR($F82))*12 + MONTH(S$2)-MONTH($F82)) / 12),
  0)</f>
        <v/>
      </c>
      <c r="T82" s="299">
        <f>IF(AND($F82&lt;=T$2, OR($G82="",$G82&gt;=T$2)),
  $H82 * (1 + Assumptions!$C$7) ^ INT(((YEAR(T$2)-YEAR($F82))*12 + MONTH(T$2)-MONTH($F82)) / 12),
  0)</f>
        <v/>
      </c>
      <c r="U82" s="299">
        <f>IF(AND($F82&lt;=U$2, OR($G82="",$G82&gt;=U$2)),
  $H82 * (1 + Assumptions!$C$7) ^ INT(((YEAR(U$2)-YEAR($F82))*12 + MONTH(U$2)-MONTH($F82)) / 12),
  0)</f>
        <v/>
      </c>
      <c r="V82" s="299">
        <f>IF(AND($F82&lt;=V$2, OR($G82="",$G82&gt;=V$2)),
  $H82 * (1 + Assumptions!$C$7) ^ INT(((YEAR(V$2)-YEAR($F82))*12 + MONTH(V$2)-MONTH($F82)) / 12),
  0)</f>
        <v/>
      </c>
      <c r="W82" s="299">
        <f>IF(AND($F82&lt;=W$2, OR($G82="",$G82&gt;=W$2)),
  $H82 * (1 + Assumptions!$C$7) ^ INT(((YEAR(W$2)-YEAR($F82))*12 + MONTH(W$2)-MONTH($F82)) / 12),
  0)</f>
        <v/>
      </c>
      <c r="X82" s="299">
        <f>IF(AND($F82&lt;=X$2, OR($G82="",$G82&gt;=X$2)),
  $H82 * (1 + Assumptions!$C$7) ^ INT(((YEAR(X$2)-YEAR($F82))*12 + MONTH(X$2)-MONTH($F82)) / 12),
  0)</f>
        <v/>
      </c>
      <c r="Y82" s="299">
        <f>IF(AND($F82&lt;=Y$2, OR($G82="",$G82&gt;=Y$2)),
  $H82 * (1 + Assumptions!$C$7) ^ INT(((YEAR(Y$2)-YEAR($F82))*12 + MONTH(Y$2)-MONTH($F82)) / 12),
  0)</f>
        <v/>
      </c>
      <c r="Z82" s="299">
        <f>IF(AND($F82&lt;=Z$2, OR($G82="",$G82&gt;=Z$2)),
  $H82 * (1 + Assumptions!$C$7) ^ INT(((YEAR(Z$2)-YEAR($F82))*12 + MONTH(Z$2)-MONTH($F82)) / 12),
  0)</f>
        <v/>
      </c>
      <c r="AA82" s="299">
        <f>IF(AND($F82&lt;=AA$2, OR($G82="",$G82&gt;=AA$2)),
  $H82 * (1 + Assumptions!$C$7) ^ INT(((YEAR(AA$2)-YEAR($F82))*12 + MONTH(AA$2)-MONTH($F82)) / 12),
  0)</f>
        <v/>
      </c>
      <c r="AB82" s="299">
        <f>IF(AND($F82&lt;=AB$2, OR($G82="",$G82&gt;=AB$2)),
  $H82 * (1 + Assumptions!$C$7) ^ INT(((YEAR(AB$2)-YEAR($F82))*12 + MONTH(AB$2)-MONTH($F82)) / 12),
  0)</f>
        <v/>
      </c>
      <c r="AC82" s="299">
        <f>IF(AND($F82&lt;=AC$2, OR($G82="",$G82&gt;=AC$2)),
  $H82 * (1 + Assumptions!$C$7) ^ INT(((YEAR(AC$2)-YEAR($F82))*12 + MONTH(AC$2)-MONTH($F82)) / 12),
  0)</f>
        <v/>
      </c>
      <c r="AD82" s="299">
        <f>IF(AND($F82&lt;=AD$2, OR($G82="",$G82&gt;=AD$2)),
  $H82 * (1 + Assumptions!$C$7) ^ INT(((YEAR(AD$2)-YEAR($F82))*12 + MONTH(AD$2)-MONTH($F82)) / 12),
  0)</f>
        <v/>
      </c>
      <c r="AE82" s="299">
        <f>IF(AND($F82&lt;=AE$2, OR($G82="",$G82&gt;=AE$2)),
  $H82 * (1 + Assumptions!$C$7) ^ INT(((YEAR(AE$2)-YEAR($F82))*12 + MONTH(AE$2)-MONTH($F82)) / 12),
  0)</f>
        <v/>
      </c>
      <c r="AF82" s="299">
        <f>IF(AND($F82&lt;=AF$2, OR($G82="",$G82&gt;=AF$2)),
  $H82 * (1 + Assumptions!$C$7) ^ INT(((YEAR(AF$2)-YEAR($F82))*12 + MONTH(AF$2)-MONTH($F82)) / 12),
  0)</f>
        <v/>
      </c>
      <c r="AG82" s="299">
        <f>IF(AND($F82&lt;=AG$2, OR($G82="",$G82&gt;=AG$2)),
  $H82 * (1 + Assumptions!$C$7) ^ INT(((YEAR(AG$2)-YEAR($F82))*12 + MONTH(AG$2)-MONTH($F82)) / 12),
  0)</f>
        <v/>
      </c>
      <c r="AH82" s="299">
        <f>IF(AND($F82&lt;=AH$2, OR($G82="",$G82&gt;=AH$2)),
  $H82 * (1 + Assumptions!$C$7) ^ INT(((YEAR(AH$2)-YEAR($F82))*12 + MONTH(AH$2)-MONTH($F82)) / 12),
  0)</f>
        <v/>
      </c>
      <c r="AI82" s="299">
        <f>IF(AND($F82&lt;=AI$2, OR($G82="",$G82&gt;=AI$2)),
  $H82 * (1 + Assumptions!$C$7) ^ INT(((YEAR(AI$2)-YEAR($F82))*12 + MONTH(AI$2)-MONTH($F82)) / 12),
  0)</f>
        <v/>
      </c>
      <c r="AJ82" s="299">
        <f>IF(AND($F82&lt;=AJ$2, OR($G82="",$G82&gt;=AJ$2)),
  $H82 * (1 + Assumptions!$C$7) ^ INT(((YEAR(AJ$2)-YEAR($F82))*12 + MONTH(AJ$2)-MONTH($F82)) / 12),
  0)</f>
        <v/>
      </c>
      <c r="AK82" s="299">
        <f>IF(AND($F82&lt;=AK$2, OR($G82="",$G82&gt;=AK$2)),
  $H82 * (1 + Assumptions!$C$7) ^ INT(((YEAR(AK$2)-YEAR($F82))*12 + MONTH(AK$2)-MONTH($F82)) / 12),
  0)</f>
        <v/>
      </c>
      <c r="AL82" s="299">
        <f>IF(AND($F82&lt;=AL$2, OR($G82="",$G82&gt;=AL$2)),
  $H82 * (1 + Assumptions!$C$7) ^ INT(((YEAR(AL$2)-YEAR($F82))*12 + MONTH(AL$2)-MONTH($F82)) / 12),
  0)</f>
        <v/>
      </c>
      <c r="AM82" s="299">
        <f>IF(AND($F82&lt;=AM$2, OR($G82="",$G82&gt;=AM$2)),
  $H82 * (1 + Assumptions!$C$7) ^ INT(((YEAR(AM$2)-YEAR($F82))*12 + MONTH(AM$2)-MONTH($F82)) / 12),
  0)</f>
        <v/>
      </c>
      <c r="AN82" s="299">
        <f>IF(AND($F82&lt;=AN$2, OR($G82="",$G82&gt;=AN$2)),
  $H82 * (1 + Assumptions!$C$7) ^ INT(((YEAR(AN$2)-YEAR($F82))*12 + MONTH(AN$2)-MONTH($F82)) / 12),
  0)</f>
        <v/>
      </c>
      <c r="AO82" s="299">
        <f>IF(AND($F82&lt;=AO$2, OR($G82="",$G82&gt;=AO$2)),
  $H82 * (1 + Assumptions!$C$7) ^ INT(((YEAR(AO$2)-YEAR($F82))*12 + MONTH(AO$2)-MONTH($F82)) / 12),
  0)</f>
        <v/>
      </c>
      <c r="AP82" s="299">
        <f>IF(AND($F82&lt;=AP$2, OR($G82="",$G82&gt;=AP$2)),
  $H82 * (1 + Assumptions!$C$7) ^ INT(((YEAR(AP$2)-YEAR($F82))*12 + MONTH(AP$2)-MONTH($F82)) / 12),
  0)</f>
        <v/>
      </c>
      <c r="AQ82" s="299">
        <f>IF(AND($F82&lt;=AQ$2, OR($G82="",$G82&gt;=AQ$2)),
  $H82 * (1 + Assumptions!$C$7) ^ INT(((YEAR(AQ$2)-YEAR($F82))*12 + MONTH(AQ$2)-MONTH($F82)) / 12),
  0)</f>
        <v/>
      </c>
      <c r="AR82" s="299">
        <f>IF(AND($F82&lt;=AR$2, OR($G82="",$G82&gt;=AR$2)),
  $H82 * (1 + Assumptions!$C$7) ^ INT(((YEAR(AR$2)-YEAR($F82))*12 + MONTH(AR$2)-MONTH($F82)) / 12),
  0)</f>
        <v/>
      </c>
      <c r="AS82" s="299">
        <f>IF(AND($F82&lt;=AS$2, OR($G82="",$G82&gt;=AS$2)),
  $H82 * (1 + Assumptions!$C$7) ^ INT(((YEAR(AS$2)-YEAR($F82))*12 + MONTH(AS$2)-MONTH($F82)) / 12),
  0)</f>
        <v/>
      </c>
      <c r="AT82" s="299">
        <f>IF(AND($F82&lt;=AT$2, OR($G82="",$G82&gt;=AT$2)),
  $H82 * (1 + Assumptions!$C$7) ^ INT(((YEAR(AT$2)-YEAR($F82))*12 + MONTH(AT$2)-MONTH($F82)) / 12),
  0)</f>
        <v/>
      </c>
      <c r="AU82" s="299">
        <f>IF(AND($F82&lt;=AU$2, OR($G82="",$G82&gt;=AU$2)),
  $H82 * (1 + Assumptions!$C$7) ^ INT(((YEAR(AU$2)-YEAR($F82))*12 + MONTH(AU$2)-MONTH($F82)) / 12),
  0)</f>
        <v/>
      </c>
      <c r="AV82" s="299">
        <f>IF(AND($F82&lt;=AV$2, OR($G82="",$G82&gt;=AV$2)),
  $H82 * (1 + Assumptions!$C$7) ^ INT(((YEAR(AV$2)-YEAR($F82))*12 + MONTH(AV$2)-MONTH($F82)) / 12),
  0)</f>
        <v/>
      </c>
      <c r="AW82" s="299">
        <f>IF(AND($F82&lt;=AW$2, OR($G82="",$G82&gt;=AW$2)),
  $H82 * (1 + Assumptions!$C$7) ^ INT(((YEAR(AW$2)-YEAR($F82))*12 + MONTH(AW$2)-MONTH($F82)) / 12),
  0)</f>
        <v/>
      </c>
      <c r="AX82" s="299">
        <f>IF(AND($F82&lt;=AX$2, OR($G82="",$G82&gt;=AX$2)),
  $H82 * (1 + Assumptions!$C$7) ^ INT(((YEAR(AX$2)-YEAR($F82))*12 + MONTH(AX$2)-MONTH($F82)) / 12),
  0)</f>
        <v/>
      </c>
      <c r="AY82" s="299">
        <f>IF(AND($F82&lt;=AY$2, OR($G82="",$G82&gt;=AY$2)),
  $H82 * (1 + Assumptions!$C$7) ^ INT(((YEAR(AY$2)-YEAR($F82))*12 + MONTH(AY$2)-MONTH($F82)) / 12),
  0)</f>
        <v/>
      </c>
      <c r="AZ82" s="299">
        <f>IF(AND($F82&lt;=AZ$2, OR($G82="",$G82&gt;=AZ$2)),
  $H82 * (1 + Assumptions!$C$7) ^ INT(((YEAR(AZ$2)-YEAR($F82))*12 + MONTH(AZ$2)-MONTH($F82)) / 12),
  0)</f>
        <v/>
      </c>
      <c r="BA82" s="299">
        <f>IF(AND($F82&lt;=BA$2, OR($G82="",$G82&gt;=BA$2)),
  $H82 * (1 + Assumptions!$C$7) ^ INT(((YEAR(BA$2)-YEAR($F82))*12 + MONTH(BA$2)-MONTH($F82)) / 12),
  0)</f>
        <v/>
      </c>
      <c r="BB82" s="299">
        <f>IF(AND($F82&lt;=BB$2, OR($G82="",$G82&gt;=BB$2)),
  $H82 * (1 + Assumptions!$C$7) ^ INT(((YEAR(BB$2)-YEAR($F82))*12 + MONTH(BB$2)-MONTH($F82)) / 12),
  0)</f>
        <v/>
      </c>
      <c r="BC82" s="299">
        <f>IF(AND($F82&lt;=BC$2, OR($G82="",$G82&gt;=BC$2)),
  $H82 * (1 + Assumptions!$C$7) ^ INT(((YEAR(BC$2)-YEAR($F82))*12 + MONTH(BC$2)-MONTH($F82)) / 12),
  0)</f>
        <v/>
      </c>
      <c r="BD82" s="299">
        <f>IF(AND($F82&lt;=BD$2, OR($G82="",$G82&gt;=BD$2)),
  $H82 * (1 + Assumptions!$C$7) ^ INT(((YEAR(BD$2)-YEAR($F82))*12 + MONTH(BD$2)-MONTH($F82)) / 12),
  0)</f>
        <v/>
      </c>
      <c r="BE82" s="299">
        <f>IF(AND($F82&lt;=BE$2, OR($G82="",$G82&gt;=BE$2)),
  $H82 * (1 + Assumptions!$C$7) ^ INT(((YEAR(BE$2)-YEAR($F82))*12 + MONTH(BE$2)-MONTH($F82)) / 12),
  0)</f>
        <v/>
      </c>
      <c r="BF82" s="299">
        <f>IF(AND($F82&lt;=BF$2, OR($G82="",$G82&gt;=BF$2)),
  $H82 * (1 + Assumptions!$C$7) ^ INT(((YEAR(BF$2)-YEAR($F82))*12 + MONTH(BF$2)-MONTH($F82)) / 12),
  0)</f>
        <v/>
      </c>
      <c r="BG82" s="299">
        <f>IF(AND($F82&lt;=BG$2, OR($G82="",$G82&gt;=BG$2)),
  $H82 * (1 + Assumptions!$C$7) ^ INT(((YEAR(BG$2)-YEAR($F82))*12 + MONTH(BG$2)-MONTH($F82)) / 12),
  0)</f>
        <v/>
      </c>
      <c r="BH82" s="299">
        <f>IF(AND($F82&lt;=BH$2, OR($G82="",$G82&gt;=BH$2)),
  $H82 * (1 + Assumptions!$C$7) ^ INT(((YEAR(BH$2)-YEAR($F82))*12 + MONTH(BH$2)-MONTH($F82)) / 12),
  0)</f>
        <v/>
      </c>
      <c r="BI82" s="299">
        <f>IF(AND($F82&lt;=BI$2, OR($G82="",$G82&gt;=BI$2)),
  $H82 * (1 + Assumptions!$C$7) ^ INT(((YEAR(BI$2)-YEAR($F82))*12 + MONTH(BI$2)-MONTH($F82)) / 12),
  0)</f>
        <v/>
      </c>
      <c r="BJ82" s="299">
        <f>IF(AND($F82&lt;=BJ$2, OR($G82="",$G82&gt;=BJ$2)),
  $H82 * (1 + Assumptions!$C$7) ^ INT(((YEAR(BJ$2)-YEAR($F82))*12 + MONTH(BJ$2)-MONTH($F82)) / 12),
  0)</f>
        <v/>
      </c>
      <c r="BK82" s="299">
        <f>IF(AND($F82&lt;=BK$2, OR($G82="",$G82&gt;=BK$2)),
  $H82 * (1 + Assumptions!$C$7) ^ INT(((YEAR(BK$2)-YEAR($F82))*12 + MONTH(BK$2)-MONTH($F82)) / 12),
  0)</f>
        <v/>
      </c>
      <c r="BL82" s="299">
        <f>IF(AND($F82&lt;=BL$2, OR($G82="",$G82&gt;=BL$2)),
  $H82 * (1 + Assumptions!$C$7) ^ INT(((YEAR(BL$2)-YEAR($F82))*12 + MONTH(BL$2)-MONTH($F82)) / 12),
  0)</f>
        <v/>
      </c>
      <c r="BM82" s="299">
        <f>IF(AND($F82&lt;=BM$2, OR($G82="",$G82&gt;=BM$2)),
  $H82 * (1 + Assumptions!$C$7) ^ INT(((YEAR(BM$2)-YEAR($F82))*12 + MONTH(BM$2)-MONTH($F82)) / 12),
  0)</f>
        <v/>
      </c>
      <c r="BN82" s="299">
        <f>IF(AND($F82&lt;=BN$2, OR($G82="",$G82&gt;=BN$2)),
  $H82 * (1 + Assumptions!$C$7) ^ INT(((YEAR(BN$2)-YEAR($F82))*12 + MONTH(BN$2)-MONTH($F82)) / 12),
  0)</f>
        <v/>
      </c>
      <c r="BO82" s="299">
        <f>IF(AND($F82&lt;=BO$2, OR($G82="",$G82&gt;=BO$2)),
  $H82 * (1 + Assumptions!$C$7) ^ INT(((YEAR(BO$2)-YEAR($F82))*12 + MONTH(BO$2)-MONTH($F82)) / 12),
  0)</f>
        <v/>
      </c>
      <c r="BP82" s="299">
        <f>IF(AND($F82&lt;=BP$2, OR($G82="",$G82&gt;=BP$2)),
  $H82 * (1 + Assumptions!$C$7) ^ INT(((YEAR(BP$2)-YEAR($F82))*12 + MONTH(BP$2)-MONTH($F82)) / 12),
  0)</f>
        <v/>
      </c>
      <c r="BQ82" s="31" t="n"/>
      <c r="BR82" s="31" t="n"/>
      <c r="BS82" s="31" t="n"/>
      <c r="BT82" s="31" t="n"/>
    </row>
    <row r="83" ht="15.75" customHeight="1" s="349">
      <c r="A83" s="321" t="n">
        <v>78</v>
      </c>
      <c r="B83" s="285" t="inlineStr">
        <is>
          <t>New hire</t>
        </is>
      </c>
      <c r="C83" s="317" t="inlineStr">
        <is>
          <t>S&amp;M</t>
        </is>
      </c>
      <c r="D83" s="317" t="inlineStr">
        <is>
          <t>Order Desk</t>
        </is>
      </c>
      <c r="E83" s="297" t="inlineStr">
        <is>
          <t>Planned</t>
        </is>
      </c>
      <c r="F83" s="318">
        <f>IF(Assumptions!$D$82=2,DATE(2028,7,1),DATE(2035,1,1))</f>
        <v/>
      </c>
      <c r="G83" s="318" t="n"/>
      <c r="H83" s="288" t="n">
        <v>7000</v>
      </c>
      <c r="I83" s="299">
        <f>IF(AND($F83&lt;=I$2, OR($G83="",$G83&gt;=I$2)),
  $H83 * (1 + Assumptions!$C$7) ^ INT(((YEAR(I$2)-YEAR($F83))*12 + MONTH(I$2)-MONTH($F83)) / 12),
  0)</f>
        <v/>
      </c>
      <c r="J83" s="299">
        <f>IF(AND($F83&lt;=J$2, OR($G83="",$G83&gt;=J$2)),
  $H83 * (1 + Assumptions!$C$7) ^ INT(((YEAR(J$2)-YEAR($F83))*12 + MONTH(J$2)-MONTH($F83)) / 12),
  0)</f>
        <v/>
      </c>
      <c r="K83" s="299">
        <f>IF(AND($F83&lt;=K$2, OR($G83="",$G83&gt;=K$2)),
  $H83 * (1 + Assumptions!$C$7) ^ INT(((YEAR(K$2)-YEAR($F83))*12 + MONTH(K$2)-MONTH($F83)) / 12),
  0)</f>
        <v/>
      </c>
      <c r="L83" s="299">
        <f>IF(AND($F83&lt;=L$2, OR($G83="",$G83&gt;=L$2)),
  $H83 * (1 + Assumptions!$C$7) ^ INT(((YEAR(L$2)-YEAR($F83))*12 + MONTH(L$2)-MONTH($F83)) / 12),
  0)</f>
        <v/>
      </c>
      <c r="M83" s="299">
        <f>IF(AND($F83&lt;=M$2, OR($G83="",$G83&gt;=M$2)),
  $H83 * (1 + Assumptions!$C$7) ^ INT(((YEAR(M$2)-YEAR($F83))*12 + MONTH(M$2)-MONTH($F83)) / 12),
  0)</f>
        <v/>
      </c>
      <c r="N83" s="299">
        <f>IF(AND($F83&lt;=N$2, OR($G83="",$G83&gt;=N$2)),
  $H83 * (1 + Assumptions!$C$7) ^ INT(((YEAR(N$2)-YEAR($F83))*12 + MONTH(N$2)-MONTH($F83)) / 12),
  0)</f>
        <v/>
      </c>
      <c r="O83" s="299">
        <f>IF(AND($F83&lt;=O$2, OR($G83="",$G83&gt;=O$2)),
  $H83 * (1 + Assumptions!$C$7) ^ INT(((YEAR(O$2)-YEAR($F83))*12 + MONTH(O$2)-MONTH($F83)) / 12),
  0)</f>
        <v/>
      </c>
      <c r="P83" s="299">
        <f>IF(AND($F83&lt;=P$2, OR($G83="",$G83&gt;=P$2)),
  $H83 * (1 + Assumptions!$C$7) ^ INT(((YEAR(P$2)-YEAR($F83))*12 + MONTH(P$2)-MONTH($F83)) / 12),
  0)</f>
        <v/>
      </c>
      <c r="Q83" s="299">
        <f>IF(AND($F83&lt;=Q$2, OR($G83="",$G83&gt;=Q$2)),
  $H83 * (1 + Assumptions!$C$7) ^ INT(((YEAR(Q$2)-YEAR($F83))*12 + MONTH(Q$2)-MONTH($F83)) / 12),
  0)</f>
        <v/>
      </c>
      <c r="R83" s="299">
        <f>IF(AND($F83&lt;=R$2, OR($G83="",$G83&gt;=R$2)),
  $H83 * (1 + Assumptions!$C$7) ^ INT(((YEAR(R$2)-YEAR($F83))*12 + MONTH(R$2)-MONTH($F83)) / 12),
  0)</f>
        <v/>
      </c>
      <c r="S83" s="299">
        <f>IF(AND($F83&lt;=S$2, OR($G83="",$G83&gt;=S$2)),
  $H83 * (1 + Assumptions!$C$7) ^ INT(((YEAR(S$2)-YEAR($F83))*12 + MONTH(S$2)-MONTH($F83)) / 12),
  0)</f>
        <v/>
      </c>
      <c r="T83" s="299">
        <f>IF(AND($F83&lt;=T$2, OR($G83="",$G83&gt;=T$2)),
  $H83 * (1 + Assumptions!$C$7) ^ INT(((YEAR(T$2)-YEAR($F83))*12 + MONTH(T$2)-MONTH($F83)) / 12),
  0)</f>
        <v/>
      </c>
      <c r="U83" s="299">
        <f>IF(AND($F83&lt;=U$2, OR($G83="",$G83&gt;=U$2)),
  $H83 * (1 + Assumptions!$C$7) ^ INT(((YEAR(U$2)-YEAR($F83))*12 + MONTH(U$2)-MONTH($F83)) / 12),
  0)</f>
        <v/>
      </c>
      <c r="V83" s="299">
        <f>IF(AND($F83&lt;=V$2, OR($G83="",$G83&gt;=V$2)),
  $H83 * (1 + Assumptions!$C$7) ^ INT(((YEAR(V$2)-YEAR($F83))*12 + MONTH(V$2)-MONTH($F83)) / 12),
  0)</f>
        <v/>
      </c>
      <c r="W83" s="299">
        <f>IF(AND($F83&lt;=W$2, OR($G83="",$G83&gt;=W$2)),
  $H83 * (1 + Assumptions!$C$7) ^ INT(((YEAR(W$2)-YEAR($F83))*12 + MONTH(W$2)-MONTH($F83)) / 12),
  0)</f>
        <v/>
      </c>
      <c r="X83" s="299">
        <f>IF(AND($F83&lt;=X$2, OR($G83="",$G83&gt;=X$2)),
  $H83 * (1 + Assumptions!$C$7) ^ INT(((YEAR(X$2)-YEAR($F83))*12 + MONTH(X$2)-MONTH($F83)) / 12),
  0)</f>
        <v/>
      </c>
      <c r="Y83" s="299">
        <f>IF(AND($F83&lt;=Y$2, OR($G83="",$G83&gt;=Y$2)),
  $H83 * (1 + Assumptions!$C$7) ^ INT(((YEAR(Y$2)-YEAR($F83))*12 + MONTH(Y$2)-MONTH($F83)) / 12),
  0)</f>
        <v/>
      </c>
      <c r="Z83" s="299">
        <f>IF(AND($F83&lt;=Z$2, OR($G83="",$G83&gt;=Z$2)),
  $H83 * (1 + Assumptions!$C$7) ^ INT(((YEAR(Z$2)-YEAR($F83))*12 + MONTH(Z$2)-MONTH($F83)) / 12),
  0)</f>
        <v/>
      </c>
      <c r="AA83" s="299">
        <f>IF(AND($F83&lt;=AA$2, OR($G83="",$G83&gt;=AA$2)),
  $H83 * (1 + Assumptions!$C$7) ^ INT(((YEAR(AA$2)-YEAR($F83))*12 + MONTH(AA$2)-MONTH($F83)) / 12),
  0)</f>
        <v/>
      </c>
      <c r="AB83" s="299">
        <f>IF(AND($F83&lt;=AB$2, OR($G83="",$G83&gt;=AB$2)),
  $H83 * (1 + Assumptions!$C$7) ^ INT(((YEAR(AB$2)-YEAR($F83))*12 + MONTH(AB$2)-MONTH($F83)) / 12),
  0)</f>
        <v/>
      </c>
      <c r="AC83" s="299">
        <f>IF(AND($F83&lt;=AC$2, OR($G83="",$G83&gt;=AC$2)),
  $H83 * (1 + Assumptions!$C$7) ^ INT(((YEAR(AC$2)-YEAR($F83))*12 + MONTH(AC$2)-MONTH($F83)) / 12),
  0)</f>
        <v/>
      </c>
      <c r="AD83" s="299">
        <f>IF(AND($F83&lt;=AD$2, OR($G83="",$G83&gt;=AD$2)),
  $H83 * (1 + Assumptions!$C$7) ^ INT(((YEAR(AD$2)-YEAR($F83))*12 + MONTH(AD$2)-MONTH($F83)) / 12),
  0)</f>
        <v/>
      </c>
      <c r="AE83" s="299">
        <f>IF(AND($F83&lt;=AE$2, OR($G83="",$G83&gt;=AE$2)),
  $H83 * (1 + Assumptions!$C$7) ^ INT(((YEAR(AE$2)-YEAR($F83))*12 + MONTH(AE$2)-MONTH($F83)) / 12),
  0)</f>
        <v/>
      </c>
      <c r="AF83" s="299">
        <f>IF(AND($F83&lt;=AF$2, OR($G83="",$G83&gt;=AF$2)),
  $H83 * (1 + Assumptions!$C$7) ^ INT(((YEAR(AF$2)-YEAR($F83))*12 + MONTH(AF$2)-MONTH($F83)) / 12),
  0)</f>
        <v/>
      </c>
      <c r="AG83" s="299">
        <f>IF(AND($F83&lt;=AG$2, OR($G83="",$G83&gt;=AG$2)),
  $H83 * (1 + Assumptions!$C$7) ^ INT(((YEAR(AG$2)-YEAR($F83))*12 + MONTH(AG$2)-MONTH($F83)) / 12),
  0)</f>
        <v/>
      </c>
      <c r="AH83" s="299">
        <f>IF(AND($F83&lt;=AH$2, OR($G83="",$G83&gt;=AH$2)),
  $H83 * (1 + Assumptions!$C$7) ^ INT(((YEAR(AH$2)-YEAR($F83))*12 + MONTH(AH$2)-MONTH($F83)) / 12),
  0)</f>
        <v/>
      </c>
      <c r="AI83" s="299">
        <f>IF(AND($F83&lt;=AI$2, OR($G83="",$G83&gt;=AI$2)),
  $H83 * (1 + Assumptions!$C$7) ^ INT(((YEAR(AI$2)-YEAR($F83))*12 + MONTH(AI$2)-MONTH($F83)) / 12),
  0)</f>
        <v/>
      </c>
      <c r="AJ83" s="299">
        <f>IF(AND($F83&lt;=AJ$2, OR($G83="",$G83&gt;=AJ$2)),
  $H83 * (1 + Assumptions!$C$7) ^ INT(((YEAR(AJ$2)-YEAR($F83))*12 + MONTH(AJ$2)-MONTH($F83)) / 12),
  0)</f>
        <v/>
      </c>
      <c r="AK83" s="299">
        <f>IF(AND($F83&lt;=AK$2, OR($G83="",$G83&gt;=AK$2)),
  $H83 * (1 + Assumptions!$C$7) ^ INT(((YEAR(AK$2)-YEAR($F83))*12 + MONTH(AK$2)-MONTH($F83)) / 12),
  0)</f>
        <v/>
      </c>
      <c r="AL83" s="299">
        <f>IF(AND($F83&lt;=AL$2, OR($G83="",$G83&gt;=AL$2)),
  $H83 * (1 + Assumptions!$C$7) ^ INT(((YEAR(AL$2)-YEAR($F83))*12 + MONTH(AL$2)-MONTH($F83)) / 12),
  0)</f>
        <v/>
      </c>
      <c r="AM83" s="299">
        <f>IF(AND($F83&lt;=AM$2, OR($G83="",$G83&gt;=AM$2)),
  $H83 * (1 + Assumptions!$C$7) ^ INT(((YEAR(AM$2)-YEAR($F83))*12 + MONTH(AM$2)-MONTH($F83)) / 12),
  0)</f>
        <v/>
      </c>
      <c r="AN83" s="299">
        <f>IF(AND($F83&lt;=AN$2, OR($G83="",$G83&gt;=AN$2)),
  $H83 * (1 + Assumptions!$C$7) ^ INT(((YEAR(AN$2)-YEAR($F83))*12 + MONTH(AN$2)-MONTH($F83)) / 12),
  0)</f>
        <v/>
      </c>
      <c r="AO83" s="299">
        <f>IF(AND($F83&lt;=AO$2, OR($G83="",$G83&gt;=AO$2)),
  $H83 * (1 + Assumptions!$C$7) ^ INT(((YEAR(AO$2)-YEAR($F83))*12 + MONTH(AO$2)-MONTH($F83)) / 12),
  0)</f>
        <v/>
      </c>
      <c r="AP83" s="299">
        <f>IF(AND($F83&lt;=AP$2, OR($G83="",$G83&gt;=AP$2)),
  $H83 * (1 + Assumptions!$C$7) ^ INT(((YEAR(AP$2)-YEAR($F83))*12 + MONTH(AP$2)-MONTH($F83)) / 12),
  0)</f>
        <v/>
      </c>
      <c r="AQ83" s="299">
        <f>IF(AND($F83&lt;=AQ$2, OR($G83="",$G83&gt;=AQ$2)),
  $H83 * (1 + Assumptions!$C$7) ^ INT(((YEAR(AQ$2)-YEAR($F83))*12 + MONTH(AQ$2)-MONTH($F83)) / 12),
  0)</f>
        <v/>
      </c>
      <c r="AR83" s="299">
        <f>IF(AND($F83&lt;=AR$2, OR($G83="",$G83&gt;=AR$2)),
  $H83 * (1 + Assumptions!$C$7) ^ INT(((YEAR(AR$2)-YEAR($F83))*12 + MONTH(AR$2)-MONTH($F83)) / 12),
  0)</f>
        <v/>
      </c>
      <c r="AS83" s="299">
        <f>IF(AND($F83&lt;=AS$2, OR($G83="",$G83&gt;=AS$2)),
  $H83 * (1 + Assumptions!$C$7) ^ INT(((YEAR(AS$2)-YEAR($F83))*12 + MONTH(AS$2)-MONTH($F83)) / 12),
  0)</f>
        <v/>
      </c>
      <c r="AT83" s="299">
        <f>IF(AND($F83&lt;=AT$2, OR($G83="",$G83&gt;=AT$2)),
  $H83 * (1 + Assumptions!$C$7) ^ INT(((YEAR(AT$2)-YEAR($F83))*12 + MONTH(AT$2)-MONTH($F83)) / 12),
  0)</f>
        <v/>
      </c>
      <c r="AU83" s="299">
        <f>IF(AND($F83&lt;=AU$2, OR($G83="",$G83&gt;=AU$2)),
  $H83 * (1 + Assumptions!$C$7) ^ INT(((YEAR(AU$2)-YEAR($F83))*12 + MONTH(AU$2)-MONTH($F83)) / 12),
  0)</f>
        <v/>
      </c>
      <c r="AV83" s="299">
        <f>IF(AND($F83&lt;=AV$2, OR($G83="",$G83&gt;=AV$2)),
  $H83 * (1 + Assumptions!$C$7) ^ INT(((YEAR(AV$2)-YEAR($F83))*12 + MONTH(AV$2)-MONTH($F83)) / 12),
  0)</f>
        <v/>
      </c>
      <c r="AW83" s="299">
        <f>IF(AND($F83&lt;=AW$2, OR($G83="",$G83&gt;=AW$2)),
  $H83 * (1 + Assumptions!$C$7) ^ INT(((YEAR(AW$2)-YEAR($F83))*12 + MONTH(AW$2)-MONTH($F83)) / 12),
  0)</f>
        <v/>
      </c>
      <c r="AX83" s="299">
        <f>IF(AND($F83&lt;=AX$2, OR($G83="",$G83&gt;=AX$2)),
  $H83 * (1 + Assumptions!$C$7) ^ INT(((YEAR(AX$2)-YEAR($F83))*12 + MONTH(AX$2)-MONTH($F83)) / 12),
  0)</f>
        <v/>
      </c>
      <c r="AY83" s="299">
        <f>IF(AND($F83&lt;=AY$2, OR($G83="",$G83&gt;=AY$2)),
  $H83 * (1 + Assumptions!$C$7) ^ INT(((YEAR(AY$2)-YEAR($F83))*12 + MONTH(AY$2)-MONTH($F83)) / 12),
  0)</f>
        <v/>
      </c>
      <c r="AZ83" s="299">
        <f>IF(AND($F83&lt;=AZ$2, OR($G83="",$G83&gt;=AZ$2)),
  $H83 * (1 + Assumptions!$C$7) ^ INT(((YEAR(AZ$2)-YEAR($F83))*12 + MONTH(AZ$2)-MONTH($F83)) / 12),
  0)</f>
        <v/>
      </c>
      <c r="BA83" s="299">
        <f>IF(AND($F83&lt;=BA$2, OR($G83="",$G83&gt;=BA$2)),
  $H83 * (1 + Assumptions!$C$7) ^ INT(((YEAR(BA$2)-YEAR($F83))*12 + MONTH(BA$2)-MONTH($F83)) / 12),
  0)</f>
        <v/>
      </c>
      <c r="BB83" s="299">
        <f>IF(AND($F83&lt;=BB$2, OR($G83="",$G83&gt;=BB$2)),
  $H83 * (1 + Assumptions!$C$7) ^ INT(((YEAR(BB$2)-YEAR($F83))*12 + MONTH(BB$2)-MONTH($F83)) / 12),
  0)</f>
        <v/>
      </c>
      <c r="BC83" s="299">
        <f>IF(AND($F83&lt;=BC$2, OR($G83="",$G83&gt;=BC$2)),
  $H83 * (1 + Assumptions!$C$7) ^ INT(((YEAR(BC$2)-YEAR($F83))*12 + MONTH(BC$2)-MONTH($F83)) / 12),
  0)</f>
        <v/>
      </c>
      <c r="BD83" s="299">
        <f>IF(AND($F83&lt;=BD$2, OR($G83="",$G83&gt;=BD$2)),
  $H83 * (1 + Assumptions!$C$7) ^ INT(((YEAR(BD$2)-YEAR($F83))*12 + MONTH(BD$2)-MONTH($F83)) / 12),
  0)</f>
        <v/>
      </c>
      <c r="BE83" s="299">
        <f>IF(AND($F83&lt;=BE$2, OR($G83="",$G83&gt;=BE$2)),
  $H83 * (1 + Assumptions!$C$7) ^ INT(((YEAR(BE$2)-YEAR($F83))*12 + MONTH(BE$2)-MONTH($F83)) / 12),
  0)</f>
        <v/>
      </c>
      <c r="BF83" s="299">
        <f>IF(AND($F83&lt;=BF$2, OR($G83="",$G83&gt;=BF$2)),
  $H83 * (1 + Assumptions!$C$7) ^ INT(((YEAR(BF$2)-YEAR($F83))*12 + MONTH(BF$2)-MONTH($F83)) / 12),
  0)</f>
        <v/>
      </c>
      <c r="BG83" s="299">
        <f>IF(AND($F83&lt;=BG$2, OR($G83="",$G83&gt;=BG$2)),
  $H83 * (1 + Assumptions!$C$7) ^ INT(((YEAR(BG$2)-YEAR($F83))*12 + MONTH(BG$2)-MONTH($F83)) / 12),
  0)</f>
        <v/>
      </c>
      <c r="BH83" s="299">
        <f>IF(AND($F83&lt;=BH$2, OR($G83="",$G83&gt;=BH$2)),
  $H83 * (1 + Assumptions!$C$7) ^ INT(((YEAR(BH$2)-YEAR($F83))*12 + MONTH(BH$2)-MONTH($F83)) / 12),
  0)</f>
        <v/>
      </c>
      <c r="BI83" s="299">
        <f>IF(AND($F83&lt;=BI$2, OR($G83="",$G83&gt;=BI$2)),
  $H83 * (1 + Assumptions!$C$7) ^ INT(((YEAR(BI$2)-YEAR($F83))*12 + MONTH(BI$2)-MONTH($F83)) / 12),
  0)</f>
        <v/>
      </c>
      <c r="BJ83" s="299">
        <f>IF(AND($F83&lt;=BJ$2, OR($G83="",$G83&gt;=BJ$2)),
  $H83 * (1 + Assumptions!$C$7) ^ INT(((YEAR(BJ$2)-YEAR($F83))*12 + MONTH(BJ$2)-MONTH($F83)) / 12),
  0)</f>
        <v/>
      </c>
      <c r="BK83" s="299">
        <f>IF(AND($F83&lt;=BK$2, OR($G83="",$G83&gt;=BK$2)),
  $H83 * (1 + Assumptions!$C$7) ^ INT(((YEAR(BK$2)-YEAR($F83))*12 + MONTH(BK$2)-MONTH($F83)) / 12),
  0)</f>
        <v/>
      </c>
      <c r="BL83" s="299">
        <f>IF(AND($F83&lt;=BL$2, OR($G83="",$G83&gt;=BL$2)),
  $H83 * (1 + Assumptions!$C$7) ^ INT(((YEAR(BL$2)-YEAR($F83))*12 + MONTH(BL$2)-MONTH($F83)) / 12),
  0)</f>
        <v/>
      </c>
      <c r="BM83" s="299">
        <f>IF(AND($F83&lt;=BM$2, OR($G83="",$G83&gt;=BM$2)),
  $H83 * (1 + Assumptions!$C$7) ^ INT(((YEAR(BM$2)-YEAR($F83))*12 + MONTH(BM$2)-MONTH($F83)) / 12),
  0)</f>
        <v/>
      </c>
      <c r="BN83" s="299">
        <f>IF(AND($F83&lt;=BN$2, OR($G83="",$G83&gt;=BN$2)),
  $H83 * (1 + Assumptions!$C$7) ^ INT(((YEAR(BN$2)-YEAR($F83))*12 + MONTH(BN$2)-MONTH($F83)) / 12),
  0)</f>
        <v/>
      </c>
      <c r="BO83" s="299">
        <f>IF(AND($F83&lt;=BO$2, OR($G83="",$G83&gt;=BO$2)),
  $H83 * (1 + Assumptions!$C$7) ^ INT(((YEAR(BO$2)-YEAR($F83))*12 + MONTH(BO$2)-MONTH($F83)) / 12),
  0)</f>
        <v/>
      </c>
      <c r="BP83" s="299">
        <f>IF(AND($F83&lt;=BP$2, OR($G83="",$G83&gt;=BP$2)),
  $H83 * (1 + Assumptions!$C$7) ^ INT(((YEAR(BP$2)-YEAR($F83))*12 + MONTH(BP$2)-MONTH($F83)) / 12),
  0)</f>
        <v/>
      </c>
      <c r="BQ83" s="31" t="n"/>
      <c r="BR83" s="31" t="n"/>
      <c r="BS83" s="31" t="n"/>
      <c r="BT83" s="31" t="n"/>
    </row>
    <row r="84" ht="15.75" customHeight="1" s="349">
      <c r="A84" s="321" t="n">
        <v>79</v>
      </c>
      <c r="B84" s="285" t="inlineStr">
        <is>
          <t>New hire</t>
        </is>
      </c>
      <c r="C84" s="317" t="inlineStr">
        <is>
          <t>S&amp;M</t>
        </is>
      </c>
      <c r="D84" s="317" t="inlineStr">
        <is>
          <t>Order Desk</t>
        </is>
      </c>
      <c r="E84" s="297" t="inlineStr">
        <is>
          <t>Planned</t>
        </is>
      </c>
      <c r="F84" s="318">
        <f>IF(Assumptions!$D$82=2,DATE(2029,4,1),DATE(2035,1,1))</f>
        <v/>
      </c>
      <c r="G84" s="318" t="n"/>
      <c r="H84" s="288" t="n">
        <v>7000</v>
      </c>
      <c r="I84" s="299">
        <f>IF(AND($F84&lt;=I$2, OR($G84="",$G84&gt;=I$2)),
  $H84 * (1 + Assumptions!$C$7) ^ INT(((YEAR(I$2)-YEAR($F84))*12 + MONTH(I$2)-MONTH($F84)) / 12),
  0)</f>
        <v/>
      </c>
      <c r="J84" s="299">
        <f>IF(AND($F84&lt;=J$2, OR($G84="",$G84&gt;=J$2)),
  $H84 * (1 + Assumptions!$C$7) ^ INT(((YEAR(J$2)-YEAR($F84))*12 + MONTH(J$2)-MONTH($F84)) / 12),
  0)</f>
        <v/>
      </c>
      <c r="K84" s="299">
        <f>IF(AND($F84&lt;=K$2, OR($G84="",$G84&gt;=K$2)),
  $H84 * (1 + Assumptions!$C$7) ^ INT(((YEAR(K$2)-YEAR($F84))*12 + MONTH(K$2)-MONTH($F84)) / 12),
  0)</f>
        <v/>
      </c>
      <c r="L84" s="299">
        <f>IF(AND($F84&lt;=L$2, OR($G84="",$G84&gt;=L$2)),
  $H84 * (1 + Assumptions!$C$7) ^ INT(((YEAR(L$2)-YEAR($F84))*12 + MONTH(L$2)-MONTH($F84)) / 12),
  0)</f>
        <v/>
      </c>
      <c r="M84" s="299">
        <f>IF(AND($F84&lt;=M$2, OR($G84="",$G84&gt;=M$2)),
  $H84 * (1 + Assumptions!$C$7) ^ INT(((YEAR(M$2)-YEAR($F84))*12 + MONTH(M$2)-MONTH($F84)) / 12),
  0)</f>
        <v/>
      </c>
      <c r="N84" s="299">
        <f>IF(AND($F84&lt;=N$2, OR($G84="",$G84&gt;=N$2)),
  $H84 * (1 + Assumptions!$C$7) ^ INT(((YEAR(N$2)-YEAR($F84))*12 + MONTH(N$2)-MONTH($F84)) / 12),
  0)</f>
        <v/>
      </c>
      <c r="O84" s="299">
        <f>IF(AND($F84&lt;=O$2, OR($G84="",$G84&gt;=O$2)),
  $H84 * (1 + Assumptions!$C$7) ^ INT(((YEAR(O$2)-YEAR($F84))*12 + MONTH(O$2)-MONTH($F84)) / 12),
  0)</f>
        <v/>
      </c>
      <c r="P84" s="299">
        <f>IF(AND($F84&lt;=P$2, OR($G84="",$G84&gt;=P$2)),
  $H84 * (1 + Assumptions!$C$7) ^ INT(((YEAR(P$2)-YEAR($F84))*12 + MONTH(P$2)-MONTH($F84)) / 12),
  0)</f>
        <v/>
      </c>
      <c r="Q84" s="299">
        <f>IF(AND($F84&lt;=Q$2, OR($G84="",$G84&gt;=Q$2)),
  $H84 * (1 + Assumptions!$C$7) ^ INT(((YEAR(Q$2)-YEAR($F84))*12 + MONTH(Q$2)-MONTH($F84)) / 12),
  0)</f>
        <v/>
      </c>
      <c r="R84" s="299">
        <f>IF(AND($F84&lt;=R$2, OR($G84="",$G84&gt;=R$2)),
  $H84 * (1 + Assumptions!$C$7) ^ INT(((YEAR(R$2)-YEAR($F84))*12 + MONTH(R$2)-MONTH($F84)) / 12),
  0)</f>
        <v/>
      </c>
      <c r="S84" s="299">
        <f>IF(AND($F84&lt;=S$2, OR($G84="",$G84&gt;=S$2)),
  $H84 * (1 + Assumptions!$C$7) ^ INT(((YEAR(S$2)-YEAR($F84))*12 + MONTH(S$2)-MONTH($F84)) / 12),
  0)</f>
        <v/>
      </c>
      <c r="T84" s="299">
        <f>IF(AND($F84&lt;=T$2, OR($G84="",$G84&gt;=T$2)),
  $H84 * (1 + Assumptions!$C$7) ^ INT(((YEAR(T$2)-YEAR($F84))*12 + MONTH(T$2)-MONTH($F84)) / 12),
  0)</f>
        <v/>
      </c>
      <c r="U84" s="299">
        <f>IF(AND($F84&lt;=U$2, OR($G84="",$G84&gt;=U$2)),
  $H84 * (1 + Assumptions!$C$7) ^ INT(((YEAR(U$2)-YEAR($F84))*12 + MONTH(U$2)-MONTH($F84)) / 12),
  0)</f>
        <v/>
      </c>
      <c r="V84" s="299">
        <f>IF(AND($F84&lt;=V$2, OR($G84="",$G84&gt;=V$2)),
  $H84 * (1 + Assumptions!$C$7) ^ INT(((YEAR(V$2)-YEAR($F84))*12 + MONTH(V$2)-MONTH($F84)) / 12),
  0)</f>
        <v/>
      </c>
      <c r="W84" s="299">
        <f>IF(AND($F84&lt;=W$2, OR($G84="",$G84&gt;=W$2)),
  $H84 * (1 + Assumptions!$C$7) ^ INT(((YEAR(W$2)-YEAR($F84))*12 + MONTH(W$2)-MONTH($F84)) / 12),
  0)</f>
        <v/>
      </c>
      <c r="X84" s="299">
        <f>IF(AND($F84&lt;=X$2, OR($G84="",$G84&gt;=X$2)),
  $H84 * (1 + Assumptions!$C$7) ^ INT(((YEAR(X$2)-YEAR($F84))*12 + MONTH(X$2)-MONTH($F84)) / 12),
  0)</f>
        <v/>
      </c>
      <c r="Y84" s="299">
        <f>IF(AND($F84&lt;=Y$2, OR($G84="",$G84&gt;=Y$2)),
  $H84 * (1 + Assumptions!$C$7) ^ INT(((YEAR(Y$2)-YEAR($F84))*12 + MONTH(Y$2)-MONTH($F84)) / 12),
  0)</f>
        <v/>
      </c>
      <c r="Z84" s="299">
        <f>IF(AND($F84&lt;=Z$2, OR($G84="",$G84&gt;=Z$2)),
  $H84 * (1 + Assumptions!$C$7) ^ INT(((YEAR(Z$2)-YEAR($F84))*12 + MONTH(Z$2)-MONTH($F84)) / 12),
  0)</f>
        <v/>
      </c>
      <c r="AA84" s="299">
        <f>IF(AND($F84&lt;=AA$2, OR($G84="",$G84&gt;=AA$2)),
  $H84 * (1 + Assumptions!$C$7) ^ INT(((YEAR(AA$2)-YEAR($F84))*12 + MONTH(AA$2)-MONTH($F84)) / 12),
  0)</f>
        <v/>
      </c>
      <c r="AB84" s="299">
        <f>IF(AND($F84&lt;=AB$2, OR($G84="",$G84&gt;=AB$2)),
  $H84 * (1 + Assumptions!$C$7) ^ INT(((YEAR(AB$2)-YEAR($F84))*12 + MONTH(AB$2)-MONTH($F84)) / 12),
  0)</f>
        <v/>
      </c>
      <c r="AC84" s="299">
        <f>IF(AND($F84&lt;=AC$2, OR($G84="",$G84&gt;=AC$2)),
  $H84 * (1 + Assumptions!$C$7) ^ INT(((YEAR(AC$2)-YEAR($F84))*12 + MONTH(AC$2)-MONTH($F84)) / 12),
  0)</f>
        <v/>
      </c>
      <c r="AD84" s="299">
        <f>IF(AND($F84&lt;=AD$2, OR($G84="",$G84&gt;=AD$2)),
  $H84 * (1 + Assumptions!$C$7) ^ INT(((YEAR(AD$2)-YEAR($F84))*12 + MONTH(AD$2)-MONTH($F84)) / 12),
  0)</f>
        <v/>
      </c>
      <c r="AE84" s="299">
        <f>IF(AND($F84&lt;=AE$2, OR($G84="",$G84&gt;=AE$2)),
  $H84 * (1 + Assumptions!$C$7) ^ INT(((YEAR(AE$2)-YEAR($F84))*12 + MONTH(AE$2)-MONTH($F84)) / 12),
  0)</f>
        <v/>
      </c>
      <c r="AF84" s="299">
        <f>IF(AND($F84&lt;=AF$2, OR($G84="",$G84&gt;=AF$2)),
  $H84 * (1 + Assumptions!$C$7) ^ INT(((YEAR(AF$2)-YEAR($F84))*12 + MONTH(AF$2)-MONTH($F84)) / 12),
  0)</f>
        <v/>
      </c>
      <c r="AG84" s="299">
        <f>IF(AND($F84&lt;=AG$2, OR($G84="",$G84&gt;=AG$2)),
  $H84 * (1 + Assumptions!$C$7) ^ INT(((YEAR(AG$2)-YEAR($F84))*12 + MONTH(AG$2)-MONTH($F84)) / 12),
  0)</f>
        <v/>
      </c>
      <c r="AH84" s="299">
        <f>IF(AND($F84&lt;=AH$2, OR($G84="",$G84&gt;=AH$2)),
  $H84 * (1 + Assumptions!$C$7) ^ INT(((YEAR(AH$2)-YEAR($F84))*12 + MONTH(AH$2)-MONTH($F84)) / 12),
  0)</f>
        <v/>
      </c>
      <c r="AI84" s="299">
        <f>IF(AND($F84&lt;=AI$2, OR($G84="",$G84&gt;=AI$2)),
  $H84 * (1 + Assumptions!$C$7) ^ INT(((YEAR(AI$2)-YEAR($F84))*12 + MONTH(AI$2)-MONTH($F84)) / 12),
  0)</f>
        <v/>
      </c>
      <c r="AJ84" s="299">
        <f>IF(AND($F84&lt;=AJ$2, OR($G84="",$G84&gt;=AJ$2)),
  $H84 * (1 + Assumptions!$C$7) ^ INT(((YEAR(AJ$2)-YEAR($F84))*12 + MONTH(AJ$2)-MONTH($F84)) / 12),
  0)</f>
        <v/>
      </c>
      <c r="AK84" s="299">
        <f>IF(AND($F84&lt;=AK$2, OR($G84="",$G84&gt;=AK$2)),
  $H84 * (1 + Assumptions!$C$7) ^ INT(((YEAR(AK$2)-YEAR($F84))*12 + MONTH(AK$2)-MONTH($F84)) / 12),
  0)</f>
        <v/>
      </c>
      <c r="AL84" s="299">
        <f>IF(AND($F84&lt;=AL$2, OR($G84="",$G84&gt;=AL$2)),
  $H84 * (1 + Assumptions!$C$7) ^ INT(((YEAR(AL$2)-YEAR($F84))*12 + MONTH(AL$2)-MONTH($F84)) / 12),
  0)</f>
        <v/>
      </c>
      <c r="AM84" s="299">
        <f>IF(AND($F84&lt;=AM$2, OR($G84="",$G84&gt;=AM$2)),
  $H84 * (1 + Assumptions!$C$7) ^ INT(((YEAR(AM$2)-YEAR($F84))*12 + MONTH(AM$2)-MONTH($F84)) / 12),
  0)</f>
        <v/>
      </c>
      <c r="AN84" s="299">
        <f>IF(AND($F84&lt;=AN$2, OR($G84="",$G84&gt;=AN$2)),
  $H84 * (1 + Assumptions!$C$7) ^ INT(((YEAR(AN$2)-YEAR($F84))*12 + MONTH(AN$2)-MONTH($F84)) / 12),
  0)</f>
        <v/>
      </c>
      <c r="AO84" s="299">
        <f>IF(AND($F84&lt;=AO$2, OR($G84="",$G84&gt;=AO$2)),
  $H84 * (1 + Assumptions!$C$7) ^ INT(((YEAR(AO$2)-YEAR($F84))*12 + MONTH(AO$2)-MONTH($F84)) / 12),
  0)</f>
        <v/>
      </c>
      <c r="AP84" s="299">
        <f>IF(AND($F84&lt;=AP$2, OR($G84="",$G84&gt;=AP$2)),
  $H84 * (1 + Assumptions!$C$7) ^ INT(((YEAR(AP$2)-YEAR($F84))*12 + MONTH(AP$2)-MONTH($F84)) / 12),
  0)</f>
        <v/>
      </c>
      <c r="AQ84" s="299">
        <f>IF(AND($F84&lt;=AQ$2, OR($G84="",$G84&gt;=AQ$2)),
  $H84 * (1 + Assumptions!$C$7) ^ INT(((YEAR(AQ$2)-YEAR($F84))*12 + MONTH(AQ$2)-MONTH($F84)) / 12),
  0)</f>
        <v/>
      </c>
      <c r="AR84" s="299">
        <f>IF(AND($F84&lt;=AR$2, OR($G84="",$G84&gt;=AR$2)),
  $H84 * (1 + Assumptions!$C$7) ^ INT(((YEAR(AR$2)-YEAR($F84))*12 + MONTH(AR$2)-MONTH($F84)) / 12),
  0)</f>
        <v/>
      </c>
      <c r="AS84" s="299">
        <f>IF(AND($F84&lt;=AS$2, OR($G84="",$G84&gt;=AS$2)),
  $H84 * (1 + Assumptions!$C$7) ^ INT(((YEAR(AS$2)-YEAR($F84))*12 + MONTH(AS$2)-MONTH($F84)) / 12),
  0)</f>
        <v/>
      </c>
      <c r="AT84" s="299">
        <f>IF(AND($F84&lt;=AT$2, OR($G84="",$G84&gt;=AT$2)),
  $H84 * (1 + Assumptions!$C$7) ^ INT(((YEAR(AT$2)-YEAR($F84))*12 + MONTH(AT$2)-MONTH($F84)) / 12),
  0)</f>
        <v/>
      </c>
      <c r="AU84" s="299">
        <f>IF(AND($F84&lt;=AU$2, OR($G84="",$G84&gt;=AU$2)),
  $H84 * (1 + Assumptions!$C$7) ^ INT(((YEAR(AU$2)-YEAR($F84))*12 + MONTH(AU$2)-MONTH($F84)) / 12),
  0)</f>
        <v/>
      </c>
      <c r="AV84" s="299">
        <f>IF(AND($F84&lt;=AV$2, OR($G84="",$G84&gt;=AV$2)),
  $H84 * (1 + Assumptions!$C$7) ^ INT(((YEAR(AV$2)-YEAR($F84))*12 + MONTH(AV$2)-MONTH($F84)) / 12),
  0)</f>
        <v/>
      </c>
      <c r="AW84" s="299">
        <f>IF(AND($F84&lt;=AW$2, OR($G84="",$G84&gt;=AW$2)),
  $H84 * (1 + Assumptions!$C$7) ^ INT(((YEAR(AW$2)-YEAR($F84))*12 + MONTH(AW$2)-MONTH($F84)) / 12),
  0)</f>
        <v/>
      </c>
      <c r="AX84" s="299">
        <f>IF(AND($F84&lt;=AX$2, OR($G84="",$G84&gt;=AX$2)),
  $H84 * (1 + Assumptions!$C$7) ^ INT(((YEAR(AX$2)-YEAR($F84))*12 + MONTH(AX$2)-MONTH($F84)) / 12),
  0)</f>
        <v/>
      </c>
      <c r="AY84" s="299">
        <f>IF(AND($F84&lt;=AY$2, OR($G84="",$G84&gt;=AY$2)),
  $H84 * (1 + Assumptions!$C$7) ^ INT(((YEAR(AY$2)-YEAR($F84))*12 + MONTH(AY$2)-MONTH($F84)) / 12),
  0)</f>
        <v/>
      </c>
      <c r="AZ84" s="299">
        <f>IF(AND($F84&lt;=AZ$2, OR($G84="",$G84&gt;=AZ$2)),
  $H84 * (1 + Assumptions!$C$7) ^ INT(((YEAR(AZ$2)-YEAR($F84))*12 + MONTH(AZ$2)-MONTH($F84)) / 12),
  0)</f>
        <v/>
      </c>
      <c r="BA84" s="299">
        <f>IF(AND($F84&lt;=BA$2, OR($G84="",$G84&gt;=BA$2)),
  $H84 * (1 + Assumptions!$C$7) ^ INT(((YEAR(BA$2)-YEAR($F84))*12 + MONTH(BA$2)-MONTH($F84)) / 12),
  0)</f>
        <v/>
      </c>
      <c r="BB84" s="299">
        <f>IF(AND($F84&lt;=BB$2, OR($G84="",$G84&gt;=BB$2)),
  $H84 * (1 + Assumptions!$C$7) ^ INT(((YEAR(BB$2)-YEAR($F84))*12 + MONTH(BB$2)-MONTH($F84)) / 12),
  0)</f>
        <v/>
      </c>
      <c r="BC84" s="299">
        <f>IF(AND($F84&lt;=BC$2, OR($G84="",$G84&gt;=BC$2)),
  $H84 * (1 + Assumptions!$C$7) ^ INT(((YEAR(BC$2)-YEAR($F84))*12 + MONTH(BC$2)-MONTH($F84)) / 12),
  0)</f>
        <v/>
      </c>
      <c r="BD84" s="299">
        <f>IF(AND($F84&lt;=BD$2, OR($G84="",$G84&gt;=BD$2)),
  $H84 * (1 + Assumptions!$C$7) ^ INT(((YEAR(BD$2)-YEAR($F84))*12 + MONTH(BD$2)-MONTH($F84)) / 12),
  0)</f>
        <v/>
      </c>
      <c r="BE84" s="299">
        <f>IF(AND($F84&lt;=BE$2, OR($G84="",$G84&gt;=BE$2)),
  $H84 * (1 + Assumptions!$C$7) ^ INT(((YEAR(BE$2)-YEAR($F84))*12 + MONTH(BE$2)-MONTH($F84)) / 12),
  0)</f>
        <v/>
      </c>
      <c r="BF84" s="299">
        <f>IF(AND($F84&lt;=BF$2, OR($G84="",$G84&gt;=BF$2)),
  $H84 * (1 + Assumptions!$C$7) ^ INT(((YEAR(BF$2)-YEAR($F84))*12 + MONTH(BF$2)-MONTH($F84)) / 12),
  0)</f>
        <v/>
      </c>
      <c r="BG84" s="299">
        <f>IF(AND($F84&lt;=BG$2, OR($G84="",$G84&gt;=BG$2)),
  $H84 * (1 + Assumptions!$C$7) ^ INT(((YEAR(BG$2)-YEAR($F84))*12 + MONTH(BG$2)-MONTH($F84)) / 12),
  0)</f>
        <v/>
      </c>
      <c r="BH84" s="299">
        <f>IF(AND($F84&lt;=BH$2, OR($G84="",$G84&gt;=BH$2)),
  $H84 * (1 + Assumptions!$C$7) ^ INT(((YEAR(BH$2)-YEAR($F84))*12 + MONTH(BH$2)-MONTH($F84)) / 12),
  0)</f>
        <v/>
      </c>
      <c r="BI84" s="299">
        <f>IF(AND($F84&lt;=BI$2, OR($G84="",$G84&gt;=BI$2)),
  $H84 * (1 + Assumptions!$C$7) ^ INT(((YEAR(BI$2)-YEAR($F84))*12 + MONTH(BI$2)-MONTH($F84)) / 12),
  0)</f>
        <v/>
      </c>
      <c r="BJ84" s="299">
        <f>IF(AND($F84&lt;=BJ$2, OR($G84="",$G84&gt;=BJ$2)),
  $H84 * (1 + Assumptions!$C$7) ^ INT(((YEAR(BJ$2)-YEAR($F84))*12 + MONTH(BJ$2)-MONTH($F84)) / 12),
  0)</f>
        <v/>
      </c>
      <c r="BK84" s="299">
        <f>IF(AND($F84&lt;=BK$2, OR($G84="",$G84&gt;=BK$2)),
  $H84 * (1 + Assumptions!$C$7) ^ INT(((YEAR(BK$2)-YEAR($F84))*12 + MONTH(BK$2)-MONTH($F84)) / 12),
  0)</f>
        <v/>
      </c>
      <c r="BL84" s="299">
        <f>IF(AND($F84&lt;=BL$2, OR($G84="",$G84&gt;=BL$2)),
  $H84 * (1 + Assumptions!$C$7) ^ INT(((YEAR(BL$2)-YEAR($F84))*12 + MONTH(BL$2)-MONTH($F84)) / 12),
  0)</f>
        <v/>
      </c>
      <c r="BM84" s="299">
        <f>IF(AND($F84&lt;=BM$2, OR($G84="",$G84&gt;=BM$2)),
  $H84 * (1 + Assumptions!$C$7) ^ INT(((YEAR(BM$2)-YEAR($F84))*12 + MONTH(BM$2)-MONTH($F84)) / 12),
  0)</f>
        <v/>
      </c>
      <c r="BN84" s="299">
        <f>IF(AND($F84&lt;=BN$2, OR($G84="",$G84&gt;=BN$2)),
  $H84 * (1 + Assumptions!$C$7) ^ INT(((YEAR(BN$2)-YEAR($F84))*12 + MONTH(BN$2)-MONTH($F84)) / 12),
  0)</f>
        <v/>
      </c>
      <c r="BO84" s="299">
        <f>IF(AND($F84&lt;=BO$2, OR($G84="",$G84&gt;=BO$2)),
  $H84 * (1 + Assumptions!$C$7) ^ INT(((YEAR(BO$2)-YEAR($F84))*12 + MONTH(BO$2)-MONTH($F84)) / 12),
  0)</f>
        <v/>
      </c>
      <c r="BP84" s="299">
        <f>IF(AND($F84&lt;=BP$2, OR($G84="",$G84&gt;=BP$2)),
  $H84 * (1 + Assumptions!$C$7) ^ INT(((YEAR(BP$2)-YEAR($F84))*12 + MONTH(BP$2)-MONTH($F84)) / 12),
  0)</f>
        <v/>
      </c>
      <c r="BQ84" s="31" t="n"/>
      <c r="BR84" s="31" t="n"/>
      <c r="BS84" s="31" t="n"/>
      <c r="BT84" s="31" t="n"/>
    </row>
    <row r="85" ht="15.75" customHeight="1" s="349">
      <c r="A85" s="321" t="n">
        <v>80</v>
      </c>
      <c r="B85" s="285" t="inlineStr">
        <is>
          <t>New hire</t>
        </is>
      </c>
      <c r="C85" s="317" t="inlineStr">
        <is>
          <t>S&amp;M</t>
        </is>
      </c>
      <c r="D85" s="317" t="inlineStr">
        <is>
          <t>Order Desk</t>
        </is>
      </c>
      <c r="E85" s="297" t="inlineStr">
        <is>
          <t>Planned</t>
        </is>
      </c>
      <c r="F85" s="318">
        <f>IF(Assumptions!$D$82=2,DATE(2029,7,1),DATE(2035,1,1))</f>
        <v/>
      </c>
      <c r="G85" s="318" t="n"/>
      <c r="H85" s="288" t="n">
        <v>7000</v>
      </c>
      <c r="I85" s="299">
        <f>IF(AND($F85&lt;=I$2, OR($G85="",$G85&gt;=I$2)),
  $H85 * (1 + Assumptions!$C$7) ^ INT(((YEAR(I$2)-YEAR($F85))*12 + MONTH(I$2)-MONTH($F85)) / 12),
  0)</f>
        <v/>
      </c>
      <c r="J85" s="299">
        <f>IF(AND($F85&lt;=J$2, OR($G85="",$G85&gt;=J$2)),
  $H85 * (1 + Assumptions!$C$7) ^ INT(((YEAR(J$2)-YEAR($F85))*12 + MONTH(J$2)-MONTH($F85)) / 12),
  0)</f>
        <v/>
      </c>
      <c r="K85" s="299">
        <f>IF(AND($F85&lt;=K$2, OR($G85="",$G85&gt;=K$2)),
  $H85 * (1 + Assumptions!$C$7) ^ INT(((YEAR(K$2)-YEAR($F85))*12 + MONTH(K$2)-MONTH($F85)) / 12),
  0)</f>
        <v/>
      </c>
      <c r="L85" s="299">
        <f>IF(AND($F85&lt;=L$2, OR($G85="",$G85&gt;=L$2)),
  $H85 * (1 + Assumptions!$C$7) ^ INT(((YEAR(L$2)-YEAR($F85))*12 + MONTH(L$2)-MONTH($F85)) / 12),
  0)</f>
        <v/>
      </c>
      <c r="M85" s="299">
        <f>IF(AND($F85&lt;=M$2, OR($G85="",$G85&gt;=M$2)),
  $H85 * (1 + Assumptions!$C$7) ^ INT(((YEAR(M$2)-YEAR($F85))*12 + MONTH(M$2)-MONTH($F85)) / 12),
  0)</f>
        <v/>
      </c>
      <c r="N85" s="299">
        <f>IF(AND($F85&lt;=N$2, OR($G85="",$G85&gt;=N$2)),
  $H85 * (1 + Assumptions!$C$7) ^ INT(((YEAR(N$2)-YEAR($F85))*12 + MONTH(N$2)-MONTH($F85)) / 12),
  0)</f>
        <v/>
      </c>
      <c r="O85" s="299">
        <f>IF(AND($F85&lt;=O$2, OR($G85="",$G85&gt;=O$2)),
  $H85 * (1 + Assumptions!$C$7) ^ INT(((YEAR(O$2)-YEAR($F85))*12 + MONTH(O$2)-MONTH($F85)) / 12),
  0)</f>
        <v/>
      </c>
      <c r="P85" s="299">
        <f>IF(AND($F85&lt;=P$2, OR($G85="",$G85&gt;=P$2)),
  $H85 * (1 + Assumptions!$C$7) ^ INT(((YEAR(P$2)-YEAR($F85))*12 + MONTH(P$2)-MONTH($F85)) / 12),
  0)</f>
        <v/>
      </c>
      <c r="Q85" s="299">
        <f>IF(AND($F85&lt;=Q$2, OR($G85="",$G85&gt;=Q$2)),
  $H85 * (1 + Assumptions!$C$7) ^ INT(((YEAR(Q$2)-YEAR($F85))*12 + MONTH(Q$2)-MONTH($F85)) / 12),
  0)</f>
        <v/>
      </c>
      <c r="R85" s="299">
        <f>IF(AND($F85&lt;=R$2, OR($G85="",$G85&gt;=R$2)),
  $H85 * (1 + Assumptions!$C$7) ^ INT(((YEAR(R$2)-YEAR($F85))*12 + MONTH(R$2)-MONTH($F85)) / 12),
  0)</f>
        <v/>
      </c>
      <c r="S85" s="299">
        <f>IF(AND($F85&lt;=S$2, OR($G85="",$G85&gt;=S$2)),
  $H85 * (1 + Assumptions!$C$7) ^ INT(((YEAR(S$2)-YEAR($F85))*12 + MONTH(S$2)-MONTH($F85)) / 12),
  0)</f>
        <v/>
      </c>
      <c r="T85" s="299">
        <f>IF(AND($F85&lt;=T$2, OR($G85="",$G85&gt;=T$2)),
  $H85 * (1 + Assumptions!$C$7) ^ INT(((YEAR(T$2)-YEAR($F85))*12 + MONTH(T$2)-MONTH($F85)) / 12),
  0)</f>
        <v/>
      </c>
      <c r="U85" s="299">
        <f>IF(AND($F85&lt;=U$2, OR($G85="",$G85&gt;=U$2)),
  $H85 * (1 + Assumptions!$C$7) ^ INT(((YEAR(U$2)-YEAR($F85))*12 + MONTH(U$2)-MONTH($F85)) / 12),
  0)</f>
        <v/>
      </c>
      <c r="V85" s="299">
        <f>IF(AND($F85&lt;=V$2, OR($G85="",$G85&gt;=V$2)),
  $H85 * (1 + Assumptions!$C$7) ^ INT(((YEAR(V$2)-YEAR($F85))*12 + MONTH(V$2)-MONTH($F85)) / 12),
  0)</f>
        <v/>
      </c>
      <c r="W85" s="299">
        <f>IF(AND($F85&lt;=W$2, OR($G85="",$G85&gt;=W$2)),
  $H85 * (1 + Assumptions!$C$7) ^ INT(((YEAR(W$2)-YEAR($F85))*12 + MONTH(W$2)-MONTH($F85)) / 12),
  0)</f>
        <v/>
      </c>
      <c r="X85" s="299">
        <f>IF(AND($F85&lt;=X$2, OR($G85="",$G85&gt;=X$2)),
  $H85 * (1 + Assumptions!$C$7) ^ INT(((YEAR(X$2)-YEAR($F85))*12 + MONTH(X$2)-MONTH($F85)) / 12),
  0)</f>
        <v/>
      </c>
      <c r="Y85" s="299">
        <f>IF(AND($F85&lt;=Y$2, OR($G85="",$G85&gt;=Y$2)),
  $H85 * (1 + Assumptions!$C$7) ^ INT(((YEAR(Y$2)-YEAR($F85))*12 + MONTH(Y$2)-MONTH($F85)) / 12),
  0)</f>
        <v/>
      </c>
      <c r="Z85" s="299">
        <f>IF(AND($F85&lt;=Z$2, OR($G85="",$G85&gt;=Z$2)),
  $H85 * (1 + Assumptions!$C$7) ^ INT(((YEAR(Z$2)-YEAR($F85))*12 + MONTH(Z$2)-MONTH($F85)) / 12),
  0)</f>
        <v/>
      </c>
      <c r="AA85" s="299">
        <f>IF(AND($F85&lt;=AA$2, OR($G85="",$G85&gt;=AA$2)),
  $H85 * (1 + Assumptions!$C$7) ^ INT(((YEAR(AA$2)-YEAR($F85))*12 + MONTH(AA$2)-MONTH($F85)) / 12),
  0)</f>
        <v/>
      </c>
      <c r="AB85" s="299">
        <f>IF(AND($F85&lt;=AB$2, OR($G85="",$G85&gt;=AB$2)),
  $H85 * (1 + Assumptions!$C$7) ^ INT(((YEAR(AB$2)-YEAR($F85))*12 + MONTH(AB$2)-MONTH($F85)) / 12),
  0)</f>
        <v/>
      </c>
      <c r="AC85" s="299">
        <f>IF(AND($F85&lt;=AC$2, OR($G85="",$G85&gt;=AC$2)),
  $H85 * (1 + Assumptions!$C$7) ^ INT(((YEAR(AC$2)-YEAR($F85))*12 + MONTH(AC$2)-MONTH($F85)) / 12),
  0)</f>
        <v/>
      </c>
      <c r="AD85" s="299">
        <f>IF(AND($F85&lt;=AD$2, OR($G85="",$G85&gt;=AD$2)),
  $H85 * (1 + Assumptions!$C$7) ^ INT(((YEAR(AD$2)-YEAR($F85))*12 + MONTH(AD$2)-MONTH($F85)) / 12),
  0)</f>
        <v/>
      </c>
      <c r="AE85" s="299">
        <f>IF(AND($F85&lt;=AE$2, OR($G85="",$G85&gt;=AE$2)),
  $H85 * (1 + Assumptions!$C$7) ^ INT(((YEAR(AE$2)-YEAR($F85))*12 + MONTH(AE$2)-MONTH($F85)) / 12),
  0)</f>
        <v/>
      </c>
      <c r="AF85" s="299">
        <f>IF(AND($F85&lt;=AF$2, OR($G85="",$G85&gt;=AF$2)),
  $H85 * (1 + Assumptions!$C$7) ^ INT(((YEAR(AF$2)-YEAR($F85))*12 + MONTH(AF$2)-MONTH($F85)) / 12),
  0)</f>
        <v/>
      </c>
      <c r="AG85" s="299">
        <f>IF(AND($F85&lt;=AG$2, OR($G85="",$G85&gt;=AG$2)),
  $H85 * (1 + Assumptions!$C$7) ^ INT(((YEAR(AG$2)-YEAR($F85))*12 + MONTH(AG$2)-MONTH($F85)) / 12),
  0)</f>
        <v/>
      </c>
      <c r="AH85" s="299">
        <f>IF(AND($F85&lt;=AH$2, OR($G85="",$G85&gt;=AH$2)),
  $H85 * (1 + Assumptions!$C$7) ^ INT(((YEAR(AH$2)-YEAR($F85))*12 + MONTH(AH$2)-MONTH($F85)) / 12),
  0)</f>
        <v/>
      </c>
      <c r="AI85" s="299">
        <f>IF(AND($F85&lt;=AI$2, OR($G85="",$G85&gt;=AI$2)),
  $H85 * (1 + Assumptions!$C$7) ^ INT(((YEAR(AI$2)-YEAR($F85))*12 + MONTH(AI$2)-MONTH($F85)) / 12),
  0)</f>
        <v/>
      </c>
      <c r="AJ85" s="299">
        <f>IF(AND($F85&lt;=AJ$2, OR($G85="",$G85&gt;=AJ$2)),
  $H85 * (1 + Assumptions!$C$7) ^ INT(((YEAR(AJ$2)-YEAR($F85))*12 + MONTH(AJ$2)-MONTH($F85)) / 12),
  0)</f>
        <v/>
      </c>
      <c r="AK85" s="299">
        <f>IF(AND($F85&lt;=AK$2, OR($G85="",$G85&gt;=AK$2)),
  $H85 * (1 + Assumptions!$C$7) ^ INT(((YEAR(AK$2)-YEAR($F85))*12 + MONTH(AK$2)-MONTH($F85)) / 12),
  0)</f>
        <v/>
      </c>
      <c r="AL85" s="299">
        <f>IF(AND($F85&lt;=AL$2, OR($G85="",$G85&gt;=AL$2)),
  $H85 * (1 + Assumptions!$C$7) ^ INT(((YEAR(AL$2)-YEAR($F85))*12 + MONTH(AL$2)-MONTH($F85)) / 12),
  0)</f>
        <v/>
      </c>
      <c r="AM85" s="299">
        <f>IF(AND($F85&lt;=AM$2, OR($G85="",$G85&gt;=AM$2)),
  $H85 * (1 + Assumptions!$C$7) ^ INT(((YEAR(AM$2)-YEAR($F85))*12 + MONTH(AM$2)-MONTH($F85)) / 12),
  0)</f>
        <v/>
      </c>
      <c r="AN85" s="299">
        <f>IF(AND($F85&lt;=AN$2, OR($G85="",$G85&gt;=AN$2)),
  $H85 * (1 + Assumptions!$C$7) ^ INT(((YEAR(AN$2)-YEAR($F85))*12 + MONTH(AN$2)-MONTH($F85)) / 12),
  0)</f>
        <v/>
      </c>
      <c r="AO85" s="299">
        <f>IF(AND($F85&lt;=AO$2, OR($G85="",$G85&gt;=AO$2)),
  $H85 * (1 + Assumptions!$C$7) ^ INT(((YEAR(AO$2)-YEAR($F85))*12 + MONTH(AO$2)-MONTH($F85)) / 12),
  0)</f>
        <v/>
      </c>
      <c r="AP85" s="299">
        <f>IF(AND($F85&lt;=AP$2, OR($G85="",$G85&gt;=AP$2)),
  $H85 * (1 + Assumptions!$C$7) ^ INT(((YEAR(AP$2)-YEAR($F85))*12 + MONTH(AP$2)-MONTH($F85)) / 12),
  0)</f>
        <v/>
      </c>
      <c r="AQ85" s="299">
        <f>IF(AND($F85&lt;=AQ$2, OR($G85="",$G85&gt;=AQ$2)),
  $H85 * (1 + Assumptions!$C$7) ^ INT(((YEAR(AQ$2)-YEAR($F85))*12 + MONTH(AQ$2)-MONTH($F85)) / 12),
  0)</f>
        <v/>
      </c>
      <c r="AR85" s="299">
        <f>IF(AND($F85&lt;=AR$2, OR($G85="",$G85&gt;=AR$2)),
  $H85 * (1 + Assumptions!$C$7) ^ INT(((YEAR(AR$2)-YEAR($F85))*12 + MONTH(AR$2)-MONTH($F85)) / 12),
  0)</f>
        <v/>
      </c>
      <c r="AS85" s="299">
        <f>IF(AND($F85&lt;=AS$2, OR($G85="",$G85&gt;=AS$2)),
  $H85 * (1 + Assumptions!$C$7) ^ INT(((YEAR(AS$2)-YEAR($F85))*12 + MONTH(AS$2)-MONTH($F85)) / 12),
  0)</f>
        <v/>
      </c>
      <c r="AT85" s="299">
        <f>IF(AND($F85&lt;=AT$2, OR($G85="",$G85&gt;=AT$2)),
  $H85 * (1 + Assumptions!$C$7) ^ INT(((YEAR(AT$2)-YEAR($F85))*12 + MONTH(AT$2)-MONTH($F85)) / 12),
  0)</f>
        <v/>
      </c>
      <c r="AU85" s="299">
        <f>IF(AND($F85&lt;=AU$2, OR($G85="",$G85&gt;=AU$2)),
  $H85 * (1 + Assumptions!$C$7) ^ INT(((YEAR(AU$2)-YEAR($F85))*12 + MONTH(AU$2)-MONTH($F85)) / 12),
  0)</f>
        <v/>
      </c>
      <c r="AV85" s="299">
        <f>IF(AND($F85&lt;=AV$2, OR($G85="",$G85&gt;=AV$2)),
  $H85 * (1 + Assumptions!$C$7) ^ INT(((YEAR(AV$2)-YEAR($F85))*12 + MONTH(AV$2)-MONTH($F85)) / 12),
  0)</f>
        <v/>
      </c>
      <c r="AW85" s="299">
        <f>IF(AND($F85&lt;=AW$2, OR($G85="",$G85&gt;=AW$2)),
  $H85 * (1 + Assumptions!$C$7) ^ INT(((YEAR(AW$2)-YEAR($F85))*12 + MONTH(AW$2)-MONTH($F85)) / 12),
  0)</f>
        <v/>
      </c>
      <c r="AX85" s="299">
        <f>IF(AND($F85&lt;=AX$2, OR($G85="",$G85&gt;=AX$2)),
  $H85 * (1 + Assumptions!$C$7) ^ INT(((YEAR(AX$2)-YEAR($F85))*12 + MONTH(AX$2)-MONTH($F85)) / 12),
  0)</f>
        <v/>
      </c>
      <c r="AY85" s="299">
        <f>IF(AND($F85&lt;=AY$2, OR($G85="",$G85&gt;=AY$2)),
  $H85 * (1 + Assumptions!$C$7) ^ INT(((YEAR(AY$2)-YEAR($F85))*12 + MONTH(AY$2)-MONTH($F85)) / 12),
  0)</f>
        <v/>
      </c>
      <c r="AZ85" s="299">
        <f>IF(AND($F85&lt;=AZ$2, OR($G85="",$G85&gt;=AZ$2)),
  $H85 * (1 + Assumptions!$C$7) ^ INT(((YEAR(AZ$2)-YEAR($F85))*12 + MONTH(AZ$2)-MONTH($F85)) / 12),
  0)</f>
        <v/>
      </c>
      <c r="BA85" s="299">
        <f>IF(AND($F85&lt;=BA$2, OR($G85="",$G85&gt;=BA$2)),
  $H85 * (1 + Assumptions!$C$7) ^ INT(((YEAR(BA$2)-YEAR($F85))*12 + MONTH(BA$2)-MONTH($F85)) / 12),
  0)</f>
        <v/>
      </c>
      <c r="BB85" s="299">
        <f>IF(AND($F85&lt;=BB$2, OR($G85="",$G85&gt;=BB$2)),
  $H85 * (1 + Assumptions!$C$7) ^ INT(((YEAR(BB$2)-YEAR($F85))*12 + MONTH(BB$2)-MONTH($F85)) / 12),
  0)</f>
        <v/>
      </c>
      <c r="BC85" s="299">
        <f>IF(AND($F85&lt;=BC$2, OR($G85="",$G85&gt;=BC$2)),
  $H85 * (1 + Assumptions!$C$7) ^ INT(((YEAR(BC$2)-YEAR($F85))*12 + MONTH(BC$2)-MONTH($F85)) / 12),
  0)</f>
        <v/>
      </c>
      <c r="BD85" s="299">
        <f>IF(AND($F85&lt;=BD$2, OR($G85="",$G85&gt;=BD$2)),
  $H85 * (1 + Assumptions!$C$7) ^ INT(((YEAR(BD$2)-YEAR($F85))*12 + MONTH(BD$2)-MONTH($F85)) / 12),
  0)</f>
        <v/>
      </c>
      <c r="BE85" s="299">
        <f>IF(AND($F85&lt;=BE$2, OR($G85="",$G85&gt;=BE$2)),
  $H85 * (1 + Assumptions!$C$7) ^ INT(((YEAR(BE$2)-YEAR($F85))*12 + MONTH(BE$2)-MONTH($F85)) / 12),
  0)</f>
        <v/>
      </c>
      <c r="BF85" s="299">
        <f>IF(AND($F85&lt;=BF$2, OR($G85="",$G85&gt;=BF$2)),
  $H85 * (1 + Assumptions!$C$7) ^ INT(((YEAR(BF$2)-YEAR($F85))*12 + MONTH(BF$2)-MONTH($F85)) / 12),
  0)</f>
        <v/>
      </c>
      <c r="BG85" s="299">
        <f>IF(AND($F85&lt;=BG$2, OR($G85="",$G85&gt;=BG$2)),
  $H85 * (1 + Assumptions!$C$7) ^ INT(((YEAR(BG$2)-YEAR($F85))*12 + MONTH(BG$2)-MONTH($F85)) / 12),
  0)</f>
        <v/>
      </c>
      <c r="BH85" s="299">
        <f>IF(AND($F85&lt;=BH$2, OR($G85="",$G85&gt;=BH$2)),
  $H85 * (1 + Assumptions!$C$7) ^ INT(((YEAR(BH$2)-YEAR($F85))*12 + MONTH(BH$2)-MONTH($F85)) / 12),
  0)</f>
        <v/>
      </c>
      <c r="BI85" s="299">
        <f>IF(AND($F85&lt;=BI$2, OR($G85="",$G85&gt;=BI$2)),
  $H85 * (1 + Assumptions!$C$7) ^ INT(((YEAR(BI$2)-YEAR($F85))*12 + MONTH(BI$2)-MONTH($F85)) / 12),
  0)</f>
        <v/>
      </c>
      <c r="BJ85" s="299">
        <f>IF(AND($F85&lt;=BJ$2, OR($G85="",$G85&gt;=BJ$2)),
  $H85 * (1 + Assumptions!$C$7) ^ INT(((YEAR(BJ$2)-YEAR($F85))*12 + MONTH(BJ$2)-MONTH($F85)) / 12),
  0)</f>
        <v/>
      </c>
      <c r="BK85" s="299">
        <f>IF(AND($F85&lt;=BK$2, OR($G85="",$G85&gt;=BK$2)),
  $H85 * (1 + Assumptions!$C$7) ^ INT(((YEAR(BK$2)-YEAR($F85))*12 + MONTH(BK$2)-MONTH($F85)) / 12),
  0)</f>
        <v/>
      </c>
      <c r="BL85" s="299">
        <f>IF(AND($F85&lt;=BL$2, OR($G85="",$G85&gt;=BL$2)),
  $H85 * (1 + Assumptions!$C$7) ^ INT(((YEAR(BL$2)-YEAR($F85))*12 + MONTH(BL$2)-MONTH($F85)) / 12),
  0)</f>
        <v/>
      </c>
      <c r="BM85" s="299">
        <f>IF(AND($F85&lt;=BM$2, OR($G85="",$G85&gt;=BM$2)),
  $H85 * (1 + Assumptions!$C$7) ^ INT(((YEAR(BM$2)-YEAR($F85))*12 + MONTH(BM$2)-MONTH($F85)) / 12),
  0)</f>
        <v/>
      </c>
      <c r="BN85" s="299">
        <f>IF(AND($F85&lt;=BN$2, OR($G85="",$G85&gt;=BN$2)),
  $H85 * (1 + Assumptions!$C$7) ^ INT(((YEAR(BN$2)-YEAR($F85))*12 + MONTH(BN$2)-MONTH($F85)) / 12),
  0)</f>
        <v/>
      </c>
      <c r="BO85" s="299">
        <f>IF(AND($F85&lt;=BO$2, OR($G85="",$G85&gt;=BO$2)),
  $H85 * (1 + Assumptions!$C$7) ^ INT(((YEAR(BO$2)-YEAR($F85))*12 + MONTH(BO$2)-MONTH($F85)) / 12),
  0)</f>
        <v/>
      </c>
      <c r="BP85" s="299">
        <f>IF(AND($F85&lt;=BP$2, OR($G85="",$G85&gt;=BP$2)),
  $H85 * (1 + Assumptions!$C$7) ^ INT(((YEAR(BP$2)-YEAR($F85))*12 + MONTH(BP$2)-MONTH($F85)) / 12),
  0)</f>
        <v/>
      </c>
      <c r="BQ85" s="31" t="n"/>
      <c r="BR85" s="31" t="n"/>
      <c r="BS85" s="31" t="n"/>
      <c r="BT85" s="31" t="n"/>
    </row>
    <row r="86" ht="15.75" customHeight="1" s="349">
      <c r="A86" s="321" t="n">
        <v>81</v>
      </c>
      <c r="B86" s="285" t="inlineStr">
        <is>
          <t>New hire</t>
        </is>
      </c>
      <c r="C86" s="317" t="inlineStr">
        <is>
          <t>S&amp;M</t>
        </is>
      </c>
      <c r="D86" s="317" t="inlineStr">
        <is>
          <t>Marketing</t>
        </is>
      </c>
      <c r="E86" s="297" t="inlineStr">
        <is>
          <t>Planned</t>
        </is>
      </c>
      <c r="F86" s="318">
        <f>IF(Assumptions!$D$82=2,DATE(2027,1,1),DATE(2027,1,1))</f>
        <v/>
      </c>
      <c r="G86" s="318" t="n"/>
      <c r="H86" s="288" t="n">
        <v>7000</v>
      </c>
      <c r="I86" s="299">
        <f>IF(AND($F86&lt;=I$2, OR($G86="",$G86&gt;=I$2)),
  $H86 * (1 + Assumptions!$C$7) ^ INT(((YEAR(I$2)-YEAR($F86))*12 + MONTH(I$2)-MONTH($F86)) / 12),
  0)</f>
        <v/>
      </c>
      <c r="J86" s="299">
        <f>IF(AND($F86&lt;=J$2, OR($G86="",$G86&gt;=J$2)),
  $H86 * (1 + Assumptions!$C$7) ^ INT(((YEAR(J$2)-YEAR($F86))*12 + MONTH(J$2)-MONTH($F86)) / 12),
  0)</f>
        <v/>
      </c>
      <c r="K86" s="299">
        <f>IF(AND($F86&lt;=K$2, OR($G86="",$G86&gt;=K$2)),
  $H86 * (1 + Assumptions!$C$7) ^ INT(((YEAR(K$2)-YEAR($F86))*12 + MONTH(K$2)-MONTH($F86)) / 12),
  0)</f>
        <v/>
      </c>
      <c r="L86" s="299">
        <f>IF(AND($F86&lt;=L$2, OR($G86="",$G86&gt;=L$2)),
  $H86 * (1 + Assumptions!$C$7) ^ INT(((YEAR(L$2)-YEAR($F86))*12 + MONTH(L$2)-MONTH($F86)) / 12),
  0)</f>
        <v/>
      </c>
      <c r="M86" s="299">
        <f>IF(AND($F86&lt;=M$2, OR($G86="",$G86&gt;=M$2)),
  $H86 * (1 + Assumptions!$C$7) ^ INT(((YEAR(M$2)-YEAR($F86))*12 + MONTH(M$2)-MONTH($F86)) / 12),
  0)</f>
        <v/>
      </c>
      <c r="N86" s="299">
        <f>IF(AND($F86&lt;=N$2, OR($G86="",$G86&gt;=N$2)),
  $H86 * (1 + Assumptions!$C$7) ^ INT(((YEAR(N$2)-YEAR($F86))*12 + MONTH(N$2)-MONTH($F86)) / 12),
  0)</f>
        <v/>
      </c>
      <c r="O86" s="299">
        <f>IF(AND($F86&lt;=O$2, OR($G86="",$G86&gt;=O$2)),
  $H86 * (1 + Assumptions!$C$7) ^ INT(((YEAR(O$2)-YEAR($F86))*12 + MONTH(O$2)-MONTH($F86)) / 12),
  0)</f>
        <v/>
      </c>
      <c r="P86" s="299">
        <f>IF(AND($F86&lt;=P$2, OR($G86="",$G86&gt;=P$2)),
  $H86 * (1 + Assumptions!$C$7) ^ INT(((YEAR(P$2)-YEAR($F86))*12 + MONTH(P$2)-MONTH($F86)) / 12),
  0)</f>
        <v/>
      </c>
      <c r="Q86" s="299">
        <f>IF(AND($F86&lt;=Q$2, OR($G86="",$G86&gt;=Q$2)),
  $H86 * (1 + Assumptions!$C$7) ^ INT(((YEAR(Q$2)-YEAR($F86))*12 + MONTH(Q$2)-MONTH($F86)) / 12),
  0)</f>
        <v/>
      </c>
      <c r="R86" s="299">
        <f>IF(AND($F86&lt;=R$2, OR($G86="",$G86&gt;=R$2)),
  $H86 * (1 + Assumptions!$C$7) ^ INT(((YEAR(R$2)-YEAR($F86))*12 + MONTH(R$2)-MONTH($F86)) / 12),
  0)</f>
        <v/>
      </c>
      <c r="S86" s="299">
        <f>IF(AND($F86&lt;=S$2, OR($G86="",$G86&gt;=S$2)),
  $H86 * (1 + Assumptions!$C$7) ^ INT(((YEAR(S$2)-YEAR($F86))*12 + MONTH(S$2)-MONTH($F86)) / 12),
  0)</f>
        <v/>
      </c>
      <c r="T86" s="299">
        <f>IF(AND($F86&lt;=T$2, OR($G86="",$G86&gt;=T$2)),
  $H86 * (1 + Assumptions!$C$7) ^ INT(((YEAR(T$2)-YEAR($F86))*12 + MONTH(T$2)-MONTH($F86)) / 12),
  0)</f>
        <v/>
      </c>
      <c r="U86" s="299">
        <f>IF(AND($F86&lt;=U$2, OR($G86="",$G86&gt;=U$2)),
  $H86 * (1 + Assumptions!$C$7) ^ INT(((YEAR(U$2)-YEAR($F86))*12 + MONTH(U$2)-MONTH($F86)) / 12),
  0)</f>
        <v/>
      </c>
      <c r="V86" s="299">
        <f>IF(AND($F86&lt;=V$2, OR($G86="",$G86&gt;=V$2)),
  $H86 * (1 + Assumptions!$C$7) ^ INT(((YEAR(V$2)-YEAR($F86))*12 + MONTH(V$2)-MONTH($F86)) / 12),
  0)</f>
        <v/>
      </c>
      <c r="W86" s="299">
        <f>IF(AND($F86&lt;=W$2, OR($G86="",$G86&gt;=W$2)),
  $H86 * (1 + Assumptions!$C$7) ^ INT(((YEAR(W$2)-YEAR($F86))*12 + MONTH(W$2)-MONTH($F86)) / 12),
  0)</f>
        <v/>
      </c>
      <c r="X86" s="299">
        <f>IF(AND($F86&lt;=X$2, OR($G86="",$G86&gt;=X$2)),
  $H86 * (1 + Assumptions!$C$7) ^ INT(((YEAR(X$2)-YEAR($F86))*12 + MONTH(X$2)-MONTH($F86)) / 12),
  0)</f>
        <v/>
      </c>
      <c r="Y86" s="299">
        <f>IF(AND($F86&lt;=Y$2, OR($G86="",$G86&gt;=Y$2)),
  $H86 * (1 + Assumptions!$C$7) ^ INT(((YEAR(Y$2)-YEAR($F86))*12 + MONTH(Y$2)-MONTH($F86)) / 12),
  0)</f>
        <v/>
      </c>
      <c r="Z86" s="299">
        <f>IF(AND($F86&lt;=Z$2, OR($G86="",$G86&gt;=Z$2)),
  $H86 * (1 + Assumptions!$C$7) ^ INT(((YEAR(Z$2)-YEAR($F86))*12 + MONTH(Z$2)-MONTH($F86)) / 12),
  0)</f>
        <v/>
      </c>
      <c r="AA86" s="299">
        <f>IF(AND($F86&lt;=AA$2, OR($G86="",$G86&gt;=AA$2)),
  $H86 * (1 + Assumptions!$C$7) ^ INT(((YEAR(AA$2)-YEAR($F86))*12 + MONTH(AA$2)-MONTH($F86)) / 12),
  0)</f>
        <v/>
      </c>
      <c r="AB86" s="299">
        <f>IF(AND($F86&lt;=AB$2, OR($G86="",$G86&gt;=AB$2)),
  $H86 * (1 + Assumptions!$C$7) ^ INT(((YEAR(AB$2)-YEAR($F86))*12 + MONTH(AB$2)-MONTH($F86)) / 12),
  0)</f>
        <v/>
      </c>
      <c r="AC86" s="299">
        <f>IF(AND($F86&lt;=AC$2, OR($G86="",$G86&gt;=AC$2)),
  $H86 * (1 + Assumptions!$C$7) ^ INT(((YEAR(AC$2)-YEAR($F86))*12 + MONTH(AC$2)-MONTH($F86)) / 12),
  0)</f>
        <v/>
      </c>
      <c r="AD86" s="299">
        <f>IF(AND($F86&lt;=AD$2, OR($G86="",$G86&gt;=AD$2)),
  $H86 * (1 + Assumptions!$C$7) ^ INT(((YEAR(AD$2)-YEAR($F86))*12 + MONTH(AD$2)-MONTH($F86)) / 12),
  0)</f>
        <v/>
      </c>
      <c r="AE86" s="299">
        <f>IF(AND($F86&lt;=AE$2, OR($G86="",$G86&gt;=AE$2)),
  $H86 * (1 + Assumptions!$C$7) ^ INT(((YEAR(AE$2)-YEAR($F86))*12 + MONTH(AE$2)-MONTH($F86)) / 12),
  0)</f>
        <v/>
      </c>
      <c r="AF86" s="299">
        <f>IF(AND($F86&lt;=AF$2, OR($G86="",$G86&gt;=AF$2)),
  $H86 * (1 + Assumptions!$C$7) ^ INT(((YEAR(AF$2)-YEAR($F86))*12 + MONTH(AF$2)-MONTH($F86)) / 12),
  0)</f>
        <v/>
      </c>
      <c r="AG86" s="299">
        <f>IF(AND($F86&lt;=AG$2, OR($G86="",$G86&gt;=AG$2)),
  $H86 * (1 + Assumptions!$C$7) ^ INT(((YEAR(AG$2)-YEAR($F86))*12 + MONTH(AG$2)-MONTH($F86)) / 12),
  0)</f>
        <v/>
      </c>
      <c r="AH86" s="299">
        <f>IF(AND($F86&lt;=AH$2, OR($G86="",$G86&gt;=AH$2)),
  $H86 * (1 + Assumptions!$C$7) ^ INT(((YEAR(AH$2)-YEAR($F86))*12 + MONTH(AH$2)-MONTH($F86)) / 12),
  0)</f>
        <v/>
      </c>
      <c r="AI86" s="299">
        <f>IF(AND($F86&lt;=AI$2, OR($G86="",$G86&gt;=AI$2)),
  $H86 * (1 + Assumptions!$C$7) ^ INT(((YEAR(AI$2)-YEAR($F86))*12 + MONTH(AI$2)-MONTH($F86)) / 12),
  0)</f>
        <v/>
      </c>
      <c r="AJ86" s="299">
        <f>IF(AND($F86&lt;=AJ$2, OR($G86="",$G86&gt;=AJ$2)),
  $H86 * (1 + Assumptions!$C$7) ^ INT(((YEAR(AJ$2)-YEAR($F86))*12 + MONTH(AJ$2)-MONTH($F86)) / 12),
  0)</f>
        <v/>
      </c>
      <c r="AK86" s="299">
        <f>IF(AND($F86&lt;=AK$2, OR($G86="",$G86&gt;=AK$2)),
  $H86 * (1 + Assumptions!$C$7) ^ INT(((YEAR(AK$2)-YEAR($F86))*12 + MONTH(AK$2)-MONTH($F86)) / 12),
  0)</f>
        <v/>
      </c>
      <c r="AL86" s="299">
        <f>IF(AND($F86&lt;=AL$2, OR($G86="",$G86&gt;=AL$2)),
  $H86 * (1 + Assumptions!$C$7) ^ INT(((YEAR(AL$2)-YEAR($F86))*12 + MONTH(AL$2)-MONTH($F86)) / 12),
  0)</f>
        <v/>
      </c>
      <c r="AM86" s="299">
        <f>IF(AND($F86&lt;=AM$2, OR($G86="",$G86&gt;=AM$2)),
  $H86 * (1 + Assumptions!$C$7) ^ INT(((YEAR(AM$2)-YEAR($F86))*12 + MONTH(AM$2)-MONTH($F86)) / 12),
  0)</f>
        <v/>
      </c>
      <c r="AN86" s="299">
        <f>IF(AND($F86&lt;=AN$2, OR($G86="",$G86&gt;=AN$2)),
  $H86 * (1 + Assumptions!$C$7) ^ INT(((YEAR(AN$2)-YEAR($F86))*12 + MONTH(AN$2)-MONTH($F86)) / 12),
  0)</f>
        <v/>
      </c>
      <c r="AO86" s="299">
        <f>IF(AND($F86&lt;=AO$2, OR($G86="",$G86&gt;=AO$2)),
  $H86 * (1 + Assumptions!$C$7) ^ INT(((YEAR(AO$2)-YEAR($F86))*12 + MONTH(AO$2)-MONTH($F86)) / 12),
  0)</f>
        <v/>
      </c>
      <c r="AP86" s="299">
        <f>IF(AND($F86&lt;=AP$2, OR($G86="",$G86&gt;=AP$2)),
  $H86 * (1 + Assumptions!$C$7) ^ INT(((YEAR(AP$2)-YEAR($F86))*12 + MONTH(AP$2)-MONTH($F86)) / 12),
  0)</f>
        <v/>
      </c>
      <c r="AQ86" s="299">
        <f>IF(AND($F86&lt;=AQ$2, OR($G86="",$G86&gt;=AQ$2)),
  $H86 * (1 + Assumptions!$C$7) ^ INT(((YEAR(AQ$2)-YEAR($F86))*12 + MONTH(AQ$2)-MONTH($F86)) / 12),
  0)</f>
        <v/>
      </c>
      <c r="AR86" s="299">
        <f>IF(AND($F86&lt;=AR$2, OR($G86="",$G86&gt;=AR$2)),
  $H86 * (1 + Assumptions!$C$7) ^ INT(((YEAR(AR$2)-YEAR($F86))*12 + MONTH(AR$2)-MONTH($F86)) / 12),
  0)</f>
        <v/>
      </c>
      <c r="AS86" s="299">
        <f>IF(AND($F86&lt;=AS$2, OR($G86="",$G86&gt;=AS$2)),
  $H86 * (1 + Assumptions!$C$7) ^ INT(((YEAR(AS$2)-YEAR($F86))*12 + MONTH(AS$2)-MONTH($F86)) / 12),
  0)</f>
        <v/>
      </c>
      <c r="AT86" s="299">
        <f>IF(AND($F86&lt;=AT$2, OR($G86="",$G86&gt;=AT$2)),
  $H86 * (1 + Assumptions!$C$7) ^ INT(((YEAR(AT$2)-YEAR($F86))*12 + MONTH(AT$2)-MONTH($F86)) / 12),
  0)</f>
        <v/>
      </c>
      <c r="AU86" s="299">
        <f>IF(AND($F86&lt;=AU$2, OR($G86="",$G86&gt;=AU$2)),
  $H86 * (1 + Assumptions!$C$7) ^ INT(((YEAR(AU$2)-YEAR($F86))*12 + MONTH(AU$2)-MONTH($F86)) / 12),
  0)</f>
        <v/>
      </c>
      <c r="AV86" s="299">
        <f>IF(AND($F86&lt;=AV$2, OR($G86="",$G86&gt;=AV$2)),
  $H86 * (1 + Assumptions!$C$7) ^ INT(((YEAR(AV$2)-YEAR($F86))*12 + MONTH(AV$2)-MONTH($F86)) / 12),
  0)</f>
        <v/>
      </c>
      <c r="AW86" s="299">
        <f>IF(AND($F86&lt;=AW$2, OR($G86="",$G86&gt;=AW$2)),
  $H86 * (1 + Assumptions!$C$7) ^ INT(((YEAR(AW$2)-YEAR($F86))*12 + MONTH(AW$2)-MONTH($F86)) / 12),
  0)</f>
        <v/>
      </c>
      <c r="AX86" s="299">
        <f>IF(AND($F86&lt;=AX$2, OR($G86="",$G86&gt;=AX$2)),
  $H86 * (1 + Assumptions!$C$7) ^ INT(((YEAR(AX$2)-YEAR($F86))*12 + MONTH(AX$2)-MONTH($F86)) / 12),
  0)</f>
        <v/>
      </c>
      <c r="AY86" s="299">
        <f>IF(AND($F86&lt;=AY$2, OR($G86="",$G86&gt;=AY$2)),
  $H86 * (1 + Assumptions!$C$7) ^ INT(((YEAR(AY$2)-YEAR($F86))*12 + MONTH(AY$2)-MONTH($F86)) / 12),
  0)</f>
        <v/>
      </c>
      <c r="AZ86" s="299">
        <f>IF(AND($F86&lt;=AZ$2, OR($G86="",$G86&gt;=AZ$2)),
  $H86 * (1 + Assumptions!$C$7) ^ INT(((YEAR(AZ$2)-YEAR($F86))*12 + MONTH(AZ$2)-MONTH($F86)) / 12),
  0)</f>
        <v/>
      </c>
      <c r="BA86" s="299">
        <f>IF(AND($F86&lt;=BA$2, OR($G86="",$G86&gt;=BA$2)),
  $H86 * (1 + Assumptions!$C$7) ^ INT(((YEAR(BA$2)-YEAR($F86))*12 + MONTH(BA$2)-MONTH($F86)) / 12),
  0)</f>
        <v/>
      </c>
      <c r="BB86" s="299">
        <f>IF(AND($F86&lt;=BB$2, OR($G86="",$G86&gt;=BB$2)),
  $H86 * (1 + Assumptions!$C$7) ^ INT(((YEAR(BB$2)-YEAR($F86))*12 + MONTH(BB$2)-MONTH($F86)) / 12),
  0)</f>
        <v/>
      </c>
      <c r="BC86" s="299">
        <f>IF(AND($F86&lt;=BC$2, OR($G86="",$G86&gt;=BC$2)),
  $H86 * (1 + Assumptions!$C$7) ^ INT(((YEAR(BC$2)-YEAR($F86))*12 + MONTH(BC$2)-MONTH($F86)) / 12),
  0)</f>
        <v/>
      </c>
      <c r="BD86" s="299">
        <f>IF(AND($F86&lt;=BD$2, OR($G86="",$G86&gt;=BD$2)),
  $H86 * (1 + Assumptions!$C$7) ^ INT(((YEAR(BD$2)-YEAR($F86))*12 + MONTH(BD$2)-MONTH($F86)) / 12),
  0)</f>
        <v/>
      </c>
      <c r="BE86" s="299">
        <f>IF(AND($F86&lt;=BE$2, OR($G86="",$G86&gt;=BE$2)),
  $H86 * (1 + Assumptions!$C$7) ^ INT(((YEAR(BE$2)-YEAR($F86))*12 + MONTH(BE$2)-MONTH($F86)) / 12),
  0)</f>
        <v/>
      </c>
      <c r="BF86" s="299">
        <f>IF(AND($F86&lt;=BF$2, OR($G86="",$G86&gt;=BF$2)),
  $H86 * (1 + Assumptions!$C$7) ^ INT(((YEAR(BF$2)-YEAR($F86))*12 + MONTH(BF$2)-MONTH($F86)) / 12),
  0)</f>
        <v/>
      </c>
      <c r="BG86" s="299">
        <f>IF(AND($F86&lt;=BG$2, OR($G86="",$G86&gt;=BG$2)),
  $H86 * (1 + Assumptions!$C$7) ^ INT(((YEAR(BG$2)-YEAR($F86))*12 + MONTH(BG$2)-MONTH($F86)) / 12),
  0)</f>
        <v/>
      </c>
      <c r="BH86" s="299">
        <f>IF(AND($F86&lt;=BH$2, OR($G86="",$G86&gt;=BH$2)),
  $H86 * (1 + Assumptions!$C$7) ^ INT(((YEAR(BH$2)-YEAR($F86))*12 + MONTH(BH$2)-MONTH($F86)) / 12),
  0)</f>
        <v/>
      </c>
      <c r="BI86" s="299">
        <f>IF(AND($F86&lt;=BI$2, OR($G86="",$G86&gt;=BI$2)),
  $H86 * (1 + Assumptions!$C$7) ^ INT(((YEAR(BI$2)-YEAR($F86))*12 + MONTH(BI$2)-MONTH($F86)) / 12),
  0)</f>
        <v/>
      </c>
      <c r="BJ86" s="299">
        <f>IF(AND($F86&lt;=BJ$2, OR($G86="",$G86&gt;=BJ$2)),
  $H86 * (1 + Assumptions!$C$7) ^ INT(((YEAR(BJ$2)-YEAR($F86))*12 + MONTH(BJ$2)-MONTH($F86)) / 12),
  0)</f>
        <v/>
      </c>
      <c r="BK86" s="299">
        <f>IF(AND($F86&lt;=BK$2, OR($G86="",$G86&gt;=BK$2)),
  $H86 * (1 + Assumptions!$C$7) ^ INT(((YEAR(BK$2)-YEAR($F86))*12 + MONTH(BK$2)-MONTH($F86)) / 12),
  0)</f>
        <v/>
      </c>
      <c r="BL86" s="299">
        <f>IF(AND($F86&lt;=BL$2, OR($G86="",$G86&gt;=BL$2)),
  $H86 * (1 + Assumptions!$C$7) ^ INT(((YEAR(BL$2)-YEAR($F86))*12 + MONTH(BL$2)-MONTH($F86)) / 12),
  0)</f>
        <v/>
      </c>
      <c r="BM86" s="299">
        <f>IF(AND($F86&lt;=BM$2, OR($G86="",$G86&gt;=BM$2)),
  $H86 * (1 + Assumptions!$C$7) ^ INT(((YEAR(BM$2)-YEAR($F86))*12 + MONTH(BM$2)-MONTH($F86)) / 12),
  0)</f>
        <v/>
      </c>
      <c r="BN86" s="299">
        <f>IF(AND($F86&lt;=BN$2, OR($G86="",$G86&gt;=BN$2)),
  $H86 * (1 + Assumptions!$C$7) ^ INT(((YEAR(BN$2)-YEAR($F86))*12 + MONTH(BN$2)-MONTH($F86)) / 12),
  0)</f>
        <v/>
      </c>
      <c r="BO86" s="299">
        <f>IF(AND($F86&lt;=BO$2, OR($G86="",$G86&gt;=BO$2)),
  $H86 * (1 + Assumptions!$C$7) ^ INT(((YEAR(BO$2)-YEAR($F86))*12 + MONTH(BO$2)-MONTH($F86)) / 12),
  0)</f>
        <v/>
      </c>
      <c r="BP86" s="299">
        <f>IF(AND($F86&lt;=BP$2, OR($G86="",$G86&gt;=BP$2)),
  $H86 * (1 + Assumptions!$C$7) ^ INT(((YEAR(BP$2)-YEAR($F86))*12 + MONTH(BP$2)-MONTH($F86)) / 12),
  0)</f>
        <v/>
      </c>
      <c r="BQ86" s="31" t="n"/>
      <c r="BR86" s="31" t="n"/>
      <c r="BS86" s="31" t="n"/>
      <c r="BT86" s="31" t="n"/>
    </row>
    <row r="87" ht="15.75" customHeight="1" s="349">
      <c r="A87" s="321" t="n">
        <v>82</v>
      </c>
      <c r="B87" s="285" t="inlineStr">
        <is>
          <t>New hire</t>
        </is>
      </c>
      <c r="C87" s="317" t="inlineStr">
        <is>
          <t>G&amp;A</t>
        </is>
      </c>
      <c r="D87" s="317" t="inlineStr">
        <is>
          <t>Supply Chain &amp; Logistics</t>
        </is>
      </c>
      <c r="E87" s="297" t="inlineStr">
        <is>
          <t>Planned</t>
        </is>
      </c>
      <c r="F87" s="318">
        <f>IF(Assumptions!$D$82=2,DATE(2027,7,1),DATE(2028,1,1))</f>
        <v/>
      </c>
      <c r="G87" s="318" t="n"/>
      <c r="H87" s="288" t="n">
        <v>5000</v>
      </c>
      <c r="I87" s="299">
        <f>IF(AND($F87&lt;=I$2, OR($G87="",$G87&gt;=I$2)),
  $H87 * (1 + Assumptions!$C$7) ^ INT(((YEAR(I$2)-YEAR($F87))*12 + MONTH(I$2)-MONTH($F87)) / 12),
  0)</f>
        <v/>
      </c>
      <c r="J87" s="299">
        <f>IF(AND($F87&lt;=J$2, OR($G87="",$G87&gt;=J$2)),
  $H87 * (1 + Assumptions!$C$7) ^ INT(((YEAR(J$2)-YEAR($F87))*12 + MONTH(J$2)-MONTH($F87)) / 12),
  0)</f>
        <v/>
      </c>
      <c r="K87" s="299">
        <f>IF(AND($F87&lt;=K$2, OR($G87="",$G87&gt;=K$2)),
  $H87 * (1 + Assumptions!$C$7) ^ INT(((YEAR(K$2)-YEAR($F87))*12 + MONTH(K$2)-MONTH($F87)) / 12),
  0)</f>
        <v/>
      </c>
      <c r="L87" s="299">
        <f>IF(AND($F87&lt;=L$2, OR($G87="",$G87&gt;=L$2)),
  $H87 * (1 + Assumptions!$C$7) ^ INT(((YEAR(L$2)-YEAR($F87))*12 + MONTH(L$2)-MONTH($F87)) / 12),
  0)</f>
        <v/>
      </c>
      <c r="M87" s="299">
        <f>IF(AND($F87&lt;=M$2, OR($G87="",$G87&gt;=M$2)),
  $H87 * (1 + Assumptions!$C$7) ^ INT(((YEAR(M$2)-YEAR($F87))*12 + MONTH(M$2)-MONTH($F87)) / 12),
  0)</f>
        <v/>
      </c>
      <c r="N87" s="299">
        <f>IF(AND($F87&lt;=N$2, OR($G87="",$G87&gt;=N$2)),
  $H87 * (1 + Assumptions!$C$7) ^ INT(((YEAR(N$2)-YEAR($F87))*12 + MONTH(N$2)-MONTH($F87)) / 12),
  0)</f>
        <v/>
      </c>
      <c r="O87" s="299">
        <f>IF(AND($F87&lt;=O$2, OR($G87="",$G87&gt;=O$2)),
  $H87 * (1 + Assumptions!$C$7) ^ INT(((YEAR(O$2)-YEAR($F87))*12 + MONTH(O$2)-MONTH($F87)) / 12),
  0)</f>
        <v/>
      </c>
      <c r="P87" s="299">
        <f>IF(AND($F87&lt;=P$2, OR($G87="",$G87&gt;=P$2)),
  $H87 * (1 + Assumptions!$C$7) ^ INT(((YEAR(P$2)-YEAR($F87))*12 + MONTH(P$2)-MONTH($F87)) / 12),
  0)</f>
        <v/>
      </c>
      <c r="Q87" s="299">
        <f>IF(AND($F87&lt;=Q$2, OR($G87="",$G87&gt;=Q$2)),
  $H87 * (1 + Assumptions!$C$7) ^ INT(((YEAR(Q$2)-YEAR($F87))*12 + MONTH(Q$2)-MONTH($F87)) / 12),
  0)</f>
        <v/>
      </c>
      <c r="R87" s="299">
        <f>IF(AND($F87&lt;=R$2, OR($G87="",$G87&gt;=R$2)),
  $H87 * (1 + Assumptions!$C$7) ^ INT(((YEAR(R$2)-YEAR($F87))*12 + MONTH(R$2)-MONTH($F87)) / 12),
  0)</f>
        <v/>
      </c>
      <c r="S87" s="299">
        <f>IF(AND($F87&lt;=S$2, OR($G87="",$G87&gt;=S$2)),
  $H87 * (1 + Assumptions!$C$7) ^ INT(((YEAR(S$2)-YEAR($F87))*12 + MONTH(S$2)-MONTH($F87)) / 12),
  0)</f>
        <v/>
      </c>
      <c r="T87" s="299">
        <f>IF(AND($F87&lt;=T$2, OR($G87="",$G87&gt;=T$2)),
  $H87 * (1 + Assumptions!$C$7) ^ INT(((YEAR(T$2)-YEAR($F87))*12 + MONTH(T$2)-MONTH($F87)) / 12),
  0)</f>
        <v/>
      </c>
      <c r="U87" s="299">
        <f>IF(AND($F87&lt;=U$2, OR($G87="",$G87&gt;=U$2)),
  $H87 * (1 + Assumptions!$C$7) ^ INT(((YEAR(U$2)-YEAR($F87))*12 + MONTH(U$2)-MONTH($F87)) / 12),
  0)</f>
        <v/>
      </c>
      <c r="V87" s="299">
        <f>IF(AND($F87&lt;=V$2, OR($G87="",$G87&gt;=V$2)),
  $H87 * (1 + Assumptions!$C$7) ^ INT(((YEAR(V$2)-YEAR($F87))*12 + MONTH(V$2)-MONTH($F87)) / 12),
  0)</f>
        <v/>
      </c>
      <c r="W87" s="299">
        <f>IF(AND($F87&lt;=W$2, OR($G87="",$G87&gt;=W$2)),
  $H87 * (1 + Assumptions!$C$7) ^ INT(((YEAR(W$2)-YEAR($F87))*12 + MONTH(W$2)-MONTH($F87)) / 12),
  0)</f>
        <v/>
      </c>
      <c r="X87" s="299">
        <f>IF(AND($F87&lt;=X$2, OR($G87="",$G87&gt;=X$2)),
  $H87 * (1 + Assumptions!$C$7) ^ INT(((YEAR(X$2)-YEAR($F87))*12 + MONTH(X$2)-MONTH($F87)) / 12),
  0)</f>
        <v/>
      </c>
      <c r="Y87" s="299">
        <f>IF(AND($F87&lt;=Y$2, OR($G87="",$G87&gt;=Y$2)),
  $H87 * (1 + Assumptions!$C$7) ^ INT(((YEAR(Y$2)-YEAR($F87))*12 + MONTH(Y$2)-MONTH($F87)) / 12),
  0)</f>
        <v/>
      </c>
      <c r="Z87" s="299">
        <f>IF(AND($F87&lt;=Z$2, OR($G87="",$G87&gt;=Z$2)),
  $H87 * (1 + Assumptions!$C$7) ^ INT(((YEAR(Z$2)-YEAR($F87))*12 + MONTH(Z$2)-MONTH($F87)) / 12),
  0)</f>
        <v/>
      </c>
      <c r="AA87" s="299">
        <f>IF(AND($F87&lt;=AA$2, OR($G87="",$G87&gt;=AA$2)),
  $H87 * (1 + Assumptions!$C$7) ^ INT(((YEAR(AA$2)-YEAR($F87))*12 + MONTH(AA$2)-MONTH($F87)) / 12),
  0)</f>
        <v/>
      </c>
      <c r="AB87" s="299">
        <f>IF(AND($F87&lt;=AB$2, OR($G87="",$G87&gt;=AB$2)),
  $H87 * (1 + Assumptions!$C$7) ^ INT(((YEAR(AB$2)-YEAR($F87))*12 + MONTH(AB$2)-MONTH($F87)) / 12),
  0)</f>
        <v/>
      </c>
      <c r="AC87" s="299">
        <f>IF(AND($F87&lt;=AC$2, OR($G87="",$G87&gt;=AC$2)),
  $H87 * (1 + Assumptions!$C$7) ^ INT(((YEAR(AC$2)-YEAR($F87))*12 + MONTH(AC$2)-MONTH($F87)) / 12),
  0)</f>
        <v/>
      </c>
      <c r="AD87" s="299">
        <f>IF(AND($F87&lt;=AD$2, OR($G87="",$G87&gt;=AD$2)),
  $H87 * (1 + Assumptions!$C$7) ^ INT(((YEAR(AD$2)-YEAR($F87))*12 + MONTH(AD$2)-MONTH($F87)) / 12),
  0)</f>
        <v/>
      </c>
      <c r="AE87" s="299">
        <f>IF(AND($F87&lt;=AE$2, OR($G87="",$G87&gt;=AE$2)),
  $H87 * (1 + Assumptions!$C$7) ^ INT(((YEAR(AE$2)-YEAR($F87))*12 + MONTH(AE$2)-MONTH($F87)) / 12),
  0)</f>
        <v/>
      </c>
      <c r="AF87" s="299">
        <f>IF(AND($F87&lt;=AF$2, OR($G87="",$G87&gt;=AF$2)),
  $H87 * (1 + Assumptions!$C$7) ^ INT(((YEAR(AF$2)-YEAR($F87))*12 + MONTH(AF$2)-MONTH($F87)) / 12),
  0)</f>
        <v/>
      </c>
      <c r="AG87" s="299">
        <f>IF(AND($F87&lt;=AG$2, OR($G87="",$G87&gt;=AG$2)),
  $H87 * (1 + Assumptions!$C$7) ^ INT(((YEAR(AG$2)-YEAR($F87))*12 + MONTH(AG$2)-MONTH($F87)) / 12),
  0)</f>
        <v/>
      </c>
      <c r="AH87" s="299">
        <f>IF(AND($F87&lt;=AH$2, OR($G87="",$G87&gt;=AH$2)),
  $H87 * (1 + Assumptions!$C$7) ^ INT(((YEAR(AH$2)-YEAR($F87))*12 + MONTH(AH$2)-MONTH($F87)) / 12),
  0)</f>
        <v/>
      </c>
      <c r="AI87" s="299">
        <f>IF(AND($F87&lt;=AI$2, OR($G87="",$G87&gt;=AI$2)),
  $H87 * (1 + Assumptions!$C$7) ^ INT(((YEAR(AI$2)-YEAR($F87))*12 + MONTH(AI$2)-MONTH($F87)) / 12),
  0)</f>
        <v/>
      </c>
      <c r="AJ87" s="299">
        <f>IF(AND($F87&lt;=AJ$2, OR($G87="",$G87&gt;=AJ$2)),
  $H87 * (1 + Assumptions!$C$7) ^ INT(((YEAR(AJ$2)-YEAR($F87))*12 + MONTH(AJ$2)-MONTH($F87)) / 12),
  0)</f>
        <v/>
      </c>
      <c r="AK87" s="299">
        <f>IF(AND($F87&lt;=AK$2, OR($G87="",$G87&gt;=AK$2)),
  $H87 * (1 + Assumptions!$C$7) ^ INT(((YEAR(AK$2)-YEAR($F87))*12 + MONTH(AK$2)-MONTH($F87)) / 12),
  0)</f>
        <v/>
      </c>
      <c r="AL87" s="299">
        <f>IF(AND($F87&lt;=AL$2, OR($G87="",$G87&gt;=AL$2)),
  $H87 * (1 + Assumptions!$C$7) ^ INT(((YEAR(AL$2)-YEAR($F87))*12 + MONTH(AL$2)-MONTH($F87)) / 12),
  0)</f>
        <v/>
      </c>
      <c r="AM87" s="299">
        <f>IF(AND($F87&lt;=AM$2, OR($G87="",$G87&gt;=AM$2)),
  $H87 * (1 + Assumptions!$C$7) ^ INT(((YEAR(AM$2)-YEAR($F87))*12 + MONTH(AM$2)-MONTH($F87)) / 12),
  0)</f>
        <v/>
      </c>
      <c r="AN87" s="299">
        <f>IF(AND($F87&lt;=AN$2, OR($G87="",$G87&gt;=AN$2)),
  $H87 * (1 + Assumptions!$C$7) ^ INT(((YEAR(AN$2)-YEAR($F87))*12 + MONTH(AN$2)-MONTH($F87)) / 12),
  0)</f>
        <v/>
      </c>
      <c r="AO87" s="299">
        <f>IF(AND($F87&lt;=AO$2, OR($G87="",$G87&gt;=AO$2)),
  $H87 * (1 + Assumptions!$C$7) ^ INT(((YEAR(AO$2)-YEAR($F87))*12 + MONTH(AO$2)-MONTH($F87)) / 12),
  0)</f>
        <v/>
      </c>
      <c r="AP87" s="299">
        <f>IF(AND($F87&lt;=AP$2, OR($G87="",$G87&gt;=AP$2)),
  $H87 * (1 + Assumptions!$C$7) ^ INT(((YEAR(AP$2)-YEAR($F87))*12 + MONTH(AP$2)-MONTH($F87)) / 12),
  0)</f>
        <v/>
      </c>
      <c r="AQ87" s="299">
        <f>IF(AND($F87&lt;=AQ$2, OR($G87="",$G87&gt;=AQ$2)),
  $H87 * (1 + Assumptions!$C$7) ^ INT(((YEAR(AQ$2)-YEAR($F87))*12 + MONTH(AQ$2)-MONTH($F87)) / 12),
  0)</f>
        <v/>
      </c>
      <c r="AR87" s="299">
        <f>IF(AND($F87&lt;=AR$2, OR($G87="",$G87&gt;=AR$2)),
  $H87 * (1 + Assumptions!$C$7) ^ INT(((YEAR(AR$2)-YEAR($F87))*12 + MONTH(AR$2)-MONTH($F87)) / 12),
  0)</f>
        <v/>
      </c>
      <c r="AS87" s="299">
        <f>IF(AND($F87&lt;=AS$2, OR($G87="",$G87&gt;=AS$2)),
  $H87 * (1 + Assumptions!$C$7) ^ INT(((YEAR(AS$2)-YEAR($F87))*12 + MONTH(AS$2)-MONTH($F87)) / 12),
  0)</f>
        <v/>
      </c>
      <c r="AT87" s="299">
        <f>IF(AND($F87&lt;=AT$2, OR($G87="",$G87&gt;=AT$2)),
  $H87 * (1 + Assumptions!$C$7) ^ INT(((YEAR(AT$2)-YEAR($F87))*12 + MONTH(AT$2)-MONTH($F87)) / 12),
  0)</f>
        <v/>
      </c>
      <c r="AU87" s="299">
        <f>IF(AND($F87&lt;=AU$2, OR($G87="",$G87&gt;=AU$2)),
  $H87 * (1 + Assumptions!$C$7) ^ INT(((YEAR(AU$2)-YEAR($F87))*12 + MONTH(AU$2)-MONTH($F87)) / 12),
  0)</f>
        <v/>
      </c>
      <c r="AV87" s="299">
        <f>IF(AND($F87&lt;=AV$2, OR($G87="",$G87&gt;=AV$2)),
  $H87 * (1 + Assumptions!$C$7) ^ INT(((YEAR(AV$2)-YEAR($F87))*12 + MONTH(AV$2)-MONTH($F87)) / 12),
  0)</f>
        <v/>
      </c>
      <c r="AW87" s="299">
        <f>IF(AND($F87&lt;=AW$2, OR($G87="",$G87&gt;=AW$2)),
  $H87 * (1 + Assumptions!$C$7) ^ INT(((YEAR(AW$2)-YEAR($F87))*12 + MONTH(AW$2)-MONTH($F87)) / 12),
  0)</f>
        <v/>
      </c>
      <c r="AX87" s="299">
        <f>IF(AND($F87&lt;=AX$2, OR($G87="",$G87&gt;=AX$2)),
  $H87 * (1 + Assumptions!$C$7) ^ INT(((YEAR(AX$2)-YEAR($F87))*12 + MONTH(AX$2)-MONTH($F87)) / 12),
  0)</f>
        <v/>
      </c>
      <c r="AY87" s="299">
        <f>IF(AND($F87&lt;=AY$2, OR($G87="",$G87&gt;=AY$2)),
  $H87 * (1 + Assumptions!$C$7) ^ INT(((YEAR(AY$2)-YEAR($F87))*12 + MONTH(AY$2)-MONTH($F87)) / 12),
  0)</f>
        <v/>
      </c>
      <c r="AZ87" s="299">
        <f>IF(AND($F87&lt;=AZ$2, OR($G87="",$G87&gt;=AZ$2)),
  $H87 * (1 + Assumptions!$C$7) ^ INT(((YEAR(AZ$2)-YEAR($F87))*12 + MONTH(AZ$2)-MONTH($F87)) / 12),
  0)</f>
        <v/>
      </c>
      <c r="BA87" s="299">
        <f>IF(AND($F87&lt;=BA$2, OR($G87="",$G87&gt;=BA$2)),
  $H87 * (1 + Assumptions!$C$7) ^ INT(((YEAR(BA$2)-YEAR($F87))*12 + MONTH(BA$2)-MONTH($F87)) / 12),
  0)</f>
        <v/>
      </c>
      <c r="BB87" s="299">
        <f>IF(AND($F87&lt;=BB$2, OR($G87="",$G87&gt;=BB$2)),
  $H87 * (1 + Assumptions!$C$7) ^ INT(((YEAR(BB$2)-YEAR($F87))*12 + MONTH(BB$2)-MONTH($F87)) / 12),
  0)</f>
        <v/>
      </c>
      <c r="BC87" s="299">
        <f>IF(AND($F87&lt;=BC$2, OR($G87="",$G87&gt;=BC$2)),
  $H87 * (1 + Assumptions!$C$7) ^ INT(((YEAR(BC$2)-YEAR($F87))*12 + MONTH(BC$2)-MONTH($F87)) / 12),
  0)</f>
        <v/>
      </c>
      <c r="BD87" s="299">
        <f>IF(AND($F87&lt;=BD$2, OR($G87="",$G87&gt;=BD$2)),
  $H87 * (1 + Assumptions!$C$7) ^ INT(((YEAR(BD$2)-YEAR($F87))*12 + MONTH(BD$2)-MONTH($F87)) / 12),
  0)</f>
        <v/>
      </c>
      <c r="BE87" s="299">
        <f>IF(AND($F87&lt;=BE$2, OR($G87="",$G87&gt;=BE$2)),
  $H87 * (1 + Assumptions!$C$7) ^ INT(((YEAR(BE$2)-YEAR($F87))*12 + MONTH(BE$2)-MONTH($F87)) / 12),
  0)</f>
        <v/>
      </c>
      <c r="BF87" s="299">
        <f>IF(AND($F87&lt;=BF$2, OR($G87="",$G87&gt;=BF$2)),
  $H87 * (1 + Assumptions!$C$7) ^ INT(((YEAR(BF$2)-YEAR($F87))*12 + MONTH(BF$2)-MONTH($F87)) / 12),
  0)</f>
        <v/>
      </c>
      <c r="BG87" s="299">
        <f>IF(AND($F87&lt;=BG$2, OR($G87="",$G87&gt;=BG$2)),
  $H87 * (1 + Assumptions!$C$7) ^ INT(((YEAR(BG$2)-YEAR($F87))*12 + MONTH(BG$2)-MONTH($F87)) / 12),
  0)</f>
        <v/>
      </c>
      <c r="BH87" s="299">
        <f>IF(AND($F87&lt;=BH$2, OR($G87="",$G87&gt;=BH$2)),
  $H87 * (1 + Assumptions!$C$7) ^ INT(((YEAR(BH$2)-YEAR($F87))*12 + MONTH(BH$2)-MONTH($F87)) / 12),
  0)</f>
        <v/>
      </c>
      <c r="BI87" s="299">
        <f>IF(AND($F87&lt;=BI$2, OR($G87="",$G87&gt;=BI$2)),
  $H87 * (1 + Assumptions!$C$7) ^ INT(((YEAR(BI$2)-YEAR($F87))*12 + MONTH(BI$2)-MONTH($F87)) / 12),
  0)</f>
        <v/>
      </c>
      <c r="BJ87" s="299">
        <f>IF(AND($F87&lt;=BJ$2, OR($G87="",$G87&gt;=BJ$2)),
  $H87 * (1 + Assumptions!$C$7) ^ INT(((YEAR(BJ$2)-YEAR($F87))*12 + MONTH(BJ$2)-MONTH($F87)) / 12),
  0)</f>
        <v/>
      </c>
      <c r="BK87" s="299">
        <f>IF(AND($F87&lt;=BK$2, OR($G87="",$G87&gt;=BK$2)),
  $H87 * (1 + Assumptions!$C$7) ^ INT(((YEAR(BK$2)-YEAR($F87))*12 + MONTH(BK$2)-MONTH($F87)) / 12),
  0)</f>
        <v/>
      </c>
      <c r="BL87" s="299">
        <f>IF(AND($F87&lt;=BL$2, OR($G87="",$G87&gt;=BL$2)),
  $H87 * (1 + Assumptions!$C$7) ^ INT(((YEAR(BL$2)-YEAR($F87))*12 + MONTH(BL$2)-MONTH($F87)) / 12),
  0)</f>
        <v/>
      </c>
      <c r="BM87" s="299">
        <f>IF(AND($F87&lt;=BM$2, OR($G87="",$G87&gt;=BM$2)),
  $H87 * (1 + Assumptions!$C$7) ^ INT(((YEAR(BM$2)-YEAR($F87))*12 + MONTH(BM$2)-MONTH($F87)) / 12),
  0)</f>
        <v/>
      </c>
      <c r="BN87" s="299">
        <f>IF(AND($F87&lt;=BN$2, OR($G87="",$G87&gt;=BN$2)),
  $H87 * (1 + Assumptions!$C$7) ^ INT(((YEAR(BN$2)-YEAR($F87))*12 + MONTH(BN$2)-MONTH($F87)) / 12),
  0)</f>
        <v/>
      </c>
      <c r="BO87" s="299">
        <f>IF(AND($F87&lt;=BO$2, OR($G87="",$G87&gt;=BO$2)),
  $H87 * (1 + Assumptions!$C$7) ^ INT(((YEAR(BO$2)-YEAR($F87))*12 + MONTH(BO$2)-MONTH($F87)) / 12),
  0)</f>
        <v/>
      </c>
      <c r="BP87" s="299">
        <f>IF(AND($F87&lt;=BP$2, OR($G87="",$G87&gt;=BP$2)),
  $H87 * (1 + Assumptions!$C$7) ^ INT(((YEAR(BP$2)-YEAR($F87))*12 + MONTH(BP$2)-MONTH($F87)) / 12),
  0)</f>
        <v/>
      </c>
      <c r="BQ87" s="31" t="n"/>
      <c r="BR87" s="31" t="n"/>
      <c r="BS87" s="31" t="n"/>
      <c r="BT87" s="31" t="n"/>
    </row>
    <row r="88" ht="15.75" customHeight="1" s="349">
      <c r="A88" s="321" t="n">
        <v>83</v>
      </c>
      <c r="B88" s="285" t="inlineStr">
        <is>
          <t>New hire</t>
        </is>
      </c>
      <c r="C88" s="317" t="inlineStr">
        <is>
          <t>G&amp;A</t>
        </is>
      </c>
      <c r="D88" s="317" t="inlineStr">
        <is>
          <t>Supply Chain &amp; Logistics</t>
        </is>
      </c>
      <c r="E88" s="297" t="inlineStr">
        <is>
          <t>Planned</t>
        </is>
      </c>
      <c r="F88" s="318">
        <f>IF(Assumptions!$D$82=2,DATE(2028,1,1),DATE(2029,1,1))</f>
        <v/>
      </c>
      <c r="G88" s="318" t="n"/>
      <c r="H88" s="288" t="n">
        <v>5000</v>
      </c>
      <c r="I88" s="299">
        <f>IF(AND($F88&lt;=I$2, OR($G88="",$G88&gt;=I$2)),
  $H88 * (1 + Assumptions!$C$7) ^ INT(((YEAR(I$2)-YEAR($F88))*12 + MONTH(I$2)-MONTH($F88)) / 12),
  0)</f>
        <v/>
      </c>
      <c r="J88" s="299">
        <f>IF(AND($F88&lt;=J$2, OR($G88="",$G88&gt;=J$2)),
  $H88 * (1 + Assumptions!$C$7) ^ INT(((YEAR(J$2)-YEAR($F88))*12 + MONTH(J$2)-MONTH($F88)) / 12),
  0)</f>
        <v/>
      </c>
      <c r="K88" s="299">
        <f>IF(AND($F88&lt;=K$2, OR($G88="",$G88&gt;=K$2)),
  $H88 * (1 + Assumptions!$C$7) ^ INT(((YEAR(K$2)-YEAR($F88))*12 + MONTH(K$2)-MONTH($F88)) / 12),
  0)</f>
        <v/>
      </c>
      <c r="L88" s="299">
        <f>IF(AND($F88&lt;=L$2, OR($G88="",$G88&gt;=L$2)),
  $H88 * (1 + Assumptions!$C$7) ^ INT(((YEAR(L$2)-YEAR($F88))*12 + MONTH(L$2)-MONTH($F88)) / 12),
  0)</f>
        <v/>
      </c>
      <c r="M88" s="299">
        <f>IF(AND($F88&lt;=M$2, OR($G88="",$G88&gt;=M$2)),
  $H88 * (1 + Assumptions!$C$7) ^ INT(((YEAR(M$2)-YEAR($F88))*12 + MONTH(M$2)-MONTH($F88)) / 12),
  0)</f>
        <v/>
      </c>
      <c r="N88" s="299">
        <f>IF(AND($F88&lt;=N$2, OR($G88="",$G88&gt;=N$2)),
  $H88 * (1 + Assumptions!$C$7) ^ INT(((YEAR(N$2)-YEAR($F88))*12 + MONTH(N$2)-MONTH($F88)) / 12),
  0)</f>
        <v/>
      </c>
      <c r="O88" s="299">
        <f>IF(AND($F88&lt;=O$2, OR($G88="",$G88&gt;=O$2)),
  $H88 * (1 + Assumptions!$C$7) ^ INT(((YEAR(O$2)-YEAR($F88))*12 + MONTH(O$2)-MONTH($F88)) / 12),
  0)</f>
        <v/>
      </c>
      <c r="P88" s="299">
        <f>IF(AND($F88&lt;=P$2, OR($G88="",$G88&gt;=P$2)),
  $H88 * (1 + Assumptions!$C$7) ^ INT(((YEAR(P$2)-YEAR($F88))*12 + MONTH(P$2)-MONTH($F88)) / 12),
  0)</f>
        <v/>
      </c>
      <c r="Q88" s="299">
        <f>IF(AND($F88&lt;=Q$2, OR($G88="",$G88&gt;=Q$2)),
  $H88 * (1 + Assumptions!$C$7) ^ INT(((YEAR(Q$2)-YEAR($F88))*12 + MONTH(Q$2)-MONTH($F88)) / 12),
  0)</f>
        <v/>
      </c>
      <c r="R88" s="299">
        <f>IF(AND($F88&lt;=R$2, OR($G88="",$G88&gt;=R$2)),
  $H88 * (1 + Assumptions!$C$7) ^ INT(((YEAR(R$2)-YEAR($F88))*12 + MONTH(R$2)-MONTH($F88)) / 12),
  0)</f>
        <v/>
      </c>
      <c r="S88" s="299">
        <f>IF(AND($F88&lt;=S$2, OR($G88="",$G88&gt;=S$2)),
  $H88 * (1 + Assumptions!$C$7) ^ INT(((YEAR(S$2)-YEAR($F88))*12 + MONTH(S$2)-MONTH($F88)) / 12),
  0)</f>
        <v/>
      </c>
      <c r="T88" s="299">
        <f>IF(AND($F88&lt;=T$2, OR($G88="",$G88&gt;=T$2)),
  $H88 * (1 + Assumptions!$C$7) ^ INT(((YEAR(T$2)-YEAR($F88))*12 + MONTH(T$2)-MONTH($F88)) / 12),
  0)</f>
        <v/>
      </c>
      <c r="U88" s="299">
        <f>IF(AND($F88&lt;=U$2, OR($G88="",$G88&gt;=U$2)),
  $H88 * (1 + Assumptions!$C$7) ^ INT(((YEAR(U$2)-YEAR($F88))*12 + MONTH(U$2)-MONTH($F88)) / 12),
  0)</f>
        <v/>
      </c>
      <c r="V88" s="299">
        <f>IF(AND($F88&lt;=V$2, OR($G88="",$G88&gt;=V$2)),
  $H88 * (1 + Assumptions!$C$7) ^ INT(((YEAR(V$2)-YEAR($F88))*12 + MONTH(V$2)-MONTH($F88)) / 12),
  0)</f>
        <v/>
      </c>
      <c r="W88" s="299">
        <f>IF(AND($F88&lt;=W$2, OR($G88="",$G88&gt;=W$2)),
  $H88 * (1 + Assumptions!$C$7) ^ INT(((YEAR(W$2)-YEAR($F88))*12 + MONTH(W$2)-MONTH($F88)) / 12),
  0)</f>
        <v/>
      </c>
      <c r="X88" s="299">
        <f>IF(AND($F88&lt;=X$2, OR($G88="",$G88&gt;=X$2)),
  $H88 * (1 + Assumptions!$C$7) ^ INT(((YEAR(X$2)-YEAR($F88))*12 + MONTH(X$2)-MONTH($F88)) / 12),
  0)</f>
        <v/>
      </c>
      <c r="Y88" s="299">
        <f>IF(AND($F88&lt;=Y$2, OR($G88="",$G88&gt;=Y$2)),
  $H88 * (1 + Assumptions!$C$7) ^ INT(((YEAR(Y$2)-YEAR($F88))*12 + MONTH(Y$2)-MONTH($F88)) / 12),
  0)</f>
        <v/>
      </c>
      <c r="Z88" s="299">
        <f>IF(AND($F88&lt;=Z$2, OR($G88="",$G88&gt;=Z$2)),
  $H88 * (1 + Assumptions!$C$7) ^ INT(((YEAR(Z$2)-YEAR($F88))*12 + MONTH(Z$2)-MONTH($F88)) / 12),
  0)</f>
        <v/>
      </c>
      <c r="AA88" s="299">
        <f>IF(AND($F88&lt;=AA$2, OR($G88="",$G88&gt;=AA$2)),
  $H88 * (1 + Assumptions!$C$7) ^ INT(((YEAR(AA$2)-YEAR($F88))*12 + MONTH(AA$2)-MONTH($F88)) / 12),
  0)</f>
        <v/>
      </c>
      <c r="AB88" s="299">
        <f>IF(AND($F88&lt;=AB$2, OR($G88="",$G88&gt;=AB$2)),
  $H88 * (1 + Assumptions!$C$7) ^ INT(((YEAR(AB$2)-YEAR($F88))*12 + MONTH(AB$2)-MONTH($F88)) / 12),
  0)</f>
        <v/>
      </c>
      <c r="AC88" s="299">
        <f>IF(AND($F88&lt;=AC$2, OR($G88="",$G88&gt;=AC$2)),
  $H88 * (1 + Assumptions!$C$7) ^ INT(((YEAR(AC$2)-YEAR($F88))*12 + MONTH(AC$2)-MONTH($F88)) / 12),
  0)</f>
        <v/>
      </c>
      <c r="AD88" s="299">
        <f>IF(AND($F88&lt;=AD$2, OR($G88="",$G88&gt;=AD$2)),
  $H88 * (1 + Assumptions!$C$7) ^ INT(((YEAR(AD$2)-YEAR($F88))*12 + MONTH(AD$2)-MONTH($F88)) / 12),
  0)</f>
        <v/>
      </c>
      <c r="AE88" s="299">
        <f>IF(AND($F88&lt;=AE$2, OR($G88="",$G88&gt;=AE$2)),
  $H88 * (1 + Assumptions!$C$7) ^ INT(((YEAR(AE$2)-YEAR($F88))*12 + MONTH(AE$2)-MONTH($F88)) / 12),
  0)</f>
        <v/>
      </c>
      <c r="AF88" s="299">
        <f>IF(AND($F88&lt;=AF$2, OR($G88="",$G88&gt;=AF$2)),
  $H88 * (1 + Assumptions!$C$7) ^ INT(((YEAR(AF$2)-YEAR($F88))*12 + MONTH(AF$2)-MONTH($F88)) / 12),
  0)</f>
        <v/>
      </c>
      <c r="AG88" s="299">
        <f>IF(AND($F88&lt;=AG$2, OR($G88="",$G88&gt;=AG$2)),
  $H88 * (1 + Assumptions!$C$7) ^ INT(((YEAR(AG$2)-YEAR($F88))*12 + MONTH(AG$2)-MONTH($F88)) / 12),
  0)</f>
        <v/>
      </c>
      <c r="AH88" s="299">
        <f>IF(AND($F88&lt;=AH$2, OR($G88="",$G88&gt;=AH$2)),
  $H88 * (1 + Assumptions!$C$7) ^ INT(((YEAR(AH$2)-YEAR($F88))*12 + MONTH(AH$2)-MONTH($F88)) / 12),
  0)</f>
        <v/>
      </c>
      <c r="AI88" s="299">
        <f>IF(AND($F88&lt;=AI$2, OR($G88="",$G88&gt;=AI$2)),
  $H88 * (1 + Assumptions!$C$7) ^ INT(((YEAR(AI$2)-YEAR($F88))*12 + MONTH(AI$2)-MONTH($F88)) / 12),
  0)</f>
        <v/>
      </c>
      <c r="AJ88" s="299">
        <f>IF(AND($F88&lt;=AJ$2, OR($G88="",$G88&gt;=AJ$2)),
  $H88 * (1 + Assumptions!$C$7) ^ INT(((YEAR(AJ$2)-YEAR($F88))*12 + MONTH(AJ$2)-MONTH($F88)) / 12),
  0)</f>
        <v/>
      </c>
      <c r="AK88" s="299">
        <f>IF(AND($F88&lt;=AK$2, OR($G88="",$G88&gt;=AK$2)),
  $H88 * (1 + Assumptions!$C$7) ^ INT(((YEAR(AK$2)-YEAR($F88))*12 + MONTH(AK$2)-MONTH($F88)) / 12),
  0)</f>
        <v/>
      </c>
      <c r="AL88" s="299">
        <f>IF(AND($F88&lt;=AL$2, OR($G88="",$G88&gt;=AL$2)),
  $H88 * (1 + Assumptions!$C$7) ^ INT(((YEAR(AL$2)-YEAR($F88))*12 + MONTH(AL$2)-MONTH($F88)) / 12),
  0)</f>
        <v/>
      </c>
      <c r="AM88" s="299">
        <f>IF(AND($F88&lt;=AM$2, OR($G88="",$G88&gt;=AM$2)),
  $H88 * (1 + Assumptions!$C$7) ^ INT(((YEAR(AM$2)-YEAR($F88))*12 + MONTH(AM$2)-MONTH($F88)) / 12),
  0)</f>
        <v/>
      </c>
      <c r="AN88" s="299">
        <f>IF(AND($F88&lt;=AN$2, OR($G88="",$G88&gt;=AN$2)),
  $H88 * (1 + Assumptions!$C$7) ^ INT(((YEAR(AN$2)-YEAR($F88))*12 + MONTH(AN$2)-MONTH($F88)) / 12),
  0)</f>
        <v/>
      </c>
      <c r="AO88" s="299">
        <f>IF(AND($F88&lt;=AO$2, OR($G88="",$G88&gt;=AO$2)),
  $H88 * (1 + Assumptions!$C$7) ^ INT(((YEAR(AO$2)-YEAR($F88))*12 + MONTH(AO$2)-MONTH($F88)) / 12),
  0)</f>
        <v/>
      </c>
      <c r="AP88" s="299">
        <f>IF(AND($F88&lt;=AP$2, OR($G88="",$G88&gt;=AP$2)),
  $H88 * (1 + Assumptions!$C$7) ^ INT(((YEAR(AP$2)-YEAR($F88))*12 + MONTH(AP$2)-MONTH($F88)) / 12),
  0)</f>
        <v/>
      </c>
      <c r="AQ88" s="299">
        <f>IF(AND($F88&lt;=AQ$2, OR($G88="",$G88&gt;=AQ$2)),
  $H88 * (1 + Assumptions!$C$7) ^ INT(((YEAR(AQ$2)-YEAR($F88))*12 + MONTH(AQ$2)-MONTH($F88)) / 12),
  0)</f>
        <v/>
      </c>
      <c r="AR88" s="299">
        <f>IF(AND($F88&lt;=AR$2, OR($G88="",$G88&gt;=AR$2)),
  $H88 * (1 + Assumptions!$C$7) ^ INT(((YEAR(AR$2)-YEAR($F88))*12 + MONTH(AR$2)-MONTH($F88)) / 12),
  0)</f>
        <v/>
      </c>
      <c r="AS88" s="299">
        <f>IF(AND($F88&lt;=AS$2, OR($G88="",$G88&gt;=AS$2)),
  $H88 * (1 + Assumptions!$C$7) ^ INT(((YEAR(AS$2)-YEAR($F88))*12 + MONTH(AS$2)-MONTH($F88)) / 12),
  0)</f>
        <v/>
      </c>
      <c r="AT88" s="299">
        <f>IF(AND($F88&lt;=AT$2, OR($G88="",$G88&gt;=AT$2)),
  $H88 * (1 + Assumptions!$C$7) ^ INT(((YEAR(AT$2)-YEAR($F88))*12 + MONTH(AT$2)-MONTH($F88)) / 12),
  0)</f>
        <v/>
      </c>
      <c r="AU88" s="299">
        <f>IF(AND($F88&lt;=AU$2, OR($G88="",$G88&gt;=AU$2)),
  $H88 * (1 + Assumptions!$C$7) ^ INT(((YEAR(AU$2)-YEAR($F88))*12 + MONTH(AU$2)-MONTH($F88)) / 12),
  0)</f>
        <v/>
      </c>
      <c r="AV88" s="299">
        <f>IF(AND($F88&lt;=AV$2, OR($G88="",$G88&gt;=AV$2)),
  $H88 * (1 + Assumptions!$C$7) ^ INT(((YEAR(AV$2)-YEAR($F88))*12 + MONTH(AV$2)-MONTH($F88)) / 12),
  0)</f>
        <v/>
      </c>
      <c r="AW88" s="299">
        <f>IF(AND($F88&lt;=AW$2, OR($G88="",$G88&gt;=AW$2)),
  $H88 * (1 + Assumptions!$C$7) ^ INT(((YEAR(AW$2)-YEAR($F88))*12 + MONTH(AW$2)-MONTH($F88)) / 12),
  0)</f>
        <v/>
      </c>
      <c r="AX88" s="299">
        <f>IF(AND($F88&lt;=AX$2, OR($G88="",$G88&gt;=AX$2)),
  $H88 * (1 + Assumptions!$C$7) ^ INT(((YEAR(AX$2)-YEAR($F88))*12 + MONTH(AX$2)-MONTH($F88)) / 12),
  0)</f>
        <v/>
      </c>
      <c r="AY88" s="299">
        <f>IF(AND($F88&lt;=AY$2, OR($G88="",$G88&gt;=AY$2)),
  $H88 * (1 + Assumptions!$C$7) ^ INT(((YEAR(AY$2)-YEAR($F88))*12 + MONTH(AY$2)-MONTH($F88)) / 12),
  0)</f>
        <v/>
      </c>
      <c r="AZ88" s="299">
        <f>IF(AND($F88&lt;=AZ$2, OR($G88="",$G88&gt;=AZ$2)),
  $H88 * (1 + Assumptions!$C$7) ^ INT(((YEAR(AZ$2)-YEAR($F88))*12 + MONTH(AZ$2)-MONTH($F88)) / 12),
  0)</f>
        <v/>
      </c>
      <c r="BA88" s="299">
        <f>IF(AND($F88&lt;=BA$2, OR($G88="",$G88&gt;=BA$2)),
  $H88 * (1 + Assumptions!$C$7) ^ INT(((YEAR(BA$2)-YEAR($F88))*12 + MONTH(BA$2)-MONTH($F88)) / 12),
  0)</f>
        <v/>
      </c>
      <c r="BB88" s="299">
        <f>IF(AND($F88&lt;=BB$2, OR($G88="",$G88&gt;=BB$2)),
  $H88 * (1 + Assumptions!$C$7) ^ INT(((YEAR(BB$2)-YEAR($F88))*12 + MONTH(BB$2)-MONTH($F88)) / 12),
  0)</f>
        <v/>
      </c>
      <c r="BC88" s="299">
        <f>IF(AND($F88&lt;=BC$2, OR($G88="",$G88&gt;=BC$2)),
  $H88 * (1 + Assumptions!$C$7) ^ INT(((YEAR(BC$2)-YEAR($F88))*12 + MONTH(BC$2)-MONTH($F88)) / 12),
  0)</f>
        <v/>
      </c>
      <c r="BD88" s="299">
        <f>IF(AND($F88&lt;=BD$2, OR($G88="",$G88&gt;=BD$2)),
  $H88 * (1 + Assumptions!$C$7) ^ INT(((YEAR(BD$2)-YEAR($F88))*12 + MONTH(BD$2)-MONTH($F88)) / 12),
  0)</f>
        <v/>
      </c>
      <c r="BE88" s="299">
        <f>IF(AND($F88&lt;=BE$2, OR($G88="",$G88&gt;=BE$2)),
  $H88 * (1 + Assumptions!$C$7) ^ INT(((YEAR(BE$2)-YEAR($F88))*12 + MONTH(BE$2)-MONTH($F88)) / 12),
  0)</f>
        <v/>
      </c>
      <c r="BF88" s="299">
        <f>IF(AND($F88&lt;=BF$2, OR($G88="",$G88&gt;=BF$2)),
  $H88 * (1 + Assumptions!$C$7) ^ INT(((YEAR(BF$2)-YEAR($F88))*12 + MONTH(BF$2)-MONTH($F88)) / 12),
  0)</f>
        <v/>
      </c>
      <c r="BG88" s="299">
        <f>IF(AND($F88&lt;=BG$2, OR($G88="",$G88&gt;=BG$2)),
  $H88 * (1 + Assumptions!$C$7) ^ INT(((YEAR(BG$2)-YEAR($F88))*12 + MONTH(BG$2)-MONTH($F88)) / 12),
  0)</f>
        <v/>
      </c>
      <c r="BH88" s="299">
        <f>IF(AND($F88&lt;=BH$2, OR($G88="",$G88&gt;=BH$2)),
  $H88 * (1 + Assumptions!$C$7) ^ INT(((YEAR(BH$2)-YEAR($F88))*12 + MONTH(BH$2)-MONTH($F88)) / 12),
  0)</f>
        <v/>
      </c>
      <c r="BI88" s="299">
        <f>IF(AND($F88&lt;=BI$2, OR($G88="",$G88&gt;=BI$2)),
  $H88 * (1 + Assumptions!$C$7) ^ INT(((YEAR(BI$2)-YEAR($F88))*12 + MONTH(BI$2)-MONTH($F88)) / 12),
  0)</f>
        <v/>
      </c>
      <c r="BJ88" s="299">
        <f>IF(AND($F88&lt;=BJ$2, OR($G88="",$G88&gt;=BJ$2)),
  $H88 * (1 + Assumptions!$C$7) ^ INT(((YEAR(BJ$2)-YEAR($F88))*12 + MONTH(BJ$2)-MONTH($F88)) / 12),
  0)</f>
        <v/>
      </c>
      <c r="BK88" s="299">
        <f>IF(AND($F88&lt;=BK$2, OR($G88="",$G88&gt;=BK$2)),
  $H88 * (1 + Assumptions!$C$7) ^ INT(((YEAR(BK$2)-YEAR($F88))*12 + MONTH(BK$2)-MONTH($F88)) / 12),
  0)</f>
        <v/>
      </c>
      <c r="BL88" s="299">
        <f>IF(AND($F88&lt;=BL$2, OR($G88="",$G88&gt;=BL$2)),
  $H88 * (1 + Assumptions!$C$7) ^ INT(((YEAR(BL$2)-YEAR($F88))*12 + MONTH(BL$2)-MONTH($F88)) / 12),
  0)</f>
        <v/>
      </c>
      <c r="BM88" s="299">
        <f>IF(AND($F88&lt;=BM$2, OR($G88="",$G88&gt;=BM$2)),
  $H88 * (1 + Assumptions!$C$7) ^ INT(((YEAR(BM$2)-YEAR($F88))*12 + MONTH(BM$2)-MONTH($F88)) / 12),
  0)</f>
        <v/>
      </c>
      <c r="BN88" s="299">
        <f>IF(AND($F88&lt;=BN$2, OR($G88="",$G88&gt;=BN$2)),
  $H88 * (1 + Assumptions!$C$7) ^ INT(((YEAR(BN$2)-YEAR($F88))*12 + MONTH(BN$2)-MONTH($F88)) / 12),
  0)</f>
        <v/>
      </c>
      <c r="BO88" s="299">
        <f>IF(AND($F88&lt;=BO$2, OR($G88="",$G88&gt;=BO$2)),
  $H88 * (1 + Assumptions!$C$7) ^ INT(((YEAR(BO$2)-YEAR($F88))*12 + MONTH(BO$2)-MONTH($F88)) / 12),
  0)</f>
        <v/>
      </c>
      <c r="BP88" s="299">
        <f>IF(AND($F88&lt;=BP$2, OR($G88="",$G88&gt;=BP$2)),
  $H88 * (1 + Assumptions!$C$7) ^ INT(((YEAR(BP$2)-YEAR($F88))*12 + MONTH(BP$2)-MONTH($F88)) / 12),
  0)</f>
        <v/>
      </c>
      <c r="BQ88" s="31" t="n"/>
      <c r="BR88" s="31" t="n"/>
      <c r="BS88" s="31" t="n"/>
      <c r="BT88" s="31" t="n"/>
    </row>
    <row r="89" ht="15.75" customHeight="1" s="349">
      <c r="A89" s="321" t="n">
        <v>84</v>
      </c>
      <c r="B89" s="285" t="inlineStr">
        <is>
          <t>New hire</t>
        </is>
      </c>
      <c r="C89" s="317" t="inlineStr">
        <is>
          <t>G&amp;A</t>
        </is>
      </c>
      <c r="D89" s="317" t="inlineStr">
        <is>
          <t>Supply Chain &amp; Logistics</t>
        </is>
      </c>
      <c r="E89" s="297" t="inlineStr">
        <is>
          <t>Planned</t>
        </is>
      </c>
      <c r="F89" s="318">
        <f>IF(Assumptions!$D$82=2,DATE(2028,3,1),DATE(2029,2,1))</f>
        <v/>
      </c>
      <c r="G89" s="318" t="n"/>
      <c r="H89" s="288" t="n">
        <v>5000</v>
      </c>
      <c r="I89" s="299">
        <f>IF(AND($F89&lt;=I$2, OR($G89="",$G89&gt;=I$2)),
  $H89 * (1 + Assumptions!$C$7) ^ INT(((YEAR(I$2)-YEAR($F89))*12 + MONTH(I$2)-MONTH($F89)) / 12),
  0)</f>
        <v/>
      </c>
      <c r="J89" s="299">
        <f>IF(AND($F89&lt;=J$2, OR($G89="",$G89&gt;=J$2)),
  $H89 * (1 + Assumptions!$C$7) ^ INT(((YEAR(J$2)-YEAR($F89))*12 + MONTH(J$2)-MONTH($F89)) / 12),
  0)</f>
        <v/>
      </c>
      <c r="K89" s="299">
        <f>IF(AND($F89&lt;=K$2, OR($G89="",$G89&gt;=K$2)),
  $H89 * (1 + Assumptions!$C$7) ^ INT(((YEAR(K$2)-YEAR($F89))*12 + MONTH(K$2)-MONTH($F89)) / 12),
  0)</f>
        <v/>
      </c>
      <c r="L89" s="299">
        <f>IF(AND($F89&lt;=L$2, OR($G89="",$G89&gt;=L$2)),
  $H89 * (1 + Assumptions!$C$7) ^ INT(((YEAR(L$2)-YEAR($F89))*12 + MONTH(L$2)-MONTH($F89)) / 12),
  0)</f>
        <v/>
      </c>
      <c r="M89" s="299">
        <f>IF(AND($F89&lt;=M$2, OR($G89="",$G89&gt;=M$2)),
  $H89 * (1 + Assumptions!$C$7) ^ INT(((YEAR(M$2)-YEAR($F89))*12 + MONTH(M$2)-MONTH($F89)) / 12),
  0)</f>
        <v/>
      </c>
      <c r="N89" s="299">
        <f>IF(AND($F89&lt;=N$2, OR($G89="",$G89&gt;=N$2)),
  $H89 * (1 + Assumptions!$C$7) ^ INT(((YEAR(N$2)-YEAR($F89))*12 + MONTH(N$2)-MONTH($F89)) / 12),
  0)</f>
        <v/>
      </c>
      <c r="O89" s="299">
        <f>IF(AND($F89&lt;=O$2, OR($G89="",$G89&gt;=O$2)),
  $H89 * (1 + Assumptions!$C$7) ^ INT(((YEAR(O$2)-YEAR($F89))*12 + MONTH(O$2)-MONTH($F89)) / 12),
  0)</f>
        <v/>
      </c>
      <c r="P89" s="299">
        <f>IF(AND($F89&lt;=P$2, OR($G89="",$G89&gt;=P$2)),
  $H89 * (1 + Assumptions!$C$7) ^ INT(((YEAR(P$2)-YEAR($F89))*12 + MONTH(P$2)-MONTH($F89)) / 12),
  0)</f>
        <v/>
      </c>
      <c r="Q89" s="299">
        <f>IF(AND($F89&lt;=Q$2, OR($G89="",$G89&gt;=Q$2)),
  $H89 * (1 + Assumptions!$C$7) ^ INT(((YEAR(Q$2)-YEAR($F89))*12 + MONTH(Q$2)-MONTH($F89)) / 12),
  0)</f>
        <v/>
      </c>
      <c r="R89" s="299">
        <f>IF(AND($F89&lt;=R$2, OR($G89="",$G89&gt;=R$2)),
  $H89 * (1 + Assumptions!$C$7) ^ INT(((YEAR(R$2)-YEAR($F89))*12 + MONTH(R$2)-MONTH($F89)) / 12),
  0)</f>
        <v/>
      </c>
      <c r="S89" s="299">
        <f>IF(AND($F89&lt;=S$2, OR($G89="",$G89&gt;=S$2)),
  $H89 * (1 + Assumptions!$C$7) ^ INT(((YEAR(S$2)-YEAR($F89))*12 + MONTH(S$2)-MONTH($F89)) / 12),
  0)</f>
        <v/>
      </c>
      <c r="T89" s="299">
        <f>IF(AND($F89&lt;=T$2, OR($G89="",$G89&gt;=T$2)),
  $H89 * (1 + Assumptions!$C$7) ^ INT(((YEAR(T$2)-YEAR($F89))*12 + MONTH(T$2)-MONTH($F89)) / 12),
  0)</f>
        <v/>
      </c>
      <c r="U89" s="299">
        <f>IF(AND($F89&lt;=U$2, OR($G89="",$G89&gt;=U$2)),
  $H89 * (1 + Assumptions!$C$7) ^ INT(((YEAR(U$2)-YEAR($F89))*12 + MONTH(U$2)-MONTH($F89)) / 12),
  0)</f>
        <v/>
      </c>
      <c r="V89" s="299">
        <f>IF(AND($F89&lt;=V$2, OR($G89="",$G89&gt;=V$2)),
  $H89 * (1 + Assumptions!$C$7) ^ INT(((YEAR(V$2)-YEAR($F89))*12 + MONTH(V$2)-MONTH($F89)) / 12),
  0)</f>
        <v/>
      </c>
      <c r="W89" s="299">
        <f>IF(AND($F89&lt;=W$2, OR($G89="",$G89&gt;=W$2)),
  $H89 * (1 + Assumptions!$C$7) ^ INT(((YEAR(W$2)-YEAR($F89))*12 + MONTH(W$2)-MONTH($F89)) / 12),
  0)</f>
        <v/>
      </c>
      <c r="X89" s="299">
        <f>IF(AND($F89&lt;=X$2, OR($G89="",$G89&gt;=X$2)),
  $H89 * (1 + Assumptions!$C$7) ^ INT(((YEAR(X$2)-YEAR($F89))*12 + MONTH(X$2)-MONTH($F89)) / 12),
  0)</f>
        <v/>
      </c>
      <c r="Y89" s="299">
        <f>IF(AND($F89&lt;=Y$2, OR($G89="",$G89&gt;=Y$2)),
  $H89 * (1 + Assumptions!$C$7) ^ INT(((YEAR(Y$2)-YEAR($F89))*12 + MONTH(Y$2)-MONTH($F89)) / 12),
  0)</f>
        <v/>
      </c>
      <c r="Z89" s="299">
        <f>IF(AND($F89&lt;=Z$2, OR($G89="",$G89&gt;=Z$2)),
  $H89 * (1 + Assumptions!$C$7) ^ INT(((YEAR(Z$2)-YEAR($F89))*12 + MONTH(Z$2)-MONTH($F89)) / 12),
  0)</f>
        <v/>
      </c>
      <c r="AA89" s="299">
        <f>IF(AND($F89&lt;=AA$2, OR($G89="",$G89&gt;=AA$2)),
  $H89 * (1 + Assumptions!$C$7) ^ INT(((YEAR(AA$2)-YEAR($F89))*12 + MONTH(AA$2)-MONTH($F89)) / 12),
  0)</f>
        <v/>
      </c>
      <c r="AB89" s="299">
        <f>IF(AND($F89&lt;=AB$2, OR($G89="",$G89&gt;=AB$2)),
  $H89 * (1 + Assumptions!$C$7) ^ INT(((YEAR(AB$2)-YEAR($F89))*12 + MONTH(AB$2)-MONTH($F89)) / 12),
  0)</f>
        <v/>
      </c>
      <c r="AC89" s="299">
        <f>IF(AND($F89&lt;=AC$2, OR($G89="",$G89&gt;=AC$2)),
  $H89 * (1 + Assumptions!$C$7) ^ INT(((YEAR(AC$2)-YEAR($F89))*12 + MONTH(AC$2)-MONTH($F89)) / 12),
  0)</f>
        <v/>
      </c>
      <c r="AD89" s="299">
        <f>IF(AND($F89&lt;=AD$2, OR($G89="",$G89&gt;=AD$2)),
  $H89 * (1 + Assumptions!$C$7) ^ INT(((YEAR(AD$2)-YEAR($F89))*12 + MONTH(AD$2)-MONTH($F89)) / 12),
  0)</f>
        <v/>
      </c>
      <c r="AE89" s="299">
        <f>IF(AND($F89&lt;=AE$2, OR($G89="",$G89&gt;=AE$2)),
  $H89 * (1 + Assumptions!$C$7) ^ INT(((YEAR(AE$2)-YEAR($F89))*12 + MONTH(AE$2)-MONTH($F89)) / 12),
  0)</f>
        <v/>
      </c>
      <c r="AF89" s="299">
        <f>IF(AND($F89&lt;=AF$2, OR($G89="",$G89&gt;=AF$2)),
  $H89 * (1 + Assumptions!$C$7) ^ INT(((YEAR(AF$2)-YEAR($F89))*12 + MONTH(AF$2)-MONTH($F89)) / 12),
  0)</f>
        <v/>
      </c>
      <c r="AG89" s="299">
        <f>IF(AND($F89&lt;=AG$2, OR($G89="",$G89&gt;=AG$2)),
  $H89 * (1 + Assumptions!$C$7) ^ INT(((YEAR(AG$2)-YEAR($F89))*12 + MONTH(AG$2)-MONTH($F89)) / 12),
  0)</f>
        <v/>
      </c>
      <c r="AH89" s="299">
        <f>IF(AND($F89&lt;=AH$2, OR($G89="",$G89&gt;=AH$2)),
  $H89 * (1 + Assumptions!$C$7) ^ INT(((YEAR(AH$2)-YEAR($F89))*12 + MONTH(AH$2)-MONTH($F89)) / 12),
  0)</f>
        <v/>
      </c>
      <c r="AI89" s="299">
        <f>IF(AND($F89&lt;=AI$2, OR($G89="",$G89&gt;=AI$2)),
  $H89 * (1 + Assumptions!$C$7) ^ INT(((YEAR(AI$2)-YEAR($F89))*12 + MONTH(AI$2)-MONTH($F89)) / 12),
  0)</f>
        <v/>
      </c>
      <c r="AJ89" s="299">
        <f>IF(AND($F89&lt;=AJ$2, OR($G89="",$G89&gt;=AJ$2)),
  $H89 * (1 + Assumptions!$C$7) ^ INT(((YEAR(AJ$2)-YEAR($F89))*12 + MONTH(AJ$2)-MONTH($F89)) / 12),
  0)</f>
        <v/>
      </c>
      <c r="AK89" s="299">
        <f>IF(AND($F89&lt;=AK$2, OR($G89="",$G89&gt;=AK$2)),
  $H89 * (1 + Assumptions!$C$7) ^ INT(((YEAR(AK$2)-YEAR($F89))*12 + MONTH(AK$2)-MONTH($F89)) / 12),
  0)</f>
        <v/>
      </c>
      <c r="AL89" s="299">
        <f>IF(AND($F89&lt;=AL$2, OR($G89="",$G89&gt;=AL$2)),
  $H89 * (1 + Assumptions!$C$7) ^ INT(((YEAR(AL$2)-YEAR($F89))*12 + MONTH(AL$2)-MONTH($F89)) / 12),
  0)</f>
        <v/>
      </c>
      <c r="AM89" s="299">
        <f>IF(AND($F89&lt;=AM$2, OR($G89="",$G89&gt;=AM$2)),
  $H89 * (1 + Assumptions!$C$7) ^ INT(((YEAR(AM$2)-YEAR($F89))*12 + MONTH(AM$2)-MONTH($F89)) / 12),
  0)</f>
        <v/>
      </c>
      <c r="AN89" s="299">
        <f>IF(AND($F89&lt;=AN$2, OR($G89="",$G89&gt;=AN$2)),
  $H89 * (1 + Assumptions!$C$7) ^ INT(((YEAR(AN$2)-YEAR($F89))*12 + MONTH(AN$2)-MONTH($F89)) / 12),
  0)</f>
        <v/>
      </c>
      <c r="AO89" s="299">
        <f>IF(AND($F89&lt;=AO$2, OR($G89="",$G89&gt;=AO$2)),
  $H89 * (1 + Assumptions!$C$7) ^ INT(((YEAR(AO$2)-YEAR($F89))*12 + MONTH(AO$2)-MONTH($F89)) / 12),
  0)</f>
        <v/>
      </c>
      <c r="AP89" s="299">
        <f>IF(AND($F89&lt;=AP$2, OR($G89="",$G89&gt;=AP$2)),
  $H89 * (1 + Assumptions!$C$7) ^ INT(((YEAR(AP$2)-YEAR($F89))*12 + MONTH(AP$2)-MONTH($F89)) / 12),
  0)</f>
        <v/>
      </c>
      <c r="AQ89" s="299">
        <f>IF(AND($F89&lt;=AQ$2, OR($G89="",$G89&gt;=AQ$2)),
  $H89 * (1 + Assumptions!$C$7) ^ INT(((YEAR(AQ$2)-YEAR($F89))*12 + MONTH(AQ$2)-MONTH($F89)) / 12),
  0)</f>
        <v/>
      </c>
      <c r="AR89" s="299">
        <f>IF(AND($F89&lt;=AR$2, OR($G89="",$G89&gt;=AR$2)),
  $H89 * (1 + Assumptions!$C$7) ^ INT(((YEAR(AR$2)-YEAR($F89))*12 + MONTH(AR$2)-MONTH($F89)) / 12),
  0)</f>
        <v/>
      </c>
      <c r="AS89" s="299">
        <f>IF(AND($F89&lt;=AS$2, OR($G89="",$G89&gt;=AS$2)),
  $H89 * (1 + Assumptions!$C$7) ^ INT(((YEAR(AS$2)-YEAR($F89))*12 + MONTH(AS$2)-MONTH($F89)) / 12),
  0)</f>
        <v/>
      </c>
      <c r="AT89" s="299">
        <f>IF(AND($F89&lt;=AT$2, OR($G89="",$G89&gt;=AT$2)),
  $H89 * (1 + Assumptions!$C$7) ^ INT(((YEAR(AT$2)-YEAR($F89))*12 + MONTH(AT$2)-MONTH($F89)) / 12),
  0)</f>
        <v/>
      </c>
      <c r="AU89" s="299">
        <f>IF(AND($F89&lt;=AU$2, OR($G89="",$G89&gt;=AU$2)),
  $H89 * (1 + Assumptions!$C$7) ^ INT(((YEAR(AU$2)-YEAR($F89))*12 + MONTH(AU$2)-MONTH($F89)) / 12),
  0)</f>
        <v/>
      </c>
      <c r="AV89" s="299">
        <f>IF(AND($F89&lt;=AV$2, OR($G89="",$G89&gt;=AV$2)),
  $H89 * (1 + Assumptions!$C$7) ^ INT(((YEAR(AV$2)-YEAR($F89))*12 + MONTH(AV$2)-MONTH($F89)) / 12),
  0)</f>
        <v/>
      </c>
      <c r="AW89" s="299">
        <f>IF(AND($F89&lt;=AW$2, OR($G89="",$G89&gt;=AW$2)),
  $H89 * (1 + Assumptions!$C$7) ^ INT(((YEAR(AW$2)-YEAR($F89))*12 + MONTH(AW$2)-MONTH($F89)) / 12),
  0)</f>
        <v/>
      </c>
      <c r="AX89" s="299">
        <f>IF(AND($F89&lt;=AX$2, OR($G89="",$G89&gt;=AX$2)),
  $H89 * (1 + Assumptions!$C$7) ^ INT(((YEAR(AX$2)-YEAR($F89))*12 + MONTH(AX$2)-MONTH($F89)) / 12),
  0)</f>
        <v/>
      </c>
      <c r="AY89" s="299">
        <f>IF(AND($F89&lt;=AY$2, OR($G89="",$G89&gt;=AY$2)),
  $H89 * (1 + Assumptions!$C$7) ^ INT(((YEAR(AY$2)-YEAR($F89))*12 + MONTH(AY$2)-MONTH($F89)) / 12),
  0)</f>
        <v/>
      </c>
      <c r="AZ89" s="299">
        <f>IF(AND($F89&lt;=AZ$2, OR($G89="",$G89&gt;=AZ$2)),
  $H89 * (1 + Assumptions!$C$7) ^ INT(((YEAR(AZ$2)-YEAR($F89))*12 + MONTH(AZ$2)-MONTH($F89)) / 12),
  0)</f>
        <v/>
      </c>
      <c r="BA89" s="299">
        <f>IF(AND($F89&lt;=BA$2, OR($G89="",$G89&gt;=BA$2)),
  $H89 * (1 + Assumptions!$C$7) ^ INT(((YEAR(BA$2)-YEAR($F89))*12 + MONTH(BA$2)-MONTH($F89)) / 12),
  0)</f>
        <v/>
      </c>
      <c r="BB89" s="299">
        <f>IF(AND($F89&lt;=BB$2, OR($G89="",$G89&gt;=BB$2)),
  $H89 * (1 + Assumptions!$C$7) ^ INT(((YEAR(BB$2)-YEAR($F89))*12 + MONTH(BB$2)-MONTH($F89)) / 12),
  0)</f>
        <v/>
      </c>
      <c r="BC89" s="299">
        <f>IF(AND($F89&lt;=BC$2, OR($G89="",$G89&gt;=BC$2)),
  $H89 * (1 + Assumptions!$C$7) ^ INT(((YEAR(BC$2)-YEAR($F89))*12 + MONTH(BC$2)-MONTH($F89)) / 12),
  0)</f>
        <v/>
      </c>
      <c r="BD89" s="299">
        <f>IF(AND($F89&lt;=BD$2, OR($G89="",$G89&gt;=BD$2)),
  $H89 * (1 + Assumptions!$C$7) ^ INT(((YEAR(BD$2)-YEAR($F89))*12 + MONTH(BD$2)-MONTH($F89)) / 12),
  0)</f>
        <v/>
      </c>
      <c r="BE89" s="299">
        <f>IF(AND($F89&lt;=BE$2, OR($G89="",$G89&gt;=BE$2)),
  $H89 * (1 + Assumptions!$C$7) ^ INT(((YEAR(BE$2)-YEAR($F89))*12 + MONTH(BE$2)-MONTH($F89)) / 12),
  0)</f>
        <v/>
      </c>
      <c r="BF89" s="299">
        <f>IF(AND($F89&lt;=BF$2, OR($G89="",$G89&gt;=BF$2)),
  $H89 * (1 + Assumptions!$C$7) ^ INT(((YEAR(BF$2)-YEAR($F89))*12 + MONTH(BF$2)-MONTH($F89)) / 12),
  0)</f>
        <v/>
      </c>
      <c r="BG89" s="299">
        <f>IF(AND($F89&lt;=BG$2, OR($G89="",$G89&gt;=BG$2)),
  $H89 * (1 + Assumptions!$C$7) ^ INT(((YEAR(BG$2)-YEAR($F89))*12 + MONTH(BG$2)-MONTH($F89)) / 12),
  0)</f>
        <v/>
      </c>
      <c r="BH89" s="299">
        <f>IF(AND($F89&lt;=BH$2, OR($G89="",$G89&gt;=BH$2)),
  $H89 * (1 + Assumptions!$C$7) ^ INT(((YEAR(BH$2)-YEAR($F89))*12 + MONTH(BH$2)-MONTH($F89)) / 12),
  0)</f>
        <v/>
      </c>
      <c r="BI89" s="299">
        <f>IF(AND($F89&lt;=BI$2, OR($G89="",$G89&gt;=BI$2)),
  $H89 * (1 + Assumptions!$C$7) ^ INT(((YEAR(BI$2)-YEAR($F89))*12 + MONTH(BI$2)-MONTH($F89)) / 12),
  0)</f>
        <v/>
      </c>
      <c r="BJ89" s="299">
        <f>IF(AND($F89&lt;=BJ$2, OR($G89="",$G89&gt;=BJ$2)),
  $H89 * (1 + Assumptions!$C$7) ^ INT(((YEAR(BJ$2)-YEAR($F89))*12 + MONTH(BJ$2)-MONTH($F89)) / 12),
  0)</f>
        <v/>
      </c>
      <c r="BK89" s="299">
        <f>IF(AND($F89&lt;=BK$2, OR($G89="",$G89&gt;=BK$2)),
  $H89 * (1 + Assumptions!$C$7) ^ INT(((YEAR(BK$2)-YEAR($F89))*12 + MONTH(BK$2)-MONTH($F89)) / 12),
  0)</f>
        <v/>
      </c>
      <c r="BL89" s="299">
        <f>IF(AND($F89&lt;=BL$2, OR($G89="",$G89&gt;=BL$2)),
  $H89 * (1 + Assumptions!$C$7) ^ INT(((YEAR(BL$2)-YEAR($F89))*12 + MONTH(BL$2)-MONTH($F89)) / 12),
  0)</f>
        <v/>
      </c>
      <c r="BM89" s="299">
        <f>IF(AND($F89&lt;=BM$2, OR($G89="",$G89&gt;=BM$2)),
  $H89 * (1 + Assumptions!$C$7) ^ INT(((YEAR(BM$2)-YEAR($F89))*12 + MONTH(BM$2)-MONTH($F89)) / 12),
  0)</f>
        <v/>
      </c>
      <c r="BN89" s="299">
        <f>IF(AND($F89&lt;=BN$2, OR($G89="",$G89&gt;=BN$2)),
  $H89 * (1 + Assumptions!$C$7) ^ INT(((YEAR(BN$2)-YEAR($F89))*12 + MONTH(BN$2)-MONTH($F89)) / 12),
  0)</f>
        <v/>
      </c>
      <c r="BO89" s="299">
        <f>IF(AND($F89&lt;=BO$2, OR($G89="",$G89&gt;=BO$2)),
  $H89 * (1 + Assumptions!$C$7) ^ INT(((YEAR(BO$2)-YEAR($F89))*12 + MONTH(BO$2)-MONTH($F89)) / 12),
  0)</f>
        <v/>
      </c>
      <c r="BP89" s="299">
        <f>IF(AND($F89&lt;=BP$2, OR($G89="",$G89&gt;=BP$2)),
  $H89 * (1 + Assumptions!$C$7) ^ INT(((YEAR(BP$2)-YEAR($F89))*12 + MONTH(BP$2)-MONTH($F89)) / 12),
  0)</f>
        <v/>
      </c>
      <c r="BQ89" s="31" t="n"/>
      <c r="BR89" s="31" t="n"/>
      <c r="BS89" s="31" t="n"/>
      <c r="BT89" s="31" t="n"/>
    </row>
    <row r="90" ht="15.75" customHeight="1" s="349">
      <c r="A90" s="321" t="n">
        <v>85</v>
      </c>
      <c r="B90" s="285" t="inlineStr">
        <is>
          <t>New hire</t>
        </is>
      </c>
      <c r="C90" s="317" t="inlineStr">
        <is>
          <t>G&amp;A</t>
        </is>
      </c>
      <c r="D90" s="317" t="inlineStr">
        <is>
          <t>Supply Chain &amp; Logistics</t>
        </is>
      </c>
      <c r="E90" s="297" t="inlineStr">
        <is>
          <t>Planned</t>
        </is>
      </c>
      <c r="F90" s="318">
        <f>IF(Assumptions!$D$82=2,DATE(2028,5,1),DATE(2035,1,1))</f>
        <v/>
      </c>
      <c r="G90" s="318" t="n"/>
      <c r="H90" s="288" t="n">
        <v>5000</v>
      </c>
      <c r="I90" s="299">
        <f>IF(AND($F90&lt;=I$2, OR($G90="",$G90&gt;=I$2)),
  $H90 * (1 + Assumptions!$C$7) ^ INT(((YEAR(I$2)-YEAR($F90))*12 + MONTH(I$2)-MONTH($F90)) / 12),
  0)</f>
        <v/>
      </c>
      <c r="J90" s="299">
        <f>IF(AND($F90&lt;=J$2, OR($G90="",$G90&gt;=J$2)),
  $H90 * (1 + Assumptions!$C$7) ^ INT(((YEAR(J$2)-YEAR($F90))*12 + MONTH(J$2)-MONTH($F90)) / 12),
  0)</f>
        <v/>
      </c>
      <c r="K90" s="299">
        <f>IF(AND($F90&lt;=K$2, OR($G90="",$G90&gt;=K$2)),
  $H90 * (1 + Assumptions!$C$7) ^ INT(((YEAR(K$2)-YEAR($F90))*12 + MONTH(K$2)-MONTH($F90)) / 12),
  0)</f>
        <v/>
      </c>
      <c r="L90" s="299">
        <f>IF(AND($F90&lt;=L$2, OR($G90="",$G90&gt;=L$2)),
  $H90 * (1 + Assumptions!$C$7) ^ INT(((YEAR(L$2)-YEAR($F90))*12 + MONTH(L$2)-MONTH($F90)) / 12),
  0)</f>
        <v/>
      </c>
      <c r="M90" s="299">
        <f>IF(AND($F90&lt;=M$2, OR($G90="",$G90&gt;=M$2)),
  $H90 * (1 + Assumptions!$C$7) ^ INT(((YEAR(M$2)-YEAR($F90))*12 + MONTH(M$2)-MONTH($F90)) / 12),
  0)</f>
        <v/>
      </c>
      <c r="N90" s="299">
        <f>IF(AND($F90&lt;=N$2, OR($G90="",$G90&gt;=N$2)),
  $H90 * (1 + Assumptions!$C$7) ^ INT(((YEAR(N$2)-YEAR($F90))*12 + MONTH(N$2)-MONTH($F90)) / 12),
  0)</f>
        <v/>
      </c>
      <c r="O90" s="299">
        <f>IF(AND($F90&lt;=O$2, OR($G90="",$G90&gt;=O$2)),
  $H90 * (1 + Assumptions!$C$7) ^ INT(((YEAR(O$2)-YEAR($F90))*12 + MONTH(O$2)-MONTH($F90)) / 12),
  0)</f>
        <v/>
      </c>
      <c r="P90" s="299">
        <f>IF(AND($F90&lt;=P$2, OR($G90="",$G90&gt;=P$2)),
  $H90 * (1 + Assumptions!$C$7) ^ INT(((YEAR(P$2)-YEAR($F90))*12 + MONTH(P$2)-MONTH($F90)) / 12),
  0)</f>
        <v/>
      </c>
      <c r="Q90" s="299">
        <f>IF(AND($F90&lt;=Q$2, OR($G90="",$G90&gt;=Q$2)),
  $H90 * (1 + Assumptions!$C$7) ^ INT(((YEAR(Q$2)-YEAR($F90))*12 + MONTH(Q$2)-MONTH($F90)) / 12),
  0)</f>
        <v/>
      </c>
      <c r="R90" s="299">
        <f>IF(AND($F90&lt;=R$2, OR($G90="",$G90&gt;=R$2)),
  $H90 * (1 + Assumptions!$C$7) ^ INT(((YEAR(R$2)-YEAR($F90))*12 + MONTH(R$2)-MONTH($F90)) / 12),
  0)</f>
        <v/>
      </c>
      <c r="S90" s="299">
        <f>IF(AND($F90&lt;=S$2, OR($G90="",$G90&gt;=S$2)),
  $H90 * (1 + Assumptions!$C$7) ^ INT(((YEAR(S$2)-YEAR($F90))*12 + MONTH(S$2)-MONTH($F90)) / 12),
  0)</f>
        <v/>
      </c>
      <c r="T90" s="299">
        <f>IF(AND($F90&lt;=T$2, OR($G90="",$G90&gt;=T$2)),
  $H90 * (1 + Assumptions!$C$7) ^ INT(((YEAR(T$2)-YEAR($F90))*12 + MONTH(T$2)-MONTH($F90)) / 12),
  0)</f>
        <v/>
      </c>
      <c r="U90" s="299">
        <f>IF(AND($F90&lt;=U$2, OR($G90="",$G90&gt;=U$2)),
  $H90 * (1 + Assumptions!$C$7) ^ INT(((YEAR(U$2)-YEAR($F90))*12 + MONTH(U$2)-MONTH($F90)) / 12),
  0)</f>
        <v/>
      </c>
      <c r="V90" s="299">
        <f>IF(AND($F90&lt;=V$2, OR($G90="",$G90&gt;=V$2)),
  $H90 * (1 + Assumptions!$C$7) ^ INT(((YEAR(V$2)-YEAR($F90))*12 + MONTH(V$2)-MONTH($F90)) / 12),
  0)</f>
        <v/>
      </c>
      <c r="W90" s="299">
        <f>IF(AND($F90&lt;=W$2, OR($G90="",$G90&gt;=W$2)),
  $H90 * (1 + Assumptions!$C$7) ^ INT(((YEAR(W$2)-YEAR($F90))*12 + MONTH(W$2)-MONTH($F90)) / 12),
  0)</f>
        <v/>
      </c>
      <c r="X90" s="299">
        <f>IF(AND($F90&lt;=X$2, OR($G90="",$G90&gt;=X$2)),
  $H90 * (1 + Assumptions!$C$7) ^ INT(((YEAR(X$2)-YEAR($F90))*12 + MONTH(X$2)-MONTH($F90)) / 12),
  0)</f>
        <v/>
      </c>
      <c r="Y90" s="299">
        <f>IF(AND($F90&lt;=Y$2, OR($G90="",$G90&gt;=Y$2)),
  $H90 * (1 + Assumptions!$C$7) ^ INT(((YEAR(Y$2)-YEAR($F90))*12 + MONTH(Y$2)-MONTH($F90)) / 12),
  0)</f>
        <v/>
      </c>
      <c r="Z90" s="299">
        <f>IF(AND($F90&lt;=Z$2, OR($G90="",$G90&gt;=Z$2)),
  $H90 * (1 + Assumptions!$C$7) ^ INT(((YEAR(Z$2)-YEAR($F90))*12 + MONTH(Z$2)-MONTH($F90)) / 12),
  0)</f>
        <v/>
      </c>
      <c r="AA90" s="299">
        <f>IF(AND($F90&lt;=AA$2, OR($G90="",$G90&gt;=AA$2)),
  $H90 * (1 + Assumptions!$C$7) ^ INT(((YEAR(AA$2)-YEAR($F90))*12 + MONTH(AA$2)-MONTH($F90)) / 12),
  0)</f>
        <v/>
      </c>
      <c r="AB90" s="299">
        <f>IF(AND($F90&lt;=AB$2, OR($G90="",$G90&gt;=AB$2)),
  $H90 * (1 + Assumptions!$C$7) ^ INT(((YEAR(AB$2)-YEAR($F90))*12 + MONTH(AB$2)-MONTH($F90)) / 12),
  0)</f>
        <v/>
      </c>
      <c r="AC90" s="299">
        <f>IF(AND($F90&lt;=AC$2, OR($G90="",$G90&gt;=AC$2)),
  $H90 * (1 + Assumptions!$C$7) ^ INT(((YEAR(AC$2)-YEAR($F90))*12 + MONTH(AC$2)-MONTH($F90)) / 12),
  0)</f>
        <v/>
      </c>
      <c r="AD90" s="299">
        <f>IF(AND($F90&lt;=AD$2, OR($G90="",$G90&gt;=AD$2)),
  $H90 * (1 + Assumptions!$C$7) ^ INT(((YEAR(AD$2)-YEAR($F90))*12 + MONTH(AD$2)-MONTH($F90)) / 12),
  0)</f>
        <v/>
      </c>
      <c r="AE90" s="299">
        <f>IF(AND($F90&lt;=AE$2, OR($G90="",$G90&gt;=AE$2)),
  $H90 * (1 + Assumptions!$C$7) ^ INT(((YEAR(AE$2)-YEAR($F90))*12 + MONTH(AE$2)-MONTH($F90)) / 12),
  0)</f>
        <v/>
      </c>
      <c r="AF90" s="299">
        <f>IF(AND($F90&lt;=AF$2, OR($G90="",$G90&gt;=AF$2)),
  $H90 * (1 + Assumptions!$C$7) ^ INT(((YEAR(AF$2)-YEAR($F90))*12 + MONTH(AF$2)-MONTH($F90)) / 12),
  0)</f>
        <v/>
      </c>
      <c r="AG90" s="299">
        <f>IF(AND($F90&lt;=AG$2, OR($G90="",$G90&gt;=AG$2)),
  $H90 * (1 + Assumptions!$C$7) ^ INT(((YEAR(AG$2)-YEAR($F90))*12 + MONTH(AG$2)-MONTH($F90)) / 12),
  0)</f>
        <v/>
      </c>
      <c r="AH90" s="299">
        <f>IF(AND($F90&lt;=AH$2, OR($G90="",$G90&gt;=AH$2)),
  $H90 * (1 + Assumptions!$C$7) ^ INT(((YEAR(AH$2)-YEAR($F90))*12 + MONTH(AH$2)-MONTH($F90)) / 12),
  0)</f>
        <v/>
      </c>
      <c r="AI90" s="299">
        <f>IF(AND($F90&lt;=AI$2, OR($G90="",$G90&gt;=AI$2)),
  $H90 * (1 + Assumptions!$C$7) ^ INT(((YEAR(AI$2)-YEAR($F90))*12 + MONTH(AI$2)-MONTH($F90)) / 12),
  0)</f>
        <v/>
      </c>
      <c r="AJ90" s="299">
        <f>IF(AND($F90&lt;=AJ$2, OR($G90="",$G90&gt;=AJ$2)),
  $H90 * (1 + Assumptions!$C$7) ^ INT(((YEAR(AJ$2)-YEAR($F90))*12 + MONTH(AJ$2)-MONTH($F90)) / 12),
  0)</f>
        <v/>
      </c>
      <c r="AK90" s="299">
        <f>IF(AND($F90&lt;=AK$2, OR($G90="",$G90&gt;=AK$2)),
  $H90 * (1 + Assumptions!$C$7) ^ INT(((YEAR(AK$2)-YEAR($F90))*12 + MONTH(AK$2)-MONTH($F90)) / 12),
  0)</f>
        <v/>
      </c>
      <c r="AL90" s="299">
        <f>IF(AND($F90&lt;=AL$2, OR($G90="",$G90&gt;=AL$2)),
  $H90 * (1 + Assumptions!$C$7) ^ INT(((YEAR(AL$2)-YEAR($F90))*12 + MONTH(AL$2)-MONTH($F90)) / 12),
  0)</f>
        <v/>
      </c>
      <c r="AM90" s="299">
        <f>IF(AND($F90&lt;=AM$2, OR($G90="",$G90&gt;=AM$2)),
  $H90 * (1 + Assumptions!$C$7) ^ INT(((YEAR(AM$2)-YEAR($F90))*12 + MONTH(AM$2)-MONTH($F90)) / 12),
  0)</f>
        <v/>
      </c>
      <c r="AN90" s="299">
        <f>IF(AND($F90&lt;=AN$2, OR($G90="",$G90&gt;=AN$2)),
  $H90 * (1 + Assumptions!$C$7) ^ INT(((YEAR(AN$2)-YEAR($F90))*12 + MONTH(AN$2)-MONTH($F90)) / 12),
  0)</f>
        <v/>
      </c>
      <c r="AO90" s="299">
        <f>IF(AND($F90&lt;=AO$2, OR($G90="",$G90&gt;=AO$2)),
  $H90 * (1 + Assumptions!$C$7) ^ INT(((YEAR(AO$2)-YEAR($F90))*12 + MONTH(AO$2)-MONTH($F90)) / 12),
  0)</f>
        <v/>
      </c>
      <c r="AP90" s="299">
        <f>IF(AND($F90&lt;=AP$2, OR($G90="",$G90&gt;=AP$2)),
  $H90 * (1 + Assumptions!$C$7) ^ INT(((YEAR(AP$2)-YEAR($F90))*12 + MONTH(AP$2)-MONTH($F90)) / 12),
  0)</f>
        <v/>
      </c>
      <c r="AQ90" s="299">
        <f>IF(AND($F90&lt;=AQ$2, OR($G90="",$G90&gt;=AQ$2)),
  $H90 * (1 + Assumptions!$C$7) ^ INT(((YEAR(AQ$2)-YEAR($F90))*12 + MONTH(AQ$2)-MONTH($F90)) / 12),
  0)</f>
        <v/>
      </c>
      <c r="AR90" s="299">
        <f>IF(AND($F90&lt;=AR$2, OR($G90="",$G90&gt;=AR$2)),
  $H90 * (1 + Assumptions!$C$7) ^ INT(((YEAR(AR$2)-YEAR($F90))*12 + MONTH(AR$2)-MONTH($F90)) / 12),
  0)</f>
        <v/>
      </c>
      <c r="AS90" s="299">
        <f>IF(AND($F90&lt;=AS$2, OR($G90="",$G90&gt;=AS$2)),
  $H90 * (1 + Assumptions!$C$7) ^ INT(((YEAR(AS$2)-YEAR($F90))*12 + MONTH(AS$2)-MONTH($F90)) / 12),
  0)</f>
        <v/>
      </c>
      <c r="AT90" s="299">
        <f>IF(AND($F90&lt;=AT$2, OR($G90="",$G90&gt;=AT$2)),
  $H90 * (1 + Assumptions!$C$7) ^ INT(((YEAR(AT$2)-YEAR($F90))*12 + MONTH(AT$2)-MONTH($F90)) / 12),
  0)</f>
        <v/>
      </c>
      <c r="AU90" s="299">
        <f>IF(AND($F90&lt;=AU$2, OR($G90="",$G90&gt;=AU$2)),
  $H90 * (1 + Assumptions!$C$7) ^ INT(((YEAR(AU$2)-YEAR($F90))*12 + MONTH(AU$2)-MONTH($F90)) / 12),
  0)</f>
        <v/>
      </c>
      <c r="AV90" s="299">
        <f>IF(AND($F90&lt;=AV$2, OR($G90="",$G90&gt;=AV$2)),
  $H90 * (1 + Assumptions!$C$7) ^ INT(((YEAR(AV$2)-YEAR($F90))*12 + MONTH(AV$2)-MONTH($F90)) / 12),
  0)</f>
        <v/>
      </c>
      <c r="AW90" s="299">
        <f>IF(AND($F90&lt;=AW$2, OR($G90="",$G90&gt;=AW$2)),
  $H90 * (1 + Assumptions!$C$7) ^ INT(((YEAR(AW$2)-YEAR($F90))*12 + MONTH(AW$2)-MONTH($F90)) / 12),
  0)</f>
        <v/>
      </c>
      <c r="AX90" s="299">
        <f>IF(AND($F90&lt;=AX$2, OR($G90="",$G90&gt;=AX$2)),
  $H90 * (1 + Assumptions!$C$7) ^ INT(((YEAR(AX$2)-YEAR($F90))*12 + MONTH(AX$2)-MONTH($F90)) / 12),
  0)</f>
        <v/>
      </c>
      <c r="AY90" s="299">
        <f>IF(AND($F90&lt;=AY$2, OR($G90="",$G90&gt;=AY$2)),
  $H90 * (1 + Assumptions!$C$7) ^ INT(((YEAR(AY$2)-YEAR($F90))*12 + MONTH(AY$2)-MONTH($F90)) / 12),
  0)</f>
        <v/>
      </c>
      <c r="AZ90" s="299">
        <f>IF(AND($F90&lt;=AZ$2, OR($G90="",$G90&gt;=AZ$2)),
  $H90 * (1 + Assumptions!$C$7) ^ INT(((YEAR(AZ$2)-YEAR($F90))*12 + MONTH(AZ$2)-MONTH($F90)) / 12),
  0)</f>
        <v/>
      </c>
      <c r="BA90" s="299">
        <f>IF(AND($F90&lt;=BA$2, OR($G90="",$G90&gt;=BA$2)),
  $H90 * (1 + Assumptions!$C$7) ^ INT(((YEAR(BA$2)-YEAR($F90))*12 + MONTH(BA$2)-MONTH($F90)) / 12),
  0)</f>
        <v/>
      </c>
      <c r="BB90" s="299">
        <f>IF(AND($F90&lt;=BB$2, OR($G90="",$G90&gt;=BB$2)),
  $H90 * (1 + Assumptions!$C$7) ^ INT(((YEAR(BB$2)-YEAR($F90))*12 + MONTH(BB$2)-MONTH($F90)) / 12),
  0)</f>
        <v/>
      </c>
      <c r="BC90" s="299">
        <f>IF(AND($F90&lt;=BC$2, OR($G90="",$G90&gt;=BC$2)),
  $H90 * (1 + Assumptions!$C$7) ^ INT(((YEAR(BC$2)-YEAR($F90))*12 + MONTH(BC$2)-MONTH($F90)) / 12),
  0)</f>
        <v/>
      </c>
      <c r="BD90" s="299">
        <f>IF(AND($F90&lt;=BD$2, OR($G90="",$G90&gt;=BD$2)),
  $H90 * (1 + Assumptions!$C$7) ^ INT(((YEAR(BD$2)-YEAR($F90))*12 + MONTH(BD$2)-MONTH($F90)) / 12),
  0)</f>
        <v/>
      </c>
      <c r="BE90" s="299">
        <f>IF(AND($F90&lt;=BE$2, OR($G90="",$G90&gt;=BE$2)),
  $H90 * (1 + Assumptions!$C$7) ^ INT(((YEAR(BE$2)-YEAR($F90))*12 + MONTH(BE$2)-MONTH($F90)) / 12),
  0)</f>
        <v/>
      </c>
      <c r="BF90" s="299">
        <f>IF(AND($F90&lt;=BF$2, OR($G90="",$G90&gt;=BF$2)),
  $H90 * (1 + Assumptions!$C$7) ^ INT(((YEAR(BF$2)-YEAR($F90))*12 + MONTH(BF$2)-MONTH($F90)) / 12),
  0)</f>
        <v/>
      </c>
      <c r="BG90" s="299">
        <f>IF(AND($F90&lt;=BG$2, OR($G90="",$G90&gt;=BG$2)),
  $H90 * (1 + Assumptions!$C$7) ^ INT(((YEAR(BG$2)-YEAR($F90))*12 + MONTH(BG$2)-MONTH($F90)) / 12),
  0)</f>
        <v/>
      </c>
      <c r="BH90" s="299">
        <f>IF(AND($F90&lt;=BH$2, OR($G90="",$G90&gt;=BH$2)),
  $H90 * (1 + Assumptions!$C$7) ^ INT(((YEAR(BH$2)-YEAR($F90))*12 + MONTH(BH$2)-MONTH($F90)) / 12),
  0)</f>
        <v/>
      </c>
      <c r="BI90" s="299">
        <f>IF(AND($F90&lt;=BI$2, OR($G90="",$G90&gt;=BI$2)),
  $H90 * (1 + Assumptions!$C$7) ^ INT(((YEAR(BI$2)-YEAR($F90))*12 + MONTH(BI$2)-MONTH($F90)) / 12),
  0)</f>
        <v/>
      </c>
      <c r="BJ90" s="299">
        <f>IF(AND($F90&lt;=BJ$2, OR($G90="",$G90&gt;=BJ$2)),
  $H90 * (1 + Assumptions!$C$7) ^ INT(((YEAR(BJ$2)-YEAR($F90))*12 + MONTH(BJ$2)-MONTH($F90)) / 12),
  0)</f>
        <v/>
      </c>
      <c r="BK90" s="299">
        <f>IF(AND($F90&lt;=BK$2, OR($G90="",$G90&gt;=BK$2)),
  $H90 * (1 + Assumptions!$C$7) ^ INT(((YEAR(BK$2)-YEAR($F90))*12 + MONTH(BK$2)-MONTH($F90)) / 12),
  0)</f>
        <v/>
      </c>
      <c r="BL90" s="299">
        <f>IF(AND($F90&lt;=BL$2, OR($G90="",$G90&gt;=BL$2)),
  $H90 * (1 + Assumptions!$C$7) ^ INT(((YEAR(BL$2)-YEAR($F90))*12 + MONTH(BL$2)-MONTH($F90)) / 12),
  0)</f>
        <v/>
      </c>
      <c r="BM90" s="299">
        <f>IF(AND($F90&lt;=BM$2, OR($G90="",$G90&gt;=BM$2)),
  $H90 * (1 + Assumptions!$C$7) ^ INT(((YEAR(BM$2)-YEAR($F90))*12 + MONTH(BM$2)-MONTH($F90)) / 12),
  0)</f>
        <v/>
      </c>
      <c r="BN90" s="299">
        <f>IF(AND($F90&lt;=BN$2, OR($G90="",$G90&gt;=BN$2)),
  $H90 * (1 + Assumptions!$C$7) ^ INT(((YEAR(BN$2)-YEAR($F90))*12 + MONTH(BN$2)-MONTH($F90)) / 12),
  0)</f>
        <v/>
      </c>
      <c r="BO90" s="299">
        <f>IF(AND($F90&lt;=BO$2, OR($G90="",$G90&gt;=BO$2)),
  $H90 * (1 + Assumptions!$C$7) ^ INT(((YEAR(BO$2)-YEAR($F90))*12 + MONTH(BO$2)-MONTH($F90)) / 12),
  0)</f>
        <v/>
      </c>
      <c r="BP90" s="299">
        <f>IF(AND($F90&lt;=BP$2, OR($G90="",$G90&gt;=BP$2)),
  $H90 * (1 + Assumptions!$C$7) ^ INT(((YEAR(BP$2)-YEAR($F90))*12 + MONTH(BP$2)-MONTH($F90)) / 12),
  0)</f>
        <v/>
      </c>
      <c r="BQ90" s="31" t="n"/>
      <c r="BR90" s="31" t="n"/>
      <c r="BS90" s="31" t="n"/>
      <c r="BT90" s="31" t="n"/>
    </row>
    <row r="91" ht="15.75" customHeight="1" s="349">
      <c r="A91" s="321" t="n">
        <v>86</v>
      </c>
      <c r="B91" s="285" t="inlineStr">
        <is>
          <t>New hire</t>
        </is>
      </c>
      <c r="C91" s="317" t="inlineStr">
        <is>
          <t>G&amp;A</t>
        </is>
      </c>
      <c r="D91" s="317" t="inlineStr">
        <is>
          <t>Supply Chain &amp; Logistics</t>
        </is>
      </c>
      <c r="E91" s="297" t="inlineStr">
        <is>
          <t>Planned</t>
        </is>
      </c>
      <c r="F91" s="318">
        <f>IF(Assumptions!$D$82=2,DATE(2028,8,1),DATE(2035,1,1))</f>
        <v/>
      </c>
      <c r="G91" s="318" t="n"/>
      <c r="H91" s="288" t="n">
        <v>5000</v>
      </c>
      <c r="I91" s="299">
        <f>IF(AND($F91&lt;=I$2, OR($G91="",$G91&gt;=I$2)),
  $H91 * (1 + Assumptions!$C$7) ^ INT(((YEAR(I$2)-YEAR($F91))*12 + MONTH(I$2)-MONTH($F91)) / 12),
  0)</f>
        <v/>
      </c>
      <c r="J91" s="299">
        <f>IF(AND($F91&lt;=J$2, OR($G91="",$G91&gt;=J$2)),
  $H91 * (1 + Assumptions!$C$7) ^ INT(((YEAR(J$2)-YEAR($F91))*12 + MONTH(J$2)-MONTH($F91)) / 12),
  0)</f>
        <v/>
      </c>
      <c r="K91" s="299">
        <f>IF(AND($F91&lt;=K$2, OR($G91="",$G91&gt;=K$2)),
  $H91 * (1 + Assumptions!$C$7) ^ INT(((YEAR(K$2)-YEAR($F91))*12 + MONTH(K$2)-MONTH($F91)) / 12),
  0)</f>
        <v/>
      </c>
      <c r="L91" s="299">
        <f>IF(AND($F91&lt;=L$2, OR($G91="",$G91&gt;=L$2)),
  $H91 * (1 + Assumptions!$C$7) ^ INT(((YEAR(L$2)-YEAR($F91))*12 + MONTH(L$2)-MONTH($F91)) / 12),
  0)</f>
        <v/>
      </c>
      <c r="M91" s="299">
        <f>IF(AND($F91&lt;=M$2, OR($G91="",$G91&gt;=M$2)),
  $H91 * (1 + Assumptions!$C$7) ^ INT(((YEAR(M$2)-YEAR($F91))*12 + MONTH(M$2)-MONTH($F91)) / 12),
  0)</f>
        <v/>
      </c>
      <c r="N91" s="299">
        <f>IF(AND($F91&lt;=N$2, OR($G91="",$G91&gt;=N$2)),
  $H91 * (1 + Assumptions!$C$7) ^ INT(((YEAR(N$2)-YEAR($F91))*12 + MONTH(N$2)-MONTH($F91)) / 12),
  0)</f>
        <v/>
      </c>
      <c r="O91" s="299">
        <f>IF(AND($F91&lt;=O$2, OR($G91="",$G91&gt;=O$2)),
  $H91 * (1 + Assumptions!$C$7) ^ INT(((YEAR(O$2)-YEAR($F91))*12 + MONTH(O$2)-MONTH($F91)) / 12),
  0)</f>
        <v/>
      </c>
      <c r="P91" s="299">
        <f>IF(AND($F91&lt;=P$2, OR($G91="",$G91&gt;=P$2)),
  $H91 * (1 + Assumptions!$C$7) ^ INT(((YEAR(P$2)-YEAR($F91))*12 + MONTH(P$2)-MONTH($F91)) / 12),
  0)</f>
        <v/>
      </c>
      <c r="Q91" s="299">
        <f>IF(AND($F91&lt;=Q$2, OR($G91="",$G91&gt;=Q$2)),
  $H91 * (1 + Assumptions!$C$7) ^ INT(((YEAR(Q$2)-YEAR($F91))*12 + MONTH(Q$2)-MONTH($F91)) / 12),
  0)</f>
        <v/>
      </c>
      <c r="R91" s="299">
        <f>IF(AND($F91&lt;=R$2, OR($G91="",$G91&gt;=R$2)),
  $H91 * (1 + Assumptions!$C$7) ^ INT(((YEAR(R$2)-YEAR($F91))*12 + MONTH(R$2)-MONTH($F91)) / 12),
  0)</f>
        <v/>
      </c>
      <c r="S91" s="299">
        <f>IF(AND($F91&lt;=S$2, OR($G91="",$G91&gt;=S$2)),
  $H91 * (1 + Assumptions!$C$7) ^ INT(((YEAR(S$2)-YEAR($F91))*12 + MONTH(S$2)-MONTH($F91)) / 12),
  0)</f>
        <v/>
      </c>
      <c r="T91" s="299">
        <f>IF(AND($F91&lt;=T$2, OR($G91="",$G91&gt;=T$2)),
  $H91 * (1 + Assumptions!$C$7) ^ INT(((YEAR(T$2)-YEAR($F91))*12 + MONTH(T$2)-MONTH($F91)) / 12),
  0)</f>
        <v/>
      </c>
      <c r="U91" s="299">
        <f>IF(AND($F91&lt;=U$2, OR($G91="",$G91&gt;=U$2)),
  $H91 * (1 + Assumptions!$C$7) ^ INT(((YEAR(U$2)-YEAR($F91))*12 + MONTH(U$2)-MONTH($F91)) / 12),
  0)</f>
        <v/>
      </c>
      <c r="V91" s="299">
        <f>IF(AND($F91&lt;=V$2, OR($G91="",$G91&gt;=V$2)),
  $H91 * (1 + Assumptions!$C$7) ^ INT(((YEAR(V$2)-YEAR($F91))*12 + MONTH(V$2)-MONTH($F91)) / 12),
  0)</f>
        <v/>
      </c>
      <c r="W91" s="299">
        <f>IF(AND($F91&lt;=W$2, OR($G91="",$G91&gt;=W$2)),
  $H91 * (1 + Assumptions!$C$7) ^ INT(((YEAR(W$2)-YEAR($F91))*12 + MONTH(W$2)-MONTH($F91)) / 12),
  0)</f>
        <v/>
      </c>
      <c r="X91" s="299">
        <f>IF(AND($F91&lt;=X$2, OR($G91="",$G91&gt;=X$2)),
  $H91 * (1 + Assumptions!$C$7) ^ INT(((YEAR(X$2)-YEAR($F91))*12 + MONTH(X$2)-MONTH($F91)) / 12),
  0)</f>
        <v/>
      </c>
      <c r="Y91" s="299">
        <f>IF(AND($F91&lt;=Y$2, OR($G91="",$G91&gt;=Y$2)),
  $H91 * (1 + Assumptions!$C$7) ^ INT(((YEAR(Y$2)-YEAR($F91))*12 + MONTH(Y$2)-MONTH($F91)) / 12),
  0)</f>
        <v/>
      </c>
      <c r="Z91" s="299">
        <f>IF(AND($F91&lt;=Z$2, OR($G91="",$G91&gt;=Z$2)),
  $H91 * (1 + Assumptions!$C$7) ^ INT(((YEAR(Z$2)-YEAR($F91))*12 + MONTH(Z$2)-MONTH($F91)) / 12),
  0)</f>
        <v/>
      </c>
      <c r="AA91" s="299">
        <f>IF(AND($F91&lt;=AA$2, OR($G91="",$G91&gt;=AA$2)),
  $H91 * (1 + Assumptions!$C$7) ^ INT(((YEAR(AA$2)-YEAR($F91))*12 + MONTH(AA$2)-MONTH($F91)) / 12),
  0)</f>
        <v/>
      </c>
      <c r="AB91" s="299">
        <f>IF(AND($F91&lt;=AB$2, OR($G91="",$G91&gt;=AB$2)),
  $H91 * (1 + Assumptions!$C$7) ^ INT(((YEAR(AB$2)-YEAR($F91))*12 + MONTH(AB$2)-MONTH($F91)) / 12),
  0)</f>
        <v/>
      </c>
      <c r="AC91" s="299">
        <f>IF(AND($F91&lt;=AC$2, OR($G91="",$G91&gt;=AC$2)),
  $H91 * (1 + Assumptions!$C$7) ^ INT(((YEAR(AC$2)-YEAR($F91))*12 + MONTH(AC$2)-MONTH($F91)) / 12),
  0)</f>
        <v/>
      </c>
      <c r="AD91" s="299">
        <f>IF(AND($F91&lt;=AD$2, OR($G91="",$G91&gt;=AD$2)),
  $H91 * (1 + Assumptions!$C$7) ^ INT(((YEAR(AD$2)-YEAR($F91))*12 + MONTH(AD$2)-MONTH($F91)) / 12),
  0)</f>
        <v/>
      </c>
      <c r="AE91" s="299">
        <f>IF(AND($F91&lt;=AE$2, OR($G91="",$G91&gt;=AE$2)),
  $H91 * (1 + Assumptions!$C$7) ^ INT(((YEAR(AE$2)-YEAR($F91))*12 + MONTH(AE$2)-MONTH($F91)) / 12),
  0)</f>
        <v/>
      </c>
      <c r="AF91" s="299">
        <f>IF(AND($F91&lt;=AF$2, OR($G91="",$G91&gt;=AF$2)),
  $H91 * (1 + Assumptions!$C$7) ^ INT(((YEAR(AF$2)-YEAR($F91))*12 + MONTH(AF$2)-MONTH($F91)) / 12),
  0)</f>
        <v/>
      </c>
      <c r="AG91" s="299">
        <f>IF(AND($F91&lt;=AG$2, OR($G91="",$G91&gt;=AG$2)),
  $H91 * (1 + Assumptions!$C$7) ^ INT(((YEAR(AG$2)-YEAR($F91))*12 + MONTH(AG$2)-MONTH($F91)) / 12),
  0)</f>
        <v/>
      </c>
      <c r="AH91" s="299">
        <f>IF(AND($F91&lt;=AH$2, OR($G91="",$G91&gt;=AH$2)),
  $H91 * (1 + Assumptions!$C$7) ^ INT(((YEAR(AH$2)-YEAR($F91))*12 + MONTH(AH$2)-MONTH($F91)) / 12),
  0)</f>
        <v/>
      </c>
      <c r="AI91" s="299">
        <f>IF(AND($F91&lt;=AI$2, OR($G91="",$G91&gt;=AI$2)),
  $H91 * (1 + Assumptions!$C$7) ^ INT(((YEAR(AI$2)-YEAR($F91))*12 + MONTH(AI$2)-MONTH($F91)) / 12),
  0)</f>
        <v/>
      </c>
      <c r="AJ91" s="299">
        <f>IF(AND($F91&lt;=AJ$2, OR($G91="",$G91&gt;=AJ$2)),
  $H91 * (1 + Assumptions!$C$7) ^ INT(((YEAR(AJ$2)-YEAR($F91))*12 + MONTH(AJ$2)-MONTH($F91)) / 12),
  0)</f>
        <v/>
      </c>
      <c r="AK91" s="299">
        <f>IF(AND($F91&lt;=AK$2, OR($G91="",$G91&gt;=AK$2)),
  $H91 * (1 + Assumptions!$C$7) ^ INT(((YEAR(AK$2)-YEAR($F91))*12 + MONTH(AK$2)-MONTH($F91)) / 12),
  0)</f>
        <v/>
      </c>
      <c r="AL91" s="299">
        <f>IF(AND($F91&lt;=AL$2, OR($G91="",$G91&gt;=AL$2)),
  $H91 * (1 + Assumptions!$C$7) ^ INT(((YEAR(AL$2)-YEAR($F91))*12 + MONTH(AL$2)-MONTH($F91)) / 12),
  0)</f>
        <v/>
      </c>
      <c r="AM91" s="299">
        <f>IF(AND($F91&lt;=AM$2, OR($G91="",$G91&gt;=AM$2)),
  $H91 * (1 + Assumptions!$C$7) ^ INT(((YEAR(AM$2)-YEAR($F91))*12 + MONTH(AM$2)-MONTH($F91)) / 12),
  0)</f>
        <v/>
      </c>
      <c r="AN91" s="299">
        <f>IF(AND($F91&lt;=AN$2, OR($G91="",$G91&gt;=AN$2)),
  $H91 * (1 + Assumptions!$C$7) ^ INT(((YEAR(AN$2)-YEAR($F91))*12 + MONTH(AN$2)-MONTH($F91)) / 12),
  0)</f>
        <v/>
      </c>
      <c r="AO91" s="299">
        <f>IF(AND($F91&lt;=AO$2, OR($G91="",$G91&gt;=AO$2)),
  $H91 * (1 + Assumptions!$C$7) ^ INT(((YEAR(AO$2)-YEAR($F91))*12 + MONTH(AO$2)-MONTH($F91)) / 12),
  0)</f>
        <v/>
      </c>
      <c r="AP91" s="299">
        <f>IF(AND($F91&lt;=AP$2, OR($G91="",$G91&gt;=AP$2)),
  $H91 * (1 + Assumptions!$C$7) ^ INT(((YEAR(AP$2)-YEAR($F91))*12 + MONTH(AP$2)-MONTH($F91)) / 12),
  0)</f>
        <v/>
      </c>
      <c r="AQ91" s="299">
        <f>IF(AND($F91&lt;=AQ$2, OR($G91="",$G91&gt;=AQ$2)),
  $H91 * (1 + Assumptions!$C$7) ^ INT(((YEAR(AQ$2)-YEAR($F91))*12 + MONTH(AQ$2)-MONTH($F91)) / 12),
  0)</f>
        <v/>
      </c>
      <c r="AR91" s="299">
        <f>IF(AND($F91&lt;=AR$2, OR($G91="",$G91&gt;=AR$2)),
  $H91 * (1 + Assumptions!$C$7) ^ INT(((YEAR(AR$2)-YEAR($F91))*12 + MONTH(AR$2)-MONTH($F91)) / 12),
  0)</f>
        <v/>
      </c>
      <c r="AS91" s="299">
        <f>IF(AND($F91&lt;=AS$2, OR($G91="",$G91&gt;=AS$2)),
  $H91 * (1 + Assumptions!$C$7) ^ INT(((YEAR(AS$2)-YEAR($F91))*12 + MONTH(AS$2)-MONTH($F91)) / 12),
  0)</f>
        <v/>
      </c>
      <c r="AT91" s="299">
        <f>IF(AND($F91&lt;=AT$2, OR($G91="",$G91&gt;=AT$2)),
  $H91 * (1 + Assumptions!$C$7) ^ INT(((YEAR(AT$2)-YEAR($F91))*12 + MONTH(AT$2)-MONTH($F91)) / 12),
  0)</f>
        <v/>
      </c>
      <c r="AU91" s="299">
        <f>IF(AND($F91&lt;=AU$2, OR($G91="",$G91&gt;=AU$2)),
  $H91 * (1 + Assumptions!$C$7) ^ INT(((YEAR(AU$2)-YEAR($F91))*12 + MONTH(AU$2)-MONTH($F91)) / 12),
  0)</f>
        <v/>
      </c>
      <c r="AV91" s="299">
        <f>IF(AND($F91&lt;=AV$2, OR($G91="",$G91&gt;=AV$2)),
  $H91 * (1 + Assumptions!$C$7) ^ INT(((YEAR(AV$2)-YEAR($F91))*12 + MONTH(AV$2)-MONTH($F91)) / 12),
  0)</f>
        <v/>
      </c>
      <c r="AW91" s="299">
        <f>IF(AND($F91&lt;=AW$2, OR($G91="",$G91&gt;=AW$2)),
  $H91 * (1 + Assumptions!$C$7) ^ INT(((YEAR(AW$2)-YEAR($F91))*12 + MONTH(AW$2)-MONTH($F91)) / 12),
  0)</f>
        <v/>
      </c>
      <c r="AX91" s="299">
        <f>IF(AND($F91&lt;=AX$2, OR($G91="",$G91&gt;=AX$2)),
  $H91 * (1 + Assumptions!$C$7) ^ INT(((YEAR(AX$2)-YEAR($F91))*12 + MONTH(AX$2)-MONTH($F91)) / 12),
  0)</f>
        <v/>
      </c>
      <c r="AY91" s="299">
        <f>IF(AND($F91&lt;=AY$2, OR($G91="",$G91&gt;=AY$2)),
  $H91 * (1 + Assumptions!$C$7) ^ INT(((YEAR(AY$2)-YEAR($F91))*12 + MONTH(AY$2)-MONTH($F91)) / 12),
  0)</f>
        <v/>
      </c>
      <c r="AZ91" s="299">
        <f>IF(AND($F91&lt;=AZ$2, OR($G91="",$G91&gt;=AZ$2)),
  $H91 * (1 + Assumptions!$C$7) ^ INT(((YEAR(AZ$2)-YEAR($F91))*12 + MONTH(AZ$2)-MONTH($F91)) / 12),
  0)</f>
        <v/>
      </c>
      <c r="BA91" s="299">
        <f>IF(AND($F91&lt;=BA$2, OR($G91="",$G91&gt;=BA$2)),
  $H91 * (1 + Assumptions!$C$7) ^ INT(((YEAR(BA$2)-YEAR($F91))*12 + MONTH(BA$2)-MONTH($F91)) / 12),
  0)</f>
        <v/>
      </c>
      <c r="BB91" s="299">
        <f>IF(AND($F91&lt;=BB$2, OR($G91="",$G91&gt;=BB$2)),
  $H91 * (1 + Assumptions!$C$7) ^ INT(((YEAR(BB$2)-YEAR($F91))*12 + MONTH(BB$2)-MONTH($F91)) / 12),
  0)</f>
        <v/>
      </c>
      <c r="BC91" s="299">
        <f>IF(AND($F91&lt;=BC$2, OR($G91="",$G91&gt;=BC$2)),
  $H91 * (1 + Assumptions!$C$7) ^ INT(((YEAR(BC$2)-YEAR($F91))*12 + MONTH(BC$2)-MONTH($F91)) / 12),
  0)</f>
        <v/>
      </c>
      <c r="BD91" s="299">
        <f>IF(AND($F91&lt;=BD$2, OR($G91="",$G91&gt;=BD$2)),
  $H91 * (1 + Assumptions!$C$7) ^ INT(((YEAR(BD$2)-YEAR($F91))*12 + MONTH(BD$2)-MONTH($F91)) / 12),
  0)</f>
        <v/>
      </c>
      <c r="BE91" s="299">
        <f>IF(AND($F91&lt;=BE$2, OR($G91="",$G91&gt;=BE$2)),
  $H91 * (1 + Assumptions!$C$7) ^ INT(((YEAR(BE$2)-YEAR($F91))*12 + MONTH(BE$2)-MONTH($F91)) / 12),
  0)</f>
        <v/>
      </c>
      <c r="BF91" s="299">
        <f>IF(AND($F91&lt;=BF$2, OR($G91="",$G91&gt;=BF$2)),
  $H91 * (1 + Assumptions!$C$7) ^ INT(((YEAR(BF$2)-YEAR($F91))*12 + MONTH(BF$2)-MONTH($F91)) / 12),
  0)</f>
        <v/>
      </c>
      <c r="BG91" s="299">
        <f>IF(AND($F91&lt;=BG$2, OR($G91="",$G91&gt;=BG$2)),
  $H91 * (1 + Assumptions!$C$7) ^ INT(((YEAR(BG$2)-YEAR($F91))*12 + MONTH(BG$2)-MONTH($F91)) / 12),
  0)</f>
        <v/>
      </c>
      <c r="BH91" s="299">
        <f>IF(AND($F91&lt;=BH$2, OR($G91="",$G91&gt;=BH$2)),
  $H91 * (1 + Assumptions!$C$7) ^ INT(((YEAR(BH$2)-YEAR($F91))*12 + MONTH(BH$2)-MONTH($F91)) / 12),
  0)</f>
        <v/>
      </c>
      <c r="BI91" s="299">
        <f>IF(AND($F91&lt;=BI$2, OR($G91="",$G91&gt;=BI$2)),
  $H91 * (1 + Assumptions!$C$7) ^ INT(((YEAR(BI$2)-YEAR($F91))*12 + MONTH(BI$2)-MONTH($F91)) / 12),
  0)</f>
        <v/>
      </c>
      <c r="BJ91" s="299">
        <f>IF(AND($F91&lt;=BJ$2, OR($G91="",$G91&gt;=BJ$2)),
  $H91 * (1 + Assumptions!$C$7) ^ INT(((YEAR(BJ$2)-YEAR($F91))*12 + MONTH(BJ$2)-MONTH($F91)) / 12),
  0)</f>
        <v/>
      </c>
      <c r="BK91" s="299">
        <f>IF(AND($F91&lt;=BK$2, OR($G91="",$G91&gt;=BK$2)),
  $H91 * (1 + Assumptions!$C$7) ^ INT(((YEAR(BK$2)-YEAR($F91))*12 + MONTH(BK$2)-MONTH($F91)) / 12),
  0)</f>
        <v/>
      </c>
      <c r="BL91" s="299">
        <f>IF(AND($F91&lt;=BL$2, OR($G91="",$G91&gt;=BL$2)),
  $H91 * (1 + Assumptions!$C$7) ^ INT(((YEAR(BL$2)-YEAR($F91))*12 + MONTH(BL$2)-MONTH($F91)) / 12),
  0)</f>
        <v/>
      </c>
      <c r="BM91" s="299">
        <f>IF(AND($F91&lt;=BM$2, OR($G91="",$G91&gt;=BM$2)),
  $H91 * (1 + Assumptions!$C$7) ^ INT(((YEAR(BM$2)-YEAR($F91))*12 + MONTH(BM$2)-MONTH($F91)) / 12),
  0)</f>
        <v/>
      </c>
      <c r="BN91" s="299">
        <f>IF(AND($F91&lt;=BN$2, OR($G91="",$G91&gt;=BN$2)),
  $H91 * (1 + Assumptions!$C$7) ^ INT(((YEAR(BN$2)-YEAR($F91))*12 + MONTH(BN$2)-MONTH($F91)) / 12),
  0)</f>
        <v/>
      </c>
      <c r="BO91" s="299">
        <f>IF(AND($F91&lt;=BO$2, OR($G91="",$G91&gt;=BO$2)),
  $H91 * (1 + Assumptions!$C$7) ^ INT(((YEAR(BO$2)-YEAR($F91))*12 + MONTH(BO$2)-MONTH($F91)) / 12),
  0)</f>
        <v/>
      </c>
      <c r="BP91" s="299">
        <f>IF(AND($F91&lt;=BP$2, OR($G91="",$G91&gt;=BP$2)),
  $H91 * (1 + Assumptions!$C$7) ^ INT(((YEAR(BP$2)-YEAR($F91))*12 + MONTH(BP$2)-MONTH($F91)) / 12),
  0)</f>
        <v/>
      </c>
      <c r="BQ91" s="31" t="n"/>
      <c r="BR91" s="31" t="n"/>
      <c r="BS91" s="31" t="n"/>
      <c r="BT91" s="31" t="n"/>
    </row>
    <row r="92" ht="15.75" customHeight="1" s="349">
      <c r="A92" s="321" t="n">
        <v>87</v>
      </c>
      <c r="B92" s="285" t="inlineStr">
        <is>
          <t>New hire</t>
        </is>
      </c>
      <c r="C92" s="317" t="inlineStr">
        <is>
          <t>G&amp;A</t>
        </is>
      </c>
      <c r="D92" s="317" t="inlineStr">
        <is>
          <t>Supply Chain &amp; Logistics</t>
        </is>
      </c>
      <c r="E92" s="297" t="inlineStr">
        <is>
          <t>Planned</t>
        </is>
      </c>
      <c r="F92" s="318">
        <f>IF(Assumptions!$D$82=2,DATE(2028,11,1),DATE(2035,1,1))</f>
        <v/>
      </c>
      <c r="G92" s="318" t="n"/>
      <c r="H92" s="288" t="n">
        <v>5000</v>
      </c>
      <c r="I92" s="299">
        <f>IF(AND($F92&lt;=I$2, OR($G92="",$G92&gt;=I$2)),
  $H92 * (1 + Assumptions!$C$7) ^ INT(((YEAR(I$2)-YEAR($F92))*12 + MONTH(I$2)-MONTH($F92)) / 12),
  0)</f>
        <v/>
      </c>
      <c r="J92" s="299">
        <f>IF(AND($F92&lt;=J$2, OR($G92="",$G92&gt;=J$2)),
  $H92 * (1 + Assumptions!$C$7) ^ INT(((YEAR(J$2)-YEAR($F92))*12 + MONTH(J$2)-MONTH($F92)) / 12),
  0)</f>
        <v/>
      </c>
      <c r="K92" s="299">
        <f>IF(AND($F92&lt;=K$2, OR($G92="",$G92&gt;=K$2)),
  $H92 * (1 + Assumptions!$C$7) ^ INT(((YEAR(K$2)-YEAR($F92))*12 + MONTH(K$2)-MONTH($F92)) / 12),
  0)</f>
        <v/>
      </c>
      <c r="L92" s="299">
        <f>IF(AND($F92&lt;=L$2, OR($G92="",$G92&gt;=L$2)),
  $H92 * (1 + Assumptions!$C$7) ^ INT(((YEAR(L$2)-YEAR($F92))*12 + MONTH(L$2)-MONTH($F92)) / 12),
  0)</f>
        <v/>
      </c>
      <c r="M92" s="299">
        <f>IF(AND($F92&lt;=M$2, OR($G92="",$G92&gt;=M$2)),
  $H92 * (1 + Assumptions!$C$7) ^ INT(((YEAR(M$2)-YEAR($F92))*12 + MONTH(M$2)-MONTH($F92)) / 12),
  0)</f>
        <v/>
      </c>
      <c r="N92" s="299">
        <f>IF(AND($F92&lt;=N$2, OR($G92="",$G92&gt;=N$2)),
  $H92 * (1 + Assumptions!$C$7) ^ INT(((YEAR(N$2)-YEAR($F92))*12 + MONTH(N$2)-MONTH($F92)) / 12),
  0)</f>
        <v/>
      </c>
      <c r="O92" s="299">
        <f>IF(AND($F92&lt;=O$2, OR($G92="",$G92&gt;=O$2)),
  $H92 * (1 + Assumptions!$C$7) ^ INT(((YEAR(O$2)-YEAR($F92))*12 + MONTH(O$2)-MONTH($F92)) / 12),
  0)</f>
        <v/>
      </c>
      <c r="P92" s="299">
        <f>IF(AND($F92&lt;=P$2, OR($G92="",$G92&gt;=P$2)),
  $H92 * (1 + Assumptions!$C$7) ^ INT(((YEAR(P$2)-YEAR($F92))*12 + MONTH(P$2)-MONTH($F92)) / 12),
  0)</f>
        <v/>
      </c>
      <c r="Q92" s="299">
        <f>IF(AND($F92&lt;=Q$2, OR($G92="",$G92&gt;=Q$2)),
  $H92 * (1 + Assumptions!$C$7) ^ INT(((YEAR(Q$2)-YEAR($F92))*12 + MONTH(Q$2)-MONTH($F92)) / 12),
  0)</f>
        <v/>
      </c>
      <c r="R92" s="299">
        <f>IF(AND($F92&lt;=R$2, OR($G92="",$G92&gt;=R$2)),
  $H92 * (1 + Assumptions!$C$7) ^ INT(((YEAR(R$2)-YEAR($F92))*12 + MONTH(R$2)-MONTH($F92)) / 12),
  0)</f>
        <v/>
      </c>
      <c r="S92" s="299">
        <f>IF(AND($F92&lt;=S$2, OR($G92="",$G92&gt;=S$2)),
  $H92 * (1 + Assumptions!$C$7) ^ INT(((YEAR(S$2)-YEAR($F92))*12 + MONTH(S$2)-MONTH($F92)) / 12),
  0)</f>
        <v/>
      </c>
      <c r="T92" s="299">
        <f>IF(AND($F92&lt;=T$2, OR($G92="",$G92&gt;=T$2)),
  $H92 * (1 + Assumptions!$C$7) ^ INT(((YEAR(T$2)-YEAR($F92))*12 + MONTH(T$2)-MONTH($F92)) / 12),
  0)</f>
        <v/>
      </c>
      <c r="U92" s="299">
        <f>IF(AND($F92&lt;=U$2, OR($G92="",$G92&gt;=U$2)),
  $H92 * (1 + Assumptions!$C$7) ^ INT(((YEAR(U$2)-YEAR($F92))*12 + MONTH(U$2)-MONTH($F92)) / 12),
  0)</f>
        <v/>
      </c>
      <c r="V92" s="299">
        <f>IF(AND($F92&lt;=V$2, OR($G92="",$G92&gt;=V$2)),
  $H92 * (1 + Assumptions!$C$7) ^ INT(((YEAR(V$2)-YEAR($F92))*12 + MONTH(V$2)-MONTH($F92)) / 12),
  0)</f>
        <v/>
      </c>
      <c r="W92" s="299">
        <f>IF(AND($F92&lt;=W$2, OR($G92="",$G92&gt;=W$2)),
  $H92 * (1 + Assumptions!$C$7) ^ INT(((YEAR(W$2)-YEAR($F92))*12 + MONTH(W$2)-MONTH($F92)) / 12),
  0)</f>
        <v/>
      </c>
      <c r="X92" s="299">
        <f>IF(AND($F92&lt;=X$2, OR($G92="",$G92&gt;=X$2)),
  $H92 * (1 + Assumptions!$C$7) ^ INT(((YEAR(X$2)-YEAR($F92))*12 + MONTH(X$2)-MONTH($F92)) / 12),
  0)</f>
        <v/>
      </c>
      <c r="Y92" s="299">
        <f>IF(AND($F92&lt;=Y$2, OR($G92="",$G92&gt;=Y$2)),
  $H92 * (1 + Assumptions!$C$7) ^ INT(((YEAR(Y$2)-YEAR($F92))*12 + MONTH(Y$2)-MONTH($F92)) / 12),
  0)</f>
        <v/>
      </c>
      <c r="Z92" s="299">
        <f>IF(AND($F92&lt;=Z$2, OR($G92="",$G92&gt;=Z$2)),
  $H92 * (1 + Assumptions!$C$7) ^ INT(((YEAR(Z$2)-YEAR($F92))*12 + MONTH(Z$2)-MONTH($F92)) / 12),
  0)</f>
        <v/>
      </c>
      <c r="AA92" s="299">
        <f>IF(AND($F92&lt;=AA$2, OR($G92="",$G92&gt;=AA$2)),
  $H92 * (1 + Assumptions!$C$7) ^ INT(((YEAR(AA$2)-YEAR($F92))*12 + MONTH(AA$2)-MONTH($F92)) / 12),
  0)</f>
        <v/>
      </c>
      <c r="AB92" s="299">
        <f>IF(AND($F92&lt;=AB$2, OR($G92="",$G92&gt;=AB$2)),
  $H92 * (1 + Assumptions!$C$7) ^ INT(((YEAR(AB$2)-YEAR($F92))*12 + MONTH(AB$2)-MONTH($F92)) / 12),
  0)</f>
        <v/>
      </c>
      <c r="AC92" s="299">
        <f>IF(AND($F92&lt;=AC$2, OR($G92="",$G92&gt;=AC$2)),
  $H92 * (1 + Assumptions!$C$7) ^ INT(((YEAR(AC$2)-YEAR($F92))*12 + MONTH(AC$2)-MONTH($F92)) / 12),
  0)</f>
        <v/>
      </c>
      <c r="AD92" s="299">
        <f>IF(AND($F92&lt;=AD$2, OR($G92="",$G92&gt;=AD$2)),
  $H92 * (1 + Assumptions!$C$7) ^ INT(((YEAR(AD$2)-YEAR($F92))*12 + MONTH(AD$2)-MONTH($F92)) / 12),
  0)</f>
        <v/>
      </c>
      <c r="AE92" s="299">
        <f>IF(AND($F92&lt;=AE$2, OR($G92="",$G92&gt;=AE$2)),
  $H92 * (1 + Assumptions!$C$7) ^ INT(((YEAR(AE$2)-YEAR($F92))*12 + MONTH(AE$2)-MONTH($F92)) / 12),
  0)</f>
        <v/>
      </c>
      <c r="AF92" s="299">
        <f>IF(AND($F92&lt;=AF$2, OR($G92="",$G92&gt;=AF$2)),
  $H92 * (1 + Assumptions!$C$7) ^ INT(((YEAR(AF$2)-YEAR($F92))*12 + MONTH(AF$2)-MONTH($F92)) / 12),
  0)</f>
        <v/>
      </c>
      <c r="AG92" s="299">
        <f>IF(AND($F92&lt;=AG$2, OR($G92="",$G92&gt;=AG$2)),
  $H92 * (1 + Assumptions!$C$7) ^ INT(((YEAR(AG$2)-YEAR($F92))*12 + MONTH(AG$2)-MONTH($F92)) / 12),
  0)</f>
        <v/>
      </c>
      <c r="AH92" s="299">
        <f>IF(AND($F92&lt;=AH$2, OR($G92="",$G92&gt;=AH$2)),
  $H92 * (1 + Assumptions!$C$7) ^ INT(((YEAR(AH$2)-YEAR($F92))*12 + MONTH(AH$2)-MONTH($F92)) / 12),
  0)</f>
        <v/>
      </c>
      <c r="AI92" s="299">
        <f>IF(AND($F92&lt;=AI$2, OR($G92="",$G92&gt;=AI$2)),
  $H92 * (1 + Assumptions!$C$7) ^ INT(((YEAR(AI$2)-YEAR($F92))*12 + MONTH(AI$2)-MONTH($F92)) / 12),
  0)</f>
        <v/>
      </c>
      <c r="AJ92" s="299">
        <f>IF(AND($F92&lt;=AJ$2, OR($G92="",$G92&gt;=AJ$2)),
  $H92 * (1 + Assumptions!$C$7) ^ INT(((YEAR(AJ$2)-YEAR($F92))*12 + MONTH(AJ$2)-MONTH($F92)) / 12),
  0)</f>
        <v/>
      </c>
      <c r="AK92" s="299">
        <f>IF(AND($F92&lt;=AK$2, OR($G92="",$G92&gt;=AK$2)),
  $H92 * (1 + Assumptions!$C$7) ^ INT(((YEAR(AK$2)-YEAR($F92))*12 + MONTH(AK$2)-MONTH($F92)) / 12),
  0)</f>
        <v/>
      </c>
      <c r="AL92" s="299">
        <f>IF(AND($F92&lt;=AL$2, OR($G92="",$G92&gt;=AL$2)),
  $H92 * (1 + Assumptions!$C$7) ^ INT(((YEAR(AL$2)-YEAR($F92))*12 + MONTH(AL$2)-MONTH($F92)) / 12),
  0)</f>
        <v/>
      </c>
      <c r="AM92" s="299">
        <f>IF(AND($F92&lt;=AM$2, OR($G92="",$G92&gt;=AM$2)),
  $H92 * (1 + Assumptions!$C$7) ^ INT(((YEAR(AM$2)-YEAR($F92))*12 + MONTH(AM$2)-MONTH($F92)) / 12),
  0)</f>
        <v/>
      </c>
      <c r="AN92" s="299">
        <f>IF(AND($F92&lt;=AN$2, OR($G92="",$G92&gt;=AN$2)),
  $H92 * (1 + Assumptions!$C$7) ^ INT(((YEAR(AN$2)-YEAR($F92))*12 + MONTH(AN$2)-MONTH($F92)) / 12),
  0)</f>
        <v/>
      </c>
      <c r="AO92" s="299">
        <f>IF(AND($F92&lt;=AO$2, OR($G92="",$G92&gt;=AO$2)),
  $H92 * (1 + Assumptions!$C$7) ^ INT(((YEAR(AO$2)-YEAR($F92))*12 + MONTH(AO$2)-MONTH($F92)) / 12),
  0)</f>
        <v/>
      </c>
      <c r="AP92" s="299">
        <f>IF(AND($F92&lt;=AP$2, OR($G92="",$G92&gt;=AP$2)),
  $H92 * (1 + Assumptions!$C$7) ^ INT(((YEAR(AP$2)-YEAR($F92))*12 + MONTH(AP$2)-MONTH($F92)) / 12),
  0)</f>
        <v/>
      </c>
      <c r="AQ92" s="299">
        <f>IF(AND($F92&lt;=AQ$2, OR($G92="",$G92&gt;=AQ$2)),
  $H92 * (1 + Assumptions!$C$7) ^ INT(((YEAR(AQ$2)-YEAR($F92))*12 + MONTH(AQ$2)-MONTH($F92)) / 12),
  0)</f>
        <v/>
      </c>
      <c r="AR92" s="299">
        <f>IF(AND($F92&lt;=AR$2, OR($G92="",$G92&gt;=AR$2)),
  $H92 * (1 + Assumptions!$C$7) ^ INT(((YEAR(AR$2)-YEAR($F92))*12 + MONTH(AR$2)-MONTH($F92)) / 12),
  0)</f>
        <v/>
      </c>
      <c r="AS92" s="299">
        <f>IF(AND($F92&lt;=AS$2, OR($G92="",$G92&gt;=AS$2)),
  $H92 * (1 + Assumptions!$C$7) ^ INT(((YEAR(AS$2)-YEAR($F92))*12 + MONTH(AS$2)-MONTH($F92)) / 12),
  0)</f>
        <v/>
      </c>
      <c r="AT92" s="299">
        <f>IF(AND($F92&lt;=AT$2, OR($G92="",$G92&gt;=AT$2)),
  $H92 * (1 + Assumptions!$C$7) ^ INT(((YEAR(AT$2)-YEAR($F92))*12 + MONTH(AT$2)-MONTH($F92)) / 12),
  0)</f>
        <v/>
      </c>
      <c r="AU92" s="299">
        <f>IF(AND($F92&lt;=AU$2, OR($G92="",$G92&gt;=AU$2)),
  $H92 * (1 + Assumptions!$C$7) ^ INT(((YEAR(AU$2)-YEAR($F92))*12 + MONTH(AU$2)-MONTH($F92)) / 12),
  0)</f>
        <v/>
      </c>
      <c r="AV92" s="299">
        <f>IF(AND($F92&lt;=AV$2, OR($G92="",$G92&gt;=AV$2)),
  $H92 * (1 + Assumptions!$C$7) ^ INT(((YEAR(AV$2)-YEAR($F92))*12 + MONTH(AV$2)-MONTH($F92)) / 12),
  0)</f>
        <v/>
      </c>
      <c r="AW92" s="299">
        <f>IF(AND($F92&lt;=AW$2, OR($G92="",$G92&gt;=AW$2)),
  $H92 * (1 + Assumptions!$C$7) ^ INT(((YEAR(AW$2)-YEAR($F92))*12 + MONTH(AW$2)-MONTH($F92)) / 12),
  0)</f>
        <v/>
      </c>
      <c r="AX92" s="299">
        <f>IF(AND($F92&lt;=AX$2, OR($G92="",$G92&gt;=AX$2)),
  $H92 * (1 + Assumptions!$C$7) ^ INT(((YEAR(AX$2)-YEAR($F92))*12 + MONTH(AX$2)-MONTH($F92)) / 12),
  0)</f>
        <v/>
      </c>
      <c r="AY92" s="299">
        <f>IF(AND($F92&lt;=AY$2, OR($G92="",$G92&gt;=AY$2)),
  $H92 * (1 + Assumptions!$C$7) ^ INT(((YEAR(AY$2)-YEAR($F92))*12 + MONTH(AY$2)-MONTH($F92)) / 12),
  0)</f>
        <v/>
      </c>
      <c r="AZ92" s="299">
        <f>IF(AND($F92&lt;=AZ$2, OR($G92="",$G92&gt;=AZ$2)),
  $H92 * (1 + Assumptions!$C$7) ^ INT(((YEAR(AZ$2)-YEAR($F92))*12 + MONTH(AZ$2)-MONTH($F92)) / 12),
  0)</f>
        <v/>
      </c>
      <c r="BA92" s="299">
        <f>IF(AND($F92&lt;=BA$2, OR($G92="",$G92&gt;=BA$2)),
  $H92 * (1 + Assumptions!$C$7) ^ INT(((YEAR(BA$2)-YEAR($F92))*12 + MONTH(BA$2)-MONTH($F92)) / 12),
  0)</f>
        <v/>
      </c>
      <c r="BB92" s="299">
        <f>IF(AND($F92&lt;=BB$2, OR($G92="",$G92&gt;=BB$2)),
  $H92 * (1 + Assumptions!$C$7) ^ INT(((YEAR(BB$2)-YEAR($F92))*12 + MONTH(BB$2)-MONTH($F92)) / 12),
  0)</f>
        <v/>
      </c>
      <c r="BC92" s="299">
        <f>IF(AND($F92&lt;=BC$2, OR($G92="",$G92&gt;=BC$2)),
  $H92 * (1 + Assumptions!$C$7) ^ INT(((YEAR(BC$2)-YEAR($F92))*12 + MONTH(BC$2)-MONTH($F92)) / 12),
  0)</f>
        <v/>
      </c>
      <c r="BD92" s="299">
        <f>IF(AND($F92&lt;=BD$2, OR($G92="",$G92&gt;=BD$2)),
  $H92 * (1 + Assumptions!$C$7) ^ INT(((YEAR(BD$2)-YEAR($F92))*12 + MONTH(BD$2)-MONTH($F92)) / 12),
  0)</f>
        <v/>
      </c>
      <c r="BE92" s="299">
        <f>IF(AND($F92&lt;=BE$2, OR($G92="",$G92&gt;=BE$2)),
  $H92 * (1 + Assumptions!$C$7) ^ INT(((YEAR(BE$2)-YEAR($F92))*12 + MONTH(BE$2)-MONTH($F92)) / 12),
  0)</f>
        <v/>
      </c>
      <c r="BF92" s="299">
        <f>IF(AND($F92&lt;=BF$2, OR($G92="",$G92&gt;=BF$2)),
  $H92 * (1 + Assumptions!$C$7) ^ INT(((YEAR(BF$2)-YEAR($F92))*12 + MONTH(BF$2)-MONTH($F92)) / 12),
  0)</f>
        <v/>
      </c>
      <c r="BG92" s="299">
        <f>IF(AND($F92&lt;=BG$2, OR($G92="",$G92&gt;=BG$2)),
  $H92 * (1 + Assumptions!$C$7) ^ INT(((YEAR(BG$2)-YEAR($F92))*12 + MONTH(BG$2)-MONTH($F92)) / 12),
  0)</f>
        <v/>
      </c>
      <c r="BH92" s="299">
        <f>IF(AND($F92&lt;=BH$2, OR($G92="",$G92&gt;=BH$2)),
  $H92 * (1 + Assumptions!$C$7) ^ INT(((YEAR(BH$2)-YEAR($F92))*12 + MONTH(BH$2)-MONTH($F92)) / 12),
  0)</f>
        <v/>
      </c>
      <c r="BI92" s="299">
        <f>IF(AND($F92&lt;=BI$2, OR($G92="",$G92&gt;=BI$2)),
  $H92 * (1 + Assumptions!$C$7) ^ INT(((YEAR(BI$2)-YEAR($F92))*12 + MONTH(BI$2)-MONTH($F92)) / 12),
  0)</f>
        <v/>
      </c>
      <c r="BJ92" s="299">
        <f>IF(AND($F92&lt;=BJ$2, OR($G92="",$G92&gt;=BJ$2)),
  $H92 * (1 + Assumptions!$C$7) ^ INT(((YEAR(BJ$2)-YEAR($F92))*12 + MONTH(BJ$2)-MONTH($F92)) / 12),
  0)</f>
        <v/>
      </c>
      <c r="BK92" s="299">
        <f>IF(AND($F92&lt;=BK$2, OR($G92="",$G92&gt;=BK$2)),
  $H92 * (1 + Assumptions!$C$7) ^ INT(((YEAR(BK$2)-YEAR($F92))*12 + MONTH(BK$2)-MONTH($F92)) / 12),
  0)</f>
        <v/>
      </c>
      <c r="BL92" s="299">
        <f>IF(AND($F92&lt;=BL$2, OR($G92="",$G92&gt;=BL$2)),
  $H92 * (1 + Assumptions!$C$7) ^ INT(((YEAR(BL$2)-YEAR($F92))*12 + MONTH(BL$2)-MONTH($F92)) / 12),
  0)</f>
        <v/>
      </c>
      <c r="BM92" s="299">
        <f>IF(AND($F92&lt;=BM$2, OR($G92="",$G92&gt;=BM$2)),
  $H92 * (1 + Assumptions!$C$7) ^ INT(((YEAR(BM$2)-YEAR($F92))*12 + MONTH(BM$2)-MONTH($F92)) / 12),
  0)</f>
        <v/>
      </c>
      <c r="BN92" s="299">
        <f>IF(AND($F92&lt;=BN$2, OR($G92="",$G92&gt;=BN$2)),
  $H92 * (1 + Assumptions!$C$7) ^ INT(((YEAR(BN$2)-YEAR($F92))*12 + MONTH(BN$2)-MONTH($F92)) / 12),
  0)</f>
        <v/>
      </c>
      <c r="BO92" s="299">
        <f>IF(AND($F92&lt;=BO$2, OR($G92="",$G92&gt;=BO$2)),
  $H92 * (1 + Assumptions!$C$7) ^ INT(((YEAR(BO$2)-YEAR($F92))*12 + MONTH(BO$2)-MONTH($F92)) / 12),
  0)</f>
        <v/>
      </c>
      <c r="BP92" s="299">
        <f>IF(AND($F92&lt;=BP$2, OR($G92="",$G92&gt;=BP$2)),
  $H92 * (1 + Assumptions!$C$7) ^ INT(((YEAR(BP$2)-YEAR($F92))*12 + MONTH(BP$2)-MONTH($F92)) / 12),
  0)</f>
        <v/>
      </c>
      <c r="BQ92" s="31" t="n"/>
      <c r="BR92" s="31" t="n"/>
      <c r="BS92" s="31" t="n"/>
      <c r="BT92" s="31" t="n"/>
    </row>
    <row r="93" ht="15.75" customHeight="1" s="349">
      <c r="A93" s="321" t="n">
        <v>88</v>
      </c>
      <c r="B93" s="285" t="inlineStr">
        <is>
          <t>New hire</t>
        </is>
      </c>
      <c r="C93" s="317" t="inlineStr">
        <is>
          <t>G&amp;A</t>
        </is>
      </c>
      <c r="D93" s="317" t="inlineStr">
        <is>
          <t>Supply Chain &amp; Logistics</t>
        </is>
      </c>
      <c r="E93" s="297" t="inlineStr">
        <is>
          <t>Planned</t>
        </is>
      </c>
      <c r="F93" s="318">
        <f>IF(Assumptions!$D$82=2,DATE(2029,2,1),DATE(2035,1,1))</f>
        <v/>
      </c>
      <c r="G93" s="318" t="n"/>
      <c r="H93" s="288" t="n">
        <v>5000</v>
      </c>
      <c r="I93" s="299">
        <f>IF(AND($F93&lt;=I$2, OR($G93="",$G93&gt;=I$2)),
  $H93 * (1 + Assumptions!$C$7) ^ INT(((YEAR(I$2)-YEAR($F93))*12 + MONTH(I$2)-MONTH($F93)) / 12),
  0)</f>
        <v/>
      </c>
      <c r="J93" s="299">
        <f>IF(AND($F93&lt;=J$2, OR($G93="",$G93&gt;=J$2)),
  $H93 * (1 + Assumptions!$C$7) ^ INT(((YEAR(J$2)-YEAR($F93))*12 + MONTH(J$2)-MONTH($F93)) / 12),
  0)</f>
        <v/>
      </c>
      <c r="K93" s="299">
        <f>IF(AND($F93&lt;=K$2, OR($G93="",$G93&gt;=K$2)),
  $H93 * (1 + Assumptions!$C$7) ^ INT(((YEAR(K$2)-YEAR($F93))*12 + MONTH(K$2)-MONTH($F93)) / 12),
  0)</f>
        <v/>
      </c>
      <c r="L93" s="299">
        <f>IF(AND($F93&lt;=L$2, OR($G93="",$G93&gt;=L$2)),
  $H93 * (1 + Assumptions!$C$7) ^ INT(((YEAR(L$2)-YEAR($F93))*12 + MONTH(L$2)-MONTH($F93)) / 12),
  0)</f>
        <v/>
      </c>
      <c r="M93" s="299">
        <f>IF(AND($F93&lt;=M$2, OR($G93="",$G93&gt;=M$2)),
  $H93 * (1 + Assumptions!$C$7) ^ INT(((YEAR(M$2)-YEAR($F93))*12 + MONTH(M$2)-MONTH($F93)) / 12),
  0)</f>
        <v/>
      </c>
      <c r="N93" s="299">
        <f>IF(AND($F93&lt;=N$2, OR($G93="",$G93&gt;=N$2)),
  $H93 * (1 + Assumptions!$C$7) ^ INT(((YEAR(N$2)-YEAR($F93))*12 + MONTH(N$2)-MONTH($F93)) / 12),
  0)</f>
        <v/>
      </c>
      <c r="O93" s="299">
        <f>IF(AND($F93&lt;=O$2, OR($G93="",$G93&gt;=O$2)),
  $H93 * (1 + Assumptions!$C$7) ^ INT(((YEAR(O$2)-YEAR($F93))*12 + MONTH(O$2)-MONTH($F93)) / 12),
  0)</f>
        <v/>
      </c>
      <c r="P93" s="299">
        <f>IF(AND($F93&lt;=P$2, OR($G93="",$G93&gt;=P$2)),
  $H93 * (1 + Assumptions!$C$7) ^ INT(((YEAR(P$2)-YEAR($F93))*12 + MONTH(P$2)-MONTH($F93)) / 12),
  0)</f>
        <v/>
      </c>
      <c r="Q93" s="299">
        <f>IF(AND($F93&lt;=Q$2, OR($G93="",$G93&gt;=Q$2)),
  $H93 * (1 + Assumptions!$C$7) ^ INT(((YEAR(Q$2)-YEAR($F93))*12 + MONTH(Q$2)-MONTH($F93)) / 12),
  0)</f>
        <v/>
      </c>
      <c r="R93" s="299">
        <f>IF(AND($F93&lt;=R$2, OR($G93="",$G93&gt;=R$2)),
  $H93 * (1 + Assumptions!$C$7) ^ INT(((YEAR(R$2)-YEAR($F93))*12 + MONTH(R$2)-MONTH($F93)) / 12),
  0)</f>
        <v/>
      </c>
      <c r="S93" s="299">
        <f>IF(AND($F93&lt;=S$2, OR($G93="",$G93&gt;=S$2)),
  $H93 * (1 + Assumptions!$C$7) ^ INT(((YEAR(S$2)-YEAR($F93))*12 + MONTH(S$2)-MONTH($F93)) / 12),
  0)</f>
        <v/>
      </c>
      <c r="T93" s="299">
        <f>IF(AND($F93&lt;=T$2, OR($G93="",$G93&gt;=T$2)),
  $H93 * (1 + Assumptions!$C$7) ^ INT(((YEAR(T$2)-YEAR($F93))*12 + MONTH(T$2)-MONTH($F93)) / 12),
  0)</f>
        <v/>
      </c>
      <c r="U93" s="299">
        <f>IF(AND($F93&lt;=U$2, OR($G93="",$G93&gt;=U$2)),
  $H93 * (1 + Assumptions!$C$7) ^ INT(((YEAR(U$2)-YEAR($F93))*12 + MONTH(U$2)-MONTH($F93)) / 12),
  0)</f>
        <v/>
      </c>
      <c r="V93" s="299">
        <f>IF(AND($F93&lt;=V$2, OR($G93="",$G93&gt;=V$2)),
  $H93 * (1 + Assumptions!$C$7) ^ INT(((YEAR(V$2)-YEAR($F93))*12 + MONTH(V$2)-MONTH($F93)) / 12),
  0)</f>
        <v/>
      </c>
      <c r="W93" s="299">
        <f>IF(AND($F93&lt;=W$2, OR($G93="",$G93&gt;=W$2)),
  $H93 * (1 + Assumptions!$C$7) ^ INT(((YEAR(W$2)-YEAR($F93))*12 + MONTH(W$2)-MONTH($F93)) / 12),
  0)</f>
        <v/>
      </c>
      <c r="X93" s="299">
        <f>IF(AND($F93&lt;=X$2, OR($G93="",$G93&gt;=X$2)),
  $H93 * (1 + Assumptions!$C$7) ^ INT(((YEAR(X$2)-YEAR($F93))*12 + MONTH(X$2)-MONTH($F93)) / 12),
  0)</f>
        <v/>
      </c>
      <c r="Y93" s="299">
        <f>IF(AND($F93&lt;=Y$2, OR($G93="",$G93&gt;=Y$2)),
  $H93 * (1 + Assumptions!$C$7) ^ INT(((YEAR(Y$2)-YEAR($F93))*12 + MONTH(Y$2)-MONTH($F93)) / 12),
  0)</f>
        <v/>
      </c>
      <c r="Z93" s="299">
        <f>IF(AND($F93&lt;=Z$2, OR($G93="",$G93&gt;=Z$2)),
  $H93 * (1 + Assumptions!$C$7) ^ INT(((YEAR(Z$2)-YEAR($F93))*12 + MONTH(Z$2)-MONTH($F93)) / 12),
  0)</f>
        <v/>
      </c>
      <c r="AA93" s="299">
        <f>IF(AND($F93&lt;=AA$2, OR($G93="",$G93&gt;=AA$2)),
  $H93 * (1 + Assumptions!$C$7) ^ INT(((YEAR(AA$2)-YEAR($F93))*12 + MONTH(AA$2)-MONTH($F93)) / 12),
  0)</f>
        <v/>
      </c>
      <c r="AB93" s="299">
        <f>IF(AND($F93&lt;=AB$2, OR($G93="",$G93&gt;=AB$2)),
  $H93 * (1 + Assumptions!$C$7) ^ INT(((YEAR(AB$2)-YEAR($F93))*12 + MONTH(AB$2)-MONTH($F93)) / 12),
  0)</f>
        <v/>
      </c>
      <c r="AC93" s="299">
        <f>IF(AND($F93&lt;=AC$2, OR($G93="",$G93&gt;=AC$2)),
  $H93 * (1 + Assumptions!$C$7) ^ INT(((YEAR(AC$2)-YEAR($F93))*12 + MONTH(AC$2)-MONTH($F93)) / 12),
  0)</f>
        <v/>
      </c>
      <c r="AD93" s="299">
        <f>IF(AND($F93&lt;=AD$2, OR($G93="",$G93&gt;=AD$2)),
  $H93 * (1 + Assumptions!$C$7) ^ INT(((YEAR(AD$2)-YEAR($F93))*12 + MONTH(AD$2)-MONTH($F93)) / 12),
  0)</f>
        <v/>
      </c>
      <c r="AE93" s="299">
        <f>IF(AND($F93&lt;=AE$2, OR($G93="",$G93&gt;=AE$2)),
  $H93 * (1 + Assumptions!$C$7) ^ INT(((YEAR(AE$2)-YEAR($F93))*12 + MONTH(AE$2)-MONTH($F93)) / 12),
  0)</f>
        <v/>
      </c>
      <c r="AF93" s="299">
        <f>IF(AND($F93&lt;=AF$2, OR($G93="",$G93&gt;=AF$2)),
  $H93 * (1 + Assumptions!$C$7) ^ INT(((YEAR(AF$2)-YEAR($F93))*12 + MONTH(AF$2)-MONTH($F93)) / 12),
  0)</f>
        <v/>
      </c>
      <c r="AG93" s="299">
        <f>IF(AND($F93&lt;=AG$2, OR($G93="",$G93&gt;=AG$2)),
  $H93 * (1 + Assumptions!$C$7) ^ INT(((YEAR(AG$2)-YEAR($F93))*12 + MONTH(AG$2)-MONTH($F93)) / 12),
  0)</f>
        <v/>
      </c>
      <c r="AH93" s="299">
        <f>IF(AND($F93&lt;=AH$2, OR($G93="",$G93&gt;=AH$2)),
  $H93 * (1 + Assumptions!$C$7) ^ INT(((YEAR(AH$2)-YEAR($F93))*12 + MONTH(AH$2)-MONTH($F93)) / 12),
  0)</f>
        <v/>
      </c>
      <c r="AI93" s="299">
        <f>IF(AND($F93&lt;=AI$2, OR($G93="",$G93&gt;=AI$2)),
  $H93 * (1 + Assumptions!$C$7) ^ INT(((YEAR(AI$2)-YEAR($F93))*12 + MONTH(AI$2)-MONTH($F93)) / 12),
  0)</f>
        <v/>
      </c>
      <c r="AJ93" s="299">
        <f>IF(AND($F93&lt;=AJ$2, OR($G93="",$G93&gt;=AJ$2)),
  $H93 * (1 + Assumptions!$C$7) ^ INT(((YEAR(AJ$2)-YEAR($F93))*12 + MONTH(AJ$2)-MONTH($F93)) / 12),
  0)</f>
        <v/>
      </c>
      <c r="AK93" s="299">
        <f>IF(AND($F93&lt;=AK$2, OR($G93="",$G93&gt;=AK$2)),
  $H93 * (1 + Assumptions!$C$7) ^ INT(((YEAR(AK$2)-YEAR($F93))*12 + MONTH(AK$2)-MONTH($F93)) / 12),
  0)</f>
        <v/>
      </c>
      <c r="AL93" s="299">
        <f>IF(AND($F93&lt;=AL$2, OR($G93="",$G93&gt;=AL$2)),
  $H93 * (1 + Assumptions!$C$7) ^ INT(((YEAR(AL$2)-YEAR($F93))*12 + MONTH(AL$2)-MONTH($F93)) / 12),
  0)</f>
        <v/>
      </c>
      <c r="AM93" s="299">
        <f>IF(AND($F93&lt;=AM$2, OR($G93="",$G93&gt;=AM$2)),
  $H93 * (1 + Assumptions!$C$7) ^ INT(((YEAR(AM$2)-YEAR($F93))*12 + MONTH(AM$2)-MONTH($F93)) / 12),
  0)</f>
        <v/>
      </c>
      <c r="AN93" s="299">
        <f>IF(AND($F93&lt;=AN$2, OR($G93="",$G93&gt;=AN$2)),
  $H93 * (1 + Assumptions!$C$7) ^ INT(((YEAR(AN$2)-YEAR($F93))*12 + MONTH(AN$2)-MONTH($F93)) / 12),
  0)</f>
        <v/>
      </c>
      <c r="AO93" s="299">
        <f>IF(AND($F93&lt;=AO$2, OR($G93="",$G93&gt;=AO$2)),
  $H93 * (1 + Assumptions!$C$7) ^ INT(((YEAR(AO$2)-YEAR($F93))*12 + MONTH(AO$2)-MONTH($F93)) / 12),
  0)</f>
        <v/>
      </c>
      <c r="AP93" s="299">
        <f>IF(AND($F93&lt;=AP$2, OR($G93="",$G93&gt;=AP$2)),
  $H93 * (1 + Assumptions!$C$7) ^ INT(((YEAR(AP$2)-YEAR($F93))*12 + MONTH(AP$2)-MONTH($F93)) / 12),
  0)</f>
        <v/>
      </c>
      <c r="AQ93" s="299">
        <f>IF(AND($F93&lt;=AQ$2, OR($G93="",$G93&gt;=AQ$2)),
  $H93 * (1 + Assumptions!$C$7) ^ INT(((YEAR(AQ$2)-YEAR($F93))*12 + MONTH(AQ$2)-MONTH($F93)) / 12),
  0)</f>
        <v/>
      </c>
      <c r="AR93" s="299">
        <f>IF(AND($F93&lt;=AR$2, OR($G93="",$G93&gt;=AR$2)),
  $H93 * (1 + Assumptions!$C$7) ^ INT(((YEAR(AR$2)-YEAR($F93))*12 + MONTH(AR$2)-MONTH($F93)) / 12),
  0)</f>
        <v/>
      </c>
      <c r="AS93" s="299">
        <f>IF(AND($F93&lt;=AS$2, OR($G93="",$G93&gt;=AS$2)),
  $H93 * (1 + Assumptions!$C$7) ^ INT(((YEAR(AS$2)-YEAR($F93))*12 + MONTH(AS$2)-MONTH($F93)) / 12),
  0)</f>
        <v/>
      </c>
      <c r="AT93" s="299">
        <f>IF(AND($F93&lt;=AT$2, OR($G93="",$G93&gt;=AT$2)),
  $H93 * (1 + Assumptions!$C$7) ^ INT(((YEAR(AT$2)-YEAR($F93))*12 + MONTH(AT$2)-MONTH($F93)) / 12),
  0)</f>
        <v/>
      </c>
      <c r="AU93" s="299">
        <f>IF(AND($F93&lt;=AU$2, OR($G93="",$G93&gt;=AU$2)),
  $H93 * (1 + Assumptions!$C$7) ^ INT(((YEAR(AU$2)-YEAR($F93))*12 + MONTH(AU$2)-MONTH($F93)) / 12),
  0)</f>
        <v/>
      </c>
      <c r="AV93" s="299">
        <f>IF(AND($F93&lt;=AV$2, OR($G93="",$G93&gt;=AV$2)),
  $H93 * (1 + Assumptions!$C$7) ^ INT(((YEAR(AV$2)-YEAR($F93))*12 + MONTH(AV$2)-MONTH($F93)) / 12),
  0)</f>
        <v/>
      </c>
      <c r="AW93" s="299">
        <f>IF(AND($F93&lt;=AW$2, OR($G93="",$G93&gt;=AW$2)),
  $H93 * (1 + Assumptions!$C$7) ^ INT(((YEAR(AW$2)-YEAR($F93))*12 + MONTH(AW$2)-MONTH($F93)) / 12),
  0)</f>
        <v/>
      </c>
      <c r="AX93" s="299">
        <f>IF(AND($F93&lt;=AX$2, OR($G93="",$G93&gt;=AX$2)),
  $H93 * (1 + Assumptions!$C$7) ^ INT(((YEAR(AX$2)-YEAR($F93))*12 + MONTH(AX$2)-MONTH($F93)) / 12),
  0)</f>
        <v/>
      </c>
      <c r="AY93" s="299">
        <f>IF(AND($F93&lt;=AY$2, OR($G93="",$G93&gt;=AY$2)),
  $H93 * (1 + Assumptions!$C$7) ^ INT(((YEAR(AY$2)-YEAR($F93))*12 + MONTH(AY$2)-MONTH($F93)) / 12),
  0)</f>
        <v/>
      </c>
      <c r="AZ93" s="299">
        <f>IF(AND($F93&lt;=AZ$2, OR($G93="",$G93&gt;=AZ$2)),
  $H93 * (1 + Assumptions!$C$7) ^ INT(((YEAR(AZ$2)-YEAR($F93))*12 + MONTH(AZ$2)-MONTH($F93)) / 12),
  0)</f>
        <v/>
      </c>
      <c r="BA93" s="299">
        <f>IF(AND($F93&lt;=BA$2, OR($G93="",$G93&gt;=BA$2)),
  $H93 * (1 + Assumptions!$C$7) ^ INT(((YEAR(BA$2)-YEAR($F93))*12 + MONTH(BA$2)-MONTH($F93)) / 12),
  0)</f>
        <v/>
      </c>
      <c r="BB93" s="299">
        <f>IF(AND($F93&lt;=BB$2, OR($G93="",$G93&gt;=BB$2)),
  $H93 * (1 + Assumptions!$C$7) ^ INT(((YEAR(BB$2)-YEAR($F93))*12 + MONTH(BB$2)-MONTH($F93)) / 12),
  0)</f>
        <v/>
      </c>
      <c r="BC93" s="299">
        <f>IF(AND($F93&lt;=BC$2, OR($G93="",$G93&gt;=BC$2)),
  $H93 * (1 + Assumptions!$C$7) ^ INT(((YEAR(BC$2)-YEAR($F93))*12 + MONTH(BC$2)-MONTH($F93)) / 12),
  0)</f>
        <v/>
      </c>
      <c r="BD93" s="299">
        <f>IF(AND($F93&lt;=BD$2, OR($G93="",$G93&gt;=BD$2)),
  $H93 * (1 + Assumptions!$C$7) ^ INT(((YEAR(BD$2)-YEAR($F93))*12 + MONTH(BD$2)-MONTH($F93)) / 12),
  0)</f>
        <v/>
      </c>
      <c r="BE93" s="299">
        <f>IF(AND($F93&lt;=BE$2, OR($G93="",$G93&gt;=BE$2)),
  $H93 * (1 + Assumptions!$C$7) ^ INT(((YEAR(BE$2)-YEAR($F93))*12 + MONTH(BE$2)-MONTH($F93)) / 12),
  0)</f>
        <v/>
      </c>
      <c r="BF93" s="299">
        <f>IF(AND($F93&lt;=BF$2, OR($G93="",$G93&gt;=BF$2)),
  $H93 * (1 + Assumptions!$C$7) ^ INT(((YEAR(BF$2)-YEAR($F93))*12 + MONTH(BF$2)-MONTH($F93)) / 12),
  0)</f>
        <v/>
      </c>
      <c r="BG93" s="299">
        <f>IF(AND($F93&lt;=BG$2, OR($G93="",$G93&gt;=BG$2)),
  $H93 * (1 + Assumptions!$C$7) ^ INT(((YEAR(BG$2)-YEAR($F93))*12 + MONTH(BG$2)-MONTH($F93)) / 12),
  0)</f>
        <v/>
      </c>
      <c r="BH93" s="299">
        <f>IF(AND($F93&lt;=BH$2, OR($G93="",$G93&gt;=BH$2)),
  $H93 * (1 + Assumptions!$C$7) ^ INT(((YEAR(BH$2)-YEAR($F93))*12 + MONTH(BH$2)-MONTH($F93)) / 12),
  0)</f>
        <v/>
      </c>
      <c r="BI93" s="299">
        <f>IF(AND($F93&lt;=BI$2, OR($G93="",$G93&gt;=BI$2)),
  $H93 * (1 + Assumptions!$C$7) ^ INT(((YEAR(BI$2)-YEAR($F93))*12 + MONTH(BI$2)-MONTH($F93)) / 12),
  0)</f>
        <v/>
      </c>
      <c r="BJ93" s="299">
        <f>IF(AND($F93&lt;=BJ$2, OR($G93="",$G93&gt;=BJ$2)),
  $H93 * (1 + Assumptions!$C$7) ^ INT(((YEAR(BJ$2)-YEAR($F93))*12 + MONTH(BJ$2)-MONTH($F93)) / 12),
  0)</f>
        <v/>
      </c>
      <c r="BK93" s="299">
        <f>IF(AND($F93&lt;=BK$2, OR($G93="",$G93&gt;=BK$2)),
  $H93 * (1 + Assumptions!$C$7) ^ INT(((YEAR(BK$2)-YEAR($F93))*12 + MONTH(BK$2)-MONTH($F93)) / 12),
  0)</f>
        <v/>
      </c>
      <c r="BL93" s="299">
        <f>IF(AND($F93&lt;=BL$2, OR($G93="",$G93&gt;=BL$2)),
  $H93 * (1 + Assumptions!$C$7) ^ INT(((YEAR(BL$2)-YEAR($F93))*12 + MONTH(BL$2)-MONTH($F93)) / 12),
  0)</f>
        <v/>
      </c>
      <c r="BM93" s="299">
        <f>IF(AND($F93&lt;=BM$2, OR($G93="",$G93&gt;=BM$2)),
  $H93 * (1 + Assumptions!$C$7) ^ INT(((YEAR(BM$2)-YEAR($F93))*12 + MONTH(BM$2)-MONTH($F93)) / 12),
  0)</f>
        <v/>
      </c>
      <c r="BN93" s="299">
        <f>IF(AND($F93&lt;=BN$2, OR($G93="",$G93&gt;=BN$2)),
  $H93 * (1 + Assumptions!$C$7) ^ INT(((YEAR(BN$2)-YEAR($F93))*12 + MONTH(BN$2)-MONTH($F93)) / 12),
  0)</f>
        <v/>
      </c>
      <c r="BO93" s="299">
        <f>IF(AND($F93&lt;=BO$2, OR($G93="",$G93&gt;=BO$2)),
  $H93 * (1 + Assumptions!$C$7) ^ INT(((YEAR(BO$2)-YEAR($F93))*12 + MONTH(BO$2)-MONTH($F93)) / 12),
  0)</f>
        <v/>
      </c>
      <c r="BP93" s="299">
        <f>IF(AND($F93&lt;=BP$2, OR($G93="",$G93&gt;=BP$2)),
  $H93 * (1 + Assumptions!$C$7) ^ INT(((YEAR(BP$2)-YEAR($F93))*12 + MONTH(BP$2)-MONTH($F93)) / 12),
  0)</f>
        <v/>
      </c>
      <c r="BQ93" s="31" t="n"/>
      <c r="BR93" s="31" t="n"/>
      <c r="BS93" s="31" t="n"/>
      <c r="BT93" s="31" t="n"/>
    </row>
    <row r="94" ht="15.75" customHeight="1" s="349">
      <c r="A94" s="321" t="n">
        <v>89</v>
      </c>
      <c r="B94" s="285" t="inlineStr">
        <is>
          <t>New hire</t>
        </is>
      </c>
      <c r="C94" s="317" t="inlineStr">
        <is>
          <t>G&amp;A</t>
        </is>
      </c>
      <c r="D94" s="317" t="inlineStr">
        <is>
          <t>Supply Chain &amp; Logistics</t>
        </is>
      </c>
      <c r="E94" s="297" t="inlineStr">
        <is>
          <t>Planned</t>
        </is>
      </c>
      <c r="F94" s="318">
        <f>IF(Assumptions!$D$82=2,DATE(2029,4,1),DATE(2035,1,1))</f>
        <v/>
      </c>
      <c r="G94" s="318" t="n"/>
      <c r="H94" s="288" t="n">
        <v>5000</v>
      </c>
      <c r="I94" s="299">
        <f>IF(AND($F94&lt;=I$2, OR($G94="",$G94&gt;=I$2)),
  $H94 * (1 + Assumptions!$C$7) ^ INT(((YEAR(I$2)-YEAR($F94))*12 + MONTH(I$2)-MONTH($F94)) / 12),
  0)</f>
        <v/>
      </c>
      <c r="J94" s="299">
        <f>IF(AND($F94&lt;=J$2, OR($G94="",$G94&gt;=J$2)),
  $H94 * (1 + Assumptions!$C$7) ^ INT(((YEAR(J$2)-YEAR($F94))*12 + MONTH(J$2)-MONTH($F94)) / 12),
  0)</f>
        <v/>
      </c>
      <c r="K94" s="299">
        <f>IF(AND($F94&lt;=K$2, OR($G94="",$G94&gt;=K$2)),
  $H94 * (1 + Assumptions!$C$7) ^ INT(((YEAR(K$2)-YEAR($F94))*12 + MONTH(K$2)-MONTH($F94)) / 12),
  0)</f>
        <v/>
      </c>
      <c r="L94" s="299">
        <f>IF(AND($F94&lt;=L$2, OR($G94="",$G94&gt;=L$2)),
  $H94 * (1 + Assumptions!$C$7) ^ INT(((YEAR(L$2)-YEAR($F94))*12 + MONTH(L$2)-MONTH($F94)) / 12),
  0)</f>
        <v/>
      </c>
      <c r="M94" s="299">
        <f>IF(AND($F94&lt;=M$2, OR($G94="",$G94&gt;=M$2)),
  $H94 * (1 + Assumptions!$C$7) ^ INT(((YEAR(M$2)-YEAR($F94))*12 + MONTH(M$2)-MONTH($F94)) / 12),
  0)</f>
        <v/>
      </c>
      <c r="N94" s="299">
        <f>IF(AND($F94&lt;=N$2, OR($G94="",$G94&gt;=N$2)),
  $H94 * (1 + Assumptions!$C$7) ^ INT(((YEAR(N$2)-YEAR($F94))*12 + MONTH(N$2)-MONTH($F94)) / 12),
  0)</f>
        <v/>
      </c>
      <c r="O94" s="299">
        <f>IF(AND($F94&lt;=O$2, OR($G94="",$G94&gt;=O$2)),
  $H94 * (1 + Assumptions!$C$7) ^ INT(((YEAR(O$2)-YEAR($F94))*12 + MONTH(O$2)-MONTH($F94)) / 12),
  0)</f>
        <v/>
      </c>
      <c r="P94" s="299">
        <f>IF(AND($F94&lt;=P$2, OR($G94="",$G94&gt;=P$2)),
  $H94 * (1 + Assumptions!$C$7) ^ INT(((YEAR(P$2)-YEAR($F94))*12 + MONTH(P$2)-MONTH($F94)) / 12),
  0)</f>
        <v/>
      </c>
      <c r="Q94" s="299">
        <f>IF(AND($F94&lt;=Q$2, OR($G94="",$G94&gt;=Q$2)),
  $H94 * (1 + Assumptions!$C$7) ^ INT(((YEAR(Q$2)-YEAR($F94))*12 + MONTH(Q$2)-MONTH($F94)) / 12),
  0)</f>
        <v/>
      </c>
      <c r="R94" s="299">
        <f>IF(AND($F94&lt;=R$2, OR($G94="",$G94&gt;=R$2)),
  $H94 * (1 + Assumptions!$C$7) ^ INT(((YEAR(R$2)-YEAR($F94))*12 + MONTH(R$2)-MONTH($F94)) / 12),
  0)</f>
        <v/>
      </c>
      <c r="S94" s="299">
        <f>IF(AND($F94&lt;=S$2, OR($G94="",$G94&gt;=S$2)),
  $H94 * (1 + Assumptions!$C$7) ^ INT(((YEAR(S$2)-YEAR($F94))*12 + MONTH(S$2)-MONTH($F94)) / 12),
  0)</f>
        <v/>
      </c>
      <c r="T94" s="299">
        <f>IF(AND($F94&lt;=T$2, OR($G94="",$G94&gt;=T$2)),
  $H94 * (1 + Assumptions!$C$7) ^ INT(((YEAR(T$2)-YEAR($F94))*12 + MONTH(T$2)-MONTH($F94)) / 12),
  0)</f>
        <v/>
      </c>
      <c r="U94" s="299">
        <f>IF(AND($F94&lt;=U$2, OR($G94="",$G94&gt;=U$2)),
  $H94 * (1 + Assumptions!$C$7) ^ INT(((YEAR(U$2)-YEAR($F94))*12 + MONTH(U$2)-MONTH($F94)) / 12),
  0)</f>
        <v/>
      </c>
      <c r="V94" s="299">
        <f>IF(AND($F94&lt;=V$2, OR($G94="",$G94&gt;=V$2)),
  $H94 * (1 + Assumptions!$C$7) ^ INT(((YEAR(V$2)-YEAR($F94))*12 + MONTH(V$2)-MONTH($F94)) / 12),
  0)</f>
        <v/>
      </c>
      <c r="W94" s="299">
        <f>IF(AND($F94&lt;=W$2, OR($G94="",$G94&gt;=W$2)),
  $H94 * (1 + Assumptions!$C$7) ^ INT(((YEAR(W$2)-YEAR($F94))*12 + MONTH(W$2)-MONTH($F94)) / 12),
  0)</f>
        <v/>
      </c>
      <c r="X94" s="299">
        <f>IF(AND($F94&lt;=X$2, OR($G94="",$G94&gt;=X$2)),
  $H94 * (1 + Assumptions!$C$7) ^ INT(((YEAR(X$2)-YEAR($F94))*12 + MONTH(X$2)-MONTH($F94)) / 12),
  0)</f>
        <v/>
      </c>
      <c r="Y94" s="299">
        <f>IF(AND($F94&lt;=Y$2, OR($G94="",$G94&gt;=Y$2)),
  $H94 * (1 + Assumptions!$C$7) ^ INT(((YEAR(Y$2)-YEAR($F94))*12 + MONTH(Y$2)-MONTH($F94)) / 12),
  0)</f>
        <v/>
      </c>
      <c r="Z94" s="299">
        <f>IF(AND($F94&lt;=Z$2, OR($G94="",$G94&gt;=Z$2)),
  $H94 * (1 + Assumptions!$C$7) ^ INT(((YEAR(Z$2)-YEAR($F94))*12 + MONTH(Z$2)-MONTH($F94)) / 12),
  0)</f>
        <v/>
      </c>
      <c r="AA94" s="299">
        <f>IF(AND($F94&lt;=AA$2, OR($G94="",$G94&gt;=AA$2)),
  $H94 * (1 + Assumptions!$C$7) ^ INT(((YEAR(AA$2)-YEAR($F94))*12 + MONTH(AA$2)-MONTH($F94)) / 12),
  0)</f>
        <v/>
      </c>
      <c r="AB94" s="299">
        <f>IF(AND($F94&lt;=AB$2, OR($G94="",$G94&gt;=AB$2)),
  $H94 * (1 + Assumptions!$C$7) ^ INT(((YEAR(AB$2)-YEAR($F94))*12 + MONTH(AB$2)-MONTH($F94)) / 12),
  0)</f>
        <v/>
      </c>
      <c r="AC94" s="299">
        <f>IF(AND($F94&lt;=AC$2, OR($G94="",$G94&gt;=AC$2)),
  $H94 * (1 + Assumptions!$C$7) ^ INT(((YEAR(AC$2)-YEAR($F94))*12 + MONTH(AC$2)-MONTH($F94)) / 12),
  0)</f>
        <v/>
      </c>
      <c r="AD94" s="299">
        <f>IF(AND($F94&lt;=AD$2, OR($G94="",$G94&gt;=AD$2)),
  $H94 * (1 + Assumptions!$C$7) ^ INT(((YEAR(AD$2)-YEAR($F94))*12 + MONTH(AD$2)-MONTH($F94)) / 12),
  0)</f>
        <v/>
      </c>
      <c r="AE94" s="299">
        <f>IF(AND($F94&lt;=AE$2, OR($G94="",$G94&gt;=AE$2)),
  $H94 * (1 + Assumptions!$C$7) ^ INT(((YEAR(AE$2)-YEAR($F94))*12 + MONTH(AE$2)-MONTH($F94)) / 12),
  0)</f>
        <v/>
      </c>
      <c r="AF94" s="299">
        <f>IF(AND($F94&lt;=AF$2, OR($G94="",$G94&gt;=AF$2)),
  $H94 * (1 + Assumptions!$C$7) ^ INT(((YEAR(AF$2)-YEAR($F94))*12 + MONTH(AF$2)-MONTH($F94)) / 12),
  0)</f>
        <v/>
      </c>
      <c r="AG94" s="299">
        <f>IF(AND($F94&lt;=AG$2, OR($G94="",$G94&gt;=AG$2)),
  $H94 * (1 + Assumptions!$C$7) ^ INT(((YEAR(AG$2)-YEAR($F94))*12 + MONTH(AG$2)-MONTH($F94)) / 12),
  0)</f>
        <v/>
      </c>
      <c r="AH94" s="299">
        <f>IF(AND($F94&lt;=AH$2, OR($G94="",$G94&gt;=AH$2)),
  $H94 * (1 + Assumptions!$C$7) ^ INT(((YEAR(AH$2)-YEAR($F94))*12 + MONTH(AH$2)-MONTH($F94)) / 12),
  0)</f>
        <v/>
      </c>
      <c r="AI94" s="299">
        <f>IF(AND($F94&lt;=AI$2, OR($G94="",$G94&gt;=AI$2)),
  $H94 * (1 + Assumptions!$C$7) ^ INT(((YEAR(AI$2)-YEAR($F94))*12 + MONTH(AI$2)-MONTH($F94)) / 12),
  0)</f>
        <v/>
      </c>
      <c r="AJ94" s="299">
        <f>IF(AND($F94&lt;=AJ$2, OR($G94="",$G94&gt;=AJ$2)),
  $H94 * (1 + Assumptions!$C$7) ^ INT(((YEAR(AJ$2)-YEAR($F94))*12 + MONTH(AJ$2)-MONTH($F94)) / 12),
  0)</f>
        <v/>
      </c>
      <c r="AK94" s="299">
        <f>IF(AND($F94&lt;=AK$2, OR($G94="",$G94&gt;=AK$2)),
  $H94 * (1 + Assumptions!$C$7) ^ INT(((YEAR(AK$2)-YEAR($F94))*12 + MONTH(AK$2)-MONTH($F94)) / 12),
  0)</f>
        <v/>
      </c>
      <c r="AL94" s="299">
        <f>IF(AND($F94&lt;=AL$2, OR($G94="",$G94&gt;=AL$2)),
  $H94 * (1 + Assumptions!$C$7) ^ INT(((YEAR(AL$2)-YEAR($F94))*12 + MONTH(AL$2)-MONTH($F94)) / 12),
  0)</f>
        <v/>
      </c>
      <c r="AM94" s="299">
        <f>IF(AND($F94&lt;=AM$2, OR($G94="",$G94&gt;=AM$2)),
  $H94 * (1 + Assumptions!$C$7) ^ INT(((YEAR(AM$2)-YEAR($F94))*12 + MONTH(AM$2)-MONTH($F94)) / 12),
  0)</f>
        <v/>
      </c>
      <c r="AN94" s="299">
        <f>IF(AND($F94&lt;=AN$2, OR($G94="",$G94&gt;=AN$2)),
  $H94 * (1 + Assumptions!$C$7) ^ INT(((YEAR(AN$2)-YEAR($F94))*12 + MONTH(AN$2)-MONTH($F94)) / 12),
  0)</f>
        <v/>
      </c>
      <c r="AO94" s="299">
        <f>IF(AND($F94&lt;=AO$2, OR($G94="",$G94&gt;=AO$2)),
  $H94 * (1 + Assumptions!$C$7) ^ INT(((YEAR(AO$2)-YEAR($F94))*12 + MONTH(AO$2)-MONTH($F94)) / 12),
  0)</f>
        <v/>
      </c>
      <c r="AP94" s="299">
        <f>IF(AND($F94&lt;=AP$2, OR($G94="",$G94&gt;=AP$2)),
  $H94 * (1 + Assumptions!$C$7) ^ INT(((YEAR(AP$2)-YEAR($F94))*12 + MONTH(AP$2)-MONTH($F94)) / 12),
  0)</f>
        <v/>
      </c>
      <c r="AQ94" s="299">
        <f>IF(AND($F94&lt;=AQ$2, OR($G94="",$G94&gt;=AQ$2)),
  $H94 * (1 + Assumptions!$C$7) ^ INT(((YEAR(AQ$2)-YEAR($F94))*12 + MONTH(AQ$2)-MONTH($F94)) / 12),
  0)</f>
        <v/>
      </c>
      <c r="AR94" s="299">
        <f>IF(AND($F94&lt;=AR$2, OR($G94="",$G94&gt;=AR$2)),
  $H94 * (1 + Assumptions!$C$7) ^ INT(((YEAR(AR$2)-YEAR($F94))*12 + MONTH(AR$2)-MONTH($F94)) / 12),
  0)</f>
        <v/>
      </c>
      <c r="AS94" s="299">
        <f>IF(AND($F94&lt;=AS$2, OR($G94="",$G94&gt;=AS$2)),
  $H94 * (1 + Assumptions!$C$7) ^ INT(((YEAR(AS$2)-YEAR($F94))*12 + MONTH(AS$2)-MONTH($F94)) / 12),
  0)</f>
        <v/>
      </c>
      <c r="AT94" s="299">
        <f>IF(AND($F94&lt;=AT$2, OR($G94="",$G94&gt;=AT$2)),
  $H94 * (1 + Assumptions!$C$7) ^ INT(((YEAR(AT$2)-YEAR($F94))*12 + MONTH(AT$2)-MONTH($F94)) / 12),
  0)</f>
        <v/>
      </c>
      <c r="AU94" s="299">
        <f>IF(AND($F94&lt;=AU$2, OR($G94="",$G94&gt;=AU$2)),
  $H94 * (1 + Assumptions!$C$7) ^ INT(((YEAR(AU$2)-YEAR($F94))*12 + MONTH(AU$2)-MONTH($F94)) / 12),
  0)</f>
        <v/>
      </c>
      <c r="AV94" s="299">
        <f>IF(AND($F94&lt;=AV$2, OR($G94="",$G94&gt;=AV$2)),
  $H94 * (1 + Assumptions!$C$7) ^ INT(((YEAR(AV$2)-YEAR($F94))*12 + MONTH(AV$2)-MONTH($F94)) / 12),
  0)</f>
        <v/>
      </c>
      <c r="AW94" s="299">
        <f>IF(AND($F94&lt;=AW$2, OR($G94="",$G94&gt;=AW$2)),
  $H94 * (1 + Assumptions!$C$7) ^ INT(((YEAR(AW$2)-YEAR($F94))*12 + MONTH(AW$2)-MONTH($F94)) / 12),
  0)</f>
        <v/>
      </c>
      <c r="AX94" s="299">
        <f>IF(AND($F94&lt;=AX$2, OR($G94="",$G94&gt;=AX$2)),
  $H94 * (1 + Assumptions!$C$7) ^ INT(((YEAR(AX$2)-YEAR($F94))*12 + MONTH(AX$2)-MONTH($F94)) / 12),
  0)</f>
        <v/>
      </c>
      <c r="AY94" s="299">
        <f>IF(AND($F94&lt;=AY$2, OR($G94="",$G94&gt;=AY$2)),
  $H94 * (1 + Assumptions!$C$7) ^ INT(((YEAR(AY$2)-YEAR($F94))*12 + MONTH(AY$2)-MONTH($F94)) / 12),
  0)</f>
        <v/>
      </c>
      <c r="AZ94" s="299">
        <f>IF(AND($F94&lt;=AZ$2, OR($G94="",$G94&gt;=AZ$2)),
  $H94 * (1 + Assumptions!$C$7) ^ INT(((YEAR(AZ$2)-YEAR($F94))*12 + MONTH(AZ$2)-MONTH($F94)) / 12),
  0)</f>
        <v/>
      </c>
      <c r="BA94" s="299">
        <f>IF(AND($F94&lt;=BA$2, OR($G94="",$G94&gt;=BA$2)),
  $H94 * (1 + Assumptions!$C$7) ^ INT(((YEAR(BA$2)-YEAR($F94))*12 + MONTH(BA$2)-MONTH($F94)) / 12),
  0)</f>
        <v/>
      </c>
      <c r="BB94" s="299">
        <f>IF(AND($F94&lt;=BB$2, OR($G94="",$G94&gt;=BB$2)),
  $H94 * (1 + Assumptions!$C$7) ^ INT(((YEAR(BB$2)-YEAR($F94))*12 + MONTH(BB$2)-MONTH($F94)) / 12),
  0)</f>
        <v/>
      </c>
      <c r="BC94" s="299">
        <f>IF(AND($F94&lt;=BC$2, OR($G94="",$G94&gt;=BC$2)),
  $H94 * (1 + Assumptions!$C$7) ^ INT(((YEAR(BC$2)-YEAR($F94))*12 + MONTH(BC$2)-MONTH($F94)) / 12),
  0)</f>
        <v/>
      </c>
      <c r="BD94" s="299">
        <f>IF(AND($F94&lt;=BD$2, OR($G94="",$G94&gt;=BD$2)),
  $H94 * (1 + Assumptions!$C$7) ^ INT(((YEAR(BD$2)-YEAR($F94))*12 + MONTH(BD$2)-MONTH($F94)) / 12),
  0)</f>
        <v/>
      </c>
      <c r="BE94" s="299">
        <f>IF(AND($F94&lt;=BE$2, OR($G94="",$G94&gt;=BE$2)),
  $H94 * (1 + Assumptions!$C$7) ^ INT(((YEAR(BE$2)-YEAR($F94))*12 + MONTH(BE$2)-MONTH($F94)) / 12),
  0)</f>
        <v/>
      </c>
      <c r="BF94" s="299">
        <f>IF(AND($F94&lt;=BF$2, OR($G94="",$G94&gt;=BF$2)),
  $H94 * (1 + Assumptions!$C$7) ^ INT(((YEAR(BF$2)-YEAR($F94))*12 + MONTH(BF$2)-MONTH($F94)) / 12),
  0)</f>
        <v/>
      </c>
      <c r="BG94" s="299">
        <f>IF(AND($F94&lt;=BG$2, OR($G94="",$G94&gt;=BG$2)),
  $H94 * (1 + Assumptions!$C$7) ^ INT(((YEAR(BG$2)-YEAR($F94))*12 + MONTH(BG$2)-MONTH($F94)) / 12),
  0)</f>
        <v/>
      </c>
      <c r="BH94" s="299">
        <f>IF(AND($F94&lt;=BH$2, OR($G94="",$G94&gt;=BH$2)),
  $H94 * (1 + Assumptions!$C$7) ^ INT(((YEAR(BH$2)-YEAR($F94))*12 + MONTH(BH$2)-MONTH($F94)) / 12),
  0)</f>
        <v/>
      </c>
      <c r="BI94" s="299">
        <f>IF(AND($F94&lt;=BI$2, OR($G94="",$G94&gt;=BI$2)),
  $H94 * (1 + Assumptions!$C$7) ^ INT(((YEAR(BI$2)-YEAR($F94))*12 + MONTH(BI$2)-MONTH($F94)) / 12),
  0)</f>
        <v/>
      </c>
      <c r="BJ94" s="299">
        <f>IF(AND($F94&lt;=BJ$2, OR($G94="",$G94&gt;=BJ$2)),
  $H94 * (1 + Assumptions!$C$7) ^ INT(((YEAR(BJ$2)-YEAR($F94))*12 + MONTH(BJ$2)-MONTH($F94)) / 12),
  0)</f>
        <v/>
      </c>
      <c r="BK94" s="299">
        <f>IF(AND($F94&lt;=BK$2, OR($G94="",$G94&gt;=BK$2)),
  $H94 * (1 + Assumptions!$C$7) ^ INT(((YEAR(BK$2)-YEAR($F94))*12 + MONTH(BK$2)-MONTH($F94)) / 12),
  0)</f>
        <v/>
      </c>
      <c r="BL94" s="299">
        <f>IF(AND($F94&lt;=BL$2, OR($G94="",$G94&gt;=BL$2)),
  $H94 * (1 + Assumptions!$C$7) ^ INT(((YEAR(BL$2)-YEAR($F94))*12 + MONTH(BL$2)-MONTH($F94)) / 12),
  0)</f>
        <v/>
      </c>
      <c r="BM94" s="299">
        <f>IF(AND($F94&lt;=BM$2, OR($G94="",$G94&gt;=BM$2)),
  $H94 * (1 + Assumptions!$C$7) ^ INT(((YEAR(BM$2)-YEAR($F94))*12 + MONTH(BM$2)-MONTH($F94)) / 12),
  0)</f>
        <v/>
      </c>
      <c r="BN94" s="299">
        <f>IF(AND($F94&lt;=BN$2, OR($G94="",$G94&gt;=BN$2)),
  $H94 * (1 + Assumptions!$C$7) ^ INT(((YEAR(BN$2)-YEAR($F94))*12 + MONTH(BN$2)-MONTH($F94)) / 12),
  0)</f>
        <v/>
      </c>
      <c r="BO94" s="299">
        <f>IF(AND($F94&lt;=BO$2, OR($G94="",$G94&gt;=BO$2)),
  $H94 * (1 + Assumptions!$C$7) ^ INT(((YEAR(BO$2)-YEAR($F94))*12 + MONTH(BO$2)-MONTH($F94)) / 12),
  0)</f>
        <v/>
      </c>
      <c r="BP94" s="299">
        <f>IF(AND($F94&lt;=BP$2, OR($G94="",$G94&gt;=BP$2)),
  $H94 * (1 + Assumptions!$C$7) ^ INT(((YEAR(BP$2)-YEAR($F94))*12 + MONTH(BP$2)-MONTH($F94)) / 12),
  0)</f>
        <v/>
      </c>
      <c r="BQ94" s="31" t="n"/>
      <c r="BR94" s="31" t="n"/>
      <c r="BS94" s="31" t="n"/>
      <c r="BT94" s="31" t="n"/>
    </row>
    <row r="95" ht="15.75" customHeight="1" s="349">
      <c r="A95" s="321" t="n">
        <v>90</v>
      </c>
      <c r="B95" s="285" t="inlineStr">
        <is>
          <t>New hire</t>
        </is>
      </c>
      <c r="C95" s="317" t="inlineStr">
        <is>
          <t>G&amp;A</t>
        </is>
      </c>
      <c r="D95" s="317" t="inlineStr">
        <is>
          <t>Supply Chain &amp; Logistics</t>
        </is>
      </c>
      <c r="E95" s="297" t="inlineStr">
        <is>
          <t>Planned</t>
        </is>
      </c>
      <c r="F95" s="318">
        <f>IF(Assumptions!$D$82=2,DATE(2029,5,1),DATE(2035,1,1))</f>
        <v/>
      </c>
      <c r="G95" s="318" t="n"/>
      <c r="H95" s="288" t="n">
        <v>5000</v>
      </c>
      <c r="I95" s="299">
        <f>IF(AND($F95&lt;=I$2, OR($G95="",$G95&gt;=I$2)),
  $H95 * (1 + Assumptions!$C$7) ^ INT(((YEAR(I$2)-YEAR($F95))*12 + MONTH(I$2)-MONTH($F95)) / 12),
  0)</f>
        <v/>
      </c>
      <c r="J95" s="299">
        <f>IF(AND($F95&lt;=J$2, OR($G95="",$G95&gt;=J$2)),
  $H95 * (1 + Assumptions!$C$7) ^ INT(((YEAR(J$2)-YEAR($F95))*12 + MONTH(J$2)-MONTH($F95)) / 12),
  0)</f>
        <v/>
      </c>
      <c r="K95" s="299">
        <f>IF(AND($F95&lt;=K$2, OR($G95="",$G95&gt;=K$2)),
  $H95 * (1 + Assumptions!$C$7) ^ INT(((YEAR(K$2)-YEAR($F95))*12 + MONTH(K$2)-MONTH($F95)) / 12),
  0)</f>
        <v/>
      </c>
      <c r="L95" s="299">
        <f>IF(AND($F95&lt;=L$2, OR($G95="",$G95&gt;=L$2)),
  $H95 * (1 + Assumptions!$C$7) ^ INT(((YEAR(L$2)-YEAR($F95))*12 + MONTH(L$2)-MONTH($F95)) / 12),
  0)</f>
        <v/>
      </c>
      <c r="M95" s="299">
        <f>IF(AND($F95&lt;=M$2, OR($G95="",$G95&gt;=M$2)),
  $H95 * (1 + Assumptions!$C$7) ^ INT(((YEAR(M$2)-YEAR($F95))*12 + MONTH(M$2)-MONTH($F95)) / 12),
  0)</f>
        <v/>
      </c>
      <c r="N95" s="299">
        <f>IF(AND($F95&lt;=N$2, OR($G95="",$G95&gt;=N$2)),
  $H95 * (1 + Assumptions!$C$7) ^ INT(((YEAR(N$2)-YEAR($F95))*12 + MONTH(N$2)-MONTH($F95)) / 12),
  0)</f>
        <v/>
      </c>
      <c r="O95" s="299">
        <f>IF(AND($F95&lt;=O$2, OR($G95="",$G95&gt;=O$2)),
  $H95 * (1 + Assumptions!$C$7) ^ INT(((YEAR(O$2)-YEAR($F95))*12 + MONTH(O$2)-MONTH($F95)) / 12),
  0)</f>
        <v/>
      </c>
      <c r="P95" s="299">
        <f>IF(AND($F95&lt;=P$2, OR($G95="",$G95&gt;=P$2)),
  $H95 * (1 + Assumptions!$C$7) ^ INT(((YEAR(P$2)-YEAR($F95))*12 + MONTH(P$2)-MONTH($F95)) / 12),
  0)</f>
        <v/>
      </c>
      <c r="Q95" s="299">
        <f>IF(AND($F95&lt;=Q$2, OR($G95="",$G95&gt;=Q$2)),
  $H95 * (1 + Assumptions!$C$7) ^ INT(((YEAR(Q$2)-YEAR($F95))*12 + MONTH(Q$2)-MONTH($F95)) / 12),
  0)</f>
        <v/>
      </c>
      <c r="R95" s="299">
        <f>IF(AND($F95&lt;=R$2, OR($G95="",$G95&gt;=R$2)),
  $H95 * (1 + Assumptions!$C$7) ^ INT(((YEAR(R$2)-YEAR($F95))*12 + MONTH(R$2)-MONTH($F95)) / 12),
  0)</f>
        <v/>
      </c>
      <c r="S95" s="299">
        <f>IF(AND($F95&lt;=S$2, OR($G95="",$G95&gt;=S$2)),
  $H95 * (1 + Assumptions!$C$7) ^ INT(((YEAR(S$2)-YEAR($F95))*12 + MONTH(S$2)-MONTH($F95)) / 12),
  0)</f>
        <v/>
      </c>
      <c r="T95" s="299">
        <f>IF(AND($F95&lt;=T$2, OR($G95="",$G95&gt;=T$2)),
  $H95 * (1 + Assumptions!$C$7) ^ INT(((YEAR(T$2)-YEAR($F95))*12 + MONTH(T$2)-MONTH($F95)) / 12),
  0)</f>
        <v/>
      </c>
      <c r="U95" s="299">
        <f>IF(AND($F95&lt;=U$2, OR($G95="",$G95&gt;=U$2)),
  $H95 * (1 + Assumptions!$C$7) ^ INT(((YEAR(U$2)-YEAR($F95))*12 + MONTH(U$2)-MONTH($F95)) / 12),
  0)</f>
        <v/>
      </c>
      <c r="V95" s="299">
        <f>IF(AND($F95&lt;=V$2, OR($G95="",$G95&gt;=V$2)),
  $H95 * (1 + Assumptions!$C$7) ^ INT(((YEAR(V$2)-YEAR($F95))*12 + MONTH(V$2)-MONTH($F95)) / 12),
  0)</f>
        <v/>
      </c>
      <c r="W95" s="299">
        <f>IF(AND($F95&lt;=W$2, OR($G95="",$G95&gt;=W$2)),
  $H95 * (1 + Assumptions!$C$7) ^ INT(((YEAR(W$2)-YEAR($F95))*12 + MONTH(W$2)-MONTH($F95)) / 12),
  0)</f>
        <v/>
      </c>
      <c r="X95" s="299">
        <f>IF(AND($F95&lt;=X$2, OR($G95="",$G95&gt;=X$2)),
  $H95 * (1 + Assumptions!$C$7) ^ INT(((YEAR(X$2)-YEAR($F95))*12 + MONTH(X$2)-MONTH($F95)) / 12),
  0)</f>
        <v/>
      </c>
      <c r="Y95" s="299">
        <f>IF(AND($F95&lt;=Y$2, OR($G95="",$G95&gt;=Y$2)),
  $H95 * (1 + Assumptions!$C$7) ^ INT(((YEAR(Y$2)-YEAR($F95))*12 + MONTH(Y$2)-MONTH($F95)) / 12),
  0)</f>
        <v/>
      </c>
      <c r="Z95" s="299">
        <f>IF(AND($F95&lt;=Z$2, OR($G95="",$G95&gt;=Z$2)),
  $H95 * (1 + Assumptions!$C$7) ^ INT(((YEAR(Z$2)-YEAR($F95))*12 + MONTH(Z$2)-MONTH($F95)) / 12),
  0)</f>
        <v/>
      </c>
      <c r="AA95" s="299">
        <f>IF(AND($F95&lt;=AA$2, OR($G95="",$G95&gt;=AA$2)),
  $H95 * (1 + Assumptions!$C$7) ^ INT(((YEAR(AA$2)-YEAR($F95))*12 + MONTH(AA$2)-MONTH($F95)) / 12),
  0)</f>
        <v/>
      </c>
      <c r="AB95" s="299">
        <f>IF(AND($F95&lt;=AB$2, OR($G95="",$G95&gt;=AB$2)),
  $H95 * (1 + Assumptions!$C$7) ^ INT(((YEAR(AB$2)-YEAR($F95))*12 + MONTH(AB$2)-MONTH($F95)) / 12),
  0)</f>
        <v/>
      </c>
      <c r="AC95" s="299">
        <f>IF(AND($F95&lt;=AC$2, OR($G95="",$G95&gt;=AC$2)),
  $H95 * (1 + Assumptions!$C$7) ^ INT(((YEAR(AC$2)-YEAR($F95))*12 + MONTH(AC$2)-MONTH($F95)) / 12),
  0)</f>
        <v/>
      </c>
      <c r="AD95" s="299">
        <f>IF(AND($F95&lt;=AD$2, OR($G95="",$G95&gt;=AD$2)),
  $H95 * (1 + Assumptions!$C$7) ^ INT(((YEAR(AD$2)-YEAR($F95))*12 + MONTH(AD$2)-MONTH($F95)) / 12),
  0)</f>
        <v/>
      </c>
      <c r="AE95" s="299">
        <f>IF(AND($F95&lt;=AE$2, OR($G95="",$G95&gt;=AE$2)),
  $H95 * (1 + Assumptions!$C$7) ^ INT(((YEAR(AE$2)-YEAR($F95))*12 + MONTH(AE$2)-MONTH($F95)) / 12),
  0)</f>
        <v/>
      </c>
      <c r="AF95" s="299">
        <f>IF(AND($F95&lt;=AF$2, OR($G95="",$G95&gt;=AF$2)),
  $H95 * (1 + Assumptions!$C$7) ^ INT(((YEAR(AF$2)-YEAR($F95))*12 + MONTH(AF$2)-MONTH($F95)) / 12),
  0)</f>
        <v/>
      </c>
      <c r="AG95" s="299">
        <f>IF(AND($F95&lt;=AG$2, OR($G95="",$G95&gt;=AG$2)),
  $H95 * (1 + Assumptions!$C$7) ^ INT(((YEAR(AG$2)-YEAR($F95))*12 + MONTH(AG$2)-MONTH($F95)) / 12),
  0)</f>
        <v/>
      </c>
      <c r="AH95" s="299">
        <f>IF(AND($F95&lt;=AH$2, OR($G95="",$G95&gt;=AH$2)),
  $H95 * (1 + Assumptions!$C$7) ^ INT(((YEAR(AH$2)-YEAR($F95))*12 + MONTH(AH$2)-MONTH($F95)) / 12),
  0)</f>
        <v/>
      </c>
      <c r="AI95" s="299">
        <f>IF(AND($F95&lt;=AI$2, OR($G95="",$G95&gt;=AI$2)),
  $H95 * (1 + Assumptions!$C$7) ^ INT(((YEAR(AI$2)-YEAR($F95))*12 + MONTH(AI$2)-MONTH($F95)) / 12),
  0)</f>
        <v/>
      </c>
      <c r="AJ95" s="299">
        <f>IF(AND($F95&lt;=AJ$2, OR($G95="",$G95&gt;=AJ$2)),
  $H95 * (1 + Assumptions!$C$7) ^ INT(((YEAR(AJ$2)-YEAR($F95))*12 + MONTH(AJ$2)-MONTH($F95)) / 12),
  0)</f>
        <v/>
      </c>
      <c r="AK95" s="299">
        <f>IF(AND($F95&lt;=AK$2, OR($G95="",$G95&gt;=AK$2)),
  $H95 * (1 + Assumptions!$C$7) ^ INT(((YEAR(AK$2)-YEAR($F95))*12 + MONTH(AK$2)-MONTH($F95)) / 12),
  0)</f>
        <v/>
      </c>
      <c r="AL95" s="299">
        <f>IF(AND($F95&lt;=AL$2, OR($G95="",$G95&gt;=AL$2)),
  $H95 * (1 + Assumptions!$C$7) ^ INT(((YEAR(AL$2)-YEAR($F95))*12 + MONTH(AL$2)-MONTH($F95)) / 12),
  0)</f>
        <v/>
      </c>
      <c r="AM95" s="299">
        <f>IF(AND($F95&lt;=AM$2, OR($G95="",$G95&gt;=AM$2)),
  $H95 * (1 + Assumptions!$C$7) ^ INT(((YEAR(AM$2)-YEAR($F95))*12 + MONTH(AM$2)-MONTH($F95)) / 12),
  0)</f>
        <v/>
      </c>
      <c r="AN95" s="299">
        <f>IF(AND($F95&lt;=AN$2, OR($G95="",$G95&gt;=AN$2)),
  $H95 * (1 + Assumptions!$C$7) ^ INT(((YEAR(AN$2)-YEAR($F95))*12 + MONTH(AN$2)-MONTH($F95)) / 12),
  0)</f>
        <v/>
      </c>
      <c r="AO95" s="299">
        <f>IF(AND($F95&lt;=AO$2, OR($G95="",$G95&gt;=AO$2)),
  $H95 * (1 + Assumptions!$C$7) ^ INT(((YEAR(AO$2)-YEAR($F95))*12 + MONTH(AO$2)-MONTH($F95)) / 12),
  0)</f>
        <v/>
      </c>
      <c r="AP95" s="299">
        <f>IF(AND($F95&lt;=AP$2, OR($G95="",$G95&gt;=AP$2)),
  $H95 * (1 + Assumptions!$C$7) ^ INT(((YEAR(AP$2)-YEAR($F95))*12 + MONTH(AP$2)-MONTH($F95)) / 12),
  0)</f>
        <v/>
      </c>
      <c r="AQ95" s="299">
        <f>IF(AND($F95&lt;=AQ$2, OR($G95="",$G95&gt;=AQ$2)),
  $H95 * (1 + Assumptions!$C$7) ^ INT(((YEAR(AQ$2)-YEAR($F95))*12 + MONTH(AQ$2)-MONTH($F95)) / 12),
  0)</f>
        <v/>
      </c>
      <c r="AR95" s="299">
        <f>IF(AND($F95&lt;=AR$2, OR($G95="",$G95&gt;=AR$2)),
  $H95 * (1 + Assumptions!$C$7) ^ INT(((YEAR(AR$2)-YEAR($F95))*12 + MONTH(AR$2)-MONTH($F95)) / 12),
  0)</f>
        <v/>
      </c>
      <c r="AS95" s="299">
        <f>IF(AND($F95&lt;=AS$2, OR($G95="",$G95&gt;=AS$2)),
  $H95 * (1 + Assumptions!$C$7) ^ INT(((YEAR(AS$2)-YEAR($F95))*12 + MONTH(AS$2)-MONTH($F95)) / 12),
  0)</f>
        <v/>
      </c>
      <c r="AT95" s="299">
        <f>IF(AND($F95&lt;=AT$2, OR($G95="",$G95&gt;=AT$2)),
  $H95 * (1 + Assumptions!$C$7) ^ INT(((YEAR(AT$2)-YEAR($F95))*12 + MONTH(AT$2)-MONTH($F95)) / 12),
  0)</f>
        <v/>
      </c>
      <c r="AU95" s="299">
        <f>IF(AND($F95&lt;=AU$2, OR($G95="",$G95&gt;=AU$2)),
  $H95 * (1 + Assumptions!$C$7) ^ INT(((YEAR(AU$2)-YEAR($F95))*12 + MONTH(AU$2)-MONTH($F95)) / 12),
  0)</f>
        <v/>
      </c>
      <c r="AV95" s="299">
        <f>IF(AND($F95&lt;=AV$2, OR($G95="",$G95&gt;=AV$2)),
  $H95 * (1 + Assumptions!$C$7) ^ INT(((YEAR(AV$2)-YEAR($F95))*12 + MONTH(AV$2)-MONTH($F95)) / 12),
  0)</f>
        <v/>
      </c>
      <c r="AW95" s="299">
        <f>IF(AND($F95&lt;=AW$2, OR($G95="",$G95&gt;=AW$2)),
  $H95 * (1 + Assumptions!$C$7) ^ INT(((YEAR(AW$2)-YEAR($F95))*12 + MONTH(AW$2)-MONTH($F95)) / 12),
  0)</f>
        <v/>
      </c>
      <c r="AX95" s="299">
        <f>IF(AND($F95&lt;=AX$2, OR($G95="",$G95&gt;=AX$2)),
  $H95 * (1 + Assumptions!$C$7) ^ INT(((YEAR(AX$2)-YEAR($F95))*12 + MONTH(AX$2)-MONTH($F95)) / 12),
  0)</f>
        <v/>
      </c>
      <c r="AY95" s="299">
        <f>IF(AND($F95&lt;=AY$2, OR($G95="",$G95&gt;=AY$2)),
  $H95 * (1 + Assumptions!$C$7) ^ INT(((YEAR(AY$2)-YEAR($F95))*12 + MONTH(AY$2)-MONTH($F95)) / 12),
  0)</f>
        <v/>
      </c>
      <c r="AZ95" s="299">
        <f>IF(AND($F95&lt;=AZ$2, OR($G95="",$G95&gt;=AZ$2)),
  $H95 * (1 + Assumptions!$C$7) ^ INT(((YEAR(AZ$2)-YEAR($F95))*12 + MONTH(AZ$2)-MONTH($F95)) / 12),
  0)</f>
        <v/>
      </c>
      <c r="BA95" s="299">
        <f>IF(AND($F95&lt;=BA$2, OR($G95="",$G95&gt;=BA$2)),
  $H95 * (1 + Assumptions!$C$7) ^ INT(((YEAR(BA$2)-YEAR($F95))*12 + MONTH(BA$2)-MONTH($F95)) / 12),
  0)</f>
        <v/>
      </c>
      <c r="BB95" s="299">
        <f>IF(AND($F95&lt;=BB$2, OR($G95="",$G95&gt;=BB$2)),
  $H95 * (1 + Assumptions!$C$7) ^ INT(((YEAR(BB$2)-YEAR($F95))*12 + MONTH(BB$2)-MONTH($F95)) / 12),
  0)</f>
        <v/>
      </c>
      <c r="BC95" s="299">
        <f>IF(AND($F95&lt;=BC$2, OR($G95="",$G95&gt;=BC$2)),
  $H95 * (1 + Assumptions!$C$7) ^ INT(((YEAR(BC$2)-YEAR($F95))*12 + MONTH(BC$2)-MONTH($F95)) / 12),
  0)</f>
        <v/>
      </c>
      <c r="BD95" s="299">
        <f>IF(AND($F95&lt;=BD$2, OR($G95="",$G95&gt;=BD$2)),
  $H95 * (1 + Assumptions!$C$7) ^ INT(((YEAR(BD$2)-YEAR($F95))*12 + MONTH(BD$2)-MONTH($F95)) / 12),
  0)</f>
        <v/>
      </c>
      <c r="BE95" s="299">
        <f>IF(AND($F95&lt;=BE$2, OR($G95="",$G95&gt;=BE$2)),
  $H95 * (1 + Assumptions!$C$7) ^ INT(((YEAR(BE$2)-YEAR($F95))*12 + MONTH(BE$2)-MONTH($F95)) / 12),
  0)</f>
        <v/>
      </c>
      <c r="BF95" s="299">
        <f>IF(AND($F95&lt;=BF$2, OR($G95="",$G95&gt;=BF$2)),
  $H95 * (1 + Assumptions!$C$7) ^ INT(((YEAR(BF$2)-YEAR($F95))*12 + MONTH(BF$2)-MONTH($F95)) / 12),
  0)</f>
        <v/>
      </c>
      <c r="BG95" s="299">
        <f>IF(AND($F95&lt;=BG$2, OR($G95="",$G95&gt;=BG$2)),
  $H95 * (1 + Assumptions!$C$7) ^ INT(((YEAR(BG$2)-YEAR($F95))*12 + MONTH(BG$2)-MONTH($F95)) / 12),
  0)</f>
        <v/>
      </c>
      <c r="BH95" s="299">
        <f>IF(AND($F95&lt;=BH$2, OR($G95="",$G95&gt;=BH$2)),
  $H95 * (1 + Assumptions!$C$7) ^ INT(((YEAR(BH$2)-YEAR($F95))*12 + MONTH(BH$2)-MONTH($F95)) / 12),
  0)</f>
        <v/>
      </c>
      <c r="BI95" s="299">
        <f>IF(AND($F95&lt;=BI$2, OR($G95="",$G95&gt;=BI$2)),
  $H95 * (1 + Assumptions!$C$7) ^ INT(((YEAR(BI$2)-YEAR($F95))*12 + MONTH(BI$2)-MONTH($F95)) / 12),
  0)</f>
        <v/>
      </c>
      <c r="BJ95" s="299">
        <f>IF(AND($F95&lt;=BJ$2, OR($G95="",$G95&gt;=BJ$2)),
  $H95 * (1 + Assumptions!$C$7) ^ INT(((YEAR(BJ$2)-YEAR($F95))*12 + MONTH(BJ$2)-MONTH($F95)) / 12),
  0)</f>
        <v/>
      </c>
      <c r="BK95" s="299">
        <f>IF(AND($F95&lt;=BK$2, OR($G95="",$G95&gt;=BK$2)),
  $H95 * (1 + Assumptions!$C$7) ^ INT(((YEAR(BK$2)-YEAR($F95))*12 + MONTH(BK$2)-MONTH($F95)) / 12),
  0)</f>
        <v/>
      </c>
      <c r="BL95" s="299">
        <f>IF(AND($F95&lt;=BL$2, OR($G95="",$G95&gt;=BL$2)),
  $H95 * (1 + Assumptions!$C$7) ^ INT(((YEAR(BL$2)-YEAR($F95))*12 + MONTH(BL$2)-MONTH($F95)) / 12),
  0)</f>
        <v/>
      </c>
      <c r="BM95" s="299">
        <f>IF(AND($F95&lt;=BM$2, OR($G95="",$G95&gt;=BM$2)),
  $H95 * (1 + Assumptions!$C$7) ^ INT(((YEAR(BM$2)-YEAR($F95))*12 + MONTH(BM$2)-MONTH($F95)) / 12),
  0)</f>
        <v/>
      </c>
      <c r="BN95" s="299">
        <f>IF(AND($F95&lt;=BN$2, OR($G95="",$G95&gt;=BN$2)),
  $H95 * (1 + Assumptions!$C$7) ^ INT(((YEAR(BN$2)-YEAR($F95))*12 + MONTH(BN$2)-MONTH($F95)) / 12),
  0)</f>
        <v/>
      </c>
      <c r="BO95" s="299">
        <f>IF(AND($F95&lt;=BO$2, OR($G95="",$G95&gt;=BO$2)),
  $H95 * (1 + Assumptions!$C$7) ^ INT(((YEAR(BO$2)-YEAR($F95))*12 + MONTH(BO$2)-MONTH($F95)) / 12),
  0)</f>
        <v/>
      </c>
      <c r="BP95" s="299">
        <f>IF(AND($F95&lt;=BP$2, OR($G95="",$G95&gt;=BP$2)),
  $H95 * (1 + Assumptions!$C$7) ^ INT(((YEAR(BP$2)-YEAR($F95))*12 + MONTH(BP$2)-MONTH($F95)) / 12),
  0)</f>
        <v/>
      </c>
      <c r="BQ95" s="31" t="n"/>
      <c r="BR95" s="31" t="n"/>
      <c r="BS95" s="31" t="n"/>
      <c r="BT95" s="31" t="n"/>
    </row>
    <row r="96" ht="15.75" customHeight="1" s="349">
      <c r="A96" s="321" t="n">
        <v>91</v>
      </c>
      <c r="B96" s="285" t="inlineStr">
        <is>
          <t>New hire</t>
        </is>
      </c>
      <c r="C96" s="317" t="inlineStr">
        <is>
          <t>G&amp;A</t>
        </is>
      </c>
      <c r="D96" s="317" t="inlineStr">
        <is>
          <t>Supply Chain &amp; Logistics</t>
        </is>
      </c>
      <c r="E96" s="297" t="inlineStr">
        <is>
          <t>Planned</t>
        </is>
      </c>
      <c r="F96" s="318">
        <f>IF(Assumptions!$D$82=2,DATE(2029,6,1),DATE(2035,1,1))</f>
        <v/>
      </c>
      <c r="G96" s="318" t="n"/>
      <c r="H96" s="288" t="n">
        <v>5000</v>
      </c>
      <c r="I96" s="299">
        <f>IF(AND($F96&lt;=I$2, OR($G96="",$G96&gt;=I$2)),
  $H96 * (1 + Assumptions!$C$7) ^ INT(((YEAR(I$2)-YEAR($F96))*12 + MONTH(I$2)-MONTH($F96)) / 12),
  0)</f>
        <v/>
      </c>
      <c r="J96" s="299">
        <f>IF(AND($F96&lt;=J$2, OR($G96="",$G96&gt;=J$2)),
  $H96 * (1 + Assumptions!$C$7) ^ INT(((YEAR(J$2)-YEAR($F96))*12 + MONTH(J$2)-MONTH($F96)) / 12),
  0)</f>
        <v/>
      </c>
      <c r="K96" s="299">
        <f>IF(AND($F96&lt;=K$2, OR($G96="",$G96&gt;=K$2)),
  $H96 * (1 + Assumptions!$C$7) ^ INT(((YEAR(K$2)-YEAR($F96))*12 + MONTH(K$2)-MONTH($F96)) / 12),
  0)</f>
        <v/>
      </c>
      <c r="L96" s="299">
        <f>IF(AND($F96&lt;=L$2, OR($G96="",$G96&gt;=L$2)),
  $H96 * (1 + Assumptions!$C$7) ^ INT(((YEAR(L$2)-YEAR($F96))*12 + MONTH(L$2)-MONTH($F96)) / 12),
  0)</f>
        <v/>
      </c>
      <c r="M96" s="299">
        <f>IF(AND($F96&lt;=M$2, OR($G96="",$G96&gt;=M$2)),
  $H96 * (1 + Assumptions!$C$7) ^ INT(((YEAR(M$2)-YEAR($F96))*12 + MONTH(M$2)-MONTH($F96)) / 12),
  0)</f>
        <v/>
      </c>
      <c r="N96" s="299">
        <f>IF(AND($F96&lt;=N$2, OR($G96="",$G96&gt;=N$2)),
  $H96 * (1 + Assumptions!$C$7) ^ INT(((YEAR(N$2)-YEAR($F96))*12 + MONTH(N$2)-MONTH($F96)) / 12),
  0)</f>
        <v/>
      </c>
      <c r="O96" s="299">
        <f>IF(AND($F96&lt;=O$2, OR($G96="",$G96&gt;=O$2)),
  $H96 * (1 + Assumptions!$C$7) ^ INT(((YEAR(O$2)-YEAR($F96))*12 + MONTH(O$2)-MONTH($F96)) / 12),
  0)</f>
        <v/>
      </c>
      <c r="P96" s="299">
        <f>IF(AND($F96&lt;=P$2, OR($G96="",$G96&gt;=P$2)),
  $H96 * (1 + Assumptions!$C$7) ^ INT(((YEAR(P$2)-YEAR($F96))*12 + MONTH(P$2)-MONTH($F96)) / 12),
  0)</f>
        <v/>
      </c>
      <c r="Q96" s="299">
        <f>IF(AND($F96&lt;=Q$2, OR($G96="",$G96&gt;=Q$2)),
  $H96 * (1 + Assumptions!$C$7) ^ INT(((YEAR(Q$2)-YEAR($F96))*12 + MONTH(Q$2)-MONTH($F96)) / 12),
  0)</f>
        <v/>
      </c>
      <c r="R96" s="299">
        <f>IF(AND($F96&lt;=R$2, OR($G96="",$G96&gt;=R$2)),
  $H96 * (1 + Assumptions!$C$7) ^ INT(((YEAR(R$2)-YEAR($F96))*12 + MONTH(R$2)-MONTH($F96)) / 12),
  0)</f>
        <v/>
      </c>
      <c r="S96" s="299">
        <f>IF(AND($F96&lt;=S$2, OR($G96="",$G96&gt;=S$2)),
  $H96 * (1 + Assumptions!$C$7) ^ INT(((YEAR(S$2)-YEAR($F96))*12 + MONTH(S$2)-MONTH($F96)) / 12),
  0)</f>
        <v/>
      </c>
      <c r="T96" s="299">
        <f>IF(AND($F96&lt;=T$2, OR($G96="",$G96&gt;=T$2)),
  $H96 * (1 + Assumptions!$C$7) ^ INT(((YEAR(T$2)-YEAR($F96))*12 + MONTH(T$2)-MONTH($F96)) / 12),
  0)</f>
        <v/>
      </c>
      <c r="U96" s="299">
        <f>IF(AND($F96&lt;=U$2, OR($G96="",$G96&gt;=U$2)),
  $H96 * (1 + Assumptions!$C$7) ^ INT(((YEAR(U$2)-YEAR($F96))*12 + MONTH(U$2)-MONTH($F96)) / 12),
  0)</f>
        <v/>
      </c>
      <c r="V96" s="299">
        <f>IF(AND($F96&lt;=V$2, OR($G96="",$G96&gt;=V$2)),
  $H96 * (1 + Assumptions!$C$7) ^ INT(((YEAR(V$2)-YEAR($F96))*12 + MONTH(V$2)-MONTH($F96)) / 12),
  0)</f>
        <v/>
      </c>
      <c r="W96" s="299">
        <f>IF(AND($F96&lt;=W$2, OR($G96="",$G96&gt;=W$2)),
  $H96 * (1 + Assumptions!$C$7) ^ INT(((YEAR(W$2)-YEAR($F96))*12 + MONTH(W$2)-MONTH($F96)) / 12),
  0)</f>
        <v/>
      </c>
      <c r="X96" s="299">
        <f>IF(AND($F96&lt;=X$2, OR($G96="",$G96&gt;=X$2)),
  $H96 * (1 + Assumptions!$C$7) ^ INT(((YEAR(X$2)-YEAR($F96))*12 + MONTH(X$2)-MONTH($F96)) / 12),
  0)</f>
        <v/>
      </c>
      <c r="Y96" s="299">
        <f>IF(AND($F96&lt;=Y$2, OR($G96="",$G96&gt;=Y$2)),
  $H96 * (1 + Assumptions!$C$7) ^ INT(((YEAR(Y$2)-YEAR($F96))*12 + MONTH(Y$2)-MONTH($F96)) / 12),
  0)</f>
        <v/>
      </c>
      <c r="Z96" s="299">
        <f>IF(AND($F96&lt;=Z$2, OR($G96="",$G96&gt;=Z$2)),
  $H96 * (1 + Assumptions!$C$7) ^ INT(((YEAR(Z$2)-YEAR($F96))*12 + MONTH(Z$2)-MONTH($F96)) / 12),
  0)</f>
        <v/>
      </c>
      <c r="AA96" s="299">
        <f>IF(AND($F96&lt;=AA$2, OR($G96="",$G96&gt;=AA$2)),
  $H96 * (1 + Assumptions!$C$7) ^ INT(((YEAR(AA$2)-YEAR($F96))*12 + MONTH(AA$2)-MONTH($F96)) / 12),
  0)</f>
        <v/>
      </c>
      <c r="AB96" s="299">
        <f>IF(AND($F96&lt;=AB$2, OR($G96="",$G96&gt;=AB$2)),
  $H96 * (1 + Assumptions!$C$7) ^ INT(((YEAR(AB$2)-YEAR($F96))*12 + MONTH(AB$2)-MONTH($F96)) / 12),
  0)</f>
        <v/>
      </c>
      <c r="AC96" s="299">
        <f>IF(AND($F96&lt;=AC$2, OR($G96="",$G96&gt;=AC$2)),
  $H96 * (1 + Assumptions!$C$7) ^ INT(((YEAR(AC$2)-YEAR($F96))*12 + MONTH(AC$2)-MONTH($F96)) / 12),
  0)</f>
        <v/>
      </c>
      <c r="AD96" s="299">
        <f>IF(AND($F96&lt;=AD$2, OR($G96="",$G96&gt;=AD$2)),
  $H96 * (1 + Assumptions!$C$7) ^ INT(((YEAR(AD$2)-YEAR($F96))*12 + MONTH(AD$2)-MONTH($F96)) / 12),
  0)</f>
        <v/>
      </c>
      <c r="AE96" s="299">
        <f>IF(AND($F96&lt;=AE$2, OR($G96="",$G96&gt;=AE$2)),
  $H96 * (1 + Assumptions!$C$7) ^ INT(((YEAR(AE$2)-YEAR($F96))*12 + MONTH(AE$2)-MONTH($F96)) / 12),
  0)</f>
        <v/>
      </c>
      <c r="AF96" s="299">
        <f>IF(AND($F96&lt;=AF$2, OR($G96="",$G96&gt;=AF$2)),
  $H96 * (1 + Assumptions!$C$7) ^ INT(((YEAR(AF$2)-YEAR($F96))*12 + MONTH(AF$2)-MONTH($F96)) / 12),
  0)</f>
        <v/>
      </c>
      <c r="AG96" s="299">
        <f>IF(AND($F96&lt;=AG$2, OR($G96="",$G96&gt;=AG$2)),
  $H96 * (1 + Assumptions!$C$7) ^ INT(((YEAR(AG$2)-YEAR($F96))*12 + MONTH(AG$2)-MONTH($F96)) / 12),
  0)</f>
        <v/>
      </c>
      <c r="AH96" s="299">
        <f>IF(AND($F96&lt;=AH$2, OR($G96="",$G96&gt;=AH$2)),
  $H96 * (1 + Assumptions!$C$7) ^ INT(((YEAR(AH$2)-YEAR($F96))*12 + MONTH(AH$2)-MONTH($F96)) / 12),
  0)</f>
        <v/>
      </c>
      <c r="AI96" s="299">
        <f>IF(AND($F96&lt;=AI$2, OR($G96="",$G96&gt;=AI$2)),
  $H96 * (1 + Assumptions!$C$7) ^ INT(((YEAR(AI$2)-YEAR($F96))*12 + MONTH(AI$2)-MONTH($F96)) / 12),
  0)</f>
        <v/>
      </c>
      <c r="AJ96" s="299">
        <f>IF(AND($F96&lt;=AJ$2, OR($G96="",$G96&gt;=AJ$2)),
  $H96 * (1 + Assumptions!$C$7) ^ INT(((YEAR(AJ$2)-YEAR($F96))*12 + MONTH(AJ$2)-MONTH($F96)) / 12),
  0)</f>
        <v/>
      </c>
      <c r="AK96" s="299">
        <f>IF(AND($F96&lt;=AK$2, OR($G96="",$G96&gt;=AK$2)),
  $H96 * (1 + Assumptions!$C$7) ^ INT(((YEAR(AK$2)-YEAR($F96))*12 + MONTH(AK$2)-MONTH($F96)) / 12),
  0)</f>
        <v/>
      </c>
      <c r="AL96" s="299">
        <f>IF(AND($F96&lt;=AL$2, OR($G96="",$G96&gt;=AL$2)),
  $H96 * (1 + Assumptions!$C$7) ^ INT(((YEAR(AL$2)-YEAR($F96))*12 + MONTH(AL$2)-MONTH($F96)) / 12),
  0)</f>
        <v/>
      </c>
      <c r="AM96" s="299">
        <f>IF(AND($F96&lt;=AM$2, OR($G96="",$G96&gt;=AM$2)),
  $H96 * (1 + Assumptions!$C$7) ^ INT(((YEAR(AM$2)-YEAR($F96))*12 + MONTH(AM$2)-MONTH($F96)) / 12),
  0)</f>
        <v/>
      </c>
      <c r="AN96" s="299">
        <f>IF(AND($F96&lt;=AN$2, OR($G96="",$G96&gt;=AN$2)),
  $H96 * (1 + Assumptions!$C$7) ^ INT(((YEAR(AN$2)-YEAR($F96))*12 + MONTH(AN$2)-MONTH($F96)) / 12),
  0)</f>
        <v/>
      </c>
      <c r="AO96" s="299">
        <f>IF(AND($F96&lt;=AO$2, OR($G96="",$G96&gt;=AO$2)),
  $H96 * (1 + Assumptions!$C$7) ^ INT(((YEAR(AO$2)-YEAR($F96))*12 + MONTH(AO$2)-MONTH($F96)) / 12),
  0)</f>
        <v/>
      </c>
      <c r="AP96" s="299">
        <f>IF(AND($F96&lt;=AP$2, OR($G96="",$G96&gt;=AP$2)),
  $H96 * (1 + Assumptions!$C$7) ^ INT(((YEAR(AP$2)-YEAR($F96))*12 + MONTH(AP$2)-MONTH($F96)) / 12),
  0)</f>
        <v/>
      </c>
      <c r="AQ96" s="299">
        <f>IF(AND($F96&lt;=AQ$2, OR($G96="",$G96&gt;=AQ$2)),
  $H96 * (1 + Assumptions!$C$7) ^ INT(((YEAR(AQ$2)-YEAR($F96))*12 + MONTH(AQ$2)-MONTH($F96)) / 12),
  0)</f>
        <v/>
      </c>
      <c r="AR96" s="299">
        <f>IF(AND($F96&lt;=AR$2, OR($G96="",$G96&gt;=AR$2)),
  $H96 * (1 + Assumptions!$C$7) ^ INT(((YEAR(AR$2)-YEAR($F96))*12 + MONTH(AR$2)-MONTH($F96)) / 12),
  0)</f>
        <v/>
      </c>
      <c r="AS96" s="299">
        <f>IF(AND($F96&lt;=AS$2, OR($G96="",$G96&gt;=AS$2)),
  $H96 * (1 + Assumptions!$C$7) ^ INT(((YEAR(AS$2)-YEAR($F96))*12 + MONTH(AS$2)-MONTH($F96)) / 12),
  0)</f>
        <v/>
      </c>
      <c r="AT96" s="299">
        <f>IF(AND($F96&lt;=AT$2, OR($G96="",$G96&gt;=AT$2)),
  $H96 * (1 + Assumptions!$C$7) ^ INT(((YEAR(AT$2)-YEAR($F96))*12 + MONTH(AT$2)-MONTH($F96)) / 12),
  0)</f>
        <v/>
      </c>
      <c r="AU96" s="299">
        <f>IF(AND($F96&lt;=AU$2, OR($G96="",$G96&gt;=AU$2)),
  $H96 * (1 + Assumptions!$C$7) ^ INT(((YEAR(AU$2)-YEAR($F96))*12 + MONTH(AU$2)-MONTH($F96)) / 12),
  0)</f>
        <v/>
      </c>
      <c r="AV96" s="299">
        <f>IF(AND($F96&lt;=AV$2, OR($G96="",$G96&gt;=AV$2)),
  $H96 * (1 + Assumptions!$C$7) ^ INT(((YEAR(AV$2)-YEAR($F96))*12 + MONTH(AV$2)-MONTH($F96)) / 12),
  0)</f>
        <v/>
      </c>
      <c r="AW96" s="299">
        <f>IF(AND($F96&lt;=AW$2, OR($G96="",$G96&gt;=AW$2)),
  $H96 * (1 + Assumptions!$C$7) ^ INT(((YEAR(AW$2)-YEAR($F96))*12 + MONTH(AW$2)-MONTH($F96)) / 12),
  0)</f>
        <v/>
      </c>
      <c r="AX96" s="299">
        <f>IF(AND($F96&lt;=AX$2, OR($G96="",$G96&gt;=AX$2)),
  $H96 * (1 + Assumptions!$C$7) ^ INT(((YEAR(AX$2)-YEAR($F96))*12 + MONTH(AX$2)-MONTH($F96)) / 12),
  0)</f>
        <v/>
      </c>
      <c r="AY96" s="299">
        <f>IF(AND($F96&lt;=AY$2, OR($G96="",$G96&gt;=AY$2)),
  $H96 * (1 + Assumptions!$C$7) ^ INT(((YEAR(AY$2)-YEAR($F96))*12 + MONTH(AY$2)-MONTH($F96)) / 12),
  0)</f>
        <v/>
      </c>
      <c r="AZ96" s="299">
        <f>IF(AND($F96&lt;=AZ$2, OR($G96="",$G96&gt;=AZ$2)),
  $H96 * (1 + Assumptions!$C$7) ^ INT(((YEAR(AZ$2)-YEAR($F96))*12 + MONTH(AZ$2)-MONTH($F96)) / 12),
  0)</f>
        <v/>
      </c>
      <c r="BA96" s="299">
        <f>IF(AND($F96&lt;=BA$2, OR($G96="",$G96&gt;=BA$2)),
  $H96 * (1 + Assumptions!$C$7) ^ INT(((YEAR(BA$2)-YEAR($F96))*12 + MONTH(BA$2)-MONTH($F96)) / 12),
  0)</f>
        <v/>
      </c>
      <c r="BB96" s="299">
        <f>IF(AND($F96&lt;=BB$2, OR($G96="",$G96&gt;=BB$2)),
  $H96 * (1 + Assumptions!$C$7) ^ INT(((YEAR(BB$2)-YEAR($F96))*12 + MONTH(BB$2)-MONTH($F96)) / 12),
  0)</f>
        <v/>
      </c>
      <c r="BC96" s="299">
        <f>IF(AND($F96&lt;=BC$2, OR($G96="",$G96&gt;=BC$2)),
  $H96 * (1 + Assumptions!$C$7) ^ INT(((YEAR(BC$2)-YEAR($F96))*12 + MONTH(BC$2)-MONTH($F96)) / 12),
  0)</f>
        <v/>
      </c>
      <c r="BD96" s="299">
        <f>IF(AND($F96&lt;=BD$2, OR($G96="",$G96&gt;=BD$2)),
  $H96 * (1 + Assumptions!$C$7) ^ INT(((YEAR(BD$2)-YEAR($F96))*12 + MONTH(BD$2)-MONTH($F96)) / 12),
  0)</f>
        <v/>
      </c>
      <c r="BE96" s="299">
        <f>IF(AND($F96&lt;=BE$2, OR($G96="",$G96&gt;=BE$2)),
  $H96 * (1 + Assumptions!$C$7) ^ INT(((YEAR(BE$2)-YEAR($F96))*12 + MONTH(BE$2)-MONTH($F96)) / 12),
  0)</f>
        <v/>
      </c>
      <c r="BF96" s="299">
        <f>IF(AND($F96&lt;=BF$2, OR($G96="",$G96&gt;=BF$2)),
  $H96 * (1 + Assumptions!$C$7) ^ INT(((YEAR(BF$2)-YEAR($F96))*12 + MONTH(BF$2)-MONTH($F96)) / 12),
  0)</f>
        <v/>
      </c>
      <c r="BG96" s="299">
        <f>IF(AND($F96&lt;=BG$2, OR($G96="",$G96&gt;=BG$2)),
  $H96 * (1 + Assumptions!$C$7) ^ INT(((YEAR(BG$2)-YEAR($F96))*12 + MONTH(BG$2)-MONTH($F96)) / 12),
  0)</f>
        <v/>
      </c>
      <c r="BH96" s="299">
        <f>IF(AND($F96&lt;=BH$2, OR($G96="",$G96&gt;=BH$2)),
  $H96 * (1 + Assumptions!$C$7) ^ INT(((YEAR(BH$2)-YEAR($F96))*12 + MONTH(BH$2)-MONTH($F96)) / 12),
  0)</f>
        <v/>
      </c>
      <c r="BI96" s="299">
        <f>IF(AND($F96&lt;=BI$2, OR($G96="",$G96&gt;=BI$2)),
  $H96 * (1 + Assumptions!$C$7) ^ INT(((YEAR(BI$2)-YEAR($F96))*12 + MONTH(BI$2)-MONTH($F96)) / 12),
  0)</f>
        <v/>
      </c>
      <c r="BJ96" s="299">
        <f>IF(AND($F96&lt;=BJ$2, OR($G96="",$G96&gt;=BJ$2)),
  $H96 * (1 + Assumptions!$C$7) ^ INT(((YEAR(BJ$2)-YEAR($F96))*12 + MONTH(BJ$2)-MONTH($F96)) / 12),
  0)</f>
        <v/>
      </c>
      <c r="BK96" s="299">
        <f>IF(AND($F96&lt;=BK$2, OR($G96="",$G96&gt;=BK$2)),
  $H96 * (1 + Assumptions!$C$7) ^ INT(((YEAR(BK$2)-YEAR($F96))*12 + MONTH(BK$2)-MONTH($F96)) / 12),
  0)</f>
        <v/>
      </c>
      <c r="BL96" s="299">
        <f>IF(AND($F96&lt;=BL$2, OR($G96="",$G96&gt;=BL$2)),
  $H96 * (1 + Assumptions!$C$7) ^ INT(((YEAR(BL$2)-YEAR($F96))*12 + MONTH(BL$2)-MONTH($F96)) / 12),
  0)</f>
        <v/>
      </c>
      <c r="BM96" s="299">
        <f>IF(AND($F96&lt;=BM$2, OR($G96="",$G96&gt;=BM$2)),
  $H96 * (1 + Assumptions!$C$7) ^ INT(((YEAR(BM$2)-YEAR($F96))*12 + MONTH(BM$2)-MONTH($F96)) / 12),
  0)</f>
        <v/>
      </c>
      <c r="BN96" s="299">
        <f>IF(AND($F96&lt;=BN$2, OR($G96="",$G96&gt;=BN$2)),
  $H96 * (1 + Assumptions!$C$7) ^ INT(((YEAR(BN$2)-YEAR($F96))*12 + MONTH(BN$2)-MONTH($F96)) / 12),
  0)</f>
        <v/>
      </c>
      <c r="BO96" s="299">
        <f>IF(AND($F96&lt;=BO$2, OR($G96="",$G96&gt;=BO$2)),
  $H96 * (1 + Assumptions!$C$7) ^ INT(((YEAR(BO$2)-YEAR($F96))*12 + MONTH(BO$2)-MONTH($F96)) / 12),
  0)</f>
        <v/>
      </c>
      <c r="BP96" s="299">
        <f>IF(AND($F96&lt;=BP$2, OR($G96="",$G96&gt;=BP$2)),
  $H96 * (1 + Assumptions!$C$7) ^ INT(((YEAR(BP$2)-YEAR($F96))*12 + MONTH(BP$2)-MONTH($F96)) / 12),
  0)</f>
        <v/>
      </c>
      <c r="BQ96" s="31" t="n"/>
      <c r="BR96" s="31" t="n"/>
      <c r="BS96" s="31" t="n"/>
      <c r="BT96" s="31" t="n"/>
    </row>
    <row r="97" ht="15.75" customHeight="1" s="349">
      <c r="A97" s="321" t="n">
        <v>92</v>
      </c>
      <c r="B97" s="285" t="inlineStr">
        <is>
          <t>New hire</t>
        </is>
      </c>
      <c r="C97" s="317" t="inlineStr">
        <is>
          <t>G&amp;A</t>
        </is>
      </c>
      <c r="D97" s="317" t="inlineStr">
        <is>
          <t>Supply Chain &amp; Logistics</t>
        </is>
      </c>
      <c r="E97" s="297" t="inlineStr">
        <is>
          <t>Planned</t>
        </is>
      </c>
      <c r="F97" s="318">
        <f>IF(Assumptions!$D$82=2,DATE(2029,7,1),DATE(2035,1,1))</f>
        <v/>
      </c>
      <c r="G97" s="318" t="n"/>
      <c r="H97" s="288" t="n">
        <v>5000</v>
      </c>
      <c r="I97" s="299">
        <f>IF(AND($F97&lt;=I$2, OR($G97="",$G97&gt;=I$2)),
  $H97 * (1 + Assumptions!$C$7) ^ INT(((YEAR(I$2)-YEAR($F97))*12 + MONTH(I$2)-MONTH($F97)) / 12),
  0)</f>
        <v/>
      </c>
      <c r="J97" s="299">
        <f>IF(AND($F97&lt;=J$2, OR($G97="",$G97&gt;=J$2)),
  $H97 * (1 + Assumptions!$C$7) ^ INT(((YEAR(J$2)-YEAR($F97))*12 + MONTH(J$2)-MONTH($F97)) / 12),
  0)</f>
        <v/>
      </c>
      <c r="K97" s="299">
        <f>IF(AND($F97&lt;=K$2, OR($G97="",$G97&gt;=K$2)),
  $H97 * (1 + Assumptions!$C$7) ^ INT(((YEAR(K$2)-YEAR($F97))*12 + MONTH(K$2)-MONTH($F97)) / 12),
  0)</f>
        <v/>
      </c>
      <c r="L97" s="299">
        <f>IF(AND($F97&lt;=L$2, OR($G97="",$G97&gt;=L$2)),
  $H97 * (1 + Assumptions!$C$7) ^ INT(((YEAR(L$2)-YEAR($F97))*12 + MONTH(L$2)-MONTH($F97)) / 12),
  0)</f>
        <v/>
      </c>
      <c r="M97" s="299">
        <f>IF(AND($F97&lt;=M$2, OR($G97="",$G97&gt;=M$2)),
  $H97 * (1 + Assumptions!$C$7) ^ INT(((YEAR(M$2)-YEAR($F97))*12 + MONTH(M$2)-MONTH($F97)) / 12),
  0)</f>
        <v/>
      </c>
      <c r="N97" s="299">
        <f>IF(AND($F97&lt;=N$2, OR($G97="",$G97&gt;=N$2)),
  $H97 * (1 + Assumptions!$C$7) ^ INT(((YEAR(N$2)-YEAR($F97))*12 + MONTH(N$2)-MONTH($F97)) / 12),
  0)</f>
        <v/>
      </c>
      <c r="O97" s="299">
        <f>IF(AND($F97&lt;=O$2, OR($G97="",$G97&gt;=O$2)),
  $H97 * (1 + Assumptions!$C$7) ^ INT(((YEAR(O$2)-YEAR($F97))*12 + MONTH(O$2)-MONTH($F97)) / 12),
  0)</f>
        <v/>
      </c>
      <c r="P97" s="299">
        <f>IF(AND($F97&lt;=P$2, OR($G97="",$G97&gt;=P$2)),
  $H97 * (1 + Assumptions!$C$7) ^ INT(((YEAR(P$2)-YEAR($F97))*12 + MONTH(P$2)-MONTH($F97)) / 12),
  0)</f>
        <v/>
      </c>
      <c r="Q97" s="299">
        <f>IF(AND($F97&lt;=Q$2, OR($G97="",$G97&gt;=Q$2)),
  $H97 * (1 + Assumptions!$C$7) ^ INT(((YEAR(Q$2)-YEAR($F97))*12 + MONTH(Q$2)-MONTH($F97)) / 12),
  0)</f>
        <v/>
      </c>
      <c r="R97" s="299">
        <f>IF(AND($F97&lt;=R$2, OR($G97="",$G97&gt;=R$2)),
  $H97 * (1 + Assumptions!$C$7) ^ INT(((YEAR(R$2)-YEAR($F97))*12 + MONTH(R$2)-MONTH($F97)) / 12),
  0)</f>
        <v/>
      </c>
      <c r="S97" s="299">
        <f>IF(AND($F97&lt;=S$2, OR($G97="",$G97&gt;=S$2)),
  $H97 * (1 + Assumptions!$C$7) ^ INT(((YEAR(S$2)-YEAR($F97))*12 + MONTH(S$2)-MONTH($F97)) / 12),
  0)</f>
        <v/>
      </c>
      <c r="T97" s="299">
        <f>IF(AND($F97&lt;=T$2, OR($G97="",$G97&gt;=T$2)),
  $H97 * (1 + Assumptions!$C$7) ^ INT(((YEAR(T$2)-YEAR($F97))*12 + MONTH(T$2)-MONTH($F97)) / 12),
  0)</f>
        <v/>
      </c>
      <c r="U97" s="299">
        <f>IF(AND($F97&lt;=U$2, OR($G97="",$G97&gt;=U$2)),
  $H97 * (1 + Assumptions!$C$7) ^ INT(((YEAR(U$2)-YEAR($F97))*12 + MONTH(U$2)-MONTH($F97)) / 12),
  0)</f>
        <v/>
      </c>
      <c r="V97" s="299">
        <f>IF(AND($F97&lt;=V$2, OR($G97="",$G97&gt;=V$2)),
  $H97 * (1 + Assumptions!$C$7) ^ INT(((YEAR(V$2)-YEAR($F97))*12 + MONTH(V$2)-MONTH($F97)) / 12),
  0)</f>
        <v/>
      </c>
      <c r="W97" s="299">
        <f>IF(AND($F97&lt;=W$2, OR($G97="",$G97&gt;=W$2)),
  $H97 * (1 + Assumptions!$C$7) ^ INT(((YEAR(W$2)-YEAR($F97))*12 + MONTH(W$2)-MONTH($F97)) / 12),
  0)</f>
        <v/>
      </c>
      <c r="X97" s="299">
        <f>IF(AND($F97&lt;=X$2, OR($G97="",$G97&gt;=X$2)),
  $H97 * (1 + Assumptions!$C$7) ^ INT(((YEAR(X$2)-YEAR($F97))*12 + MONTH(X$2)-MONTH($F97)) / 12),
  0)</f>
        <v/>
      </c>
      <c r="Y97" s="299">
        <f>IF(AND($F97&lt;=Y$2, OR($G97="",$G97&gt;=Y$2)),
  $H97 * (1 + Assumptions!$C$7) ^ INT(((YEAR(Y$2)-YEAR($F97))*12 + MONTH(Y$2)-MONTH($F97)) / 12),
  0)</f>
        <v/>
      </c>
      <c r="Z97" s="299">
        <f>IF(AND($F97&lt;=Z$2, OR($G97="",$G97&gt;=Z$2)),
  $H97 * (1 + Assumptions!$C$7) ^ INT(((YEAR(Z$2)-YEAR($F97))*12 + MONTH(Z$2)-MONTH($F97)) / 12),
  0)</f>
        <v/>
      </c>
      <c r="AA97" s="299">
        <f>IF(AND($F97&lt;=AA$2, OR($G97="",$G97&gt;=AA$2)),
  $H97 * (1 + Assumptions!$C$7) ^ INT(((YEAR(AA$2)-YEAR($F97))*12 + MONTH(AA$2)-MONTH($F97)) / 12),
  0)</f>
        <v/>
      </c>
      <c r="AB97" s="299">
        <f>IF(AND($F97&lt;=AB$2, OR($G97="",$G97&gt;=AB$2)),
  $H97 * (1 + Assumptions!$C$7) ^ INT(((YEAR(AB$2)-YEAR($F97))*12 + MONTH(AB$2)-MONTH($F97)) / 12),
  0)</f>
        <v/>
      </c>
      <c r="AC97" s="299">
        <f>IF(AND($F97&lt;=AC$2, OR($G97="",$G97&gt;=AC$2)),
  $H97 * (1 + Assumptions!$C$7) ^ INT(((YEAR(AC$2)-YEAR($F97))*12 + MONTH(AC$2)-MONTH($F97)) / 12),
  0)</f>
        <v/>
      </c>
      <c r="AD97" s="299">
        <f>IF(AND($F97&lt;=AD$2, OR($G97="",$G97&gt;=AD$2)),
  $H97 * (1 + Assumptions!$C$7) ^ INT(((YEAR(AD$2)-YEAR($F97))*12 + MONTH(AD$2)-MONTH($F97)) / 12),
  0)</f>
        <v/>
      </c>
      <c r="AE97" s="299">
        <f>IF(AND($F97&lt;=AE$2, OR($G97="",$G97&gt;=AE$2)),
  $H97 * (1 + Assumptions!$C$7) ^ INT(((YEAR(AE$2)-YEAR($F97))*12 + MONTH(AE$2)-MONTH($F97)) / 12),
  0)</f>
        <v/>
      </c>
      <c r="AF97" s="299">
        <f>IF(AND($F97&lt;=AF$2, OR($G97="",$G97&gt;=AF$2)),
  $H97 * (1 + Assumptions!$C$7) ^ INT(((YEAR(AF$2)-YEAR($F97))*12 + MONTH(AF$2)-MONTH($F97)) / 12),
  0)</f>
        <v/>
      </c>
      <c r="AG97" s="299">
        <f>IF(AND($F97&lt;=AG$2, OR($G97="",$G97&gt;=AG$2)),
  $H97 * (1 + Assumptions!$C$7) ^ INT(((YEAR(AG$2)-YEAR($F97))*12 + MONTH(AG$2)-MONTH($F97)) / 12),
  0)</f>
        <v/>
      </c>
      <c r="AH97" s="299">
        <f>IF(AND($F97&lt;=AH$2, OR($G97="",$G97&gt;=AH$2)),
  $H97 * (1 + Assumptions!$C$7) ^ INT(((YEAR(AH$2)-YEAR($F97))*12 + MONTH(AH$2)-MONTH($F97)) / 12),
  0)</f>
        <v/>
      </c>
      <c r="AI97" s="299">
        <f>IF(AND($F97&lt;=AI$2, OR($G97="",$G97&gt;=AI$2)),
  $H97 * (1 + Assumptions!$C$7) ^ INT(((YEAR(AI$2)-YEAR($F97))*12 + MONTH(AI$2)-MONTH($F97)) / 12),
  0)</f>
        <v/>
      </c>
      <c r="AJ97" s="299">
        <f>IF(AND($F97&lt;=AJ$2, OR($G97="",$G97&gt;=AJ$2)),
  $H97 * (1 + Assumptions!$C$7) ^ INT(((YEAR(AJ$2)-YEAR($F97))*12 + MONTH(AJ$2)-MONTH($F97)) / 12),
  0)</f>
        <v/>
      </c>
      <c r="AK97" s="299">
        <f>IF(AND($F97&lt;=AK$2, OR($G97="",$G97&gt;=AK$2)),
  $H97 * (1 + Assumptions!$C$7) ^ INT(((YEAR(AK$2)-YEAR($F97))*12 + MONTH(AK$2)-MONTH($F97)) / 12),
  0)</f>
        <v/>
      </c>
      <c r="AL97" s="299">
        <f>IF(AND($F97&lt;=AL$2, OR($G97="",$G97&gt;=AL$2)),
  $H97 * (1 + Assumptions!$C$7) ^ INT(((YEAR(AL$2)-YEAR($F97))*12 + MONTH(AL$2)-MONTH($F97)) / 12),
  0)</f>
        <v/>
      </c>
      <c r="AM97" s="299">
        <f>IF(AND($F97&lt;=AM$2, OR($G97="",$G97&gt;=AM$2)),
  $H97 * (1 + Assumptions!$C$7) ^ INT(((YEAR(AM$2)-YEAR($F97))*12 + MONTH(AM$2)-MONTH($F97)) / 12),
  0)</f>
        <v/>
      </c>
      <c r="AN97" s="299">
        <f>IF(AND($F97&lt;=AN$2, OR($G97="",$G97&gt;=AN$2)),
  $H97 * (1 + Assumptions!$C$7) ^ INT(((YEAR(AN$2)-YEAR($F97))*12 + MONTH(AN$2)-MONTH($F97)) / 12),
  0)</f>
        <v/>
      </c>
      <c r="AO97" s="299">
        <f>IF(AND($F97&lt;=AO$2, OR($G97="",$G97&gt;=AO$2)),
  $H97 * (1 + Assumptions!$C$7) ^ INT(((YEAR(AO$2)-YEAR($F97))*12 + MONTH(AO$2)-MONTH($F97)) / 12),
  0)</f>
        <v/>
      </c>
      <c r="AP97" s="299">
        <f>IF(AND($F97&lt;=AP$2, OR($G97="",$G97&gt;=AP$2)),
  $H97 * (1 + Assumptions!$C$7) ^ INT(((YEAR(AP$2)-YEAR($F97))*12 + MONTH(AP$2)-MONTH($F97)) / 12),
  0)</f>
        <v/>
      </c>
      <c r="AQ97" s="299">
        <f>IF(AND($F97&lt;=AQ$2, OR($G97="",$G97&gt;=AQ$2)),
  $H97 * (1 + Assumptions!$C$7) ^ INT(((YEAR(AQ$2)-YEAR($F97))*12 + MONTH(AQ$2)-MONTH($F97)) / 12),
  0)</f>
        <v/>
      </c>
      <c r="AR97" s="299">
        <f>IF(AND($F97&lt;=AR$2, OR($G97="",$G97&gt;=AR$2)),
  $H97 * (1 + Assumptions!$C$7) ^ INT(((YEAR(AR$2)-YEAR($F97))*12 + MONTH(AR$2)-MONTH($F97)) / 12),
  0)</f>
        <v/>
      </c>
      <c r="AS97" s="299">
        <f>IF(AND($F97&lt;=AS$2, OR($G97="",$G97&gt;=AS$2)),
  $H97 * (1 + Assumptions!$C$7) ^ INT(((YEAR(AS$2)-YEAR($F97))*12 + MONTH(AS$2)-MONTH($F97)) / 12),
  0)</f>
        <v/>
      </c>
      <c r="AT97" s="299">
        <f>IF(AND($F97&lt;=AT$2, OR($G97="",$G97&gt;=AT$2)),
  $H97 * (1 + Assumptions!$C$7) ^ INT(((YEAR(AT$2)-YEAR($F97))*12 + MONTH(AT$2)-MONTH($F97)) / 12),
  0)</f>
        <v/>
      </c>
      <c r="AU97" s="299">
        <f>IF(AND($F97&lt;=AU$2, OR($G97="",$G97&gt;=AU$2)),
  $H97 * (1 + Assumptions!$C$7) ^ INT(((YEAR(AU$2)-YEAR($F97))*12 + MONTH(AU$2)-MONTH($F97)) / 12),
  0)</f>
        <v/>
      </c>
      <c r="AV97" s="299">
        <f>IF(AND($F97&lt;=AV$2, OR($G97="",$G97&gt;=AV$2)),
  $H97 * (1 + Assumptions!$C$7) ^ INT(((YEAR(AV$2)-YEAR($F97))*12 + MONTH(AV$2)-MONTH($F97)) / 12),
  0)</f>
        <v/>
      </c>
      <c r="AW97" s="299">
        <f>IF(AND($F97&lt;=AW$2, OR($G97="",$G97&gt;=AW$2)),
  $H97 * (1 + Assumptions!$C$7) ^ INT(((YEAR(AW$2)-YEAR($F97))*12 + MONTH(AW$2)-MONTH($F97)) / 12),
  0)</f>
        <v/>
      </c>
      <c r="AX97" s="299">
        <f>IF(AND($F97&lt;=AX$2, OR($G97="",$G97&gt;=AX$2)),
  $H97 * (1 + Assumptions!$C$7) ^ INT(((YEAR(AX$2)-YEAR($F97))*12 + MONTH(AX$2)-MONTH($F97)) / 12),
  0)</f>
        <v/>
      </c>
      <c r="AY97" s="299">
        <f>IF(AND($F97&lt;=AY$2, OR($G97="",$G97&gt;=AY$2)),
  $H97 * (1 + Assumptions!$C$7) ^ INT(((YEAR(AY$2)-YEAR($F97))*12 + MONTH(AY$2)-MONTH($F97)) / 12),
  0)</f>
        <v/>
      </c>
      <c r="AZ97" s="299">
        <f>IF(AND($F97&lt;=AZ$2, OR($G97="",$G97&gt;=AZ$2)),
  $H97 * (1 + Assumptions!$C$7) ^ INT(((YEAR(AZ$2)-YEAR($F97))*12 + MONTH(AZ$2)-MONTH($F97)) / 12),
  0)</f>
        <v/>
      </c>
      <c r="BA97" s="299">
        <f>IF(AND($F97&lt;=BA$2, OR($G97="",$G97&gt;=BA$2)),
  $H97 * (1 + Assumptions!$C$7) ^ INT(((YEAR(BA$2)-YEAR($F97))*12 + MONTH(BA$2)-MONTH($F97)) / 12),
  0)</f>
        <v/>
      </c>
      <c r="BB97" s="299">
        <f>IF(AND($F97&lt;=BB$2, OR($G97="",$G97&gt;=BB$2)),
  $H97 * (1 + Assumptions!$C$7) ^ INT(((YEAR(BB$2)-YEAR($F97))*12 + MONTH(BB$2)-MONTH($F97)) / 12),
  0)</f>
        <v/>
      </c>
      <c r="BC97" s="299">
        <f>IF(AND($F97&lt;=BC$2, OR($G97="",$G97&gt;=BC$2)),
  $H97 * (1 + Assumptions!$C$7) ^ INT(((YEAR(BC$2)-YEAR($F97))*12 + MONTH(BC$2)-MONTH($F97)) / 12),
  0)</f>
        <v/>
      </c>
      <c r="BD97" s="299">
        <f>IF(AND($F97&lt;=BD$2, OR($G97="",$G97&gt;=BD$2)),
  $H97 * (1 + Assumptions!$C$7) ^ INT(((YEAR(BD$2)-YEAR($F97))*12 + MONTH(BD$2)-MONTH($F97)) / 12),
  0)</f>
        <v/>
      </c>
      <c r="BE97" s="299">
        <f>IF(AND($F97&lt;=BE$2, OR($G97="",$G97&gt;=BE$2)),
  $H97 * (1 + Assumptions!$C$7) ^ INT(((YEAR(BE$2)-YEAR($F97))*12 + MONTH(BE$2)-MONTH($F97)) / 12),
  0)</f>
        <v/>
      </c>
      <c r="BF97" s="299">
        <f>IF(AND($F97&lt;=BF$2, OR($G97="",$G97&gt;=BF$2)),
  $H97 * (1 + Assumptions!$C$7) ^ INT(((YEAR(BF$2)-YEAR($F97))*12 + MONTH(BF$2)-MONTH($F97)) / 12),
  0)</f>
        <v/>
      </c>
      <c r="BG97" s="299">
        <f>IF(AND($F97&lt;=BG$2, OR($G97="",$G97&gt;=BG$2)),
  $H97 * (1 + Assumptions!$C$7) ^ INT(((YEAR(BG$2)-YEAR($F97))*12 + MONTH(BG$2)-MONTH($F97)) / 12),
  0)</f>
        <v/>
      </c>
      <c r="BH97" s="299">
        <f>IF(AND($F97&lt;=BH$2, OR($G97="",$G97&gt;=BH$2)),
  $H97 * (1 + Assumptions!$C$7) ^ INT(((YEAR(BH$2)-YEAR($F97))*12 + MONTH(BH$2)-MONTH($F97)) / 12),
  0)</f>
        <v/>
      </c>
      <c r="BI97" s="299">
        <f>IF(AND($F97&lt;=BI$2, OR($G97="",$G97&gt;=BI$2)),
  $H97 * (1 + Assumptions!$C$7) ^ INT(((YEAR(BI$2)-YEAR($F97))*12 + MONTH(BI$2)-MONTH($F97)) / 12),
  0)</f>
        <v/>
      </c>
      <c r="BJ97" s="299">
        <f>IF(AND($F97&lt;=BJ$2, OR($G97="",$G97&gt;=BJ$2)),
  $H97 * (1 + Assumptions!$C$7) ^ INT(((YEAR(BJ$2)-YEAR($F97))*12 + MONTH(BJ$2)-MONTH($F97)) / 12),
  0)</f>
        <v/>
      </c>
      <c r="BK97" s="299">
        <f>IF(AND($F97&lt;=BK$2, OR($G97="",$G97&gt;=BK$2)),
  $H97 * (1 + Assumptions!$C$7) ^ INT(((YEAR(BK$2)-YEAR($F97))*12 + MONTH(BK$2)-MONTH($F97)) / 12),
  0)</f>
        <v/>
      </c>
      <c r="BL97" s="299">
        <f>IF(AND($F97&lt;=BL$2, OR($G97="",$G97&gt;=BL$2)),
  $H97 * (1 + Assumptions!$C$7) ^ INT(((YEAR(BL$2)-YEAR($F97))*12 + MONTH(BL$2)-MONTH($F97)) / 12),
  0)</f>
        <v/>
      </c>
      <c r="BM97" s="299">
        <f>IF(AND($F97&lt;=BM$2, OR($G97="",$G97&gt;=BM$2)),
  $H97 * (1 + Assumptions!$C$7) ^ INT(((YEAR(BM$2)-YEAR($F97))*12 + MONTH(BM$2)-MONTH($F97)) / 12),
  0)</f>
        <v/>
      </c>
      <c r="BN97" s="299">
        <f>IF(AND($F97&lt;=BN$2, OR($G97="",$G97&gt;=BN$2)),
  $H97 * (1 + Assumptions!$C$7) ^ INT(((YEAR(BN$2)-YEAR($F97))*12 + MONTH(BN$2)-MONTH($F97)) / 12),
  0)</f>
        <v/>
      </c>
      <c r="BO97" s="299">
        <f>IF(AND($F97&lt;=BO$2, OR($G97="",$G97&gt;=BO$2)),
  $H97 * (1 + Assumptions!$C$7) ^ INT(((YEAR(BO$2)-YEAR($F97))*12 + MONTH(BO$2)-MONTH($F97)) / 12),
  0)</f>
        <v/>
      </c>
      <c r="BP97" s="299">
        <f>IF(AND($F97&lt;=BP$2, OR($G97="",$G97&gt;=BP$2)),
  $H97 * (1 + Assumptions!$C$7) ^ INT(((YEAR(BP$2)-YEAR($F97))*12 + MONTH(BP$2)-MONTH($F97)) / 12),
  0)</f>
        <v/>
      </c>
      <c r="BQ97" s="31" t="n"/>
      <c r="BR97" s="31" t="n"/>
      <c r="BS97" s="31" t="n"/>
      <c r="BT97" s="31" t="n"/>
    </row>
    <row r="98" ht="15.75" customHeight="1" s="349">
      <c r="A98" s="321" t="n">
        <v>93</v>
      </c>
      <c r="B98" s="285" t="inlineStr">
        <is>
          <t>New hire</t>
        </is>
      </c>
      <c r="C98" s="317" t="inlineStr">
        <is>
          <t>G&amp;A</t>
        </is>
      </c>
      <c r="D98" s="317" t="inlineStr">
        <is>
          <t>Supply Chain &amp; Logistics</t>
        </is>
      </c>
      <c r="E98" s="297" t="inlineStr">
        <is>
          <t>Planned</t>
        </is>
      </c>
      <c r="F98" s="318">
        <f>IF(Assumptions!$D$82=2,DATE(2029,8,1),DATE(2035,1,1))</f>
        <v/>
      </c>
      <c r="G98" s="318" t="n"/>
      <c r="H98" s="288" t="n">
        <v>5000</v>
      </c>
      <c r="I98" s="299">
        <f>IF(AND($F98&lt;=I$2, OR($G98="",$G98&gt;=I$2)),
  $H98 * (1 + Assumptions!$C$7) ^ INT(((YEAR(I$2)-YEAR($F98))*12 + MONTH(I$2)-MONTH($F98)) / 12),
  0)</f>
        <v/>
      </c>
      <c r="J98" s="299">
        <f>IF(AND($F98&lt;=J$2, OR($G98="",$G98&gt;=J$2)),
  $H98 * (1 + Assumptions!$C$7) ^ INT(((YEAR(J$2)-YEAR($F98))*12 + MONTH(J$2)-MONTH($F98)) / 12),
  0)</f>
        <v/>
      </c>
      <c r="K98" s="299">
        <f>IF(AND($F98&lt;=K$2, OR($G98="",$G98&gt;=K$2)),
  $H98 * (1 + Assumptions!$C$7) ^ INT(((YEAR(K$2)-YEAR($F98))*12 + MONTH(K$2)-MONTH($F98)) / 12),
  0)</f>
        <v/>
      </c>
      <c r="L98" s="299">
        <f>IF(AND($F98&lt;=L$2, OR($G98="",$G98&gt;=L$2)),
  $H98 * (1 + Assumptions!$C$7) ^ INT(((YEAR(L$2)-YEAR($F98))*12 + MONTH(L$2)-MONTH($F98)) / 12),
  0)</f>
        <v/>
      </c>
      <c r="M98" s="299">
        <f>IF(AND($F98&lt;=M$2, OR($G98="",$G98&gt;=M$2)),
  $H98 * (1 + Assumptions!$C$7) ^ INT(((YEAR(M$2)-YEAR($F98))*12 + MONTH(M$2)-MONTH($F98)) / 12),
  0)</f>
        <v/>
      </c>
      <c r="N98" s="299">
        <f>IF(AND($F98&lt;=N$2, OR($G98="",$G98&gt;=N$2)),
  $H98 * (1 + Assumptions!$C$7) ^ INT(((YEAR(N$2)-YEAR($F98))*12 + MONTH(N$2)-MONTH($F98)) / 12),
  0)</f>
        <v/>
      </c>
      <c r="O98" s="299">
        <f>IF(AND($F98&lt;=O$2, OR($G98="",$G98&gt;=O$2)),
  $H98 * (1 + Assumptions!$C$7) ^ INT(((YEAR(O$2)-YEAR($F98))*12 + MONTH(O$2)-MONTH($F98)) / 12),
  0)</f>
        <v/>
      </c>
      <c r="P98" s="299">
        <f>IF(AND($F98&lt;=P$2, OR($G98="",$G98&gt;=P$2)),
  $H98 * (1 + Assumptions!$C$7) ^ INT(((YEAR(P$2)-YEAR($F98))*12 + MONTH(P$2)-MONTH($F98)) / 12),
  0)</f>
        <v/>
      </c>
      <c r="Q98" s="299">
        <f>IF(AND($F98&lt;=Q$2, OR($G98="",$G98&gt;=Q$2)),
  $H98 * (1 + Assumptions!$C$7) ^ INT(((YEAR(Q$2)-YEAR($F98))*12 + MONTH(Q$2)-MONTH($F98)) / 12),
  0)</f>
        <v/>
      </c>
      <c r="R98" s="299">
        <f>IF(AND($F98&lt;=R$2, OR($G98="",$G98&gt;=R$2)),
  $H98 * (1 + Assumptions!$C$7) ^ INT(((YEAR(R$2)-YEAR($F98))*12 + MONTH(R$2)-MONTH($F98)) / 12),
  0)</f>
        <v/>
      </c>
      <c r="S98" s="299">
        <f>IF(AND($F98&lt;=S$2, OR($G98="",$G98&gt;=S$2)),
  $H98 * (1 + Assumptions!$C$7) ^ INT(((YEAR(S$2)-YEAR($F98))*12 + MONTH(S$2)-MONTH($F98)) / 12),
  0)</f>
        <v/>
      </c>
      <c r="T98" s="299">
        <f>IF(AND($F98&lt;=T$2, OR($G98="",$G98&gt;=T$2)),
  $H98 * (1 + Assumptions!$C$7) ^ INT(((YEAR(T$2)-YEAR($F98))*12 + MONTH(T$2)-MONTH($F98)) / 12),
  0)</f>
        <v/>
      </c>
      <c r="U98" s="299">
        <f>IF(AND($F98&lt;=U$2, OR($G98="",$G98&gt;=U$2)),
  $H98 * (1 + Assumptions!$C$7) ^ INT(((YEAR(U$2)-YEAR($F98))*12 + MONTH(U$2)-MONTH($F98)) / 12),
  0)</f>
        <v/>
      </c>
      <c r="V98" s="299">
        <f>IF(AND($F98&lt;=V$2, OR($G98="",$G98&gt;=V$2)),
  $H98 * (1 + Assumptions!$C$7) ^ INT(((YEAR(V$2)-YEAR($F98))*12 + MONTH(V$2)-MONTH($F98)) / 12),
  0)</f>
        <v/>
      </c>
      <c r="W98" s="299">
        <f>IF(AND($F98&lt;=W$2, OR($G98="",$G98&gt;=W$2)),
  $H98 * (1 + Assumptions!$C$7) ^ INT(((YEAR(W$2)-YEAR($F98))*12 + MONTH(W$2)-MONTH($F98)) / 12),
  0)</f>
        <v/>
      </c>
      <c r="X98" s="299">
        <f>IF(AND($F98&lt;=X$2, OR($G98="",$G98&gt;=X$2)),
  $H98 * (1 + Assumptions!$C$7) ^ INT(((YEAR(X$2)-YEAR($F98))*12 + MONTH(X$2)-MONTH($F98)) / 12),
  0)</f>
        <v/>
      </c>
      <c r="Y98" s="299">
        <f>IF(AND($F98&lt;=Y$2, OR($G98="",$G98&gt;=Y$2)),
  $H98 * (1 + Assumptions!$C$7) ^ INT(((YEAR(Y$2)-YEAR($F98))*12 + MONTH(Y$2)-MONTH($F98)) / 12),
  0)</f>
        <v/>
      </c>
      <c r="Z98" s="299">
        <f>IF(AND($F98&lt;=Z$2, OR($G98="",$G98&gt;=Z$2)),
  $H98 * (1 + Assumptions!$C$7) ^ INT(((YEAR(Z$2)-YEAR($F98))*12 + MONTH(Z$2)-MONTH($F98)) / 12),
  0)</f>
        <v/>
      </c>
      <c r="AA98" s="299">
        <f>IF(AND($F98&lt;=AA$2, OR($G98="",$G98&gt;=AA$2)),
  $H98 * (1 + Assumptions!$C$7) ^ INT(((YEAR(AA$2)-YEAR($F98))*12 + MONTH(AA$2)-MONTH($F98)) / 12),
  0)</f>
        <v/>
      </c>
      <c r="AB98" s="299">
        <f>IF(AND($F98&lt;=AB$2, OR($G98="",$G98&gt;=AB$2)),
  $H98 * (1 + Assumptions!$C$7) ^ INT(((YEAR(AB$2)-YEAR($F98))*12 + MONTH(AB$2)-MONTH($F98)) / 12),
  0)</f>
        <v/>
      </c>
      <c r="AC98" s="299">
        <f>IF(AND($F98&lt;=AC$2, OR($G98="",$G98&gt;=AC$2)),
  $H98 * (1 + Assumptions!$C$7) ^ INT(((YEAR(AC$2)-YEAR($F98))*12 + MONTH(AC$2)-MONTH($F98)) / 12),
  0)</f>
        <v/>
      </c>
      <c r="AD98" s="299">
        <f>IF(AND($F98&lt;=AD$2, OR($G98="",$G98&gt;=AD$2)),
  $H98 * (1 + Assumptions!$C$7) ^ INT(((YEAR(AD$2)-YEAR($F98))*12 + MONTH(AD$2)-MONTH($F98)) / 12),
  0)</f>
        <v/>
      </c>
      <c r="AE98" s="299">
        <f>IF(AND($F98&lt;=AE$2, OR($G98="",$G98&gt;=AE$2)),
  $H98 * (1 + Assumptions!$C$7) ^ INT(((YEAR(AE$2)-YEAR($F98))*12 + MONTH(AE$2)-MONTH($F98)) / 12),
  0)</f>
        <v/>
      </c>
      <c r="AF98" s="299">
        <f>IF(AND($F98&lt;=AF$2, OR($G98="",$G98&gt;=AF$2)),
  $H98 * (1 + Assumptions!$C$7) ^ INT(((YEAR(AF$2)-YEAR($F98))*12 + MONTH(AF$2)-MONTH($F98)) / 12),
  0)</f>
        <v/>
      </c>
      <c r="AG98" s="299">
        <f>IF(AND($F98&lt;=AG$2, OR($G98="",$G98&gt;=AG$2)),
  $H98 * (1 + Assumptions!$C$7) ^ INT(((YEAR(AG$2)-YEAR($F98))*12 + MONTH(AG$2)-MONTH($F98)) / 12),
  0)</f>
        <v/>
      </c>
      <c r="AH98" s="299">
        <f>IF(AND($F98&lt;=AH$2, OR($G98="",$G98&gt;=AH$2)),
  $H98 * (1 + Assumptions!$C$7) ^ INT(((YEAR(AH$2)-YEAR($F98))*12 + MONTH(AH$2)-MONTH($F98)) / 12),
  0)</f>
        <v/>
      </c>
      <c r="AI98" s="299">
        <f>IF(AND($F98&lt;=AI$2, OR($G98="",$G98&gt;=AI$2)),
  $H98 * (1 + Assumptions!$C$7) ^ INT(((YEAR(AI$2)-YEAR($F98))*12 + MONTH(AI$2)-MONTH($F98)) / 12),
  0)</f>
        <v/>
      </c>
      <c r="AJ98" s="299">
        <f>IF(AND($F98&lt;=AJ$2, OR($G98="",$G98&gt;=AJ$2)),
  $H98 * (1 + Assumptions!$C$7) ^ INT(((YEAR(AJ$2)-YEAR($F98))*12 + MONTH(AJ$2)-MONTH($F98)) / 12),
  0)</f>
        <v/>
      </c>
      <c r="AK98" s="299">
        <f>IF(AND($F98&lt;=AK$2, OR($G98="",$G98&gt;=AK$2)),
  $H98 * (1 + Assumptions!$C$7) ^ INT(((YEAR(AK$2)-YEAR($F98))*12 + MONTH(AK$2)-MONTH($F98)) / 12),
  0)</f>
        <v/>
      </c>
      <c r="AL98" s="299">
        <f>IF(AND($F98&lt;=AL$2, OR($G98="",$G98&gt;=AL$2)),
  $H98 * (1 + Assumptions!$C$7) ^ INT(((YEAR(AL$2)-YEAR($F98))*12 + MONTH(AL$2)-MONTH($F98)) / 12),
  0)</f>
        <v/>
      </c>
      <c r="AM98" s="299">
        <f>IF(AND($F98&lt;=AM$2, OR($G98="",$G98&gt;=AM$2)),
  $H98 * (1 + Assumptions!$C$7) ^ INT(((YEAR(AM$2)-YEAR($F98))*12 + MONTH(AM$2)-MONTH($F98)) / 12),
  0)</f>
        <v/>
      </c>
      <c r="AN98" s="299">
        <f>IF(AND($F98&lt;=AN$2, OR($G98="",$G98&gt;=AN$2)),
  $H98 * (1 + Assumptions!$C$7) ^ INT(((YEAR(AN$2)-YEAR($F98))*12 + MONTH(AN$2)-MONTH($F98)) / 12),
  0)</f>
        <v/>
      </c>
      <c r="AO98" s="299">
        <f>IF(AND($F98&lt;=AO$2, OR($G98="",$G98&gt;=AO$2)),
  $H98 * (1 + Assumptions!$C$7) ^ INT(((YEAR(AO$2)-YEAR($F98))*12 + MONTH(AO$2)-MONTH($F98)) / 12),
  0)</f>
        <v/>
      </c>
      <c r="AP98" s="299">
        <f>IF(AND($F98&lt;=AP$2, OR($G98="",$G98&gt;=AP$2)),
  $H98 * (1 + Assumptions!$C$7) ^ INT(((YEAR(AP$2)-YEAR($F98))*12 + MONTH(AP$2)-MONTH($F98)) / 12),
  0)</f>
        <v/>
      </c>
      <c r="AQ98" s="299">
        <f>IF(AND($F98&lt;=AQ$2, OR($G98="",$G98&gt;=AQ$2)),
  $H98 * (1 + Assumptions!$C$7) ^ INT(((YEAR(AQ$2)-YEAR($F98))*12 + MONTH(AQ$2)-MONTH($F98)) / 12),
  0)</f>
        <v/>
      </c>
      <c r="AR98" s="299">
        <f>IF(AND($F98&lt;=AR$2, OR($G98="",$G98&gt;=AR$2)),
  $H98 * (1 + Assumptions!$C$7) ^ INT(((YEAR(AR$2)-YEAR($F98))*12 + MONTH(AR$2)-MONTH($F98)) / 12),
  0)</f>
        <v/>
      </c>
      <c r="AS98" s="299">
        <f>IF(AND($F98&lt;=AS$2, OR($G98="",$G98&gt;=AS$2)),
  $H98 * (1 + Assumptions!$C$7) ^ INT(((YEAR(AS$2)-YEAR($F98))*12 + MONTH(AS$2)-MONTH($F98)) / 12),
  0)</f>
        <v/>
      </c>
      <c r="AT98" s="299">
        <f>IF(AND($F98&lt;=AT$2, OR($G98="",$G98&gt;=AT$2)),
  $H98 * (1 + Assumptions!$C$7) ^ INT(((YEAR(AT$2)-YEAR($F98))*12 + MONTH(AT$2)-MONTH($F98)) / 12),
  0)</f>
        <v/>
      </c>
      <c r="AU98" s="299">
        <f>IF(AND($F98&lt;=AU$2, OR($G98="",$G98&gt;=AU$2)),
  $H98 * (1 + Assumptions!$C$7) ^ INT(((YEAR(AU$2)-YEAR($F98))*12 + MONTH(AU$2)-MONTH($F98)) / 12),
  0)</f>
        <v/>
      </c>
      <c r="AV98" s="299">
        <f>IF(AND($F98&lt;=AV$2, OR($G98="",$G98&gt;=AV$2)),
  $H98 * (1 + Assumptions!$C$7) ^ INT(((YEAR(AV$2)-YEAR($F98))*12 + MONTH(AV$2)-MONTH($F98)) / 12),
  0)</f>
        <v/>
      </c>
      <c r="AW98" s="299">
        <f>IF(AND($F98&lt;=AW$2, OR($G98="",$G98&gt;=AW$2)),
  $H98 * (1 + Assumptions!$C$7) ^ INT(((YEAR(AW$2)-YEAR($F98))*12 + MONTH(AW$2)-MONTH($F98)) / 12),
  0)</f>
        <v/>
      </c>
      <c r="AX98" s="299">
        <f>IF(AND($F98&lt;=AX$2, OR($G98="",$G98&gt;=AX$2)),
  $H98 * (1 + Assumptions!$C$7) ^ INT(((YEAR(AX$2)-YEAR($F98))*12 + MONTH(AX$2)-MONTH($F98)) / 12),
  0)</f>
        <v/>
      </c>
      <c r="AY98" s="299">
        <f>IF(AND($F98&lt;=AY$2, OR($G98="",$G98&gt;=AY$2)),
  $H98 * (1 + Assumptions!$C$7) ^ INT(((YEAR(AY$2)-YEAR($F98))*12 + MONTH(AY$2)-MONTH($F98)) / 12),
  0)</f>
        <v/>
      </c>
      <c r="AZ98" s="299">
        <f>IF(AND($F98&lt;=AZ$2, OR($G98="",$G98&gt;=AZ$2)),
  $H98 * (1 + Assumptions!$C$7) ^ INT(((YEAR(AZ$2)-YEAR($F98))*12 + MONTH(AZ$2)-MONTH($F98)) / 12),
  0)</f>
        <v/>
      </c>
      <c r="BA98" s="299">
        <f>IF(AND($F98&lt;=BA$2, OR($G98="",$G98&gt;=BA$2)),
  $H98 * (1 + Assumptions!$C$7) ^ INT(((YEAR(BA$2)-YEAR($F98))*12 + MONTH(BA$2)-MONTH($F98)) / 12),
  0)</f>
        <v/>
      </c>
      <c r="BB98" s="299">
        <f>IF(AND($F98&lt;=BB$2, OR($G98="",$G98&gt;=BB$2)),
  $H98 * (1 + Assumptions!$C$7) ^ INT(((YEAR(BB$2)-YEAR($F98))*12 + MONTH(BB$2)-MONTH($F98)) / 12),
  0)</f>
        <v/>
      </c>
      <c r="BC98" s="299">
        <f>IF(AND($F98&lt;=BC$2, OR($G98="",$G98&gt;=BC$2)),
  $H98 * (1 + Assumptions!$C$7) ^ INT(((YEAR(BC$2)-YEAR($F98))*12 + MONTH(BC$2)-MONTH($F98)) / 12),
  0)</f>
        <v/>
      </c>
      <c r="BD98" s="299">
        <f>IF(AND($F98&lt;=BD$2, OR($G98="",$G98&gt;=BD$2)),
  $H98 * (1 + Assumptions!$C$7) ^ INT(((YEAR(BD$2)-YEAR($F98))*12 + MONTH(BD$2)-MONTH($F98)) / 12),
  0)</f>
        <v/>
      </c>
      <c r="BE98" s="299">
        <f>IF(AND($F98&lt;=BE$2, OR($G98="",$G98&gt;=BE$2)),
  $H98 * (1 + Assumptions!$C$7) ^ INT(((YEAR(BE$2)-YEAR($F98))*12 + MONTH(BE$2)-MONTH($F98)) / 12),
  0)</f>
        <v/>
      </c>
      <c r="BF98" s="299">
        <f>IF(AND($F98&lt;=BF$2, OR($G98="",$G98&gt;=BF$2)),
  $H98 * (1 + Assumptions!$C$7) ^ INT(((YEAR(BF$2)-YEAR($F98))*12 + MONTH(BF$2)-MONTH($F98)) / 12),
  0)</f>
        <v/>
      </c>
      <c r="BG98" s="299">
        <f>IF(AND($F98&lt;=BG$2, OR($G98="",$G98&gt;=BG$2)),
  $H98 * (1 + Assumptions!$C$7) ^ INT(((YEAR(BG$2)-YEAR($F98))*12 + MONTH(BG$2)-MONTH($F98)) / 12),
  0)</f>
        <v/>
      </c>
      <c r="BH98" s="299">
        <f>IF(AND($F98&lt;=BH$2, OR($G98="",$G98&gt;=BH$2)),
  $H98 * (1 + Assumptions!$C$7) ^ INT(((YEAR(BH$2)-YEAR($F98))*12 + MONTH(BH$2)-MONTH($F98)) / 12),
  0)</f>
        <v/>
      </c>
      <c r="BI98" s="299">
        <f>IF(AND($F98&lt;=BI$2, OR($G98="",$G98&gt;=BI$2)),
  $H98 * (1 + Assumptions!$C$7) ^ INT(((YEAR(BI$2)-YEAR($F98))*12 + MONTH(BI$2)-MONTH($F98)) / 12),
  0)</f>
        <v/>
      </c>
      <c r="BJ98" s="299">
        <f>IF(AND($F98&lt;=BJ$2, OR($G98="",$G98&gt;=BJ$2)),
  $H98 * (1 + Assumptions!$C$7) ^ INT(((YEAR(BJ$2)-YEAR($F98))*12 + MONTH(BJ$2)-MONTH($F98)) / 12),
  0)</f>
        <v/>
      </c>
      <c r="BK98" s="299">
        <f>IF(AND($F98&lt;=BK$2, OR($G98="",$G98&gt;=BK$2)),
  $H98 * (1 + Assumptions!$C$7) ^ INT(((YEAR(BK$2)-YEAR($F98))*12 + MONTH(BK$2)-MONTH($F98)) / 12),
  0)</f>
        <v/>
      </c>
      <c r="BL98" s="299">
        <f>IF(AND($F98&lt;=BL$2, OR($G98="",$G98&gt;=BL$2)),
  $H98 * (1 + Assumptions!$C$7) ^ INT(((YEAR(BL$2)-YEAR($F98))*12 + MONTH(BL$2)-MONTH($F98)) / 12),
  0)</f>
        <v/>
      </c>
      <c r="BM98" s="299">
        <f>IF(AND($F98&lt;=BM$2, OR($G98="",$G98&gt;=BM$2)),
  $H98 * (1 + Assumptions!$C$7) ^ INT(((YEAR(BM$2)-YEAR($F98))*12 + MONTH(BM$2)-MONTH($F98)) / 12),
  0)</f>
        <v/>
      </c>
      <c r="BN98" s="299">
        <f>IF(AND($F98&lt;=BN$2, OR($G98="",$G98&gt;=BN$2)),
  $H98 * (1 + Assumptions!$C$7) ^ INT(((YEAR(BN$2)-YEAR($F98))*12 + MONTH(BN$2)-MONTH($F98)) / 12),
  0)</f>
        <v/>
      </c>
      <c r="BO98" s="299">
        <f>IF(AND($F98&lt;=BO$2, OR($G98="",$G98&gt;=BO$2)),
  $H98 * (1 + Assumptions!$C$7) ^ INT(((YEAR(BO$2)-YEAR($F98))*12 + MONTH(BO$2)-MONTH($F98)) / 12),
  0)</f>
        <v/>
      </c>
      <c r="BP98" s="299">
        <f>IF(AND($F98&lt;=BP$2, OR($G98="",$G98&gt;=BP$2)),
  $H98 * (1 + Assumptions!$C$7) ^ INT(((YEAR(BP$2)-YEAR($F98))*12 + MONTH(BP$2)-MONTH($F98)) / 12),
  0)</f>
        <v/>
      </c>
      <c r="BQ98" s="31" t="n"/>
      <c r="BR98" s="31" t="n"/>
      <c r="BS98" s="31" t="n"/>
      <c r="BT98" s="31" t="n"/>
    </row>
    <row r="99" ht="15.75" customHeight="1" s="349">
      <c r="A99" s="321" t="n">
        <v>94</v>
      </c>
      <c r="B99" s="285" t="inlineStr">
        <is>
          <t>New hire</t>
        </is>
      </c>
      <c r="C99" s="317" t="inlineStr">
        <is>
          <t>G&amp;A</t>
        </is>
      </c>
      <c r="D99" s="317" t="inlineStr">
        <is>
          <t>Supply Chain &amp; Logistics</t>
        </is>
      </c>
      <c r="E99" s="297" t="inlineStr">
        <is>
          <t>Planned</t>
        </is>
      </c>
      <c r="F99" s="318">
        <f>IF(Assumptions!$D$82=2,DATE(2029,9,1),DATE(2035,1,1))</f>
        <v/>
      </c>
      <c r="G99" s="318" t="n"/>
      <c r="H99" s="288" t="n">
        <v>5000</v>
      </c>
      <c r="I99" s="299">
        <f>IF(AND($F99&lt;=I$2, OR($G99="",$G99&gt;=I$2)),
  $H99 * (1 + Assumptions!$C$7) ^ INT(((YEAR(I$2)-YEAR($F99))*12 + MONTH(I$2)-MONTH($F99)) / 12),
  0)</f>
        <v/>
      </c>
      <c r="J99" s="299">
        <f>IF(AND($F99&lt;=J$2, OR($G99="",$G99&gt;=J$2)),
  $H99 * (1 + Assumptions!$C$7) ^ INT(((YEAR(J$2)-YEAR($F99))*12 + MONTH(J$2)-MONTH($F99)) / 12),
  0)</f>
        <v/>
      </c>
      <c r="K99" s="299">
        <f>IF(AND($F99&lt;=K$2, OR($G99="",$G99&gt;=K$2)),
  $H99 * (1 + Assumptions!$C$7) ^ INT(((YEAR(K$2)-YEAR($F99))*12 + MONTH(K$2)-MONTH($F99)) / 12),
  0)</f>
        <v/>
      </c>
      <c r="L99" s="299">
        <f>IF(AND($F99&lt;=L$2, OR($G99="",$G99&gt;=L$2)),
  $H99 * (1 + Assumptions!$C$7) ^ INT(((YEAR(L$2)-YEAR($F99))*12 + MONTH(L$2)-MONTH($F99)) / 12),
  0)</f>
        <v/>
      </c>
      <c r="M99" s="299">
        <f>IF(AND($F99&lt;=M$2, OR($G99="",$G99&gt;=M$2)),
  $H99 * (1 + Assumptions!$C$7) ^ INT(((YEAR(M$2)-YEAR($F99))*12 + MONTH(M$2)-MONTH($F99)) / 12),
  0)</f>
        <v/>
      </c>
      <c r="N99" s="299">
        <f>IF(AND($F99&lt;=N$2, OR($G99="",$G99&gt;=N$2)),
  $H99 * (1 + Assumptions!$C$7) ^ INT(((YEAR(N$2)-YEAR($F99))*12 + MONTH(N$2)-MONTH($F99)) / 12),
  0)</f>
        <v/>
      </c>
      <c r="O99" s="299">
        <f>IF(AND($F99&lt;=O$2, OR($G99="",$G99&gt;=O$2)),
  $H99 * (1 + Assumptions!$C$7) ^ INT(((YEAR(O$2)-YEAR($F99))*12 + MONTH(O$2)-MONTH($F99)) / 12),
  0)</f>
        <v/>
      </c>
      <c r="P99" s="299">
        <f>IF(AND($F99&lt;=P$2, OR($G99="",$G99&gt;=P$2)),
  $H99 * (1 + Assumptions!$C$7) ^ INT(((YEAR(P$2)-YEAR($F99))*12 + MONTH(P$2)-MONTH($F99)) / 12),
  0)</f>
        <v/>
      </c>
      <c r="Q99" s="299">
        <f>IF(AND($F99&lt;=Q$2, OR($G99="",$G99&gt;=Q$2)),
  $H99 * (1 + Assumptions!$C$7) ^ INT(((YEAR(Q$2)-YEAR($F99))*12 + MONTH(Q$2)-MONTH($F99)) / 12),
  0)</f>
        <v/>
      </c>
      <c r="R99" s="299">
        <f>IF(AND($F99&lt;=R$2, OR($G99="",$G99&gt;=R$2)),
  $H99 * (1 + Assumptions!$C$7) ^ INT(((YEAR(R$2)-YEAR($F99))*12 + MONTH(R$2)-MONTH($F99)) / 12),
  0)</f>
        <v/>
      </c>
      <c r="S99" s="299">
        <f>IF(AND($F99&lt;=S$2, OR($G99="",$G99&gt;=S$2)),
  $H99 * (1 + Assumptions!$C$7) ^ INT(((YEAR(S$2)-YEAR($F99))*12 + MONTH(S$2)-MONTH($F99)) / 12),
  0)</f>
        <v/>
      </c>
      <c r="T99" s="299">
        <f>IF(AND($F99&lt;=T$2, OR($G99="",$G99&gt;=T$2)),
  $H99 * (1 + Assumptions!$C$7) ^ INT(((YEAR(T$2)-YEAR($F99))*12 + MONTH(T$2)-MONTH($F99)) / 12),
  0)</f>
        <v/>
      </c>
      <c r="U99" s="299">
        <f>IF(AND($F99&lt;=U$2, OR($G99="",$G99&gt;=U$2)),
  $H99 * (1 + Assumptions!$C$7) ^ INT(((YEAR(U$2)-YEAR($F99))*12 + MONTH(U$2)-MONTH($F99)) / 12),
  0)</f>
        <v/>
      </c>
      <c r="V99" s="299">
        <f>IF(AND($F99&lt;=V$2, OR($G99="",$G99&gt;=V$2)),
  $H99 * (1 + Assumptions!$C$7) ^ INT(((YEAR(V$2)-YEAR($F99))*12 + MONTH(V$2)-MONTH($F99)) / 12),
  0)</f>
        <v/>
      </c>
      <c r="W99" s="299">
        <f>IF(AND($F99&lt;=W$2, OR($G99="",$G99&gt;=W$2)),
  $H99 * (1 + Assumptions!$C$7) ^ INT(((YEAR(W$2)-YEAR($F99))*12 + MONTH(W$2)-MONTH($F99)) / 12),
  0)</f>
        <v/>
      </c>
      <c r="X99" s="299">
        <f>IF(AND($F99&lt;=X$2, OR($G99="",$G99&gt;=X$2)),
  $H99 * (1 + Assumptions!$C$7) ^ INT(((YEAR(X$2)-YEAR($F99))*12 + MONTH(X$2)-MONTH($F99)) / 12),
  0)</f>
        <v/>
      </c>
      <c r="Y99" s="299">
        <f>IF(AND($F99&lt;=Y$2, OR($G99="",$G99&gt;=Y$2)),
  $H99 * (1 + Assumptions!$C$7) ^ INT(((YEAR(Y$2)-YEAR($F99))*12 + MONTH(Y$2)-MONTH($F99)) / 12),
  0)</f>
        <v/>
      </c>
      <c r="Z99" s="299">
        <f>IF(AND($F99&lt;=Z$2, OR($G99="",$G99&gt;=Z$2)),
  $H99 * (1 + Assumptions!$C$7) ^ INT(((YEAR(Z$2)-YEAR($F99))*12 + MONTH(Z$2)-MONTH($F99)) / 12),
  0)</f>
        <v/>
      </c>
      <c r="AA99" s="299">
        <f>IF(AND($F99&lt;=AA$2, OR($G99="",$G99&gt;=AA$2)),
  $H99 * (1 + Assumptions!$C$7) ^ INT(((YEAR(AA$2)-YEAR($F99))*12 + MONTH(AA$2)-MONTH($F99)) / 12),
  0)</f>
        <v/>
      </c>
      <c r="AB99" s="299">
        <f>IF(AND($F99&lt;=AB$2, OR($G99="",$G99&gt;=AB$2)),
  $H99 * (1 + Assumptions!$C$7) ^ INT(((YEAR(AB$2)-YEAR($F99))*12 + MONTH(AB$2)-MONTH($F99)) / 12),
  0)</f>
        <v/>
      </c>
      <c r="AC99" s="299">
        <f>IF(AND($F99&lt;=AC$2, OR($G99="",$G99&gt;=AC$2)),
  $H99 * (1 + Assumptions!$C$7) ^ INT(((YEAR(AC$2)-YEAR($F99))*12 + MONTH(AC$2)-MONTH($F99)) / 12),
  0)</f>
        <v/>
      </c>
      <c r="AD99" s="299">
        <f>IF(AND($F99&lt;=AD$2, OR($G99="",$G99&gt;=AD$2)),
  $H99 * (1 + Assumptions!$C$7) ^ INT(((YEAR(AD$2)-YEAR($F99))*12 + MONTH(AD$2)-MONTH($F99)) / 12),
  0)</f>
        <v/>
      </c>
      <c r="AE99" s="299">
        <f>IF(AND($F99&lt;=AE$2, OR($G99="",$G99&gt;=AE$2)),
  $H99 * (1 + Assumptions!$C$7) ^ INT(((YEAR(AE$2)-YEAR($F99))*12 + MONTH(AE$2)-MONTH($F99)) / 12),
  0)</f>
        <v/>
      </c>
      <c r="AF99" s="299">
        <f>IF(AND($F99&lt;=AF$2, OR($G99="",$G99&gt;=AF$2)),
  $H99 * (1 + Assumptions!$C$7) ^ INT(((YEAR(AF$2)-YEAR($F99))*12 + MONTH(AF$2)-MONTH($F99)) / 12),
  0)</f>
        <v/>
      </c>
      <c r="AG99" s="299">
        <f>IF(AND($F99&lt;=AG$2, OR($G99="",$G99&gt;=AG$2)),
  $H99 * (1 + Assumptions!$C$7) ^ INT(((YEAR(AG$2)-YEAR($F99))*12 + MONTH(AG$2)-MONTH($F99)) / 12),
  0)</f>
        <v/>
      </c>
      <c r="AH99" s="299">
        <f>IF(AND($F99&lt;=AH$2, OR($G99="",$G99&gt;=AH$2)),
  $H99 * (1 + Assumptions!$C$7) ^ INT(((YEAR(AH$2)-YEAR($F99))*12 + MONTH(AH$2)-MONTH($F99)) / 12),
  0)</f>
        <v/>
      </c>
      <c r="AI99" s="299">
        <f>IF(AND($F99&lt;=AI$2, OR($G99="",$G99&gt;=AI$2)),
  $H99 * (1 + Assumptions!$C$7) ^ INT(((YEAR(AI$2)-YEAR($F99))*12 + MONTH(AI$2)-MONTH($F99)) / 12),
  0)</f>
        <v/>
      </c>
      <c r="AJ99" s="299">
        <f>IF(AND($F99&lt;=AJ$2, OR($G99="",$G99&gt;=AJ$2)),
  $H99 * (1 + Assumptions!$C$7) ^ INT(((YEAR(AJ$2)-YEAR($F99))*12 + MONTH(AJ$2)-MONTH($F99)) / 12),
  0)</f>
        <v/>
      </c>
      <c r="AK99" s="299">
        <f>IF(AND($F99&lt;=AK$2, OR($G99="",$G99&gt;=AK$2)),
  $H99 * (1 + Assumptions!$C$7) ^ INT(((YEAR(AK$2)-YEAR($F99))*12 + MONTH(AK$2)-MONTH($F99)) / 12),
  0)</f>
        <v/>
      </c>
      <c r="AL99" s="299">
        <f>IF(AND($F99&lt;=AL$2, OR($G99="",$G99&gt;=AL$2)),
  $H99 * (1 + Assumptions!$C$7) ^ INT(((YEAR(AL$2)-YEAR($F99))*12 + MONTH(AL$2)-MONTH($F99)) / 12),
  0)</f>
        <v/>
      </c>
      <c r="AM99" s="299">
        <f>IF(AND($F99&lt;=AM$2, OR($G99="",$G99&gt;=AM$2)),
  $H99 * (1 + Assumptions!$C$7) ^ INT(((YEAR(AM$2)-YEAR($F99))*12 + MONTH(AM$2)-MONTH($F99)) / 12),
  0)</f>
        <v/>
      </c>
      <c r="AN99" s="299">
        <f>IF(AND($F99&lt;=AN$2, OR($G99="",$G99&gt;=AN$2)),
  $H99 * (1 + Assumptions!$C$7) ^ INT(((YEAR(AN$2)-YEAR($F99))*12 + MONTH(AN$2)-MONTH($F99)) / 12),
  0)</f>
        <v/>
      </c>
      <c r="AO99" s="299">
        <f>IF(AND($F99&lt;=AO$2, OR($G99="",$G99&gt;=AO$2)),
  $H99 * (1 + Assumptions!$C$7) ^ INT(((YEAR(AO$2)-YEAR($F99))*12 + MONTH(AO$2)-MONTH($F99)) / 12),
  0)</f>
        <v/>
      </c>
      <c r="AP99" s="299">
        <f>IF(AND($F99&lt;=AP$2, OR($G99="",$G99&gt;=AP$2)),
  $H99 * (1 + Assumptions!$C$7) ^ INT(((YEAR(AP$2)-YEAR($F99))*12 + MONTH(AP$2)-MONTH($F99)) / 12),
  0)</f>
        <v/>
      </c>
      <c r="AQ99" s="299">
        <f>IF(AND($F99&lt;=AQ$2, OR($G99="",$G99&gt;=AQ$2)),
  $H99 * (1 + Assumptions!$C$7) ^ INT(((YEAR(AQ$2)-YEAR($F99))*12 + MONTH(AQ$2)-MONTH($F99)) / 12),
  0)</f>
        <v/>
      </c>
      <c r="AR99" s="299">
        <f>IF(AND($F99&lt;=AR$2, OR($G99="",$G99&gt;=AR$2)),
  $H99 * (1 + Assumptions!$C$7) ^ INT(((YEAR(AR$2)-YEAR($F99))*12 + MONTH(AR$2)-MONTH($F99)) / 12),
  0)</f>
        <v/>
      </c>
      <c r="AS99" s="299">
        <f>IF(AND($F99&lt;=AS$2, OR($G99="",$G99&gt;=AS$2)),
  $H99 * (1 + Assumptions!$C$7) ^ INT(((YEAR(AS$2)-YEAR($F99))*12 + MONTH(AS$2)-MONTH($F99)) / 12),
  0)</f>
        <v/>
      </c>
      <c r="AT99" s="299">
        <f>IF(AND($F99&lt;=AT$2, OR($G99="",$G99&gt;=AT$2)),
  $H99 * (1 + Assumptions!$C$7) ^ INT(((YEAR(AT$2)-YEAR($F99))*12 + MONTH(AT$2)-MONTH($F99)) / 12),
  0)</f>
        <v/>
      </c>
      <c r="AU99" s="299">
        <f>IF(AND($F99&lt;=AU$2, OR($G99="",$G99&gt;=AU$2)),
  $H99 * (1 + Assumptions!$C$7) ^ INT(((YEAR(AU$2)-YEAR($F99))*12 + MONTH(AU$2)-MONTH($F99)) / 12),
  0)</f>
        <v/>
      </c>
      <c r="AV99" s="299">
        <f>IF(AND($F99&lt;=AV$2, OR($G99="",$G99&gt;=AV$2)),
  $H99 * (1 + Assumptions!$C$7) ^ INT(((YEAR(AV$2)-YEAR($F99))*12 + MONTH(AV$2)-MONTH($F99)) / 12),
  0)</f>
        <v/>
      </c>
      <c r="AW99" s="299">
        <f>IF(AND($F99&lt;=AW$2, OR($G99="",$G99&gt;=AW$2)),
  $H99 * (1 + Assumptions!$C$7) ^ INT(((YEAR(AW$2)-YEAR($F99))*12 + MONTH(AW$2)-MONTH($F99)) / 12),
  0)</f>
        <v/>
      </c>
      <c r="AX99" s="299">
        <f>IF(AND($F99&lt;=AX$2, OR($G99="",$G99&gt;=AX$2)),
  $H99 * (1 + Assumptions!$C$7) ^ INT(((YEAR(AX$2)-YEAR($F99))*12 + MONTH(AX$2)-MONTH($F99)) / 12),
  0)</f>
        <v/>
      </c>
      <c r="AY99" s="299">
        <f>IF(AND($F99&lt;=AY$2, OR($G99="",$G99&gt;=AY$2)),
  $H99 * (1 + Assumptions!$C$7) ^ INT(((YEAR(AY$2)-YEAR($F99))*12 + MONTH(AY$2)-MONTH($F99)) / 12),
  0)</f>
        <v/>
      </c>
      <c r="AZ99" s="299">
        <f>IF(AND($F99&lt;=AZ$2, OR($G99="",$G99&gt;=AZ$2)),
  $H99 * (1 + Assumptions!$C$7) ^ INT(((YEAR(AZ$2)-YEAR($F99))*12 + MONTH(AZ$2)-MONTH($F99)) / 12),
  0)</f>
        <v/>
      </c>
      <c r="BA99" s="299">
        <f>IF(AND($F99&lt;=BA$2, OR($G99="",$G99&gt;=BA$2)),
  $H99 * (1 + Assumptions!$C$7) ^ INT(((YEAR(BA$2)-YEAR($F99))*12 + MONTH(BA$2)-MONTH($F99)) / 12),
  0)</f>
        <v/>
      </c>
      <c r="BB99" s="299">
        <f>IF(AND($F99&lt;=BB$2, OR($G99="",$G99&gt;=BB$2)),
  $H99 * (1 + Assumptions!$C$7) ^ INT(((YEAR(BB$2)-YEAR($F99))*12 + MONTH(BB$2)-MONTH($F99)) / 12),
  0)</f>
        <v/>
      </c>
      <c r="BC99" s="299">
        <f>IF(AND($F99&lt;=BC$2, OR($G99="",$G99&gt;=BC$2)),
  $H99 * (1 + Assumptions!$C$7) ^ INT(((YEAR(BC$2)-YEAR($F99))*12 + MONTH(BC$2)-MONTH($F99)) / 12),
  0)</f>
        <v/>
      </c>
      <c r="BD99" s="299">
        <f>IF(AND($F99&lt;=BD$2, OR($G99="",$G99&gt;=BD$2)),
  $H99 * (1 + Assumptions!$C$7) ^ INT(((YEAR(BD$2)-YEAR($F99))*12 + MONTH(BD$2)-MONTH($F99)) / 12),
  0)</f>
        <v/>
      </c>
      <c r="BE99" s="299">
        <f>IF(AND($F99&lt;=BE$2, OR($G99="",$G99&gt;=BE$2)),
  $H99 * (1 + Assumptions!$C$7) ^ INT(((YEAR(BE$2)-YEAR($F99))*12 + MONTH(BE$2)-MONTH($F99)) / 12),
  0)</f>
        <v/>
      </c>
      <c r="BF99" s="299">
        <f>IF(AND($F99&lt;=BF$2, OR($G99="",$G99&gt;=BF$2)),
  $H99 * (1 + Assumptions!$C$7) ^ INT(((YEAR(BF$2)-YEAR($F99))*12 + MONTH(BF$2)-MONTH($F99)) / 12),
  0)</f>
        <v/>
      </c>
      <c r="BG99" s="299">
        <f>IF(AND($F99&lt;=BG$2, OR($G99="",$G99&gt;=BG$2)),
  $H99 * (1 + Assumptions!$C$7) ^ INT(((YEAR(BG$2)-YEAR($F99))*12 + MONTH(BG$2)-MONTH($F99)) / 12),
  0)</f>
        <v/>
      </c>
      <c r="BH99" s="299">
        <f>IF(AND($F99&lt;=BH$2, OR($G99="",$G99&gt;=BH$2)),
  $H99 * (1 + Assumptions!$C$7) ^ INT(((YEAR(BH$2)-YEAR($F99))*12 + MONTH(BH$2)-MONTH($F99)) / 12),
  0)</f>
        <v/>
      </c>
      <c r="BI99" s="299">
        <f>IF(AND($F99&lt;=BI$2, OR($G99="",$G99&gt;=BI$2)),
  $H99 * (1 + Assumptions!$C$7) ^ INT(((YEAR(BI$2)-YEAR($F99))*12 + MONTH(BI$2)-MONTH($F99)) / 12),
  0)</f>
        <v/>
      </c>
      <c r="BJ99" s="299">
        <f>IF(AND($F99&lt;=BJ$2, OR($G99="",$G99&gt;=BJ$2)),
  $H99 * (1 + Assumptions!$C$7) ^ INT(((YEAR(BJ$2)-YEAR($F99))*12 + MONTH(BJ$2)-MONTH($F99)) / 12),
  0)</f>
        <v/>
      </c>
      <c r="BK99" s="299">
        <f>IF(AND($F99&lt;=BK$2, OR($G99="",$G99&gt;=BK$2)),
  $H99 * (1 + Assumptions!$C$7) ^ INT(((YEAR(BK$2)-YEAR($F99))*12 + MONTH(BK$2)-MONTH($F99)) / 12),
  0)</f>
        <v/>
      </c>
      <c r="BL99" s="299">
        <f>IF(AND($F99&lt;=BL$2, OR($G99="",$G99&gt;=BL$2)),
  $H99 * (1 + Assumptions!$C$7) ^ INT(((YEAR(BL$2)-YEAR($F99))*12 + MONTH(BL$2)-MONTH($F99)) / 12),
  0)</f>
        <v/>
      </c>
      <c r="BM99" s="299">
        <f>IF(AND($F99&lt;=BM$2, OR($G99="",$G99&gt;=BM$2)),
  $H99 * (1 + Assumptions!$C$7) ^ INT(((YEAR(BM$2)-YEAR($F99))*12 + MONTH(BM$2)-MONTH($F99)) / 12),
  0)</f>
        <v/>
      </c>
      <c r="BN99" s="299">
        <f>IF(AND($F99&lt;=BN$2, OR($G99="",$G99&gt;=BN$2)),
  $H99 * (1 + Assumptions!$C$7) ^ INT(((YEAR(BN$2)-YEAR($F99))*12 + MONTH(BN$2)-MONTH($F99)) / 12),
  0)</f>
        <v/>
      </c>
      <c r="BO99" s="299">
        <f>IF(AND($F99&lt;=BO$2, OR($G99="",$G99&gt;=BO$2)),
  $H99 * (1 + Assumptions!$C$7) ^ INT(((YEAR(BO$2)-YEAR($F99))*12 + MONTH(BO$2)-MONTH($F99)) / 12),
  0)</f>
        <v/>
      </c>
      <c r="BP99" s="299">
        <f>IF(AND($F99&lt;=BP$2, OR($G99="",$G99&gt;=BP$2)),
  $H99 * (1 + Assumptions!$C$7) ^ INT(((YEAR(BP$2)-YEAR($F99))*12 + MONTH(BP$2)-MONTH($F99)) / 12),
  0)</f>
        <v/>
      </c>
      <c r="BQ99" s="31" t="n"/>
      <c r="BR99" s="31" t="n"/>
      <c r="BS99" s="31" t="n"/>
      <c r="BT99" s="31" t="n"/>
    </row>
    <row r="100" ht="15.75" customHeight="1" s="349">
      <c r="A100" s="321" t="n">
        <v>95</v>
      </c>
      <c r="B100" s="285" t="inlineStr">
        <is>
          <t>New hire</t>
        </is>
      </c>
      <c r="C100" s="317" t="inlineStr">
        <is>
          <t>G&amp;A</t>
        </is>
      </c>
      <c r="D100" s="317" t="inlineStr">
        <is>
          <t>Supply Chain &amp; Logistics</t>
        </is>
      </c>
      <c r="E100" s="297" t="inlineStr">
        <is>
          <t>Planned</t>
        </is>
      </c>
      <c r="F100" s="318">
        <f>IF(Assumptions!$D$82=2,DATE(2029,12,1),DATE(2035,1,1))</f>
        <v/>
      </c>
      <c r="G100" s="318" t="n"/>
      <c r="H100" s="288" t="n">
        <v>5000</v>
      </c>
      <c r="I100" s="299">
        <f>IF(AND($F100&lt;=I$2, OR($G100="",$G100&gt;=I$2)),
  $H100 * (1 + Assumptions!$C$7) ^ INT(((YEAR(I$2)-YEAR($F100))*12 + MONTH(I$2)-MONTH($F100)) / 12),
  0)</f>
        <v/>
      </c>
      <c r="J100" s="299">
        <f>IF(AND($F100&lt;=J$2, OR($G100="",$G100&gt;=J$2)),
  $H100 * (1 + Assumptions!$C$7) ^ INT(((YEAR(J$2)-YEAR($F100))*12 + MONTH(J$2)-MONTH($F100)) / 12),
  0)</f>
        <v/>
      </c>
      <c r="K100" s="299">
        <f>IF(AND($F100&lt;=K$2, OR($G100="",$G100&gt;=K$2)),
  $H100 * (1 + Assumptions!$C$7) ^ INT(((YEAR(K$2)-YEAR($F100))*12 + MONTH(K$2)-MONTH($F100)) / 12),
  0)</f>
        <v/>
      </c>
      <c r="L100" s="299">
        <f>IF(AND($F100&lt;=L$2, OR($G100="",$G100&gt;=L$2)),
  $H100 * (1 + Assumptions!$C$7) ^ INT(((YEAR(L$2)-YEAR($F100))*12 + MONTH(L$2)-MONTH($F100)) / 12),
  0)</f>
        <v/>
      </c>
      <c r="M100" s="299">
        <f>IF(AND($F100&lt;=M$2, OR($G100="",$G100&gt;=M$2)),
  $H100 * (1 + Assumptions!$C$7) ^ INT(((YEAR(M$2)-YEAR($F100))*12 + MONTH(M$2)-MONTH($F100)) / 12),
  0)</f>
        <v/>
      </c>
      <c r="N100" s="299">
        <f>IF(AND($F100&lt;=N$2, OR($G100="",$G100&gt;=N$2)),
  $H100 * (1 + Assumptions!$C$7) ^ INT(((YEAR(N$2)-YEAR($F100))*12 + MONTH(N$2)-MONTH($F100)) / 12),
  0)</f>
        <v/>
      </c>
      <c r="O100" s="299">
        <f>IF(AND($F100&lt;=O$2, OR($G100="",$G100&gt;=O$2)),
  $H100 * (1 + Assumptions!$C$7) ^ INT(((YEAR(O$2)-YEAR($F100))*12 + MONTH(O$2)-MONTH($F100)) / 12),
  0)</f>
        <v/>
      </c>
      <c r="P100" s="299">
        <f>IF(AND($F100&lt;=P$2, OR($G100="",$G100&gt;=P$2)),
  $H100 * (1 + Assumptions!$C$7) ^ INT(((YEAR(P$2)-YEAR($F100))*12 + MONTH(P$2)-MONTH($F100)) / 12),
  0)</f>
        <v/>
      </c>
      <c r="Q100" s="299">
        <f>IF(AND($F100&lt;=Q$2, OR($G100="",$G100&gt;=Q$2)),
  $H100 * (1 + Assumptions!$C$7) ^ INT(((YEAR(Q$2)-YEAR($F100))*12 + MONTH(Q$2)-MONTH($F100)) / 12),
  0)</f>
        <v/>
      </c>
      <c r="R100" s="299">
        <f>IF(AND($F100&lt;=R$2, OR($G100="",$G100&gt;=R$2)),
  $H100 * (1 + Assumptions!$C$7) ^ INT(((YEAR(R$2)-YEAR($F100))*12 + MONTH(R$2)-MONTH($F100)) / 12),
  0)</f>
        <v/>
      </c>
      <c r="S100" s="299">
        <f>IF(AND($F100&lt;=S$2, OR($G100="",$G100&gt;=S$2)),
  $H100 * (1 + Assumptions!$C$7) ^ INT(((YEAR(S$2)-YEAR($F100))*12 + MONTH(S$2)-MONTH($F100)) / 12),
  0)</f>
        <v/>
      </c>
      <c r="T100" s="299">
        <f>IF(AND($F100&lt;=T$2, OR($G100="",$G100&gt;=T$2)),
  $H100 * (1 + Assumptions!$C$7) ^ INT(((YEAR(T$2)-YEAR($F100))*12 + MONTH(T$2)-MONTH($F100)) / 12),
  0)</f>
        <v/>
      </c>
      <c r="U100" s="299">
        <f>IF(AND($F100&lt;=U$2, OR($G100="",$G100&gt;=U$2)),
  $H100 * (1 + Assumptions!$C$7) ^ INT(((YEAR(U$2)-YEAR($F100))*12 + MONTH(U$2)-MONTH($F100)) / 12),
  0)</f>
        <v/>
      </c>
      <c r="V100" s="299">
        <f>IF(AND($F100&lt;=V$2, OR($G100="",$G100&gt;=V$2)),
  $H100 * (1 + Assumptions!$C$7) ^ INT(((YEAR(V$2)-YEAR($F100))*12 + MONTH(V$2)-MONTH($F100)) / 12),
  0)</f>
        <v/>
      </c>
      <c r="W100" s="299">
        <f>IF(AND($F100&lt;=W$2, OR($G100="",$G100&gt;=W$2)),
  $H100 * (1 + Assumptions!$C$7) ^ INT(((YEAR(W$2)-YEAR($F100))*12 + MONTH(W$2)-MONTH($F100)) / 12),
  0)</f>
        <v/>
      </c>
      <c r="X100" s="299">
        <f>IF(AND($F100&lt;=X$2, OR($G100="",$G100&gt;=X$2)),
  $H100 * (1 + Assumptions!$C$7) ^ INT(((YEAR(X$2)-YEAR($F100))*12 + MONTH(X$2)-MONTH($F100)) / 12),
  0)</f>
        <v/>
      </c>
      <c r="Y100" s="299">
        <f>IF(AND($F100&lt;=Y$2, OR($G100="",$G100&gt;=Y$2)),
  $H100 * (1 + Assumptions!$C$7) ^ INT(((YEAR(Y$2)-YEAR($F100))*12 + MONTH(Y$2)-MONTH($F100)) / 12),
  0)</f>
        <v/>
      </c>
      <c r="Z100" s="299">
        <f>IF(AND($F100&lt;=Z$2, OR($G100="",$G100&gt;=Z$2)),
  $H100 * (1 + Assumptions!$C$7) ^ INT(((YEAR(Z$2)-YEAR($F100))*12 + MONTH(Z$2)-MONTH($F100)) / 12),
  0)</f>
        <v/>
      </c>
      <c r="AA100" s="299">
        <f>IF(AND($F100&lt;=AA$2, OR($G100="",$G100&gt;=AA$2)),
  $H100 * (1 + Assumptions!$C$7) ^ INT(((YEAR(AA$2)-YEAR($F100))*12 + MONTH(AA$2)-MONTH($F100)) / 12),
  0)</f>
        <v/>
      </c>
      <c r="AB100" s="299">
        <f>IF(AND($F100&lt;=AB$2, OR($G100="",$G100&gt;=AB$2)),
  $H100 * (1 + Assumptions!$C$7) ^ INT(((YEAR(AB$2)-YEAR($F100))*12 + MONTH(AB$2)-MONTH($F100)) / 12),
  0)</f>
        <v/>
      </c>
      <c r="AC100" s="299">
        <f>IF(AND($F100&lt;=AC$2, OR($G100="",$G100&gt;=AC$2)),
  $H100 * (1 + Assumptions!$C$7) ^ INT(((YEAR(AC$2)-YEAR($F100))*12 + MONTH(AC$2)-MONTH($F100)) / 12),
  0)</f>
        <v/>
      </c>
      <c r="AD100" s="299">
        <f>IF(AND($F100&lt;=AD$2, OR($G100="",$G100&gt;=AD$2)),
  $H100 * (1 + Assumptions!$C$7) ^ INT(((YEAR(AD$2)-YEAR($F100))*12 + MONTH(AD$2)-MONTH($F100)) / 12),
  0)</f>
        <v/>
      </c>
      <c r="AE100" s="299">
        <f>IF(AND($F100&lt;=AE$2, OR($G100="",$G100&gt;=AE$2)),
  $H100 * (1 + Assumptions!$C$7) ^ INT(((YEAR(AE$2)-YEAR($F100))*12 + MONTH(AE$2)-MONTH($F100)) / 12),
  0)</f>
        <v/>
      </c>
      <c r="AF100" s="299">
        <f>IF(AND($F100&lt;=AF$2, OR($G100="",$G100&gt;=AF$2)),
  $H100 * (1 + Assumptions!$C$7) ^ INT(((YEAR(AF$2)-YEAR($F100))*12 + MONTH(AF$2)-MONTH($F100)) / 12),
  0)</f>
        <v/>
      </c>
      <c r="AG100" s="299">
        <f>IF(AND($F100&lt;=AG$2, OR($G100="",$G100&gt;=AG$2)),
  $H100 * (1 + Assumptions!$C$7) ^ INT(((YEAR(AG$2)-YEAR($F100))*12 + MONTH(AG$2)-MONTH($F100)) / 12),
  0)</f>
        <v/>
      </c>
      <c r="AH100" s="299">
        <f>IF(AND($F100&lt;=AH$2, OR($G100="",$G100&gt;=AH$2)),
  $H100 * (1 + Assumptions!$C$7) ^ INT(((YEAR(AH$2)-YEAR($F100))*12 + MONTH(AH$2)-MONTH($F100)) / 12),
  0)</f>
        <v/>
      </c>
      <c r="AI100" s="299">
        <f>IF(AND($F100&lt;=AI$2, OR($G100="",$G100&gt;=AI$2)),
  $H100 * (1 + Assumptions!$C$7) ^ INT(((YEAR(AI$2)-YEAR($F100))*12 + MONTH(AI$2)-MONTH($F100)) / 12),
  0)</f>
        <v/>
      </c>
      <c r="AJ100" s="299">
        <f>IF(AND($F100&lt;=AJ$2, OR($G100="",$G100&gt;=AJ$2)),
  $H100 * (1 + Assumptions!$C$7) ^ INT(((YEAR(AJ$2)-YEAR($F100))*12 + MONTH(AJ$2)-MONTH($F100)) / 12),
  0)</f>
        <v/>
      </c>
      <c r="AK100" s="299">
        <f>IF(AND($F100&lt;=AK$2, OR($G100="",$G100&gt;=AK$2)),
  $H100 * (1 + Assumptions!$C$7) ^ INT(((YEAR(AK$2)-YEAR($F100))*12 + MONTH(AK$2)-MONTH($F100)) / 12),
  0)</f>
        <v/>
      </c>
      <c r="AL100" s="299">
        <f>IF(AND($F100&lt;=AL$2, OR($G100="",$G100&gt;=AL$2)),
  $H100 * (1 + Assumptions!$C$7) ^ INT(((YEAR(AL$2)-YEAR($F100))*12 + MONTH(AL$2)-MONTH($F100)) / 12),
  0)</f>
        <v/>
      </c>
      <c r="AM100" s="299">
        <f>IF(AND($F100&lt;=AM$2, OR($G100="",$G100&gt;=AM$2)),
  $H100 * (1 + Assumptions!$C$7) ^ INT(((YEAR(AM$2)-YEAR($F100))*12 + MONTH(AM$2)-MONTH($F100)) / 12),
  0)</f>
        <v/>
      </c>
      <c r="AN100" s="299">
        <f>IF(AND($F100&lt;=AN$2, OR($G100="",$G100&gt;=AN$2)),
  $H100 * (1 + Assumptions!$C$7) ^ INT(((YEAR(AN$2)-YEAR($F100))*12 + MONTH(AN$2)-MONTH($F100)) / 12),
  0)</f>
        <v/>
      </c>
      <c r="AO100" s="299">
        <f>IF(AND($F100&lt;=AO$2, OR($G100="",$G100&gt;=AO$2)),
  $H100 * (1 + Assumptions!$C$7) ^ INT(((YEAR(AO$2)-YEAR($F100))*12 + MONTH(AO$2)-MONTH($F100)) / 12),
  0)</f>
        <v/>
      </c>
      <c r="AP100" s="299">
        <f>IF(AND($F100&lt;=AP$2, OR($G100="",$G100&gt;=AP$2)),
  $H100 * (1 + Assumptions!$C$7) ^ INT(((YEAR(AP$2)-YEAR($F100))*12 + MONTH(AP$2)-MONTH($F100)) / 12),
  0)</f>
        <v/>
      </c>
      <c r="AQ100" s="299">
        <f>IF(AND($F100&lt;=AQ$2, OR($G100="",$G100&gt;=AQ$2)),
  $H100 * (1 + Assumptions!$C$7) ^ INT(((YEAR(AQ$2)-YEAR($F100))*12 + MONTH(AQ$2)-MONTH($F100)) / 12),
  0)</f>
        <v/>
      </c>
      <c r="AR100" s="299">
        <f>IF(AND($F100&lt;=AR$2, OR($G100="",$G100&gt;=AR$2)),
  $H100 * (1 + Assumptions!$C$7) ^ INT(((YEAR(AR$2)-YEAR($F100))*12 + MONTH(AR$2)-MONTH($F100)) / 12),
  0)</f>
        <v/>
      </c>
      <c r="AS100" s="299">
        <f>IF(AND($F100&lt;=AS$2, OR($G100="",$G100&gt;=AS$2)),
  $H100 * (1 + Assumptions!$C$7) ^ INT(((YEAR(AS$2)-YEAR($F100))*12 + MONTH(AS$2)-MONTH($F100)) / 12),
  0)</f>
        <v/>
      </c>
      <c r="AT100" s="299">
        <f>IF(AND($F100&lt;=AT$2, OR($G100="",$G100&gt;=AT$2)),
  $H100 * (1 + Assumptions!$C$7) ^ INT(((YEAR(AT$2)-YEAR($F100))*12 + MONTH(AT$2)-MONTH($F100)) / 12),
  0)</f>
        <v/>
      </c>
      <c r="AU100" s="299">
        <f>IF(AND($F100&lt;=AU$2, OR($G100="",$G100&gt;=AU$2)),
  $H100 * (1 + Assumptions!$C$7) ^ INT(((YEAR(AU$2)-YEAR($F100))*12 + MONTH(AU$2)-MONTH($F100)) / 12),
  0)</f>
        <v/>
      </c>
      <c r="AV100" s="299">
        <f>IF(AND($F100&lt;=AV$2, OR($G100="",$G100&gt;=AV$2)),
  $H100 * (1 + Assumptions!$C$7) ^ INT(((YEAR(AV$2)-YEAR($F100))*12 + MONTH(AV$2)-MONTH($F100)) / 12),
  0)</f>
        <v/>
      </c>
      <c r="AW100" s="299">
        <f>IF(AND($F100&lt;=AW$2, OR($G100="",$G100&gt;=AW$2)),
  $H100 * (1 + Assumptions!$C$7) ^ INT(((YEAR(AW$2)-YEAR($F100))*12 + MONTH(AW$2)-MONTH($F100)) / 12),
  0)</f>
        <v/>
      </c>
      <c r="AX100" s="299">
        <f>IF(AND($F100&lt;=AX$2, OR($G100="",$G100&gt;=AX$2)),
  $H100 * (1 + Assumptions!$C$7) ^ INT(((YEAR(AX$2)-YEAR($F100))*12 + MONTH(AX$2)-MONTH($F100)) / 12),
  0)</f>
        <v/>
      </c>
      <c r="AY100" s="299">
        <f>IF(AND($F100&lt;=AY$2, OR($G100="",$G100&gt;=AY$2)),
  $H100 * (1 + Assumptions!$C$7) ^ INT(((YEAR(AY$2)-YEAR($F100))*12 + MONTH(AY$2)-MONTH($F100)) / 12),
  0)</f>
        <v/>
      </c>
      <c r="AZ100" s="299">
        <f>IF(AND($F100&lt;=AZ$2, OR($G100="",$G100&gt;=AZ$2)),
  $H100 * (1 + Assumptions!$C$7) ^ INT(((YEAR(AZ$2)-YEAR($F100))*12 + MONTH(AZ$2)-MONTH($F100)) / 12),
  0)</f>
        <v/>
      </c>
      <c r="BA100" s="299">
        <f>IF(AND($F100&lt;=BA$2, OR($G100="",$G100&gt;=BA$2)),
  $H100 * (1 + Assumptions!$C$7) ^ INT(((YEAR(BA$2)-YEAR($F100))*12 + MONTH(BA$2)-MONTH($F100)) / 12),
  0)</f>
        <v/>
      </c>
      <c r="BB100" s="299">
        <f>IF(AND($F100&lt;=BB$2, OR($G100="",$G100&gt;=BB$2)),
  $H100 * (1 + Assumptions!$C$7) ^ INT(((YEAR(BB$2)-YEAR($F100))*12 + MONTH(BB$2)-MONTH($F100)) / 12),
  0)</f>
        <v/>
      </c>
      <c r="BC100" s="299">
        <f>IF(AND($F100&lt;=BC$2, OR($G100="",$G100&gt;=BC$2)),
  $H100 * (1 + Assumptions!$C$7) ^ INT(((YEAR(BC$2)-YEAR($F100))*12 + MONTH(BC$2)-MONTH($F100)) / 12),
  0)</f>
        <v/>
      </c>
      <c r="BD100" s="299">
        <f>IF(AND($F100&lt;=BD$2, OR($G100="",$G100&gt;=BD$2)),
  $H100 * (1 + Assumptions!$C$7) ^ INT(((YEAR(BD$2)-YEAR($F100))*12 + MONTH(BD$2)-MONTH($F100)) / 12),
  0)</f>
        <v/>
      </c>
      <c r="BE100" s="299">
        <f>IF(AND($F100&lt;=BE$2, OR($G100="",$G100&gt;=BE$2)),
  $H100 * (1 + Assumptions!$C$7) ^ INT(((YEAR(BE$2)-YEAR($F100))*12 + MONTH(BE$2)-MONTH($F100)) / 12),
  0)</f>
        <v/>
      </c>
      <c r="BF100" s="299">
        <f>IF(AND($F100&lt;=BF$2, OR($G100="",$G100&gt;=BF$2)),
  $H100 * (1 + Assumptions!$C$7) ^ INT(((YEAR(BF$2)-YEAR($F100))*12 + MONTH(BF$2)-MONTH($F100)) / 12),
  0)</f>
        <v/>
      </c>
      <c r="BG100" s="299">
        <f>IF(AND($F100&lt;=BG$2, OR($G100="",$G100&gt;=BG$2)),
  $H100 * (1 + Assumptions!$C$7) ^ INT(((YEAR(BG$2)-YEAR($F100))*12 + MONTH(BG$2)-MONTH($F100)) / 12),
  0)</f>
        <v/>
      </c>
      <c r="BH100" s="299">
        <f>IF(AND($F100&lt;=BH$2, OR($G100="",$G100&gt;=BH$2)),
  $H100 * (1 + Assumptions!$C$7) ^ INT(((YEAR(BH$2)-YEAR($F100))*12 + MONTH(BH$2)-MONTH($F100)) / 12),
  0)</f>
        <v/>
      </c>
      <c r="BI100" s="299">
        <f>IF(AND($F100&lt;=BI$2, OR($G100="",$G100&gt;=BI$2)),
  $H100 * (1 + Assumptions!$C$7) ^ INT(((YEAR(BI$2)-YEAR($F100))*12 + MONTH(BI$2)-MONTH($F100)) / 12),
  0)</f>
        <v/>
      </c>
      <c r="BJ100" s="299">
        <f>IF(AND($F100&lt;=BJ$2, OR($G100="",$G100&gt;=BJ$2)),
  $H100 * (1 + Assumptions!$C$7) ^ INT(((YEAR(BJ$2)-YEAR($F100))*12 + MONTH(BJ$2)-MONTH($F100)) / 12),
  0)</f>
        <v/>
      </c>
      <c r="BK100" s="299">
        <f>IF(AND($F100&lt;=BK$2, OR($G100="",$G100&gt;=BK$2)),
  $H100 * (1 + Assumptions!$C$7) ^ INT(((YEAR(BK$2)-YEAR($F100))*12 + MONTH(BK$2)-MONTH($F100)) / 12),
  0)</f>
        <v/>
      </c>
      <c r="BL100" s="299">
        <f>IF(AND($F100&lt;=BL$2, OR($G100="",$G100&gt;=BL$2)),
  $H100 * (1 + Assumptions!$C$7) ^ INT(((YEAR(BL$2)-YEAR($F100))*12 + MONTH(BL$2)-MONTH($F100)) / 12),
  0)</f>
        <v/>
      </c>
      <c r="BM100" s="299">
        <f>IF(AND($F100&lt;=BM$2, OR($G100="",$G100&gt;=BM$2)),
  $H100 * (1 + Assumptions!$C$7) ^ INT(((YEAR(BM$2)-YEAR($F100))*12 + MONTH(BM$2)-MONTH($F100)) / 12),
  0)</f>
        <v/>
      </c>
      <c r="BN100" s="299">
        <f>IF(AND($F100&lt;=BN$2, OR($G100="",$G100&gt;=BN$2)),
  $H100 * (1 + Assumptions!$C$7) ^ INT(((YEAR(BN$2)-YEAR($F100))*12 + MONTH(BN$2)-MONTH($F100)) / 12),
  0)</f>
        <v/>
      </c>
      <c r="BO100" s="299">
        <f>IF(AND($F100&lt;=BO$2, OR($G100="",$G100&gt;=BO$2)),
  $H100 * (1 + Assumptions!$C$7) ^ INT(((YEAR(BO$2)-YEAR($F100))*12 + MONTH(BO$2)-MONTH($F100)) / 12),
  0)</f>
        <v/>
      </c>
      <c r="BP100" s="299">
        <f>IF(AND($F100&lt;=BP$2, OR($G100="",$G100&gt;=BP$2)),
  $H100 * (1 + Assumptions!$C$7) ^ INT(((YEAR(BP$2)-YEAR($F100))*12 + MONTH(BP$2)-MONTH($F100)) / 12),
  0)</f>
        <v/>
      </c>
      <c r="BQ100" s="31" t="n"/>
      <c r="BR100" s="31" t="n"/>
      <c r="BS100" s="31" t="n"/>
      <c r="BT100" s="31" t="n"/>
    </row>
    <row r="101" ht="15.75" customHeight="1" s="349">
      <c r="A101" s="321" t="n">
        <v>96</v>
      </c>
      <c r="B101" s="285" t="inlineStr">
        <is>
          <t>New hire</t>
        </is>
      </c>
      <c r="C101" s="317" t="inlineStr">
        <is>
          <t>G&amp;A</t>
        </is>
      </c>
      <c r="D101" s="317" t="inlineStr">
        <is>
          <t>Production Operator</t>
        </is>
      </c>
      <c r="E101" s="297" t="inlineStr">
        <is>
          <t>Planned</t>
        </is>
      </c>
      <c r="F101" s="318">
        <f>IF(Assumptions!$D$82=2,DATE(2028,7,1),DATE(2035,1,1))</f>
        <v/>
      </c>
      <c r="G101" s="318" t="n"/>
      <c r="H101" s="288" t="n">
        <v>5000</v>
      </c>
      <c r="I101" s="299">
        <f>IF(AND($F101&lt;=I$2, OR($G101="",$G101&gt;=I$2)),
  $H101 * (1 + Assumptions!$C$7) ^ INT(((YEAR(I$2)-YEAR($F101))*12 + MONTH(I$2)-MONTH($F101)) / 12),
  0)</f>
        <v/>
      </c>
      <c r="J101" s="299">
        <f>IF(AND($F101&lt;=J$2, OR($G101="",$G101&gt;=J$2)),
  $H101 * (1 + Assumptions!$C$7) ^ INT(((YEAR(J$2)-YEAR($F101))*12 + MONTH(J$2)-MONTH($F101)) / 12),
  0)</f>
        <v/>
      </c>
      <c r="K101" s="299">
        <f>IF(AND($F101&lt;=K$2, OR($G101="",$G101&gt;=K$2)),
  $H101 * (1 + Assumptions!$C$7) ^ INT(((YEAR(K$2)-YEAR($F101))*12 + MONTH(K$2)-MONTH($F101)) / 12),
  0)</f>
        <v/>
      </c>
      <c r="L101" s="299">
        <f>IF(AND($F101&lt;=L$2, OR($G101="",$G101&gt;=L$2)),
  $H101 * (1 + Assumptions!$C$7) ^ INT(((YEAR(L$2)-YEAR($F101))*12 + MONTH(L$2)-MONTH($F101)) / 12),
  0)</f>
        <v/>
      </c>
      <c r="M101" s="299">
        <f>IF(AND($F101&lt;=M$2, OR($G101="",$G101&gt;=M$2)),
  $H101 * (1 + Assumptions!$C$7) ^ INT(((YEAR(M$2)-YEAR($F101))*12 + MONTH(M$2)-MONTH($F101)) / 12),
  0)</f>
        <v/>
      </c>
      <c r="N101" s="299">
        <f>IF(AND($F101&lt;=N$2, OR($G101="",$G101&gt;=N$2)),
  $H101 * (1 + Assumptions!$C$7) ^ INT(((YEAR(N$2)-YEAR($F101))*12 + MONTH(N$2)-MONTH($F101)) / 12),
  0)</f>
        <v/>
      </c>
      <c r="O101" s="299">
        <f>IF(AND($F101&lt;=O$2, OR($G101="",$G101&gt;=O$2)),
  $H101 * (1 + Assumptions!$C$7) ^ INT(((YEAR(O$2)-YEAR($F101))*12 + MONTH(O$2)-MONTH($F101)) / 12),
  0)</f>
        <v/>
      </c>
      <c r="P101" s="299">
        <f>IF(AND($F101&lt;=P$2, OR($G101="",$G101&gt;=P$2)),
  $H101 * (1 + Assumptions!$C$7) ^ INT(((YEAR(P$2)-YEAR($F101))*12 + MONTH(P$2)-MONTH($F101)) / 12),
  0)</f>
        <v/>
      </c>
      <c r="Q101" s="299">
        <f>IF(AND($F101&lt;=Q$2, OR($G101="",$G101&gt;=Q$2)),
  $H101 * (1 + Assumptions!$C$7) ^ INT(((YEAR(Q$2)-YEAR($F101))*12 + MONTH(Q$2)-MONTH($F101)) / 12),
  0)</f>
        <v/>
      </c>
      <c r="R101" s="299">
        <f>IF(AND($F101&lt;=R$2, OR($G101="",$G101&gt;=R$2)),
  $H101 * (1 + Assumptions!$C$7) ^ INT(((YEAR(R$2)-YEAR($F101))*12 + MONTH(R$2)-MONTH($F101)) / 12),
  0)</f>
        <v/>
      </c>
      <c r="S101" s="299">
        <f>IF(AND($F101&lt;=S$2, OR($G101="",$G101&gt;=S$2)),
  $H101 * (1 + Assumptions!$C$7) ^ INT(((YEAR(S$2)-YEAR($F101))*12 + MONTH(S$2)-MONTH($F101)) / 12),
  0)</f>
        <v/>
      </c>
      <c r="T101" s="299">
        <f>IF(AND($F101&lt;=T$2, OR($G101="",$G101&gt;=T$2)),
  $H101 * (1 + Assumptions!$C$7) ^ INT(((YEAR(T$2)-YEAR($F101))*12 + MONTH(T$2)-MONTH($F101)) / 12),
  0)</f>
        <v/>
      </c>
      <c r="U101" s="299">
        <f>IF(AND($F101&lt;=U$2, OR($G101="",$G101&gt;=U$2)),
  $H101 * (1 + Assumptions!$C$7) ^ INT(((YEAR(U$2)-YEAR($F101))*12 + MONTH(U$2)-MONTH($F101)) / 12),
  0)</f>
        <v/>
      </c>
      <c r="V101" s="299">
        <f>IF(AND($F101&lt;=V$2, OR($G101="",$G101&gt;=V$2)),
  $H101 * (1 + Assumptions!$C$7) ^ INT(((YEAR(V$2)-YEAR($F101))*12 + MONTH(V$2)-MONTH($F101)) / 12),
  0)</f>
        <v/>
      </c>
      <c r="W101" s="299">
        <f>IF(AND($F101&lt;=W$2, OR($G101="",$G101&gt;=W$2)),
  $H101 * (1 + Assumptions!$C$7) ^ INT(((YEAR(W$2)-YEAR($F101))*12 + MONTH(W$2)-MONTH($F101)) / 12),
  0)</f>
        <v/>
      </c>
      <c r="X101" s="299">
        <f>IF(AND($F101&lt;=X$2, OR($G101="",$G101&gt;=X$2)),
  $H101 * (1 + Assumptions!$C$7) ^ INT(((YEAR(X$2)-YEAR($F101))*12 + MONTH(X$2)-MONTH($F101)) / 12),
  0)</f>
        <v/>
      </c>
      <c r="Y101" s="299">
        <f>IF(AND($F101&lt;=Y$2, OR($G101="",$G101&gt;=Y$2)),
  $H101 * (1 + Assumptions!$C$7) ^ INT(((YEAR(Y$2)-YEAR($F101))*12 + MONTH(Y$2)-MONTH($F101)) / 12),
  0)</f>
        <v/>
      </c>
      <c r="Z101" s="299">
        <f>IF(AND($F101&lt;=Z$2, OR($G101="",$G101&gt;=Z$2)),
  $H101 * (1 + Assumptions!$C$7) ^ INT(((YEAR(Z$2)-YEAR($F101))*12 + MONTH(Z$2)-MONTH($F101)) / 12),
  0)</f>
        <v/>
      </c>
      <c r="AA101" s="299">
        <f>IF(AND($F101&lt;=AA$2, OR($G101="",$G101&gt;=AA$2)),
  $H101 * (1 + Assumptions!$C$7) ^ INT(((YEAR(AA$2)-YEAR($F101))*12 + MONTH(AA$2)-MONTH($F101)) / 12),
  0)</f>
        <v/>
      </c>
      <c r="AB101" s="299">
        <f>IF(AND($F101&lt;=AB$2, OR($G101="",$G101&gt;=AB$2)),
  $H101 * (1 + Assumptions!$C$7) ^ INT(((YEAR(AB$2)-YEAR($F101))*12 + MONTH(AB$2)-MONTH($F101)) / 12),
  0)</f>
        <v/>
      </c>
      <c r="AC101" s="299">
        <f>IF(AND($F101&lt;=AC$2, OR($G101="",$G101&gt;=AC$2)),
  $H101 * (1 + Assumptions!$C$7) ^ INT(((YEAR(AC$2)-YEAR($F101))*12 + MONTH(AC$2)-MONTH($F101)) / 12),
  0)</f>
        <v/>
      </c>
      <c r="AD101" s="299">
        <f>IF(AND($F101&lt;=AD$2, OR($G101="",$G101&gt;=AD$2)),
  $H101 * (1 + Assumptions!$C$7) ^ INT(((YEAR(AD$2)-YEAR($F101))*12 + MONTH(AD$2)-MONTH($F101)) / 12),
  0)</f>
        <v/>
      </c>
      <c r="AE101" s="299">
        <f>IF(AND($F101&lt;=AE$2, OR($G101="",$G101&gt;=AE$2)),
  $H101 * (1 + Assumptions!$C$7) ^ INT(((YEAR(AE$2)-YEAR($F101))*12 + MONTH(AE$2)-MONTH($F101)) / 12),
  0)</f>
        <v/>
      </c>
      <c r="AF101" s="299">
        <f>IF(AND($F101&lt;=AF$2, OR($G101="",$G101&gt;=AF$2)),
  $H101 * (1 + Assumptions!$C$7) ^ INT(((YEAR(AF$2)-YEAR($F101))*12 + MONTH(AF$2)-MONTH($F101)) / 12),
  0)</f>
        <v/>
      </c>
      <c r="AG101" s="299">
        <f>IF(AND($F101&lt;=AG$2, OR($G101="",$G101&gt;=AG$2)),
  $H101 * (1 + Assumptions!$C$7) ^ INT(((YEAR(AG$2)-YEAR($F101))*12 + MONTH(AG$2)-MONTH($F101)) / 12),
  0)</f>
        <v/>
      </c>
      <c r="AH101" s="299">
        <f>IF(AND($F101&lt;=AH$2, OR($G101="",$G101&gt;=AH$2)),
  $H101 * (1 + Assumptions!$C$7) ^ INT(((YEAR(AH$2)-YEAR($F101))*12 + MONTH(AH$2)-MONTH($F101)) / 12),
  0)</f>
        <v/>
      </c>
      <c r="AI101" s="299">
        <f>IF(AND($F101&lt;=AI$2, OR($G101="",$G101&gt;=AI$2)),
  $H101 * (1 + Assumptions!$C$7) ^ INT(((YEAR(AI$2)-YEAR($F101))*12 + MONTH(AI$2)-MONTH($F101)) / 12),
  0)</f>
        <v/>
      </c>
      <c r="AJ101" s="299">
        <f>IF(AND($F101&lt;=AJ$2, OR($G101="",$G101&gt;=AJ$2)),
  $H101 * (1 + Assumptions!$C$7) ^ INT(((YEAR(AJ$2)-YEAR($F101))*12 + MONTH(AJ$2)-MONTH($F101)) / 12),
  0)</f>
        <v/>
      </c>
      <c r="AK101" s="299">
        <f>IF(AND($F101&lt;=AK$2, OR($G101="",$G101&gt;=AK$2)),
  $H101 * (1 + Assumptions!$C$7) ^ INT(((YEAR(AK$2)-YEAR($F101))*12 + MONTH(AK$2)-MONTH($F101)) / 12),
  0)</f>
        <v/>
      </c>
      <c r="AL101" s="299">
        <f>IF(AND($F101&lt;=AL$2, OR($G101="",$G101&gt;=AL$2)),
  $H101 * (1 + Assumptions!$C$7) ^ INT(((YEAR(AL$2)-YEAR($F101))*12 + MONTH(AL$2)-MONTH($F101)) / 12),
  0)</f>
        <v/>
      </c>
      <c r="AM101" s="299">
        <f>IF(AND($F101&lt;=AM$2, OR($G101="",$G101&gt;=AM$2)),
  $H101 * (1 + Assumptions!$C$7) ^ INT(((YEAR(AM$2)-YEAR($F101))*12 + MONTH(AM$2)-MONTH($F101)) / 12),
  0)</f>
        <v/>
      </c>
      <c r="AN101" s="299">
        <f>IF(AND($F101&lt;=AN$2, OR($G101="",$G101&gt;=AN$2)),
  $H101 * (1 + Assumptions!$C$7) ^ INT(((YEAR(AN$2)-YEAR($F101))*12 + MONTH(AN$2)-MONTH($F101)) / 12),
  0)</f>
        <v/>
      </c>
      <c r="AO101" s="299">
        <f>IF(AND($F101&lt;=AO$2, OR($G101="",$G101&gt;=AO$2)),
  $H101 * (1 + Assumptions!$C$7) ^ INT(((YEAR(AO$2)-YEAR($F101))*12 + MONTH(AO$2)-MONTH($F101)) / 12),
  0)</f>
        <v/>
      </c>
      <c r="AP101" s="299">
        <f>IF(AND($F101&lt;=AP$2, OR($G101="",$G101&gt;=AP$2)),
  $H101 * (1 + Assumptions!$C$7) ^ INT(((YEAR(AP$2)-YEAR($F101))*12 + MONTH(AP$2)-MONTH($F101)) / 12),
  0)</f>
        <v/>
      </c>
      <c r="AQ101" s="299">
        <f>IF(AND($F101&lt;=AQ$2, OR($G101="",$G101&gt;=AQ$2)),
  $H101 * (1 + Assumptions!$C$7) ^ INT(((YEAR(AQ$2)-YEAR($F101))*12 + MONTH(AQ$2)-MONTH($F101)) / 12),
  0)</f>
        <v/>
      </c>
      <c r="AR101" s="299">
        <f>IF(AND($F101&lt;=AR$2, OR($G101="",$G101&gt;=AR$2)),
  $H101 * (1 + Assumptions!$C$7) ^ INT(((YEAR(AR$2)-YEAR($F101))*12 + MONTH(AR$2)-MONTH($F101)) / 12),
  0)</f>
        <v/>
      </c>
      <c r="AS101" s="299">
        <f>IF(AND($F101&lt;=AS$2, OR($G101="",$G101&gt;=AS$2)),
  $H101 * (1 + Assumptions!$C$7) ^ INT(((YEAR(AS$2)-YEAR($F101))*12 + MONTH(AS$2)-MONTH($F101)) / 12),
  0)</f>
        <v/>
      </c>
      <c r="AT101" s="299">
        <f>IF(AND($F101&lt;=AT$2, OR($G101="",$G101&gt;=AT$2)),
  $H101 * (1 + Assumptions!$C$7) ^ INT(((YEAR(AT$2)-YEAR($F101))*12 + MONTH(AT$2)-MONTH($F101)) / 12),
  0)</f>
        <v/>
      </c>
      <c r="AU101" s="299">
        <f>IF(AND($F101&lt;=AU$2, OR($G101="",$G101&gt;=AU$2)),
  $H101 * (1 + Assumptions!$C$7) ^ INT(((YEAR(AU$2)-YEAR($F101))*12 + MONTH(AU$2)-MONTH($F101)) / 12),
  0)</f>
        <v/>
      </c>
      <c r="AV101" s="299">
        <f>IF(AND($F101&lt;=AV$2, OR($G101="",$G101&gt;=AV$2)),
  $H101 * (1 + Assumptions!$C$7) ^ INT(((YEAR(AV$2)-YEAR($F101))*12 + MONTH(AV$2)-MONTH($F101)) / 12),
  0)</f>
        <v/>
      </c>
      <c r="AW101" s="299">
        <f>IF(AND($F101&lt;=AW$2, OR($G101="",$G101&gt;=AW$2)),
  $H101 * (1 + Assumptions!$C$7) ^ INT(((YEAR(AW$2)-YEAR($F101))*12 + MONTH(AW$2)-MONTH($F101)) / 12),
  0)</f>
        <v/>
      </c>
      <c r="AX101" s="299">
        <f>IF(AND($F101&lt;=AX$2, OR($G101="",$G101&gt;=AX$2)),
  $H101 * (1 + Assumptions!$C$7) ^ INT(((YEAR(AX$2)-YEAR($F101))*12 + MONTH(AX$2)-MONTH($F101)) / 12),
  0)</f>
        <v/>
      </c>
      <c r="AY101" s="299">
        <f>IF(AND($F101&lt;=AY$2, OR($G101="",$G101&gt;=AY$2)),
  $H101 * (1 + Assumptions!$C$7) ^ INT(((YEAR(AY$2)-YEAR($F101))*12 + MONTH(AY$2)-MONTH($F101)) / 12),
  0)</f>
        <v/>
      </c>
      <c r="AZ101" s="299">
        <f>IF(AND($F101&lt;=AZ$2, OR($G101="",$G101&gt;=AZ$2)),
  $H101 * (1 + Assumptions!$C$7) ^ INT(((YEAR(AZ$2)-YEAR($F101))*12 + MONTH(AZ$2)-MONTH($F101)) / 12),
  0)</f>
        <v/>
      </c>
      <c r="BA101" s="299">
        <f>IF(AND($F101&lt;=BA$2, OR($G101="",$G101&gt;=BA$2)),
  $H101 * (1 + Assumptions!$C$7) ^ INT(((YEAR(BA$2)-YEAR($F101))*12 + MONTH(BA$2)-MONTH($F101)) / 12),
  0)</f>
        <v/>
      </c>
      <c r="BB101" s="299">
        <f>IF(AND($F101&lt;=BB$2, OR($G101="",$G101&gt;=BB$2)),
  $H101 * (1 + Assumptions!$C$7) ^ INT(((YEAR(BB$2)-YEAR($F101))*12 + MONTH(BB$2)-MONTH($F101)) / 12),
  0)</f>
        <v/>
      </c>
      <c r="BC101" s="299">
        <f>IF(AND($F101&lt;=BC$2, OR($G101="",$G101&gt;=BC$2)),
  $H101 * (1 + Assumptions!$C$7) ^ INT(((YEAR(BC$2)-YEAR($F101))*12 + MONTH(BC$2)-MONTH($F101)) / 12),
  0)</f>
        <v/>
      </c>
      <c r="BD101" s="299">
        <f>IF(AND($F101&lt;=BD$2, OR($G101="",$G101&gt;=BD$2)),
  $H101 * (1 + Assumptions!$C$7) ^ INT(((YEAR(BD$2)-YEAR($F101))*12 + MONTH(BD$2)-MONTH($F101)) / 12),
  0)</f>
        <v/>
      </c>
      <c r="BE101" s="299">
        <f>IF(AND($F101&lt;=BE$2, OR($G101="",$G101&gt;=BE$2)),
  $H101 * (1 + Assumptions!$C$7) ^ INT(((YEAR(BE$2)-YEAR($F101))*12 + MONTH(BE$2)-MONTH($F101)) / 12),
  0)</f>
        <v/>
      </c>
      <c r="BF101" s="299">
        <f>IF(AND($F101&lt;=BF$2, OR($G101="",$G101&gt;=BF$2)),
  $H101 * (1 + Assumptions!$C$7) ^ INT(((YEAR(BF$2)-YEAR($F101))*12 + MONTH(BF$2)-MONTH($F101)) / 12),
  0)</f>
        <v/>
      </c>
      <c r="BG101" s="299">
        <f>IF(AND($F101&lt;=BG$2, OR($G101="",$G101&gt;=BG$2)),
  $H101 * (1 + Assumptions!$C$7) ^ INT(((YEAR(BG$2)-YEAR($F101))*12 + MONTH(BG$2)-MONTH($F101)) / 12),
  0)</f>
        <v/>
      </c>
      <c r="BH101" s="299">
        <f>IF(AND($F101&lt;=BH$2, OR($G101="",$G101&gt;=BH$2)),
  $H101 * (1 + Assumptions!$C$7) ^ INT(((YEAR(BH$2)-YEAR($F101))*12 + MONTH(BH$2)-MONTH($F101)) / 12),
  0)</f>
        <v/>
      </c>
      <c r="BI101" s="299">
        <f>IF(AND($F101&lt;=BI$2, OR($G101="",$G101&gt;=BI$2)),
  $H101 * (1 + Assumptions!$C$7) ^ INT(((YEAR(BI$2)-YEAR($F101))*12 + MONTH(BI$2)-MONTH($F101)) / 12),
  0)</f>
        <v/>
      </c>
      <c r="BJ101" s="299">
        <f>IF(AND($F101&lt;=BJ$2, OR($G101="",$G101&gt;=BJ$2)),
  $H101 * (1 + Assumptions!$C$7) ^ INT(((YEAR(BJ$2)-YEAR($F101))*12 + MONTH(BJ$2)-MONTH($F101)) / 12),
  0)</f>
        <v/>
      </c>
      <c r="BK101" s="299">
        <f>IF(AND($F101&lt;=BK$2, OR($G101="",$G101&gt;=BK$2)),
  $H101 * (1 + Assumptions!$C$7) ^ INT(((YEAR(BK$2)-YEAR($F101))*12 + MONTH(BK$2)-MONTH($F101)) / 12),
  0)</f>
        <v/>
      </c>
      <c r="BL101" s="299">
        <f>IF(AND($F101&lt;=BL$2, OR($G101="",$G101&gt;=BL$2)),
  $H101 * (1 + Assumptions!$C$7) ^ INT(((YEAR(BL$2)-YEAR($F101))*12 + MONTH(BL$2)-MONTH($F101)) / 12),
  0)</f>
        <v/>
      </c>
      <c r="BM101" s="299">
        <f>IF(AND($F101&lt;=BM$2, OR($G101="",$G101&gt;=BM$2)),
  $H101 * (1 + Assumptions!$C$7) ^ INT(((YEAR(BM$2)-YEAR($F101))*12 + MONTH(BM$2)-MONTH($F101)) / 12),
  0)</f>
        <v/>
      </c>
      <c r="BN101" s="299">
        <f>IF(AND($F101&lt;=BN$2, OR($G101="",$G101&gt;=BN$2)),
  $H101 * (1 + Assumptions!$C$7) ^ INT(((YEAR(BN$2)-YEAR($F101))*12 + MONTH(BN$2)-MONTH($F101)) / 12),
  0)</f>
        <v/>
      </c>
      <c r="BO101" s="299">
        <f>IF(AND($F101&lt;=BO$2, OR($G101="",$G101&gt;=BO$2)),
  $H101 * (1 + Assumptions!$C$7) ^ INT(((YEAR(BO$2)-YEAR($F101))*12 + MONTH(BO$2)-MONTH($F101)) / 12),
  0)</f>
        <v/>
      </c>
      <c r="BP101" s="299">
        <f>IF(AND($F101&lt;=BP$2, OR($G101="",$G101&gt;=BP$2)),
  $H101 * (1 + Assumptions!$C$7) ^ INT(((YEAR(BP$2)-YEAR($F101))*12 + MONTH(BP$2)-MONTH($F101)) / 12),
  0)</f>
        <v/>
      </c>
      <c r="BQ101" s="31" t="n"/>
      <c r="BR101" s="31" t="n"/>
      <c r="BS101" s="31" t="n"/>
      <c r="BT101" s="31" t="n"/>
    </row>
    <row r="102" ht="15.75" customHeight="1" s="349">
      <c r="A102" s="321" t="n">
        <v>97</v>
      </c>
      <c r="B102" s="285" t="inlineStr">
        <is>
          <t>New hire</t>
        </is>
      </c>
      <c r="C102" s="317" t="inlineStr">
        <is>
          <t>G&amp;A</t>
        </is>
      </c>
      <c r="D102" s="317" t="inlineStr">
        <is>
          <t>Production Operator</t>
        </is>
      </c>
      <c r="E102" s="297" t="inlineStr">
        <is>
          <t>Planned</t>
        </is>
      </c>
      <c r="F102" s="318">
        <f>IF(Assumptions!$D$82=2,DATE(2028,7,1),DATE(2035,1,1))</f>
        <v/>
      </c>
      <c r="G102" s="318" t="n"/>
      <c r="H102" s="288" t="n">
        <v>5000</v>
      </c>
      <c r="I102" s="299">
        <f>IF(AND($F102&lt;=I$2, OR($G102="",$G102&gt;=I$2)),
  $H102 * (1 + Assumptions!$C$7) ^ INT(((YEAR(I$2)-YEAR($F102))*12 + MONTH(I$2)-MONTH($F102)) / 12),
  0)</f>
        <v/>
      </c>
      <c r="J102" s="299">
        <f>IF(AND($F102&lt;=J$2, OR($G102="",$G102&gt;=J$2)),
  $H102 * (1 + Assumptions!$C$7) ^ INT(((YEAR(J$2)-YEAR($F102))*12 + MONTH(J$2)-MONTH($F102)) / 12),
  0)</f>
        <v/>
      </c>
      <c r="K102" s="299">
        <f>IF(AND($F102&lt;=K$2, OR($G102="",$G102&gt;=K$2)),
  $H102 * (1 + Assumptions!$C$7) ^ INT(((YEAR(K$2)-YEAR($F102))*12 + MONTH(K$2)-MONTH($F102)) / 12),
  0)</f>
        <v/>
      </c>
      <c r="L102" s="299">
        <f>IF(AND($F102&lt;=L$2, OR($G102="",$G102&gt;=L$2)),
  $H102 * (1 + Assumptions!$C$7) ^ INT(((YEAR(L$2)-YEAR($F102))*12 + MONTH(L$2)-MONTH($F102)) / 12),
  0)</f>
        <v/>
      </c>
      <c r="M102" s="299">
        <f>IF(AND($F102&lt;=M$2, OR($G102="",$G102&gt;=M$2)),
  $H102 * (1 + Assumptions!$C$7) ^ INT(((YEAR(M$2)-YEAR($F102))*12 + MONTH(M$2)-MONTH($F102)) / 12),
  0)</f>
        <v/>
      </c>
      <c r="N102" s="299">
        <f>IF(AND($F102&lt;=N$2, OR($G102="",$G102&gt;=N$2)),
  $H102 * (1 + Assumptions!$C$7) ^ INT(((YEAR(N$2)-YEAR($F102))*12 + MONTH(N$2)-MONTH($F102)) / 12),
  0)</f>
        <v/>
      </c>
      <c r="O102" s="299">
        <f>IF(AND($F102&lt;=O$2, OR($G102="",$G102&gt;=O$2)),
  $H102 * (1 + Assumptions!$C$7) ^ INT(((YEAR(O$2)-YEAR($F102))*12 + MONTH(O$2)-MONTH($F102)) / 12),
  0)</f>
        <v/>
      </c>
      <c r="P102" s="299">
        <f>IF(AND($F102&lt;=P$2, OR($G102="",$G102&gt;=P$2)),
  $H102 * (1 + Assumptions!$C$7) ^ INT(((YEAR(P$2)-YEAR($F102))*12 + MONTH(P$2)-MONTH($F102)) / 12),
  0)</f>
        <v/>
      </c>
      <c r="Q102" s="299">
        <f>IF(AND($F102&lt;=Q$2, OR($G102="",$G102&gt;=Q$2)),
  $H102 * (1 + Assumptions!$C$7) ^ INT(((YEAR(Q$2)-YEAR($F102))*12 + MONTH(Q$2)-MONTH($F102)) / 12),
  0)</f>
        <v/>
      </c>
      <c r="R102" s="299">
        <f>IF(AND($F102&lt;=R$2, OR($G102="",$G102&gt;=R$2)),
  $H102 * (1 + Assumptions!$C$7) ^ INT(((YEAR(R$2)-YEAR($F102))*12 + MONTH(R$2)-MONTH($F102)) / 12),
  0)</f>
        <v/>
      </c>
      <c r="S102" s="299">
        <f>IF(AND($F102&lt;=S$2, OR($G102="",$G102&gt;=S$2)),
  $H102 * (1 + Assumptions!$C$7) ^ INT(((YEAR(S$2)-YEAR($F102))*12 + MONTH(S$2)-MONTH($F102)) / 12),
  0)</f>
        <v/>
      </c>
      <c r="T102" s="299">
        <f>IF(AND($F102&lt;=T$2, OR($G102="",$G102&gt;=T$2)),
  $H102 * (1 + Assumptions!$C$7) ^ INT(((YEAR(T$2)-YEAR($F102))*12 + MONTH(T$2)-MONTH($F102)) / 12),
  0)</f>
        <v/>
      </c>
      <c r="U102" s="299">
        <f>IF(AND($F102&lt;=U$2, OR($G102="",$G102&gt;=U$2)),
  $H102 * (1 + Assumptions!$C$7) ^ INT(((YEAR(U$2)-YEAR($F102))*12 + MONTH(U$2)-MONTH($F102)) / 12),
  0)</f>
        <v/>
      </c>
      <c r="V102" s="299">
        <f>IF(AND($F102&lt;=V$2, OR($G102="",$G102&gt;=V$2)),
  $H102 * (1 + Assumptions!$C$7) ^ INT(((YEAR(V$2)-YEAR($F102))*12 + MONTH(V$2)-MONTH($F102)) / 12),
  0)</f>
        <v/>
      </c>
      <c r="W102" s="299">
        <f>IF(AND($F102&lt;=W$2, OR($G102="",$G102&gt;=W$2)),
  $H102 * (1 + Assumptions!$C$7) ^ INT(((YEAR(W$2)-YEAR($F102))*12 + MONTH(W$2)-MONTH($F102)) / 12),
  0)</f>
        <v/>
      </c>
      <c r="X102" s="299">
        <f>IF(AND($F102&lt;=X$2, OR($G102="",$G102&gt;=X$2)),
  $H102 * (1 + Assumptions!$C$7) ^ INT(((YEAR(X$2)-YEAR($F102))*12 + MONTH(X$2)-MONTH($F102)) / 12),
  0)</f>
        <v/>
      </c>
      <c r="Y102" s="299">
        <f>IF(AND($F102&lt;=Y$2, OR($G102="",$G102&gt;=Y$2)),
  $H102 * (1 + Assumptions!$C$7) ^ INT(((YEAR(Y$2)-YEAR($F102))*12 + MONTH(Y$2)-MONTH($F102)) / 12),
  0)</f>
        <v/>
      </c>
      <c r="Z102" s="299">
        <f>IF(AND($F102&lt;=Z$2, OR($G102="",$G102&gt;=Z$2)),
  $H102 * (1 + Assumptions!$C$7) ^ INT(((YEAR(Z$2)-YEAR($F102))*12 + MONTH(Z$2)-MONTH($F102)) / 12),
  0)</f>
        <v/>
      </c>
      <c r="AA102" s="299">
        <f>IF(AND($F102&lt;=AA$2, OR($G102="",$G102&gt;=AA$2)),
  $H102 * (1 + Assumptions!$C$7) ^ INT(((YEAR(AA$2)-YEAR($F102))*12 + MONTH(AA$2)-MONTH($F102)) / 12),
  0)</f>
        <v/>
      </c>
      <c r="AB102" s="299">
        <f>IF(AND($F102&lt;=AB$2, OR($G102="",$G102&gt;=AB$2)),
  $H102 * (1 + Assumptions!$C$7) ^ INT(((YEAR(AB$2)-YEAR($F102))*12 + MONTH(AB$2)-MONTH($F102)) / 12),
  0)</f>
        <v/>
      </c>
      <c r="AC102" s="299">
        <f>IF(AND($F102&lt;=AC$2, OR($G102="",$G102&gt;=AC$2)),
  $H102 * (1 + Assumptions!$C$7) ^ INT(((YEAR(AC$2)-YEAR($F102))*12 + MONTH(AC$2)-MONTH($F102)) / 12),
  0)</f>
        <v/>
      </c>
      <c r="AD102" s="299">
        <f>IF(AND($F102&lt;=AD$2, OR($G102="",$G102&gt;=AD$2)),
  $H102 * (1 + Assumptions!$C$7) ^ INT(((YEAR(AD$2)-YEAR($F102))*12 + MONTH(AD$2)-MONTH($F102)) / 12),
  0)</f>
        <v/>
      </c>
      <c r="AE102" s="299">
        <f>IF(AND($F102&lt;=AE$2, OR($G102="",$G102&gt;=AE$2)),
  $H102 * (1 + Assumptions!$C$7) ^ INT(((YEAR(AE$2)-YEAR($F102))*12 + MONTH(AE$2)-MONTH($F102)) / 12),
  0)</f>
        <v/>
      </c>
      <c r="AF102" s="299">
        <f>IF(AND($F102&lt;=AF$2, OR($G102="",$G102&gt;=AF$2)),
  $H102 * (1 + Assumptions!$C$7) ^ INT(((YEAR(AF$2)-YEAR($F102))*12 + MONTH(AF$2)-MONTH($F102)) / 12),
  0)</f>
        <v/>
      </c>
      <c r="AG102" s="299">
        <f>IF(AND($F102&lt;=AG$2, OR($G102="",$G102&gt;=AG$2)),
  $H102 * (1 + Assumptions!$C$7) ^ INT(((YEAR(AG$2)-YEAR($F102))*12 + MONTH(AG$2)-MONTH($F102)) / 12),
  0)</f>
        <v/>
      </c>
      <c r="AH102" s="299">
        <f>IF(AND($F102&lt;=AH$2, OR($G102="",$G102&gt;=AH$2)),
  $H102 * (1 + Assumptions!$C$7) ^ INT(((YEAR(AH$2)-YEAR($F102))*12 + MONTH(AH$2)-MONTH($F102)) / 12),
  0)</f>
        <v/>
      </c>
      <c r="AI102" s="299">
        <f>IF(AND($F102&lt;=AI$2, OR($G102="",$G102&gt;=AI$2)),
  $H102 * (1 + Assumptions!$C$7) ^ INT(((YEAR(AI$2)-YEAR($F102))*12 + MONTH(AI$2)-MONTH($F102)) / 12),
  0)</f>
        <v/>
      </c>
      <c r="AJ102" s="299">
        <f>IF(AND($F102&lt;=AJ$2, OR($G102="",$G102&gt;=AJ$2)),
  $H102 * (1 + Assumptions!$C$7) ^ INT(((YEAR(AJ$2)-YEAR($F102))*12 + MONTH(AJ$2)-MONTH($F102)) / 12),
  0)</f>
        <v/>
      </c>
      <c r="AK102" s="299">
        <f>IF(AND($F102&lt;=AK$2, OR($G102="",$G102&gt;=AK$2)),
  $H102 * (1 + Assumptions!$C$7) ^ INT(((YEAR(AK$2)-YEAR($F102))*12 + MONTH(AK$2)-MONTH($F102)) / 12),
  0)</f>
        <v/>
      </c>
      <c r="AL102" s="299">
        <f>IF(AND($F102&lt;=AL$2, OR($G102="",$G102&gt;=AL$2)),
  $H102 * (1 + Assumptions!$C$7) ^ INT(((YEAR(AL$2)-YEAR($F102))*12 + MONTH(AL$2)-MONTH($F102)) / 12),
  0)</f>
        <v/>
      </c>
      <c r="AM102" s="299">
        <f>IF(AND($F102&lt;=AM$2, OR($G102="",$G102&gt;=AM$2)),
  $H102 * (1 + Assumptions!$C$7) ^ INT(((YEAR(AM$2)-YEAR($F102))*12 + MONTH(AM$2)-MONTH($F102)) / 12),
  0)</f>
        <v/>
      </c>
      <c r="AN102" s="299">
        <f>IF(AND($F102&lt;=AN$2, OR($G102="",$G102&gt;=AN$2)),
  $H102 * (1 + Assumptions!$C$7) ^ INT(((YEAR(AN$2)-YEAR($F102))*12 + MONTH(AN$2)-MONTH($F102)) / 12),
  0)</f>
        <v/>
      </c>
      <c r="AO102" s="299">
        <f>IF(AND($F102&lt;=AO$2, OR($G102="",$G102&gt;=AO$2)),
  $H102 * (1 + Assumptions!$C$7) ^ INT(((YEAR(AO$2)-YEAR($F102))*12 + MONTH(AO$2)-MONTH($F102)) / 12),
  0)</f>
        <v/>
      </c>
      <c r="AP102" s="299">
        <f>IF(AND($F102&lt;=AP$2, OR($G102="",$G102&gt;=AP$2)),
  $H102 * (1 + Assumptions!$C$7) ^ INT(((YEAR(AP$2)-YEAR($F102))*12 + MONTH(AP$2)-MONTH($F102)) / 12),
  0)</f>
        <v/>
      </c>
      <c r="AQ102" s="299">
        <f>IF(AND($F102&lt;=AQ$2, OR($G102="",$G102&gt;=AQ$2)),
  $H102 * (1 + Assumptions!$C$7) ^ INT(((YEAR(AQ$2)-YEAR($F102))*12 + MONTH(AQ$2)-MONTH($F102)) / 12),
  0)</f>
        <v/>
      </c>
      <c r="AR102" s="299">
        <f>IF(AND($F102&lt;=AR$2, OR($G102="",$G102&gt;=AR$2)),
  $H102 * (1 + Assumptions!$C$7) ^ INT(((YEAR(AR$2)-YEAR($F102))*12 + MONTH(AR$2)-MONTH($F102)) / 12),
  0)</f>
        <v/>
      </c>
      <c r="AS102" s="299">
        <f>IF(AND($F102&lt;=AS$2, OR($G102="",$G102&gt;=AS$2)),
  $H102 * (1 + Assumptions!$C$7) ^ INT(((YEAR(AS$2)-YEAR($F102))*12 + MONTH(AS$2)-MONTH($F102)) / 12),
  0)</f>
        <v/>
      </c>
      <c r="AT102" s="299">
        <f>IF(AND($F102&lt;=AT$2, OR($G102="",$G102&gt;=AT$2)),
  $H102 * (1 + Assumptions!$C$7) ^ INT(((YEAR(AT$2)-YEAR($F102))*12 + MONTH(AT$2)-MONTH($F102)) / 12),
  0)</f>
        <v/>
      </c>
      <c r="AU102" s="299">
        <f>IF(AND($F102&lt;=AU$2, OR($G102="",$G102&gt;=AU$2)),
  $H102 * (1 + Assumptions!$C$7) ^ INT(((YEAR(AU$2)-YEAR($F102))*12 + MONTH(AU$2)-MONTH($F102)) / 12),
  0)</f>
        <v/>
      </c>
      <c r="AV102" s="299">
        <f>IF(AND($F102&lt;=AV$2, OR($G102="",$G102&gt;=AV$2)),
  $H102 * (1 + Assumptions!$C$7) ^ INT(((YEAR(AV$2)-YEAR($F102))*12 + MONTH(AV$2)-MONTH($F102)) / 12),
  0)</f>
        <v/>
      </c>
      <c r="AW102" s="299">
        <f>IF(AND($F102&lt;=AW$2, OR($G102="",$G102&gt;=AW$2)),
  $H102 * (1 + Assumptions!$C$7) ^ INT(((YEAR(AW$2)-YEAR($F102))*12 + MONTH(AW$2)-MONTH($F102)) / 12),
  0)</f>
        <v/>
      </c>
      <c r="AX102" s="299">
        <f>IF(AND($F102&lt;=AX$2, OR($G102="",$G102&gt;=AX$2)),
  $H102 * (1 + Assumptions!$C$7) ^ INT(((YEAR(AX$2)-YEAR($F102))*12 + MONTH(AX$2)-MONTH($F102)) / 12),
  0)</f>
        <v/>
      </c>
      <c r="AY102" s="299">
        <f>IF(AND($F102&lt;=AY$2, OR($G102="",$G102&gt;=AY$2)),
  $H102 * (1 + Assumptions!$C$7) ^ INT(((YEAR(AY$2)-YEAR($F102))*12 + MONTH(AY$2)-MONTH($F102)) / 12),
  0)</f>
        <v/>
      </c>
      <c r="AZ102" s="299">
        <f>IF(AND($F102&lt;=AZ$2, OR($G102="",$G102&gt;=AZ$2)),
  $H102 * (1 + Assumptions!$C$7) ^ INT(((YEAR(AZ$2)-YEAR($F102))*12 + MONTH(AZ$2)-MONTH($F102)) / 12),
  0)</f>
        <v/>
      </c>
      <c r="BA102" s="299">
        <f>IF(AND($F102&lt;=BA$2, OR($G102="",$G102&gt;=BA$2)),
  $H102 * (1 + Assumptions!$C$7) ^ INT(((YEAR(BA$2)-YEAR($F102))*12 + MONTH(BA$2)-MONTH($F102)) / 12),
  0)</f>
        <v/>
      </c>
      <c r="BB102" s="299">
        <f>IF(AND($F102&lt;=BB$2, OR($G102="",$G102&gt;=BB$2)),
  $H102 * (1 + Assumptions!$C$7) ^ INT(((YEAR(BB$2)-YEAR($F102))*12 + MONTH(BB$2)-MONTH($F102)) / 12),
  0)</f>
        <v/>
      </c>
      <c r="BC102" s="299">
        <f>IF(AND($F102&lt;=BC$2, OR($G102="",$G102&gt;=BC$2)),
  $H102 * (1 + Assumptions!$C$7) ^ INT(((YEAR(BC$2)-YEAR($F102))*12 + MONTH(BC$2)-MONTH($F102)) / 12),
  0)</f>
        <v/>
      </c>
      <c r="BD102" s="299">
        <f>IF(AND($F102&lt;=BD$2, OR($G102="",$G102&gt;=BD$2)),
  $H102 * (1 + Assumptions!$C$7) ^ INT(((YEAR(BD$2)-YEAR($F102))*12 + MONTH(BD$2)-MONTH($F102)) / 12),
  0)</f>
        <v/>
      </c>
      <c r="BE102" s="299">
        <f>IF(AND($F102&lt;=BE$2, OR($G102="",$G102&gt;=BE$2)),
  $H102 * (1 + Assumptions!$C$7) ^ INT(((YEAR(BE$2)-YEAR($F102))*12 + MONTH(BE$2)-MONTH($F102)) / 12),
  0)</f>
        <v/>
      </c>
      <c r="BF102" s="299">
        <f>IF(AND($F102&lt;=BF$2, OR($G102="",$G102&gt;=BF$2)),
  $H102 * (1 + Assumptions!$C$7) ^ INT(((YEAR(BF$2)-YEAR($F102))*12 + MONTH(BF$2)-MONTH($F102)) / 12),
  0)</f>
        <v/>
      </c>
      <c r="BG102" s="299">
        <f>IF(AND($F102&lt;=BG$2, OR($G102="",$G102&gt;=BG$2)),
  $H102 * (1 + Assumptions!$C$7) ^ INT(((YEAR(BG$2)-YEAR($F102))*12 + MONTH(BG$2)-MONTH($F102)) / 12),
  0)</f>
        <v/>
      </c>
      <c r="BH102" s="299">
        <f>IF(AND($F102&lt;=BH$2, OR($G102="",$G102&gt;=BH$2)),
  $H102 * (1 + Assumptions!$C$7) ^ INT(((YEAR(BH$2)-YEAR($F102))*12 + MONTH(BH$2)-MONTH($F102)) / 12),
  0)</f>
        <v/>
      </c>
      <c r="BI102" s="299">
        <f>IF(AND($F102&lt;=BI$2, OR($G102="",$G102&gt;=BI$2)),
  $H102 * (1 + Assumptions!$C$7) ^ INT(((YEAR(BI$2)-YEAR($F102))*12 + MONTH(BI$2)-MONTH($F102)) / 12),
  0)</f>
        <v/>
      </c>
      <c r="BJ102" s="299">
        <f>IF(AND($F102&lt;=BJ$2, OR($G102="",$G102&gt;=BJ$2)),
  $H102 * (1 + Assumptions!$C$7) ^ INT(((YEAR(BJ$2)-YEAR($F102))*12 + MONTH(BJ$2)-MONTH($F102)) / 12),
  0)</f>
        <v/>
      </c>
      <c r="BK102" s="299">
        <f>IF(AND($F102&lt;=BK$2, OR($G102="",$G102&gt;=BK$2)),
  $H102 * (1 + Assumptions!$C$7) ^ INT(((YEAR(BK$2)-YEAR($F102))*12 + MONTH(BK$2)-MONTH($F102)) / 12),
  0)</f>
        <v/>
      </c>
      <c r="BL102" s="299">
        <f>IF(AND($F102&lt;=BL$2, OR($G102="",$G102&gt;=BL$2)),
  $H102 * (1 + Assumptions!$C$7) ^ INT(((YEAR(BL$2)-YEAR($F102))*12 + MONTH(BL$2)-MONTH($F102)) / 12),
  0)</f>
        <v/>
      </c>
      <c r="BM102" s="299">
        <f>IF(AND($F102&lt;=BM$2, OR($G102="",$G102&gt;=BM$2)),
  $H102 * (1 + Assumptions!$C$7) ^ INT(((YEAR(BM$2)-YEAR($F102))*12 + MONTH(BM$2)-MONTH($F102)) / 12),
  0)</f>
        <v/>
      </c>
      <c r="BN102" s="299">
        <f>IF(AND($F102&lt;=BN$2, OR($G102="",$G102&gt;=BN$2)),
  $H102 * (1 + Assumptions!$C$7) ^ INT(((YEAR(BN$2)-YEAR($F102))*12 + MONTH(BN$2)-MONTH($F102)) / 12),
  0)</f>
        <v/>
      </c>
      <c r="BO102" s="299">
        <f>IF(AND($F102&lt;=BO$2, OR($G102="",$G102&gt;=BO$2)),
  $H102 * (1 + Assumptions!$C$7) ^ INT(((YEAR(BO$2)-YEAR($F102))*12 + MONTH(BO$2)-MONTH($F102)) / 12),
  0)</f>
        <v/>
      </c>
      <c r="BP102" s="299">
        <f>IF(AND($F102&lt;=BP$2, OR($G102="",$G102&gt;=BP$2)),
  $H102 * (1 + Assumptions!$C$7) ^ INT(((YEAR(BP$2)-YEAR($F102))*12 + MONTH(BP$2)-MONTH($F102)) / 12),
  0)</f>
        <v/>
      </c>
      <c r="BQ102" s="31" t="n"/>
      <c r="BR102" s="31" t="n"/>
      <c r="BS102" s="31" t="n"/>
      <c r="BT102" s="31" t="n"/>
    </row>
    <row r="103" ht="15.75" customHeight="1" s="349">
      <c r="A103" s="321" t="n">
        <v>98</v>
      </c>
      <c r="B103" s="285" t="inlineStr">
        <is>
          <t>New hire</t>
        </is>
      </c>
      <c r="C103" s="317" t="inlineStr">
        <is>
          <t>G&amp;A</t>
        </is>
      </c>
      <c r="D103" s="317" t="inlineStr">
        <is>
          <t>Production Operator</t>
        </is>
      </c>
      <c r="E103" s="297" t="inlineStr">
        <is>
          <t>Planned</t>
        </is>
      </c>
      <c r="F103" s="318">
        <f>IF(Assumptions!$D$82=2,DATE(2028,7,1),DATE(2035,1,1))</f>
        <v/>
      </c>
      <c r="G103" s="318" t="n"/>
      <c r="H103" s="288" t="n">
        <v>5000</v>
      </c>
      <c r="I103" s="299">
        <f>IF(AND($F103&lt;=I$2, OR($G103="",$G103&gt;=I$2)),
  $H103 * (1 + Assumptions!$C$7) ^ INT(((YEAR(I$2)-YEAR($F103))*12 + MONTH(I$2)-MONTH($F103)) / 12),
  0)</f>
        <v/>
      </c>
      <c r="J103" s="299">
        <f>IF(AND($F103&lt;=J$2, OR($G103="",$G103&gt;=J$2)),
  $H103 * (1 + Assumptions!$C$7) ^ INT(((YEAR(J$2)-YEAR($F103))*12 + MONTH(J$2)-MONTH($F103)) / 12),
  0)</f>
        <v/>
      </c>
      <c r="K103" s="299">
        <f>IF(AND($F103&lt;=K$2, OR($G103="",$G103&gt;=K$2)),
  $H103 * (1 + Assumptions!$C$7) ^ INT(((YEAR(K$2)-YEAR($F103))*12 + MONTH(K$2)-MONTH($F103)) / 12),
  0)</f>
        <v/>
      </c>
      <c r="L103" s="299">
        <f>IF(AND($F103&lt;=L$2, OR($G103="",$G103&gt;=L$2)),
  $H103 * (1 + Assumptions!$C$7) ^ INT(((YEAR(L$2)-YEAR($F103))*12 + MONTH(L$2)-MONTH($F103)) / 12),
  0)</f>
        <v/>
      </c>
      <c r="M103" s="299">
        <f>IF(AND($F103&lt;=M$2, OR($G103="",$G103&gt;=M$2)),
  $H103 * (1 + Assumptions!$C$7) ^ INT(((YEAR(M$2)-YEAR($F103))*12 + MONTH(M$2)-MONTH($F103)) / 12),
  0)</f>
        <v/>
      </c>
      <c r="N103" s="299">
        <f>IF(AND($F103&lt;=N$2, OR($G103="",$G103&gt;=N$2)),
  $H103 * (1 + Assumptions!$C$7) ^ INT(((YEAR(N$2)-YEAR($F103))*12 + MONTH(N$2)-MONTH($F103)) / 12),
  0)</f>
        <v/>
      </c>
      <c r="O103" s="299">
        <f>IF(AND($F103&lt;=O$2, OR($G103="",$G103&gt;=O$2)),
  $H103 * (1 + Assumptions!$C$7) ^ INT(((YEAR(O$2)-YEAR($F103))*12 + MONTH(O$2)-MONTH($F103)) / 12),
  0)</f>
        <v/>
      </c>
      <c r="P103" s="299">
        <f>IF(AND($F103&lt;=P$2, OR($G103="",$G103&gt;=P$2)),
  $H103 * (1 + Assumptions!$C$7) ^ INT(((YEAR(P$2)-YEAR($F103))*12 + MONTH(P$2)-MONTH($F103)) / 12),
  0)</f>
        <v/>
      </c>
      <c r="Q103" s="299">
        <f>IF(AND($F103&lt;=Q$2, OR($G103="",$G103&gt;=Q$2)),
  $H103 * (1 + Assumptions!$C$7) ^ INT(((YEAR(Q$2)-YEAR($F103))*12 + MONTH(Q$2)-MONTH($F103)) / 12),
  0)</f>
        <v/>
      </c>
      <c r="R103" s="299">
        <f>IF(AND($F103&lt;=R$2, OR($G103="",$G103&gt;=R$2)),
  $H103 * (1 + Assumptions!$C$7) ^ INT(((YEAR(R$2)-YEAR($F103))*12 + MONTH(R$2)-MONTH($F103)) / 12),
  0)</f>
        <v/>
      </c>
      <c r="S103" s="299">
        <f>IF(AND($F103&lt;=S$2, OR($G103="",$G103&gt;=S$2)),
  $H103 * (1 + Assumptions!$C$7) ^ INT(((YEAR(S$2)-YEAR($F103))*12 + MONTH(S$2)-MONTH($F103)) / 12),
  0)</f>
        <v/>
      </c>
      <c r="T103" s="299">
        <f>IF(AND($F103&lt;=T$2, OR($G103="",$G103&gt;=T$2)),
  $H103 * (1 + Assumptions!$C$7) ^ INT(((YEAR(T$2)-YEAR($F103))*12 + MONTH(T$2)-MONTH($F103)) / 12),
  0)</f>
        <v/>
      </c>
      <c r="U103" s="299">
        <f>IF(AND($F103&lt;=U$2, OR($G103="",$G103&gt;=U$2)),
  $H103 * (1 + Assumptions!$C$7) ^ INT(((YEAR(U$2)-YEAR($F103))*12 + MONTH(U$2)-MONTH($F103)) / 12),
  0)</f>
        <v/>
      </c>
      <c r="V103" s="299">
        <f>IF(AND($F103&lt;=V$2, OR($G103="",$G103&gt;=V$2)),
  $H103 * (1 + Assumptions!$C$7) ^ INT(((YEAR(V$2)-YEAR($F103))*12 + MONTH(V$2)-MONTH($F103)) / 12),
  0)</f>
        <v/>
      </c>
      <c r="W103" s="299">
        <f>IF(AND($F103&lt;=W$2, OR($G103="",$G103&gt;=W$2)),
  $H103 * (1 + Assumptions!$C$7) ^ INT(((YEAR(W$2)-YEAR($F103))*12 + MONTH(W$2)-MONTH($F103)) / 12),
  0)</f>
        <v/>
      </c>
      <c r="X103" s="299">
        <f>IF(AND($F103&lt;=X$2, OR($G103="",$G103&gt;=X$2)),
  $H103 * (1 + Assumptions!$C$7) ^ INT(((YEAR(X$2)-YEAR($F103))*12 + MONTH(X$2)-MONTH($F103)) / 12),
  0)</f>
        <v/>
      </c>
      <c r="Y103" s="299">
        <f>IF(AND($F103&lt;=Y$2, OR($G103="",$G103&gt;=Y$2)),
  $H103 * (1 + Assumptions!$C$7) ^ INT(((YEAR(Y$2)-YEAR($F103))*12 + MONTH(Y$2)-MONTH($F103)) / 12),
  0)</f>
        <v/>
      </c>
      <c r="Z103" s="299">
        <f>IF(AND($F103&lt;=Z$2, OR($G103="",$G103&gt;=Z$2)),
  $H103 * (1 + Assumptions!$C$7) ^ INT(((YEAR(Z$2)-YEAR($F103))*12 + MONTH(Z$2)-MONTH($F103)) / 12),
  0)</f>
        <v/>
      </c>
      <c r="AA103" s="299">
        <f>IF(AND($F103&lt;=AA$2, OR($G103="",$G103&gt;=AA$2)),
  $H103 * (1 + Assumptions!$C$7) ^ INT(((YEAR(AA$2)-YEAR($F103))*12 + MONTH(AA$2)-MONTH($F103)) / 12),
  0)</f>
        <v/>
      </c>
      <c r="AB103" s="299">
        <f>IF(AND($F103&lt;=AB$2, OR($G103="",$G103&gt;=AB$2)),
  $H103 * (1 + Assumptions!$C$7) ^ INT(((YEAR(AB$2)-YEAR($F103))*12 + MONTH(AB$2)-MONTH($F103)) / 12),
  0)</f>
        <v/>
      </c>
      <c r="AC103" s="299">
        <f>IF(AND($F103&lt;=AC$2, OR($G103="",$G103&gt;=AC$2)),
  $H103 * (1 + Assumptions!$C$7) ^ INT(((YEAR(AC$2)-YEAR($F103))*12 + MONTH(AC$2)-MONTH($F103)) / 12),
  0)</f>
        <v/>
      </c>
      <c r="AD103" s="299">
        <f>IF(AND($F103&lt;=AD$2, OR($G103="",$G103&gt;=AD$2)),
  $H103 * (1 + Assumptions!$C$7) ^ INT(((YEAR(AD$2)-YEAR($F103))*12 + MONTH(AD$2)-MONTH($F103)) / 12),
  0)</f>
        <v/>
      </c>
      <c r="AE103" s="299">
        <f>IF(AND($F103&lt;=AE$2, OR($G103="",$G103&gt;=AE$2)),
  $H103 * (1 + Assumptions!$C$7) ^ INT(((YEAR(AE$2)-YEAR($F103))*12 + MONTH(AE$2)-MONTH($F103)) / 12),
  0)</f>
        <v/>
      </c>
      <c r="AF103" s="299">
        <f>IF(AND($F103&lt;=AF$2, OR($G103="",$G103&gt;=AF$2)),
  $H103 * (1 + Assumptions!$C$7) ^ INT(((YEAR(AF$2)-YEAR($F103))*12 + MONTH(AF$2)-MONTH($F103)) / 12),
  0)</f>
        <v/>
      </c>
      <c r="AG103" s="299">
        <f>IF(AND($F103&lt;=AG$2, OR($G103="",$G103&gt;=AG$2)),
  $H103 * (1 + Assumptions!$C$7) ^ INT(((YEAR(AG$2)-YEAR($F103))*12 + MONTH(AG$2)-MONTH($F103)) / 12),
  0)</f>
        <v/>
      </c>
      <c r="AH103" s="299">
        <f>IF(AND($F103&lt;=AH$2, OR($G103="",$G103&gt;=AH$2)),
  $H103 * (1 + Assumptions!$C$7) ^ INT(((YEAR(AH$2)-YEAR($F103))*12 + MONTH(AH$2)-MONTH($F103)) / 12),
  0)</f>
        <v/>
      </c>
      <c r="AI103" s="299">
        <f>IF(AND($F103&lt;=AI$2, OR($G103="",$G103&gt;=AI$2)),
  $H103 * (1 + Assumptions!$C$7) ^ INT(((YEAR(AI$2)-YEAR($F103))*12 + MONTH(AI$2)-MONTH($F103)) / 12),
  0)</f>
        <v/>
      </c>
      <c r="AJ103" s="299">
        <f>IF(AND($F103&lt;=AJ$2, OR($G103="",$G103&gt;=AJ$2)),
  $H103 * (1 + Assumptions!$C$7) ^ INT(((YEAR(AJ$2)-YEAR($F103))*12 + MONTH(AJ$2)-MONTH($F103)) / 12),
  0)</f>
        <v/>
      </c>
      <c r="AK103" s="299">
        <f>IF(AND($F103&lt;=AK$2, OR($G103="",$G103&gt;=AK$2)),
  $H103 * (1 + Assumptions!$C$7) ^ INT(((YEAR(AK$2)-YEAR($F103))*12 + MONTH(AK$2)-MONTH($F103)) / 12),
  0)</f>
        <v/>
      </c>
      <c r="AL103" s="299">
        <f>IF(AND($F103&lt;=AL$2, OR($G103="",$G103&gt;=AL$2)),
  $H103 * (1 + Assumptions!$C$7) ^ INT(((YEAR(AL$2)-YEAR($F103))*12 + MONTH(AL$2)-MONTH($F103)) / 12),
  0)</f>
        <v/>
      </c>
      <c r="AM103" s="299">
        <f>IF(AND($F103&lt;=AM$2, OR($G103="",$G103&gt;=AM$2)),
  $H103 * (1 + Assumptions!$C$7) ^ INT(((YEAR(AM$2)-YEAR($F103))*12 + MONTH(AM$2)-MONTH($F103)) / 12),
  0)</f>
        <v/>
      </c>
      <c r="AN103" s="299">
        <f>IF(AND($F103&lt;=AN$2, OR($G103="",$G103&gt;=AN$2)),
  $H103 * (1 + Assumptions!$C$7) ^ INT(((YEAR(AN$2)-YEAR($F103))*12 + MONTH(AN$2)-MONTH($F103)) / 12),
  0)</f>
        <v/>
      </c>
      <c r="AO103" s="299">
        <f>IF(AND($F103&lt;=AO$2, OR($G103="",$G103&gt;=AO$2)),
  $H103 * (1 + Assumptions!$C$7) ^ INT(((YEAR(AO$2)-YEAR($F103))*12 + MONTH(AO$2)-MONTH($F103)) / 12),
  0)</f>
        <v/>
      </c>
      <c r="AP103" s="299">
        <f>IF(AND($F103&lt;=AP$2, OR($G103="",$G103&gt;=AP$2)),
  $H103 * (1 + Assumptions!$C$7) ^ INT(((YEAR(AP$2)-YEAR($F103))*12 + MONTH(AP$2)-MONTH($F103)) / 12),
  0)</f>
        <v/>
      </c>
      <c r="AQ103" s="299">
        <f>IF(AND($F103&lt;=AQ$2, OR($G103="",$G103&gt;=AQ$2)),
  $H103 * (1 + Assumptions!$C$7) ^ INT(((YEAR(AQ$2)-YEAR($F103))*12 + MONTH(AQ$2)-MONTH($F103)) / 12),
  0)</f>
        <v/>
      </c>
      <c r="AR103" s="299">
        <f>IF(AND($F103&lt;=AR$2, OR($G103="",$G103&gt;=AR$2)),
  $H103 * (1 + Assumptions!$C$7) ^ INT(((YEAR(AR$2)-YEAR($F103))*12 + MONTH(AR$2)-MONTH($F103)) / 12),
  0)</f>
        <v/>
      </c>
      <c r="AS103" s="299">
        <f>IF(AND($F103&lt;=AS$2, OR($G103="",$G103&gt;=AS$2)),
  $H103 * (1 + Assumptions!$C$7) ^ INT(((YEAR(AS$2)-YEAR($F103))*12 + MONTH(AS$2)-MONTH($F103)) / 12),
  0)</f>
        <v/>
      </c>
      <c r="AT103" s="299">
        <f>IF(AND($F103&lt;=AT$2, OR($G103="",$G103&gt;=AT$2)),
  $H103 * (1 + Assumptions!$C$7) ^ INT(((YEAR(AT$2)-YEAR($F103))*12 + MONTH(AT$2)-MONTH($F103)) / 12),
  0)</f>
        <v/>
      </c>
      <c r="AU103" s="299">
        <f>IF(AND($F103&lt;=AU$2, OR($G103="",$G103&gt;=AU$2)),
  $H103 * (1 + Assumptions!$C$7) ^ INT(((YEAR(AU$2)-YEAR($F103))*12 + MONTH(AU$2)-MONTH($F103)) / 12),
  0)</f>
        <v/>
      </c>
      <c r="AV103" s="299">
        <f>IF(AND($F103&lt;=AV$2, OR($G103="",$G103&gt;=AV$2)),
  $H103 * (1 + Assumptions!$C$7) ^ INT(((YEAR(AV$2)-YEAR($F103))*12 + MONTH(AV$2)-MONTH($F103)) / 12),
  0)</f>
        <v/>
      </c>
      <c r="AW103" s="299">
        <f>IF(AND($F103&lt;=AW$2, OR($G103="",$G103&gt;=AW$2)),
  $H103 * (1 + Assumptions!$C$7) ^ INT(((YEAR(AW$2)-YEAR($F103))*12 + MONTH(AW$2)-MONTH($F103)) / 12),
  0)</f>
        <v/>
      </c>
      <c r="AX103" s="299">
        <f>IF(AND($F103&lt;=AX$2, OR($G103="",$G103&gt;=AX$2)),
  $H103 * (1 + Assumptions!$C$7) ^ INT(((YEAR(AX$2)-YEAR($F103))*12 + MONTH(AX$2)-MONTH($F103)) / 12),
  0)</f>
        <v/>
      </c>
      <c r="AY103" s="299">
        <f>IF(AND($F103&lt;=AY$2, OR($G103="",$G103&gt;=AY$2)),
  $H103 * (1 + Assumptions!$C$7) ^ INT(((YEAR(AY$2)-YEAR($F103))*12 + MONTH(AY$2)-MONTH($F103)) / 12),
  0)</f>
        <v/>
      </c>
      <c r="AZ103" s="299">
        <f>IF(AND($F103&lt;=AZ$2, OR($G103="",$G103&gt;=AZ$2)),
  $H103 * (1 + Assumptions!$C$7) ^ INT(((YEAR(AZ$2)-YEAR($F103))*12 + MONTH(AZ$2)-MONTH($F103)) / 12),
  0)</f>
        <v/>
      </c>
      <c r="BA103" s="299">
        <f>IF(AND($F103&lt;=BA$2, OR($G103="",$G103&gt;=BA$2)),
  $H103 * (1 + Assumptions!$C$7) ^ INT(((YEAR(BA$2)-YEAR($F103))*12 + MONTH(BA$2)-MONTH($F103)) / 12),
  0)</f>
        <v/>
      </c>
      <c r="BB103" s="299">
        <f>IF(AND($F103&lt;=BB$2, OR($G103="",$G103&gt;=BB$2)),
  $H103 * (1 + Assumptions!$C$7) ^ INT(((YEAR(BB$2)-YEAR($F103))*12 + MONTH(BB$2)-MONTH($F103)) / 12),
  0)</f>
        <v/>
      </c>
      <c r="BC103" s="299">
        <f>IF(AND($F103&lt;=BC$2, OR($G103="",$G103&gt;=BC$2)),
  $H103 * (1 + Assumptions!$C$7) ^ INT(((YEAR(BC$2)-YEAR($F103))*12 + MONTH(BC$2)-MONTH($F103)) / 12),
  0)</f>
        <v/>
      </c>
      <c r="BD103" s="299">
        <f>IF(AND($F103&lt;=BD$2, OR($G103="",$G103&gt;=BD$2)),
  $H103 * (1 + Assumptions!$C$7) ^ INT(((YEAR(BD$2)-YEAR($F103))*12 + MONTH(BD$2)-MONTH($F103)) / 12),
  0)</f>
        <v/>
      </c>
      <c r="BE103" s="299">
        <f>IF(AND($F103&lt;=BE$2, OR($G103="",$G103&gt;=BE$2)),
  $H103 * (1 + Assumptions!$C$7) ^ INT(((YEAR(BE$2)-YEAR($F103))*12 + MONTH(BE$2)-MONTH($F103)) / 12),
  0)</f>
        <v/>
      </c>
      <c r="BF103" s="299">
        <f>IF(AND($F103&lt;=BF$2, OR($G103="",$G103&gt;=BF$2)),
  $H103 * (1 + Assumptions!$C$7) ^ INT(((YEAR(BF$2)-YEAR($F103))*12 + MONTH(BF$2)-MONTH($F103)) / 12),
  0)</f>
        <v/>
      </c>
      <c r="BG103" s="299">
        <f>IF(AND($F103&lt;=BG$2, OR($G103="",$G103&gt;=BG$2)),
  $H103 * (1 + Assumptions!$C$7) ^ INT(((YEAR(BG$2)-YEAR($F103))*12 + MONTH(BG$2)-MONTH($F103)) / 12),
  0)</f>
        <v/>
      </c>
      <c r="BH103" s="299">
        <f>IF(AND($F103&lt;=BH$2, OR($G103="",$G103&gt;=BH$2)),
  $H103 * (1 + Assumptions!$C$7) ^ INT(((YEAR(BH$2)-YEAR($F103))*12 + MONTH(BH$2)-MONTH($F103)) / 12),
  0)</f>
        <v/>
      </c>
      <c r="BI103" s="299">
        <f>IF(AND($F103&lt;=BI$2, OR($G103="",$G103&gt;=BI$2)),
  $H103 * (1 + Assumptions!$C$7) ^ INT(((YEAR(BI$2)-YEAR($F103))*12 + MONTH(BI$2)-MONTH($F103)) / 12),
  0)</f>
        <v/>
      </c>
      <c r="BJ103" s="299">
        <f>IF(AND($F103&lt;=BJ$2, OR($G103="",$G103&gt;=BJ$2)),
  $H103 * (1 + Assumptions!$C$7) ^ INT(((YEAR(BJ$2)-YEAR($F103))*12 + MONTH(BJ$2)-MONTH($F103)) / 12),
  0)</f>
        <v/>
      </c>
      <c r="BK103" s="299">
        <f>IF(AND($F103&lt;=BK$2, OR($G103="",$G103&gt;=BK$2)),
  $H103 * (1 + Assumptions!$C$7) ^ INT(((YEAR(BK$2)-YEAR($F103))*12 + MONTH(BK$2)-MONTH($F103)) / 12),
  0)</f>
        <v/>
      </c>
      <c r="BL103" s="299">
        <f>IF(AND($F103&lt;=BL$2, OR($G103="",$G103&gt;=BL$2)),
  $H103 * (1 + Assumptions!$C$7) ^ INT(((YEAR(BL$2)-YEAR($F103))*12 + MONTH(BL$2)-MONTH($F103)) / 12),
  0)</f>
        <v/>
      </c>
      <c r="BM103" s="299">
        <f>IF(AND($F103&lt;=BM$2, OR($G103="",$G103&gt;=BM$2)),
  $H103 * (1 + Assumptions!$C$7) ^ INT(((YEAR(BM$2)-YEAR($F103))*12 + MONTH(BM$2)-MONTH($F103)) / 12),
  0)</f>
        <v/>
      </c>
      <c r="BN103" s="299">
        <f>IF(AND($F103&lt;=BN$2, OR($G103="",$G103&gt;=BN$2)),
  $H103 * (1 + Assumptions!$C$7) ^ INT(((YEAR(BN$2)-YEAR($F103))*12 + MONTH(BN$2)-MONTH($F103)) / 12),
  0)</f>
        <v/>
      </c>
      <c r="BO103" s="299">
        <f>IF(AND($F103&lt;=BO$2, OR($G103="",$G103&gt;=BO$2)),
  $H103 * (1 + Assumptions!$C$7) ^ INT(((YEAR(BO$2)-YEAR($F103))*12 + MONTH(BO$2)-MONTH($F103)) / 12),
  0)</f>
        <v/>
      </c>
      <c r="BP103" s="299">
        <f>IF(AND($F103&lt;=BP$2, OR($G103="",$G103&gt;=BP$2)),
  $H103 * (1 + Assumptions!$C$7) ^ INT(((YEAR(BP$2)-YEAR($F103))*12 + MONTH(BP$2)-MONTH($F103)) / 12),
  0)</f>
        <v/>
      </c>
      <c r="BQ103" s="31" t="n"/>
      <c r="BR103" s="31" t="n"/>
      <c r="BS103" s="31" t="n"/>
      <c r="BT103" s="31" t="n"/>
    </row>
    <row r="104" ht="15.75" customHeight="1" s="349">
      <c r="A104" s="321" t="n">
        <v>99</v>
      </c>
      <c r="B104" s="285" t="inlineStr">
        <is>
          <t>New hire</t>
        </is>
      </c>
      <c r="C104" s="317" t="inlineStr">
        <is>
          <t>G&amp;A</t>
        </is>
      </c>
      <c r="D104" s="317" t="inlineStr">
        <is>
          <t>Production Operator</t>
        </is>
      </c>
      <c r="E104" s="297" t="inlineStr">
        <is>
          <t>Planned</t>
        </is>
      </c>
      <c r="F104" s="318">
        <f>IF(Assumptions!$D$82=2,DATE(2028,7,1),DATE(2035,1,1))</f>
        <v/>
      </c>
      <c r="G104" s="318" t="n"/>
      <c r="H104" s="288" t="n">
        <v>5000</v>
      </c>
      <c r="I104" s="299">
        <f>IF(AND($F104&lt;=I$2, OR($G104="",$G104&gt;=I$2)),
  $H104 * (1 + Assumptions!$C$7) ^ INT(((YEAR(I$2)-YEAR($F104))*12 + MONTH(I$2)-MONTH($F104)) / 12),
  0)</f>
        <v/>
      </c>
      <c r="J104" s="299">
        <f>IF(AND($F104&lt;=J$2, OR($G104="",$G104&gt;=J$2)),
  $H104 * (1 + Assumptions!$C$7) ^ INT(((YEAR(J$2)-YEAR($F104))*12 + MONTH(J$2)-MONTH($F104)) / 12),
  0)</f>
        <v/>
      </c>
      <c r="K104" s="299">
        <f>IF(AND($F104&lt;=K$2, OR($G104="",$G104&gt;=K$2)),
  $H104 * (1 + Assumptions!$C$7) ^ INT(((YEAR(K$2)-YEAR($F104))*12 + MONTH(K$2)-MONTH($F104)) / 12),
  0)</f>
        <v/>
      </c>
      <c r="L104" s="299">
        <f>IF(AND($F104&lt;=L$2, OR($G104="",$G104&gt;=L$2)),
  $H104 * (1 + Assumptions!$C$7) ^ INT(((YEAR(L$2)-YEAR($F104))*12 + MONTH(L$2)-MONTH($F104)) / 12),
  0)</f>
        <v/>
      </c>
      <c r="M104" s="299">
        <f>IF(AND($F104&lt;=M$2, OR($G104="",$G104&gt;=M$2)),
  $H104 * (1 + Assumptions!$C$7) ^ INT(((YEAR(M$2)-YEAR($F104))*12 + MONTH(M$2)-MONTH($F104)) / 12),
  0)</f>
        <v/>
      </c>
      <c r="N104" s="299">
        <f>IF(AND($F104&lt;=N$2, OR($G104="",$G104&gt;=N$2)),
  $H104 * (1 + Assumptions!$C$7) ^ INT(((YEAR(N$2)-YEAR($F104))*12 + MONTH(N$2)-MONTH($F104)) / 12),
  0)</f>
        <v/>
      </c>
      <c r="O104" s="299">
        <f>IF(AND($F104&lt;=O$2, OR($G104="",$G104&gt;=O$2)),
  $H104 * (1 + Assumptions!$C$7) ^ INT(((YEAR(O$2)-YEAR($F104))*12 + MONTH(O$2)-MONTH($F104)) / 12),
  0)</f>
        <v/>
      </c>
      <c r="P104" s="299">
        <f>IF(AND($F104&lt;=P$2, OR($G104="",$G104&gt;=P$2)),
  $H104 * (1 + Assumptions!$C$7) ^ INT(((YEAR(P$2)-YEAR($F104))*12 + MONTH(P$2)-MONTH($F104)) / 12),
  0)</f>
        <v/>
      </c>
      <c r="Q104" s="299">
        <f>IF(AND($F104&lt;=Q$2, OR($G104="",$G104&gt;=Q$2)),
  $H104 * (1 + Assumptions!$C$7) ^ INT(((YEAR(Q$2)-YEAR($F104))*12 + MONTH(Q$2)-MONTH($F104)) / 12),
  0)</f>
        <v/>
      </c>
      <c r="R104" s="299">
        <f>IF(AND($F104&lt;=R$2, OR($G104="",$G104&gt;=R$2)),
  $H104 * (1 + Assumptions!$C$7) ^ INT(((YEAR(R$2)-YEAR($F104))*12 + MONTH(R$2)-MONTH($F104)) / 12),
  0)</f>
        <v/>
      </c>
      <c r="S104" s="299">
        <f>IF(AND($F104&lt;=S$2, OR($G104="",$G104&gt;=S$2)),
  $H104 * (1 + Assumptions!$C$7) ^ INT(((YEAR(S$2)-YEAR($F104))*12 + MONTH(S$2)-MONTH($F104)) / 12),
  0)</f>
        <v/>
      </c>
      <c r="T104" s="299">
        <f>IF(AND($F104&lt;=T$2, OR($G104="",$G104&gt;=T$2)),
  $H104 * (1 + Assumptions!$C$7) ^ INT(((YEAR(T$2)-YEAR($F104))*12 + MONTH(T$2)-MONTH($F104)) / 12),
  0)</f>
        <v/>
      </c>
      <c r="U104" s="299">
        <f>IF(AND($F104&lt;=U$2, OR($G104="",$G104&gt;=U$2)),
  $H104 * (1 + Assumptions!$C$7) ^ INT(((YEAR(U$2)-YEAR($F104))*12 + MONTH(U$2)-MONTH($F104)) / 12),
  0)</f>
        <v/>
      </c>
      <c r="V104" s="299">
        <f>IF(AND($F104&lt;=V$2, OR($G104="",$G104&gt;=V$2)),
  $H104 * (1 + Assumptions!$C$7) ^ INT(((YEAR(V$2)-YEAR($F104))*12 + MONTH(V$2)-MONTH($F104)) / 12),
  0)</f>
        <v/>
      </c>
      <c r="W104" s="299">
        <f>IF(AND($F104&lt;=W$2, OR($G104="",$G104&gt;=W$2)),
  $H104 * (1 + Assumptions!$C$7) ^ INT(((YEAR(W$2)-YEAR($F104))*12 + MONTH(W$2)-MONTH($F104)) / 12),
  0)</f>
        <v/>
      </c>
      <c r="X104" s="299">
        <f>IF(AND($F104&lt;=X$2, OR($G104="",$G104&gt;=X$2)),
  $H104 * (1 + Assumptions!$C$7) ^ INT(((YEAR(X$2)-YEAR($F104))*12 + MONTH(X$2)-MONTH($F104)) / 12),
  0)</f>
        <v/>
      </c>
      <c r="Y104" s="299">
        <f>IF(AND($F104&lt;=Y$2, OR($G104="",$G104&gt;=Y$2)),
  $H104 * (1 + Assumptions!$C$7) ^ INT(((YEAR(Y$2)-YEAR($F104))*12 + MONTH(Y$2)-MONTH($F104)) / 12),
  0)</f>
        <v/>
      </c>
      <c r="Z104" s="299">
        <f>IF(AND($F104&lt;=Z$2, OR($G104="",$G104&gt;=Z$2)),
  $H104 * (1 + Assumptions!$C$7) ^ INT(((YEAR(Z$2)-YEAR($F104))*12 + MONTH(Z$2)-MONTH($F104)) / 12),
  0)</f>
        <v/>
      </c>
      <c r="AA104" s="299">
        <f>IF(AND($F104&lt;=AA$2, OR($G104="",$G104&gt;=AA$2)),
  $H104 * (1 + Assumptions!$C$7) ^ INT(((YEAR(AA$2)-YEAR($F104))*12 + MONTH(AA$2)-MONTH($F104)) / 12),
  0)</f>
        <v/>
      </c>
      <c r="AB104" s="299">
        <f>IF(AND($F104&lt;=AB$2, OR($G104="",$G104&gt;=AB$2)),
  $H104 * (1 + Assumptions!$C$7) ^ INT(((YEAR(AB$2)-YEAR($F104))*12 + MONTH(AB$2)-MONTH($F104)) / 12),
  0)</f>
        <v/>
      </c>
      <c r="AC104" s="299">
        <f>IF(AND($F104&lt;=AC$2, OR($G104="",$G104&gt;=AC$2)),
  $H104 * (1 + Assumptions!$C$7) ^ INT(((YEAR(AC$2)-YEAR($F104))*12 + MONTH(AC$2)-MONTH($F104)) / 12),
  0)</f>
        <v/>
      </c>
      <c r="AD104" s="299">
        <f>IF(AND($F104&lt;=AD$2, OR($G104="",$G104&gt;=AD$2)),
  $H104 * (1 + Assumptions!$C$7) ^ INT(((YEAR(AD$2)-YEAR($F104))*12 + MONTH(AD$2)-MONTH($F104)) / 12),
  0)</f>
        <v/>
      </c>
      <c r="AE104" s="299">
        <f>IF(AND($F104&lt;=AE$2, OR($G104="",$G104&gt;=AE$2)),
  $H104 * (1 + Assumptions!$C$7) ^ INT(((YEAR(AE$2)-YEAR($F104))*12 + MONTH(AE$2)-MONTH($F104)) / 12),
  0)</f>
        <v/>
      </c>
      <c r="AF104" s="299">
        <f>IF(AND($F104&lt;=AF$2, OR($G104="",$G104&gt;=AF$2)),
  $H104 * (1 + Assumptions!$C$7) ^ INT(((YEAR(AF$2)-YEAR($F104))*12 + MONTH(AF$2)-MONTH($F104)) / 12),
  0)</f>
        <v/>
      </c>
      <c r="AG104" s="299">
        <f>IF(AND($F104&lt;=AG$2, OR($G104="",$G104&gt;=AG$2)),
  $H104 * (1 + Assumptions!$C$7) ^ INT(((YEAR(AG$2)-YEAR($F104))*12 + MONTH(AG$2)-MONTH($F104)) / 12),
  0)</f>
        <v/>
      </c>
      <c r="AH104" s="299">
        <f>IF(AND($F104&lt;=AH$2, OR($G104="",$G104&gt;=AH$2)),
  $H104 * (1 + Assumptions!$C$7) ^ INT(((YEAR(AH$2)-YEAR($F104))*12 + MONTH(AH$2)-MONTH($F104)) / 12),
  0)</f>
        <v/>
      </c>
      <c r="AI104" s="299">
        <f>IF(AND($F104&lt;=AI$2, OR($G104="",$G104&gt;=AI$2)),
  $H104 * (1 + Assumptions!$C$7) ^ INT(((YEAR(AI$2)-YEAR($F104))*12 + MONTH(AI$2)-MONTH($F104)) / 12),
  0)</f>
        <v/>
      </c>
      <c r="AJ104" s="299">
        <f>IF(AND($F104&lt;=AJ$2, OR($G104="",$G104&gt;=AJ$2)),
  $H104 * (1 + Assumptions!$C$7) ^ INT(((YEAR(AJ$2)-YEAR($F104))*12 + MONTH(AJ$2)-MONTH($F104)) / 12),
  0)</f>
        <v/>
      </c>
      <c r="AK104" s="299">
        <f>IF(AND($F104&lt;=AK$2, OR($G104="",$G104&gt;=AK$2)),
  $H104 * (1 + Assumptions!$C$7) ^ INT(((YEAR(AK$2)-YEAR($F104))*12 + MONTH(AK$2)-MONTH($F104)) / 12),
  0)</f>
        <v/>
      </c>
      <c r="AL104" s="299">
        <f>IF(AND($F104&lt;=AL$2, OR($G104="",$G104&gt;=AL$2)),
  $H104 * (1 + Assumptions!$C$7) ^ INT(((YEAR(AL$2)-YEAR($F104))*12 + MONTH(AL$2)-MONTH($F104)) / 12),
  0)</f>
        <v/>
      </c>
      <c r="AM104" s="299">
        <f>IF(AND($F104&lt;=AM$2, OR($G104="",$G104&gt;=AM$2)),
  $H104 * (1 + Assumptions!$C$7) ^ INT(((YEAR(AM$2)-YEAR($F104))*12 + MONTH(AM$2)-MONTH($F104)) / 12),
  0)</f>
        <v/>
      </c>
      <c r="AN104" s="299">
        <f>IF(AND($F104&lt;=AN$2, OR($G104="",$G104&gt;=AN$2)),
  $H104 * (1 + Assumptions!$C$7) ^ INT(((YEAR(AN$2)-YEAR($F104))*12 + MONTH(AN$2)-MONTH($F104)) / 12),
  0)</f>
        <v/>
      </c>
      <c r="AO104" s="299">
        <f>IF(AND($F104&lt;=AO$2, OR($G104="",$G104&gt;=AO$2)),
  $H104 * (1 + Assumptions!$C$7) ^ INT(((YEAR(AO$2)-YEAR($F104))*12 + MONTH(AO$2)-MONTH($F104)) / 12),
  0)</f>
        <v/>
      </c>
      <c r="AP104" s="299">
        <f>IF(AND($F104&lt;=AP$2, OR($G104="",$G104&gt;=AP$2)),
  $H104 * (1 + Assumptions!$C$7) ^ INT(((YEAR(AP$2)-YEAR($F104))*12 + MONTH(AP$2)-MONTH($F104)) / 12),
  0)</f>
        <v/>
      </c>
      <c r="AQ104" s="299">
        <f>IF(AND($F104&lt;=AQ$2, OR($G104="",$G104&gt;=AQ$2)),
  $H104 * (1 + Assumptions!$C$7) ^ INT(((YEAR(AQ$2)-YEAR($F104))*12 + MONTH(AQ$2)-MONTH($F104)) / 12),
  0)</f>
        <v/>
      </c>
      <c r="AR104" s="299">
        <f>IF(AND($F104&lt;=AR$2, OR($G104="",$G104&gt;=AR$2)),
  $H104 * (1 + Assumptions!$C$7) ^ INT(((YEAR(AR$2)-YEAR($F104))*12 + MONTH(AR$2)-MONTH($F104)) / 12),
  0)</f>
        <v/>
      </c>
      <c r="AS104" s="299">
        <f>IF(AND($F104&lt;=AS$2, OR($G104="",$G104&gt;=AS$2)),
  $H104 * (1 + Assumptions!$C$7) ^ INT(((YEAR(AS$2)-YEAR($F104))*12 + MONTH(AS$2)-MONTH($F104)) / 12),
  0)</f>
        <v/>
      </c>
      <c r="AT104" s="299">
        <f>IF(AND($F104&lt;=AT$2, OR($G104="",$G104&gt;=AT$2)),
  $H104 * (1 + Assumptions!$C$7) ^ INT(((YEAR(AT$2)-YEAR($F104))*12 + MONTH(AT$2)-MONTH($F104)) / 12),
  0)</f>
        <v/>
      </c>
      <c r="AU104" s="299">
        <f>IF(AND($F104&lt;=AU$2, OR($G104="",$G104&gt;=AU$2)),
  $H104 * (1 + Assumptions!$C$7) ^ INT(((YEAR(AU$2)-YEAR($F104))*12 + MONTH(AU$2)-MONTH($F104)) / 12),
  0)</f>
        <v/>
      </c>
      <c r="AV104" s="299">
        <f>IF(AND($F104&lt;=AV$2, OR($G104="",$G104&gt;=AV$2)),
  $H104 * (1 + Assumptions!$C$7) ^ INT(((YEAR(AV$2)-YEAR($F104))*12 + MONTH(AV$2)-MONTH($F104)) / 12),
  0)</f>
        <v/>
      </c>
      <c r="AW104" s="299">
        <f>IF(AND($F104&lt;=AW$2, OR($G104="",$G104&gt;=AW$2)),
  $H104 * (1 + Assumptions!$C$7) ^ INT(((YEAR(AW$2)-YEAR($F104))*12 + MONTH(AW$2)-MONTH($F104)) / 12),
  0)</f>
        <v/>
      </c>
      <c r="AX104" s="299">
        <f>IF(AND($F104&lt;=AX$2, OR($G104="",$G104&gt;=AX$2)),
  $H104 * (1 + Assumptions!$C$7) ^ INT(((YEAR(AX$2)-YEAR($F104))*12 + MONTH(AX$2)-MONTH($F104)) / 12),
  0)</f>
        <v/>
      </c>
      <c r="AY104" s="299">
        <f>IF(AND($F104&lt;=AY$2, OR($G104="",$G104&gt;=AY$2)),
  $H104 * (1 + Assumptions!$C$7) ^ INT(((YEAR(AY$2)-YEAR($F104))*12 + MONTH(AY$2)-MONTH($F104)) / 12),
  0)</f>
        <v/>
      </c>
      <c r="AZ104" s="299">
        <f>IF(AND($F104&lt;=AZ$2, OR($G104="",$G104&gt;=AZ$2)),
  $H104 * (1 + Assumptions!$C$7) ^ INT(((YEAR(AZ$2)-YEAR($F104))*12 + MONTH(AZ$2)-MONTH($F104)) / 12),
  0)</f>
        <v/>
      </c>
      <c r="BA104" s="299">
        <f>IF(AND($F104&lt;=BA$2, OR($G104="",$G104&gt;=BA$2)),
  $H104 * (1 + Assumptions!$C$7) ^ INT(((YEAR(BA$2)-YEAR($F104))*12 + MONTH(BA$2)-MONTH($F104)) / 12),
  0)</f>
        <v/>
      </c>
      <c r="BB104" s="299">
        <f>IF(AND($F104&lt;=BB$2, OR($G104="",$G104&gt;=BB$2)),
  $H104 * (1 + Assumptions!$C$7) ^ INT(((YEAR(BB$2)-YEAR($F104))*12 + MONTH(BB$2)-MONTH($F104)) / 12),
  0)</f>
        <v/>
      </c>
      <c r="BC104" s="299">
        <f>IF(AND($F104&lt;=BC$2, OR($G104="",$G104&gt;=BC$2)),
  $H104 * (1 + Assumptions!$C$7) ^ INT(((YEAR(BC$2)-YEAR($F104))*12 + MONTH(BC$2)-MONTH($F104)) / 12),
  0)</f>
        <v/>
      </c>
      <c r="BD104" s="299">
        <f>IF(AND($F104&lt;=BD$2, OR($G104="",$G104&gt;=BD$2)),
  $H104 * (1 + Assumptions!$C$7) ^ INT(((YEAR(BD$2)-YEAR($F104))*12 + MONTH(BD$2)-MONTH($F104)) / 12),
  0)</f>
        <v/>
      </c>
      <c r="BE104" s="299">
        <f>IF(AND($F104&lt;=BE$2, OR($G104="",$G104&gt;=BE$2)),
  $H104 * (1 + Assumptions!$C$7) ^ INT(((YEAR(BE$2)-YEAR($F104))*12 + MONTH(BE$2)-MONTH($F104)) / 12),
  0)</f>
        <v/>
      </c>
      <c r="BF104" s="299">
        <f>IF(AND($F104&lt;=BF$2, OR($G104="",$G104&gt;=BF$2)),
  $H104 * (1 + Assumptions!$C$7) ^ INT(((YEAR(BF$2)-YEAR($F104))*12 + MONTH(BF$2)-MONTH($F104)) / 12),
  0)</f>
        <v/>
      </c>
      <c r="BG104" s="299">
        <f>IF(AND($F104&lt;=BG$2, OR($G104="",$G104&gt;=BG$2)),
  $H104 * (1 + Assumptions!$C$7) ^ INT(((YEAR(BG$2)-YEAR($F104))*12 + MONTH(BG$2)-MONTH($F104)) / 12),
  0)</f>
        <v/>
      </c>
      <c r="BH104" s="299">
        <f>IF(AND($F104&lt;=BH$2, OR($G104="",$G104&gt;=BH$2)),
  $H104 * (1 + Assumptions!$C$7) ^ INT(((YEAR(BH$2)-YEAR($F104))*12 + MONTH(BH$2)-MONTH($F104)) / 12),
  0)</f>
        <v/>
      </c>
      <c r="BI104" s="299">
        <f>IF(AND($F104&lt;=BI$2, OR($G104="",$G104&gt;=BI$2)),
  $H104 * (1 + Assumptions!$C$7) ^ INT(((YEAR(BI$2)-YEAR($F104))*12 + MONTH(BI$2)-MONTH($F104)) / 12),
  0)</f>
        <v/>
      </c>
      <c r="BJ104" s="299">
        <f>IF(AND($F104&lt;=BJ$2, OR($G104="",$G104&gt;=BJ$2)),
  $H104 * (1 + Assumptions!$C$7) ^ INT(((YEAR(BJ$2)-YEAR($F104))*12 + MONTH(BJ$2)-MONTH($F104)) / 12),
  0)</f>
        <v/>
      </c>
      <c r="BK104" s="299">
        <f>IF(AND($F104&lt;=BK$2, OR($G104="",$G104&gt;=BK$2)),
  $H104 * (1 + Assumptions!$C$7) ^ INT(((YEAR(BK$2)-YEAR($F104))*12 + MONTH(BK$2)-MONTH($F104)) / 12),
  0)</f>
        <v/>
      </c>
      <c r="BL104" s="299">
        <f>IF(AND($F104&lt;=BL$2, OR($G104="",$G104&gt;=BL$2)),
  $H104 * (1 + Assumptions!$C$7) ^ INT(((YEAR(BL$2)-YEAR($F104))*12 + MONTH(BL$2)-MONTH($F104)) / 12),
  0)</f>
        <v/>
      </c>
      <c r="BM104" s="299">
        <f>IF(AND($F104&lt;=BM$2, OR($G104="",$G104&gt;=BM$2)),
  $H104 * (1 + Assumptions!$C$7) ^ INT(((YEAR(BM$2)-YEAR($F104))*12 + MONTH(BM$2)-MONTH($F104)) / 12),
  0)</f>
        <v/>
      </c>
      <c r="BN104" s="299">
        <f>IF(AND($F104&lt;=BN$2, OR($G104="",$G104&gt;=BN$2)),
  $H104 * (1 + Assumptions!$C$7) ^ INT(((YEAR(BN$2)-YEAR($F104))*12 + MONTH(BN$2)-MONTH($F104)) / 12),
  0)</f>
        <v/>
      </c>
      <c r="BO104" s="299">
        <f>IF(AND($F104&lt;=BO$2, OR($G104="",$G104&gt;=BO$2)),
  $H104 * (1 + Assumptions!$C$7) ^ INT(((YEAR(BO$2)-YEAR($F104))*12 + MONTH(BO$2)-MONTH($F104)) / 12),
  0)</f>
        <v/>
      </c>
      <c r="BP104" s="299">
        <f>IF(AND($F104&lt;=BP$2, OR($G104="",$G104&gt;=BP$2)),
  $H104 * (1 + Assumptions!$C$7) ^ INT(((YEAR(BP$2)-YEAR($F104))*12 + MONTH(BP$2)-MONTH($F104)) / 12),
  0)</f>
        <v/>
      </c>
      <c r="BQ104" s="31" t="n"/>
      <c r="BR104" s="31" t="n"/>
      <c r="BS104" s="31" t="n"/>
      <c r="BT104" s="31" t="n"/>
    </row>
    <row r="105" ht="15.75" customHeight="1" s="349">
      <c r="A105" s="321" t="n">
        <v>100</v>
      </c>
      <c r="B105" s="285" t="inlineStr">
        <is>
          <t>New hire</t>
        </is>
      </c>
      <c r="C105" s="317" t="inlineStr">
        <is>
          <t>G&amp;A</t>
        </is>
      </c>
      <c r="D105" s="317" t="inlineStr">
        <is>
          <t>Production Operator</t>
        </is>
      </c>
      <c r="E105" s="297" t="inlineStr">
        <is>
          <t>Planned</t>
        </is>
      </c>
      <c r="F105" s="318">
        <f>IF(Assumptions!$D$82=2,DATE(2028,7,1),DATE(2035,1,1))</f>
        <v/>
      </c>
      <c r="G105" s="318" t="n"/>
      <c r="H105" s="288" t="n">
        <v>5000</v>
      </c>
      <c r="I105" s="299">
        <f>IF(AND($F105&lt;=I$2, OR($G105="",$G105&gt;=I$2)),
  $H105 * (1 + Assumptions!$C$7) ^ INT(((YEAR(I$2)-YEAR($F105))*12 + MONTH(I$2)-MONTH($F105)) / 12),
  0)</f>
        <v/>
      </c>
      <c r="J105" s="299">
        <f>IF(AND($F105&lt;=J$2, OR($G105="",$G105&gt;=J$2)),
  $H105 * (1 + Assumptions!$C$7) ^ INT(((YEAR(J$2)-YEAR($F105))*12 + MONTH(J$2)-MONTH($F105)) / 12),
  0)</f>
        <v/>
      </c>
      <c r="K105" s="299">
        <f>IF(AND($F105&lt;=K$2, OR($G105="",$G105&gt;=K$2)),
  $H105 * (1 + Assumptions!$C$7) ^ INT(((YEAR(K$2)-YEAR($F105))*12 + MONTH(K$2)-MONTH($F105)) / 12),
  0)</f>
        <v/>
      </c>
      <c r="L105" s="299">
        <f>IF(AND($F105&lt;=L$2, OR($G105="",$G105&gt;=L$2)),
  $H105 * (1 + Assumptions!$C$7) ^ INT(((YEAR(L$2)-YEAR($F105))*12 + MONTH(L$2)-MONTH($F105)) / 12),
  0)</f>
        <v/>
      </c>
      <c r="M105" s="299">
        <f>IF(AND($F105&lt;=M$2, OR($G105="",$G105&gt;=M$2)),
  $H105 * (1 + Assumptions!$C$7) ^ INT(((YEAR(M$2)-YEAR($F105))*12 + MONTH(M$2)-MONTH($F105)) / 12),
  0)</f>
        <v/>
      </c>
      <c r="N105" s="299">
        <f>IF(AND($F105&lt;=N$2, OR($G105="",$G105&gt;=N$2)),
  $H105 * (1 + Assumptions!$C$7) ^ INT(((YEAR(N$2)-YEAR($F105))*12 + MONTH(N$2)-MONTH($F105)) / 12),
  0)</f>
        <v/>
      </c>
      <c r="O105" s="299">
        <f>IF(AND($F105&lt;=O$2, OR($G105="",$G105&gt;=O$2)),
  $H105 * (1 + Assumptions!$C$7) ^ INT(((YEAR(O$2)-YEAR($F105))*12 + MONTH(O$2)-MONTH($F105)) / 12),
  0)</f>
        <v/>
      </c>
      <c r="P105" s="299">
        <f>IF(AND($F105&lt;=P$2, OR($G105="",$G105&gt;=P$2)),
  $H105 * (1 + Assumptions!$C$7) ^ INT(((YEAR(P$2)-YEAR($F105))*12 + MONTH(P$2)-MONTH($F105)) / 12),
  0)</f>
        <v/>
      </c>
      <c r="Q105" s="299">
        <f>IF(AND($F105&lt;=Q$2, OR($G105="",$G105&gt;=Q$2)),
  $H105 * (1 + Assumptions!$C$7) ^ INT(((YEAR(Q$2)-YEAR($F105))*12 + MONTH(Q$2)-MONTH($F105)) / 12),
  0)</f>
        <v/>
      </c>
      <c r="R105" s="299">
        <f>IF(AND($F105&lt;=R$2, OR($G105="",$G105&gt;=R$2)),
  $H105 * (1 + Assumptions!$C$7) ^ INT(((YEAR(R$2)-YEAR($F105))*12 + MONTH(R$2)-MONTH($F105)) / 12),
  0)</f>
        <v/>
      </c>
      <c r="S105" s="299">
        <f>IF(AND($F105&lt;=S$2, OR($G105="",$G105&gt;=S$2)),
  $H105 * (1 + Assumptions!$C$7) ^ INT(((YEAR(S$2)-YEAR($F105))*12 + MONTH(S$2)-MONTH($F105)) / 12),
  0)</f>
        <v/>
      </c>
      <c r="T105" s="299">
        <f>IF(AND($F105&lt;=T$2, OR($G105="",$G105&gt;=T$2)),
  $H105 * (1 + Assumptions!$C$7) ^ INT(((YEAR(T$2)-YEAR($F105))*12 + MONTH(T$2)-MONTH($F105)) / 12),
  0)</f>
        <v/>
      </c>
      <c r="U105" s="299">
        <f>IF(AND($F105&lt;=U$2, OR($G105="",$G105&gt;=U$2)),
  $H105 * (1 + Assumptions!$C$7) ^ INT(((YEAR(U$2)-YEAR($F105))*12 + MONTH(U$2)-MONTH($F105)) / 12),
  0)</f>
        <v/>
      </c>
      <c r="V105" s="299">
        <f>IF(AND($F105&lt;=V$2, OR($G105="",$G105&gt;=V$2)),
  $H105 * (1 + Assumptions!$C$7) ^ INT(((YEAR(V$2)-YEAR($F105))*12 + MONTH(V$2)-MONTH($F105)) / 12),
  0)</f>
        <v/>
      </c>
      <c r="W105" s="299">
        <f>IF(AND($F105&lt;=W$2, OR($G105="",$G105&gt;=W$2)),
  $H105 * (1 + Assumptions!$C$7) ^ INT(((YEAR(W$2)-YEAR($F105))*12 + MONTH(W$2)-MONTH($F105)) / 12),
  0)</f>
        <v/>
      </c>
      <c r="X105" s="299">
        <f>IF(AND($F105&lt;=X$2, OR($G105="",$G105&gt;=X$2)),
  $H105 * (1 + Assumptions!$C$7) ^ INT(((YEAR(X$2)-YEAR($F105))*12 + MONTH(X$2)-MONTH($F105)) / 12),
  0)</f>
        <v/>
      </c>
      <c r="Y105" s="299">
        <f>IF(AND($F105&lt;=Y$2, OR($G105="",$G105&gt;=Y$2)),
  $H105 * (1 + Assumptions!$C$7) ^ INT(((YEAR(Y$2)-YEAR($F105))*12 + MONTH(Y$2)-MONTH($F105)) / 12),
  0)</f>
        <v/>
      </c>
      <c r="Z105" s="299">
        <f>IF(AND($F105&lt;=Z$2, OR($G105="",$G105&gt;=Z$2)),
  $H105 * (1 + Assumptions!$C$7) ^ INT(((YEAR(Z$2)-YEAR($F105))*12 + MONTH(Z$2)-MONTH($F105)) / 12),
  0)</f>
        <v/>
      </c>
      <c r="AA105" s="299">
        <f>IF(AND($F105&lt;=AA$2, OR($G105="",$G105&gt;=AA$2)),
  $H105 * (1 + Assumptions!$C$7) ^ INT(((YEAR(AA$2)-YEAR($F105))*12 + MONTH(AA$2)-MONTH($F105)) / 12),
  0)</f>
        <v/>
      </c>
      <c r="AB105" s="299">
        <f>IF(AND($F105&lt;=AB$2, OR($G105="",$G105&gt;=AB$2)),
  $H105 * (1 + Assumptions!$C$7) ^ INT(((YEAR(AB$2)-YEAR($F105))*12 + MONTH(AB$2)-MONTH($F105)) / 12),
  0)</f>
        <v/>
      </c>
      <c r="AC105" s="299">
        <f>IF(AND($F105&lt;=AC$2, OR($G105="",$G105&gt;=AC$2)),
  $H105 * (1 + Assumptions!$C$7) ^ INT(((YEAR(AC$2)-YEAR($F105))*12 + MONTH(AC$2)-MONTH($F105)) / 12),
  0)</f>
        <v/>
      </c>
      <c r="AD105" s="299">
        <f>IF(AND($F105&lt;=AD$2, OR($G105="",$G105&gt;=AD$2)),
  $H105 * (1 + Assumptions!$C$7) ^ INT(((YEAR(AD$2)-YEAR($F105))*12 + MONTH(AD$2)-MONTH($F105)) / 12),
  0)</f>
        <v/>
      </c>
      <c r="AE105" s="299">
        <f>IF(AND($F105&lt;=AE$2, OR($G105="",$G105&gt;=AE$2)),
  $H105 * (1 + Assumptions!$C$7) ^ INT(((YEAR(AE$2)-YEAR($F105))*12 + MONTH(AE$2)-MONTH($F105)) / 12),
  0)</f>
        <v/>
      </c>
      <c r="AF105" s="299">
        <f>IF(AND($F105&lt;=AF$2, OR($G105="",$G105&gt;=AF$2)),
  $H105 * (1 + Assumptions!$C$7) ^ INT(((YEAR(AF$2)-YEAR($F105))*12 + MONTH(AF$2)-MONTH($F105)) / 12),
  0)</f>
        <v/>
      </c>
      <c r="AG105" s="299">
        <f>IF(AND($F105&lt;=AG$2, OR($G105="",$G105&gt;=AG$2)),
  $H105 * (1 + Assumptions!$C$7) ^ INT(((YEAR(AG$2)-YEAR($F105))*12 + MONTH(AG$2)-MONTH($F105)) / 12),
  0)</f>
        <v/>
      </c>
      <c r="AH105" s="299">
        <f>IF(AND($F105&lt;=AH$2, OR($G105="",$G105&gt;=AH$2)),
  $H105 * (1 + Assumptions!$C$7) ^ INT(((YEAR(AH$2)-YEAR($F105))*12 + MONTH(AH$2)-MONTH($F105)) / 12),
  0)</f>
        <v/>
      </c>
      <c r="AI105" s="299">
        <f>IF(AND($F105&lt;=AI$2, OR($G105="",$G105&gt;=AI$2)),
  $H105 * (1 + Assumptions!$C$7) ^ INT(((YEAR(AI$2)-YEAR($F105))*12 + MONTH(AI$2)-MONTH($F105)) / 12),
  0)</f>
        <v/>
      </c>
      <c r="AJ105" s="299">
        <f>IF(AND($F105&lt;=AJ$2, OR($G105="",$G105&gt;=AJ$2)),
  $H105 * (1 + Assumptions!$C$7) ^ INT(((YEAR(AJ$2)-YEAR($F105))*12 + MONTH(AJ$2)-MONTH($F105)) / 12),
  0)</f>
        <v/>
      </c>
      <c r="AK105" s="299">
        <f>IF(AND($F105&lt;=AK$2, OR($G105="",$G105&gt;=AK$2)),
  $H105 * (1 + Assumptions!$C$7) ^ INT(((YEAR(AK$2)-YEAR($F105))*12 + MONTH(AK$2)-MONTH($F105)) / 12),
  0)</f>
        <v/>
      </c>
      <c r="AL105" s="299">
        <f>IF(AND($F105&lt;=AL$2, OR($G105="",$G105&gt;=AL$2)),
  $H105 * (1 + Assumptions!$C$7) ^ INT(((YEAR(AL$2)-YEAR($F105))*12 + MONTH(AL$2)-MONTH($F105)) / 12),
  0)</f>
        <v/>
      </c>
      <c r="AM105" s="299">
        <f>IF(AND($F105&lt;=AM$2, OR($G105="",$G105&gt;=AM$2)),
  $H105 * (1 + Assumptions!$C$7) ^ INT(((YEAR(AM$2)-YEAR($F105))*12 + MONTH(AM$2)-MONTH($F105)) / 12),
  0)</f>
        <v/>
      </c>
      <c r="AN105" s="299">
        <f>IF(AND($F105&lt;=AN$2, OR($G105="",$G105&gt;=AN$2)),
  $H105 * (1 + Assumptions!$C$7) ^ INT(((YEAR(AN$2)-YEAR($F105))*12 + MONTH(AN$2)-MONTH($F105)) / 12),
  0)</f>
        <v/>
      </c>
      <c r="AO105" s="299">
        <f>IF(AND($F105&lt;=AO$2, OR($G105="",$G105&gt;=AO$2)),
  $H105 * (1 + Assumptions!$C$7) ^ INT(((YEAR(AO$2)-YEAR($F105))*12 + MONTH(AO$2)-MONTH($F105)) / 12),
  0)</f>
        <v/>
      </c>
      <c r="AP105" s="299">
        <f>IF(AND($F105&lt;=AP$2, OR($G105="",$G105&gt;=AP$2)),
  $H105 * (1 + Assumptions!$C$7) ^ INT(((YEAR(AP$2)-YEAR($F105))*12 + MONTH(AP$2)-MONTH($F105)) / 12),
  0)</f>
        <v/>
      </c>
      <c r="AQ105" s="299">
        <f>IF(AND($F105&lt;=AQ$2, OR($G105="",$G105&gt;=AQ$2)),
  $H105 * (1 + Assumptions!$C$7) ^ INT(((YEAR(AQ$2)-YEAR($F105))*12 + MONTH(AQ$2)-MONTH($F105)) / 12),
  0)</f>
        <v/>
      </c>
      <c r="AR105" s="299">
        <f>IF(AND($F105&lt;=AR$2, OR($G105="",$G105&gt;=AR$2)),
  $H105 * (1 + Assumptions!$C$7) ^ INT(((YEAR(AR$2)-YEAR($F105))*12 + MONTH(AR$2)-MONTH($F105)) / 12),
  0)</f>
        <v/>
      </c>
      <c r="AS105" s="299">
        <f>IF(AND($F105&lt;=AS$2, OR($G105="",$G105&gt;=AS$2)),
  $H105 * (1 + Assumptions!$C$7) ^ INT(((YEAR(AS$2)-YEAR($F105))*12 + MONTH(AS$2)-MONTH($F105)) / 12),
  0)</f>
        <v/>
      </c>
      <c r="AT105" s="299">
        <f>IF(AND($F105&lt;=AT$2, OR($G105="",$G105&gt;=AT$2)),
  $H105 * (1 + Assumptions!$C$7) ^ INT(((YEAR(AT$2)-YEAR($F105))*12 + MONTH(AT$2)-MONTH($F105)) / 12),
  0)</f>
        <v/>
      </c>
      <c r="AU105" s="299">
        <f>IF(AND($F105&lt;=AU$2, OR($G105="",$G105&gt;=AU$2)),
  $H105 * (1 + Assumptions!$C$7) ^ INT(((YEAR(AU$2)-YEAR($F105))*12 + MONTH(AU$2)-MONTH($F105)) / 12),
  0)</f>
        <v/>
      </c>
      <c r="AV105" s="299">
        <f>IF(AND($F105&lt;=AV$2, OR($G105="",$G105&gt;=AV$2)),
  $H105 * (1 + Assumptions!$C$7) ^ INT(((YEAR(AV$2)-YEAR($F105))*12 + MONTH(AV$2)-MONTH($F105)) / 12),
  0)</f>
        <v/>
      </c>
      <c r="AW105" s="299">
        <f>IF(AND($F105&lt;=AW$2, OR($G105="",$G105&gt;=AW$2)),
  $H105 * (1 + Assumptions!$C$7) ^ INT(((YEAR(AW$2)-YEAR($F105))*12 + MONTH(AW$2)-MONTH($F105)) / 12),
  0)</f>
        <v/>
      </c>
      <c r="AX105" s="299">
        <f>IF(AND($F105&lt;=AX$2, OR($G105="",$G105&gt;=AX$2)),
  $H105 * (1 + Assumptions!$C$7) ^ INT(((YEAR(AX$2)-YEAR($F105))*12 + MONTH(AX$2)-MONTH($F105)) / 12),
  0)</f>
        <v/>
      </c>
      <c r="AY105" s="299">
        <f>IF(AND($F105&lt;=AY$2, OR($G105="",$G105&gt;=AY$2)),
  $H105 * (1 + Assumptions!$C$7) ^ INT(((YEAR(AY$2)-YEAR($F105))*12 + MONTH(AY$2)-MONTH($F105)) / 12),
  0)</f>
        <v/>
      </c>
      <c r="AZ105" s="299">
        <f>IF(AND($F105&lt;=AZ$2, OR($G105="",$G105&gt;=AZ$2)),
  $H105 * (1 + Assumptions!$C$7) ^ INT(((YEAR(AZ$2)-YEAR($F105))*12 + MONTH(AZ$2)-MONTH($F105)) / 12),
  0)</f>
        <v/>
      </c>
      <c r="BA105" s="299">
        <f>IF(AND($F105&lt;=BA$2, OR($G105="",$G105&gt;=BA$2)),
  $H105 * (1 + Assumptions!$C$7) ^ INT(((YEAR(BA$2)-YEAR($F105))*12 + MONTH(BA$2)-MONTH($F105)) / 12),
  0)</f>
        <v/>
      </c>
      <c r="BB105" s="299">
        <f>IF(AND($F105&lt;=BB$2, OR($G105="",$G105&gt;=BB$2)),
  $H105 * (1 + Assumptions!$C$7) ^ INT(((YEAR(BB$2)-YEAR($F105))*12 + MONTH(BB$2)-MONTH($F105)) / 12),
  0)</f>
        <v/>
      </c>
      <c r="BC105" s="299">
        <f>IF(AND($F105&lt;=BC$2, OR($G105="",$G105&gt;=BC$2)),
  $H105 * (1 + Assumptions!$C$7) ^ INT(((YEAR(BC$2)-YEAR($F105))*12 + MONTH(BC$2)-MONTH($F105)) / 12),
  0)</f>
        <v/>
      </c>
      <c r="BD105" s="299">
        <f>IF(AND($F105&lt;=BD$2, OR($G105="",$G105&gt;=BD$2)),
  $H105 * (1 + Assumptions!$C$7) ^ INT(((YEAR(BD$2)-YEAR($F105))*12 + MONTH(BD$2)-MONTH($F105)) / 12),
  0)</f>
        <v/>
      </c>
      <c r="BE105" s="299">
        <f>IF(AND($F105&lt;=BE$2, OR($G105="",$G105&gt;=BE$2)),
  $H105 * (1 + Assumptions!$C$7) ^ INT(((YEAR(BE$2)-YEAR($F105))*12 + MONTH(BE$2)-MONTH($F105)) / 12),
  0)</f>
        <v/>
      </c>
      <c r="BF105" s="299">
        <f>IF(AND($F105&lt;=BF$2, OR($G105="",$G105&gt;=BF$2)),
  $H105 * (1 + Assumptions!$C$7) ^ INT(((YEAR(BF$2)-YEAR($F105))*12 + MONTH(BF$2)-MONTH($F105)) / 12),
  0)</f>
        <v/>
      </c>
      <c r="BG105" s="299">
        <f>IF(AND($F105&lt;=BG$2, OR($G105="",$G105&gt;=BG$2)),
  $H105 * (1 + Assumptions!$C$7) ^ INT(((YEAR(BG$2)-YEAR($F105))*12 + MONTH(BG$2)-MONTH($F105)) / 12),
  0)</f>
        <v/>
      </c>
      <c r="BH105" s="299">
        <f>IF(AND($F105&lt;=BH$2, OR($G105="",$G105&gt;=BH$2)),
  $H105 * (1 + Assumptions!$C$7) ^ INT(((YEAR(BH$2)-YEAR($F105))*12 + MONTH(BH$2)-MONTH($F105)) / 12),
  0)</f>
        <v/>
      </c>
      <c r="BI105" s="299">
        <f>IF(AND($F105&lt;=BI$2, OR($G105="",$G105&gt;=BI$2)),
  $H105 * (1 + Assumptions!$C$7) ^ INT(((YEAR(BI$2)-YEAR($F105))*12 + MONTH(BI$2)-MONTH($F105)) / 12),
  0)</f>
        <v/>
      </c>
      <c r="BJ105" s="299">
        <f>IF(AND($F105&lt;=BJ$2, OR($G105="",$G105&gt;=BJ$2)),
  $H105 * (1 + Assumptions!$C$7) ^ INT(((YEAR(BJ$2)-YEAR($F105))*12 + MONTH(BJ$2)-MONTH($F105)) / 12),
  0)</f>
        <v/>
      </c>
      <c r="BK105" s="299">
        <f>IF(AND($F105&lt;=BK$2, OR($G105="",$G105&gt;=BK$2)),
  $H105 * (1 + Assumptions!$C$7) ^ INT(((YEAR(BK$2)-YEAR($F105))*12 + MONTH(BK$2)-MONTH($F105)) / 12),
  0)</f>
        <v/>
      </c>
      <c r="BL105" s="299">
        <f>IF(AND($F105&lt;=BL$2, OR($G105="",$G105&gt;=BL$2)),
  $H105 * (1 + Assumptions!$C$7) ^ INT(((YEAR(BL$2)-YEAR($F105))*12 + MONTH(BL$2)-MONTH($F105)) / 12),
  0)</f>
        <v/>
      </c>
      <c r="BM105" s="299">
        <f>IF(AND($F105&lt;=BM$2, OR($G105="",$G105&gt;=BM$2)),
  $H105 * (1 + Assumptions!$C$7) ^ INT(((YEAR(BM$2)-YEAR($F105))*12 + MONTH(BM$2)-MONTH($F105)) / 12),
  0)</f>
        <v/>
      </c>
      <c r="BN105" s="299">
        <f>IF(AND($F105&lt;=BN$2, OR($G105="",$G105&gt;=BN$2)),
  $H105 * (1 + Assumptions!$C$7) ^ INT(((YEAR(BN$2)-YEAR($F105))*12 + MONTH(BN$2)-MONTH($F105)) / 12),
  0)</f>
        <v/>
      </c>
      <c r="BO105" s="299">
        <f>IF(AND($F105&lt;=BO$2, OR($G105="",$G105&gt;=BO$2)),
  $H105 * (1 + Assumptions!$C$7) ^ INT(((YEAR(BO$2)-YEAR($F105))*12 + MONTH(BO$2)-MONTH($F105)) / 12),
  0)</f>
        <v/>
      </c>
      <c r="BP105" s="299">
        <f>IF(AND($F105&lt;=BP$2, OR($G105="",$G105&gt;=BP$2)),
  $H105 * (1 + Assumptions!$C$7) ^ INT(((YEAR(BP$2)-YEAR($F105))*12 + MONTH(BP$2)-MONTH($F105)) / 12),
  0)</f>
        <v/>
      </c>
      <c r="BQ105" s="31" t="n"/>
      <c r="BR105" s="31" t="n"/>
      <c r="BS105" s="31" t="n"/>
      <c r="BT105" s="31" t="n"/>
    </row>
    <row r="106" ht="15.75" customHeight="1" s="349">
      <c r="A106" s="321" t="n">
        <v>101</v>
      </c>
      <c r="B106" s="285" t="inlineStr">
        <is>
          <t>New hire</t>
        </is>
      </c>
      <c r="C106" s="317" t="inlineStr">
        <is>
          <t>G&amp;A</t>
        </is>
      </c>
      <c r="D106" s="317" t="inlineStr">
        <is>
          <t>Production Operator</t>
        </is>
      </c>
      <c r="E106" s="297" t="inlineStr">
        <is>
          <t>Planned</t>
        </is>
      </c>
      <c r="F106" s="318">
        <f>IF(Assumptions!$D$82=2,DATE(2028,7,1),DATE(2035,1,1))</f>
        <v/>
      </c>
      <c r="G106" s="318" t="n"/>
      <c r="H106" s="288" t="n">
        <v>5000</v>
      </c>
      <c r="I106" s="299">
        <f>IF(AND($F106&lt;=I$2, OR($G106="",$G106&gt;=I$2)),
  $H106 * (1 + Assumptions!$C$7) ^ INT(((YEAR(I$2)-YEAR($F106))*12 + MONTH(I$2)-MONTH($F106)) / 12),
  0)</f>
        <v/>
      </c>
      <c r="J106" s="299">
        <f>IF(AND($F106&lt;=J$2, OR($G106="",$G106&gt;=J$2)),
  $H106 * (1 + Assumptions!$C$7) ^ INT(((YEAR(J$2)-YEAR($F106))*12 + MONTH(J$2)-MONTH($F106)) / 12),
  0)</f>
        <v/>
      </c>
      <c r="K106" s="299">
        <f>IF(AND($F106&lt;=K$2, OR($G106="",$G106&gt;=K$2)),
  $H106 * (1 + Assumptions!$C$7) ^ INT(((YEAR(K$2)-YEAR($F106))*12 + MONTH(K$2)-MONTH($F106)) / 12),
  0)</f>
        <v/>
      </c>
      <c r="L106" s="299">
        <f>IF(AND($F106&lt;=L$2, OR($G106="",$G106&gt;=L$2)),
  $H106 * (1 + Assumptions!$C$7) ^ INT(((YEAR(L$2)-YEAR($F106))*12 + MONTH(L$2)-MONTH($F106)) / 12),
  0)</f>
        <v/>
      </c>
      <c r="M106" s="299">
        <f>IF(AND($F106&lt;=M$2, OR($G106="",$G106&gt;=M$2)),
  $H106 * (1 + Assumptions!$C$7) ^ INT(((YEAR(M$2)-YEAR($F106))*12 + MONTH(M$2)-MONTH($F106)) / 12),
  0)</f>
        <v/>
      </c>
      <c r="N106" s="299">
        <f>IF(AND($F106&lt;=N$2, OR($G106="",$G106&gt;=N$2)),
  $H106 * (1 + Assumptions!$C$7) ^ INT(((YEAR(N$2)-YEAR($F106))*12 + MONTH(N$2)-MONTH($F106)) / 12),
  0)</f>
        <v/>
      </c>
      <c r="O106" s="299">
        <f>IF(AND($F106&lt;=O$2, OR($G106="",$G106&gt;=O$2)),
  $H106 * (1 + Assumptions!$C$7) ^ INT(((YEAR(O$2)-YEAR($F106))*12 + MONTH(O$2)-MONTH($F106)) / 12),
  0)</f>
        <v/>
      </c>
      <c r="P106" s="299">
        <f>IF(AND($F106&lt;=P$2, OR($G106="",$G106&gt;=P$2)),
  $H106 * (1 + Assumptions!$C$7) ^ INT(((YEAR(P$2)-YEAR($F106))*12 + MONTH(P$2)-MONTH($F106)) / 12),
  0)</f>
        <v/>
      </c>
      <c r="Q106" s="299">
        <f>IF(AND($F106&lt;=Q$2, OR($G106="",$G106&gt;=Q$2)),
  $H106 * (1 + Assumptions!$C$7) ^ INT(((YEAR(Q$2)-YEAR($F106))*12 + MONTH(Q$2)-MONTH($F106)) / 12),
  0)</f>
        <v/>
      </c>
      <c r="R106" s="299">
        <f>IF(AND($F106&lt;=R$2, OR($G106="",$G106&gt;=R$2)),
  $H106 * (1 + Assumptions!$C$7) ^ INT(((YEAR(R$2)-YEAR($F106))*12 + MONTH(R$2)-MONTH($F106)) / 12),
  0)</f>
        <v/>
      </c>
      <c r="S106" s="299">
        <f>IF(AND($F106&lt;=S$2, OR($G106="",$G106&gt;=S$2)),
  $H106 * (1 + Assumptions!$C$7) ^ INT(((YEAR(S$2)-YEAR($F106))*12 + MONTH(S$2)-MONTH($F106)) / 12),
  0)</f>
        <v/>
      </c>
      <c r="T106" s="299">
        <f>IF(AND($F106&lt;=T$2, OR($G106="",$G106&gt;=T$2)),
  $H106 * (1 + Assumptions!$C$7) ^ INT(((YEAR(T$2)-YEAR($F106))*12 + MONTH(T$2)-MONTH($F106)) / 12),
  0)</f>
        <v/>
      </c>
      <c r="U106" s="299">
        <f>IF(AND($F106&lt;=U$2, OR($G106="",$G106&gt;=U$2)),
  $H106 * (1 + Assumptions!$C$7) ^ INT(((YEAR(U$2)-YEAR($F106))*12 + MONTH(U$2)-MONTH($F106)) / 12),
  0)</f>
        <v/>
      </c>
      <c r="V106" s="299">
        <f>IF(AND($F106&lt;=V$2, OR($G106="",$G106&gt;=V$2)),
  $H106 * (1 + Assumptions!$C$7) ^ INT(((YEAR(V$2)-YEAR($F106))*12 + MONTH(V$2)-MONTH($F106)) / 12),
  0)</f>
        <v/>
      </c>
      <c r="W106" s="299">
        <f>IF(AND($F106&lt;=W$2, OR($G106="",$G106&gt;=W$2)),
  $H106 * (1 + Assumptions!$C$7) ^ INT(((YEAR(W$2)-YEAR($F106))*12 + MONTH(W$2)-MONTH($F106)) / 12),
  0)</f>
        <v/>
      </c>
      <c r="X106" s="299">
        <f>IF(AND($F106&lt;=X$2, OR($G106="",$G106&gt;=X$2)),
  $H106 * (1 + Assumptions!$C$7) ^ INT(((YEAR(X$2)-YEAR($F106))*12 + MONTH(X$2)-MONTH($F106)) / 12),
  0)</f>
        <v/>
      </c>
      <c r="Y106" s="299">
        <f>IF(AND($F106&lt;=Y$2, OR($G106="",$G106&gt;=Y$2)),
  $H106 * (1 + Assumptions!$C$7) ^ INT(((YEAR(Y$2)-YEAR($F106))*12 + MONTH(Y$2)-MONTH($F106)) / 12),
  0)</f>
        <v/>
      </c>
      <c r="Z106" s="299">
        <f>IF(AND($F106&lt;=Z$2, OR($G106="",$G106&gt;=Z$2)),
  $H106 * (1 + Assumptions!$C$7) ^ INT(((YEAR(Z$2)-YEAR($F106))*12 + MONTH(Z$2)-MONTH($F106)) / 12),
  0)</f>
        <v/>
      </c>
      <c r="AA106" s="299">
        <f>IF(AND($F106&lt;=AA$2, OR($G106="",$G106&gt;=AA$2)),
  $H106 * (1 + Assumptions!$C$7) ^ INT(((YEAR(AA$2)-YEAR($F106))*12 + MONTH(AA$2)-MONTH($F106)) / 12),
  0)</f>
        <v/>
      </c>
      <c r="AB106" s="299">
        <f>IF(AND($F106&lt;=AB$2, OR($G106="",$G106&gt;=AB$2)),
  $H106 * (1 + Assumptions!$C$7) ^ INT(((YEAR(AB$2)-YEAR($F106))*12 + MONTH(AB$2)-MONTH($F106)) / 12),
  0)</f>
        <v/>
      </c>
      <c r="AC106" s="299">
        <f>IF(AND($F106&lt;=AC$2, OR($G106="",$G106&gt;=AC$2)),
  $H106 * (1 + Assumptions!$C$7) ^ INT(((YEAR(AC$2)-YEAR($F106))*12 + MONTH(AC$2)-MONTH($F106)) / 12),
  0)</f>
        <v/>
      </c>
      <c r="AD106" s="299">
        <f>IF(AND($F106&lt;=AD$2, OR($G106="",$G106&gt;=AD$2)),
  $H106 * (1 + Assumptions!$C$7) ^ INT(((YEAR(AD$2)-YEAR($F106))*12 + MONTH(AD$2)-MONTH($F106)) / 12),
  0)</f>
        <v/>
      </c>
      <c r="AE106" s="299">
        <f>IF(AND($F106&lt;=AE$2, OR($G106="",$G106&gt;=AE$2)),
  $H106 * (1 + Assumptions!$C$7) ^ INT(((YEAR(AE$2)-YEAR($F106))*12 + MONTH(AE$2)-MONTH($F106)) / 12),
  0)</f>
        <v/>
      </c>
      <c r="AF106" s="299">
        <f>IF(AND($F106&lt;=AF$2, OR($G106="",$G106&gt;=AF$2)),
  $H106 * (1 + Assumptions!$C$7) ^ INT(((YEAR(AF$2)-YEAR($F106))*12 + MONTH(AF$2)-MONTH($F106)) / 12),
  0)</f>
        <v/>
      </c>
      <c r="AG106" s="299">
        <f>IF(AND($F106&lt;=AG$2, OR($G106="",$G106&gt;=AG$2)),
  $H106 * (1 + Assumptions!$C$7) ^ INT(((YEAR(AG$2)-YEAR($F106))*12 + MONTH(AG$2)-MONTH($F106)) / 12),
  0)</f>
        <v/>
      </c>
      <c r="AH106" s="299">
        <f>IF(AND($F106&lt;=AH$2, OR($G106="",$G106&gt;=AH$2)),
  $H106 * (1 + Assumptions!$C$7) ^ INT(((YEAR(AH$2)-YEAR($F106))*12 + MONTH(AH$2)-MONTH($F106)) / 12),
  0)</f>
        <v/>
      </c>
      <c r="AI106" s="299">
        <f>IF(AND($F106&lt;=AI$2, OR($G106="",$G106&gt;=AI$2)),
  $H106 * (1 + Assumptions!$C$7) ^ INT(((YEAR(AI$2)-YEAR($F106))*12 + MONTH(AI$2)-MONTH($F106)) / 12),
  0)</f>
        <v/>
      </c>
      <c r="AJ106" s="299">
        <f>IF(AND($F106&lt;=AJ$2, OR($G106="",$G106&gt;=AJ$2)),
  $H106 * (1 + Assumptions!$C$7) ^ INT(((YEAR(AJ$2)-YEAR($F106))*12 + MONTH(AJ$2)-MONTH($F106)) / 12),
  0)</f>
        <v/>
      </c>
      <c r="AK106" s="299">
        <f>IF(AND($F106&lt;=AK$2, OR($G106="",$G106&gt;=AK$2)),
  $H106 * (1 + Assumptions!$C$7) ^ INT(((YEAR(AK$2)-YEAR($F106))*12 + MONTH(AK$2)-MONTH($F106)) / 12),
  0)</f>
        <v/>
      </c>
      <c r="AL106" s="299">
        <f>IF(AND($F106&lt;=AL$2, OR($G106="",$G106&gt;=AL$2)),
  $H106 * (1 + Assumptions!$C$7) ^ INT(((YEAR(AL$2)-YEAR($F106))*12 + MONTH(AL$2)-MONTH($F106)) / 12),
  0)</f>
        <v/>
      </c>
      <c r="AM106" s="299">
        <f>IF(AND($F106&lt;=AM$2, OR($G106="",$G106&gt;=AM$2)),
  $H106 * (1 + Assumptions!$C$7) ^ INT(((YEAR(AM$2)-YEAR($F106))*12 + MONTH(AM$2)-MONTH($F106)) / 12),
  0)</f>
        <v/>
      </c>
      <c r="AN106" s="299">
        <f>IF(AND($F106&lt;=AN$2, OR($G106="",$G106&gt;=AN$2)),
  $H106 * (1 + Assumptions!$C$7) ^ INT(((YEAR(AN$2)-YEAR($F106))*12 + MONTH(AN$2)-MONTH($F106)) / 12),
  0)</f>
        <v/>
      </c>
      <c r="AO106" s="299">
        <f>IF(AND($F106&lt;=AO$2, OR($G106="",$G106&gt;=AO$2)),
  $H106 * (1 + Assumptions!$C$7) ^ INT(((YEAR(AO$2)-YEAR($F106))*12 + MONTH(AO$2)-MONTH($F106)) / 12),
  0)</f>
        <v/>
      </c>
      <c r="AP106" s="299">
        <f>IF(AND($F106&lt;=AP$2, OR($G106="",$G106&gt;=AP$2)),
  $H106 * (1 + Assumptions!$C$7) ^ INT(((YEAR(AP$2)-YEAR($F106))*12 + MONTH(AP$2)-MONTH($F106)) / 12),
  0)</f>
        <v/>
      </c>
      <c r="AQ106" s="299">
        <f>IF(AND($F106&lt;=AQ$2, OR($G106="",$G106&gt;=AQ$2)),
  $H106 * (1 + Assumptions!$C$7) ^ INT(((YEAR(AQ$2)-YEAR($F106))*12 + MONTH(AQ$2)-MONTH($F106)) / 12),
  0)</f>
        <v/>
      </c>
      <c r="AR106" s="299">
        <f>IF(AND($F106&lt;=AR$2, OR($G106="",$G106&gt;=AR$2)),
  $H106 * (1 + Assumptions!$C$7) ^ INT(((YEAR(AR$2)-YEAR($F106))*12 + MONTH(AR$2)-MONTH($F106)) / 12),
  0)</f>
        <v/>
      </c>
      <c r="AS106" s="299">
        <f>IF(AND($F106&lt;=AS$2, OR($G106="",$G106&gt;=AS$2)),
  $H106 * (1 + Assumptions!$C$7) ^ INT(((YEAR(AS$2)-YEAR($F106))*12 + MONTH(AS$2)-MONTH($F106)) / 12),
  0)</f>
        <v/>
      </c>
      <c r="AT106" s="299">
        <f>IF(AND($F106&lt;=AT$2, OR($G106="",$G106&gt;=AT$2)),
  $H106 * (1 + Assumptions!$C$7) ^ INT(((YEAR(AT$2)-YEAR($F106))*12 + MONTH(AT$2)-MONTH($F106)) / 12),
  0)</f>
        <v/>
      </c>
      <c r="AU106" s="299">
        <f>IF(AND($F106&lt;=AU$2, OR($G106="",$G106&gt;=AU$2)),
  $H106 * (1 + Assumptions!$C$7) ^ INT(((YEAR(AU$2)-YEAR($F106))*12 + MONTH(AU$2)-MONTH($F106)) / 12),
  0)</f>
        <v/>
      </c>
      <c r="AV106" s="299">
        <f>IF(AND($F106&lt;=AV$2, OR($G106="",$G106&gt;=AV$2)),
  $H106 * (1 + Assumptions!$C$7) ^ INT(((YEAR(AV$2)-YEAR($F106))*12 + MONTH(AV$2)-MONTH($F106)) / 12),
  0)</f>
        <v/>
      </c>
      <c r="AW106" s="299">
        <f>IF(AND($F106&lt;=AW$2, OR($G106="",$G106&gt;=AW$2)),
  $H106 * (1 + Assumptions!$C$7) ^ INT(((YEAR(AW$2)-YEAR($F106))*12 + MONTH(AW$2)-MONTH($F106)) / 12),
  0)</f>
        <v/>
      </c>
      <c r="AX106" s="299">
        <f>IF(AND($F106&lt;=AX$2, OR($G106="",$G106&gt;=AX$2)),
  $H106 * (1 + Assumptions!$C$7) ^ INT(((YEAR(AX$2)-YEAR($F106))*12 + MONTH(AX$2)-MONTH($F106)) / 12),
  0)</f>
        <v/>
      </c>
      <c r="AY106" s="299">
        <f>IF(AND($F106&lt;=AY$2, OR($G106="",$G106&gt;=AY$2)),
  $H106 * (1 + Assumptions!$C$7) ^ INT(((YEAR(AY$2)-YEAR($F106))*12 + MONTH(AY$2)-MONTH($F106)) / 12),
  0)</f>
        <v/>
      </c>
      <c r="AZ106" s="299">
        <f>IF(AND($F106&lt;=AZ$2, OR($G106="",$G106&gt;=AZ$2)),
  $H106 * (1 + Assumptions!$C$7) ^ INT(((YEAR(AZ$2)-YEAR($F106))*12 + MONTH(AZ$2)-MONTH($F106)) / 12),
  0)</f>
        <v/>
      </c>
      <c r="BA106" s="299">
        <f>IF(AND($F106&lt;=BA$2, OR($G106="",$G106&gt;=BA$2)),
  $H106 * (1 + Assumptions!$C$7) ^ INT(((YEAR(BA$2)-YEAR($F106))*12 + MONTH(BA$2)-MONTH($F106)) / 12),
  0)</f>
        <v/>
      </c>
      <c r="BB106" s="299">
        <f>IF(AND($F106&lt;=BB$2, OR($G106="",$G106&gt;=BB$2)),
  $H106 * (1 + Assumptions!$C$7) ^ INT(((YEAR(BB$2)-YEAR($F106))*12 + MONTH(BB$2)-MONTH($F106)) / 12),
  0)</f>
        <v/>
      </c>
      <c r="BC106" s="299">
        <f>IF(AND($F106&lt;=BC$2, OR($G106="",$G106&gt;=BC$2)),
  $H106 * (1 + Assumptions!$C$7) ^ INT(((YEAR(BC$2)-YEAR($F106))*12 + MONTH(BC$2)-MONTH($F106)) / 12),
  0)</f>
        <v/>
      </c>
      <c r="BD106" s="299">
        <f>IF(AND($F106&lt;=BD$2, OR($G106="",$G106&gt;=BD$2)),
  $H106 * (1 + Assumptions!$C$7) ^ INT(((YEAR(BD$2)-YEAR($F106))*12 + MONTH(BD$2)-MONTH($F106)) / 12),
  0)</f>
        <v/>
      </c>
      <c r="BE106" s="299">
        <f>IF(AND($F106&lt;=BE$2, OR($G106="",$G106&gt;=BE$2)),
  $H106 * (1 + Assumptions!$C$7) ^ INT(((YEAR(BE$2)-YEAR($F106))*12 + MONTH(BE$2)-MONTH($F106)) / 12),
  0)</f>
        <v/>
      </c>
      <c r="BF106" s="299">
        <f>IF(AND($F106&lt;=BF$2, OR($G106="",$G106&gt;=BF$2)),
  $H106 * (1 + Assumptions!$C$7) ^ INT(((YEAR(BF$2)-YEAR($F106))*12 + MONTH(BF$2)-MONTH($F106)) / 12),
  0)</f>
        <v/>
      </c>
      <c r="BG106" s="299">
        <f>IF(AND($F106&lt;=BG$2, OR($G106="",$G106&gt;=BG$2)),
  $H106 * (1 + Assumptions!$C$7) ^ INT(((YEAR(BG$2)-YEAR($F106))*12 + MONTH(BG$2)-MONTH($F106)) / 12),
  0)</f>
        <v/>
      </c>
      <c r="BH106" s="299">
        <f>IF(AND($F106&lt;=BH$2, OR($G106="",$G106&gt;=BH$2)),
  $H106 * (1 + Assumptions!$C$7) ^ INT(((YEAR(BH$2)-YEAR($F106))*12 + MONTH(BH$2)-MONTH($F106)) / 12),
  0)</f>
        <v/>
      </c>
      <c r="BI106" s="299">
        <f>IF(AND($F106&lt;=BI$2, OR($G106="",$G106&gt;=BI$2)),
  $H106 * (1 + Assumptions!$C$7) ^ INT(((YEAR(BI$2)-YEAR($F106))*12 + MONTH(BI$2)-MONTH($F106)) / 12),
  0)</f>
        <v/>
      </c>
      <c r="BJ106" s="299">
        <f>IF(AND($F106&lt;=BJ$2, OR($G106="",$G106&gt;=BJ$2)),
  $H106 * (1 + Assumptions!$C$7) ^ INT(((YEAR(BJ$2)-YEAR($F106))*12 + MONTH(BJ$2)-MONTH($F106)) / 12),
  0)</f>
        <v/>
      </c>
      <c r="BK106" s="299">
        <f>IF(AND($F106&lt;=BK$2, OR($G106="",$G106&gt;=BK$2)),
  $H106 * (1 + Assumptions!$C$7) ^ INT(((YEAR(BK$2)-YEAR($F106))*12 + MONTH(BK$2)-MONTH($F106)) / 12),
  0)</f>
        <v/>
      </c>
      <c r="BL106" s="299">
        <f>IF(AND($F106&lt;=BL$2, OR($G106="",$G106&gt;=BL$2)),
  $H106 * (1 + Assumptions!$C$7) ^ INT(((YEAR(BL$2)-YEAR($F106))*12 + MONTH(BL$2)-MONTH($F106)) / 12),
  0)</f>
        <v/>
      </c>
      <c r="BM106" s="299">
        <f>IF(AND($F106&lt;=BM$2, OR($G106="",$G106&gt;=BM$2)),
  $H106 * (1 + Assumptions!$C$7) ^ INT(((YEAR(BM$2)-YEAR($F106))*12 + MONTH(BM$2)-MONTH($F106)) / 12),
  0)</f>
        <v/>
      </c>
      <c r="BN106" s="299">
        <f>IF(AND($F106&lt;=BN$2, OR($G106="",$G106&gt;=BN$2)),
  $H106 * (1 + Assumptions!$C$7) ^ INT(((YEAR(BN$2)-YEAR($F106))*12 + MONTH(BN$2)-MONTH($F106)) / 12),
  0)</f>
        <v/>
      </c>
      <c r="BO106" s="299">
        <f>IF(AND($F106&lt;=BO$2, OR($G106="",$G106&gt;=BO$2)),
  $H106 * (1 + Assumptions!$C$7) ^ INT(((YEAR(BO$2)-YEAR($F106))*12 + MONTH(BO$2)-MONTH($F106)) / 12),
  0)</f>
        <v/>
      </c>
      <c r="BP106" s="299">
        <f>IF(AND($F106&lt;=BP$2, OR($G106="",$G106&gt;=BP$2)),
  $H106 * (1 + Assumptions!$C$7) ^ INT(((YEAR(BP$2)-YEAR($F106))*12 + MONTH(BP$2)-MONTH($F106)) / 12),
  0)</f>
        <v/>
      </c>
      <c r="BQ106" s="31" t="n"/>
      <c r="BR106" s="31" t="n"/>
      <c r="BS106" s="31" t="n"/>
      <c r="BT106" s="31" t="n"/>
    </row>
    <row r="107" ht="15.75" customHeight="1" s="349">
      <c r="A107" s="321" t="n">
        <v>102</v>
      </c>
      <c r="B107" s="285" t="inlineStr">
        <is>
          <t>New hire</t>
        </is>
      </c>
      <c r="C107" s="317" t="inlineStr">
        <is>
          <t>G&amp;A</t>
        </is>
      </c>
      <c r="D107" s="317" t="inlineStr">
        <is>
          <t>Production Operator</t>
        </is>
      </c>
      <c r="E107" s="297" t="inlineStr">
        <is>
          <t>Planned</t>
        </is>
      </c>
      <c r="F107" s="318">
        <f>IF(Assumptions!$D$82=2,DATE(2028,7,1),DATE(2035,1,1))</f>
        <v/>
      </c>
      <c r="G107" s="318" t="n"/>
      <c r="H107" s="288" t="n">
        <v>5000</v>
      </c>
      <c r="I107" s="299">
        <f>IF(AND($F107&lt;=I$2, OR($G107="",$G107&gt;=I$2)),
  $H107 * (1 + Assumptions!$C$7) ^ INT(((YEAR(I$2)-YEAR($F107))*12 + MONTH(I$2)-MONTH($F107)) / 12),
  0)</f>
        <v/>
      </c>
      <c r="J107" s="299">
        <f>IF(AND($F107&lt;=J$2, OR($G107="",$G107&gt;=J$2)),
  $H107 * (1 + Assumptions!$C$7) ^ INT(((YEAR(J$2)-YEAR($F107))*12 + MONTH(J$2)-MONTH($F107)) / 12),
  0)</f>
        <v/>
      </c>
      <c r="K107" s="299">
        <f>IF(AND($F107&lt;=K$2, OR($G107="",$G107&gt;=K$2)),
  $H107 * (1 + Assumptions!$C$7) ^ INT(((YEAR(K$2)-YEAR($F107))*12 + MONTH(K$2)-MONTH($F107)) / 12),
  0)</f>
        <v/>
      </c>
      <c r="L107" s="299">
        <f>IF(AND($F107&lt;=L$2, OR($G107="",$G107&gt;=L$2)),
  $H107 * (1 + Assumptions!$C$7) ^ INT(((YEAR(L$2)-YEAR($F107))*12 + MONTH(L$2)-MONTH($F107)) / 12),
  0)</f>
        <v/>
      </c>
      <c r="M107" s="299">
        <f>IF(AND($F107&lt;=M$2, OR($G107="",$G107&gt;=M$2)),
  $H107 * (1 + Assumptions!$C$7) ^ INT(((YEAR(M$2)-YEAR($F107))*12 + MONTH(M$2)-MONTH($F107)) / 12),
  0)</f>
        <v/>
      </c>
      <c r="N107" s="299">
        <f>IF(AND($F107&lt;=N$2, OR($G107="",$G107&gt;=N$2)),
  $H107 * (1 + Assumptions!$C$7) ^ INT(((YEAR(N$2)-YEAR($F107))*12 + MONTH(N$2)-MONTH($F107)) / 12),
  0)</f>
        <v/>
      </c>
      <c r="O107" s="299">
        <f>IF(AND($F107&lt;=O$2, OR($G107="",$G107&gt;=O$2)),
  $H107 * (1 + Assumptions!$C$7) ^ INT(((YEAR(O$2)-YEAR($F107))*12 + MONTH(O$2)-MONTH($F107)) / 12),
  0)</f>
        <v/>
      </c>
      <c r="P107" s="299">
        <f>IF(AND($F107&lt;=P$2, OR($G107="",$G107&gt;=P$2)),
  $H107 * (1 + Assumptions!$C$7) ^ INT(((YEAR(P$2)-YEAR($F107))*12 + MONTH(P$2)-MONTH($F107)) / 12),
  0)</f>
        <v/>
      </c>
      <c r="Q107" s="299">
        <f>IF(AND($F107&lt;=Q$2, OR($G107="",$G107&gt;=Q$2)),
  $H107 * (1 + Assumptions!$C$7) ^ INT(((YEAR(Q$2)-YEAR($F107))*12 + MONTH(Q$2)-MONTH($F107)) / 12),
  0)</f>
        <v/>
      </c>
      <c r="R107" s="299">
        <f>IF(AND($F107&lt;=R$2, OR($G107="",$G107&gt;=R$2)),
  $H107 * (1 + Assumptions!$C$7) ^ INT(((YEAR(R$2)-YEAR($F107))*12 + MONTH(R$2)-MONTH($F107)) / 12),
  0)</f>
        <v/>
      </c>
      <c r="S107" s="299">
        <f>IF(AND($F107&lt;=S$2, OR($G107="",$G107&gt;=S$2)),
  $H107 * (1 + Assumptions!$C$7) ^ INT(((YEAR(S$2)-YEAR($F107))*12 + MONTH(S$2)-MONTH($F107)) / 12),
  0)</f>
        <v/>
      </c>
      <c r="T107" s="299">
        <f>IF(AND($F107&lt;=T$2, OR($G107="",$G107&gt;=T$2)),
  $H107 * (1 + Assumptions!$C$7) ^ INT(((YEAR(T$2)-YEAR($F107))*12 + MONTH(T$2)-MONTH($F107)) / 12),
  0)</f>
        <v/>
      </c>
      <c r="U107" s="299">
        <f>IF(AND($F107&lt;=U$2, OR($G107="",$G107&gt;=U$2)),
  $H107 * (1 + Assumptions!$C$7) ^ INT(((YEAR(U$2)-YEAR($F107))*12 + MONTH(U$2)-MONTH($F107)) / 12),
  0)</f>
        <v/>
      </c>
      <c r="V107" s="299">
        <f>IF(AND($F107&lt;=V$2, OR($G107="",$G107&gt;=V$2)),
  $H107 * (1 + Assumptions!$C$7) ^ INT(((YEAR(V$2)-YEAR($F107))*12 + MONTH(V$2)-MONTH($F107)) / 12),
  0)</f>
        <v/>
      </c>
      <c r="W107" s="299">
        <f>IF(AND($F107&lt;=W$2, OR($G107="",$G107&gt;=W$2)),
  $H107 * (1 + Assumptions!$C$7) ^ INT(((YEAR(W$2)-YEAR($F107))*12 + MONTH(W$2)-MONTH($F107)) / 12),
  0)</f>
        <v/>
      </c>
      <c r="X107" s="299">
        <f>IF(AND($F107&lt;=X$2, OR($G107="",$G107&gt;=X$2)),
  $H107 * (1 + Assumptions!$C$7) ^ INT(((YEAR(X$2)-YEAR($F107))*12 + MONTH(X$2)-MONTH($F107)) / 12),
  0)</f>
        <v/>
      </c>
      <c r="Y107" s="299">
        <f>IF(AND($F107&lt;=Y$2, OR($G107="",$G107&gt;=Y$2)),
  $H107 * (1 + Assumptions!$C$7) ^ INT(((YEAR(Y$2)-YEAR($F107))*12 + MONTH(Y$2)-MONTH($F107)) / 12),
  0)</f>
        <v/>
      </c>
      <c r="Z107" s="299">
        <f>IF(AND($F107&lt;=Z$2, OR($G107="",$G107&gt;=Z$2)),
  $H107 * (1 + Assumptions!$C$7) ^ INT(((YEAR(Z$2)-YEAR($F107))*12 + MONTH(Z$2)-MONTH($F107)) / 12),
  0)</f>
        <v/>
      </c>
      <c r="AA107" s="299">
        <f>IF(AND($F107&lt;=AA$2, OR($G107="",$G107&gt;=AA$2)),
  $H107 * (1 + Assumptions!$C$7) ^ INT(((YEAR(AA$2)-YEAR($F107))*12 + MONTH(AA$2)-MONTH($F107)) / 12),
  0)</f>
        <v/>
      </c>
      <c r="AB107" s="299">
        <f>IF(AND($F107&lt;=AB$2, OR($G107="",$G107&gt;=AB$2)),
  $H107 * (1 + Assumptions!$C$7) ^ INT(((YEAR(AB$2)-YEAR($F107))*12 + MONTH(AB$2)-MONTH($F107)) / 12),
  0)</f>
        <v/>
      </c>
      <c r="AC107" s="299">
        <f>IF(AND($F107&lt;=AC$2, OR($G107="",$G107&gt;=AC$2)),
  $H107 * (1 + Assumptions!$C$7) ^ INT(((YEAR(AC$2)-YEAR($F107))*12 + MONTH(AC$2)-MONTH($F107)) / 12),
  0)</f>
        <v/>
      </c>
      <c r="AD107" s="299">
        <f>IF(AND($F107&lt;=AD$2, OR($G107="",$G107&gt;=AD$2)),
  $H107 * (1 + Assumptions!$C$7) ^ INT(((YEAR(AD$2)-YEAR($F107))*12 + MONTH(AD$2)-MONTH($F107)) / 12),
  0)</f>
        <v/>
      </c>
      <c r="AE107" s="299">
        <f>IF(AND($F107&lt;=AE$2, OR($G107="",$G107&gt;=AE$2)),
  $H107 * (1 + Assumptions!$C$7) ^ INT(((YEAR(AE$2)-YEAR($F107))*12 + MONTH(AE$2)-MONTH($F107)) / 12),
  0)</f>
        <v/>
      </c>
      <c r="AF107" s="299">
        <f>IF(AND($F107&lt;=AF$2, OR($G107="",$G107&gt;=AF$2)),
  $H107 * (1 + Assumptions!$C$7) ^ INT(((YEAR(AF$2)-YEAR($F107))*12 + MONTH(AF$2)-MONTH($F107)) / 12),
  0)</f>
        <v/>
      </c>
      <c r="AG107" s="299">
        <f>IF(AND($F107&lt;=AG$2, OR($G107="",$G107&gt;=AG$2)),
  $H107 * (1 + Assumptions!$C$7) ^ INT(((YEAR(AG$2)-YEAR($F107))*12 + MONTH(AG$2)-MONTH($F107)) / 12),
  0)</f>
        <v/>
      </c>
      <c r="AH107" s="299">
        <f>IF(AND($F107&lt;=AH$2, OR($G107="",$G107&gt;=AH$2)),
  $H107 * (1 + Assumptions!$C$7) ^ INT(((YEAR(AH$2)-YEAR($F107))*12 + MONTH(AH$2)-MONTH($F107)) / 12),
  0)</f>
        <v/>
      </c>
      <c r="AI107" s="299">
        <f>IF(AND($F107&lt;=AI$2, OR($G107="",$G107&gt;=AI$2)),
  $H107 * (1 + Assumptions!$C$7) ^ INT(((YEAR(AI$2)-YEAR($F107))*12 + MONTH(AI$2)-MONTH($F107)) / 12),
  0)</f>
        <v/>
      </c>
      <c r="AJ107" s="299">
        <f>IF(AND($F107&lt;=AJ$2, OR($G107="",$G107&gt;=AJ$2)),
  $H107 * (1 + Assumptions!$C$7) ^ INT(((YEAR(AJ$2)-YEAR($F107))*12 + MONTH(AJ$2)-MONTH($F107)) / 12),
  0)</f>
        <v/>
      </c>
      <c r="AK107" s="299">
        <f>IF(AND($F107&lt;=AK$2, OR($G107="",$G107&gt;=AK$2)),
  $H107 * (1 + Assumptions!$C$7) ^ INT(((YEAR(AK$2)-YEAR($F107))*12 + MONTH(AK$2)-MONTH($F107)) / 12),
  0)</f>
        <v/>
      </c>
      <c r="AL107" s="299">
        <f>IF(AND($F107&lt;=AL$2, OR($G107="",$G107&gt;=AL$2)),
  $H107 * (1 + Assumptions!$C$7) ^ INT(((YEAR(AL$2)-YEAR($F107))*12 + MONTH(AL$2)-MONTH($F107)) / 12),
  0)</f>
        <v/>
      </c>
      <c r="AM107" s="299">
        <f>IF(AND($F107&lt;=AM$2, OR($G107="",$G107&gt;=AM$2)),
  $H107 * (1 + Assumptions!$C$7) ^ INT(((YEAR(AM$2)-YEAR($F107))*12 + MONTH(AM$2)-MONTH($F107)) / 12),
  0)</f>
        <v/>
      </c>
      <c r="AN107" s="299">
        <f>IF(AND($F107&lt;=AN$2, OR($G107="",$G107&gt;=AN$2)),
  $H107 * (1 + Assumptions!$C$7) ^ INT(((YEAR(AN$2)-YEAR($F107))*12 + MONTH(AN$2)-MONTH($F107)) / 12),
  0)</f>
        <v/>
      </c>
      <c r="AO107" s="299">
        <f>IF(AND($F107&lt;=AO$2, OR($G107="",$G107&gt;=AO$2)),
  $H107 * (1 + Assumptions!$C$7) ^ INT(((YEAR(AO$2)-YEAR($F107))*12 + MONTH(AO$2)-MONTH($F107)) / 12),
  0)</f>
        <v/>
      </c>
      <c r="AP107" s="299">
        <f>IF(AND($F107&lt;=AP$2, OR($G107="",$G107&gt;=AP$2)),
  $H107 * (1 + Assumptions!$C$7) ^ INT(((YEAR(AP$2)-YEAR($F107))*12 + MONTH(AP$2)-MONTH($F107)) / 12),
  0)</f>
        <v/>
      </c>
      <c r="AQ107" s="299">
        <f>IF(AND($F107&lt;=AQ$2, OR($G107="",$G107&gt;=AQ$2)),
  $H107 * (1 + Assumptions!$C$7) ^ INT(((YEAR(AQ$2)-YEAR($F107))*12 + MONTH(AQ$2)-MONTH($F107)) / 12),
  0)</f>
        <v/>
      </c>
      <c r="AR107" s="299">
        <f>IF(AND($F107&lt;=AR$2, OR($G107="",$G107&gt;=AR$2)),
  $H107 * (1 + Assumptions!$C$7) ^ INT(((YEAR(AR$2)-YEAR($F107))*12 + MONTH(AR$2)-MONTH($F107)) / 12),
  0)</f>
        <v/>
      </c>
      <c r="AS107" s="299">
        <f>IF(AND($F107&lt;=AS$2, OR($G107="",$G107&gt;=AS$2)),
  $H107 * (1 + Assumptions!$C$7) ^ INT(((YEAR(AS$2)-YEAR($F107))*12 + MONTH(AS$2)-MONTH($F107)) / 12),
  0)</f>
        <v/>
      </c>
      <c r="AT107" s="299">
        <f>IF(AND($F107&lt;=AT$2, OR($G107="",$G107&gt;=AT$2)),
  $H107 * (1 + Assumptions!$C$7) ^ INT(((YEAR(AT$2)-YEAR($F107))*12 + MONTH(AT$2)-MONTH($F107)) / 12),
  0)</f>
        <v/>
      </c>
      <c r="AU107" s="299">
        <f>IF(AND($F107&lt;=AU$2, OR($G107="",$G107&gt;=AU$2)),
  $H107 * (1 + Assumptions!$C$7) ^ INT(((YEAR(AU$2)-YEAR($F107))*12 + MONTH(AU$2)-MONTH($F107)) / 12),
  0)</f>
        <v/>
      </c>
      <c r="AV107" s="299">
        <f>IF(AND($F107&lt;=AV$2, OR($G107="",$G107&gt;=AV$2)),
  $H107 * (1 + Assumptions!$C$7) ^ INT(((YEAR(AV$2)-YEAR($F107))*12 + MONTH(AV$2)-MONTH($F107)) / 12),
  0)</f>
        <v/>
      </c>
      <c r="AW107" s="299">
        <f>IF(AND($F107&lt;=AW$2, OR($G107="",$G107&gt;=AW$2)),
  $H107 * (1 + Assumptions!$C$7) ^ INT(((YEAR(AW$2)-YEAR($F107))*12 + MONTH(AW$2)-MONTH($F107)) / 12),
  0)</f>
        <v/>
      </c>
      <c r="AX107" s="299">
        <f>IF(AND($F107&lt;=AX$2, OR($G107="",$G107&gt;=AX$2)),
  $H107 * (1 + Assumptions!$C$7) ^ INT(((YEAR(AX$2)-YEAR($F107))*12 + MONTH(AX$2)-MONTH($F107)) / 12),
  0)</f>
        <v/>
      </c>
      <c r="AY107" s="299">
        <f>IF(AND($F107&lt;=AY$2, OR($G107="",$G107&gt;=AY$2)),
  $H107 * (1 + Assumptions!$C$7) ^ INT(((YEAR(AY$2)-YEAR($F107))*12 + MONTH(AY$2)-MONTH($F107)) / 12),
  0)</f>
        <v/>
      </c>
      <c r="AZ107" s="299">
        <f>IF(AND($F107&lt;=AZ$2, OR($G107="",$G107&gt;=AZ$2)),
  $H107 * (1 + Assumptions!$C$7) ^ INT(((YEAR(AZ$2)-YEAR($F107))*12 + MONTH(AZ$2)-MONTH($F107)) / 12),
  0)</f>
        <v/>
      </c>
      <c r="BA107" s="299">
        <f>IF(AND($F107&lt;=BA$2, OR($G107="",$G107&gt;=BA$2)),
  $H107 * (1 + Assumptions!$C$7) ^ INT(((YEAR(BA$2)-YEAR($F107))*12 + MONTH(BA$2)-MONTH($F107)) / 12),
  0)</f>
        <v/>
      </c>
      <c r="BB107" s="299">
        <f>IF(AND($F107&lt;=BB$2, OR($G107="",$G107&gt;=BB$2)),
  $H107 * (1 + Assumptions!$C$7) ^ INT(((YEAR(BB$2)-YEAR($F107))*12 + MONTH(BB$2)-MONTH($F107)) / 12),
  0)</f>
        <v/>
      </c>
      <c r="BC107" s="299">
        <f>IF(AND($F107&lt;=BC$2, OR($G107="",$G107&gt;=BC$2)),
  $H107 * (1 + Assumptions!$C$7) ^ INT(((YEAR(BC$2)-YEAR($F107))*12 + MONTH(BC$2)-MONTH($F107)) / 12),
  0)</f>
        <v/>
      </c>
      <c r="BD107" s="299">
        <f>IF(AND($F107&lt;=BD$2, OR($G107="",$G107&gt;=BD$2)),
  $H107 * (1 + Assumptions!$C$7) ^ INT(((YEAR(BD$2)-YEAR($F107))*12 + MONTH(BD$2)-MONTH($F107)) / 12),
  0)</f>
        <v/>
      </c>
      <c r="BE107" s="299">
        <f>IF(AND($F107&lt;=BE$2, OR($G107="",$G107&gt;=BE$2)),
  $H107 * (1 + Assumptions!$C$7) ^ INT(((YEAR(BE$2)-YEAR($F107))*12 + MONTH(BE$2)-MONTH($F107)) / 12),
  0)</f>
        <v/>
      </c>
      <c r="BF107" s="299">
        <f>IF(AND($F107&lt;=BF$2, OR($G107="",$G107&gt;=BF$2)),
  $H107 * (1 + Assumptions!$C$7) ^ INT(((YEAR(BF$2)-YEAR($F107))*12 + MONTH(BF$2)-MONTH($F107)) / 12),
  0)</f>
        <v/>
      </c>
      <c r="BG107" s="299">
        <f>IF(AND($F107&lt;=BG$2, OR($G107="",$G107&gt;=BG$2)),
  $H107 * (1 + Assumptions!$C$7) ^ INT(((YEAR(BG$2)-YEAR($F107))*12 + MONTH(BG$2)-MONTH($F107)) / 12),
  0)</f>
        <v/>
      </c>
      <c r="BH107" s="299">
        <f>IF(AND($F107&lt;=BH$2, OR($G107="",$G107&gt;=BH$2)),
  $H107 * (1 + Assumptions!$C$7) ^ INT(((YEAR(BH$2)-YEAR($F107))*12 + MONTH(BH$2)-MONTH($F107)) / 12),
  0)</f>
        <v/>
      </c>
      <c r="BI107" s="299">
        <f>IF(AND($F107&lt;=BI$2, OR($G107="",$G107&gt;=BI$2)),
  $H107 * (1 + Assumptions!$C$7) ^ INT(((YEAR(BI$2)-YEAR($F107))*12 + MONTH(BI$2)-MONTH($F107)) / 12),
  0)</f>
        <v/>
      </c>
      <c r="BJ107" s="299">
        <f>IF(AND($F107&lt;=BJ$2, OR($G107="",$G107&gt;=BJ$2)),
  $H107 * (1 + Assumptions!$C$7) ^ INT(((YEAR(BJ$2)-YEAR($F107))*12 + MONTH(BJ$2)-MONTH($F107)) / 12),
  0)</f>
        <v/>
      </c>
      <c r="BK107" s="299">
        <f>IF(AND($F107&lt;=BK$2, OR($G107="",$G107&gt;=BK$2)),
  $H107 * (1 + Assumptions!$C$7) ^ INT(((YEAR(BK$2)-YEAR($F107))*12 + MONTH(BK$2)-MONTH($F107)) / 12),
  0)</f>
        <v/>
      </c>
      <c r="BL107" s="299">
        <f>IF(AND($F107&lt;=BL$2, OR($G107="",$G107&gt;=BL$2)),
  $H107 * (1 + Assumptions!$C$7) ^ INT(((YEAR(BL$2)-YEAR($F107))*12 + MONTH(BL$2)-MONTH($F107)) / 12),
  0)</f>
        <v/>
      </c>
      <c r="BM107" s="299">
        <f>IF(AND($F107&lt;=BM$2, OR($G107="",$G107&gt;=BM$2)),
  $H107 * (1 + Assumptions!$C$7) ^ INT(((YEAR(BM$2)-YEAR($F107))*12 + MONTH(BM$2)-MONTH($F107)) / 12),
  0)</f>
        <v/>
      </c>
      <c r="BN107" s="299">
        <f>IF(AND($F107&lt;=BN$2, OR($G107="",$G107&gt;=BN$2)),
  $H107 * (1 + Assumptions!$C$7) ^ INT(((YEAR(BN$2)-YEAR($F107))*12 + MONTH(BN$2)-MONTH($F107)) / 12),
  0)</f>
        <v/>
      </c>
      <c r="BO107" s="299">
        <f>IF(AND($F107&lt;=BO$2, OR($G107="",$G107&gt;=BO$2)),
  $H107 * (1 + Assumptions!$C$7) ^ INT(((YEAR(BO$2)-YEAR($F107))*12 + MONTH(BO$2)-MONTH($F107)) / 12),
  0)</f>
        <v/>
      </c>
      <c r="BP107" s="299">
        <f>IF(AND($F107&lt;=BP$2, OR($G107="",$G107&gt;=BP$2)),
  $H107 * (1 + Assumptions!$C$7) ^ INT(((YEAR(BP$2)-YEAR($F107))*12 + MONTH(BP$2)-MONTH($F107)) / 12),
  0)</f>
        <v/>
      </c>
      <c r="BQ107" s="31" t="n"/>
      <c r="BR107" s="31" t="n"/>
      <c r="BS107" s="31" t="n"/>
      <c r="BT107" s="31" t="n"/>
    </row>
    <row r="108" ht="15.75" customHeight="1" s="349">
      <c r="A108" s="321" t="n">
        <v>103</v>
      </c>
      <c r="B108" s="285" t="inlineStr">
        <is>
          <t>New hire</t>
        </is>
      </c>
      <c r="C108" s="317" t="inlineStr">
        <is>
          <t>G&amp;A</t>
        </is>
      </c>
      <c r="D108" s="317" t="inlineStr">
        <is>
          <t>Production Operator</t>
        </is>
      </c>
      <c r="E108" s="297" t="inlineStr">
        <is>
          <t>Planned</t>
        </is>
      </c>
      <c r="F108" s="318">
        <f>IF(Assumptions!$D$82=2,DATE(2028,7,1),DATE(2035,1,1))</f>
        <v/>
      </c>
      <c r="G108" s="318" t="n"/>
      <c r="H108" s="288" t="n">
        <v>5000</v>
      </c>
      <c r="I108" s="299">
        <f>IF(AND($F108&lt;=I$2, OR($G108="",$G108&gt;=I$2)),
  $H108 * (1 + Assumptions!$C$7) ^ INT(((YEAR(I$2)-YEAR($F108))*12 + MONTH(I$2)-MONTH($F108)) / 12),
  0)</f>
        <v/>
      </c>
      <c r="J108" s="299">
        <f>IF(AND($F108&lt;=J$2, OR($G108="",$G108&gt;=J$2)),
  $H108 * (1 + Assumptions!$C$7) ^ INT(((YEAR(J$2)-YEAR($F108))*12 + MONTH(J$2)-MONTH($F108)) / 12),
  0)</f>
        <v/>
      </c>
      <c r="K108" s="299">
        <f>IF(AND($F108&lt;=K$2, OR($G108="",$G108&gt;=K$2)),
  $H108 * (1 + Assumptions!$C$7) ^ INT(((YEAR(K$2)-YEAR($F108))*12 + MONTH(K$2)-MONTH($F108)) / 12),
  0)</f>
        <v/>
      </c>
      <c r="L108" s="299">
        <f>IF(AND($F108&lt;=L$2, OR($G108="",$G108&gt;=L$2)),
  $H108 * (1 + Assumptions!$C$7) ^ INT(((YEAR(L$2)-YEAR($F108))*12 + MONTH(L$2)-MONTH($F108)) / 12),
  0)</f>
        <v/>
      </c>
      <c r="M108" s="299">
        <f>IF(AND($F108&lt;=M$2, OR($G108="",$G108&gt;=M$2)),
  $H108 * (1 + Assumptions!$C$7) ^ INT(((YEAR(M$2)-YEAR($F108))*12 + MONTH(M$2)-MONTH($F108)) / 12),
  0)</f>
        <v/>
      </c>
      <c r="N108" s="299">
        <f>IF(AND($F108&lt;=N$2, OR($G108="",$G108&gt;=N$2)),
  $H108 * (1 + Assumptions!$C$7) ^ INT(((YEAR(N$2)-YEAR($F108))*12 + MONTH(N$2)-MONTH($F108)) / 12),
  0)</f>
        <v/>
      </c>
      <c r="O108" s="299">
        <f>IF(AND($F108&lt;=O$2, OR($G108="",$G108&gt;=O$2)),
  $H108 * (1 + Assumptions!$C$7) ^ INT(((YEAR(O$2)-YEAR($F108))*12 + MONTH(O$2)-MONTH($F108)) / 12),
  0)</f>
        <v/>
      </c>
      <c r="P108" s="299">
        <f>IF(AND($F108&lt;=P$2, OR($G108="",$G108&gt;=P$2)),
  $H108 * (1 + Assumptions!$C$7) ^ INT(((YEAR(P$2)-YEAR($F108))*12 + MONTH(P$2)-MONTH($F108)) / 12),
  0)</f>
        <v/>
      </c>
      <c r="Q108" s="299">
        <f>IF(AND($F108&lt;=Q$2, OR($G108="",$G108&gt;=Q$2)),
  $H108 * (1 + Assumptions!$C$7) ^ INT(((YEAR(Q$2)-YEAR($F108))*12 + MONTH(Q$2)-MONTH($F108)) / 12),
  0)</f>
        <v/>
      </c>
      <c r="R108" s="299">
        <f>IF(AND($F108&lt;=R$2, OR($G108="",$G108&gt;=R$2)),
  $H108 * (1 + Assumptions!$C$7) ^ INT(((YEAR(R$2)-YEAR($F108))*12 + MONTH(R$2)-MONTH($F108)) / 12),
  0)</f>
        <v/>
      </c>
      <c r="S108" s="299">
        <f>IF(AND($F108&lt;=S$2, OR($G108="",$G108&gt;=S$2)),
  $H108 * (1 + Assumptions!$C$7) ^ INT(((YEAR(S$2)-YEAR($F108))*12 + MONTH(S$2)-MONTH($F108)) / 12),
  0)</f>
        <v/>
      </c>
      <c r="T108" s="299">
        <f>IF(AND($F108&lt;=T$2, OR($G108="",$G108&gt;=T$2)),
  $H108 * (1 + Assumptions!$C$7) ^ INT(((YEAR(T$2)-YEAR($F108))*12 + MONTH(T$2)-MONTH($F108)) / 12),
  0)</f>
        <v/>
      </c>
      <c r="U108" s="299">
        <f>IF(AND($F108&lt;=U$2, OR($G108="",$G108&gt;=U$2)),
  $H108 * (1 + Assumptions!$C$7) ^ INT(((YEAR(U$2)-YEAR($F108))*12 + MONTH(U$2)-MONTH($F108)) / 12),
  0)</f>
        <v/>
      </c>
      <c r="V108" s="299">
        <f>IF(AND($F108&lt;=V$2, OR($G108="",$G108&gt;=V$2)),
  $H108 * (1 + Assumptions!$C$7) ^ INT(((YEAR(V$2)-YEAR($F108))*12 + MONTH(V$2)-MONTH($F108)) / 12),
  0)</f>
        <v/>
      </c>
      <c r="W108" s="299">
        <f>IF(AND($F108&lt;=W$2, OR($G108="",$G108&gt;=W$2)),
  $H108 * (1 + Assumptions!$C$7) ^ INT(((YEAR(W$2)-YEAR($F108))*12 + MONTH(W$2)-MONTH($F108)) / 12),
  0)</f>
        <v/>
      </c>
      <c r="X108" s="299">
        <f>IF(AND($F108&lt;=X$2, OR($G108="",$G108&gt;=X$2)),
  $H108 * (1 + Assumptions!$C$7) ^ INT(((YEAR(X$2)-YEAR($F108))*12 + MONTH(X$2)-MONTH($F108)) / 12),
  0)</f>
        <v/>
      </c>
      <c r="Y108" s="299">
        <f>IF(AND($F108&lt;=Y$2, OR($G108="",$G108&gt;=Y$2)),
  $H108 * (1 + Assumptions!$C$7) ^ INT(((YEAR(Y$2)-YEAR($F108))*12 + MONTH(Y$2)-MONTH($F108)) / 12),
  0)</f>
        <v/>
      </c>
      <c r="Z108" s="299">
        <f>IF(AND($F108&lt;=Z$2, OR($G108="",$G108&gt;=Z$2)),
  $H108 * (1 + Assumptions!$C$7) ^ INT(((YEAR(Z$2)-YEAR($F108))*12 + MONTH(Z$2)-MONTH($F108)) / 12),
  0)</f>
        <v/>
      </c>
      <c r="AA108" s="299">
        <f>IF(AND($F108&lt;=AA$2, OR($G108="",$G108&gt;=AA$2)),
  $H108 * (1 + Assumptions!$C$7) ^ INT(((YEAR(AA$2)-YEAR($F108))*12 + MONTH(AA$2)-MONTH($F108)) / 12),
  0)</f>
        <v/>
      </c>
      <c r="AB108" s="299">
        <f>IF(AND($F108&lt;=AB$2, OR($G108="",$G108&gt;=AB$2)),
  $H108 * (1 + Assumptions!$C$7) ^ INT(((YEAR(AB$2)-YEAR($F108))*12 + MONTH(AB$2)-MONTH($F108)) / 12),
  0)</f>
        <v/>
      </c>
      <c r="AC108" s="299">
        <f>IF(AND($F108&lt;=AC$2, OR($G108="",$G108&gt;=AC$2)),
  $H108 * (1 + Assumptions!$C$7) ^ INT(((YEAR(AC$2)-YEAR($F108))*12 + MONTH(AC$2)-MONTH($F108)) / 12),
  0)</f>
        <v/>
      </c>
      <c r="AD108" s="299">
        <f>IF(AND($F108&lt;=AD$2, OR($G108="",$G108&gt;=AD$2)),
  $H108 * (1 + Assumptions!$C$7) ^ INT(((YEAR(AD$2)-YEAR($F108))*12 + MONTH(AD$2)-MONTH($F108)) / 12),
  0)</f>
        <v/>
      </c>
      <c r="AE108" s="299">
        <f>IF(AND($F108&lt;=AE$2, OR($G108="",$G108&gt;=AE$2)),
  $H108 * (1 + Assumptions!$C$7) ^ INT(((YEAR(AE$2)-YEAR($F108))*12 + MONTH(AE$2)-MONTH($F108)) / 12),
  0)</f>
        <v/>
      </c>
      <c r="AF108" s="299">
        <f>IF(AND($F108&lt;=AF$2, OR($G108="",$G108&gt;=AF$2)),
  $H108 * (1 + Assumptions!$C$7) ^ INT(((YEAR(AF$2)-YEAR($F108))*12 + MONTH(AF$2)-MONTH($F108)) / 12),
  0)</f>
        <v/>
      </c>
      <c r="AG108" s="299">
        <f>IF(AND($F108&lt;=AG$2, OR($G108="",$G108&gt;=AG$2)),
  $H108 * (1 + Assumptions!$C$7) ^ INT(((YEAR(AG$2)-YEAR($F108))*12 + MONTH(AG$2)-MONTH($F108)) / 12),
  0)</f>
        <v/>
      </c>
      <c r="AH108" s="299">
        <f>IF(AND($F108&lt;=AH$2, OR($G108="",$G108&gt;=AH$2)),
  $H108 * (1 + Assumptions!$C$7) ^ INT(((YEAR(AH$2)-YEAR($F108))*12 + MONTH(AH$2)-MONTH($F108)) / 12),
  0)</f>
        <v/>
      </c>
      <c r="AI108" s="299">
        <f>IF(AND($F108&lt;=AI$2, OR($G108="",$G108&gt;=AI$2)),
  $H108 * (1 + Assumptions!$C$7) ^ INT(((YEAR(AI$2)-YEAR($F108))*12 + MONTH(AI$2)-MONTH($F108)) / 12),
  0)</f>
        <v/>
      </c>
      <c r="AJ108" s="299">
        <f>IF(AND($F108&lt;=AJ$2, OR($G108="",$G108&gt;=AJ$2)),
  $H108 * (1 + Assumptions!$C$7) ^ INT(((YEAR(AJ$2)-YEAR($F108))*12 + MONTH(AJ$2)-MONTH($F108)) / 12),
  0)</f>
        <v/>
      </c>
      <c r="AK108" s="299">
        <f>IF(AND($F108&lt;=AK$2, OR($G108="",$G108&gt;=AK$2)),
  $H108 * (1 + Assumptions!$C$7) ^ INT(((YEAR(AK$2)-YEAR($F108))*12 + MONTH(AK$2)-MONTH($F108)) / 12),
  0)</f>
        <v/>
      </c>
      <c r="AL108" s="299">
        <f>IF(AND($F108&lt;=AL$2, OR($G108="",$G108&gt;=AL$2)),
  $H108 * (1 + Assumptions!$C$7) ^ INT(((YEAR(AL$2)-YEAR($F108))*12 + MONTH(AL$2)-MONTH($F108)) / 12),
  0)</f>
        <v/>
      </c>
      <c r="AM108" s="299">
        <f>IF(AND($F108&lt;=AM$2, OR($G108="",$G108&gt;=AM$2)),
  $H108 * (1 + Assumptions!$C$7) ^ INT(((YEAR(AM$2)-YEAR($F108))*12 + MONTH(AM$2)-MONTH($F108)) / 12),
  0)</f>
        <v/>
      </c>
      <c r="AN108" s="299">
        <f>IF(AND($F108&lt;=AN$2, OR($G108="",$G108&gt;=AN$2)),
  $H108 * (1 + Assumptions!$C$7) ^ INT(((YEAR(AN$2)-YEAR($F108))*12 + MONTH(AN$2)-MONTH($F108)) / 12),
  0)</f>
        <v/>
      </c>
      <c r="AO108" s="299">
        <f>IF(AND($F108&lt;=AO$2, OR($G108="",$G108&gt;=AO$2)),
  $H108 * (1 + Assumptions!$C$7) ^ INT(((YEAR(AO$2)-YEAR($F108))*12 + MONTH(AO$2)-MONTH($F108)) / 12),
  0)</f>
        <v/>
      </c>
      <c r="AP108" s="299">
        <f>IF(AND($F108&lt;=AP$2, OR($G108="",$G108&gt;=AP$2)),
  $H108 * (1 + Assumptions!$C$7) ^ INT(((YEAR(AP$2)-YEAR($F108))*12 + MONTH(AP$2)-MONTH($F108)) / 12),
  0)</f>
        <v/>
      </c>
      <c r="AQ108" s="299">
        <f>IF(AND($F108&lt;=AQ$2, OR($G108="",$G108&gt;=AQ$2)),
  $H108 * (1 + Assumptions!$C$7) ^ INT(((YEAR(AQ$2)-YEAR($F108))*12 + MONTH(AQ$2)-MONTH($F108)) / 12),
  0)</f>
        <v/>
      </c>
      <c r="AR108" s="299">
        <f>IF(AND($F108&lt;=AR$2, OR($G108="",$G108&gt;=AR$2)),
  $H108 * (1 + Assumptions!$C$7) ^ INT(((YEAR(AR$2)-YEAR($F108))*12 + MONTH(AR$2)-MONTH($F108)) / 12),
  0)</f>
        <v/>
      </c>
      <c r="AS108" s="299">
        <f>IF(AND($F108&lt;=AS$2, OR($G108="",$G108&gt;=AS$2)),
  $H108 * (1 + Assumptions!$C$7) ^ INT(((YEAR(AS$2)-YEAR($F108))*12 + MONTH(AS$2)-MONTH($F108)) / 12),
  0)</f>
        <v/>
      </c>
      <c r="AT108" s="299">
        <f>IF(AND($F108&lt;=AT$2, OR($G108="",$G108&gt;=AT$2)),
  $H108 * (1 + Assumptions!$C$7) ^ INT(((YEAR(AT$2)-YEAR($F108))*12 + MONTH(AT$2)-MONTH($F108)) / 12),
  0)</f>
        <v/>
      </c>
      <c r="AU108" s="299">
        <f>IF(AND($F108&lt;=AU$2, OR($G108="",$G108&gt;=AU$2)),
  $H108 * (1 + Assumptions!$C$7) ^ INT(((YEAR(AU$2)-YEAR($F108))*12 + MONTH(AU$2)-MONTH($F108)) / 12),
  0)</f>
        <v/>
      </c>
      <c r="AV108" s="299">
        <f>IF(AND($F108&lt;=AV$2, OR($G108="",$G108&gt;=AV$2)),
  $H108 * (1 + Assumptions!$C$7) ^ INT(((YEAR(AV$2)-YEAR($F108))*12 + MONTH(AV$2)-MONTH($F108)) / 12),
  0)</f>
        <v/>
      </c>
      <c r="AW108" s="299">
        <f>IF(AND($F108&lt;=AW$2, OR($G108="",$G108&gt;=AW$2)),
  $H108 * (1 + Assumptions!$C$7) ^ INT(((YEAR(AW$2)-YEAR($F108))*12 + MONTH(AW$2)-MONTH($F108)) / 12),
  0)</f>
        <v/>
      </c>
      <c r="AX108" s="299">
        <f>IF(AND($F108&lt;=AX$2, OR($G108="",$G108&gt;=AX$2)),
  $H108 * (1 + Assumptions!$C$7) ^ INT(((YEAR(AX$2)-YEAR($F108))*12 + MONTH(AX$2)-MONTH($F108)) / 12),
  0)</f>
        <v/>
      </c>
      <c r="AY108" s="299">
        <f>IF(AND($F108&lt;=AY$2, OR($G108="",$G108&gt;=AY$2)),
  $H108 * (1 + Assumptions!$C$7) ^ INT(((YEAR(AY$2)-YEAR($F108))*12 + MONTH(AY$2)-MONTH($F108)) / 12),
  0)</f>
        <v/>
      </c>
      <c r="AZ108" s="299">
        <f>IF(AND($F108&lt;=AZ$2, OR($G108="",$G108&gt;=AZ$2)),
  $H108 * (1 + Assumptions!$C$7) ^ INT(((YEAR(AZ$2)-YEAR($F108))*12 + MONTH(AZ$2)-MONTH($F108)) / 12),
  0)</f>
        <v/>
      </c>
      <c r="BA108" s="299">
        <f>IF(AND($F108&lt;=BA$2, OR($G108="",$G108&gt;=BA$2)),
  $H108 * (1 + Assumptions!$C$7) ^ INT(((YEAR(BA$2)-YEAR($F108))*12 + MONTH(BA$2)-MONTH($F108)) / 12),
  0)</f>
        <v/>
      </c>
      <c r="BB108" s="299">
        <f>IF(AND($F108&lt;=BB$2, OR($G108="",$G108&gt;=BB$2)),
  $H108 * (1 + Assumptions!$C$7) ^ INT(((YEAR(BB$2)-YEAR($F108))*12 + MONTH(BB$2)-MONTH($F108)) / 12),
  0)</f>
        <v/>
      </c>
      <c r="BC108" s="299">
        <f>IF(AND($F108&lt;=BC$2, OR($G108="",$G108&gt;=BC$2)),
  $H108 * (1 + Assumptions!$C$7) ^ INT(((YEAR(BC$2)-YEAR($F108))*12 + MONTH(BC$2)-MONTH($F108)) / 12),
  0)</f>
        <v/>
      </c>
      <c r="BD108" s="299">
        <f>IF(AND($F108&lt;=BD$2, OR($G108="",$G108&gt;=BD$2)),
  $H108 * (1 + Assumptions!$C$7) ^ INT(((YEAR(BD$2)-YEAR($F108))*12 + MONTH(BD$2)-MONTH($F108)) / 12),
  0)</f>
        <v/>
      </c>
      <c r="BE108" s="299">
        <f>IF(AND($F108&lt;=BE$2, OR($G108="",$G108&gt;=BE$2)),
  $H108 * (1 + Assumptions!$C$7) ^ INT(((YEAR(BE$2)-YEAR($F108))*12 + MONTH(BE$2)-MONTH($F108)) / 12),
  0)</f>
        <v/>
      </c>
      <c r="BF108" s="299">
        <f>IF(AND($F108&lt;=BF$2, OR($G108="",$G108&gt;=BF$2)),
  $H108 * (1 + Assumptions!$C$7) ^ INT(((YEAR(BF$2)-YEAR($F108))*12 + MONTH(BF$2)-MONTH($F108)) / 12),
  0)</f>
        <v/>
      </c>
      <c r="BG108" s="299">
        <f>IF(AND($F108&lt;=BG$2, OR($G108="",$G108&gt;=BG$2)),
  $H108 * (1 + Assumptions!$C$7) ^ INT(((YEAR(BG$2)-YEAR($F108))*12 + MONTH(BG$2)-MONTH($F108)) / 12),
  0)</f>
        <v/>
      </c>
      <c r="BH108" s="299">
        <f>IF(AND($F108&lt;=BH$2, OR($G108="",$G108&gt;=BH$2)),
  $H108 * (1 + Assumptions!$C$7) ^ INT(((YEAR(BH$2)-YEAR($F108))*12 + MONTH(BH$2)-MONTH($F108)) / 12),
  0)</f>
        <v/>
      </c>
      <c r="BI108" s="299">
        <f>IF(AND($F108&lt;=BI$2, OR($G108="",$G108&gt;=BI$2)),
  $H108 * (1 + Assumptions!$C$7) ^ INT(((YEAR(BI$2)-YEAR($F108))*12 + MONTH(BI$2)-MONTH($F108)) / 12),
  0)</f>
        <v/>
      </c>
      <c r="BJ108" s="299">
        <f>IF(AND($F108&lt;=BJ$2, OR($G108="",$G108&gt;=BJ$2)),
  $H108 * (1 + Assumptions!$C$7) ^ INT(((YEAR(BJ$2)-YEAR($F108))*12 + MONTH(BJ$2)-MONTH($F108)) / 12),
  0)</f>
        <v/>
      </c>
      <c r="BK108" s="299">
        <f>IF(AND($F108&lt;=BK$2, OR($G108="",$G108&gt;=BK$2)),
  $H108 * (1 + Assumptions!$C$7) ^ INT(((YEAR(BK$2)-YEAR($F108))*12 + MONTH(BK$2)-MONTH($F108)) / 12),
  0)</f>
        <v/>
      </c>
      <c r="BL108" s="299">
        <f>IF(AND($F108&lt;=BL$2, OR($G108="",$G108&gt;=BL$2)),
  $H108 * (1 + Assumptions!$C$7) ^ INT(((YEAR(BL$2)-YEAR($F108))*12 + MONTH(BL$2)-MONTH($F108)) / 12),
  0)</f>
        <v/>
      </c>
      <c r="BM108" s="299">
        <f>IF(AND($F108&lt;=BM$2, OR($G108="",$G108&gt;=BM$2)),
  $H108 * (1 + Assumptions!$C$7) ^ INT(((YEAR(BM$2)-YEAR($F108))*12 + MONTH(BM$2)-MONTH($F108)) / 12),
  0)</f>
        <v/>
      </c>
      <c r="BN108" s="299">
        <f>IF(AND($F108&lt;=BN$2, OR($G108="",$G108&gt;=BN$2)),
  $H108 * (1 + Assumptions!$C$7) ^ INT(((YEAR(BN$2)-YEAR($F108))*12 + MONTH(BN$2)-MONTH($F108)) / 12),
  0)</f>
        <v/>
      </c>
      <c r="BO108" s="299">
        <f>IF(AND($F108&lt;=BO$2, OR($G108="",$G108&gt;=BO$2)),
  $H108 * (1 + Assumptions!$C$7) ^ INT(((YEAR(BO$2)-YEAR($F108))*12 + MONTH(BO$2)-MONTH($F108)) / 12),
  0)</f>
        <v/>
      </c>
      <c r="BP108" s="299">
        <f>IF(AND($F108&lt;=BP$2, OR($G108="",$G108&gt;=BP$2)),
  $H108 * (1 + Assumptions!$C$7) ^ INT(((YEAR(BP$2)-YEAR($F108))*12 + MONTH(BP$2)-MONTH($F108)) / 12),
  0)</f>
        <v/>
      </c>
      <c r="BQ108" s="31" t="n"/>
      <c r="BR108" s="31" t="n"/>
      <c r="BS108" s="31" t="n"/>
      <c r="BT108" s="31" t="n"/>
    </row>
    <row r="109" ht="15.75" customHeight="1" s="349">
      <c r="A109" s="321" t="n">
        <v>104</v>
      </c>
      <c r="B109" s="285" t="inlineStr">
        <is>
          <t>New hire</t>
        </is>
      </c>
      <c r="C109" s="317" t="inlineStr">
        <is>
          <t>G&amp;A</t>
        </is>
      </c>
      <c r="D109" s="317" t="inlineStr">
        <is>
          <t>Production Operator</t>
        </is>
      </c>
      <c r="E109" s="297" t="inlineStr">
        <is>
          <t>Planned</t>
        </is>
      </c>
      <c r="F109" s="318">
        <f>IF(Assumptions!$D$82=2,DATE(2028,7,1),DATE(2035,1,1))</f>
        <v/>
      </c>
      <c r="G109" s="318" t="n"/>
      <c r="H109" s="288" t="n">
        <v>5000</v>
      </c>
      <c r="I109" s="299">
        <f>IF(AND($F109&lt;=I$2, OR($G109="",$G109&gt;=I$2)),
  $H109 * (1 + Assumptions!$C$7) ^ INT(((YEAR(I$2)-YEAR($F109))*12 + MONTH(I$2)-MONTH($F109)) / 12),
  0)</f>
        <v/>
      </c>
      <c r="J109" s="299">
        <f>IF(AND($F109&lt;=J$2, OR($G109="",$G109&gt;=J$2)),
  $H109 * (1 + Assumptions!$C$7) ^ INT(((YEAR(J$2)-YEAR($F109))*12 + MONTH(J$2)-MONTH($F109)) / 12),
  0)</f>
        <v/>
      </c>
      <c r="K109" s="299">
        <f>IF(AND($F109&lt;=K$2, OR($G109="",$G109&gt;=K$2)),
  $H109 * (1 + Assumptions!$C$7) ^ INT(((YEAR(K$2)-YEAR($F109))*12 + MONTH(K$2)-MONTH($F109)) / 12),
  0)</f>
        <v/>
      </c>
      <c r="L109" s="299">
        <f>IF(AND($F109&lt;=L$2, OR($G109="",$G109&gt;=L$2)),
  $H109 * (1 + Assumptions!$C$7) ^ INT(((YEAR(L$2)-YEAR($F109))*12 + MONTH(L$2)-MONTH($F109)) / 12),
  0)</f>
        <v/>
      </c>
      <c r="M109" s="299">
        <f>IF(AND($F109&lt;=M$2, OR($G109="",$G109&gt;=M$2)),
  $H109 * (1 + Assumptions!$C$7) ^ INT(((YEAR(M$2)-YEAR($F109))*12 + MONTH(M$2)-MONTH($F109)) / 12),
  0)</f>
        <v/>
      </c>
      <c r="N109" s="299">
        <f>IF(AND($F109&lt;=N$2, OR($G109="",$G109&gt;=N$2)),
  $H109 * (1 + Assumptions!$C$7) ^ INT(((YEAR(N$2)-YEAR($F109))*12 + MONTH(N$2)-MONTH($F109)) / 12),
  0)</f>
        <v/>
      </c>
      <c r="O109" s="299">
        <f>IF(AND($F109&lt;=O$2, OR($G109="",$G109&gt;=O$2)),
  $H109 * (1 + Assumptions!$C$7) ^ INT(((YEAR(O$2)-YEAR($F109))*12 + MONTH(O$2)-MONTH($F109)) / 12),
  0)</f>
        <v/>
      </c>
      <c r="P109" s="299">
        <f>IF(AND($F109&lt;=P$2, OR($G109="",$G109&gt;=P$2)),
  $H109 * (1 + Assumptions!$C$7) ^ INT(((YEAR(P$2)-YEAR($F109))*12 + MONTH(P$2)-MONTH($F109)) / 12),
  0)</f>
        <v/>
      </c>
      <c r="Q109" s="299">
        <f>IF(AND($F109&lt;=Q$2, OR($G109="",$G109&gt;=Q$2)),
  $H109 * (1 + Assumptions!$C$7) ^ INT(((YEAR(Q$2)-YEAR($F109))*12 + MONTH(Q$2)-MONTH($F109)) / 12),
  0)</f>
        <v/>
      </c>
      <c r="R109" s="299">
        <f>IF(AND($F109&lt;=R$2, OR($G109="",$G109&gt;=R$2)),
  $H109 * (1 + Assumptions!$C$7) ^ INT(((YEAR(R$2)-YEAR($F109))*12 + MONTH(R$2)-MONTH($F109)) / 12),
  0)</f>
        <v/>
      </c>
      <c r="S109" s="299">
        <f>IF(AND($F109&lt;=S$2, OR($G109="",$G109&gt;=S$2)),
  $H109 * (1 + Assumptions!$C$7) ^ INT(((YEAR(S$2)-YEAR($F109))*12 + MONTH(S$2)-MONTH($F109)) / 12),
  0)</f>
        <v/>
      </c>
      <c r="T109" s="299">
        <f>IF(AND($F109&lt;=T$2, OR($G109="",$G109&gt;=T$2)),
  $H109 * (1 + Assumptions!$C$7) ^ INT(((YEAR(T$2)-YEAR($F109))*12 + MONTH(T$2)-MONTH($F109)) / 12),
  0)</f>
        <v/>
      </c>
      <c r="U109" s="299">
        <f>IF(AND($F109&lt;=U$2, OR($G109="",$G109&gt;=U$2)),
  $H109 * (1 + Assumptions!$C$7) ^ INT(((YEAR(U$2)-YEAR($F109))*12 + MONTH(U$2)-MONTH($F109)) / 12),
  0)</f>
        <v/>
      </c>
      <c r="V109" s="299">
        <f>IF(AND($F109&lt;=V$2, OR($G109="",$G109&gt;=V$2)),
  $H109 * (1 + Assumptions!$C$7) ^ INT(((YEAR(V$2)-YEAR($F109))*12 + MONTH(V$2)-MONTH($F109)) / 12),
  0)</f>
        <v/>
      </c>
      <c r="W109" s="299">
        <f>IF(AND($F109&lt;=W$2, OR($G109="",$G109&gt;=W$2)),
  $H109 * (1 + Assumptions!$C$7) ^ INT(((YEAR(W$2)-YEAR($F109))*12 + MONTH(W$2)-MONTH($F109)) / 12),
  0)</f>
        <v/>
      </c>
      <c r="X109" s="299">
        <f>IF(AND($F109&lt;=X$2, OR($G109="",$G109&gt;=X$2)),
  $H109 * (1 + Assumptions!$C$7) ^ INT(((YEAR(X$2)-YEAR($F109))*12 + MONTH(X$2)-MONTH($F109)) / 12),
  0)</f>
        <v/>
      </c>
      <c r="Y109" s="299">
        <f>IF(AND($F109&lt;=Y$2, OR($G109="",$G109&gt;=Y$2)),
  $H109 * (1 + Assumptions!$C$7) ^ INT(((YEAR(Y$2)-YEAR($F109))*12 + MONTH(Y$2)-MONTH($F109)) / 12),
  0)</f>
        <v/>
      </c>
      <c r="Z109" s="299">
        <f>IF(AND($F109&lt;=Z$2, OR($G109="",$G109&gt;=Z$2)),
  $H109 * (1 + Assumptions!$C$7) ^ INT(((YEAR(Z$2)-YEAR($F109))*12 + MONTH(Z$2)-MONTH($F109)) / 12),
  0)</f>
        <v/>
      </c>
      <c r="AA109" s="299">
        <f>IF(AND($F109&lt;=AA$2, OR($G109="",$G109&gt;=AA$2)),
  $H109 * (1 + Assumptions!$C$7) ^ INT(((YEAR(AA$2)-YEAR($F109))*12 + MONTH(AA$2)-MONTH($F109)) / 12),
  0)</f>
        <v/>
      </c>
      <c r="AB109" s="299">
        <f>IF(AND($F109&lt;=AB$2, OR($G109="",$G109&gt;=AB$2)),
  $H109 * (1 + Assumptions!$C$7) ^ INT(((YEAR(AB$2)-YEAR($F109))*12 + MONTH(AB$2)-MONTH($F109)) / 12),
  0)</f>
        <v/>
      </c>
      <c r="AC109" s="299">
        <f>IF(AND($F109&lt;=AC$2, OR($G109="",$G109&gt;=AC$2)),
  $H109 * (1 + Assumptions!$C$7) ^ INT(((YEAR(AC$2)-YEAR($F109))*12 + MONTH(AC$2)-MONTH($F109)) / 12),
  0)</f>
        <v/>
      </c>
      <c r="AD109" s="299">
        <f>IF(AND($F109&lt;=AD$2, OR($G109="",$G109&gt;=AD$2)),
  $H109 * (1 + Assumptions!$C$7) ^ INT(((YEAR(AD$2)-YEAR($F109))*12 + MONTH(AD$2)-MONTH($F109)) / 12),
  0)</f>
        <v/>
      </c>
      <c r="AE109" s="299">
        <f>IF(AND($F109&lt;=AE$2, OR($G109="",$G109&gt;=AE$2)),
  $H109 * (1 + Assumptions!$C$7) ^ INT(((YEAR(AE$2)-YEAR($F109))*12 + MONTH(AE$2)-MONTH($F109)) / 12),
  0)</f>
        <v/>
      </c>
      <c r="AF109" s="299">
        <f>IF(AND($F109&lt;=AF$2, OR($G109="",$G109&gt;=AF$2)),
  $H109 * (1 + Assumptions!$C$7) ^ INT(((YEAR(AF$2)-YEAR($F109))*12 + MONTH(AF$2)-MONTH($F109)) / 12),
  0)</f>
        <v/>
      </c>
      <c r="AG109" s="299">
        <f>IF(AND($F109&lt;=AG$2, OR($G109="",$G109&gt;=AG$2)),
  $H109 * (1 + Assumptions!$C$7) ^ INT(((YEAR(AG$2)-YEAR($F109))*12 + MONTH(AG$2)-MONTH($F109)) / 12),
  0)</f>
        <v/>
      </c>
      <c r="AH109" s="299">
        <f>IF(AND($F109&lt;=AH$2, OR($G109="",$G109&gt;=AH$2)),
  $H109 * (1 + Assumptions!$C$7) ^ INT(((YEAR(AH$2)-YEAR($F109))*12 + MONTH(AH$2)-MONTH($F109)) / 12),
  0)</f>
        <v/>
      </c>
      <c r="AI109" s="299">
        <f>IF(AND($F109&lt;=AI$2, OR($G109="",$G109&gt;=AI$2)),
  $H109 * (1 + Assumptions!$C$7) ^ INT(((YEAR(AI$2)-YEAR($F109))*12 + MONTH(AI$2)-MONTH($F109)) / 12),
  0)</f>
        <v/>
      </c>
      <c r="AJ109" s="299">
        <f>IF(AND($F109&lt;=AJ$2, OR($G109="",$G109&gt;=AJ$2)),
  $H109 * (1 + Assumptions!$C$7) ^ INT(((YEAR(AJ$2)-YEAR($F109))*12 + MONTH(AJ$2)-MONTH($F109)) / 12),
  0)</f>
        <v/>
      </c>
      <c r="AK109" s="299">
        <f>IF(AND($F109&lt;=AK$2, OR($G109="",$G109&gt;=AK$2)),
  $H109 * (1 + Assumptions!$C$7) ^ INT(((YEAR(AK$2)-YEAR($F109))*12 + MONTH(AK$2)-MONTH($F109)) / 12),
  0)</f>
        <v/>
      </c>
      <c r="AL109" s="299">
        <f>IF(AND($F109&lt;=AL$2, OR($G109="",$G109&gt;=AL$2)),
  $H109 * (1 + Assumptions!$C$7) ^ INT(((YEAR(AL$2)-YEAR($F109))*12 + MONTH(AL$2)-MONTH($F109)) / 12),
  0)</f>
        <v/>
      </c>
      <c r="AM109" s="299">
        <f>IF(AND($F109&lt;=AM$2, OR($G109="",$G109&gt;=AM$2)),
  $H109 * (1 + Assumptions!$C$7) ^ INT(((YEAR(AM$2)-YEAR($F109))*12 + MONTH(AM$2)-MONTH($F109)) / 12),
  0)</f>
        <v/>
      </c>
      <c r="AN109" s="299">
        <f>IF(AND($F109&lt;=AN$2, OR($G109="",$G109&gt;=AN$2)),
  $H109 * (1 + Assumptions!$C$7) ^ INT(((YEAR(AN$2)-YEAR($F109))*12 + MONTH(AN$2)-MONTH($F109)) / 12),
  0)</f>
        <v/>
      </c>
      <c r="AO109" s="299">
        <f>IF(AND($F109&lt;=AO$2, OR($G109="",$G109&gt;=AO$2)),
  $H109 * (1 + Assumptions!$C$7) ^ INT(((YEAR(AO$2)-YEAR($F109))*12 + MONTH(AO$2)-MONTH($F109)) / 12),
  0)</f>
        <v/>
      </c>
      <c r="AP109" s="299">
        <f>IF(AND($F109&lt;=AP$2, OR($G109="",$G109&gt;=AP$2)),
  $H109 * (1 + Assumptions!$C$7) ^ INT(((YEAR(AP$2)-YEAR($F109))*12 + MONTH(AP$2)-MONTH($F109)) / 12),
  0)</f>
        <v/>
      </c>
      <c r="AQ109" s="299">
        <f>IF(AND($F109&lt;=AQ$2, OR($G109="",$G109&gt;=AQ$2)),
  $H109 * (1 + Assumptions!$C$7) ^ INT(((YEAR(AQ$2)-YEAR($F109))*12 + MONTH(AQ$2)-MONTH($F109)) / 12),
  0)</f>
        <v/>
      </c>
      <c r="AR109" s="299">
        <f>IF(AND($F109&lt;=AR$2, OR($G109="",$G109&gt;=AR$2)),
  $H109 * (1 + Assumptions!$C$7) ^ INT(((YEAR(AR$2)-YEAR($F109))*12 + MONTH(AR$2)-MONTH($F109)) / 12),
  0)</f>
        <v/>
      </c>
      <c r="AS109" s="299">
        <f>IF(AND($F109&lt;=AS$2, OR($G109="",$G109&gt;=AS$2)),
  $H109 * (1 + Assumptions!$C$7) ^ INT(((YEAR(AS$2)-YEAR($F109))*12 + MONTH(AS$2)-MONTH($F109)) / 12),
  0)</f>
        <v/>
      </c>
      <c r="AT109" s="299">
        <f>IF(AND($F109&lt;=AT$2, OR($G109="",$G109&gt;=AT$2)),
  $H109 * (1 + Assumptions!$C$7) ^ INT(((YEAR(AT$2)-YEAR($F109))*12 + MONTH(AT$2)-MONTH($F109)) / 12),
  0)</f>
        <v/>
      </c>
      <c r="AU109" s="299">
        <f>IF(AND($F109&lt;=AU$2, OR($G109="",$G109&gt;=AU$2)),
  $H109 * (1 + Assumptions!$C$7) ^ INT(((YEAR(AU$2)-YEAR($F109))*12 + MONTH(AU$2)-MONTH($F109)) / 12),
  0)</f>
        <v/>
      </c>
      <c r="AV109" s="299">
        <f>IF(AND($F109&lt;=AV$2, OR($G109="",$G109&gt;=AV$2)),
  $H109 * (1 + Assumptions!$C$7) ^ INT(((YEAR(AV$2)-YEAR($F109))*12 + MONTH(AV$2)-MONTH($F109)) / 12),
  0)</f>
        <v/>
      </c>
      <c r="AW109" s="299">
        <f>IF(AND($F109&lt;=AW$2, OR($G109="",$G109&gt;=AW$2)),
  $H109 * (1 + Assumptions!$C$7) ^ INT(((YEAR(AW$2)-YEAR($F109))*12 + MONTH(AW$2)-MONTH($F109)) / 12),
  0)</f>
        <v/>
      </c>
      <c r="AX109" s="299">
        <f>IF(AND($F109&lt;=AX$2, OR($G109="",$G109&gt;=AX$2)),
  $H109 * (1 + Assumptions!$C$7) ^ INT(((YEAR(AX$2)-YEAR($F109))*12 + MONTH(AX$2)-MONTH($F109)) / 12),
  0)</f>
        <v/>
      </c>
      <c r="AY109" s="299">
        <f>IF(AND($F109&lt;=AY$2, OR($G109="",$G109&gt;=AY$2)),
  $H109 * (1 + Assumptions!$C$7) ^ INT(((YEAR(AY$2)-YEAR($F109))*12 + MONTH(AY$2)-MONTH($F109)) / 12),
  0)</f>
        <v/>
      </c>
      <c r="AZ109" s="299">
        <f>IF(AND($F109&lt;=AZ$2, OR($G109="",$G109&gt;=AZ$2)),
  $H109 * (1 + Assumptions!$C$7) ^ INT(((YEAR(AZ$2)-YEAR($F109))*12 + MONTH(AZ$2)-MONTH($F109)) / 12),
  0)</f>
        <v/>
      </c>
      <c r="BA109" s="299">
        <f>IF(AND($F109&lt;=BA$2, OR($G109="",$G109&gt;=BA$2)),
  $H109 * (1 + Assumptions!$C$7) ^ INT(((YEAR(BA$2)-YEAR($F109))*12 + MONTH(BA$2)-MONTH($F109)) / 12),
  0)</f>
        <v/>
      </c>
      <c r="BB109" s="299">
        <f>IF(AND($F109&lt;=BB$2, OR($G109="",$G109&gt;=BB$2)),
  $H109 * (1 + Assumptions!$C$7) ^ INT(((YEAR(BB$2)-YEAR($F109))*12 + MONTH(BB$2)-MONTH($F109)) / 12),
  0)</f>
        <v/>
      </c>
      <c r="BC109" s="299">
        <f>IF(AND($F109&lt;=BC$2, OR($G109="",$G109&gt;=BC$2)),
  $H109 * (1 + Assumptions!$C$7) ^ INT(((YEAR(BC$2)-YEAR($F109))*12 + MONTH(BC$2)-MONTH($F109)) / 12),
  0)</f>
        <v/>
      </c>
      <c r="BD109" s="299">
        <f>IF(AND($F109&lt;=BD$2, OR($G109="",$G109&gt;=BD$2)),
  $H109 * (1 + Assumptions!$C$7) ^ INT(((YEAR(BD$2)-YEAR($F109))*12 + MONTH(BD$2)-MONTH($F109)) / 12),
  0)</f>
        <v/>
      </c>
      <c r="BE109" s="299">
        <f>IF(AND($F109&lt;=BE$2, OR($G109="",$G109&gt;=BE$2)),
  $H109 * (1 + Assumptions!$C$7) ^ INT(((YEAR(BE$2)-YEAR($F109))*12 + MONTH(BE$2)-MONTH($F109)) / 12),
  0)</f>
        <v/>
      </c>
      <c r="BF109" s="299">
        <f>IF(AND($F109&lt;=BF$2, OR($G109="",$G109&gt;=BF$2)),
  $H109 * (1 + Assumptions!$C$7) ^ INT(((YEAR(BF$2)-YEAR($F109))*12 + MONTH(BF$2)-MONTH($F109)) / 12),
  0)</f>
        <v/>
      </c>
      <c r="BG109" s="299">
        <f>IF(AND($F109&lt;=BG$2, OR($G109="",$G109&gt;=BG$2)),
  $H109 * (1 + Assumptions!$C$7) ^ INT(((YEAR(BG$2)-YEAR($F109))*12 + MONTH(BG$2)-MONTH($F109)) / 12),
  0)</f>
        <v/>
      </c>
      <c r="BH109" s="299">
        <f>IF(AND($F109&lt;=BH$2, OR($G109="",$G109&gt;=BH$2)),
  $H109 * (1 + Assumptions!$C$7) ^ INT(((YEAR(BH$2)-YEAR($F109))*12 + MONTH(BH$2)-MONTH($F109)) / 12),
  0)</f>
        <v/>
      </c>
      <c r="BI109" s="299">
        <f>IF(AND($F109&lt;=BI$2, OR($G109="",$G109&gt;=BI$2)),
  $H109 * (1 + Assumptions!$C$7) ^ INT(((YEAR(BI$2)-YEAR($F109))*12 + MONTH(BI$2)-MONTH($F109)) / 12),
  0)</f>
        <v/>
      </c>
      <c r="BJ109" s="299">
        <f>IF(AND($F109&lt;=BJ$2, OR($G109="",$G109&gt;=BJ$2)),
  $H109 * (1 + Assumptions!$C$7) ^ INT(((YEAR(BJ$2)-YEAR($F109))*12 + MONTH(BJ$2)-MONTH($F109)) / 12),
  0)</f>
        <v/>
      </c>
      <c r="BK109" s="299">
        <f>IF(AND($F109&lt;=BK$2, OR($G109="",$G109&gt;=BK$2)),
  $H109 * (1 + Assumptions!$C$7) ^ INT(((YEAR(BK$2)-YEAR($F109))*12 + MONTH(BK$2)-MONTH($F109)) / 12),
  0)</f>
        <v/>
      </c>
      <c r="BL109" s="299">
        <f>IF(AND($F109&lt;=BL$2, OR($G109="",$G109&gt;=BL$2)),
  $H109 * (1 + Assumptions!$C$7) ^ INT(((YEAR(BL$2)-YEAR($F109))*12 + MONTH(BL$2)-MONTH($F109)) / 12),
  0)</f>
        <v/>
      </c>
      <c r="BM109" s="299">
        <f>IF(AND($F109&lt;=BM$2, OR($G109="",$G109&gt;=BM$2)),
  $H109 * (1 + Assumptions!$C$7) ^ INT(((YEAR(BM$2)-YEAR($F109))*12 + MONTH(BM$2)-MONTH($F109)) / 12),
  0)</f>
        <v/>
      </c>
      <c r="BN109" s="299">
        <f>IF(AND($F109&lt;=BN$2, OR($G109="",$G109&gt;=BN$2)),
  $H109 * (1 + Assumptions!$C$7) ^ INT(((YEAR(BN$2)-YEAR($F109))*12 + MONTH(BN$2)-MONTH($F109)) / 12),
  0)</f>
        <v/>
      </c>
      <c r="BO109" s="299">
        <f>IF(AND($F109&lt;=BO$2, OR($G109="",$G109&gt;=BO$2)),
  $H109 * (1 + Assumptions!$C$7) ^ INT(((YEAR(BO$2)-YEAR($F109))*12 + MONTH(BO$2)-MONTH($F109)) / 12),
  0)</f>
        <v/>
      </c>
      <c r="BP109" s="299">
        <f>IF(AND($F109&lt;=BP$2, OR($G109="",$G109&gt;=BP$2)),
  $H109 * (1 + Assumptions!$C$7) ^ INT(((YEAR(BP$2)-YEAR($F109))*12 + MONTH(BP$2)-MONTH($F109)) / 12),
  0)</f>
        <v/>
      </c>
      <c r="BQ109" s="31" t="n"/>
      <c r="BR109" s="31" t="n"/>
      <c r="BS109" s="31" t="n"/>
      <c r="BT109" s="31" t="n"/>
    </row>
    <row r="110" ht="15.75" customHeight="1" s="349">
      <c r="A110" s="321" t="n">
        <v>105</v>
      </c>
      <c r="B110" s="285" t="inlineStr">
        <is>
          <t>New hire</t>
        </is>
      </c>
      <c r="C110" s="317" t="inlineStr">
        <is>
          <t>G&amp;A</t>
        </is>
      </c>
      <c r="D110" s="317" t="inlineStr">
        <is>
          <t>Production Operator</t>
        </is>
      </c>
      <c r="E110" s="297" t="inlineStr">
        <is>
          <t>Planned</t>
        </is>
      </c>
      <c r="F110" s="318">
        <f>IF(Assumptions!$D$82=2,DATE(2028,7,1),DATE(2035,1,1))</f>
        <v/>
      </c>
      <c r="G110" s="318" t="n"/>
      <c r="H110" s="288" t="n">
        <v>5000</v>
      </c>
      <c r="I110" s="299">
        <f>IF(AND($F110&lt;=I$2, OR($G110="",$G110&gt;=I$2)),
  $H110 * (1 + Assumptions!$C$7) ^ INT(((YEAR(I$2)-YEAR($F110))*12 + MONTH(I$2)-MONTH($F110)) / 12),
  0)</f>
        <v/>
      </c>
      <c r="J110" s="299">
        <f>IF(AND($F110&lt;=J$2, OR($G110="",$G110&gt;=J$2)),
  $H110 * (1 + Assumptions!$C$7) ^ INT(((YEAR(J$2)-YEAR($F110))*12 + MONTH(J$2)-MONTH($F110)) / 12),
  0)</f>
        <v/>
      </c>
      <c r="K110" s="299">
        <f>IF(AND($F110&lt;=K$2, OR($G110="",$G110&gt;=K$2)),
  $H110 * (1 + Assumptions!$C$7) ^ INT(((YEAR(K$2)-YEAR($F110))*12 + MONTH(K$2)-MONTH($F110)) / 12),
  0)</f>
        <v/>
      </c>
      <c r="L110" s="299">
        <f>IF(AND($F110&lt;=L$2, OR($G110="",$G110&gt;=L$2)),
  $H110 * (1 + Assumptions!$C$7) ^ INT(((YEAR(L$2)-YEAR($F110))*12 + MONTH(L$2)-MONTH($F110)) / 12),
  0)</f>
        <v/>
      </c>
      <c r="M110" s="299">
        <f>IF(AND($F110&lt;=M$2, OR($G110="",$G110&gt;=M$2)),
  $H110 * (1 + Assumptions!$C$7) ^ INT(((YEAR(M$2)-YEAR($F110))*12 + MONTH(M$2)-MONTH($F110)) / 12),
  0)</f>
        <v/>
      </c>
      <c r="N110" s="299">
        <f>IF(AND($F110&lt;=N$2, OR($G110="",$G110&gt;=N$2)),
  $H110 * (1 + Assumptions!$C$7) ^ INT(((YEAR(N$2)-YEAR($F110))*12 + MONTH(N$2)-MONTH($F110)) / 12),
  0)</f>
        <v/>
      </c>
      <c r="O110" s="299">
        <f>IF(AND($F110&lt;=O$2, OR($G110="",$G110&gt;=O$2)),
  $H110 * (1 + Assumptions!$C$7) ^ INT(((YEAR(O$2)-YEAR($F110))*12 + MONTH(O$2)-MONTH($F110)) / 12),
  0)</f>
        <v/>
      </c>
      <c r="P110" s="299">
        <f>IF(AND($F110&lt;=P$2, OR($G110="",$G110&gt;=P$2)),
  $H110 * (1 + Assumptions!$C$7) ^ INT(((YEAR(P$2)-YEAR($F110))*12 + MONTH(P$2)-MONTH($F110)) / 12),
  0)</f>
        <v/>
      </c>
      <c r="Q110" s="299">
        <f>IF(AND($F110&lt;=Q$2, OR($G110="",$G110&gt;=Q$2)),
  $H110 * (1 + Assumptions!$C$7) ^ INT(((YEAR(Q$2)-YEAR($F110))*12 + MONTH(Q$2)-MONTH($F110)) / 12),
  0)</f>
        <v/>
      </c>
      <c r="R110" s="299">
        <f>IF(AND($F110&lt;=R$2, OR($G110="",$G110&gt;=R$2)),
  $H110 * (1 + Assumptions!$C$7) ^ INT(((YEAR(R$2)-YEAR($F110))*12 + MONTH(R$2)-MONTH($F110)) / 12),
  0)</f>
        <v/>
      </c>
      <c r="S110" s="299">
        <f>IF(AND($F110&lt;=S$2, OR($G110="",$G110&gt;=S$2)),
  $H110 * (1 + Assumptions!$C$7) ^ INT(((YEAR(S$2)-YEAR($F110))*12 + MONTH(S$2)-MONTH($F110)) / 12),
  0)</f>
        <v/>
      </c>
      <c r="T110" s="299">
        <f>IF(AND($F110&lt;=T$2, OR($G110="",$G110&gt;=T$2)),
  $H110 * (1 + Assumptions!$C$7) ^ INT(((YEAR(T$2)-YEAR($F110))*12 + MONTH(T$2)-MONTH($F110)) / 12),
  0)</f>
        <v/>
      </c>
      <c r="U110" s="299">
        <f>IF(AND($F110&lt;=U$2, OR($G110="",$G110&gt;=U$2)),
  $H110 * (1 + Assumptions!$C$7) ^ INT(((YEAR(U$2)-YEAR($F110))*12 + MONTH(U$2)-MONTH($F110)) / 12),
  0)</f>
        <v/>
      </c>
      <c r="V110" s="299">
        <f>IF(AND($F110&lt;=V$2, OR($G110="",$G110&gt;=V$2)),
  $H110 * (1 + Assumptions!$C$7) ^ INT(((YEAR(V$2)-YEAR($F110))*12 + MONTH(V$2)-MONTH($F110)) / 12),
  0)</f>
        <v/>
      </c>
      <c r="W110" s="299">
        <f>IF(AND($F110&lt;=W$2, OR($G110="",$G110&gt;=W$2)),
  $H110 * (1 + Assumptions!$C$7) ^ INT(((YEAR(W$2)-YEAR($F110))*12 + MONTH(W$2)-MONTH($F110)) / 12),
  0)</f>
        <v/>
      </c>
      <c r="X110" s="299">
        <f>IF(AND($F110&lt;=X$2, OR($G110="",$G110&gt;=X$2)),
  $H110 * (1 + Assumptions!$C$7) ^ INT(((YEAR(X$2)-YEAR($F110))*12 + MONTH(X$2)-MONTH($F110)) / 12),
  0)</f>
        <v/>
      </c>
      <c r="Y110" s="299">
        <f>IF(AND($F110&lt;=Y$2, OR($G110="",$G110&gt;=Y$2)),
  $H110 * (1 + Assumptions!$C$7) ^ INT(((YEAR(Y$2)-YEAR($F110))*12 + MONTH(Y$2)-MONTH($F110)) / 12),
  0)</f>
        <v/>
      </c>
      <c r="Z110" s="299">
        <f>IF(AND($F110&lt;=Z$2, OR($G110="",$G110&gt;=Z$2)),
  $H110 * (1 + Assumptions!$C$7) ^ INT(((YEAR(Z$2)-YEAR($F110))*12 + MONTH(Z$2)-MONTH($F110)) / 12),
  0)</f>
        <v/>
      </c>
      <c r="AA110" s="299">
        <f>IF(AND($F110&lt;=AA$2, OR($G110="",$G110&gt;=AA$2)),
  $H110 * (1 + Assumptions!$C$7) ^ INT(((YEAR(AA$2)-YEAR($F110))*12 + MONTH(AA$2)-MONTH($F110)) / 12),
  0)</f>
        <v/>
      </c>
      <c r="AB110" s="299">
        <f>IF(AND($F110&lt;=AB$2, OR($G110="",$G110&gt;=AB$2)),
  $H110 * (1 + Assumptions!$C$7) ^ INT(((YEAR(AB$2)-YEAR($F110))*12 + MONTH(AB$2)-MONTH($F110)) / 12),
  0)</f>
        <v/>
      </c>
      <c r="AC110" s="299">
        <f>IF(AND($F110&lt;=AC$2, OR($G110="",$G110&gt;=AC$2)),
  $H110 * (1 + Assumptions!$C$7) ^ INT(((YEAR(AC$2)-YEAR($F110))*12 + MONTH(AC$2)-MONTH($F110)) / 12),
  0)</f>
        <v/>
      </c>
      <c r="AD110" s="299">
        <f>IF(AND($F110&lt;=AD$2, OR($G110="",$G110&gt;=AD$2)),
  $H110 * (1 + Assumptions!$C$7) ^ INT(((YEAR(AD$2)-YEAR($F110))*12 + MONTH(AD$2)-MONTH($F110)) / 12),
  0)</f>
        <v/>
      </c>
      <c r="AE110" s="299">
        <f>IF(AND($F110&lt;=AE$2, OR($G110="",$G110&gt;=AE$2)),
  $H110 * (1 + Assumptions!$C$7) ^ INT(((YEAR(AE$2)-YEAR($F110))*12 + MONTH(AE$2)-MONTH($F110)) / 12),
  0)</f>
        <v/>
      </c>
      <c r="AF110" s="299">
        <f>IF(AND($F110&lt;=AF$2, OR($G110="",$G110&gt;=AF$2)),
  $H110 * (1 + Assumptions!$C$7) ^ INT(((YEAR(AF$2)-YEAR($F110))*12 + MONTH(AF$2)-MONTH($F110)) / 12),
  0)</f>
        <v/>
      </c>
      <c r="AG110" s="299">
        <f>IF(AND($F110&lt;=AG$2, OR($G110="",$G110&gt;=AG$2)),
  $H110 * (1 + Assumptions!$C$7) ^ INT(((YEAR(AG$2)-YEAR($F110))*12 + MONTH(AG$2)-MONTH($F110)) / 12),
  0)</f>
        <v/>
      </c>
      <c r="AH110" s="299">
        <f>IF(AND($F110&lt;=AH$2, OR($G110="",$G110&gt;=AH$2)),
  $H110 * (1 + Assumptions!$C$7) ^ INT(((YEAR(AH$2)-YEAR($F110))*12 + MONTH(AH$2)-MONTH($F110)) / 12),
  0)</f>
        <v/>
      </c>
      <c r="AI110" s="299">
        <f>IF(AND($F110&lt;=AI$2, OR($G110="",$G110&gt;=AI$2)),
  $H110 * (1 + Assumptions!$C$7) ^ INT(((YEAR(AI$2)-YEAR($F110))*12 + MONTH(AI$2)-MONTH($F110)) / 12),
  0)</f>
        <v/>
      </c>
      <c r="AJ110" s="299">
        <f>IF(AND($F110&lt;=AJ$2, OR($G110="",$G110&gt;=AJ$2)),
  $H110 * (1 + Assumptions!$C$7) ^ INT(((YEAR(AJ$2)-YEAR($F110))*12 + MONTH(AJ$2)-MONTH($F110)) / 12),
  0)</f>
        <v/>
      </c>
      <c r="AK110" s="299">
        <f>IF(AND($F110&lt;=AK$2, OR($G110="",$G110&gt;=AK$2)),
  $H110 * (1 + Assumptions!$C$7) ^ INT(((YEAR(AK$2)-YEAR($F110))*12 + MONTH(AK$2)-MONTH($F110)) / 12),
  0)</f>
        <v/>
      </c>
      <c r="AL110" s="299">
        <f>IF(AND($F110&lt;=AL$2, OR($G110="",$G110&gt;=AL$2)),
  $H110 * (1 + Assumptions!$C$7) ^ INT(((YEAR(AL$2)-YEAR($F110))*12 + MONTH(AL$2)-MONTH($F110)) / 12),
  0)</f>
        <v/>
      </c>
      <c r="AM110" s="299">
        <f>IF(AND($F110&lt;=AM$2, OR($G110="",$G110&gt;=AM$2)),
  $H110 * (1 + Assumptions!$C$7) ^ INT(((YEAR(AM$2)-YEAR($F110))*12 + MONTH(AM$2)-MONTH($F110)) / 12),
  0)</f>
        <v/>
      </c>
      <c r="AN110" s="299">
        <f>IF(AND($F110&lt;=AN$2, OR($G110="",$G110&gt;=AN$2)),
  $H110 * (1 + Assumptions!$C$7) ^ INT(((YEAR(AN$2)-YEAR($F110))*12 + MONTH(AN$2)-MONTH($F110)) / 12),
  0)</f>
        <v/>
      </c>
      <c r="AO110" s="299">
        <f>IF(AND($F110&lt;=AO$2, OR($G110="",$G110&gt;=AO$2)),
  $H110 * (1 + Assumptions!$C$7) ^ INT(((YEAR(AO$2)-YEAR($F110))*12 + MONTH(AO$2)-MONTH($F110)) / 12),
  0)</f>
        <v/>
      </c>
      <c r="AP110" s="299">
        <f>IF(AND($F110&lt;=AP$2, OR($G110="",$G110&gt;=AP$2)),
  $H110 * (1 + Assumptions!$C$7) ^ INT(((YEAR(AP$2)-YEAR($F110))*12 + MONTH(AP$2)-MONTH($F110)) / 12),
  0)</f>
        <v/>
      </c>
      <c r="AQ110" s="299">
        <f>IF(AND($F110&lt;=AQ$2, OR($G110="",$G110&gt;=AQ$2)),
  $H110 * (1 + Assumptions!$C$7) ^ INT(((YEAR(AQ$2)-YEAR($F110))*12 + MONTH(AQ$2)-MONTH($F110)) / 12),
  0)</f>
        <v/>
      </c>
      <c r="AR110" s="299">
        <f>IF(AND($F110&lt;=AR$2, OR($G110="",$G110&gt;=AR$2)),
  $H110 * (1 + Assumptions!$C$7) ^ INT(((YEAR(AR$2)-YEAR($F110))*12 + MONTH(AR$2)-MONTH($F110)) / 12),
  0)</f>
        <v/>
      </c>
      <c r="AS110" s="299">
        <f>IF(AND($F110&lt;=AS$2, OR($G110="",$G110&gt;=AS$2)),
  $H110 * (1 + Assumptions!$C$7) ^ INT(((YEAR(AS$2)-YEAR($F110))*12 + MONTH(AS$2)-MONTH($F110)) / 12),
  0)</f>
        <v/>
      </c>
      <c r="AT110" s="299">
        <f>IF(AND($F110&lt;=AT$2, OR($G110="",$G110&gt;=AT$2)),
  $H110 * (1 + Assumptions!$C$7) ^ INT(((YEAR(AT$2)-YEAR($F110))*12 + MONTH(AT$2)-MONTH($F110)) / 12),
  0)</f>
        <v/>
      </c>
      <c r="AU110" s="299">
        <f>IF(AND($F110&lt;=AU$2, OR($G110="",$G110&gt;=AU$2)),
  $H110 * (1 + Assumptions!$C$7) ^ INT(((YEAR(AU$2)-YEAR($F110))*12 + MONTH(AU$2)-MONTH($F110)) / 12),
  0)</f>
        <v/>
      </c>
      <c r="AV110" s="299">
        <f>IF(AND($F110&lt;=AV$2, OR($G110="",$G110&gt;=AV$2)),
  $H110 * (1 + Assumptions!$C$7) ^ INT(((YEAR(AV$2)-YEAR($F110))*12 + MONTH(AV$2)-MONTH($F110)) / 12),
  0)</f>
        <v/>
      </c>
      <c r="AW110" s="299">
        <f>IF(AND($F110&lt;=AW$2, OR($G110="",$G110&gt;=AW$2)),
  $H110 * (1 + Assumptions!$C$7) ^ INT(((YEAR(AW$2)-YEAR($F110))*12 + MONTH(AW$2)-MONTH($F110)) / 12),
  0)</f>
        <v/>
      </c>
      <c r="AX110" s="299">
        <f>IF(AND($F110&lt;=AX$2, OR($G110="",$G110&gt;=AX$2)),
  $H110 * (1 + Assumptions!$C$7) ^ INT(((YEAR(AX$2)-YEAR($F110))*12 + MONTH(AX$2)-MONTH($F110)) / 12),
  0)</f>
        <v/>
      </c>
      <c r="AY110" s="299">
        <f>IF(AND($F110&lt;=AY$2, OR($G110="",$G110&gt;=AY$2)),
  $H110 * (1 + Assumptions!$C$7) ^ INT(((YEAR(AY$2)-YEAR($F110))*12 + MONTH(AY$2)-MONTH($F110)) / 12),
  0)</f>
        <v/>
      </c>
      <c r="AZ110" s="299">
        <f>IF(AND($F110&lt;=AZ$2, OR($G110="",$G110&gt;=AZ$2)),
  $H110 * (1 + Assumptions!$C$7) ^ INT(((YEAR(AZ$2)-YEAR($F110))*12 + MONTH(AZ$2)-MONTH($F110)) / 12),
  0)</f>
        <v/>
      </c>
      <c r="BA110" s="299">
        <f>IF(AND($F110&lt;=BA$2, OR($G110="",$G110&gt;=BA$2)),
  $H110 * (1 + Assumptions!$C$7) ^ INT(((YEAR(BA$2)-YEAR($F110))*12 + MONTH(BA$2)-MONTH($F110)) / 12),
  0)</f>
        <v/>
      </c>
      <c r="BB110" s="299">
        <f>IF(AND($F110&lt;=BB$2, OR($G110="",$G110&gt;=BB$2)),
  $H110 * (1 + Assumptions!$C$7) ^ INT(((YEAR(BB$2)-YEAR($F110))*12 + MONTH(BB$2)-MONTH($F110)) / 12),
  0)</f>
        <v/>
      </c>
      <c r="BC110" s="299">
        <f>IF(AND($F110&lt;=BC$2, OR($G110="",$G110&gt;=BC$2)),
  $H110 * (1 + Assumptions!$C$7) ^ INT(((YEAR(BC$2)-YEAR($F110))*12 + MONTH(BC$2)-MONTH($F110)) / 12),
  0)</f>
        <v/>
      </c>
      <c r="BD110" s="299">
        <f>IF(AND($F110&lt;=BD$2, OR($G110="",$G110&gt;=BD$2)),
  $H110 * (1 + Assumptions!$C$7) ^ INT(((YEAR(BD$2)-YEAR($F110))*12 + MONTH(BD$2)-MONTH($F110)) / 12),
  0)</f>
        <v/>
      </c>
      <c r="BE110" s="299">
        <f>IF(AND($F110&lt;=BE$2, OR($G110="",$G110&gt;=BE$2)),
  $H110 * (1 + Assumptions!$C$7) ^ INT(((YEAR(BE$2)-YEAR($F110))*12 + MONTH(BE$2)-MONTH($F110)) / 12),
  0)</f>
        <v/>
      </c>
      <c r="BF110" s="299">
        <f>IF(AND($F110&lt;=BF$2, OR($G110="",$G110&gt;=BF$2)),
  $H110 * (1 + Assumptions!$C$7) ^ INT(((YEAR(BF$2)-YEAR($F110))*12 + MONTH(BF$2)-MONTH($F110)) / 12),
  0)</f>
        <v/>
      </c>
      <c r="BG110" s="299">
        <f>IF(AND($F110&lt;=BG$2, OR($G110="",$G110&gt;=BG$2)),
  $H110 * (1 + Assumptions!$C$7) ^ INT(((YEAR(BG$2)-YEAR($F110))*12 + MONTH(BG$2)-MONTH($F110)) / 12),
  0)</f>
        <v/>
      </c>
      <c r="BH110" s="299">
        <f>IF(AND($F110&lt;=BH$2, OR($G110="",$G110&gt;=BH$2)),
  $H110 * (1 + Assumptions!$C$7) ^ INT(((YEAR(BH$2)-YEAR($F110))*12 + MONTH(BH$2)-MONTH($F110)) / 12),
  0)</f>
        <v/>
      </c>
      <c r="BI110" s="299">
        <f>IF(AND($F110&lt;=BI$2, OR($G110="",$G110&gt;=BI$2)),
  $H110 * (1 + Assumptions!$C$7) ^ INT(((YEAR(BI$2)-YEAR($F110))*12 + MONTH(BI$2)-MONTH($F110)) / 12),
  0)</f>
        <v/>
      </c>
      <c r="BJ110" s="299">
        <f>IF(AND($F110&lt;=BJ$2, OR($G110="",$G110&gt;=BJ$2)),
  $H110 * (1 + Assumptions!$C$7) ^ INT(((YEAR(BJ$2)-YEAR($F110))*12 + MONTH(BJ$2)-MONTH($F110)) / 12),
  0)</f>
        <v/>
      </c>
      <c r="BK110" s="299">
        <f>IF(AND($F110&lt;=BK$2, OR($G110="",$G110&gt;=BK$2)),
  $H110 * (1 + Assumptions!$C$7) ^ INT(((YEAR(BK$2)-YEAR($F110))*12 + MONTH(BK$2)-MONTH($F110)) / 12),
  0)</f>
        <v/>
      </c>
      <c r="BL110" s="299">
        <f>IF(AND($F110&lt;=BL$2, OR($G110="",$G110&gt;=BL$2)),
  $H110 * (1 + Assumptions!$C$7) ^ INT(((YEAR(BL$2)-YEAR($F110))*12 + MONTH(BL$2)-MONTH($F110)) / 12),
  0)</f>
        <v/>
      </c>
      <c r="BM110" s="299">
        <f>IF(AND($F110&lt;=BM$2, OR($G110="",$G110&gt;=BM$2)),
  $H110 * (1 + Assumptions!$C$7) ^ INT(((YEAR(BM$2)-YEAR($F110))*12 + MONTH(BM$2)-MONTH($F110)) / 12),
  0)</f>
        <v/>
      </c>
      <c r="BN110" s="299">
        <f>IF(AND($F110&lt;=BN$2, OR($G110="",$G110&gt;=BN$2)),
  $H110 * (1 + Assumptions!$C$7) ^ INT(((YEAR(BN$2)-YEAR($F110))*12 + MONTH(BN$2)-MONTH($F110)) / 12),
  0)</f>
        <v/>
      </c>
      <c r="BO110" s="299">
        <f>IF(AND($F110&lt;=BO$2, OR($G110="",$G110&gt;=BO$2)),
  $H110 * (1 + Assumptions!$C$7) ^ INT(((YEAR(BO$2)-YEAR($F110))*12 + MONTH(BO$2)-MONTH($F110)) / 12),
  0)</f>
        <v/>
      </c>
      <c r="BP110" s="299">
        <f>IF(AND($F110&lt;=BP$2, OR($G110="",$G110&gt;=BP$2)),
  $H110 * (1 + Assumptions!$C$7) ^ INT(((YEAR(BP$2)-YEAR($F110))*12 + MONTH(BP$2)-MONTH($F110)) / 12),
  0)</f>
        <v/>
      </c>
      <c r="BQ110" s="31" t="n"/>
      <c r="BR110" s="31" t="n"/>
      <c r="BS110" s="31" t="n"/>
      <c r="BT110" s="31" t="n"/>
    </row>
    <row r="111" ht="15.75" customHeight="1" s="349">
      <c r="A111" s="321" t="n">
        <v>106</v>
      </c>
      <c r="B111" s="285" t="inlineStr">
        <is>
          <t>New hire</t>
        </is>
      </c>
      <c r="C111" s="317" t="inlineStr">
        <is>
          <t>G&amp;A</t>
        </is>
      </c>
      <c r="D111" s="317" t="inlineStr">
        <is>
          <t>Production Operator</t>
        </is>
      </c>
      <c r="E111" s="297" t="inlineStr">
        <is>
          <t>Planned</t>
        </is>
      </c>
      <c r="F111" s="318">
        <f>IF(Assumptions!$D$82=2,DATE(2028,7,1),DATE(2035,1,1))</f>
        <v/>
      </c>
      <c r="G111" s="318" t="n"/>
      <c r="H111" s="288" t="n">
        <v>5000</v>
      </c>
      <c r="I111" s="299">
        <f>IF(AND($F111&lt;=I$2, OR($G111="",$G111&gt;=I$2)),
  $H111 * (1 + Assumptions!$C$7) ^ INT(((YEAR(I$2)-YEAR($F111))*12 + MONTH(I$2)-MONTH($F111)) / 12),
  0)</f>
        <v/>
      </c>
      <c r="J111" s="299">
        <f>IF(AND($F111&lt;=J$2, OR($G111="",$G111&gt;=J$2)),
  $H111 * (1 + Assumptions!$C$7) ^ INT(((YEAR(J$2)-YEAR($F111))*12 + MONTH(J$2)-MONTH($F111)) / 12),
  0)</f>
        <v/>
      </c>
      <c r="K111" s="299">
        <f>IF(AND($F111&lt;=K$2, OR($G111="",$G111&gt;=K$2)),
  $H111 * (1 + Assumptions!$C$7) ^ INT(((YEAR(K$2)-YEAR($F111))*12 + MONTH(K$2)-MONTH($F111)) / 12),
  0)</f>
        <v/>
      </c>
      <c r="L111" s="299">
        <f>IF(AND($F111&lt;=L$2, OR($G111="",$G111&gt;=L$2)),
  $H111 * (1 + Assumptions!$C$7) ^ INT(((YEAR(L$2)-YEAR($F111))*12 + MONTH(L$2)-MONTH($F111)) / 12),
  0)</f>
        <v/>
      </c>
      <c r="M111" s="299">
        <f>IF(AND($F111&lt;=M$2, OR($G111="",$G111&gt;=M$2)),
  $H111 * (1 + Assumptions!$C$7) ^ INT(((YEAR(M$2)-YEAR($F111))*12 + MONTH(M$2)-MONTH($F111)) / 12),
  0)</f>
        <v/>
      </c>
      <c r="N111" s="299">
        <f>IF(AND($F111&lt;=N$2, OR($G111="",$G111&gt;=N$2)),
  $H111 * (1 + Assumptions!$C$7) ^ INT(((YEAR(N$2)-YEAR($F111))*12 + MONTH(N$2)-MONTH($F111)) / 12),
  0)</f>
        <v/>
      </c>
      <c r="O111" s="299">
        <f>IF(AND($F111&lt;=O$2, OR($G111="",$G111&gt;=O$2)),
  $H111 * (1 + Assumptions!$C$7) ^ INT(((YEAR(O$2)-YEAR($F111))*12 + MONTH(O$2)-MONTH($F111)) / 12),
  0)</f>
        <v/>
      </c>
      <c r="P111" s="299">
        <f>IF(AND($F111&lt;=P$2, OR($G111="",$G111&gt;=P$2)),
  $H111 * (1 + Assumptions!$C$7) ^ INT(((YEAR(P$2)-YEAR($F111))*12 + MONTH(P$2)-MONTH($F111)) / 12),
  0)</f>
        <v/>
      </c>
      <c r="Q111" s="299">
        <f>IF(AND($F111&lt;=Q$2, OR($G111="",$G111&gt;=Q$2)),
  $H111 * (1 + Assumptions!$C$7) ^ INT(((YEAR(Q$2)-YEAR($F111))*12 + MONTH(Q$2)-MONTH($F111)) / 12),
  0)</f>
        <v/>
      </c>
      <c r="R111" s="299">
        <f>IF(AND($F111&lt;=R$2, OR($G111="",$G111&gt;=R$2)),
  $H111 * (1 + Assumptions!$C$7) ^ INT(((YEAR(R$2)-YEAR($F111))*12 + MONTH(R$2)-MONTH($F111)) / 12),
  0)</f>
        <v/>
      </c>
      <c r="S111" s="299">
        <f>IF(AND($F111&lt;=S$2, OR($G111="",$G111&gt;=S$2)),
  $H111 * (1 + Assumptions!$C$7) ^ INT(((YEAR(S$2)-YEAR($F111))*12 + MONTH(S$2)-MONTH($F111)) / 12),
  0)</f>
        <v/>
      </c>
      <c r="T111" s="299">
        <f>IF(AND($F111&lt;=T$2, OR($G111="",$G111&gt;=T$2)),
  $H111 * (1 + Assumptions!$C$7) ^ INT(((YEAR(T$2)-YEAR($F111))*12 + MONTH(T$2)-MONTH($F111)) / 12),
  0)</f>
        <v/>
      </c>
      <c r="U111" s="299">
        <f>IF(AND($F111&lt;=U$2, OR($G111="",$G111&gt;=U$2)),
  $H111 * (1 + Assumptions!$C$7) ^ INT(((YEAR(U$2)-YEAR($F111))*12 + MONTH(U$2)-MONTH($F111)) / 12),
  0)</f>
        <v/>
      </c>
      <c r="V111" s="299">
        <f>IF(AND($F111&lt;=V$2, OR($G111="",$G111&gt;=V$2)),
  $H111 * (1 + Assumptions!$C$7) ^ INT(((YEAR(V$2)-YEAR($F111))*12 + MONTH(V$2)-MONTH($F111)) / 12),
  0)</f>
        <v/>
      </c>
      <c r="W111" s="299">
        <f>IF(AND($F111&lt;=W$2, OR($G111="",$G111&gt;=W$2)),
  $H111 * (1 + Assumptions!$C$7) ^ INT(((YEAR(W$2)-YEAR($F111))*12 + MONTH(W$2)-MONTH($F111)) / 12),
  0)</f>
        <v/>
      </c>
      <c r="X111" s="299">
        <f>IF(AND($F111&lt;=X$2, OR($G111="",$G111&gt;=X$2)),
  $H111 * (1 + Assumptions!$C$7) ^ INT(((YEAR(X$2)-YEAR($F111))*12 + MONTH(X$2)-MONTH($F111)) / 12),
  0)</f>
        <v/>
      </c>
      <c r="Y111" s="299">
        <f>IF(AND($F111&lt;=Y$2, OR($G111="",$G111&gt;=Y$2)),
  $H111 * (1 + Assumptions!$C$7) ^ INT(((YEAR(Y$2)-YEAR($F111))*12 + MONTH(Y$2)-MONTH($F111)) / 12),
  0)</f>
        <v/>
      </c>
      <c r="Z111" s="299">
        <f>IF(AND($F111&lt;=Z$2, OR($G111="",$G111&gt;=Z$2)),
  $H111 * (1 + Assumptions!$C$7) ^ INT(((YEAR(Z$2)-YEAR($F111))*12 + MONTH(Z$2)-MONTH($F111)) / 12),
  0)</f>
        <v/>
      </c>
      <c r="AA111" s="299">
        <f>IF(AND($F111&lt;=AA$2, OR($G111="",$G111&gt;=AA$2)),
  $H111 * (1 + Assumptions!$C$7) ^ INT(((YEAR(AA$2)-YEAR($F111))*12 + MONTH(AA$2)-MONTH($F111)) / 12),
  0)</f>
        <v/>
      </c>
      <c r="AB111" s="299">
        <f>IF(AND($F111&lt;=AB$2, OR($G111="",$G111&gt;=AB$2)),
  $H111 * (1 + Assumptions!$C$7) ^ INT(((YEAR(AB$2)-YEAR($F111))*12 + MONTH(AB$2)-MONTH($F111)) / 12),
  0)</f>
        <v/>
      </c>
      <c r="AC111" s="299">
        <f>IF(AND($F111&lt;=AC$2, OR($G111="",$G111&gt;=AC$2)),
  $H111 * (1 + Assumptions!$C$7) ^ INT(((YEAR(AC$2)-YEAR($F111))*12 + MONTH(AC$2)-MONTH($F111)) / 12),
  0)</f>
        <v/>
      </c>
      <c r="AD111" s="299">
        <f>IF(AND($F111&lt;=AD$2, OR($G111="",$G111&gt;=AD$2)),
  $H111 * (1 + Assumptions!$C$7) ^ INT(((YEAR(AD$2)-YEAR($F111))*12 + MONTH(AD$2)-MONTH($F111)) / 12),
  0)</f>
        <v/>
      </c>
      <c r="AE111" s="299">
        <f>IF(AND($F111&lt;=AE$2, OR($G111="",$G111&gt;=AE$2)),
  $H111 * (1 + Assumptions!$C$7) ^ INT(((YEAR(AE$2)-YEAR($F111))*12 + MONTH(AE$2)-MONTH($F111)) / 12),
  0)</f>
        <v/>
      </c>
      <c r="AF111" s="299">
        <f>IF(AND($F111&lt;=AF$2, OR($G111="",$G111&gt;=AF$2)),
  $H111 * (1 + Assumptions!$C$7) ^ INT(((YEAR(AF$2)-YEAR($F111))*12 + MONTH(AF$2)-MONTH($F111)) / 12),
  0)</f>
        <v/>
      </c>
      <c r="AG111" s="299">
        <f>IF(AND($F111&lt;=AG$2, OR($G111="",$G111&gt;=AG$2)),
  $H111 * (1 + Assumptions!$C$7) ^ INT(((YEAR(AG$2)-YEAR($F111))*12 + MONTH(AG$2)-MONTH($F111)) / 12),
  0)</f>
        <v/>
      </c>
      <c r="AH111" s="299">
        <f>IF(AND($F111&lt;=AH$2, OR($G111="",$G111&gt;=AH$2)),
  $H111 * (1 + Assumptions!$C$7) ^ INT(((YEAR(AH$2)-YEAR($F111))*12 + MONTH(AH$2)-MONTH($F111)) / 12),
  0)</f>
        <v/>
      </c>
      <c r="AI111" s="299">
        <f>IF(AND($F111&lt;=AI$2, OR($G111="",$G111&gt;=AI$2)),
  $H111 * (1 + Assumptions!$C$7) ^ INT(((YEAR(AI$2)-YEAR($F111))*12 + MONTH(AI$2)-MONTH($F111)) / 12),
  0)</f>
        <v/>
      </c>
      <c r="AJ111" s="299">
        <f>IF(AND($F111&lt;=AJ$2, OR($G111="",$G111&gt;=AJ$2)),
  $H111 * (1 + Assumptions!$C$7) ^ INT(((YEAR(AJ$2)-YEAR($F111))*12 + MONTH(AJ$2)-MONTH($F111)) / 12),
  0)</f>
        <v/>
      </c>
      <c r="AK111" s="299">
        <f>IF(AND($F111&lt;=AK$2, OR($G111="",$G111&gt;=AK$2)),
  $H111 * (1 + Assumptions!$C$7) ^ INT(((YEAR(AK$2)-YEAR($F111))*12 + MONTH(AK$2)-MONTH($F111)) / 12),
  0)</f>
        <v/>
      </c>
      <c r="AL111" s="299">
        <f>IF(AND($F111&lt;=AL$2, OR($G111="",$G111&gt;=AL$2)),
  $H111 * (1 + Assumptions!$C$7) ^ INT(((YEAR(AL$2)-YEAR($F111))*12 + MONTH(AL$2)-MONTH($F111)) / 12),
  0)</f>
        <v/>
      </c>
      <c r="AM111" s="299">
        <f>IF(AND($F111&lt;=AM$2, OR($G111="",$G111&gt;=AM$2)),
  $H111 * (1 + Assumptions!$C$7) ^ INT(((YEAR(AM$2)-YEAR($F111))*12 + MONTH(AM$2)-MONTH($F111)) / 12),
  0)</f>
        <v/>
      </c>
      <c r="AN111" s="299">
        <f>IF(AND($F111&lt;=AN$2, OR($G111="",$G111&gt;=AN$2)),
  $H111 * (1 + Assumptions!$C$7) ^ INT(((YEAR(AN$2)-YEAR($F111))*12 + MONTH(AN$2)-MONTH($F111)) / 12),
  0)</f>
        <v/>
      </c>
      <c r="AO111" s="299">
        <f>IF(AND($F111&lt;=AO$2, OR($G111="",$G111&gt;=AO$2)),
  $H111 * (1 + Assumptions!$C$7) ^ INT(((YEAR(AO$2)-YEAR($F111))*12 + MONTH(AO$2)-MONTH($F111)) / 12),
  0)</f>
        <v/>
      </c>
      <c r="AP111" s="299">
        <f>IF(AND($F111&lt;=AP$2, OR($G111="",$G111&gt;=AP$2)),
  $H111 * (1 + Assumptions!$C$7) ^ INT(((YEAR(AP$2)-YEAR($F111))*12 + MONTH(AP$2)-MONTH($F111)) / 12),
  0)</f>
        <v/>
      </c>
      <c r="AQ111" s="299">
        <f>IF(AND($F111&lt;=AQ$2, OR($G111="",$G111&gt;=AQ$2)),
  $H111 * (1 + Assumptions!$C$7) ^ INT(((YEAR(AQ$2)-YEAR($F111))*12 + MONTH(AQ$2)-MONTH($F111)) / 12),
  0)</f>
        <v/>
      </c>
      <c r="AR111" s="299">
        <f>IF(AND($F111&lt;=AR$2, OR($G111="",$G111&gt;=AR$2)),
  $H111 * (1 + Assumptions!$C$7) ^ INT(((YEAR(AR$2)-YEAR($F111))*12 + MONTH(AR$2)-MONTH($F111)) / 12),
  0)</f>
        <v/>
      </c>
      <c r="AS111" s="299">
        <f>IF(AND($F111&lt;=AS$2, OR($G111="",$G111&gt;=AS$2)),
  $H111 * (1 + Assumptions!$C$7) ^ INT(((YEAR(AS$2)-YEAR($F111))*12 + MONTH(AS$2)-MONTH($F111)) / 12),
  0)</f>
        <v/>
      </c>
      <c r="AT111" s="299">
        <f>IF(AND($F111&lt;=AT$2, OR($G111="",$G111&gt;=AT$2)),
  $H111 * (1 + Assumptions!$C$7) ^ INT(((YEAR(AT$2)-YEAR($F111))*12 + MONTH(AT$2)-MONTH($F111)) / 12),
  0)</f>
        <v/>
      </c>
      <c r="AU111" s="299">
        <f>IF(AND($F111&lt;=AU$2, OR($G111="",$G111&gt;=AU$2)),
  $H111 * (1 + Assumptions!$C$7) ^ INT(((YEAR(AU$2)-YEAR($F111))*12 + MONTH(AU$2)-MONTH($F111)) / 12),
  0)</f>
        <v/>
      </c>
      <c r="AV111" s="299">
        <f>IF(AND($F111&lt;=AV$2, OR($G111="",$G111&gt;=AV$2)),
  $H111 * (1 + Assumptions!$C$7) ^ INT(((YEAR(AV$2)-YEAR($F111))*12 + MONTH(AV$2)-MONTH($F111)) / 12),
  0)</f>
        <v/>
      </c>
      <c r="AW111" s="299">
        <f>IF(AND($F111&lt;=AW$2, OR($G111="",$G111&gt;=AW$2)),
  $H111 * (1 + Assumptions!$C$7) ^ INT(((YEAR(AW$2)-YEAR($F111))*12 + MONTH(AW$2)-MONTH($F111)) / 12),
  0)</f>
        <v/>
      </c>
      <c r="AX111" s="299">
        <f>IF(AND($F111&lt;=AX$2, OR($G111="",$G111&gt;=AX$2)),
  $H111 * (1 + Assumptions!$C$7) ^ INT(((YEAR(AX$2)-YEAR($F111))*12 + MONTH(AX$2)-MONTH($F111)) / 12),
  0)</f>
        <v/>
      </c>
      <c r="AY111" s="299">
        <f>IF(AND($F111&lt;=AY$2, OR($G111="",$G111&gt;=AY$2)),
  $H111 * (1 + Assumptions!$C$7) ^ INT(((YEAR(AY$2)-YEAR($F111))*12 + MONTH(AY$2)-MONTH($F111)) / 12),
  0)</f>
        <v/>
      </c>
      <c r="AZ111" s="299">
        <f>IF(AND($F111&lt;=AZ$2, OR($G111="",$G111&gt;=AZ$2)),
  $H111 * (1 + Assumptions!$C$7) ^ INT(((YEAR(AZ$2)-YEAR($F111))*12 + MONTH(AZ$2)-MONTH($F111)) / 12),
  0)</f>
        <v/>
      </c>
      <c r="BA111" s="299">
        <f>IF(AND($F111&lt;=BA$2, OR($G111="",$G111&gt;=BA$2)),
  $H111 * (1 + Assumptions!$C$7) ^ INT(((YEAR(BA$2)-YEAR($F111))*12 + MONTH(BA$2)-MONTH($F111)) / 12),
  0)</f>
        <v/>
      </c>
      <c r="BB111" s="299">
        <f>IF(AND($F111&lt;=BB$2, OR($G111="",$G111&gt;=BB$2)),
  $H111 * (1 + Assumptions!$C$7) ^ INT(((YEAR(BB$2)-YEAR($F111))*12 + MONTH(BB$2)-MONTH($F111)) / 12),
  0)</f>
        <v/>
      </c>
      <c r="BC111" s="299">
        <f>IF(AND($F111&lt;=BC$2, OR($G111="",$G111&gt;=BC$2)),
  $H111 * (1 + Assumptions!$C$7) ^ INT(((YEAR(BC$2)-YEAR($F111))*12 + MONTH(BC$2)-MONTH($F111)) / 12),
  0)</f>
        <v/>
      </c>
      <c r="BD111" s="299">
        <f>IF(AND($F111&lt;=BD$2, OR($G111="",$G111&gt;=BD$2)),
  $H111 * (1 + Assumptions!$C$7) ^ INT(((YEAR(BD$2)-YEAR($F111))*12 + MONTH(BD$2)-MONTH($F111)) / 12),
  0)</f>
        <v/>
      </c>
      <c r="BE111" s="299">
        <f>IF(AND($F111&lt;=BE$2, OR($G111="",$G111&gt;=BE$2)),
  $H111 * (1 + Assumptions!$C$7) ^ INT(((YEAR(BE$2)-YEAR($F111))*12 + MONTH(BE$2)-MONTH($F111)) / 12),
  0)</f>
        <v/>
      </c>
      <c r="BF111" s="299">
        <f>IF(AND($F111&lt;=BF$2, OR($G111="",$G111&gt;=BF$2)),
  $H111 * (1 + Assumptions!$C$7) ^ INT(((YEAR(BF$2)-YEAR($F111))*12 + MONTH(BF$2)-MONTH($F111)) / 12),
  0)</f>
        <v/>
      </c>
      <c r="BG111" s="299">
        <f>IF(AND($F111&lt;=BG$2, OR($G111="",$G111&gt;=BG$2)),
  $H111 * (1 + Assumptions!$C$7) ^ INT(((YEAR(BG$2)-YEAR($F111))*12 + MONTH(BG$2)-MONTH($F111)) / 12),
  0)</f>
        <v/>
      </c>
      <c r="BH111" s="299">
        <f>IF(AND($F111&lt;=BH$2, OR($G111="",$G111&gt;=BH$2)),
  $H111 * (1 + Assumptions!$C$7) ^ INT(((YEAR(BH$2)-YEAR($F111))*12 + MONTH(BH$2)-MONTH($F111)) / 12),
  0)</f>
        <v/>
      </c>
      <c r="BI111" s="299">
        <f>IF(AND($F111&lt;=BI$2, OR($G111="",$G111&gt;=BI$2)),
  $H111 * (1 + Assumptions!$C$7) ^ INT(((YEAR(BI$2)-YEAR($F111))*12 + MONTH(BI$2)-MONTH($F111)) / 12),
  0)</f>
        <v/>
      </c>
      <c r="BJ111" s="299">
        <f>IF(AND($F111&lt;=BJ$2, OR($G111="",$G111&gt;=BJ$2)),
  $H111 * (1 + Assumptions!$C$7) ^ INT(((YEAR(BJ$2)-YEAR($F111))*12 + MONTH(BJ$2)-MONTH($F111)) / 12),
  0)</f>
        <v/>
      </c>
      <c r="BK111" s="299">
        <f>IF(AND($F111&lt;=BK$2, OR($G111="",$G111&gt;=BK$2)),
  $H111 * (1 + Assumptions!$C$7) ^ INT(((YEAR(BK$2)-YEAR($F111))*12 + MONTH(BK$2)-MONTH($F111)) / 12),
  0)</f>
        <v/>
      </c>
      <c r="BL111" s="299">
        <f>IF(AND($F111&lt;=BL$2, OR($G111="",$G111&gt;=BL$2)),
  $H111 * (1 + Assumptions!$C$7) ^ INT(((YEAR(BL$2)-YEAR($F111))*12 + MONTH(BL$2)-MONTH($F111)) / 12),
  0)</f>
        <v/>
      </c>
      <c r="BM111" s="299">
        <f>IF(AND($F111&lt;=BM$2, OR($G111="",$G111&gt;=BM$2)),
  $H111 * (1 + Assumptions!$C$7) ^ INT(((YEAR(BM$2)-YEAR($F111))*12 + MONTH(BM$2)-MONTH($F111)) / 12),
  0)</f>
        <v/>
      </c>
      <c r="BN111" s="299">
        <f>IF(AND($F111&lt;=BN$2, OR($G111="",$G111&gt;=BN$2)),
  $H111 * (1 + Assumptions!$C$7) ^ INT(((YEAR(BN$2)-YEAR($F111))*12 + MONTH(BN$2)-MONTH($F111)) / 12),
  0)</f>
        <v/>
      </c>
      <c r="BO111" s="299">
        <f>IF(AND($F111&lt;=BO$2, OR($G111="",$G111&gt;=BO$2)),
  $H111 * (1 + Assumptions!$C$7) ^ INT(((YEAR(BO$2)-YEAR($F111))*12 + MONTH(BO$2)-MONTH($F111)) / 12),
  0)</f>
        <v/>
      </c>
      <c r="BP111" s="299">
        <f>IF(AND($F111&lt;=BP$2, OR($G111="",$G111&gt;=BP$2)),
  $H111 * (1 + Assumptions!$C$7) ^ INT(((YEAR(BP$2)-YEAR($F111))*12 + MONTH(BP$2)-MONTH($F111)) / 12),
  0)</f>
        <v/>
      </c>
      <c r="BQ111" s="31" t="n"/>
      <c r="BR111" s="31" t="n"/>
      <c r="BS111" s="31" t="n"/>
      <c r="BT111" s="31" t="n"/>
    </row>
    <row r="112" ht="15.75" customHeight="1" s="349">
      <c r="A112" s="321" t="n">
        <v>107</v>
      </c>
      <c r="B112" s="285" t="inlineStr">
        <is>
          <t>New hire</t>
        </is>
      </c>
      <c r="C112" s="317" t="inlineStr">
        <is>
          <t>G&amp;A</t>
        </is>
      </c>
      <c r="D112" s="317" t="inlineStr">
        <is>
          <t>Production Operator</t>
        </is>
      </c>
      <c r="E112" s="297" t="inlineStr">
        <is>
          <t>Planned</t>
        </is>
      </c>
      <c r="F112" s="318">
        <f>IF(Assumptions!$D$82=2,DATE(2028,7,1),DATE(2035,1,1))</f>
        <v/>
      </c>
      <c r="G112" s="318" t="n"/>
      <c r="H112" s="288" t="n">
        <v>5000</v>
      </c>
      <c r="I112" s="299">
        <f>IF(AND($F112&lt;=I$2, OR($G112="",$G112&gt;=I$2)),
  $H112 * (1 + Assumptions!$C$7) ^ INT(((YEAR(I$2)-YEAR($F112))*12 + MONTH(I$2)-MONTH($F112)) / 12),
  0)</f>
        <v/>
      </c>
      <c r="J112" s="299">
        <f>IF(AND($F112&lt;=J$2, OR($G112="",$G112&gt;=J$2)),
  $H112 * (1 + Assumptions!$C$7) ^ INT(((YEAR(J$2)-YEAR($F112))*12 + MONTH(J$2)-MONTH($F112)) / 12),
  0)</f>
        <v/>
      </c>
      <c r="K112" s="299">
        <f>IF(AND($F112&lt;=K$2, OR($G112="",$G112&gt;=K$2)),
  $H112 * (1 + Assumptions!$C$7) ^ INT(((YEAR(K$2)-YEAR($F112))*12 + MONTH(K$2)-MONTH($F112)) / 12),
  0)</f>
        <v/>
      </c>
      <c r="L112" s="299">
        <f>IF(AND($F112&lt;=L$2, OR($G112="",$G112&gt;=L$2)),
  $H112 * (1 + Assumptions!$C$7) ^ INT(((YEAR(L$2)-YEAR($F112))*12 + MONTH(L$2)-MONTH($F112)) / 12),
  0)</f>
        <v/>
      </c>
      <c r="M112" s="299">
        <f>IF(AND($F112&lt;=M$2, OR($G112="",$G112&gt;=M$2)),
  $H112 * (1 + Assumptions!$C$7) ^ INT(((YEAR(M$2)-YEAR($F112))*12 + MONTH(M$2)-MONTH($F112)) / 12),
  0)</f>
        <v/>
      </c>
      <c r="N112" s="299">
        <f>IF(AND($F112&lt;=N$2, OR($G112="",$G112&gt;=N$2)),
  $H112 * (1 + Assumptions!$C$7) ^ INT(((YEAR(N$2)-YEAR($F112))*12 + MONTH(N$2)-MONTH($F112)) / 12),
  0)</f>
        <v/>
      </c>
      <c r="O112" s="299">
        <f>IF(AND($F112&lt;=O$2, OR($G112="",$G112&gt;=O$2)),
  $H112 * (1 + Assumptions!$C$7) ^ INT(((YEAR(O$2)-YEAR($F112))*12 + MONTH(O$2)-MONTH($F112)) / 12),
  0)</f>
        <v/>
      </c>
      <c r="P112" s="299">
        <f>IF(AND($F112&lt;=P$2, OR($G112="",$G112&gt;=P$2)),
  $H112 * (1 + Assumptions!$C$7) ^ INT(((YEAR(P$2)-YEAR($F112))*12 + MONTH(P$2)-MONTH($F112)) / 12),
  0)</f>
        <v/>
      </c>
      <c r="Q112" s="299">
        <f>IF(AND($F112&lt;=Q$2, OR($G112="",$G112&gt;=Q$2)),
  $H112 * (1 + Assumptions!$C$7) ^ INT(((YEAR(Q$2)-YEAR($F112))*12 + MONTH(Q$2)-MONTH($F112)) / 12),
  0)</f>
        <v/>
      </c>
      <c r="R112" s="299">
        <f>IF(AND($F112&lt;=R$2, OR($G112="",$G112&gt;=R$2)),
  $H112 * (1 + Assumptions!$C$7) ^ INT(((YEAR(R$2)-YEAR($F112))*12 + MONTH(R$2)-MONTH($F112)) / 12),
  0)</f>
        <v/>
      </c>
      <c r="S112" s="299">
        <f>IF(AND($F112&lt;=S$2, OR($G112="",$G112&gt;=S$2)),
  $H112 * (1 + Assumptions!$C$7) ^ INT(((YEAR(S$2)-YEAR($F112))*12 + MONTH(S$2)-MONTH($F112)) / 12),
  0)</f>
        <v/>
      </c>
      <c r="T112" s="299">
        <f>IF(AND($F112&lt;=T$2, OR($G112="",$G112&gt;=T$2)),
  $H112 * (1 + Assumptions!$C$7) ^ INT(((YEAR(T$2)-YEAR($F112))*12 + MONTH(T$2)-MONTH($F112)) / 12),
  0)</f>
        <v/>
      </c>
      <c r="U112" s="299">
        <f>IF(AND($F112&lt;=U$2, OR($G112="",$G112&gt;=U$2)),
  $H112 * (1 + Assumptions!$C$7) ^ INT(((YEAR(U$2)-YEAR($F112))*12 + MONTH(U$2)-MONTH($F112)) / 12),
  0)</f>
        <v/>
      </c>
      <c r="V112" s="299">
        <f>IF(AND($F112&lt;=V$2, OR($G112="",$G112&gt;=V$2)),
  $H112 * (1 + Assumptions!$C$7) ^ INT(((YEAR(V$2)-YEAR($F112))*12 + MONTH(V$2)-MONTH($F112)) / 12),
  0)</f>
        <v/>
      </c>
      <c r="W112" s="299">
        <f>IF(AND($F112&lt;=W$2, OR($G112="",$G112&gt;=W$2)),
  $H112 * (1 + Assumptions!$C$7) ^ INT(((YEAR(W$2)-YEAR($F112))*12 + MONTH(W$2)-MONTH($F112)) / 12),
  0)</f>
        <v/>
      </c>
      <c r="X112" s="299">
        <f>IF(AND($F112&lt;=X$2, OR($G112="",$G112&gt;=X$2)),
  $H112 * (1 + Assumptions!$C$7) ^ INT(((YEAR(X$2)-YEAR($F112))*12 + MONTH(X$2)-MONTH($F112)) / 12),
  0)</f>
        <v/>
      </c>
      <c r="Y112" s="299">
        <f>IF(AND($F112&lt;=Y$2, OR($G112="",$G112&gt;=Y$2)),
  $H112 * (1 + Assumptions!$C$7) ^ INT(((YEAR(Y$2)-YEAR($F112))*12 + MONTH(Y$2)-MONTH($F112)) / 12),
  0)</f>
        <v/>
      </c>
      <c r="Z112" s="299">
        <f>IF(AND($F112&lt;=Z$2, OR($G112="",$G112&gt;=Z$2)),
  $H112 * (1 + Assumptions!$C$7) ^ INT(((YEAR(Z$2)-YEAR($F112))*12 + MONTH(Z$2)-MONTH($F112)) / 12),
  0)</f>
        <v/>
      </c>
      <c r="AA112" s="299">
        <f>IF(AND($F112&lt;=AA$2, OR($G112="",$G112&gt;=AA$2)),
  $H112 * (1 + Assumptions!$C$7) ^ INT(((YEAR(AA$2)-YEAR($F112))*12 + MONTH(AA$2)-MONTH($F112)) / 12),
  0)</f>
        <v/>
      </c>
      <c r="AB112" s="299">
        <f>IF(AND($F112&lt;=AB$2, OR($G112="",$G112&gt;=AB$2)),
  $H112 * (1 + Assumptions!$C$7) ^ INT(((YEAR(AB$2)-YEAR($F112))*12 + MONTH(AB$2)-MONTH($F112)) / 12),
  0)</f>
        <v/>
      </c>
      <c r="AC112" s="299">
        <f>IF(AND($F112&lt;=AC$2, OR($G112="",$G112&gt;=AC$2)),
  $H112 * (1 + Assumptions!$C$7) ^ INT(((YEAR(AC$2)-YEAR($F112))*12 + MONTH(AC$2)-MONTH($F112)) / 12),
  0)</f>
        <v/>
      </c>
      <c r="AD112" s="299">
        <f>IF(AND($F112&lt;=AD$2, OR($G112="",$G112&gt;=AD$2)),
  $H112 * (1 + Assumptions!$C$7) ^ INT(((YEAR(AD$2)-YEAR($F112))*12 + MONTH(AD$2)-MONTH($F112)) / 12),
  0)</f>
        <v/>
      </c>
      <c r="AE112" s="299">
        <f>IF(AND($F112&lt;=AE$2, OR($G112="",$G112&gt;=AE$2)),
  $H112 * (1 + Assumptions!$C$7) ^ INT(((YEAR(AE$2)-YEAR($F112))*12 + MONTH(AE$2)-MONTH($F112)) / 12),
  0)</f>
        <v/>
      </c>
      <c r="AF112" s="299">
        <f>IF(AND($F112&lt;=AF$2, OR($G112="",$G112&gt;=AF$2)),
  $H112 * (1 + Assumptions!$C$7) ^ INT(((YEAR(AF$2)-YEAR($F112))*12 + MONTH(AF$2)-MONTH($F112)) / 12),
  0)</f>
        <v/>
      </c>
      <c r="AG112" s="299">
        <f>IF(AND($F112&lt;=AG$2, OR($G112="",$G112&gt;=AG$2)),
  $H112 * (1 + Assumptions!$C$7) ^ INT(((YEAR(AG$2)-YEAR($F112))*12 + MONTH(AG$2)-MONTH($F112)) / 12),
  0)</f>
        <v/>
      </c>
      <c r="AH112" s="299">
        <f>IF(AND($F112&lt;=AH$2, OR($G112="",$G112&gt;=AH$2)),
  $H112 * (1 + Assumptions!$C$7) ^ INT(((YEAR(AH$2)-YEAR($F112))*12 + MONTH(AH$2)-MONTH($F112)) / 12),
  0)</f>
        <v/>
      </c>
      <c r="AI112" s="299">
        <f>IF(AND($F112&lt;=AI$2, OR($G112="",$G112&gt;=AI$2)),
  $H112 * (1 + Assumptions!$C$7) ^ INT(((YEAR(AI$2)-YEAR($F112))*12 + MONTH(AI$2)-MONTH($F112)) / 12),
  0)</f>
        <v/>
      </c>
      <c r="AJ112" s="299">
        <f>IF(AND($F112&lt;=AJ$2, OR($G112="",$G112&gt;=AJ$2)),
  $H112 * (1 + Assumptions!$C$7) ^ INT(((YEAR(AJ$2)-YEAR($F112))*12 + MONTH(AJ$2)-MONTH($F112)) / 12),
  0)</f>
        <v/>
      </c>
      <c r="AK112" s="299">
        <f>IF(AND($F112&lt;=AK$2, OR($G112="",$G112&gt;=AK$2)),
  $H112 * (1 + Assumptions!$C$7) ^ INT(((YEAR(AK$2)-YEAR($F112))*12 + MONTH(AK$2)-MONTH($F112)) / 12),
  0)</f>
        <v/>
      </c>
      <c r="AL112" s="299">
        <f>IF(AND($F112&lt;=AL$2, OR($G112="",$G112&gt;=AL$2)),
  $H112 * (1 + Assumptions!$C$7) ^ INT(((YEAR(AL$2)-YEAR($F112))*12 + MONTH(AL$2)-MONTH($F112)) / 12),
  0)</f>
        <v/>
      </c>
      <c r="AM112" s="299">
        <f>IF(AND($F112&lt;=AM$2, OR($G112="",$G112&gt;=AM$2)),
  $H112 * (1 + Assumptions!$C$7) ^ INT(((YEAR(AM$2)-YEAR($F112))*12 + MONTH(AM$2)-MONTH($F112)) / 12),
  0)</f>
        <v/>
      </c>
      <c r="AN112" s="299">
        <f>IF(AND($F112&lt;=AN$2, OR($G112="",$G112&gt;=AN$2)),
  $H112 * (1 + Assumptions!$C$7) ^ INT(((YEAR(AN$2)-YEAR($F112))*12 + MONTH(AN$2)-MONTH($F112)) / 12),
  0)</f>
        <v/>
      </c>
      <c r="AO112" s="299">
        <f>IF(AND($F112&lt;=AO$2, OR($G112="",$G112&gt;=AO$2)),
  $H112 * (1 + Assumptions!$C$7) ^ INT(((YEAR(AO$2)-YEAR($F112))*12 + MONTH(AO$2)-MONTH($F112)) / 12),
  0)</f>
        <v/>
      </c>
      <c r="AP112" s="299">
        <f>IF(AND($F112&lt;=AP$2, OR($G112="",$G112&gt;=AP$2)),
  $H112 * (1 + Assumptions!$C$7) ^ INT(((YEAR(AP$2)-YEAR($F112))*12 + MONTH(AP$2)-MONTH($F112)) / 12),
  0)</f>
        <v/>
      </c>
      <c r="AQ112" s="299">
        <f>IF(AND($F112&lt;=AQ$2, OR($G112="",$G112&gt;=AQ$2)),
  $H112 * (1 + Assumptions!$C$7) ^ INT(((YEAR(AQ$2)-YEAR($F112))*12 + MONTH(AQ$2)-MONTH($F112)) / 12),
  0)</f>
        <v/>
      </c>
      <c r="AR112" s="299">
        <f>IF(AND($F112&lt;=AR$2, OR($G112="",$G112&gt;=AR$2)),
  $H112 * (1 + Assumptions!$C$7) ^ INT(((YEAR(AR$2)-YEAR($F112))*12 + MONTH(AR$2)-MONTH($F112)) / 12),
  0)</f>
        <v/>
      </c>
      <c r="AS112" s="299">
        <f>IF(AND($F112&lt;=AS$2, OR($G112="",$G112&gt;=AS$2)),
  $H112 * (1 + Assumptions!$C$7) ^ INT(((YEAR(AS$2)-YEAR($F112))*12 + MONTH(AS$2)-MONTH($F112)) / 12),
  0)</f>
        <v/>
      </c>
      <c r="AT112" s="299">
        <f>IF(AND($F112&lt;=AT$2, OR($G112="",$G112&gt;=AT$2)),
  $H112 * (1 + Assumptions!$C$7) ^ INT(((YEAR(AT$2)-YEAR($F112))*12 + MONTH(AT$2)-MONTH($F112)) / 12),
  0)</f>
        <v/>
      </c>
      <c r="AU112" s="299">
        <f>IF(AND($F112&lt;=AU$2, OR($G112="",$G112&gt;=AU$2)),
  $H112 * (1 + Assumptions!$C$7) ^ INT(((YEAR(AU$2)-YEAR($F112))*12 + MONTH(AU$2)-MONTH($F112)) / 12),
  0)</f>
        <v/>
      </c>
      <c r="AV112" s="299">
        <f>IF(AND($F112&lt;=AV$2, OR($G112="",$G112&gt;=AV$2)),
  $H112 * (1 + Assumptions!$C$7) ^ INT(((YEAR(AV$2)-YEAR($F112))*12 + MONTH(AV$2)-MONTH($F112)) / 12),
  0)</f>
        <v/>
      </c>
      <c r="AW112" s="299">
        <f>IF(AND($F112&lt;=AW$2, OR($G112="",$G112&gt;=AW$2)),
  $H112 * (1 + Assumptions!$C$7) ^ INT(((YEAR(AW$2)-YEAR($F112))*12 + MONTH(AW$2)-MONTH($F112)) / 12),
  0)</f>
        <v/>
      </c>
      <c r="AX112" s="299">
        <f>IF(AND($F112&lt;=AX$2, OR($G112="",$G112&gt;=AX$2)),
  $H112 * (1 + Assumptions!$C$7) ^ INT(((YEAR(AX$2)-YEAR($F112))*12 + MONTH(AX$2)-MONTH($F112)) / 12),
  0)</f>
        <v/>
      </c>
      <c r="AY112" s="299">
        <f>IF(AND($F112&lt;=AY$2, OR($G112="",$G112&gt;=AY$2)),
  $H112 * (1 + Assumptions!$C$7) ^ INT(((YEAR(AY$2)-YEAR($F112))*12 + MONTH(AY$2)-MONTH($F112)) / 12),
  0)</f>
        <v/>
      </c>
      <c r="AZ112" s="299">
        <f>IF(AND($F112&lt;=AZ$2, OR($G112="",$G112&gt;=AZ$2)),
  $H112 * (1 + Assumptions!$C$7) ^ INT(((YEAR(AZ$2)-YEAR($F112))*12 + MONTH(AZ$2)-MONTH($F112)) / 12),
  0)</f>
        <v/>
      </c>
      <c r="BA112" s="299">
        <f>IF(AND($F112&lt;=BA$2, OR($G112="",$G112&gt;=BA$2)),
  $H112 * (1 + Assumptions!$C$7) ^ INT(((YEAR(BA$2)-YEAR($F112))*12 + MONTH(BA$2)-MONTH($F112)) / 12),
  0)</f>
        <v/>
      </c>
      <c r="BB112" s="299">
        <f>IF(AND($F112&lt;=BB$2, OR($G112="",$G112&gt;=BB$2)),
  $H112 * (1 + Assumptions!$C$7) ^ INT(((YEAR(BB$2)-YEAR($F112))*12 + MONTH(BB$2)-MONTH($F112)) / 12),
  0)</f>
        <v/>
      </c>
      <c r="BC112" s="299">
        <f>IF(AND($F112&lt;=BC$2, OR($G112="",$G112&gt;=BC$2)),
  $H112 * (1 + Assumptions!$C$7) ^ INT(((YEAR(BC$2)-YEAR($F112))*12 + MONTH(BC$2)-MONTH($F112)) / 12),
  0)</f>
        <v/>
      </c>
      <c r="BD112" s="299">
        <f>IF(AND($F112&lt;=BD$2, OR($G112="",$G112&gt;=BD$2)),
  $H112 * (1 + Assumptions!$C$7) ^ INT(((YEAR(BD$2)-YEAR($F112))*12 + MONTH(BD$2)-MONTH($F112)) / 12),
  0)</f>
        <v/>
      </c>
      <c r="BE112" s="299">
        <f>IF(AND($F112&lt;=BE$2, OR($G112="",$G112&gt;=BE$2)),
  $H112 * (1 + Assumptions!$C$7) ^ INT(((YEAR(BE$2)-YEAR($F112))*12 + MONTH(BE$2)-MONTH($F112)) / 12),
  0)</f>
        <v/>
      </c>
      <c r="BF112" s="299">
        <f>IF(AND($F112&lt;=BF$2, OR($G112="",$G112&gt;=BF$2)),
  $H112 * (1 + Assumptions!$C$7) ^ INT(((YEAR(BF$2)-YEAR($F112))*12 + MONTH(BF$2)-MONTH($F112)) / 12),
  0)</f>
        <v/>
      </c>
      <c r="BG112" s="299">
        <f>IF(AND($F112&lt;=BG$2, OR($G112="",$G112&gt;=BG$2)),
  $H112 * (1 + Assumptions!$C$7) ^ INT(((YEAR(BG$2)-YEAR($F112))*12 + MONTH(BG$2)-MONTH($F112)) / 12),
  0)</f>
        <v/>
      </c>
      <c r="BH112" s="299">
        <f>IF(AND($F112&lt;=BH$2, OR($G112="",$G112&gt;=BH$2)),
  $H112 * (1 + Assumptions!$C$7) ^ INT(((YEAR(BH$2)-YEAR($F112))*12 + MONTH(BH$2)-MONTH($F112)) / 12),
  0)</f>
        <v/>
      </c>
      <c r="BI112" s="299">
        <f>IF(AND($F112&lt;=BI$2, OR($G112="",$G112&gt;=BI$2)),
  $H112 * (1 + Assumptions!$C$7) ^ INT(((YEAR(BI$2)-YEAR($F112))*12 + MONTH(BI$2)-MONTH($F112)) / 12),
  0)</f>
        <v/>
      </c>
      <c r="BJ112" s="299">
        <f>IF(AND($F112&lt;=BJ$2, OR($G112="",$G112&gt;=BJ$2)),
  $H112 * (1 + Assumptions!$C$7) ^ INT(((YEAR(BJ$2)-YEAR($F112))*12 + MONTH(BJ$2)-MONTH($F112)) / 12),
  0)</f>
        <v/>
      </c>
      <c r="BK112" s="299">
        <f>IF(AND($F112&lt;=BK$2, OR($G112="",$G112&gt;=BK$2)),
  $H112 * (1 + Assumptions!$C$7) ^ INT(((YEAR(BK$2)-YEAR($F112))*12 + MONTH(BK$2)-MONTH($F112)) / 12),
  0)</f>
        <v/>
      </c>
      <c r="BL112" s="299">
        <f>IF(AND($F112&lt;=BL$2, OR($G112="",$G112&gt;=BL$2)),
  $H112 * (1 + Assumptions!$C$7) ^ INT(((YEAR(BL$2)-YEAR($F112))*12 + MONTH(BL$2)-MONTH($F112)) / 12),
  0)</f>
        <v/>
      </c>
      <c r="BM112" s="299">
        <f>IF(AND($F112&lt;=BM$2, OR($G112="",$G112&gt;=BM$2)),
  $H112 * (1 + Assumptions!$C$7) ^ INT(((YEAR(BM$2)-YEAR($F112))*12 + MONTH(BM$2)-MONTH($F112)) / 12),
  0)</f>
        <v/>
      </c>
      <c r="BN112" s="299">
        <f>IF(AND($F112&lt;=BN$2, OR($G112="",$G112&gt;=BN$2)),
  $H112 * (1 + Assumptions!$C$7) ^ INT(((YEAR(BN$2)-YEAR($F112))*12 + MONTH(BN$2)-MONTH($F112)) / 12),
  0)</f>
        <v/>
      </c>
      <c r="BO112" s="299">
        <f>IF(AND($F112&lt;=BO$2, OR($G112="",$G112&gt;=BO$2)),
  $H112 * (1 + Assumptions!$C$7) ^ INT(((YEAR(BO$2)-YEAR($F112))*12 + MONTH(BO$2)-MONTH($F112)) / 12),
  0)</f>
        <v/>
      </c>
      <c r="BP112" s="299">
        <f>IF(AND($F112&lt;=BP$2, OR($G112="",$G112&gt;=BP$2)),
  $H112 * (1 + Assumptions!$C$7) ^ INT(((YEAR(BP$2)-YEAR($F112))*12 + MONTH(BP$2)-MONTH($F112)) / 12),
  0)</f>
        <v/>
      </c>
      <c r="BQ112" s="31" t="n"/>
      <c r="BR112" s="31" t="n"/>
      <c r="BS112" s="31" t="n"/>
      <c r="BT112" s="31" t="n"/>
    </row>
    <row r="113" ht="15.75" customHeight="1" s="349">
      <c r="A113" s="321" t="n">
        <v>108</v>
      </c>
      <c r="B113" s="285" t="inlineStr">
        <is>
          <t>New hire</t>
        </is>
      </c>
      <c r="C113" s="317" t="inlineStr">
        <is>
          <t>G&amp;A</t>
        </is>
      </c>
      <c r="D113" s="317" t="inlineStr">
        <is>
          <t>Production Operator</t>
        </is>
      </c>
      <c r="E113" s="297" t="inlineStr">
        <is>
          <t>Planned</t>
        </is>
      </c>
      <c r="F113" s="318">
        <f>IF(Assumptions!$D$82=2,DATE(2028,7,1),DATE(2035,1,1))</f>
        <v/>
      </c>
      <c r="G113" s="318" t="n"/>
      <c r="H113" s="288" t="n">
        <v>5000</v>
      </c>
      <c r="I113" s="299">
        <f>IF(AND($F113&lt;=I$2, OR($G113="",$G113&gt;=I$2)),
  $H113 * (1 + Assumptions!$C$7) ^ INT(((YEAR(I$2)-YEAR($F113))*12 + MONTH(I$2)-MONTH($F113)) / 12),
  0)</f>
        <v/>
      </c>
      <c r="J113" s="299">
        <f>IF(AND($F113&lt;=J$2, OR($G113="",$G113&gt;=J$2)),
  $H113 * (1 + Assumptions!$C$7) ^ INT(((YEAR(J$2)-YEAR($F113))*12 + MONTH(J$2)-MONTH($F113)) / 12),
  0)</f>
        <v/>
      </c>
      <c r="K113" s="299">
        <f>IF(AND($F113&lt;=K$2, OR($G113="",$G113&gt;=K$2)),
  $H113 * (1 + Assumptions!$C$7) ^ INT(((YEAR(K$2)-YEAR($F113))*12 + MONTH(K$2)-MONTH($F113)) / 12),
  0)</f>
        <v/>
      </c>
      <c r="L113" s="299">
        <f>IF(AND($F113&lt;=L$2, OR($G113="",$G113&gt;=L$2)),
  $H113 * (1 + Assumptions!$C$7) ^ INT(((YEAR(L$2)-YEAR($F113))*12 + MONTH(L$2)-MONTH($F113)) / 12),
  0)</f>
        <v/>
      </c>
      <c r="M113" s="299">
        <f>IF(AND($F113&lt;=M$2, OR($G113="",$G113&gt;=M$2)),
  $H113 * (1 + Assumptions!$C$7) ^ INT(((YEAR(M$2)-YEAR($F113))*12 + MONTH(M$2)-MONTH($F113)) / 12),
  0)</f>
        <v/>
      </c>
      <c r="N113" s="299">
        <f>IF(AND($F113&lt;=N$2, OR($G113="",$G113&gt;=N$2)),
  $H113 * (1 + Assumptions!$C$7) ^ INT(((YEAR(N$2)-YEAR($F113))*12 + MONTH(N$2)-MONTH($F113)) / 12),
  0)</f>
        <v/>
      </c>
      <c r="O113" s="299">
        <f>IF(AND($F113&lt;=O$2, OR($G113="",$G113&gt;=O$2)),
  $H113 * (1 + Assumptions!$C$7) ^ INT(((YEAR(O$2)-YEAR($F113))*12 + MONTH(O$2)-MONTH($F113)) / 12),
  0)</f>
        <v/>
      </c>
      <c r="P113" s="299">
        <f>IF(AND($F113&lt;=P$2, OR($G113="",$G113&gt;=P$2)),
  $H113 * (1 + Assumptions!$C$7) ^ INT(((YEAR(P$2)-YEAR($F113))*12 + MONTH(P$2)-MONTH($F113)) / 12),
  0)</f>
        <v/>
      </c>
      <c r="Q113" s="299">
        <f>IF(AND($F113&lt;=Q$2, OR($G113="",$G113&gt;=Q$2)),
  $H113 * (1 + Assumptions!$C$7) ^ INT(((YEAR(Q$2)-YEAR($F113))*12 + MONTH(Q$2)-MONTH($F113)) / 12),
  0)</f>
        <v/>
      </c>
      <c r="R113" s="299">
        <f>IF(AND($F113&lt;=R$2, OR($G113="",$G113&gt;=R$2)),
  $H113 * (1 + Assumptions!$C$7) ^ INT(((YEAR(R$2)-YEAR($F113))*12 + MONTH(R$2)-MONTH($F113)) / 12),
  0)</f>
        <v/>
      </c>
      <c r="S113" s="299">
        <f>IF(AND($F113&lt;=S$2, OR($G113="",$G113&gt;=S$2)),
  $H113 * (1 + Assumptions!$C$7) ^ INT(((YEAR(S$2)-YEAR($F113))*12 + MONTH(S$2)-MONTH($F113)) / 12),
  0)</f>
        <v/>
      </c>
      <c r="T113" s="299">
        <f>IF(AND($F113&lt;=T$2, OR($G113="",$G113&gt;=T$2)),
  $H113 * (1 + Assumptions!$C$7) ^ INT(((YEAR(T$2)-YEAR($F113))*12 + MONTH(T$2)-MONTH($F113)) / 12),
  0)</f>
        <v/>
      </c>
      <c r="U113" s="299">
        <f>IF(AND($F113&lt;=U$2, OR($G113="",$G113&gt;=U$2)),
  $H113 * (1 + Assumptions!$C$7) ^ INT(((YEAR(U$2)-YEAR($F113))*12 + MONTH(U$2)-MONTH($F113)) / 12),
  0)</f>
        <v/>
      </c>
      <c r="V113" s="299">
        <f>IF(AND($F113&lt;=V$2, OR($G113="",$G113&gt;=V$2)),
  $H113 * (1 + Assumptions!$C$7) ^ INT(((YEAR(V$2)-YEAR($F113))*12 + MONTH(V$2)-MONTH($F113)) / 12),
  0)</f>
        <v/>
      </c>
      <c r="W113" s="299">
        <f>IF(AND($F113&lt;=W$2, OR($G113="",$G113&gt;=W$2)),
  $H113 * (1 + Assumptions!$C$7) ^ INT(((YEAR(W$2)-YEAR($F113))*12 + MONTH(W$2)-MONTH($F113)) / 12),
  0)</f>
        <v/>
      </c>
      <c r="X113" s="299">
        <f>IF(AND($F113&lt;=X$2, OR($G113="",$G113&gt;=X$2)),
  $H113 * (1 + Assumptions!$C$7) ^ INT(((YEAR(X$2)-YEAR($F113))*12 + MONTH(X$2)-MONTH($F113)) / 12),
  0)</f>
        <v/>
      </c>
      <c r="Y113" s="299">
        <f>IF(AND($F113&lt;=Y$2, OR($G113="",$G113&gt;=Y$2)),
  $H113 * (1 + Assumptions!$C$7) ^ INT(((YEAR(Y$2)-YEAR($F113))*12 + MONTH(Y$2)-MONTH($F113)) / 12),
  0)</f>
        <v/>
      </c>
      <c r="Z113" s="299">
        <f>IF(AND($F113&lt;=Z$2, OR($G113="",$G113&gt;=Z$2)),
  $H113 * (1 + Assumptions!$C$7) ^ INT(((YEAR(Z$2)-YEAR($F113))*12 + MONTH(Z$2)-MONTH($F113)) / 12),
  0)</f>
        <v/>
      </c>
      <c r="AA113" s="299">
        <f>IF(AND($F113&lt;=AA$2, OR($G113="",$G113&gt;=AA$2)),
  $H113 * (1 + Assumptions!$C$7) ^ INT(((YEAR(AA$2)-YEAR($F113))*12 + MONTH(AA$2)-MONTH($F113)) / 12),
  0)</f>
        <v/>
      </c>
      <c r="AB113" s="299">
        <f>IF(AND($F113&lt;=AB$2, OR($G113="",$G113&gt;=AB$2)),
  $H113 * (1 + Assumptions!$C$7) ^ INT(((YEAR(AB$2)-YEAR($F113))*12 + MONTH(AB$2)-MONTH($F113)) / 12),
  0)</f>
        <v/>
      </c>
      <c r="AC113" s="299">
        <f>IF(AND($F113&lt;=AC$2, OR($G113="",$G113&gt;=AC$2)),
  $H113 * (1 + Assumptions!$C$7) ^ INT(((YEAR(AC$2)-YEAR($F113))*12 + MONTH(AC$2)-MONTH($F113)) / 12),
  0)</f>
        <v/>
      </c>
      <c r="AD113" s="299">
        <f>IF(AND($F113&lt;=AD$2, OR($G113="",$G113&gt;=AD$2)),
  $H113 * (1 + Assumptions!$C$7) ^ INT(((YEAR(AD$2)-YEAR($F113))*12 + MONTH(AD$2)-MONTH($F113)) / 12),
  0)</f>
        <v/>
      </c>
      <c r="AE113" s="299">
        <f>IF(AND($F113&lt;=AE$2, OR($G113="",$G113&gt;=AE$2)),
  $H113 * (1 + Assumptions!$C$7) ^ INT(((YEAR(AE$2)-YEAR($F113))*12 + MONTH(AE$2)-MONTH($F113)) / 12),
  0)</f>
        <v/>
      </c>
      <c r="AF113" s="299">
        <f>IF(AND($F113&lt;=AF$2, OR($G113="",$G113&gt;=AF$2)),
  $H113 * (1 + Assumptions!$C$7) ^ INT(((YEAR(AF$2)-YEAR($F113))*12 + MONTH(AF$2)-MONTH($F113)) / 12),
  0)</f>
        <v/>
      </c>
      <c r="AG113" s="299">
        <f>IF(AND($F113&lt;=AG$2, OR($G113="",$G113&gt;=AG$2)),
  $H113 * (1 + Assumptions!$C$7) ^ INT(((YEAR(AG$2)-YEAR($F113))*12 + MONTH(AG$2)-MONTH($F113)) / 12),
  0)</f>
        <v/>
      </c>
      <c r="AH113" s="299">
        <f>IF(AND($F113&lt;=AH$2, OR($G113="",$G113&gt;=AH$2)),
  $H113 * (1 + Assumptions!$C$7) ^ INT(((YEAR(AH$2)-YEAR($F113))*12 + MONTH(AH$2)-MONTH($F113)) / 12),
  0)</f>
        <v/>
      </c>
      <c r="AI113" s="299">
        <f>IF(AND($F113&lt;=AI$2, OR($G113="",$G113&gt;=AI$2)),
  $H113 * (1 + Assumptions!$C$7) ^ INT(((YEAR(AI$2)-YEAR($F113))*12 + MONTH(AI$2)-MONTH($F113)) / 12),
  0)</f>
        <v/>
      </c>
      <c r="AJ113" s="299">
        <f>IF(AND($F113&lt;=AJ$2, OR($G113="",$G113&gt;=AJ$2)),
  $H113 * (1 + Assumptions!$C$7) ^ INT(((YEAR(AJ$2)-YEAR($F113))*12 + MONTH(AJ$2)-MONTH($F113)) / 12),
  0)</f>
        <v/>
      </c>
      <c r="AK113" s="299">
        <f>IF(AND($F113&lt;=AK$2, OR($G113="",$G113&gt;=AK$2)),
  $H113 * (1 + Assumptions!$C$7) ^ INT(((YEAR(AK$2)-YEAR($F113))*12 + MONTH(AK$2)-MONTH($F113)) / 12),
  0)</f>
        <v/>
      </c>
      <c r="AL113" s="299">
        <f>IF(AND($F113&lt;=AL$2, OR($G113="",$G113&gt;=AL$2)),
  $H113 * (1 + Assumptions!$C$7) ^ INT(((YEAR(AL$2)-YEAR($F113))*12 + MONTH(AL$2)-MONTH($F113)) / 12),
  0)</f>
        <v/>
      </c>
      <c r="AM113" s="299">
        <f>IF(AND($F113&lt;=AM$2, OR($G113="",$G113&gt;=AM$2)),
  $H113 * (1 + Assumptions!$C$7) ^ INT(((YEAR(AM$2)-YEAR($F113))*12 + MONTH(AM$2)-MONTH($F113)) / 12),
  0)</f>
        <v/>
      </c>
      <c r="AN113" s="299">
        <f>IF(AND($F113&lt;=AN$2, OR($G113="",$G113&gt;=AN$2)),
  $H113 * (1 + Assumptions!$C$7) ^ INT(((YEAR(AN$2)-YEAR($F113))*12 + MONTH(AN$2)-MONTH($F113)) / 12),
  0)</f>
        <v/>
      </c>
      <c r="AO113" s="299">
        <f>IF(AND($F113&lt;=AO$2, OR($G113="",$G113&gt;=AO$2)),
  $H113 * (1 + Assumptions!$C$7) ^ INT(((YEAR(AO$2)-YEAR($F113))*12 + MONTH(AO$2)-MONTH($F113)) / 12),
  0)</f>
        <v/>
      </c>
      <c r="AP113" s="299">
        <f>IF(AND($F113&lt;=AP$2, OR($G113="",$G113&gt;=AP$2)),
  $H113 * (1 + Assumptions!$C$7) ^ INT(((YEAR(AP$2)-YEAR($F113))*12 + MONTH(AP$2)-MONTH($F113)) / 12),
  0)</f>
        <v/>
      </c>
      <c r="AQ113" s="299">
        <f>IF(AND($F113&lt;=AQ$2, OR($G113="",$G113&gt;=AQ$2)),
  $H113 * (1 + Assumptions!$C$7) ^ INT(((YEAR(AQ$2)-YEAR($F113))*12 + MONTH(AQ$2)-MONTH($F113)) / 12),
  0)</f>
        <v/>
      </c>
      <c r="AR113" s="299">
        <f>IF(AND($F113&lt;=AR$2, OR($G113="",$G113&gt;=AR$2)),
  $H113 * (1 + Assumptions!$C$7) ^ INT(((YEAR(AR$2)-YEAR($F113))*12 + MONTH(AR$2)-MONTH($F113)) / 12),
  0)</f>
        <v/>
      </c>
      <c r="AS113" s="299">
        <f>IF(AND($F113&lt;=AS$2, OR($G113="",$G113&gt;=AS$2)),
  $H113 * (1 + Assumptions!$C$7) ^ INT(((YEAR(AS$2)-YEAR($F113))*12 + MONTH(AS$2)-MONTH($F113)) / 12),
  0)</f>
        <v/>
      </c>
      <c r="AT113" s="299">
        <f>IF(AND($F113&lt;=AT$2, OR($G113="",$G113&gt;=AT$2)),
  $H113 * (1 + Assumptions!$C$7) ^ INT(((YEAR(AT$2)-YEAR($F113))*12 + MONTH(AT$2)-MONTH($F113)) / 12),
  0)</f>
        <v/>
      </c>
      <c r="AU113" s="299">
        <f>IF(AND($F113&lt;=AU$2, OR($G113="",$G113&gt;=AU$2)),
  $H113 * (1 + Assumptions!$C$7) ^ INT(((YEAR(AU$2)-YEAR($F113))*12 + MONTH(AU$2)-MONTH($F113)) / 12),
  0)</f>
        <v/>
      </c>
      <c r="AV113" s="299">
        <f>IF(AND($F113&lt;=AV$2, OR($G113="",$G113&gt;=AV$2)),
  $H113 * (1 + Assumptions!$C$7) ^ INT(((YEAR(AV$2)-YEAR($F113))*12 + MONTH(AV$2)-MONTH($F113)) / 12),
  0)</f>
        <v/>
      </c>
      <c r="AW113" s="299">
        <f>IF(AND($F113&lt;=AW$2, OR($G113="",$G113&gt;=AW$2)),
  $H113 * (1 + Assumptions!$C$7) ^ INT(((YEAR(AW$2)-YEAR($F113))*12 + MONTH(AW$2)-MONTH($F113)) / 12),
  0)</f>
        <v/>
      </c>
      <c r="AX113" s="299">
        <f>IF(AND($F113&lt;=AX$2, OR($G113="",$G113&gt;=AX$2)),
  $H113 * (1 + Assumptions!$C$7) ^ INT(((YEAR(AX$2)-YEAR($F113))*12 + MONTH(AX$2)-MONTH($F113)) / 12),
  0)</f>
        <v/>
      </c>
      <c r="AY113" s="299">
        <f>IF(AND($F113&lt;=AY$2, OR($G113="",$G113&gt;=AY$2)),
  $H113 * (1 + Assumptions!$C$7) ^ INT(((YEAR(AY$2)-YEAR($F113))*12 + MONTH(AY$2)-MONTH($F113)) / 12),
  0)</f>
        <v/>
      </c>
      <c r="AZ113" s="299">
        <f>IF(AND($F113&lt;=AZ$2, OR($G113="",$G113&gt;=AZ$2)),
  $H113 * (1 + Assumptions!$C$7) ^ INT(((YEAR(AZ$2)-YEAR($F113))*12 + MONTH(AZ$2)-MONTH($F113)) / 12),
  0)</f>
        <v/>
      </c>
      <c r="BA113" s="299">
        <f>IF(AND($F113&lt;=BA$2, OR($G113="",$G113&gt;=BA$2)),
  $H113 * (1 + Assumptions!$C$7) ^ INT(((YEAR(BA$2)-YEAR($F113))*12 + MONTH(BA$2)-MONTH($F113)) / 12),
  0)</f>
        <v/>
      </c>
      <c r="BB113" s="299">
        <f>IF(AND($F113&lt;=BB$2, OR($G113="",$G113&gt;=BB$2)),
  $H113 * (1 + Assumptions!$C$7) ^ INT(((YEAR(BB$2)-YEAR($F113))*12 + MONTH(BB$2)-MONTH($F113)) / 12),
  0)</f>
        <v/>
      </c>
      <c r="BC113" s="299">
        <f>IF(AND($F113&lt;=BC$2, OR($G113="",$G113&gt;=BC$2)),
  $H113 * (1 + Assumptions!$C$7) ^ INT(((YEAR(BC$2)-YEAR($F113))*12 + MONTH(BC$2)-MONTH($F113)) / 12),
  0)</f>
        <v/>
      </c>
      <c r="BD113" s="299">
        <f>IF(AND($F113&lt;=BD$2, OR($G113="",$G113&gt;=BD$2)),
  $H113 * (1 + Assumptions!$C$7) ^ INT(((YEAR(BD$2)-YEAR($F113))*12 + MONTH(BD$2)-MONTH($F113)) / 12),
  0)</f>
        <v/>
      </c>
      <c r="BE113" s="299">
        <f>IF(AND($F113&lt;=BE$2, OR($G113="",$G113&gt;=BE$2)),
  $H113 * (1 + Assumptions!$C$7) ^ INT(((YEAR(BE$2)-YEAR($F113))*12 + MONTH(BE$2)-MONTH($F113)) / 12),
  0)</f>
        <v/>
      </c>
      <c r="BF113" s="299">
        <f>IF(AND($F113&lt;=BF$2, OR($G113="",$G113&gt;=BF$2)),
  $H113 * (1 + Assumptions!$C$7) ^ INT(((YEAR(BF$2)-YEAR($F113))*12 + MONTH(BF$2)-MONTH($F113)) / 12),
  0)</f>
        <v/>
      </c>
      <c r="BG113" s="299">
        <f>IF(AND($F113&lt;=BG$2, OR($G113="",$G113&gt;=BG$2)),
  $H113 * (1 + Assumptions!$C$7) ^ INT(((YEAR(BG$2)-YEAR($F113))*12 + MONTH(BG$2)-MONTH($F113)) / 12),
  0)</f>
        <v/>
      </c>
      <c r="BH113" s="299">
        <f>IF(AND($F113&lt;=BH$2, OR($G113="",$G113&gt;=BH$2)),
  $H113 * (1 + Assumptions!$C$7) ^ INT(((YEAR(BH$2)-YEAR($F113))*12 + MONTH(BH$2)-MONTH($F113)) / 12),
  0)</f>
        <v/>
      </c>
      <c r="BI113" s="299">
        <f>IF(AND($F113&lt;=BI$2, OR($G113="",$G113&gt;=BI$2)),
  $H113 * (1 + Assumptions!$C$7) ^ INT(((YEAR(BI$2)-YEAR($F113))*12 + MONTH(BI$2)-MONTH($F113)) / 12),
  0)</f>
        <v/>
      </c>
      <c r="BJ113" s="299">
        <f>IF(AND($F113&lt;=BJ$2, OR($G113="",$G113&gt;=BJ$2)),
  $H113 * (1 + Assumptions!$C$7) ^ INT(((YEAR(BJ$2)-YEAR($F113))*12 + MONTH(BJ$2)-MONTH($F113)) / 12),
  0)</f>
        <v/>
      </c>
      <c r="BK113" s="299">
        <f>IF(AND($F113&lt;=BK$2, OR($G113="",$G113&gt;=BK$2)),
  $H113 * (1 + Assumptions!$C$7) ^ INT(((YEAR(BK$2)-YEAR($F113))*12 + MONTH(BK$2)-MONTH($F113)) / 12),
  0)</f>
        <v/>
      </c>
      <c r="BL113" s="299">
        <f>IF(AND($F113&lt;=BL$2, OR($G113="",$G113&gt;=BL$2)),
  $H113 * (1 + Assumptions!$C$7) ^ INT(((YEAR(BL$2)-YEAR($F113))*12 + MONTH(BL$2)-MONTH($F113)) / 12),
  0)</f>
        <v/>
      </c>
      <c r="BM113" s="299">
        <f>IF(AND($F113&lt;=BM$2, OR($G113="",$G113&gt;=BM$2)),
  $H113 * (1 + Assumptions!$C$7) ^ INT(((YEAR(BM$2)-YEAR($F113))*12 + MONTH(BM$2)-MONTH($F113)) / 12),
  0)</f>
        <v/>
      </c>
      <c r="BN113" s="299">
        <f>IF(AND($F113&lt;=BN$2, OR($G113="",$G113&gt;=BN$2)),
  $H113 * (1 + Assumptions!$C$7) ^ INT(((YEAR(BN$2)-YEAR($F113))*12 + MONTH(BN$2)-MONTH($F113)) / 12),
  0)</f>
        <v/>
      </c>
      <c r="BO113" s="299">
        <f>IF(AND($F113&lt;=BO$2, OR($G113="",$G113&gt;=BO$2)),
  $H113 * (1 + Assumptions!$C$7) ^ INT(((YEAR(BO$2)-YEAR($F113))*12 + MONTH(BO$2)-MONTH($F113)) / 12),
  0)</f>
        <v/>
      </c>
      <c r="BP113" s="299">
        <f>IF(AND($F113&lt;=BP$2, OR($G113="",$G113&gt;=BP$2)),
  $H113 * (1 + Assumptions!$C$7) ^ INT(((YEAR(BP$2)-YEAR($F113))*12 + MONTH(BP$2)-MONTH($F113)) / 12),
  0)</f>
        <v/>
      </c>
      <c r="BQ113" s="31" t="n"/>
      <c r="BR113" s="31" t="n"/>
      <c r="BS113" s="31" t="n"/>
      <c r="BT113" s="31" t="n"/>
    </row>
    <row r="114" ht="15.75" customHeight="1" s="349">
      <c r="A114" s="321" t="n">
        <v>109</v>
      </c>
      <c r="B114" s="285" t="inlineStr">
        <is>
          <t>New hire</t>
        </is>
      </c>
      <c r="C114" s="317" t="inlineStr">
        <is>
          <t>G&amp;A</t>
        </is>
      </c>
      <c r="D114" s="317" t="inlineStr">
        <is>
          <t>Production Operator</t>
        </is>
      </c>
      <c r="E114" s="297" t="inlineStr">
        <is>
          <t>Planned</t>
        </is>
      </c>
      <c r="F114" s="318">
        <f>IF(Assumptions!$D$82=2,DATE(2028,7,1),DATE(2035,1,1))</f>
        <v/>
      </c>
      <c r="G114" s="318" t="n"/>
      <c r="H114" s="288" t="n">
        <v>5000</v>
      </c>
      <c r="I114" s="299">
        <f>IF(AND($F114&lt;=I$2, OR($G114="",$G114&gt;=I$2)),
  $H114 * (1 + Assumptions!$C$7) ^ INT(((YEAR(I$2)-YEAR($F114))*12 + MONTH(I$2)-MONTH($F114)) / 12),
  0)</f>
        <v/>
      </c>
      <c r="J114" s="299">
        <f>IF(AND($F114&lt;=J$2, OR($G114="",$G114&gt;=J$2)),
  $H114 * (1 + Assumptions!$C$7) ^ INT(((YEAR(J$2)-YEAR($F114))*12 + MONTH(J$2)-MONTH($F114)) / 12),
  0)</f>
        <v/>
      </c>
      <c r="K114" s="299">
        <f>IF(AND($F114&lt;=K$2, OR($G114="",$G114&gt;=K$2)),
  $H114 * (1 + Assumptions!$C$7) ^ INT(((YEAR(K$2)-YEAR($F114))*12 + MONTH(K$2)-MONTH($F114)) / 12),
  0)</f>
        <v/>
      </c>
      <c r="L114" s="299">
        <f>IF(AND($F114&lt;=L$2, OR($G114="",$G114&gt;=L$2)),
  $H114 * (1 + Assumptions!$C$7) ^ INT(((YEAR(L$2)-YEAR($F114))*12 + MONTH(L$2)-MONTH($F114)) / 12),
  0)</f>
        <v/>
      </c>
      <c r="M114" s="299">
        <f>IF(AND($F114&lt;=M$2, OR($G114="",$G114&gt;=M$2)),
  $H114 * (1 + Assumptions!$C$7) ^ INT(((YEAR(M$2)-YEAR($F114))*12 + MONTH(M$2)-MONTH($F114)) / 12),
  0)</f>
        <v/>
      </c>
      <c r="N114" s="299">
        <f>IF(AND($F114&lt;=N$2, OR($G114="",$G114&gt;=N$2)),
  $H114 * (1 + Assumptions!$C$7) ^ INT(((YEAR(N$2)-YEAR($F114))*12 + MONTH(N$2)-MONTH($F114)) / 12),
  0)</f>
        <v/>
      </c>
      <c r="O114" s="299">
        <f>IF(AND($F114&lt;=O$2, OR($G114="",$G114&gt;=O$2)),
  $H114 * (1 + Assumptions!$C$7) ^ INT(((YEAR(O$2)-YEAR($F114))*12 + MONTH(O$2)-MONTH($F114)) / 12),
  0)</f>
        <v/>
      </c>
      <c r="P114" s="299">
        <f>IF(AND($F114&lt;=P$2, OR($G114="",$G114&gt;=P$2)),
  $H114 * (1 + Assumptions!$C$7) ^ INT(((YEAR(P$2)-YEAR($F114))*12 + MONTH(P$2)-MONTH($F114)) / 12),
  0)</f>
        <v/>
      </c>
      <c r="Q114" s="299">
        <f>IF(AND($F114&lt;=Q$2, OR($G114="",$G114&gt;=Q$2)),
  $H114 * (1 + Assumptions!$C$7) ^ INT(((YEAR(Q$2)-YEAR($F114))*12 + MONTH(Q$2)-MONTH($F114)) / 12),
  0)</f>
        <v/>
      </c>
      <c r="R114" s="299">
        <f>IF(AND($F114&lt;=R$2, OR($G114="",$G114&gt;=R$2)),
  $H114 * (1 + Assumptions!$C$7) ^ INT(((YEAR(R$2)-YEAR($F114))*12 + MONTH(R$2)-MONTH($F114)) / 12),
  0)</f>
        <v/>
      </c>
      <c r="S114" s="299">
        <f>IF(AND($F114&lt;=S$2, OR($G114="",$G114&gt;=S$2)),
  $H114 * (1 + Assumptions!$C$7) ^ INT(((YEAR(S$2)-YEAR($F114))*12 + MONTH(S$2)-MONTH($F114)) / 12),
  0)</f>
        <v/>
      </c>
      <c r="T114" s="299">
        <f>IF(AND($F114&lt;=T$2, OR($G114="",$G114&gt;=T$2)),
  $H114 * (1 + Assumptions!$C$7) ^ INT(((YEAR(T$2)-YEAR($F114))*12 + MONTH(T$2)-MONTH($F114)) / 12),
  0)</f>
        <v/>
      </c>
      <c r="U114" s="299">
        <f>IF(AND($F114&lt;=U$2, OR($G114="",$G114&gt;=U$2)),
  $H114 * (1 + Assumptions!$C$7) ^ INT(((YEAR(U$2)-YEAR($F114))*12 + MONTH(U$2)-MONTH($F114)) / 12),
  0)</f>
        <v/>
      </c>
      <c r="V114" s="299">
        <f>IF(AND($F114&lt;=V$2, OR($G114="",$G114&gt;=V$2)),
  $H114 * (1 + Assumptions!$C$7) ^ INT(((YEAR(V$2)-YEAR($F114))*12 + MONTH(V$2)-MONTH($F114)) / 12),
  0)</f>
        <v/>
      </c>
      <c r="W114" s="299">
        <f>IF(AND($F114&lt;=W$2, OR($G114="",$G114&gt;=W$2)),
  $H114 * (1 + Assumptions!$C$7) ^ INT(((YEAR(W$2)-YEAR($F114))*12 + MONTH(W$2)-MONTH($F114)) / 12),
  0)</f>
        <v/>
      </c>
      <c r="X114" s="299">
        <f>IF(AND($F114&lt;=X$2, OR($G114="",$G114&gt;=X$2)),
  $H114 * (1 + Assumptions!$C$7) ^ INT(((YEAR(X$2)-YEAR($F114))*12 + MONTH(X$2)-MONTH($F114)) / 12),
  0)</f>
        <v/>
      </c>
      <c r="Y114" s="299">
        <f>IF(AND($F114&lt;=Y$2, OR($G114="",$G114&gt;=Y$2)),
  $H114 * (1 + Assumptions!$C$7) ^ INT(((YEAR(Y$2)-YEAR($F114))*12 + MONTH(Y$2)-MONTH($F114)) / 12),
  0)</f>
        <v/>
      </c>
      <c r="Z114" s="299">
        <f>IF(AND($F114&lt;=Z$2, OR($G114="",$G114&gt;=Z$2)),
  $H114 * (1 + Assumptions!$C$7) ^ INT(((YEAR(Z$2)-YEAR($F114))*12 + MONTH(Z$2)-MONTH($F114)) / 12),
  0)</f>
        <v/>
      </c>
      <c r="AA114" s="299">
        <f>IF(AND($F114&lt;=AA$2, OR($G114="",$G114&gt;=AA$2)),
  $H114 * (1 + Assumptions!$C$7) ^ INT(((YEAR(AA$2)-YEAR($F114))*12 + MONTH(AA$2)-MONTH($F114)) / 12),
  0)</f>
        <v/>
      </c>
      <c r="AB114" s="299">
        <f>IF(AND($F114&lt;=AB$2, OR($G114="",$G114&gt;=AB$2)),
  $H114 * (1 + Assumptions!$C$7) ^ INT(((YEAR(AB$2)-YEAR($F114))*12 + MONTH(AB$2)-MONTH($F114)) / 12),
  0)</f>
        <v/>
      </c>
      <c r="AC114" s="299">
        <f>IF(AND($F114&lt;=AC$2, OR($G114="",$G114&gt;=AC$2)),
  $H114 * (1 + Assumptions!$C$7) ^ INT(((YEAR(AC$2)-YEAR($F114))*12 + MONTH(AC$2)-MONTH($F114)) / 12),
  0)</f>
        <v/>
      </c>
      <c r="AD114" s="299">
        <f>IF(AND($F114&lt;=AD$2, OR($G114="",$G114&gt;=AD$2)),
  $H114 * (1 + Assumptions!$C$7) ^ INT(((YEAR(AD$2)-YEAR($F114))*12 + MONTH(AD$2)-MONTH($F114)) / 12),
  0)</f>
        <v/>
      </c>
      <c r="AE114" s="299">
        <f>IF(AND($F114&lt;=AE$2, OR($G114="",$G114&gt;=AE$2)),
  $H114 * (1 + Assumptions!$C$7) ^ INT(((YEAR(AE$2)-YEAR($F114))*12 + MONTH(AE$2)-MONTH($F114)) / 12),
  0)</f>
        <v/>
      </c>
      <c r="AF114" s="299">
        <f>IF(AND($F114&lt;=AF$2, OR($G114="",$G114&gt;=AF$2)),
  $H114 * (1 + Assumptions!$C$7) ^ INT(((YEAR(AF$2)-YEAR($F114))*12 + MONTH(AF$2)-MONTH($F114)) / 12),
  0)</f>
        <v/>
      </c>
      <c r="AG114" s="299">
        <f>IF(AND($F114&lt;=AG$2, OR($G114="",$G114&gt;=AG$2)),
  $H114 * (1 + Assumptions!$C$7) ^ INT(((YEAR(AG$2)-YEAR($F114))*12 + MONTH(AG$2)-MONTH($F114)) / 12),
  0)</f>
        <v/>
      </c>
      <c r="AH114" s="299">
        <f>IF(AND($F114&lt;=AH$2, OR($G114="",$G114&gt;=AH$2)),
  $H114 * (1 + Assumptions!$C$7) ^ INT(((YEAR(AH$2)-YEAR($F114))*12 + MONTH(AH$2)-MONTH($F114)) / 12),
  0)</f>
        <v/>
      </c>
      <c r="AI114" s="299">
        <f>IF(AND($F114&lt;=AI$2, OR($G114="",$G114&gt;=AI$2)),
  $H114 * (1 + Assumptions!$C$7) ^ INT(((YEAR(AI$2)-YEAR($F114))*12 + MONTH(AI$2)-MONTH($F114)) / 12),
  0)</f>
        <v/>
      </c>
      <c r="AJ114" s="299">
        <f>IF(AND($F114&lt;=AJ$2, OR($G114="",$G114&gt;=AJ$2)),
  $H114 * (1 + Assumptions!$C$7) ^ INT(((YEAR(AJ$2)-YEAR($F114))*12 + MONTH(AJ$2)-MONTH($F114)) / 12),
  0)</f>
        <v/>
      </c>
      <c r="AK114" s="299">
        <f>IF(AND($F114&lt;=AK$2, OR($G114="",$G114&gt;=AK$2)),
  $H114 * (1 + Assumptions!$C$7) ^ INT(((YEAR(AK$2)-YEAR($F114))*12 + MONTH(AK$2)-MONTH($F114)) / 12),
  0)</f>
        <v/>
      </c>
      <c r="AL114" s="299">
        <f>IF(AND($F114&lt;=AL$2, OR($G114="",$G114&gt;=AL$2)),
  $H114 * (1 + Assumptions!$C$7) ^ INT(((YEAR(AL$2)-YEAR($F114))*12 + MONTH(AL$2)-MONTH($F114)) / 12),
  0)</f>
        <v/>
      </c>
      <c r="AM114" s="299">
        <f>IF(AND($F114&lt;=AM$2, OR($G114="",$G114&gt;=AM$2)),
  $H114 * (1 + Assumptions!$C$7) ^ INT(((YEAR(AM$2)-YEAR($F114))*12 + MONTH(AM$2)-MONTH($F114)) / 12),
  0)</f>
        <v/>
      </c>
      <c r="AN114" s="299">
        <f>IF(AND($F114&lt;=AN$2, OR($G114="",$G114&gt;=AN$2)),
  $H114 * (1 + Assumptions!$C$7) ^ INT(((YEAR(AN$2)-YEAR($F114))*12 + MONTH(AN$2)-MONTH($F114)) / 12),
  0)</f>
        <v/>
      </c>
      <c r="AO114" s="299">
        <f>IF(AND($F114&lt;=AO$2, OR($G114="",$G114&gt;=AO$2)),
  $H114 * (1 + Assumptions!$C$7) ^ INT(((YEAR(AO$2)-YEAR($F114))*12 + MONTH(AO$2)-MONTH($F114)) / 12),
  0)</f>
        <v/>
      </c>
      <c r="AP114" s="299">
        <f>IF(AND($F114&lt;=AP$2, OR($G114="",$G114&gt;=AP$2)),
  $H114 * (1 + Assumptions!$C$7) ^ INT(((YEAR(AP$2)-YEAR($F114))*12 + MONTH(AP$2)-MONTH($F114)) / 12),
  0)</f>
        <v/>
      </c>
      <c r="AQ114" s="299">
        <f>IF(AND($F114&lt;=AQ$2, OR($G114="",$G114&gt;=AQ$2)),
  $H114 * (1 + Assumptions!$C$7) ^ INT(((YEAR(AQ$2)-YEAR($F114))*12 + MONTH(AQ$2)-MONTH($F114)) / 12),
  0)</f>
        <v/>
      </c>
      <c r="AR114" s="299">
        <f>IF(AND($F114&lt;=AR$2, OR($G114="",$G114&gt;=AR$2)),
  $H114 * (1 + Assumptions!$C$7) ^ INT(((YEAR(AR$2)-YEAR($F114))*12 + MONTH(AR$2)-MONTH($F114)) / 12),
  0)</f>
        <v/>
      </c>
      <c r="AS114" s="299">
        <f>IF(AND($F114&lt;=AS$2, OR($G114="",$G114&gt;=AS$2)),
  $H114 * (1 + Assumptions!$C$7) ^ INT(((YEAR(AS$2)-YEAR($F114))*12 + MONTH(AS$2)-MONTH($F114)) / 12),
  0)</f>
        <v/>
      </c>
      <c r="AT114" s="299">
        <f>IF(AND($F114&lt;=AT$2, OR($G114="",$G114&gt;=AT$2)),
  $H114 * (1 + Assumptions!$C$7) ^ INT(((YEAR(AT$2)-YEAR($F114))*12 + MONTH(AT$2)-MONTH($F114)) / 12),
  0)</f>
        <v/>
      </c>
      <c r="AU114" s="299">
        <f>IF(AND($F114&lt;=AU$2, OR($G114="",$G114&gt;=AU$2)),
  $H114 * (1 + Assumptions!$C$7) ^ INT(((YEAR(AU$2)-YEAR($F114))*12 + MONTH(AU$2)-MONTH($F114)) / 12),
  0)</f>
        <v/>
      </c>
      <c r="AV114" s="299">
        <f>IF(AND($F114&lt;=AV$2, OR($G114="",$G114&gt;=AV$2)),
  $H114 * (1 + Assumptions!$C$7) ^ INT(((YEAR(AV$2)-YEAR($F114))*12 + MONTH(AV$2)-MONTH($F114)) / 12),
  0)</f>
        <v/>
      </c>
      <c r="AW114" s="299">
        <f>IF(AND($F114&lt;=AW$2, OR($G114="",$G114&gt;=AW$2)),
  $H114 * (1 + Assumptions!$C$7) ^ INT(((YEAR(AW$2)-YEAR($F114))*12 + MONTH(AW$2)-MONTH($F114)) / 12),
  0)</f>
        <v/>
      </c>
      <c r="AX114" s="299">
        <f>IF(AND($F114&lt;=AX$2, OR($G114="",$G114&gt;=AX$2)),
  $H114 * (1 + Assumptions!$C$7) ^ INT(((YEAR(AX$2)-YEAR($F114))*12 + MONTH(AX$2)-MONTH($F114)) / 12),
  0)</f>
        <v/>
      </c>
      <c r="AY114" s="299">
        <f>IF(AND($F114&lt;=AY$2, OR($G114="",$G114&gt;=AY$2)),
  $H114 * (1 + Assumptions!$C$7) ^ INT(((YEAR(AY$2)-YEAR($F114))*12 + MONTH(AY$2)-MONTH($F114)) / 12),
  0)</f>
        <v/>
      </c>
      <c r="AZ114" s="299">
        <f>IF(AND($F114&lt;=AZ$2, OR($G114="",$G114&gt;=AZ$2)),
  $H114 * (1 + Assumptions!$C$7) ^ INT(((YEAR(AZ$2)-YEAR($F114))*12 + MONTH(AZ$2)-MONTH($F114)) / 12),
  0)</f>
        <v/>
      </c>
      <c r="BA114" s="299">
        <f>IF(AND($F114&lt;=BA$2, OR($G114="",$G114&gt;=BA$2)),
  $H114 * (1 + Assumptions!$C$7) ^ INT(((YEAR(BA$2)-YEAR($F114))*12 + MONTH(BA$2)-MONTH($F114)) / 12),
  0)</f>
        <v/>
      </c>
      <c r="BB114" s="299">
        <f>IF(AND($F114&lt;=BB$2, OR($G114="",$G114&gt;=BB$2)),
  $H114 * (1 + Assumptions!$C$7) ^ INT(((YEAR(BB$2)-YEAR($F114))*12 + MONTH(BB$2)-MONTH($F114)) / 12),
  0)</f>
        <v/>
      </c>
      <c r="BC114" s="299">
        <f>IF(AND($F114&lt;=BC$2, OR($G114="",$G114&gt;=BC$2)),
  $H114 * (1 + Assumptions!$C$7) ^ INT(((YEAR(BC$2)-YEAR($F114))*12 + MONTH(BC$2)-MONTH($F114)) / 12),
  0)</f>
        <v/>
      </c>
      <c r="BD114" s="299">
        <f>IF(AND($F114&lt;=BD$2, OR($G114="",$G114&gt;=BD$2)),
  $H114 * (1 + Assumptions!$C$7) ^ INT(((YEAR(BD$2)-YEAR($F114))*12 + MONTH(BD$2)-MONTH($F114)) / 12),
  0)</f>
        <v/>
      </c>
      <c r="BE114" s="299">
        <f>IF(AND($F114&lt;=BE$2, OR($G114="",$G114&gt;=BE$2)),
  $H114 * (1 + Assumptions!$C$7) ^ INT(((YEAR(BE$2)-YEAR($F114))*12 + MONTH(BE$2)-MONTH($F114)) / 12),
  0)</f>
        <v/>
      </c>
      <c r="BF114" s="299">
        <f>IF(AND($F114&lt;=BF$2, OR($G114="",$G114&gt;=BF$2)),
  $H114 * (1 + Assumptions!$C$7) ^ INT(((YEAR(BF$2)-YEAR($F114))*12 + MONTH(BF$2)-MONTH($F114)) / 12),
  0)</f>
        <v/>
      </c>
      <c r="BG114" s="299">
        <f>IF(AND($F114&lt;=BG$2, OR($G114="",$G114&gt;=BG$2)),
  $H114 * (1 + Assumptions!$C$7) ^ INT(((YEAR(BG$2)-YEAR($F114))*12 + MONTH(BG$2)-MONTH($F114)) / 12),
  0)</f>
        <v/>
      </c>
      <c r="BH114" s="299">
        <f>IF(AND($F114&lt;=BH$2, OR($G114="",$G114&gt;=BH$2)),
  $H114 * (1 + Assumptions!$C$7) ^ INT(((YEAR(BH$2)-YEAR($F114))*12 + MONTH(BH$2)-MONTH($F114)) / 12),
  0)</f>
        <v/>
      </c>
      <c r="BI114" s="299">
        <f>IF(AND($F114&lt;=BI$2, OR($G114="",$G114&gt;=BI$2)),
  $H114 * (1 + Assumptions!$C$7) ^ INT(((YEAR(BI$2)-YEAR($F114))*12 + MONTH(BI$2)-MONTH($F114)) / 12),
  0)</f>
        <v/>
      </c>
      <c r="BJ114" s="299">
        <f>IF(AND($F114&lt;=BJ$2, OR($G114="",$G114&gt;=BJ$2)),
  $H114 * (1 + Assumptions!$C$7) ^ INT(((YEAR(BJ$2)-YEAR($F114))*12 + MONTH(BJ$2)-MONTH($F114)) / 12),
  0)</f>
        <v/>
      </c>
      <c r="BK114" s="299">
        <f>IF(AND($F114&lt;=BK$2, OR($G114="",$G114&gt;=BK$2)),
  $H114 * (1 + Assumptions!$C$7) ^ INT(((YEAR(BK$2)-YEAR($F114))*12 + MONTH(BK$2)-MONTH($F114)) / 12),
  0)</f>
        <v/>
      </c>
      <c r="BL114" s="299">
        <f>IF(AND($F114&lt;=BL$2, OR($G114="",$G114&gt;=BL$2)),
  $H114 * (1 + Assumptions!$C$7) ^ INT(((YEAR(BL$2)-YEAR($F114))*12 + MONTH(BL$2)-MONTH($F114)) / 12),
  0)</f>
        <v/>
      </c>
      <c r="BM114" s="299">
        <f>IF(AND($F114&lt;=BM$2, OR($G114="",$G114&gt;=BM$2)),
  $H114 * (1 + Assumptions!$C$7) ^ INT(((YEAR(BM$2)-YEAR($F114))*12 + MONTH(BM$2)-MONTH($F114)) / 12),
  0)</f>
        <v/>
      </c>
      <c r="BN114" s="299">
        <f>IF(AND($F114&lt;=BN$2, OR($G114="",$G114&gt;=BN$2)),
  $H114 * (1 + Assumptions!$C$7) ^ INT(((YEAR(BN$2)-YEAR($F114))*12 + MONTH(BN$2)-MONTH($F114)) / 12),
  0)</f>
        <v/>
      </c>
      <c r="BO114" s="299">
        <f>IF(AND($F114&lt;=BO$2, OR($G114="",$G114&gt;=BO$2)),
  $H114 * (1 + Assumptions!$C$7) ^ INT(((YEAR(BO$2)-YEAR($F114))*12 + MONTH(BO$2)-MONTH($F114)) / 12),
  0)</f>
        <v/>
      </c>
      <c r="BP114" s="299">
        <f>IF(AND($F114&lt;=BP$2, OR($G114="",$G114&gt;=BP$2)),
  $H114 * (1 + Assumptions!$C$7) ^ INT(((YEAR(BP$2)-YEAR($F114))*12 + MONTH(BP$2)-MONTH($F114)) / 12),
  0)</f>
        <v/>
      </c>
      <c r="BQ114" s="31" t="n"/>
      <c r="BR114" s="31" t="n"/>
      <c r="BS114" s="31" t="n"/>
      <c r="BT114" s="31" t="n"/>
    </row>
    <row r="115" ht="15.75" customHeight="1" s="349">
      <c r="A115" s="321" t="n">
        <v>110</v>
      </c>
      <c r="B115" s="285" t="inlineStr">
        <is>
          <t>New hire</t>
        </is>
      </c>
      <c r="C115" s="317" t="inlineStr">
        <is>
          <t>G&amp;A</t>
        </is>
      </c>
      <c r="D115" s="317" t="inlineStr">
        <is>
          <t>Production Operator</t>
        </is>
      </c>
      <c r="E115" s="297" t="inlineStr">
        <is>
          <t>Planned</t>
        </is>
      </c>
      <c r="F115" s="318">
        <f>IF(Assumptions!$D$82=2,DATE(2028,7,1),DATE(2035,1,1))</f>
        <v/>
      </c>
      <c r="G115" s="318" t="n"/>
      <c r="H115" s="288" t="n">
        <v>5000</v>
      </c>
      <c r="I115" s="299">
        <f>IF(AND($F115&lt;=I$2, OR($G115="",$G115&gt;=I$2)),
  $H115 * (1 + Assumptions!$C$7) ^ INT(((YEAR(I$2)-YEAR($F115))*12 + MONTH(I$2)-MONTH($F115)) / 12),
  0)</f>
        <v/>
      </c>
      <c r="J115" s="299">
        <f>IF(AND($F115&lt;=J$2, OR($G115="",$G115&gt;=J$2)),
  $H115 * (1 + Assumptions!$C$7) ^ INT(((YEAR(J$2)-YEAR($F115))*12 + MONTH(J$2)-MONTH($F115)) / 12),
  0)</f>
        <v/>
      </c>
      <c r="K115" s="299">
        <f>IF(AND($F115&lt;=K$2, OR($G115="",$G115&gt;=K$2)),
  $H115 * (1 + Assumptions!$C$7) ^ INT(((YEAR(K$2)-YEAR($F115))*12 + MONTH(K$2)-MONTH($F115)) / 12),
  0)</f>
        <v/>
      </c>
      <c r="L115" s="299">
        <f>IF(AND($F115&lt;=L$2, OR($G115="",$G115&gt;=L$2)),
  $H115 * (1 + Assumptions!$C$7) ^ INT(((YEAR(L$2)-YEAR($F115))*12 + MONTH(L$2)-MONTH($F115)) / 12),
  0)</f>
        <v/>
      </c>
      <c r="M115" s="299">
        <f>IF(AND($F115&lt;=M$2, OR($G115="",$G115&gt;=M$2)),
  $H115 * (1 + Assumptions!$C$7) ^ INT(((YEAR(M$2)-YEAR($F115))*12 + MONTH(M$2)-MONTH($F115)) / 12),
  0)</f>
        <v/>
      </c>
      <c r="N115" s="299">
        <f>IF(AND($F115&lt;=N$2, OR($G115="",$G115&gt;=N$2)),
  $H115 * (1 + Assumptions!$C$7) ^ INT(((YEAR(N$2)-YEAR($F115))*12 + MONTH(N$2)-MONTH($F115)) / 12),
  0)</f>
        <v/>
      </c>
      <c r="O115" s="299">
        <f>IF(AND($F115&lt;=O$2, OR($G115="",$G115&gt;=O$2)),
  $H115 * (1 + Assumptions!$C$7) ^ INT(((YEAR(O$2)-YEAR($F115))*12 + MONTH(O$2)-MONTH($F115)) / 12),
  0)</f>
        <v/>
      </c>
      <c r="P115" s="299">
        <f>IF(AND($F115&lt;=P$2, OR($G115="",$G115&gt;=P$2)),
  $H115 * (1 + Assumptions!$C$7) ^ INT(((YEAR(P$2)-YEAR($F115))*12 + MONTH(P$2)-MONTH($F115)) / 12),
  0)</f>
        <v/>
      </c>
      <c r="Q115" s="299">
        <f>IF(AND($F115&lt;=Q$2, OR($G115="",$G115&gt;=Q$2)),
  $H115 * (1 + Assumptions!$C$7) ^ INT(((YEAR(Q$2)-YEAR($F115))*12 + MONTH(Q$2)-MONTH($F115)) / 12),
  0)</f>
        <v/>
      </c>
      <c r="R115" s="299">
        <f>IF(AND($F115&lt;=R$2, OR($G115="",$G115&gt;=R$2)),
  $H115 * (1 + Assumptions!$C$7) ^ INT(((YEAR(R$2)-YEAR($F115))*12 + MONTH(R$2)-MONTH($F115)) / 12),
  0)</f>
        <v/>
      </c>
      <c r="S115" s="299">
        <f>IF(AND($F115&lt;=S$2, OR($G115="",$G115&gt;=S$2)),
  $H115 * (1 + Assumptions!$C$7) ^ INT(((YEAR(S$2)-YEAR($F115))*12 + MONTH(S$2)-MONTH($F115)) / 12),
  0)</f>
        <v/>
      </c>
      <c r="T115" s="299">
        <f>IF(AND($F115&lt;=T$2, OR($G115="",$G115&gt;=T$2)),
  $H115 * (1 + Assumptions!$C$7) ^ INT(((YEAR(T$2)-YEAR($F115))*12 + MONTH(T$2)-MONTH($F115)) / 12),
  0)</f>
        <v/>
      </c>
      <c r="U115" s="299">
        <f>IF(AND($F115&lt;=U$2, OR($G115="",$G115&gt;=U$2)),
  $H115 * (1 + Assumptions!$C$7) ^ INT(((YEAR(U$2)-YEAR($F115))*12 + MONTH(U$2)-MONTH($F115)) / 12),
  0)</f>
        <v/>
      </c>
      <c r="V115" s="299">
        <f>IF(AND($F115&lt;=V$2, OR($G115="",$G115&gt;=V$2)),
  $H115 * (1 + Assumptions!$C$7) ^ INT(((YEAR(V$2)-YEAR($F115))*12 + MONTH(V$2)-MONTH($F115)) / 12),
  0)</f>
        <v/>
      </c>
      <c r="W115" s="299">
        <f>IF(AND($F115&lt;=W$2, OR($G115="",$G115&gt;=W$2)),
  $H115 * (1 + Assumptions!$C$7) ^ INT(((YEAR(W$2)-YEAR($F115))*12 + MONTH(W$2)-MONTH($F115)) / 12),
  0)</f>
        <v/>
      </c>
      <c r="X115" s="299">
        <f>IF(AND($F115&lt;=X$2, OR($G115="",$G115&gt;=X$2)),
  $H115 * (1 + Assumptions!$C$7) ^ INT(((YEAR(X$2)-YEAR($F115))*12 + MONTH(X$2)-MONTH($F115)) / 12),
  0)</f>
        <v/>
      </c>
      <c r="Y115" s="299">
        <f>IF(AND($F115&lt;=Y$2, OR($G115="",$G115&gt;=Y$2)),
  $H115 * (1 + Assumptions!$C$7) ^ INT(((YEAR(Y$2)-YEAR($F115))*12 + MONTH(Y$2)-MONTH($F115)) / 12),
  0)</f>
        <v/>
      </c>
      <c r="Z115" s="299">
        <f>IF(AND($F115&lt;=Z$2, OR($G115="",$G115&gt;=Z$2)),
  $H115 * (1 + Assumptions!$C$7) ^ INT(((YEAR(Z$2)-YEAR($F115))*12 + MONTH(Z$2)-MONTH($F115)) / 12),
  0)</f>
        <v/>
      </c>
      <c r="AA115" s="299">
        <f>IF(AND($F115&lt;=AA$2, OR($G115="",$G115&gt;=AA$2)),
  $H115 * (1 + Assumptions!$C$7) ^ INT(((YEAR(AA$2)-YEAR($F115))*12 + MONTH(AA$2)-MONTH($F115)) / 12),
  0)</f>
        <v/>
      </c>
      <c r="AB115" s="299">
        <f>IF(AND($F115&lt;=AB$2, OR($G115="",$G115&gt;=AB$2)),
  $H115 * (1 + Assumptions!$C$7) ^ INT(((YEAR(AB$2)-YEAR($F115))*12 + MONTH(AB$2)-MONTH($F115)) / 12),
  0)</f>
        <v/>
      </c>
      <c r="AC115" s="299">
        <f>IF(AND($F115&lt;=AC$2, OR($G115="",$G115&gt;=AC$2)),
  $H115 * (1 + Assumptions!$C$7) ^ INT(((YEAR(AC$2)-YEAR($F115))*12 + MONTH(AC$2)-MONTH($F115)) / 12),
  0)</f>
        <v/>
      </c>
      <c r="AD115" s="299">
        <f>IF(AND($F115&lt;=AD$2, OR($G115="",$G115&gt;=AD$2)),
  $H115 * (1 + Assumptions!$C$7) ^ INT(((YEAR(AD$2)-YEAR($F115))*12 + MONTH(AD$2)-MONTH($F115)) / 12),
  0)</f>
        <v/>
      </c>
      <c r="AE115" s="299">
        <f>IF(AND($F115&lt;=AE$2, OR($G115="",$G115&gt;=AE$2)),
  $H115 * (1 + Assumptions!$C$7) ^ INT(((YEAR(AE$2)-YEAR($F115))*12 + MONTH(AE$2)-MONTH($F115)) / 12),
  0)</f>
        <v/>
      </c>
      <c r="AF115" s="299">
        <f>IF(AND($F115&lt;=AF$2, OR($G115="",$G115&gt;=AF$2)),
  $H115 * (1 + Assumptions!$C$7) ^ INT(((YEAR(AF$2)-YEAR($F115))*12 + MONTH(AF$2)-MONTH($F115)) / 12),
  0)</f>
        <v/>
      </c>
      <c r="AG115" s="299">
        <f>IF(AND($F115&lt;=AG$2, OR($G115="",$G115&gt;=AG$2)),
  $H115 * (1 + Assumptions!$C$7) ^ INT(((YEAR(AG$2)-YEAR($F115))*12 + MONTH(AG$2)-MONTH($F115)) / 12),
  0)</f>
        <v/>
      </c>
      <c r="AH115" s="299">
        <f>IF(AND($F115&lt;=AH$2, OR($G115="",$G115&gt;=AH$2)),
  $H115 * (1 + Assumptions!$C$7) ^ INT(((YEAR(AH$2)-YEAR($F115))*12 + MONTH(AH$2)-MONTH($F115)) / 12),
  0)</f>
        <v/>
      </c>
      <c r="AI115" s="299">
        <f>IF(AND($F115&lt;=AI$2, OR($G115="",$G115&gt;=AI$2)),
  $H115 * (1 + Assumptions!$C$7) ^ INT(((YEAR(AI$2)-YEAR($F115))*12 + MONTH(AI$2)-MONTH($F115)) / 12),
  0)</f>
        <v/>
      </c>
      <c r="AJ115" s="299">
        <f>IF(AND($F115&lt;=AJ$2, OR($G115="",$G115&gt;=AJ$2)),
  $H115 * (1 + Assumptions!$C$7) ^ INT(((YEAR(AJ$2)-YEAR($F115))*12 + MONTH(AJ$2)-MONTH($F115)) / 12),
  0)</f>
        <v/>
      </c>
      <c r="AK115" s="299">
        <f>IF(AND($F115&lt;=AK$2, OR($G115="",$G115&gt;=AK$2)),
  $H115 * (1 + Assumptions!$C$7) ^ INT(((YEAR(AK$2)-YEAR($F115))*12 + MONTH(AK$2)-MONTH($F115)) / 12),
  0)</f>
        <v/>
      </c>
      <c r="AL115" s="299">
        <f>IF(AND($F115&lt;=AL$2, OR($G115="",$G115&gt;=AL$2)),
  $H115 * (1 + Assumptions!$C$7) ^ INT(((YEAR(AL$2)-YEAR($F115))*12 + MONTH(AL$2)-MONTH($F115)) / 12),
  0)</f>
        <v/>
      </c>
      <c r="AM115" s="299">
        <f>IF(AND($F115&lt;=AM$2, OR($G115="",$G115&gt;=AM$2)),
  $H115 * (1 + Assumptions!$C$7) ^ INT(((YEAR(AM$2)-YEAR($F115))*12 + MONTH(AM$2)-MONTH($F115)) / 12),
  0)</f>
        <v/>
      </c>
      <c r="AN115" s="299">
        <f>IF(AND($F115&lt;=AN$2, OR($G115="",$G115&gt;=AN$2)),
  $H115 * (1 + Assumptions!$C$7) ^ INT(((YEAR(AN$2)-YEAR($F115))*12 + MONTH(AN$2)-MONTH($F115)) / 12),
  0)</f>
        <v/>
      </c>
      <c r="AO115" s="299">
        <f>IF(AND($F115&lt;=AO$2, OR($G115="",$G115&gt;=AO$2)),
  $H115 * (1 + Assumptions!$C$7) ^ INT(((YEAR(AO$2)-YEAR($F115))*12 + MONTH(AO$2)-MONTH($F115)) / 12),
  0)</f>
        <v/>
      </c>
      <c r="AP115" s="299">
        <f>IF(AND($F115&lt;=AP$2, OR($G115="",$G115&gt;=AP$2)),
  $H115 * (1 + Assumptions!$C$7) ^ INT(((YEAR(AP$2)-YEAR($F115))*12 + MONTH(AP$2)-MONTH($F115)) / 12),
  0)</f>
        <v/>
      </c>
      <c r="AQ115" s="299">
        <f>IF(AND($F115&lt;=AQ$2, OR($G115="",$G115&gt;=AQ$2)),
  $H115 * (1 + Assumptions!$C$7) ^ INT(((YEAR(AQ$2)-YEAR($F115))*12 + MONTH(AQ$2)-MONTH($F115)) / 12),
  0)</f>
        <v/>
      </c>
      <c r="AR115" s="299">
        <f>IF(AND($F115&lt;=AR$2, OR($G115="",$G115&gt;=AR$2)),
  $H115 * (1 + Assumptions!$C$7) ^ INT(((YEAR(AR$2)-YEAR($F115))*12 + MONTH(AR$2)-MONTH($F115)) / 12),
  0)</f>
        <v/>
      </c>
      <c r="AS115" s="299">
        <f>IF(AND($F115&lt;=AS$2, OR($G115="",$G115&gt;=AS$2)),
  $H115 * (1 + Assumptions!$C$7) ^ INT(((YEAR(AS$2)-YEAR($F115))*12 + MONTH(AS$2)-MONTH($F115)) / 12),
  0)</f>
        <v/>
      </c>
      <c r="AT115" s="299">
        <f>IF(AND($F115&lt;=AT$2, OR($G115="",$G115&gt;=AT$2)),
  $H115 * (1 + Assumptions!$C$7) ^ INT(((YEAR(AT$2)-YEAR($F115))*12 + MONTH(AT$2)-MONTH($F115)) / 12),
  0)</f>
        <v/>
      </c>
      <c r="AU115" s="299">
        <f>IF(AND($F115&lt;=AU$2, OR($G115="",$G115&gt;=AU$2)),
  $H115 * (1 + Assumptions!$C$7) ^ INT(((YEAR(AU$2)-YEAR($F115))*12 + MONTH(AU$2)-MONTH($F115)) / 12),
  0)</f>
        <v/>
      </c>
      <c r="AV115" s="299">
        <f>IF(AND($F115&lt;=AV$2, OR($G115="",$G115&gt;=AV$2)),
  $H115 * (1 + Assumptions!$C$7) ^ INT(((YEAR(AV$2)-YEAR($F115))*12 + MONTH(AV$2)-MONTH($F115)) / 12),
  0)</f>
        <v/>
      </c>
      <c r="AW115" s="299">
        <f>IF(AND($F115&lt;=AW$2, OR($G115="",$G115&gt;=AW$2)),
  $H115 * (1 + Assumptions!$C$7) ^ INT(((YEAR(AW$2)-YEAR($F115))*12 + MONTH(AW$2)-MONTH($F115)) / 12),
  0)</f>
        <v/>
      </c>
      <c r="AX115" s="299">
        <f>IF(AND($F115&lt;=AX$2, OR($G115="",$G115&gt;=AX$2)),
  $H115 * (1 + Assumptions!$C$7) ^ INT(((YEAR(AX$2)-YEAR($F115))*12 + MONTH(AX$2)-MONTH($F115)) / 12),
  0)</f>
        <v/>
      </c>
      <c r="AY115" s="299">
        <f>IF(AND($F115&lt;=AY$2, OR($G115="",$G115&gt;=AY$2)),
  $H115 * (1 + Assumptions!$C$7) ^ INT(((YEAR(AY$2)-YEAR($F115))*12 + MONTH(AY$2)-MONTH($F115)) / 12),
  0)</f>
        <v/>
      </c>
      <c r="AZ115" s="299">
        <f>IF(AND($F115&lt;=AZ$2, OR($G115="",$G115&gt;=AZ$2)),
  $H115 * (1 + Assumptions!$C$7) ^ INT(((YEAR(AZ$2)-YEAR($F115))*12 + MONTH(AZ$2)-MONTH($F115)) / 12),
  0)</f>
        <v/>
      </c>
      <c r="BA115" s="299">
        <f>IF(AND($F115&lt;=BA$2, OR($G115="",$G115&gt;=BA$2)),
  $H115 * (1 + Assumptions!$C$7) ^ INT(((YEAR(BA$2)-YEAR($F115))*12 + MONTH(BA$2)-MONTH($F115)) / 12),
  0)</f>
        <v/>
      </c>
      <c r="BB115" s="299">
        <f>IF(AND($F115&lt;=BB$2, OR($G115="",$G115&gt;=BB$2)),
  $H115 * (1 + Assumptions!$C$7) ^ INT(((YEAR(BB$2)-YEAR($F115))*12 + MONTH(BB$2)-MONTH($F115)) / 12),
  0)</f>
        <v/>
      </c>
      <c r="BC115" s="299">
        <f>IF(AND($F115&lt;=BC$2, OR($G115="",$G115&gt;=BC$2)),
  $H115 * (1 + Assumptions!$C$7) ^ INT(((YEAR(BC$2)-YEAR($F115))*12 + MONTH(BC$2)-MONTH($F115)) / 12),
  0)</f>
        <v/>
      </c>
      <c r="BD115" s="299">
        <f>IF(AND($F115&lt;=BD$2, OR($G115="",$G115&gt;=BD$2)),
  $H115 * (1 + Assumptions!$C$7) ^ INT(((YEAR(BD$2)-YEAR($F115))*12 + MONTH(BD$2)-MONTH($F115)) / 12),
  0)</f>
        <v/>
      </c>
      <c r="BE115" s="299">
        <f>IF(AND($F115&lt;=BE$2, OR($G115="",$G115&gt;=BE$2)),
  $H115 * (1 + Assumptions!$C$7) ^ INT(((YEAR(BE$2)-YEAR($F115))*12 + MONTH(BE$2)-MONTH($F115)) / 12),
  0)</f>
        <v/>
      </c>
      <c r="BF115" s="299">
        <f>IF(AND($F115&lt;=BF$2, OR($G115="",$G115&gt;=BF$2)),
  $H115 * (1 + Assumptions!$C$7) ^ INT(((YEAR(BF$2)-YEAR($F115))*12 + MONTH(BF$2)-MONTH($F115)) / 12),
  0)</f>
        <v/>
      </c>
      <c r="BG115" s="299">
        <f>IF(AND($F115&lt;=BG$2, OR($G115="",$G115&gt;=BG$2)),
  $H115 * (1 + Assumptions!$C$7) ^ INT(((YEAR(BG$2)-YEAR($F115))*12 + MONTH(BG$2)-MONTH($F115)) / 12),
  0)</f>
        <v/>
      </c>
      <c r="BH115" s="299">
        <f>IF(AND($F115&lt;=BH$2, OR($G115="",$G115&gt;=BH$2)),
  $H115 * (1 + Assumptions!$C$7) ^ INT(((YEAR(BH$2)-YEAR($F115))*12 + MONTH(BH$2)-MONTH($F115)) / 12),
  0)</f>
        <v/>
      </c>
      <c r="BI115" s="299">
        <f>IF(AND($F115&lt;=BI$2, OR($G115="",$G115&gt;=BI$2)),
  $H115 * (1 + Assumptions!$C$7) ^ INT(((YEAR(BI$2)-YEAR($F115))*12 + MONTH(BI$2)-MONTH($F115)) / 12),
  0)</f>
        <v/>
      </c>
      <c r="BJ115" s="299">
        <f>IF(AND($F115&lt;=BJ$2, OR($G115="",$G115&gt;=BJ$2)),
  $H115 * (1 + Assumptions!$C$7) ^ INT(((YEAR(BJ$2)-YEAR($F115))*12 + MONTH(BJ$2)-MONTH($F115)) / 12),
  0)</f>
        <v/>
      </c>
      <c r="BK115" s="299">
        <f>IF(AND($F115&lt;=BK$2, OR($G115="",$G115&gt;=BK$2)),
  $H115 * (1 + Assumptions!$C$7) ^ INT(((YEAR(BK$2)-YEAR($F115))*12 + MONTH(BK$2)-MONTH($F115)) / 12),
  0)</f>
        <v/>
      </c>
      <c r="BL115" s="299">
        <f>IF(AND($F115&lt;=BL$2, OR($G115="",$G115&gt;=BL$2)),
  $H115 * (1 + Assumptions!$C$7) ^ INT(((YEAR(BL$2)-YEAR($F115))*12 + MONTH(BL$2)-MONTH($F115)) / 12),
  0)</f>
        <v/>
      </c>
      <c r="BM115" s="299">
        <f>IF(AND($F115&lt;=BM$2, OR($G115="",$G115&gt;=BM$2)),
  $H115 * (1 + Assumptions!$C$7) ^ INT(((YEAR(BM$2)-YEAR($F115))*12 + MONTH(BM$2)-MONTH($F115)) / 12),
  0)</f>
        <v/>
      </c>
      <c r="BN115" s="299">
        <f>IF(AND($F115&lt;=BN$2, OR($G115="",$G115&gt;=BN$2)),
  $H115 * (1 + Assumptions!$C$7) ^ INT(((YEAR(BN$2)-YEAR($F115))*12 + MONTH(BN$2)-MONTH($F115)) / 12),
  0)</f>
        <v/>
      </c>
      <c r="BO115" s="299">
        <f>IF(AND($F115&lt;=BO$2, OR($G115="",$G115&gt;=BO$2)),
  $H115 * (1 + Assumptions!$C$7) ^ INT(((YEAR(BO$2)-YEAR($F115))*12 + MONTH(BO$2)-MONTH($F115)) / 12),
  0)</f>
        <v/>
      </c>
      <c r="BP115" s="299">
        <f>IF(AND($F115&lt;=BP$2, OR($G115="",$G115&gt;=BP$2)),
  $H115 * (1 + Assumptions!$C$7) ^ INT(((YEAR(BP$2)-YEAR($F115))*12 + MONTH(BP$2)-MONTH($F115)) / 12),
  0)</f>
        <v/>
      </c>
      <c r="BQ115" s="31" t="n"/>
      <c r="BR115" s="31" t="n"/>
      <c r="BS115" s="31" t="n"/>
      <c r="BT115" s="31" t="n"/>
    </row>
    <row r="116" ht="15.75" customHeight="1" s="349">
      <c r="A116" s="321" t="n">
        <v>111</v>
      </c>
      <c r="B116" s="285" t="inlineStr">
        <is>
          <t>New hire</t>
        </is>
      </c>
      <c r="C116" s="317" t="inlineStr">
        <is>
          <t>G&amp;A</t>
        </is>
      </c>
      <c r="D116" s="317" t="inlineStr">
        <is>
          <t>Production Operator</t>
        </is>
      </c>
      <c r="E116" s="297" t="inlineStr">
        <is>
          <t>Planned</t>
        </is>
      </c>
      <c r="F116" s="318">
        <f>IF(Assumptions!$D$82=2,DATE(2028,7,1),DATE(2035,1,1))</f>
        <v/>
      </c>
      <c r="G116" s="318" t="n"/>
      <c r="H116" s="288" t="n">
        <v>5000</v>
      </c>
      <c r="I116" s="299">
        <f>IF(AND($F116&lt;=I$2, OR($G116="",$G116&gt;=I$2)),
  $H116 * (1 + Assumptions!$C$7) ^ INT(((YEAR(I$2)-YEAR($F116))*12 + MONTH(I$2)-MONTH($F116)) / 12),
  0)</f>
        <v/>
      </c>
      <c r="J116" s="299">
        <f>IF(AND($F116&lt;=J$2, OR($G116="",$G116&gt;=J$2)),
  $H116 * (1 + Assumptions!$C$7) ^ INT(((YEAR(J$2)-YEAR($F116))*12 + MONTH(J$2)-MONTH($F116)) / 12),
  0)</f>
        <v/>
      </c>
      <c r="K116" s="299">
        <f>IF(AND($F116&lt;=K$2, OR($G116="",$G116&gt;=K$2)),
  $H116 * (1 + Assumptions!$C$7) ^ INT(((YEAR(K$2)-YEAR($F116))*12 + MONTH(K$2)-MONTH($F116)) / 12),
  0)</f>
        <v/>
      </c>
      <c r="L116" s="299">
        <f>IF(AND($F116&lt;=L$2, OR($G116="",$G116&gt;=L$2)),
  $H116 * (1 + Assumptions!$C$7) ^ INT(((YEAR(L$2)-YEAR($F116))*12 + MONTH(L$2)-MONTH($F116)) / 12),
  0)</f>
        <v/>
      </c>
      <c r="M116" s="299">
        <f>IF(AND($F116&lt;=M$2, OR($G116="",$G116&gt;=M$2)),
  $H116 * (1 + Assumptions!$C$7) ^ INT(((YEAR(M$2)-YEAR($F116))*12 + MONTH(M$2)-MONTH($F116)) / 12),
  0)</f>
        <v/>
      </c>
      <c r="N116" s="299">
        <f>IF(AND($F116&lt;=N$2, OR($G116="",$G116&gt;=N$2)),
  $H116 * (1 + Assumptions!$C$7) ^ INT(((YEAR(N$2)-YEAR($F116))*12 + MONTH(N$2)-MONTH($F116)) / 12),
  0)</f>
        <v/>
      </c>
      <c r="O116" s="299">
        <f>IF(AND($F116&lt;=O$2, OR($G116="",$G116&gt;=O$2)),
  $H116 * (1 + Assumptions!$C$7) ^ INT(((YEAR(O$2)-YEAR($F116))*12 + MONTH(O$2)-MONTH($F116)) / 12),
  0)</f>
        <v/>
      </c>
      <c r="P116" s="299">
        <f>IF(AND($F116&lt;=P$2, OR($G116="",$G116&gt;=P$2)),
  $H116 * (1 + Assumptions!$C$7) ^ INT(((YEAR(P$2)-YEAR($F116))*12 + MONTH(P$2)-MONTH($F116)) / 12),
  0)</f>
        <v/>
      </c>
      <c r="Q116" s="299">
        <f>IF(AND($F116&lt;=Q$2, OR($G116="",$G116&gt;=Q$2)),
  $H116 * (1 + Assumptions!$C$7) ^ INT(((YEAR(Q$2)-YEAR($F116))*12 + MONTH(Q$2)-MONTH($F116)) / 12),
  0)</f>
        <v/>
      </c>
      <c r="R116" s="299">
        <f>IF(AND($F116&lt;=R$2, OR($G116="",$G116&gt;=R$2)),
  $H116 * (1 + Assumptions!$C$7) ^ INT(((YEAR(R$2)-YEAR($F116))*12 + MONTH(R$2)-MONTH($F116)) / 12),
  0)</f>
        <v/>
      </c>
      <c r="S116" s="299">
        <f>IF(AND($F116&lt;=S$2, OR($G116="",$G116&gt;=S$2)),
  $H116 * (1 + Assumptions!$C$7) ^ INT(((YEAR(S$2)-YEAR($F116))*12 + MONTH(S$2)-MONTH($F116)) / 12),
  0)</f>
        <v/>
      </c>
      <c r="T116" s="299">
        <f>IF(AND($F116&lt;=T$2, OR($G116="",$G116&gt;=T$2)),
  $H116 * (1 + Assumptions!$C$7) ^ INT(((YEAR(T$2)-YEAR($F116))*12 + MONTH(T$2)-MONTH($F116)) / 12),
  0)</f>
        <v/>
      </c>
      <c r="U116" s="299">
        <f>IF(AND($F116&lt;=U$2, OR($G116="",$G116&gt;=U$2)),
  $H116 * (1 + Assumptions!$C$7) ^ INT(((YEAR(U$2)-YEAR($F116))*12 + MONTH(U$2)-MONTH($F116)) / 12),
  0)</f>
        <v/>
      </c>
      <c r="V116" s="299">
        <f>IF(AND($F116&lt;=V$2, OR($G116="",$G116&gt;=V$2)),
  $H116 * (1 + Assumptions!$C$7) ^ INT(((YEAR(V$2)-YEAR($F116))*12 + MONTH(V$2)-MONTH($F116)) / 12),
  0)</f>
        <v/>
      </c>
      <c r="W116" s="299">
        <f>IF(AND($F116&lt;=W$2, OR($G116="",$G116&gt;=W$2)),
  $H116 * (1 + Assumptions!$C$7) ^ INT(((YEAR(W$2)-YEAR($F116))*12 + MONTH(W$2)-MONTH($F116)) / 12),
  0)</f>
        <v/>
      </c>
      <c r="X116" s="299">
        <f>IF(AND($F116&lt;=X$2, OR($G116="",$G116&gt;=X$2)),
  $H116 * (1 + Assumptions!$C$7) ^ INT(((YEAR(X$2)-YEAR($F116))*12 + MONTH(X$2)-MONTH($F116)) / 12),
  0)</f>
        <v/>
      </c>
      <c r="Y116" s="299">
        <f>IF(AND($F116&lt;=Y$2, OR($G116="",$G116&gt;=Y$2)),
  $H116 * (1 + Assumptions!$C$7) ^ INT(((YEAR(Y$2)-YEAR($F116))*12 + MONTH(Y$2)-MONTH($F116)) / 12),
  0)</f>
        <v/>
      </c>
      <c r="Z116" s="299">
        <f>IF(AND($F116&lt;=Z$2, OR($G116="",$G116&gt;=Z$2)),
  $H116 * (1 + Assumptions!$C$7) ^ INT(((YEAR(Z$2)-YEAR($F116))*12 + MONTH(Z$2)-MONTH($F116)) / 12),
  0)</f>
        <v/>
      </c>
      <c r="AA116" s="299">
        <f>IF(AND($F116&lt;=AA$2, OR($G116="",$G116&gt;=AA$2)),
  $H116 * (1 + Assumptions!$C$7) ^ INT(((YEAR(AA$2)-YEAR($F116))*12 + MONTH(AA$2)-MONTH($F116)) / 12),
  0)</f>
        <v/>
      </c>
      <c r="AB116" s="299">
        <f>IF(AND($F116&lt;=AB$2, OR($G116="",$G116&gt;=AB$2)),
  $H116 * (1 + Assumptions!$C$7) ^ INT(((YEAR(AB$2)-YEAR($F116))*12 + MONTH(AB$2)-MONTH($F116)) / 12),
  0)</f>
        <v/>
      </c>
      <c r="AC116" s="299">
        <f>IF(AND($F116&lt;=AC$2, OR($G116="",$G116&gt;=AC$2)),
  $H116 * (1 + Assumptions!$C$7) ^ INT(((YEAR(AC$2)-YEAR($F116))*12 + MONTH(AC$2)-MONTH($F116)) / 12),
  0)</f>
        <v/>
      </c>
      <c r="AD116" s="299">
        <f>IF(AND($F116&lt;=AD$2, OR($G116="",$G116&gt;=AD$2)),
  $H116 * (1 + Assumptions!$C$7) ^ INT(((YEAR(AD$2)-YEAR($F116))*12 + MONTH(AD$2)-MONTH($F116)) / 12),
  0)</f>
        <v/>
      </c>
      <c r="AE116" s="299">
        <f>IF(AND($F116&lt;=AE$2, OR($G116="",$G116&gt;=AE$2)),
  $H116 * (1 + Assumptions!$C$7) ^ INT(((YEAR(AE$2)-YEAR($F116))*12 + MONTH(AE$2)-MONTH($F116)) / 12),
  0)</f>
        <v/>
      </c>
      <c r="AF116" s="299">
        <f>IF(AND($F116&lt;=AF$2, OR($G116="",$G116&gt;=AF$2)),
  $H116 * (1 + Assumptions!$C$7) ^ INT(((YEAR(AF$2)-YEAR($F116))*12 + MONTH(AF$2)-MONTH($F116)) / 12),
  0)</f>
        <v/>
      </c>
      <c r="AG116" s="299">
        <f>IF(AND($F116&lt;=AG$2, OR($G116="",$G116&gt;=AG$2)),
  $H116 * (1 + Assumptions!$C$7) ^ INT(((YEAR(AG$2)-YEAR($F116))*12 + MONTH(AG$2)-MONTH($F116)) / 12),
  0)</f>
        <v/>
      </c>
      <c r="AH116" s="299">
        <f>IF(AND($F116&lt;=AH$2, OR($G116="",$G116&gt;=AH$2)),
  $H116 * (1 + Assumptions!$C$7) ^ INT(((YEAR(AH$2)-YEAR($F116))*12 + MONTH(AH$2)-MONTH($F116)) / 12),
  0)</f>
        <v/>
      </c>
      <c r="AI116" s="299">
        <f>IF(AND($F116&lt;=AI$2, OR($G116="",$G116&gt;=AI$2)),
  $H116 * (1 + Assumptions!$C$7) ^ INT(((YEAR(AI$2)-YEAR($F116))*12 + MONTH(AI$2)-MONTH($F116)) / 12),
  0)</f>
        <v/>
      </c>
      <c r="AJ116" s="299">
        <f>IF(AND($F116&lt;=AJ$2, OR($G116="",$G116&gt;=AJ$2)),
  $H116 * (1 + Assumptions!$C$7) ^ INT(((YEAR(AJ$2)-YEAR($F116))*12 + MONTH(AJ$2)-MONTH($F116)) / 12),
  0)</f>
        <v/>
      </c>
      <c r="AK116" s="299">
        <f>IF(AND($F116&lt;=AK$2, OR($G116="",$G116&gt;=AK$2)),
  $H116 * (1 + Assumptions!$C$7) ^ INT(((YEAR(AK$2)-YEAR($F116))*12 + MONTH(AK$2)-MONTH($F116)) / 12),
  0)</f>
        <v/>
      </c>
      <c r="AL116" s="299">
        <f>IF(AND($F116&lt;=AL$2, OR($G116="",$G116&gt;=AL$2)),
  $H116 * (1 + Assumptions!$C$7) ^ INT(((YEAR(AL$2)-YEAR($F116))*12 + MONTH(AL$2)-MONTH($F116)) / 12),
  0)</f>
        <v/>
      </c>
      <c r="AM116" s="299">
        <f>IF(AND($F116&lt;=AM$2, OR($G116="",$G116&gt;=AM$2)),
  $H116 * (1 + Assumptions!$C$7) ^ INT(((YEAR(AM$2)-YEAR($F116))*12 + MONTH(AM$2)-MONTH($F116)) / 12),
  0)</f>
        <v/>
      </c>
      <c r="AN116" s="299">
        <f>IF(AND($F116&lt;=AN$2, OR($G116="",$G116&gt;=AN$2)),
  $H116 * (1 + Assumptions!$C$7) ^ INT(((YEAR(AN$2)-YEAR($F116))*12 + MONTH(AN$2)-MONTH($F116)) / 12),
  0)</f>
        <v/>
      </c>
      <c r="AO116" s="299">
        <f>IF(AND($F116&lt;=AO$2, OR($G116="",$G116&gt;=AO$2)),
  $H116 * (1 + Assumptions!$C$7) ^ INT(((YEAR(AO$2)-YEAR($F116))*12 + MONTH(AO$2)-MONTH($F116)) / 12),
  0)</f>
        <v/>
      </c>
      <c r="AP116" s="299">
        <f>IF(AND($F116&lt;=AP$2, OR($G116="",$G116&gt;=AP$2)),
  $H116 * (1 + Assumptions!$C$7) ^ INT(((YEAR(AP$2)-YEAR($F116))*12 + MONTH(AP$2)-MONTH($F116)) / 12),
  0)</f>
        <v/>
      </c>
      <c r="AQ116" s="299">
        <f>IF(AND($F116&lt;=AQ$2, OR($G116="",$G116&gt;=AQ$2)),
  $H116 * (1 + Assumptions!$C$7) ^ INT(((YEAR(AQ$2)-YEAR($F116))*12 + MONTH(AQ$2)-MONTH($F116)) / 12),
  0)</f>
        <v/>
      </c>
      <c r="AR116" s="299">
        <f>IF(AND($F116&lt;=AR$2, OR($G116="",$G116&gt;=AR$2)),
  $H116 * (1 + Assumptions!$C$7) ^ INT(((YEAR(AR$2)-YEAR($F116))*12 + MONTH(AR$2)-MONTH($F116)) / 12),
  0)</f>
        <v/>
      </c>
      <c r="AS116" s="299">
        <f>IF(AND($F116&lt;=AS$2, OR($G116="",$G116&gt;=AS$2)),
  $H116 * (1 + Assumptions!$C$7) ^ INT(((YEAR(AS$2)-YEAR($F116))*12 + MONTH(AS$2)-MONTH($F116)) / 12),
  0)</f>
        <v/>
      </c>
      <c r="AT116" s="299">
        <f>IF(AND($F116&lt;=AT$2, OR($G116="",$G116&gt;=AT$2)),
  $H116 * (1 + Assumptions!$C$7) ^ INT(((YEAR(AT$2)-YEAR($F116))*12 + MONTH(AT$2)-MONTH($F116)) / 12),
  0)</f>
        <v/>
      </c>
      <c r="AU116" s="299">
        <f>IF(AND($F116&lt;=AU$2, OR($G116="",$G116&gt;=AU$2)),
  $H116 * (1 + Assumptions!$C$7) ^ INT(((YEAR(AU$2)-YEAR($F116))*12 + MONTH(AU$2)-MONTH($F116)) / 12),
  0)</f>
        <v/>
      </c>
      <c r="AV116" s="299">
        <f>IF(AND($F116&lt;=AV$2, OR($G116="",$G116&gt;=AV$2)),
  $H116 * (1 + Assumptions!$C$7) ^ INT(((YEAR(AV$2)-YEAR($F116))*12 + MONTH(AV$2)-MONTH($F116)) / 12),
  0)</f>
        <v/>
      </c>
      <c r="AW116" s="299">
        <f>IF(AND($F116&lt;=AW$2, OR($G116="",$G116&gt;=AW$2)),
  $H116 * (1 + Assumptions!$C$7) ^ INT(((YEAR(AW$2)-YEAR($F116))*12 + MONTH(AW$2)-MONTH($F116)) / 12),
  0)</f>
        <v/>
      </c>
      <c r="AX116" s="299">
        <f>IF(AND($F116&lt;=AX$2, OR($G116="",$G116&gt;=AX$2)),
  $H116 * (1 + Assumptions!$C$7) ^ INT(((YEAR(AX$2)-YEAR($F116))*12 + MONTH(AX$2)-MONTH($F116)) / 12),
  0)</f>
        <v/>
      </c>
      <c r="AY116" s="299">
        <f>IF(AND($F116&lt;=AY$2, OR($G116="",$G116&gt;=AY$2)),
  $H116 * (1 + Assumptions!$C$7) ^ INT(((YEAR(AY$2)-YEAR($F116))*12 + MONTH(AY$2)-MONTH($F116)) / 12),
  0)</f>
        <v/>
      </c>
      <c r="AZ116" s="299">
        <f>IF(AND($F116&lt;=AZ$2, OR($G116="",$G116&gt;=AZ$2)),
  $H116 * (1 + Assumptions!$C$7) ^ INT(((YEAR(AZ$2)-YEAR($F116))*12 + MONTH(AZ$2)-MONTH($F116)) / 12),
  0)</f>
        <v/>
      </c>
      <c r="BA116" s="299">
        <f>IF(AND($F116&lt;=BA$2, OR($G116="",$G116&gt;=BA$2)),
  $H116 * (1 + Assumptions!$C$7) ^ INT(((YEAR(BA$2)-YEAR($F116))*12 + MONTH(BA$2)-MONTH($F116)) / 12),
  0)</f>
        <v/>
      </c>
      <c r="BB116" s="299">
        <f>IF(AND($F116&lt;=BB$2, OR($G116="",$G116&gt;=BB$2)),
  $H116 * (1 + Assumptions!$C$7) ^ INT(((YEAR(BB$2)-YEAR($F116))*12 + MONTH(BB$2)-MONTH($F116)) / 12),
  0)</f>
        <v/>
      </c>
      <c r="BC116" s="299">
        <f>IF(AND($F116&lt;=BC$2, OR($G116="",$G116&gt;=BC$2)),
  $H116 * (1 + Assumptions!$C$7) ^ INT(((YEAR(BC$2)-YEAR($F116))*12 + MONTH(BC$2)-MONTH($F116)) / 12),
  0)</f>
        <v/>
      </c>
      <c r="BD116" s="299">
        <f>IF(AND($F116&lt;=BD$2, OR($G116="",$G116&gt;=BD$2)),
  $H116 * (1 + Assumptions!$C$7) ^ INT(((YEAR(BD$2)-YEAR($F116))*12 + MONTH(BD$2)-MONTH($F116)) / 12),
  0)</f>
        <v/>
      </c>
      <c r="BE116" s="299">
        <f>IF(AND($F116&lt;=BE$2, OR($G116="",$G116&gt;=BE$2)),
  $H116 * (1 + Assumptions!$C$7) ^ INT(((YEAR(BE$2)-YEAR($F116))*12 + MONTH(BE$2)-MONTH($F116)) / 12),
  0)</f>
        <v/>
      </c>
      <c r="BF116" s="299">
        <f>IF(AND($F116&lt;=BF$2, OR($G116="",$G116&gt;=BF$2)),
  $H116 * (1 + Assumptions!$C$7) ^ INT(((YEAR(BF$2)-YEAR($F116))*12 + MONTH(BF$2)-MONTH($F116)) / 12),
  0)</f>
        <v/>
      </c>
      <c r="BG116" s="299">
        <f>IF(AND($F116&lt;=BG$2, OR($G116="",$G116&gt;=BG$2)),
  $H116 * (1 + Assumptions!$C$7) ^ INT(((YEAR(BG$2)-YEAR($F116))*12 + MONTH(BG$2)-MONTH($F116)) / 12),
  0)</f>
        <v/>
      </c>
      <c r="BH116" s="299">
        <f>IF(AND($F116&lt;=BH$2, OR($G116="",$G116&gt;=BH$2)),
  $H116 * (1 + Assumptions!$C$7) ^ INT(((YEAR(BH$2)-YEAR($F116))*12 + MONTH(BH$2)-MONTH($F116)) / 12),
  0)</f>
        <v/>
      </c>
      <c r="BI116" s="299">
        <f>IF(AND($F116&lt;=BI$2, OR($G116="",$G116&gt;=BI$2)),
  $H116 * (1 + Assumptions!$C$7) ^ INT(((YEAR(BI$2)-YEAR($F116))*12 + MONTH(BI$2)-MONTH($F116)) / 12),
  0)</f>
        <v/>
      </c>
      <c r="BJ116" s="299">
        <f>IF(AND($F116&lt;=BJ$2, OR($G116="",$G116&gt;=BJ$2)),
  $H116 * (1 + Assumptions!$C$7) ^ INT(((YEAR(BJ$2)-YEAR($F116))*12 + MONTH(BJ$2)-MONTH($F116)) / 12),
  0)</f>
        <v/>
      </c>
      <c r="BK116" s="299">
        <f>IF(AND($F116&lt;=BK$2, OR($G116="",$G116&gt;=BK$2)),
  $H116 * (1 + Assumptions!$C$7) ^ INT(((YEAR(BK$2)-YEAR($F116))*12 + MONTH(BK$2)-MONTH($F116)) / 12),
  0)</f>
        <v/>
      </c>
      <c r="BL116" s="299">
        <f>IF(AND($F116&lt;=BL$2, OR($G116="",$G116&gt;=BL$2)),
  $H116 * (1 + Assumptions!$C$7) ^ INT(((YEAR(BL$2)-YEAR($F116))*12 + MONTH(BL$2)-MONTH($F116)) / 12),
  0)</f>
        <v/>
      </c>
      <c r="BM116" s="299">
        <f>IF(AND($F116&lt;=BM$2, OR($G116="",$G116&gt;=BM$2)),
  $H116 * (1 + Assumptions!$C$7) ^ INT(((YEAR(BM$2)-YEAR($F116))*12 + MONTH(BM$2)-MONTH($F116)) / 12),
  0)</f>
        <v/>
      </c>
      <c r="BN116" s="299">
        <f>IF(AND($F116&lt;=BN$2, OR($G116="",$G116&gt;=BN$2)),
  $H116 * (1 + Assumptions!$C$7) ^ INT(((YEAR(BN$2)-YEAR($F116))*12 + MONTH(BN$2)-MONTH($F116)) / 12),
  0)</f>
        <v/>
      </c>
      <c r="BO116" s="299">
        <f>IF(AND($F116&lt;=BO$2, OR($G116="",$G116&gt;=BO$2)),
  $H116 * (1 + Assumptions!$C$7) ^ INT(((YEAR(BO$2)-YEAR($F116))*12 + MONTH(BO$2)-MONTH($F116)) / 12),
  0)</f>
        <v/>
      </c>
      <c r="BP116" s="299">
        <f>IF(AND($F116&lt;=BP$2, OR($G116="",$G116&gt;=BP$2)),
  $H116 * (1 + Assumptions!$C$7) ^ INT(((YEAR(BP$2)-YEAR($F116))*12 + MONTH(BP$2)-MONTH($F116)) / 12),
  0)</f>
        <v/>
      </c>
      <c r="BQ116" s="31" t="n"/>
      <c r="BR116" s="31" t="n"/>
      <c r="BS116" s="31" t="n"/>
      <c r="BT116" s="31" t="n"/>
    </row>
    <row r="117" ht="15.75" customHeight="1" s="349">
      <c r="A117" s="321" t="n">
        <v>112</v>
      </c>
      <c r="B117" s="285" t="inlineStr">
        <is>
          <t>New hire</t>
        </is>
      </c>
      <c r="C117" s="317" t="inlineStr">
        <is>
          <t>G&amp;A</t>
        </is>
      </c>
      <c r="D117" s="317" t="inlineStr">
        <is>
          <t>Production Operator</t>
        </is>
      </c>
      <c r="E117" s="297" t="inlineStr">
        <is>
          <t>Planned</t>
        </is>
      </c>
      <c r="F117" s="318">
        <f>IF(Assumptions!$D$82=2,DATE(2028,7,1),DATE(2035,1,1))</f>
        <v/>
      </c>
      <c r="G117" s="318" t="n"/>
      <c r="H117" s="288" t="n">
        <v>5000</v>
      </c>
      <c r="I117" s="299">
        <f>IF(AND($F117&lt;=I$2, OR($G117="",$G117&gt;=I$2)),
  $H117 * (1 + Assumptions!$C$7) ^ INT(((YEAR(I$2)-YEAR($F117))*12 + MONTH(I$2)-MONTH($F117)) / 12),
  0)</f>
        <v/>
      </c>
      <c r="J117" s="299">
        <f>IF(AND($F117&lt;=J$2, OR($G117="",$G117&gt;=J$2)),
  $H117 * (1 + Assumptions!$C$7) ^ INT(((YEAR(J$2)-YEAR($F117))*12 + MONTH(J$2)-MONTH($F117)) / 12),
  0)</f>
        <v/>
      </c>
      <c r="K117" s="299">
        <f>IF(AND($F117&lt;=K$2, OR($G117="",$G117&gt;=K$2)),
  $H117 * (1 + Assumptions!$C$7) ^ INT(((YEAR(K$2)-YEAR($F117))*12 + MONTH(K$2)-MONTH($F117)) / 12),
  0)</f>
        <v/>
      </c>
      <c r="L117" s="299">
        <f>IF(AND($F117&lt;=L$2, OR($G117="",$G117&gt;=L$2)),
  $H117 * (1 + Assumptions!$C$7) ^ INT(((YEAR(L$2)-YEAR($F117))*12 + MONTH(L$2)-MONTH($F117)) / 12),
  0)</f>
        <v/>
      </c>
      <c r="M117" s="299">
        <f>IF(AND($F117&lt;=M$2, OR($G117="",$G117&gt;=M$2)),
  $H117 * (1 + Assumptions!$C$7) ^ INT(((YEAR(M$2)-YEAR($F117))*12 + MONTH(M$2)-MONTH($F117)) / 12),
  0)</f>
        <v/>
      </c>
      <c r="N117" s="299">
        <f>IF(AND($F117&lt;=N$2, OR($G117="",$G117&gt;=N$2)),
  $H117 * (1 + Assumptions!$C$7) ^ INT(((YEAR(N$2)-YEAR($F117))*12 + MONTH(N$2)-MONTH($F117)) / 12),
  0)</f>
        <v/>
      </c>
      <c r="O117" s="299">
        <f>IF(AND($F117&lt;=O$2, OR($G117="",$G117&gt;=O$2)),
  $H117 * (1 + Assumptions!$C$7) ^ INT(((YEAR(O$2)-YEAR($F117))*12 + MONTH(O$2)-MONTH($F117)) / 12),
  0)</f>
        <v/>
      </c>
      <c r="P117" s="299">
        <f>IF(AND($F117&lt;=P$2, OR($G117="",$G117&gt;=P$2)),
  $H117 * (1 + Assumptions!$C$7) ^ INT(((YEAR(P$2)-YEAR($F117))*12 + MONTH(P$2)-MONTH($F117)) / 12),
  0)</f>
        <v/>
      </c>
      <c r="Q117" s="299">
        <f>IF(AND($F117&lt;=Q$2, OR($G117="",$G117&gt;=Q$2)),
  $H117 * (1 + Assumptions!$C$7) ^ INT(((YEAR(Q$2)-YEAR($F117))*12 + MONTH(Q$2)-MONTH($F117)) / 12),
  0)</f>
        <v/>
      </c>
      <c r="R117" s="299">
        <f>IF(AND($F117&lt;=R$2, OR($G117="",$G117&gt;=R$2)),
  $H117 * (1 + Assumptions!$C$7) ^ INT(((YEAR(R$2)-YEAR($F117))*12 + MONTH(R$2)-MONTH($F117)) / 12),
  0)</f>
        <v/>
      </c>
      <c r="S117" s="299">
        <f>IF(AND($F117&lt;=S$2, OR($G117="",$G117&gt;=S$2)),
  $H117 * (1 + Assumptions!$C$7) ^ INT(((YEAR(S$2)-YEAR($F117))*12 + MONTH(S$2)-MONTH($F117)) / 12),
  0)</f>
        <v/>
      </c>
      <c r="T117" s="299">
        <f>IF(AND($F117&lt;=T$2, OR($G117="",$G117&gt;=T$2)),
  $H117 * (1 + Assumptions!$C$7) ^ INT(((YEAR(T$2)-YEAR($F117))*12 + MONTH(T$2)-MONTH($F117)) / 12),
  0)</f>
        <v/>
      </c>
      <c r="U117" s="299">
        <f>IF(AND($F117&lt;=U$2, OR($G117="",$G117&gt;=U$2)),
  $H117 * (1 + Assumptions!$C$7) ^ INT(((YEAR(U$2)-YEAR($F117))*12 + MONTH(U$2)-MONTH($F117)) / 12),
  0)</f>
        <v/>
      </c>
      <c r="V117" s="299">
        <f>IF(AND($F117&lt;=V$2, OR($G117="",$G117&gt;=V$2)),
  $H117 * (1 + Assumptions!$C$7) ^ INT(((YEAR(V$2)-YEAR($F117))*12 + MONTH(V$2)-MONTH($F117)) / 12),
  0)</f>
        <v/>
      </c>
      <c r="W117" s="299">
        <f>IF(AND($F117&lt;=W$2, OR($G117="",$G117&gt;=W$2)),
  $H117 * (1 + Assumptions!$C$7) ^ INT(((YEAR(W$2)-YEAR($F117))*12 + MONTH(W$2)-MONTH($F117)) / 12),
  0)</f>
        <v/>
      </c>
      <c r="X117" s="299">
        <f>IF(AND($F117&lt;=X$2, OR($G117="",$G117&gt;=X$2)),
  $H117 * (1 + Assumptions!$C$7) ^ INT(((YEAR(X$2)-YEAR($F117))*12 + MONTH(X$2)-MONTH($F117)) / 12),
  0)</f>
        <v/>
      </c>
      <c r="Y117" s="299">
        <f>IF(AND($F117&lt;=Y$2, OR($G117="",$G117&gt;=Y$2)),
  $H117 * (1 + Assumptions!$C$7) ^ INT(((YEAR(Y$2)-YEAR($F117))*12 + MONTH(Y$2)-MONTH($F117)) / 12),
  0)</f>
        <v/>
      </c>
      <c r="Z117" s="299">
        <f>IF(AND($F117&lt;=Z$2, OR($G117="",$G117&gt;=Z$2)),
  $H117 * (1 + Assumptions!$C$7) ^ INT(((YEAR(Z$2)-YEAR($F117))*12 + MONTH(Z$2)-MONTH($F117)) / 12),
  0)</f>
        <v/>
      </c>
      <c r="AA117" s="299">
        <f>IF(AND($F117&lt;=AA$2, OR($G117="",$G117&gt;=AA$2)),
  $H117 * (1 + Assumptions!$C$7) ^ INT(((YEAR(AA$2)-YEAR($F117))*12 + MONTH(AA$2)-MONTH($F117)) / 12),
  0)</f>
        <v/>
      </c>
      <c r="AB117" s="299">
        <f>IF(AND($F117&lt;=AB$2, OR($G117="",$G117&gt;=AB$2)),
  $H117 * (1 + Assumptions!$C$7) ^ INT(((YEAR(AB$2)-YEAR($F117))*12 + MONTH(AB$2)-MONTH($F117)) / 12),
  0)</f>
        <v/>
      </c>
      <c r="AC117" s="299">
        <f>IF(AND($F117&lt;=AC$2, OR($G117="",$G117&gt;=AC$2)),
  $H117 * (1 + Assumptions!$C$7) ^ INT(((YEAR(AC$2)-YEAR($F117))*12 + MONTH(AC$2)-MONTH($F117)) / 12),
  0)</f>
        <v/>
      </c>
      <c r="AD117" s="299">
        <f>IF(AND($F117&lt;=AD$2, OR($G117="",$G117&gt;=AD$2)),
  $H117 * (1 + Assumptions!$C$7) ^ INT(((YEAR(AD$2)-YEAR($F117))*12 + MONTH(AD$2)-MONTH($F117)) / 12),
  0)</f>
        <v/>
      </c>
      <c r="AE117" s="299">
        <f>IF(AND($F117&lt;=AE$2, OR($G117="",$G117&gt;=AE$2)),
  $H117 * (1 + Assumptions!$C$7) ^ INT(((YEAR(AE$2)-YEAR($F117))*12 + MONTH(AE$2)-MONTH($F117)) / 12),
  0)</f>
        <v/>
      </c>
      <c r="AF117" s="299">
        <f>IF(AND($F117&lt;=AF$2, OR($G117="",$G117&gt;=AF$2)),
  $H117 * (1 + Assumptions!$C$7) ^ INT(((YEAR(AF$2)-YEAR($F117))*12 + MONTH(AF$2)-MONTH($F117)) / 12),
  0)</f>
        <v/>
      </c>
      <c r="AG117" s="299">
        <f>IF(AND($F117&lt;=AG$2, OR($G117="",$G117&gt;=AG$2)),
  $H117 * (1 + Assumptions!$C$7) ^ INT(((YEAR(AG$2)-YEAR($F117))*12 + MONTH(AG$2)-MONTH($F117)) / 12),
  0)</f>
        <v/>
      </c>
      <c r="AH117" s="299">
        <f>IF(AND($F117&lt;=AH$2, OR($G117="",$G117&gt;=AH$2)),
  $H117 * (1 + Assumptions!$C$7) ^ INT(((YEAR(AH$2)-YEAR($F117))*12 + MONTH(AH$2)-MONTH($F117)) / 12),
  0)</f>
        <v/>
      </c>
      <c r="AI117" s="299">
        <f>IF(AND($F117&lt;=AI$2, OR($G117="",$G117&gt;=AI$2)),
  $H117 * (1 + Assumptions!$C$7) ^ INT(((YEAR(AI$2)-YEAR($F117))*12 + MONTH(AI$2)-MONTH($F117)) / 12),
  0)</f>
        <v/>
      </c>
      <c r="AJ117" s="299">
        <f>IF(AND($F117&lt;=AJ$2, OR($G117="",$G117&gt;=AJ$2)),
  $H117 * (1 + Assumptions!$C$7) ^ INT(((YEAR(AJ$2)-YEAR($F117))*12 + MONTH(AJ$2)-MONTH($F117)) / 12),
  0)</f>
        <v/>
      </c>
      <c r="AK117" s="299">
        <f>IF(AND($F117&lt;=AK$2, OR($G117="",$G117&gt;=AK$2)),
  $H117 * (1 + Assumptions!$C$7) ^ INT(((YEAR(AK$2)-YEAR($F117))*12 + MONTH(AK$2)-MONTH($F117)) / 12),
  0)</f>
        <v/>
      </c>
      <c r="AL117" s="299">
        <f>IF(AND($F117&lt;=AL$2, OR($G117="",$G117&gt;=AL$2)),
  $H117 * (1 + Assumptions!$C$7) ^ INT(((YEAR(AL$2)-YEAR($F117))*12 + MONTH(AL$2)-MONTH($F117)) / 12),
  0)</f>
        <v/>
      </c>
      <c r="AM117" s="299">
        <f>IF(AND($F117&lt;=AM$2, OR($G117="",$G117&gt;=AM$2)),
  $H117 * (1 + Assumptions!$C$7) ^ INT(((YEAR(AM$2)-YEAR($F117))*12 + MONTH(AM$2)-MONTH($F117)) / 12),
  0)</f>
        <v/>
      </c>
      <c r="AN117" s="299">
        <f>IF(AND($F117&lt;=AN$2, OR($G117="",$G117&gt;=AN$2)),
  $H117 * (1 + Assumptions!$C$7) ^ INT(((YEAR(AN$2)-YEAR($F117))*12 + MONTH(AN$2)-MONTH($F117)) / 12),
  0)</f>
        <v/>
      </c>
      <c r="AO117" s="299">
        <f>IF(AND($F117&lt;=AO$2, OR($G117="",$G117&gt;=AO$2)),
  $H117 * (1 + Assumptions!$C$7) ^ INT(((YEAR(AO$2)-YEAR($F117))*12 + MONTH(AO$2)-MONTH($F117)) / 12),
  0)</f>
        <v/>
      </c>
      <c r="AP117" s="299">
        <f>IF(AND($F117&lt;=AP$2, OR($G117="",$G117&gt;=AP$2)),
  $H117 * (1 + Assumptions!$C$7) ^ INT(((YEAR(AP$2)-YEAR($F117))*12 + MONTH(AP$2)-MONTH($F117)) / 12),
  0)</f>
        <v/>
      </c>
      <c r="AQ117" s="299">
        <f>IF(AND($F117&lt;=AQ$2, OR($G117="",$G117&gt;=AQ$2)),
  $H117 * (1 + Assumptions!$C$7) ^ INT(((YEAR(AQ$2)-YEAR($F117))*12 + MONTH(AQ$2)-MONTH($F117)) / 12),
  0)</f>
        <v/>
      </c>
      <c r="AR117" s="299">
        <f>IF(AND($F117&lt;=AR$2, OR($G117="",$G117&gt;=AR$2)),
  $H117 * (1 + Assumptions!$C$7) ^ INT(((YEAR(AR$2)-YEAR($F117))*12 + MONTH(AR$2)-MONTH($F117)) / 12),
  0)</f>
        <v/>
      </c>
      <c r="AS117" s="299">
        <f>IF(AND($F117&lt;=AS$2, OR($G117="",$G117&gt;=AS$2)),
  $H117 * (1 + Assumptions!$C$7) ^ INT(((YEAR(AS$2)-YEAR($F117))*12 + MONTH(AS$2)-MONTH($F117)) / 12),
  0)</f>
        <v/>
      </c>
      <c r="AT117" s="299">
        <f>IF(AND($F117&lt;=AT$2, OR($G117="",$G117&gt;=AT$2)),
  $H117 * (1 + Assumptions!$C$7) ^ INT(((YEAR(AT$2)-YEAR($F117))*12 + MONTH(AT$2)-MONTH($F117)) / 12),
  0)</f>
        <v/>
      </c>
      <c r="AU117" s="299">
        <f>IF(AND($F117&lt;=AU$2, OR($G117="",$G117&gt;=AU$2)),
  $H117 * (1 + Assumptions!$C$7) ^ INT(((YEAR(AU$2)-YEAR($F117))*12 + MONTH(AU$2)-MONTH($F117)) / 12),
  0)</f>
        <v/>
      </c>
      <c r="AV117" s="299">
        <f>IF(AND($F117&lt;=AV$2, OR($G117="",$G117&gt;=AV$2)),
  $H117 * (1 + Assumptions!$C$7) ^ INT(((YEAR(AV$2)-YEAR($F117))*12 + MONTH(AV$2)-MONTH($F117)) / 12),
  0)</f>
        <v/>
      </c>
      <c r="AW117" s="299">
        <f>IF(AND($F117&lt;=AW$2, OR($G117="",$G117&gt;=AW$2)),
  $H117 * (1 + Assumptions!$C$7) ^ INT(((YEAR(AW$2)-YEAR($F117))*12 + MONTH(AW$2)-MONTH($F117)) / 12),
  0)</f>
        <v/>
      </c>
      <c r="AX117" s="299">
        <f>IF(AND($F117&lt;=AX$2, OR($G117="",$G117&gt;=AX$2)),
  $H117 * (1 + Assumptions!$C$7) ^ INT(((YEAR(AX$2)-YEAR($F117))*12 + MONTH(AX$2)-MONTH($F117)) / 12),
  0)</f>
        <v/>
      </c>
      <c r="AY117" s="299">
        <f>IF(AND($F117&lt;=AY$2, OR($G117="",$G117&gt;=AY$2)),
  $H117 * (1 + Assumptions!$C$7) ^ INT(((YEAR(AY$2)-YEAR($F117))*12 + MONTH(AY$2)-MONTH($F117)) / 12),
  0)</f>
        <v/>
      </c>
      <c r="AZ117" s="299">
        <f>IF(AND($F117&lt;=AZ$2, OR($G117="",$G117&gt;=AZ$2)),
  $H117 * (1 + Assumptions!$C$7) ^ INT(((YEAR(AZ$2)-YEAR($F117))*12 + MONTH(AZ$2)-MONTH($F117)) / 12),
  0)</f>
        <v/>
      </c>
      <c r="BA117" s="299">
        <f>IF(AND($F117&lt;=BA$2, OR($G117="",$G117&gt;=BA$2)),
  $H117 * (1 + Assumptions!$C$7) ^ INT(((YEAR(BA$2)-YEAR($F117))*12 + MONTH(BA$2)-MONTH($F117)) / 12),
  0)</f>
        <v/>
      </c>
      <c r="BB117" s="299">
        <f>IF(AND($F117&lt;=BB$2, OR($G117="",$G117&gt;=BB$2)),
  $H117 * (1 + Assumptions!$C$7) ^ INT(((YEAR(BB$2)-YEAR($F117))*12 + MONTH(BB$2)-MONTH($F117)) / 12),
  0)</f>
        <v/>
      </c>
      <c r="BC117" s="299">
        <f>IF(AND($F117&lt;=BC$2, OR($G117="",$G117&gt;=BC$2)),
  $H117 * (1 + Assumptions!$C$7) ^ INT(((YEAR(BC$2)-YEAR($F117))*12 + MONTH(BC$2)-MONTH($F117)) / 12),
  0)</f>
        <v/>
      </c>
      <c r="BD117" s="299">
        <f>IF(AND($F117&lt;=BD$2, OR($G117="",$G117&gt;=BD$2)),
  $H117 * (1 + Assumptions!$C$7) ^ INT(((YEAR(BD$2)-YEAR($F117))*12 + MONTH(BD$2)-MONTH($F117)) / 12),
  0)</f>
        <v/>
      </c>
      <c r="BE117" s="299">
        <f>IF(AND($F117&lt;=BE$2, OR($G117="",$G117&gt;=BE$2)),
  $H117 * (1 + Assumptions!$C$7) ^ INT(((YEAR(BE$2)-YEAR($F117))*12 + MONTH(BE$2)-MONTH($F117)) / 12),
  0)</f>
        <v/>
      </c>
      <c r="BF117" s="299">
        <f>IF(AND($F117&lt;=BF$2, OR($G117="",$G117&gt;=BF$2)),
  $H117 * (1 + Assumptions!$C$7) ^ INT(((YEAR(BF$2)-YEAR($F117))*12 + MONTH(BF$2)-MONTH($F117)) / 12),
  0)</f>
        <v/>
      </c>
      <c r="BG117" s="299">
        <f>IF(AND($F117&lt;=BG$2, OR($G117="",$G117&gt;=BG$2)),
  $H117 * (1 + Assumptions!$C$7) ^ INT(((YEAR(BG$2)-YEAR($F117))*12 + MONTH(BG$2)-MONTH($F117)) / 12),
  0)</f>
        <v/>
      </c>
      <c r="BH117" s="299">
        <f>IF(AND($F117&lt;=BH$2, OR($G117="",$G117&gt;=BH$2)),
  $H117 * (1 + Assumptions!$C$7) ^ INT(((YEAR(BH$2)-YEAR($F117))*12 + MONTH(BH$2)-MONTH($F117)) / 12),
  0)</f>
        <v/>
      </c>
      <c r="BI117" s="299">
        <f>IF(AND($F117&lt;=BI$2, OR($G117="",$G117&gt;=BI$2)),
  $H117 * (1 + Assumptions!$C$7) ^ INT(((YEAR(BI$2)-YEAR($F117))*12 + MONTH(BI$2)-MONTH($F117)) / 12),
  0)</f>
        <v/>
      </c>
      <c r="BJ117" s="299">
        <f>IF(AND($F117&lt;=BJ$2, OR($G117="",$G117&gt;=BJ$2)),
  $H117 * (1 + Assumptions!$C$7) ^ INT(((YEAR(BJ$2)-YEAR($F117))*12 + MONTH(BJ$2)-MONTH($F117)) / 12),
  0)</f>
        <v/>
      </c>
      <c r="BK117" s="299">
        <f>IF(AND($F117&lt;=BK$2, OR($G117="",$G117&gt;=BK$2)),
  $H117 * (1 + Assumptions!$C$7) ^ INT(((YEAR(BK$2)-YEAR($F117))*12 + MONTH(BK$2)-MONTH($F117)) / 12),
  0)</f>
        <v/>
      </c>
      <c r="BL117" s="299">
        <f>IF(AND($F117&lt;=BL$2, OR($G117="",$G117&gt;=BL$2)),
  $H117 * (1 + Assumptions!$C$7) ^ INT(((YEAR(BL$2)-YEAR($F117))*12 + MONTH(BL$2)-MONTH($F117)) / 12),
  0)</f>
        <v/>
      </c>
      <c r="BM117" s="299">
        <f>IF(AND($F117&lt;=BM$2, OR($G117="",$G117&gt;=BM$2)),
  $H117 * (1 + Assumptions!$C$7) ^ INT(((YEAR(BM$2)-YEAR($F117))*12 + MONTH(BM$2)-MONTH($F117)) / 12),
  0)</f>
        <v/>
      </c>
      <c r="BN117" s="299">
        <f>IF(AND($F117&lt;=BN$2, OR($G117="",$G117&gt;=BN$2)),
  $H117 * (1 + Assumptions!$C$7) ^ INT(((YEAR(BN$2)-YEAR($F117))*12 + MONTH(BN$2)-MONTH($F117)) / 12),
  0)</f>
        <v/>
      </c>
      <c r="BO117" s="299">
        <f>IF(AND($F117&lt;=BO$2, OR($G117="",$G117&gt;=BO$2)),
  $H117 * (1 + Assumptions!$C$7) ^ INT(((YEAR(BO$2)-YEAR($F117))*12 + MONTH(BO$2)-MONTH($F117)) / 12),
  0)</f>
        <v/>
      </c>
      <c r="BP117" s="299">
        <f>IF(AND($F117&lt;=BP$2, OR($G117="",$G117&gt;=BP$2)),
  $H117 * (1 + Assumptions!$C$7) ^ INT(((YEAR(BP$2)-YEAR($F117))*12 + MONTH(BP$2)-MONTH($F117)) / 12),
  0)</f>
        <v/>
      </c>
      <c r="BQ117" s="31" t="n"/>
      <c r="BR117" s="31" t="n"/>
      <c r="BS117" s="31" t="n"/>
      <c r="BT117" s="31" t="n"/>
    </row>
    <row r="118" ht="15.75" customHeight="1" s="349">
      <c r="A118" s="321" t="n">
        <v>113</v>
      </c>
      <c r="B118" s="285" t="inlineStr">
        <is>
          <t>New hire</t>
        </is>
      </c>
      <c r="C118" s="317" t="inlineStr">
        <is>
          <t>G&amp;A</t>
        </is>
      </c>
      <c r="D118" s="317" t="inlineStr">
        <is>
          <t>Production Operator</t>
        </is>
      </c>
      <c r="E118" s="297" t="inlineStr">
        <is>
          <t>Planned</t>
        </is>
      </c>
      <c r="F118" s="318">
        <f>IF(Assumptions!$D$82=2,DATE(2028,7,1),DATE(2035,1,1))</f>
        <v/>
      </c>
      <c r="G118" s="318" t="n"/>
      <c r="H118" s="288" t="n">
        <v>5000</v>
      </c>
      <c r="I118" s="299">
        <f>IF(AND($F118&lt;=I$2, OR($G118="",$G118&gt;=I$2)),
  $H118 * (1 + Assumptions!$C$7) ^ INT(((YEAR(I$2)-YEAR($F118))*12 + MONTH(I$2)-MONTH($F118)) / 12),
  0)</f>
        <v/>
      </c>
      <c r="J118" s="299">
        <f>IF(AND($F118&lt;=J$2, OR($G118="",$G118&gt;=J$2)),
  $H118 * (1 + Assumptions!$C$7) ^ INT(((YEAR(J$2)-YEAR($F118))*12 + MONTH(J$2)-MONTH($F118)) / 12),
  0)</f>
        <v/>
      </c>
      <c r="K118" s="299">
        <f>IF(AND($F118&lt;=K$2, OR($G118="",$G118&gt;=K$2)),
  $H118 * (1 + Assumptions!$C$7) ^ INT(((YEAR(K$2)-YEAR($F118))*12 + MONTH(K$2)-MONTH($F118)) / 12),
  0)</f>
        <v/>
      </c>
      <c r="L118" s="299">
        <f>IF(AND($F118&lt;=L$2, OR($G118="",$G118&gt;=L$2)),
  $H118 * (1 + Assumptions!$C$7) ^ INT(((YEAR(L$2)-YEAR($F118))*12 + MONTH(L$2)-MONTH($F118)) / 12),
  0)</f>
        <v/>
      </c>
      <c r="M118" s="299">
        <f>IF(AND($F118&lt;=M$2, OR($G118="",$G118&gt;=M$2)),
  $H118 * (1 + Assumptions!$C$7) ^ INT(((YEAR(M$2)-YEAR($F118))*12 + MONTH(M$2)-MONTH($F118)) / 12),
  0)</f>
        <v/>
      </c>
      <c r="N118" s="299">
        <f>IF(AND($F118&lt;=N$2, OR($G118="",$G118&gt;=N$2)),
  $H118 * (1 + Assumptions!$C$7) ^ INT(((YEAR(N$2)-YEAR($F118))*12 + MONTH(N$2)-MONTH($F118)) / 12),
  0)</f>
        <v/>
      </c>
      <c r="O118" s="299">
        <f>IF(AND($F118&lt;=O$2, OR($G118="",$G118&gt;=O$2)),
  $H118 * (1 + Assumptions!$C$7) ^ INT(((YEAR(O$2)-YEAR($F118))*12 + MONTH(O$2)-MONTH($F118)) / 12),
  0)</f>
        <v/>
      </c>
      <c r="P118" s="299">
        <f>IF(AND($F118&lt;=P$2, OR($G118="",$G118&gt;=P$2)),
  $H118 * (1 + Assumptions!$C$7) ^ INT(((YEAR(P$2)-YEAR($F118))*12 + MONTH(P$2)-MONTH($F118)) / 12),
  0)</f>
        <v/>
      </c>
      <c r="Q118" s="299">
        <f>IF(AND($F118&lt;=Q$2, OR($G118="",$G118&gt;=Q$2)),
  $H118 * (1 + Assumptions!$C$7) ^ INT(((YEAR(Q$2)-YEAR($F118))*12 + MONTH(Q$2)-MONTH($F118)) / 12),
  0)</f>
        <v/>
      </c>
      <c r="R118" s="299">
        <f>IF(AND($F118&lt;=R$2, OR($G118="",$G118&gt;=R$2)),
  $H118 * (1 + Assumptions!$C$7) ^ INT(((YEAR(R$2)-YEAR($F118))*12 + MONTH(R$2)-MONTH($F118)) / 12),
  0)</f>
        <v/>
      </c>
      <c r="S118" s="299">
        <f>IF(AND($F118&lt;=S$2, OR($G118="",$G118&gt;=S$2)),
  $H118 * (1 + Assumptions!$C$7) ^ INT(((YEAR(S$2)-YEAR($F118))*12 + MONTH(S$2)-MONTH($F118)) / 12),
  0)</f>
        <v/>
      </c>
      <c r="T118" s="299">
        <f>IF(AND($F118&lt;=T$2, OR($G118="",$G118&gt;=T$2)),
  $H118 * (1 + Assumptions!$C$7) ^ INT(((YEAR(T$2)-YEAR($F118))*12 + MONTH(T$2)-MONTH($F118)) / 12),
  0)</f>
        <v/>
      </c>
      <c r="U118" s="299">
        <f>IF(AND($F118&lt;=U$2, OR($G118="",$G118&gt;=U$2)),
  $H118 * (1 + Assumptions!$C$7) ^ INT(((YEAR(U$2)-YEAR($F118))*12 + MONTH(U$2)-MONTH($F118)) / 12),
  0)</f>
        <v/>
      </c>
      <c r="V118" s="299">
        <f>IF(AND($F118&lt;=V$2, OR($G118="",$G118&gt;=V$2)),
  $H118 * (1 + Assumptions!$C$7) ^ INT(((YEAR(V$2)-YEAR($F118))*12 + MONTH(V$2)-MONTH($F118)) / 12),
  0)</f>
        <v/>
      </c>
      <c r="W118" s="299">
        <f>IF(AND($F118&lt;=W$2, OR($G118="",$G118&gt;=W$2)),
  $H118 * (1 + Assumptions!$C$7) ^ INT(((YEAR(W$2)-YEAR($F118))*12 + MONTH(W$2)-MONTH($F118)) / 12),
  0)</f>
        <v/>
      </c>
      <c r="X118" s="299">
        <f>IF(AND($F118&lt;=X$2, OR($G118="",$G118&gt;=X$2)),
  $H118 * (1 + Assumptions!$C$7) ^ INT(((YEAR(X$2)-YEAR($F118))*12 + MONTH(X$2)-MONTH($F118)) / 12),
  0)</f>
        <v/>
      </c>
      <c r="Y118" s="299">
        <f>IF(AND($F118&lt;=Y$2, OR($G118="",$G118&gt;=Y$2)),
  $H118 * (1 + Assumptions!$C$7) ^ INT(((YEAR(Y$2)-YEAR($F118))*12 + MONTH(Y$2)-MONTH($F118)) / 12),
  0)</f>
        <v/>
      </c>
      <c r="Z118" s="299">
        <f>IF(AND($F118&lt;=Z$2, OR($G118="",$G118&gt;=Z$2)),
  $H118 * (1 + Assumptions!$C$7) ^ INT(((YEAR(Z$2)-YEAR($F118))*12 + MONTH(Z$2)-MONTH($F118)) / 12),
  0)</f>
        <v/>
      </c>
      <c r="AA118" s="299">
        <f>IF(AND($F118&lt;=AA$2, OR($G118="",$G118&gt;=AA$2)),
  $H118 * (1 + Assumptions!$C$7) ^ INT(((YEAR(AA$2)-YEAR($F118))*12 + MONTH(AA$2)-MONTH($F118)) / 12),
  0)</f>
        <v/>
      </c>
      <c r="AB118" s="299">
        <f>IF(AND($F118&lt;=AB$2, OR($G118="",$G118&gt;=AB$2)),
  $H118 * (1 + Assumptions!$C$7) ^ INT(((YEAR(AB$2)-YEAR($F118))*12 + MONTH(AB$2)-MONTH($F118)) / 12),
  0)</f>
        <v/>
      </c>
      <c r="AC118" s="299">
        <f>IF(AND($F118&lt;=AC$2, OR($G118="",$G118&gt;=AC$2)),
  $H118 * (1 + Assumptions!$C$7) ^ INT(((YEAR(AC$2)-YEAR($F118))*12 + MONTH(AC$2)-MONTH($F118)) / 12),
  0)</f>
        <v/>
      </c>
      <c r="AD118" s="299">
        <f>IF(AND($F118&lt;=AD$2, OR($G118="",$G118&gt;=AD$2)),
  $H118 * (1 + Assumptions!$C$7) ^ INT(((YEAR(AD$2)-YEAR($F118))*12 + MONTH(AD$2)-MONTH($F118)) / 12),
  0)</f>
        <v/>
      </c>
      <c r="AE118" s="299">
        <f>IF(AND($F118&lt;=AE$2, OR($G118="",$G118&gt;=AE$2)),
  $H118 * (1 + Assumptions!$C$7) ^ INT(((YEAR(AE$2)-YEAR($F118))*12 + MONTH(AE$2)-MONTH($F118)) / 12),
  0)</f>
        <v/>
      </c>
      <c r="AF118" s="299">
        <f>IF(AND($F118&lt;=AF$2, OR($G118="",$G118&gt;=AF$2)),
  $H118 * (1 + Assumptions!$C$7) ^ INT(((YEAR(AF$2)-YEAR($F118))*12 + MONTH(AF$2)-MONTH($F118)) / 12),
  0)</f>
        <v/>
      </c>
      <c r="AG118" s="299">
        <f>IF(AND($F118&lt;=AG$2, OR($G118="",$G118&gt;=AG$2)),
  $H118 * (1 + Assumptions!$C$7) ^ INT(((YEAR(AG$2)-YEAR($F118))*12 + MONTH(AG$2)-MONTH($F118)) / 12),
  0)</f>
        <v/>
      </c>
      <c r="AH118" s="299">
        <f>IF(AND($F118&lt;=AH$2, OR($G118="",$G118&gt;=AH$2)),
  $H118 * (1 + Assumptions!$C$7) ^ INT(((YEAR(AH$2)-YEAR($F118))*12 + MONTH(AH$2)-MONTH($F118)) / 12),
  0)</f>
        <v/>
      </c>
      <c r="AI118" s="299">
        <f>IF(AND($F118&lt;=AI$2, OR($G118="",$G118&gt;=AI$2)),
  $H118 * (1 + Assumptions!$C$7) ^ INT(((YEAR(AI$2)-YEAR($F118))*12 + MONTH(AI$2)-MONTH($F118)) / 12),
  0)</f>
        <v/>
      </c>
      <c r="AJ118" s="299">
        <f>IF(AND($F118&lt;=AJ$2, OR($G118="",$G118&gt;=AJ$2)),
  $H118 * (1 + Assumptions!$C$7) ^ INT(((YEAR(AJ$2)-YEAR($F118))*12 + MONTH(AJ$2)-MONTH($F118)) / 12),
  0)</f>
        <v/>
      </c>
      <c r="AK118" s="299">
        <f>IF(AND($F118&lt;=AK$2, OR($G118="",$G118&gt;=AK$2)),
  $H118 * (1 + Assumptions!$C$7) ^ INT(((YEAR(AK$2)-YEAR($F118))*12 + MONTH(AK$2)-MONTH($F118)) / 12),
  0)</f>
        <v/>
      </c>
      <c r="AL118" s="299">
        <f>IF(AND($F118&lt;=AL$2, OR($G118="",$G118&gt;=AL$2)),
  $H118 * (1 + Assumptions!$C$7) ^ INT(((YEAR(AL$2)-YEAR($F118))*12 + MONTH(AL$2)-MONTH($F118)) / 12),
  0)</f>
        <v/>
      </c>
      <c r="AM118" s="299">
        <f>IF(AND($F118&lt;=AM$2, OR($G118="",$G118&gt;=AM$2)),
  $H118 * (1 + Assumptions!$C$7) ^ INT(((YEAR(AM$2)-YEAR($F118))*12 + MONTH(AM$2)-MONTH($F118)) / 12),
  0)</f>
        <v/>
      </c>
      <c r="AN118" s="299">
        <f>IF(AND($F118&lt;=AN$2, OR($G118="",$G118&gt;=AN$2)),
  $H118 * (1 + Assumptions!$C$7) ^ INT(((YEAR(AN$2)-YEAR($F118))*12 + MONTH(AN$2)-MONTH($F118)) / 12),
  0)</f>
        <v/>
      </c>
      <c r="AO118" s="299">
        <f>IF(AND($F118&lt;=AO$2, OR($G118="",$G118&gt;=AO$2)),
  $H118 * (1 + Assumptions!$C$7) ^ INT(((YEAR(AO$2)-YEAR($F118))*12 + MONTH(AO$2)-MONTH($F118)) / 12),
  0)</f>
        <v/>
      </c>
      <c r="AP118" s="299">
        <f>IF(AND($F118&lt;=AP$2, OR($G118="",$G118&gt;=AP$2)),
  $H118 * (1 + Assumptions!$C$7) ^ INT(((YEAR(AP$2)-YEAR($F118))*12 + MONTH(AP$2)-MONTH($F118)) / 12),
  0)</f>
        <v/>
      </c>
      <c r="AQ118" s="299">
        <f>IF(AND($F118&lt;=AQ$2, OR($G118="",$G118&gt;=AQ$2)),
  $H118 * (1 + Assumptions!$C$7) ^ INT(((YEAR(AQ$2)-YEAR($F118))*12 + MONTH(AQ$2)-MONTH($F118)) / 12),
  0)</f>
        <v/>
      </c>
      <c r="AR118" s="299">
        <f>IF(AND($F118&lt;=AR$2, OR($G118="",$G118&gt;=AR$2)),
  $H118 * (1 + Assumptions!$C$7) ^ INT(((YEAR(AR$2)-YEAR($F118))*12 + MONTH(AR$2)-MONTH($F118)) / 12),
  0)</f>
        <v/>
      </c>
      <c r="AS118" s="299">
        <f>IF(AND($F118&lt;=AS$2, OR($G118="",$G118&gt;=AS$2)),
  $H118 * (1 + Assumptions!$C$7) ^ INT(((YEAR(AS$2)-YEAR($F118))*12 + MONTH(AS$2)-MONTH($F118)) / 12),
  0)</f>
        <v/>
      </c>
      <c r="AT118" s="299">
        <f>IF(AND($F118&lt;=AT$2, OR($G118="",$G118&gt;=AT$2)),
  $H118 * (1 + Assumptions!$C$7) ^ INT(((YEAR(AT$2)-YEAR($F118))*12 + MONTH(AT$2)-MONTH($F118)) / 12),
  0)</f>
        <v/>
      </c>
      <c r="AU118" s="299">
        <f>IF(AND($F118&lt;=AU$2, OR($G118="",$G118&gt;=AU$2)),
  $H118 * (1 + Assumptions!$C$7) ^ INT(((YEAR(AU$2)-YEAR($F118))*12 + MONTH(AU$2)-MONTH($F118)) / 12),
  0)</f>
        <v/>
      </c>
      <c r="AV118" s="299">
        <f>IF(AND($F118&lt;=AV$2, OR($G118="",$G118&gt;=AV$2)),
  $H118 * (1 + Assumptions!$C$7) ^ INT(((YEAR(AV$2)-YEAR($F118))*12 + MONTH(AV$2)-MONTH($F118)) / 12),
  0)</f>
        <v/>
      </c>
      <c r="AW118" s="299">
        <f>IF(AND($F118&lt;=AW$2, OR($G118="",$G118&gt;=AW$2)),
  $H118 * (1 + Assumptions!$C$7) ^ INT(((YEAR(AW$2)-YEAR($F118))*12 + MONTH(AW$2)-MONTH($F118)) / 12),
  0)</f>
        <v/>
      </c>
      <c r="AX118" s="299">
        <f>IF(AND($F118&lt;=AX$2, OR($G118="",$G118&gt;=AX$2)),
  $H118 * (1 + Assumptions!$C$7) ^ INT(((YEAR(AX$2)-YEAR($F118))*12 + MONTH(AX$2)-MONTH($F118)) / 12),
  0)</f>
        <v/>
      </c>
      <c r="AY118" s="299">
        <f>IF(AND($F118&lt;=AY$2, OR($G118="",$G118&gt;=AY$2)),
  $H118 * (1 + Assumptions!$C$7) ^ INT(((YEAR(AY$2)-YEAR($F118))*12 + MONTH(AY$2)-MONTH($F118)) / 12),
  0)</f>
        <v/>
      </c>
      <c r="AZ118" s="299">
        <f>IF(AND($F118&lt;=AZ$2, OR($G118="",$G118&gt;=AZ$2)),
  $H118 * (1 + Assumptions!$C$7) ^ INT(((YEAR(AZ$2)-YEAR($F118))*12 + MONTH(AZ$2)-MONTH($F118)) / 12),
  0)</f>
        <v/>
      </c>
      <c r="BA118" s="299">
        <f>IF(AND($F118&lt;=BA$2, OR($G118="",$G118&gt;=BA$2)),
  $H118 * (1 + Assumptions!$C$7) ^ INT(((YEAR(BA$2)-YEAR($F118))*12 + MONTH(BA$2)-MONTH($F118)) / 12),
  0)</f>
        <v/>
      </c>
      <c r="BB118" s="299">
        <f>IF(AND($F118&lt;=BB$2, OR($G118="",$G118&gt;=BB$2)),
  $H118 * (1 + Assumptions!$C$7) ^ INT(((YEAR(BB$2)-YEAR($F118))*12 + MONTH(BB$2)-MONTH($F118)) / 12),
  0)</f>
        <v/>
      </c>
      <c r="BC118" s="299">
        <f>IF(AND($F118&lt;=BC$2, OR($G118="",$G118&gt;=BC$2)),
  $H118 * (1 + Assumptions!$C$7) ^ INT(((YEAR(BC$2)-YEAR($F118))*12 + MONTH(BC$2)-MONTH($F118)) / 12),
  0)</f>
        <v/>
      </c>
      <c r="BD118" s="299">
        <f>IF(AND($F118&lt;=BD$2, OR($G118="",$G118&gt;=BD$2)),
  $H118 * (1 + Assumptions!$C$7) ^ INT(((YEAR(BD$2)-YEAR($F118))*12 + MONTH(BD$2)-MONTH($F118)) / 12),
  0)</f>
        <v/>
      </c>
      <c r="BE118" s="299">
        <f>IF(AND($F118&lt;=BE$2, OR($G118="",$G118&gt;=BE$2)),
  $H118 * (1 + Assumptions!$C$7) ^ INT(((YEAR(BE$2)-YEAR($F118))*12 + MONTH(BE$2)-MONTH($F118)) / 12),
  0)</f>
        <v/>
      </c>
      <c r="BF118" s="299">
        <f>IF(AND($F118&lt;=BF$2, OR($G118="",$G118&gt;=BF$2)),
  $H118 * (1 + Assumptions!$C$7) ^ INT(((YEAR(BF$2)-YEAR($F118))*12 + MONTH(BF$2)-MONTH($F118)) / 12),
  0)</f>
        <v/>
      </c>
      <c r="BG118" s="299">
        <f>IF(AND($F118&lt;=BG$2, OR($G118="",$G118&gt;=BG$2)),
  $H118 * (1 + Assumptions!$C$7) ^ INT(((YEAR(BG$2)-YEAR($F118))*12 + MONTH(BG$2)-MONTH($F118)) / 12),
  0)</f>
        <v/>
      </c>
      <c r="BH118" s="299">
        <f>IF(AND($F118&lt;=BH$2, OR($G118="",$G118&gt;=BH$2)),
  $H118 * (1 + Assumptions!$C$7) ^ INT(((YEAR(BH$2)-YEAR($F118))*12 + MONTH(BH$2)-MONTH($F118)) / 12),
  0)</f>
        <v/>
      </c>
      <c r="BI118" s="299">
        <f>IF(AND($F118&lt;=BI$2, OR($G118="",$G118&gt;=BI$2)),
  $H118 * (1 + Assumptions!$C$7) ^ INT(((YEAR(BI$2)-YEAR($F118))*12 + MONTH(BI$2)-MONTH($F118)) / 12),
  0)</f>
        <v/>
      </c>
      <c r="BJ118" s="299">
        <f>IF(AND($F118&lt;=BJ$2, OR($G118="",$G118&gt;=BJ$2)),
  $H118 * (1 + Assumptions!$C$7) ^ INT(((YEAR(BJ$2)-YEAR($F118))*12 + MONTH(BJ$2)-MONTH($F118)) / 12),
  0)</f>
        <v/>
      </c>
      <c r="BK118" s="299">
        <f>IF(AND($F118&lt;=BK$2, OR($G118="",$G118&gt;=BK$2)),
  $H118 * (1 + Assumptions!$C$7) ^ INT(((YEAR(BK$2)-YEAR($F118))*12 + MONTH(BK$2)-MONTH($F118)) / 12),
  0)</f>
        <v/>
      </c>
      <c r="BL118" s="299">
        <f>IF(AND($F118&lt;=BL$2, OR($G118="",$G118&gt;=BL$2)),
  $H118 * (1 + Assumptions!$C$7) ^ INT(((YEAR(BL$2)-YEAR($F118))*12 + MONTH(BL$2)-MONTH($F118)) / 12),
  0)</f>
        <v/>
      </c>
      <c r="BM118" s="299">
        <f>IF(AND($F118&lt;=BM$2, OR($G118="",$G118&gt;=BM$2)),
  $H118 * (1 + Assumptions!$C$7) ^ INT(((YEAR(BM$2)-YEAR($F118))*12 + MONTH(BM$2)-MONTH($F118)) / 12),
  0)</f>
        <v/>
      </c>
      <c r="BN118" s="299">
        <f>IF(AND($F118&lt;=BN$2, OR($G118="",$G118&gt;=BN$2)),
  $H118 * (1 + Assumptions!$C$7) ^ INT(((YEAR(BN$2)-YEAR($F118))*12 + MONTH(BN$2)-MONTH($F118)) / 12),
  0)</f>
        <v/>
      </c>
      <c r="BO118" s="299">
        <f>IF(AND($F118&lt;=BO$2, OR($G118="",$G118&gt;=BO$2)),
  $H118 * (1 + Assumptions!$C$7) ^ INT(((YEAR(BO$2)-YEAR($F118))*12 + MONTH(BO$2)-MONTH($F118)) / 12),
  0)</f>
        <v/>
      </c>
      <c r="BP118" s="299">
        <f>IF(AND($F118&lt;=BP$2, OR($G118="",$G118&gt;=BP$2)),
  $H118 * (1 + Assumptions!$C$7) ^ INT(((YEAR(BP$2)-YEAR($F118))*12 + MONTH(BP$2)-MONTH($F118)) / 12),
  0)</f>
        <v/>
      </c>
      <c r="BQ118" s="31" t="n"/>
      <c r="BR118" s="31" t="n"/>
      <c r="BS118" s="31" t="n"/>
      <c r="BT118" s="31" t="n"/>
    </row>
    <row r="119" ht="15.75" customHeight="1" s="349">
      <c r="A119" s="321" t="n">
        <v>114</v>
      </c>
      <c r="B119" s="285" t="inlineStr">
        <is>
          <t>New hire</t>
        </is>
      </c>
      <c r="C119" s="317" t="inlineStr">
        <is>
          <t>G&amp;A</t>
        </is>
      </c>
      <c r="D119" s="317" t="inlineStr">
        <is>
          <t>Production Operator</t>
        </is>
      </c>
      <c r="E119" s="297" t="inlineStr">
        <is>
          <t>Planned</t>
        </is>
      </c>
      <c r="F119" s="318">
        <f>IF(Assumptions!$D$82=2,DATE(2028,7,1),DATE(2035,1,1))</f>
        <v/>
      </c>
      <c r="G119" s="318" t="n"/>
      <c r="H119" s="288" t="n">
        <v>5000</v>
      </c>
      <c r="I119" s="299">
        <f>IF(AND($F119&lt;=I$2, OR($G119="",$G119&gt;=I$2)),
  $H119 * (1 + Assumptions!$C$7) ^ INT(((YEAR(I$2)-YEAR($F119))*12 + MONTH(I$2)-MONTH($F119)) / 12),
  0)</f>
        <v/>
      </c>
      <c r="J119" s="299">
        <f>IF(AND($F119&lt;=J$2, OR($G119="",$G119&gt;=J$2)),
  $H119 * (1 + Assumptions!$C$7) ^ INT(((YEAR(J$2)-YEAR($F119))*12 + MONTH(J$2)-MONTH($F119)) / 12),
  0)</f>
        <v/>
      </c>
      <c r="K119" s="299">
        <f>IF(AND($F119&lt;=K$2, OR($G119="",$G119&gt;=K$2)),
  $H119 * (1 + Assumptions!$C$7) ^ INT(((YEAR(K$2)-YEAR($F119))*12 + MONTH(K$2)-MONTH($F119)) / 12),
  0)</f>
        <v/>
      </c>
      <c r="L119" s="299">
        <f>IF(AND($F119&lt;=L$2, OR($G119="",$G119&gt;=L$2)),
  $H119 * (1 + Assumptions!$C$7) ^ INT(((YEAR(L$2)-YEAR($F119))*12 + MONTH(L$2)-MONTH($F119)) / 12),
  0)</f>
        <v/>
      </c>
      <c r="M119" s="299">
        <f>IF(AND($F119&lt;=M$2, OR($G119="",$G119&gt;=M$2)),
  $H119 * (1 + Assumptions!$C$7) ^ INT(((YEAR(M$2)-YEAR($F119))*12 + MONTH(M$2)-MONTH($F119)) / 12),
  0)</f>
        <v/>
      </c>
      <c r="N119" s="299">
        <f>IF(AND($F119&lt;=N$2, OR($G119="",$G119&gt;=N$2)),
  $H119 * (1 + Assumptions!$C$7) ^ INT(((YEAR(N$2)-YEAR($F119))*12 + MONTH(N$2)-MONTH($F119)) / 12),
  0)</f>
        <v/>
      </c>
      <c r="O119" s="299">
        <f>IF(AND($F119&lt;=O$2, OR($G119="",$G119&gt;=O$2)),
  $H119 * (1 + Assumptions!$C$7) ^ INT(((YEAR(O$2)-YEAR($F119))*12 + MONTH(O$2)-MONTH($F119)) / 12),
  0)</f>
        <v/>
      </c>
      <c r="P119" s="299">
        <f>IF(AND($F119&lt;=P$2, OR($G119="",$G119&gt;=P$2)),
  $H119 * (1 + Assumptions!$C$7) ^ INT(((YEAR(P$2)-YEAR($F119))*12 + MONTH(P$2)-MONTH($F119)) / 12),
  0)</f>
        <v/>
      </c>
      <c r="Q119" s="299">
        <f>IF(AND($F119&lt;=Q$2, OR($G119="",$G119&gt;=Q$2)),
  $H119 * (1 + Assumptions!$C$7) ^ INT(((YEAR(Q$2)-YEAR($F119))*12 + MONTH(Q$2)-MONTH($F119)) / 12),
  0)</f>
        <v/>
      </c>
      <c r="R119" s="299">
        <f>IF(AND($F119&lt;=R$2, OR($G119="",$G119&gt;=R$2)),
  $H119 * (1 + Assumptions!$C$7) ^ INT(((YEAR(R$2)-YEAR($F119))*12 + MONTH(R$2)-MONTH($F119)) / 12),
  0)</f>
        <v/>
      </c>
      <c r="S119" s="299">
        <f>IF(AND($F119&lt;=S$2, OR($G119="",$G119&gt;=S$2)),
  $H119 * (1 + Assumptions!$C$7) ^ INT(((YEAR(S$2)-YEAR($F119))*12 + MONTH(S$2)-MONTH($F119)) / 12),
  0)</f>
        <v/>
      </c>
      <c r="T119" s="299">
        <f>IF(AND($F119&lt;=T$2, OR($G119="",$G119&gt;=T$2)),
  $H119 * (1 + Assumptions!$C$7) ^ INT(((YEAR(T$2)-YEAR($F119))*12 + MONTH(T$2)-MONTH($F119)) / 12),
  0)</f>
        <v/>
      </c>
      <c r="U119" s="299">
        <f>IF(AND($F119&lt;=U$2, OR($G119="",$G119&gt;=U$2)),
  $H119 * (1 + Assumptions!$C$7) ^ INT(((YEAR(U$2)-YEAR($F119))*12 + MONTH(U$2)-MONTH($F119)) / 12),
  0)</f>
        <v/>
      </c>
      <c r="V119" s="299">
        <f>IF(AND($F119&lt;=V$2, OR($G119="",$G119&gt;=V$2)),
  $H119 * (1 + Assumptions!$C$7) ^ INT(((YEAR(V$2)-YEAR($F119))*12 + MONTH(V$2)-MONTH($F119)) / 12),
  0)</f>
        <v/>
      </c>
      <c r="W119" s="299">
        <f>IF(AND($F119&lt;=W$2, OR($G119="",$G119&gt;=W$2)),
  $H119 * (1 + Assumptions!$C$7) ^ INT(((YEAR(W$2)-YEAR($F119))*12 + MONTH(W$2)-MONTH($F119)) / 12),
  0)</f>
        <v/>
      </c>
      <c r="X119" s="299">
        <f>IF(AND($F119&lt;=X$2, OR($G119="",$G119&gt;=X$2)),
  $H119 * (1 + Assumptions!$C$7) ^ INT(((YEAR(X$2)-YEAR($F119))*12 + MONTH(X$2)-MONTH($F119)) / 12),
  0)</f>
        <v/>
      </c>
      <c r="Y119" s="299">
        <f>IF(AND($F119&lt;=Y$2, OR($G119="",$G119&gt;=Y$2)),
  $H119 * (1 + Assumptions!$C$7) ^ INT(((YEAR(Y$2)-YEAR($F119))*12 + MONTH(Y$2)-MONTH($F119)) / 12),
  0)</f>
        <v/>
      </c>
      <c r="Z119" s="299">
        <f>IF(AND($F119&lt;=Z$2, OR($G119="",$G119&gt;=Z$2)),
  $H119 * (1 + Assumptions!$C$7) ^ INT(((YEAR(Z$2)-YEAR($F119))*12 + MONTH(Z$2)-MONTH($F119)) / 12),
  0)</f>
        <v/>
      </c>
      <c r="AA119" s="299">
        <f>IF(AND($F119&lt;=AA$2, OR($G119="",$G119&gt;=AA$2)),
  $H119 * (1 + Assumptions!$C$7) ^ INT(((YEAR(AA$2)-YEAR($F119))*12 + MONTH(AA$2)-MONTH($F119)) / 12),
  0)</f>
        <v/>
      </c>
      <c r="AB119" s="299">
        <f>IF(AND($F119&lt;=AB$2, OR($G119="",$G119&gt;=AB$2)),
  $H119 * (1 + Assumptions!$C$7) ^ INT(((YEAR(AB$2)-YEAR($F119))*12 + MONTH(AB$2)-MONTH($F119)) / 12),
  0)</f>
        <v/>
      </c>
      <c r="AC119" s="299">
        <f>IF(AND($F119&lt;=AC$2, OR($G119="",$G119&gt;=AC$2)),
  $H119 * (1 + Assumptions!$C$7) ^ INT(((YEAR(AC$2)-YEAR($F119))*12 + MONTH(AC$2)-MONTH($F119)) / 12),
  0)</f>
        <v/>
      </c>
      <c r="AD119" s="299">
        <f>IF(AND($F119&lt;=AD$2, OR($G119="",$G119&gt;=AD$2)),
  $H119 * (1 + Assumptions!$C$7) ^ INT(((YEAR(AD$2)-YEAR($F119))*12 + MONTH(AD$2)-MONTH($F119)) / 12),
  0)</f>
        <v/>
      </c>
      <c r="AE119" s="299">
        <f>IF(AND($F119&lt;=AE$2, OR($G119="",$G119&gt;=AE$2)),
  $H119 * (1 + Assumptions!$C$7) ^ INT(((YEAR(AE$2)-YEAR($F119))*12 + MONTH(AE$2)-MONTH($F119)) / 12),
  0)</f>
        <v/>
      </c>
      <c r="AF119" s="299">
        <f>IF(AND($F119&lt;=AF$2, OR($G119="",$G119&gt;=AF$2)),
  $H119 * (1 + Assumptions!$C$7) ^ INT(((YEAR(AF$2)-YEAR($F119))*12 + MONTH(AF$2)-MONTH($F119)) / 12),
  0)</f>
        <v/>
      </c>
      <c r="AG119" s="299">
        <f>IF(AND($F119&lt;=AG$2, OR($G119="",$G119&gt;=AG$2)),
  $H119 * (1 + Assumptions!$C$7) ^ INT(((YEAR(AG$2)-YEAR($F119))*12 + MONTH(AG$2)-MONTH($F119)) / 12),
  0)</f>
        <v/>
      </c>
      <c r="AH119" s="299">
        <f>IF(AND($F119&lt;=AH$2, OR($G119="",$G119&gt;=AH$2)),
  $H119 * (1 + Assumptions!$C$7) ^ INT(((YEAR(AH$2)-YEAR($F119))*12 + MONTH(AH$2)-MONTH($F119)) / 12),
  0)</f>
        <v/>
      </c>
      <c r="AI119" s="299">
        <f>IF(AND($F119&lt;=AI$2, OR($G119="",$G119&gt;=AI$2)),
  $H119 * (1 + Assumptions!$C$7) ^ INT(((YEAR(AI$2)-YEAR($F119))*12 + MONTH(AI$2)-MONTH($F119)) / 12),
  0)</f>
        <v/>
      </c>
      <c r="AJ119" s="299">
        <f>IF(AND($F119&lt;=AJ$2, OR($G119="",$G119&gt;=AJ$2)),
  $H119 * (1 + Assumptions!$C$7) ^ INT(((YEAR(AJ$2)-YEAR($F119))*12 + MONTH(AJ$2)-MONTH($F119)) / 12),
  0)</f>
        <v/>
      </c>
      <c r="AK119" s="299">
        <f>IF(AND($F119&lt;=AK$2, OR($G119="",$G119&gt;=AK$2)),
  $H119 * (1 + Assumptions!$C$7) ^ INT(((YEAR(AK$2)-YEAR($F119))*12 + MONTH(AK$2)-MONTH($F119)) / 12),
  0)</f>
        <v/>
      </c>
      <c r="AL119" s="299">
        <f>IF(AND($F119&lt;=AL$2, OR($G119="",$G119&gt;=AL$2)),
  $H119 * (1 + Assumptions!$C$7) ^ INT(((YEAR(AL$2)-YEAR($F119))*12 + MONTH(AL$2)-MONTH($F119)) / 12),
  0)</f>
        <v/>
      </c>
      <c r="AM119" s="299">
        <f>IF(AND($F119&lt;=AM$2, OR($G119="",$G119&gt;=AM$2)),
  $H119 * (1 + Assumptions!$C$7) ^ INT(((YEAR(AM$2)-YEAR($F119))*12 + MONTH(AM$2)-MONTH($F119)) / 12),
  0)</f>
        <v/>
      </c>
      <c r="AN119" s="299">
        <f>IF(AND($F119&lt;=AN$2, OR($G119="",$G119&gt;=AN$2)),
  $H119 * (1 + Assumptions!$C$7) ^ INT(((YEAR(AN$2)-YEAR($F119))*12 + MONTH(AN$2)-MONTH($F119)) / 12),
  0)</f>
        <v/>
      </c>
      <c r="AO119" s="299">
        <f>IF(AND($F119&lt;=AO$2, OR($G119="",$G119&gt;=AO$2)),
  $H119 * (1 + Assumptions!$C$7) ^ INT(((YEAR(AO$2)-YEAR($F119))*12 + MONTH(AO$2)-MONTH($F119)) / 12),
  0)</f>
        <v/>
      </c>
      <c r="AP119" s="299">
        <f>IF(AND($F119&lt;=AP$2, OR($G119="",$G119&gt;=AP$2)),
  $H119 * (1 + Assumptions!$C$7) ^ INT(((YEAR(AP$2)-YEAR($F119))*12 + MONTH(AP$2)-MONTH($F119)) / 12),
  0)</f>
        <v/>
      </c>
      <c r="AQ119" s="299">
        <f>IF(AND($F119&lt;=AQ$2, OR($G119="",$G119&gt;=AQ$2)),
  $H119 * (1 + Assumptions!$C$7) ^ INT(((YEAR(AQ$2)-YEAR($F119))*12 + MONTH(AQ$2)-MONTH($F119)) / 12),
  0)</f>
        <v/>
      </c>
      <c r="AR119" s="299">
        <f>IF(AND($F119&lt;=AR$2, OR($G119="",$G119&gt;=AR$2)),
  $H119 * (1 + Assumptions!$C$7) ^ INT(((YEAR(AR$2)-YEAR($F119))*12 + MONTH(AR$2)-MONTH($F119)) / 12),
  0)</f>
        <v/>
      </c>
      <c r="AS119" s="299">
        <f>IF(AND($F119&lt;=AS$2, OR($G119="",$G119&gt;=AS$2)),
  $H119 * (1 + Assumptions!$C$7) ^ INT(((YEAR(AS$2)-YEAR($F119))*12 + MONTH(AS$2)-MONTH($F119)) / 12),
  0)</f>
        <v/>
      </c>
      <c r="AT119" s="299">
        <f>IF(AND($F119&lt;=AT$2, OR($G119="",$G119&gt;=AT$2)),
  $H119 * (1 + Assumptions!$C$7) ^ INT(((YEAR(AT$2)-YEAR($F119))*12 + MONTH(AT$2)-MONTH($F119)) / 12),
  0)</f>
        <v/>
      </c>
      <c r="AU119" s="299">
        <f>IF(AND($F119&lt;=AU$2, OR($G119="",$G119&gt;=AU$2)),
  $H119 * (1 + Assumptions!$C$7) ^ INT(((YEAR(AU$2)-YEAR($F119))*12 + MONTH(AU$2)-MONTH($F119)) / 12),
  0)</f>
        <v/>
      </c>
      <c r="AV119" s="299">
        <f>IF(AND($F119&lt;=AV$2, OR($G119="",$G119&gt;=AV$2)),
  $H119 * (1 + Assumptions!$C$7) ^ INT(((YEAR(AV$2)-YEAR($F119))*12 + MONTH(AV$2)-MONTH($F119)) / 12),
  0)</f>
        <v/>
      </c>
      <c r="AW119" s="299">
        <f>IF(AND($F119&lt;=AW$2, OR($G119="",$G119&gt;=AW$2)),
  $H119 * (1 + Assumptions!$C$7) ^ INT(((YEAR(AW$2)-YEAR($F119))*12 + MONTH(AW$2)-MONTH($F119)) / 12),
  0)</f>
        <v/>
      </c>
      <c r="AX119" s="299">
        <f>IF(AND($F119&lt;=AX$2, OR($G119="",$G119&gt;=AX$2)),
  $H119 * (1 + Assumptions!$C$7) ^ INT(((YEAR(AX$2)-YEAR($F119))*12 + MONTH(AX$2)-MONTH($F119)) / 12),
  0)</f>
        <v/>
      </c>
      <c r="AY119" s="299">
        <f>IF(AND($F119&lt;=AY$2, OR($G119="",$G119&gt;=AY$2)),
  $H119 * (1 + Assumptions!$C$7) ^ INT(((YEAR(AY$2)-YEAR($F119))*12 + MONTH(AY$2)-MONTH($F119)) / 12),
  0)</f>
        <v/>
      </c>
      <c r="AZ119" s="299">
        <f>IF(AND($F119&lt;=AZ$2, OR($G119="",$G119&gt;=AZ$2)),
  $H119 * (1 + Assumptions!$C$7) ^ INT(((YEAR(AZ$2)-YEAR($F119))*12 + MONTH(AZ$2)-MONTH($F119)) / 12),
  0)</f>
        <v/>
      </c>
      <c r="BA119" s="299">
        <f>IF(AND($F119&lt;=BA$2, OR($G119="",$G119&gt;=BA$2)),
  $H119 * (1 + Assumptions!$C$7) ^ INT(((YEAR(BA$2)-YEAR($F119))*12 + MONTH(BA$2)-MONTH($F119)) / 12),
  0)</f>
        <v/>
      </c>
      <c r="BB119" s="299">
        <f>IF(AND($F119&lt;=BB$2, OR($G119="",$G119&gt;=BB$2)),
  $H119 * (1 + Assumptions!$C$7) ^ INT(((YEAR(BB$2)-YEAR($F119))*12 + MONTH(BB$2)-MONTH($F119)) / 12),
  0)</f>
        <v/>
      </c>
      <c r="BC119" s="299">
        <f>IF(AND($F119&lt;=BC$2, OR($G119="",$G119&gt;=BC$2)),
  $H119 * (1 + Assumptions!$C$7) ^ INT(((YEAR(BC$2)-YEAR($F119))*12 + MONTH(BC$2)-MONTH($F119)) / 12),
  0)</f>
        <v/>
      </c>
      <c r="BD119" s="299">
        <f>IF(AND($F119&lt;=BD$2, OR($G119="",$G119&gt;=BD$2)),
  $H119 * (1 + Assumptions!$C$7) ^ INT(((YEAR(BD$2)-YEAR($F119))*12 + MONTH(BD$2)-MONTH($F119)) / 12),
  0)</f>
        <v/>
      </c>
      <c r="BE119" s="299">
        <f>IF(AND($F119&lt;=BE$2, OR($G119="",$G119&gt;=BE$2)),
  $H119 * (1 + Assumptions!$C$7) ^ INT(((YEAR(BE$2)-YEAR($F119))*12 + MONTH(BE$2)-MONTH($F119)) / 12),
  0)</f>
        <v/>
      </c>
      <c r="BF119" s="299">
        <f>IF(AND($F119&lt;=BF$2, OR($G119="",$G119&gt;=BF$2)),
  $H119 * (1 + Assumptions!$C$7) ^ INT(((YEAR(BF$2)-YEAR($F119))*12 + MONTH(BF$2)-MONTH($F119)) / 12),
  0)</f>
        <v/>
      </c>
      <c r="BG119" s="299">
        <f>IF(AND($F119&lt;=BG$2, OR($G119="",$G119&gt;=BG$2)),
  $H119 * (1 + Assumptions!$C$7) ^ INT(((YEAR(BG$2)-YEAR($F119))*12 + MONTH(BG$2)-MONTH($F119)) / 12),
  0)</f>
        <v/>
      </c>
      <c r="BH119" s="299">
        <f>IF(AND($F119&lt;=BH$2, OR($G119="",$G119&gt;=BH$2)),
  $H119 * (1 + Assumptions!$C$7) ^ INT(((YEAR(BH$2)-YEAR($F119))*12 + MONTH(BH$2)-MONTH($F119)) / 12),
  0)</f>
        <v/>
      </c>
      <c r="BI119" s="299">
        <f>IF(AND($F119&lt;=BI$2, OR($G119="",$G119&gt;=BI$2)),
  $H119 * (1 + Assumptions!$C$7) ^ INT(((YEAR(BI$2)-YEAR($F119))*12 + MONTH(BI$2)-MONTH($F119)) / 12),
  0)</f>
        <v/>
      </c>
      <c r="BJ119" s="299">
        <f>IF(AND($F119&lt;=BJ$2, OR($G119="",$G119&gt;=BJ$2)),
  $H119 * (1 + Assumptions!$C$7) ^ INT(((YEAR(BJ$2)-YEAR($F119))*12 + MONTH(BJ$2)-MONTH($F119)) / 12),
  0)</f>
        <v/>
      </c>
      <c r="BK119" s="299">
        <f>IF(AND($F119&lt;=BK$2, OR($G119="",$G119&gt;=BK$2)),
  $H119 * (1 + Assumptions!$C$7) ^ INT(((YEAR(BK$2)-YEAR($F119))*12 + MONTH(BK$2)-MONTH($F119)) / 12),
  0)</f>
        <v/>
      </c>
      <c r="BL119" s="299">
        <f>IF(AND($F119&lt;=BL$2, OR($G119="",$G119&gt;=BL$2)),
  $H119 * (1 + Assumptions!$C$7) ^ INT(((YEAR(BL$2)-YEAR($F119))*12 + MONTH(BL$2)-MONTH($F119)) / 12),
  0)</f>
        <v/>
      </c>
      <c r="BM119" s="299">
        <f>IF(AND($F119&lt;=BM$2, OR($G119="",$G119&gt;=BM$2)),
  $H119 * (1 + Assumptions!$C$7) ^ INT(((YEAR(BM$2)-YEAR($F119))*12 + MONTH(BM$2)-MONTH($F119)) / 12),
  0)</f>
        <v/>
      </c>
      <c r="BN119" s="299">
        <f>IF(AND($F119&lt;=BN$2, OR($G119="",$G119&gt;=BN$2)),
  $H119 * (1 + Assumptions!$C$7) ^ INT(((YEAR(BN$2)-YEAR($F119))*12 + MONTH(BN$2)-MONTH($F119)) / 12),
  0)</f>
        <v/>
      </c>
      <c r="BO119" s="299">
        <f>IF(AND($F119&lt;=BO$2, OR($G119="",$G119&gt;=BO$2)),
  $H119 * (1 + Assumptions!$C$7) ^ INT(((YEAR(BO$2)-YEAR($F119))*12 + MONTH(BO$2)-MONTH($F119)) / 12),
  0)</f>
        <v/>
      </c>
      <c r="BP119" s="299">
        <f>IF(AND($F119&lt;=BP$2, OR($G119="",$G119&gt;=BP$2)),
  $H119 * (1 + Assumptions!$C$7) ^ INT(((YEAR(BP$2)-YEAR($F119))*12 + MONTH(BP$2)-MONTH($F119)) / 12),
  0)</f>
        <v/>
      </c>
      <c r="BQ119" s="31" t="n"/>
      <c r="BR119" s="31" t="n"/>
      <c r="BS119" s="31" t="n"/>
      <c r="BT119" s="31" t="n"/>
    </row>
    <row r="120" ht="15.75" customHeight="1" s="349">
      <c r="A120" s="321" t="n">
        <v>115</v>
      </c>
      <c r="B120" s="285" t="inlineStr">
        <is>
          <t>New hire</t>
        </is>
      </c>
      <c r="C120" s="317" t="inlineStr">
        <is>
          <t>G&amp;A</t>
        </is>
      </c>
      <c r="D120" s="317" t="inlineStr">
        <is>
          <t>Production Operator</t>
        </is>
      </c>
      <c r="E120" s="297" t="inlineStr">
        <is>
          <t>Planned</t>
        </is>
      </c>
      <c r="F120" s="318">
        <f>IF(Assumptions!$D$82=2,DATE(2028,7,1),DATE(2035,1,1))</f>
        <v/>
      </c>
      <c r="G120" s="318" t="n"/>
      <c r="H120" s="288" t="n">
        <v>5000</v>
      </c>
      <c r="I120" s="299">
        <f>IF(AND($F120&lt;=I$2, OR($G120="",$G120&gt;=I$2)),
  $H120 * (1 + Assumptions!$C$7) ^ INT(((YEAR(I$2)-YEAR($F120))*12 + MONTH(I$2)-MONTH($F120)) / 12),
  0)</f>
        <v/>
      </c>
      <c r="J120" s="299">
        <f>IF(AND($F120&lt;=J$2, OR($G120="",$G120&gt;=J$2)),
  $H120 * (1 + Assumptions!$C$7) ^ INT(((YEAR(J$2)-YEAR($F120))*12 + MONTH(J$2)-MONTH($F120)) / 12),
  0)</f>
        <v/>
      </c>
      <c r="K120" s="299">
        <f>IF(AND($F120&lt;=K$2, OR($G120="",$G120&gt;=K$2)),
  $H120 * (1 + Assumptions!$C$7) ^ INT(((YEAR(K$2)-YEAR($F120))*12 + MONTH(K$2)-MONTH($F120)) / 12),
  0)</f>
        <v/>
      </c>
      <c r="L120" s="299">
        <f>IF(AND($F120&lt;=L$2, OR($G120="",$G120&gt;=L$2)),
  $H120 * (1 + Assumptions!$C$7) ^ INT(((YEAR(L$2)-YEAR($F120))*12 + MONTH(L$2)-MONTH($F120)) / 12),
  0)</f>
        <v/>
      </c>
      <c r="M120" s="299">
        <f>IF(AND($F120&lt;=M$2, OR($G120="",$G120&gt;=M$2)),
  $H120 * (1 + Assumptions!$C$7) ^ INT(((YEAR(M$2)-YEAR($F120))*12 + MONTH(M$2)-MONTH($F120)) / 12),
  0)</f>
        <v/>
      </c>
      <c r="N120" s="299">
        <f>IF(AND($F120&lt;=N$2, OR($G120="",$G120&gt;=N$2)),
  $H120 * (1 + Assumptions!$C$7) ^ INT(((YEAR(N$2)-YEAR($F120))*12 + MONTH(N$2)-MONTH($F120)) / 12),
  0)</f>
        <v/>
      </c>
      <c r="O120" s="299">
        <f>IF(AND($F120&lt;=O$2, OR($G120="",$G120&gt;=O$2)),
  $H120 * (1 + Assumptions!$C$7) ^ INT(((YEAR(O$2)-YEAR($F120))*12 + MONTH(O$2)-MONTH($F120)) / 12),
  0)</f>
        <v/>
      </c>
      <c r="P120" s="299">
        <f>IF(AND($F120&lt;=P$2, OR($G120="",$G120&gt;=P$2)),
  $H120 * (1 + Assumptions!$C$7) ^ INT(((YEAR(P$2)-YEAR($F120))*12 + MONTH(P$2)-MONTH($F120)) / 12),
  0)</f>
        <v/>
      </c>
      <c r="Q120" s="299">
        <f>IF(AND($F120&lt;=Q$2, OR($G120="",$G120&gt;=Q$2)),
  $H120 * (1 + Assumptions!$C$7) ^ INT(((YEAR(Q$2)-YEAR($F120))*12 + MONTH(Q$2)-MONTH($F120)) / 12),
  0)</f>
        <v/>
      </c>
      <c r="R120" s="299">
        <f>IF(AND($F120&lt;=R$2, OR($G120="",$G120&gt;=R$2)),
  $H120 * (1 + Assumptions!$C$7) ^ INT(((YEAR(R$2)-YEAR($F120))*12 + MONTH(R$2)-MONTH($F120)) / 12),
  0)</f>
        <v/>
      </c>
      <c r="S120" s="299">
        <f>IF(AND($F120&lt;=S$2, OR($G120="",$G120&gt;=S$2)),
  $H120 * (1 + Assumptions!$C$7) ^ INT(((YEAR(S$2)-YEAR($F120))*12 + MONTH(S$2)-MONTH($F120)) / 12),
  0)</f>
        <v/>
      </c>
      <c r="T120" s="299">
        <f>IF(AND($F120&lt;=T$2, OR($G120="",$G120&gt;=T$2)),
  $H120 * (1 + Assumptions!$C$7) ^ INT(((YEAR(T$2)-YEAR($F120))*12 + MONTH(T$2)-MONTH($F120)) / 12),
  0)</f>
        <v/>
      </c>
      <c r="U120" s="299">
        <f>IF(AND($F120&lt;=U$2, OR($G120="",$G120&gt;=U$2)),
  $H120 * (1 + Assumptions!$C$7) ^ INT(((YEAR(U$2)-YEAR($F120))*12 + MONTH(U$2)-MONTH($F120)) / 12),
  0)</f>
        <v/>
      </c>
      <c r="V120" s="299">
        <f>IF(AND($F120&lt;=V$2, OR($G120="",$G120&gt;=V$2)),
  $H120 * (1 + Assumptions!$C$7) ^ INT(((YEAR(V$2)-YEAR($F120))*12 + MONTH(V$2)-MONTH($F120)) / 12),
  0)</f>
        <v/>
      </c>
      <c r="W120" s="299">
        <f>IF(AND($F120&lt;=W$2, OR($G120="",$G120&gt;=W$2)),
  $H120 * (1 + Assumptions!$C$7) ^ INT(((YEAR(W$2)-YEAR($F120))*12 + MONTH(W$2)-MONTH($F120)) / 12),
  0)</f>
        <v/>
      </c>
      <c r="X120" s="299">
        <f>IF(AND($F120&lt;=X$2, OR($G120="",$G120&gt;=X$2)),
  $H120 * (1 + Assumptions!$C$7) ^ INT(((YEAR(X$2)-YEAR($F120))*12 + MONTH(X$2)-MONTH($F120)) / 12),
  0)</f>
        <v/>
      </c>
      <c r="Y120" s="299">
        <f>IF(AND($F120&lt;=Y$2, OR($G120="",$G120&gt;=Y$2)),
  $H120 * (1 + Assumptions!$C$7) ^ INT(((YEAR(Y$2)-YEAR($F120))*12 + MONTH(Y$2)-MONTH($F120)) / 12),
  0)</f>
        <v/>
      </c>
      <c r="Z120" s="299">
        <f>IF(AND($F120&lt;=Z$2, OR($G120="",$G120&gt;=Z$2)),
  $H120 * (1 + Assumptions!$C$7) ^ INT(((YEAR(Z$2)-YEAR($F120))*12 + MONTH(Z$2)-MONTH($F120)) / 12),
  0)</f>
        <v/>
      </c>
      <c r="AA120" s="299">
        <f>IF(AND($F120&lt;=AA$2, OR($G120="",$G120&gt;=AA$2)),
  $H120 * (1 + Assumptions!$C$7) ^ INT(((YEAR(AA$2)-YEAR($F120))*12 + MONTH(AA$2)-MONTH($F120)) / 12),
  0)</f>
        <v/>
      </c>
      <c r="AB120" s="299">
        <f>IF(AND($F120&lt;=AB$2, OR($G120="",$G120&gt;=AB$2)),
  $H120 * (1 + Assumptions!$C$7) ^ INT(((YEAR(AB$2)-YEAR($F120))*12 + MONTH(AB$2)-MONTH($F120)) / 12),
  0)</f>
        <v/>
      </c>
      <c r="AC120" s="299">
        <f>IF(AND($F120&lt;=AC$2, OR($G120="",$G120&gt;=AC$2)),
  $H120 * (1 + Assumptions!$C$7) ^ INT(((YEAR(AC$2)-YEAR($F120))*12 + MONTH(AC$2)-MONTH($F120)) / 12),
  0)</f>
        <v/>
      </c>
      <c r="AD120" s="299">
        <f>IF(AND($F120&lt;=AD$2, OR($G120="",$G120&gt;=AD$2)),
  $H120 * (1 + Assumptions!$C$7) ^ INT(((YEAR(AD$2)-YEAR($F120))*12 + MONTH(AD$2)-MONTH($F120)) / 12),
  0)</f>
        <v/>
      </c>
      <c r="AE120" s="299">
        <f>IF(AND($F120&lt;=AE$2, OR($G120="",$G120&gt;=AE$2)),
  $H120 * (1 + Assumptions!$C$7) ^ INT(((YEAR(AE$2)-YEAR($F120))*12 + MONTH(AE$2)-MONTH($F120)) / 12),
  0)</f>
        <v/>
      </c>
      <c r="AF120" s="299">
        <f>IF(AND($F120&lt;=AF$2, OR($G120="",$G120&gt;=AF$2)),
  $H120 * (1 + Assumptions!$C$7) ^ INT(((YEAR(AF$2)-YEAR($F120))*12 + MONTH(AF$2)-MONTH($F120)) / 12),
  0)</f>
        <v/>
      </c>
      <c r="AG120" s="299">
        <f>IF(AND($F120&lt;=AG$2, OR($G120="",$G120&gt;=AG$2)),
  $H120 * (1 + Assumptions!$C$7) ^ INT(((YEAR(AG$2)-YEAR($F120))*12 + MONTH(AG$2)-MONTH($F120)) / 12),
  0)</f>
        <v/>
      </c>
      <c r="AH120" s="299">
        <f>IF(AND($F120&lt;=AH$2, OR($G120="",$G120&gt;=AH$2)),
  $H120 * (1 + Assumptions!$C$7) ^ INT(((YEAR(AH$2)-YEAR($F120))*12 + MONTH(AH$2)-MONTH($F120)) / 12),
  0)</f>
        <v/>
      </c>
      <c r="AI120" s="299">
        <f>IF(AND($F120&lt;=AI$2, OR($G120="",$G120&gt;=AI$2)),
  $H120 * (1 + Assumptions!$C$7) ^ INT(((YEAR(AI$2)-YEAR($F120))*12 + MONTH(AI$2)-MONTH($F120)) / 12),
  0)</f>
        <v/>
      </c>
      <c r="AJ120" s="299">
        <f>IF(AND($F120&lt;=AJ$2, OR($G120="",$G120&gt;=AJ$2)),
  $H120 * (1 + Assumptions!$C$7) ^ INT(((YEAR(AJ$2)-YEAR($F120))*12 + MONTH(AJ$2)-MONTH($F120)) / 12),
  0)</f>
        <v/>
      </c>
      <c r="AK120" s="299">
        <f>IF(AND($F120&lt;=AK$2, OR($G120="",$G120&gt;=AK$2)),
  $H120 * (1 + Assumptions!$C$7) ^ INT(((YEAR(AK$2)-YEAR($F120))*12 + MONTH(AK$2)-MONTH($F120)) / 12),
  0)</f>
        <v/>
      </c>
      <c r="AL120" s="299">
        <f>IF(AND($F120&lt;=AL$2, OR($G120="",$G120&gt;=AL$2)),
  $H120 * (1 + Assumptions!$C$7) ^ INT(((YEAR(AL$2)-YEAR($F120))*12 + MONTH(AL$2)-MONTH($F120)) / 12),
  0)</f>
        <v/>
      </c>
      <c r="AM120" s="299">
        <f>IF(AND($F120&lt;=AM$2, OR($G120="",$G120&gt;=AM$2)),
  $H120 * (1 + Assumptions!$C$7) ^ INT(((YEAR(AM$2)-YEAR($F120))*12 + MONTH(AM$2)-MONTH($F120)) / 12),
  0)</f>
        <v/>
      </c>
      <c r="AN120" s="299">
        <f>IF(AND($F120&lt;=AN$2, OR($G120="",$G120&gt;=AN$2)),
  $H120 * (1 + Assumptions!$C$7) ^ INT(((YEAR(AN$2)-YEAR($F120))*12 + MONTH(AN$2)-MONTH($F120)) / 12),
  0)</f>
        <v/>
      </c>
      <c r="AO120" s="299">
        <f>IF(AND($F120&lt;=AO$2, OR($G120="",$G120&gt;=AO$2)),
  $H120 * (1 + Assumptions!$C$7) ^ INT(((YEAR(AO$2)-YEAR($F120))*12 + MONTH(AO$2)-MONTH($F120)) / 12),
  0)</f>
        <v/>
      </c>
      <c r="AP120" s="299">
        <f>IF(AND($F120&lt;=AP$2, OR($G120="",$G120&gt;=AP$2)),
  $H120 * (1 + Assumptions!$C$7) ^ INT(((YEAR(AP$2)-YEAR($F120))*12 + MONTH(AP$2)-MONTH($F120)) / 12),
  0)</f>
        <v/>
      </c>
      <c r="AQ120" s="299">
        <f>IF(AND($F120&lt;=AQ$2, OR($G120="",$G120&gt;=AQ$2)),
  $H120 * (1 + Assumptions!$C$7) ^ INT(((YEAR(AQ$2)-YEAR($F120))*12 + MONTH(AQ$2)-MONTH($F120)) / 12),
  0)</f>
        <v/>
      </c>
      <c r="AR120" s="299">
        <f>IF(AND($F120&lt;=AR$2, OR($G120="",$G120&gt;=AR$2)),
  $H120 * (1 + Assumptions!$C$7) ^ INT(((YEAR(AR$2)-YEAR($F120))*12 + MONTH(AR$2)-MONTH($F120)) / 12),
  0)</f>
        <v/>
      </c>
      <c r="AS120" s="299">
        <f>IF(AND($F120&lt;=AS$2, OR($G120="",$G120&gt;=AS$2)),
  $H120 * (1 + Assumptions!$C$7) ^ INT(((YEAR(AS$2)-YEAR($F120))*12 + MONTH(AS$2)-MONTH($F120)) / 12),
  0)</f>
        <v/>
      </c>
      <c r="AT120" s="299">
        <f>IF(AND($F120&lt;=AT$2, OR($G120="",$G120&gt;=AT$2)),
  $H120 * (1 + Assumptions!$C$7) ^ INT(((YEAR(AT$2)-YEAR($F120))*12 + MONTH(AT$2)-MONTH($F120)) / 12),
  0)</f>
        <v/>
      </c>
      <c r="AU120" s="299">
        <f>IF(AND($F120&lt;=AU$2, OR($G120="",$G120&gt;=AU$2)),
  $H120 * (1 + Assumptions!$C$7) ^ INT(((YEAR(AU$2)-YEAR($F120))*12 + MONTH(AU$2)-MONTH($F120)) / 12),
  0)</f>
        <v/>
      </c>
      <c r="AV120" s="299">
        <f>IF(AND($F120&lt;=AV$2, OR($G120="",$G120&gt;=AV$2)),
  $H120 * (1 + Assumptions!$C$7) ^ INT(((YEAR(AV$2)-YEAR($F120))*12 + MONTH(AV$2)-MONTH($F120)) / 12),
  0)</f>
        <v/>
      </c>
      <c r="AW120" s="299">
        <f>IF(AND($F120&lt;=AW$2, OR($G120="",$G120&gt;=AW$2)),
  $H120 * (1 + Assumptions!$C$7) ^ INT(((YEAR(AW$2)-YEAR($F120))*12 + MONTH(AW$2)-MONTH($F120)) / 12),
  0)</f>
        <v/>
      </c>
      <c r="AX120" s="299">
        <f>IF(AND($F120&lt;=AX$2, OR($G120="",$G120&gt;=AX$2)),
  $H120 * (1 + Assumptions!$C$7) ^ INT(((YEAR(AX$2)-YEAR($F120))*12 + MONTH(AX$2)-MONTH($F120)) / 12),
  0)</f>
        <v/>
      </c>
      <c r="AY120" s="299">
        <f>IF(AND($F120&lt;=AY$2, OR($G120="",$G120&gt;=AY$2)),
  $H120 * (1 + Assumptions!$C$7) ^ INT(((YEAR(AY$2)-YEAR($F120))*12 + MONTH(AY$2)-MONTH($F120)) / 12),
  0)</f>
        <v/>
      </c>
      <c r="AZ120" s="299">
        <f>IF(AND($F120&lt;=AZ$2, OR($G120="",$G120&gt;=AZ$2)),
  $H120 * (1 + Assumptions!$C$7) ^ INT(((YEAR(AZ$2)-YEAR($F120))*12 + MONTH(AZ$2)-MONTH($F120)) / 12),
  0)</f>
        <v/>
      </c>
      <c r="BA120" s="299">
        <f>IF(AND($F120&lt;=BA$2, OR($G120="",$G120&gt;=BA$2)),
  $H120 * (1 + Assumptions!$C$7) ^ INT(((YEAR(BA$2)-YEAR($F120))*12 + MONTH(BA$2)-MONTH($F120)) / 12),
  0)</f>
        <v/>
      </c>
      <c r="BB120" s="299">
        <f>IF(AND($F120&lt;=BB$2, OR($G120="",$G120&gt;=BB$2)),
  $H120 * (1 + Assumptions!$C$7) ^ INT(((YEAR(BB$2)-YEAR($F120))*12 + MONTH(BB$2)-MONTH($F120)) / 12),
  0)</f>
        <v/>
      </c>
      <c r="BC120" s="299">
        <f>IF(AND($F120&lt;=BC$2, OR($G120="",$G120&gt;=BC$2)),
  $H120 * (1 + Assumptions!$C$7) ^ INT(((YEAR(BC$2)-YEAR($F120))*12 + MONTH(BC$2)-MONTH($F120)) / 12),
  0)</f>
        <v/>
      </c>
      <c r="BD120" s="299">
        <f>IF(AND($F120&lt;=BD$2, OR($G120="",$G120&gt;=BD$2)),
  $H120 * (1 + Assumptions!$C$7) ^ INT(((YEAR(BD$2)-YEAR($F120))*12 + MONTH(BD$2)-MONTH($F120)) / 12),
  0)</f>
        <v/>
      </c>
      <c r="BE120" s="299">
        <f>IF(AND($F120&lt;=BE$2, OR($G120="",$G120&gt;=BE$2)),
  $H120 * (1 + Assumptions!$C$7) ^ INT(((YEAR(BE$2)-YEAR($F120))*12 + MONTH(BE$2)-MONTH($F120)) / 12),
  0)</f>
        <v/>
      </c>
      <c r="BF120" s="299">
        <f>IF(AND($F120&lt;=BF$2, OR($G120="",$G120&gt;=BF$2)),
  $H120 * (1 + Assumptions!$C$7) ^ INT(((YEAR(BF$2)-YEAR($F120))*12 + MONTH(BF$2)-MONTH($F120)) / 12),
  0)</f>
        <v/>
      </c>
      <c r="BG120" s="299">
        <f>IF(AND($F120&lt;=BG$2, OR($G120="",$G120&gt;=BG$2)),
  $H120 * (1 + Assumptions!$C$7) ^ INT(((YEAR(BG$2)-YEAR($F120))*12 + MONTH(BG$2)-MONTH($F120)) / 12),
  0)</f>
        <v/>
      </c>
      <c r="BH120" s="299">
        <f>IF(AND($F120&lt;=BH$2, OR($G120="",$G120&gt;=BH$2)),
  $H120 * (1 + Assumptions!$C$7) ^ INT(((YEAR(BH$2)-YEAR($F120))*12 + MONTH(BH$2)-MONTH($F120)) / 12),
  0)</f>
        <v/>
      </c>
      <c r="BI120" s="299">
        <f>IF(AND($F120&lt;=BI$2, OR($G120="",$G120&gt;=BI$2)),
  $H120 * (1 + Assumptions!$C$7) ^ INT(((YEAR(BI$2)-YEAR($F120))*12 + MONTH(BI$2)-MONTH($F120)) / 12),
  0)</f>
        <v/>
      </c>
      <c r="BJ120" s="299">
        <f>IF(AND($F120&lt;=BJ$2, OR($G120="",$G120&gt;=BJ$2)),
  $H120 * (1 + Assumptions!$C$7) ^ INT(((YEAR(BJ$2)-YEAR($F120))*12 + MONTH(BJ$2)-MONTH($F120)) / 12),
  0)</f>
        <v/>
      </c>
      <c r="BK120" s="299">
        <f>IF(AND($F120&lt;=BK$2, OR($G120="",$G120&gt;=BK$2)),
  $H120 * (1 + Assumptions!$C$7) ^ INT(((YEAR(BK$2)-YEAR($F120))*12 + MONTH(BK$2)-MONTH($F120)) / 12),
  0)</f>
        <v/>
      </c>
      <c r="BL120" s="299">
        <f>IF(AND($F120&lt;=BL$2, OR($G120="",$G120&gt;=BL$2)),
  $H120 * (1 + Assumptions!$C$7) ^ INT(((YEAR(BL$2)-YEAR($F120))*12 + MONTH(BL$2)-MONTH($F120)) / 12),
  0)</f>
        <v/>
      </c>
      <c r="BM120" s="299">
        <f>IF(AND($F120&lt;=BM$2, OR($G120="",$G120&gt;=BM$2)),
  $H120 * (1 + Assumptions!$C$7) ^ INT(((YEAR(BM$2)-YEAR($F120))*12 + MONTH(BM$2)-MONTH($F120)) / 12),
  0)</f>
        <v/>
      </c>
      <c r="BN120" s="299">
        <f>IF(AND($F120&lt;=BN$2, OR($G120="",$G120&gt;=BN$2)),
  $H120 * (1 + Assumptions!$C$7) ^ INT(((YEAR(BN$2)-YEAR($F120))*12 + MONTH(BN$2)-MONTH($F120)) / 12),
  0)</f>
        <v/>
      </c>
      <c r="BO120" s="299">
        <f>IF(AND($F120&lt;=BO$2, OR($G120="",$G120&gt;=BO$2)),
  $H120 * (1 + Assumptions!$C$7) ^ INT(((YEAR(BO$2)-YEAR($F120))*12 + MONTH(BO$2)-MONTH($F120)) / 12),
  0)</f>
        <v/>
      </c>
      <c r="BP120" s="299">
        <f>IF(AND($F120&lt;=BP$2, OR($G120="",$G120&gt;=BP$2)),
  $H120 * (1 + Assumptions!$C$7) ^ INT(((YEAR(BP$2)-YEAR($F120))*12 + MONTH(BP$2)-MONTH($F120)) / 12),
  0)</f>
        <v/>
      </c>
      <c r="BQ120" s="31" t="n"/>
      <c r="BR120" s="31" t="n"/>
      <c r="BS120" s="31" t="n"/>
      <c r="BT120" s="31" t="n"/>
    </row>
    <row r="121" ht="15.75" customHeight="1" s="349">
      <c r="A121" s="321" t="n">
        <v>116</v>
      </c>
      <c r="B121" s="285" t="inlineStr">
        <is>
          <t>New hire</t>
        </is>
      </c>
      <c r="C121" s="317" t="inlineStr">
        <is>
          <t>G&amp;A</t>
        </is>
      </c>
      <c r="D121" s="317" t="inlineStr">
        <is>
          <t>Production Operator</t>
        </is>
      </c>
      <c r="E121" s="297" t="inlineStr">
        <is>
          <t>Planned</t>
        </is>
      </c>
      <c r="F121" s="318">
        <f>IF(Assumptions!$D$82=2,DATE(2028,7,1),DATE(2035,1,1))</f>
        <v/>
      </c>
      <c r="G121" s="318" t="n"/>
      <c r="H121" s="288" t="n">
        <v>5000</v>
      </c>
      <c r="I121" s="299">
        <f>IF(AND($F121&lt;=I$2, OR($G121="",$G121&gt;=I$2)),
  $H121 * (1 + Assumptions!$C$7) ^ INT(((YEAR(I$2)-YEAR($F121))*12 + MONTH(I$2)-MONTH($F121)) / 12),
  0)</f>
        <v/>
      </c>
      <c r="J121" s="299">
        <f>IF(AND($F121&lt;=J$2, OR($G121="",$G121&gt;=J$2)),
  $H121 * (1 + Assumptions!$C$7) ^ INT(((YEAR(J$2)-YEAR($F121))*12 + MONTH(J$2)-MONTH($F121)) / 12),
  0)</f>
        <v/>
      </c>
      <c r="K121" s="299">
        <f>IF(AND($F121&lt;=K$2, OR($G121="",$G121&gt;=K$2)),
  $H121 * (1 + Assumptions!$C$7) ^ INT(((YEAR(K$2)-YEAR($F121))*12 + MONTH(K$2)-MONTH($F121)) / 12),
  0)</f>
        <v/>
      </c>
      <c r="L121" s="299">
        <f>IF(AND($F121&lt;=L$2, OR($G121="",$G121&gt;=L$2)),
  $H121 * (1 + Assumptions!$C$7) ^ INT(((YEAR(L$2)-YEAR($F121))*12 + MONTH(L$2)-MONTH($F121)) / 12),
  0)</f>
        <v/>
      </c>
      <c r="M121" s="299">
        <f>IF(AND($F121&lt;=M$2, OR($G121="",$G121&gt;=M$2)),
  $H121 * (1 + Assumptions!$C$7) ^ INT(((YEAR(M$2)-YEAR($F121))*12 + MONTH(M$2)-MONTH($F121)) / 12),
  0)</f>
        <v/>
      </c>
      <c r="N121" s="299">
        <f>IF(AND($F121&lt;=N$2, OR($G121="",$G121&gt;=N$2)),
  $H121 * (1 + Assumptions!$C$7) ^ INT(((YEAR(N$2)-YEAR($F121))*12 + MONTH(N$2)-MONTH($F121)) / 12),
  0)</f>
        <v/>
      </c>
      <c r="O121" s="299">
        <f>IF(AND($F121&lt;=O$2, OR($G121="",$G121&gt;=O$2)),
  $H121 * (1 + Assumptions!$C$7) ^ INT(((YEAR(O$2)-YEAR($F121))*12 + MONTH(O$2)-MONTH($F121)) / 12),
  0)</f>
        <v/>
      </c>
      <c r="P121" s="299">
        <f>IF(AND($F121&lt;=P$2, OR($G121="",$G121&gt;=P$2)),
  $H121 * (1 + Assumptions!$C$7) ^ INT(((YEAR(P$2)-YEAR($F121))*12 + MONTH(P$2)-MONTH($F121)) / 12),
  0)</f>
        <v/>
      </c>
      <c r="Q121" s="299">
        <f>IF(AND($F121&lt;=Q$2, OR($G121="",$G121&gt;=Q$2)),
  $H121 * (1 + Assumptions!$C$7) ^ INT(((YEAR(Q$2)-YEAR($F121))*12 + MONTH(Q$2)-MONTH($F121)) / 12),
  0)</f>
        <v/>
      </c>
      <c r="R121" s="299">
        <f>IF(AND($F121&lt;=R$2, OR($G121="",$G121&gt;=R$2)),
  $H121 * (1 + Assumptions!$C$7) ^ INT(((YEAR(R$2)-YEAR($F121))*12 + MONTH(R$2)-MONTH($F121)) / 12),
  0)</f>
        <v/>
      </c>
      <c r="S121" s="299">
        <f>IF(AND($F121&lt;=S$2, OR($G121="",$G121&gt;=S$2)),
  $H121 * (1 + Assumptions!$C$7) ^ INT(((YEAR(S$2)-YEAR($F121))*12 + MONTH(S$2)-MONTH($F121)) / 12),
  0)</f>
        <v/>
      </c>
      <c r="T121" s="299">
        <f>IF(AND($F121&lt;=T$2, OR($G121="",$G121&gt;=T$2)),
  $H121 * (1 + Assumptions!$C$7) ^ INT(((YEAR(T$2)-YEAR($F121))*12 + MONTH(T$2)-MONTH($F121)) / 12),
  0)</f>
        <v/>
      </c>
      <c r="U121" s="299">
        <f>IF(AND($F121&lt;=U$2, OR($G121="",$G121&gt;=U$2)),
  $H121 * (1 + Assumptions!$C$7) ^ INT(((YEAR(U$2)-YEAR($F121))*12 + MONTH(U$2)-MONTH($F121)) / 12),
  0)</f>
        <v/>
      </c>
      <c r="V121" s="299">
        <f>IF(AND($F121&lt;=V$2, OR($G121="",$G121&gt;=V$2)),
  $H121 * (1 + Assumptions!$C$7) ^ INT(((YEAR(V$2)-YEAR($F121))*12 + MONTH(V$2)-MONTH($F121)) / 12),
  0)</f>
        <v/>
      </c>
      <c r="W121" s="299">
        <f>IF(AND($F121&lt;=W$2, OR($G121="",$G121&gt;=W$2)),
  $H121 * (1 + Assumptions!$C$7) ^ INT(((YEAR(W$2)-YEAR($F121))*12 + MONTH(W$2)-MONTH($F121)) / 12),
  0)</f>
        <v/>
      </c>
      <c r="X121" s="299">
        <f>IF(AND($F121&lt;=X$2, OR($G121="",$G121&gt;=X$2)),
  $H121 * (1 + Assumptions!$C$7) ^ INT(((YEAR(X$2)-YEAR($F121))*12 + MONTH(X$2)-MONTH($F121)) / 12),
  0)</f>
        <v/>
      </c>
      <c r="Y121" s="299">
        <f>IF(AND($F121&lt;=Y$2, OR($G121="",$G121&gt;=Y$2)),
  $H121 * (1 + Assumptions!$C$7) ^ INT(((YEAR(Y$2)-YEAR($F121))*12 + MONTH(Y$2)-MONTH($F121)) / 12),
  0)</f>
        <v/>
      </c>
      <c r="Z121" s="299">
        <f>IF(AND($F121&lt;=Z$2, OR($G121="",$G121&gt;=Z$2)),
  $H121 * (1 + Assumptions!$C$7) ^ INT(((YEAR(Z$2)-YEAR($F121))*12 + MONTH(Z$2)-MONTH($F121)) / 12),
  0)</f>
        <v/>
      </c>
      <c r="AA121" s="299">
        <f>IF(AND($F121&lt;=AA$2, OR($G121="",$G121&gt;=AA$2)),
  $H121 * (1 + Assumptions!$C$7) ^ INT(((YEAR(AA$2)-YEAR($F121))*12 + MONTH(AA$2)-MONTH($F121)) / 12),
  0)</f>
        <v/>
      </c>
      <c r="AB121" s="299">
        <f>IF(AND($F121&lt;=AB$2, OR($G121="",$G121&gt;=AB$2)),
  $H121 * (1 + Assumptions!$C$7) ^ INT(((YEAR(AB$2)-YEAR($F121))*12 + MONTH(AB$2)-MONTH($F121)) / 12),
  0)</f>
        <v/>
      </c>
      <c r="AC121" s="299">
        <f>IF(AND($F121&lt;=AC$2, OR($G121="",$G121&gt;=AC$2)),
  $H121 * (1 + Assumptions!$C$7) ^ INT(((YEAR(AC$2)-YEAR($F121))*12 + MONTH(AC$2)-MONTH($F121)) / 12),
  0)</f>
        <v/>
      </c>
      <c r="AD121" s="299">
        <f>IF(AND($F121&lt;=AD$2, OR($G121="",$G121&gt;=AD$2)),
  $H121 * (1 + Assumptions!$C$7) ^ INT(((YEAR(AD$2)-YEAR($F121))*12 + MONTH(AD$2)-MONTH($F121)) / 12),
  0)</f>
        <v/>
      </c>
      <c r="AE121" s="299">
        <f>IF(AND($F121&lt;=AE$2, OR($G121="",$G121&gt;=AE$2)),
  $H121 * (1 + Assumptions!$C$7) ^ INT(((YEAR(AE$2)-YEAR($F121))*12 + MONTH(AE$2)-MONTH($F121)) / 12),
  0)</f>
        <v/>
      </c>
      <c r="AF121" s="299">
        <f>IF(AND($F121&lt;=AF$2, OR($G121="",$G121&gt;=AF$2)),
  $H121 * (1 + Assumptions!$C$7) ^ INT(((YEAR(AF$2)-YEAR($F121))*12 + MONTH(AF$2)-MONTH($F121)) / 12),
  0)</f>
        <v/>
      </c>
      <c r="AG121" s="299">
        <f>IF(AND($F121&lt;=AG$2, OR($G121="",$G121&gt;=AG$2)),
  $H121 * (1 + Assumptions!$C$7) ^ INT(((YEAR(AG$2)-YEAR($F121))*12 + MONTH(AG$2)-MONTH($F121)) / 12),
  0)</f>
        <v/>
      </c>
      <c r="AH121" s="299">
        <f>IF(AND($F121&lt;=AH$2, OR($G121="",$G121&gt;=AH$2)),
  $H121 * (1 + Assumptions!$C$7) ^ INT(((YEAR(AH$2)-YEAR($F121))*12 + MONTH(AH$2)-MONTH($F121)) / 12),
  0)</f>
        <v/>
      </c>
      <c r="AI121" s="299">
        <f>IF(AND($F121&lt;=AI$2, OR($G121="",$G121&gt;=AI$2)),
  $H121 * (1 + Assumptions!$C$7) ^ INT(((YEAR(AI$2)-YEAR($F121))*12 + MONTH(AI$2)-MONTH($F121)) / 12),
  0)</f>
        <v/>
      </c>
      <c r="AJ121" s="299">
        <f>IF(AND($F121&lt;=AJ$2, OR($G121="",$G121&gt;=AJ$2)),
  $H121 * (1 + Assumptions!$C$7) ^ INT(((YEAR(AJ$2)-YEAR($F121))*12 + MONTH(AJ$2)-MONTH($F121)) / 12),
  0)</f>
        <v/>
      </c>
      <c r="AK121" s="299">
        <f>IF(AND($F121&lt;=AK$2, OR($G121="",$G121&gt;=AK$2)),
  $H121 * (1 + Assumptions!$C$7) ^ INT(((YEAR(AK$2)-YEAR($F121))*12 + MONTH(AK$2)-MONTH($F121)) / 12),
  0)</f>
        <v/>
      </c>
      <c r="AL121" s="299">
        <f>IF(AND($F121&lt;=AL$2, OR($G121="",$G121&gt;=AL$2)),
  $H121 * (1 + Assumptions!$C$7) ^ INT(((YEAR(AL$2)-YEAR($F121))*12 + MONTH(AL$2)-MONTH($F121)) / 12),
  0)</f>
        <v/>
      </c>
      <c r="AM121" s="299">
        <f>IF(AND($F121&lt;=AM$2, OR($G121="",$G121&gt;=AM$2)),
  $H121 * (1 + Assumptions!$C$7) ^ INT(((YEAR(AM$2)-YEAR($F121))*12 + MONTH(AM$2)-MONTH($F121)) / 12),
  0)</f>
        <v/>
      </c>
      <c r="AN121" s="299">
        <f>IF(AND($F121&lt;=AN$2, OR($G121="",$G121&gt;=AN$2)),
  $H121 * (1 + Assumptions!$C$7) ^ INT(((YEAR(AN$2)-YEAR($F121))*12 + MONTH(AN$2)-MONTH($F121)) / 12),
  0)</f>
        <v/>
      </c>
      <c r="AO121" s="299">
        <f>IF(AND($F121&lt;=AO$2, OR($G121="",$G121&gt;=AO$2)),
  $H121 * (1 + Assumptions!$C$7) ^ INT(((YEAR(AO$2)-YEAR($F121))*12 + MONTH(AO$2)-MONTH($F121)) / 12),
  0)</f>
        <v/>
      </c>
      <c r="AP121" s="299">
        <f>IF(AND($F121&lt;=AP$2, OR($G121="",$G121&gt;=AP$2)),
  $H121 * (1 + Assumptions!$C$7) ^ INT(((YEAR(AP$2)-YEAR($F121))*12 + MONTH(AP$2)-MONTH($F121)) / 12),
  0)</f>
        <v/>
      </c>
      <c r="AQ121" s="299">
        <f>IF(AND($F121&lt;=AQ$2, OR($G121="",$G121&gt;=AQ$2)),
  $H121 * (1 + Assumptions!$C$7) ^ INT(((YEAR(AQ$2)-YEAR($F121))*12 + MONTH(AQ$2)-MONTH($F121)) / 12),
  0)</f>
        <v/>
      </c>
      <c r="AR121" s="299">
        <f>IF(AND($F121&lt;=AR$2, OR($G121="",$G121&gt;=AR$2)),
  $H121 * (1 + Assumptions!$C$7) ^ INT(((YEAR(AR$2)-YEAR($F121))*12 + MONTH(AR$2)-MONTH($F121)) / 12),
  0)</f>
        <v/>
      </c>
      <c r="AS121" s="299">
        <f>IF(AND($F121&lt;=AS$2, OR($G121="",$G121&gt;=AS$2)),
  $H121 * (1 + Assumptions!$C$7) ^ INT(((YEAR(AS$2)-YEAR($F121))*12 + MONTH(AS$2)-MONTH($F121)) / 12),
  0)</f>
        <v/>
      </c>
      <c r="AT121" s="299">
        <f>IF(AND($F121&lt;=AT$2, OR($G121="",$G121&gt;=AT$2)),
  $H121 * (1 + Assumptions!$C$7) ^ INT(((YEAR(AT$2)-YEAR($F121))*12 + MONTH(AT$2)-MONTH($F121)) / 12),
  0)</f>
        <v/>
      </c>
      <c r="AU121" s="299">
        <f>IF(AND($F121&lt;=AU$2, OR($G121="",$G121&gt;=AU$2)),
  $H121 * (1 + Assumptions!$C$7) ^ INT(((YEAR(AU$2)-YEAR($F121))*12 + MONTH(AU$2)-MONTH($F121)) / 12),
  0)</f>
        <v/>
      </c>
      <c r="AV121" s="299">
        <f>IF(AND($F121&lt;=AV$2, OR($G121="",$G121&gt;=AV$2)),
  $H121 * (1 + Assumptions!$C$7) ^ INT(((YEAR(AV$2)-YEAR($F121))*12 + MONTH(AV$2)-MONTH($F121)) / 12),
  0)</f>
        <v/>
      </c>
      <c r="AW121" s="299">
        <f>IF(AND($F121&lt;=AW$2, OR($G121="",$G121&gt;=AW$2)),
  $H121 * (1 + Assumptions!$C$7) ^ INT(((YEAR(AW$2)-YEAR($F121))*12 + MONTH(AW$2)-MONTH($F121)) / 12),
  0)</f>
        <v/>
      </c>
      <c r="AX121" s="299">
        <f>IF(AND($F121&lt;=AX$2, OR($G121="",$G121&gt;=AX$2)),
  $H121 * (1 + Assumptions!$C$7) ^ INT(((YEAR(AX$2)-YEAR($F121))*12 + MONTH(AX$2)-MONTH($F121)) / 12),
  0)</f>
        <v/>
      </c>
      <c r="AY121" s="299">
        <f>IF(AND($F121&lt;=AY$2, OR($G121="",$G121&gt;=AY$2)),
  $H121 * (1 + Assumptions!$C$7) ^ INT(((YEAR(AY$2)-YEAR($F121))*12 + MONTH(AY$2)-MONTH($F121)) / 12),
  0)</f>
        <v/>
      </c>
      <c r="AZ121" s="299">
        <f>IF(AND($F121&lt;=AZ$2, OR($G121="",$G121&gt;=AZ$2)),
  $H121 * (1 + Assumptions!$C$7) ^ INT(((YEAR(AZ$2)-YEAR($F121))*12 + MONTH(AZ$2)-MONTH($F121)) / 12),
  0)</f>
        <v/>
      </c>
      <c r="BA121" s="299">
        <f>IF(AND($F121&lt;=BA$2, OR($G121="",$G121&gt;=BA$2)),
  $H121 * (1 + Assumptions!$C$7) ^ INT(((YEAR(BA$2)-YEAR($F121))*12 + MONTH(BA$2)-MONTH($F121)) / 12),
  0)</f>
        <v/>
      </c>
      <c r="BB121" s="299">
        <f>IF(AND($F121&lt;=BB$2, OR($G121="",$G121&gt;=BB$2)),
  $H121 * (1 + Assumptions!$C$7) ^ INT(((YEAR(BB$2)-YEAR($F121))*12 + MONTH(BB$2)-MONTH($F121)) / 12),
  0)</f>
        <v/>
      </c>
      <c r="BC121" s="299">
        <f>IF(AND($F121&lt;=BC$2, OR($G121="",$G121&gt;=BC$2)),
  $H121 * (1 + Assumptions!$C$7) ^ INT(((YEAR(BC$2)-YEAR($F121))*12 + MONTH(BC$2)-MONTH($F121)) / 12),
  0)</f>
        <v/>
      </c>
      <c r="BD121" s="299">
        <f>IF(AND($F121&lt;=BD$2, OR($G121="",$G121&gt;=BD$2)),
  $H121 * (1 + Assumptions!$C$7) ^ INT(((YEAR(BD$2)-YEAR($F121))*12 + MONTH(BD$2)-MONTH($F121)) / 12),
  0)</f>
        <v/>
      </c>
      <c r="BE121" s="299">
        <f>IF(AND($F121&lt;=BE$2, OR($G121="",$G121&gt;=BE$2)),
  $H121 * (1 + Assumptions!$C$7) ^ INT(((YEAR(BE$2)-YEAR($F121))*12 + MONTH(BE$2)-MONTH($F121)) / 12),
  0)</f>
        <v/>
      </c>
      <c r="BF121" s="299">
        <f>IF(AND($F121&lt;=BF$2, OR($G121="",$G121&gt;=BF$2)),
  $H121 * (1 + Assumptions!$C$7) ^ INT(((YEAR(BF$2)-YEAR($F121))*12 + MONTH(BF$2)-MONTH($F121)) / 12),
  0)</f>
        <v/>
      </c>
      <c r="BG121" s="299">
        <f>IF(AND($F121&lt;=BG$2, OR($G121="",$G121&gt;=BG$2)),
  $H121 * (1 + Assumptions!$C$7) ^ INT(((YEAR(BG$2)-YEAR($F121))*12 + MONTH(BG$2)-MONTH($F121)) / 12),
  0)</f>
        <v/>
      </c>
      <c r="BH121" s="299">
        <f>IF(AND($F121&lt;=BH$2, OR($G121="",$G121&gt;=BH$2)),
  $H121 * (1 + Assumptions!$C$7) ^ INT(((YEAR(BH$2)-YEAR($F121))*12 + MONTH(BH$2)-MONTH($F121)) / 12),
  0)</f>
        <v/>
      </c>
      <c r="BI121" s="299">
        <f>IF(AND($F121&lt;=BI$2, OR($G121="",$G121&gt;=BI$2)),
  $H121 * (1 + Assumptions!$C$7) ^ INT(((YEAR(BI$2)-YEAR($F121))*12 + MONTH(BI$2)-MONTH($F121)) / 12),
  0)</f>
        <v/>
      </c>
      <c r="BJ121" s="299">
        <f>IF(AND($F121&lt;=BJ$2, OR($G121="",$G121&gt;=BJ$2)),
  $H121 * (1 + Assumptions!$C$7) ^ INT(((YEAR(BJ$2)-YEAR($F121))*12 + MONTH(BJ$2)-MONTH($F121)) / 12),
  0)</f>
        <v/>
      </c>
      <c r="BK121" s="299">
        <f>IF(AND($F121&lt;=BK$2, OR($G121="",$G121&gt;=BK$2)),
  $H121 * (1 + Assumptions!$C$7) ^ INT(((YEAR(BK$2)-YEAR($F121))*12 + MONTH(BK$2)-MONTH($F121)) / 12),
  0)</f>
        <v/>
      </c>
      <c r="BL121" s="299">
        <f>IF(AND($F121&lt;=BL$2, OR($G121="",$G121&gt;=BL$2)),
  $H121 * (1 + Assumptions!$C$7) ^ INT(((YEAR(BL$2)-YEAR($F121))*12 + MONTH(BL$2)-MONTH($F121)) / 12),
  0)</f>
        <v/>
      </c>
      <c r="BM121" s="299">
        <f>IF(AND($F121&lt;=BM$2, OR($G121="",$G121&gt;=BM$2)),
  $H121 * (1 + Assumptions!$C$7) ^ INT(((YEAR(BM$2)-YEAR($F121))*12 + MONTH(BM$2)-MONTH($F121)) / 12),
  0)</f>
        <v/>
      </c>
      <c r="BN121" s="299">
        <f>IF(AND($F121&lt;=BN$2, OR($G121="",$G121&gt;=BN$2)),
  $H121 * (1 + Assumptions!$C$7) ^ INT(((YEAR(BN$2)-YEAR($F121))*12 + MONTH(BN$2)-MONTH($F121)) / 12),
  0)</f>
        <v/>
      </c>
      <c r="BO121" s="299">
        <f>IF(AND($F121&lt;=BO$2, OR($G121="",$G121&gt;=BO$2)),
  $H121 * (1 + Assumptions!$C$7) ^ INT(((YEAR(BO$2)-YEAR($F121))*12 + MONTH(BO$2)-MONTH($F121)) / 12),
  0)</f>
        <v/>
      </c>
      <c r="BP121" s="299">
        <f>IF(AND($F121&lt;=BP$2, OR($G121="",$G121&gt;=BP$2)),
  $H121 * (1 + Assumptions!$C$7) ^ INT(((YEAR(BP$2)-YEAR($F121))*12 + MONTH(BP$2)-MONTH($F121)) / 12),
  0)</f>
        <v/>
      </c>
      <c r="BQ121" s="31" t="n"/>
      <c r="BR121" s="31" t="n"/>
      <c r="BS121" s="31" t="n"/>
      <c r="BT121" s="31" t="n"/>
    </row>
    <row r="122" ht="15.75" customHeight="1" s="349">
      <c r="A122" s="321" t="n">
        <v>117</v>
      </c>
      <c r="B122" s="285" t="inlineStr">
        <is>
          <t>New hire</t>
        </is>
      </c>
      <c r="C122" s="317" t="inlineStr">
        <is>
          <t>G&amp;A</t>
        </is>
      </c>
      <c r="D122" s="317" t="inlineStr">
        <is>
          <t>Production Operator</t>
        </is>
      </c>
      <c r="E122" s="297" t="inlineStr">
        <is>
          <t>Planned</t>
        </is>
      </c>
      <c r="F122" s="318">
        <f>IF(Assumptions!$D$82=2,DATE(2028,7,1),DATE(2035,1,1))</f>
        <v/>
      </c>
      <c r="G122" s="318" t="n"/>
      <c r="H122" s="288" t="n">
        <v>5000</v>
      </c>
      <c r="I122" s="299">
        <f>IF(AND($F122&lt;=I$2, OR($G122="",$G122&gt;=I$2)),
  $H122 * (1 + Assumptions!$C$7) ^ INT(((YEAR(I$2)-YEAR($F122))*12 + MONTH(I$2)-MONTH($F122)) / 12),
  0)</f>
        <v/>
      </c>
      <c r="J122" s="299">
        <f>IF(AND($F122&lt;=J$2, OR($G122="",$G122&gt;=J$2)),
  $H122 * (1 + Assumptions!$C$7) ^ INT(((YEAR(J$2)-YEAR($F122))*12 + MONTH(J$2)-MONTH($F122)) / 12),
  0)</f>
        <v/>
      </c>
      <c r="K122" s="299">
        <f>IF(AND($F122&lt;=K$2, OR($G122="",$G122&gt;=K$2)),
  $H122 * (1 + Assumptions!$C$7) ^ INT(((YEAR(K$2)-YEAR($F122))*12 + MONTH(K$2)-MONTH($F122)) / 12),
  0)</f>
        <v/>
      </c>
      <c r="L122" s="299">
        <f>IF(AND($F122&lt;=L$2, OR($G122="",$G122&gt;=L$2)),
  $H122 * (1 + Assumptions!$C$7) ^ INT(((YEAR(L$2)-YEAR($F122))*12 + MONTH(L$2)-MONTH($F122)) / 12),
  0)</f>
        <v/>
      </c>
      <c r="M122" s="299">
        <f>IF(AND($F122&lt;=M$2, OR($G122="",$G122&gt;=M$2)),
  $H122 * (1 + Assumptions!$C$7) ^ INT(((YEAR(M$2)-YEAR($F122))*12 + MONTH(M$2)-MONTH($F122)) / 12),
  0)</f>
        <v/>
      </c>
      <c r="N122" s="299">
        <f>IF(AND($F122&lt;=N$2, OR($G122="",$G122&gt;=N$2)),
  $H122 * (1 + Assumptions!$C$7) ^ INT(((YEAR(N$2)-YEAR($F122))*12 + MONTH(N$2)-MONTH($F122)) / 12),
  0)</f>
        <v/>
      </c>
      <c r="O122" s="299">
        <f>IF(AND($F122&lt;=O$2, OR($G122="",$G122&gt;=O$2)),
  $H122 * (1 + Assumptions!$C$7) ^ INT(((YEAR(O$2)-YEAR($F122))*12 + MONTH(O$2)-MONTH($F122)) / 12),
  0)</f>
        <v/>
      </c>
      <c r="P122" s="299">
        <f>IF(AND($F122&lt;=P$2, OR($G122="",$G122&gt;=P$2)),
  $H122 * (1 + Assumptions!$C$7) ^ INT(((YEAR(P$2)-YEAR($F122))*12 + MONTH(P$2)-MONTH($F122)) / 12),
  0)</f>
        <v/>
      </c>
      <c r="Q122" s="299">
        <f>IF(AND($F122&lt;=Q$2, OR($G122="",$G122&gt;=Q$2)),
  $H122 * (1 + Assumptions!$C$7) ^ INT(((YEAR(Q$2)-YEAR($F122))*12 + MONTH(Q$2)-MONTH($F122)) / 12),
  0)</f>
        <v/>
      </c>
      <c r="R122" s="299">
        <f>IF(AND($F122&lt;=R$2, OR($G122="",$G122&gt;=R$2)),
  $H122 * (1 + Assumptions!$C$7) ^ INT(((YEAR(R$2)-YEAR($F122))*12 + MONTH(R$2)-MONTH($F122)) / 12),
  0)</f>
        <v/>
      </c>
      <c r="S122" s="299">
        <f>IF(AND($F122&lt;=S$2, OR($G122="",$G122&gt;=S$2)),
  $H122 * (1 + Assumptions!$C$7) ^ INT(((YEAR(S$2)-YEAR($F122))*12 + MONTH(S$2)-MONTH($F122)) / 12),
  0)</f>
        <v/>
      </c>
      <c r="T122" s="299">
        <f>IF(AND($F122&lt;=T$2, OR($G122="",$G122&gt;=T$2)),
  $H122 * (1 + Assumptions!$C$7) ^ INT(((YEAR(T$2)-YEAR($F122))*12 + MONTH(T$2)-MONTH($F122)) / 12),
  0)</f>
        <v/>
      </c>
      <c r="U122" s="299">
        <f>IF(AND($F122&lt;=U$2, OR($G122="",$G122&gt;=U$2)),
  $H122 * (1 + Assumptions!$C$7) ^ INT(((YEAR(U$2)-YEAR($F122))*12 + MONTH(U$2)-MONTH($F122)) / 12),
  0)</f>
        <v/>
      </c>
      <c r="V122" s="299">
        <f>IF(AND($F122&lt;=V$2, OR($G122="",$G122&gt;=V$2)),
  $H122 * (1 + Assumptions!$C$7) ^ INT(((YEAR(V$2)-YEAR($F122))*12 + MONTH(V$2)-MONTH($F122)) / 12),
  0)</f>
        <v/>
      </c>
      <c r="W122" s="299">
        <f>IF(AND($F122&lt;=W$2, OR($G122="",$G122&gt;=W$2)),
  $H122 * (1 + Assumptions!$C$7) ^ INT(((YEAR(W$2)-YEAR($F122))*12 + MONTH(W$2)-MONTH($F122)) / 12),
  0)</f>
        <v/>
      </c>
      <c r="X122" s="299">
        <f>IF(AND($F122&lt;=X$2, OR($G122="",$G122&gt;=X$2)),
  $H122 * (1 + Assumptions!$C$7) ^ INT(((YEAR(X$2)-YEAR($F122))*12 + MONTH(X$2)-MONTH($F122)) / 12),
  0)</f>
        <v/>
      </c>
      <c r="Y122" s="299">
        <f>IF(AND($F122&lt;=Y$2, OR($G122="",$G122&gt;=Y$2)),
  $H122 * (1 + Assumptions!$C$7) ^ INT(((YEAR(Y$2)-YEAR($F122))*12 + MONTH(Y$2)-MONTH($F122)) / 12),
  0)</f>
        <v/>
      </c>
      <c r="Z122" s="299">
        <f>IF(AND($F122&lt;=Z$2, OR($G122="",$G122&gt;=Z$2)),
  $H122 * (1 + Assumptions!$C$7) ^ INT(((YEAR(Z$2)-YEAR($F122))*12 + MONTH(Z$2)-MONTH($F122)) / 12),
  0)</f>
        <v/>
      </c>
      <c r="AA122" s="299">
        <f>IF(AND($F122&lt;=AA$2, OR($G122="",$G122&gt;=AA$2)),
  $H122 * (1 + Assumptions!$C$7) ^ INT(((YEAR(AA$2)-YEAR($F122))*12 + MONTH(AA$2)-MONTH($F122)) / 12),
  0)</f>
        <v/>
      </c>
      <c r="AB122" s="299">
        <f>IF(AND($F122&lt;=AB$2, OR($G122="",$G122&gt;=AB$2)),
  $H122 * (1 + Assumptions!$C$7) ^ INT(((YEAR(AB$2)-YEAR($F122))*12 + MONTH(AB$2)-MONTH($F122)) / 12),
  0)</f>
        <v/>
      </c>
      <c r="AC122" s="299">
        <f>IF(AND($F122&lt;=AC$2, OR($G122="",$G122&gt;=AC$2)),
  $H122 * (1 + Assumptions!$C$7) ^ INT(((YEAR(AC$2)-YEAR($F122))*12 + MONTH(AC$2)-MONTH($F122)) / 12),
  0)</f>
        <v/>
      </c>
      <c r="AD122" s="299">
        <f>IF(AND($F122&lt;=AD$2, OR($G122="",$G122&gt;=AD$2)),
  $H122 * (1 + Assumptions!$C$7) ^ INT(((YEAR(AD$2)-YEAR($F122))*12 + MONTH(AD$2)-MONTH($F122)) / 12),
  0)</f>
        <v/>
      </c>
      <c r="AE122" s="299">
        <f>IF(AND($F122&lt;=AE$2, OR($G122="",$G122&gt;=AE$2)),
  $H122 * (1 + Assumptions!$C$7) ^ INT(((YEAR(AE$2)-YEAR($F122))*12 + MONTH(AE$2)-MONTH($F122)) / 12),
  0)</f>
        <v/>
      </c>
      <c r="AF122" s="299">
        <f>IF(AND($F122&lt;=AF$2, OR($G122="",$G122&gt;=AF$2)),
  $H122 * (1 + Assumptions!$C$7) ^ INT(((YEAR(AF$2)-YEAR($F122))*12 + MONTH(AF$2)-MONTH($F122)) / 12),
  0)</f>
        <v/>
      </c>
      <c r="AG122" s="299">
        <f>IF(AND($F122&lt;=AG$2, OR($G122="",$G122&gt;=AG$2)),
  $H122 * (1 + Assumptions!$C$7) ^ INT(((YEAR(AG$2)-YEAR($F122))*12 + MONTH(AG$2)-MONTH($F122)) / 12),
  0)</f>
        <v/>
      </c>
      <c r="AH122" s="299">
        <f>IF(AND($F122&lt;=AH$2, OR($G122="",$G122&gt;=AH$2)),
  $H122 * (1 + Assumptions!$C$7) ^ INT(((YEAR(AH$2)-YEAR($F122))*12 + MONTH(AH$2)-MONTH($F122)) / 12),
  0)</f>
        <v/>
      </c>
      <c r="AI122" s="299">
        <f>IF(AND($F122&lt;=AI$2, OR($G122="",$G122&gt;=AI$2)),
  $H122 * (1 + Assumptions!$C$7) ^ INT(((YEAR(AI$2)-YEAR($F122))*12 + MONTH(AI$2)-MONTH($F122)) / 12),
  0)</f>
        <v/>
      </c>
      <c r="AJ122" s="299">
        <f>IF(AND($F122&lt;=AJ$2, OR($G122="",$G122&gt;=AJ$2)),
  $H122 * (1 + Assumptions!$C$7) ^ INT(((YEAR(AJ$2)-YEAR($F122))*12 + MONTH(AJ$2)-MONTH($F122)) / 12),
  0)</f>
        <v/>
      </c>
      <c r="AK122" s="299">
        <f>IF(AND($F122&lt;=AK$2, OR($G122="",$G122&gt;=AK$2)),
  $H122 * (1 + Assumptions!$C$7) ^ INT(((YEAR(AK$2)-YEAR($F122))*12 + MONTH(AK$2)-MONTH($F122)) / 12),
  0)</f>
        <v/>
      </c>
      <c r="AL122" s="299">
        <f>IF(AND($F122&lt;=AL$2, OR($G122="",$G122&gt;=AL$2)),
  $H122 * (1 + Assumptions!$C$7) ^ INT(((YEAR(AL$2)-YEAR($F122))*12 + MONTH(AL$2)-MONTH($F122)) / 12),
  0)</f>
        <v/>
      </c>
      <c r="AM122" s="299">
        <f>IF(AND($F122&lt;=AM$2, OR($G122="",$G122&gt;=AM$2)),
  $H122 * (1 + Assumptions!$C$7) ^ INT(((YEAR(AM$2)-YEAR($F122))*12 + MONTH(AM$2)-MONTH($F122)) / 12),
  0)</f>
        <v/>
      </c>
      <c r="AN122" s="299">
        <f>IF(AND($F122&lt;=AN$2, OR($G122="",$G122&gt;=AN$2)),
  $H122 * (1 + Assumptions!$C$7) ^ INT(((YEAR(AN$2)-YEAR($F122))*12 + MONTH(AN$2)-MONTH($F122)) / 12),
  0)</f>
        <v/>
      </c>
      <c r="AO122" s="299">
        <f>IF(AND($F122&lt;=AO$2, OR($G122="",$G122&gt;=AO$2)),
  $H122 * (1 + Assumptions!$C$7) ^ INT(((YEAR(AO$2)-YEAR($F122))*12 + MONTH(AO$2)-MONTH($F122)) / 12),
  0)</f>
        <v/>
      </c>
      <c r="AP122" s="299">
        <f>IF(AND($F122&lt;=AP$2, OR($G122="",$G122&gt;=AP$2)),
  $H122 * (1 + Assumptions!$C$7) ^ INT(((YEAR(AP$2)-YEAR($F122))*12 + MONTH(AP$2)-MONTH($F122)) / 12),
  0)</f>
        <v/>
      </c>
      <c r="AQ122" s="299">
        <f>IF(AND($F122&lt;=AQ$2, OR($G122="",$G122&gt;=AQ$2)),
  $H122 * (1 + Assumptions!$C$7) ^ INT(((YEAR(AQ$2)-YEAR($F122))*12 + MONTH(AQ$2)-MONTH($F122)) / 12),
  0)</f>
        <v/>
      </c>
      <c r="AR122" s="299">
        <f>IF(AND($F122&lt;=AR$2, OR($G122="",$G122&gt;=AR$2)),
  $H122 * (1 + Assumptions!$C$7) ^ INT(((YEAR(AR$2)-YEAR($F122))*12 + MONTH(AR$2)-MONTH($F122)) / 12),
  0)</f>
        <v/>
      </c>
      <c r="AS122" s="299">
        <f>IF(AND($F122&lt;=AS$2, OR($G122="",$G122&gt;=AS$2)),
  $H122 * (1 + Assumptions!$C$7) ^ INT(((YEAR(AS$2)-YEAR($F122))*12 + MONTH(AS$2)-MONTH($F122)) / 12),
  0)</f>
        <v/>
      </c>
      <c r="AT122" s="299">
        <f>IF(AND($F122&lt;=AT$2, OR($G122="",$G122&gt;=AT$2)),
  $H122 * (1 + Assumptions!$C$7) ^ INT(((YEAR(AT$2)-YEAR($F122))*12 + MONTH(AT$2)-MONTH($F122)) / 12),
  0)</f>
        <v/>
      </c>
      <c r="AU122" s="299">
        <f>IF(AND($F122&lt;=AU$2, OR($G122="",$G122&gt;=AU$2)),
  $H122 * (1 + Assumptions!$C$7) ^ INT(((YEAR(AU$2)-YEAR($F122))*12 + MONTH(AU$2)-MONTH($F122)) / 12),
  0)</f>
        <v/>
      </c>
      <c r="AV122" s="299">
        <f>IF(AND($F122&lt;=AV$2, OR($G122="",$G122&gt;=AV$2)),
  $H122 * (1 + Assumptions!$C$7) ^ INT(((YEAR(AV$2)-YEAR($F122))*12 + MONTH(AV$2)-MONTH($F122)) / 12),
  0)</f>
        <v/>
      </c>
      <c r="AW122" s="299">
        <f>IF(AND($F122&lt;=AW$2, OR($G122="",$G122&gt;=AW$2)),
  $H122 * (1 + Assumptions!$C$7) ^ INT(((YEAR(AW$2)-YEAR($F122))*12 + MONTH(AW$2)-MONTH($F122)) / 12),
  0)</f>
        <v/>
      </c>
      <c r="AX122" s="299">
        <f>IF(AND($F122&lt;=AX$2, OR($G122="",$G122&gt;=AX$2)),
  $H122 * (1 + Assumptions!$C$7) ^ INT(((YEAR(AX$2)-YEAR($F122))*12 + MONTH(AX$2)-MONTH($F122)) / 12),
  0)</f>
        <v/>
      </c>
      <c r="AY122" s="299">
        <f>IF(AND($F122&lt;=AY$2, OR($G122="",$G122&gt;=AY$2)),
  $H122 * (1 + Assumptions!$C$7) ^ INT(((YEAR(AY$2)-YEAR($F122))*12 + MONTH(AY$2)-MONTH($F122)) / 12),
  0)</f>
        <v/>
      </c>
      <c r="AZ122" s="299">
        <f>IF(AND($F122&lt;=AZ$2, OR($G122="",$G122&gt;=AZ$2)),
  $H122 * (1 + Assumptions!$C$7) ^ INT(((YEAR(AZ$2)-YEAR($F122))*12 + MONTH(AZ$2)-MONTH($F122)) / 12),
  0)</f>
        <v/>
      </c>
      <c r="BA122" s="299">
        <f>IF(AND($F122&lt;=BA$2, OR($G122="",$G122&gt;=BA$2)),
  $H122 * (1 + Assumptions!$C$7) ^ INT(((YEAR(BA$2)-YEAR($F122))*12 + MONTH(BA$2)-MONTH($F122)) / 12),
  0)</f>
        <v/>
      </c>
      <c r="BB122" s="299">
        <f>IF(AND($F122&lt;=BB$2, OR($G122="",$G122&gt;=BB$2)),
  $H122 * (1 + Assumptions!$C$7) ^ INT(((YEAR(BB$2)-YEAR($F122))*12 + MONTH(BB$2)-MONTH($F122)) / 12),
  0)</f>
        <v/>
      </c>
      <c r="BC122" s="299">
        <f>IF(AND($F122&lt;=BC$2, OR($G122="",$G122&gt;=BC$2)),
  $H122 * (1 + Assumptions!$C$7) ^ INT(((YEAR(BC$2)-YEAR($F122))*12 + MONTH(BC$2)-MONTH($F122)) / 12),
  0)</f>
        <v/>
      </c>
      <c r="BD122" s="299">
        <f>IF(AND($F122&lt;=BD$2, OR($G122="",$G122&gt;=BD$2)),
  $H122 * (1 + Assumptions!$C$7) ^ INT(((YEAR(BD$2)-YEAR($F122))*12 + MONTH(BD$2)-MONTH($F122)) / 12),
  0)</f>
        <v/>
      </c>
      <c r="BE122" s="299">
        <f>IF(AND($F122&lt;=BE$2, OR($G122="",$G122&gt;=BE$2)),
  $H122 * (1 + Assumptions!$C$7) ^ INT(((YEAR(BE$2)-YEAR($F122))*12 + MONTH(BE$2)-MONTH($F122)) / 12),
  0)</f>
        <v/>
      </c>
      <c r="BF122" s="299">
        <f>IF(AND($F122&lt;=BF$2, OR($G122="",$G122&gt;=BF$2)),
  $H122 * (1 + Assumptions!$C$7) ^ INT(((YEAR(BF$2)-YEAR($F122))*12 + MONTH(BF$2)-MONTH($F122)) / 12),
  0)</f>
        <v/>
      </c>
      <c r="BG122" s="299">
        <f>IF(AND($F122&lt;=BG$2, OR($G122="",$G122&gt;=BG$2)),
  $H122 * (1 + Assumptions!$C$7) ^ INT(((YEAR(BG$2)-YEAR($F122))*12 + MONTH(BG$2)-MONTH($F122)) / 12),
  0)</f>
        <v/>
      </c>
      <c r="BH122" s="299">
        <f>IF(AND($F122&lt;=BH$2, OR($G122="",$G122&gt;=BH$2)),
  $H122 * (1 + Assumptions!$C$7) ^ INT(((YEAR(BH$2)-YEAR($F122))*12 + MONTH(BH$2)-MONTH($F122)) / 12),
  0)</f>
        <v/>
      </c>
      <c r="BI122" s="299">
        <f>IF(AND($F122&lt;=BI$2, OR($G122="",$G122&gt;=BI$2)),
  $H122 * (1 + Assumptions!$C$7) ^ INT(((YEAR(BI$2)-YEAR($F122))*12 + MONTH(BI$2)-MONTH($F122)) / 12),
  0)</f>
        <v/>
      </c>
      <c r="BJ122" s="299">
        <f>IF(AND($F122&lt;=BJ$2, OR($G122="",$G122&gt;=BJ$2)),
  $H122 * (1 + Assumptions!$C$7) ^ INT(((YEAR(BJ$2)-YEAR($F122))*12 + MONTH(BJ$2)-MONTH($F122)) / 12),
  0)</f>
        <v/>
      </c>
      <c r="BK122" s="299">
        <f>IF(AND($F122&lt;=BK$2, OR($G122="",$G122&gt;=BK$2)),
  $H122 * (1 + Assumptions!$C$7) ^ INT(((YEAR(BK$2)-YEAR($F122))*12 + MONTH(BK$2)-MONTH($F122)) / 12),
  0)</f>
        <v/>
      </c>
      <c r="BL122" s="299">
        <f>IF(AND($F122&lt;=BL$2, OR($G122="",$G122&gt;=BL$2)),
  $H122 * (1 + Assumptions!$C$7) ^ INT(((YEAR(BL$2)-YEAR($F122))*12 + MONTH(BL$2)-MONTH($F122)) / 12),
  0)</f>
        <v/>
      </c>
      <c r="BM122" s="299">
        <f>IF(AND($F122&lt;=BM$2, OR($G122="",$G122&gt;=BM$2)),
  $H122 * (1 + Assumptions!$C$7) ^ INT(((YEAR(BM$2)-YEAR($F122))*12 + MONTH(BM$2)-MONTH($F122)) / 12),
  0)</f>
        <v/>
      </c>
      <c r="BN122" s="299">
        <f>IF(AND($F122&lt;=BN$2, OR($G122="",$G122&gt;=BN$2)),
  $H122 * (1 + Assumptions!$C$7) ^ INT(((YEAR(BN$2)-YEAR($F122))*12 + MONTH(BN$2)-MONTH($F122)) / 12),
  0)</f>
        <v/>
      </c>
      <c r="BO122" s="299">
        <f>IF(AND($F122&lt;=BO$2, OR($G122="",$G122&gt;=BO$2)),
  $H122 * (1 + Assumptions!$C$7) ^ INT(((YEAR(BO$2)-YEAR($F122))*12 + MONTH(BO$2)-MONTH($F122)) / 12),
  0)</f>
        <v/>
      </c>
      <c r="BP122" s="299">
        <f>IF(AND($F122&lt;=BP$2, OR($G122="",$G122&gt;=BP$2)),
  $H122 * (1 + Assumptions!$C$7) ^ INT(((YEAR(BP$2)-YEAR($F122))*12 + MONTH(BP$2)-MONTH($F122)) / 12),
  0)</f>
        <v/>
      </c>
      <c r="BQ122" s="31" t="n"/>
      <c r="BR122" s="31" t="n"/>
      <c r="BS122" s="31" t="n"/>
      <c r="BT122" s="31" t="n"/>
    </row>
    <row r="123" ht="15.75" customHeight="1" s="349">
      <c r="A123" s="321" t="n">
        <v>118</v>
      </c>
      <c r="B123" s="285" t="inlineStr">
        <is>
          <t>New hire</t>
        </is>
      </c>
      <c r="C123" s="317" t="inlineStr">
        <is>
          <t>G&amp;A</t>
        </is>
      </c>
      <c r="D123" s="317" t="inlineStr">
        <is>
          <t>Production Operator</t>
        </is>
      </c>
      <c r="E123" s="297" t="inlineStr">
        <is>
          <t>Planned</t>
        </is>
      </c>
      <c r="F123" s="318">
        <f>IF(Assumptions!$D$82=2,DATE(2028,7,1),DATE(2035,1,1))</f>
        <v/>
      </c>
      <c r="G123" s="318" t="n"/>
      <c r="H123" s="288" t="n">
        <v>5000</v>
      </c>
      <c r="I123" s="299">
        <f>IF(AND($F123&lt;=I$2, OR($G123="",$G123&gt;=I$2)),
  $H123 * (1 + Assumptions!$C$7) ^ INT(((YEAR(I$2)-YEAR($F123))*12 + MONTH(I$2)-MONTH($F123)) / 12),
  0)</f>
        <v/>
      </c>
      <c r="J123" s="299">
        <f>IF(AND($F123&lt;=J$2, OR($G123="",$G123&gt;=J$2)),
  $H123 * (1 + Assumptions!$C$7) ^ INT(((YEAR(J$2)-YEAR($F123))*12 + MONTH(J$2)-MONTH($F123)) / 12),
  0)</f>
        <v/>
      </c>
      <c r="K123" s="299">
        <f>IF(AND($F123&lt;=K$2, OR($G123="",$G123&gt;=K$2)),
  $H123 * (1 + Assumptions!$C$7) ^ INT(((YEAR(K$2)-YEAR($F123))*12 + MONTH(K$2)-MONTH($F123)) / 12),
  0)</f>
        <v/>
      </c>
      <c r="L123" s="299">
        <f>IF(AND($F123&lt;=L$2, OR($G123="",$G123&gt;=L$2)),
  $H123 * (1 + Assumptions!$C$7) ^ INT(((YEAR(L$2)-YEAR($F123))*12 + MONTH(L$2)-MONTH($F123)) / 12),
  0)</f>
        <v/>
      </c>
      <c r="M123" s="299">
        <f>IF(AND($F123&lt;=M$2, OR($G123="",$G123&gt;=M$2)),
  $H123 * (1 + Assumptions!$C$7) ^ INT(((YEAR(M$2)-YEAR($F123))*12 + MONTH(M$2)-MONTH($F123)) / 12),
  0)</f>
        <v/>
      </c>
      <c r="N123" s="299">
        <f>IF(AND($F123&lt;=N$2, OR($G123="",$G123&gt;=N$2)),
  $H123 * (1 + Assumptions!$C$7) ^ INT(((YEAR(N$2)-YEAR($F123))*12 + MONTH(N$2)-MONTH($F123)) / 12),
  0)</f>
        <v/>
      </c>
      <c r="O123" s="299">
        <f>IF(AND($F123&lt;=O$2, OR($G123="",$G123&gt;=O$2)),
  $H123 * (1 + Assumptions!$C$7) ^ INT(((YEAR(O$2)-YEAR($F123))*12 + MONTH(O$2)-MONTH($F123)) / 12),
  0)</f>
        <v/>
      </c>
      <c r="P123" s="299">
        <f>IF(AND($F123&lt;=P$2, OR($G123="",$G123&gt;=P$2)),
  $H123 * (1 + Assumptions!$C$7) ^ INT(((YEAR(P$2)-YEAR($F123))*12 + MONTH(P$2)-MONTH($F123)) / 12),
  0)</f>
        <v/>
      </c>
      <c r="Q123" s="299">
        <f>IF(AND($F123&lt;=Q$2, OR($G123="",$G123&gt;=Q$2)),
  $H123 * (1 + Assumptions!$C$7) ^ INT(((YEAR(Q$2)-YEAR($F123))*12 + MONTH(Q$2)-MONTH($F123)) / 12),
  0)</f>
        <v/>
      </c>
      <c r="R123" s="299">
        <f>IF(AND($F123&lt;=R$2, OR($G123="",$G123&gt;=R$2)),
  $H123 * (1 + Assumptions!$C$7) ^ INT(((YEAR(R$2)-YEAR($F123))*12 + MONTH(R$2)-MONTH($F123)) / 12),
  0)</f>
        <v/>
      </c>
      <c r="S123" s="299">
        <f>IF(AND($F123&lt;=S$2, OR($G123="",$G123&gt;=S$2)),
  $H123 * (1 + Assumptions!$C$7) ^ INT(((YEAR(S$2)-YEAR($F123))*12 + MONTH(S$2)-MONTH($F123)) / 12),
  0)</f>
        <v/>
      </c>
      <c r="T123" s="299">
        <f>IF(AND($F123&lt;=T$2, OR($G123="",$G123&gt;=T$2)),
  $H123 * (1 + Assumptions!$C$7) ^ INT(((YEAR(T$2)-YEAR($F123))*12 + MONTH(T$2)-MONTH($F123)) / 12),
  0)</f>
        <v/>
      </c>
      <c r="U123" s="299">
        <f>IF(AND($F123&lt;=U$2, OR($G123="",$G123&gt;=U$2)),
  $H123 * (1 + Assumptions!$C$7) ^ INT(((YEAR(U$2)-YEAR($F123))*12 + MONTH(U$2)-MONTH($F123)) / 12),
  0)</f>
        <v/>
      </c>
      <c r="V123" s="299">
        <f>IF(AND($F123&lt;=V$2, OR($G123="",$G123&gt;=V$2)),
  $H123 * (1 + Assumptions!$C$7) ^ INT(((YEAR(V$2)-YEAR($F123))*12 + MONTH(V$2)-MONTH($F123)) / 12),
  0)</f>
        <v/>
      </c>
      <c r="W123" s="299">
        <f>IF(AND($F123&lt;=W$2, OR($G123="",$G123&gt;=W$2)),
  $H123 * (1 + Assumptions!$C$7) ^ INT(((YEAR(W$2)-YEAR($F123))*12 + MONTH(W$2)-MONTH($F123)) / 12),
  0)</f>
        <v/>
      </c>
      <c r="X123" s="299">
        <f>IF(AND($F123&lt;=X$2, OR($G123="",$G123&gt;=X$2)),
  $H123 * (1 + Assumptions!$C$7) ^ INT(((YEAR(X$2)-YEAR($F123))*12 + MONTH(X$2)-MONTH($F123)) / 12),
  0)</f>
        <v/>
      </c>
      <c r="Y123" s="299">
        <f>IF(AND($F123&lt;=Y$2, OR($G123="",$G123&gt;=Y$2)),
  $H123 * (1 + Assumptions!$C$7) ^ INT(((YEAR(Y$2)-YEAR($F123))*12 + MONTH(Y$2)-MONTH($F123)) / 12),
  0)</f>
        <v/>
      </c>
      <c r="Z123" s="299">
        <f>IF(AND($F123&lt;=Z$2, OR($G123="",$G123&gt;=Z$2)),
  $H123 * (1 + Assumptions!$C$7) ^ INT(((YEAR(Z$2)-YEAR($F123))*12 + MONTH(Z$2)-MONTH($F123)) / 12),
  0)</f>
        <v/>
      </c>
      <c r="AA123" s="299">
        <f>IF(AND($F123&lt;=AA$2, OR($G123="",$G123&gt;=AA$2)),
  $H123 * (1 + Assumptions!$C$7) ^ INT(((YEAR(AA$2)-YEAR($F123))*12 + MONTH(AA$2)-MONTH($F123)) / 12),
  0)</f>
        <v/>
      </c>
      <c r="AB123" s="299">
        <f>IF(AND($F123&lt;=AB$2, OR($G123="",$G123&gt;=AB$2)),
  $H123 * (1 + Assumptions!$C$7) ^ INT(((YEAR(AB$2)-YEAR($F123))*12 + MONTH(AB$2)-MONTH($F123)) / 12),
  0)</f>
        <v/>
      </c>
      <c r="AC123" s="299">
        <f>IF(AND($F123&lt;=AC$2, OR($G123="",$G123&gt;=AC$2)),
  $H123 * (1 + Assumptions!$C$7) ^ INT(((YEAR(AC$2)-YEAR($F123))*12 + MONTH(AC$2)-MONTH($F123)) / 12),
  0)</f>
        <v/>
      </c>
      <c r="AD123" s="299">
        <f>IF(AND($F123&lt;=AD$2, OR($G123="",$G123&gt;=AD$2)),
  $H123 * (1 + Assumptions!$C$7) ^ INT(((YEAR(AD$2)-YEAR($F123))*12 + MONTH(AD$2)-MONTH($F123)) / 12),
  0)</f>
        <v/>
      </c>
      <c r="AE123" s="299">
        <f>IF(AND($F123&lt;=AE$2, OR($G123="",$G123&gt;=AE$2)),
  $H123 * (1 + Assumptions!$C$7) ^ INT(((YEAR(AE$2)-YEAR($F123))*12 + MONTH(AE$2)-MONTH($F123)) / 12),
  0)</f>
        <v/>
      </c>
      <c r="AF123" s="299">
        <f>IF(AND($F123&lt;=AF$2, OR($G123="",$G123&gt;=AF$2)),
  $H123 * (1 + Assumptions!$C$7) ^ INT(((YEAR(AF$2)-YEAR($F123))*12 + MONTH(AF$2)-MONTH($F123)) / 12),
  0)</f>
        <v/>
      </c>
      <c r="AG123" s="299">
        <f>IF(AND($F123&lt;=AG$2, OR($G123="",$G123&gt;=AG$2)),
  $H123 * (1 + Assumptions!$C$7) ^ INT(((YEAR(AG$2)-YEAR($F123))*12 + MONTH(AG$2)-MONTH($F123)) / 12),
  0)</f>
        <v/>
      </c>
      <c r="AH123" s="299">
        <f>IF(AND($F123&lt;=AH$2, OR($G123="",$G123&gt;=AH$2)),
  $H123 * (1 + Assumptions!$C$7) ^ INT(((YEAR(AH$2)-YEAR($F123))*12 + MONTH(AH$2)-MONTH($F123)) / 12),
  0)</f>
        <v/>
      </c>
      <c r="AI123" s="299">
        <f>IF(AND($F123&lt;=AI$2, OR($G123="",$G123&gt;=AI$2)),
  $H123 * (1 + Assumptions!$C$7) ^ INT(((YEAR(AI$2)-YEAR($F123))*12 + MONTH(AI$2)-MONTH($F123)) / 12),
  0)</f>
        <v/>
      </c>
      <c r="AJ123" s="299">
        <f>IF(AND($F123&lt;=AJ$2, OR($G123="",$G123&gt;=AJ$2)),
  $H123 * (1 + Assumptions!$C$7) ^ INT(((YEAR(AJ$2)-YEAR($F123))*12 + MONTH(AJ$2)-MONTH($F123)) / 12),
  0)</f>
        <v/>
      </c>
      <c r="AK123" s="299">
        <f>IF(AND($F123&lt;=AK$2, OR($G123="",$G123&gt;=AK$2)),
  $H123 * (1 + Assumptions!$C$7) ^ INT(((YEAR(AK$2)-YEAR($F123))*12 + MONTH(AK$2)-MONTH($F123)) / 12),
  0)</f>
        <v/>
      </c>
      <c r="AL123" s="299">
        <f>IF(AND($F123&lt;=AL$2, OR($G123="",$G123&gt;=AL$2)),
  $H123 * (1 + Assumptions!$C$7) ^ INT(((YEAR(AL$2)-YEAR($F123))*12 + MONTH(AL$2)-MONTH($F123)) / 12),
  0)</f>
        <v/>
      </c>
      <c r="AM123" s="299">
        <f>IF(AND($F123&lt;=AM$2, OR($G123="",$G123&gt;=AM$2)),
  $H123 * (1 + Assumptions!$C$7) ^ INT(((YEAR(AM$2)-YEAR($F123))*12 + MONTH(AM$2)-MONTH($F123)) / 12),
  0)</f>
        <v/>
      </c>
      <c r="AN123" s="299">
        <f>IF(AND($F123&lt;=AN$2, OR($G123="",$G123&gt;=AN$2)),
  $H123 * (1 + Assumptions!$C$7) ^ INT(((YEAR(AN$2)-YEAR($F123))*12 + MONTH(AN$2)-MONTH($F123)) / 12),
  0)</f>
        <v/>
      </c>
      <c r="AO123" s="299">
        <f>IF(AND($F123&lt;=AO$2, OR($G123="",$G123&gt;=AO$2)),
  $H123 * (1 + Assumptions!$C$7) ^ INT(((YEAR(AO$2)-YEAR($F123))*12 + MONTH(AO$2)-MONTH($F123)) / 12),
  0)</f>
        <v/>
      </c>
      <c r="AP123" s="299">
        <f>IF(AND($F123&lt;=AP$2, OR($G123="",$G123&gt;=AP$2)),
  $H123 * (1 + Assumptions!$C$7) ^ INT(((YEAR(AP$2)-YEAR($F123))*12 + MONTH(AP$2)-MONTH($F123)) / 12),
  0)</f>
        <v/>
      </c>
      <c r="AQ123" s="299">
        <f>IF(AND($F123&lt;=AQ$2, OR($G123="",$G123&gt;=AQ$2)),
  $H123 * (1 + Assumptions!$C$7) ^ INT(((YEAR(AQ$2)-YEAR($F123))*12 + MONTH(AQ$2)-MONTH($F123)) / 12),
  0)</f>
        <v/>
      </c>
      <c r="AR123" s="299">
        <f>IF(AND($F123&lt;=AR$2, OR($G123="",$G123&gt;=AR$2)),
  $H123 * (1 + Assumptions!$C$7) ^ INT(((YEAR(AR$2)-YEAR($F123))*12 + MONTH(AR$2)-MONTH($F123)) / 12),
  0)</f>
        <v/>
      </c>
      <c r="AS123" s="299">
        <f>IF(AND($F123&lt;=AS$2, OR($G123="",$G123&gt;=AS$2)),
  $H123 * (1 + Assumptions!$C$7) ^ INT(((YEAR(AS$2)-YEAR($F123))*12 + MONTH(AS$2)-MONTH($F123)) / 12),
  0)</f>
        <v/>
      </c>
      <c r="AT123" s="299">
        <f>IF(AND($F123&lt;=AT$2, OR($G123="",$G123&gt;=AT$2)),
  $H123 * (1 + Assumptions!$C$7) ^ INT(((YEAR(AT$2)-YEAR($F123))*12 + MONTH(AT$2)-MONTH($F123)) / 12),
  0)</f>
        <v/>
      </c>
      <c r="AU123" s="299">
        <f>IF(AND($F123&lt;=AU$2, OR($G123="",$G123&gt;=AU$2)),
  $H123 * (1 + Assumptions!$C$7) ^ INT(((YEAR(AU$2)-YEAR($F123))*12 + MONTH(AU$2)-MONTH($F123)) / 12),
  0)</f>
        <v/>
      </c>
      <c r="AV123" s="299">
        <f>IF(AND($F123&lt;=AV$2, OR($G123="",$G123&gt;=AV$2)),
  $H123 * (1 + Assumptions!$C$7) ^ INT(((YEAR(AV$2)-YEAR($F123))*12 + MONTH(AV$2)-MONTH($F123)) / 12),
  0)</f>
        <v/>
      </c>
      <c r="AW123" s="299">
        <f>IF(AND($F123&lt;=AW$2, OR($G123="",$G123&gt;=AW$2)),
  $H123 * (1 + Assumptions!$C$7) ^ INT(((YEAR(AW$2)-YEAR($F123))*12 + MONTH(AW$2)-MONTH($F123)) / 12),
  0)</f>
        <v/>
      </c>
      <c r="AX123" s="299">
        <f>IF(AND($F123&lt;=AX$2, OR($G123="",$G123&gt;=AX$2)),
  $H123 * (1 + Assumptions!$C$7) ^ INT(((YEAR(AX$2)-YEAR($F123))*12 + MONTH(AX$2)-MONTH($F123)) / 12),
  0)</f>
        <v/>
      </c>
      <c r="AY123" s="299">
        <f>IF(AND($F123&lt;=AY$2, OR($G123="",$G123&gt;=AY$2)),
  $H123 * (1 + Assumptions!$C$7) ^ INT(((YEAR(AY$2)-YEAR($F123))*12 + MONTH(AY$2)-MONTH($F123)) / 12),
  0)</f>
        <v/>
      </c>
      <c r="AZ123" s="299">
        <f>IF(AND($F123&lt;=AZ$2, OR($G123="",$G123&gt;=AZ$2)),
  $H123 * (1 + Assumptions!$C$7) ^ INT(((YEAR(AZ$2)-YEAR($F123))*12 + MONTH(AZ$2)-MONTH($F123)) / 12),
  0)</f>
        <v/>
      </c>
      <c r="BA123" s="299">
        <f>IF(AND($F123&lt;=BA$2, OR($G123="",$G123&gt;=BA$2)),
  $H123 * (1 + Assumptions!$C$7) ^ INT(((YEAR(BA$2)-YEAR($F123))*12 + MONTH(BA$2)-MONTH($F123)) / 12),
  0)</f>
        <v/>
      </c>
      <c r="BB123" s="299">
        <f>IF(AND($F123&lt;=BB$2, OR($G123="",$G123&gt;=BB$2)),
  $H123 * (1 + Assumptions!$C$7) ^ INT(((YEAR(BB$2)-YEAR($F123))*12 + MONTH(BB$2)-MONTH($F123)) / 12),
  0)</f>
        <v/>
      </c>
      <c r="BC123" s="299">
        <f>IF(AND($F123&lt;=BC$2, OR($G123="",$G123&gt;=BC$2)),
  $H123 * (1 + Assumptions!$C$7) ^ INT(((YEAR(BC$2)-YEAR($F123))*12 + MONTH(BC$2)-MONTH($F123)) / 12),
  0)</f>
        <v/>
      </c>
      <c r="BD123" s="299">
        <f>IF(AND($F123&lt;=BD$2, OR($G123="",$G123&gt;=BD$2)),
  $H123 * (1 + Assumptions!$C$7) ^ INT(((YEAR(BD$2)-YEAR($F123))*12 + MONTH(BD$2)-MONTH($F123)) / 12),
  0)</f>
        <v/>
      </c>
      <c r="BE123" s="299">
        <f>IF(AND($F123&lt;=BE$2, OR($G123="",$G123&gt;=BE$2)),
  $H123 * (1 + Assumptions!$C$7) ^ INT(((YEAR(BE$2)-YEAR($F123))*12 + MONTH(BE$2)-MONTH($F123)) / 12),
  0)</f>
        <v/>
      </c>
      <c r="BF123" s="299">
        <f>IF(AND($F123&lt;=BF$2, OR($G123="",$G123&gt;=BF$2)),
  $H123 * (1 + Assumptions!$C$7) ^ INT(((YEAR(BF$2)-YEAR($F123))*12 + MONTH(BF$2)-MONTH($F123)) / 12),
  0)</f>
        <v/>
      </c>
      <c r="BG123" s="299">
        <f>IF(AND($F123&lt;=BG$2, OR($G123="",$G123&gt;=BG$2)),
  $H123 * (1 + Assumptions!$C$7) ^ INT(((YEAR(BG$2)-YEAR($F123))*12 + MONTH(BG$2)-MONTH($F123)) / 12),
  0)</f>
        <v/>
      </c>
      <c r="BH123" s="299">
        <f>IF(AND($F123&lt;=BH$2, OR($G123="",$G123&gt;=BH$2)),
  $H123 * (1 + Assumptions!$C$7) ^ INT(((YEAR(BH$2)-YEAR($F123))*12 + MONTH(BH$2)-MONTH($F123)) / 12),
  0)</f>
        <v/>
      </c>
      <c r="BI123" s="299">
        <f>IF(AND($F123&lt;=BI$2, OR($G123="",$G123&gt;=BI$2)),
  $H123 * (1 + Assumptions!$C$7) ^ INT(((YEAR(BI$2)-YEAR($F123))*12 + MONTH(BI$2)-MONTH($F123)) / 12),
  0)</f>
        <v/>
      </c>
      <c r="BJ123" s="299">
        <f>IF(AND($F123&lt;=BJ$2, OR($G123="",$G123&gt;=BJ$2)),
  $H123 * (1 + Assumptions!$C$7) ^ INT(((YEAR(BJ$2)-YEAR($F123))*12 + MONTH(BJ$2)-MONTH($F123)) / 12),
  0)</f>
        <v/>
      </c>
      <c r="BK123" s="299">
        <f>IF(AND($F123&lt;=BK$2, OR($G123="",$G123&gt;=BK$2)),
  $H123 * (1 + Assumptions!$C$7) ^ INT(((YEAR(BK$2)-YEAR($F123))*12 + MONTH(BK$2)-MONTH($F123)) / 12),
  0)</f>
        <v/>
      </c>
      <c r="BL123" s="299">
        <f>IF(AND($F123&lt;=BL$2, OR($G123="",$G123&gt;=BL$2)),
  $H123 * (1 + Assumptions!$C$7) ^ INT(((YEAR(BL$2)-YEAR($F123))*12 + MONTH(BL$2)-MONTH($F123)) / 12),
  0)</f>
        <v/>
      </c>
      <c r="BM123" s="299">
        <f>IF(AND($F123&lt;=BM$2, OR($G123="",$G123&gt;=BM$2)),
  $H123 * (1 + Assumptions!$C$7) ^ INT(((YEAR(BM$2)-YEAR($F123))*12 + MONTH(BM$2)-MONTH($F123)) / 12),
  0)</f>
        <v/>
      </c>
      <c r="BN123" s="299">
        <f>IF(AND($F123&lt;=BN$2, OR($G123="",$G123&gt;=BN$2)),
  $H123 * (1 + Assumptions!$C$7) ^ INT(((YEAR(BN$2)-YEAR($F123))*12 + MONTH(BN$2)-MONTH($F123)) / 12),
  0)</f>
        <v/>
      </c>
      <c r="BO123" s="299">
        <f>IF(AND($F123&lt;=BO$2, OR($G123="",$G123&gt;=BO$2)),
  $H123 * (1 + Assumptions!$C$7) ^ INT(((YEAR(BO$2)-YEAR($F123))*12 + MONTH(BO$2)-MONTH($F123)) / 12),
  0)</f>
        <v/>
      </c>
      <c r="BP123" s="299">
        <f>IF(AND($F123&lt;=BP$2, OR($G123="",$G123&gt;=BP$2)),
  $H123 * (1 + Assumptions!$C$7) ^ INT(((YEAR(BP$2)-YEAR($F123))*12 + MONTH(BP$2)-MONTH($F123)) / 12),
  0)</f>
        <v/>
      </c>
      <c r="BQ123" s="31" t="n"/>
      <c r="BR123" s="31" t="n"/>
      <c r="BS123" s="31" t="n"/>
      <c r="BT123" s="31" t="n"/>
    </row>
    <row r="124" ht="15.75" customHeight="1" s="349">
      <c r="A124" s="321" t="n">
        <v>119</v>
      </c>
      <c r="B124" s="285" t="inlineStr">
        <is>
          <t>New hire</t>
        </is>
      </c>
      <c r="C124" s="317" t="inlineStr">
        <is>
          <t>G&amp;A</t>
        </is>
      </c>
      <c r="D124" s="317" t="inlineStr">
        <is>
          <t>Production Operator</t>
        </is>
      </c>
      <c r="E124" s="297" t="inlineStr">
        <is>
          <t>Planned</t>
        </is>
      </c>
      <c r="F124" s="318">
        <f>IF(Assumptions!$D$82=2,DATE(2028,7,1),DATE(2035,1,1))</f>
        <v/>
      </c>
      <c r="G124" s="318" t="n"/>
      <c r="H124" s="288" t="n">
        <v>5000</v>
      </c>
      <c r="I124" s="299">
        <f>IF(AND($F124&lt;=I$2, OR($G124="",$G124&gt;=I$2)),
  $H124 * (1 + Assumptions!$C$7) ^ INT(((YEAR(I$2)-YEAR($F124))*12 + MONTH(I$2)-MONTH($F124)) / 12),
  0)</f>
        <v/>
      </c>
      <c r="J124" s="299">
        <f>IF(AND($F124&lt;=J$2, OR($G124="",$G124&gt;=J$2)),
  $H124 * (1 + Assumptions!$C$7) ^ INT(((YEAR(J$2)-YEAR($F124))*12 + MONTH(J$2)-MONTH($F124)) / 12),
  0)</f>
        <v/>
      </c>
      <c r="K124" s="299">
        <f>IF(AND($F124&lt;=K$2, OR($G124="",$G124&gt;=K$2)),
  $H124 * (1 + Assumptions!$C$7) ^ INT(((YEAR(K$2)-YEAR($F124))*12 + MONTH(K$2)-MONTH($F124)) / 12),
  0)</f>
        <v/>
      </c>
      <c r="L124" s="299">
        <f>IF(AND($F124&lt;=L$2, OR($G124="",$G124&gt;=L$2)),
  $H124 * (1 + Assumptions!$C$7) ^ INT(((YEAR(L$2)-YEAR($F124))*12 + MONTH(L$2)-MONTH($F124)) / 12),
  0)</f>
        <v/>
      </c>
      <c r="M124" s="299">
        <f>IF(AND($F124&lt;=M$2, OR($G124="",$G124&gt;=M$2)),
  $H124 * (1 + Assumptions!$C$7) ^ INT(((YEAR(M$2)-YEAR($F124))*12 + MONTH(M$2)-MONTH($F124)) / 12),
  0)</f>
        <v/>
      </c>
      <c r="N124" s="299">
        <f>IF(AND($F124&lt;=N$2, OR($G124="",$G124&gt;=N$2)),
  $H124 * (1 + Assumptions!$C$7) ^ INT(((YEAR(N$2)-YEAR($F124))*12 + MONTH(N$2)-MONTH($F124)) / 12),
  0)</f>
        <v/>
      </c>
      <c r="O124" s="299">
        <f>IF(AND($F124&lt;=O$2, OR($G124="",$G124&gt;=O$2)),
  $H124 * (1 + Assumptions!$C$7) ^ INT(((YEAR(O$2)-YEAR($F124))*12 + MONTH(O$2)-MONTH($F124)) / 12),
  0)</f>
        <v/>
      </c>
      <c r="P124" s="299">
        <f>IF(AND($F124&lt;=P$2, OR($G124="",$G124&gt;=P$2)),
  $H124 * (1 + Assumptions!$C$7) ^ INT(((YEAR(P$2)-YEAR($F124))*12 + MONTH(P$2)-MONTH($F124)) / 12),
  0)</f>
        <v/>
      </c>
      <c r="Q124" s="299">
        <f>IF(AND($F124&lt;=Q$2, OR($G124="",$G124&gt;=Q$2)),
  $H124 * (1 + Assumptions!$C$7) ^ INT(((YEAR(Q$2)-YEAR($F124))*12 + MONTH(Q$2)-MONTH($F124)) / 12),
  0)</f>
        <v/>
      </c>
      <c r="R124" s="299">
        <f>IF(AND($F124&lt;=R$2, OR($G124="",$G124&gt;=R$2)),
  $H124 * (1 + Assumptions!$C$7) ^ INT(((YEAR(R$2)-YEAR($F124))*12 + MONTH(R$2)-MONTH($F124)) / 12),
  0)</f>
        <v/>
      </c>
      <c r="S124" s="299">
        <f>IF(AND($F124&lt;=S$2, OR($G124="",$G124&gt;=S$2)),
  $H124 * (1 + Assumptions!$C$7) ^ INT(((YEAR(S$2)-YEAR($F124))*12 + MONTH(S$2)-MONTH($F124)) / 12),
  0)</f>
        <v/>
      </c>
      <c r="T124" s="299">
        <f>IF(AND($F124&lt;=T$2, OR($G124="",$G124&gt;=T$2)),
  $H124 * (1 + Assumptions!$C$7) ^ INT(((YEAR(T$2)-YEAR($F124))*12 + MONTH(T$2)-MONTH($F124)) / 12),
  0)</f>
        <v/>
      </c>
      <c r="U124" s="299">
        <f>IF(AND($F124&lt;=U$2, OR($G124="",$G124&gt;=U$2)),
  $H124 * (1 + Assumptions!$C$7) ^ INT(((YEAR(U$2)-YEAR($F124))*12 + MONTH(U$2)-MONTH($F124)) / 12),
  0)</f>
        <v/>
      </c>
      <c r="V124" s="299">
        <f>IF(AND($F124&lt;=V$2, OR($G124="",$G124&gt;=V$2)),
  $H124 * (1 + Assumptions!$C$7) ^ INT(((YEAR(V$2)-YEAR($F124))*12 + MONTH(V$2)-MONTH($F124)) / 12),
  0)</f>
        <v/>
      </c>
      <c r="W124" s="299">
        <f>IF(AND($F124&lt;=W$2, OR($G124="",$G124&gt;=W$2)),
  $H124 * (1 + Assumptions!$C$7) ^ INT(((YEAR(W$2)-YEAR($F124))*12 + MONTH(W$2)-MONTH($F124)) / 12),
  0)</f>
        <v/>
      </c>
      <c r="X124" s="299">
        <f>IF(AND($F124&lt;=X$2, OR($G124="",$G124&gt;=X$2)),
  $H124 * (1 + Assumptions!$C$7) ^ INT(((YEAR(X$2)-YEAR($F124))*12 + MONTH(X$2)-MONTH($F124)) / 12),
  0)</f>
        <v/>
      </c>
      <c r="Y124" s="299">
        <f>IF(AND($F124&lt;=Y$2, OR($G124="",$G124&gt;=Y$2)),
  $H124 * (1 + Assumptions!$C$7) ^ INT(((YEAR(Y$2)-YEAR($F124))*12 + MONTH(Y$2)-MONTH($F124)) / 12),
  0)</f>
        <v/>
      </c>
      <c r="Z124" s="299">
        <f>IF(AND($F124&lt;=Z$2, OR($G124="",$G124&gt;=Z$2)),
  $H124 * (1 + Assumptions!$C$7) ^ INT(((YEAR(Z$2)-YEAR($F124))*12 + MONTH(Z$2)-MONTH($F124)) / 12),
  0)</f>
        <v/>
      </c>
      <c r="AA124" s="299">
        <f>IF(AND($F124&lt;=AA$2, OR($G124="",$G124&gt;=AA$2)),
  $H124 * (1 + Assumptions!$C$7) ^ INT(((YEAR(AA$2)-YEAR($F124))*12 + MONTH(AA$2)-MONTH($F124)) / 12),
  0)</f>
        <v/>
      </c>
      <c r="AB124" s="299">
        <f>IF(AND($F124&lt;=AB$2, OR($G124="",$G124&gt;=AB$2)),
  $H124 * (1 + Assumptions!$C$7) ^ INT(((YEAR(AB$2)-YEAR($F124))*12 + MONTH(AB$2)-MONTH($F124)) / 12),
  0)</f>
        <v/>
      </c>
      <c r="AC124" s="299">
        <f>IF(AND($F124&lt;=AC$2, OR($G124="",$G124&gt;=AC$2)),
  $H124 * (1 + Assumptions!$C$7) ^ INT(((YEAR(AC$2)-YEAR($F124))*12 + MONTH(AC$2)-MONTH($F124)) / 12),
  0)</f>
        <v/>
      </c>
      <c r="AD124" s="299">
        <f>IF(AND($F124&lt;=AD$2, OR($G124="",$G124&gt;=AD$2)),
  $H124 * (1 + Assumptions!$C$7) ^ INT(((YEAR(AD$2)-YEAR($F124))*12 + MONTH(AD$2)-MONTH($F124)) / 12),
  0)</f>
        <v/>
      </c>
      <c r="AE124" s="299">
        <f>IF(AND($F124&lt;=AE$2, OR($G124="",$G124&gt;=AE$2)),
  $H124 * (1 + Assumptions!$C$7) ^ INT(((YEAR(AE$2)-YEAR($F124))*12 + MONTH(AE$2)-MONTH($F124)) / 12),
  0)</f>
        <v/>
      </c>
      <c r="AF124" s="299">
        <f>IF(AND($F124&lt;=AF$2, OR($G124="",$G124&gt;=AF$2)),
  $H124 * (1 + Assumptions!$C$7) ^ INT(((YEAR(AF$2)-YEAR($F124))*12 + MONTH(AF$2)-MONTH($F124)) / 12),
  0)</f>
        <v/>
      </c>
      <c r="AG124" s="299">
        <f>IF(AND($F124&lt;=AG$2, OR($G124="",$G124&gt;=AG$2)),
  $H124 * (1 + Assumptions!$C$7) ^ INT(((YEAR(AG$2)-YEAR($F124))*12 + MONTH(AG$2)-MONTH($F124)) / 12),
  0)</f>
        <v/>
      </c>
      <c r="AH124" s="299">
        <f>IF(AND($F124&lt;=AH$2, OR($G124="",$G124&gt;=AH$2)),
  $H124 * (1 + Assumptions!$C$7) ^ INT(((YEAR(AH$2)-YEAR($F124))*12 + MONTH(AH$2)-MONTH($F124)) / 12),
  0)</f>
        <v/>
      </c>
      <c r="AI124" s="299">
        <f>IF(AND($F124&lt;=AI$2, OR($G124="",$G124&gt;=AI$2)),
  $H124 * (1 + Assumptions!$C$7) ^ INT(((YEAR(AI$2)-YEAR($F124))*12 + MONTH(AI$2)-MONTH($F124)) / 12),
  0)</f>
        <v/>
      </c>
      <c r="AJ124" s="299">
        <f>IF(AND($F124&lt;=AJ$2, OR($G124="",$G124&gt;=AJ$2)),
  $H124 * (1 + Assumptions!$C$7) ^ INT(((YEAR(AJ$2)-YEAR($F124))*12 + MONTH(AJ$2)-MONTH($F124)) / 12),
  0)</f>
        <v/>
      </c>
      <c r="AK124" s="299">
        <f>IF(AND($F124&lt;=AK$2, OR($G124="",$G124&gt;=AK$2)),
  $H124 * (1 + Assumptions!$C$7) ^ INT(((YEAR(AK$2)-YEAR($F124))*12 + MONTH(AK$2)-MONTH($F124)) / 12),
  0)</f>
        <v/>
      </c>
      <c r="AL124" s="299">
        <f>IF(AND($F124&lt;=AL$2, OR($G124="",$G124&gt;=AL$2)),
  $H124 * (1 + Assumptions!$C$7) ^ INT(((YEAR(AL$2)-YEAR($F124))*12 + MONTH(AL$2)-MONTH($F124)) / 12),
  0)</f>
        <v/>
      </c>
      <c r="AM124" s="299">
        <f>IF(AND($F124&lt;=AM$2, OR($G124="",$G124&gt;=AM$2)),
  $H124 * (1 + Assumptions!$C$7) ^ INT(((YEAR(AM$2)-YEAR($F124))*12 + MONTH(AM$2)-MONTH($F124)) / 12),
  0)</f>
        <v/>
      </c>
      <c r="AN124" s="299">
        <f>IF(AND($F124&lt;=AN$2, OR($G124="",$G124&gt;=AN$2)),
  $H124 * (1 + Assumptions!$C$7) ^ INT(((YEAR(AN$2)-YEAR($F124))*12 + MONTH(AN$2)-MONTH($F124)) / 12),
  0)</f>
        <v/>
      </c>
      <c r="AO124" s="299">
        <f>IF(AND($F124&lt;=AO$2, OR($G124="",$G124&gt;=AO$2)),
  $H124 * (1 + Assumptions!$C$7) ^ INT(((YEAR(AO$2)-YEAR($F124))*12 + MONTH(AO$2)-MONTH($F124)) / 12),
  0)</f>
        <v/>
      </c>
      <c r="AP124" s="299">
        <f>IF(AND($F124&lt;=AP$2, OR($G124="",$G124&gt;=AP$2)),
  $H124 * (1 + Assumptions!$C$7) ^ INT(((YEAR(AP$2)-YEAR($F124))*12 + MONTH(AP$2)-MONTH($F124)) / 12),
  0)</f>
        <v/>
      </c>
      <c r="AQ124" s="299">
        <f>IF(AND($F124&lt;=AQ$2, OR($G124="",$G124&gt;=AQ$2)),
  $H124 * (1 + Assumptions!$C$7) ^ INT(((YEAR(AQ$2)-YEAR($F124))*12 + MONTH(AQ$2)-MONTH($F124)) / 12),
  0)</f>
        <v/>
      </c>
      <c r="AR124" s="299">
        <f>IF(AND($F124&lt;=AR$2, OR($G124="",$G124&gt;=AR$2)),
  $H124 * (1 + Assumptions!$C$7) ^ INT(((YEAR(AR$2)-YEAR($F124))*12 + MONTH(AR$2)-MONTH($F124)) / 12),
  0)</f>
        <v/>
      </c>
      <c r="AS124" s="299">
        <f>IF(AND($F124&lt;=AS$2, OR($G124="",$G124&gt;=AS$2)),
  $H124 * (1 + Assumptions!$C$7) ^ INT(((YEAR(AS$2)-YEAR($F124))*12 + MONTH(AS$2)-MONTH($F124)) / 12),
  0)</f>
        <v/>
      </c>
      <c r="AT124" s="299">
        <f>IF(AND($F124&lt;=AT$2, OR($G124="",$G124&gt;=AT$2)),
  $H124 * (1 + Assumptions!$C$7) ^ INT(((YEAR(AT$2)-YEAR($F124))*12 + MONTH(AT$2)-MONTH($F124)) / 12),
  0)</f>
        <v/>
      </c>
      <c r="AU124" s="299">
        <f>IF(AND($F124&lt;=AU$2, OR($G124="",$G124&gt;=AU$2)),
  $H124 * (1 + Assumptions!$C$7) ^ INT(((YEAR(AU$2)-YEAR($F124))*12 + MONTH(AU$2)-MONTH($F124)) / 12),
  0)</f>
        <v/>
      </c>
      <c r="AV124" s="299">
        <f>IF(AND($F124&lt;=AV$2, OR($G124="",$G124&gt;=AV$2)),
  $H124 * (1 + Assumptions!$C$7) ^ INT(((YEAR(AV$2)-YEAR($F124))*12 + MONTH(AV$2)-MONTH($F124)) / 12),
  0)</f>
        <v/>
      </c>
      <c r="AW124" s="299">
        <f>IF(AND($F124&lt;=AW$2, OR($G124="",$G124&gt;=AW$2)),
  $H124 * (1 + Assumptions!$C$7) ^ INT(((YEAR(AW$2)-YEAR($F124))*12 + MONTH(AW$2)-MONTH($F124)) / 12),
  0)</f>
        <v/>
      </c>
      <c r="AX124" s="299">
        <f>IF(AND($F124&lt;=AX$2, OR($G124="",$G124&gt;=AX$2)),
  $H124 * (1 + Assumptions!$C$7) ^ INT(((YEAR(AX$2)-YEAR($F124))*12 + MONTH(AX$2)-MONTH($F124)) / 12),
  0)</f>
        <v/>
      </c>
      <c r="AY124" s="299">
        <f>IF(AND($F124&lt;=AY$2, OR($G124="",$G124&gt;=AY$2)),
  $H124 * (1 + Assumptions!$C$7) ^ INT(((YEAR(AY$2)-YEAR($F124))*12 + MONTH(AY$2)-MONTH($F124)) / 12),
  0)</f>
        <v/>
      </c>
      <c r="AZ124" s="299">
        <f>IF(AND($F124&lt;=AZ$2, OR($G124="",$G124&gt;=AZ$2)),
  $H124 * (1 + Assumptions!$C$7) ^ INT(((YEAR(AZ$2)-YEAR($F124))*12 + MONTH(AZ$2)-MONTH($F124)) / 12),
  0)</f>
        <v/>
      </c>
      <c r="BA124" s="299">
        <f>IF(AND($F124&lt;=BA$2, OR($G124="",$G124&gt;=BA$2)),
  $H124 * (1 + Assumptions!$C$7) ^ INT(((YEAR(BA$2)-YEAR($F124))*12 + MONTH(BA$2)-MONTH($F124)) / 12),
  0)</f>
        <v/>
      </c>
      <c r="BB124" s="299">
        <f>IF(AND($F124&lt;=BB$2, OR($G124="",$G124&gt;=BB$2)),
  $H124 * (1 + Assumptions!$C$7) ^ INT(((YEAR(BB$2)-YEAR($F124))*12 + MONTH(BB$2)-MONTH($F124)) / 12),
  0)</f>
        <v/>
      </c>
      <c r="BC124" s="299">
        <f>IF(AND($F124&lt;=BC$2, OR($G124="",$G124&gt;=BC$2)),
  $H124 * (1 + Assumptions!$C$7) ^ INT(((YEAR(BC$2)-YEAR($F124))*12 + MONTH(BC$2)-MONTH($F124)) / 12),
  0)</f>
        <v/>
      </c>
      <c r="BD124" s="299">
        <f>IF(AND($F124&lt;=BD$2, OR($G124="",$G124&gt;=BD$2)),
  $H124 * (1 + Assumptions!$C$7) ^ INT(((YEAR(BD$2)-YEAR($F124))*12 + MONTH(BD$2)-MONTH($F124)) / 12),
  0)</f>
        <v/>
      </c>
      <c r="BE124" s="299">
        <f>IF(AND($F124&lt;=BE$2, OR($G124="",$G124&gt;=BE$2)),
  $H124 * (1 + Assumptions!$C$7) ^ INT(((YEAR(BE$2)-YEAR($F124))*12 + MONTH(BE$2)-MONTH($F124)) / 12),
  0)</f>
        <v/>
      </c>
      <c r="BF124" s="299">
        <f>IF(AND($F124&lt;=BF$2, OR($G124="",$G124&gt;=BF$2)),
  $H124 * (1 + Assumptions!$C$7) ^ INT(((YEAR(BF$2)-YEAR($F124))*12 + MONTH(BF$2)-MONTH($F124)) / 12),
  0)</f>
        <v/>
      </c>
      <c r="BG124" s="299">
        <f>IF(AND($F124&lt;=BG$2, OR($G124="",$G124&gt;=BG$2)),
  $H124 * (1 + Assumptions!$C$7) ^ INT(((YEAR(BG$2)-YEAR($F124))*12 + MONTH(BG$2)-MONTH($F124)) / 12),
  0)</f>
        <v/>
      </c>
      <c r="BH124" s="299">
        <f>IF(AND($F124&lt;=BH$2, OR($G124="",$G124&gt;=BH$2)),
  $H124 * (1 + Assumptions!$C$7) ^ INT(((YEAR(BH$2)-YEAR($F124))*12 + MONTH(BH$2)-MONTH($F124)) / 12),
  0)</f>
        <v/>
      </c>
      <c r="BI124" s="299">
        <f>IF(AND($F124&lt;=BI$2, OR($G124="",$G124&gt;=BI$2)),
  $H124 * (1 + Assumptions!$C$7) ^ INT(((YEAR(BI$2)-YEAR($F124))*12 + MONTH(BI$2)-MONTH($F124)) / 12),
  0)</f>
        <v/>
      </c>
      <c r="BJ124" s="299">
        <f>IF(AND($F124&lt;=BJ$2, OR($G124="",$G124&gt;=BJ$2)),
  $H124 * (1 + Assumptions!$C$7) ^ INT(((YEAR(BJ$2)-YEAR($F124))*12 + MONTH(BJ$2)-MONTH($F124)) / 12),
  0)</f>
        <v/>
      </c>
      <c r="BK124" s="299">
        <f>IF(AND($F124&lt;=BK$2, OR($G124="",$G124&gt;=BK$2)),
  $H124 * (1 + Assumptions!$C$7) ^ INT(((YEAR(BK$2)-YEAR($F124))*12 + MONTH(BK$2)-MONTH($F124)) / 12),
  0)</f>
        <v/>
      </c>
      <c r="BL124" s="299">
        <f>IF(AND($F124&lt;=BL$2, OR($G124="",$G124&gt;=BL$2)),
  $H124 * (1 + Assumptions!$C$7) ^ INT(((YEAR(BL$2)-YEAR($F124))*12 + MONTH(BL$2)-MONTH($F124)) / 12),
  0)</f>
        <v/>
      </c>
      <c r="BM124" s="299">
        <f>IF(AND($F124&lt;=BM$2, OR($G124="",$G124&gt;=BM$2)),
  $H124 * (1 + Assumptions!$C$7) ^ INT(((YEAR(BM$2)-YEAR($F124))*12 + MONTH(BM$2)-MONTH($F124)) / 12),
  0)</f>
        <v/>
      </c>
      <c r="BN124" s="299">
        <f>IF(AND($F124&lt;=BN$2, OR($G124="",$G124&gt;=BN$2)),
  $H124 * (1 + Assumptions!$C$7) ^ INT(((YEAR(BN$2)-YEAR($F124))*12 + MONTH(BN$2)-MONTH($F124)) / 12),
  0)</f>
        <v/>
      </c>
      <c r="BO124" s="299">
        <f>IF(AND($F124&lt;=BO$2, OR($G124="",$G124&gt;=BO$2)),
  $H124 * (1 + Assumptions!$C$7) ^ INT(((YEAR(BO$2)-YEAR($F124))*12 + MONTH(BO$2)-MONTH($F124)) / 12),
  0)</f>
        <v/>
      </c>
      <c r="BP124" s="299">
        <f>IF(AND($F124&lt;=BP$2, OR($G124="",$G124&gt;=BP$2)),
  $H124 * (1 + Assumptions!$C$7) ^ INT(((YEAR(BP$2)-YEAR($F124))*12 + MONTH(BP$2)-MONTH($F124)) / 12),
  0)</f>
        <v/>
      </c>
      <c r="BQ124" s="31" t="n"/>
      <c r="BR124" s="31" t="n"/>
      <c r="BS124" s="31" t="n"/>
      <c r="BT124" s="31" t="n"/>
    </row>
    <row r="125" ht="15.75" customHeight="1" s="349">
      <c r="A125" s="321" t="n">
        <v>120</v>
      </c>
      <c r="B125" s="285" t="inlineStr">
        <is>
          <t>New hire</t>
        </is>
      </c>
      <c r="C125" s="317" t="inlineStr">
        <is>
          <t>G&amp;A</t>
        </is>
      </c>
      <c r="D125" s="317" t="inlineStr">
        <is>
          <t>Production Operator</t>
        </is>
      </c>
      <c r="E125" s="297" t="inlineStr">
        <is>
          <t>Planned</t>
        </is>
      </c>
      <c r="F125" s="318">
        <f>IF(Assumptions!$D$82=2,DATE(2028,7,1),DATE(2035,1,1))</f>
        <v/>
      </c>
      <c r="G125" s="318" t="n"/>
      <c r="H125" s="288" t="n">
        <v>5000</v>
      </c>
      <c r="I125" s="299">
        <f>IF(AND($F125&lt;=I$2, OR($G125="",$G125&gt;=I$2)),
  $H125 * (1 + Assumptions!$C$7) ^ INT(((YEAR(I$2)-YEAR($F125))*12 + MONTH(I$2)-MONTH($F125)) / 12),
  0)</f>
        <v/>
      </c>
      <c r="J125" s="299">
        <f>IF(AND($F125&lt;=J$2, OR($G125="",$G125&gt;=J$2)),
  $H125 * (1 + Assumptions!$C$7) ^ INT(((YEAR(J$2)-YEAR($F125))*12 + MONTH(J$2)-MONTH($F125)) / 12),
  0)</f>
        <v/>
      </c>
      <c r="K125" s="299">
        <f>IF(AND($F125&lt;=K$2, OR($G125="",$G125&gt;=K$2)),
  $H125 * (1 + Assumptions!$C$7) ^ INT(((YEAR(K$2)-YEAR($F125))*12 + MONTH(K$2)-MONTH($F125)) / 12),
  0)</f>
        <v/>
      </c>
      <c r="L125" s="299">
        <f>IF(AND($F125&lt;=L$2, OR($G125="",$G125&gt;=L$2)),
  $H125 * (1 + Assumptions!$C$7) ^ INT(((YEAR(L$2)-YEAR($F125))*12 + MONTH(L$2)-MONTH($F125)) / 12),
  0)</f>
        <v/>
      </c>
      <c r="M125" s="299">
        <f>IF(AND($F125&lt;=M$2, OR($G125="",$G125&gt;=M$2)),
  $H125 * (1 + Assumptions!$C$7) ^ INT(((YEAR(M$2)-YEAR($F125))*12 + MONTH(M$2)-MONTH($F125)) / 12),
  0)</f>
        <v/>
      </c>
      <c r="N125" s="299">
        <f>IF(AND($F125&lt;=N$2, OR($G125="",$G125&gt;=N$2)),
  $H125 * (1 + Assumptions!$C$7) ^ INT(((YEAR(N$2)-YEAR($F125))*12 + MONTH(N$2)-MONTH($F125)) / 12),
  0)</f>
        <v/>
      </c>
      <c r="O125" s="299">
        <f>IF(AND($F125&lt;=O$2, OR($G125="",$G125&gt;=O$2)),
  $H125 * (1 + Assumptions!$C$7) ^ INT(((YEAR(O$2)-YEAR($F125))*12 + MONTH(O$2)-MONTH($F125)) / 12),
  0)</f>
        <v/>
      </c>
      <c r="P125" s="299">
        <f>IF(AND($F125&lt;=P$2, OR($G125="",$G125&gt;=P$2)),
  $H125 * (1 + Assumptions!$C$7) ^ INT(((YEAR(P$2)-YEAR($F125))*12 + MONTH(P$2)-MONTH($F125)) / 12),
  0)</f>
        <v/>
      </c>
      <c r="Q125" s="299">
        <f>IF(AND($F125&lt;=Q$2, OR($G125="",$G125&gt;=Q$2)),
  $H125 * (1 + Assumptions!$C$7) ^ INT(((YEAR(Q$2)-YEAR($F125))*12 + MONTH(Q$2)-MONTH($F125)) / 12),
  0)</f>
        <v/>
      </c>
      <c r="R125" s="299">
        <f>IF(AND($F125&lt;=R$2, OR($G125="",$G125&gt;=R$2)),
  $H125 * (1 + Assumptions!$C$7) ^ INT(((YEAR(R$2)-YEAR($F125))*12 + MONTH(R$2)-MONTH($F125)) / 12),
  0)</f>
        <v/>
      </c>
      <c r="S125" s="299">
        <f>IF(AND($F125&lt;=S$2, OR($G125="",$G125&gt;=S$2)),
  $H125 * (1 + Assumptions!$C$7) ^ INT(((YEAR(S$2)-YEAR($F125))*12 + MONTH(S$2)-MONTH($F125)) / 12),
  0)</f>
        <v/>
      </c>
      <c r="T125" s="299">
        <f>IF(AND($F125&lt;=T$2, OR($G125="",$G125&gt;=T$2)),
  $H125 * (1 + Assumptions!$C$7) ^ INT(((YEAR(T$2)-YEAR($F125))*12 + MONTH(T$2)-MONTH($F125)) / 12),
  0)</f>
        <v/>
      </c>
      <c r="U125" s="299">
        <f>IF(AND($F125&lt;=U$2, OR($G125="",$G125&gt;=U$2)),
  $H125 * (1 + Assumptions!$C$7) ^ INT(((YEAR(U$2)-YEAR($F125))*12 + MONTH(U$2)-MONTH($F125)) / 12),
  0)</f>
        <v/>
      </c>
      <c r="V125" s="299">
        <f>IF(AND($F125&lt;=V$2, OR($G125="",$G125&gt;=V$2)),
  $H125 * (1 + Assumptions!$C$7) ^ INT(((YEAR(V$2)-YEAR($F125))*12 + MONTH(V$2)-MONTH($F125)) / 12),
  0)</f>
        <v/>
      </c>
      <c r="W125" s="299">
        <f>IF(AND($F125&lt;=W$2, OR($G125="",$G125&gt;=W$2)),
  $H125 * (1 + Assumptions!$C$7) ^ INT(((YEAR(W$2)-YEAR($F125))*12 + MONTH(W$2)-MONTH($F125)) / 12),
  0)</f>
        <v/>
      </c>
      <c r="X125" s="299">
        <f>IF(AND($F125&lt;=X$2, OR($G125="",$G125&gt;=X$2)),
  $H125 * (1 + Assumptions!$C$7) ^ INT(((YEAR(X$2)-YEAR($F125))*12 + MONTH(X$2)-MONTH($F125)) / 12),
  0)</f>
        <v/>
      </c>
      <c r="Y125" s="299">
        <f>IF(AND($F125&lt;=Y$2, OR($G125="",$G125&gt;=Y$2)),
  $H125 * (1 + Assumptions!$C$7) ^ INT(((YEAR(Y$2)-YEAR($F125))*12 + MONTH(Y$2)-MONTH($F125)) / 12),
  0)</f>
        <v/>
      </c>
      <c r="Z125" s="299">
        <f>IF(AND($F125&lt;=Z$2, OR($G125="",$G125&gt;=Z$2)),
  $H125 * (1 + Assumptions!$C$7) ^ INT(((YEAR(Z$2)-YEAR($F125))*12 + MONTH(Z$2)-MONTH($F125)) / 12),
  0)</f>
        <v/>
      </c>
      <c r="AA125" s="299">
        <f>IF(AND($F125&lt;=AA$2, OR($G125="",$G125&gt;=AA$2)),
  $H125 * (1 + Assumptions!$C$7) ^ INT(((YEAR(AA$2)-YEAR($F125))*12 + MONTH(AA$2)-MONTH($F125)) / 12),
  0)</f>
        <v/>
      </c>
      <c r="AB125" s="299">
        <f>IF(AND($F125&lt;=AB$2, OR($G125="",$G125&gt;=AB$2)),
  $H125 * (1 + Assumptions!$C$7) ^ INT(((YEAR(AB$2)-YEAR($F125))*12 + MONTH(AB$2)-MONTH($F125)) / 12),
  0)</f>
        <v/>
      </c>
      <c r="AC125" s="299">
        <f>IF(AND($F125&lt;=AC$2, OR($G125="",$G125&gt;=AC$2)),
  $H125 * (1 + Assumptions!$C$7) ^ INT(((YEAR(AC$2)-YEAR($F125))*12 + MONTH(AC$2)-MONTH($F125)) / 12),
  0)</f>
        <v/>
      </c>
      <c r="AD125" s="299">
        <f>IF(AND($F125&lt;=AD$2, OR($G125="",$G125&gt;=AD$2)),
  $H125 * (1 + Assumptions!$C$7) ^ INT(((YEAR(AD$2)-YEAR($F125))*12 + MONTH(AD$2)-MONTH($F125)) / 12),
  0)</f>
        <v/>
      </c>
      <c r="AE125" s="299">
        <f>IF(AND($F125&lt;=AE$2, OR($G125="",$G125&gt;=AE$2)),
  $H125 * (1 + Assumptions!$C$7) ^ INT(((YEAR(AE$2)-YEAR($F125))*12 + MONTH(AE$2)-MONTH($F125)) / 12),
  0)</f>
        <v/>
      </c>
      <c r="AF125" s="299">
        <f>IF(AND($F125&lt;=AF$2, OR($G125="",$G125&gt;=AF$2)),
  $H125 * (1 + Assumptions!$C$7) ^ INT(((YEAR(AF$2)-YEAR($F125))*12 + MONTH(AF$2)-MONTH($F125)) / 12),
  0)</f>
        <v/>
      </c>
      <c r="AG125" s="299">
        <f>IF(AND($F125&lt;=AG$2, OR($G125="",$G125&gt;=AG$2)),
  $H125 * (1 + Assumptions!$C$7) ^ INT(((YEAR(AG$2)-YEAR($F125))*12 + MONTH(AG$2)-MONTH($F125)) / 12),
  0)</f>
        <v/>
      </c>
      <c r="AH125" s="299">
        <f>IF(AND($F125&lt;=AH$2, OR($G125="",$G125&gt;=AH$2)),
  $H125 * (1 + Assumptions!$C$7) ^ INT(((YEAR(AH$2)-YEAR($F125))*12 + MONTH(AH$2)-MONTH($F125)) / 12),
  0)</f>
        <v/>
      </c>
      <c r="AI125" s="299">
        <f>IF(AND($F125&lt;=AI$2, OR($G125="",$G125&gt;=AI$2)),
  $H125 * (1 + Assumptions!$C$7) ^ INT(((YEAR(AI$2)-YEAR($F125))*12 + MONTH(AI$2)-MONTH($F125)) / 12),
  0)</f>
        <v/>
      </c>
      <c r="AJ125" s="299">
        <f>IF(AND($F125&lt;=AJ$2, OR($G125="",$G125&gt;=AJ$2)),
  $H125 * (1 + Assumptions!$C$7) ^ INT(((YEAR(AJ$2)-YEAR($F125))*12 + MONTH(AJ$2)-MONTH($F125)) / 12),
  0)</f>
        <v/>
      </c>
      <c r="AK125" s="299">
        <f>IF(AND($F125&lt;=AK$2, OR($G125="",$G125&gt;=AK$2)),
  $H125 * (1 + Assumptions!$C$7) ^ INT(((YEAR(AK$2)-YEAR($F125))*12 + MONTH(AK$2)-MONTH($F125)) / 12),
  0)</f>
        <v/>
      </c>
      <c r="AL125" s="299">
        <f>IF(AND($F125&lt;=AL$2, OR($G125="",$G125&gt;=AL$2)),
  $H125 * (1 + Assumptions!$C$7) ^ INT(((YEAR(AL$2)-YEAR($F125))*12 + MONTH(AL$2)-MONTH($F125)) / 12),
  0)</f>
        <v/>
      </c>
      <c r="AM125" s="299">
        <f>IF(AND($F125&lt;=AM$2, OR($G125="",$G125&gt;=AM$2)),
  $H125 * (1 + Assumptions!$C$7) ^ INT(((YEAR(AM$2)-YEAR($F125))*12 + MONTH(AM$2)-MONTH($F125)) / 12),
  0)</f>
        <v/>
      </c>
      <c r="AN125" s="299">
        <f>IF(AND($F125&lt;=AN$2, OR($G125="",$G125&gt;=AN$2)),
  $H125 * (1 + Assumptions!$C$7) ^ INT(((YEAR(AN$2)-YEAR($F125))*12 + MONTH(AN$2)-MONTH($F125)) / 12),
  0)</f>
        <v/>
      </c>
      <c r="AO125" s="299">
        <f>IF(AND($F125&lt;=AO$2, OR($G125="",$G125&gt;=AO$2)),
  $H125 * (1 + Assumptions!$C$7) ^ INT(((YEAR(AO$2)-YEAR($F125))*12 + MONTH(AO$2)-MONTH($F125)) / 12),
  0)</f>
        <v/>
      </c>
      <c r="AP125" s="299">
        <f>IF(AND($F125&lt;=AP$2, OR($G125="",$G125&gt;=AP$2)),
  $H125 * (1 + Assumptions!$C$7) ^ INT(((YEAR(AP$2)-YEAR($F125))*12 + MONTH(AP$2)-MONTH($F125)) / 12),
  0)</f>
        <v/>
      </c>
      <c r="AQ125" s="299">
        <f>IF(AND($F125&lt;=AQ$2, OR($G125="",$G125&gt;=AQ$2)),
  $H125 * (1 + Assumptions!$C$7) ^ INT(((YEAR(AQ$2)-YEAR($F125))*12 + MONTH(AQ$2)-MONTH($F125)) / 12),
  0)</f>
        <v/>
      </c>
      <c r="AR125" s="299">
        <f>IF(AND($F125&lt;=AR$2, OR($G125="",$G125&gt;=AR$2)),
  $H125 * (1 + Assumptions!$C$7) ^ INT(((YEAR(AR$2)-YEAR($F125))*12 + MONTH(AR$2)-MONTH($F125)) / 12),
  0)</f>
        <v/>
      </c>
      <c r="AS125" s="299">
        <f>IF(AND($F125&lt;=AS$2, OR($G125="",$G125&gt;=AS$2)),
  $H125 * (1 + Assumptions!$C$7) ^ INT(((YEAR(AS$2)-YEAR($F125))*12 + MONTH(AS$2)-MONTH($F125)) / 12),
  0)</f>
        <v/>
      </c>
      <c r="AT125" s="299">
        <f>IF(AND($F125&lt;=AT$2, OR($G125="",$G125&gt;=AT$2)),
  $H125 * (1 + Assumptions!$C$7) ^ INT(((YEAR(AT$2)-YEAR($F125))*12 + MONTH(AT$2)-MONTH($F125)) / 12),
  0)</f>
        <v/>
      </c>
      <c r="AU125" s="299">
        <f>IF(AND($F125&lt;=AU$2, OR($G125="",$G125&gt;=AU$2)),
  $H125 * (1 + Assumptions!$C$7) ^ INT(((YEAR(AU$2)-YEAR($F125))*12 + MONTH(AU$2)-MONTH($F125)) / 12),
  0)</f>
        <v/>
      </c>
      <c r="AV125" s="299">
        <f>IF(AND($F125&lt;=AV$2, OR($G125="",$G125&gt;=AV$2)),
  $H125 * (1 + Assumptions!$C$7) ^ INT(((YEAR(AV$2)-YEAR($F125))*12 + MONTH(AV$2)-MONTH($F125)) / 12),
  0)</f>
        <v/>
      </c>
      <c r="AW125" s="299">
        <f>IF(AND($F125&lt;=AW$2, OR($G125="",$G125&gt;=AW$2)),
  $H125 * (1 + Assumptions!$C$7) ^ INT(((YEAR(AW$2)-YEAR($F125))*12 + MONTH(AW$2)-MONTH($F125)) / 12),
  0)</f>
        <v/>
      </c>
      <c r="AX125" s="299">
        <f>IF(AND($F125&lt;=AX$2, OR($G125="",$G125&gt;=AX$2)),
  $H125 * (1 + Assumptions!$C$7) ^ INT(((YEAR(AX$2)-YEAR($F125))*12 + MONTH(AX$2)-MONTH($F125)) / 12),
  0)</f>
        <v/>
      </c>
      <c r="AY125" s="299">
        <f>IF(AND($F125&lt;=AY$2, OR($G125="",$G125&gt;=AY$2)),
  $H125 * (1 + Assumptions!$C$7) ^ INT(((YEAR(AY$2)-YEAR($F125))*12 + MONTH(AY$2)-MONTH($F125)) / 12),
  0)</f>
        <v/>
      </c>
      <c r="AZ125" s="299">
        <f>IF(AND($F125&lt;=AZ$2, OR($G125="",$G125&gt;=AZ$2)),
  $H125 * (1 + Assumptions!$C$7) ^ INT(((YEAR(AZ$2)-YEAR($F125))*12 + MONTH(AZ$2)-MONTH($F125)) / 12),
  0)</f>
        <v/>
      </c>
      <c r="BA125" s="299">
        <f>IF(AND($F125&lt;=BA$2, OR($G125="",$G125&gt;=BA$2)),
  $H125 * (1 + Assumptions!$C$7) ^ INT(((YEAR(BA$2)-YEAR($F125))*12 + MONTH(BA$2)-MONTH($F125)) / 12),
  0)</f>
        <v/>
      </c>
      <c r="BB125" s="299">
        <f>IF(AND($F125&lt;=BB$2, OR($G125="",$G125&gt;=BB$2)),
  $H125 * (1 + Assumptions!$C$7) ^ INT(((YEAR(BB$2)-YEAR($F125))*12 + MONTH(BB$2)-MONTH($F125)) / 12),
  0)</f>
        <v/>
      </c>
      <c r="BC125" s="299">
        <f>IF(AND($F125&lt;=BC$2, OR($G125="",$G125&gt;=BC$2)),
  $H125 * (1 + Assumptions!$C$7) ^ INT(((YEAR(BC$2)-YEAR($F125))*12 + MONTH(BC$2)-MONTH($F125)) / 12),
  0)</f>
        <v/>
      </c>
      <c r="BD125" s="299">
        <f>IF(AND($F125&lt;=BD$2, OR($G125="",$G125&gt;=BD$2)),
  $H125 * (1 + Assumptions!$C$7) ^ INT(((YEAR(BD$2)-YEAR($F125))*12 + MONTH(BD$2)-MONTH($F125)) / 12),
  0)</f>
        <v/>
      </c>
      <c r="BE125" s="299">
        <f>IF(AND($F125&lt;=BE$2, OR($G125="",$G125&gt;=BE$2)),
  $H125 * (1 + Assumptions!$C$7) ^ INT(((YEAR(BE$2)-YEAR($F125))*12 + MONTH(BE$2)-MONTH($F125)) / 12),
  0)</f>
        <v/>
      </c>
      <c r="BF125" s="299">
        <f>IF(AND($F125&lt;=BF$2, OR($G125="",$G125&gt;=BF$2)),
  $H125 * (1 + Assumptions!$C$7) ^ INT(((YEAR(BF$2)-YEAR($F125))*12 + MONTH(BF$2)-MONTH($F125)) / 12),
  0)</f>
        <v/>
      </c>
      <c r="BG125" s="299">
        <f>IF(AND($F125&lt;=BG$2, OR($G125="",$G125&gt;=BG$2)),
  $H125 * (1 + Assumptions!$C$7) ^ INT(((YEAR(BG$2)-YEAR($F125))*12 + MONTH(BG$2)-MONTH($F125)) / 12),
  0)</f>
        <v/>
      </c>
      <c r="BH125" s="299">
        <f>IF(AND($F125&lt;=BH$2, OR($G125="",$G125&gt;=BH$2)),
  $H125 * (1 + Assumptions!$C$7) ^ INT(((YEAR(BH$2)-YEAR($F125))*12 + MONTH(BH$2)-MONTH($F125)) / 12),
  0)</f>
        <v/>
      </c>
      <c r="BI125" s="299">
        <f>IF(AND($F125&lt;=BI$2, OR($G125="",$G125&gt;=BI$2)),
  $H125 * (1 + Assumptions!$C$7) ^ INT(((YEAR(BI$2)-YEAR($F125))*12 + MONTH(BI$2)-MONTH($F125)) / 12),
  0)</f>
        <v/>
      </c>
      <c r="BJ125" s="299">
        <f>IF(AND($F125&lt;=BJ$2, OR($G125="",$G125&gt;=BJ$2)),
  $H125 * (1 + Assumptions!$C$7) ^ INT(((YEAR(BJ$2)-YEAR($F125))*12 + MONTH(BJ$2)-MONTH($F125)) / 12),
  0)</f>
        <v/>
      </c>
      <c r="BK125" s="299">
        <f>IF(AND($F125&lt;=BK$2, OR($G125="",$G125&gt;=BK$2)),
  $H125 * (1 + Assumptions!$C$7) ^ INT(((YEAR(BK$2)-YEAR($F125))*12 + MONTH(BK$2)-MONTH($F125)) / 12),
  0)</f>
        <v/>
      </c>
      <c r="BL125" s="299">
        <f>IF(AND($F125&lt;=BL$2, OR($G125="",$G125&gt;=BL$2)),
  $H125 * (1 + Assumptions!$C$7) ^ INT(((YEAR(BL$2)-YEAR($F125))*12 + MONTH(BL$2)-MONTH($F125)) / 12),
  0)</f>
        <v/>
      </c>
      <c r="BM125" s="299">
        <f>IF(AND($F125&lt;=BM$2, OR($G125="",$G125&gt;=BM$2)),
  $H125 * (1 + Assumptions!$C$7) ^ INT(((YEAR(BM$2)-YEAR($F125))*12 + MONTH(BM$2)-MONTH($F125)) / 12),
  0)</f>
        <v/>
      </c>
      <c r="BN125" s="299">
        <f>IF(AND($F125&lt;=BN$2, OR($G125="",$G125&gt;=BN$2)),
  $H125 * (1 + Assumptions!$C$7) ^ INT(((YEAR(BN$2)-YEAR($F125))*12 + MONTH(BN$2)-MONTH($F125)) / 12),
  0)</f>
        <v/>
      </c>
      <c r="BO125" s="299">
        <f>IF(AND($F125&lt;=BO$2, OR($G125="",$G125&gt;=BO$2)),
  $H125 * (1 + Assumptions!$C$7) ^ INT(((YEAR(BO$2)-YEAR($F125))*12 + MONTH(BO$2)-MONTH($F125)) / 12),
  0)</f>
        <v/>
      </c>
      <c r="BP125" s="299">
        <f>IF(AND($F125&lt;=BP$2, OR($G125="",$G125&gt;=BP$2)),
  $H125 * (1 + Assumptions!$C$7) ^ INT(((YEAR(BP$2)-YEAR($F125))*12 + MONTH(BP$2)-MONTH($F125)) / 12),
  0)</f>
        <v/>
      </c>
      <c r="BQ125" s="31" t="n"/>
      <c r="BR125" s="31" t="n"/>
      <c r="BS125" s="31" t="n"/>
      <c r="BT125" s="31" t="n"/>
    </row>
    <row r="126" ht="15.75" customHeight="1" s="349">
      <c r="A126" s="321" t="n">
        <v>121</v>
      </c>
      <c r="B126" s="285" t="inlineStr">
        <is>
          <t>New hire</t>
        </is>
      </c>
      <c r="C126" s="317" t="inlineStr">
        <is>
          <t>G&amp;A</t>
        </is>
      </c>
      <c r="D126" s="317" t="inlineStr">
        <is>
          <t>Production Operator</t>
        </is>
      </c>
      <c r="E126" s="297" t="inlineStr">
        <is>
          <t>Planned</t>
        </is>
      </c>
      <c r="F126" s="318">
        <f>IF(Assumptions!$D$82=2,DATE(2028,7,1),DATE(2035,1,1))</f>
        <v/>
      </c>
      <c r="G126" s="318" t="n"/>
      <c r="H126" s="288" t="n">
        <v>5000</v>
      </c>
      <c r="I126" s="299">
        <f>IF(AND($F126&lt;=I$2, OR($G126="",$G126&gt;=I$2)),
  $H126 * (1 + Assumptions!$C$7) ^ INT(((YEAR(I$2)-YEAR($F126))*12 + MONTH(I$2)-MONTH($F126)) / 12),
  0)</f>
        <v/>
      </c>
      <c r="J126" s="299">
        <f>IF(AND($F126&lt;=J$2, OR($G126="",$G126&gt;=J$2)),
  $H126 * (1 + Assumptions!$C$7) ^ INT(((YEAR(J$2)-YEAR($F126))*12 + MONTH(J$2)-MONTH($F126)) / 12),
  0)</f>
        <v/>
      </c>
      <c r="K126" s="299">
        <f>IF(AND($F126&lt;=K$2, OR($G126="",$G126&gt;=K$2)),
  $H126 * (1 + Assumptions!$C$7) ^ INT(((YEAR(K$2)-YEAR($F126))*12 + MONTH(K$2)-MONTH($F126)) / 12),
  0)</f>
        <v/>
      </c>
      <c r="L126" s="299">
        <f>IF(AND($F126&lt;=L$2, OR($G126="",$G126&gt;=L$2)),
  $H126 * (1 + Assumptions!$C$7) ^ INT(((YEAR(L$2)-YEAR($F126))*12 + MONTH(L$2)-MONTH($F126)) / 12),
  0)</f>
        <v/>
      </c>
      <c r="M126" s="299">
        <f>IF(AND($F126&lt;=M$2, OR($G126="",$G126&gt;=M$2)),
  $H126 * (1 + Assumptions!$C$7) ^ INT(((YEAR(M$2)-YEAR($F126))*12 + MONTH(M$2)-MONTH($F126)) / 12),
  0)</f>
        <v/>
      </c>
      <c r="N126" s="299">
        <f>IF(AND($F126&lt;=N$2, OR($G126="",$G126&gt;=N$2)),
  $H126 * (1 + Assumptions!$C$7) ^ INT(((YEAR(N$2)-YEAR($F126))*12 + MONTH(N$2)-MONTH($F126)) / 12),
  0)</f>
        <v/>
      </c>
      <c r="O126" s="299">
        <f>IF(AND($F126&lt;=O$2, OR($G126="",$G126&gt;=O$2)),
  $H126 * (1 + Assumptions!$C$7) ^ INT(((YEAR(O$2)-YEAR($F126))*12 + MONTH(O$2)-MONTH($F126)) / 12),
  0)</f>
        <v/>
      </c>
      <c r="P126" s="299">
        <f>IF(AND($F126&lt;=P$2, OR($G126="",$G126&gt;=P$2)),
  $H126 * (1 + Assumptions!$C$7) ^ INT(((YEAR(P$2)-YEAR($F126))*12 + MONTH(P$2)-MONTH($F126)) / 12),
  0)</f>
        <v/>
      </c>
      <c r="Q126" s="299">
        <f>IF(AND($F126&lt;=Q$2, OR($G126="",$G126&gt;=Q$2)),
  $H126 * (1 + Assumptions!$C$7) ^ INT(((YEAR(Q$2)-YEAR($F126))*12 + MONTH(Q$2)-MONTH($F126)) / 12),
  0)</f>
        <v/>
      </c>
      <c r="R126" s="299">
        <f>IF(AND($F126&lt;=R$2, OR($G126="",$G126&gt;=R$2)),
  $H126 * (1 + Assumptions!$C$7) ^ INT(((YEAR(R$2)-YEAR($F126))*12 + MONTH(R$2)-MONTH($F126)) / 12),
  0)</f>
        <v/>
      </c>
      <c r="S126" s="299">
        <f>IF(AND($F126&lt;=S$2, OR($G126="",$G126&gt;=S$2)),
  $H126 * (1 + Assumptions!$C$7) ^ INT(((YEAR(S$2)-YEAR($F126))*12 + MONTH(S$2)-MONTH($F126)) / 12),
  0)</f>
        <v/>
      </c>
      <c r="T126" s="299">
        <f>IF(AND($F126&lt;=T$2, OR($G126="",$G126&gt;=T$2)),
  $H126 * (1 + Assumptions!$C$7) ^ INT(((YEAR(T$2)-YEAR($F126))*12 + MONTH(T$2)-MONTH($F126)) / 12),
  0)</f>
        <v/>
      </c>
      <c r="U126" s="299">
        <f>IF(AND($F126&lt;=U$2, OR($G126="",$G126&gt;=U$2)),
  $H126 * (1 + Assumptions!$C$7) ^ INT(((YEAR(U$2)-YEAR($F126))*12 + MONTH(U$2)-MONTH($F126)) / 12),
  0)</f>
        <v/>
      </c>
      <c r="V126" s="299">
        <f>IF(AND($F126&lt;=V$2, OR($G126="",$G126&gt;=V$2)),
  $H126 * (1 + Assumptions!$C$7) ^ INT(((YEAR(V$2)-YEAR($F126))*12 + MONTH(V$2)-MONTH($F126)) / 12),
  0)</f>
        <v/>
      </c>
      <c r="W126" s="299">
        <f>IF(AND($F126&lt;=W$2, OR($G126="",$G126&gt;=W$2)),
  $H126 * (1 + Assumptions!$C$7) ^ INT(((YEAR(W$2)-YEAR($F126))*12 + MONTH(W$2)-MONTH($F126)) / 12),
  0)</f>
        <v/>
      </c>
      <c r="X126" s="299">
        <f>IF(AND($F126&lt;=X$2, OR($G126="",$G126&gt;=X$2)),
  $H126 * (1 + Assumptions!$C$7) ^ INT(((YEAR(X$2)-YEAR($F126))*12 + MONTH(X$2)-MONTH($F126)) / 12),
  0)</f>
        <v/>
      </c>
      <c r="Y126" s="299">
        <f>IF(AND($F126&lt;=Y$2, OR($G126="",$G126&gt;=Y$2)),
  $H126 * (1 + Assumptions!$C$7) ^ INT(((YEAR(Y$2)-YEAR($F126))*12 + MONTH(Y$2)-MONTH($F126)) / 12),
  0)</f>
        <v/>
      </c>
      <c r="Z126" s="299">
        <f>IF(AND($F126&lt;=Z$2, OR($G126="",$G126&gt;=Z$2)),
  $H126 * (1 + Assumptions!$C$7) ^ INT(((YEAR(Z$2)-YEAR($F126))*12 + MONTH(Z$2)-MONTH($F126)) / 12),
  0)</f>
        <v/>
      </c>
      <c r="AA126" s="299">
        <f>IF(AND($F126&lt;=AA$2, OR($G126="",$G126&gt;=AA$2)),
  $H126 * (1 + Assumptions!$C$7) ^ INT(((YEAR(AA$2)-YEAR($F126))*12 + MONTH(AA$2)-MONTH($F126)) / 12),
  0)</f>
        <v/>
      </c>
      <c r="AB126" s="299">
        <f>IF(AND($F126&lt;=AB$2, OR($G126="",$G126&gt;=AB$2)),
  $H126 * (1 + Assumptions!$C$7) ^ INT(((YEAR(AB$2)-YEAR($F126))*12 + MONTH(AB$2)-MONTH($F126)) / 12),
  0)</f>
        <v/>
      </c>
      <c r="AC126" s="299">
        <f>IF(AND($F126&lt;=AC$2, OR($G126="",$G126&gt;=AC$2)),
  $H126 * (1 + Assumptions!$C$7) ^ INT(((YEAR(AC$2)-YEAR($F126))*12 + MONTH(AC$2)-MONTH($F126)) / 12),
  0)</f>
        <v/>
      </c>
      <c r="AD126" s="299">
        <f>IF(AND($F126&lt;=AD$2, OR($G126="",$G126&gt;=AD$2)),
  $H126 * (1 + Assumptions!$C$7) ^ INT(((YEAR(AD$2)-YEAR($F126))*12 + MONTH(AD$2)-MONTH($F126)) / 12),
  0)</f>
        <v/>
      </c>
      <c r="AE126" s="299">
        <f>IF(AND($F126&lt;=AE$2, OR($G126="",$G126&gt;=AE$2)),
  $H126 * (1 + Assumptions!$C$7) ^ INT(((YEAR(AE$2)-YEAR($F126))*12 + MONTH(AE$2)-MONTH($F126)) / 12),
  0)</f>
        <v/>
      </c>
      <c r="AF126" s="299">
        <f>IF(AND($F126&lt;=AF$2, OR($G126="",$G126&gt;=AF$2)),
  $H126 * (1 + Assumptions!$C$7) ^ INT(((YEAR(AF$2)-YEAR($F126))*12 + MONTH(AF$2)-MONTH($F126)) / 12),
  0)</f>
        <v/>
      </c>
      <c r="AG126" s="299">
        <f>IF(AND($F126&lt;=AG$2, OR($G126="",$G126&gt;=AG$2)),
  $H126 * (1 + Assumptions!$C$7) ^ INT(((YEAR(AG$2)-YEAR($F126))*12 + MONTH(AG$2)-MONTH($F126)) / 12),
  0)</f>
        <v/>
      </c>
      <c r="AH126" s="299">
        <f>IF(AND($F126&lt;=AH$2, OR($G126="",$G126&gt;=AH$2)),
  $H126 * (1 + Assumptions!$C$7) ^ INT(((YEAR(AH$2)-YEAR($F126))*12 + MONTH(AH$2)-MONTH($F126)) / 12),
  0)</f>
        <v/>
      </c>
      <c r="AI126" s="299">
        <f>IF(AND($F126&lt;=AI$2, OR($G126="",$G126&gt;=AI$2)),
  $H126 * (1 + Assumptions!$C$7) ^ INT(((YEAR(AI$2)-YEAR($F126))*12 + MONTH(AI$2)-MONTH($F126)) / 12),
  0)</f>
        <v/>
      </c>
      <c r="AJ126" s="299">
        <f>IF(AND($F126&lt;=AJ$2, OR($G126="",$G126&gt;=AJ$2)),
  $H126 * (1 + Assumptions!$C$7) ^ INT(((YEAR(AJ$2)-YEAR($F126))*12 + MONTH(AJ$2)-MONTH($F126)) / 12),
  0)</f>
        <v/>
      </c>
      <c r="AK126" s="299">
        <f>IF(AND($F126&lt;=AK$2, OR($G126="",$G126&gt;=AK$2)),
  $H126 * (1 + Assumptions!$C$7) ^ INT(((YEAR(AK$2)-YEAR($F126))*12 + MONTH(AK$2)-MONTH($F126)) / 12),
  0)</f>
        <v/>
      </c>
      <c r="AL126" s="299">
        <f>IF(AND($F126&lt;=AL$2, OR($G126="",$G126&gt;=AL$2)),
  $H126 * (1 + Assumptions!$C$7) ^ INT(((YEAR(AL$2)-YEAR($F126))*12 + MONTH(AL$2)-MONTH($F126)) / 12),
  0)</f>
        <v/>
      </c>
      <c r="AM126" s="299">
        <f>IF(AND($F126&lt;=AM$2, OR($G126="",$G126&gt;=AM$2)),
  $H126 * (1 + Assumptions!$C$7) ^ INT(((YEAR(AM$2)-YEAR($F126))*12 + MONTH(AM$2)-MONTH($F126)) / 12),
  0)</f>
        <v/>
      </c>
      <c r="AN126" s="299">
        <f>IF(AND($F126&lt;=AN$2, OR($G126="",$G126&gt;=AN$2)),
  $H126 * (1 + Assumptions!$C$7) ^ INT(((YEAR(AN$2)-YEAR($F126))*12 + MONTH(AN$2)-MONTH($F126)) / 12),
  0)</f>
        <v/>
      </c>
      <c r="AO126" s="299">
        <f>IF(AND($F126&lt;=AO$2, OR($G126="",$G126&gt;=AO$2)),
  $H126 * (1 + Assumptions!$C$7) ^ INT(((YEAR(AO$2)-YEAR($F126))*12 + MONTH(AO$2)-MONTH($F126)) / 12),
  0)</f>
        <v/>
      </c>
      <c r="AP126" s="299">
        <f>IF(AND($F126&lt;=AP$2, OR($G126="",$G126&gt;=AP$2)),
  $H126 * (1 + Assumptions!$C$7) ^ INT(((YEAR(AP$2)-YEAR($F126))*12 + MONTH(AP$2)-MONTH($F126)) / 12),
  0)</f>
        <v/>
      </c>
      <c r="AQ126" s="299">
        <f>IF(AND($F126&lt;=AQ$2, OR($G126="",$G126&gt;=AQ$2)),
  $H126 * (1 + Assumptions!$C$7) ^ INT(((YEAR(AQ$2)-YEAR($F126))*12 + MONTH(AQ$2)-MONTH($F126)) / 12),
  0)</f>
        <v/>
      </c>
      <c r="AR126" s="299">
        <f>IF(AND($F126&lt;=AR$2, OR($G126="",$G126&gt;=AR$2)),
  $H126 * (1 + Assumptions!$C$7) ^ INT(((YEAR(AR$2)-YEAR($F126))*12 + MONTH(AR$2)-MONTH($F126)) / 12),
  0)</f>
        <v/>
      </c>
      <c r="AS126" s="299">
        <f>IF(AND($F126&lt;=AS$2, OR($G126="",$G126&gt;=AS$2)),
  $H126 * (1 + Assumptions!$C$7) ^ INT(((YEAR(AS$2)-YEAR($F126))*12 + MONTH(AS$2)-MONTH($F126)) / 12),
  0)</f>
        <v/>
      </c>
      <c r="AT126" s="299">
        <f>IF(AND($F126&lt;=AT$2, OR($G126="",$G126&gt;=AT$2)),
  $H126 * (1 + Assumptions!$C$7) ^ INT(((YEAR(AT$2)-YEAR($F126))*12 + MONTH(AT$2)-MONTH($F126)) / 12),
  0)</f>
        <v/>
      </c>
      <c r="AU126" s="299">
        <f>IF(AND($F126&lt;=AU$2, OR($G126="",$G126&gt;=AU$2)),
  $H126 * (1 + Assumptions!$C$7) ^ INT(((YEAR(AU$2)-YEAR($F126))*12 + MONTH(AU$2)-MONTH($F126)) / 12),
  0)</f>
        <v/>
      </c>
      <c r="AV126" s="299">
        <f>IF(AND($F126&lt;=AV$2, OR($G126="",$G126&gt;=AV$2)),
  $H126 * (1 + Assumptions!$C$7) ^ INT(((YEAR(AV$2)-YEAR($F126))*12 + MONTH(AV$2)-MONTH($F126)) / 12),
  0)</f>
        <v/>
      </c>
      <c r="AW126" s="299">
        <f>IF(AND($F126&lt;=AW$2, OR($G126="",$G126&gt;=AW$2)),
  $H126 * (1 + Assumptions!$C$7) ^ INT(((YEAR(AW$2)-YEAR($F126))*12 + MONTH(AW$2)-MONTH($F126)) / 12),
  0)</f>
        <v/>
      </c>
      <c r="AX126" s="299">
        <f>IF(AND($F126&lt;=AX$2, OR($G126="",$G126&gt;=AX$2)),
  $H126 * (1 + Assumptions!$C$7) ^ INT(((YEAR(AX$2)-YEAR($F126))*12 + MONTH(AX$2)-MONTH($F126)) / 12),
  0)</f>
        <v/>
      </c>
      <c r="AY126" s="299">
        <f>IF(AND($F126&lt;=AY$2, OR($G126="",$G126&gt;=AY$2)),
  $H126 * (1 + Assumptions!$C$7) ^ INT(((YEAR(AY$2)-YEAR($F126))*12 + MONTH(AY$2)-MONTH($F126)) / 12),
  0)</f>
        <v/>
      </c>
      <c r="AZ126" s="299">
        <f>IF(AND($F126&lt;=AZ$2, OR($G126="",$G126&gt;=AZ$2)),
  $H126 * (1 + Assumptions!$C$7) ^ INT(((YEAR(AZ$2)-YEAR($F126))*12 + MONTH(AZ$2)-MONTH($F126)) / 12),
  0)</f>
        <v/>
      </c>
      <c r="BA126" s="299">
        <f>IF(AND($F126&lt;=BA$2, OR($G126="",$G126&gt;=BA$2)),
  $H126 * (1 + Assumptions!$C$7) ^ INT(((YEAR(BA$2)-YEAR($F126))*12 + MONTH(BA$2)-MONTH($F126)) / 12),
  0)</f>
        <v/>
      </c>
      <c r="BB126" s="299">
        <f>IF(AND($F126&lt;=BB$2, OR($G126="",$G126&gt;=BB$2)),
  $H126 * (1 + Assumptions!$C$7) ^ INT(((YEAR(BB$2)-YEAR($F126))*12 + MONTH(BB$2)-MONTH($F126)) / 12),
  0)</f>
        <v/>
      </c>
      <c r="BC126" s="299">
        <f>IF(AND($F126&lt;=BC$2, OR($G126="",$G126&gt;=BC$2)),
  $H126 * (1 + Assumptions!$C$7) ^ INT(((YEAR(BC$2)-YEAR($F126))*12 + MONTH(BC$2)-MONTH($F126)) / 12),
  0)</f>
        <v/>
      </c>
      <c r="BD126" s="299">
        <f>IF(AND($F126&lt;=BD$2, OR($G126="",$G126&gt;=BD$2)),
  $H126 * (1 + Assumptions!$C$7) ^ INT(((YEAR(BD$2)-YEAR($F126))*12 + MONTH(BD$2)-MONTH($F126)) / 12),
  0)</f>
        <v/>
      </c>
      <c r="BE126" s="299">
        <f>IF(AND($F126&lt;=BE$2, OR($G126="",$G126&gt;=BE$2)),
  $H126 * (1 + Assumptions!$C$7) ^ INT(((YEAR(BE$2)-YEAR($F126))*12 + MONTH(BE$2)-MONTH($F126)) / 12),
  0)</f>
        <v/>
      </c>
      <c r="BF126" s="299">
        <f>IF(AND($F126&lt;=BF$2, OR($G126="",$G126&gt;=BF$2)),
  $H126 * (1 + Assumptions!$C$7) ^ INT(((YEAR(BF$2)-YEAR($F126))*12 + MONTH(BF$2)-MONTH($F126)) / 12),
  0)</f>
        <v/>
      </c>
      <c r="BG126" s="299">
        <f>IF(AND($F126&lt;=BG$2, OR($G126="",$G126&gt;=BG$2)),
  $H126 * (1 + Assumptions!$C$7) ^ INT(((YEAR(BG$2)-YEAR($F126))*12 + MONTH(BG$2)-MONTH($F126)) / 12),
  0)</f>
        <v/>
      </c>
      <c r="BH126" s="299">
        <f>IF(AND($F126&lt;=BH$2, OR($G126="",$G126&gt;=BH$2)),
  $H126 * (1 + Assumptions!$C$7) ^ INT(((YEAR(BH$2)-YEAR($F126))*12 + MONTH(BH$2)-MONTH($F126)) / 12),
  0)</f>
        <v/>
      </c>
      <c r="BI126" s="299">
        <f>IF(AND($F126&lt;=BI$2, OR($G126="",$G126&gt;=BI$2)),
  $H126 * (1 + Assumptions!$C$7) ^ INT(((YEAR(BI$2)-YEAR($F126))*12 + MONTH(BI$2)-MONTH($F126)) / 12),
  0)</f>
        <v/>
      </c>
      <c r="BJ126" s="299">
        <f>IF(AND($F126&lt;=BJ$2, OR($G126="",$G126&gt;=BJ$2)),
  $H126 * (1 + Assumptions!$C$7) ^ INT(((YEAR(BJ$2)-YEAR($F126))*12 + MONTH(BJ$2)-MONTH($F126)) / 12),
  0)</f>
        <v/>
      </c>
      <c r="BK126" s="299">
        <f>IF(AND($F126&lt;=BK$2, OR($G126="",$G126&gt;=BK$2)),
  $H126 * (1 + Assumptions!$C$7) ^ INT(((YEAR(BK$2)-YEAR($F126))*12 + MONTH(BK$2)-MONTH($F126)) / 12),
  0)</f>
        <v/>
      </c>
      <c r="BL126" s="299">
        <f>IF(AND($F126&lt;=BL$2, OR($G126="",$G126&gt;=BL$2)),
  $H126 * (1 + Assumptions!$C$7) ^ INT(((YEAR(BL$2)-YEAR($F126))*12 + MONTH(BL$2)-MONTH($F126)) / 12),
  0)</f>
        <v/>
      </c>
      <c r="BM126" s="299">
        <f>IF(AND($F126&lt;=BM$2, OR($G126="",$G126&gt;=BM$2)),
  $H126 * (1 + Assumptions!$C$7) ^ INT(((YEAR(BM$2)-YEAR($F126))*12 + MONTH(BM$2)-MONTH($F126)) / 12),
  0)</f>
        <v/>
      </c>
      <c r="BN126" s="299">
        <f>IF(AND($F126&lt;=BN$2, OR($G126="",$G126&gt;=BN$2)),
  $H126 * (1 + Assumptions!$C$7) ^ INT(((YEAR(BN$2)-YEAR($F126))*12 + MONTH(BN$2)-MONTH($F126)) / 12),
  0)</f>
        <v/>
      </c>
      <c r="BO126" s="299">
        <f>IF(AND($F126&lt;=BO$2, OR($G126="",$G126&gt;=BO$2)),
  $H126 * (1 + Assumptions!$C$7) ^ INT(((YEAR(BO$2)-YEAR($F126))*12 + MONTH(BO$2)-MONTH($F126)) / 12),
  0)</f>
        <v/>
      </c>
      <c r="BP126" s="299">
        <f>IF(AND($F126&lt;=BP$2, OR($G126="",$G126&gt;=BP$2)),
  $H126 * (1 + Assumptions!$C$7) ^ INT(((YEAR(BP$2)-YEAR($F126))*12 + MONTH(BP$2)-MONTH($F126)) / 12),
  0)</f>
        <v/>
      </c>
      <c r="BQ126" s="31" t="n"/>
      <c r="BR126" s="31" t="n"/>
      <c r="BS126" s="31" t="n"/>
      <c r="BT126" s="31" t="n"/>
    </row>
    <row r="127" ht="15.75" customHeight="1" s="349">
      <c r="A127" s="321" t="n">
        <v>122</v>
      </c>
      <c r="B127" s="285" t="inlineStr">
        <is>
          <t>New hire</t>
        </is>
      </c>
      <c r="C127" s="317" t="inlineStr">
        <is>
          <t>G&amp;A</t>
        </is>
      </c>
      <c r="D127" s="317" t="inlineStr">
        <is>
          <t>Production Operator</t>
        </is>
      </c>
      <c r="E127" s="297" t="inlineStr">
        <is>
          <t>Planned</t>
        </is>
      </c>
      <c r="F127" s="318">
        <f>IF(Assumptions!$D$82=2,DATE(2028,7,1),DATE(2035,1,1))</f>
        <v/>
      </c>
      <c r="G127" s="318" t="n"/>
      <c r="H127" s="288" t="n">
        <v>5000</v>
      </c>
      <c r="I127" s="299">
        <f>IF(AND($F127&lt;=I$2, OR($G127="",$G127&gt;=I$2)),
  $H127 * (1 + Assumptions!$C$7) ^ INT(((YEAR(I$2)-YEAR($F127))*12 + MONTH(I$2)-MONTH($F127)) / 12),
  0)</f>
        <v/>
      </c>
      <c r="J127" s="299">
        <f>IF(AND($F127&lt;=J$2, OR($G127="",$G127&gt;=J$2)),
  $H127 * (1 + Assumptions!$C$7) ^ INT(((YEAR(J$2)-YEAR($F127))*12 + MONTH(J$2)-MONTH($F127)) / 12),
  0)</f>
        <v/>
      </c>
      <c r="K127" s="299">
        <f>IF(AND($F127&lt;=K$2, OR($G127="",$G127&gt;=K$2)),
  $H127 * (1 + Assumptions!$C$7) ^ INT(((YEAR(K$2)-YEAR($F127))*12 + MONTH(K$2)-MONTH($F127)) / 12),
  0)</f>
        <v/>
      </c>
      <c r="L127" s="299">
        <f>IF(AND($F127&lt;=L$2, OR($G127="",$G127&gt;=L$2)),
  $H127 * (1 + Assumptions!$C$7) ^ INT(((YEAR(L$2)-YEAR($F127))*12 + MONTH(L$2)-MONTH($F127)) / 12),
  0)</f>
        <v/>
      </c>
      <c r="M127" s="299">
        <f>IF(AND($F127&lt;=M$2, OR($G127="",$G127&gt;=M$2)),
  $H127 * (1 + Assumptions!$C$7) ^ INT(((YEAR(M$2)-YEAR($F127))*12 + MONTH(M$2)-MONTH($F127)) / 12),
  0)</f>
        <v/>
      </c>
      <c r="N127" s="299">
        <f>IF(AND($F127&lt;=N$2, OR($G127="",$G127&gt;=N$2)),
  $H127 * (1 + Assumptions!$C$7) ^ INT(((YEAR(N$2)-YEAR($F127))*12 + MONTH(N$2)-MONTH($F127)) / 12),
  0)</f>
        <v/>
      </c>
      <c r="O127" s="299">
        <f>IF(AND($F127&lt;=O$2, OR($G127="",$G127&gt;=O$2)),
  $H127 * (1 + Assumptions!$C$7) ^ INT(((YEAR(O$2)-YEAR($F127))*12 + MONTH(O$2)-MONTH($F127)) / 12),
  0)</f>
        <v/>
      </c>
      <c r="P127" s="299">
        <f>IF(AND($F127&lt;=P$2, OR($G127="",$G127&gt;=P$2)),
  $H127 * (1 + Assumptions!$C$7) ^ INT(((YEAR(P$2)-YEAR($F127))*12 + MONTH(P$2)-MONTH($F127)) / 12),
  0)</f>
        <v/>
      </c>
      <c r="Q127" s="299">
        <f>IF(AND($F127&lt;=Q$2, OR($G127="",$G127&gt;=Q$2)),
  $H127 * (1 + Assumptions!$C$7) ^ INT(((YEAR(Q$2)-YEAR($F127))*12 + MONTH(Q$2)-MONTH($F127)) / 12),
  0)</f>
        <v/>
      </c>
      <c r="R127" s="299">
        <f>IF(AND($F127&lt;=R$2, OR($G127="",$G127&gt;=R$2)),
  $H127 * (1 + Assumptions!$C$7) ^ INT(((YEAR(R$2)-YEAR($F127))*12 + MONTH(R$2)-MONTH($F127)) / 12),
  0)</f>
        <v/>
      </c>
      <c r="S127" s="299">
        <f>IF(AND($F127&lt;=S$2, OR($G127="",$G127&gt;=S$2)),
  $H127 * (1 + Assumptions!$C$7) ^ INT(((YEAR(S$2)-YEAR($F127))*12 + MONTH(S$2)-MONTH($F127)) / 12),
  0)</f>
        <v/>
      </c>
      <c r="T127" s="299">
        <f>IF(AND($F127&lt;=T$2, OR($G127="",$G127&gt;=T$2)),
  $H127 * (1 + Assumptions!$C$7) ^ INT(((YEAR(T$2)-YEAR($F127))*12 + MONTH(T$2)-MONTH($F127)) / 12),
  0)</f>
        <v/>
      </c>
      <c r="U127" s="299">
        <f>IF(AND($F127&lt;=U$2, OR($G127="",$G127&gt;=U$2)),
  $H127 * (1 + Assumptions!$C$7) ^ INT(((YEAR(U$2)-YEAR($F127))*12 + MONTH(U$2)-MONTH($F127)) / 12),
  0)</f>
        <v/>
      </c>
      <c r="V127" s="299">
        <f>IF(AND($F127&lt;=V$2, OR($G127="",$G127&gt;=V$2)),
  $H127 * (1 + Assumptions!$C$7) ^ INT(((YEAR(V$2)-YEAR($F127))*12 + MONTH(V$2)-MONTH($F127)) / 12),
  0)</f>
        <v/>
      </c>
      <c r="W127" s="299">
        <f>IF(AND($F127&lt;=W$2, OR($G127="",$G127&gt;=W$2)),
  $H127 * (1 + Assumptions!$C$7) ^ INT(((YEAR(W$2)-YEAR($F127))*12 + MONTH(W$2)-MONTH($F127)) / 12),
  0)</f>
        <v/>
      </c>
      <c r="X127" s="299">
        <f>IF(AND($F127&lt;=X$2, OR($G127="",$G127&gt;=X$2)),
  $H127 * (1 + Assumptions!$C$7) ^ INT(((YEAR(X$2)-YEAR($F127))*12 + MONTH(X$2)-MONTH($F127)) / 12),
  0)</f>
        <v/>
      </c>
      <c r="Y127" s="299">
        <f>IF(AND($F127&lt;=Y$2, OR($G127="",$G127&gt;=Y$2)),
  $H127 * (1 + Assumptions!$C$7) ^ INT(((YEAR(Y$2)-YEAR($F127))*12 + MONTH(Y$2)-MONTH($F127)) / 12),
  0)</f>
        <v/>
      </c>
      <c r="Z127" s="299">
        <f>IF(AND($F127&lt;=Z$2, OR($G127="",$G127&gt;=Z$2)),
  $H127 * (1 + Assumptions!$C$7) ^ INT(((YEAR(Z$2)-YEAR($F127))*12 + MONTH(Z$2)-MONTH($F127)) / 12),
  0)</f>
        <v/>
      </c>
      <c r="AA127" s="299">
        <f>IF(AND($F127&lt;=AA$2, OR($G127="",$G127&gt;=AA$2)),
  $H127 * (1 + Assumptions!$C$7) ^ INT(((YEAR(AA$2)-YEAR($F127))*12 + MONTH(AA$2)-MONTH($F127)) / 12),
  0)</f>
        <v/>
      </c>
      <c r="AB127" s="299">
        <f>IF(AND($F127&lt;=AB$2, OR($G127="",$G127&gt;=AB$2)),
  $H127 * (1 + Assumptions!$C$7) ^ INT(((YEAR(AB$2)-YEAR($F127))*12 + MONTH(AB$2)-MONTH($F127)) / 12),
  0)</f>
        <v/>
      </c>
      <c r="AC127" s="299">
        <f>IF(AND($F127&lt;=AC$2, OR($G127="",$G127&gt;=AC$2)),
  $H127 * (1 + Assumptions!$C$7) ^ INT(((YEAR(AC$2)-YEAR($F127))*12 + MONTH(AC$2)-MONTH($F127)) / 12),
  0)</f>
        <v/>
      </c>
      <c r="AD127" s="299">
        <f>IF(AND($F127&lt;=AD$2, OR($G127="",$G127&gt;=AD$2)),
  $H127 * (1 + Assumptions!$C$7) ^ INT(((YEAR(AD$2)-YEAR($F127))*12 + MONTH(AD$2)-MONTH($F127)) / 12),
  0)</f>
        <v/>
      </c>
      <c r="AE127" s="299">
        <f>IF(AND($F127&lt;=AE$2, OR($G127="",$G127&gt;=AE$2)),
  $H127 * (1 + Assumptions!$C$7) ^ INT(((YEAR(AE$2)-YEAR($F127))*12 + MONTH(AE$2)-MONTH($F127)) / 12),
  0)</f>
        <v/>
      </c>
      <c r="AF127" s="299">
        <f>IF(AND($F127&lt;=AF$2, OR($G127="",$G127&gt;=AF$2)),
  $H127 * (1 + Assumptions!$C$7) ^ INT(((YEAR(AF$2)-YEAR($F127))*12 + MONTH(AF$2)-MONTH($F127)) / 12),
  0)</f>
        <v/>
      </c>
      <c r="AG127" s="299">
        <f>IF(AND($F127&lt;=AG$2, OR($G127="",$G127&gt;=AG$2)),
  $H127 * (1 + Assumptions!$C$7) ^ INT(((YEAR(AG$2)-YEAR($F127))*12 + MONTH(AG$2)-MONTH($F127)) / 12),
  0)</f>
        <v/>
      </c>
      <c r="AH127" s="299">
        <f>IF(AND($F127&lt;=AH$2, OR($G127="",$G127&gt;=AH$2)),
  $H127 * (1 + Assumptions!$C$7) ^ INT(((YEAR(AH$2)-YEAR($F127))*12 + MONTH(AH$2)-MONTH($F127)) / 12),
  0)</f>
        <v/>
      </c>
      <c r="AI127" s="299">
        <f>IF(AND($F127&lt;=AI$2, OR($G127="",$G127&gt;=AI$2)),
  $H127 * (1 + Assumptions!$C$7) ^ INT(((YEAR(AI$2)-YEAR($F127))*12 + MONTH(AI$2)-MONTH($F127)) / 12),
  0)</f>
        <v/>
      </c>
      <c r="AJ127" s="299">
        <f>IF(AND($F127&lt;=AJ$2, OR($G127="",$G127&gt;=AJ$2)),
  $H127 * (1 + Assumptions!$C$7) ^ INT(((YEAR(AJ$2)-YEAR($F127))*12 + MONTH(AJ$2)-MONTH($F127)) / 12),
  0)</f>
        <v/>
      </c>
      <c r="AK127" s="299">
        <f>IF(AND($F127&lt;=AK$2, OR($G127="",$G127&gt;=AK$2)),
  $H127 * (1 + Assumptions!$C$7) ^ INT(((YEAR(AK$2)-YEAR($F127))*12 + MONTH(AK$2)-MONTH($F127)) / 12),
  0)</f>
        <v/>
      </c>
      <c r="AL127" s="299">
        <f>IF(AND($F127&lt;=AL$2, OR($G127="",$G127&gt;=AL$2)),
  $H127 * (1 + Assumptions!$C$7) ^ INT(((YEAR(AL$2)-YEAR($F127))*12 + MONTH(AL$2)-MONTH($F127)) / 12),
  0)</f>
        <v/>
      </c>
      <c r="AM127" s="299">
        <f>IF(AND($F127&lt;=AM$2, OR($G127="",$G127&gt;=AM$2)),
  $H127 * (1 + Assumptions!$C$7) ^ INT(((YEAR(AM$2)-YEAR($F127))*12 + MONTH(AM$2)-MONTH($F127)) / 12),
  0)</f>
        <v/>
      </c>
      <c r="AN127" s="299">
        <f>IF(AND($F127&lt;=AN$2, OR($G127="",$G127&gt;=AN$2)),
  $H127 * (1 + Assumptions!$C$7) ^ INT(((YEAR(AN$2)-YEAR($F127))*12 + MONTH(AN$2)-MONTH($F127)) / 12),
  0)</f>
        <v/>
      </c>
      <c r="AO127" s="299">
        <f>IF(AND($F127&lt;=AO$2, OR($G127="",$G127&gt;=AO$2)),
  $H127 * (1 + Assumptions!$C$7) ^ INT(((YEAR(AO$2)-YEAR($F127))*12 + MONTH(AO$2)-MONTH($F127)) / 12),
  0)</f>
        <v/>
      </c>
      <c r="AP127" s="299">
        <f>IF(AND($F127&lt;=AP$2, OR($G127="",$G127&gt;=AP$2)),
  $H127 * (1 + Assumptions!$C$7) ^ INT(((YEAR(AP$2)-YEAR($F127))*12 + MONTH(AP$2)-MONTH($F127)) / 12),
  0)</f>
        <v/>
      </c>
      <c r="AQ127" s="299">
        <f>IF(AND($F127&lt;=AQ$2, OR($G127="",$G127&gt;=AQ$2)),
  $H127 * (1 + Assumptions!$C$7) ^ INT(((YEAR(AQ$2)-YEAR($F127))*12 + MONTH(AQ$2)-MONTH($F127)) / 12),
  0)</f>
        <v/>
      </c>
      <c r="AR127" s="299">
        <f>IF(AND($F127&lt;=AR$2, OR($G127="",$G127&gt;=AR$2)),
  $H127 * (1 + Assumptions!$C$7) ^ INT(((YEAR(AR$2)-YEAR($F127))*12 + MONTH(AR$2)-MONTH($F127)) / 12),
  0)</f>
        <v/>
      </c>
      <c r="AS127" s="299">
        <f>IF(AND($F127&lt;=AS$2, OR($G127="",$G127&gt;=AS$2)),
  $H127 * (1 + Assumptions!$C$7) ^ INT(((YEAR(AS$2)-YEAR($F127))*12 + MONTH(AS$2)-MONTH($F127)) / 12),
  0)</f>
        <v/>
      </c>
      <c r="AT127" s="299">
        <f>IF(AND($F127&lt;=AT$2, OR($G127="",$G127&gt;=AT$2)),
  $H127 * (1 + Assumptions!$C$7) ^ INT(((YEAR(AT$2)-YEAR($F127))*12 + MONTH(AT$2)-MONTH($F127)) / 12),
  0)</f>
        <v/>
      </c>
      <c r="AU127" s="299">
        <f>IF(AND($F127&lt;=AU$2, OR($G127="",$G127&gt;=AU$2)),
  $H127 * (1 + Assumptions!$C$7) ^ INT(((YEAR(AU$2)-YEAR($F127))*12 + MONTH(AU$2)-MONTH($F127)) / 12),
  0)</f>
        <v/>
      </c>
      <c r="AV127" s="299">
        <f>IF(AND($F127&lt;=AV$2, OR($G127="",$G127&gt;=AV$2)),
  $H127 * (1 + Assumptions!$C$7) ^ INT(((YEAR(AV$2)-YEAR($F127))*12 + MONTH(AV$2)-MONTH($F127)) / 12),
  0)</f>
        <v/>
      </c>
      <c r="AW127" s="299">
        <f>IF(AND($F127&lt;=AW$2, OR($G127="",$G127&gt;=AW$2)),
  $H127 * (1 + Assumptions!$C$7) ^ INT(((YEAR(AW$2)-YEAR($F127))*12 + MONTH(AW$2)-MONTH($F127)) / 12),
  0)</f>
        <v/>
      </c>
      <c r="AX127" s="299">
        <f>IF(AND($F127&lt;=AX$2, OR($G127="",$G127&gt;=AX$2)),
  $H127 * (1 + Assumptions!$C$7) ^ INT(((YEAR(AX$2)-YEAR($F127))*12 + MONTH(AX$2)-MONTH($F127)) / 12),
  0)</f>
        <v/>
      </c>
      <c r="AY127" s="299">
        <f>IF(AND($F127&lt;=AY$2, OR($G127="",$G127&gt;=AY$2)),
  $H127 * (1 + Assumptions!$C$7) ^ INT(((YEAR(AY$2)-YEAR($F127))*12 + MONTH(AY$2)-MONTH($F127)) / 12),
  0)</f>
        <v/>
      </c>
      <c r="AZ127" s="299">
        <f>IF(AND($F127&lt;=AZ$2, OR($G127="",$G127&gt;=AZ$2)),
  $H127 * (1 + Assumptions!$C$7) ^ INT(((YEAR(AZ$2)-YEAR($F127))*12 + MONTH(AZ$2)-MONTH($F127)) / 12),
  0)</f>
        <v/>
      </c>
      <c r="BA127" s="299">
        <f>IF(AND($F127&lt;=BA$2, OR($G127="",$G127&gt;=BA$2)),
  $H127 * (1 + Assumptions!$C$7) ^ INT(((YEAR(BA$2)-YEAR($F127))*12 + MONTH(BA$2)-MONTH($F127)) / 12),
  0)</f>
        <v/>
      </c>
      <c r="BB127" s="299">
        <f>IF(AND($F127&lt;=BB$2, OR($G127="",$G127&gt;=BB$2)),
  $H127 * (1 + Assumptions!$C$7) ^ INT(((YEAR(BB$2)-YEAR($F127))*12 + MONTH(BB$2)-MONTH($F127)) / 12),
  0)</f>
        <v/>
      </c>
      <c r="BC127" s="299">
        <f>IF(AND($F127&lt;=BC$2, OR($G127="",$G127&gt;=BC$2)),
  $H127 * (1 + Assumptions!$C$7) ^ INT(((YEAR(BC$2)-YEAR($F127))*12 + MONTH(BC$2)-MONTH($F127)) / 12),
  0)</f>
        <v/>
      </c>
      <c r="BD127" s="299">
        <f>IF(AND($F127&lt;=BD$2, OR($G127="",$G127&gt;=BD$2)),
  $H127 * (1 + Assumptions!$C$7) ^ INT(((YEAR(BD$2)-YEAR($F127))*12 + MONTH(BD$2)-MONTH($F127)) / 12),
  0)</f>
        <v/>
      </c>
      <c r="BE127" s="299">
        <f>IF(AND($F127&lt;=BE$2, OR($G127="",$G127&gt;=BE$2)),
  $H127 * (1 + Assumptions!$C$7) ^ INT(((YEAR(BE$2)-YEAR($F127))*12 + MONTH(BE$2)-MONTH($F127)) / 12),
  0)</f>
        <v/>
      </c>
      <c r="BF127" s="299">
        <f>IF(AND($F127&lt;=BF$2, OR($G127="",$G127&gt;=BF$2)),
  $H127 * (1 + Assumptions!$C$7) ^ INT(((YEAR(BF$2)-YEAR($F127))*12 + MONTH(BF$2)-MONTH($F127)) / 12),
  0)</f>
        <v/>
      </c>
      <c r="BG127" s="299">
        <f>IF(AND($F127&lt;=BG$2, OR($G127="",$G127&gt;=BG$2)),
  $H127 * (1 + Assumptions!$C$7) ^ INT(((YEAR(BG$2)-YEAR($F127))*12 + MONTH(BG$2)-MONTH($F127)) / 12),
  0)</f>
        <v/>
      </c>
      <c r="BH127" s="299">
        <f>IF(AND($F127&lt;=BH$2, OR($G127="",$G127&gt;=BH$2)),
  $H127 * (1 + Assumptions!$C$7) ^ INT(((YEAR(BH$2)-YEAR($F127))*12 + MONTH(BH$2)-MONTH($F127)) / 12),
  0)</f>
        <v/>
      </c>
      <c r="BI127" s="299">
        <f>IF(AND($F127&lt;=BI$2, OR($G127="",$G127&gt;=BI$2)),
  $H127 * (1 + Assumptions!$C$7) ^ INT(((YEAR(BI$2)-YEAR($F127))*12 + MONTH(BI$2)-MONTH($F127)) / 12),
  0)</f>
        <v/>
      </c>
      <c r="BJ127" s="299">
        <f>IF(AND($F127&lt;=BJ$2, OR($G127="",$G127&gt;=BJ$2)),
  $H127 * (1 + Assumptions!$C$7) ^ INT(((YEAR(BJ$2)-YEAR($F127))*12 + MONTH(BJ$2)-MONTH($F127)) / 12),
  0)</f>
        <v/>
      </c>
      <c r="BK127" s="299">
        <f>IF(AND($F127&lt;=BK$2, OR($G127="",$G127&gt;=BK$2)),
  $H127 * (1 + Assumptions!$C$7) ^ INT(((YEAR(BK$2)-YEAR($F127))*12 + MONTH(BK$2)-MONTH($F127)) / 12),
  0)</f>
        <v/>
      </c>
      <c r="BL127" s="299">
        <f>IF(AND($F127&lt;=BL$2, OR($G127="",$G127&gt;=BL$2)),
  $H127 * (1 + Assumptions!$C$7) ^ INT(((YEAR(BL$2)-YEAR($F127))*12 + MONTH(BL$2)-MONTH($F127)) / 12),
  0)</f>
        <v/>
      </c>
      <c r="BM127" s="299">
        <f>IF(AND($F127&lt;=BM$2, OR($G127="",$G127&gt;=BM$2)),
  $H127 * (1 + Assumptions!$C$7) ^ INT(((YEAR(BM$2)-YEAR($F127))*12 + MONTH(BM$2)-MONTH($F127)) / 12),
  0)</f>
        <v/>
      </c>
      <c r="BN127" s="299">
        <f>IF(AND($F127&lt;=BN$2, OR($G127="",$G127&gt;=BN$2)),
  $H127 * (1 + Assumptions!$C$7) ^ INT(((YEAR(BN$2)-YEAR($F127))*12 + MONTH(BN$2)-MONTH($F127)) / 12),
  0)</f>
        <v/>
      </c>
      <c r="BO127" s="299">
        <f>IF(AND($F127&lt;=BO$2, OR($G127="",$G127&gt;=BO$2)),
  $H127 * (1 + Assumptions!$C$7) ^ INT(((YEAR(BO$2)-YEAR($F127))*12 + MONTH(BO$2)-MONTH($F127)) / 12),
  0)</f>
        <v/>
      </c>
      <c r="BP127" s="299">
        <f>IF(AND($F127&lt;=BP$2, OR($G127="",$G127&gt;=BP$2)),
  $H127 * (1 + Assumptions!$C$7) ^ INT(((YEAR(BP$2)-YEAR($F127))*12 + MONTH(BP$2)-MONTH($F127)) / 12),
  0)</f>
        <v/>
      </c>
      <c r="BQ127" s="31" t="n"/>
      <c r="BR127" s="31" t="n"/>
      <c r="BS127" s="31" t="n"/>
      <c r="BT127" s="31" t="n"/>
    </row>
    <row r="128" ht="15.75" customHeight="1" s="349">
      <c r="A128" s="321" t="n">
        <v>123</v>
      </c>
      <c r="B128" s="285" t="inlineStr">
        <is>
          <t>New hire</t>
        </is>
      </c>
      <c r="C128" s="317" t="inlineStr">
        <is>
          <t>G&amp;A</t>
        </is>
      </c>
      <c r="D128" s="317" t="inlineStr">
        <is>
          <t>Production Operator</t>
        </is>
      </c>
      <c r="E128" s="297" t="inlineStr">
        <is>
          <t>Planned</t>
        </is>
      </c>
      <c r="F128" s="318">
        <f>IF(Assumptions!$D$82=2,DATE(2028,7,1),DATE(2035,1,1))</f>
        <v/>
      </c>
      <c r="G128" s="318" t="n"/>
      <c r="H128" s="288" t="n">
        <v>5000</v>
      </c>
      <c r="I128" s="299">
        <f>IF(AND($F128&lt;=I$2, OR($G128="",$G128&gt;=I$2)),
  $H128 * (1 + Assumptions!$C$7) ^ INT(((YEAR(I$2)-YEAR($F128))*12 + MONTH(I$2)-MONTH($F128)) / 12),
  0)</f>
        <v/>
      </c>
      <c r="J128" s="299">
        <f>IF(AND($F128&lt;=J$2, OR($G128="",$G128&gt;=J$2)),
  $H128 * (1 + Assumptions!$C$7) ^ INT(((YEAR(J$2)-YEAR($F128))*12 + MONTH(J$2)-MONTH($F128)) / 12),
  0)</f>
        <v/>
      </c>
      <c r="K128" s="299">
        <f>IF(AND($F128&lt;=K$2, OR($G128="",$G128&gt;=K$2)),
  $H128 * (1 + Assumptions!$C$7) ^ INT(((YEAR(K$2)-YEAR($F128))*12 + MONTH(K$2)-MONTH($F128)) / 12),
  0)</f>
        <v/>
      </c>
      <c r="L128" s="299">
        <f>IF(AND($F128&lt;=L$2, OR($G128="",$G128&gt;=L$2)),
  $H128 * (1 + Assumptions!$C$7) ^ INT(((YEAR(L$2)-YEAR($F128))*12 + MONTH(L$2)-MONTH($F128)) / 12),
  0)</f>
        <v/>
      </c>
      <c r="M128" s="299">
        <f>IF(AND($F128&lt;=M$2, OR($G128="",$G128&gt;=M$2)),
  $H128 * (1 + Assumptions!$C$7) ^ INT(((YEAR(M$2)-YEAR($F128))*12 + MONTH(M$2)-MONTH($F128)) / 12),
  0)</f>
        <v/>
      </c>
      <c r="N128" s="299">
        <f>IF(AND($F128&lt;=N$2, OR($G128="",$G128&gt;=N$2)),
  $H128 * (1 + Assumptions!$C$7) ^ INT(((YEAR(N$2)-YEAR($F128))*12 + MONTH(N$2)-MONTH($F128)) / 12),
  0)</f>
        <v/>
      </c>
      <c r="O128" s="299">
        <f>IF(AND($F128&lt;=O$2, OR($G128="",$G128&gt;=O$2)),
  $H128 * (1 + Assumptions!$C$7) ^ INT(((YEAR(O$2)-YEAR($F128))*12 + MONTH(O$2)-MONTH($F128)) / 12),
  0)</f>
        <v/>
      </c>
      <c r="P128" s="299">
        <f>IF(AND($F128&lt;=P$2, OR($G128="",$G128&gt;=P$2)),
  $H128 * (1 + Assumptions!$C$7) ^ INT(((YEAR(P$2)-YEAR($F128))*12 + MONTH(P$2)-MONTH($F128)) / 12),
  0)</f>
        <v/>
      </c>
      <c r="Q128" s="299">
        <f>IF(AND($F128&lt;=Q$2, OR($G128="",$G128&gt;=Q$2)),
  $H128 * (1 + Assumptions!$C$7) ^ INT(((YEAR(Q$2)-YEAR($F128))*12 + MONTH(Q$2)-MONTH($F128)) / 12),
  0)</f>
        <v/>
      </c>
      <c r="R128" s="299">
        <f>IF(AND($F128&lt;=R$2, OR($G128="",$G128&gt;=R$2)),
  $H128 * (1 + Assumptions!$C$7) ^ INT(((YEAR(R$2)-YEAR($F128))*12 + MONTH(R$2)-MONTH($F128)) / 12),
  0)</f>
        <v/>
      </c>
      <c r="S128" s="299">
        <f>IF(AND($F128&lt;=S$2, OR($G128="",$G128&gt;=S$2)),
  $H128 * (1 + Assumptions!$C$7) ^ INT(((YEAR(S$2)-YEAR($F128))*12 + MONTH(S$2)-MONTH($F128)) / 12),
  0)</f>
        <v/>
      </c>
      <c r="T128" s="299">
        <f>IF(AND($F128&lt;=T$2, OR($G128="",$G128&gt;=T$2)),
  $H128 * (1 + Assumptions!$C$7) ^ INT(((YEAR(T$2)-YEAR($F128))*12 + MONTH(T$2)-MONTH($F128)) / 12),
  0)</f>
        <v/>
      </c>
      <c r="U128" s="299">
        <f>IF(AND($F128&lt;=U$2, OR($G128="",$G128&gt;=U$2)),
  $H128 * (1 + Assumptions!$C$7) ^ INT(((YEAR(U$2)-YEAR($F128))*12 + MONTH(U$2)-MONTH($F128)) / 12),
  0)</f>
        <v/>
      </c>
      <c r="V128" s="299">
        <f>IF(AND($F128&lt;=V$2, OR($G128="",$G128&gt;=V$2)),
  $H128 * (1 + Assumptions!$C$7) ^ INT(((YEAR(V$2)-YEAR($F128))*12 + MONTH(V$2)-MONTH($F128)) / 12),
  0)</f>
        <v/>
      </c>
      <c r="W128" s="299">
        <f>IF(AND($F128&lt;=W$2, OR($G128="",$G128&gt;=W$2)),
  $H128 * (1 + Assumptions!$C$7) ^ INT(((YEAR(W$2)-YEAR($F128))*12 + MONTH(W$2)-MONTH($F128)) / 12),
  0)</f>
        <v/>
      </c>
      <c r="X128" s="299">
        <f>IF(AND($F128&lt;=X$2, OR($G128="",$G128&gt;=X$2)),
  $H128 * (1 + Assumptions!$C$7) ^ INT(((YEAR(X$2)-YEAR($F128))*12 + MONTH(X$2)-MONTH($F128)) / 12),
  0)</f>
        <v/>
      </c>
      <c r="Y128" s="299">
        <f>IF(AND($F128&lt;=Y$2, OR($G128="",$G128&gt;=Y$2)),
  $H128 * (1 + Assumptions!$C$7) ^ INT(((YEAR(Y$2)-YEAR($F128))*12 + MONTH(Y$2)-MONTH($F128)) / 12),
  0)</f>
        <v/>
      </c>
      <c r="Z128" s="299">
        <f>IF(AND($F128&lt;=Z$2, OR($G128="",$G128&gt;=Z$2)),
  $H128 * (1 + Assumptions!$C$7) ^ INT(((YEAR(Z$2)-YEAR($F128))*12 + MONTH(Z$2)-MONTH($F128)) / 12),
  0)</f>
        <v/>
      </c>
      <c r="AA128" s="299">
        <f>IF(AND($F128&lt;=AA$2, OR($G128="",$G128&gt;=AA$2)),
  $H128 * (1 + Assumptions!$C$7) ^ INT(((YEAR(AA$2)-YEAR($F128))*12 + MONTH(AA$2)-MONTH($F128)) / 12),
  0)</f>
        <v/>
      </c>
      <c r="AB128" s="299">
        <f>IF(AND($F128&lt;=AB$2, OR($G128="",$G128&gt;=AB$2)),
  $H128 * (1 + Assumptions!$C$7) ^ INT(((YEAR(AB$2)-YEAR($F128))*12 + MONTH(AB$2)-MONTH($F128)) / 12),
  0)</f>
        <v/>
      </c>
      <c r="AC128" s="299">
        <f>IF(AND($F128&lt;=AC$2, OR($G128="",$G128&gt;=AC$2)),
  $H128 * (1 + Assumptions!$C$7) ^ INT(((YEAR(AC$2)-YEAR($F128))*12 + MONTH(AC$2)-MONTH($F128)) / 12),
  0)</f>
        <v/>
      </c>
      <c r="AD128" s="299">
        <f>IF(AND($F128&lt;=AD$2, OR($G128="",$G128&gt;=AD$2)),
  $H128 * (1 + Assumptions!$C$7) ^ INT(((YEAR(AD$2)-YEAR($F128))*12 + MONTH(AD$2)-MONTH($F128)) / 12),
  0)</f>
        <v/>
      </c>
      <c r="AE128" s="299">
        <f>IF(AND($F128&lt;=AE$2, OR($G128="",$G128&gt;=AE$2)),
  $H128 * (1 + Assumptions!$C$7) ^ INT(((YEAR(AE$2)-YEAR($F128))*12 + MONTH(AE$2)-MONTH($F128)) / 12),
  0)</f>
        <v/>
      </c>
      <c r="AF128" s="299">
        <f>IF(AND($F128&lt;=AF$2, OR($G128="",$G128&gt;=AF$2)),
  $H128 * (1 + Assumptions!$C$7) ^ INT(((YEAR(AF$2)-YEAR($F128))*12 + MONTH(AF$2)-MONTH($F128)) / 12),
  0)</f>
        <v/>
      </c>
      <c r="AG128" s="299">
        <f>IF(AND($F128&lt;=AG$2, OR($G128="",$G128&gt;=AG$2)),
  $H128 * (1 + Assumptions!$C$7) ^ INT(((YEAR(AG$2)-YEAR($F128))*12 + MONTH(AG$2)-MONTH($F128)) / 12),
  0)</f>
        <v/>
      </c>
      <c r="AH128" s="299">
        <f>IF(AND($F128&lt;=AH$2, OR($G128="",$G128&gt;=AH$2)),
  $H128 * (1 + Assumptions!$C$7) ^ INT(((YEAR(AH$2)-YEAR($F128))*12 + MONTH(AH$2)-MONTH($F128)) / 12),
  0)</f>
        <v/>
      </c>
      <c r="AI128" s="299">
        <f>IF(AND($F128&lt;=AI$2, OR($G128="",$G128&gt;=AI$2)),
  $H128 * (1 + Assumptions!$C$7) ^ INT(((YEAR(AI$2)-YEAR($F128))*12 + MONTH(AI$2)-MONTH($F128)) / 12),
  0)</f>
        <v/>
      </c>
      <c r="AJ128" s="299">
        <f>IF(AND($F128&lt;=AJ$2, OR($G128="",$G128&gt;=AJ$2)),
  $H128 * (1 + Assumptions!$C$7) ^ INT(((YEAR(AJ$2)-YEAR($F128))*12 + MONTH(AJ$2)-MONTH($F128)) / 12),
  0)</f>
        <v/>
      </c>
      <c r="AK128" s="299">
        <f>IF(AND($F128&lt;=AK$2, OR($G128="",$G128&gt;=AK$2)),
  $H128 * (1 + Assumptions!$C$7) ^ INT(((YEAR(AK$2)-YEAR($F128))*12 + MONTH(AK$2)-MONTH($F128)) / 12),
  0)</f>
        <v/>
      </c>
      <c r="AL128" s="299">
        <f>IF(AND($F128&lt;=AL$2, OR($G128="",$G128&gt;=AL$2)),
  $H128 * (1 + Assumptions!$C$7) ^ INT(((YEAR(AL$2)-YEAR($F128))*12 + MONTH(AL$2)-MONTH($F128)) / 12),
  0)</f>
        <v/>
      </c>
      <c r="AM128" s="299">
        <f>IF(AND($F128&lt;=AM$2, OR($G128="",$G128&gt;=AM$2)),
  $H128 * (1 + Assumptions!$C$7) ^ INT(((YEAR(AM$2)-YEAR($F128))*12 + MONTH(AM$2)-MONTH($F128)) / 12),
  0)</f>
        <v/>
      </c>
      <c r="AN128" s="299">
        <f>IF(AND($F128&lt;=AN$2, OR($G128="",$G128&gt;=AN$2)),
  $H128 * (1 + Assumptions!$C$7) ^ INT(((YEAR(AN$2)-YEAR($F128))*12 + MONTH(AN$2)-MONTH($F128)) / 12),
  0)</f>
        <v/>
      </c>
      <c r="AO128" s="299">
        <f>IF(AND($F128&lt;=AO$2, OR($G128="",$G128&gt;=AO$2)),
  $H128 * (1 + Assumptions!$C$7) ^ INT(((YEAR(AO$2)-YEAR($F128))*12 + MONTH(AO$2)-MONTH($F128)) / 12),
  0)</f>
        <v/>
      </c>
      <c r="AP128" s="299">
        <f>IF(AND($F128&lt;=AP$2, OR($G128="",$G128&gt;=AP$2)),
  $H128 * (1 + Assumptions!$C$7) ^ INT(((YEAR(AP$2)-YEAR($F128))*12 + MONTH(AP$2)-MONTH($F128)) / 12),
  0)</f>
        <v/>
      </c>
      <c r="AQ128" s="299">
        <f>IF(AND($F128&lt;=AQ$2, OR($G128="",$G128&gt;=AQ$2)),
  $H128 * (1 + Assumptions!$C$7) ^ INT(((YEAR(AQ$2)-YEAR($F128))*12 + MONTH(AQ$2)-MONTH($F128)) / 12),
  0)</f>
        <v/>
      </c>
      <c r="AR128" s="299">
        <f>IF(AND($F128&lt;=AR$2, OR($G128="",$G128&gt;=AR$2)),
  $H128 * (1 + Assumptions!$C$7) ^ INT(((YEAR(AR$2)-YEAR($F128))*12 + MONTH(AR$2)-MONTH($F128)) / 12),
  0)</f>
        <v/>
      </c>
      <c r="AS128" s="299">
        <f>IF(AND($F128&lt;=AS$2, OR($G128="",$G128&gt;=AS$2)),
  $H128 * (1 + Assumptions!$C$7) ^ INT(((YEAR(AS$2)-YEAR($F128))*12 + MONTH(AS$2)-MONTH($F128)) / 12),
  0)</f>
        <v/>
      </c>
      <c r="AT128" s="299">
        <f>IF(AND($F128&lt;=AT$2, OR($G128="",$G128&gt;=AT$2)),
  $H128 * (1 + Assumptions!$C$7) ^ INT(((YEAR(AT$2)-YEAR($F128))*12 + MONTH(AT$2)-MONTH($F128)) / 12),
  0)</f>
        <v/>
      </c>
      <c r="AU128" s="299">
        <f>IF(AND($F128&lt;=AU$2, OR($G128="",$G128&gt;=AU$2)),
  $H128 * (1 + Assumptions!$C$7) ^ INT(((YEAR(AU$2)-YEAR($F128))*12 + MONTH(AU$2)-MONTH($F128)) / 12),
  0)</f>
        <v/>
      </c>
      <c r="AV128" s="299">
        <f>IF(AND($F128&lt;=AV$2, OR($G128="",$G128&gt;=AV$2)),
  $H128 * (1 + Assumptions!$C$7) ^ INT(((YEAR(AV$2)-YEAR($F128))*12 + MONTH(AV$2)-MONTH($F128)) / 12),
  0)</f>
        <v/>
      </c>
      <c r="AW128" s="299">
        <f>IF(AND($F128&lt;=AW$2, OR($G128="",$G128&gt;=AW$2)),
  $H128 * (1 + Assumptions!$C$7) ^ INT(((YEAR(AW$2)-YEAR($F128))*12 + MONTH(AW$2)-MONTH($F128)) / 12),
  0)</f>
        <v/>
      </c>
      <c r="AX128" s="299">
        <f>IF(AND($F128&lt;=AX$2, OR($G128="",$G128&gt;=AX$2)),
  $H128 * (1 + Assumptions!$C$7) ^ INT(((YEAR(AX$2)-YEAR($F128))*12 + MONTH(AX$2)-MONTH($F128)) / 12),
  0)</f>
        <v/>
      </c>
      <c r="AY128" s="299">
        <f>IF(AND($F128&lt;=AY$2, OR($G128="",$G128&gt;=AY$2)),
  $H128 * (1 + Assumptions!$C$7) ^ INT(((YEAR(AY$2)-YEAR($F128))*12 + MONTH(AY$2)-MONTH($F128)) / 12),
  0)</f>
        <v/>
      </c>
      <c r="AZ128" s="299">
        <f>IF(AND($F128&lt;=AZ$2, OR($G128="",$G128&gt;=AZ$2)),
  $H128 * (1 + Assumptions!$C$7) ^ INT(((YEAR(AZ$2)-YEAR($F128))*12 + MONTH(AZ$2)-MONTH($F128)) / 12),
  0)</f>
        <v/>
      </c>
      <c r="BA128" s="299">
        <f>IF(AND($F128&lt;=BA$2, OR($G128="",$G128&gt;=BA$2)),
  $H128 * (1 + Assumptions!$C$7) ^ INT(((YEAR(BA$2)-YEAR($F128))*12 + MONTH(BA$2)-MONTH($F128)) / 12),
  0)</f>
        <v/>
      </c>
      <c r="BB128" s="299">
        <f>IF(AND($F128&lt;=BB$2, OR($G128="",$G128&gt;=BB$2)),
  $H128 * (1 + Assumptions!$C$7) ^ INT(((YEAR(BB$2)-YEAR($F128))*12 + MONTH(BB$2)-MONTH($F128)) / 12),
  0)</f>
        <v/>
      </c>
      <c r="BC128" s="299">
        <f>IF(AND($F128&lt;=BC$2, OR($G128="",$G128&gt;=BC$2)),
  $H128 * (1 + Assumptions!$C$7) ^ INT(((YEAR(BC$2)-YEAR($F128))*12 + MONTH(BC$2)-MONTH($F128)) / 12),
  0)</f>
        <v/>
      </c>
      <c r="BD128" s="299">
        <f>IF(AND($F128&lt;=BD$2, OR($G128="",$G128&gt;=BD$2)),
  $H128 * (1 + Assumptions!$C$7) ^ INT(((YEAR(BD$2)-YEAR($F128))*12 + MONTH(BD$2)-MONTH($F128)) / 12),
  0)</f>
        <v/>
      </c>
      <c r="BE128" s="299">
        <f>IF(AND($F128&lt;=BE$2, OR($G128="",$G128&gt;=BE$2)),
  $H128 * (1 + Assumptions!$C$7) ^ INT(((YEAR(BE$2)-YEAR($F128))*12 + MONTH(BE$2)-MONTH($F128)) / 12),
  0)</f>
        <v/>
      </c>
      <c r="BF128" s="299">
        <f>IF(AND($F128&lt;=BF$2, OR($G128="",$G128&gt;=BF$2)),
  $H128 * (1 + Assumptions!$C$7) ^ INT(((YEAR(BF$2)-YEAR($F128))*12 + MONTH(BF$2)-MONTH($F128)) / 12),
  0)</f>
        <v/>
      </c>
      <c r="BG128" s="299">
        <f>IF(AND($F128&lt;=BG$2, OR($G128="",$G128&gt;=BG$2)),
  $H128 * (1 + Assumptions!$C$7) ^ INT(((YEAR(BG$2)-YEAR($F128))*12 + MONTH(BG$2)-MONTH($F128)) / 12),
  0)</f>
        <v/>
      </c>
      <c r="BH128" s="299">
        <f>IF(AND($F128&lt;=BH$2, OR($G128="",$G128&gt;=BH$2)),
  $H128 * (1 + Assumptions!$C$7) ^ INT(((YEAR(BH$2)-YEAR($F128))*12 + MONTH(BH$2)-MONTH($F128)) / 12),
  0)</f>
        <v/>
      </c>
      <c r="BI128" s="299">
        <f>IF(AND($F128&lt;=BI$2, OR($G128="",$G128&gt;=BI$2)),
  $H128 * (1 + Assumptions!$C$7) ^ INT(((YEAR(BI$2)-YEAR($F128))*12 + MONTH(BI$2)-MONTH($F128)) / 12),
  0)</f>
        <v/>
      </c>
      <c r="BJ128" s="299">
        <f>IF(AND($F128&lt;=BJ$2, OR($G128="",$G128&gt;=BJ$2)),
  $H128 * (1 + Assumptions!$C$7) ^ INT(((YEAR(BJ$2)-YEAR($F128))*12 + MONTH(BJ$2)-MONTH($F128)) / 12),
  0)</f>
        <v/>
      </c>
      <c r="BK128" s="299">
        <f>IF(AND($F128&lt;=BK$2, OR($G128="",$G128&gt;=BK$2)),
  $H128 * (1 + Assumptions!$C$7) ^ INT(((YEAR(BK$2)-YEAR($F128))*12 + MONTH(BK$2)-MONTH($F128)) / 12),
  0)</f>
        <v/>
      </c>
      <c r="BL128" s="299">
        <f>IF(AND($F128&lt;=BL$2, OR($G128="",$G128&gt;=BL$2)),
  $H128 * (1 + Assumptions!$C$7) ^ INT(((YEAR(BL$2)-YEAR($F128))*12 + MONTH(BL$2)-MONTH($F128)) / 12),
  0)</f>
        <v/>
      </c>
      <c r="BM128" s="299">
        <f>IF(AND($F128&lt;=BM$2, OR($G128="",$G128&gt;=BM$2)),
  $H128 * (1 + Assumptions!$C$7) ^ INT(((YEAR(BM$2)-YEAR($F128))*12 + MONTH(BM$2)-MONTH($F128)) / 12),
  0)</f>
        <v/>
      </c>
      <c r="BN128" s="299">
        <f>IF(AND($F128&lt;=BN$2, OR($G128="",$G128&gt;=BN$2)),
  $H128 * (1 + Assumptions!$C$7) ^ INT(((YEAR(BN$2)-YEAR($F128))*12 + MONTH(BN$2)-MONTH($F128)) / 12),
  0)</f>
        <v/>
      </c>
      <c r="BO128" s="299">
        <f>IF(AND($F128&lt;=BO$2, OR($G128="",$G128&gt;=BO$2)),
  $H128 * (1 + Assumptions!$C$7) ^ INT(((YEAR(BO$2)-YEAR($F128))*12 + MONTH(BO$2)-MONTH($F128)) / 12),
  0)</f>
        <v/>
      </c>
      <c r="BP128" s="299">
        <f>IF(AND($F128&lt;=BP$2, OR($G128="",$G128&gt;=BP$2)),
  $H128 * (1 + Assumptions!$C$7) ^ INT(((YEAR(BP$2)-YEAR($F128))*12 + MONTH(BP$2)-MONTH($F128)) / 12),
  0)</f>
        <v/>
      </c>
      <c r="BQ128" s="31" t="n"/>
      <c r="BR128" s="31" t="n"/>
      <c r="BS128" s="31" t="n"/>
      <c r="BT128" s="31" t="n"/>
    </row>
    <row r="129" ht="15.75" customHeight="1" s="349">
      <c r="A129" s="321" t="n">
        <v>124</v>
      </c>
      <c r="B129" s="285" t="inlineStr">
        <is>
          <t>New hire</t>
        </is>
      </c>
      <c r="C129" s="317" t="inlineStr">
        <is>
          <t>G&amp;A</t>
        </is>
      </c>
      <c r="D129" s="317" t="inlineStr">
        <is>
          <t>Production Operator</t>
        </is>
      </c>
      <c r="E129" s="297" t="inlineStr">
        <is>
          <t>Planned</t>
        </is>
      </c>
      <c r="F129" s="318">
        <f>IF(Assumptions!$D$82=2,DATE(2028,7,1),DATE(2035,1,1))</f>
        <v/>
      </c>
      <c r="G129" s="318" t="n"/>
      <c r="H129" s="288" t="n">
        <v>5000</v>
      </c>
      <c r="I129" s="299">
        <f>IF(AND($F129&lt;=I$2, OR($G129="",$G129&gt;=I$2)),
  $H129 * (1 + Assumptions!$C$7) ^ INT(((YEAR(I$2)-YEAR($F129))*12 + MONTH(I$2)-MONTH($F129)) / 12),
  0)</f>
        <v/>
      </c>
      <c r="J129" s="299">
        <f>IF(AND($F129&lt;=J$2, OR($G129="",$G129&gt;=J$2)),
  $H129 * (1 + Assumptions!$C$7) ^ INT(((YEAR(J$2)-YEAR($F129))*12 + MONTH(J$2)-MONTH($F129)) / 12),
  0)</f>
        <v/>
      </c>
      <c r="K129" s="299">
        <f>IF(AND($F129&lt;=K$2, OR($G129="",$G129&gt;=K$2)),
  $H129 * (1 + Assumptions!$C$7) ^ INT(((YEAR(K$2)-YEAR($F129))*12 + MONTH(K$2)-MONTH($F129)) / 12),
  0)</f>
        <v/>
      </c>
      <c r="L129" s="299">
        <f>IF(AND($F129&lt;=L$2, OR($G129="",$G129&gt;=L$2)),
  $H129 * (1 + Assumptions!$C$7) ^ INT(((YEAR(L$2)-YEAR($F129))*12 + MONTH(L$2)-MONTH($F129)) / 12),
  0)</f>
        <v/>
      </c>
      <c r="M129" s="299">
        <f>IF(AND($F129&lt;=M$2, OR($G129="",$G129&gt;=M$2)),
  $H129 * (1 + Assumptions!$C$7) ^ INT(((YEAR(M$2)-YEAR($F129))*12 + MONTH(M$2)-MONTH($F129)) / 12),
  0)</f>
        <v/>
      </c>
      <c r="N129" s="299">
        <f>IF(AND($F129&lt;=N$2, OR($G129="",$G129&gt;=N$2)),
  $H129 * (1 + Assumptions!$C$7) ^ INT(((YEAR(N$2)-YEAR($F129))*12 + MONTH(N$2)-MONTH($F129)) / 12),
  0)</f>
        <v/>
      </c>
      <c r="O129" s="299">
        <f>IF(AND($F129&lt;=O$2, OR($G129="",$G129&gt;=O$2)),
  $H129 * (1 + Assumptions!$C$7) ^ INT(((YEAR(O$2)-YEAR($F129))*12 + MONTH(O$2)-MONTH($F129)) / 12),
  0)</f>
        <v/>
      </c>
      <c r="P129" s="299">
        <f>IF(AND($F129&lt;=P$2, OR($G129="",$G129&gt;=P$2)),
  $H129 * (1 + Assumptions!$C$7) ^ INT(((YEAR(P$2)-YEAR($F129))*12 + MONTH(P$2)-MONTH($F129)) / 12),
  0)</f>
        <v/>
      </c>
      <c r="Q129" s="299">
        <f>IF(AND($F129&lt;=Q$2, OR($G129="",$G129&gt;=Q$2)),
  $H129 * (1 + Assumptions!$C$7) ^ INT(((YEAR(Q$2)-YEAR($F129))*12 + MONTH(Q$2)-MONTH($F129)) / 12),
  0)</f>
        <v/>
      </c>
      <c r="R129" s="299">
        <f>IF(AND($F129&lt;=R$2, OR($G129="",$G129&gt;=R$2)),
  $H129 * (1 + Assumptions!$C$7) ^ INT(((YEAR(R$2)-YEAR($F129))*12 + MONTH(R$2)-MONTH($F129)) / 12),
  0)</f>
        <v/>
      </c>
      <c r="S129" s="299">
        <f>IF(AND($F129&lt;=S$2, OR($G129="",$G129&gt;=S$2)),
  $H129 * (1 + Assumptions!$C$7) ^ INT(((YEAR(S$2)-YEAR($F129))*12 + MONTH(S$2)-MONTH($F129)) / 12),
  0)</f>
        <v/>
      </c>
      <c r="T129" s="299">
        <f>IF(AND($F129&lt;=T$2, OR($G129="",$G129&gt;=T$2)),
  $H129 * (1 + Assumptions!$C$7) ^ INT(((YEAR(T$2)-YEAR($F129))*12 + MONTH(T$2)-MONTH($F129)) / 12),
  0)</f>
        <v/>
      </c>
      <c r="U129" s="299">
        <f>IF(AND($F129&lt;=U$2, OR($G129="",$G129&gt;=U$2)),
  $H129 * (1 + Assumptions!$C$7) ^ INT(((YEAR(U$2)-YEAR($F129))*12 + MONTH(U$2)-MONTH($F129)) / 12),
  0)</f>
        <v/>
      </c>
      <c r="V129" s="299">
        <f>IF(AND($F129&lt;=V$2, OR($G129="",$G129&gt;=V$2)),
  $H129 * (1 + Assumptions!$C$7) ^ INT(((YEAR(V$2)-YEAR($F129))*12 + MONTH(V$2)-MONTH($F129)) / 12),
  0)</f>
        <v/>
      </c>
      <c r="W129" s="299">
        <f>IF(AND($F129&lt;=W$2, OR($G129="",$G129&gt;=W$2)),
  $H129 * (1 + Assumptions!$C$7) ^ INT(((YEAR(W$2)-YEAR($F129))*12 + MONTH(W$2)-MONTH($F129)) / 12),
  0)</f>
        <v/>
      </c>
      <c r="X129" s="299">
        <f>IF(AND($F129&lt;=X$2, OR($G129="",$G129&gt;=X$2)),
  $H129 * (1 + Assumptions!$C$7) ^ INT(((YEAR(X$2)-YEAR($F129))*12 + MONTH(X$2)-MONTH($F129)) / 12),
  0)</f>
        <v/>
      </c>
      <c r="Y129" s="299">
        <f>IF(AND($F129&lt;=Y$2, OR($G129="",$G129&gt;=Y$2)),
  $H129 * (1 + Assumptions!$C$7) ^ INT(((YEAR(Y$2)-YEAR($F129))*12 + MONTH(Y$2)-MONTH($F129)) / 12),
  0)</f>
        <v/>
      </c>
      <c r="Z129" s="299">
        <f>IF(AND($F129&lt;=Z$2, OR($G129="",$G129&gt;=Z$2)),
  $H129 * (1 + Assumptions!$C$7) ^ INT(((YEAR(Z$2)-YEAR($F129))*12 + MONTH(Z$2)-MONTH($F129)) / 12),
  0)</f>
        <v/>
      </c>
      <c r="AA129" s="299">
        <f>IF(AND($F129&lt;=AA$2, OR($G129="",$G129&gt;=AA$2)),
  $H129 * (1 + Assumptions!$C$7) ^ INT(((YEAR(AA$2)-YEAR($F129))*12 + MONTH(AA$2)-MONTH($F129)) / 12),
  0)</f>
        <v/>
      </c>
      <c r="AB129" s="299">
        <f>IF(AND($F129&lt;=AB$2, OR($G129="",$G129&gt;=AB$2)),
  $H129 * (1 + Assumptions!$C$7) ^ INT(((YEAR(AB$2)-YEAR($F129))*12 + MONTH(AB$2)-MONTH($F129)) / 12),
  0)</f>
        <v/>
      </c>
      <c r="AC129" s="299">
        <f>IF(AND($F129&lt;=AC$2, OR($G129="",$G129&gt;=AC$2)),
  $H129 * (1 + Assumptions!$C$7) ^ INT(((YEAR(AC$2)-YEAR($F129))*12 + MONTH(AC$2)-MONTH($F129)) / 12),
  0)</f>
        <v/>
      </c>
      <c r="AD129" s="299">
        <f>IF(AND($F129&lt;=AD$2, OR($G129="",$G129&gt;=AD$2)),
  $H129 * (1 + Assumptions!$C$7) ^ INT(((YEAR(AD$2)-YEAR($F129))*12 + MONTH(AD$2)-MONTH($F129)) / 12),
  0)</f>
        <v/>
      </c>
      <c r="AE129" s="299">
        <f>IF(AND($F129&lt;=AE$2, OR($G129="",$G129&gt;=AE$2)),
  $H129 * (1 + Assumptions!$C$7) ^ INT(((YEAR(AE$2)-YEAR($F129))*12 + MONTH(AE$2)-MONTH($F129)) / 12),
  0)</f>
        <v/>
      </c>
      <c r="AF129" s="299">
        <f>IF(AND($F129&lt;=AF$2, OR($G129="",$G129&gt;=AF$2)),
  $H129 * (1 + Assumptions!$C$7) ^ INT(((YEAR(AF$2)-YEAR($F129))*12 + MONTH(AF$2)-MONTH($F129)) / 12),
  0)</f>
        <v/>
      </c>
      <c r="AG129" s="299">
        <f>IF(AND($F129&lt;=AG$2, OR($G129="",$G129&gt;=AG$2)),
  $H129 * (1 + Assumptions!$C$7) ^ INT(((YEAR(AG$2)-YEAR($F129))*12 + MONTH(AG$2)-MONTH($F129)) / 12),
  0)</f>
        <v/>
      </c>
      <c r="AH129" s="299">
        <f>IF(AND($F129&lt;=AH$2, OR($G129="",$G129&gt;=AH$2)),
  $H129 * (1 + Assumptions!$C$7) ^ INT(((YEAR(AH$2)-YEAR($F129))*12 + MONTH(AH$2)-MONTH($F129)) / 12),
  0)</f>
        <v/>
      </c>
      <c r="AI129" s="299">
        <f>IF(AND($F129&lt;=AI$2, OR($G129="",$G129&gt;=AI$2)),
  $H129 * (1 + Assumptions!$C$7) ^ INT(((YEAR(AI$2)-YEAR($F129))*12 + MONTH(AI$2)-MONTH($F129)) / 12),
  0)</f>
        <v/>
      </c>
      <c r="AJ129" s="299">
        <f>IF(AND($F129&lt;=AJ$2, OR($G129="",$G129&gt;=AJ$2)),
  $H129 * (1 + Assumptions!$C$7) ^ INT(((YEAR(AJ$2)-YEAR($F129))*12 + MONTH(AJ$2)-MONTH($F129)) / 12),
  0)</f>
        <v/>
      </c>
      <c r="AK129" s="299">
        <f>IF(AND($F129&lt;=AK$2, OR($G129="",$G129&gt;=AK$2)),
  $H129 * (1 + Assumptions!$C$7) ^ INT(((YEAR(AK$2)-YEAR($F129))*12 + MONTH(AK$2)-MONTH($F129)) / 12),
  0)</f>
        <v/>
      </c>
      <c r="AL129" s="299">
        <f>IF(AND($F129&lt;=AL$2, OR($G129="",$G129&gt;=AL$2)),
  $H129 * (1 + Assumptions!$C$7) ^ INT(((YEAR(AL$2)-YEAR($F129))*12 + MONTH(AL$2)-MONTH($F129)) / 12),
  0)</f>
        <v/>
      </c>
      <c r="AM129" s="299">
        <f>IF(AND($F129&lt;=AM$2, OR($G129="",$G129&gt;=AM$2)),
  $H129 * (1 + Assumptions!$C$7) ^ INT(((YEAR(AM$2)-YEAR($F129))*12 + MONTH(AM$2)-MONTH($F129)) / 12),
  0)</f>
        <v/>
      </c>
      <c r="AN129" s="299">
        <f>IF(AND($F129&lt;=AN$2, OR($G129="",$G129&gt;=AN$2)),
  $H129 * (1 + Assumptions!$C$7) ^ INT(((YEAR(AN$2)-YEAR($F129))*12 + MONTH(AN$2)-MONTH($F129)) / 12),
  0)</f>
        <v/>
      </c>
      <c r="AO129" s="299">
        <f>IF(AND($F129&lt;=AO$2, OR($G129="",$G129&gt;=AO$2)),
  $H129 * (1 + Assumptions!$C$7) ^ INT(((YEAR(AO$2)-YEAR($F129))*12 + MONTH(AO$2)-MONTH($F129)) / 12),
  0)</f>
        <v/>
      </c>
      <c r="AP129" s="299">
        <f>IF(AND($F129&lt;=AP$2, OR($G129="",$G129&gt;=AP$2)),
  $H129 * (1 + Assumptions!$C$7) ^ INT(((YEAR(AP$2)-YEAR($F129))*12 + MONTH(AP$2)-MONTH($F129)) / 12),
  0)</f>
        <v/>
      </c>
      <c r="AQ129" s="299">
        <f>IF(AND($F129&lt;=AQ$2, OR($G129="",$G129&gt;=AQ$2)),
  $H129 * (1 + Assumptions!$C$7) ^ INT(((YEAR(AQ$2)-YEAR($F129))*12 + MONTH(AQ$2)-MONTH($F129)) / 12),
  0)</f>
        <v/>
      </c>
      <c r="AR129" s="299">
        <f>IF(AND($F129&lt;=AR$2, OR($G129="",$G129&gt;=AR$2)),
  $H129 * (1 + Assumptions!$C$7) ^ INT(((YEAR(AR$2)-YEAR($F129))*12 + MONTH(AR$2)-MONTH($F129)) / 12),
  0)</f>
        <v/>
      </c>
      <c r="AS129" s="299">
        <f>IF(AND($F129&lt;=AS$2, OR($G129="",$G129&gt;=AS$2)),
  $H129 * (1 + Assumptions!$C$7) ^ INT(((YEAR(AS$2)-YEAR($F129))*12 + MONTH(AS$2)-MONTH($F129)) / 12),
  0)</f>
        <v/>
      </c>
      <c r="AT129" s="299">
        <f>IF(AND($F129&lt;=AT$2, OR($G129="",$G129&gt;=AT$2)),
  $H129 * (1 + Assumptions!$C$7) ^ INT(((YEAR(AT$2)-YEAR($F129))*12 + MONTH(AT$2)-MONTH($F129)) / 12),
  0)</f>
        <v/>
      </c>
      <c r="AU129" s="299">
        <f>IF(AND($F129&lt;=AU$2, OR($G129="",$G129&gt;=AU$2)),
  $H129 * (1 + Assumptions!$C$7) ^ INT(((YEAR(AU$2)-YEAR($F129))*12 + MONTH(AU$2)-MONTH($F129)) / 12),
  0)</f>
        <v/>
      </c>
      <c r="AV129" s="299">
        <f>IF(AND($F129&lt;=AV$2, OR($G129="",$G129&gt;=AV$2)),
  $H129 * (1 + Assumptions!$C$7) ^ INT(((YEAR(AV$2)-YEAR($F129))*12 + MONTH(AV$2)-MONTH($F129)) / 12),
  0)</f>
        <v/>
      </c>
      <c r="AW129" s="299">
        <f>IF(AND($F129&lt;=AW$2, OR($G129="",$G129&gt;=AW$2)),
  $H129 * (1 + Assumptions!$C$7) ^ INT(((YEAR(AW$2)-YEAR($F129))*12 + MONTH(AW$2)-MONTH($F129)) / 12),
  0)</f>
        <v/>
      </c>
      <c r="AX129" s="299">
        <f>IF(AND($F129&lt;=AX$2, OR($G129="",$G129&gt;=AX$2)),
  $H129 * (1 + Assumptions!$C$7) ^ INT(((YEAR(AX$2)-YEAR($F129))*12 + MONTH(AX$2)-MONTH($F129)) / 12),
  0)</f>
        <v/>
      </c>
      <c r="AY129" s="299">
        <f>IF(AND($F129&lt;=AY$2, OR($G129="",$G129&gt;=AY$2)),
  $H129 * (1 + Assumptions!$C$7) ^ INT(((YEAR(AY$2)-YEAR($F129))*12 + MONTH(AY$2)-MONTH($F129)) / 12),
  0)</f>
        <v/>
      </c>
      <c r="AZ129" s="299">
        <f>IF(AND($F129&lt;=AZ$2, OR($G129="",$G129&gt;=AZ$2)),
  $H129 * (1 + Assumptions!$C$7) ^ INT(((YEAR(AZ$2)-YEAR($F129))*12 + MONTH(AZ$2)-MONTH($F129)) / 12),
  0)</f>
        <v/>
      </c>
      <c r="BA129" s="299">
        <f>IF(AND($F129&lt;=BA$2, OR($G129="",$G129&gt;=BA$2)),
  $H129 * (1 + Assumptions!$C$7) ^ INT(((YEAR(BA$2)-YEAR($F129))*12 + MONTH(BA$2)-MONTH($F129)) / 12),
  0)</f>
        <v/>
      </c>
      <c r="BB129" s="299">
        <f>IF(AND($F129&lt;=BB$2, OR($G129="",$G129&gt;=BB$2)),
  $H129 * (1 + Assumptions!$C$7) ^ INT(((YEAR(BB$2)-YEAR($F129))*12 + MONTH(BB$2)-MONTH($F129)) / 12),
  0)</f>
        <v/>
      </c>
      <c r="BC129" s="299">
        <f>IF(AND($F129&lt;=BC$2, OR($G129="",$G129&gt;=BC$2)),
  $H129 * (1 + Assumptions!$C$7) ^ INT(((YEAR(BC$2)-YEAR($F129))*12 + MONTH(BC$2)-MONTH($F129)) / 12),
  0)</f>
        <v/>
      </c>
      <c r="BD129" s="299">
        <f>IF(AND($F129&lt;=BD$2, OR($G129="",$G129&gt;=BD$2)),
  $H129 * (1 + Assumptions!$C$7) ^ INT(((YEAR(BD$2)-YEAR($F129))*12 + MONTH(BD$2)-MONTH($F129)) / 12),
  0)</f>
        <v/>
      </c>
      <c r="BE129" s="299">
        <f>IF(AND($F129&lt;=BE$2, OR($G129="",$G129&gt;=BE$2)),
  $H129 * (1 + Assumptions!$C$7) ^ INT(((YEAR(BE$2)-YEAR($F129))*12 + MONTH(BE$2)-MONTH($F129)) / 12),
  0)</f>
        <v/>
      </c>
      <c r="BF129" s="299">
        <f>IF(AND($F129&lt;=BF$2, OR($G129="",$G129&gt;=BF$2)),
  $H129 * (1 + Assumptions!$C$7) ^ INT(((YEAR(BF$2)-YEAR($F129))*12 + MONTH(BF$2)-MONTH($F129)) / 12),
  0)</f>
        <v/>
      </c>
      <c r="BG129" s="299">
        <f>IF(AND($F129&lt;=BG$2, OR($G129="",$G129&gt;=BG$2)),
  $H129 * (1 + Assumptions!$C$7) ^ INT(((YEAR(BG$2)-YEAR($F129))*12 + MONTH(BG$2)-MONTH($F129)) / 12),
  0)</f>
        <v/>
      </c>
      <c r="BH129" s="299">
        <f>IF(AND($F129&lt;=BH$2, OR($G129="",$G129&gt;=BH$2)),
  $H129 * (1 + Assumptions!$C$7) ^ INT(((YEAR(BH$2)-YEAR($F129))*12 + MONTH(BH$2)-MONTH($F129)) / 12),
  0)</f>
        <v/>
      </c>
      <c r="BI129" s="299">
        <f>IF(AND($F129&lt;=BI$2, OR($G129="",$G129&gt;=BI$2)),
  $H129 * (1 + Assumptions!$C$7) ^ INT(((YEAR(BI$2)-YEAR($F129))*12 + MONTH(BI$2)-MONTH($F129)) / 12),
  0)</f>
        <v/>
      </c>
      <c r="BJ129" s="299">
        <f>IF(AND($F129&lt;=BJ$2, OR($G129="",$G129&gt;=BJ$2)),
  $H129 * (1 + Assumptions!$C$7) ^ INT(((YEAR(BJ$2)-YEAR($F129))*12 + MONTH(BJ$2)-MONTH($F129)) / 12),
  0)</f>
        <v/>
      </c>
      <c r="BK129" s="299">
        <f>IF(AND($F129&lt;=BK$2, OR($G129="",$G129&gt;=BK$2)),
  $H129 * (1 + Assumptions!$C$7) ^ INT(((YEAR(BK$2)-YEAR($F129))*12 + MONTH(BK$2)-MONTH($F129)) / 12),
  0)</f>
        <v/>
      </c>
      <c r="BL129" s="299">
        <f>IF(AND($F129&lt;=BL$2, OR($G129="",$G129&gt;=BL$2)),
  $H129 * (1 + Assumptions!$C$7) ^ INT(((YEAR(BL$2)-YEAR($F129))*12 + MONTH(BL$2)-MONTH($F129)) / 12),
  0)</f>
        <v/>
      </c>
      <c r="BM129" s="299">
        <f>IF(AND($F129&lt;=BM$2, OR($G129="",$G129&gt;=BM$2)),
  $H129 * (1 + Assumptions!$C$7) ^ INT(((YEAR(BM$2)-YEAR($F129))*12 + MONTH(BM$2)-MONTH($F129)) / 12),
  0)</f>
        <v/>
      </c>
      <c r="BN129" s="299">
        <f>IF(AND($F129&lt;=BN$2, OR($G129="",$G129&gt;=BN$2)),
  $H129 * (1 + Assumptions!$C$7) ^ INT(((YEAR(BN$2)-YEAR($F129))*12 + MONTH(BN$2)-MONTH($F129)) / 12),
  0)</f>
        <v/>
      </c>
      <c r="BO129" s="299">
        <f>IF(AND($F129&lt;=BO$2, OR($G129="",$G129&gt;=BO$2)),
  $H129 * (1 + Assumptions!$C$7) ^ INT(((YEAR(BO$2)-YEAR($F129))*12 + MONTH(BO$2)-MONTH($F129)) / 12),
  0)</f>
        <v/>
      </c>
      <c r="BP129" s="299">
        <f>IF(AND($F129&lt;=BP$2, OR($G129="",$G129&gt;=BP$2)),
  $H129 * (1 + Assumptions!$C$7) ^ INT(((YEAR(BP$2)-YEAR($F129))*12 + MONTH(BP$2)-MONTH($F129)) / 12),
  0)</f>
        <v/>
      </c>
      <c r="BQ129" s="31" t="n"/>
      <c r="BR129" s="31" t="n"/>
      <c r="BS129" s="31" t="n"/>
      <c r="BT129" s="31" t="n"/>
    </row>
    <row r="130" ht="15.75" customHeight="1" s="349">
      <c r="A130" s="321" t="n">
        <v>125</v>
      </c>
      <c r="B130" s="285" t="inlineStr">
        <is>
          <t>New hire</t>
        </is>
      </c>
      <c r="C130" s="317" t="inlineStr">
        <is>
          <t>G&amp;A</t>
        </is>
      </c>
      <c r="D130" s="317" t="inlineStr">
        <is>
          <t>Production Operator</t>
        </is>
      </c>
      <c r="E130" s="297" t="inlineStr">
        <is>
          <t>Planned</t>
        </is>
      </c>
      <c r="F130" s="318">
        <f>IF(Assumptions!$D$82=2,DATE(2028,7,1),DATE(2035,1,1))</f>
        <v/>
      </c>
      <c r="G130" s="318" t="n"/>
      <c r="H130" s="288" t="n">
        <v>5000</v>
      </c>
      <c r="I130" s="299">
        <f>IF(AND($F130&lt;=I$2, OR($G130="",$G130&gt;=I$2)),
  $H130 * (1 + Assumptions!$C$7) ^ INT(((YEAR(I$2)-YEAR($F130))*12 + MONTH(I$2)-MONTH($F130)) / 12),
  0)</f>
        <v/>
      </c>
      <c r="J130" s="299">
        <f>IF(AND($F130&lt;=J$2, OR($G130="",$G130&gt;=J$2)),
  $H130 * (1 + Assumptions!$C$7) ^ INT(((YEAR(J$2)-YEAR($F130))*12 + MONTH(J$2)-MONTH($F130)) / 12),
  0)</f>
        <v/>
      </c>
      <c r="K130" s="299">
        <f>IF(AND($F130&lt;=K$2, OR($G130="",$G130&gt;=K$2)),
  $H130 * (1 + Assumptions!$C$7) ^ INT(((YEAR(K$2)-YEAR($F130))*12 + MONTH(K$2)-MONTH($F130)) / 12),
  0)</f>
        <v/>
      </c>
      <c r="L130" s="299">
        <f>IF(AND($F130&lt;=L$2, OR($G130="",$G130&gt;=L$2)),
  $H130 * (1 + Assumptions!$C$7) ^ INT(((YEAR(L$2)-YEAR($F130))*12 + MONTH(L$2)-MONTH($F130)) / 12),
  0)</f>
        <v/>
      </c>
      <c r="M130" s="299">
        <f>IF(AND($F130&lt;=M$2, OR($G130="",$G130&gt;=M$2)),
  $H130 * (1 + Assumptions!$C$7) ^ INT(((YEAR(M$2)-YEAR($F130))*12 + MONTH(M$2)-MONTH($F130)) / 12),
  0)</f>
        <v/>
      </c>
      <c r="N130" s="299">
        <f>IF(AND($F130&lt;=N$2, OR($G130="",$G130&gt;=N$2)),
  $H130 * (1 + Assumptions!$C$7) ^ INT(((YEAR(N$2)-YEAR($F130))*12 + MONTH(N$2)-MONTH($F130)) / 12),
  0)</f>
        <v/>
      </c>
      <c r="O130" s="299">
        <f>IF(AND($F130&lt;=O$2, OR($G130="",$G130&gt;=O$2)),
  $H130 * (1 + Assumptions!$C$7) ^ INT(((YEAR(O$2)-YEAR($F130))*12 + MONTH(O$2)-MONTH($F130)) / 12),
  0)</f>
        <v/>
      </c>
      <c r="P130" s="299">
        <f>IF(AND($F130&lt;=P$2, OR($G130="",$G130&gt;=P$2)),
  $H130 * (1 + Assumptions!$C$7) ^ INT(((YEAR(P$2)-YEAR($F130))*12 + MONTH(P$2)-MONTH($F130)) / 12),
  0)</f>
        <v/>
      </c>
      <c r="Q130" s="299">
        <f>IF(AND($F130&lt;=Q$2, OR($G130="",$G130&gt;=Q$2)),
  $H130 * (1 + Assumptions!$C$7) ^ INT(((YEAR(Q$2)-YEAR($F130))*12 + MONTH(Q$2)-MONTH($F130)) / 12),
  0)</f>
        <v/>
      </c>
      <c r="R130" s="299">
        <f>IF(AND($F130&lt;=R$2, OR($G130="",$G130&gt;=R$2)),
  $H130 * (1 + Assumptions!$C$7) ^ INT(((YEAR(R$2)-YEAR($F130))*12 + MONTH(R$2)-MONTH($F130)) / 12),
  0)</f>
        <v/>
      </c>
      <c r="S130" s="299">
        <f>IF(AND($F130&lt;=S$2, OR($G130="",$G130&gt;=S$2)),
  $H130 * (1 + Assumptions!$C$7) ^ INT(((YEAR(S$2)-YEAR($F130))*12 + MONTH(S$2)-MONTH($F130)) / 12),
  0)</f>
        <v/>
      </c>
      <c r="T130" s="299">
        <f>IF(AND($F130&lt;=T$2, OR($G130="",$G130&gt;=T$2)),
  $H130 * (1 + Assumptions!$C$7) ^ INT(((YEAR(T$2)-YEAR($F130))*12 + MONTH(T$2)-MONTH($F130)) / 12),
  0)</f>
        <v/>
      </c>
      <c r="U130" s="299">
        <f>IF(AND($F130&lt;=U$2, OR($G130="",$G130&gt;=U$2)),
  $H130 * (1 + Assumptions!$C$7) ^ INT(((YEAR(U$2)-YEAR($F130))*12 + MONTH(U$2)-MONTH($F130)) / 12),
  0)</f>
        <v/>
      </c>
      <c r="V130" s="299">
        <f>IF(AND($F130&lt;=V$2, OR($G130="",$G130&gt;=V$2)),
  $H130 * (1 + Assumptions!$C$7) ^ INT(((YEAR(V$2)-YEAR($F130))*12 + MONTH(V$2)-MONTH($F130)) / 12),
  0)</f>
        <v/>
      </c>
      <c r="W130" s="299">
        <f>IF(AND($F130&lt;=W$2, OR($G130="",$G130&gt;=W$2)),
  $H130 * (1 + Assumptions!$C$7) ^ INT(((YEAR(W$2)-YEAR($F130))*12 + MONTH(W$2)-MONTH($F130)) / 12),
  0)</f>
        <v/>
      </c>
      <c r="X130" s="299">
        <f>IF(AND($F130&lt;=X$2, OR($G130="",$G130&gt;=X$2)),
  $H130 * (1 + Assumptions!$C$7) ^ INT(((YEAR(X$2)-YEAR($F130))*12 + MONTH(X$2)-MONTH($F130)) / 12),
  0)</f>
        <v/>
      </c>
      <c r="Y130" s="299">
        <f>IF(AND($F130&lt;=Y$2, OR($G130="",$G130&gt;=Y$2)),
  $H130 * (1 + Assumptions!$C$7) ^ INT(((YEAR(Y$2)-YEAR($F130))*12 + MONTH(Y$2)-MONTH($F130)) / 12),
  0)</f>
        <v/>
      </c>
      <c r="Z130" s="299">
        <f>IF(AND($F130&lt;=Z$2, OR($G130="",$G130&gt;=Z$2)),
  $H130 * (1 + Assumptions!$C$7) ^ INT(((YEAR(Z$2)-YEAR($F130))*12 + MONTH(Z$2)-MONTH($F130)) / 12),
  0)</f>
        <v/>
      </c>
      <c r="AA130" s="299">
        <f>IF(AND($F130&lt;=AA$2, OR($G130="",$G130&gt;=AA$2)),
  $H130 * (1 + Assumptions!$C$7) ^ INT(((YEAR(AA$2)-YEAR($F130))*12 + MONTH(AA$2)-MONTH($F130)) / 12),
  0)</f>
        <v/>
      </c>
      <c r="AB130" s="299">
        <f>IF(AND($F130&lt;=AB$2, OR($G130="",$G130&gt;=AB$2)),
  $H130 * (1 + Assumptions!$C$7) ^ INT(((YEAR(AB$2)-YEAR($F130))*12 + MONTH(AB$2)-MONTH($F130)) / 12),
  0)</f>
        <v/>
      </c>
      <c r="AC130" s="299">
        <f>IF(AND($F130&lt;=AC$2, OR($G130="",$G130&gt;=AC$2)),
  $H130 * (1 + Assumptions!$C$7) ^ INT(((YEAR(AC$2)-YEAR($F130))*12 + MONTH(AC$2)-MONTH($F130)) / 12),
  0)</f>
        <v/>
      </c>
      <c r="AD130" s="299">
        <f>IF(AND($F130&lt;=AD$2, OR($G130="",$G130&gt;=AD$2)),
  $H130 * (1 + Assumptions!$C$7) ^ INT(((YEAR(AD$2)-YEAR($F130))*12 + MONTH(AD$2)-MONTH($F130)) / 12),
  0)</f>
        <v/>
      </c>
      <c r="AE130" s="299">
        <f>IF(AND($F130&lt;=AE$2, OR($G130="",$G130&gt;=AE$2)),
  $H130 * (1 + Assumptions!$C$7) ^ INT(((YEAR(AE$2)-YEAR($F130))*12 + MONTH(AE$2)-MONTH($F130)) / 12),
  0)</f>
        <v/>
      </c>
      <c r="AF130" s="299">
        <f>IF(AND($F130&lt;=AF$2, OR($G130="",$G130&gt;=AF$2)),
  $H130 * (1 + Assumptions!$C$7) ^ INT(((YEAR(AF$2)-YEAR($F130))*12 + MONTH(AF$2)-MONTH($F130)) / 12),
  0)</f>
        <v/>
      </c>
      <c r="AG130" s="299">
        <f>IF(AND($F130&lt;=AG$2, OR($G130="",$G130&gt;=AG$2)),
  $H130 * (1 + Assumptions!$C$7) ^ INT(((YEAR(AG$2)-YEAR($F130))*12 + MONTH(AG$2)-MONTH($F130)) / 12),
  0)</f>
        <v/>
      </c>
      <c r="AH130" s="299">
        <f>IF(AND($F130&lt;=AH$2, OR($G130="",$G130&gt;=AH$2)),
  $H130 * (1 + Assumptions!$C$7) ^ INT(((YEAR(AH$2)-YEAR($F130))*12 + MONTH(AH$2)-MONTH($F130)) / 12),
  0)</f>
        <v/>
      </c>
      <c r="AI130" s="299">
        <f>IF(AND($F130&lt;=AI$2, OR($G130="",$G130&gt;=AI$2)),
  $H130 * (1 + Assumptions!$C$7) ^ INT(((YEAR(AI$2)-YEAR($F130))*12 + MONTH(AI$2)-MONTH($F130)) / 12),
  0)</f>
        <v/>
      </c>
      <c r="AJ130" s="299">
        <f>IF(AND($F130&lt;=AJ$2, OR($G130="",$G130&gt;=AJ$2)),
  $H130 * (1 + Assumptions!$C$7) ^ INT(((YEAR(AJ$2)-YEAR($F130))*12 + MONTH(AJ$2)-MONTH($F130)) / 12),
  0)</f>
        <v/>
      </c>
      <c r="AK130" s="299">
        <f>IF(AND($F130&lt;=AK$2, OR($G130="",$G130&gt;=AK$2)),
  $H130 * (1 + Assumptions!$C$7) ^ INT(((YEAR(AK$2)-YEAR($F130))*12 + MONTH(AK$2)-MONTH($F130)) / 12),
  0)</f>
        <v/>
      </c>
      <c r="AL130" s="299">
        <f>IF(AND($F130&lt;=AL$2, OR($G130="",$G130&gt;=AL$2)),
  $H130 * (1 + Assumptions!$C$7) ^ INT(((YEAR(AL$2)-YEAR($F130))*12 + MONTH(AL$2)-MONTH($F130)) / 12),
  0)</f>
        <v/>
      </c>
      <c r="AM130" s="299">
        <f>IF(AND($F130&lt;=AM$2, OR($G130="",$G130&gt;=AM$2)),
  $H130 * (1 + Assumptions!$C$7) ^ INT(((YEAR(AM$2)-YEAR($F130))*12 + MONTH(AM$2)-MONTH($F130)) / 12),
  0)</f>
        <v/>
      </c>
      <c r="AN130" s="299">
        <f>IF(AND($F130&lt;=AN$2, OR($G130="",$G130&gt;=AN$2)),
  $H130 * (1 + Assumptions!$C$7) ^ INT(((YEAR(AN$2)-YEAR($F130))*12 + MONTH(AN$2)-MONTH($F130)) / 12),
  0)</f>
        <v/>
      </c>
      <c r="AO130" s="299">
        <f>IF(AND($F130&lt;=AO$2, OR($G130="",$G130&gt;=AO$2)),
  $H130 * (1 + Assumptions!$C$7) ^ INT(((YEAR(AO$2)-YEAR($F130))*12 + MONTH(AO$2)-MONTH($F130)) / 12),
  0)</f>
        <v/>
      </c>
      <c r="AP130" s="299">
        <f>IF(AND($F130&lt;=AP$2, OR($G130="",$G130&gt;=AP$2)),
  $H130 * (1 + Assumptions!$C$7) ^ INT(((YEAR(AP$2)-YEAR($F130))*12 + MONTH(AP$2)-MONTH($F130)) / 12),
  0)</f>
        <v/>
      </c>
      <c r="AQ130" s="299">
        <f>IF(AND($F130&lt;=AQ$2, OR($G130="",$G130&gt;=AQ$2)),
  $H130 * (1 + Assumptions!$C$7) ^ INT(((YEAR(AQ$2)-YEAR($F130))*12 + MONTH(AQ$2)-MONTH($F130)) / 12),
  0)</f>
        <v/>
      </c>
      <c r="AR130" s="299">
        <f>IF(AND($F130&lt;=AR$2, OR($G130="",$G130&gt;=AR$2)),
  $H130 * (1 + Assumptions!$C$7) ^ INT(((YEAR(AR$2)-YEAR($F130))*12 + MONTH(AR$2)-MONTH($F130)) / 12),
  0)</f>
        <v/>
      </c>
      <c r="AS130" s="299">
        <f>IF(AND($F130&lt;=AS$2, OR($G130="",$G130&gt;=AS$2)),
  $H130 * (1 + Assumptions!$C$7) ^ INT(((YEAR(AS$2)-YEAR($F130))*12 + MONTH(AS$2)-MONTH($F130)) / 12),
  0)</f>
        <v/>
      </c>
      <c r="AT130" s="299">
        <f>IF(AND($F130&lt;=AT$2, OR($G130="",$G130&gt;=AT$2)),
  $H130 * (1 + Assumptions!$C$7) ^ INT(((YEAR(AT$2)-YEAR($F130))*12 + MONTH(AT$2)-MONTH($F130)) / 12),
  0)</f>
        <v/>
      </c>
      <c r="AU130" s="299">
        <f>IF(AND($F130&lt;=AU$2, OR($G130="",$G130&gt;=AU$2)),
  $H130 * (1 + Assumptions!$C$7) ^ INT(((YEAR(AU$2)-YEAR($F130))*12 + MONTH(AU$2)-MONTH($F130)) / 12),
  0)</f>
        <v/>
      </c>
      <c r="AV130" s="299">
        <f>IF(AND($F130&lt;=AV$2, OR($G130="",$G130&gt;=AV$2)),
  $H130 * (1 + Assumptions!$C$7) ^ INT(((YEAR(AV$2)-YEAR($F130))*12 + MONTH(AV$2)-MONTH($F130)) / 12),
  0)</f>
        <v/>
      </c>
      <c r="AW130" s="299">
        <f>IF(AND($F130&lt;=AW$2, OR($G130="",$G130&gt;=AW$2)),
  $H130 * (1 + Assumptions!$C$7) ^ INT(((YEAR(AW$2)-YEAR($F130))*12 + MONTH(AW$2)-MONTH($F130)) / 12),
  0)</f>
        <v/>
      </c>
      <c r="AX130" s="299">
        <f>IF(AND($F130&lt;=AX$2, OR($G130="",$G130&gt;=AX$2)),
  $H130 * (1 + Assumptions!$C$7) ^ INT(((YEAR(AX$2)-YEAR($F130))*12 + MONTH(AX$2)-MONTH($F130)) / 12),
  0)</f>
        <v/>
      </c>
      <c r="AY130" s="299">
        <f>IF(AND($F130&lt;=AY$2, OR($G130="",$G130&gt;=AY$2)),
  $H130 * (1 + Assumptions!$C$7) ^ INT(((YEAR(AY$2)-YEAR($F130))*12 + MONTH(AY$2)-MONTH($F130)) / 12),
  0)</f>
        <v/>
      </c>
      <c r="AZ130" s="299">
        <f>IF(AND($F130&lt;=AZ$2, OR($G130="",$G130&gt;=AZ$2)),
  $H130 * (1 + Assumptions!$C$7) ^ INT(((YEAR(AZ$2)-YEAR($F130))*12 + MONTH(AZ$2)-MONTH($F130)) / 12),
  0)</f>
        <v/>
      </c>
      <c r="BA130" s="299">
        <f>IF(AND($F130&lt;=BA$2, OR($G130="",$G130&gt;=BA$2)),
  $H130 * (1 + Assumptions!$C$7) ^ INT(((YEAR(BA$2)-YEAR($F130))*12 + MONTH(BA$2)-MONTH($F130)) / 12),
  0)</f>
        <v/>
      </c>
      <c r="BB130" s="299">
        <f>IF(AND($F130&lt;=BB$2, OR($G130="",$G130&gt;=BB$2)),
  $H130 * (1 + Assumptions!$C$7) ^ INT(((YEAR(BB$2)-YEAR($F130))*12 + MONTH(BB$2)-MONTH($F130)) / 12),
  0)</f>
        <v/>
      </c>
      <c r="BC130" s="299">
        <f>IF(AND($F130&lt;=BC$2, OR($G130="",$G130&gt;=BC$2)),
  $H130 * (1 + Assumptions!$C$7) ^ INT(((YEAR(BC$2)-YEAR($F130))*12 + MONTH(BC$2)-MONTH($F130)) / 12),
  0)</f>
        <v/>
      </c>
      <c r="BD130" s="299">
        <f>IF(AND($F130&lt;=BD$2, OR($G130="",$G130&gt;=BD$2)),
  $H130 * (1 + Assumptions!$C$7) ^ INT(((YEAR(BD$2)-YEAR($F130))*12 + MONTH(BD$2)-MONTH($F130)) / 12),
  0)</f>
        <v/>
      </c>
      <c r="BE130" s="299">
        <f>IF(AND($F130&lt;=BE$2, OR($G130="",$G130&gt;=BE$2)),
  $H130 * (1 + Assumptions!$C$7) ^ INT(((YEAR(BE$2)-YEAR($F130))*12 + MONTH(BE$2)-MONTH($F130)) / 12),
  0)</f>
        <v/>
      </c>
      <c r="BF130" s="299">
        <f>IF(AND($F130&lt;=BF$2, OR($G130="",$G130&gt;=BF$2)),
  $H130 * (1 + Assumptions!$C$7) ^ INT(((YEAR(BF$2)-YEAR($F130))*12 + MONTH(BF$2)-MONTH($F130)) / 12),
  0)</f>
        <v/>
      </c>
      <c r="BG130" s="299">
        <f>IF(AND($F130&lt;=BG$2, OR($G130="",$G130&gt;=BG$2)),
  $H130 * (1 + Assumptions!$C$7) ^ INT(((YEAR(BG$2)-YEAR($F130))*12 + MONTH(BG$2)-MONTH($F130)) / 12),
  0)</f>
        <v/>
      </c>
      <c r="BH130" s="299">
        <f>IF(AND($F130&lt;=BH$2, OR($G130="",$G130&gt;=BH$2)),
  $H130 * (1 + Assumptions!$C$7) ^ INT(((YEAR(BH$2)-YEAR($F130))*12 + MONTH(BH$2)-MONTH($F130)) / 12),
  0)</f>
        <v/>
      </c>
      <c r="BI130" s="299">
        <f>IF(AND($F130&lt;=BI$2, OR($G130="",$G130&gt;=BI$2)),
  $H130 * (1 + Assumptions!$C$7) ^ INT(((YEAR(BI$2)-YEAR($F130))*12 + MONTH(BI$2)-MONTH($F130)) / 12),
  0)</f>
        <v/>
      </c>
      <c r="BJ130" s="299">
        <f>IF(AND($F130&lt;=BJ$2, OR($G130="",$G130&gt;=BJ$2)),
  $H130 * (1 + Assumptions!$C$7) ^ INT(((YEAR(BJ$2)-YEAR($F130))*12 + MONTH(BJ$2)-MONTH($F130)) / 12),
  0)</f>
        <v/>
      </c>
      <c r="BK130" s="299">
        <f>IF(AND($F130&lt;=BK$2, OR($G130="",$G130&gt;=BK$2)),
  $H130 * (1 + Assumptions!$C$7) ^ INT(((YEAR(BK$2)-YEAR($F130))*12 + MONTH(BK$2)-MONTH($F130)) / 12),
  0)</f>
        <v/>
      </c>
      <c r="BL130" s="299">
        <f>IF(AND($F130&lt;=BL$2, OR($G130="",$G130&gt;=BL$2)),
  $H130 * (1 + Assumptions!$C$7) ^ INT(((YEAR(BL$2)-YEAR($F130))*12 + MONTH(BL$2)-MONTH($F130)) / 12),
  0)</f>
        <v/>
      </c>
      <c r="BM130" s="299">
        <f>IF(AND($F130&lt;=BM$2, OR($G130="",$G130&gt;=BM$2)),
  $H130 * (1 + Assumptions!$C$7) ^ INT(((YEAR(BM$2)-YEAR($F130))*12 + MONTH(BM$2)-MONTH($F130)) / 12),
  0)</f>
        <v/>
      </c>
      <c r="BN130" s="299">
        <f>IF(AND($F130&lt;=BN$2, OR($G130="",$G130&gt;=BN$2)),
  $H130 * (1 + Assumptions!$C$7) ^ INT(((YEAR(BN$2)-YEAR($F130))*12 + MONTH(BN$2)-MONTH($F130)) / 12),
  0)</f>
        <v/>
      </c>
      <c r="BO130" s="299">
        <f>IF(AND($F130&lt;=BO$2, OR($G130="",$G130&gt;=BO$2)),
  $H130 * (1 + Assumptions!$C$7) ^ INT(((YEAR(BO$2)-YEAR($F130))*12 + MONTH(BO$2)-MONTH($F130)) / 12),
  0)</f>
        <v/>
      </c>
      <c r="BP130" s="299">
        <f>IF(AND($F130&lt;=BP$2, OR($G130="",$G130&gt;=BP$2)),
  $H130 * (1 + Assumptions!$C$7) ^ INT(((YEAR(BP$2)-YEAR($F130))*12 + MONTH(BP$2)-MONTH($F130)) / 12),
  0)</f>
        <v/>
      </c>
      <c r="BQ130" s="31" t="n"/>
      <c r="BR130" s="31" t="n"/>
      <c r="BS130" s="31" t="n"/>
      <c r="BT130" s="31" t="n"/>
    </row>
    <row r="131" ht="15.75" customHeight="1" s="349">
      <c r="A131" s="321" t="n">
        <v>126</v>
      </c>
      <c r="B131" s="285" t="inlineStr">
        <is>
          <t>New hire</t>
        </is>
      </c>
      <c r="C131" s="317" t="inlineStr">
        <is>
          <t>G&amp;A</t>
        </is>
      </c>
      <c r="D131" s="317" t="inlineStr">
        <is>
          <t>Production Operator</t>
        </is>
      </c>
      <c r="E131" s="297" t="inlineStr">
        <is>
          <t>Planned</t>
        </is>
      </c>
      <c r="F131" s="318">
        <f>IF(Assumptions!$D$82=2,DATE(2028,7,1),DATE(2035,1,1))</f>
        <v/>
      </c>
      <c r="G131" s="318" t="n"/>
      <c r="H131" s="288" t="n">
        <v>5000</v>
      </c>
      <c r="I131" s="299">
        <f>IF(AND($F131&lt;=I$2, OR($G131="",$G131&gt;=I$2)),
  $H131 * (1 + Assumptions!$C$7) ^ INT(((YEAR(I$2)-YEAR($F131))*12 + MONTH(I$2)-MONTH($F131)) / 12),
  0)</f>
        <v/>
      </c>
      <c r="J131" s="299">
        <f>IF(AND($F131&lt;=J$2, OR($G131="",$G131&gt;=J$2)),
  $H131 * (1 + Assumptions!$C$7) ^ INT(((YEAR(J$2)-YEAR($F131))*12 + MONTH(J$2)-MONTH($F131)) / 12),
  0)</f>
        <v/>
      </c>
      <c r="K131" s="299">
        <f>IF(AND($F131&lt;=K$2, OR($G131="",$G131&gt;=K$2)),
  $H131 * (1 + Assumptions!$C$7) ^ INT(((YEAR(K$2)-YEAR($F131))*12 + MONTH(K$2)-MONTH($F131)) / 12),
  0)</f>
        <v/>
      </c>
      <c r="L131" s="299">
        <f>IF(AND($F131&lt;=L$2, OR($G131="",$G131&gt;=L$2)),
  $H131 * (1 + Assumptions!$C$7) ^ INT(((YEAR(L$2)-YEAR($F131))*12 + MONTH(L$2)-MONTH($F131)) / 12),
  0)</f>
        <v/>
      </c>
      <c r="M131" s="299">
        <f>IF(AND($F131&lt;=M$2, OR($G131="",$G131&gt;=M$2)),
  $H131 * (1 + Assumptions!$C$7) ^ INT(((YEAR(M$2)-YEAR($F131))*12 + MONTH(M$2)-MONTH($F131)) / 12),
  0)</f>
        <v/>
      </c>
      <c r="N131" s="299">
        <f>IF(AND($F131&lt;=N$2, OR($G131="",$G131&gt;=N$2)),
  $H131 * (1 + Assumptions!$C$7) ^ INT(((YEAR(N$2)-YEAR($F131))*12 + MONTH(N$2)-MONTH($F131)) / 12),
  0)</f>
        <v/>
      </c>
      <c r="O131" s="299">
        <f>IF(AND($F131&lt;=O$2, OR($G131="",$G131&gt;=O$2)),
  $H131 * (1 + Assumptions!$C$7) ^ INT(((YEAR(O$2)-YEAR($F131))*12 + MONTH(O$2)-MONTH($F131)) / 12),
  0)</f>
        <v/>
      </c>
      <c r="P131" s="299">
        <f>IF(AND($F131&lt;=P$2, OR($G131="",$G131&gt;=P$2)),
  $H131 * (1 + Assumptions!$C$7) ^ INT(((YEAR(P$2)-YEAR($F131))*12 + MONTH(P$2)-MONTH($F131)) / 12),
  0)</f>
        <v/>
      </c>
      <c r="Q131" s="299">
        <f>IF(AND($F131&lt;=Q$2, OR($G131="",$G131&gt;=Q$2)),
  $H131 * (1 + Assumptions!$C$7) ^ INT(((YEAR(Q$2)-YEAR($F131))*12 + MONTH(Q$2)-MONTH($F131)) / 12),
  0)</f>
        <v/>
      </c>
      <c r="R131" s="299">
        <f>IF(AND($F131&lt;=R$2, OR($G131="",$G131&gt;=R$2)),
  $H131 * (1 + Assumptions!$C$7) ^ INT(((YEAR(R$2)-YEAR($F131))*12 + MONTH(R$2)-MONTH($F131)) / 12),
  0)</f>
        <v/>
      </c>
      <c r="S131" s="299">
        <f>IF(AND($F131&lt;=S$2, OR($G131="",$G131&gt;=S$2)),
  $H131 * (1 + Assumptions!$C$7) ^ INT(((YEAR(S$2)-YEAR($F131))*12 + MONTH(S$2)-MONTH($F131)) / 12),
  0)</f>
        <v/>
      </c>
      <c r="T131" s="299">
        <f>IF(AND($F131&lt;=T$2, OR($G131="",$G131&gt;=T$2)),
  $H131 * (1 + Assumptions!$C$7) ^ INT(((YEAR(T$2)-YEAR($F131))*12 + MONTH(T$2)-MONTH($F131)) / 12),
  0)</f>
        <v/>
      </c>
      <c r="U131" s="299">
        <f>IF(AND($F131&lt;=U$2, OR($G131="",$G131&gt;=U$2)),
  $H131 * (1 + Assumptions!$C$7) ^ INT(((YEAR(U$2)-YEAR($F131))*12 + MONTH(U$2)-MONTH($F131)) / 12),
  0)</f>
        <v/>
      </c>
      <c r="V131" s="299">
        <f>IF(AND($F131&lt;=V$2, OR($G131="",$G131&gt;=V$2)),
  $H131 * (1 + Assumptions!$C$7) ^ INT(((YEAR(V$2)-YEAR($F131))*12 + MONTH(V$2)-MONTH($F131)) / 12),
  0)</f>
        <v/>
      </c>
      <c r="W131" s="299">
        <f>IF(AND($F131&lt;=W$2, OR($G131="",$G131&gt;=W$2)),
  $H131 * (1 + Assumptions!$C$7) ^ INT(((YEAR(W$2)-YEAR($F131))*12 + MONTH(W$2)-MONTH($F131)) / 12),
  0)</f>
        <v/>
      </c>
      <c r="X131" s="299">
        <f>IF(AND($F131&lt;=X$2, OR($G131="",$G131&gt;=X$2)),
  $H131 * (1 + Assumptions!$C$7) ^ INT(((YEAR(X$2)-YEAR($F131))*12 + MONTH(X$2)-MONTH($F131)) / 12),
  0)</f>
        <v/>
      </c>
      <c r="Y131" s="299">
        <f>IF(AND($F131&lt;=Y$2, OR($G131="",$G131&gt;=Y$2)),
  $H131 * (1 + Assumptions!$C$7) ^ INT(((YEAR(Y$2)-YEAR($F131))*12 + MONTH(Y$2)-MONTH($F131)) / 12),
  0)</f>
        <v/>
      </c>
      <c r="Z131" s="299">
        <f>IF(AND($F131&lt;=Z$2, OR($G131="",$G131&gt;=Z$2)),
  $H131 * (1 + Assumptions!$C$7) ^ INT(((YEAR(Z$2)-YEAR($F131))*12 + MONTH(Z$2)-MONTH($F131)) / 12),
  0)</f>
        <v/>
      </c>
      <c r="AA131" s="299">
        <f>IF(AND($F131&lt;=AA$2, OR($G131="",$G131&gt;=AA$2)),
  $H131 * (1 + Assumptions!$C$7) ^ INT(((YEAR(AA$2)-YEAR($F131))*12 + MONTH(AA$2)-MONTH($F131)) / 12),
  0)</f>
        <v/>
      </c>
      <c r="AB131" s="299">
        <f>IF(AND($F131&lt;=AB$2, OR($G131="",$G131&gt;=AB$2)),
  $H131 * (1 + Assumptions!$C$7) ^ INT(((YEAR(AB$2)-YEAR($F131))*12 + MONTH(AB$2)-MONTH($F131)) / 12),
  0)</f>
        <v/>
      </c>
      <c r="AC131" s="299">
        <f>IF(AND($F131&lt;=AC$2, OR($G131="",$G131&gt;=AC$2)),
  $H131 * (1 + Assumptions!$C$7) ^ INT(((YEAR(AC$2)-YEAR($F131))*12 + MONTH(AC$2)-MONTH($F131)) / 12),
  0)</f>
        <v/>
      </c>
      <c r="AD131" s="299">
        <f>IF(AND($F131&lt;=AD$2, OR($G131="",$G131&gt;=AD$2)),
  $H131 * (1 + Assumptions!$C$7) ^ INT(((YEAR(AD$2)-YEAR($F131))*12 + MONTH(AD$2)-MONTH($F131)) / 12),
  0)</f>
        <v/>
      </c>
      <c r="AE131" s="299">
        <f>IF(AND($F131&lt;=AE$2, OR($G131="",$G131&gt;=AE$2)),
  $H131 * (1 + Assumptions!$C$7) ^ INT(((YEAR(AE$2)-YEAR($F131))*12 + MONTH(AE$2)-MONTH($F131)) / 12),
  0)</f>
        <v/>
      </c>
      <c r="AF131" s="299">
        <f>IF(AND($F131&lt;=AF$2, OR($G131="",$G131&gt;=AF$2)),
  $H131 * (1 + Assumptions!$C$7) ^ INT(((YEAR(AF$2)-YEAR($F131))*12 + MONTH(AF$2)-MONTH($F131)) / 12),
  0)</f>
        <v/>
      </c>
      <c r="AG131" s="299">
        <f>IF(AND($F131&lt;=AG$2, OR($G131="",$G131&gt;=AG$2)),
  $H131 * (1 + Assumptions!$C$7) ^ INT(((YEAR(AG$2)-YEAR($F131))*12 + MONTH(AG$2)-MONTH($F131)) / 12),
  0)</f>
        <v/>
      </c>
      <c r="AH131" s="299">
        <f>IF(AND($F131&lt;=AH$2, OR($G131="",$G131&gt;=AH$2)),
  $H131 * (1 + Assumptions!$C$7) ^ INT(((YEAR(AH$2)-YEAR($F131))*12 + MONTH(AH$2)-MONTH($F131)) / 12),
  0)</f>
        <v/>
      </c>
      <c r="AI131" s="299">
        <f>IF(AND($F131&lt;=AI$2, OR($G131="",$G131&gt;=AI$2)),
  $H131 * (1 + Assumptions!$C$7) ^ INT(((YEAR(AI$2)-YEAR($F131))*12 + MONTH(AI$2)-MONTH($F131)) / 12),
  0)</f>
        <v/>
      </c>
      <c r="AJ131" s="299">
        <f>IF(AND($F131&lt;=AJ$2, OR($G131="",$G131&gt;=AJ$2)),
  $H131 * (1 + Assumptions!$C$7) ^ INT(((YEAR(AJ$2)-YEAR($F131))*12 + MONTH(AJ$2)-MONTH($F131)) / 12),
  0)</f>
        <v/>
      </c>
      <c r="AK131" s="299">
        <f>IF(AND($F131&lt;=AK$2, OR($G131="",$G131&gt;=AK$2)),
  $H131 * (1 + Assumptions!$C$7) ^ INT(((YEAR(AK$2)-YEAR($F131))*12 + MONTH(AK$2)-MONTH($F131)) / 12),
  0)</f>
        <v/>
      </c>
      <c r="AL131" s="299">
        <f>IF(AND($F131&lt;=AL$2, OR($G131="",$G131&gt;=AL$2)),
  $H131 * (1 + Assumptions!$C$7) ^ INT(((YEAR(AL$2)-YEAR($F131))*12 + MONTH(AL$2)-MONTH($F131)) / 12),
  0)</f>
        <v/>
      </c>
      <c r="AM131" s="299">
        <f>IF(AND($F131&lt;=AM$2, OR($G131="",$G131&gt;=AM$2)),
  $H131 * (1 + Assumptions!$C$7) ^ INT(((YEAR(AM$2)-YEAR($F131))*12 + MONTH(AM$2)-MONTH($F131)) / 12),
  0)</f>
        <v/>
      </c>
      <c r="AN131" s="299">
        <f>IF(AND($F131&lt;=AN$2, OR($G131="",$G131&gt;=AN$2)),
  $H131 * (1 + Assumptions!$C$7) ^ INT(((YEAR(AN$2)-YEAR($F131))*12 + MONTH(AN$2)-MONTH($F131)) / 12),
  0)</f>
        <v/>
      </c>
      <c r="AO131" s="299">
        <f>IF(AND($F131&lt;=AO$2, OR($G131="",$G131&gt;=AO$2)),
  $H131 * (1 + Assumptions!$C$7) ^ INT(((YEAR(AO$2)-YEAR($F131))*12 + MONTH(AO$2)-MONTH($F131)) / 12),
  0)</f>
        <v/>
      </c>
      <c r="AP131" s="299">
        <f>IF(AND($F131&lt;=AP$2, OR($G131="",$G131&gt;=AP$2)),
  $H131 * (1 + Assumptions!$C$7) ^ INT(((YEAR(AP$2)-YEAR($F131))*12 + MONTH(AP$2)-MONTH($F131)) / 12),
  0)</f>
        <v/>
      </c>
      <c r="AQ131" s="299">
        <f>IF(AND($F131&lt;=AQ$2, OR($G131="",$G131&gt;=AQ$2)),
  $H131 * (1 + Assumptions!$C$7) ^ INT(((YEAR(AQ$2)-YEAR($F131))*12 + MONTH(AQ$2)-MONTH($F131)) / 12),
  0)</f>
        <v/>
      </c>
      <c r="AR131" s="299">
        <f>IF(AND($F131&lt;=AR$2, OR($G131="",$G131&gt;=AR$2)),
  $H131 * (1 + Assumptions!$C$7) ^ INT(((YEAR(AR$2)-YEAR($F131))*12 + MONTH(AR$2)-MONTH($F131)) / 12),
  0)</f>
        <v/>
      </c>
      <c r="AS131" s="299">
        <f>IF(AND($F131&lt;=AS$2, OR($G131="",$G131&gt;=AS$2)),
  $H131 * (1 + Assumptions!$C$7) ^ INT(((YEAR(AS$2)-YEAR($F131))*12 + MONTH(AS$2)-MONTH($F131)) / 12),
  0)</f>
        <v/>
      </c>
      <c r="AT131" s="299">
        <f>IF(AND($F131&lt;=AT$2, OR($G131="",$G131&gt;=AT$2)),
  $H131 * (1 + Assumptions!$C$7) ^ INT(((YEAR(AT$2)-YEAR($F131))*12 + MONTH(AT$2)-MONTH($F131)) / 12),
  0)</f>
        <v/>
      </c>
      <c r="AU131" s="299">
        <f>IF(AND($F131&lt;=AU$2, OR($G131="",$G131&gt;=AU$2)),
  $H131 * (1 + Assumptions!$C$7) ^ INT(((YEAR(AU$2)-YEAR($F131))*12 + MONTH(AU$2)-MONTH($F131)) / 12),
  0)</f>
        <v/>
      </c>
      <c r="AV131" s="299">
        <f>IF(AND($F131&lt;=AV$2, OR($G131="",$G131&gt;=AV$2)),
  $H131 * (1 + Assumptions!$C$7) ^ INT(((YEAR(AV$2)-YEAR($F131))*12 + MONTH(AV$2)-MONTH($F131)) / 12),
  0)</f>
        <v/>
      </c>
      <c r="AW131" s="299">
        <f>IF(AND($F131&lt;=AW$2, OR($G131="",$G131&gt;=AW$2)),
  $H131 * (1 + Assumptions!$C$7) ^ INT(((YEAR(AW$2)-YEAR($F131))*12 + MONTH(AW$2)-MONTH($F131)) / 12),
  0)</f>
        <v/>
      </c>
      <c r="AX131" s="299">
        <f>IF(AND($F131&lt;=AX$2, OR($G131="",$G131&gt;=AX$2)),
  $H131 * (1 + Assumptions!$C$7) ^ INT(((YEAR(AX$2)-YEAR($F131))*12 + MONTH(AX$2)-MONTH($F131)) / 12),
  0)</f>
        <v/>
      </c>
      <c r="AY131" s="299">
        <f>IF(AND($F131&lt;=AY$2, OR($G131="",$G131&gt;=AY$2)),
  $H131 * (1 + Assumptions!$C$7) ^ INT(((YEAR(AY$2)-YEAR($F131))*12 + MONTH(AY$2)-MONTH($F131)) / 12),
  0)</f>
        <v/>
      </c>
      <c r="AZ131" s="299">
        <f>IF(AND($F131&lt;=AZ$2, OR($G131="",$G131&gt;=AZ$2)),
  $H131 * (1 + Assumptions!$C$7) ^ INT(((YEAR(AZ$2)-YEAR($F131))*12 + MONTH(AZ$2)-MONTH($F131)) / 12),
  0)</f>
        <v/>
      </c>
      <c r="BA131" s="299">
        <f>IF(AND($F131&lt;=BA$2, OR($G131="",$G131&gt;=BA$2)),
  $H131 * (1 + Assumptions!$C$7) ^ INT(((YEAR(BA$2)-YEAR($F131))*12 + MONTH(BA$2)-MONTH($F131)) / 12),
  0)</f>
        <v/>
      </c>
      <c r="BB131" s="299">
        <f>IF(AND($F131&lt;=BB$2, OR($G131="",$G131&gt;=BB$2)),
  $H131 * (1 + Assumptions!$C$7) ^ INT(((YEAR(BB$2)-YEAR($F131))*12 + MONTH(BB$2)-MONTH($F131)) / 12),
  0)</f>
        <v/>
      </c>
      <c r="BC131" s="299">
        <f>IF(AND($F131&lt;=BC$2, OR($G131="",$G131&gt;=BC$2)),
  $H131 * (1 + Assumptions!$C$7) ^ INT(((YEAR(BC$2)-YEAR($F131))*12 + MONTH(BC$2)-MONTH($F131)) / 12),
  0)</f>
        <v/>
      </c>
      <c r="BD131" s="299">
        <f>IF(AND($F131&lt;=BD$2, OR($G131="",$G131&gt;=BD$2)),
  $H131 * (1 + Assumptions!$C$7) ^ INT(((YEAR(BD$2)-YEAR($F131))*12 + MONTH(BD$2)-MONTH($F131)) / 12),
  0)</f>
        <v/>
      </c>
      <c r="BE131" s="299">
        <f>IF(AND($F131&lt;=BE$2, OR($G131="",$G131&gt;=BE$2)),
  $H131 * (1 + Assumptions!$C$7) ^ INT(((YEAR(BE$2)-YEAR($F131))*12 + MONTH(BE$2)-MONTH($F131)) / 12),
  0)</f>
        <v/>
      </c>
      <c r="BF131" s="299">
        <f>IF(AND($F131&lt;=BF$2, OR($G131="",$G131&gt;=BF$2)),
  $H131 * (1 + Assumptions!$C$7) ^ INT(((YEAR(BF$2)-YEAR($F131))*12 + MONTH(BF$2)-MONTH($F131)) / 12),
  0)</f>
        <v/>
      </c>
      <c r="BG131" s="299">
        <f>IF(AND($F131&lt;=BG$2, OR($G131="",$G131&gt;=BG$2)),
  $H131 * (1 + Assumptions!$C$7) ^ INT(((YEAR(BG$2)-YEAR($F131))*12 + MONTH(BG$2)-MONTH($F131)) / 12),
  0)</f>
        <v/>
      </c>
      <c r="BH131" s="299">
        <f>IF(AND($F131&lt;=BH$2, OR($G131="",$G131&gt;=BH$2)),
  $H131 * (1 + Assumptions!$C$7) ^ INT(((YEAR(BH$2)-YEAR($F131))*12 + MONTH(BH$2)-MONTH($F131)) / 12),
  0)</f>
        <v/>
      </c>
      <c r="BI131" s="299">
        <f>IF(AND($F131&lt;=BI$2, OR($G131="",$G131&gt;=BI$2)),
  $H131 * (1 + Assumptions!$C$7) ^ INT(((YEAR(BI$2)-YEAR($F131))*12 + MONTH(BI$2)-MONTH($F131)) / 12),
  0)</f>
        <v/>
      </c>
      <c r="BJ131" s="299">
        <f>IF(AND($F131&lt;=BJ$2, OR($G131="",$G131&gt;=BJ$2)),
  $H131 * (1 + Assumptions!$C$7) ^ INT(((YEAR(BJ$2)-YEAR($F131))*12 + MONTH(BJ$2)-MONTH($F131)) / 12),
  0)</f>
        <v/>
      </c>
      <c r="BK131" s="299">
        <f>IF(AND($F131&lt;=BK$2, OR($G131="",$G131&gt;=BK$2)),
  $H131 * (1 + Assumptions!$C$7) ^ INT(((YEAR(BK$2)-YEAR($F131))*12 + MONTH(BK$2)-MONTH($F131)) / 12),
  0)</f>
        <v/>
      </c>
      <c r="BL131" s="299">
        <f>IF(AND($F131&lt;=BL$2, OR($G131="",$G131&gt;=BL$2)),
  $H131 * (1 + Assumptions!$C$7) ^ INT(((YEAR(BL$2)-YEAR($F131))*12 + MONTH(BL$2)-MONTH($F131)) / 12),
  0)</f>
        <v/>
      </c>
      <c r="BM131" s="299">
        <f>IF(AND($F131&lt;=BM$2, OR($G131="",$G131&gt;=BM$2)),
  $H131 * (1 + Assumptions!$C$7) ^ INT(((YEAR(BM$2)-YEAR($F131))*12 + MONTH(BM$2)-MONTH($F131)) / 12),
  0)</f>
        <v/>
      </c>
      <c r="BN131" s="299">
        <f>IF(AND($F131&lt;=BN$2, OR($G131="",$G131&gt;=BN$2)),
  $H131 * (1 + Assumptions!$C$7) ^ INT(((YEAR(BN$2)-YEAR($F131))*12 + MONTH(BN$2)-MONTH($F131)) / 12),
  0)</f>
        <v/>
      </c>
      <c r="BO131" s="299">
        <f>IF(AND($F131&lt;=BO$2, OR($G131="",$G131&gt;=BO$2)),
  $H131 * (1 + Assumptions!$C$7) ^ INT(((YEAR(BO$2)-YEAR($F131))*12 + MONTH(BO$2)-MONTH($F131)) / 12),
  0)</f>
        <v/>
      </c>
      <c r="BP131" s="299">
        <f>IF(AND($F131&lt;=BP$2, OR($G131="",$G131&gt;=BP$2)),
  $H131 * (1 + Assumptions!$C$7) ^ INT(((YEAR(BP$2)-YEAR($F131))*12 + MONTH(BP$2)-MONTH($F131)) / 12),
  0)</f>
        <v/>
      </c>
      <c r="BQ131" s="31" t="n"/>
      <c r="BR131" s="31" t="n"/>
      <c r="BS131" s="31" t="n"/>
      <c r="BT131" s="31" t="n"/>
    </row>
    <row r="132" ht="15.75" customHeight="1" s="349">
      <c r="A132" s="321" t="n">
        <v>127</v>
      </c>
      <c r="B132" s="285" t="inlineStr">
        <is>
          <t>New hire</t>
        </is>
      </c>
      <c r="C132" s="317" t="inlineStr">
        <is>
          <t>G&amp;A</t>
        </is>
      </c>
      <c r="D132" s="317" t="inlineStr">
        <is>
          <t>Production Operator</t>
        </is>
      </c>
      <c r="E132" s="297" t="inlineStr">
        <is>
          <t>Planned</t>
        </is>
      </c>
      <c r="F132" s="318">
        <f>IF(Assumptions!$D$82=2,DATE(2028,7,1),DATE(2035,1,1))</f>
        <v/>
      </c>
      <c r="G132" s="318" t="n"/>
      <c r="H132" s="288" t="n">
        <v>5000</v>
      </c>
      <c r="I132" s="299">
        <f>IF(AND($F132&lt;=I$2, OR($G132="",$G132&gt;=I$2)),
  $H132 * (1 + Assumptions!$C$7) ^ INT(((YEAR(I$2)-YEAR($F132))*12 + MONTH(I$2)-MONTH($F132)) / 12),
  0)</f>
        <v/>
      </c>
      <c r="J132" s="299">
        <f>IF(AND($F132&lt;=J$2, OR($G132="",$G132&gt;=J$2)),
  $H132 * (1 + Assumptions!$C$7) ^ INT(((YEAR(J$2)-YEAR($F132))*12 + MONTH(J$2)-MONTH($F132)) / 12),
  0)</f>
        <v/>
      </c>
      <c r="K132" s="299">
        <f>IF(AND($F132&lt;=K$2, OR($G132="",$G132&gt;=K$2)),
  $H132 * (1 + Assumptions!$C$7) ^ INT(((YEAR(K$2)-YEAR($F132))*12 + MONTH(K$2)-MONTH($F132)) / 12),
  0)</f>
        <v/>
      </c>
      <c r="L132" s="299">
        <f>IF(AND($F132&lt;=L$2, OR($G132="",$G132&gt;=L$2)),
  $H132 * (1 + Assumptions!$C$7) ^ INT(((YEAR(L$2)-YEAR($F132))*12 + MONTH(L$2)-MONTH($F132)) / 12),
  0)</f>
        <v/>
      </c>
      <c r="M132" s="299">
        <f>IF(AND($F132&lt;=M$2, OR($G132="",$G132&gt;=M$2)),
  $H132 * (1 + Assumptions!$C$7) ^ INT(((YEAR(M$2)-YEAR($F132))*12 + MONTH(M$2)-MONTH($F132)) / 12),
  0)</f>
        <v/>
      </c>
      <c r="N132" s="299">
        <f>IF(AND($F132&lt;=N$2, OR($G132="",$G132&gt;=N$2)),
  $H132 * (1 + Assumptions!$C$7) ^ INT(((YEAR(N$2)-YEAR($F132))*12 + MONTH(N$2)-MONTH($F132)) / 12),
  0)</f>
        <v/>
      </c>
      <c r="O132" s="299">
        <f>IF(AND($F132&lt;=O$2, OR($G132="",$G132&gt;=O$2)),
  $H132 * (1 + Assumptions!$C$7) ^ INT(((YEAR(O$2)-YEAR($F132))*12 + MONTH(O$2)-MONTH($F132)) / 12),
  0)</f>
        <v/>
      </c>
      <c r="P132" s="299">
        <f>IF(AND($F132&lt;=P$2, OR($G132="",$G132&gt;=P$2)),
  $H132 * (1 + Assumptions!$C$7) ^ INT(((YEAR(P$2)-YEAR($F132))*12 + MONTH(P$2)-MONTH($F132)) / 12),
  0)</f>
        <v/>
      </c>
      <c r="Q132" s="299">
        <f>IF(AND($F132&lt;=Q$2, OR($G132="",$G132&gt;=Q$2)),
  $H132 * (1 + Assumptions!$C$7) ^ INT(((YEAR(Q$2)-YEAR($F132))*12 + MONTH(Q$2)-MONTH($F132)) / 12),
  0)</f>
        <v/>
      </c>
      <c r="R132" s="299">
        <f>IF(AND($F132&lt;=R$2, OR($G132="",$G132&gt;=R$2)),
  $H132 * (1 + Assumptions!$C$7) ^ INT(((YEAR(R$2)-YEAR($F132))*12 + MONTH(R$2)-MONTH($F132)) / 12),
  0)</f>
        <v/>
      </c>
      <c r="S132" s="299">
        <f>IF(AND($F132&lt;=S$2, OR($G132="",$G132&gt;=S$2)),
  $H132 * (1 + Assumptions!$C$7) ^ INT(((YEAR(S$2)-YEAR($F132))*12 + MONTH(S$2)-MONTH($F132)) / 12),
  0)</f>
        <v/>
      </c>
      <c r="T132" s="299">
        <f>IF(AND($F132&lt;=T$2, OR($G132="",$G132&gt;=T$2)),
  $H132 * (1 + Assumptions!$C$7) ^ INT(((YEAR(T$2)-YEAR($F132))*12 + MONTH(T$2)-MONTH($F132)) / 12),
  0)</f>
        <v/>
      </c>
      <c r="U132" s="299">
        <f>IF(AND($F132&lt;=U$2, OR($G132="",$G132&gt;=U$2)),
  $H132 * (1 + Assumptions!$C$7) ^ INT(((YEAR(U$2)-YEAR($F132))*12 + MONTH(U$2)-MONTH($F132)) / 12),
  0)</f>
        <v/>
      </c>
      <c r="V132" s="299">
        <f>IF(AND($F132&lt;=V$2, OR($G132="",$G132&gt;=V$2)),
  $H132 * (1 + Assumptions!$C$7) ^ INT(((YEAR(V$2)-YEAR($F132))*12 + MONTH(V$2)-MONTH($F132)) / 12),
  0)</f>
        <v/>
      </c>
      <c r="W132" s="299">
        <f>IF(AND($F132&lt;=W$2, OR($G132="",$G132&gt;=W$2)),
  $H132 * (1 + Assumptions!$C$7) ^ INT(((YEAR(W$2)-YEAR($F132))*12 + MONTH(W$2)-MONTH($F132)) / 12),
  0)</f>
        <v/>
      </c>
      <c r="X132" s="299">
        <f>IF(AND($F132&lt;=X$2, OR($G132="",$G132&gt;=X$2)),
  $H132 * (1 + Assumptions!$C$7) ^ INT(((YEAR(X$2)-YEAR($F132))*12 + MONTH(X$2)-MONTH($F132)) / 12),
  0)</f>
        <v/>
      </c>
      <c r="Y132" s="299">
        <f>IF(AND($F132&lt;=Y$2, OR($G132="",$G132&gt;=Y$2)),
  $H132 * (1 + Assumptions!$C$7) ^ INT(((YEAR(Y$2)-YEAR($F132))*12 + MONTH(Y$2)-MONTH($F132)) / 12),
  0)</f>
        <v/>
      </c>
      <c r="Z132" s="299">
        <f>IF(AND($F132&lt;=Z$2, OR($G132="",$G132&gt;=Z$2)),
  $H132 * (1 + Assumptions!$C$7) ^ INT(((YEAR(Z$2)-YEAR($F132))*12 + MONTH(Z$2)-MONTH($F132)) / 12),
  0)</f>
        <v/>
      </c>
      <c r="AA132" s="299">
        <f>IF(AND($F132&lt;=AA$2, OR($G132="",$G132&gt;=AA$2)),
  $H132 * (1 + Assumptions!$C$7) ^ INT(((YEAR(AA$2)-YEAR($F132))*12 + MONTH(AA$2)-MONTH($F132)) / 12),
  0)</f>
        <v/>
      </c>
      <c r="AB132" s="299">
        <f>IF(AND($F132&lt;=AB$2, OR($G132="",$G132&gt;=AB$2)),
  $H132 * (1 + Assumptions!$C$7) ^ INT(((YEAR(AB$2)-YEAR($F132))*12 + MONTH(AB$2)-MONTH($F132)) / 12),
  0)</f>
        <v/>
      </c>
      <c r="AC132" s="299">
        <f>IF(AND($F132&lt;=AC$2, OR($G132="",$G132&gt;=AC$2)),
  $H132 * (1 + Assumptions!$C$7) ^ INT(((YEAR(AC$2)-YEAR($F132))*12 + MONTH(AC$2)-MONTH($F132)) / 12),
  0)</f>
        <v/>
      </c>
      <c r="AD132" s="299">
        <f>IF(AND($F132&lt;=AD$2, OR($G132="",$G132&gt;=AD$2)),
  $H132 * (1 + Assumptions!$C$7) ^ INT(((YEAR(AD$2)-YEAR($F132))*12 + MONTH(AD$2)-MONTH($F132)) / 12),
  0)</f>
        <v/>
      </c>
      <c r="AE132" s="299">
        <f>IF(AND($F132&lt;=AE$2, OR($G132="",$G132&gt;=AE$2)),
  $H132 * (1 + Assumptions!$C$7) ^ INT(((YEAR(AE$2)-YEAR($F132))*12 + MONTH(AE$2)-MONTH($F132)) / 12),
  0)</f>
        <v/>
      </c>
      <c r="AF132" s="299">
        <f>IF(AND($F132&lt;=AF$2, OR($G132="",$G132&gt;=AF$2)),
  $H132 * (1 + Assumptions!$C$7) ^ INT(((YEAR(AF$2)-YEAR($F132))*12 + MONTH(AF$2)-MONTH($F132)) / 12),
  0)</f>
        <v/>
      </c>
      <c r="AG132" s="299">
        <f>IF(AND($F132&lt;=AG$2, OR($G132="",$G132&gt;=AG$2)),
  $H132 * (1 + Assumptions!$C$7) ^ INT(((YEAR(AG$2)-YEAR($F132))*12 + MONTH(AG$2)-MONTH($F132)) / 12),
  0)</f>
        <v/>
      </c>
      <c r="AH132" s="299">
        <f>IF(AND($F132&lt;=AH$2, OR($G132="",$G132&gt;=AH$2)),
  $H132 * (1 + Assumptions!$C$7) ^ INT(((YEAR(AH$2)-YEAR($F132))*12 + MONTH(AH$2)-MONTH($F132)) / 12),
  0)</f>
        <v/>
      </c>
      <c r="AI132" s="299">
        <f>IF(AND($F132&lt;=AI$2, OR($G132="",$G132&gt;=AI$2)),
  $H132 * (1 + Assumptions!$C$7) ^ INT(((YEAR(AI$2)-YEAR($F132))*12 + MONTH(AI$2)-MONTH($F132)) / 12),
  0)</f>
        <v/>
      </c>
      <c r="AJ132" s="299">
        <f>IF(AND($F132&lt;=AJ$2, OR($G132="",$G132&gt;=AJ$2)),
  $H132 * (1 + Assumptions!$C$7) ^ INT(((YEAR(AJ$2)-YEAR($F132))*12 + MONTH(AJ$2)-MONTH($F132)) / 12),
  0)</f>
        <v/>
      </c>
      <c r="AK132" s="299">
        <f>IF(AND($F132&lt;=AK$2, OR($G132="",$G132&gt;=AK$2)),
  $H132 * (1 + Assumptions!$C$7) ^ INT(((YEAR(AK$2)-YEAR($F132))*12 + MONTH(AK$2)-MONTH($F132)) / 12),
  0)</f>
        <v/>
      </c>
      <c r="AL132" s="299">
        <f>IF(AND($F132&lt;=AL$2, OR($G132="",$G132&gt;=AL$2)),
  $H132 * (1 + Assumptions!$C$7) ^ INT(((YEAR(AL$2)-YEAR($F132))*12 + MONTH(AL$2)-MONTH($F132)) / 12),
  0)</f>
        <v/>
      </c>
      <c r="AM132" s="299">
        <f>IF(AND($F132&lt;=AM$2, OR($G132="",$G132&gt;=AM$2)),
  $H132 * (1 + Assumptions!$C$7) ^ INT(((YEAR(AM$2)-YEAR($F132))*12 + MONTH(AM$2)-MONTH($F132)) / 12),
  0)</f>
        <v/>
      </c>
      <c r="AN132" s="299">
        <f>IF(AND($F132&lt;=AN$2, OR($G132="",$G132&gt;=AN$2)),
  $H132 * (1 + Assumptions!$C$7) ^ INT(((YEAR(AN$2)-YEAR($F132))*12 + MONTH(AN$2)-MONTH($F132)) / 12),
  0)</f>
        <v/>
      </c>
      <c r="AO132" s="299">
        <f>IF(AND($F132&lt;=AO$2, OR($G132="",$G132&gt;=AO$2)),
  $H132 * (1 + Assumptions!$C$7) ^ INT(((YEAR(AO$2)-YEAR($F132))*12 + MONTH(AO$2)-MONTH($F132)) / 12),
  0)</f>
        <v/>
      </c>
      <c r="AP132" s="299">
        <f>IF(AND($F132&lt;=AP$2, OR($G132="",$G132&gt;=AP$2)),
  $H132 * (1 + Assumptions!$C$7) ^ INT(((YEAR(AP$2)-YEAR($F132))*12 + MONTH(AP$2)-MONTH($F132)) / 12),
  0)</f>
        <v/>
      </c>
      <c r="AQ132" s="299">
        <f>IF(AND($F132&lt;=AQ$2, OR($G132="",$G132&gt;=AQ$2)),
  $H132 * (1 + Assumptions!$C$7) ^ INT(((YEAR(AQ$2)-YEAR($F132))*12 + MONTH(AQ$2)-MONTH($F132)) / 12),
  0)</f>
        <v/>
      </c>
      <c r="AR132" s="299">
        <f>IF(AND($F132&lt;=AR$2, OR($G132="",$G132&gt;=AR$2)),
  $H132 * (1 + Assumptions!$C$7) ^ INT(((YEAR(AR$2)-YEAR($F132))*12 + MONTH(AR$2)-MONTH($F132)) / 12),
  0)</f>
        <v/>
      </c>
      <c r="AS132" s="299">
        <f>IF(AND($F132&lt;=AS$2, OR($G132="",$G132&gt;=AS$2)),
  $H132 * (1 + Assumptions!$C$7) ^ INT(((YEAR(AS$2)-YEAR($F132))*12 + MONTH(AS$2)-MONTH($F132)) / 12),
  0)</f>
        <v/>
      </c>
      <c r="AT132" s="299">
        <f>IF(AND($F132&lt;=AT$2, OR($G132="",$G132&gt;=AT$2)),
  $H132 * (1 + Assumptions!$C$7) ^ INT(((YEAR(AT$2)-YEAR($F132))*12 + MONTH(AT$2)-MONTH($F132)) / 12),
  0)</f>
        <v/>
      </c>
      <c r="AU132" s="299">
        <f>IF(AND($F132&lt;=AU$2, OR($G132="",$G132&gt;=AU$2)),
  $H132 * (1 + Assumptions!$C$7) ^ INT(((YEAR(AU$2)-YEAR($F132))*12 + MONTH(AU$2)-MONTH($F132)) / 12),
  0)</f>
        <v/>
      </c>
      <c r="AV132" s="299">
        <f>IF(AND($F132&lt;=AV$2, OR($G132="",$G132&gt;=AV$2)),
  $H132 * (1 + Assumptions!$C$7) ^ INT(((YEAR(AV$2)-YEAR($F132))*12 + MONTH(AV$2)-MONTH($F132)) / 12),
  0)</f>
        <v/>
      </c>
      <c r="AW132" s="299">
        <f>IF(AND($F132&lt;=AW$2, OR($G132="",$G132&gt;=AW$2)),
  $H132 * (1 + Assumptions!$C$7) ^ INT(((YEAR(AW$2)-YEAR($F132))*12 + MONTH(AW$2)-MONTH($F132)) / 12),
  0)</f>
        <v/>
      </c>
      <c r="AX132" s="299">
        <f>IF(AND($F132&lt;=AX$2, OR($G132="",$G132&gt;=AX$2)),
  $H132 * (1 + Assumptions!$C$7) ^ INT(((YEAR(AX$2)-YEAR($F132))*12 + MONTH(AX$2)-MONTH($F132)) / 12),
  0)</f>
        <v/>
      </c>
      <c r="AY132" s="299">
        <f>IF(AND($F132&lt;=AY$2, OR($G132="",$G132&gt;=AY$2)),
  $H132 * (1 + Assumptions!$C$7) ^ INT(((YEAR(AY$2)-YEAR($F132))*12 + MONTH(AY$2)-MONTH($F132)) / 12),
  0)</f>
        <v/>
      </c>
      <c r="AZ132" s="299">
        <f>IF(AND($F132&lt;=AZ$2, OR($G132="",$G132&gt;=AZ$2)),
  $H132 * (1 + Assumptions!$C$7) ^ INT(((YEAR(AZ$2)-YEAR($F132))*12 + MONTH(AZ$2)-MONTH($F132)) / 12),
  0)</f>
        <v/>
      </c>
      <c r="BA132" s="299">
        <f>IF(AND($F132&lt;=BA$2, OR($G132="",$G132&gt;=BA$2)),
  $H132 * (1 + Assumptions!$C$7) ^ INT(((YEAR(BA$2)-YEAR($F132))*12 + MONTH(BA$2)-MONTH($F132)) / 12),
  0)</f>
        <v/>
      </c>
      <c r="BB132" s="299">
        <f>IF(AND($F132&lt;=BB$2, OR($G132="",$G132&gt;=BB$2)),
  $H132 * (1 + Assumptions!$C$7) ^ INT(((YEAR(BB$2)-YEAR($F132))*12 + MONTH(BB$2)-MONTH($F132)) / 12),
  0)</f>
        <v/>
      </c>
      <c r="BC132" s="299">
        <f>IF(AND($F132&lt;=BC$2, OR($G132="",$G132&gt;=BC$2)),
  $H132 * (1 + Assumptions!$C$7) ^ INT(((YEAR(BC$2)-YEAR($F132))*12 + MONTH(BC$2)-MONTH($F132)) / 12),
  0)</f>
        <v/>
      </c>
      <c r="BD132" s="299">
        <f>IF(AND($F132&lt;=BD$2, OR($G132="",$G132&gt;=BD$2)),
  $H132 * (1 + Assumptions!$C$7) ^ INT(((YEAR(BD$2)-YEAR($F132))*12 + MONTH(BD$2)-MONTH($F132)) / 12),
  0)</f>
        <v/>
      </c>
      <c r="BE132" s="299">
        <f>IF(AND($F132&lt;=BE$2, OR($G132="",$G132&gt;=BE$2)),
  $H132 * (1 + Assumptions!$C$7) ^ INT(((YEAR(BE$2)-YEAR($F132))*12 + MONTH(BE$2)-MONTH($F132)) / 12),
  0)</f>
        <v/>
      </c>
      <c r="BF132" s="299">
        <f>IF(AND($F132&lt;=BF$2, OR($G132="",$G132&gt;=BF$2)),
  $H132 * (1 + Assumptions!$C$7) ^ INT(((YEAR(BF$2)-YEAR($F132))*12 + MONTH(BF$2)-MONTH($F132)) / 12),
  0)</f>
        <v/>
      </c>
      <c r="BG132" s="299">
        <f>IF(AND($F132&lt;=BG$2, OR($G132="",$G132&gt;=BG$2)),
  $H132 * (1 + Assumptions!$C$7) ^ INT(((YEAR(BG$2)-YEAR($F132))*12 + MONTH(BG$2)-MONTH($F132)) / 12),
  0)</f>
        <v/>
      </c>
      <c r="BH132" s="299">
        <f>IF(AND($F132&lt;=BH$2, OR($G132="",$G132&gt;=BH$2)),
  $H132 * (1 + Assumptions!$C$7) ^ INT(((YEAR(BH$2)-YEAR($F132))*12 + MONTH(BH$2)-MONTH($F132)) / 12),
  0)</f>
        <v/>
      </c>
      <c r="BI132" s="299">
        <f>IF(AND($F132&lt;=BI$2, OR($G132="",$G132&gt;=BI$2)),
  $H132 * (1 + Assumptions!$C$7) ^ INT(((YEAR(BI$2)-YEAR($F132))*12 + MONTH(BI$2)-MONTH($F132)) / 12),
  0)</f>
        <v/>
      </c>
      <c r="BJ132" s="299">
        <f>IF(AND($F132&lt;=BJ$2, OR($G132="",$G132&gt;=BJ$2)),
  $H132 * (1 + Assumptions!$C$7) ^ INT(((YEAR(BJ$2)-YEAR($F132))*12 + MONTH(BJ$2)-MONTH($F132)) / 12),
  0)</f>
        <v/>
      </c>
      <c r="BK132" s="299">
        <f>IF(AND($F132&lt;=BK$2, OR($G132="",$G132&gt;=BK$2)),
  $H132 * (1 + Assumptions!$C$7) ^ INT(((YEAR(BK$2)-YEAR($F132))*12 + MONTH(BK$2)-MONTH($F132)) / 12),
  0)</f>
        <v/>
      </c>
      <c r="BL132" s="299">
        <f>IF(AND($F132&lt;=BL$2, OR($G132="",$G132&gt;=BL$2)),
  $H132 * (1 + Assumptions!$C$7) ^ INT(((YEAR(BL$2)-YEAR($F132))*12 + MONTH(BL$2)-MONTH($F132)) / 12),
  0)</f>
        <v/>
      </c>
      <c r="BM132" s="299">
        <f>IF(AND($F132&lt;=BM$2, OR($G132="",$G132&gt;=BM$2)),
  $H132 * (1 + Assumptions!$C$7) ^ INT(((YEAR(BM$2)-YEAR($F132))*12 + MONTH(BM$2)-MONTH($F132)) / 12),
  0)</f>
        <v/>
      </c>
      <c r="BN132" s="299">
        <f>IF(AND($F132&lt;=BN$2, OR($G132="",$G132&gt;=BN$2)),
  $H132 * (1 + Assumptions!$C$7) ^ INT(((YEAR(BN$2)-YEAR($F132))*12 + MONTH(BN$2)-MONTH($F132)) / 12),
  0)</f>
        <v/>
      </c>
      <c r="BO132" s="299">
        <f>IF(AND($F132&lt;=BO$2, OR($G132="",$G132&gt;=BO$2)),
  $H132 * (1 + Assumptions!$C$7) ^ INT(((YEAR(BO$2)-YEAR($F132))*12 + MONTH(BO$2)-MONTH($F132)) / 12),
  0)</f>
        <v/>
      </c>
      <c r="BP132" s="299">
        <f>IF(AND($F132&lt;=BP$2, OR($G132="",$G132&gt;=BP$2)),
  $H132 * (1 + Assumptions!$C$7) ^ INT(((YEAR(BP$2)-YEAR($F132))*12 + MONTH(BP$2)-MONTH($F132)) / 12),
  0)</f>
        <v/>
      </c>
      <c r="BQ132" s="31" t="n"/>
      <c r="BR132" s="31" t="n"/>
      <c r="BS132" s="31" t="n"/>
      <c r="BT132" s="31" t="n"/>
    </row>
    <row r="133" ht="15.75" customHeight="1" s="349">
      <c r="A133" s="321" t="n">
        <v>128</v>
      </c>
      <c r="B133" s="285" t="inlineStr">
        <is>
          <t>New hire</t>
        </is>
      </c>
      <c r="C133" s="317" t="inlineStr">
        <is>
          <t>G&amp;A</t>
        </is>
      </c>
      <c r="D133" s="317" t="inlineStr">
        <is>
          <t>Production Operator</t>
        </is>
      </c>
      <c r="E133" s="297" t="inlineStr">
        <is>
          <t>Planned</t>
        </is>
      </c>
      <c r="F133" s="318">
        <f>IF(Assumptions!$D$82=2,DATE(2028,7,1),DATE(2035,1,1))</f>
        <v/>
      </c>
      <c r="G133" s="318" t="n"/>
      <c r="H133" s="288" t="n">
        <v>5000</v>
      </c>
      <c r="I133" s="299">
        <f>IF(AND($F133&lt;=I$2, OR($G133="",$G133&gt;=I$2)),
  $H133 * (1 + Assumptions!$C$7) ^ INT(((YEAR(I$2)-YEAR($F133))*12 + MONTH(I$2)-MONTH($F133)) / 12),
  0)</f>
        <v/>
      </c>
      <c r="J133" s="299">
        <f>IF(AND($F133&lt;=J$2, OR($G133="",$G133&gt;=J$2)),
  $H133 * (1 + Assumptions!$C$7) ^ INT(((YEAR(J$2)-YEAR($F133))*12 + MONTH(J$2)-MONTH($F133)) / 12),
  0)</f>
        <v/>
      </c>
      <c r="K133" s="299">
        <f>IF(AND($F133&lt;=K$2, OR($G133="",$G133&gt;=K$2)),
  $H133 * (1 + Assumptions!$C$7) ^ INT(((YEAR(K$2)-YEAR($F133))*12 + MONTH(K$2)-MONTH($F133)) / 12),
  0)</f>
        <v/>
      </c>
      <c r="L133" s="299">
        <f>IF(AND($F133&lt;=L$2, OR($G133="",$G133&gt;=L$2)),
  $H133 * (1 + Assumptions!$C$7) ^ INT(((YEAR(L$2)-YEAR($F133))*12 + MONTH(L$2)-MONTH($F133)) / 12),
  0)</f>
        <v/>
      </c>
      <c r="M133" s="299">
        <f>IF(AND($F133&lt;=M$2, OR($G133="",$G133&gt;=M$2)),
  $H133 * (1 + Assumptions!$C$7) ^ INT(((YEAR(M$2)-YEAR($F133))*12 + MONTH(M$2)-MONTH($F133)) / 12),
  0)</f>
        <v/>
      </c>
      <c r="N133" s="299">
        <f>IF(AND($F133&lt;=N$2, OR($G133="",$G133&gt;=N$2)),
  $H133 * (1 + Assumptions!$C$7) ^ INT(((YEAR(N$2)-YEAR($F133))*12 + MONTH(N$2)-MONTH($F133)) / 12),
  0)</f>
        <v/>
      </c>
      <c r="O133" s="299">
        <f>IF(AND($F133&lt;=O$2, OR($G133="",$G133&gt;=O$2)),
  $H133 * (1 + Assumptions!$C$7) ^ INT(((YEAR(O$2)-YEAR($F133))*12 + MONTH(O$2)-MONTH($F133)) / 12),
  0)</f>
        <v/>
      </c>
      <c r="P133" s="299">
        <f>IF(AND($F133&lt;=P$2, OR($G133="",$G133&gt;=P$2)),
  $H133 * (1 + Assumptions!$C$7) ^ INT(((YEAR(P$2)-YEAR($F133))*12 + MONTH(P$2)-MONTH($F133)) / 12),
  0)</f>
        <v/>
      </c>
      <c r="Q133" s="299">
        <f>IF(AND($F133&lt;=Q$2, OR($G133="",$G133&gt;=Q$2)),
  $H133 * (1 + Assumptions!$C$7) ^ INT(((YEAR(Q$2)-YEAR($F133))*12 + MONTH(Q$2)-MONTH($F133)) / 12),
  0)</f>
        <v/>
      </c>
      <c r="R133" s="299">
        <f>IF(AND($F133&lt;=R$2, OR($G133="",$G133&gt;=R$2)),
  $H133 * (1 + Assumptions!$C$7) ^ INT(((YEAR(R$2)-YEAR($F133))*12 + MONTH(R$2)-MONTH($F133)) / 12),
  0)</f>
        <v/>
      </c>
      <c r="S133" s="299">
        <f>IF(AND($F133&lt;=S$2, OR($G133="",$G133&gt;=S$2)),
  $H133 * (1 + Assumptions!$C$7) ^ INT(((YEAR(S$2)-YEAR($F133))*12 + MONTH(S$2)-MONTH($F133)) / 12),
  0)</f>
        <v/>
      </c>
      <c r="T133" s="299">
        <f>IF(AND($F133&lt;=T$2, OR($G133="",$G133&gt;=T$2)),
  $H133 * (1 + Assumptions!$C$7) ^ INT(((YEAR(T$2)-YEAR($F133))*12 + MONTH(T$2)-MONTH($F133)) / 12),
  0)</f>
        <v/>
      </c>
      <c r="U133" s="299">
        <f>IF(AND($F133&lt;=U$2, OR($G133="",$G133&gt;=U$2)),
  $H133 * (1 + Assumptions!$C$7) ^ INT(((YEAR(U$2)-YEAR($F133))*12 + MONTH(U$2)-MONTH($F133)) / 12),
  0)</f>
        <v/>
      </c>
      <c r="V133" s="299">
        <f>IF(AND($F133&lt;=V$2, OR($G133="",$G133&gt;=V$2)),
  $H133 * (1 + Assumptions!$C$7) ^ INT(((YEAR(V$2)-YEAR($F133))*12 + MONTH(V$2)-MONTH($F133)) / 12),
  0)</f>
        <v/>
      </c>
      <c r="W133" s="299">
        <f>IF(AND($F133&lt;=W$2, OR($G133="",$G133&gt;=W$2)),
  $H133 * (1 + Assumptions!$C$7) ^ INT(((YEAR(W$2)-YEAR($F133))*12 + MONTH(W$2)-MONTH($F133)) / 12),
  0)</f>
        <v/>
      </c>
      <c r="X133" s="299">
        <f>IF(AND($F133&lt;=X$2, OR($G133="",$G133&gt;=X$2)),
  $H133 * (1 + Assumptions!$C$7) ^ INT(((YEAR(X$2)-YEAR($F133))*12 + MONTH(X$2)-MONTH($F133)) / 12),
  0)</f>
        <v/>
      </c>
      <c r="Y133" s="299">
        <f>IF(AND($F133&lt;=Y$2, OR($G133="",$G133&gt;=Y$2)),
  $H133 * (1 + Assumptions!$C$7) ^ INT(((YEAR(Y$2)-YEAR($F133))*12 + MONTH(Y$2)-MONTH($F133)) / 12),
  0)</f>
        <v/>
      </c>
      <c r="Z133" s="299">
        <f>IF(AND($F133&lt;=Z$2, OR($G133="",$G133&gt;=Z$2)),
  $H133 * (1 + Assumptions!$C$7) ^ INT(((YEAR(Z$2)-YEAR($F133))*12 + MONTH(Z$2)-MONTH($F133)) / 12),
  0)</f>
        <v/>
      </c>
      <c r="AA133" s="299">
        <f>IF(AND($F133&lt;=AA$2, OR($G133="",$G133&gt;=AA$2)),
  $H133 * (1 + Assumptions!$C$7) ^ INT(((YEAR(AA$2)-YEAR($F133))*12 + MONTH(AA$2)-MONTH($F133)) / 12),
  0)</f>
        <v/>
      </c>
      <c r="AB133" s="299">
        <f>IF(AND($F133&lt;=AB$2, OR($G133="",$G133&gt;=AB$2)),
  $H133 * (1 + Assumptions!$C$7) ^ INT(((YEAR(AB$2)-YEAR($F133))*12 + MONTH(AB$2)-MONTH($F133)) / 12),
  0)</f>
        <v/>
      </c>
      <c r="AC133" s="299">
        <f>IF(AND($F133&lt;=AC$2, OR($G133="",$G133&gt;=AC$2)),
  $H133 * (1 + Assumptions!$C$7) ^ INT(((YEAR(AC$2)-YEAR($F133))*12 + MONTH(AC$2)-MONTH($F133)) / 12),
  0)</f>
        <v/>
      </c>
      <c r="AD133" s="299">
        <f>IF(AND($F133&lt;=AD$2, OR($G133="",$G133&gt;=AD$2)),
  $H133 * (1 + Assumptions!$C$7) ^ INT(((YEAR(AD$2)-YEAR($F133))*12 + MONTH(AD$2)-MONTH($F133)) / 12),
  0)</f>
        <v/>
      </c>
      <c r="AE133" s="299">
        <f>IF(AND($F133&lt;=AE$2, OR($G133="",$G133&gt;=AE$2)),
  $H133 * (1 + Assumptions!$C$7) ^ INT(((YEAR(AE$2)-YEAR($F133))*12 + MONTH(AE$2)-MONTH($F133)) / 12),
  0)</f>
        <v/>
      </c>
      <c r="AF133" s="299">
        <f>IF(AND($F133&lt;=AF$2, OR($G133="",$G133&gt;=AF$2)),
  $H133 * (1 + Assumptions!$C$7) ^ INT(((YEAR(AF$2)-YEAR($F133))*12 + MONTH(AF$2)-MONTH($F133)) / 12),
  0)</f>
        <v/>
      </c>
      <c r="AG133" s="299">
        <f>IF(AND($F133&lt;=AG$2, OR($G133="",$G133&gt;=AG$2)),
  $H133 * (1 + Assumptions!$C$7) ^ INT(((YEAR(AG$2)-YEAR($F133))*12 + MONTH(AG$2)-MONTH($F133)) / 12),
  0)</f>
        <v/>
      </c>
      <c r="AH133" s="299">
        <f>IF(AND($F133&lt;=AH$2, OR($G133="",$G133&gt;=AH$2)),
  $H133 * (1 + Assumptions!$C$7) ^ INT(((YEAR(AH$2)-YEAR($F133))*12 + MONTH(AH$2)-MONTH($F133)) / 12),
  0)</f>
        <v/>
      </c>
      <c r="AI133" s="299">
        <f>IF(AND($F133&lt;=AI$2, OR($G133="",$G133&gt;=AI$2)),
  $H133 * (1 + Assumptions!$C$7) ^ INT(((YEAR(AI$2)-YEAR($F133))*12 + MONTH(AI$2)-MONTH($F133)) / 12),
  0)</f>
        <v/>
      </c>
      <c r="AJ133" s="299">
        <f>IF(AND($F133&lt;=AJ$2, OR($G133="",$G133&gt;=AJ$2)),
  $H133 * (1 + Assumptions!$C$7) ^ INT(((YEAR(AJ$2)-YEAR($F133))*12 + MONTH(AJ$2)-MONTH($F133)) / 12),
  0)</f>
        <v/>
      </c>
      <c r="AK133" s="299">
        <f>IF(AND($F133&lt;=AK$2, OR($G133="",$G133&gt;=AK$2)),
  $H133 * (1 + Assumptions!$C$7) ^ INT(((YEAR(AK$2)-YEAR($F133))*12 + MONTH(AK$2)-MONTH($F133)) / 12),
  0)</f>
        <v/>
      </c>
      <c r="AL133" s="299">
        <f>IF(AND($F133&lt;=AL$2, OR($G133="",$G133&gt;=AL$2)),
  $H133 * (1 + Assumptions!$C$7) ^ INT(((YEAR(AL$2)-YEAR($F133))*12 + MONTH(AL$2)-MONTH($F133)) / 12),
  0)</f>
        <v/>
      </c>
      <c r="AM133" s="299">
        <f>IF(AND($F133&lt;=AM$2, OR($G133="",$G133&gt;=AM$2)),
  $H133 * (1 + Assumptions!$C$7) ^ INT(((YEAR(AM$2)-YEAR($F133))*12 + MONTH(AM$2)-MONTH($F133)) / 12),
  0)</f>
        <v/>
      </c>
      <c r="AN133" s="299">
        <f>IF(AND($F133&lt;=AN$2, OR($G133="",$G133&gt;=AN$2)),
  $H133 * (1 + Assumptions!$C$7) ^ INT(((YEAR(AN$2)-YEAR($F133))*12 + MONTH(AN$2)-MONTH($F133)) / 12),
  0)</f>
        <v/>
      </c>
      <c r="AO133" s="299">
        <f>IF(AND($F133&lt;=AO$2, OR($G133="",$G133&gt;=AO$2)),
  $H133 * (1 + Assumptions!$C$7) ^ INT(((YEAR(AO$2)-YEAR($F133))*12 + MONTH(AO$2)-MONTH($F133)) / 12),
  0)</f>
        <v/>
      </c>
      <c r="AP133" s="299">
        <f>IF(AND($F133&lt;=AP$2, OR($G133="",$G133&gt;=AP$2)),
  $H133 * (1 + Assumptions!$C$7) ^ INT(((YEAR(AP$2)-YEAR($F133))*12 + MONTH(AP$2)-MONTH($F133)) / 12),
  0)</f>
        <v/>
      </c>
      <c r="AQ133" s="299">
        <f>IF(AND($F133&lt;=AQ$2, OR($G133="",$G133&gt;=AQ$2)),
  $H133 * (1 + Assumptions!$C$7) ^ INT(((YEAR(AQ$2)-YEAR($F133))*12 + MONTH(AQ$2)-MONTH($F133)) / 12),
  0)</f>
        <v/>
      </c>
      <c r="AR133" s="299">
        <f>IF(AND($F133&lt;=AR$2, OR($G133="",$G133&gt;=AR$2)),
  $H133 * (1 + Assumptions!$C$7) ^ INT(((YEAR(AR$2)-YEAR($F133))*12 + MONTH(AR$2)-MONTH($F133)) / 12),
  0)</f>
        <v/>
      </c>
      <c r="AS133" s="299">
        <f>IF(AND($F133&lt;=AS$2, OR($G133="",$G133&gt;=AS$2)),
  $H133 * (1 + Assumptions!$C$7) ^ INT(((YEAR(AS$2)-YEAR($F133))*12 + MONTH(AS$2)-MONTH($F133)) / 12),
  0)</f>
        <v/>
      </c>
      <c r="AT133" s="299">
        <f>IF(AND($F133&lt;=AT$2, OR($G133="",$G133&gt;=AT$2)),
  $H133 * (1 + Assumptions!$C$7) ^ INT(((YEAR(AT$2)-YEAR($F133))*12 + MONTH(AT$2)-MONTH($F133)) / 12),
  0)</f>
        <v/>
      </c>
      <c r="AU133" s="299">
        <f>IF(AND($F133&lt;=AU$2, OR($G133="",$G133&gt;=AU$2)),
  $H133 * (1 + Assumptions!$C$7) ^ INT(((YEAR(AU$2)-YEAR($F133))*12 + MONTH(AU$2)-MONTH($F133)) / 12),
  0)</f>
        <v/>
      </c>
      <c r="AV133" s="299">
        <f>IF(AND($F133&lt;=AV$2, OR($G133="",$G133&gt;=AV$2)),
  $H133 * (1 + Assumptions!$C$7) ^ INT(((YEAR(AV$2)-YEAR($F133))*12 + MONTH(AV$2)-MONTH($F133)) / 12),
  0)</f>
        <v/>
      </c>
      <c r="AW133" s="299">
        <f>IF(AND($F133&lt;=AW$2, OR($G133="",$G133&gt;=AW$2)),
  $H133 * (1 + Assumptions!$C$7) ^ INT(((YEAR(AW$2)-YEAR($F133))*12 + MONTH(AW$2)-MONTH($F133)) / 12),
  0)</f>
        <v/>
      </c>
      <c r="AX133" s="299">
        <f>IF(AND($F133&lt;=AX$2, OR($G133="",$G133&gt;=AX$2)),
  $H133 * (1 + Assumptions!$C$7) ^ INT(((YEAR(AX$2)-YEAR($F133))*12 + MONTH(AX$2)-MONTH($F133)) / 12),
  0)</f>
        <v/>
      </c>
      <c r="AY133" s="299">
        <f>IF(AND($F133&lt;=AY$2, OR($G133="",$G133&gt;=AY$2)),
  $H133 * (1 + Assumptions!$C$7) ^ INT(((YEAR(AY$2)-YEAR($F133))*12 + MONTH(AY$2)-MONTH($F133)) / 12),
  0)</f>
        <v/>
      </c>
      <c r="AZ133" s="299">
        <f>IF(AND($F133&lt;=AZ$2, OR($G133="",$G133&gt;=AZ$2)),
  $H133 * (1 + Assumptions!$C$7) ^ INT(((YEAR(AZ$2)-YEAR($F133))*12 + MONTH(AZ$2)-MONTH($F133)) / 12),
  0)</f>
        <v/>
      </c>
      <c r="BA133" s="299">
        <f>IF(AND($F133&lt;=BA$2, OR($G133="",$G133&gt;=BA$2)),
  $H133 * (1 + Assumptions!$C$7) ^ INT(((YEAR(BA$2)-YEAR($F133))*12 + MONTH(BA$2)-MONTH($F133)) / 12),
  0)</f>
        <v/>
      </c>
      <c r="BB133" s="299">
        <f>IF(AND($F133&lt;=BB$2, OR($G133="",$G133&gt;=BB$2)),
  $H133 * (1 + Assumptions!$C$7) ^ INT(((YEAR(BB$2)-YEAR($F133))*12 + MONTH(BB$2)-MONTH($F133)) / 12),
  0)</f>
        <v/>
      </c>
      <c r="BC133" s="299">
        <f>IF(AND($F133&lt;=BC$2, OR($G133="",$G133&gt;=BC$2)),
  $H133 * (1 + Assumptions!$C$7) ^ INT(((YEAR(BC$2)-YEAR($F133))*12 + MONTH(BC$2)-MONTH($F133)) / 12),
  0)</f>
        <v/>
      </c>
      <c r="BD133" s="299">
        <f>IF(AND($F133&lt;=BD$2, OR($G133="",$G133&gt;=BD$2)),
  $H133 * (1 + Assumptions!$C$7) ^ INT(((YEAR(BD$2)-YEAR($F133))*12 + MONTH(BD$2)-MONTH($F133)) / 12),
  0)</f>
        <v/>
      </c>
      <c r="BE133" s="299">
        <f>IF(AND($F133&lt;=BE$2, OR($G133="",$G133&gt;=BE$2)),
  $H133 * (1 + Assumptions!$C$7) ^ INT(((YEAR(BE$2)-YEAR($F133))*12 + MONTH(BE$2)-MONTH($F133)) / 12),
  0)</f>
        <v/>
      </c>
      <c r="BF133" s="299">
        <f>IF(AND($F133&lt;=BF$2, OR($G133="",$G133&gt;=BF$2)),
  $H133 * (1 + Assumptions!$C$7) ^ INT(((YEAR(BF$2)-YEAR($F133))*12 + MONTH(BF$2)-MONTH($F133)) / 12),
  0)</f>
        <v/>
      </c>
      <c r="BG133" s="299">
        <f>IF(AND($F133&lt;=BG$2, OR($G133="",$G133&gt;=BG$2)),
  $H133 * (1 + Assumptions!$C$7) ^ INT(((YEAR(BG$2)-YEAR($F133))*12 + MONTH(BG$2)-MONTH($F133)) / 12),
  0)</f>
        <v/>
      </c>
      <c r="BH133" s="299">
        <f>IF(AND($F133&lt;=BH$2, OR($G133="",$G133&gt;=BH$2)),
  $H133 * (1 + Assumptions!$C$7) ^ INT(((YEAR(BH$2)-YEAR($F133))*12 + MONTH(BH$2)-MONTH($F133)) / 12),
  0)</f>
        <v/>
      </c>
      <c r="BI133" s="299">
        <f>IF(AND($F133&lt;=BI$2, OR($G133="",$G133&gt;=BI$2)),
  $H133 * (1 + Assumptions!$C$7) ^ INT(((YEAR(BI$2)-YEAR($F133))*12 + MONTH(BI$2)-MONTH($F133)) / 12),
  0)</f>
        <v/>
      </c>
      <c r="BJ133" s="299">
        <f>IF(AND($F133&lt;=BJ$2, OR($G133="",$G133&gt;=BJ$2)),
  $H133 * (1 + Assumptions!$C$7) ^ INT(((YEAR(BJ$2)-YEAR($F133))*12 + MONTH(BJ$2)-MONTH($F133)) / 12),
  0)</f>
        <v/>
      </c>
      <c r="BK133" s="299">
        <f>IF(AND($F133&lt;=BK$2, OR($G133="",$G133&gt;=BK$2)),
  $H133 * (1 + Assumptions!$C$7) ^ INT(((YEAR(BK$2)-YEAR($F133))*12 + MONTH(BK$2)-MONTH($F133)) / 12),
  0)</f>
        <v/>
      </c>
      <c r="BL133" s="299">
        <f>IF(AND($F133&lt;=BL$2, OR($G133="",$G133&gt;=BL$2)),
  $H133 * (1 + Assumptions!$C$7) ^ INT(((YEAR(BL$2)-YEAR($F133))*12 + MONTH(BL$2)-MONTH($F133)) / 12),
  0)</f>
        <v/>
      </c>
      <c r="BM133" s="299">
        <f>IF(AND($F133&lt;=BM$2, OR($G133="",$G133&gt;=BM$2)),
  $H133 * (1 + Assumptions!$C$7) ^ INT(((YEAR(BM$2)-YEAR($F133))*12 + MONTH(BM$2)-MONTH($F133)) / 12),
  0)</f>
        <v/>
      </c>
      <c r="BN133" s="299">
        <f>IF(AND($F133&lt;=BN$2, OR($G133="",$G133&gt;=BN$2)),
  $H133 * (1 + Assumptions!$C$7) ^ INT(((YEAR(BN$2)-YEAR($F133))*12 + MONTH(BN$2)-MONTH($F133)) / 12),
  0)</f>
        <v/>
      </c>
      <c r="BO133" s="299">
        <f>IF(AND($F133&lt;=BO$2, OR($G133="",$G133&gt;=BO$2)),
  $H133 * (1 + Assumptions!$C$7) ^ INT(((YEAR(BO$2)-YEAR($F133))*12 + MONTH(BO$2)-MONTH($F133)) / 12),
  0)</f>
        <v/>
      </c>
      <c r="BP133" s="299">
        <f>IF(AND($F133&lt;=BP$2, OR($G133="",$G133&gt;=BP$2)),
  $H133 * (1 + Assumptions!$C$7) ^ INT(((YEAR(BP$2)-YEAR($F133))*12 + MONTH(BP$2)-MONTH($F133)) / 12),
  0)</f>
        <v/>
      </c>
      <c r="BQ133" s="31" t="n"/>
      <c r="BR133" s="31" t="n"/>
      <c r="BS133" s="31" t="n"/>
      <c r="BT133" s="31" t="n"/>
    </row>
    <row r="134" ht="15.75" customHeight="1" s="349">
      <c r="A134" s="321" t="n">
        <v>129</v>
      </c>
      <c r="B134" s="285" t="inlineStr">
        <is>
          <t>New hire</t>
        </is>
      </c>
      <c r="C134" s="317" t="inlineStr">
        <is>
          <t>G&amp;A</t>
        </is>
      </c>
      <c r="D134" s="317" t="inlineStr">
        <is>
          <t>Production Operator</t>
        </is>
      </c>
      <c r="E134" s="297" t="inlineStr">
        <is>
          <t>Planned</t>
        </is>
      </c>
      <c r="F134" s="318">
        <f>IF(Assumptions!$D$82=2,DATE(2028,7,1),DATE(2035,1,1))</f>
        <v/>
      </c>
      <c r="G134" s="318" t="n"/>
      <c r="H134" s="288" t="n">
        <v>5000</v>
      </c>
      <c r="I134" s="299">
        <f>IF(AND($F134&lt;=I$2, OR($G134="",$G134&gt;=I$2)),
  $H134 * (1 + Assumptions!$C$7) ^ INT(((YEAR(I$2)-YEAR($F134))*12 + MONTH(I$2)-MONTH($F134)) / 12),
  0)</f>
        <v/>
      </c>
      <c r="J134" s="299">
        <f>IF(AND($F134&lt;=J$2, OR($G134="",$G134&gt;=J$2)),
  $H134 * (1 + Assumptions!$C$7) ^ INT(((YEAR(J$2)-YEAR($F134))*12 + MONTH(J$2)-MONTH($F134)) / 12),
  0)</f>
        <v/>
      </c>
      <c r="K134" s="299">
        <f>IF(AND($F134&lt;=K$2, OR($G134="",$G134&gt;=K$2)),
  $H134 * (1 + Assumptions!$C$7) ^ INT(((YEAR(K$2)-YEAR($F134))*12 + MONTH(K$2)-MONTH($F134)) / 12),
  0)</f>
        <v/>
      </c>
      <c r="L134" s="299">
        <f>IF(AND($F134&lt;=L$2, OR($G134="",$G134&gt;=L$2)),
  $H134 * (1 + Assumptions!$C$7) ^ INT(((YEAR(L$2)-YEAR($F134))*12 + MONTH(L$2)-MONTH($F134)) / 12),
  0)</f>
        <v/>
      </c>
      <c r="M134" s="299">
        <f>IF(AND($F134&lt;=M$2, OR($G134="",$G134&gt;=M$2)),
  $H134 * (1 + Assumptions!$C$7) ^ INT(((YEAR(M$2)-YEAR($F134))*12 + MONTH(M$2)-MONTH($F134)) / 12),
  0)</f>
        <v/>
      </c>
      <c r="N134" s="299">
        <f>IF(AND($F134&lt;=N$2, OR($G134="",$G134&gt;=N$2)),
  $H134 * (1 + Assumptions!$C$7) ^ INT(((YEAR(N$2)-YEAR($F134))*12 + MONTH(N$2)-MONTH($F134)) / 12),
  0)</f>
        <v/>
      </c>
      <c r="O134" s="299">
        <f>IF(AND($F134&lt;=O$2, OR($G134="",$G134&gt;=O$2)),
  $H134 * (1 + Assumptions!$C$7) ^ INT(((YEAR(O$2)-YEAR($F134))*12 + MONTH(O$2)-MONTH($F134)) / 12),
  0)</f>
        <v/>
      </c>
      <c r="P134" s="299">
        <f>IF(AND($F134&lt;=P$2, OR($G134="",$G134&gt;=P$2)),
  $H134 * (1 + Assumptions!$C$7) ^ INT(((YEAR(P$2)-YEAR($F134))*12 + MONTH(P$2)-MONTH($F134)) / 12),
  0)</f>
        <v/>
      </c>
      <c r="Q134" s="299">
        <f>IF(AND($F134&lt;=Q$2, OR($G134="",$G134&gt;=Q$2)),
  $H134 * (1 + Assumptions!$C$7) ^ INT(((YEAR(Q$2)-YEAR($F134))*12 + MONTH(Q$2)-MONTH($F134)) / 12),
  0)</f>
        <v/>
      </c>
      <c r="R134" s="299">
        <f>IF(AND($F134&lt;=R$2, OR($G134="",$G134&gt;=R$2)),
  $H134 * (1 + Assumptions!$C$7) ^ INT(((YEAR(R$2)-YEAR($F134))*12 + MONTH(R$2)-MONTH($F134)) / 12),
  0)</f>
        <v/>
      </c>
      <c r="S134" s="299">
        <f>IF(AND($F134&lt;=S$2, OR($G134="",$G134&gt;=S$2)),
  $H134 * (1 + Assumptions!$C$7) ^ INT(((YEAR(S$2)-YEAR($F134))*12 + MONTH(S$2)-MONTH($F134)) / 12),
  0)</f>
        <v/>
      </c>
      <c r="T134" s="299">
        <f>IF(AND($F134&lt;=T$2, OR($G134="",$G134&gt;=T$2)),
  $H134 * (1 + Assumptions!$C$7) ^ INT(((YEAR(T$2)-YEAR($F134))*12 + MONTH(T$2)-MONTH($F134)) / 12),
  0)</f>
        <v/>
      </c>
      <c r="U134" s="299">
        <f>IF(AND($F134&lt;=U$2, OR($G134="",$G134&gt;=U$2)),
  $H134 * (1 + Assumptions!$C$7) ^ INT(((YEAR(U$2)-YEAR($F134))*12 + MONTH(U$2)-MONTH($F134)) / 12),
  0)</f>
        <v/>
      </c>
      <c r="V134" s="299">
        <f>IF(AND($F134&lt;=V$2, OR($G134="",$G134&gt;=V$2)),
  $H134 * (1 + Assumptions!$C$7) ^ INT(((YEAR(V$2)-YEAR($F134))*12 + MONTH(V$2)-MONTH($F134)) / 12),
  0)</f>
        <v/>
      </c>
      <c r="W134" s="299">
        <f>IF(AND($F134&lt;=W$2, OR($G134="",$G134&gt;=W$2)),
  $H134 * (1 + Assumptions!$C$7) ^ INT(((YEAR(W$2)-YEAR($F134))*12 + MONTH(W$2)-MONTH($F134)) / 12),
  0)</f>
        <v/>
      </c>
      <c r="X134" s="299">
        <f>IF(AND($F134&lt;=X$2, OR($G134="",$G134&gt;=X$2)),
  $H134 * (1 + Assumptions!$C$7) ^ INT(((YEAR(X$2)-YEAR($F134))*12 + MONTH(X$2)-MONTH($F134)) / 12),
  0)</f>
        <v/>
      </c>
      <c r="Y134" s="299">
        <f>IF(AND($F134&lt;=Y$2, OR($G134="",$G134&gt;=Y$2)),
  $H134 * (1 + Assumptions!$C$7) ^ INT(((YEAR(Y$2)-YEAR($F134))*12 + MONTH(Y$2)-MONTH($F134)) / 12),
  0)</f>
        <v/>
      </c>
      <c r="Z134" s="299">
        <f>IF(AND($F134&lt;=Z$2, OR($G134="",$G134&gt;=Z$2)),
  $H134 * (1 + Assumptions!$C$7) ^ INT(((YEAR(Z$2)-YEAR($F134))*12 + MONTH(Z$2)-MONTH($F134)) / 12),
  0)</f>
        <v/>
      </c>
      <c r="AA134" s="299">
        <f>IF(AND($F134&lt;=AA$2, OR($G134="",$G134&gt;=AA$2)),
  $H134 * (1 + Assumptions!$C$7) ^ INT(((YEAR(AA$2)-YEAR($F134))*12 + MONTH(AA$2)-MONTH($F134)) / 12),
  0)</f>
        <v/>
      </c>
      <c r="AB134" s="299">
        <f>IF(AND($F134&lt;=AB$2, OR($G134="",$G134&gt;=AB$2)),
  $H134 * (1 + Assumptions!$C$7) ^ INT(((YEAR(AB$2)-YEAR($F134))*12 + MONTH(AB$2)-MONTH($F134)) / 12),
  0)</f>
        <v/>
      </c>
      <c r="AC134" s="299">
        <f>IF(AND($F134&lt;=AC$2, OR($G134="",$G134&gt;=AC$2)),
  $H134 * (1 + Assumptions!$C$7) ^ INT(((YEAR(AC$2)-YEAR($F134))*12 + MONTH(AC$2)-MONTH($F134)) / 12),
  0)</f>
        <v/>
      </c>
      <c r="AD134" s="299">
        <f>IF(AND($F134&lt;=AD$2, OR($G134="",$G134&gt;=AD$2)),
  $H134 * (1 + Assumptions!$C$7) ^ INT(((YEAR(AD$2)-YEAR($F134))*12 + MONTH(AD$2)-MONTH($F134)) / 12),
  0)</f>
        <v/>
      </c>
      <c r="AE134" s="299">
        <f>IF(AND($F134&lt;=AE$2, OR($G134="",$G134&gt;=AE$2)),
  $H134 * (1 + Assumptions!$C$7) ^ INT(((YEAR(AE$2)-YEAR($F134))*12 + MONTH(AE$2)-MONTH($F134)) / 12),
  0)</f>
        <v/>
      </c>
      <c r="AF134" s="299">
        <f>IF(AND($F134&lt;=AF$2, OR($G134="",$G134&gt;=AF$2)),
  $H134 * (1 + Assumptions!$C$7) ^ INT(((YEAR(AF$2)-YEAR($F134))*12 + MONTH(AF$2)-MONTH($F134)) / 12),
  0)</f>
        <v/>
      </c>
      <c r="AG134" s="299">
        <f>IF(AND($F134&lt;=AG$2, OR($G134="",$G134&gt;=AG$2)),
  $H134 * (1 + Assumptions!$C$7) ^ INT(((YEAR(AG$2)-YEAR($F134))*12 + MONTH(AG$2)-MONTH($F134)) / 12),
  0)</f>
        <v/>
      </c>
      <c r="AH134" s="299">
        <f>IF(AND($F134&lt;=AH$2, OR($G134="",$G134&gt;=AH$2)),
  $H134 * (1 + Assumptions!$C$7) ^ INT(((YEAR(AH$2)-YEAR($F134))*12 + MONTH(AH$2)-MONTH($F134)) / 12),
  0)</f>
        <v/>
      </c>
      <c r="AI134" s="299">
        <f>IF(AND($F134&lt;=AI$2, OR($G134="",$G134&gt;=AI$2)),
  $H134 * (1 + Assumptions!$C$7) ^ INT(((YEAR(AI$2)-YEAR($F134))*12 + MONTH(AI$2)-MONTH($F134)) / 12),
  0)</f>
        <v/>
      </c>
      <c r="AJ134" s="299">
        <f>IF(AND($F134&lt;=AJ$2, OR($G134="",$G134&gt;=AJ$2)),
  $H134 * (1 + Assumptions!$C$7) ^ INT(((YEAR(AJ$2)-YEAR($F134))*12 + MONTH(AJ$2)-MONTH($F134)) / 12),
  0)</f>
        <v/>
      </c>
      <c r="AK134" s="299">
        <f>IF(AND($F134&lt;=AK$2, OR($G134="",$G134&gt;=AK$2)),
  $H134 * (1 + Assumptions!$C$7) ^ INT(((YEAR(AK$2)-YEAR($F134))*12 + MONTH(AK$2)-MONTH($F134)) / 12),
  0)</f>
        <v/>
      </c>
      <c r="AL134" s="299">
        <f>IF(AND($F134&lt;=AL$2, OR($G134="",$G134&gt;=AL$2)),
  $H134 * (1 + Assumptions!$C$7) ^ INT(((YEAR(AL$2)-YEAR($F134))*12 + MONTH(AL$2)-MONTH($F134)) / 12),
  0)</f>
        <v/>
      </c>
      <c r="AM134" s="299">
        <f>IF(AND($F134&lt;=AM$2, OR($G134="",$G134&gt;=AM$2)),
  $H134 * (1 + Assumptions!$C$7) ^ INT(((YEAR(AM$2)-YEAR($F134))*12 + MONTH(AM$2)-MONTH($F134)) / 12),
  0)</f>
        <v/>
      </c>
      <c r="AN134" s="299">
        <f>IF(AND($F134&lt;=AN$2, OR($G134="",$G134&gt;=AN$2)),
  $H134 * (1 + Assumptions!$C$7) ^ INT(((YEAR(AN$2)-YEAR($F134))*12 + MONTH(AN$2)-MONTH($F134)) / 12),
  0)</f>
        <v/>
      </c>
      <c r="AO134" s="299">
        <f>IF(AND($F134&lt;=AO$2, OR($G134="",$G134&gt;=AO$2)),
  $H134 * (1 + Assumptions!$C$7) ^ INT(((YEAR(AO$2)-YEAR($F134))*12 + MONTH(AO$2)-MONTH($F134)) / 12),
  0)</f>
        <v/>
      </c>
      <c r="AP134" s="299">
        <f>IF(AND($F134&lt;=AP$2, OR($G134="",$G134&gt;=AP$2)),
  $H134 * (1 + Assumptions!$C$7) ^ INT(((YEAR(AP$2)-YEAR($F134))*12 + MONTH(AP$2)-MONTH($F134)) / 12),
  0)</f>
        <v/>
      </c>
      <c r="AQ134" s="299">
        <f>IF(AND($F134&lt;=AQ$2, OR($G134="",$G134&gt;=AQ$2)),
  $H134 * (1 + Assumptions!$C$7) ^ INT(((YEAR(AQ$2)-YEAR($F134))*12 + MONTH(AQ$2)-MONTH($F134)) / 12),
  0)</f>
        <v/>
      </c>
      <c r="AR134" s="299">
        <f>IF(AND($F134&lt;=AR$2, OR($G134="",$G134&gt;=AR$2)),
  $H134 * (1 + Assumptions!$C$7) ^ INT(((YEAR(AR$2)-YEAR($F134))*12 + MONTH(AR$2)-MONTH($F134)) / 12),
  0)</f>
        <v/>
      </c>
      <c r="AS134" s="299">
        <f>IF(AND($F134&lt;=AS$2, OR($G134="",$G134&gt;=AS$2)),
  $H134 * (1 + Assumptions!$C$7) ^ INT(((YEAR(AS$2)-YEAR($F134))*12 + MONTH(AS$2)-MONTH($F134)) / 12),
  0)</f>
        <v/>
      </c>
      <c r="AT134" s="299">
        <f>IF(AND($F134&lt;=AT$2, OR($G134="",$G134&gt;=AT$2)),
  $H134 * (1 + Assumptions!$C$7) ^ INT(((YEAR(AT$2)-YEAR($F134))*12 + MONTH(AT$2)-MONTH($F134)) / 12),
  0)</f>
        <v/>
      </c>
      <c r="AU134" s="299">
        <f>IF(AND($F134&lt;=AU$2, OR($G134="",$G134&gt;=AU$2)),
  $H134 * (1 + Assumptions!$C$7) ^ INT(((YEAR(AU$2)-YEAR($F134))*12 + MONTH(AU$2)-MONTH($F134)) / 12),
  0)</f>
        <v/>
      </c>
      <c r="AV134" s="299">
        <f>IF(AND($F134&lt;=AV$2, OR($G134="",$G134&gt;=AV$2)),
  $H134 * (1 + Assumptions!$C$7) ^ INT(((YEAR(AV$2)-YEAR($F134))*12 + MONTH(AV$2)-MONTH($F134)) / 12),
  0)</f>
        <v/>
      </c>
      <c r="AW134" s="299">
        <f>IF(AND($F134&lt;=AW$2, OR($G134="",$G134&gt;=AW$2)),
  $H134 * (1 + Assumptions!$C$7) ^ INT(((YEAR(AW$2)-YEAR($F134))*12 + MONTH(AW$2)-MONTH($F134)) / 12),
  0)</f>
        <v/>
      </c>
      <c r="AX134" s="299">
        <f>IF(AND($F134&lt;=AX$2, OR($G134="",$G134&gt;=AX$2)),
  $H134 * (1 + Assumptions!$C$7) ^ INT(((YEAR(AX$2)-YEAR($F134))*12 + MONTH(AX$2)-MONTH($F134)) / 12),
  0)</f>
        <v/>
      </c>
      <c r="AY134" s="299">
        <f>IF(AND($F134&lt;=AY$2, OR($G134="",$G134&gt;=AY$2)),
  $H134 * (1 + Assumptions!$C$7) ^ INT(((YEAR(AY$2)-YEAR($F134))*12 + MONTH(AY$2)-MONTH($F134)) / 12),
  0)</f>
        <v/>
      </c>
      <c r="AZ134" s="299">
        <f>IF(AND($F134&lt;=AZ$2, OR($G134="",$G134&gt;=AZ$2)),
  $H134 * (1 + Assumptions!$C$7) ^ INT(((YEAR(AZ$2)-YEAR($F134))*12 + MONTH(AZ$2)-MONTH($F134)) / 12),
  0)</f>
        <v/>
      </c>
      <c r="BA134" s="299">
        <f>IF(AND($F134&lt;=BA$2, OR($G134="",$G134&gt;=BA$2)),
  $H134 * (1 + Assumptions!$C$7) ^ INT(((YEAR(BA$2)-YEAR($F134))*12 + MONTH(BA$2)-MONTH($F134)) / 12),
  0)</f>
        <v/>
      </c>
      <c r="BB134" s="299">
        <f>IF(AND($F134&lt;=BB$2, OR($G134="",$G134&gt;=BB$2)),
  $H134 * (1 + Assumptions!$C$7) ^ INT(((YEAR(BB$2)-YEAR($F134))*12 + MONTH(BB$2)-MONTH($F134)) / 12),
  0)</f>
        <v/>
      </c>
      <c r="BC134" s="299">
        <f>IF(AND($F134&lt;=BC$2, OR($G134="",$G134&gt;=BC$2)),
  $H134 * (1 + Assumptions!$C$7) ^ INT(((YEAR(BC$2)-YEAR($F134))*12 + MONTH(BC$2)-MONTH($F134)) / 12),
  0)</f>
        <v/>
      </c>
      <c r="BD134" s="299">
        <f>IF(AND($F134&lt;=BD$2, OR($G134="",$G134&gt;=BD$2)),
  $H134 * (1 + Assumptions!$C$7) ^ INT(((YEAR(BD$2)-YEAR($F134))*12 + MONTH(BD$2)-MONTH($F134)) / 12),
  0)</f>
        <v/>
      </c>
      <c r="BE134" s="299">
        <f>IF(AND($F134&lt;=BE$2, OR($G134="",$G134&gt;=BE$2)),
  $H134 * (1 + Assumptions!$C$7) ^ INT(((YEAR(BE$2)-YEAR($F134))*12 + MONTH(BE$2)-MONTH($F134)) / 12),
  0)</f>
        <v/>
      </c>
      <c r="BF134" s="299">
        <f>IF(AND($F134&lt;=BF$2, OR($G134="",$G134&gt;=BF$2)),
  $H134 * (1 + Assumptions!$C$7) ^ INT(((YEAR(BF$2)-YEAR($F134))*12 + MONTH(BF$2)-MONTH($F134)) / 12),
  0)</f>
        <v/>
      </c>
      <c r="BG134" s="299">
        <f>IF(AND($F134&lt;=BG$2, OR($G134="",$G134&gt;=BG$2)),
  $H134 * (1 + Assumptions!$C$7) ^ INT(((YEAR(BG$2)-YEAR($F134))*12 + MONTH(BG$2)-MONTH($F134)) / 12),
  0)</f>
        <v/>
      </c>
      <c r="BH134" s="299">
        <f>IF(AND($F134&lt;=BH$2, OR($G134="",$G134&gt;=BH$2)),
  $H134 * (1 + Assumptions!$C$7) ^ INT(((YEAR(BH$2)-YEAR($F134))*12 + MONTH(BH$2)-MONTH($F134)) / 12),
  0)</f>
        <v/>
      </c>
      <c r="BI134" s="299">
        <f>IF(AND($F134&lt;=BI$2, OR($G134="",$G134&gt;=BI$2)),
  $H134 * (1 + Assumptions!$C$7) ^ INT(((YEAR(BI$2)-YEAR($F134))*12 + MONTH(BI$2)-MONTH($F134)) / 12),
  0)</f>
        <v/>
      </c>
      <c r="BJ134" s="299">
        <f>IF(AND($F134&lt;=BJ$2, OR($G134="",$G134&gt;=BJ$2)),
  $H134 * (1 + Assumptions!$C$7) ^ INT(((YEAR(BJ$2)-YEAR($F134))*12 + MONTH(BJ$2)-MONTH($F134)) / 12),
  0)</f>
        <v/>
      </c>
      <c r="BK134" s="299">
        <f>IF(AND($F134&lt;=BK$2, OR($G134="",$G134&gt;=BK$2)),
  $H134 * (1 + Assumptions!$C$7) ^ INT(((YEAR(BK$2)-YEAR($F134))*12 + MONTH(BK$2)-MONTH($F134)) / 12),
  0)</f>
        <v/>
      </c>
      <c r="BL134" s="299">
        <f>IF(AND($F134&lt;=BL$2, OR($G134="",$G134&gt;=BL$2)),
  $H134 * (1 + Assumptions!$C$7) ^ INT(((YEAR(BL$2)-YEAR($F134))*12 + MONTH(BL$2)-MONTH($F134)) / 12),
  0)</f>
        <v/>
      </c>
      <c r="BM134" s="299">
        <f>IF(AND($F134&lt;=BM$2, OR($G134="",$G134&gt;=BM$2)),
  $H134 * (1 + Assumptions!$C$7) ^ INT(((YEAR(BM$2)-YEAR($F134))*12 + MONTH(BM$2)-MONTH($F134)) / 12),
  0)</f>
        <v/>
      </c>
      <c r="BN134" s="299">
        <f>IF(AND($F134&lt;=BN$2, OR($G134="",$G134&gt;=BN$2)),
  $H134 * (1 + Assumptions!$C$7) ^ INT(((YEAR(BN$2)-YEAR($F134))*12 + MONTH(BN$2)-MONTH($F134)) / 12),
  0)</f>
        <v/>
      </c>
      <c r="BO134" s="299">
        <f>IF(AND($F134&lt;=BO$2, OR($G134="",$G134&gt;=BO$2)),
  $H134 * (1 + Assumptions!$C$7) ^ INT(((YEAR(BO$2)-YEAR($F134))*12 + MONTH(BO$2)-MONTH($F134)) / 12),
  0)</f>
        <v/>
      </c>
      <c r="BP134" s="299">
        <f>IF(AND($F134&lt;=BP$2, OR($G134="",$G134&gt;=BP$2)),
  $H134 * (1 + Assumptions!$C$7) ^ INT(((YEAR(BP$2)-YEAR($F134))*12 + MONTH(BP$2)-MONTH($F134)) / 12),
  0)</f>
        <v/>
      </c>
      <c r="BQ134" s="31" t="n"/>
      <c r="BR134" s="31" t="n"/>
      <c r="BS134" s="31" t="n"/>
      <c r="BT134" s="31" t="n"/>
    </row>
    <row r="135" ht="15.75" customHeight="1" s="349">
      <c r="A135" s="321" t="n">
        <v>130</v>
      </c>
      <c r="B135" s="285" t="inlineStr">
        <is>
          <t>New hire</t>
        </is>
      </c>
      <c r="C135" s="317" t="inlineStr">
        <is>
          <t>G&amp;A</t>
        </is>
      </c>
      <c r="D135" s="317" t="inlineStr">
        <is>
          <t>Production Operator</t>
        </is>
      </c>
      <c r="E135" s="297" t="inlineStr">
        <is>
          <t>Planned</t>
        </is>
      </c>
      <c r="F135" s="318">
        <f>IF(Assumptions!$D$82=2,DATE(2028,7,1),DATE(2035,1,1))</f>
        <v/>
      </c>
      <c r="G135" s="318" t="n"/>
      <c r="H135" s="288" t="n">
        <v>5000</v>
      </c>
      <c r="I135" s="299">
        <f>IF(AND($F135&lt;=I$2, OR($G135="",$G135&gt;=I$2)),
  $H135 * (1 + Assumptions!$C$7) ^ INT(((YEAR(I$2)-YEAR($F135))*12 + MONTH(I$2)-MONTH($F135)) / 12),
  0)</f>
        <v/>
      </c>
      <c r="J135" s="299">
        <f>IF(AND($F135&lt;=J$2, OR($G135="",$G135&gt;=J$2)),
  $H135 * (1 + Assumptions!$C$7) ^ INT(((YEAR(J$2)-YEAR($F135))*12 + MONTH(J$2)-MONTH($F135)) / 12),
  0)</f>
        <v/>
      </c>
      <c r="K135" s="299">
        <f>IF(AND($F135&lt;=K$2, OR($G135="",$G135&gt;=K$2)),
  $H135 * (1 + Assumptions!$C$7) ^ INT(((YEAR(K$2)-YEAR($F135))*12 + MONTH(K$2)-MONTH($F135)) / 12),
  0)</f>
        <v/>
      </c>
      <c r="L135" s="299">
        <f>IF(AND($F135&lt;=L$2, OR($G135="",$G135&gt;=L$2)),
  $H135 * (1 + Assumptions!$C$7) ^ INT(((YEAR(L$2)-YEAR($F135))*12 + MONTH(L$2)-MONTH($F135)) / 12),
  0)</f>
        <v/>
      </c>
      <c r="M135" s="299">
        <f>IF(AND($F135&lt;=M$2, OR($G135="",$G135&gt;=M$2)),
  $H135 * (1 + Assumptions!$C$7) ^ INT(((YEAR(M$2)-YEAR($F135))*12 + MONTH(M$2)-MONTH($F135)) / 12),
  0)</f>
        <v/>
      </c>
      <c r="N135" s="299">
        <f>IF(AND($F135&lt;=N$2, OR($G135="",$G135&gt;=N$2)),
  $H135 * (1 + Assumptions!$C$7) ^ INT(((YEAR(N$2)-YEAR($F135))*12 + MONTH(N$2)-MONTH($F135)) / 12),
  0)</f>
        <v/>
      </c>
      <c r="O135" s="299">
        <f>IF(AND($F135&lt;=O$2, OR($G135="",$G135&gt;=O$2)),
  $H135 * (1 + Assumptions!$C$7) ^ INT(((YEAR(O$2)-YEAR($F135))*12 + MONTH(O$2)-MONTH($F135)) / 12),
  0)</f>
        <v/>
      </c>
      <c r="P135" s="299">
        <f>IF(AND($F135&lt;=P$2, OR($G135="",$G135&gt;=P$2)),
  $H135 * (1 + Assumptions!$C$7) ^ INT(((YEAR(P$2)-YEAR($F135))*12 + MONTH(P$2)-MONTH($F135)) / 12),
  0)</f>
        <v/>
      </c>
      <c r="Q135" s="299">
        <f>IF(AND($F135&lt;=Q$2, OR($G135="",$G135&gt;=Q$2)),
  $H135 * (1 + Assumptions!$C$7) ^ INT(((YEAR(Q$2)-YEAR($F135))*12 + MONTH(Q$2)-MONTH($F135)) / 12),
  0)</f>
        <v/>
      </c>
      <c r="R135" s="299">
        <f>IF(AND($F135&lt;=R$2, OR($G135="",$G135&gt;=R$2)),
  $H135 * (1 + Assumptions!$C$7) ^ INT(((YEAR(R$2)-YEAR($F135))*12 + MONTH(R$2)-MONTH($F135)) / 12),
  0)</f>
        <v/>
      </c>
      <c r="S135" s="299">
        <f>IF(AND($F135&lt;=S$2, OR($G135="",$G135&gt;=S$2)),
  $H135 * (1 + Assumptions!$C$7) ^ INT(((YEAR(S$2)-YEAR($F135))*12 + MONTH(S$2)-MONTH($F135)) / 12),
  0)</f>
        <v/>
      </c>
      <c r="T135" s="299">
        <f>IF(AND($F135&lt;=T$2, OR($G135="",$G135&gt;=T$2)),
  $H135 * (1 + Assumptions!$C$7) ^ INT(((YEAR(T$2)-YEAR($F135))*12 + MONTH(T$2)-MONTH($F135)) / 12),
  0)</f>
        <v/>
      </c>
      <c r="U135" s="299">
        <f>IF(AND($F135&lt;=U$2, OR($G135="",$G135&gt;=U$2)),
  $H135 * (1 + Assumptions!$C$7) ^ INT(((YEAR(U$2)-YEAR($F135))*12 + MONTH(U$2)-MONTH($F135)) / 12),
  0)</f>
        <v/>
      </c>
      <c r="V135" s="299">
        <f>IF(AND($F135&lt;=V$2, OR($G135="",$G135&gt;=V$2)),
  $H135 * (1 + Assumptions!$C$7) ^ INT(((YEAR(V$2)-YEAR($F135))*12 + MONTH(V$2)-MONTH($F135)) / 12),
  0)</f>
        <v/>
      </c>
      <c r="W135" s="299">
        <f>IF(AND($F135&lt;=W$2, OR($G135="",$G135&gt;=W$2)),
  $H135 * (1 + Assumptions!$C$7) ^ INT(((YEAR(W$2)-YEAR($F135))*12 + MONTH(W$2)-MONTH($F135)) / 12),
  0)</f>
        <v/>
      </c>
      <c r="X135" s="299">
        <f>IF(AND($F135&lt;=X$2, OR($G135="",$G135&gt;=X$2)),
  $H135 * (1 + Assumptions!$C$7) ^ INT(((YEAR(X$2)-YEAR($F135))*12 + MONTH(X$2)-MONTH($F135)) / 12),
  0)</f>
        <v/>
      </c>
      <c r="Y135" s="299">
        <f>IF(AND($F135&lt;=Y$2, OR($G135="",$G135&gt;=Y$2)),
  $H135 * (1 + Assumptions!$C$7) ^ INT(((YEAR(Y$2)-YEAR($F135))*12 + MONTH(Y$2)-MONTH($F135)) / 12),
  0)</f>
        <v/>
      </c>
      <c r="Z135" s="299">
        <f>IF(AND($F135&lt;=Z$2, OR($G135="",$G135&gt;=Z$2)),
  $H135 * (1 + Assumptions!$C$7) ^ INT(((YEAR(Z$2)-YEAR($F135))*12 + MONTH(Z$2)-MONTH($F135)) / 12),
  0)</f>
        <v/>
      </c>
      <c r="AA135" s="299">
        <f>IF(AND($F135&lt;=AA$2, OR($G135="",$G135&gt;=AA$2)),
  $H135 * (1 + Assumptions!$C$7) ^ INT(((YEAR(AA$2)-YEAR($F135))*12 + MONTH(AA$2)-MONTH($F135)) / 12),
  0)</f>
        <v/>
      </c>
      <c r="AB135" s="299">
        <f>IF(AND($F135&lt;=AB$2, OR($G135="",$G135&gt;=AB$2)),
  $H135 * (1 + Assumptions!$C$7) ^ INT(((YEAR(AB$2)-YEAR($F135))*12 + MONTH(AB$2)-MONTH($F135)) / 12),
  0)</f>
        <v/>
      </c>
      <c r="AC135" s="299">
        <f>IF(AND($F135&lt;=AC$2, OR($G135="",$G135&gt;=AC$2)),
  $H135 * (1 + Assumptions!$C$7) ^ INT(((YEAR(AC$2)-YEAR($F135))*12 + MONTH(AC$2)-MONTH($F135)) / 12),
  0)</f>
        <v/>
      </c>
      <c r="AD135" s="299">
        <f>IF(AND($F135&lt;=AD$2, OR($G135="",$G135&gt;=AD$2)),
  $H135 * (1 + Assumptions!$C$7) ^ INT(((YEAR(AD$2)-YEAR($F135))*12 + MONTH(AD$2)-MONTH($F135)) / 12),
  0)</f>
        <v/>
      </c>
      <c r="AE135" s="299">
        <f>IF(AND($F135&lt;=AE$2, OR($G135="",$G135&gt;=AE$2)),
  $H135 * (1 + Assumptions!$C$7) ^ INT(((YEAR(AE$2)-YEAR($F135))*12 + MONTH(AE$2)-MONTH($F135)) / 12),
  0)</f>
        <v/>
      </c>
      <c r="AF135" s="299">
        <f>IF(AND($F135&lt;=AF$2, OR($G135="",$G135&gt;=AF$2)),
  $H135 * (1 + Assumptions!$C$7) ^ INT(((YEAR(AF$2)-YEAR($F135))*12 + MONTH(AF$2)-MONTH($F135)) / 12),
  0)</f>
        <v/>
      </c>
      <c r="AG135" s="299">
        <f>IF(AND($F135&lt;=AG$2, OR($G135="",$G135&gt;=AG$2)),
  $H135 * (1 + Assumptions!$C$7) ^ INT(((YEAR(AG$2)-YEAR($F135))*12 + MONTH(AG$2)-MONTH($F135)) / 12),
  0)</f>
        <v/>
      </c>
      <c r="AH135" s="299">
        <f>IF(AND($F135&lt;=AH$2, OR($G135="",$G135&gt;=AH$2)),
  $H135 * (1 + Assumptions!$C$7) ^ INT(((YEAR(AH$2)-YEAR($F135))*12 + MONTH(AH$2)-MONTH($F135)) / 12),
  0)</f>
        <v/>
      </c>
      <c r="AI135" s="299">
        <f>IF(AND($F135&lt;=AI$2, OR($G135="",$G135&gt;=AI$2)),
  $H135 * (1 + Assumptions!$C$7) ^ INT(((YEAR(AI$2)-YEAR($F135))*12 + MONTH(AI$2)-MONTH($F135)) / 12),
  0)</f>
        <v/>
      </c>
      <c r="AJ135" s="299">
        <f>IF(AND($F135&lt;=AJ$2, OR($G135="",$G135&gt;=AJ$2)),
  $H135 * (1 + Assumptions!$C$7) ^ INT(((YEAR(AJ$2)-YEAR($F135))*12 + MONTH(AJ$2)-MONTH($F135)) / 12),
  0)</f>
        <v/>
      </c>
      <c r="AK135" s="299">
        <f>IF(AND($F135&lt;=AK$2, OR($G135="",$G135&gt;=AK$2)),
  $H135 * (1 + Assumptions!$C$7) ^ INT(((YEAR(AK$2)-YEAR($F135))*12 + MONTH(AK$2)-MONTH($F135)) / 12),
  0)</f>
        <v/>
      </c>
      <c r="AL135" s="299">
        <f>IF(AND($F135&lt;=AL$2, OR($G135="",$G135&gt;=AL$2)),
  $H135 * (1 + Assumptions!$C$7) ^ INT(((YEAR(AL$2)-YEAR($F135))*12 + MONTH(AL$2)-MONTH($F135)) / 12),
  0)</f>
        <v/>
      </c>
      <c r="AM135" s="299">
        <f>IF(AND($F135&lt;=AM$2, OR($G135="",$G135&gt;=AM$2)),
  $H135 * (1 + Assumptions!$C$7) ^ INT(((YEAR(AM$2)-YEAR($F135))*12 + MONTH(AM$2)-MONTH($F135)) / 12),
  0)</f>
        <v/>
      </c>
      <c r="AN135" s="299">
        <f>IF(AND($F135&lt;=AN$2, OR($G135="",$G135&gt;=AN$2)),
  $H135 * (1 + Assumptions!$C$7) ^ INT(((YEAR(AN$2)-YEAR($F135))*12 + MONTH(AN$2)-MONTH($F135)) / 12),
  0)</f>
        <v/>
      </c>
      <c r="AO135" s="299">
        <f>IF(AND($F135&lt;=AO$2, OR($G135="",$G135&gt;=AO$2)),
  $H135 * (1 + Assumptions!$C$7) ^ INT(((YEAR(AO$2)-YEAR($F135))*12 + MONTH(AO$2)-MONTH($F135)) / 12),
  0)</f>
        <v/>
      </c>
      <c r="AP135" s="299">
        <f>IF(AND($F135&lt;=AP$2, OR($G135="",$G135&gt;=AP$2)),
  $H135 * (1 + Assumptions!$C$7) ^ INT(((YEAR(AP$2)-YEAR($F135))*12 + MONTH(AP$2)-MONTH($F135)) / 12),
  0)</f>
        <v/>
      </c>
      <c r="AQ135" s="299">
        <f>IF(AND($F135&lt;=AQ$2, OR($G135="",$G135&gt;=AQ$2)),
  $H135 * (1 + Assumptions!$C$7) ^ INT(((YEAR(AQ$2)-YEAR($F135))*12 + MONTH(AQ$2)-MONTH($F135)) / 12),
  0)</f>
        <v/>
      </c>
      <c r="AR135" s="299">
        <f>IF(AND($F135&lt;=AR$2, OR($G135="",$G135&gt;=AR$2)),
  $H135 * (1 + Assumptions!$C$7) ^ INT(((YEAR(AR$2)-YEAR($F135))*12 + MONTH(AR$2)-MONTH($F135)) / 12),
  0)</f>
        <v/>
      </c>
      <c r="AS135" s="299">
        <f>IF(AND($F135&lt;=AS$2, OR($G135="",$G135&gt;=AS$2)),
  $H135 * (1 + Assumptions!$C$7) ^ INT(((YEAR(AS$2)-YEAR($F135))*12 + MONTH(AS$2)-MONTH($F135)) / 12),
  0)</f>
        <v/>
      </c>
      <c r="AT135" s="299">
        <f>IF(AND($F135&lt;=AT$2, OR($G135="",$G135&gt;=AT$2)),
  $H135 * (1 + Assumptions!$C$7) ^ INT(((YEAR(AT$2)-YEAR($F135))*12 + MONTH(AT$2)-MONTH($F135)) / 12),
  0)</f>
        <v/>
      </c>
      <c r="AU135" s="299">
        <f>IF(AND($F135&lt;=AU$2, OR($G135="",$G135&gt;=AU$2)),
  $H135 * (1 + Assumptions!$C$7) ^ INT(((YEAR(AU$2)-YEAR($F135))*12 + MONTH(AU$2)-MONTH($F135)) / 12),
  0)</f>
        <v/>
      </c>
      <c r="AV135" s="299">
        <f>IF(AND($F135&lt;=AV$2, OR($G135="",$G135&gt;=AV$2)),
  $H135 * (1 + Assumptions!$C$7) ^ INT(((YEAR(AV$2)-YEAR($F135))*12 + MONTH(AV$2)-MONTH($F135)) / 12),
  0)</f>
        <v/>
      </c>
      <c r="AW135" s="299">
        <f>IF(AND($F135&lt;=AW$2, OR($G135="",$G135&gt;=AW$2)),
  $H135 * (1 + Assumptions!$C$7) ^ INT(((YEAR(AW$2)-YEAR($F135))*12 + MONTH(AW$2)-MONTH($F135)) / 12),
  0)</f>
        <v/>
      </c>
      <c r="AX135" s="299">
        <f>IF(AND($F135&lt;=AX$2, OR($G135="",$G135&gt;=AX$2)),
  $H135 * (1 + Assumptions!$C$7) ^ INT(((YEAR(AX$2)-YEAR($F135))*12 + MONTH(AX$2)-MONTH($F135)) / 12),
  0)</f>
        <v/>
      </c>
      <c r="AY135" s="299">
        <f>IF(AND($F135&lt;=AY$2, OR($G135="",$G135&gt;=AY$2)),
  $H135 * (1 + Assumptions!$C$7) ^ INT(((YEAR(AY$2)-YEAR($F135))*12 + MONTH(AY$2)-MONTH($F135)) / 12),
  0)</f>
        <v/>
      </c>
      <c r="AZ135" s="299">
        <f>IF(AND($F135&lt;=AZ$2, OR($G135="",$G135&gt;=AZ$2)),
  $H135 * (1 + Assumptions!$C$7) ^ INT(((YEAR(AZ$2)-YEAR($F135))*12 + MONTH(AZ$2)-MONTH($F135)) / 12),
  0)</f>
        <v/>
      </c>
      <c r="BA135" s="299">
        <f>IF(AND($F135&lt;=BA$2, OR($G135="",$G135&gt;=BA$2)),
  $H135 * (1 + Assumptions!$C$7) ^ INT(((YEAR(BA$2)-YEAR($F135))*12 + MONTH(BA$2)-MONTH($F135)) / 12),
  0)</f>
        <v/>
      </c>
      <c r="BB135" s="299">
        <f>IF(AND($F135&lt;=BB$2, OR($G135="",$G135&gt;=BB$2)),
  $H135 * (1 + Assumptions!$C$7) ^ INT(((YEAR(BB$2)-YEAR($F135))*12 + MONTH(BB$2)-MONTH($F135)) / 12),
  0)</f>
        <v/>
      </c>
      <c r="BC135" s="299">
        <f>IF(AND($F135&lt;=BC$2, OR($G135="",$G135&gt;=BC$2)),
  $H135 * (1 + Assumptions!$C$7) ^ INT(((YEAR(BC$2)-YEAR($F135))*12 + MONTH(BC$2)-MONTH($F135)) / 12),
  0)</f>
        <v/>
      </c>
      <c r="BD135" s="299">
        <f>IF(AND($F135&lt;=BD$2, OR($G135="",$G135&gt;=BD$2)),
  $H135 * (1 + Assumptions!$C$7) ^ INT(((YEAR(BD$2)-YEAR($F135))*12 + MONTH(BD$2)-MONTH($F135)) / 12),
  0)</f>
        <v/>
      </c>
      <c r="BE135" s="299">
        <f>IF(AND($F135&lt;=BE$2, OR($G135="",$G135&gt;=BE$2)),
  $H135 * (1 + Assumptions!$C$7) ^ INT(((YEAR(BE$2)-YEAR($F135))*12 + MONTH(BE$2)-MONTH($F135)) / 12),
  0)</f>
        <v/>
      </c>
      <c r="BF135" s="299">
        <f>IF(AND($F135&lt;=BF$2, OR($G135="",$G135&gt;=BF$2)),
  $H135 * (1 + Assumptions!$C$7) ^ INT(((YEAR(BF$2)-YEAR($F135))*12 + MONTH(BF$2)-MONTH($F135)) / 12),
  0)</f>
        <v/>
      </c>
      <c r="BG135" s="299">
        <f>IF(AND($F135&lt;=BG$2, OR($G135="",$G135&gt;=BG$2)),
  $H135 * (1 + Assumptions!$C$7) ^ INT(((YEAR(BG$2)-YEAR($F135))*12 + MONTH(BG$2)-MONTH($F135)) / 12),
  0)</f>
        <v/>
      </c>
      <c r="BH135" s="299">
        <f>IF(AND($F135&lt;=BH$2, OR($G135="",$G135&gt;=BH$2)),
  $H135 * (1 + Assumptions!$C$7) ^ INT(((YEAR(BH$2)-YEAR($F135))*12 + MONTH(BH$2)-MONTH($F135)) / 12),
  0)</f>
        <v/>
      </c>
      <c r="BI135" s="299">
        <f>IF(AND($F135&lt;=BI$2, OR($G135="",$G135&gt;=BI$2)),
  $H135 * (1 + Assumptions!$C$7) ^ INT(((YEAR(BI$2)-YEAR($F135))*12 + MONTH(BI$2)-MONTH($F135)) / 12),
  0)</f>
        <v/>
      </c>
      <c r="BJ135" s="299">
        <f>IF(AND($F135&lt;=BJ$2, OR($G135="",$G135&gt;=BJ$2)),
  $H135 * (1 + Assumptions!$C$7) ^ INT(((YEAR(BJ$2)-YEAR($F135))*12 + MONTH(BJ$2)-MONTH($F135)) / 12),
  0)</f>
        <v/>
      </c>
      <c r="BK135" s="299">
        <f>IF(AND($F135&lt;=BK$2, OR($G135="",$G135&gt;=BK$2)),
  $H135 * (1 + Assumptions!$C$7) ^ INT(((YEAR(BK$2)-YEAR($F135))*12 + MONTH(BK$2)-MONTH($F135)) / 12),
  0)</f>
        <v/>
      </c>
      <c r="BL135" s="299">
        <f>IF(AND($F135&lt;=BL$2, OR($G135="",$G135&gt;=BL$2)),
  $H135 * (1 + Assumptions!$C$7) ^ INT(((YEAR(BL$2)-YEAR($F135))*12 + MONTH(BL$2)-MONTH($F135)) / 12),
  0)</f>
        <v/>
      </c>
      <c r="BM135" s="299">
        <f>IF(AND($F135&lt;=BM$2, OR($G135="",$G135&gt;=BM$2)),
  $H135 * (1 + Assumptions!$C$7) ^ INT(((YEAR(BM$2)-YEAR($F135))*12 + MONTH(BM$2)-MONTH($F135)) / 12),
  0)</f>
        <v/>
      </c>
      <c r="BN135" s="299">
        <f>IF(AND($F135&lt;=BN$2, OR($G135="",$G135&gt;=BN$2)),
  $H135 * (1 + Assumptions!$C$7) ^ INT(((YEAR(BN$2)-YEAR($F135))*12 + MONTH(BN$2)-MONTH($F135)) / 12),
  0)</f>
        <v/>
      </c>
      <c r="BO135" s="299">
        <f>IF(AND($F135&lt;=BO$2, OR($G135="",$G135&gt;=BO$2)),
  $H135 * (1 + Assumptions!$C$7) ^ INT(((YEAR(BO$2)-YEAR($F135))*12 + MONTH(BO$2)-MONTH($F135)) / 12),
  0)</f>
        <v/>
      </c>
      <c r="BP135" s="299">
        <f>IF(AND($F135&lt;=BP$2, OR($G135="",$G135&gt;=BP$2)),
  $H135 * (1 + Assumptions!$C$7) ^ INT(((YEAR(BP$2)-YEAR($F135))*12 + MONTH(BP$2)-MONTH($F135)) / 12),
  0)</f>
        <v/>
      </c>
      <c r="BQ135" s="31" t="n"/>
      <c r="BR135" s="31" t="n"/>
      <c r="BS135" s="31" t="n"/>
      <c r="BT135" s="31" t="n"/>
    </row>
    <row r="136" ht="15.75" customHeight="1" s="349">
      <c r="A136" s="321" t="n">
        <v>131</v>
      </c>
      <c r="B136" s="285" t="inlineStr">
        <is>
          <t>New hire</t>
        </is>
      </c>
      <c r="C136" s="317" t="inlineStr">
        <is>
          <t>G&amp;A</t>
        </is>
      </c>
      <c r="D136" s="317" t="inlineStr">
        <is>
          <t>Production Operator</t>
        </is>
      </c>
      <c r="E136" s="297" t="inlineStr">
        <is>
          <t>Planned</t>
        </is>
      </c>
      <c r="F136" s="318">
        <f>IF(Assumptions!$D$82=2,DATE(2029,7,1),DATE(2035,1,1))</f>
        <v/>
      </c>
      <c r="G136" s="318" t="n"/>
      <c r="H136" s="288" t="n">
        <v>5000</v>
      </c>
      <c r="I136" s="299">
        <f>IF(AND($F136&lt;=I$2, OR($G136="",$G136&gt;=I$2)),
  $H136 * (1 + Assumptions!$C$7) ^ INT(((YEAR(I$2)-YEAR($F136))*12 + MONTH(I$2)-MONTH($F136)) / 12),
  0)</f>
        <v/>
      </c>
      <c r="J136" s="299">
        <f>IF(AND($F136&lt;=J$2, OR($G136="",$G136&gt;=J$2)),
  $H136 * (1 + Assumptions!$C$7) ^ INT(((YEAR(J$2)-YEAR($F136))*12 + MONTH(J$2)-MONTH($F136)) / 12),
  0)</f>
        <v/>
      </c>
      <c r="K136" s="299">
        <f>IF(AND($F136&lt;=K$2, OR($G136="",$G136&gt;=K$2)),
  $H136 * (1 + Assumptions!$C$7) ^ INT(((YEAR(K$2)-YEAR($F136))*12 + MONTH(K$2)-MONTH($F136)) / 12),
  0)</f>
        <v/>
      </c>
      <c r="L136" s="299">
        <f>IF(AND($F136&lt;=L$2, OR($G136="",$G136&gt;=L$2)),
  $H136 * (1 + Assumptions!$C$7) ^ INT(((YEAR(L$2)-YEAR($F136))*12 + MONTH(L$2)-MONTH($F136)) / 12),
  0)</f>
        <v/>
      </c>
      <c r="M136" s="299">
        <f>IF(AND($F136&lt;=M$2, OR($G136="",$G136&gt;=M$2)),
  $H136 * (1 + Assumptions!$C$7) ^ INT(((YEAR(M$2)-YEAR($F136))*12 + MONTH(M$2)-MONTH($F136)) / 12),
  0)</f>
        <v/>
      </c>
      <c r="N136" s="299">
        <f>IF(AND($F136&lt;=N$2, OR($G136="",$G136&gt;=N$2)),
  $H136 * (1 + Assumptions!$C$7) ^ INT(((YEAR(N$2)-YEAR($F136))*12 + MONTH(N$2)-MONTH($F136)) / 12),
  0)</f>
        <v/>
      </c>
      <c r="O136" s="299">
        <f>IF(AND($F136&lt;=O$2, OR($G136="",$G136&gt;=O$2)),
  $H136 * (1 + Assumptions!$C$7) ^ INT(((YEAR(O$2)-YEAR($F136))*12 + MONTH(O$2)-MONTH($F136)) / 12),
  0)</f>
        <v/>
      </c>
      <c r="P136" s="299">
        <f>IF(AND($F136&lt;=P$2, OR($G136="",$G136&gt;=P$2)),
  $H136 * (1 + Assumptions!$C$7) ^ INT(((YEAR(P$2)-YEAR($F136))*12 + MONTH(P$2)-MONTH($F136)) / 12),
  0)</f>
        <v/>
      </c>
      <c r="Q136" s="299">
        <f>IF(AND($F136&lt;=Q$2, OR($G136="",$G136&gt;=Q$2)),
  $H136 * (1 + Assumptions!$C$7) ^ INT(((YEAR(Q$2)-YEAR($F136))*12 + MONTH(Q$2)-MONTH($F136)) / 12),
  0)</f>
        <v/>
      </c>
      <c r="R136" s="299">
        <f>IF(AND($F136&lt;=R$2, OR($G136="",$G136&gt;=R$2)),
  $H136 * (1 + Assumptions!$C$7) ^ INT(((YEAR(R$2)-YEAR($F136))*12 + MONTH(R$2)-MONTH($F136)) / 12),
  0)</f>
        <v/>
      </c>
      <c r="S136" s="299">
        <f>IF(AND($F136&lt;=S$2, OR($G136="",$G136&gt;=S$2)),
  $H136 * (1 + Assumptions!$C$7) ^ INT(((YEAR(S$2)-YEAR($F136))*12 + MONTH(S$2)-MONTH($F136)) / 12),
  0)</f>
        <v/>
      </c>
      <c r="T136" s="299">
        <f>IF(AND($F136&lt;=T$2, OR($G136="",$G136&gt;=T$2)),
  $H136 * (1 + Assumptions!$C$7) ^ INT(((YEAR(T$2)-YEAR($F136))*12 + MONTH(T$2)-MONTH($F136)) / 12),
  0)</f>
        <v/>
      </c>
      <c r="U136" s="299">
        <f>IF(AND($F136&lt;=U$2, OR($G136="",$G136&gt;=U$2)),
  $H136 * (1 + Assumptions!$C$7) ^ INT(((YEAR(U$2)-YEAR($F136))*12 + MONTH(U$2)-MONTH($F136)) / 12),
  0)</f>
        <v/>
      </c>
      <c r="V136" s="299">
        <f>IF(AND($F136&lt;=V$2, OR($G136="",$G136&gt;=V$2)),
  $H136 * (1 + Assumptions!$C$7) ^ INT(((YEAR(V$2)-YEAR($F136))*12 + MONTH(V$2)-MONTH($F136)) / 12),
  0)</f>
        <v/>
      </c>
      <c r="W136" s="299">
        <f>IF(AND($F136&lt;=W$2, OR($G136="",$G136&gt;=W$2)),
  $H136 * (1 + Assumptions!$C$7) ^ INT(((YEAR(W$2)-YEAR($F136))*12 + MONTH(W$2)-MONTH($F136)) / 12),
  0)</f>
        <v/>
      </c>
      <c r="X136" s="299">
        <f>IF(AND($F136&lt;=X$2, OR($G136="",$G136&gt;=X$2)),
  $H136 * (1 + Assumptions!$C$7) ^ INT(((YEAR(X$2)-YEAR($F136))*12 + MONTH(X$2)-MONTH($F136)) / 12),
  0)</f>
        <v/>
      </c>
      <c r="Y136" s="299">
        <f>IF(AND($F136&lt;=Y$2, OR($G136="",$G136&gt;=Y$2)),
  $H136 * (1 + Assumptions!$C$7) ^ INT(((YEAR(Y$2)-YEAR($F136))*12 + MONTH(Y$2)-MONTH($F136)) / 12),
  0)</f>
        <v/>
      </c>
      <c r="Z136" s="299">
        <f>IF(AND($F136&lt;=Z$2, OR($G136="",$G136&gt;=Z$2)),
  $H136 * (1 + Assumptions!$C$7) ^ INT(((YEAR(Z$2)-YEAR($F136))*12 + MONTH(Z$2)-MONTH($F136)) / 12),
  0)</f>
        <v/>
      </c>
      <c r="AA136" s="299">
        <f>IF(AND($F136&lt;=AA$2, OR($G136="",$G136&gt;=AA$2)),
  $H136 * (1 + Assumptions!$C$7) ^ INT(((YEAR(AA$2)-YEAR($F136))*12 + MONTH(AA$2)-MONTH($F136)) / 12),
  0)</f>
        <v/>
      </c>
      <c r="AB136" s="299">
        <f>IF(AND($F136&lt;=AB$2, OR($G136="",$G136&gt;=AB$2)),
  $H136 * (1 + Assumptions!$C$7) ^ INT(((YEAR(AB$2)-YEAR($F136))*12 + MONTH(AB$2)-MONTH($F136)) / 12),
  0)</f>
        <v/>
      </c>
      <c r="AC136" s="299">
        <f>IF(AND($F136&lt;=AC$2, OR($G136="",$G136&gt;=AC$2)),
  $H136 * (1 + Assumptions!$C$7) ^ INT(((YEAR(AC$2)-YEAR($F136))*12 + MONTH(AC$2)-MONTH($F136)) / 12),
  0)</f>
        <v/>
      </c>
      <c r="AD136" s="299">
        <f>IF(AND($F136&lt;=AD$2, OR($G136="",$G136&gt;=AD$2)),
  $H136 * (1 + Assumptions!$C$7) ^ INT(((YEAR(AD$2)-YEAR($F136))*12 + MONTH(AD$2)-MONTH($F136)) / 12),
  0)</f>
        <v/>
      </c>
      <c r="AE136" s="299">
        <f>IF(AND($F136&lt;=AE$2, OR($G136="",$G136&gt;=AE$2)),
  $H136 * (1 + Assumptions!$C$7) ^ INT(((YEAR(AE$2)-YEAR($F136))*12 + MONTH(AE$2)-MONTH($F136)) / 12),
  0)</f>
        <v/>
      </c>
      <c r="AF136" s="299">
        <f>IF(AND($F136&lt;=AF$2, OR($G136="",$G136&gt;=AF$2)),
  $H136 * (1 + Assumptions!$C$7) ^ INT(((YEAR(AF$2)-YEAR($F136))*12 + MONTH(AF$2)-MONTH($F136)) / 12),
  0)</f>
        <v/>
      </c>
      <c r="AG136" s="299">
        <f>IF(AND($F136&lt;=AG$2, OR($G136="",$G136&gt;=AG$2)),
  $H136 * (1 + Assumptions!$C$7) ^ INT(((YEAR(AG$2)-YEAR($F136))*12 + MONTH(AG$2)-MONTH($F136)) / 12),
  0)</f>
        <v/>
      </c>
      <c r="AH136" s="299">
        <f>IF(AND($F136&lt;=AH$2, OR($G136="",$G136&gt;=AH$2)),
  $H136 * (1 + Assumptions!$C$7) ^ INT(((YEAR(AH$2)-YEAR($F136))*12 + MONTH(AH$2)-MONTH($F136)) / 12),
  0)</f>
        <v/>
      </c>
      <c r="AI136" s="299">
        <f>IF(AND($F136&lt;=AI$2, OR($G136="",$G136&gt;=AI$2)),
  $H136 * (1 + Assumptions!$C$7) ^ INT(((YEAR(AI$2)-YEAR($F136))*12 + MONTH(AI$2)-MONTH($F136)) / 12),
  0)</f>
        <v/>
      </c>
      <c r="AJ136" s="299">
        <f>IF(AND($F136&lt;=AJ$2, OR($G136="",$G136&gt;=AJ$2)),
  $H136 * (1 + Assumptions!$C$7) ^ INT(((YEAR(AJ$2)-YEAR($F136))*12 + MONTH(AJ$2)-MONTH($F136)) / 12),
  0)</f>
        <v/>
      </c>
      <c r="AK136" s="299">
        <f>IF(AND($F136&lt;=AK$2, OR($G136="",$G136&gt;=AK$2)),
  $H136 * (1 + Assumptions!$C$7) ^ INT(((YEAR(AK$2)-YEAR($F136))*12 + MONTH(AK$2)-MONTH($F136)) / 12),
  0)</f>
        <v/>
      </c>
      <c r="AL136" s="299">
        <f>IF(AND($F136&lt;=AL$2, OR($G136="",$G136&gt;=AL$2)),
  $H136 * (1 + Assumptions!$C$7) ^ INT(((YEAR(AL$2)-YEAR($F136))*12 + MONTH(AL$2)-MONTH($F136)) / 12),
  0)</f>
        <v/>
      </c>
      <c r="AM136" s="299">
        <f>IF(AND($F136&lt;=AM$2, OR($G136="",$G136&gt;=AM$2)),
  $H136 * (1 + Assumptions!$C$7) ^ INT(((YEAR(AM$2)-YEAR($F136))*12 + MONTH(AM$2)-MONTH($F136)) / 12),
  0)</f>
        <v/>
      </c>
      <c r="AN136" s="299">
        <f>IF(AND($F136&lt;=AN$2, OR($G136="",$G136&gt;=AN$2)),
  $H136 * (1 + Assumptions!$C$7) ^ INT(((YEAR(AN$2)-YEAR($F136))*12 + MONTH(AN$2)-MONTH($F136)) / 12),
  0)</f>
        <v/>
      </c>
      <c r="AO136" s="299">
        <f>IF(AND($F136&lt;=AO$2, OR($G136="",$G136&gt;=AO$2)),
  $H136 * (1 + Assumptions!$C$7) ^ INT(((YEAR(AO$2)-YEAR($F136))*12 + MONTH(AO$2)-MONTH($F136)) / 12),
  0)</f>
        <v/>
      </c>
      <c r="AP136" s="299">
        <f>IF(AND($F136&lt;=AP$2, OR($G136="",$G136&gt;=AP$2)),
  $H136 * (1 + Assumptions!$C$7) ^ INT(((YEAR(AP$2)-YEAR($F136))*12 + MONTH(AP$2)-MONTH($F136)) / 12),
  0)</f>
        <v/>
      </c>
      <c r="AQ136" s="299">
        <f>IF(AND($F136&lt;=AQ$2, OR($G136="",$G136&gt;=AQ$2)),
  $H136 * (1 + Assumptions!$C$7) ^ INT(((YEAR(AQ$2)-YEAR($F136))*12 + MONTH(AQ$2)-MONTH($F136)) / 12),
  0)</f>
        <v/>
      </c>
      <c r="AR136" s="299">
        <f>IF(AND($F136&lt;=AR$2, OR($G136="",$G136&gt;=AR$2)),
  $H136 * (1 + Assumptions!$C$7) ^ INT(((YEAR(AR$2)-YEAR($F136))*12 + MONTH(AR$2)-MONTH($F136)) / 12),
  0)</f>
        <v/>
      </c>
      <c r="AS136" s="299">
        <f>IF(AND($F136&lt;=AS$2, OR($G136="",$G136&gt;=AS$2)),
  $H136 * (1 + Assumptions!$C$7) ^ INT(((YEAR(AS$2)-YEAR($F136))*12 + MONTH(AS$2)-MONTH($F136)) / 12),
  0)</f>
        <v/>
      </c>
      <c r="AT136" s="299">
        <f>IF(AND($F136&lt;=AT$2, OR($G136="",$G136&gt;=AT$2)),
  $H136 * (1 + Assumptions!$C$7) ^ INT(((YEAR(AT$2)-YEAR($F136))*12 + MONTH(AT$2)-MONTH($F136)) / 12),
  0)</f>
        <v/>
      </c>
      <c r="AU136" s="299">
        <f>IF(AND($F136&lt;=AU$2, OR($G136="",$G136&gt;=AU$2)),
  $H136 * (1 + Assumptions!$C$7) ^ INT(((YEAR(AU$2)-YEAR($F136))*12 + MONTH(AU$2)-MONTH($F136)) / 12),
  0)</f>
        <v/>
      </c>
      <c r="AV136" s="299">
        <f>IF(AND($F136&lt;=AV$2, OR($G136="",$G136&gt;=AV$2)),
  $H136 * (1 + Assumptions!$C$7) ^ INT(((YEAR(AV$2)-YEAR($F136))*12 + MONTH(AV$2)-MONTH($F136)) / 12),
  0)</f>
        <v/>
      </c>
      <c r="AW136" s="299">
        <f>IF(AND($F136&lt;=AW$2, OR($G136="",$G136&gt;=AW$2)),
  $H136 * (1 + Assumptions!$C$7) ^ INT(((YEAR(AW$2)-YEAR($F136))*12 + MONTH(AW$2)-MONTH($F136)) / 12),
  0)</f>
        <v/>
      </c>
      <c r="AX136" s="299">
        <f>IF(AND($F136&lt;=AX$2, OR($G136="",$G136&gt;=AX$2)),
  $H136 * (1 + Assumptions!$C$7) ^ INT(((YEAR(AX$2)-YEAR($F136))*12 + MONTH(AX$2)-MONTH($F136)) / 12),
  0)</f>
        <v/>
      </c>
      <c r="AY136" s="299">
        <f>IF(AND($F136&lt;=AY$2, OR($G136="",$G136&gt;=AY$2)),
  $H136 * (1 + Assumptions!$C$7) ^ INT(((YEAR(AY$2)-YEAR($F136))*12 + MONTH(AY$2)-MONTH($F136)) / 12),
  0)</f>
        <v/>
      </c>
      <c r="AZ136" s="299">
        <f>IF(AND($F136&lt;=AZ$2, OR($G136="",$G136&gt;=AZ$2)),
  $H136 * (1 + Assumptions!$C$7) ^ INT(((YEAR(AZ$2)-YEAR($F136))*12 + MONTH(AZ$2)-MONTH($F136)) / 12),
  0)</f>
        <v/>
      </c>
      <c r="BA136" s="299">
        <f>IF(AND($F136&lt;=BA$2, OR($G136="",$G136&gt;=BA$2)),
  $H136 * (1 + Assumptions!$C$7) ^ INT(((YEAR(BA$2)-YEAR($F136))*12 + MONTH(BA$2)-MONTH($F136)) / 12),
  0)</f>
        <v/>
      </c>
      <c r="BB136" s="299">
        <f>IF(AND($F136&lt;=BB$2, OR($G136="",$G136&gt;=BB$2)),
  $H136 * (1 + Assumptions!$C$7) ^ INT(((YEAR(BB$2)-YEAR($F136))*12 + MONTH(BB$2)-MONTH($F136)) / 12),
  0)</f>
        <v/>
      </c>
      <c r="BC136" s="299">
        <f>IF(AND($F136&lt;=BC$2, OR($G136="",$G136&gt;=BC$2)),
  $H136 * (1 + Assumptions!$C$7) ^ INT(((YEAR(BC$2)-YEAR($F136))*12 + MONTH(BC$2)-MONTH($F136)) / 12),
  0)</f>
        <v/>
      </c>
      <c r="BD136" s="299">
        <f>IF(AND($F136&lt;=BD$2, OR($G136="",$G136&gt;=BD$2)),
  $H136 * (1 + Assumptions!$C$7) ^ INT(((YEAR(BD$2)-YEAR($F136))*12 + MONTH(BD$2)-MONTH($F136)) / 12),
  0)</f>
        <v/>
      </c>
      <c r="BE136" s="299">
        <f>IF(AND($F136&lt;=BE$2, OR($G136="",$G136&gt;=BE$2)),
  $H136 * (1 + Assumptions!$C$7) ^ INT(((YEAR(BE$2)-YEAR($F136))*12 + MONTH(BE$2)-MONTH($F136)) / 12),
  0)</f>
        <v/>
      </c>
      <c r="BF136" s="299">
        <f>IF(AND($F136&lt;=BF$2, OR($G136="",$G136&gt;=BF$2)),
  $H136 * (1 + Assumptions!$C$7) ^ INT(((YEAR(BF$2)-YEAR($F136))*12 + MONTH(BF$2)-MONTH($F136)) / 12),
  0)</f>
        <v/>
      </c>
      <c r="BG136" s="299">
        <f>IF(AND($F136&lt;=BG$2, OR($G136="",$G136&gt;=BG$2)),
  $H136 * (1 + Assumptions!$C$7) ^ INT(((YEAR(BG$2)-YEAR($F136))*12 + MONTH(BG$2)-MONTH($F136)) / 12),
  0)</f>
        <v/>
      </c>
      <c r="BH136" s="299">
        <f>IF(AND($F136&lt;=BH$2, OR($G136="",$G136&gt;=BH$2)),
  $H136 * (1 + Assumptions!$C$7) ^ INT(((YEAR(BH$2)-YEAR($F136))*12 + MONTH(BH$2)-MONTH($F136)) / 12),
  0)</f>
        <v/>
      </c>
      <c r="BI136" s="299">
        <f>IF(AND($F136&lt;=BI$2, OR($G136="",$G136&gt;=BI$2)),
  $H136 * (1 + Assumptions!$C$7) ^ INT(((YEAR(BI$2)-YEAR($F136))*12 + MONTH(BI$2)-MONTH($F136)) / 12),
  0)</f>
        <v/>
      </c>
      <c r="BJ136" s="299">
        <f>IF(AND($F136&lt;=BJ$2, OR($G136="",$G136&gt;=BJ$2)),
  $H136 * (1 + Assumptions!$C$7) ^ INT(((YEAR(BJ$2)-YEAR($F136))*12 + MONTH(BJ$2)-MONTH($F136)) / 12),
  0)</f>
        <v/>
      </c>
      <c r="BK136" s="299">
        <f>IF(AND($F136&lt;=BK$2, OR($G136="",$G136&gt;=BK$2)),
  $H136 * (1 + Assumptions!$C$7) ^ INT(((YEAR(BK$2)-YEAR($F136))*12 + MONTH(BK$2)-MONTH($F136)) / 12),
  0)</f>
        <v/>
      </c>
      <c r="BL136" s="299">
        <f>IF(AND($F136&lt;=BL$2, OR($G136="",$G136&gt;=BL$2)),
  $H136 * (1 + Assumptions!$C$7) ^ INT(((YEAR(BL$2)-YEAR($F136))*12 + MONTH(BL$2)-MONTH($F136)) / 12),
  0)</f>
        <v/>
      </c>
      <c r="BM136" s="299">
        <f>IF(AND($F136&lt;=BM$2, OR($G136="",$G136&gt;=BM$2)),
  $H136 * (1 + Assumptions!$C$7) ^ INT(((YEAR(BM$2)-YEAR($F136))*12 + MONTH(BM$2)-MONTH($F136)) / 12),
  0)</f>
        <v/>
      </c>
      <c r="BN136" s="299">
        <f>IF(AND($F136&lt;=BN$2, OR($G136="",$G136&gt;=BN$2)),
  $H136 * (1 + Assumptions!$C$7) ^ INT(((YEAR(BN$2)-YEAR($F136))*12 + MONTH(BN$2)-MONTH($F136)) / 12),
  0)</f>
        <v/>
      </c>
      <c r="BO136" s="299">
        <f>IF(AND($F136&lt;=BO$2, OR($G136="",$G136&gt;=BO$2)),
  $H136 * (1 + Assumptions!$C$7) ^ INT(((YEAR(BO$2)-YEAR($F136))*12 + MONTH(BO$2)-MONTH($F136)) / 12),
  0)</f>
        <v/>
      </c>
      <c r="BP136" s="299">
        <f>IF(AND($F136&lt;=BP$2, OR($G136="",$G136&gt;=BP$2)),
  $H136 * (1 + Assumptions!$C$7) ^ INT(((YEAR(BP$2)-YEAR($F136))*12 + MONTH(BP$2)-MONTH($F136)) / 12),
  0)</f>
        <v/>
      </c>
      <c r="BQ136" s="31" t="n"/>
      <c r="BR136" s="31" t="n"/>
      <c r="BS136" s="31" t="n"/>
      <c r="BT136" s="31" t="n"/>
    </row>
    <row r="137" ht="15.75" customHeight="1" s="349">
      <c r="A137" s="321" t="n">
        <v>132</v>
      </c>
      <c r="B137" s="285" t="inlineStr">
        <is>
          <t>New hire</t>
        </is>
      </c>
      <c r="C137" s="317" t="inlineStr">
        <is>
          <t>G&amp;A</t>
        </is>
      </c>
      <c r="D137" s="317" t="inlineStr">
        <is>
          <t>Production Operator</t>
        </is>
      </c>
      <c r="E137" s="297" t="inlineStr">
        <is>
          <t>Planned</t>
        </is>
      </c>
      <c r="F137" s="318">
        <f>IF(Assumptions!$D$82=2,DATE(2029,7,1),DATE(2035,1,1))</f>
        <v/>
      </c>
      <c r="G137" s="318" t="n"/>
      <c r="H137" s="288" t="n">
        <v>5000</v>
      </c>
      <c r="I137" s="299">
        <f>IF(AND($F137&lt;=I$2, OR($G137="",$G137&gt;=I$2)),
  $H137 * (1 + Assumptions!$C$7) ^ INT(((YEAR(I$2)-YEAR($F137))*12 + MONTH(I$2)-MONTH($F137)) / 12),
  0)</f>
        <v/>
      </c>
      <c r="J137" s="299">
        <f>IF(AND($F137&lt;=J$2, OR($G137="",$G137&gt;=J$2)),
  $H137 * (1 + Assumptions!$C$7) ^ INT(((YEAR(J$2)-YEAR($F137))*12 + MONTH(J$2)-MONTH($F137)) / 12),
  0)</f>
        <v/>
      </c>
      <c r="K137" s="299">
        <f>IF(AND($F137&lt;=K$2, OR($G137="",$G137&gt;=K$2)),
  $H137 * (1 + Assumptions!$C$7) ^ INT(((YEAR(K$2)-YEAR($F137))*12 + MONTH(K$2)-MONTH($F137)) / 12),
  0)</f>
        <v/>
      </c>
      <c r="L137" s="299">
        <f>IF(AND($F137&lt;=L$2, OR($G137="",$G137&gt;=L$2)),
  $H137 * (1 + Assumptions!$C$7) ^ INT(((YEAR(L$2)-YEAR($F137))*12 + MONTH(L$2)-MONTH($F137)) / 12),
  0)</f>
        <v/>
      </c>
      <c r="M137" s="299">
        <f>IF(AND($F137&lt;=M$2, OR($G137="",$G137&gt;=M$2)),
  $H137 * (1 + Assumptions!$C$7) ^ INT(((YEAR(M$2)-YEAR($F137))*12 + MONTH(M$2)-MONTH($F137)) / 12),
  0)</f>
        <v/>
      </c>
      <c r="N137" s="299">
        <f>IF(AND($F137&lt;=N$2, OR($G137="",$G137&gt;=N$2)),
  $H137 * (1 + Assumptions!$C$7) ^ INT(((YEAR(N$2)-YEAR($F137))*12 + MONTH(N$2)-MONTH($F137)) / 12),
  0)</f>
        <v/>
      </c>
      <c r="O137" s="299">
        <f>IF(AND($F137&lt;=O$2, OR($G137="",$G137&gt;=O$2)),
  $H137 * (1 + Assumptions!$C$7) ^ INT(((YEAR(O$2)-YEAR($F137))*12 + MONTH(O$2)-MONTH($F137)) / 12),
  0)</f>
        <v/>
      </c>
      <c r="P137" s="299">
        <f>IF(AND($F137&lt;=P$2, OR($G137="",$G137&gt;=P$2)),
  $H137 * (1 + Assumptions!$C$7) ^ INT(((YEAR(P$2)-YEAR($F137))*12 + MONTH(P$2)-MONTH($F137)) / 12),
  0)</f>
        <v/>
      </c>
      <c r="Q137" s="299">
        <f>IF(AND($F137&lt;=Q$2, OR($G137="",$G137&gt;=Q$2)),
  $H137 * (1 + Assumptions!$C$7) ^ INT(((YEAR(Q$2)-YEAR($F137))*12 + MONTH(Q$2)-MONTH($F137)) / 12),
  0)</f>
        <v/>
      </c>
      <c r="R137" s="299">
        <f>IF(AND($F137&lt;=R$2, OR($G137="",$G137&gt;=R$2)),
  $H137 * (1 + Assumptions!$C$7) ^ INT(((YEAR(R$2)-YEAR($F137))*12 + MONTH(R$2)-MONTH($F137)) / 12),
  0)</f>
        <v/>
      </c>
      <c r="S137" s="299">
        <f>IF(AND($F137&lt;=S$2, OR($G137="",$G137&gt;=S$2)),
  $H137 * (1 + Assumptions!$C$7) ^ INT(((YEAR(S$2)-YEAR($F137))*12 + MONTH(S$2)-MONTH($F137)) / 12),
  0)</f>
        <v/>
      </c>
      <c r="T137" s="299">
        <f>IF(AND($F137&lt;=T$2, OR($G137="",$G137&gt;=T$2)),
  $H137 * (1 + Assumptions!$C$7) ^ INT(((YEAR(T$2)-YEAR($F137))*12 + MONTH(T$2)-MONTH($F137)) / 12),
  0)</f>
        <v/>
      </c>
      <c r="U137" s="299">
        <f>IF(AND($F137&lt;=U$2, OR($G137="",$G137&gt;=U$2)),
  $H137 * (1 + Assumptions!$C$7) ^ INT(((YEAR(U$2)-YEAR($F137))*12 + MONTH(U$2)-MONTH($F137)) / 12),
  0)</f>
        <v/>
      </c>
      <c r="V137" s="299">
        <f>IF(AND($F137&lt;=V$2, OR($G137="",$G137&gt;=V$2)),
  $H137 * (1 + Assumptions!$C$7) ^ INT(((YEAR(V$2)-YEAR($F137))*12 + MONTH(V$2)-MONTH($F137)) / 12),
  0)</f>
        <v/>
      </c>
      <c r="W137" s="299">
        <f>IF(AND($F137&lt;=W$2, OR($G137="",$G137&gt;=W$2)),
  $H137 * (1 + Assumptions!$C$7) ^ INT(((YEAR(W$2)-YEAR($F137))*12 + MONTH(W$2)-MONTH($F137)) / 12),
  0)</f>
        <v/>
      </c>
      <c r="X137" s="299">
        <f>IF(AND($F137&lt;=X$2, OR($G137="",$G137&gt;=X$2)),
  $H137 * (1 + Assumptions!$C$7) ^ INT(((YEAR(X$2)-YEAR($F137))*12 + MONTH(X$2)-MONTH($F137)) / 12),
  0)</f>
        <v/>
      </c>
      <c r="Y137" s="299">
        <f>IF(AND($F137&lt;=Y$2, OR($G137="",$G137&gt;=Y$2)),
  $H137 * (1 + Assumptions!$C$7) ^ INT(((YEAR(Y$2)-YEAR($F137))*12 + MONTH(Y$2)-MONTH($F137)) / 12),
  0)</f>
        <v/>
      </c>
      <c r="Z137" s="299">
        <f>IF(AND($F137&lt;=Z$2, OR($G137="",$G137&gt;=Z$2)),
  $H137 * (1 + Assumptions!$C$7) ^ INT(((YEAR(Z$2)-YEAR($F137))*12 + MONTH(Z$2)-MONTH($F137)) / 12),
  0)</f>
        <v/>
      </c>
      <c r="AA137" s="299">
        <f>IF(AND($F137&lt;=AA$2, OR($G137="",$G137&gt;=AA$2)),
  $H137 * (1 + Assumptions!$C$7) ^ INT(((YEAR(AA$2)-YEAR($F137))*12 + MONTH(AA$2)-MONTH($F137)) / 12),
  0)</f>
        <v/>
      </c>
      <c r="AB137" s="299">
        <f>IF(AND($F137&lt;=AB$2, OR($G137="",$G137&gt;=AB$2)),
  $H137 * (1 + Assumptions!$C$7) ^ INT(((YEAR(AB$2)-YEAR($F137))*12 + MONTH(AB$2)-MONTH($F137)) / 12),
  0)</f>
        <v/>
      </c>
      <c r="AC137" s="299">
        <f>IF(AND($F137&lt;=AC$2, OR($G137="",$G137&gt;=AC$2)),
  $H137 * (1 + Assumptions!$C$7) ^ INT(((YEAR(AC$2)-YEAR($F137))*12 + MONTH(AC$2)-MONTH($F137)) / 12),
  0)</f>
        <v/>
      </c>
      <c r="AD137" s="299">
        <f>IF(AND($F137&lt;=AD$2, OR($G137="",$G137&gt;=AD$2)),
  $H137 * (1 + Assumptions!$C$7) ^ INT(((YEAR(AD$2)-YEAR($F137))*12 + MONTH(AD$2)-MONTH($F137)) / 12),
  0)</f>
        <v/>
      </c>
      <c r="AE137" s="299">
        <f>IF(AND($F137&lt;=AE$2, OR($G137="",$G137&gt;=AE$2)),
  $H137 * (1 + Assumptions!$C$7) ^ INT(((YEAR(AE$2)-YEAR($F137))*12 + MONTH(AE$2)-MONTH($F137)) / 12),
  0)</f>
        <v/>
      </c>
      <c r="AF137" s="299">
        <f>IF(AND($F137&lt;=AF$2, OR($G137="",$G137&gt;=AF$2)),
  $H137 * (1 + Assumptions!$C$7) ^ INT(((YEAR(AF$2)-YEAR($F137))*12 + MONTH(AF$2)-MONTH($F137)) / 12),
  0)</f>
        <v/>
      </c>
      <c r="AG137" s="299">
        <f>IF(AND($F137&lt;=AG$2, OR($G137="",$G137&gt;=AG$2)),
  $H137 * (1 + Assumptions!$C$7) ^ INT(((YEAR(AG$2)-YEAR($F137))*12 + MONTH(AG$2)-MONTH($F137)) / 12),
  0)</f>
        <v/>
      </c>
      <c r="AH137" s="299">
        <f>IF(AND($F137&lt;=AH$2, OR($G137="",$G137&gt;=AH$2)),
  $H137 * (1 + Assumptions!$C$7) ^ INT(((YEAR(AH$2)-YEAR($F137))*12 + MONTH(AH$2)-MONTH($F137)) / 12),
  0)</f>
        <v/>
      </c>
      <c r="AI137" s="299">
        <f>IF(AND($F137&lt;=AI$2, OR($G137="",$G137&gt;=AI$2)),
  $H137 * (1 + Assumptions!$C$7) ^ INT(((YEAR(AI$2)-YEAR($F137))*12 + MONTH(AI$2)-MONTH($F137)) / 12),
  0)</f>
        <v/>
      </c>
      <c r="AJ137" s="299">
        <f>IF(AND($F137&lt;=AJ$2, OR($G137="",$G137&gt;=AJ$2)),
  $H137 * (1 + Assumptions!$C$7) ^ INT(((YEAR(AJ$2)-YEAR($F137))*12 + MONTH(AJ$2)-MONTH($F137)) / 12),
  0)</f>
        <v/>
      </c>
      <c r="AK137" s="299">
        <f>IF(AND($F137&lt;=AK$2, OR($G137="",$G137&gt;=AK$2)),
  $H137 * (1 + Assumptions!$C$7) ^ INT(((YEAR(AK$2)-YEAR($F137))*12 + MONTH(AK$2)-MONTH($F137)) / 12),
  0)</f>
        <v/>
      </c>
      <c r="AL137" s="299">
        <f>IF(AND($F137&lt;=AL$2, OR($G137="",$G137&gt;=AL$2)),
  $H137 * (1 + Assumptions!$C$7) ^ INT(((YEAR(AL$2)-YEAR($F137))*12 + MONTH(AL$2)-MONTH($F137)) / 12),
  0)</f>
        <v/>
      </c>
      <c r="AM137" s="299">
        <f>IF(AND($F137&lt;=AM$2, OR($G137="",$G137&gt;=AM$2)),
  $H137 * (1 + Assumptions!$C$7) ^ INT(((YEAR(AM$2)-YEAR($F137))*12 + MONTH(AM$2)-MONTH($F137)) / 12),
  0)</f>
        <v/>
      </c>
      <c r="AN137" s="299">
        <f>IF(AND($F137&lt;=AN$2, OR($G137="",$G137&gt;=AN$2)),
  $H137 * (1 + Assumptions!$C$7) ^ INT(((YEAR(AN$2)-YEAR($F137))*12 + MONTH(AN$2)-MONTH($F137)) / 12),
  0)</f>
        <v/>
      </c>
      <c r="AO137" s="299">
        <f>IF(AND($F137&lt;=AO$2, OR($G137="",$G137&gt;=AO$2)),
  $H137 * (1 + Assumptions!$C$7) ^ INT(((YEAR(AO$2)-YEAR($F137))*12 + MONTH(AO$2)-MONTH($F137)) / 12),
  0)</f>
        <v/>
      </c>
      <c r="AP137" s="299">
        <f>IF(AND($F137&lt;=AP$2, OR($G137="",$G137&gt;=AP$2)),
  $H137 * (1 + Assumptions!$C$7) ^ INT(((YEAR(AP$2)-YEAR($F137))*12 + MONTH(AP$2)-MONTH($F137)) / 12),
  0)</f>
        <v/>
      </c>
      <c r="AQ137" s="299">
        <f>IF(AND($F137&lt;=AQ$2, OR($G137="",$G137&gt;=AQ$2)),
  $H137 * (1 + Assumptions!$C$7) ^ INT(((YEAR(AQ$2)-YEAR($F137))*12 + MONTH(AQ$2)-MONTH($F137)) / 12),
  0)</f>
        <v/>
      </c>
      <c r="AR137" s="299">
        <f>IF(AND($F137&lt;=AR$2, OR($G137="",$G137&gt;=AR$2)),
  $H137 * (1 + Assumptions!$C$7) ^ INT(((YEAR(AR$2)-YEAR($F137))*12 + MONTH(AR$2)-MONTH($F137)) / 12),
  0)</f>
        <v/>
      </c>
      <c r="AS137" s="299">
        <f>IF(AND($F137&lt;=AS$2, OR($G137="",$G137&gt;=AS$2)),
  $H137 * (1 + Assumptions!$C$7) ^ INT(((YEAR(AS$2)-YEAR($F137))*12 + MONTH(AS$2)-MONTH($F137)) / 12),
  0)</f>
        <v/>
      </c>
      <c r="AT137" s="299">
        <f>IF(AND($F137&lt;=AT$2, OR($G137="",$G137&gt;=AT$2)),
  $H137 * (1 + Assumptions!$C$7) ^ INT(((YEAR(AT$2)-YEAR($F137))*12 + MONTH(AT$2)-MONTH($F137)) / 12),
  0)</f>
        <v/>
      </c>
      <c r="AU137" s="299">
        <f>IF(AND($F137&lt;=AU$2, OR($G137="",$G137&gt;=AU$2)),
  $H137 * (1 + Assumptions!$C$7) ^ INT(((YEAR(AU$2)-YEAR($F137))*12 + MONTH(AU$2)-MONTH($F137)) / 12),
  0)</f>
        <v/>
      </c>
      <c r="AV137" s="299">
        <f>IF(AND($F137&lt;=AV$2, OR($G137="",$G137&gt;=AV$2)),
  $H137 * (1 + Assumptions!$C$7) ^ INT(((YEAR(AV$2)-YEAR($F137))*12 + MONTH(AV$2)-MONTH($F137)) / 12),
  0)</f>
        <v/>
      </c>
      <c r="AW137" s="299">
        <f>IF(AND($F137&lt;=AW$2, OR($G137="",$G137&gt;=AW$2)),
  $H137 * (1 + Assumptions!$C$7) ^ INT(((YEAR(AW$2)-YEAR($F137))*12 + MONTH(AW$2)-MONTH($F137)) / 12),
  0)</f>
        <v/>
      </c>
      <c r="AX137" s="299">
        <f>IF(AND($F137&lt;=AX$2, OR($G137="",$G137&gt;=AX$2)),
  $H137 * (1 + Assumptions!$C$7) ^ INT(((YEAR(AX$2)-YEAR($F137))*12 + MONTH(AX$2)-MONTH($F137)) / 12),
  0)</f>
        <v/>
      </c>
      <c r="AY137" s="299">
        <f>IF(AND($F137&lt;=AY$2, OR($G137="",$G137&gt;=AY$2)),
  $H137 * (1 + Assumptions!$C$7) ^ INT(((YEAR(AY$2)-YEAR($F137))*12 + MONTH(AY$2)-MONTH($F137)) / 12),
  0)</f>
        <v/>
      </c>
      <c r="AZ137" s="299">
        <f>IF(AND($F137&lt;=AZ$2, OR($G137="",$G137&gt;=AZ$2)),
  $H137 * (1 + Assumptions!$C$7) ^ INT(((YEAR(AZ$2)-YEAR($F137))*12 + MONTH(AZ$2)-MONTH($F137)) / 12),
  0)</f>
        <v/>
      </c>
      <c r="BA137" s="299">
        <f>IF(AND($F137&lt;=BA$2, OR($G137="",$G137&gt;=BA$2)),
  $H137 * (1 + Assumptions!$C$7) ^ INT(((YEAR(BA$2)-YEAR($F137))*12 + MONTH(BA$2)-MONTH($F137)) / 12),
  0)</f>
        <v/>
      </c>
      <c r="BB137" s="299">
        <f>IF(AND($F137&lt;=BB$2, OR($G137="",$G137&gt;=BB$2)),
  $H137 * (1 + Assumptions!$C$7) ^ INT(((YEAR(BB$2)-YEAR($F137))*12 + MONTH(BB$2)-MONTH($F137)) / 12),
  0)</f>
        <v/>
      </c>
      <c r="BC137" s="299">
        <f>IF(AND($F137&lt;=BC$2, OR($G137="",$G137&gt;=BC$2)),
  $H137 * (1 + Assumptions!$C$7) ^ INT(((YEAR(BC$2)-YEAR($F137))*12 + MONTH(BC$2)-MONTH($F137)) / 12),
  0)</f>
        <v/>
      </c>
      <c r="BD137" s="299">
        <f>IF(AND($F137&lt;=BD$2, OR($G137="",$G137&gt;=BD$2)),
  $H137 * (1 + Assumptions!$C$7) ^ INT(((YEAR(BD$2)-YEAR($F137))*12 + MONTH(BD$2)-MONTH($F137)) / 12),
  0)</f>
        <v/>
      </c>
      <c r="BE137" s="299">
        <f>IF(AND($F137&lt;=BE$2, OR($G137="",$G137&gt;=BE$2)),
  $H137 * (1 + Assumptions!$C$7) ^ INT(((YEAR(BE$2)-YEAR($F137))*12 + MONTH(BE$2)-MONTH($F137)) / 12),
  0)</f>
        <v/>
      </c>
      <c r="BF137" s="299">
        <f>IF(AND($F137&lt;=BF$2, OR($G137="",$G137&gt;=BF$2)),
  $H137 * (1 + Assumptions!$C$7) ^ INT(((YEAR(BF$2)-YEAR($F137))*12 + MONTH(BF$2)-MONTH($F137)) / 12),
  0)</f>
        <v/>
      </c>
      <c r="BG137" s="299">
        <f>IF(AND($F137&lt;=BG$2, OR($G137="",$G137&gt;=BG$2)),
  $H137 * (1 + Assumptions!$C$7) ^ INT(((YEAR(BG$2)-YEAR($F137))*12 + MONTH(BG$2)-MONTH($F137)) / 12),
  0)</f>
        <v/>
      </c>
      <c r="BH137" s="299">
        <f>IF(AND($F137&lt;=BH$2, OR($G137="",$G137&gt;=BH$2)),
  $H137 * (1 + Assumptions!$C$7) ^ INT(((YEAR(BH$2)-YEAR($F137))*12 + MONTH(BH$2)-MONTH($F137)) / 12),
  0)</f>
        <v/>
      </c>
      <c r="BI137" s="299">
        <f>IF(AND($F137&lt;=BI$2, OR($G137="",$G137&gt;=BI$2)),
  $H137 * (1 + Assumptions!$C$7) ^ INT(((YEAR(BI$2)-YEAR($F137))*12 + MONTH(BI$2)-MONTH($F137)) / 12),
  0)</f>
        <v/>
      </c>
      <c r="BJ137" s="299">
        <f>IF(AND($F137&lt;=BJ$2, OR($G137="",$G137&gt;=BJ$2)),
  $H137 * (1 + Assumptions!$C$7) ^ INT(((YEAR(BJ$2)-YEAR($F137))*12 + MONTH(BJ$2)-MONTH($F137)) / 12),
  0)</f>
        <v/>
      </c>
      <c r="BK137" s="299">
        <f>IF(AND($F137&lt;=BK$2, OR($G137="",$G137&gt;=BK$2)),
  $H137 * (1 + Assumptions!$C$7) ^ INT(((YEAR(BK$2)-YEAR($F137))*12 + MONTH(BK$2)-MONTH($F137)) / 12),
  0)</f>
        <v/>
      </c>
      <c r="BL137" s="299">
        <f>IF(AND($F137&lt;=BL$2, OR($G137="",$G137&gt;=BL$2)),
  $H137 * (1 + Assumptions!$C$7) ^ INT(((YEAR(BL$2)-YEAR($F137))*12 + MONTH(BL$2)-MONTH($F137)) / 12),
  0)</f>
        <v/>
      </c>
      <c r="BM137" s="299">
        <f>IF(AND($F137&lt;=BM$2, OR($G137="",$G137&gt;=BM$2)),
  $H137 * (1 + Assumptions!$C$7) ^ INT(((YEAR(BM$2)-YEAR($F137))*12 + MONTH(BM$2)-MONTH($F137)) / 12),
  0)</f>
        <v/>
      </c>
      <c r="BN137" s="299">
        <f>IF(AND($F137&lt;=BN$2, OR($G137="",$G137&gt;=BN$2)),
  $H137 * (1 + Assumptions!$C$7) ^ INT(((YEAR(BN$2)-YEAR($F137))*12 + MONTH(BN$2)-MONTH($F137)) / 12),
  0)</f>
        <v/>
      </c>
      <c r="BO137" s="299">
        <f>IF(AND($F137&lt;=BO$2, OR($G137="",$G137&gt;=BO$2)),
  $H137 * (1 + Assumptions!$C$7) ^ INT(((YEAR(BO$2)-YEAR($F137))*12 + MONTH(BO$2)-MONTH($F137)) / 12),
  0)</f>
        <v/>
      </c>
      <c r="BP137" s="299">
        <f>IF(AND($F137&lt;=BP$2, OR($G137="",$G137&gt;=BP$2)),
  $H137 * (1 + Assumptions!$C$7) ^ INT(((YEAR(BP$2)-YEAR($F137))*12 + MONTH(BP$2)-MONTH($F137)) / 12),
  0)</f>
        <v/>
      </c>
      <c r="BQ137" s="31" t="n"/>
      <c r="BR137" s="31" t="n"/>
      <c r="BS137" s="31" t="n"/>
      <c r="BT137" s="31" t="n"/>
    </row>
    <row r="138" ht="15.75" customHeight="1" s="349">
      <c r="A138" s="321" t="n">
        <v>133</v>
      </c>
      <c r="B138" s="285" t="inlineStr">
        <is>
          <t>New hire</t>
        </is>
      </c>
      <c r="C138" s="317" t="inlineStr">
        <is>
          <t>G&amp;A</t>
        </is>
      </c>
      <c r="D138" s="317" t="inlineStr">
        <is>
          <t>Production Operator</t>
        </is>
      </c>
      <c r="E138" s="297" t="inlineStr">
        <is>
          <t>Planned</t>
        </is>
      </c>
      <c r="F138" s="318">
        <f>IF(Assumptions!$D$82=2,DATE(2029,7,1),DATE(2035,1,1))</f>
        <v/>
      </c>
      <c r="G138" s="318" t="n"/>
      <c r="H138" s="288" t="n">
        <v>5000</v>
      </c>
      <c r="I138" s="299">
        <f>IF(AND($F138&lt;=I$2, OR($G138="",$G138&gt;=I$2)),
  $H138 * (1 + Assumptions!$C$7) ^ INT(((YEAR(I$2)-YEAR($F138))*12 + MONTH(I$2)-MONTH($F138)) / 12),
  0)</f>
        <v/>
      </c>
      <c r="J138" s="299">
        <f>IF(AND($F138&lt;=J$2, OR($G138="",$G138&gt;=J$2)),
  $H138 * (1 + Assumptions!$C$7) ^ INT(((YEAR(J$2)-YEAR($F138))*12 + MONTH(J$2)-MONTH($F138)) / 12),
  0)</f>
        <v/>
      </c>
      <c r="K138" s="299">
        <f>IF(AND($F138&lt;=K$2, OR($G138="",$G138&gt;=K$2)),
  $H138 * (1 + Assumptions!$C$7) ^ INT(((YEAR(K$2)-YEAR($F138))*12 + MONTH(K$2)-MONTH($F138)) / 12),
  0)</f>
        <v/>
      </c>
      <c r="L138" s="299">
        <f>IF(AND($F138&lt;=L$2, OR($G138="",$G138&gt;=L$2)),
  $H138 * (1 + Assumptions!$C$7) ^ INT(((YEAR(L$2)-YEAR($F138))*12 + MONTH(L$2)-MONTH($F138)) / 12),
  0)</f>
        <v/>
      </c>
      <c r="M138" s="299">
        <f>IF(AND($F138&lt;=M$2, OR($G138="",$G138&gt;=M$2)),
  $H138 * (1 + Assumptions!$C$7) ^ INT(((YEAR(M$2)-YEAR($F138))*12 + MONTH(M$2)-MONTH($F138)) / 12),
  0)</f>
        <v/>
      </c>
      <c r="N138" s="299">
        <f>IF(AND($F138&lt;=N$2, OR($G138="",$G138&gt;=N$2)),
  $H138 * (1 + Assumptions!$C$7) ^ INT(((YEAR(N$2)-YEAR($F138))*12 + MONTH(N$2)-MONTH($F138)) / 12),
  0)</f>
        <v/>
      </c>
      <c r="O138" s="299">
        <f>IF(AND($F138&lt;=O$2, OR($G138="",$G138&gt;=O$2)),
  $H138 * (1 + Assumptions!$C$7) ^ INT(((YEAR(O$2)-YEAR($F138))*12 + MONTH(O$2)-MONTH($F138)) / 12),
  0)</f>
        <v/>
      </c>
      <c r="P138" s="299">
        <f>IF(AND($F138&lt;=P$2, OR($G138="",$G138&gt;=P$2)),
  $H138 * (1 + Assumptions!$C$7) ^ INT(((YEAR(P$2)-YEAR($F138))*12 + MONTH(P$2)-MONTH($F138)) / 12),
  0)</f>
        <v/>
      </c>
      <c r="Q138" s="299">
        <f>IF(AND($F138&lt;=Q$2, OR($G138="",$G138&gt;=Q$2)),
  $H138 * (1 + Assumptions!$C$7) ^ INT(((YEAR(Q$2)-YEAR($F138))*12 + MONTH(Q$2)-MONTH($F138)) / 12),
  0)</f>
        <v/>
      </c>
      <c r="R138" s="299">
        <f>IF(AND($F138&lt;=R$2, OR($G138="",$G138&gt;=R$2)),
  $H138 * (1 + Assumptions!$C$7) ^ INT(((YEAR(R$2)-YEAR($F138))*12 + MONTH(R$2)-MONTH($F138)) / 12),
  0)</f>
        <v/>
      </c>
      <c r="S138" s="299">
        <f>IF(AND($F138&lt;=S$2, OR($G138="",$G138&gt;=S$2)),
  $H138 * (1 + Assumptions!$C$7) ^ INT(((YEAR(S$2)-YEAR($F138))*12 + MONTH(S$2)-MONTH($F138)) / 12),
  0)</f>
        <v/>
      </c>
      <c r="T138" s="299">
        <f>IF(AND($F138&lt;=T$2, OR($G138="",$G138&gt;=T$2)),
  $H138 * (1 + Assumptions!$C$7) ^ INT(((YEAR(T$2)-YEAR($F138))*12 + MONTH(T$2)-MONTH($F138)) / 12),
  0)</f>
        <v/>
      </c>
      <c r="U138" s="299">
        <f>IF(AND($F138&lt;=U$2, OR($G138="",$G138&gt;=U$2)),
  $H138 * (1 + Assumptions!$C$7) ^ INT(((YEAR(U$2)-YEAR($F138))*12 + MONTH(U$2)-MONTH($F138)) / 12),
  0)</f>
        <v/>
      </c>
      <c r="V138" s="299">
        <f>IF(AND($F138&lt;=V$2, OR($G138="",$G138&gt;=V$2)),
  $H138 * (1 + Assumptions!$C$7) ^ INT(((YEAR(V$2)-YEAR($F138))*12 + MONTH(V$2)-MONTH($F138)) / 12),
  0)</f>
        <v/>
      </c>
      <c r="W138" s="299">
        <f>IF(AND($F138&lt;=W$2, OR($G138="",$G138&gt;=W$2)),
  $H138 * (1 + Assumptions!$C$7) ^ INT(((YEAR(W$2)-YEAR($F138))*12 + MONTH(W$2)-MONTH($F138)) / 12),
  0)</f>
        <v/>
      </c>
      <c r="X138" s="299">
        <f>IF(AND($F138&lt;=X$2, OR($G138="",$G138&gt;=X$2)),
  $H138 * (1 + Assumptions!$C$7) ^ INT(((YEAR(X$2)-YEAR($F138))*12 + MONTH(X$2)-MONTH($F138)) / 12),
  0)</f>
        <v/>
      </c>
      <c r="Y138" s="299">
        <f>IF(AND($F138&lt;=Y$2, OR($G138="",$G138&gt;=Y$2)),
  $H138 * (1 + Assumptions!$C$7) ^ INT(((YEAR(Y$2)-YEAR($F138))*12 + MONTH(Y$2)-MONTH($F138)) / 12),
  0)</f>
        <v/>
      </c>
      <c r="Z138" s="299">
        <f>IF(AND($F138&lt;=Z$2, OR($G138="",$G138&gt;=Z$2)),
  $H138 * (1 + Assumptions!$C$7) ^ INT(((YEAR(Z$2)-YEAR($F138))*12 + MONTH(Z$2)-MONTH($F138)) / 12),
  0)</f>
        <v/>
      </c>
      <c r="AA138" s="299">
        <f>IF(AND($F138&lt;=AA$2, OR($G138="",$G138&gt;=AA$2)),
  $H138 * (1 + Assumptions!$C$7) ^ INT(((YEAR(AA$2)-YEAR($F138))*12 + MONTH(AA$2)-MONTH($F138)) / 12),
  0)</f>
        <v/>
      </c>
      <c r="AB138" s="299">
        <f>IF(AND($F138&lt;=AB$2, OR($G138="",$G138&gt;=AB$2)),
  $H138 * (1 + Assumptions!$C$7) ^ INT(((YEAR(AB$2)-YEAR($F138))*12 + MONTH(AB$2)-MONTH($F138)) / 12),
  0)</f>
        <v/>
      </c>
      <c r="AC138" s="299">
        <f>IF(AND($F138&lt;=AC$2, OR($G138="",$G138&gt;=AC$2)),
  $H138 * (1 + Assumptions!$C$7) ^ INT(((YEAR(AC$2)-YEAR($F138))*12 + MONTH(AC$2)-MONTH($F138)) / 12),
  0)</f>
        <v/>
      </c>
      <c r="AD138" s="299">
        <f>IF(AND($F138&lt;=AD$2, OR($G138="",$G138&gt;=AD$2)),
  $H138 * (1 + Assumptions!$C$7) ^ INT(((YEAR(AD$2)-YEAR($F138))*12 + MONTH(AD$2)-MONTH($F138)) / 12),
  0)</f>
        <v/>
      </c>
      <c r="AE138" s="299">
        <f>IF(AND($F138&lt;=AE$2, OR($G138="",$G138&gt;=AE$2)),
  $H138 * (1 + Assumptions!$C$7) ^ INT(((YEAR(AE$2)-YEAR($F138))*12 + MONTH(AE$2)-MONTH($F138)) / 12),
  0)</f>
        <v/>
      </c>
      <c r="AF138" s="299">
        <f>IF(AND($F138&lt;=AF$2, OR($G138="",$G138&gt;=AF$2)),
  $H138 * (1 + Assumptions!$C$7) ^ INT(((YEAR(AF$2)-YEAR($F138))*12 + MONTH(AF$2)-MONTH($F138)) / 12),
  0)</f>
        <v/>
      </c>
      <c r="AG138" s="299">
        <f>IF(AND($F138&lt;=AG$2, OR($G138="",$G138&gt;=AG$2)),
  $H138 * (1 + Assumptions!$C$7) ^ INT(((YEAR(AG$2)-YEAR($F138))*12 + MONTH(AG$2)-MONTH($F138)) / 12),
  0)</f>
        <v/>
      </c>
      <c r="AH138" s="299">
        <f>IF(AND($F138&lt;=AH$2, OR($G138="",$G138&gt;=AH$2)),
  $H138 * (1 + Assumptions!$C$7) ^ INT(((YEAR(AH$2)-YEAR($F138))*12 + MONTH(AH$2)-MONTH($F138)) / 12),
  0)</f>
        <v/>
      </c>
      <c r="AI138" s="299">
        <f>IF(AND($F138&lt;=AI$2, OR($G138="",$G138&gt;=AI$2)),
  $H138 * (1 + Assumptions!$C$7) ^ INT(((YEAR(AI$2)-YEAR($F138))*12 + MONTH(AI$2)-MONTH($F138)) / 12),
  0)</f>
        <v/>
      </c>
      <c r="AJ138" s="299">
        <f>IF(AND($F138&lt;=AJ$2, OR($G138="",$G138&gt;=AJ$2)),
  $H138 * (1 + Assumptions!$C$7) ^ INT(((YEAR(AJ$2)-YEAR($F138))*12 + MONTH(AJ$2)-MONTH($F138)) / 12),
  0)</f>
        <v/>
      </c>
      <c r="AK138" s="299">
        <f>IF(AND($F138&lt;=AK$2, OR($G138="",$G138&gt;=AK$2)),
  $H138 * (1 + Assumptions!$C$7) ^ INT(((YEAR(AK$2)-YEAR($F138))*12 + MONTH(AK$2)-MONTH($F138)) / 12),
  0)</f>
        <v/>
      </c>
      <c r="AL138" s="299">
        <f>IF(AND($F138&lt;=AL$2, OR($G138="",$G138&gt;=AL$2)),
  $H138 * (1 + Assumptions!$C$7) ^ INT(((YEAR(AL$2)-YEAR($F138))*12 + MONTH(AL$2)-MONTH($F138)) / 12),
  0)</f>
        <v/>
      </c>
      <c r="AM138" s="299">
        <f>IF(AND($F138&lt;=AM$2, OR($G138="",$G138&gt;=AM$2)),
  $H138 * (1 + Assumptions!$C$7) ^ INT(((YEAR(AM$2)-YEAR($F138))*12 + MONTH(AM$2)-MONTH($F138)) / 12),
  0)</f>
        <v/>
      </c>
      <c r="AN138" s="299">
        <f>IF(AND($F138&lt;=AN$2, OR($G138="",$G138&gt;=AN$2)),
  $H138 * (1 + Assumptions!$C$7) ^ INT(((YEAR(AN$2)-YEAR($F138))*12 + MONTH(AN$2)-MONTH($F138)) / 12),
  0)</f>
        <v/>
      </c>
      <c r="AO138" s="299">
        <f>IF(AND($F138&lt;=AO$2, OR($G138="",$G138&gt;=AO$2)),
  $H138 * (1 + Assumptions!$C$7) ^ INT(((YEAR(AO$2)-YEAR($F138))*12 + MONTH(AO$2)-MONTH($F138)) / 12),
  0)</f>
        <v/>
      </c>
      <c r="AP138" s="299">
        <f>IF(AND($F138&lt;=AP$2, OR($G138="",$G138&gt;=AP$2)),
  $H138 * (1 + Assumptions!$C$7) ^ INT(((YEAR(AP$2)-YEAR($F138))*12 + MONTH(AP$2)-MONTH($F138)) / 12),
  0)</f>
        <v/>
      </c>
      <c r="AQ138" s="299">
        <f>IF(AND($F138&lt;=AQ$2, OR($G138="",$G138&gt;=AQ$2)),
  $H138 * (1 + Assumptions!$C$7) ^ INT(((YEAR(AQ$2)-YEAR($F138))*12 + MONTH(AQ$2)-MONTH($F138)) / 12),
  0)</f>
        <v/>
      </c>
      <c r="AR138" s="299">
        <f>IF(AND($F138&lt;=AR$2, OR($G138="",$G138&gt;=AR$2)),
  $H138 * (1 + Assumptions!$C$7) ^ INT(((YEAR(AR$2)-YEAR($F138))*12 + MONTH(AR$2)-MONTH($F138)) / 12),
  0)</f>
        <v/>
      </c>
      <c r="AS138" s="299">
        <f>IF(AND($F138&lt;=AS$2, OR($G138="",$G138&gt;=AS$2)),
  $H138 * (1 + Assumptions!$C$7) ^ INT(((YEAR(AS$2)-YEAR($F138))*12 + MONTH(AS$2)-MONTH($F138)) / 12),
  0)</f>
        <v/>
      </c>
      <c r="AT138" s="299">
        <f>IF(AND($F138&lt;=AT$2, OR($G138="",$G138&gt;=AT$2)),
  $H138 * (1 + Assumptions!$C$7) ^ INT(((YEAR(AT$2)-YEAR($F138))*12 + MONTH(AT$2)-MONTH($F138)) / 12),
  0)</f>
        <v/>
      </c>
      <c r="AU138" s="299">
        <f>IF(AND($F138&lt;=AU$2, OR($G138="",$G138&gt;=AU$2)),
  $H138 * (1 + Assumptions!$C$7) ^ INT(((YEAR(AU$2)-YEAR($F138))*12 + MONTH(AU$2)-MONTH($F138)) / 12),
  0)</f>
        <v/>
      </c>
      <c r="AV138" s="299">
        <f>IF(AND($F138&lt;=AV$2, OR($G138="",$G138&gt;=AV$2)),
  $H138 * (1 + Assumptions!$C$7) ^ INT(((YEAR(AV$2)-YEAR($F138))*12 + MONTH(AV$2)-MONTH($F138)) / 12),
  0)</f>
        <v/>
      </c>
      <c r="AW138" s="299">
        <f>IF(AND($F138&lt;=AW$2, OR($G138="",$G138&gt;=AW$2)),
  $H138 * (1 + Assumptions!$C$7) ^ INT(((YEAR(AW$2)-YEAR($F138))*12 + MONTH(AW$2)-MONTH($F138)) / 12),
  0)</f>
        <v/>
      </c>
      <c r="AX138" s="299">
        <f>IF(AND($F138&lt;=AX$2, OR($G138="",$G138&gt;=AX$2)),
  $H138 * (1 + Assumptions!$C$7) ^ INT(((YEAR(AX$2)-YEAR($F138))*12 + MONTH(AX$2)-MONTH($F138)) / 12),
  0)</f>
        <v/>
      </c>
      <c r="AY138" s="299">
        <f>IF(AND($F138&lt;=AY$2, OR($G138="",$G138&gt;=AY$2)),
  $H138 * (1 + Assumptions!$C$7) ^ INT(((YEAR(AY$2)-YEAR($F138))*12 + MONTH(AY$2)-MONTH($F138)) / 12),
  0)</f>
        <v/>
      </c>
      <c r="AZ138" s="299">
        <f>IF(AND($F138&lt;=AZ$2, OR($G138="",$G138&gt;=AZ$2)),
  $H138 * (1 + Assumptions!$C$7) ^ INT(((YEAR(AZ$2)-YEAR($F138))*12 + MONTH(AZ$2)-MONTH($F138)) / 12),
  0)</f>
        <v/>
      </c>
      <c r="BA138" s="299">
        <f>IF(AND($F138&lt;=BA$2, OR($G138="",$G138&gt;=BA$2)),
  $H138 * (1 + Assumptions!$C$7) ^ INT(((YEAR(BA$2)-YEAR($F138))*12 + MONTH(BA$2)-MONTH($F138)) / 12),
  0)</f>
        <v/>
      </c>
      <c r="BB138" s="299">
        <f>IF(AND($F138&lt;=BB$2, OR($G138="",$G138&gt;=BB$2)),
  $H138 * (1 + Assumptions!$C$7) ^ INT(((YEAR(BB$2)-YEAR($F138))*12 + MONTH(BB$2)-MONTH($F138)) / 12),
  0)</f>
        <v/>
      </c>
      <c r="BC138" s="299">
        <f>IF(AND($F138&lt;=BC$2, OR($G138="",$G138&gt;=BC$2)),
  $H138 * (1 + Assumptions!$C$7) ^ INT(((YEAR(BC$2)-YEAR($F138))*12 + MONTH(BC$2)-MONTH($F138)) / 12),
  0)</f>
        <v/>
      </c>
      <c r="BD138" s="299">
        <f>IF(AND($F138&lt;=BD$2, OR($G138="",$G138&gt;=BD$2)),
  $H138 * (1 + Assumptions!$C$7) ^ INT(((YEAR(BD$2)-YEAR($F138))*12 + MONTH(BD$2)-MONTH($F138)) / 12),
  0)</f>
        <v/>
      </c>
      <c r="BE138" s="299">
        <f>IF(AND($F138&lt;=BE$2, OR($G138="",$G138&gt;=BE$2)),
  $H138 * (1 + Assumptions!$C$7) ^ INT(((YEAR(BE$2)-YEAR($F138))*12 + MONTH(BE$2)-MONTH($F138)) / 12),
  0)</f>
        <v/>
      </c>
      <c r="BF138" s="299">
        <f>IF(AND($F138&lt;=BF$2, OR($G138="",$G138&gt;=BF$2)),
  $H138 * (1 + Assumptions!$C$7) ^ INT(((YEAR(BF$2)-YEAR($F138))*12 + MONTH(BF$2)-MONTH($F138)) / 12),
  0)</f>
        <v/>
      </c>
      <c r="BG138" s="299">
        <f>IF(AND($F138&lt;=BG$2, OR($G138="",$G138&gt;=BG$2)),
  $H138 * (1 + Assumptions!$C$7) ^ INT(((YEAR(BG$2)-YEAR($F138))*12 + MONTH(BG$2)-MONTH($F138)) / 12),
  0)</f>
        <v/>
      </c>
      <c r="BH138" s="299">
        <f>IF(AND($F138&lt;=BH$2, OR($G138="",$G138&gt;=BH$2)),
  $H138 * (1 + Assumptions!$C$7) ^ INT(((YEAR(BH$2)-YEAR($F138))*12 + MONTH(BH$2)-MONTH($F138)) / 12),
  0)</f>
        <v/>
      </c>
      <c r="BI138" s="299">
        <f>IF(AND($F138&lt;=BI$2, OR($G138="",$G138&gt;=BI$2)),
  $H138 * (1 + Assumptions!$C$7) ^ INT(((YEAR(BI$2)-YEAR($F138))*12 + MONTH(BI$2)-MONTH($F138)) / 12),
  0)</f>
        <v/>
      </c>
      <c r="BJ138" s="299">
        <f>IF(AND($F138&lt;=BJ$2, OR($G138="",$G138&gt;=BJ$2)),
  $H138 * (1 + Assumptions!$C$7) ^ INT(((YEAR(BJ$2)-YEAR($F138))*12 + MONTH(BJ$2)-MONTH($F138)) / 12),
  0)</f>
        <v/>
      </c>
      <c r="BK138" s="299">
        <f>IF(AND($F138&lt;=BK$2, OR($G138="",$G138&gt;=BK$2)),
  $H138 * (1 + Assumptions!$C$7) ^ INT(((YEAR(BK$2)-YEAR($F138))*12 + MONTH(BK$2)-MONTH($F138)) / 12),
  0)</f>
        <v/>
      </c>
      <c r="BL138" s="299">
        <f>IF(AND($F138&lt;=BL$2, OR($G138="",$G138&gt;=BL$2)),
  $H138 * (1 + Assumptions!$C$7) ^ INT(((YEAR(BL$2)-YEAR($F138))*12 + MONTH(BL$2)-MONTH($F138)) / 12),
  0)</f>
        <v/>
      </c>
      <c r="BM138" s="299">
        <f>IF(AND($F138&lt;=BM$2, OR($G138="",$G138&gt;=BM$2)),
  $H138 * (1 + Assumptions!$C$7) ^ INT(((YEAR(BM$2)-YEAR($F138))*12 + MONTH(BM$2)-MONTH($F138)) / 12),
  0)</f>
        <v/>
      </c>
      <c r="BN138" s="299">
        <f>IF(AND($F138&lt;=BN$2, OR($G138="",$G138&gt;=BN$2)),
  $H138 * (1 + Assumptions!$C$7) ^ INT(((YEAR(BN$2)-YEAR($F138))*12 + MONTH(BN$2)-MONTH($F138)) / 12),
  0)</f>
        <v/>
      </c>
      <c r="BO138" s="299">
        <f>IF(AND($F138&lt;=BO$2, OR($G138="",$G138&gt;=BO$2)),
  $H138 * (1 + Assumptions!$C$7) ^ INT(((YEAR(BO$2)-YEAR($F138))*12 + MONTH(BO$2)-MONTH($F138)) / 12),
  0)</f>
        <v/>
      </c>
      <c r="BP138" s="299">
        <f>IF(AND($F138&lt;=BP$2, OR($G138="",$G138&gt;=BP$2)),
  $H138 * (1 + Assumptions!$C$7) ^ INT(((YEAR(BP$2)-YEAR($F138))*12 + MONTH(BP$2)-MONTH($F138)) / 12),
  0)</f>
        <v/>
      </c>
      <c r="BQ138" s="31" t="n"/>
      <c r="BR138" s="31" t="n"/>
      <c r="BS138" s="31" t="n"/>
      <c r="BT138" s="31" t="n"/>
    </row>
    <row r="139" ht="15.75" customHeight="1" s="349">
      <c r="A139" s="321" t="n">
        <v>134</v>
      </c>
      <c r="B139" s="285" t="inlineStr">
        <is>
          <t>New hire</t>
        </is>
      </c>
      <c r="C139" s="317" t="inlineStr">
        <is>
          <t>G&amp;A</t>
        </is>
      </c>
      <c r="D139" s="317" t="inlineStr">
        <is>
          <t>Production Operator</t>
        </is>
      </c>
      <c r="E139" s="297" t="inlineStr">
        <is>
          <t>Planned</t>
        </is>
      </c>
      <c r="F139" s="318">
        <f>IF(Assumptions!$D$82=2,DATE(2029,7,1),DATE(2035,1,1))</f>
        <v/>
      </c>
      <c r="G139" s="318" t="n"/>
      <c r="H139" s="288" t="n">
        <v>5000</v>
      </c>
      <c r="I139" s="299">
        <f>IF(AND($F139&lt;=I$2, OR($G139="",$G139&gt;=I$2)),
  $H139 * (1 + Assumptions!$C$7) ^ INT(((YEAR(I$2)-YEAR($F139))*12 + MONTH(I$2)-MONTH($F139)) / 12),
  0)</f>
        <v/>
      </c>
      <c r="J139" s="299">
        <f>IF(AND($F139&lt;=J$2, OR($G139="",$G139&gt;=J$2)),
  $H139 * (1 + Assumptions!$C$7) ^ INT(((YEAR(J$2)-YEAR($F139))*12 + MONTH(J$2)-MONTH($F139)) / 12),
  0)</f>
        <v/>
      </c>
      <c r="K139" s="299">
        <f>IF(AND($F139&lt;=K$2, OR($G139="",$G139&gt;=K$2)),
  $H139 * (1 + Assumptions!$C$7) ^ INT(((YEAR(K$2)-YEAR($F139))*12 + MONTH(K$2)-MONTH($F139)) / 12),
  0)</f>
        <v/>
      </c>
      <c r="L139" s="299">
        <f>IF(AND($F139&lt;=L$2, OR($G139="",$G139&gt;=L$2)),
  $H139 * (1 + Assumptions!$C$7) ^ INT(((YEAR(L$2)-YEAR($F139))*12 + MONTH(L$2)-MONTH($F139)) / 12),
  0)</f>
        <v/>
      </c>
      <c r="M139" s="299">
        <f>IF(AND($F139&lt;=M$2, OR($G139="",$G139&gt;=M$2)),
  $H139 * (1 + Assumptions!$C$7) ^ INT(((YEAR(M$2)-YEAR($F139))*12 + MONTH(M$2)-MONTH($F139)) / 12),
  0)</f>
        <v/>
      </c>
      <c r="N139" s="299">
        <f>IF(AND($F139&lt;=N$2, OR($G139="",$G139&gt;=N$2)),
  $H139 * (1 + Assumptions!$C$7) ^ INT(((YEAR(N$2)-YEAR($F139))*12 + MONTH(N$2)-MONTH($F139)) / 12),
  0)</f>
        <v/>
      </c>
      <c r="O139" s="299">
        <f>IF(AND($F139&lt;=O$2, OR($G139="",$G139&gt;=O$2)),
  $H139 * (1 + Assumptions!$C$7) ^ INT(((YEAR(O$2)-YEAR($F139))*12 + MONTH(O$2)-MONTH($F139)) / 12),
  0)</f>
        <v/>
      </c>
      <c r="P139" s="299">
        <f>IF(AND($F139&lt;=P$2, OR($G139="",$G139&gt;=P$2)),
  $H139 * (1 + Assumptions!$C$7) ^ INT(((YEAR(P$2)-YEAR($F139))*12 + MONTH(P$2)-MONTH($F139)) / 12),
  0)</f>
        <v/>
      </c>
      <c r="Q139" s="299">
        <f>IF(AND($F139&lt;=Q$2, OR($G139="",$G139&gt;=Q$2)),
  $H139 * (1 + Assumptions!$C$7) ^ INT(((YEAR(Q$2)-YEAR($F139))*12 + MONTH(Q$2)-MONTH($F139)) / 12),
  0)</f>
        <v/>
      </c>
      <c r="R139" s="299">
        <f>IF(AND($F139&lt;=R$2, OR($G139="",$G139&gt;=R$2)),
  $H139 * (1 + Assumptions!$C$7) ^ INT(((YEAR(R$2)-YEAR($F139))*12 + MONTH(R$2)-MONTH($F139)) / 12),
  0)</f>
        <v/>
      </c>
      <c r="S139" s="299">
        <f>IF(AND($F139&lt;=S$2, OR($G139="",$G139&gt;=S$2)),
  $H139 * (1 + Assumptions!$C$7) ^ INT(((YEAR(S$2)-YEAR($F139))*12 + MONTH(S$2)-MONTH($F139)) / 12),
  0)</f>
        <v/>
      </c>
      <c r="T139" s="299">
        <f>IF(AND($F139&lt;=T$2, OR($G139="",$G139&gt;=T$2)),
  $H139 * (1 + Assumptions!$C$7) ^ INT(((YEAR(T$2)-YEAR($F139))*12 + MONTH(T$2)-MONTH($F139)) / 12),
  0)</f>
        <v/>
      </c>
      <c r="U139" s="299">
        <f>IF(AND($F139&lt;=U$2, OR($G139="",$G139&gt;=U$2)),
  $H139 * (1 + Assumptions!$C$7) ^ INT(((YEAR(U$2)-YEAR($F139))*12 + MONTH(U$2)-MONTH($F139)) / 12),
  0)</f>
        <v/>
      </c>
      <c r="V139" s="299">
        <f>IF(AND($F139&lt;=V$2, OR($G139="",$G139&gt;=V$2)),
  $H139 * (1 + Assumptions!$C$7) ^ INT(((YEAR(V$2)-YEAR($F139))*12 + MONTH(V$2)-MONTH($F139)) / 12),
  0)</f>
        <v/>
      </c>
      <c r="W139" s="299">
        <f>IF(AND($F139&lt;=W$2, OR($G139="",$G139&gt;=W$2)),
  $H139 * (1 + Assumptions!$C$7) ^ INT(((YEAR(W$2)-YEAR($F139))*12 + MONTH(W$2)-MONTH($F139)) / 12),
  0)</f>
        <v/>
      </c>
      <c r="X139" s="299">
        <f>IF(AND($F139&lt;=X$2, OR($G139="",$G139&gt;=X$2)),
  $H139 * (1 + Assumptions!$C$7) ^ INT(((YEAR(X$2)-YEAR($F139))*12 + MONTH(X$2)-MONTH($F139)) / 12),
  0)</f>
        <v/>
      </c>
      <c r="Y139" s="299">
        <f>IF(AND($F139&lt;=Y$2, OR($G139="",$G139&gt;=Y$2)),
  $H139 * (1 + Assumptions!$C$7) ^ INT(((YEAR(Y$2)-YEAR($F139))*12 + MONTH(Y$2)-MONTH($F139)) / 12),
  0)</f>
        <v/>
      </c>
      <c r="Z139" s="299">
        <f>IF(AND($F139&lt;=Z$2, OR($G139="",$G139&gt;=Z$2)),
  $H139 * (1 + Assumptions!$C$7) ^ INT(((YEAR(Z$2)-YEAR($F139))*12 + MONTH(Z$2)-MONTH($F139)) / 12),
  0)</f>
        <v/>
      </c>
      <c r="AA139" s="299">
        <f>IF(AND($F139&lt;=AA$2, OR($G139="",$G139&gt;=AA$2)),
  $H139 * (1 + Assumptions!$C$7) ^ INT(((YEAR(AA$2)-YEAR($F139))*12 + MONTH(AA$2)-MONTH($F139)) / 12),
  0)</f>
        <v/>
      </c>
      <c r="AB139" s="299">
        <f>IF(AND($F139&lt;=AB$2, OR($G139="",$G139&gt;=AB$2)),
  $H139 * (1 + Assumptions!$C$7) ^ INT(((YEAR(AB$2)-YEAR($F139))*12 + MONTH(AB$2)-MONTH($F139)) / 12),
  0)</f>
        <v/>
      </c>
      <c r="AC139" s="299">
        <f>IF(AND($F139&lt;=AC$2, OR($G139="",$G139&gt;=AC$2)),
  $H139 * (1 + Assumptions!$C$7) ^ INT(((YEAR(AC$2)-YEAR($F139))*12 + MONTH(AC$2)-MONTH($F139)) / 12),
  0)</f>
        <v/>
      </c>
      <c r="AD139" s="299">
        <f>IF(AND($F139&lt;=AD$2, OR($G139="",$G139&gt;=AD$2)),
  $H139 * (1 + Assumptions!$C$7) ^ INT(((YEAR(AD$2)-YEAR($F139))*12 + MONTH(AD$2)-MONTH($F139)) / 12),
  0)</f>
        <v/>
      </c>
      <c r="AE139" s="299">
        <f>IF(AND($F139&lt;=AE$2, OR($G139="",$G139&gt;=AE$2)),
  $H139 * (1 + Assumptions!$C$7) ^ INT(((YEAR(AE$2)-YEAR($F139))*12 + MONTH(AE$2)-MONTH($F139)) / 12),
  0)</f>
        <v/>
      </c>
      <c r="AF139" s="299">
        <f>IF(AND($F139&lt;=AF$2, OR($G139="",$G139&gt;=AF$2)),
  $H139 * (1 + Assumptions!$C$7) ^ INT(((YEAR(AF$2)-YEAR($F139))*12 + MONTH(AF$2)-MONTH($F139)) / 12),
  0)</f>
        <v/>
      </c>
      <c r="AG139" s="299">
        <f>IF(AND($F139&lt;=AG$2, OR($G139="",$G139&gt;=AG$2)),
  $H139 * (1 + Assumptions!$C$7) ^ INT(((YEAR(AG$2)-YEAR($F139))*12 + MONTH(AG$2)-MONTH($F139)) / 12),
  0)</f>
        <v/>
      </c>
      <c r="AH139" s="299">
        <f>IF(AND($F139&lt;=AH$2, OR($G139="",$G139&gt;=AH$2)),
  $H139 * (1 + Assumptions!$C$7) ^ INT(((YEAR(AH$2)-YEAR($F139))*12 + MONTH(AH$2)-MONTH($F139)) / 12),
  0)</f>
        <v/>
      </c>
      <c r="AI139" s="299">
        <f>IF(AND($F139&lt;=AI$2, OR($G139="",$G139&gt;=AI$2)),
  $H139 * (1 + Assumptions!$C$7) ^ INT(((YEAR(AI$2)-YEAR($F139))*12 + MONTH(AI$2)-MONTH($F139)) / 12),
  0)</f>
        <v/>
      </c>
      <c r="AJ139" s="299">
        <f>IF(AND($F139&lt;=AJ$2, OR($G139="",$G139&gt;=AJ$2)),
  $H139 * (1 + Assumptions!$C$7) ^ INT(((YEAR(AJ$2)-YEAR($F139))*12 + MONTH(AJ$2)-MONTH($F139)) / 12),
  0)</f>
        <v/>
      </c>
      <c r="AK139" s="299">
        <f>IF(AND($F139&lt;=AK$2, OR($G139="",$G139&gt;=AK$2)),
  $H139 * (1 + Assumptions!$C$7) ^ INT(((YEAR(AK$2)-YEAR($F139))*12 + MONTH(AK$2)-MONTH($F139)) / 12),
  0)</f>
        <v/>
      </c>
      <c r="AL139" s="299">
        <f>IF(AND($F139&lt;=AL$2, OR($G139="",$G139&gt;=AL$2)),
  $H139 * (1 + Assumptions!$C$7) ^ INT(((YEAR(AL$2)-YEAR($F139))*12 + MONTH(AL$2)-MONTH($F139)) / 12),
  0)</f>
        <v/>
      </c>
      <c r="AM139" s="299">
        <f>IF(AND($F139&lt;=AM$2, OR($G139="",$G139&gt;=AM$2)),
  $H139 * (1 + Assumptions!$C$7) ^ INT(((YEAR(AM$2)-YEAR($F139))*12 + MONTH(AM$2)-MONTH($F139)) / 12),
  0)</f>
        <v/>
      </c>
      <c r="AN139" s="299">
        <f>IF(AND($F139&lt;=AN$2, OR($G139="",$G139&gt;=AN$2)),
  $H139 * (1 + Assumptions!$C$7) ^ INT(((YEAR(AN$2)-YEAR($F139))*12 + MONTH(AN$2)-MONTH($F139)) / 12),
  0)</f>
        <v/>
      </c>
      <c r="AO139" s="299">
        <f>IF(AND($F139&lt;=AO$2, OR($G139="",$G139&gt;=AO$2)),
  $H139 * (1 + Assumptions!$C$7) ^ INT(((YEAR(AO$2)-YEAR($F139))*12 + MONTH(AO$2)-MONTH($F139)) / 12),
  0)</f>
        <v/>
      </c>
      <c r="AP139" s="299">
        <f>IF(AND($F139&lt;=AP$2, OR($G139="",$G139&gt;=AP$2)),
  $H139 * (1 + Assumptions!$C$7) ^ INT(((YEAR(AP$2)-YEAR($F139))*12 + MONTH(AP$2)-MONTH($F139)) / 12),
  0)</f>
        <v/>
      </c>
      <c r="AQ139" s="299">
        <f>IF(AND($F139&lt;=AQ$2, OR($G139="",$G139&gt;=AQ$2)),
  $H139 * (1 + Assumptions!$C$7) ^ INT(((YEAR(AQ$2)-YEAR($F139))*12 + MONTH(AQ$2)-MONTH($F139)) / 12),
  0)</f>
        <v/>
      </c>
      <c r="AR139" s="299">
        <f>IF(AND($F139&lt;=AR$2, OR($G139="",$G139&gt;=AR$2)),
  $H139 * (1 + Assumptions!$C$7) ^ INT(((YEAR(AR$2)-YEAR($F139))*12 + MONTH(AR$2)-MONTH($F139)) / 12),
  0)</f>
        <v/>
      </c>
      <c r="AS139" s="299">
        <f>IF(AND($F139&lt;=AS$2, OR($G139="",$G139&gt;=AS$2)),
  $H139 * (1 + Assumptions!$C$7) ^ INT(((YEAR(AS$2)-YEAR($F139))*12 + MONTH(AS$2)-MONTH($F139)) / 12),
  0)</f>
        <v/>
      </c>
      <c r="AT139" s="299">
        <f>IF(AND($F139&lt;=AT$2, OR($G139="",$G139&gt;=AT$2)),
  $H139 * (1 + Assumptions!$C$7) ^ INT(((YEAR(AT$2)-YEAR($F139))*12 + MONTH(AT$2)-MONTH($F139)) / 12),
  0)</f>
        <v/>
      </c>
      <c r="AU139" s="299">
        <f>IF(AND($F139&lt;=AU$2, OR($G139="",$G139&gt;=AU$2)),
  $H139 * (1 + Assumptions!$C$7) ^ INT(((YEAR(AU$2)-YEAR($F139))*12 + MONTH(AU$2)-MONTH($F139)) / 12),
  0)</f>
        <v/>
      </c>
      <c r="AV139" s="299">
        <f>IF(AND($F139&lt;=AV$2, OR($G139="",$G139&gt;=AV$2)),
  $H139 * (1 + Assumptions!$C$7) ^ INT(((YEAR(AV$2)-YEAR($F139))*12 + MONTH(AV$2)-MONTH($F139)) / 12),
  0)</f>
        <v/>
      </c>
      <c r="AW139" s="299">
        <f>IF(AND($F139&lt;=AW$2, OR($G139="",$G139&gt;=AW$2)),
  $H139 * (1 + Assumptions!$C$7) ^ INT(((YEAR(AW$2)-YEAR($F139))*12 + MONTH(AW$2)-MONTH($F139)) / 12),
  0)</f>
        <v/>
      </c>
      <c r="AX139" s="299">
        <f>IF(AND($F139&lt;=AX$2, OR($G139="",$G139&gt;=AX$2)),
  $H139 * (1 + Assumptions!$C$7) ^ INT(((YEAR(AX$2)-YEAR($F139))*12 + MONTH(AX$2)-MONTH($F139)) / 12),
  0)</f>
        <v/>
      </c>
      <c r="AY139" s="299">
        <f>IF(AND($F139&lt;=AY$2, OR($G139="",$G139&gt;=AY$2)),
  $H139 * (1 + Assumptions!$C$7) ^ INT(((YEAR(AY$2)-YEAR($F139))*12 + MONTH(AY$2)-MONTH($F139)) / 12),
  0)</f>
        <v/>
      </c>
      <c r="AZ139" s="299">
        <f>IF(AND($F139&lt;=AZ$2, OR($G139="",$G139&gt;=AZ$2)),
  $H139 * (1 + Assumptions!$C$7) ^ INT(((YEAR(AZ$2)-YEAR($F139))*12 + MONTH(AZ$2)-MONTH($F139)) / 12),
  0)</f>
        <v/>
      </c>
      <c r="BA139" s="299">
        <f>IF(AND($F139&lt;=BA$2, OR($G139="",$G139&gt;=BA$2)),
  $H139 * (1 + Assumptions!$C$7) ^ INT(((YEAR(BA$2)-YEAR($F139))*12 + MONTH(BA$2)-MONTH($F139)) / 12),
  0)</f>
        <v/>
      </c>
      <c r="BB139" s="299">
        <f>IF(AND($F139&lt;=BB$2, OR($G139="",$G139&gt;=BB$2)),
  $H139 * (1 + Assumptions!$C$7) ^ INT(((YEAR(BB$2)-YEAR($F139))*12 + MONTH(BB$2)-MONTH($F139)) / 12),
  0)</f>
        <v/>
      </c>
      <c r="BC139" s="299">
        <f>IF(AND($F139&lt;=BC$2, OR($G139="",$G139&gt;=BC$2)),
  $H139 * (1 + Assumptions!$C$7) ^ INT(((YEAR(BC$2)-YEAR($F139))*12 + MONTH(BC$2)-MONTH($F139)) / 12),
  0)</f>
        <v/>
      </c>
      <c r="BD139" s="299">
        <f>IF(AND($F139&lt;=BD$2, OR($G139="",$G139&gt;=BD$2)),
  $H139 * (1 + Assumptions!$C$7) ^ INT(((YEAR(BD$2)-YEAR($F139))*12 + MONTH(BD$2)-MONTH($F139)) / 12),
  0)</f>
        <v/>
      </c>
      <c r="BE139" s="299">
        <f>IF(AND($F139&lt;=BE$2, OR($G139="",$G139&gt;=BE$2)),
  $H139 * (1 + Assumptions!$C$7) ^ INT(((YEAR(BE$2)-YEAR($F139))*12 + MONTH(BE$2)-MONTH($F139)) / 12),
  0)</f>
        <v/>
      </c>
      <c r="BF139" s="299">
        <f>IF(AND($F139&lt;=BF$2, OR($G139="",$G139&gt;=BF$2)),
  $H139 * (1 + Assumptions!$C$7) ^ INT(((YEAR(BF$2)-YEAR($F139))*12 + MONTH(BF$2)-MONTH($F139)) / 12),
  0)</f>
        <v/>
      </c>
      <c r="BG139" s="299">
        <f>IF(AND($F139&lt;=BG$2, OR($G139="",$G139&gt;=BG$2)),
  $H139 * (1 + Assumptions!$C$7) ^ INT(((YEAR(BG$2)-YEAR($F139))*12 + MONTH(BG$2)-MONTH($F139)) / 12),
  0)</f>
        <v/>
      </c>
      <c r="BH139" s="299">
        <f>IF(AND($F139&lt;=BH$2, OR($G139="",$G139&gt;=BH$2)),
  $H139 * (1 + Assumptions!$C$7) ^ INT(((YEAR(BH$2)-YEAR($F139))*12 + MONTH(BH$2)-MONTH($F139)) / 12),
  0)</f>
        <v/>
      </c>
      <c r="BI139" s="299">
        <f>IF(AND($F139&lt;=BI$2, OR($G139="",$G139&gt;=BI$2)),
  $H139 * (1 + Assumptions!$C$7) ^ INT(((YEAR(BI$2)-YEAR($F139))*12 + MONTH(BI$2)-MONTH($F139)) / 12),
  0)</f>
        <v/>
      </c>
      <c r="BJ139" s="299">
        <f>IF(AND($F139&lt;=BJ$2, OR($G139="",$G139&gt;=BJ$2)),
  $H139 * (1 + Assumptions!$C$7) ^ INT(((YEAR(BJ$2)-YEAR($F139))*12 + MONTH(BJ$2)-MONTH($F139)) / 12),
  0)</f>
        <v/>
      </c>
      <c r="BK139" s="299">
        <f>IF(AND($F139&lt;=BK$2, OR($G139="",$G139&gt;=BK$2)),
  $H139 * (1 + Assumptions!$C$7) ^ INT(((YEAR(BK$2)-YEAR($F139))*12 + MONTH(BK$2)-MONTH($F139)) / 12),
  0)</f>
        <v/>
      </c>
      <c r="BL139" s="299">
        <f>IF(AND($F139&lt;=BL$2, OR($G139="",$G139&gt;=BL$2)),
  $H139 * (1 + Assumptions!$C$7) ^ INT(((YEAR(BL$2)-YEAR($F139))*12 + MONTH(BL$2)-MONTH($F139)) / 12),
  0)</f>
        <v/>
      </c>
      <c r="BM139" s="299">
        <f>IF(AND($F139&lt;=BM$2, OR($G139="",$G139&gt;=BM$2)),
  $H139 * (1 + Assumptions!$C$7) ^ INT(((YEAR(BM$2)-YEAR($F139))*12 + MONTH(BM$2)-MONTH($F139)) / 12),
  0)</f>
        <v/>
      </c>
      <c r="BN139" s="299">
        <f>IF(AND($F139&lt;=BN$2, OR($G139="",$G139&gt;=BN$2)),
  $H139 * (1 + Assumptions!$C$7) ^ INT(((YEAR(BN$2)-YEAR($F139))*12 + MONTH(BN$2)-MONTH($F139)) / 12),
  0)</f>
        <v/>
      </c>
      <c r="BO139" s="299">
        <f>IF(AND($F139&lt;=BO$2, OR($G139="",$G139&gt;=BO$2)),
  $H139 * (1 + Assumptions!$C$7) ^ INT(((YEAR(BO$2)-YEAR($F139))*12 + MONTH(BO$2)-MONTH($F139)) / 12),
  0)</f>
        <v/>
      </c>
      <c r="BP139" s="299">
        <f>IF(AND($F139&lt;=BP$2, OR($G139="",$G139&gt;=BP$2)),
  $H139 * (1 + Assumptions!$C$7) ^ INT(((YEAR(BP$2)-YEAR($F139))*12 + MONTH(BP$2)-MONTH($F139)) / 12),
  0)</f>
        <v/>
      </c>
      <c r="BQ139" s="31" t="n"/>
      <c r="BR139" s="31" t="n"/>
      <c r="BS139" s="31" t="n"/>
      <c r="BT139" s="31" t="n"/>
    </row>
    <row r="140" ht="15.75" customHeight="1" s="349">
      <c r="A140" s="321" t="n">
        <v>135</v>
      </c>
      <c r="B140" s="285" t="inlineStr">
        <is>
          <t>New hire</t>
        </is>
      </c>
      <c r="C140" s="317" t="inlineStr">
        <is>
          <t>G&amp;A</t>
        </is>
      </c>
      <c r="D140" s="317" t="inlineStr">
        <is>
          <t>Production Operator</t>
        </is>
      </c>
      <c r="E140" s="297" t="inlineStr">
        <is>
          <t>Planned</t>
        </is>
      </c>
      <c r="F140" s="318">
        <f>IF(Assumptions!$D$82=2,DATE(2029,7,1),DATE(2035,1,1))</f>
        <v/>
      </c>
      <c r="G140" s="318" t="n"/>
      <c r="H140" s="288" t="n">
        <v>5000</v>
      </c>
      <c r="I140" s="299">
        <f>IF(AND($F140&lt;=I$2, OR($G140="",$G140&gt;=I$2)),
  $H140 * (1 + Assumptions!$C$7) ^ INT(((YEAR(I$2)-YEAR($F140))*12 + MONTH(I$2)-MONTH($F140)) / 12),
  0)</f>
        <v/>
      </c>
      <c r="J140" s="299">
        <f>IF(AND($F140&lt;=J$2, OR($G140="",$G140&gt;=J$2)),
  $H140 * (1 + Assumptions!$C$7) ^ INT(((YEAR(J$2)-YEAR($F140))*12 + MONTH(J$2)-MONTH($F140)) / 12),
  0)</f>
        <v/>
      </c>
      <c r="K140" s="299">
        <f>IF(AND($F140&lt;=K$2, OR($G140="",$G140&gt;=K$2)),
  $H140 * (1 + Assumptions!$C$7) ^ INT(((YEAR(K$2)-YEAR($F140))*12 + MONTH(K$2)-MONTH($F140)) / 12),
  0)</f>
        <v/>
      </c>
      <c r="L140" s="299">
        <f>IF(AND($F140&lt;=L$2, OR($G140="",$G140&gt;=L$2)),
  $H140 * (1 + Assumptions!$C$7) ^ INT(((YEAR(L$2)-YEAR($F140))*12 + MONTH(L$2)-MONTH($F140)) / 12),
  0)</f>
        <v/>
      </c>
      <c r="M140" s="299">
        <f>IF(AND($F140&lt;=M$2, OR($G140="",$G140&gt;=M$2)),
  $H140 * (1 + Assumptions!$C$7) ^ INT(((YEAR(M$2)-YEAR($F140))*12 + MONTH(M$2)-MONTH($F140)) / 12),
  0)</f>
        <v/>
      </c>
      <c r="N140" s="299">
        <f>IF(AND($F140&lt;=N$2, OR($G140="",$G140&gt;=N$2)),
  $H140 * (1 + Assumptions!$C$7) ^ INT(((YEAR(N$2)-YEAR($F140))*12 + MONTH(N$2)-MONTH($F140)) / 12),
  0)</f>
        <v/>
      </c>
      <c r="O140" s="299">
        <f>IF(AND($F140&lt;=O$2, OR($G140="",$G140&gt;=O$2)),
  $H140 * (1 + Assumptions!$C$7) ^ INT(((YEAR(O$2)-YEAR($F140))*12 + MONTH(O$2)-MONTH($F140)) / 12),
  0)</f>
        <v/>
      </c>
      <c r="P140" s="299">
        <f>IF(AND($F140&lt;=P$2, OR($G140="",$G140&gt;=P$2)),
  $H140 * (1 + Assumptions!$C$7) ^ INT(((YEAR(P$2)-YEAR($F140))*12 + MONTH(P$2)-MONTH($F140)) / 12),
  0)</f>
        <v/>
      </c>
      <c r="Q140" s="299">
        <f>IF(AND($F140&lt;=Q$2, OR($G140="",$G140&gt;=Q$2)),
  $H140 * (1 + Assumptions!$C$7) ^ INT(((YEAR(Q$2)-YEAR($F140))*12 + MONTH(Q$2)-MONTH($F140)) / 12),
  0)</f>
        <v/>
      </c>
      <c r="R140" s="299">
        <f>IF(AND($F140&lt;=R$2, OR($G140="",$G140&gt;=R$2)),
  $H140 * (1 + Assumptions!$C$7) ^ INT(((YEAR(R$2)-YEAR($F140))*12 + MONTH(R$2)-MONTH($F140)) / 12),
  0)</f>
        <v/>
      </c>
      <c r="S140" s="299">
        <f>IF(AND($F140&lt;=S$2, OR($G140="",$G140&gt;=S$2)),
  $H140 * (1 + Assumptions!$C$7) ^ INT(((YEAR(S$2)-YEAR($F140))*12 + MONTH(S$2)-MONTH($F140)) / 12),
  0)</f>
        <v/>
      </c>
      <c r="T140" s="299">
        <f>IF(AND($F140&lt;=T$2, OR($G140="",$G140&gt;=T$2)),
  $H140 * (1 + Assumptions!$C$7) ^ INT(((YEAR(T$2)-YEAR($F140))*12 + MONTH(T$2)-MONTH($F140)) / 12),
  0)</f>
        <v/>
      </c>
      <c r="U140" s="299">
        <f>IF(AND($F140&lt;=U$2, OR($G140="",$G140&gt;=U$2)),
  $H140 * (1 + Assumptions!$C$7) ^ INT(((YEAR(U$2)-YEAR($F140))*12 + MONTH(U$2)-MONTH($F140)) / 12),
  0)</f>
        <v/>
      </c>
      <c r="V140" s="299">
        <f>IF(AND($F140&lt;=V$2, OR($G140="",$G140&gt;=V$2)),
  $H140 * (1 + Assumptions!$C$7) ^ INT(((YEAR(V$2)-YEAR($F140))*12 + MONTH(V$2)-MONTH($F140)) / 12),
  0)</f>
        <v/>
      </c>
      <c r="W140" s="299">
        <f>IF(AND($F140&lt;=W$2, OR($G140="",$G140&gt;=W$2)),
  $H140 * (1 + Assumptions!$C$7) ^ INT(((YEAR(W$2)-YEAR($F140))*12 + MONTH(W$2)-MONTH($F140)) / 12),
  0)</f>
        <v/>
      </c>
      <c r="X140" s="299">
        <f>IF(AND($F140&lt;=X$2, OR($G140="",$G140&gt;=X$2)),
  $H140 * (1 + Assumptions!$C$7) ^ INT(((YEAR(X$2)-YEAR($F140))*12 + MONTH(X$2)-MONTH($F140)) / 12),
  0)</f>
        <v/>
      </c>
      <c r="Y140" s="299">
        <f>IF(AND($F140&lt;=Y$2, OR($G140="",$G140&gt;=Y$2)),
  $H140 * (1 + Assumptions!$C$7) ^ INT(((YEAR(Y$2)-YEAR($F140))*12 + MONTH(Y$2)-MONTH($F140)) / 12),
  0)</f>
        <v/>
      </c>
      <c r="Z140" s="299">
        <f>IF(AND($F140&lt;=Z$2, OR($G140="",$G140&gt;=Z$2)),
  $H140 * (1 + Assumptions!$C$7) ^ INT(((YEAR(Z$2)-YEAR($F140))*12 + MONTH(Z$2)-MONTH($F140)) / 12),
  0)</f>
        <v/>
      </c>
      <c r="AA140" s="299">
        <f>IF(AND($F140&lt;=AA$2, OR($G140="",$G140&gt;=AA$2)),
  $H140 * (1 + Assumptions!$C$7) ^ INT(((YEAR(AA$2)-YEAR($F140))*12 + MONTH(AA$2)-MONTH($F140)) / 12),
  0)</f>
        <v/>
      </c>
      <c r="AB140" s="299">
        <f>IF(AND($F140&lt;=AB$2, OR($G140="",$G140&gt;=AB$2)),
  $H140 * (1 + Assumptions!$C$7) ^ INT(((YEAR(AB$2)-YEAR($F140))*12 + MONTH(AB$2)-MONTH($F140)) / 12),
  0)</f>
        <v/>
      </c>
      <c r="AC140" s="299">
        <f>IF(AND($F140&lt;=AC$2, OR($G140="",$G140&gt;=AC$2)),
  $H140 * (1 + Assumptions!$C$7) ^ INT(((YEAR(AC$2)-YEAR($F140))*12 + MONTH(AC$2)-MONTH($F140)) / 12),
  0)</f>
        <v/>
      </c>
      <c r="AD140" s="299">
        <f>IF(AND($F140&lt;=AD$2, OR($G140="",$G140&gt;=AD$2)),
  $H140 * (1 + Assumptions!$C$7) ^ INT(((YEAR(AD$2)-YEAR($F140))*12 + MONTH(AD$2)-MONTH($F140)) / 12),
  0)</f>
        <v/>
      </c>
      <c r="AE140" s="299">
        <f>IF(AND($F140&lt;=AE$2, OR($G140="",$G140&gt;=AE$2)),
  $H140 * (1 + Assumptions!$C$7) ^ INT(((YEAR(AE$2)-YEAR($F140))*12 + MONTH(AE$2)-MONTH($F140)) / 12),
  0)</f>
        <v/>
      </c>
      <c r="AF140" s="299">
        <f>IF(AND($F140&lt;=AF$2, OR($G140="",$G140&gt;=AF$2)),
  $H140 * (1 + Assumptions!$C$7) ^ INT(((YEAR(AF$2)-YEAR($F140))*12 + MONTH(AF$2)-MONTH($F140)) / 12),
  0)</f>
        <v/>
      </c>
      <c r="AG140" s="299">
        <f>IF(AND($F140&lt;=AG$2, OR($G140="",$G140&gt;=AG$2)),
  $H140 * (1 + Assumptions!$C$7) ^ INT(((YEAR(AG$2)-YEAR($F140))*12 + MONTH(AG$2)-MONTH($F140)) / 12),
  0)</f>
        <v/>
      </c>
      <c r="AH140" s="299">
        <f>IF(AND($F140&lt;=AH$2, OR($G140="",$G140&gt;=AH$2)),
  $H140 * (1 + Assumptions!$C$7) ^ INT(((YEAR(AH$2)-YEAR($F140))*12 + MONTH(AH$2)-MONTH($F140)) / 12),
  0)</f>
        <v/>
      </c>
      <c r="AI140" s="299">
        <f>IF(AND($F140&lt;=AI$2, OR($G140="",$G140&gt;=AI$2)),
  $H140 * (1 + Assumptions!$C$7) ^ INT(((YEAR(AI$2)-YEAR($F140))*12 + MONTH(AI$2)-MONTH($F140)) / 12),
  0)</f>
        <v/>
      </c>
      <c r="AJ140" s="299">
        <f>IF(AND($F140&lt;=AJ$2, OR($G140="",$G140&gt;=AJ$2)),
  $H140 * (1 + Assumptions!$C$7) ^ INT(((YEAR(AJ$2)-YEAR($F140))*12 + MONTH(AJ$2)-MONTH($F140)) / 12),
  0)</f>
        <v/>
      </c>
      <c r="AK140" s="299">
        <f>IF(AND($F140&lt;=AK$2, OR($G140="",$G140&gt;=AK$2)),
  $H140 * (1 + Assumptions!$C$7) ^ INT(((YEAR(AK$2)-YEAR($F140))*12 + MONTH(AK$2)-MONTH($F140)) / 12),
  0)</f>
        <v/>
      </c>
      <c r="AL140" s="299">
        <f>IF(AND($F140&lt;=AL$2, OR($G140="",$G140&gt;=AL$2)),
  $H140 * (1 + Assumptions!$C$7) ^ INT(((YEAR(AL$2)-YEAR($F140))*12 + MONTH(AL$2)-MONTH($F140)) / 12),
  0)</f>
        <v/>
      </c>
      <c r="AM140" s="299">
        <f>IF(AND($F140&lt;=AM$2, OR($G140="",$G140&gt;=AM$2)),
  $H140 * (1 + Assumptions!$C$7) ^ INT(((YEAR(AM$2)-YEAR($F140))*12 + MONTH(AM$2)-MONTH($F140)) / 12),
  0)</f>
        <v/>
      </c>
      <c r="AN140" s="299">
        <f>IF(AND($F140&lt;=AN$2, OR($G140="",$G140&gt;=AN$2)),
  $H140 * (1 + Assumptions!$C$7) ^ INT(((YEAR(AN$2)-YEAR($F140))*12 + MONTH(AN$2)-MONTH($F140)) / 12),
  0)</f>
        <v/>
      </c>
      <c r="AO140" s="299">
        <f>IF(AND($F140&lt;=AO$2, OR($G140="",$G140&gt;=AO$2)),
  $H140 * (1 + Assumptions!$C$7) ^ INT(((YEAR(AO$2)-YEAR($F140))*12 + MONTH(AO$2)-MONTH($F140)) / 12),
  0)</f>
        <v/>
      </c>
      <c r="AP140" s="299">
        <f>IF(AND($F140&lt;=AP$2, OR($G140="",$G140&gt;=AP$2)),
  $H140 * (1 + Assumptions!$C$7) ^ INT(((YEAR(AP$2)-YEAR($F140))*12 + MONTH(AP$2)-MONTH($F140)) / 12),
  0)</f>
        <v/>
      </c>
      <c r="AQ140" s="299">
        <f>IF(AND($F140&lt;=AQ$2, OR($G140="",$G140&gt;=AQ$2)),
  $H140 * (1 + Assumptions!$C$7) ^ INT(((YEAR(AQ$2)-YEAR($F140))*12 + MONTH(AQ$2)-MONTH($F140)) / 12),
  0)</f>
        <v/>
      </c>
      <c r="AR140" s="299">
        <f>IF(AND($F140&lt;=AR$2, OR($G140="",$G140&gt;=AR$2)),
  $H140 * (1 + Assumptions!$C$7) ^ INT(((YEAR(AR$2)-YEAR($F140))*12 + MONTH(AR$2)-MONTH($F140)) / 12),
  0)</f>
        <v/>
      </c>
      <c r="AS140" s="299">
        <f>IF(AND($F140&lt;=AS$2, OR($G140="",$G140&gt;=AS$2)),
  $H140 * (1 + Assumptions!$C$7) ^ INT(((YEAR(AS$2)-YEAR($F140))*12 + MONTH(AS$2)-MONTH($F140)) / 12),
  0)</f>
        <v/>
      </c>
      <c r="AT140" s="299">
        <f>IF(AND($F140&lt;=AT$2, OR($G140="",$G140&gt;=AT$2)),
  $H140 * (1 + Assumptions!$C$7) ^ INT(((YEAR(AT$2)-YEAR($F140))*12 + MONTH(AT$2)-MONTH($F140)) / 12),
  0)</f>
        <v/>
      </c>
      <c r="AU140" s="299">
        <f>IF(AND($F140&lt;=AU$2, OR($G140="",$G140&gt;=AU$2)),
  $H140 * (1 + Assumptions!$C$7) ^ INT(((YEAR(AU$2)-YEAR($F140))*12 + MONTH(AU$2)-MONTH($F140)) / 12),
  0)</f>
        <v/>
      </c>
      <c r="AV140" s="299">
        <f>IF(AND($F140&lt;=AV$2, OR($G140="",$G140&gt;=AV$2)),
  $H140 * (1 + Assumptions!$C$7) ^ INT(((YEAR(AV$2)-YEAR($F140))*12 + MONTH(AV$2)-MONTH($F140)) / 12),
  0)</f>
        <v/>
      </c>
      <c r="AW140" s="299">
        <f>IF(AND($F140&lt;=AW$2, OR($G140="",$G140&gt;=AW$2)),
  $H140 * (1 + Assumptions!$C$7) ^ INT(((YEAR(AW$2)-YEAR($F140))*12 + MONTH(AW$2)-MONTH($F140)) / 12),
  0)</f>
        <v/>
      </c>
      <c r="AX140" s="299">
        <f>IF(AND($F140&lt;=AX$2, OR($G140="",$G140&gt;=AX$2)),
  $H140 * (1 + Assumptions!$C$7) ^ INT(((YEAR(AX$2)-YEAR($F140))*12 + MONTH(AX$2)-MONTH($F140)) / 12),
  0)</f>
        <v/>
      </c>
      <c r="AY140" s="299">
        <f>IF(AND($F140&lt;=AY$2, OR($G140="",$G140&gt;=AY$2)),
  $H140 * (1 + Assumptions!$C$7) ^ INT(((YEAR(AY$2)-YEAR($F140))*12 + MONTH(AY$2)-MONTH($F140)) / 12),
  0)</f>
        <v/>
      </c>
      <c r="AZ140" s="299">
        <f>IF(AND($F140&lt;=AZ$2, OR($G140="",$G140&gt;=AZ$2)),
  $H140 * (1 + Assumptions!$C$7) ^ INT(((YEAR(AZ$2)-YEAR($F140))*12 + MONTH(AZ$2)-MONTH($F140)) / 12),
  0)</f>
        <v/>
      </c>
      <c r="BA140" s="299">
        <f>IF(AND($F140&lt;=BA$2, OR($G140="",$G140&gt;=BA$2)),
  $H140 * (1 + Assumptions!$C$7) ^ INT(((YEAR(BA$2)-YEAR($F140))*12 + MONTH(BA$2)-MONTH($F140)) / 12),
  0)</f>
        <v/>
      </c>
      <c r="BB140" s="299">
        <f>IF(AND($F140&lt;=BB$2, OR($G140="",$G140&gt;=BB$2)),
  $H140 * (1 + Assumptions!$C$7) ^ INT(((YEAR(BB$2)-YEAR($F140))*12 + MONTH(BB$2)-MONTH($F140)) / 12),
  0)</f>
        <v/>
      </c>
      <c r="BC140" s="299">
        <f>IF(AND($F140&lt;=BC$2, OR($G140="",$G140&gt;=BC$2)),
  $H140 * (1 + Assumptions!$C$7) ^ INT(((YEAR(BC$2)-YEAR($F140))*12 + MONTH(BC$2)-MONTH($F140)) / 12),
  0)</f>
        <v/>
      </c>
      <c r="BD140" s="299">
        <f>IF(AND($F140&lt;=BD$2, OR($G140="",$G140&gt;=BD$2)),
  $H140 * (1 + Assumptions!$C$7) ^ INT(((YEAR(BD$2)-YEAR($F140))*12 + MONTH(BD$2)-MONTH($F140)) / 12),
  0)</f>
        <v/>
      </c>
      <c r="BE140" s="299">
        <f>IF(AND($F140&lt;=BE$2, OR($G140="",$G140&gt;=BE$2)),
  $H140 * (1 + Assumptions!$C$7) ^ INT(((YEAR(BE$2)-YEAR($F140))*12 + MONTH(BE$2)-MONTH($F140)) / 12),
  0)</f>
        <v/>
      </c>
      <c r="BF140" s="299">
        <f>IF(AND($F140&lt;=BF$2, OR($G140="",$G140&gt;=BF$2)),
  $H140 * (1 + Assumptions!$C$7) ^ INT(((YEAR(BF$2)-YEAR($F140))*12 + MONTH(BF$2)-MONTH($F140)) / 12),
  0)</f>
        <v/>
      </c>
      <c r="BG140" s="299">
        <f>IF(AND($F140&lt;=BG$2, OR($G140="",$G140&gt;=BG$2)),
  $H140 * (1 + Assumptions!$C$7) ^ INT(((YEAR(BG$2)-YEAR($F140))*12 + MONTH(BG$2)-MONTH($F140)) / 12),
  0)</f>
        <v/>
      </c>
      <c r="BH140" s="299">
        <f>IF(AND($F140&lt;=BH$2, OR($G140="",$G140&gt;=BH$2)),
  $H140 * (1 + Assumptions!$C$7) ^ INT(((YEAR(BH$2)-YEAR($F140))*12 + MONTH(BH$2)-MONTH($F140)) / 12),
  0)</f>
        <v/>
      </c>
      <c r="BI140" s="299">
        <f>IF(AND($F140&lt;=BI$2, OR($G140="",$G140&gt;=BI$2)),
  $H140 * (1 + Assumptions!$C$7) ^ INT(((YEAR(BI$2)-YEAR($F140))*12 + MONTH(BI$2)-MONTH($F140)) / 12),
  0)</f>
        <v/>
      </c>
      <c r="BJ140" s="299">
        <f>IF(AND($F140&lt;=BJ$2, OR($G140="",$G140&gt;=BJ$2)),
  $H140 * (1 + Assumptions!$C$7) ^ INT(((YEAR(BJ$2)-YEAR($F140))*12 + MONTH(BJ$2)-MONTH($F140)) / 12),
  0)</f>
        <v/>
      </c>
      <c r="BK140" s="299">
        <f>IF(AND($F140&lt;=BK$2, OR($G140="",$G140&gt;=BK$2)),
  $H140 * (1 + Assumptions!$C$7) ^ INT(((YEAR(BK$2)-YEAR($F140))*12 + MONTH(BK$2)-MONTH($F140)) / 12),
  0)</f>
        <v/>
      </c>
      <c r="BL140" s="299">
        <f>IF(AND($F140&lt;=BL$2, OR($G140="",$G140&gt;=BL$2)),
  $H140 * (1 + Assumptions!$C$7) ^ INT(((YEAR(BL$2)-YEAR($F140))*12 + MONTH(BL$2)-MONTH($F140)) / 12),
  0)</f>
        <v/>
      </c>
      <c r="BM140" s="299">
        <f>IF(AND($F140&lt;=BM$2, OR($G140="",$G140&gt;=BM$2)),
  $H140 * (1 + Assumptions!$C$7) ^ INT(((YEAR(BM$2)-YEAR($F140))*12 + MONTH(BM$2)-MONTH($F140)) / 12),
  0)</f>
        <v/>
      </c>
      <c r="BN140" s="299">
        <f>IF(AND($F140&lt;=BN$2, OR($G140="",$G140&gt;=BN$2)),
  $H140 * (1 + Assumptions!$C$7) ^ INT(((YEAR(BN$2)-YEAR($F140))*12 + MONTH(BN$2)-MONTH($F140)) / 12),
  0)</f>
        <v/>
      </c>
      <c r="BO140" s="299">
        <f>IF(AND($F140&lt;=BO$2, OR($G140="",$G140&gt;=BO$2)),
  $H140 * (1 + Assumptions!$C$7) ^ INT(((YEAR(BO$2)-YEAR($F140))*12 + MONTH(BO$2)-MONTH($F140)) / 12),
  0)</f>
        <v/>
      </c>
      <c r="BP140" s="299">
        <f>IF(AND($F140&lt;=BP$2, OR($G140="",$G140&gt;=BP$2)),
  $H140 * (1 + Assumptions!$C$7) ^ INT(((YEAR(BP$2)-YEAR($F140))*12 + MONTH(BP$2)-MONTH($F140)) / 12),
  0)</f>
        <v/>
      </c>
      <c r="BQ140" s="31" t="n"/>
      <c r="BR140" s="31" t="n"/>
      <c r="BS140" s="31" t="n"/>
      <c r="BT140" s="31" t="n"/>
    </row>
    <row r="141" ht="15.75" customHeight="1" s="349">
      <c r="A141" s="321" t="n">
        <v>136</v>
      </c>
      <c r="B141" s="285" t="inlineStr">
        <is>
          <t>New hire</t>
        </is>
      </c>
      <c r="C141" s="317" t="inlineStr">
        <is>
          <t>G&amp;A</t>
        </is>
      </c>
      <c r="D141" s="317" t="inlineStr">
        <is>
          <t>Production Operator</t>
        </is>
      </c>
      <c r="E141" s="297" t="inlineStr">
        <is>
          <t>Planned</t>
        </is>
      </c>
      <c r="F141" s="318">
        <f>IF(Assumptions!$D$82=2,DATE(2029,7,1),DATE(2035,1,1))</f>
        <v/>
      </c>
      <c r="G141" s="318" t="n"/>
      <c r="H141" s="288" t="n">
        <v>5000</v>
      </c>
      <c r="I141" s="299">
        <f>IF(AND($F141&lt;=I$2, OR($G141="",$G141&gt;=I$2)),
  $H141 * (1 + Assumptions!$C$7) ^ INT(((YEAR(I$2)-YEAR($F141))*12 + MONTH(I$2)-MONTH($F141)) / 12),
  0)</f>
        <v/>
      </c>
      <c r="J141" s="299">
        <f>IF(AND($F141&lt;=J$2, OR($G141="",$G141&gt;=J$2)),
  $H141 * (1 + Assumptions!$C$7) ^ INT(((YEAR(J$2)-YEAR($F141))*12 + MONTH(J$2)-MONTH($F141)) / 12),
  0)</f>
        <v/>
      </c>
      <c r="K141" s="299">
        <f>IF(AND($F141&lt;=K$2, OR($G141="",$G141&gt;=K$2)),
  $H141 * (1 + Assumptions!$C$7) ^ INT(((YEAR(K$2)-YEAR($F141))*12 + MONTH(K$2)-MONTH($F141)) / 12),
  0)</f>
        <v/>
      </c>
      <c r="L141" s="299">
        <f>IF(AND($F141&lt;=L$2, OR($G141="",$G141&gt;=L$2)),
  $H141 * (1 + Assumptions!$C$7) ^ INT(((YEAR(L$2)-YEAR($F141))*12 + MONTH(L$2)-MONTH($F141)) / 12),
  0)</f>
        <v/>
      </c>
      <c r="M141" s="299">
        <f>IF(AND($F141&lt;=M$2, OR($G141="",$G141&gt;=M$2)),
  $H141 * (1 + Assumptions!$C$7) ^ INT(((YEAR(M$2)-YEAR($F141))*12 + MONTH(M$2)-MONTH($F141)) / 12),
  0)</f>
        <v/>
      </c>
      <c r="N141" s="299">
        <f>IF(AND($F141&lt;=N$2, OR($G141="",$G141&gt;=N$2)),
  $H141 * (1 + Assumptions!$C$7) ^ INT(((YEAR(N$2)-YEAR($F141))*12 + MONTH(N$2)-MONTH($F141)) / 12),
  0)</f>
        <v/>
      </c>
      <c r="O141" s="299">
        <f>IF(AND($F141&lt;=O$2, OR($G141="",$G141&gt;=O$2)),
  $H141 * (1 + Assumptions!$C$7) ^ INT(((YEAR(O$2)-YEAR($F141))*12 + MONTH(O$2)-MONTH($F141)) / 12),
  0)</f>
        <v/>
      </c>
      <c r="P141" s="299">
        <f>IF(AND($F141&lt;=P$2, OR($G141="",$G141&gt;=P$2)),
  $H141 * (1 + Assumptions!$C$7) ^ INT(((YEAR(P$2)-YEAR($F141))*12 + MONTH(P$2)-MONTH($F141)) / 12),
  0)</f>
        <v/>
      </c>
      <c r="Q141" s="299">
        <f>IF(AND($F141&lt;=Q$2, OR($G141="",$G141&gt;=Q$2)),
  $H141 * (1 + Assumptions!$C$7) ^ INT(((YEAR(Q$2)-YEAR($F141))*12 + MONTH(Q$2)-MONTH($F141)) / 12),
  0)</f>
        <v/>
      </c>
      <c r="R141" s="299">
        <f>IF(AND($F141&lt;=R$2, OR($G141="",$G141&gt;=R$2)),
  $H141 * (1 + Assumptions!$C$7) ^ INT(((YEAR(R$2)-YEAR($F141))*12 + MONTH(R$2)-MONTH($F141)) / 12),
  0)</f>
        <v/>
      </c>
      <c r="S141" s="299">
        <f>IF(AND($F141&lt;=S$2, OR($G141="",$G141&gt;=S$2)),
  $H141 * (1 + Assumptions!$C$7) ^ INT(((YEAR(S$2)-YEAR($F141))*12 + MONTH(S$2)-MONTH($F141)) / 12),
  0)</f>
        <v/>
      </c>
      <c r="T141" s="299">
        <f>IF(AND($F141&lt;=T$2, OR($G141="",$G141&gt;=T$2)),
  $H141 * (1 + Assumptions!$C$7) ^ INT(((YEAR(T$2)-YEAR($F141))*12 + MONTH(T$2)-MONTH($F141)) / 12),
  0)</f>
        <v/>
      </c>
      <c r="U141" s="299">
        <f>IF(AND($F141&lt;=U$2, OR($G141="",$G141&gt;=U$2)),
  $H141 * (1 + Assumptions!$C$7) ^ INT(((YEAR(U$2)-YEAR($F141))*12 + MONTH(U$2)-MONTH($F141)) / 12),
  0)</f>
        <v/>
      </c>
      <c r="V141" s="299">
        <f>IF(AND($F141&lt;=V$2, OR($G141="",$G141&gt;=V$2)),
  $H141 * (1 + Assumptions!$C$7) ^ INT(((YEAR(V$2)-YEAR($F141))*12 + MONTH(V$2)-MONTH($F141)) / 12),
  0)</f>
        <v/>
      </c>
      <c r="W141" s="299">
        <f>IF(AND($F141&lt;=W$2, OR($G141="",$G141&gt;=W$2)),
  $H141 * (1 + Assumptions!$C$7) ^ INT(((YEAR(W$2)-YEAR($F141))*12 + MONTH(W$2)-MONTH($F141)) / 12),
  0)</f>
        <v/>
      </c>
      <c r="X141" s="299">
        <f>IF(AND($F141&lt;=X$2, OR($G141="",$G141&gt;=X$2)),
  $H141 * (1 + Assumptions!$C$7) ^ INT(((YEAR(X$2)-YEAR($F141))*12 + MONTH(X$2)-MONTH($F141)) / 12),
  0)</f>
        <v/>
      </c>
      <c r="Y141" s="299">
        <f>IF(AND($F141&lt;=Y$2, OR($G141="",$G141&gt;=Y$2)),
  $H141 * (1 + Assumptions!$C$7) ^ INT(((YEAR(Y$2)-YEAR($F141))*12 + MONTH(Y$2)-MONTH($F141)) / 12),
  0)</f>
        <v/>
      </c>
      <c r="Z141" s="299">
        <f>IF(AND($F141&lt;=Z$2, OR($G141="",$G141&gt;=Z$2)),
  $H141 * (1 + Assumptions!$C$7) ^ INT(((YEAR(Z$2)-YEAR($F141))*12 + MONTH(Z$2)-MONTH($F141)) / 12),
  0)</f>
        <v/>
      </c>
      <c r="AA141" s="299">
        <f>IF(AND($F141&lt;=AA$2, OR($G141="",$G141&gt;=AA$2)),
  $H141 * (1 + Assumptions!$C$7) ^ INT(((YEAR(AA$2)-YEAR($F141))*12 + MONTH(AA$2)-MONTH($F141)) / 12),
  0)</f>
        <v/>
      </c>
      <c r="AB141" s="299">
        <f>IF(AND($F141&lt;=AB$2, OR($G141="",$G141&gt;=AB$2)),
  $H141 * (1 + Assumptions!$C$7) ^ INT(((YEAR(AB$2)-YEAR($F141))*12 + MONTH(AB$2)-MONTH($F141)) / 12),
  0)</f>
        <v/>
      </c>
      <c r="AC141" s="299">
        <f>IF(AND($F141&lt;=AC$2, OR($G141="",$G141&gt;=AC$2)),
  $H141 * (1 + Assumptions!$C$7) ^ INT(((YEAR(AC$2)-YEAR($F141))*12 + MONTH(AC$2)-MONTH($F141)) / 12),
  0)</f>
        <v/>
      </c>
      <c r="AD141" s="299">
        <f>IF(AND($F141&lt;=AD$2, OR($G141="",$G141&gt;=AD$2)),
  $H141 * (1 + Assumptions!$C$7) ^ INT(((YEAR(AD$2)-YEAR($F141))*12 + MONTH(AD$2)-MONTH($F141)) / 12),
  0)</f>
        <v/>
      </c>
      <c r="AE141" s="299">
        <f>IF(AND($F141&lt;=AE$2, OR($G141="",$G141&gt;=AE$2)),
  $H141 * (1 + Assumptions!$C$7) ^ INT(((YEAR(AE$2)-YEAR($F141))*12 + MONTH(AE$2)-MONTH($F141)) / 12),
  0)</f>
        <v/>
      </c>
      <c r="AF141" s="299">
        <f>IF(AND($F141&lt;=AF$2, OR($G141="",$G141&gt;=AF$2)),
  $H141 * (1 + Assumptions!$C$7) ^ INT(((YEAR(AF$2)-YEAR($F141))*12 + MONTH(AF$2)-MONTH($F141)) / 12),
  0)</f>
        <v/>
      </c>
      <c r="AG141" s="299">
        <f>IF(AND($F141&lt;=AG$2, OR($G141="",$G141&gt;=AG$2)),
  $H141 * (1 + Assumptions!$C$7) ^ INT(((YEAR(AG$2)-YEAR($F141))*12 + MONTH(AG$2)-MONTH($F141)) / 12),
  0)</f>
        <v/>
      </c>
      <c r="AH141" s="299">
        <f>IF(AND($F141&lt;=AH$2, OR($G141="",$G141&gt;=AH$2)),
  $H141 * (1 + Assumptions!$C$7) ^ INT(((YEAR(AH$2)-YEAR($F141))*12 + MONTH(AH$2)-MONTH($F141)) / 12),
  0)</f>
        <v/>
      </c>
      <c r="AI141" s="299">
        <f>IF(AND($F141&lt;=AI$2, OR($G141="",$G141&gt;=AI$2)),
  $H141 * (1 + Assumptions!$C$7) ^ INT(((YEAR(AI$2)-YEAR($F141))*12 + MONTH(AI$2)-MONTH($F141)) / 12),
  0)</f>
        <v/>
      </c>
      <c r="AJ141" s="299">
        <f>IF(AND($F141&lt;=AJ$2, OR($G141="",$G141&gt;=AJ$2)),
  $H141 * (1 + Assumptions!$C$7) ^ INT(((YEAR(AJ$2)-YEAR($F141))*12 + MONTH(AJ$2)-MONTH($F141)) / 12),
  0)</f>
        <v/>
      </c>
      <c r="AK141" s="299">
        <f>IF(AND($F141&lt;=AK$2, OR($G141="",$G141&gt;=AK$2)),
  $H141 * (1 + Assumptions!$C$7) ^ INT(((YEAR(AK$2)-YEAR($F141))*12 + MONTH(AK$2)-MONTH($F141)) / 12),
  0)</f>
        <v/>
      </c>
      <c r="AL141" s="299">
        <f>IF(AND($F141&lt;=AL$2, OR($G141="",$G141&gt;=AL$2)),
  $H141 * (1 + Assumptions!$C$7) ^ INT(((YEAR(AL$2)-YEAR($F141))*12 + MONTH(AL$2)-MONTH($F141)) / 12),
  0)</f>
        <v/>
      </c>
      <c r="AM141" s="299">
        <f>IF(AND($F141&lt;=AM$2, OR($G141="",$G141&gt;=AM$2)),
  $H141 * (1 + Assumptions!$C$7) ^ INT(((YEAR(AM$2)-YEAR($F141))*12 + MONTH(AM$2)-MONTH($F141)) / 12),
  0)</f>
        <v/>
      </c>
      <c r="AN141" s="299">
        <f>IF(AND($F141&lt;=AN$2, OR($G141="",$G141&gt;=AN$2)),
  $H141 * (1 + Assumptions!$C$7) ^ INT(((YEAR(AN$2)-YEAR($F141))*12 + MONTH(AN$2)-MONTH($F141)) / 12),
  0)</f>
        <v/>
      </c>
      <c r="AO141" s="299">
        <f>IF(AND($F141&lt;=AO$2, OR($G141="",$G141&gt;=AO$2)),
  $H141 * (1 + Assumptions!$C$7) ^ INT(((YEAR(AO$2)-YEAR($F141))*12 + MONTH(AO$2)-MONTH($F141)) / 12),
  0)</f>
        <v/>
      </c>
      <c r="AP141" s="299">
        <f>IF(AND($F141&lt;=AP$2, OR($G141="",$G141&gt;=AP$2)),
  $H141 * (1 + Assumptions!$C$7) ^ INT(((YEAR(AP$2)-YEAR($F141))*12 + MONTH(AP$2)-MONTH($F141)) / 12),
  0)</f>
        <v/>
      </c>
      <c r="AQ141" s="299">
        <f>IF(AND($F141&lt;=AQ$2, OR($G141="",$G141&gt;=AQ$2)),
  $H141 * (1 + Assumptions!$C$7) ^ INT(((YEAR(AQ$2)-YEAR($F141))*12 + MONTH(AQ$2)-MONTH($F141)) / 12),
  0)</f>
        <v/>
      </c>
      <c r="AR141" s="299">
        <f>IF(AND($F141&lt;=AR$2, OR($G141="",$G141&gt;=AR$2)),
  $H141 * (1 + Assumptions!$C$7) ^ INT(((YEAR(AR$2)-YEAR($F141))*12 + MONTH(AR$2)-MONTH($F141)) / 12),
  0)</f>
        <v/>
      </c>
      <c r="AS141" s="299">
        <f>IF(AND($F141&lt;=AS$2, OR($G141="",$G141&gt;=AS$2)),
  $H141 * (1 + Assumptions!$C$7) ^ INT(((YEAR(AS$2)-YEAR($F141))*12 + MONTH(AS$2)-MONTH($F141)) / 12),
  0)</f>
        <v/>
      </c>
      <c r="AT141" s="299">
        <f>IF(AND($F141&lt;=AT$2, OR($G141="",$G141&gt;=AT$2)),
  $H141 * (1 + Assumptions!$C$7) ^ INT(((YEAR(AT$2)-YEAR($F141))*12 + MONTH(AT$2)-MONTH($F141)) / 12),
  0)</f>
        <v/>
      </c>
      <c r="AU141" s="299">
        <f>IF(AND($F141&lt;=AU$2, OR($G141="",$G141&gt;=AU$2)),
  $H141 * (1 + Assumptions!$C$7) ^ INT(((YEAR(AU$2)-YEAR($F141))*12 + MONTH(AU$2)-MONTH($F141)) / 12),
  0)</f>
        <v/>
      </c>
      <c r="AV141" s="299">
        <f>IF(AND($F141&lt;=AV$2, OR($G141="",$G141&gt;=AV$2)),
  $H141 * (1 + Assumptions!$C$7) ^ INT(((YEAR(AV$2)-YEAR($F141))*12 + MONTH(AV$2)-MONTH($F141)) / 12),
  0)</f>
        <v/>
      </c>
      <c r="AW141" s="299">
        <f>IF(AND($F141&lt;=AW$2, OR($G141="",$G141&gt;=AW$2)),
  $H141 * (1 + Assumptions!$C$7) ^ INT(((YEAR(AW$2)-YEAR($F141))*12 + MONTH(AW$2)-MONTH($F141)) / 12),
  0)</f>
        <v/>
      </c>
      <c r="AX141" s="299">
        <f>IF(AND($F141&lt;=AX$2, OR($G141="",$G141&gt;=AX$2)),
  $H141 * (1 + Assumptions!$C$7) ^ INT(((YEAR(AX$2)-YEAR($F141))*12 + MONTH(AX$2)-MONTH($F141)) / 12),
  0)</f>
        <v/>
      </c>
      <c r="AY141" s="299">
        <f>IF(AND($F141&lt;=AY$2, OR($G141="",$G141&gt;=AY$2)),
  $H141 * (1 + Assumptions!$C$7) ^ INT(((YEAR(AY$2)-YEAR($F141))*12 + MONTH(AY$2)-MONTH($F141)) / 12),
  0)</f>
        <v/>
      </c>
      <c r="AZ141" s="299">
        <f>IF(AND($F141&lt;=AZ$2, OR($G141="",$G141&gt;=AZ$2)),
  $H141 * (1 + Assumptions!$C$7) ^ INT(((YEAR(AZ$2)-YEAR($F141))*12 + MONTH(AZ$2)-MONTH($F141)) / 12),
  0)</f>
        <v/>
      </c>
      <c r="BA141" s="299">
        <f>IF(AND($F141&lt;=BA$2, OR($G141="",$G141&gt;=BA$2)),
  $H141 * (1 + Assumptions!$C$7) ^ INT(((YEAR(BA$2)-YEAR($F141))*12 + MONTH(BA$2)-MONTH($F141)) / 12),
  0)</f>
        <v/>
      </c>
      <c r="BB141" s="299">
        <f>IF(AND($F141&lt;=BB$2, OR($G141="",$G141&gt;=BB$2)),
  $H141 * (1 + Assumptions!$C$7) ^ INT(((YEAR(BB$2)-YEAR($F141))*12 + MONTH(BB$2)-MONTH($F141)) / 12),
  0)</f>
        <v/>
      </c>
      <c r="BC141" s="299">
        <f>IF(AND($F141&lt;=BC$2, OR($G141="",$G141&gt;=BC$2)),
  $H141 * (1 + Assumptions!$C$7) ^ INT(((YEAR(BC$2)-YEAR($F141))*12 + MONTH(BC$2)-MONTH($F141)) / 12),
  0)</f>
        <v/>
      </c>
      <c r="BD141" s="299">
        <f>IF(AND($F141&lt;=BD$2, OR($G141="",$G141&gt;=BD$2)),
  $H141 * (1 + Assumptions!$C$7) ^ INT(((YEAR(BD$2)-YEAR($F141))*12 + MONTH(BD$2)-MONTH($F141)) / 12),
  0)</f>
        <v/>
      </c>
      <c r="BE141" s="299">
        <f>IF(AND($F141&lt;=BE$2, OR($G141="",$G141&gt;=BE$2)),
  $H141 * (1 + Assumptions!$C$7) ^ INT(((YEAR(BE$2)-YEAR($F141))*12 + MONTH(BE$2)-MONTH($F141)) / 12),
  0)</f>
        <v/>
      </c>
      <c r="BF141" s="299">
        <f>IF(AND($F141&lt;=BF$2, OR($G141="",$G141&gt;=BF$2)),
  $H141 * (1 + Assumptions!$C$7) ^ INT(((YEAR(BF$2)-YEAR($F141))*12 + MONTH(BF$2)-MONTH($F141)) / 12),
  0)</f>
        <v/>
      </c>
      <c r="BG141" s="299">
        <f>IF(AND($F141&lt;=BG$2, OR($G141="",$G141&gt;=BG$2)),
  $H141 * (1 + Assumptions!$C$7) ^ INT(((YEAR(BG$2)-YEAR($F141))*12 + MONTH(BG$2)-MONTH($F141)) / 12),
  0)</f>
        <v/>
      </c>
      <c r="BH141" s="299">
        <f>IF(AND($F141&lt;=BH$2, OR($G141="",$G141&gt;=BH$2)),
  $H141 * (1 + Assumptions!$C$7) ^ INT(((YEAR(BH$2)-YEAR($F141))*12 + MONTH(BH$2)-MONTH($F141)) / 12),
  0)</f>
        <v/>
      </c>
      <c r="BI141" s="299">
        <f>IF(AND($F141&lt;=BI$2, OR($G141="",$G141&gt;=BI$2)),
  $H141 * (1 + Assumptions!$C$7) ^ INT(((YEAR(BI$2)-YEAR($F141))*12 + MONTH(BI$2)-MONTH($F141)) / 12),
  0)</f>
        <v/>
      </c>
      <c r="BJ141" s="299">
        <f>IF(AND($F141&lt;=BJ$2, OR($G141="",$G141&gt;=BJ$2)),
  $H141 * (1 + Assumptions!$C$7) ^ INT(((YEAR(BJ$2)-YEAR($F141))*12 + MONTH(BJ$2)-MONTH($F141)) / 12),
  0)</f>
        <v/>
      </c>
      <c r="BK141" s="299">
        <f>IF(AND($F141&lt;=BK$2, OR($G141="",$G141&gt;=BK$2)),
  $H141 * (1 + Assumptions!$C$7) ^ INT(((YEAR(BK$2)-YEAR($F141))*12 + MONTH(BK$2)-MONTH($F141)) / 12),
  0)</f>
        <v/>
      </c>
      <c r="BL141" s="299">
        <f>IF(AND($F141&lt;=BL$2, OR($G141="",$G141&gt;=BL$2)),
  $H141 * (1 + Assumptions!$C$7) ^ INT(((YEAR(BL$2)-YEAR($F141))*12 + MONTH(BL$2)-MONTH($F141)) / 12),
  0)</f>
        <v/>
      </c>
      <c r="BM141" s="299">
        <f>IF(AND($F141&lt;=BM$2, OR($G141="",$G141&gt;=BM$2)),
  $H141 * (1 + Assumptions!$C$7) ^ INT(((YEAR(BM$2)-YEAR($F141))*12 + MONTH(BM$2)-MONTH($F141)) / 12),
  0)</f>
        <v/>
      </c>
      <c r="BN141" s="299">
        <f>IF(AND($F141&lt;=BN$2, OR($G141="",$G141&gt;=BN$2)),
  $H141 * (1 + Assumptions!$C$7) ^ INT(((YEAR(BN$2)-YEAR($F141))*12 + MONTH(BN$2)-MONTH($F141)) / 12),
  0)</f>
        <v/>
      </c>
      <c r="BO141" s="299">
        <f>IF(AND($F141&lt;=BO$2, OR($G141="",$G141&gt;=BO$2)),
  $H141 * (1 + Assumptions!$C$7) ^ INT(((YEAR(BO$2)-YEAR($F141))*12 + MONTH(BO$2)-MONTH($F141)) / 12),
  0)</f>
        <v/>
      </c>
      <c r="BP141" s="299">
        <f>IF(AND($F141&lt;=BP$2, OR($G141="",$G141&gt;=BP$2)),
  $H141 * (1 + Assumptions!$C$7) ^ INT(((YEAR(BP$2)-YEAR($F141))*12 + MONTH(BP$2)-MONTH($F141)) / 12),
  0)</f>
        <v/>
      </c>
      <c r="BQ141" s="31" t="n"/>
      <c r="BR141" s="31" t="n"/>
      <c r="BS141" s="31" t="n"/>
      <c r="BT141" s="31" t="n"/>
    </row>
    <row r="142" ht="15.75" customHeight="1" s="349">
      <c r="A142" s="321" t="n">
        <v>137</v>
      </c>
      <c r="B142" s="285" t="inlineStr">
        <is>
          <t>New hire</t>
        </is>
      </c>
      <c r="C142" s="317" t="inlineStr">
        <is>
          <t>G&amp;A</t>
        </is>
      </c>
      <c r="D142" s="317" t="inlineStr">
        <is>
          <t>Production Operator</t>
        </is>
      </c>
      <c r="E142" s="297" t="inlineStr">
        <is>
          <t>Planned</t>
        </is>
      </c>
      <c r="F142" s="318">
        <f>IF(Assumptions!$D$82=2,DATE(2029,7,1),DATE(2035,1,1))</f>
        <v/>
      </c>
      <c r="G142" s="318" t="n"/>
      <c r="H142" s="288" t="n">
        <v>5000</v>
      </c>
      <c r="I142" s="299">
        <f>IF(AND($F142&lt;=I$2, OR($G142="",$G142&gt;=I$2)),
  $H142 * (1 + Assumptions!$C$7) ^ INT(((YEAR(I$2)-YEAR($F142))*12 + MONTH(I$2)-MONTH($F142)) / 12),
  0)</f>
        <v/>
      </c>
      <c r="J142" s="299">
        <f>IF(AND($F142&lt;=J$2, OR($G142="",$G142&gt;=J$2)),
  $H142 * (1 + Assumptions!$C$7) ^ INT(((YEAR(J$2)-YEAR($F142))*12 + MONTH(J$2)-MONTH($F142)) / 12),
  0)</f>
        <v/>
      </c>
      <c r="K142" s="299">
        <f>IF(AND($F142&lt;=K$2, OR($G142="",$G142&gt;=K$2)),
  $H142 * (1 + Assumptions!$C$7) ^ INT(((YEAR(K$2)-YEAR($F142))*12 + MONTH(K$2)-MONTH($F142)) / 12),
  0)</f>
        <v/>
      </c>
      <c r="L142" s="299">
        <f>IF(AND($F142&lt;=L$2, OR($G142="",$G142&gt;=L$2)),
  $H142 * (1 + Assumptions!$C$7) ^ INT(((YEAR(L$2)-YEAR($F142))*12 + MONTH(L$2)-MONTH($F142)) / 12),
  0)</f>
        <v/>
      </c>
      <c r="M142" s="299">
        <f>IF(AND($F142&lt;=M$2, OR($G142="",$G142&gt;=M$2)),
  $H142 * (1 + Assumptions!$C$7) ^ INT(((YEAR(M$2)-YEAR($F142))*12 + MONTH(M$2)-MONTH($F142)) / 12),
  0)</f>
        <v/>
      </c>
      <c r="N142" s="299">
        <f>IF(AND($F142&lt;=N$2, OR($G142="",$G142&gt;=N$2)),
  $H142 * (1 + Assumptions!$C$7) ^ INT(((YEAR(N$2)-YEAR($F142))*12 + MONTH(N$2)-MONTH($F142)) / 12),
  0)</f>
        <v/>
      </c>
      <c r="O142" s="299">
        <f>IF(AND($F142&lt;=O$2, OR($G142="",$G142&gt;=O$2)),
  $H142 * (1 + Assumptions!$C$7) ^ INT(((YEAR(O$2)-YEAR($F142))*12 + MONTH(O$2)-MONTH($F142)) / 12),
  0)</f>
        <v/>
      </c>
      <c r="P142" s="299">
        <f>IF(AND($F142&lt;=P$2, OR($G142="",$G142&gt;=P$2)),
  $H142 * (1 + Assumptions!$C$7) ^ INT(((YEAR(P$2)-YEAR($F142))*12 + MONTH(P$2)-MONTH($F142)) / 12),
  0)</f>
        <v/>
      </c>
      <c r="Q142" s="299">
        <f>IF(AND($F142&lt;=Q$2, OR($G142="",$G142&gt;=Q$2)),
  $H142 * (1 + Assumptions!$C$7) ^ INT(((YEAR(Q$2)-YEAR($F142))*12 + MONTH(Q$2)-MONTH($F142)) / 12),
  0)</f>
        <v/>
      </c>
      <c r="R142" s="299">
        <f>IF(AND($F142&lt;=R$2, OR($G142="",$G142&gt;=R$2)),
  $H142 * (1 + Assumptions!$C$7) ^ INT(((YEAR(R$2)-YEAR($F142))*12 + MONTH(R$2)-MONTH($F142)) / 12),
  0)</f>
        <v/>
      </c>
      <c r="S142" s="299">
        <f>IF(AND($F142&lt;=S$2, OR($G142="",$G142&gt;=S$2)),
  $H142 * (1 + Assumptions!$C$7) ^ INT(((YEAR(S$2)-YEAR($F142))*12 + MONTH(S$2)-MONTH($F142)) / 12),
  0)</f>
        <v/>
      </c>
      <c r="T142" s="299">
        <f>IF(AND($F142&lt;=T$2, OR($G142="",$G142&gt;=T$2)),
  $H142 * (1 + Assumptions!$C$7) ^ INT(((YEAR(T$2)-YEAR($F142))*12 + MONTH(T$2)-MONTH($F142)) / 12),
  0)</f>
        <v/>
      </c>
      <c r="U142" s="299">
        <f>IF(AND($F142&lt;=U$2, OR($G142="",$G142&gt;=U$2)),
  $H142 * (1 + Assumptions!$C$7) ^ INT(((YEAR(U$2)-YEAR($F142))*12 + MONTH(U$2)-MONTH($F142)) / 12),
  0)</f>
        <v/>
      </c>
      <c r="V142" s="299">
        <f>IF(AND($F142&lt;=V$2, OR($G142="",$G142&gt;=V$2)),
  $H142 * (1 + Assumptions!$C$7) ^ INT(((YEAR(V$2)-YEAR($F142))*12 + MONTH(V$2)-MONTH($F142)) / 12),
  0)</f>
        <v/>
      </c>
      <c r="W142" s="299">
        <f>IF(AND($F142&lt;=W$2, OR($G142="",$G142&gt;=W$2)),
  $H142 * (1 + Assumptions!$C$7) ^ INT(((YEAR(W$2)-YEAR($F142))*12 + MONTH(W$2)-MONTH($F142)) / 12),
  0)</f>
        <v/>
      </c>
      <c r="X142" s="299">
        <f>IF(AND($F142&lt;=X$2, OR($G142="",$G142&gt;=X$2)),
  $H142 * (1 + Assumptions!$C$7) ^ INT(((YEAR(X$2)-YEAR($F142))*12 + MONTH(X$2)-MONTH($F142)) / 12),
  0)</f>
        <v/>
      </c>
      <c r="Y142" s="299">
        <f>IF(AND($F142&lt;=Y$2, OR($G142="",$G142&gt;=Y$2)),
  $H142 * (1 + Assumptions!$C$7) ^ INT(((YEAR(Y$2)-YEAR($F142))*12 + MONTH(Y$2)-MONTH($F142)) / 12),
  0)</f>
        <v/>
      </c>
      <c r="Z142" s="299">
        <f>IF(AND($F142&lt;=Z$2, OR($G142="",$G142&gt;=Z$2)),
  $H142 * (1 + Assumptions!$C$7) ^ INT(((YEAR(Z$2)-YEAR($F142))*12 + MONTH(Z$2)-MONTH($F142)) / 12),
  0)</f>
        <v/>
      </c>
      <c r="AA142" s="299">
        <f>IF(AND($F142&lt;=AA$2, OR($G142="",$G142&gt;=AA$2)),
  $H142 * (1 + Assumptions!$C$7) ^ INT(((YEAR(AA$2)-YEAR($F142))*12 + MONTH(AA$2)-MONTH($F142)) / 12),
  0)</f>
        <v/>
      </c>
      <c r="AB142" s="299">
        <f>IF(AND($F142&lt;=AB$2, OR($G142="",$G142&gt;=AB$2)),
  $H142 * (1 + Assumptions!$C$7) ^ INT(((YEAR(AB$2)-YEAR($F142))*12 + MONTH(AB$2)-MONTH($F142)) / 12),
  0)</f>
        <v/>
      </c>
      <c r="AC142" s="299">
        <f>IF(AND($F142&lt;=AC$2, OR($G142="",$G142&gt;=AC$2)),
  $H142 * (1 + Assumptions!$C$7) ^ INT(((YEAR(AC$2)-YEAR($F142))*12 + MONTH(AC$2)-MONTH($F142)) / 12),
  0)</f>
        <v/>
      </c>
      <c r="AD142" s="299">
        <f>IF(AND($F142&lt;=AD$2, OR($G142="",$G142&gt;=AD$2)),
  $H142 * (1 + Assumptions!$C$7) ^ INT(((YEAR(AD$2)-YEAR($F142))*12 + MONTH(AD$2)-MONTH($F142)) / 12),
  0)</f>
        <v/>
      </c>
      <c r="AE142" s="299">
        <f>IF(AND($F142&lt;=AE$2, OR($G142="",$G142&gt;=AE$2)),
  $H142 * (1 + Assumptions!$C$7) ^ INT(((YEAR(AE$2)-YEAR($F142))*12 + MONTH(AE$2)-MONTH($F142)) / 12),
  0)</f>
        <v/>
      </c>
      <c r="AF142" s="299">
        <f>IF(AND($F142&lt;=AF$2, OR($G142="",$G142&gt;=AF$2)),
  $H142 * (1 + Assumptions!$C$7) ^ INT(((YEAR(AF$2)-YEAR($F142))*12 + MONTH(AF$2)-MONTH($F142)) / 12),
  0)</f>
        <v/>
      </c>
      <c r="AG142" s="299">
        <f>IF(AND($F142&lt;=AG$2, OR($G142="",$G142&gt;=AG$2)),
  $H142 * (1 + Assumptions!$C$7) ^ INT(((YEAR(AG$2)-YEAR($F142))*12 + MONTH(AG$2)-MONTH($F142)) / 12),
  0)</f>
        <v/>
      </c>
      <c r="AH142" s="299">
        <f>IF(AND($F142&lt;=AH$2, OR($G142="",$G142&gt;=AH$2)),
  $H142 * (1 + Assumptions!$C$7) ^ INT(((YEAR(AH$2)-YEAR($F142))*12 + MONTH(AH$2)-MONTH($F142)) / 12),
  0)</f>
        <v/>
      </c>
      <c r="AI142" s="299">
        <f>IF(AND($F142&lt;=AI$2, OR($G142="",$G142&gt;=AI$2)),
  $H142 * (1 + Assumptions!$C$7) ^ INT(((YEAR(AI$2)-YEAR($F142))*12 + MONTH(AI$2)-MONTH($F142)) / 12),
  0)</f>
        <v/>
      </c>
      <c r="AJ142" s="299">
        <f>IF(AND($F142&lt;=AJ$2, OR($G142="",$G142&gt;=AJ$2)),
  $H142 * (1 + Assumptions!$C$7) ^ INT(((YEAR(AJ$2)-YEAR($F142))*12 + MONTH(AJ$2)-MONTH($F142)) / 12),
  0)</f>
        <v/>
      </c>
      <c r="AK142" s="299">
        <f>IF(AND($F142&lt;=AK$2, OR($G142="",$G142&gt;=AK$2)),
  $H142 * (1 + Assumptions!$C$7) ^ INT(((YEAR(AK$2)-YEAR($F142))*12 + MONTH(AK$2)-MONTH($F142)) / 12),
  0)</f>
        <v/>
      </c>
      <c r="AL142" s="299">
        <f>IF(AND($F142&lt;=AL$2, OR($G142="",$G142&gt;=AL$2)),
  $H142 * (1 + Assumptions!$C$7) ^ INT(((YEAR(AL$2)-YEAR($F142))*12 + MONTH(AL$2)-MONTH($F142)) / 12),
  0)</f>
        <v/>
      </c>
      <c r="AM142" s="299">
        <f>IF(AND($F142&lt;=AM$2, OR($G142="",$G142&gt;=AM$2)),
  $H142 * (1 + Assumptions!$C$7) ^ INT(((YEAR(AM$2)-YEAR($F142))*12 + MONTH(AM$2)-MONTH($F142)) / 12),
  0)</f>
        <v/>
      </c>
      <c r="AN142" s="299">
        <f>IF(AND($F142&lt;=AN$2, OR($G142="",$G142&gt;=AN$2)),
  $H142 * (1 + Assumptions!$C$7) ^ INT(((YEAR(AN$2)-YEAR($F142))*12 + MONTH(AN$2)-MONTH($F142)) / 12),
  0)</f>
        <v/>
      </c>
      <c r="AO142" s="299">
        <f>IF(AND($F142&lt;=AO$2, OR($G142="",$G142&gt;=AO$2)),
  $H142 * (1 + Assumptions!$C$7) ^ INT(((YEAR(AO$2)-YEAR($F142))*12 + MONTH(AO$2)-MONTH($F142)) / 12),
  0)</f>
        <v/>
      </c>
      <c r="AP142" s="299">
        <f>IF(AND($F142&lt;=AP$2, OR($G142="",$G142&gt;=AP$2)),
  $H142 * (1 + Assumptions!$C$7) ^ INT(((YEAR(AP$2)-YEAR($F142))*12 + MONTH(AP$2)-MONTH($F142)) / 12),
  0)</f>
        <v/>
      </c>
      <c r="AQ142" s="299">
        <f>IF(AND($F142&lt;=AQ$2, OR($G142="",$G142&gt;=AQ$2)),
  $H142 * (1 + Assumptions!$C$7) ^ INT(((YEAR(AQ$2)-YEAR($F142))*12 + MONTH(AQ$2)-MONTH($F142)) / 12),
  0)</f>
        <v/>
      </c>
      <c r="AR142" s="299">
        <f>IF(AND($F142&lt;=AR$2, OR($G142="",$G142&gt;=AR$2)),
  $H142 * (1 + Assumptions!$C$7) ^ INT(((YEAR(AR$2)-YEAR($F142))*12 + MONTH(AR$2)-MONTH($F142)) / 12),
  0)</f>
        <v/>
      </c>
      <c r="AS142" s="299">
        <f>IF(AND($F142&lt;=AS$2, OR($G142="",$G142&gt;=AS$2)),
  $H142 * (1 + Assumptions!$C$7) ^ INT(((YEAR(AS$2)-YEAR($F142))*12 + MONTH(AS$2)-MONTH($F142)) / 12),
  0)</f>
        <v/>
      </c>
      <c r="AT142" s="299">
        <f>IF(AND($F142&lt;=AT$2, OR($G142="",$G142&gt;=AT$2)),
  $H142 * (1 + Assumptions!$C$7) ^ INT(((YEAR(AT$2)-YEAR($F142))*12 + MONTH(AT$2)-MONTH($F142)) / 12),
  0)</f>
        <v/>
      </c>
      <c r="AU142" s="299">
        <f>IF(AND($F142&lt;=AU$2, OR($G142="",$G142&gt;=AU$2)),
  $H142 * (1 + Assumptions!$C$7) ^ INT(((YEAR(AU$2)-YEAR($F142))*12 + MONTH(AU$2)-MONTH($F142)) / 12),
  0)</f>
        <v/>
      </c>
      <c r="AV142" s="299">
        <f>IF(AND($F142&lt;=AV$2, OR($G142="",$G142&gt;=AV$2)),
  $H142 * (1 + Assumptions!$C$7) ^ INT(((YEAR(AV$2)-YEAR($F142))*12 + MONTH(AV$2)-MONTH($F142)) / 12),
  0)</f>
        <v/>
      </c>
      <c r="AW142" s="299">
        <f>IF(AND($F142&lt;=AW$2, OR($G142="",$G142&gt;=AW$2)),
  $H142 * (1 + Assumptions!$C$7) ^ INT(((YEAR(AW$2)-YEAR($F142))*12 + MONTH(AW$2)-MONTH($F142)) / 12),
  0)</f>
        <v/>
      </c>
      <c r="AX142" s="299">
        <f>IF(AND($F142&lt;=AX$2, OR($G142="",$G142&gt;=AX$2)),
  $H142 * (1 + Assumptions!$C$7) ^ INT(((YEAR(AX$2)-YEAR($F142))*12 + MONTH(AX$2)-MONTH($F142)) / 12),
  0)</f>
        <v/>
      </c>
      <c r="AY142" s="299">
        <f>IF(AND($F142&lt;=AY$2, OR($G142="",$G142&gt;=AY$2)),
  $H142 * (1 + Assumptions!$C$7) ^ INT(((YEAR(AY$2)-YEAR($F142))*12 + MONTH(AY$2)-MONTH($F142)) / 12),
  0)</f>
        <v/>
      </c>
      <c r="AZ142" s="299">
        <f>IF(AND($F142&lt;=AZ$2, OR($G142="",$G142&gt;=AZ$2)),
  $H142 * (1 + Assumptions!$C$7) ^ INT(((YEAR(AZ$2)-YEAR($F142))*12 + MONTH(AZ$2)-MONTH($F142)) / 12),
  0)</f>
        <v/>
      </c>
      <c r="BA142" s="299">
        <f>IF(AND($F142&lt;=BA$2, OR($G142="",$G142&gt;=BA$2)),
  $H142 * (1 + Assumptions!$C$7) ^ INT(((YEAR(BA$2)-YEAR($F142))*12 + MONTH(BA$2)-MONTH($F142)) / 12),
  0)</f>
        <v/>
      </c>
      <c r="BB142" s="299">
        <f>IF(AND($F142&lt;=BB$2, OR($G142="",$G142&gt;=BB$2)),
  $H142 * (1 + Assumptions!$C$7) ^ INT(((YEAR(BB$2)-YEAR($F142))*12 + MONTH(BB$2)-MONTH($F142)) / 12),
  0)</f>
        <v/>
      </c>
      <c r="BC142" s="299">
        <f>IF(AND($F142&lt;=BC$2, OR($G142="",$G142&gt;=BC$2)),
  $H142 * (1 + Assumptions!$C$7) ^ INT(((YEAR(BC$2)-YEAR($F142))*12 + MONTH(BC$2)-MONTH($F142)) / 12),
  0)</f>
        <v/>
      </c>
      <c r="BD142" s="299">
        <f>IF(AND($F142&lt;=BD$2, OR($G142="",$G142&gt;=BD$2)),
  $H142 * (1 + Assumptions!$C$7) ^ INT(((YEAR(BD$2)-YEAR($F142))*12 + MONTH(BD$2)-MONTH($F142)) / 12),
  0)</f>
        <v/>
      </c>
      <c r="BE142" s="299">
        <f>IF(AND($F142&lt;=BE$2, OR($G142="",$G142&gt;=BE$2)),
  $H142 * (1 + Assumptions!$C$7) ^ INT(((YEAR(BE$2)-YEAR($F142))*12 + MONTH(BE$2)-MONTH($F142)) / 12),
  0)</f>
        <v/>
      </c>
      <c r="BF142" s="299">
        <f>IF(AND($F142&lt;=BF$2, OR($G142="",$G142&gt;=BF$2)),
  $H142 * (1 + Assumptions!$C$7) ^ INT(((YEAR(BF$2)-YEAR($F142))*12 + MONTH(BF$2)-MONTH($F142)) / 12),
  0)</f>
        <v/>
      </c>
      <c r="BG142" s="299">
        <f>IF(AND($F142&lt;=BG$2, OR($G142="",$G142&gt;=BG$2)),
  $H142 * (1 + Assumptions!$C$7) ^ INT(((YEAR(BG$2)-YEAR($F142))*12 + MONTH(BG$2)-MONTH($F142)) / 12),
  0)</f>
        <v/>
      </c>
      <c r="BH142" s="299">
        <f>IF(AND($F142&lt;=BH$2, OR($G142="",$G142&gt;=BH$2)),
  $H142 * (1 + Assumptions!$C$7) ^ INT(((YEAR(BH$2)-YEAR($F142))*12 + MONTH(BH$2)-MONTH($F142)) / 12),
  0)</f>
        <v/>
      </c>
      <c r="BI142" s="299">
        <f>IF(AND($F142&lt;=BI$2, OR($G142="",$G142&gt;=BI$2)),
  $H142 * (1 + Assumptions!$C$7) ^ INT(((YEAR(BI$2)-YEAR($F142))*12 + MONTH(BI$2)-MONTH($F142)) / 12),
  0)</f>
        <v/>
      </c>
      <c r="BJ142" s="299">
        <f>IF(AND($F142&lt;=BJ$2, OR($G142="",$G142&gt;=BJ$2)),
  $H142 * (1 + Assumptions!$C$7) ^ INT(((YEAR(BJ$2)-YEAR($F142))*12 + MONTH(BJ$2)-MONTH($F142)) / 12),
  0)</f>
        <v/>
      </c>
      <c r="BK142" s="299">
        <f>IF(AND($F142&lt;=BK$2, OR($G142="",$G142&gt;=BK$2)),
  $H142 * (1 + Assumptions!$C$7) ^ INT(((YEAR(BK$2)-YEAR($F142))*12 + MONTH(BK$2)-MONTH($F142)) / 12),
  0)</f>
        <v/>
      </c>
      <c r="BL142" s="299">
        <f>IF(AND($F142&lt;=BL$2, OR($G142="",$G142&gt;=BL$2)),
  $H142 * (1 + Assumptions!$C$7) ^ INT(((YEAR(BL$2)-YEAR($F142))*12 + MONTH(BL$2)-MONTH($F142)) / 12),
  0)</f>
        <v/>
      </c>
      <c r="BM142" s="299">
        <f>IF(AND($F142&lt;=BM$2, OR($G142="",$G142&gt;=BM$2)),
  $H142 * (1 + Assumptions!$C$7) ^ INT(((YEAR(BM$2)-YEAR($F142))*12 + MONTH(BM$2)-MONTH($F142)) / 12),
  0)</f>
        <v/>
      </c>
      <c r="BN142" s="299">
        <f>IF(AND($F142&lt;=BN$2, OR($G142="",$G142&gt;=BN$2)),
  $H142 * (1 + Assumptions!$C$7) ^ INT(((YEAR(BN$2)-YEAR($F142))*12 + MONTH(BN$2)-MONTH($F142)) / 12),
  0)</f>
        <v/>
      </c>
      <c r="BO142" s="299">
        <f>IF(AND($F142&lt;=BO$2, OR($G142="",$G142&gt;=BO$2)),
  $H142 * (1 + Assumptions!$C$7) ^ INT(((YEAR(BO$2)-YEAR($F142))*12 + MONTH(BO$2)-MONTH($F142)) / 12),
  0)</f>
        <v/>
      </c>
      <c r="BP142" s="299">
        <f>IF(AND($F142&lt;=BP$2, OR($G142="",$G142&gt;=BP$2)),
  $H142 * (1 + Assumptions!$C$7) ^ INT(((YEAR(BP$2)-YEAR($F142))*12 + MONTH(BP$2)-MONTH($F142)) / 12),
  0)</f>
        <v/>
      </c>
      <c r="BQ142" s="31" t="n"/>
      <c r="BR142" s="31" t="n"/>
      <c r="BS142" s="31" t="n"/>
      <c r="BT142" s="31" t="n"/>
    </row>
    <row r="143" ht="15.75" customHeight="1" s="349">
      <c r="A143" s="321" t="n">
        <v>138</v>
      </c>
      <c r="B143" s="285" t="inlineStr">
        <is>
          <t>New hire</t>
        </is>
      </c>
      <c r="C143" s="317" t="inlineStr">
        <is>
          <t>G&amp;A</t>
        </is>
      </c>
      <c r="D143" s="317" t="inlineStr">
        <is>
          <t>Production Operator</t>
        </is>
      </c>
      <c r="E143" s="297" t="inlineStr">
        <is>
          <t>Planned</t>
        </is>
      </c>
      <c r="F143" s="318">
        <f>IF(Assumptions!$D$82=2,DATE(2029,7,1),DATE(2035,1,1))</f>
        <v/>
      </c>
      <c r="G143" s="318" t="n"/>
      <c r="H143" s="288" t="n">
        <v>5000</v>
      </c>
      <c r="I143" s="299">
        <f>IF(AND($F143&lt;=I$2, OR($G143="",$G143&gt;=I$2)),
  $H143 * (1 + Assumptions!$C$7) ^ INT(((YEAR(I$2)-YEAR($F143))*12 + MONTH(I$2)-MONTH($F143)) / 12),
  0)</f>
        <v/>
      </c>
      <c r="J143" s="299">
        <f>IF(AND($F143&lt;=J$2, OR($G143="",$G143&gt;=J$2)),
  $H143 * (1 + Assumptions!$C$7) ^ INT(((YEAR(J$2)-YEAR($F143))*12 + MONTH(J$2)-MONTH($F143)) / 12),
  0)</f>
        <v/>
      </c>
      <c r="K143" s="299">
        <f>IF(AND($F143&lt;=K$2, OR($G143="",$G143&gt;=K$2)),
  $H143 * (1 + Assumptions!$C$7) ^ INT(((YEAR(K$2)-YEAR($F143))*12 + MONTH(K$2)-MONTH($F143)) / 12),
  0)</f>
        <v/>
      </c>
      <c r="L143" s="299">
        <f>IF(AND($F143&lt;=L$2, OR($G143="",$G143&gt;=L$2)),
  $H143 * (1 + Assumptions!$C$7) ^ INT(((YEAR(L$2)-YEAR($F143))*12 + MONTH(L$2)-MONTH($F143)) / 12),
  0)</f>
        <v/>
      </c>
      <c r="M143" s="299">
        <f>IF(AND($F143&lt;=M$2, OR($G143="",$G143&gt;=M$2)),
  $H143 * (1 + Assumptions!$C$7) ^ INT(((YEAR(M$2)-YEAR($F143))*12 + MONTH(M$2)-MONTH($F143)) / 12),
  0)</f>
        <v/>
      </c>
      <c r="N143" s="299">
        <f>IF(AND($F143&lt;=N$2, OR($G143="",$G143&gt;=N$2)),
  $H143 * (1 + Assumptions!$C$7) ^ INT(((YEAR(N$2)-YEAR($F143))*12 + MONTH(N$2)-MONTH($F143)) / 12),
  0)</f>
        <v/>
      </c>
      <c r="O143" s="299">
        <f>IF(AND($F143&lt;=O$2, OR($G143="",$G143&gt;=O$2)),
  $H143 * (1 + Assumptions!$C$7) ^ INT(((YEAR(O$2)-YEAR($F143))*12 + MONTH(O$2)-MONTH($F143)) / 12),
  0)</f>
        <v/>
      </c>
      <c r="P143" s="299">
        <f>IF(AND($F143&lt;=P$2, OR($G143="",$G143&gt;=P$2)),
  $H143 * (1 + Assumptions!$C$7) ^ INT(((YEAR(P$2)-YEAR($F143))*12 + MONTH(P$2)-MONTH($F143)) / 12),
  0)</f>
        <v/>
      </c>
      <c r="Q143" s="299">
        <f>IF(AND($F143&lt;=Q$2, OR($G143="",$G143&gt;=Q$2)),
  $H143 * (1 + Assumptions!$C$7) ^ INT(((YEAR(Q$2)-YEAR($F143))*12 + MONTH(Q$2)-MONTH($F143)) / 12),
  0)</f>
        <v/>
      </c>
      <c r="R143" s="299">
        <f>IF(AND($F143&lt;=R$2, OR($G143="",$G143&gt;=R$2)),
  $H143 * (1 + Assumptions!$C$7) ^ INT(((YEAR(R$2)-YEAR($F143))*12 + MONTH(R$2)-MONTH($F143)) / 12),
  0)</f>
        <v/>
      </c>
      <c r="S143" s="299">
        <f>IF(AND($F143&lt;=S$2, OR($G143="",$G143&gt;=S$2)),
  $H143 * (1 + Assumptions!$C$7) ^ INT(((YEAR(S$2)-YEAR($F143))*12 + MONTH(S$2)-MONTH($F143)) / 12),
  0)</f>
        <v/>
      </c>
      <c r="T143" s="299">
        <f>IF(AND($F143&lt;=T$2, OR($G143="",$G143&gt;=T$2)),
  $H143 * (1 + Assumptions!$C$7) ^ INT(((YEAR(T$2)-YEAR($F143))*12 + MONTH(T$2)-MONTH($F143)) / 12),
  0)</f>
        <v/>
      </c>
      <c r="U143" s="299">
        <f>IF(AND($F143&lt;=U$2, OR($G143="",$G143&gt;=U$2)),
  $H143 * (1 + Assumptions!$C$7) ^ INT(((YEAR(U$2)-YEAR($F143))*12 + MONTH(U$2)-MONTH($F143)) / 12),
  0)</f>
        <v/>
      </c>
      <c r="V143" s="299">
        <f>IF(AND($F143&lt;=V$2, OR($G143="",$G143&gt;=V$2)),
  $H143 * (1 + Assumptions!$C$7) ^ INT(((YEAR(V$2)-YEAR($F143))*12 + MONTH(V$2)-MONTH($F143)) / 12),
  0)</f>
        <v/>
      </c>
      <c r="W143" s="299">
        <f>IF(AND($F143&lt;=W$2, OR($G143="",$G143&gt;=W$2)),
  $H143 * (1 + Assumptions!$C$7) ^ INT(((YEAR(W$2)-YEAR($F143))*12 + MONTH(W$2)-MONTH($F143)) / 12),
  0)</f>
        <v/>
      </c>
      <c r="X143" s="299">
        <f>IF(AND($F143&lt;=X$2, OR($G143="",$G143&gt;=X$2)),
  $H143 * (1 + Assumptions!$C$7) ^ INT(((YEAR(X$2)-YEAR($F143))*12 + MONTH(X$2)-MONTH($F143)) / 12),
  0)</f>
        <v/>
      </c>
      <c r="Y143" s="299">
        <f>IF(AND($F143&lt;=Y$2, OR($G143="",$G143&gt;=Y$2)),
  $H143 * (1 + Assumptions!$C$7) ^ INT(((YEAR(Y$2)-YEAR($F143))*12 + MONTH(Y$2)-MONTH($F143)) / 12),
  0)</f>
        <v/>
      </c>
      <c r="Z143" s="299">
        <f>IF(AND($F143&lt;=Z$2, OR($G143="",$G143&gt;=Z$2)),
  $H143 * (1 + Assumptions!$C$7) ^ INT(((YEAR(Z$2)-YEAR($F143))*12 + MONTH(Z$2)-MONTH($F143)) / 12),
  0)</f>
        <v/>
      </c>
      <c r="AA143" s="299">
        <f>IF(AND($F143&lt;=AA$2, OR($G143="",$G143&gt;=AA$2)),
  $H143 * (1 + Assumptions!$C$7) ^ INT(((YEAR(AA$2)-YEAR($F143))*12 + MONTH(AA$2)-MONTH($F143)) / 12),
  0)</f>
        <v/>
      </c>
      <c r="AB143" s="299">
        <f>IF(AND($F143&lt;=AB$2, OR($G143="",$G143&gt;=AB$2)),
  $H143 * (1 + Assumptions!$C$7) ^ INT(((YEAR(AB$2)-YEAR($F143))*12 + MONTH(AB$2)-MONTH($F143)) / 12),
  0)</f>
        <v/>
      </c>
      <c r="AC143" s="299">
        <f>IF(AND($F143&lt;=AC$2, OR($G143="",$G143&gt;=AC$2)),
  $H143 * (1 + Assumptions!$C$7) ^ INT(((YEAR(AC$2)-YEAR($F143))*12 + MONTH(AC$2)-MONTH($F143)) / 12),
  0)</f>
        <v/>
      </c>
      <c r="AD143" s="299">
        <f>IF(AND($F143&lt;=AD$2, OR($G143="",$G143&gt;=AD$2)),
  $H143 * (1 + Assumptions!$C$7) ^ INT(((YEAR(AD$2)-YEAR($F143))*12 + MONTH(AD$2)-MONTH($F143)) / 12),
  0)</f>
        <v/>
      </c>
      <c r="AE143" s="299">
        <f>IF(AND($F143&lt;=AE$2, OR($G143="",$G143&gt;=AE$2)),
  $H143 * (1 + Assumptions!$C$7) ^ INT(((YEAR(AE$2)-YEAR($F143))*12 + MONTH(AE$2)-MONTH($F143)) / 12),
  0)</f>
        <v/>
      </c>
      <c r="AF143" s="299">
        <f>IF(AND($F143&lt;=AF$2, OR($G143="",$G143&gt;=AF$2)),
  $H143 * (1 + Assumptions!$C$7) ^ INT(((YEAR(AF$2)-YEAR($F143))*12 + MONTH(AF$2)-MONTH($F143)) / 12),
  0)</f>
        <v/>
      </c>
      <c r="AG143" s="299">
        <f>IF(AND($F143&lt;=AG$2, OR($G143="",$G143&gt;=AG$2)),
  $H143 * (1 + Assumptions!$C$7) ^ INT(((YEAR(AG$2)-YEAR($F143))*12 + MONTH(AG$2)-MONTH($F143)) / 12),
  0)</f>
        <v/>
      </c>
      <c r="AH143" s="299">
        <f>IF(AND($F143&lt;=AH$2, OR($G143="",$G143&gt;=AH$2)),
  $H143 * (1 + Assumptions!$C$7) ^ INT(((YEAR(AH$2)-YEAR($F143))*12 + MONTH(AH$2)-MONTH($F143)) / 12),
  0)</f>
        <v/>
      </c>
      <c r="AI143" s="299">
        <f>IF(AND($F143&lt;=AI$2, OR($G143="",$G143&gt;=AI$2)),
  $H143 * (1 + Assumptions!$C$7) ^ INT(((YEAR(AI$2)-YEAR($F143))*12 + MONTH(AI$2)-MONTH($F143)) / 12),
  0)</f>
        <v/>
      </c>
      <c r="AJ143" s="299">
        <f>IF(AND($F143&lt;=AJ$2, OR($G143="",$G143&gt;=AJ$2)),
  $H143 * (1 + Assumptions!$C$7) ^ INT(((YEAR(AJ$2)-YEAR($F143))*12 + MONTH(AJ$2)-MONTH($F143)) / 12),
  0)</f>
        <v/>
      </c>
      <c r="AK143" s="299">
        <f>IF(AND($F143&lt;=AK$2, OR($G143="",$G143&gt;=AK$2)),
  $H143 * (1 + Assumptions!$C$7) ^ INT(((YEAR(AK$2)-YEAR($F143))*12 + MONTH(AK$2)-MONTH($F143)) / 12),
  0)</f>
        <v/>
      </c>
      <c r="AL143" s="299">
        <f>IF(AND($F143&lt;=AL$2, OR($G143="",$G143&gt;=AL$2)),
  $H143 * (1 + Assumptions!$C$7) ^ INT(((YEAR(AL$2)-YEAR($F143))*12 + MONTH(AL$2)-MONTH($F143)) / 12),
  0)</f>
        <v/>
      </c>
      <c r="AM143" s="299">
        <f>IF(AND($F143&lt;=AM$2, OR($G143="",$G143&gt;=AM$2)),
  $H143 * (1 + Assumptions!$C$7) ^ INT(((YEAR(AM$2)-YEAR($F143))*12 + MONTH(AM$2)-MONTH($F143)) / 12),
  0)</f>
        <v/>
      </c>
      <c r="AN143" s="299">
        <f>IF(AND($F143&lt;=AN$2, OR($G143="",$G143&gt;=AN$2)),
  $H143 * (1 + Assumptions!$C$7) ^ INT(((YEAR(AN$2)-YEAR($F143))*12 + MONTH(AN$2)-MONTH($F143)) / 12),
  0)</f>
        <v/>
      </c>
      <c r="AO143" s="299">
        <f>IF(AND($F143&lt;=AO$2, OR($G143="",$G143&gt;=AO$2)),
  $H143 * (1 + Assumptions!$C$7) ^ INT(((YEAR(AO$2)-YEAR($F143))*12 + MONTH(AO$2)-MONTH($F143)) / 12),
  0)</f>
        <v/>
      </c>
      <c r="AP143" s="299">
        <f>IF(AND($F143&lt;=AP$2, OR($G143="",$G143&gt;=AP$2)),
  $H143 * (1 + Assumptions!$C$7) ^ INT(((YEAR(AP$2)-YEAR($F143))*12 + MONTH(AP$2)-MONTH($F143)) / 12),
  0)</f>
        <v/>
      </c>
      <c r="AQ143" s="299">
        <f>IF(AND($F143&lt;=AQ$2, OR($G143="",$G143&gt;=AQ$2)),
  $H143 * (1 + Assumptions!$C$7) ^ INT(((YEAR(AQ$2)-YEAR($F143))*12 + MONTH(AQ$2)-MONTH($F143)) / 12),
  0)</f>
        <v/>
      </c>
      <c r="AR143" s="299">
        <f>IF(AND($F143&lt;=AR$2, OR($G143="",$G143&gt;=AR$2)),
  $H143 * (1 + Assumptions!$C$7) ^ INT(((YEAR(AR$2)-YEAR($F143))*12 + MONTH(AR$2)-MONTH($F143)) / 12),
  0)</f>
        <v/>
      </c>
      <c r="AS143" s="299">
        <f>IF(AND($F143&lt;=AS$2, OR($G143="",$G143&gt;=AS$2)),
  $H143 * (1 + Assumptions!$C$7) ^ INT(((YEAR(AS$2)-YEAR($F143))*12 + MONTH(AS$2)-MONTH($F143)) / 12),
  0)</f>
        <v/>
      </c>
      <c r="AT143" s="299">
        <f>IF(AND($F143&lt;=AT$2, OR($G143="",$G143&gt;=AT$2)),
  $H143 * (1 + Assumptions!$C$7) ^ INT(((YEAR(AT$2)-YEAR($F143))*12 + MONTH(AT$2)-MONTH($F143)) / 12),
  0)</f>
        <v/>
      </c>
      <c r="AU143" s="299">
        <f>IF(AND($F143&lt;=AU$2, OR($G143="",$G143&gt;=AU$2)),
  $H143 * (1 + Assumptions!$C$7) ^ INT(((YEAR(AU$2)-YEAR($F143))*12 + MONTH(AU$2)-MONTH($F143)) / 12),
  0)</f>
        <v/>
      </c>
      <c r="AV143" s="299">
        <f>IF(AND($F143&lt;=AV$2, OR($G143="",$G143&gt;=AV$2)),
  $H143 * (1 + Assumptions!$C$7) ^ INT(((YEAR(AV$2)-YEAR($F143))*12 + MONTH(AV$2)-MONTH($F143)) / 12),
  0)</f>
        <v/>
      </c>
      <c r="AW143" s="299">
        <f>IF(AND($F143&lt;=AW$2, OR($G143="",$G143&gt;=AW$2)),
  $H143 * (1 + Assumptions!$C$7) ^ INT(((YEAR(AW$2)-YEAR($F143))*12 + MONTH(AW$2)-MONTH($F143)) / 12),
  0)</f>
        <v/>
      </c>
      <c r="AX143" s="299">
        <f>IF(AND($F143&lt;=AX$2, OR($G143="",$G143&gt;=AX$2)),
  $H143 * (1 + Assumptions!$C$7) ^ INT(((YEAR(AX$2)-YEAR($F143))*12 + MONTH(AX$2)-MONTH($F143)) / 12),
  0)</f>
        <v/>
      </c>
      <c r="AY143" s="299">
        <f>IF(AND($F143&lt;=AY$2, OR($G143="",$G143&gt;=AY$2)),
  $H143 * (1 + Assumptions!$C$7) ^ INT(((YEAR(AY$2)-YEAR($F143))*12 + MONTH(AY$2)-MONTH($F143)) / 12),
  0)</f>
        <v/>
      </c>
      <c r="AZ143" s="299">
        <f>IF(AND($F143&lt;=AZ$2, OR($G143="",$G143&gt;=AZ$2)),
  $H143 * (1 + Assumptions!$C$7) ^ INT(((YEAR(AZ$2)-YEAR($F143))*12 + MONTH(AZ$2)-MONTH($F143)) / 12),
  0)</f>
        <v/>
      </c>
      <c r="BA143" s="299">
        <f>IF(AND($F143&lt;=BA$2, OR($G143="",$G143&gt;=BA$2)),
  $H143 * (1 + Assumptions!$C$7) ^ INT(((YEAR(BA$2)-YEAR($F143))*12 + MONTH(BA$2)-MONTH($F143)) / 12),
  0)</f>
        <v/>
      </c>
      <c r="BB143" s="299">
        <f>IF(AND($F143&lt;=BB$2, OR($G143="",$G143&gt;=BB$2)),
  $H143 * (1 + Assumptions!$C$7) ^ INT(((YEAR(BB$2)-YEAR($F143))*12 + MONTH(BB$2)-MONTH($F143)) / 12),
  0)</f>
        <v/>
      </c>
      <c r="BC143" s="299">
        <f>IF(AND($F143&lt;=BC$2, OR($G143="",$G143&gt;=BC$2)),
  $H143 * (1 + Assumptions!$C$7) ^ INT(((YEAR(BC$2)-YEAR($F143))*12 + MONTH(BC$2)-MONTH($F143)) / 12),
  0)</f>
        <v/>
      </c>
      <c r="BD143" s="299">
        <f>IF(AND($F143&lt;=BD$2, OR($G143="",$G143&gt;=BD$2)),
  $H143 * (1 + Assumptions!$C$7) ^ INT(((YEAR(BD$2)-YEAR($F143))*12 + MONTH(BD$2)-MONTH($F143)) / 12),
  0)</f>
        <v/>
      </c>
      <c r="BE143" s="299">
        <f>IF(AND($F143&lt;=BE$2, OR($G143="",$G143&gt;=BE$2)),
  $H143 * (1 + Assumptions!$C$7) ^ INT(((YEAR(BE$2)-YEAR($F143))*12 + MONTH(BE$2)-MONTH($F143)) / 12),
  0)</f>
        <v/>
      </c>
      <c r="BF143" s="299">
        <f>IF(AND($F143&lt;=BF$2, OR($G143="",$G143&gt;=BF$2)),
  $H143 * (1 + Assumptions!$C$7) ^ INT(((YEAR(BF$2)-YEAR($F143))*12 + MONTH(BF$2)-MONTH($F143)) / 12),
  0)</f>
        <v/>
      </c>
      <c r="BG143" s="299">
        <f>IF(AND($F143&lt;=BG$2, OR($G143="",$G143&gt;=BG$2)),
  $H143 * (1 + Assumptions!$C$7) ^ INT(((YEAR(BG$2)-YEAR($F143))*12 + MONTH(BG$2)-MONTH($F143)) / 12),
  0)</f>
        <v/>
      </c>
      <c r="BH143" s="299">
        <f>IF(AND($F143&lt;=BH$2, OR($G143="",$G143&gt;=BH$2)),
  $H143 * (1 + Assumptions!$C$7) ^ INT(((YEAR(BH$2)-YEAR($F143))*12 + MONTH(BH$2)-MONTH($F143)) / 12),
  0)</f>
        <v/>
      </c>
      <c r="BI143" s="299">
        <f>IF(AND($F143&lt;=BI$2, OR($G143="",$G143&gt;=BI$2)),
  $H143 * (1 + Assumptions!$C$7) ^ INT(((YEAR(BI$2)-YEAR($F143))*12 + MONTH(BI$2)-MONTH($F143)) / 12),
  0)</f>
        <v/>
      </c>
      <c r="BJ143" s="299">
        <f>IF(AND($F143&lt;=BJ$2, OR($G143="",$G143&gt;=BJ$2)),
  $H143 * (1 + Assumptions!$C$7) ^ INT(((YEAR(BJ$2)-YEAR($F143))*12 + MONTH(BJ$2)-MONTH($F143)) / 12),
  0)</f>
        <v/>
      </c>
      <c r="BK143" s="299">
        <f>IF(AND($F143&lt;=BK$2, OR($G143="",$G143&gt;=BK$2)),
  $H143 * (1 + Assumptions!$C$7) ^ INT(((YEAR(BK$2)-YEAR($F143))*12 + MONTH(BK$2)-MONTH($F143)) / 12),
  0)</f>
        <v/>
      </c>
      <c r="BL143" s="299">
        <f>IF(AND($F143&lt;=BL$2, OR($G143="",$G143&gt;=BL$2)),
  $H143 * (1 + Assumptions!$C$7) ^ INT(((YEAR(BL$2)-YEAR($F143))*12 + MONTH(BL$2)-MONTH($F143)) / 12),
  0)</f>
        <v/>
      </c>
      <c r="BM143" s="299">
        <f>IF(AND($F143&lt;=BM$2, OR($G143="",$G143&gt;=BM$2)),
  $H143 * (1 + Assumptions!$C$7) ^ INT(((YEAR(BM$2)-YEAR($F143))*12 + MONTH(BM$2)-MONTH($F143)) / 12),
  0)</f>
        <v/>
      </c>
      <c r="BN143" s="299">
        <f>IF(AND($F143&lt;=BN$2, OR($G143="",$G143&gt;=BN$2)),
  $H143 * (1 + Assumptions!$C$7) ^ INT(((YEAR(BN$2)-YEAR($F143))*12 + MONTH(BN$2)-MONTH($F143)) / 12),
  0)</f>
        <v/>
      </c>
      <c r="BO143" s="299">
        <f>IF(AND($F143&lt;=BO$2, OR($G143="",$G143&gt;=BO$2)),
  $H143 * (1 + Assumptions!$C$7) ^ INT(((YEAR(BO$2)-YEAR($F143))*12 + MONTH(BO$2)-MONTH($F143)) / 12),
  0)</f>
        <v/>
      </c>
      <c r="BP143" s="299">
        <f>IF(AND($F143&lt;=BP$2, OR($G143="",$G143&gt;=BP$2)),
  $H143 * (1 + Assumptions!$C$7) ^ INT(((YEAR(BP$2)-YEAR($F143))*12 + MONTH(BP$2)-MONTH($F143)) / 12),
  0)</f>
        <v/>
      </c>
      <c r="BQ143" s="31" t="n"/>
      <c r="BR143" s="31" t="n"/>
      <c r="BS143" s="31" t="n"/>
      <c r="BT143" s="31" t="n"/>
    </row>
    <row r="144" ht="15.75" customHeight="1" s="349">
      <c r="A144" s="321" t="n">
        <v>139</v>
      </c>
      <c r="B144" s="285" t="inlineStr">
        <is>
          <t>New hire</t>
        </is>
      </c>
      <c r="C144" s="317" t="inlineStr">
        <is>
          <t>G&amp;A</t>
        </is>
      </c>
      <c r="D144" s="317" t="inlineStr">
        <is>
          <t>Production Operator</t>
        </is>
      </c>
      <c r="E144" s="297" t="inlineStr">
        <is>
          <t>Planned</t>
        </is>
      </c>
      <c r="F144" s="318">
        <f>IF(Assumptions!$D$82=2,DATE(2029,7,1),DATE(2035,1,1))</f>
        <v/>
      </c>
      <c r="G144" s="318" t="n"/>
      <c r="H144" s="288" t="n">
        <v>5000</v>
      </c>
      <c r="I144" s="299">
        <f>IF(AND($F144&lt;=I$2, OR($G144="",$G144&gt;=I$2)),
  $H144 * (1 + Assumptions!$C$7) ^ INT(((YEAR(I$2)-YEAR($F144))*12 + MONTH(I$2)-MONTH($F144)) / 12),
  0)</f>
        <v/>
      </c>
      <c r="J144" s="299">
        <f>IF(AND($F144&lt;=J$2, OR($G144="",$G144&gt;=J$2)),
  $H144 * (1 + Assumptions!$C$7) ^ INT(((YEAR(J$2)-YEAR($F144))*12 + MONTH(J$2)-MONTH($F144)) / 12),
  0)</f>
        <v/>
      </c>
      <c r="K144" s="299">
        <f>IF(AND($F144&lt;=K$2, OR($G144="",$G144&gt;=K$2)),
  $H144 * (1 + Assumptions!$C$7) ^ INT(((YEAR(K$2)-YEAR($F144))*12 + MONTH(K$2)-MONTH($F144)) / 12),
  0)</f>
        <v/>
      </c>
      <c r="L144" s="299">
        <f>IF(AND($F144&lt;=L$2, OR($G144="",$G144&gt;=L$2)),
  $H144 * (1 + Assumptions!$C$7) ^ INT(((YEAR(L$2)-YEAR($F144))*12 + MONTH(L$2)-MONTH($F144)) / 12),
  0)</f>
        <v/>
      </c>
      <c r="M144" s="299">
        <f>IF(AND($F144&lt;=M$2, OR($G144="",$G144&gt;=M$2)),
  $H144 * (1 + Assumptions!$C$7) ^ INT(((YEAR(M$2)-YEAR($F144))*12 + MONTH(M$2)-MONTH($F144)) / 12),
  0)</f>
        <v/>
      </c>
      <c r="N144" s="299">
        <f>IF(AND($F144&lt;=N$2, OR($G144="",$G144&gt;=N$2)),
  $H144 * (1 + Assumptions!$C$7) ^ INT(((YEAR(N$2)-YEAR($F144))*12 + MONTH(N$2)-MONTH($F144)) / 12),
  0)</f>
        <v/>
      </c>
      <c r="O144" s="299">
        <f>IF(AND($F144&lt;=O$2, OR($G144="",$G144&gt;=O$2)),
  $H144 * (1 + Assumptions!$C$7) ^ INT(((YEAR(O$2)-YEAR($F144))*12 + MONTH(O$2)-MONTH($F144)) / 12),
  0)</f>
        <v/>
      </c>
      <c r="P144" s="299">
        <f>IF(AND($F144&lt;=P$2, OR($G144="",$G144&gt;=P$2)),
  $H144 * (1 + Assumptions!$C$7) ^ INT(((YEAR(P$2)-YEAR($F144))*12 + MONTH(P$2)-MONTH($F144)) / 12),
  0)</f>
        <v/>
      </c>
      <c r="Q144" s="299">
        <f>IF(AND($F144&lt;=Q$2, OR($G144="",$G144&gt;=Q$2)),
  $H144 * (1 + Assumptions!$C$7) ^ INT(((YEAR(Q$2)-YEAR($F144))*12 + MONTH(Q$2)-MONTH($F144)) / 12),
  0)</f>
        <v/>
      </c>
      <c r="R144" s="299">
        <f>IF(AND($F144&lt;=R$2, OR($G144="",$G144&gt;=R$2)),
  $H144 * (1 + Assumptions!$C$7) ^ INT(((YEAR(R$2)-YEAR($F144))*12 + MONTH(R$2)-MONTH($F144)) / 12),
  0)</f>
        <v/>
      </c>
      <c r="S144" s="299">
        <f>IF(AND($F144&lt;=S$2, OR($G144="",$G144&gt;=S$2)),
  $H144 * (1 + Assumptions!$C$7) ^ INT(((YEAR(S$2)-YEAR($F144))*12 + MONTH(S$2)-MONTH($F144)) / 12),
  0)</f>
        <v/>
      </c>
      <c r="T144" s="299">
        <f>IF(AND($F144&lt;=T$2, OR($G144="",$G144&gt;=T$2)),
  $H144 * (1 + Assumptions!$C$7) ^ INT(((YEAR(T$2)-YEAR($F144))*12 + MONTH(T$2)-MONTH($F144)) / 12),
  0)</f>
        <v/>
      </c>
      <c r="U144" s="299">
        <f>IF(AND($F144&lt;=U$2, OR($G144="",$G144&gt;=U$2)),
  $H144 * (1 + Assumptions!$C$7) ^ INT(((YEAR(U$2)-YEAR($F144))*12 + MONTH(U$2)-MONTH($F144)) / 12),
  0)</f>
        <v/>
      </c>
      <c r="V144" s="299">
        <f>IF(AND($F144&lt;=V$2, OR($G144="",$G144&gt;=V$2)),
  $H144 * (1 + Assumptions!$C$7) ^ INT(((YEAR(V$2)-YEAR($F144))*12 + MONTH(V$2)-MONTH($F144)) / 12),
  0)</f>
        <v/>
      </c>
      <c r="W144" s="299">
        <f>IF(AND($F144&lt;=W$2, OR($G144="",$G144&gt;=W$2)),
  $H144 * (1 + Assumptions!$C$7) ^ INT(((YEAR(W$2)-YEAR($F144))*12 + MONTH(W$2)-MONTH($F144)) / 12),
  0)</f>
        <v/>
      </c>
      <c r="X144" s="299">
        <f>IF(AND($F144&lt;=X$2, OR($G144="",$G144&gt;=X$2)),
  $H144 * (1 + Assumptions!$C$7) ^ INT(((YEAR(X$2)-YEAR($F144))*12 + MONTH(X$2)-MONTH($F144)) / 12),
  0)</f>
        <v/>
      </c>
      <c r="Y144" s="299">
        <f>IF(AND($F144&lt;=Y$2, OR($G144="",$G144&gt;=Y$2)),
  $H144 * (1 + Assumptions!$C$7) ^ INT(((YEAR(Y$2)-YEAR($F144))*12 + MONTH(Y$2)-MONTH($F144)) / 12),
  0)</f>
        <v/>
      </c>
      <c r="Z144" s="299">
        <f>IF(AND($F144&lt;=Z$2, OR($G144="",$G144&gt;=Z$2)),
  $H144 * (1 + Assumptions!$C$7) ^ INT(((YEAR(Z$2)-YEAR($F144))*12 + MONTH(Z$2)-MONTH($F144)) / 12),
  0)</f>
        <v/>
      </c>
      <c r="AA144" s="299">
        <f>IF(AND($F144&lt;=AA$2, OR($G144="",$G144&gt;=AA$2)),
  $H144 * (1 + Assumptions!$C$7) ^ INT(((YEAR(AA$2)-YEAR($F144))*12 + MONTH(AA$2)-MONTH($F144)) / 12),
  0)</f>
        <v/>
      </c>
      <c r="AB144" s="299">
        <f>IF(AND($F144&lt;=AB$2, OR($G144="",$G144&gt;=AB$2)),
  $H144 * (1 + Assumptions!$C$7) ^ INT(((YEAR(AB$2)-YEAR($F144))*12 + MONTH(AB$2)-MONTH($F144)) / 12),
  0)</f>
        <v/>
      </c>
      <c r="AC144" s="299">
        <f>IF(AND($F144&lt;=AC$2, OR($G144="",$G144&gt;=AC$2)),
  $H144 * (1 + Assumptions!$C$7) ^ INT(((YEAR(AC$2)-YEAR($F144))*12 + MONTH(AC$2)-MONTH($F144)) / 12),
  0)</f>
        <v/>
      </c>
      <c r="AD144" s="299">
        <f>IF(AND($F144&lt;=AD$2, OR($G144="",$G144&gt;=AD$2)),
  $H144 * (1 + Assumptions!$C$7) ^ INT(((YEAR(AD$2)-YEAR($F144))*12 + MONTH(AD$2)-MONTH($F144)) / 12),
  0)</f>
        <v/>
      </c>
      <c r="AE144" s="299">
        <f>IF(AND($F144&lt;=AE$2, OR($G144="",$G144&gt;=AE$2)),
  $H144 * (1 + Assumptions!$C$7) ^ INT(((YEAR(AE$2)-YEAR($F144))*12 + MONTH(AE$2)-MONTH($F144)) / 12),
  0)</f>
        <v/>
      </c>
      <c r="AF144" s="299">
        <f>IF(AND($F144&lt;=AF$2, OR($G144="",$G144&gt;=AF$2)),
  $H144 * (1 + Assumptions!$C$7) ^ INT(((YEAR(AF$2)-YEAR($F144))*12 + MONTH(AF$2)-MONTH($F144)) / 12),
  0)</f>
        <v/>
      </c>
      <c r="AG144" s="299">
        <f>IF(AND($F144&lt;=AG$2, OR($G144="",$G144&gt;=AG$2)),
  $H144 * (1 + Assumptions!$C$7) ^ INT(((YEAR(AG$2)-YEAR($F144))*12 + MONTH(AG$2)-MONTH($F144)) / 12),
  0)</f>
        <v/>
      </c>
      <c r="AH144" s="299">
        <f>IF(AND($F144&lt;=AH$2, OR($G144="",$G144&gt;=AH$2)),
  $H144 * (1 + Assumptions!$C$7) ^ INT(((YEAR(AH$2)-YEAR($F144))*12 + MONTH(AH$2)-MONTH($F144)) / 12),
  0)</f>
        <v/>
      </c>
      <c r="AI144" s="299">
        <f>IF(AND($F144&lt;=AI$2, OR($G144="",$G144&gt;=AI$2)),
  $H144 * (1 + Assumptions!$C$7) ^ INT(((YEAR(AI$2)-YEAR($F144))*12 + MONTH(AI$2)-MONTH($F144)) / 12),
  0)</f>
        <v/>
      </c>
      <c r="AJ144" s="299">
        <f>IF(AND($F144&lt;=AJ$2, OR($G144="",$G144&gt;=AJ$2)),
  $H144 * (1 + Assumptions!$C$7) ^ INT(((YEAR(AJ$2)-YEAR($F144))*12 + MONTH(AJ$2)-MONTH($F144)) / 12),
  0)</f>
        <v/>
      </c>
      <c r="AK144" s="299">
        <f>IF(AND($F144&lt;=AK$2, OR($G144="",$G144&gt;=AK$2)),
  $H144 * (1 + Assumptions!$C$7) ^ INT(((YEAR(AK$2)-YEAR($F144))*12 + MONTH(AK$2)-MONTH($F144)) / 12),
  0)</f>
        <v/>
      </c>
      <c r="AL144" s="299">
        <f>IF(AND($F144&lt;=AL$2, OR($G144="",$G144&gt;=AL$2)),
  $H144 * (1 + Assumptions!$C$7) ^ INT(((YEAR(AL$2)-YEAR($F144))*12 + MONTH(AL$2)-MONTH($F144)) / 12),
  0)</f>
        <v/>
      </c>
      <c r="AM144" s="299">
        <f>IF(AND($F144&lt;=AM$2, OR($G144="",$G144&gt;=AM$2)),
  $H144 * (1 + Assumptions!$C$7) ^ INT(((YEAR(AM$2)-YEAR($F144))*12 + MONTH(AM$2)-MONTH($F144)) / 12),
  0)</f>
        <v/>
      </c>
      <c r="AN144" s="299">
        <f>IF(AND($F144&lt;=AN$2, OR($G144="",$G144&gt;=AN$2)),
  $H144 * (1 + Assumptions!$C$7) ^ INT(((YEAR(AN$2)-YEAR($F144))*12 + MONTH(AN$2)-MONTH($F144)) / 12),
  0)</f>
        <v/>
      </c>
      <c r="AO144" s="299">
        <f>IF(AND($F144&lt;=AO$2, OR($G144="",$G144&gt;=AO$2)),
  $H144 * (1 + Assumptions!$C$7) ^ INT(((YEAR(AO$2)-YEAR($F144))*12 + MONTH(AO$2)-MONTH($F144)) / 12),
  0)</f>
        <v/>
      </c>
      <c r="AP144" s="299">
        <f>IF(AND($F144&lt;=AP$2, OR($G144="",$G144&gt;=AP$2)),
  $H144 * (1 + Assumptions!$C$7) ^ INT(((YEAR(AP$2)-YEAR($F144))*12 + MONTH(AP$2)-MONTH($F144)) / 12),
  0)</f>
        <v/>
      </c>
      <c r="AQ144" s="299">
        <f>IF(AND($F144&lt;=AQ$2, OR($G144="",$G144&gt;=AQ$2)),
  $H144 * (1 + Assumptions!$C$7) ^ INT(((YEAR(AQ$2)-YEAR($F144))*12 + MONTH(AQ$2)-MONTH($F144)) / 12),
  0)</f>
        <v/>
      </c>
      <c r="AR144" s="299">
        <f>IF(AND($F144&lt;=AR$2, OR($G144="",$G144&gt;=AR$2)),
  $H144 * (1 + Assumptions!$C$7) ^ INT(((YEAR(AR$2)-YEAR($F144))*12 + MONTH(AR$2)-MONTH($F144)) / 12),
  0)</f>
        <v/>
      </c>
      <c r="AS144" s="299">
        <f>IF(AND($F144&lt;=AS$2, OR($G144="",$G144&gt;=AS$2)),
  $H144 * (1 + Assumptions!$C$7) ^ INT(((YEAR(AS$2)-YEAR($F144))*12 + MONTH(AS$2)-MONTH($F144)) / 12),
  0)</f>
        <v/>
      </c>
      <c r="AT144" s="299">
        <f>IF(AND($F144&lt;=AT$2, OR($G144="",$G144&gt;=AT$2)),
  $H144 * (1 + Assumptions!$C$7) ^ INT(((YEAR(AT$2)-YEAR($F144))*12 + MONTH(AT$2)-MONTH($F144)) / 12),
  0)</f>
        <v/>
      </c>
      <c r="AU144" s="299">
        <f>IF(AND($F144&lt;=AU$2, OR($G144="",$G144&gt;=AU$2)),
  $H144 * (1 + Assumptions!$C$7) ^ INT(((YEAR(AU$2)-YEAR($F144))*12 + MONTH(AU$2)-MONTH($F144)) / 12),
  0)</f>
        <v/>
      </c>
      <c r="AV144" s="299">
        <f>IF(AND($F144&lt;=AV$2, OR($G144="",$G144&gt;=AV$2)),
  $H144 * (1 + Assumptions!$C$7) ^ INT(((YEAR(AV$2)-YEAR($F144))*12 + MONTH(AV$2)-MONTH($F144)) / 12),
  0)</f>
        <v/>
      </c>
      <c r="AW144" s="299">
        <f>IF(AND($F144&lt;=AW$2, OR($G144="",$G144&gt;=AW$2)),
  $H144 * (1 + Assumptions!$C$7) ^ INT(((YEAR(AW$2)-YEAR($F144))*12 + MONTH(AW$2)-MONTH($F144)) / 12),
  0)</f>
        <v/>
      </c>
      <c r="AX144" s="299">
        <f>IF(AND($F144&lt;=AX$2, OR($G144="",$G144&gt;=AX$2)),
  $H144 * (1 + Assumptions!$C$7) ^ INT(((YEAR(AX$2)-YEAR($F144))*12 + MONTH(AX$2)-MONTH($F144)) / 12),
  0)</f>
        <v/>
      </c>
      <c r="AY144" s="299">
        <f>IF(AND($F144&lt;=AY$2, OR($G144="",$G144&gt;=AY$2)),
  $H144 * (1 + Assumptions!$C$7) ^ INT(((YEAR(AY$2)-YEAR($F144))*12 + MONTH(AY$2)-MONTH($F144)) / 12),
  0)</f>
        <v/>
      </c>
      <c r="AZ144" s="299">
        <f>IF(AND($F144&lt;=AZ$2, OR($G144="",$G144&gt;=AZ$2)),
  $H144 * (1 + Assumptions!$C$7) ^ INT(((YEAR(AZ$2)-YEAR($F144))*12 + MONTH(AZ$2)-MONTH($F144)) / 12),
  0)</f>
        <v/>
      </c>
      <c r="BA144" s="299">
        <f>IF(AND($F144&lt;=BA$2, OR($G144="",$G144&gt;=BA$2)),
  $H144 * (1 + Assumptions!$C$7) ^ INT(((YEAR(BA$2)-YEAR($F144))*12 + MONTH(BA$2)-MONTH($F144)) / 12),
  0)</f>
        <v/>
      </c>
      <c r="BB144" s="299">
        <f>IF(AND($F144&lt;=BB$2, OR($G144="",$G144&gt;=BB$2)),
  $H144 * (1 + Assumptions!$C$7) ^ INT(((YEAR(BB$2)-YEAR($F144))*12 + MONTH(BB$2)-MONTH($F144)) / 12),
  0)</f>
        <v/>
      </c>
      <c r="BC144" s="299">
        <f>IF(AND($F144&lt;=BC$2, OR($G144="",$G144&gt;=BC$2)),
  $H144 * (1 + Assumptions!$C$7) ^ INT(((YEAR(BC$2)-YEAR($F144))*12 + MONTH(BC$2)-MONTH($F144)) / 12),
  0)</f>
        <v/>
      </c>
      <c r="BD144" s="299">
        <f>IF(AND($F144&lt;=BD$2, OR($G144="",$G144&gt;=BD$2)),
  $H144 * (1 + Assumptions!$C$7) ^ INT(((YEAR(BD$2)-YEAR($F144))*12 + MONTH(BD$2)-MONTH($F144)) / 12),
  0)</f>
        <v/>
      </c>
      <c r="BE144" s="299">
        <f>IF(AND($F144&lt;=BE$2, OR($G144="",$G144&gt;=BE$2)),
  $H144 * (1 + Assumptions!$C$7) ^ INT(((YEAR(BE$2)-YEAR($F144))*12 + MONTH(BE$2)-MONTH($F144)) / 12),
  0)</f>
        <v/>
      </c>
      <c r="BF144" s="299">
        <f>IF(AND($F144&lt;=BF$2, OR($G144="",$G144&gt;=BF$2)),
  $H144 * (1 + Assumptions!$C$7) ^ INT(((YEAR(BF$2)-YEAR($F144))*12 + MONTH(BF$2)-MONTH($F144)) / 12),
  0)</f>
        <v/>
      </c>
      <c r="BG144" s="299">
        <f>IF(AND($F144&lt;=BG$2, OR($G144="",$G144&gt;=BG$2)),
  $H144 * (1 + Assumptions!$C$7) ^ INT(((YEAR(BG$2)-YEAR($F144))*12 + MONTH(BG$2)-MONTH($F144)) / 12),
  0)</f>
        <v/>
      </c>
      <c r="BH144" s="299">
        <f>IF(AND($F144&lt;=BH$2, OR($G144="",$G144&gt;=BH$2)),
  $H144 * (1 + Assumptions!$C$7) ^ INT(((YEAR(BH$2)-YEAR($F144))*12 + MONTH(BH$2)-MONTH($F144)) / 12),
  0)</f>
        <v/>
      </c>
      <c r="BI144" s="299">
        <f>IF(AND($F144&lt;=BI$2, OR($G144="",$G144&gt;=BI$2)),
  $H144 * (1 + Assumptions!$C$7) ^ INT(((YEAR(BI$2)-YEAR($F144))*12 + MONTH(BI$2)-MONTH($F144)) / 12),
  0)</f>
        <v/>
      </c>
      <c r="BJ144" s="299">
        <f>IF(AND($F144&lt;=BJ$2, OR($G144="",$G144&gt;=BJ$2)),
  $H144 * (1 + Assumptions!$C$7) ^ INT(((YEAR(BJ$2)-YEAR($F144))*12 + MONTH(BJ$2)-MONTH($F144)) / 12),
  0)</f>
        <v/>
      </c>
      <c r="BK144" s="299">
        <f>IF(AND($F144&lt;=BK$2, OR($G144="",$G144&gt;=BK$2)),
  $H144 * (1 + Assumptions!$C$7) ^ INT(((YEAR(BK$2)-YEAR($F144))*12 + MONTH(BK$2)-MONTH($F144)) / 12),
  0)</f>
        <v/>
      </c>
      <c r="BL144" s="299">
        <f>IF(AND($F144&lt;=BL$2, OR($G144="",$G144&gt;=BL$2)),
  $H144 * (1 + Assumptions!$C$7) ^ INT(((YEAR(BL$2)-YEAR($F144))*12 + MONTH(BL$2)-MONTH($F144)) / 12),
  0)</f>
        <v/>
      </c>
      <c r="BM144" s="299">
        <f>IF(AND($F144&lt;=BM$2, OR($G144="",$G144&gt;=BM$2)),
  $H144 * (1 + Assumptions!$C$7) ^ INT(((YEAR(BM$2)-YEAR($F144))*12 + MONTH(BM$2)-MONTH($F144)) / 12),
  0)</f>
        <v/>
      </c>
      <c r="BN144" s="299">
        <f>IF(AND($F144&lt;=BN$2, OR($G144="",$G144&gt;=BN$2)),
  $H144 * (1 + Assumptions!$C$7) ^ INT(((YEAR(BN$2)-YEAR($F144))*12 + MONTH(BN$2)-MONTH($F144)) / 12),
  0)</f>
        <v/>
      </c>
      <c r="BO144" s="299">
        <f>IF(AND($F144&lt;=BO$2, OR($G144="",$G144&gt;=BO$2)),
  $H144 * (1 + Assumptions!$C$7) ^ INT(((YEAR(BO$2)-YEAR($F144))*12 + MONTH(BO$2)-MONTH($F144)) / 12),
  0)</f>
        <v/>
      </c>
      <c r="BP144" s="299">
        <f>IF(AND($F144&lt;=BP$2, OR($G144="",$G144&gt;=BP$2)),
  $H144 * (1 + Assumptions!$C$7) ^ INT(((YEAR(BP$2)-YEAR($F144))*12 + MONTH(BP$2)-MONTH($F144)) / 12),
  0)</f>
        <v/>
      </c>
      <c r="BQ144" s="31" t="n"/>
      <c r="BR144" s="31" t="n"/>
      <c r="BS144" s="31" t="n"/>
      <c r="BT144" s="31" t="n"/>
    </row>
    <row r="145" ht="15.75" customHeight="1" s="349">
      <c r="A145" s="321" t="n">
        <v>140</v>
      </c>
      <c r="B145" s="285" t="inlineStr">
        <is>
          <t>New hire</t>
        </is>
      </c>
      <c r="C145" s="317" t="inlineStr">
        <is>
          <t>G&amp;A</t>
        </is>
      </c>
      <c r="D145" s="317" t="inlineStr">
        <is>
          <t>Production Operator</t>
        </is>
      </c>
      <c r="E145" s="297" t="inlineStr">
        <is>
          <t>Planned</t>
        </is>
      </c>
      <c r="F145" s="318">
        <f>IF(Assumptions!$D$82=2,DATE(2029,7,1),DATE(2035,1,1))</f>
        <v/>
      </c>
      <c r="G145" s="318" t="n"/>
      <c r="H145" s="288" t="n">
        <v>5000</v>
      </c>
      <c r="I145" s="299">
        <f>IF(AND($F145&lt;=I$2, OR($G145="",$G145&gt;=I$2)),
  $H145 * (1 + Assumptions!$C$7) ^ INT(((YEAR(I$2)-YEAR($F145))*12 + MONTH(I$2)-MONTH($F145)) / 12),
  0)</f>
        <v/>
      </c>
      <c r="J145" s="299">
        <f>IF(AND($F145&lt;=J$2, OR($G145="",$G145&gt;=J$2)),
  $H145 * (1 + Assumptions!$C$7) ^ INT(((YEAR(J$2)-YEAR($F145))*12 + MONTH(J$2)-MONTH($F145)) / 12),
  0)</f>
        <v/>
      </c>
      <c r="K145" s="299">
        <f>IF(AND($F145&lt;=K$2, OR($G145="",$G145&gt;=K$2)),
  $H145 * (1 + Assumptions!$C$7) ^ INT(((YEAR(K$2)-YEAR($F145))*12 + MONTH(K$2)-MONTH($F145)) / 12),
  0)</f>
        <v/>
      </c>
      <c r="L145" s="299">
        <f>IF(AND($F145&lt;=L$2, OR($G145="",$G145&gt;=L$2)),
  $H145 * (1 + Assumptions!$C$7) ^ INT(((YEAR(L$2)-YEAR($F145))*12 + MONTH(L$2)-MONTH($F145)) / 12),
  0)</f>
        <v/>
      </c>
      <c r="M145" s="299">
        <f>IF(AND($F145&lt;=M$2, OR($G145="",$G145&gt;=M$2)),
  $H145 * (1 + Assumptions!$C$7) ^ INT(((YEAR(M$2)-YEAR($F145))*12 + MONTH(M$2)-MONTH($F145)) / 12),
  0)</f>
        <v/>
      </c>
      <c r="N145" s="299">
        <f>IF(AND($F145&lt;=N$2, OR($G145="",$G145&gt;=N$2)),
  $H145 * (1 + Assumptions!$C$7) ^ INT(((YEAR(N$2)-YEAR($F145))*12 + MONTH(N$2)-MONTH($F145)) / 12),
  0)</f>
        <v/>
      </c>
      <c r="O145" s="299">
        <f>IF(AND($F145&lt;=O$2, OR($G145="",$G145&gt;=O$2)),
  $H145 * (1 + Assumptions!$C$7) ^ INT(((YEAR(O$2)-YEAR($F145))*12 + MONTH(O$2)-MONTH($F145)) / 12),
  0)</f>
        <v/>
      </c>
      <c r="P145" s="299">
        <f>IF(AND($F145&lt;=P$2, OR($G145="",$G145&gt;=P$2)),
  $H145 * (1 + Assumptions!$C$7) ^ INT(((YEAR(P$2)-YEAR($F145))*12 + MONTH(P$2)-MONTH($F145)) / 12),
  0)</f>
        <v/>
      </c>
      <c r="Q145" s="299">
        <f>IF(AND($F145&lt;=Q$2, OR($G145="",$G145&gt;=Q$2)),
  $H145 * (1 + Assumptions!$C$7) ^ INT(((YEAR(Q$2)-YEAR($F145))*12 + MONTH(Q$2)-MONTH($F145)) / 12),
  0)</f>
        <v/>
      </c>
      <c r="R145" s="299">
        <f>IF(AND($F145&lt;=R$2, OR($G145="",$G145&gt;=R$2)),
  $H145 * (1 + Assumptions!$C$7) ^ INT(((YEAR(R$2)-YEAR($F145))*12 + MONTH(R$2)-MONTH($F145)) / 12),
  0)</f>
        <v/>
      </c>
      <c r="S145" s="299">
        <f>IF(AND($F145&lt;=S$2, OR($G145="",$G145&gt;=S$2)),
  $H145 * (1 + Assumptions!$C$7) ^ INT(((YEAR(S$2)-YEAR($F145))*12 + MONTH(S$2)-MONTH($F145)) / 12),
  0)</f>
        <v/>
      </c>
      <c r="T145" s="299">
        <f>IF(AND($F145&lt;=T$2, OR($G145="",$G145&gt;=T$2)),
  $H145 * (1 + Assumptions!$C$7) ^ INT(((YEAR(T$2)-YEAR($F145))*12 + MONTH(T$2)-MONTH($F145)) / 12),
  0)</f>
        <v/>
      </c>
      <c r="U145" s="299">
        <f>IF(AND($F145&lt;=U$2, OR($G145="",$G145&gt;=U$2)),
  $H145 * (1 + Assumptions!$C$7) ^ INT(((YEAR(U$2)-YEAR($F145))*12 + MONTH(U$2)-MONTH($F145)) / 12),
  0)</f>
        <v/>
      </c>
      <c r="V145" s="299">
        <f>IF(AND($F145&lt;=V$2, OR($G145="",$G145&gt;=V$2)),
  $H145 * (1 + Assumptions!$C$7) ^ INT(((YEAR(V$2)-YEAR($F145))*12 + MONTH(V$2)-MONTH($F145)) / 12),
  0)</f>
        <v/>
      </c>
      <c r="W145" s="299">
        <f>IF(AND($F145&lt;=W$2, OR($G145="",$G145&gt;=W$2)),
  $H145 * (1 + Assumptions!$C$7) ^ INT(((YEAR(W$2)-YEAR($F145))*12 + MONTH(W$2)-MONTH($F145)) / 12),
  0)</f>
        <v/>
      </c>
      <c r="X145" s="299">
        <f>IF(AND($F145&lt;=X$2, OR($G145="",$G145&gt;=X$2)),
  $H145 * (1 + Assumptions!$C$7) ^ INT(((YEAR(X$2)-YEAR($F145))*12 + MONTH(X$2)-MONTH($F145)) / 12),
  0)</f>
        <v/>
      </c>
      <c r="Y145" s="299">
        <f>IF(AND($F145&lt;=Y$2, OR($G145="",$G145&gt;=Y$2)),
  $H145 * (1 + Assumptions!$C$7) ^ INT(((YEAR(Y$2)-YEAR($F145))*12 + MONTH(Y$2)-MONTH($F145)) / 12),
  0)</f>
        <v/>
      </c>
      <c r="Z145" s="299">
        <f>IF(AND($F145&lt;=Z$2, OR($G145="",$G145&gt;=Z$2)),
  $H145 * (1 + Assumptions!$C$7) ^ INT(((YEAR(Z$2)-YEAR($F145))*12 + MONTH(Z$2)-MONTH($F145)) / 12),
  0)</f>
        <v/>
      </c>
      <c r="AA145" s="299">
        <f>IF(AND($F145&lt;=AA$2, OR($G145="",$G145&gt;=AA$2)),
  $H145 * (1 + Assumptions!$C$7) ^ INT(((YEAR(AA$2)-YEAR($F145))*12 + MONTH(AA$2)-MONTH($F145)) / 12),
  0)</f>
        <v/>
      </c>
      <c r="AB145" s="299">
        <f>IF(AND($F145&lt;=AB$2, OR($G145="",$G145&gt;=AB$2)),
  $H145 * (1 + Assumptions!$C$7) ^ INT(((YEAR(AB$2)-YEAR($F145))*12 + MONTH(AB$2)-MONTH($F145)) / 12),
  0)</f>
        <v/>
      </c>
      <c r="AC145" s="299">
        <f>IF(AND($F145&lt;=AC$2, OR($G145="",$G145&gt;=AC$2)),
  $H145 * (1 + Assumptions!$C$7) ^ INT(((YEAR(AC$2)-YEAR($F145))*12 + MONTH(AC$2)-MONTH($F145)) / 12),
  0)</f>
        <v/>
      </c>
      <c r="AD145" s="299">
        <f>IF(AND($F145&lt;=AD$2, OR($G145="",$G145&gt;=AD$2)),
  $H145 * (1 + Assumptions!$C$7) ^ INT(((YEAR(AD$2)-YEAR($F145))*12 + MONTH(AD$2)-MONTH($F145)) / 12),
  0)</f>
        <v/>
      </c>
      <c r="AE145" s="299">
        <f>IF(AND($F145&lt;=AE$2, OR($G145="",$G145&gt;=AE$2)),
  $H145 * (1 + Assumptions!$C$7) ^ INT(((YEAR(AE$2)-YEAR($F145))*12 + MONTH(AE$2)-MONTH($F145)) / 12),
  0)</f>
        <v/>
      </c>
      <c r="AF145" s="299">
        <f>IF(AND($F145&lt;=AF$2, OR($G145="",$G145&gt;=AF$2)),
  $H145 * (1 + Assumptions!$C$7) ^ INT(((YEAR(AF$2)-YEAR($F145))*12 + MONTH(AF$2)-MONTH($F145)) / 12),
  0)</f>
        <v/>
      </c>
      <c r="AG145" s="299">
        <f>IF(AND($F145&lt;=AG$2, OR($G145="",$G145&gt;=AG$2)),
  $H145 * (1 + Assumptions!$C$7) ^ INT(((YEAR(AG$2)-YEAR($F145))*12 + MONTH(AG$2)-MONTH($F145)) / 12),
  0)</f>
        <v/>
      </c>
      <c r="AH145" s="299">
        <f>IF(AND($F145&lt;=AH$2, OR($G145="",$G145&gt;=AH$2)),
  $H145 * (1 + Assumptions!$C$7) ^ INT(((YEAR(AH$2)-YEAR($F145))*12 + MONTH(AH$2)-MONTH($F145)) / 12),
  0)</f>
        <v/>
      </c>
      <c r="AI145" s="299">
        <f>IF(AND($F145&lt;=AI$2, OR($G145="",$G145&gt;=AI$2)),
  $H145 * (1 + Assumptions!$C$7) ^ INT(((YEAR(AI$2)-YEAR($F145))*12 + MONTH(AI$2)-MONTH($F145)) / 12),
  0)</f>
        <v/>
      </c>
      <c r="AJ145" s="299">
        <f>IF(AND($F145&lt;=AJ$2, OR($G145="",$G145&gt;=AJ$2)),
  $H145 * (1 + Assumptions!$C$7) ^ INT(((YEAR(AJ$2)-YEAR($F145))*12 + MONTH(AJ$2)-MONTH($F145)) / 12),
  0)</f>
        <v/>
      </c>
      <c r="AK145" s="299">
        <f>IF(AND($F145&lt;=AK$2, OR($G145="",$G145&gt;=AK$2)),
  $H145 * (1 + Assumptions!$C$7) ^ INT(((YEAR(AK$2)-YEAR($F145))*12 + MONTH(AK$2)-MONTH($F145)) / 12),
  0)</f>
        <v/>
      </c>
      <c r="AL145" s="299">
        <f>IF(AND($F145&lt;=AL$2, OR($G145="",$G145&gt;=AL$2)),
  $H145 * (1 + Assumptions!$C$7) ^ INT(((YEAR(AL$2)-YEAR($F145))*12 + MONTH(AL$2)-MONTH($F145)) / 12),
  0)</f>
        <v/>
      </c>
      <c r="AM145" s="299">
        <f>IF(AND($F145&lt;=AM$2, OR($G145="",$G145&gt;=AM$2)),
  $H145 * (1 + Assumptions!$C$7) ^ INT(((YEAR(AM$2)-YEAR($F145))*12 + MONTH(AM$2)-MONTH($F145)) / 12),
  0)</f>
        <v/>
      </c>
      <c r="AN145" s="299">
        <f>IF(AND($F145&lt;=AN$2, OR($G145="",$G145&gt;=AN$2)),
  $H145 * (1 + Assumptions!$C$7) ^ INT(((YEAR(AN$2)-YEAR($F145))*12 + MONTH(AN$2)-MONTH($F145)) / 12),
  0)</f>
        <v/>
      </c>
      <c r="AO145" s="299">
        <f>IF(AND($F145&lt;=AO$2, OR($G145="",$G145&gt;=AO$2)),
  $H145 * (1 + Assumptions!$C$7) ^ INT(((YEAR(AO$2)-YEAR($F145))*12 + MONTH(AO$2)-MONTH($F145)) / 12),
  0)</f>
        <v/>
      </c>
      <c r="AP145" s="299">
        <f>IF(AND($F145&lt;=AP$2, OR($G145="",$G145&gt;=AP$2)),
  $H145 * (1 + Assumptions!$C$7) ^ INT(((YEAR(AP$2)-YEAR($F145))*12 + MONTH(AP$2)-MONTH($F145)) / 12),
  0)</f>
        <v/>
      </c>
      <c r="AQ145" s="299">
        <f>IF(AND($F145&lt;=AQ$2, OR($G145="",$G145&gt;=AQ$2)),
  $H145 * (1 + Assumptions!$C$7) ^ INT(((YEAR(AQ$2)-YEAR($F145))*12 + MONTH(AQ$2)-MONTH($F145)) / 12),
  0)</f>
        <v/>
      </c>
      <c r="AR145" s="299">
        <f>IF(AND($F145&lt;=AR$2, OR($G145="",$G145&gt;=AR$2)),
  $H145 * (1 + Assumptions!$C$7) ^ INT(((YEAR(AR$2)-YEAR($F145))*12 + MONTH(AR$2)-MONTH($F145)) / 12),
  0)</f>
        <v/>
      </c>
      <c r="AS145" s="299">
        <f>IF(AND($F145&lt;=AS$2, OR($G145="",$G145&gt;=AS$2)),
  $H145 * (1 + Assumptions!$C$7) ^ INT(((YEAR(AS$2)-YEAR($F145))*12 + MONTH(AS$2)-MONTH($F145)) / 12),
  0)</f>
        <v/>
      </c>
      <c r="AT145" s="299">
        <f>IF(AND($F145&lt;=AT$2, OR($G145="",$G145&gt;=AT$2)),
  $H145 * (1 + Assumptions!$C$7) ^ INT(((YEAR(AT$2)-YEAR($F145))*12 + MONTH(AT$2)-MONTH($F145)) / 12),
  0)</f>
        <v/>
      </c>
      <c r="AU145" s="299">
        <f>IF(AND($F145&lt;=AU$2, OR($G145="",$G145&gt;=AU$2)),
  $H145 * (1 + Assumptions!$C$7) ^ INT(((YEAR(AU$2)-YEAR($F145))*12 + MONTH(AU$2)-MONTH($F145)) / 12),
  0)</f>
        <v/>
      </c>
      <c r="AV145" s="299">
        <f>IF(AND($F145&lt;=AV$2, OR($G145="",$G145&gt;=AV$2)),
  $H145 * (1 + Assumptions!$C$7) ^ INT(((YEAR(AV$2)-YEAR($F145))*12 + MONTH(AV$2)-MONTH($F145)) / 12),
  0)</f>
        <v/>
      </c>
      <c r="AW145" s="299">
        <f>IF(AND($F145&lt;=AW$2, OR($G145="",$G145&gt;=AW$2)),
  $H145 * (1 + Assumptions!$C$7) ^ INT(((YEAR(AW$2)-YEAR($F145))*12 + MONTH(AW$2)-MONTH($F145)) / 12),
  0)</f>
        <v/>
      </c>
      <c r="AX145" s="299">
        <f>IF(AND($F145&lt;=AX$2, OR($G145="",$G145&gt;=AX$2)),
  $H145 * (1 + Assumptions!$C$7) ^ INT(((YEAR(AX$2)-YEAR($F145))*12 + MONTH(AX$2)-MONTH($F145)) / 12),
  0)</f>
        <v/>
      </c>
      <c r="AY145" s="299">
        <f>IF(AND($F145&lt;=AY$2, OR($G145="",$G145&gt;=AY$2)),
  $H145 * (1 + Assumptions!$C$7) ^ INT(((YEAR(AY$2)-YEAR($F145))*12 + MONTH(AY$2)-MONTH($F145)) / 12),
  0)</f>
        <v/>
      </c>
      <c r="AZ145" s="299">
        <f>IF(AND($F145&lt;=AZ$2, OR($G145="",$G145&gt;=AZ$2)),
  $H145 * (1 + Assumptions!$C$7) ^ INT(((YEAR(AZ$2)-YEAR($F145))*12 + MONTH(AZ$2)-MONTH($F145)) / 12),
  0)</f>
        <v/>
      </c>
      <c r="BA145" s="299">
        <f>IF(AND($F145&lt;=BA$2, OR($G145="",$G145&gt;=BA$2)),
  $H145 * (1 + Assumptions!$C$7) ^ INT(((YEAR(BA$2)-YEAR($F145))*12 + MONTH(BA$2)-MONTH($F145)) / 12),
  0)</f>
        <v/>
      </c>
      <c r="BB145" s="299">
        <f>IF(AND($F145&lt;=BB$2, OR($G145="",$G145&gt;=BB$2)),
  $H145 * (1 + Assumptions!$C$7) ^ INT(((YEAR(BB$2)-YEAR($F145))*12 + MONTH(BB$2)-MONTH($F145)) / 12),
  0)</f>
        <v/>
      </c>
      <c r="BC145" s="299">
        <f>IF(AND($F145&lt;=BC$2, OR($G145="",$G145&gt;=BC$2)),
  $H145 * (1 + Assumptions!$C$7) ^ INT(((YEAR(BC$2)-YEAR($F145))*12 + MONTH(BC$2)-MONTH($F145)) / 12),
  0)</f>
        <v/>
      </c>
      <c r="BD145" s="299">
        <f>IF(AND($F145&lt;=BD$2, OR($G145="",$G145&gt;=BD$2)),
  $H145 * (1 + Assumptions!$C$7) ^ INT(((YEAR(BD$2)-YEAR($F145))*12 + MONTH(BD$2)-MONTH($F145)) / 12),
  0)</f>
        <v/>
      </c>
      <c r="BE145" s="299">
        <f>IF(AND($F145&lt;=BE$2, OR($G145="",$G145&gt;=BE$2)),
  $H145 * (1 + Assumptions!$C$7) ^ INT(((YEAR(BE$2)-YEAR($F145))*12 + MONTH(BE$2)-MONTH($F145)) / 12),
  0)</f>
        <v/>
      </c>
      <c r="BF145" s="299">
        <f>IF(AND($F145&lt;=BF$2, OR($G145="",$G145&gt;=BF$2)),
  $H145 * (1 + Assumptions!$C$7) ^ INT(((YEAR(BF$2)-YEAR($F145))*12 + MONTH(BF$2)-MONTH($F145)) / 12),
  0)</f>
        <v/>
      </c>
      <c r="BG145" s="299">
        <f>IF(AND($F145&lt;=BG$2, OR($G145="",$G145&gt;=BG$2)),
  $H145 * (1 + Assumptions!$C$7) ^ INT(((YEAR(BG$2)-YEAR($F145))*12 + MONTH(BG$2)-MONTH($F145)) / 12),
  0)</f>
        <v/>
      </c>
      <c r="BH145" s="299">
        <f>IF(AND($F145&lt;=BH$2, OR($G145="",$G145&gt;=BH$2)),
  $H145 * (1 + Assumptions!$C$7) ^ INT(((YEAR(BH$2)-YEAR($F145))*12 + MONTH(BH$2)-MONTH($F145)) / 12),
  0)</f>
        <v/>
      </c>
      <c r="BI145" s="299">
        <f>IF(AND($F145&lt;=BI$2, OR($G145="",$G145&gt;=BI$2)),
  $H145 * (1 + Assumptions!$C$7) ^ INT(((YEAR(BI$2)-YEAR($F145))*12 + MONTH(BI$2)-MONTH($F145)) / 12),
  0)</f>
        <v/>
      </c>
      <c r="BJ145" s="299">
        <f>IF(AND($F145&lt;=BJ$2, OR($G145="",$G145&gt;=BJ$2)),
  $H145 * (1 + Assumptions!$C$7) ^ INT(((YEAR(BJ$2)-YEAR($F145))*12 + MONTH(BJ$2)-MONTH($F145)) / 12),
  0)</f>
        <v/>
      </c>
      <c r="BK145" s="299">
        <f>IF(AND($F145&lt;=BK$2, OR($G145="",$G145&gt;=BK$2)),
  $H145 * (1 + Assumptions!$C$7) ^ INT(((YEAR(BK$2)-YEAR($F145))*12 + MONTH(BK$2)-MONTH($F145)) / 12),
  0)</f>
        <v/>
      </c>
      <c r="BL145" s="299">
        <f>IF(AND($F145&lt;=BL$2, OR($G145="",$G145&gt;=BL$2)),
  $H145 * (1 + Assumptions!$C$7) ^ INT(((YEAR(BL$2)-YEAR($F145))*12 + MONTH(BL$2)-MONTH($F145)) / 12),
  0)</f>
        <v/>
      </c>
      <c r="BM145" s="299">
        <f>IF(AND($F145&lt;=BM$2, OR($G145="",$G145&gt;=BM$2)),
  $H145 * (1 + Assumptions!$C$7) ^ INT(((YEAR(BM$2)-YEAR($F145))*12 + MONTH(BM$2)-MONTH($F145)) / 12),
  0)</f>
        <v/>
      </c>
      <c r="BN145" s="299">
        <f>IF(AND($F145&lt;=BN$2, OR($G145="",$G145&gt;=BN$2)),
  $H145 * (1 + Assumptions!$C$7) ^ INT(((YEAR(BN$2)-YEAR($F145))*12 + MONTH(BN$2)-MONTH($F145)) / 12),
  0)</f>
        <v/>
      </c>
      <c r="BO145" s="299">
        <f>IF(AND($F145&lt;=BO$2, OR($G145="",$G145&gt;=BO$2)),
  $H145 * (1 + Assumptions!$C$7) ^ INT(((YEAR(BO$2)-YEAR($F145))*12 + MONTH(BO$2)-MONTH($F145)) / 12),
  0)</f>
        <v/>
      </c>
      <c r="BP145" s="299">
        <f>IF(AND($F145&lt;=BP$2, OR($G145="",$G145&gt;=BP$2)),
  $H145 * (1 + Assumptions!$C$7) ^ INT(((YEAR(BP$2)-YEAR($F145))*12 + MONTH(BP$2)-MONTH($F145)) / 12),
  0)</f>
        <v/>
      </c>
      <c r="BQ145" s="31" t="n"/>
      <c r="BR145" s="31" t="n"/>
      <c r="BS145" s="31" t="n"/>
      <c r="BT145" s="31" t="n"/>
    </row>
    <row r="146" ht="15.75" customHeight="1" s="349">
      <c r="A146" s="321" t="n">
        <v>141</v>
      </c>
      <c r="B146" s="285" t="inlineStr">
        <is>
          <t>New hire</t>
        </is>
      </c>
      <c r="C146" s="317" t="inlineStr">
        <is>
          <t>G&amp;A</t>
        </is>
      </c>
      <c r="D146" s="317" t="inlineStr">
        <is>
          <t>Production Operator</t>
        </is>
      </c>
      <c r="E146" s="297" t="inlineStr">
        <is>
          <t>Planned</t>
        </is>
      </c>
      <c r="F146" s="318">
        <f>IF(Assumptions!$D$82=2,DATE(2029,7,1),DATE(2035,1,1))</f>
        <v/>
      </c>
      <c r="G146" s="318" t="n"/>
      <c r="H146" s="288" t="n">
        <v>5000</v>
      </c>
      <c r="I146" s="299">
        <f>IF(AND($F146&lt;=I$2, OR($G146="",$G146&gt;=I$2)),
  $H146 * (1 + Assumptions!$C$7) ^ INT(((YEAR(I$2)-YEAR($F146))*12 + MONTH(I$2)-MONTH($F146)) / 12),
  0)</f>
        <v/>
      </c>
      <c r="J146" s="299">
        <f>IF(AND($F146&lt;=J$2, OR($G146="",$G146&gt;=J$2)),
  $H146 * (1 + Assumptions!$C$7) ^ INT(((YEAR(J$2)-YEAR($F146))*12 + MONTH(J$2)-MONTH($F146)) / 12),
  0)</f>
        <v/>
      </c>
      <c r="K146" s="299">
        <f>IF(AND($F146&lt;=K$2, OR($G146="",$G146&gt;=K$2)),
  $H146 * (1 + Assumptions!$C$7) ^ INT(((YEAR(K$2)-YEAR($F146))*12 + MONTH(K$2)-MONTH($F146)) / 12),
  0)</f>
        <v/>
      </c>
      <c r="L146" s="299">
        <f>IF(AND($F146&lt;=L$2, OR($G146="",$G146&gt;=L$2)),
  $H146 * (1 + Assumptions!$C$7) ^ INT(((YEAR(L$2)-YEAR($F146))*12 + MONTH(L$2)-MONTH($F146)) / 12),
  0)</f>
        <v/>
      </c>
      <c r="M146" s="299">
        <f>IF(AND($F146&lt;=M$2, OR($G146="",$G146&gt;=M$2)),
  $H146 * (1 + Assumptions!$C$7) ^ INT(((YEAR(M$2)-YEAR($F146))*12 + MONTH(M$2)-MONTH($F146)) / 12),
  0)</f>
        <v/>
      </c>
      <c r="N146" s="299">
        <f>IF(AND($F146&lt;=N$2, OR($G146="",$G146&gt;=N$2)),
  $H146 * (1 + Assumptions!$C$7) ^ INT(((YEAR(N$2)-YEAR($F146))*12 + MONTH(N$2)-MONTH($F146)) / 12),
  0)</f>
        <v/>
      </c>
      <c r="O146" s="299">
        <f>IF(AND($F146&lt;=O$2, OR($G146="",$G146&gt;=O$2)),
  $H146 * (1 + Assumptions!$C$7) ^ INT(((YEAR(O$2)-YEAR($F146))*12 + MONTH(O$2)-MONTH($F146)) / 12),
  0)</f>
        <v/>
      </c>
      <c r="P146" s="299">
        <f>IF(AND($F146&lt;=P$2, OR($G146="",$G146&gt;=P$2)),
  $H146 * (1 + Assumptions!$C$7) ^ INT(((YEAR(P$2)-YEAR($F146))*12 + MONTH(P$2)-MONTH($F146)) / 12),
  0)</f>
        <v/>
      </c>
      <c r="Q146" s="299">
        <f>IF(AND($F146&lt;=Q$2, OR($G146="",$G146&gt;=Q$2)),
  $H146 * (1 + Assumptions!$C$7) ^ INT(((YEAR(Q$2)-YEAR($F146))*12 + MONTH(Q$2)-MONTH($F146)) / 12),
  0)</f>
        <v/>
      </c>
      <c r="R146" s="299">
        <f>IF(AND($F146&lt;=R$2, OR($G146="",$G146&gt;=R$2)),
  $H146 * (1 + Assumptions!$C$7) ^ INT(((YEAR(R$2)-YEAR($F146))*12 + MONTH(R$2)-MONTH($F146)) / 12),
  0)</f>
        <v/>
      </c>
      <c r="S146" s="299">
        <f>IF(AND($F146&lt;=S$2, OR($G146="",$G146&gt;=S$2)),
  $H146 * (1 + Assumptions!$C$7) ^ INT(((YEAR(S$2)-YEAR($F146))*12 + MONTH(S$2)-MONTH($F146)) / 12),
  0)</f>
        <v/>
      </c>
      <c r="T146" s="299">
        <f>IF(AND($F146&lt;=T$2, OR($G146="",$G146&gt;=T$2)),
  $H146 * (1 + Assumptions!$C$7) ^ INT(((YEAR(T$2)-YEAR($F146))*12 + MONTH(T$2)-MONTH($F146)) / 12),
  0)</f>
        <v/>
      </c>
      <c r="U146" s="299">
        <f>IF(AND($F146&lt;=U$2, OR($G146="",$G146&gt;=U$2)),
  $H146 * (1 + Assumptions!$C$7) ^ INT(((YEAR(U$2)-YEAR($F146))*12 + MONTH(U$2)-MONTH($F146)) / 12),
  0)</f>
        <v/>
      </c>
      <c r="V146" s="299">
        <f>IF(AND($F146&lt;=V$2, OR($G146="",$G146&gt;=V$2)),
  $H146 * (1 + Assumptions!$C$7) ^ INT(((YEAR(V$2)-YEAR($F146))*12 + MONTH(V$2)-MONTH($F146)) / 12),
  0)</f>
        <v/>
      </c>
      <c r="W146" s="299">
        <f>IF(AND($F146&lt;=W$2, OR($G146="",$G146&gt;=W$2)),
  $H146 * (1 + Assumptions!$C$7) ^ INT(((YEAR(W$2)-YEAR($F146))*12 + MONTH(W$2)-MONTH($F146)) / 12),
  0)</f>
        <v/>
      </c>
      <c r="X146" s="299">
        <f>IF(AND($F146&lt;=X$2, OR($G146="",$G146&gt;=X$2)),
  $H146 * (1 + Assumptions!$C$7) ^ INT(((YEAR(X$2)-YEAR($F146))*12 + MONTH(X$2)-MONTH($F146)) / 12),
  0)</f>
        <v/>
      </c>
      <c r="Y146" s="299">
        <f>IF(AND($F146&lt;=Y$2, OR($G146="",$G146&gt;=Y$2)),
  $H146 * (1 + Assumptions!$C$7) ^ INT(((YEAR(Y$2)-YEAR($F146))*12 + MONTH(Y$2)-MONTH($F146)) / 12),
  0)</f>
        <v/>
      </c>
      <c r="Z146" s="299">
        <f>IF(AND($F146&lt;=Z$2, OR($G146="",$G146&gt;=Z$2)),
  $H146 * (1 + Assumptions!$C$7) ^ INT(((YEAR(Z$2)-YEAR($F146))*12 + MONTH(Z$2)-MONTH($F146)) / 12),
  0)</f>
        <v/>
      </c>
      <c r="AA146" s="299">
        <f>IF(AND($F146&lt;=AA$2, OR($G146="",$G146&gt;=AA$2)),
  $H146 * (1 + Assumptions!$C$7) ^ INT(((YEAR(AA$2)-YEAR($F146))*12 + MONTH(AA$2)-MONTH($F146)) / 12),
  0)</f>
        <v/>
      </c>
      <c r="AB146" s="299">
        <f>IF(AND($F146&lt;=AB$2, OR($G146="",$G146&gt;=AB$2)),
  $H146 * (1 + Assumptions!$C$7) ^ INT(((YEAR(AB$2)-YEAR($F146))*12 + MONTH(AB$2)-MONTH($F146)) / 12),
  0)</f>
        <v/>
      </c>
      <c r="AC146" s="299">
        <f>IF(AND($F146&lt;=AC$2, OR($G146="",$G146&gt;=AC$2)),
  $H146 * (1 + Assumptions!$C$7) ^ INT(((YEAR(AC$2)-YEAR($F146))*12 + MONTH(AC$2)-MONTH($F146)) / 12),
  0)</f>
        <v/>
      </c>
      <c r="AD146" s="299">
        <f>IF(AND($F146&lt;=AD$2, OR($G146="",$G146&gt;=AD$2)),
  $H146 * (1 + Assumptions!$C$7) ^ INT(((YEAR(AD$2)-YEAR($F146))*12 + MONTH(AD$2)-MONTH($F146)) / 12),
  0)</f>
        <v/>
      </c>
      <c r="AE146" s="299">
        <f>IF(AND($F146&lt;=AE$2, OR($G146="",$G146&gt;=AE$2)),
  $H146 * (1 + Assumptions!$C$7) ^ INT(((YEAR(AE$2)-YEAR($F146))*12 + MONTH(AE$2)-MONTH($F146)) / 12),
  0)</f>
        <v/>
      </c>
      <c r="AF146" s="299">
        <f>IF(AND($F146&lt;=AF$2, OR($G146="",$G146&gt;=AF$2)),
  $H146 * (1 + Assumptions!$C$7) ^ INT(((YEAR(AF$2)-YEAR($F146))*12 + MONTH(AF$2)-MONTH($F146)) / 12),
  0)</f>
        <v/>
      </c>
      <c r="AG146" s="299">
        <f>IF(AND($F146&lt;=AG$2, OR($G146="",$G146&gt;=AG$2)),
  $H146 * (1 + Assumptions!$C$7) ^ INT(((YEAR(AG$2)-YEAR($F146))*12 + MONTH(AG$2)-MONTH($F146)) / 12),
  0)</f>
        <v/>
      </c>
      <c r="AH146" s="299">
        <f>IF(AND($F146&lt;=AH$2, OR($G146="",$G146&gt;=AH$2)),
  $H146 * (1 + Assumptions!$C$7) ^ INT(((YEAR(AH$2)-YEAR($F146))*12 + MONTH(AH$2)-MONTH($F146)) / 12),
  0)</f>
        <v/>
      </c>
      <c r="AI146" s="299">
        <f>IF(AND($F146&lt;=AI$2, OR($G146="",$G146&gt;=AI$2)),
  $H146 * (1 + Assumptions!$C$7) ^ INT(((YEAR(AI$2)-YEAR($F146))*12 + MONTH(AI$2)-MONTH($F146)) / 12),
  0)</f>
        <v/>
      </c>
      <c r="AJ146" s="299">
        <f>IF(AND($F146&lt;=AJ$2, OR($G146="",$G146&gt;=AJ$2)),
  $H146 * (1 + Assumptions!$C$7) ^ INT(((YEAR(AJ$2)-YEAR($F146))*12 + MONTH(AJ$2)-MONTH($F146)) / 12),
  0)</f>
        <v/>
      </c>
      <c r="AK146" s="299">
        <f>IF(AND($F146&lt;=AK$2, OR($G146="",$G146&gt;=AK$2)),
  $H146 * (1 + Assumptions!$C$7) ^ INT(((YEAR(AK$2)-YEAR($F146))*12 + MONTH(AK$2)-MONTH($F146)) / 12),
  0)</f>
        <v/>
      </c>
      <c r="AL146" s="299">
        <f>IF(AND($F146&lt;=AL$2, OR($G146="",$G146&gt;=AL$2)),
  $H146 * (1 + Assumptions!$C$7) ^ INT(((YEAR(AL$2)-YEAR($F146))*12 + MONTH(AL$2)-MONTH($F146)) / 12),
  0)</f>
        <v/>
      </c>
      <c r="AM146" s="299">
        <f>IF(AND($F146&lt;=AM$2, OR($G146="",$G146&gt;=AM$2)),
  $H146 * (1 + Assumptions!$C$7) ^ INT(((YEAR(AM$2)-YEAR($F146))*12 + MONTH(AM$2)-MONTH($F146)) / 12),
  0)</f>
        <v/>
      </c>
      <c r="AN146" s="299">
        <f>IF(AND($F146&lt;=AN$2, OR($G146="",$G146&gt;=AN$2)),
  $H146 * (1 + Assumptions!$C$7) ^ INT(((YEAR(AN$2)-YEAR($F146))*12 + MONTH(AN$2)-MONTH($F146)) / 12),
  0)</f>
        <v/>
      </c>
      <c r="AO146" s="299">
        <f>IF(AND($F146&lt;=AO$2, OR($G146="",$G146&gt;=AO$2)),
  $H146 * (1 + Assumptions!$C$7) ^ INT(((YEAR(AO$2)-YEAR($F146))*12 + MONTH(AO$2)-MONTH($F146)) / 12),
  0)</f>
        <v/>
      </c>
      <c r="AP146" s="299">
        <f>IF(AND($F146&lt;=AP$2, OR($G146="",$G146&gt;=AP$2)),
  $H146 * (1 + Assumptions!$C$7) ^ INT(((YEAR(AP$2)-YEAR($F146))*12 + MONTH(AP$2)-MONTH($F146)) / 12),
  0)</f>
        <v/>
      </c>
      <c r="AQ146" s="299">
        <f>IF(AND($F146&lt;=AQ$2, OR($G146="",$G146&gt;=AQ$2)),
  $H146 * (1 + Assumptions!$C$7) ^ INT(((YEAR(AQ$2)-YEAR($F146))*12 + MONTH(AQ$2)-MONTH($F146)) / 12),
  0)</f>
        <v/>
      </c>
      <c r="AR146" s="299">
        <f>IF(AND($F146&lt;=AR$2, OR($G146="",$G146&gt;=AR$2)),
  $H146 * (1 + Assumptions!$C$7) ^ INT(((YEAR(AR$2)-YEAR($F146))*12 + MONTH(AR$2)-MONTH($F146)) / 12),
  0)</f>
        <v/>
      </c>
      <c r="AS146" s="299">
        <f>IF(AND($F146&lt;=AS$2, OR($G146="",$G146&gt;=AS$2)),
  $H146 * (1 + Assumptions!$C$7) ^ INT(((YEAR(AS$2)-YEAR($F146))*12 + MONTH(AS$2)-MONTH($F146)) / 12),
  0)</f>
        <v/>
      </c>
      <c r="AT146" s="299">
        <f>IF(AND($F146&lt;=AT$2, OR($G146="",$G146&gt;=AT$2)),
  $H146 * (1 + Assumptions!$C$7) ^ INT(((YEAR(AT$2)-YEAR($F146))*12 + MONTH(AT$2)-MONTH($F146)) / 12),
  0)</f>
        <v/>
      </c>
      <c r="AU146" s="299">
        <f>IF(AND($F146&lt;=AU$2, OR($G146="",$G146&gt;=AU$2)),
  $H146 * (1 + Assumptions!$C$7) ^ INT(((YEAR(AU$2)-YEAR($F146))*12 + MONTH(AU$2)-MONTH($F146)) / 12),
  0)</f>
        <v/>
      </c>
      <c r="AV146" s="299">
        <f>IF(AND($F146&lt;=AV$2, OR($G146="",$G146&gt;=AV$2)),
  $H146 * (1 + Assumptions!$C$7) ^ INT(((YEAR(AV$2)-YEAR($F146))*12 + MONTH(AV$2)-MONTH($F146)) / 12),
  0)</f>
        <v/>
      </c>
      <c r="AW146" s="299">
        <f>IF(AND($F146&lt;=AW$2, OR($G146="",$G146&gt;=AW$2)),
  $H146 * (1 + Assumptions!$C$7) ^ INT(((YEAR(AW$2)-YEAR($F146))*12 + MONTH(AW$2)-MONTH($F146)) / 12),
  0)</f>
        <v/>
      </c>
      <c r="AX146" s="299">
        <f>IF(AND($F146&lt;=AX$2, OR($G146="",$G146&gt;=AX$2)),
  $H146 * (1 + Assumptions!$C$7) ^ INT(((YEAR(AX$2)-YEAR($F146))*12 + MONTH(AX$2)-MONTH($F146)) / 12),
  0)</f>
        <v/>
      </c>
      <c r="AY146" s="299">
        <f>IF(AND($F146&lt;=AY$2, OR($G146="",$G146&gt;=AY$2)),
  $H146 * (1 + Assumptions!$C$7) ^ INT(((YEAR(AY$2)-YEAR($F146))*12 + MONTH(AY$2)-MONTH($F146)) / 12),
  0)</f>
        <v/>
      </c>
      <c r="AZ146" s="299">
        <f>IF(AND($F146&lt;=AZ$2, OR($G146="",$G146&gt;=AZ$2)),
  $H146 * (1 + Assumptions!$C$7) ^ INT(((YEAR(AZ$2)-YEAR($F146))*12 + MONTH(AZ$2)-MONTH($F146)) / 12),
  0)</f>
        <v/>
      </c>
      <c r="BA146" s="299">
        <f>IF(AND($F146&lt;=BA$2, OR($G146="",$G146&gt;=BA$2)),
  $H146 * (1 + Assumptions!$C$7) ^ INT(((YEAR(BA$2)-YEAR($F146))*12 + MONTH(BA$2)-MONTH($F146)) / 12),
  0)</f>
        <v/>
      </c>
      <c r="BB146" s="299">
        <f>IF(AND($F146&lt;=BB$2, OR($G146="",$G146&gt;=BB$2)),
  $H146 * (1 + Assumptions!$C$7) ^ INT(((YEAR(BB$2)-YEAR($F146))*12 + MONTH(BB$2)-MONTH($F146)) / 12),
  0)</f>
        <v/>
      </c>
      <c r="BC146" s="299">
        <f>IF(AND($F146&lt;=BC$2, OR($G146="",$G146&gt;=BC$2)),
  $H146 * (1 + Assumptions!$C$7) ^ INT(((YEAR(BC$2)-YEAR($F146))*12 + MONTH(BC$2)-MONTH($F146)) / 12),
  0)</f>
        <v/>
      </c>
      <c r="BD146" s="299">
        <f>IF(AND($F146&lt;=BD$2, OR($G146="",$G146&gt;=BD$2)),
  $H146 * (1 + Assumptions!$C$7) ^ INT(((YEAR(BD$2)-YEAR($F146))*12 + MONTH(BD$2)-MONTH($F146)) / 12),
  0)</f>
        <v/>
      </c>
      <c r="BE146" s="299">
        <f>IF(AND($F146&lt;=BE$2, OR($G146="",$G146&gt;=BE$2)),
  $H146 * (1 + Assumptions!$C$7) ^ INT(((YEAR(BE$2)-YEAR($F146))*12 + MONTH(BE$2)-MONTH($F146)) / 12),
  0)</f>
        <v/>
      </c>
      <c r="BF146" s="299">
        <f>IF(AND($F146&lt;=BF$2, OR($G146="",$G146&gt;=BF$2)),
  $H146 * (1 + Assumptions!$C$7) ^ INT(((YEAR(BF$2)-YEAR($F146))*12 + MONTH(BF$2)-MONTH($F146)) / 12),
  0)</f>
        <v/>
      </c>
      <c r="BG146" s="299">
        <f>IF(AND($F146&lt;=BG$2, OR($G146="",$G146&gt;=BG$2)),
  $H146 * (1 + Assumptions!$C$7) ^ INT(((YEAR(BG$2)-YEAR($F146))*12 + MONTH(BG$2)-MONTH($F146)) / 12),
  0)</f>
        <v/>
      </c>
      <c r="BH146" s="299">
        <f>IF(AND($F146&lt;=BH$2, OR($G146="",$G146&gt;=BH$2)),
  $H146 * (1 + Assumptions!$C$7) ^ INT(((YEAR(BH$2)-YEAR($F146))*12 + MONTH(BH$2)-MONTH($F146)) / 12),
  0)</f>
        <v/>
      </c>
      <c r="BI146" s="299">
        <f>IF(AND($F146&lt;=BI$2, OR($G146="",$G146&gt;=BI$2)),
  $H146 * (1 + Assumptions!$C$7) ^ INT(((YEAR(BI$2)-YEAR($F146))*12 + MONTH(BI$2)-MONTH($F146)) / 12),
  0)</f>
        <v/>
      </c>
      <c r="BJ146" s="299">
        <f>IF(AND($F146&lt;=BJ$2, OR($G146="",$G146&gt;=BJ$2)),
  $H146 * (1 + Assumptions!$C$7) ^ INT(((YEAR(BJ$2)-YEAR($F146))*12 + MONTH(BJ$2)-MONTH($F146)) / 12),
  0)</f>
        <v/>
      </c>
      <c r="BK146" s="299">
        <f>IF(AND($F146&lt;=BK$2, OR($G146="",$G146&gt;=BK$2)),
  $H146 * (1 + Assumptions!$C$7) ^ INT(((YEAR(BK$2)-YEAR($F146))*12 + MONTH(BK$2)-MONTH($F146)) / 12),
  0)</f>
        <v/>
      </c>
      <c r="BL146" s="299">
        <f>IF(AND($F146&lt;=BL$2, OR($G146="",$G146&gt;=BL$2)),
  $H146 * (1 + Assumptions!$C$7) ^ INT(((YEAR(BL$2)-YEAR($F146))*12 + MONTH(BL$2)-MONTH($F146)) / 12),
  0)</f>
        <v/>
      </c>
      <c r="BM146" s="299">
        <f>IF(AND($F146&lt;=BM$2, OR($G146="",$G146&gt;=BM$2)),
  $H146 * (1 + Assumptions!$C$7) ^ INT(((YEAR(BM$2)-YEAR($F146))*12 + MONTH(BM$2)-MONTH($F146)) / 12),
  0)</f>
        <v/>
      </c>
      <c r="BN146" s="299">
        <f>IF(AND($F146&lt;=BN$2, OR($G146="",$G146&gt;=BN$2)),
  $H146 * (1 + Assumptions!$C$7) ^ INT(((YEAR(BN$2)-YEAR($F146))*12 + MONTH(BN$2)-MONTH($F146)) / 12),
  0)</f>
        <v/>
      </c>
      <c r="BO146" s="299">
        <f>IF(AND($F146&lt;=BO$2, OR($G146="",$G146&gt;=BO$2)),
  $H146 * (1 + Assumptions!$C$7) ^ INT(((YEAR(BO$2)-YEAR($F146))*12 + MONTH(BO$2)-MONTH($F146)) / 12),
  0)</f>
        <v/>
      </c>
      <c r="BP146" s="299">
        <f>IF(AND($F146&lt;=BP$2, OR($G146="",$G146&gt;=BP$2)),
  $H146 * (1 + Assumptions!$C$7) ^ INT(((YEAR(BP$2)-YEAR($F146))*12 + MONTH(BP$2)-MONTH($F146)) / 12),
  0)</f>
        <v/>
      </c>
      <c r="BQ146" s="31" t="n"/>
      <c r="BR146" s="31" t="n"/>
      <c r="BS146" s="31" t="n"/>
      <c r="BT146" s="31" t="n"/>
    </row>
    <row r="147" ht="15.75" customHeight="1" s="349">
      <c r="A147" s="321" t="n">
        <v>142</v>
      </c>
      <c r="B147" s="285" t="inlineStr">
        <is>
          <t>New hire</t>
        </is>
      </c>
      <c r="C147" s="317" t="inlineStr">
        <is>
          <t>G&amp;A</t>
        </is>
      </c>
      <c r="D147" s="317" t="inlineStr">
        <is>
          <t>Production Operator</t>
        </is>
      </c>
      <c r="E147" s="297" t="inlineStr">
        <is>
          <t>Planned</t>
        </is>
      </c>
      <c r="F147" s="318">
        <f>IF(Assumptions!$D$82=2,DATE(2029,7,1),DATE(2035,1,1))</f>
        <v/>
      </c>
      <c r="G147" s="318" t="n"/>
      <c r="H147" s="288" t="n">
        <v>5000</v>
      </c>
      <c r="I147" s="299">
        <f>IF(AND($F147&lt;=I$2, OR($G147="",$G147&gt;=I$2)),
  $H147 * (1 + Assumptions!$C$7) ^ INT(((YEAR(I$2)-YEAR($F147))*12 + MONTH(I$2)-MONTH($F147)) / 12),
  0)</f>
        <v/>
      </c>
      <c r="J147" s="299">
        <f>IF(AND($F147&lt;=J$2, OR($G147="",$G147&gt;=J$2)),
  $H147 * (1 + Assumptions!$C$7) ^ INT(((YEAR(J$2)-YEAR($F147))*12 + MONTH(J$2)-MONTH($F147)) / 12),
  0)</f>
        <v/>
      </c>
      <c r="K147" s="299">
        <f>IF(AND($F147&lt;=K$2, OR($G147="",$G147&gt;=K$2)),
  $H147 * (1 + Assumptions!$C$7) ^ INT(((YEAR(K$2)-YEAR($F147))*12 + MONTH(K$2)-MONTH($F147)) / 12),
  0)</f>
        <v/>
      </c>
      <c r="L147" s="299">
        <f>IF(AND($F147&lt;=L$2, OR($G147="",$G147&gt;=L$2)),
  $H147 * (1 + Assumptions!$C$7) ^ INT(((YEAR(L$2)-YEAR($F147))*12 + MONTH(L$2)-MONTH($F147)) / 12),
  0)</f>
        <v/>
      </c>
      <c r="M147" s="299">
        <f>IF(AND($F147&lt;=M$2, OR($G147="",$G147&gt;=M$2)),
  $H147 * (1 + Assumptions!$C$7) ^ INT(((YEAR(M$2)-YEAR($F147))*12 + MONTH(M$2)-MONTH($F147)) / 12),
  0)</f>
        <v/>
      </c>
      <c r="N147" s="299">
        <f>IF(AND($F147&lt;=N$2, OR($G147="",$G147&gt;=N$2)),
  $H147 * (1 + Assumptions!$C$7) ^ INT(((YEAR(N$2)-YEAR($F147))*12 + MONTH(N$2)-MONTH($F147)) / 12),
  0)</f>
        <v/>
      </c>
      <c r="O147" s="299">
        <f>IF(AND($F147&lt;=O$2, OR($G147="",$G147&gt;=O$2)),
  $H147 * (1 + Assumptions!$C$7) ^ INT(((YEAR(O$2)-YEAR($F147))*12 + MONTH(O$2)-MONTH($F147)) / 12),
  0)</f>
        <v/>
      </c>
      <c r="P147" s="299">
        <f>IF(AND($F147&lt;=P$2, OR($G147="",$G147&gt;=P$2)),
  $H147 * (1 + Assumptions!$C$7) ^ INT(((YEAR(P$2)-YEAR($F147))*12 + MONTH(P$2)-MONTH($F147)) / 12),
  0)</f>
        <v/>
      </c>
      <c r="Q147" s="299">
        <f>IF(AND($F147&lt;=Q$2, OR($G147="",$G147&gt;=Q$2)),
  $H147 * (1 + Assumptions!$C$7) ^ INT(((YEAR(Q$2)-YEAR($F147))*12 + MONTH(Q$2)-MONTH($F147)) / 12),
  0)</f>
        <v/>
      </c>
      <c r="R147" s="299">
        <f>IF(AND($F147&lt;=R$2, OR($G147="",$G147&gt;=R$2)),
  $H147 * (1 + Assumptions!$C$7) ^ INT(((YEAR(R$2)-YEAR($F147))*12 + MONTH(R$2)-MONTH($F147)) / 12),
  0)</f>
        <v/>
      </c>
      <c r="S147" s="299">
        <f>IF(AND($F147&lt;=S$2, OR($G147="",$G147&gt;=S$2)),
  $H147 * (1 + Assumptions!$C$7) ^ INT(((YEAR(S$2)-YEAR($F147))*12 + MONTH(S$2)-MONTH($F147)) / 12),
  0)</f>
        <v/>
      </c>
      <c r="T147" s="299">
        <f>IF(AND($F147&lt;=T$2, OR($G147="",$G147&gt;=T$2)),
  $H147 * (1 + Assumptions!$C$7) ^ INT(((YEAR(T$2)-YEAR($F147))*12 + MONTH(T$2)-MONTH($F147)) / 12),
  0)</f>
        <v/>
      </c>
      <c r="U147" s="299">
        <f>IF(AND($F147&lt;=U$2, OR($G147="",$G147&gt;=U$2)),
  $H147 * (1 + Assumptions!$C$7) ^ INT(((YEAR(U$2)-YEAR($F147))*12 + MONTH(U$2)-MONTH($F147)) / 12),
  0)</f>
        <v/>
      </c>
      <c r="V147" s="299">
        <f>IF(AND($F147&lt;=V$2, OR($G147="",$G147&gt;=V$2)),
  $H147 * (1 + Assumptions!$C$7) ^ INT(((YEAR(V$2)-YEAR($F147))*12 + MONTH(V$2)-MONTH($F147)) / 12),
  0)</f>
        <v/>
      </c>
      <c r="W147" s="299">
        <f>IF(AND($F147&lt;=W$2, OR($G147="",$G147&gt;=W$2)),
  $H147 * (1 + Assumptions!$C$7) ^ INT(((YEAR(W$2)-YEAR($F147))*12 + MONTH(W$2)-MONTH($F147)) / 12),
  0)</f>
        <v/>
      </c>
      <c r="X147" s="299">
        <f>IF(AND($F147&lt;=X$2, OR($G147="",$G147&gt;=X$2)),
  $H147 * (1 + Assumptions!$C$7) ^ INT(((YEAR(X$2)-YEAR($F147))*12 + MONTH(X$2)-MONTH($F147)) / 12),
  0)</f>
        <v/>
      </c>
      <c r="Y147" s="299">
        <f>IF(AND($F147&lt;=Y$2, OR($G147="",$G147&gt;=Y$2)),
  $H147 * (1 + Assumptions!$C$7) ^ INT(((YEAR(Y$2)-YEAR($F147))*12 + MONTH(Y$2)-MONTH($F147)) / 12),
  0)</f>
        <v/>
      </c>
      <c r="Z147" s="299">
        <f>IF(AND($F147&lt;=Z$2, OR($G147="",$G147&gt;=Z$2)),
  $H147 * (1 + Assumptions!$C$7) ^ INT(((YEAR(Z$2)-YEAR($F147))*12 + MONTH(Z$2)-MONTH($F147)) / 12),
  0)</f>
        <v/>
      </c>
      <c r="AA147" s="299">
        <f>IF(AND($F147&lt;=AA$2, OR($G147="",$G147&gt;=AA$2)),
  $H147 * (1 + Assumptions!$C$7) ^ INT(((YEAR(AA$2)-YEAR($F147))*12 + MONTH(AA$2)-MONTH($F147)) / 12),
  0)</f>
        <v/>
      </c>
      <c r="AB147" s="299">
        <f>IF(AND($F147&lt;=AB$2, OR($G147="",$G147&gt;=AB$2)),
  $H147 * (1 + Assumptions!$C$7) ^ INT(((YEAR(AB$2)-YEAR($F147))*12 + MONTH(AB$2)-MONTH($F147)) / 12),
  0)</f>
        <v/>
      </c>
      <c r="AC147" s="299">
        <f>IF(AND($F147&lt;=AC$2, OR($G147="",$G147&gt;=AC$2)),
  $H147 * (1 + Assumptions!$C$7) ^ INT(((YEAR(AC$2)-YEAR($F147))*12 + MONTH(AC$2)-MONTH($F147)) / 12),
  0)</f>
        <v/>
      </c>
      <c r="AD147" s="299">
        <f>IF(AND($F147&lt;=AD$2, OR($G147="",$G147&gt;=AD$2)),
  $H147 * (1 + Assumptions!$C$7) ^ INT(((YEAR(AD$2)-YEAR($F147))*12 + MONTH(AD$2)-MONTH($F147)) / 12),
  0)</f>
        <v/>
      </c>
      <c r="AE147" s="299">
        <f>IF(AND($F147&lt;=AE$2, OR($G147="",$G147&gt;=AE$2)),
  $H147 * (1 + Assumptions!$C$7) ^ INT(((YEAR(AE$2)-YEAR($F147))*12 + MONTH(AE$2)-MONTH($F147)) / 12),
  0)</f>
        <v/>
      </c>
      <c r="AF147" s="299">
        <f>IF(AND($F147&lt;=AF$2, OR($G147="",$G147&gt;=AF$2)),
  $H147 * (1 + Assumptions!$C$7) ^ INT(((YEAR(AF$2)-YEAR($F147))*12 + MONTH(AF$2)-MONTH($F147)) / 12),
  0)</f>
        <v/>
      </c>
      <c r="AG147" s="299">
        <f>IF(AND($F147&lt;=AG$2, OR($G147="",$G147&gt;=AG$2)),
  $H147 * (1 + Assumptions!$C$7) ^ INT(((YEAR(AG$2)-YEAR($F147))*12 + MONTH(AG$2)-MONTH($F147)) / 12),
  0)</f>
        <v/>
      </c>
      <c r="AH147" s="299">
        <f>IF(AND($F147&lt;=AH$2, OR($G147="",$G147&gt;=AH$2)),
  $H147 * (1 + Assumptions!$C$7) ^ INT(((YEAR(AH$2)-YEAR($F147))*12 + MONTH(AH$2)-MONTH($F147)) / 12),
  0)</f>
        <v/>
      </c>
      <c r="AI147" s="299">
        <f>IF(AND($F147&lt;=AI$2, OR($G147="",$G147&gt;=AI$2)),
  $H147 * (1 + Assumptions!$C$7) ^ INT(((YEAR(AI$2)-YEAR($F147))*12 + MONTH(AI$2)-MONTH($F147)) / 12),
  0)</f>
        <v/>
      </c>
      <c r="AJ147" s="299">
        <f>IF(AND($F147&lt;=AJ$2, OR($G147="",$G147&gt;=AJ$2)),
  $H147 * (1 + Assumptions!$C$7) ^ INT(((YEAR(AJ$2)-YEAR($F147))*12 + MONTH(AJ$2)-MONTH($F147)) / 12),
  0)</f>
        <v/>
      </c>
      <c r="AK147" s="299">
        <f>IF(AND($F147&lt;=AK$2, OR($G147="",$G147&gt;=AK$2)),
  $H147 * (1 + Assumptions!$C$7) ^ INT(((YEAR(AK$2)-YEAR($F147))*12 + MONTH(AK$2)-MONTH($F147)) / 12),
  0)</f>
        <v/>
      </c>
      <c r="AL147" s="299">
        <f>IF(AND($F147&lt;=AL$2, OR($G147="",$G147&gt;=AL$2)),
  $H147 * (1 + Assumptions!$C$7) ^ INT(((YEAR(AL$2)-YEAR($F147))*12 + MONTH(AL$2)-MONTH($F147)) / 12),
  0)</f>
        <v/>
      </c>
      <c r="AM147" s="299">
        <f>IF(AND($F147&lt;=AM$2, OR($G147="",$G147&gt;=AM$2)),
  $H147 * (1 + Assumptions!$C$7) ^ INT(((YEAR(AM$2)-YEAR($F147))*12 + MONTH(AM$2)-MONTH($F147)) / 12),
  0)</f>
        <v/>
      </c>
      <c r="AN147" s="299">
        <f>IF(AND($F147&lt;=AN$2, OR($G147="",$G147&gt;=AN$2)),
  $H147 * (1 + Assumptions!$C$7) ^ INT(((YEAR(AN$2)-YEAR($F147))*12 + MONTH(AN$2)-MONTH($F147)) / 12),
  0)</f>
        <v/>
      </c>
      <c r="AO147" s="299">
        <f>IF(AND($F147&lt;=AO$2, OR($G147="",$G147&gt;=AO$2)),
  $H147 * (1 + Assumptions!$C$7) ^ INT(((YEAR(AO$2)-YEAR($F147))*12 + MONTH(AO$2)-MONTH($F147)) / 12),
  0)</f>
        <v/>
      </c>
      <c r="AP147" s="299">
        <f>IF(AND($F147&lt;=AP$2, OR($G147="",$G147&gt;=AP$2)),
  $H147 * (1 + Assumptions!$C$7) ^ INT(((YEAR(AP$2)-YEAR($F147))*12 + MONTH(AP$2)-MONTH($F147)) / 12),
  0)</f>
        <v/>
      </c>
      <c r="AQ147" s="299">
        <f>IF(AND($F147&lt;=AQ$2, OR($G147="",$G147&gt;=AQ$2)),
  $H147 * (1 + Assumptions!$C$7) ^ INT(((YEAR(AQ$2)-YEAR($F147))*12 + MONTH(AQ$2)-MONTH($F147)) / 12),
  0)</f>
        <v/>
      </c>
      <c r="AR147" s="299">
        <f>IF(AND($F147&lt;=AR$2, OR($G147="",$G147&gt;=AR$2)),
  $H147 * (1 + Assumptions!$C$7) ^ INT(((YEAR(AR$2)-YEAR($F147))*12 + MONTH(AR$2)-MONTH($F147)) / 12),
  0)</f>
        <v/>
      </c>
      <c r="AS147" s="299">
        <f>IF(AND($F147&lt;=AS$2, OR($G147="",$G147&gt;=AS$2)),
  $H147 * (1 + Assumptions!$C$7) ^ INT(((YEAR(AS$2)-YEAR($F147))*12 + MONTH(AS$2)-MONTH($F147)) / 12),
  0)</f>
        <v/>
      </c>
      <c r="AT147" s="299">
        <f>IF(AND($F147&lt;=AT$2, OR($G147="",$G147&gt;=AT$2)),
  $H147 * (1 + Assumptions!$C$7) ^ INT(((YEAR(AT$2)-YEAR($F147))*12 + MONTH(AT$2)-MONTH($F147)) / 12),
  0)</f>
        <v/>
      </c>
      <c r="AU147" s="299">
        <f>IF(AND($F147&lt;=AU$2, OR($G147="",$G147&gt;=AU$2)),
  $H147 * (1 + Assumptions!$C$7) ^ INT(((YEAR(AU$2)-YEAR($F147))*12 + MONTH(AU$2)-MONTH($F147)) / 12),
  0)</f>
        <v/>
      </c>
      <c r="AV147" s="299">
        <f>IF(AND($F147&lt;=AV$2, OR($G147="",$G147&gt;=AV$2)),
  $H147 * (1 + Assumptions!$C$7) ^ INT(((YEAR(AV$2)-YEAR($F147))*12 + MONTH(AV$2)-MONTH($F147)) / 12),
  0)</f>
        <v/>
      </c>
      <c r="AW147" s="299">
        <f>IF(AND($F147&lt;=AW$2, OR($G147="",$G147&gt;=AW$2)),
  $H147 * (1 + Assumptions!$C$7) ^ INT(((YEAR(AW$2)-YEAR($F147))*12 + MONTH(AW$2)-MONTH($F147)) / 12),
  0)</f>
        <v/>
      </c>
      <c r="AX147" s="299">
        <f>IF(AND($F147&lt;=AX$2, OR($G147="",$G147&gt;=AX$2)),
  $H147 * (1 + Assumptions!$C$7) ^ INT(((YEAR(AX$2)-YEAR($F147))*12 + MONTH(AX$2)-MONTH($F147)) / 12),
  0)</f>
        <v/>
      </c>
      <c r="AY147" s="299">
        <f>IF(AND($F147&lt;=AY$2, OR($G147="",$G147&gt;=AY$2)),
  $H147 * (1 + Assumptions!$C$7) ^ INT(((YEAR(AY$2)-YEAR($F147))*12 + MONTH(AY$2)-MONTH($F147)) / 12),
  0)</f>
        <v/>
      </c>
      <c r="AZ147" s="299">
        <f>IF(AND($F147&lt;=AZ$2, OR($G147="",$G147&gt;=AZ$2)),
  $H147 * (1 + Assumptions!$C$7) ^ INT(((YEAR(AZ$2)-YEAR($F147))*12 + MONTH(AZ$2)-MONTH($F147)) / 12),
  0)</f>
        <v/>
      </c>
      <c r="BA147" s="299">
        <f>IF(AND($F147&lt;=BA$2, OR($G147="",$G147&gt;=BA$2)),
  $H147 * (1 + Assumptions!$C$7) ^ INT(((YEAR(BA$2)-YEAR($F147))*12 + MONTH(BA$2)-MONTH($F147)) / 12),
  0)</f>
        <v/>
      </c>
      <c r="BB147" s="299">
        <f>IF(AND($F147&lt;=BB$2, OR($G147="",$G147&gt;=BB$2)),
  $H147 * (1 + Assumptions!$C$7) ^ INT(((YEAR(BB$2)-YEAR($F147))*12 + MONTH(BB$2)-MONTH($F147)) / 12),
  0)</f>
        <v/>
      </c>
      <c r="BC147" s="299">
        <f>IF(AND($F147&lt;=BC$2, OR($G147="",$G147&gt;=BC$2)),
  $H147 * (1 + Assumptions!$C$7) ^ INT(((YEAR(BC$2)-YEAR($F147))*12 + MONTH(BC$2)-MONTH($F147)) / 12),
  0)</f>
        <v/>
      </c>
      <c r="BD147" s="299">
        <f>IF(AND($F147&lt;=BD$2, OR($G147="",$G147&gt;=BD$2)),
  $H147 * (1 + Assumptions!$C$7) ^ INT(((YEAR(BD$2)-YEAR($F147))*12 + MONTH(BD$2)-MONTH($F147)) / 12),
  0)</f>
        <v/>
      </c>
      <c r="BE147" s="299">
        <f>IF(AND($F147&lt;=BE$2, OR($G147="",$G147&gt;=BE$2)),
  $H147 * (1 + Assumptions!$C$7) ^ INT(((YEAR(BE$2)-YEAR($F147))*12 + MONTH(BE$2)-MONTH($F147)) / 12),
  0)</f>
        <v/>
      </c>
      <c r="BF147" s="299">
        <f>IF(AND($F147&lt;=BF$2, OR($G147="",$G147&gt;=BF$2)),
  $H147 * (1 + Assumptions!$C$7) ^ INT(((YEAR(BF$2)-YEAR($F147))*12 + MONTH(BF$2)-MONTH($F147)) / 12),
  0)</f>
        <v/>
      </c>
      <c r="BG147" s="299">
        <f>IF(AND($F147&lt;=BG$2, OR($G147="",$G147&gt;=BG$2)),
  $H147 * (1 + Assumptions!$C$7) ^ INT(((YEAR(BG$2)-YEAR($F147))*12 + MONTH(BG$2)-MONTH($F147)) / 12),
  0)</f>
        <v/>
      </c>
      <c r="BH147" s="299">
        <f>IF(AND($F147&lt;=BH$2, OR($G147="",$G147&gt;=BH$2)),
  $H147 * (1 + Assumptions!$C$7) ^ INT(((YEAR(BH$2)-YEAR($F147))*12 + MONTH(BH$2)-MONTH($F147)) / 12),
  0)</f>
        <v/>
      </c>
      <c r="BI147" s="299">
        <f>IF(AND($F147&lt;=BI$2, OR($G147="",$G147&gt;=BI$2)),
  $H147 * (1 + Assumptions!$C$7) ^ INT(((YEAR(BI$2)-YEAR($F147))*12 + MONTH(BI$2)-MONTH($F147)) / 12),
  0)</f>
        <v/>
      </c>
      <c r="BJ147" s="299">
        <f>IF(AND($F147&lt;=BJ$2, OR($G147="",$G147&gt;=BJ$2)),
  $H147 * (1 + Assumptions!$C$7) ^ INT(((YEAR(BJ$2)-YEAR($F147))*12 + MONTH(BJ$2)-MONTH($F147)) / 12),
  0)</f>
        <v/>
      </c>
      <c r="BK147" s="299">
        <f>IF(AND($F147&lt;=BK$2, OR($G147="",$G147&gt;=BK$2)),
  $H147 * (1 + Assumptions!$C$7) ^ INT(((YEAR(BK$2)-YEAR($F147))*12 + MONTH(BK$2)-MONTH($F147)) / 12),
  0)</f>
        <v/>
      </c>
      <c r="BL147" s="299">
        <f>IF(AND($F147&lt;=BL$2, OR($G147="",$G147&gt;=BL$2)),
  $H147 * (1 + Assumptions!$C$7) ^ INT(((YEAR(BL$2)-YEAR($F147))*12 + MONTH(BL$2)-MONTH($F147)) / 12),
  0)</f>
        <v/>
      </c>
      <c r="BM147" s="299">
        <f>IF(AND($F147&lt;=BM$2, OR($G147="",$G147&gt;=BM$2)),
  $H147 * (1 + Assumptions!$C$7) ^ INT(((YEAR(BM$2)-YEAR($F147))*12 + MONTH(BM$2)-MONTH($F147)) / 12),
  0)</f>
        <v/>
      </c>
      <c r="BN147" s="299">
        <f>IF(AND($F147&lt;=BN$2, OR($G147="",$G147&gt;=BN$2)),
  $H147 * (1 + Assumptions!$C$7) ^ INT(((YEAR(BN$2)-YEAR($F147))*12 + MONTH(BN$2)-MONTH($F147)) / 12),
  0)</f>
        <v/>
      </c>
      <c r="BO147" s="299">
        <f>IF(AND($F147&lt;=BO$2, OR($G147="",$G147&gt;=BO$2)),
  $H147 * (1 + Assumptions!$C$7) ^ INT(((YEAR(BO$2)-YEAR($F147))*12 + MONTH(BO$2)-MONTH($F147)) / 12),
  0)</f>
        <v/>
      </c>
      <c r="BP147" s="299">
        <f>IF(AND($F147&lt;=BP$2, OR($G147="",$G147&gt;=BP$2)),
  $H147 * (1 + Assumptions!$C$7) ^ INT(((YEAR(BP$2)-YEAR($F147))*12 + MONTH(BP$2)-MONTH($F147)) / 12),
  0)</f>
        <v/>
      </c>
      <c r="BQ147" s="31" t="n"/>
      <c r="BR147" s="31" t="n"/>
      <c r="BS147" s="31" t="n"/>
      <c r="BT147" s="31" t="n"/>
    </row>
    <row r="148" ht="15.75" customHeight="1" s="349">
      <c r="A148" s="321" t="n">
        <v>143</v>
      </c>
      <c r="B148" s="285" t="inlineStr">
        <is>
          <t>New hire</t>
        </is>
      </c>
      <c r="C148" s="317" t="inlineStr">
        <is>
          <t>G&amp;A</t>
        </is>
      </c>
      <c r="D148" s="317" t="inlineStr">
        <is>
          <t>Production Operator</t>
        </is>
      </c>
      <c r="E148" s="297" t="inlineStr">
        <is>
          <t>Planned</t>
        </is>
      </c>
      <c r="F148" s="318">
        <f>IF(Assumptions!$D$82=2,DATE(2029,7,1),DATE(2035,1,1))</f>
        <v/>
      </c>
      <c r="G148" s="318" t="n"/>
      <c r="H148" s="288" t="n">
        <v>5000</v>
      </c>
      <c r="I148" s="299">
        <f>IF(AND($F148&lt;=I$2, OR($G148="",$G148&gt;=I$2)),
  $H148 * (1 + Assumptions!$C$7) ^ INT(((YEAR(I$2)-YEAR($F148))*12 + MONTH(I$2)-MONTH($F148)) / 12),
  0)</f>
        <v/>
      </c>
      <c r="J148" s="299">
        <f>IF(AND($F148&lt;=J$2, OR($G148="",$G148&gt;=J$2)),
  $H148 * (1 + Assumptions!$C$7) ^ INT(((YEAR(J$2)-YEAR($F148))*12 + MONTH(J$2)-MONTH($F148)) / 12),
  0)</f>
        <v/>
      </c>
      <c r="K148" s="299">
        <f>IF(AND($F148&lt;=K$2, OR($G148="",$G148&gt;=K$2)),
  $H148 * (1 + Assumptions!$C$7) ^ INT(((YEAR(K$2)-YEAR($F148))*12 + MONTH(K$2)-MONTH($F148)) / 12),
  0)</f>
        <v/>
      </c>
      <c r="L148" s="299">
        <f>IF(AND($F148&lt;=L$2, OR($G148="",$G148&gt;=L$2)),
  $H148 * (1 + Assumptions!$C$7) ^ INT(((YEAR(L$2)-YEAR($F148))*12 + MONTH(L$2)-MONTH($F148)) / 12),
  0)</f>
        <v/>
      </c>
      <c r="M148" s="299">
        <f>IF(AND($F148&lt;=M$2, OR($G148="",$G148&gt;=M$2)),
  $H148 * (1 + Assumptions!$C$7) ^ INT(((YEAR(M$2)-YEAR($F148))*12 + MONTH(M$2)-MONTH($F148)) / 12),
  0)</f>
        <v/>
      </c>
      <c r="N148" s="299">
        <f>IF(AND($F148&lt;=N$2, OR($G148="",$G148&gt;=N$2)),
  $H148 * (1 + Assumptions!$C$7) ^ INT(((YEAR(N$2)-YEAR($F148))*12 + MONTH(N$2)-MONTH($F148)) / 12),
  0)</f>
        <v/>
      </c>
      <c r="O148" s="299">
        <f>IF(AND($F148&lt;=O$2, OR($G148="",$G148&gt;=O$2)),
  $H148 * (1 + Assumptions!$C$7) ^ INT(((YEAR(O$2)-YEAR($F148))*12 + MONTH(O$2)-MONTH($F148)) / 12),
  0)</f>
        <v/>
      </c>
      <c r="P148" s="299">
        <f>IF(AND($F148&lt;=P$2, OR($G148="",$G148&gt;=P$2)),
  $H148 * (1 + Assumptions!$C$7) ^ INT(((YEAR(P$2)-YEAR($F148))*12 + MONTH(P$2)-MONTH($F148)) / 12),
  0)</f>
        <v/>
      </c>
      <c r="Q148" s="299">
        <f>IF(AND($F148&lt;=Q$2, OR($G148="",$G148&gt;=Q$2)),
  $H148 * (1 + Assumptions!$C$7) ^ INT(((YEAR(Q$2)-YEAR($F148))*12 + MONTH(Q$2)-MONTH($F148)) / 12),
  0)</f>
        <v/>
      </c>
      <c r="R148" s="299">
        <f>IF(AND($F148&lt;=R$2, OR($G148="",$G148&gt;=R$2)),
  $H148 * (1 + Assumptions!$C$7) ^ INT(((YEAR(R$2)-YEAR($F148))*12 + MONTH(R$2)-MONTH($F148)) / 12),
  0)</f>
        <v/>
      </c>
      <c r="S148" s="299">
        <f>IF(AND($F148&lt;=S$2, OR($G148="",$G148&gt;=S$2)),
  $H148 * (1 + Assumptions!$C$7) ^ INT(((YEAR(S$2)-YEAR($F148))*12 + MONTH(S$2)-MONTH($F148)) / 12),
  0)</f>
        <v/>
      </c>
      <c r="T148" s="299">
        <f>IF(AND($F148&lt;=T$2, OR($G148="",$G148&gt;=T$2)),
  $H148 * (1 + Assumptions!$C$7) ^ INT(((YEAR(T$2)-YEAR($F148))*12 + MONTH(T$2)-MONTH($F148)) / 12),
  0)</f>
        <v/>
      </c>
      <c r="U148" s="299">
        <f>IF(AND($F148&lt;=U$2, OR($G148="",$G148&gt;=U$2)),
  $H148 * (1 + Assumptions!$C$7) ^ INT(((YEAR(U$2)-YEAR($F148))*12 + MONTH(U$2)-MONTH($F148)) / 12),
  0)</f>
        <v/>
      </c>
      <c r="V148" s="299">
        <f>IF(AND($F148&lt;=V$2, OR($G148="",$G148&gt;=V$2)),
  $H148 * (1 + Assumptions!$C$7) ^ INT(((YEAR(V$2)-YEAR($F148))*12 + MONTH(V$2)-MONTH($F148)) / 12),
  0)</f>
        <v/>
      </c>
      <c r="W148" s="299">
        <f>IF(AND($F148&lt;=W$2, OR($G148="",$G148&gt;=W$2)),
  $H148 * (1 + Assumptions!$C$7) ^ INT(((YEAR(W$2)-YEAR($F148))*12 + MONTH(W$2)-MONTH($F148)) / 12),
  0)</f>
        <v/>
      </c>
      <c r="X148" s="299">
        <f>IF(AND($F148&lt;=X$2, OR($G148="",$G148&gt;=X$2)),
  $H148 * (1 + Assumptions!$C$7) ^ INT(((YEAR(X$2)-YEAR($F148))*12 + MONTH(X$2)-MONTH($F148)) / 12),
  0)</f>
        <v/>
      </c>
      <c r="Y148" s="299">
        <f>IF(AND($F148&lt;=Y$2, OR($G148="",$G148&gt;=Y$2)),
  $H148 * (1 + Assumptions!$C$7) ^ INT(((YEAR(Y$2)-YEAR($F148))*12 + MONTH(Y$2)-MONTH($F148)) / 12),
  0)</f>
        <v/>
      </c>
      <c r="Z148" s="299">
        <f>IF(AND($F148&lt;=Z$2, OR($G148="",$G148&gt;=Z$2)),
  $H148 * (1 + Assumptions!$C$7) ^ INT(((YEAR(Z$2)-YEAR($F148))*12 + MONTH(Z$2)-MONTH($F148)) / 12),
  0)</f>
        <v/>
      </c>
      <c r="AA148" s="299">
        <f>IF(AND($F148&lt;=AA$2, OR($G148="",$G148&gt;=AA$2)),
  $H148 * (1 + Assumptions!$C$7) ^ INT(((YEAR(AA$2)-YEAR($F148))*12 + MONTH(AA$2)-MONTH($F148)) / 12),
  0)</f>
        <v/>
      </c>
      <c r="AB148" s="299">
        <f>IF(AND($F148&lt;=AB$2, OR($G148="",$G148&gt;=AB$2)),
  $H148 * (1 + Assumptions!$C$7) ^ INT(((YEAR(AB$2)-YEAR($F148))*12 + MONTH(AB$2)-MONTH($F148)) / 12),
  0)</f>
        <v/>
      </c>
      <c r="AC148" s="299">
        <f>IF(AND($F148&lt;=AC$2, OR($G148="",$G148&gt;=AC$2)),
  $H148 * (1 + Assumptions!$C$7) ^ INT(((YEAR(AC$2)-YEAR($F148))*12 + MONTH(AC$2)-MONTH($F148)) / 12),
  0)</f>
        <v/>
      </c>
      <c r="AD148" s="299">
        <f>IF(AND($F148&lt;=AD$2, OR($G148="",$G148&gt;=AD$2)),
  $H148 * (1 + Assumptions!$C$7) ^ INT(((YEAR(AD$2)-YEAR($F148))*12 + MONTH(AD$2)-MONTH($F148)) / 12),
  0)</f>
        <v/>
      </c>
      <c r="AE148" s="299">
        <f>IF(AND($F148&lt;=AE$2, OR($G148="",$G148&gt;=AE$2)),
  $H148 * (1 + Assumptions!$C$7) ^ INT(((YEAR(AE$2)-YEAR($F148))*12 + MONTH(AE$2)-MONTH($F148)) / 12),
  0)</f>
        <v/>
      </c>
      <c r="AF148" s="299">
        <f>IF(AND($F148&lt;=AF$2, OR($G148="",$G148&gt;=AF$2)),
  $H148 * (1 + Assumptions!$C$7) ^ INT(((YEAR(AF$2)-YEAR($F148))*12 + MONTH(AF$2)-MONTH($F148)) / 12),
  0)</f>
        <v/>
      </c>
      <c r="AG148" s="299">
        <f>IF(AND($F148&lt;=AG$2, OR($G148="",$G148&gt;=AG$2)),
  $H148 * (1 + Assumptions!$C$7) ^ INT(((YEAR(AG$2)-YEAR($F148))*12 + MONTH(AG$2)-MONTH($F148)) / 12),
  0)</f>
        <v/>
      </c>
      <c r="AH148" s="299">
        <f>IF(AND($F148&lt;=AH$2, OR($G148="",$G148&gt;=AH$2)),
  $H148 * (1 + Assumptions!$C$7) ^ INT(((YEAR(AH$2)-YEAR($F148))*12 + MONTH(AH$2)-MONTH($F148)) / 12),
  0)</f>
        <v/>
      </c>
      <c r="AI148" s="299">
        <f>IF(AND($F148&lt;=AI$2, OR($G148="",$G148&gt;=AI$2)),
  $H148 * (1 + Assumptions!$C$7) ^ INT(((YEAR(AI$2)-YEAR($F148))*12 + MONTH(AI$2)-MONTH($F148)) / 12),
  0)</f>
        <v/>
      </c>
      <c r="AJ148" s="299">
        <f>IF(AND($F148&lt;=AJ$2, OR($G148="",$G148&gt;=AJ$2)),
  $H148 * (1 + Assumptions!$C$7) ^ INT(((YEAR(AJ$2)-YEAR($F148))*12 + MONTH(AJ$2)-MONTH($F148)) / 12),
  0)</f>
        <v/>
      </c>
      <c r="AK148" s="299">
        <f>IF(AND($F148&lt;=AK$2, OR($G148="",$G148&gt;=AK$2)),
  $H148 * (1 + Assumptions!$C$7) ^ INT(((YEAR(AK$2)-YEAR($F148))*12 + MONTH(AK$2)-MONTH($F148)) / 12),
  0)</f>
        <v/>
      </c>
      <c r="AL148" s="299">
        <f>IF(AND($F148&lt;=AL$2, OR($G148="",$G148&gt;=AL$2)),
  $H148 * (1 + Assumptions!$C$7) ^ INT(((YEAR(AL$2)-YEAR($F148))*12 + MONTH(AL$2)-MONTH($F148)) / 12),
  0)</f>
        <v/>
      </c>
      <c r="AM148" s="299">
        <f>IF(AND($F148&lt;=AM$2, OR($G148="",$G148&gt;=AM$2)),
  $H148 * (1 + Assumptions!$C$7) ^ INT(((YEAR(AM$2)-YEAR($F148))*12 + MONTH(AM$2)-MONTH($F148)) / 12),
  0)</f>
        <v/>
      </c>
      <c r="AN148" s="299">
        <f>IF(AND($F148&lt;=AN$2, OR($G148="",$G148&gt;=AN$2)),
  $H148 * (1 + Assumptions!$C$7) ^ INT(((YEAR(AN$2)-YEAR($F148))*12 + MONTH(AN$2)-MONTH($F148)) / 12),
  0)</f>
        <v/>
      </c>
      <c r="AO148" s="299">
        <f>IF(AND($F148&lt;=AO$2, OR($G148="",$G148&gt;=AO$2)),
  $H148 * (1 + Assumptions!$C$7) ^ INT(((YEAR(AO$2)-YEAR($F148))*12 + MONTH(AO$2)-MONTH($F148)) / 12),
  0)</f>
        <v/>
      </c>
      <c r="AP148" s="299">
        <f>IF(AND($F148&lt;=AP$2, OR($G148="",$G148&gt;=AP$2)),
  $H148 * (1 + Assumptions!$C$7) ^ INT(((YEAR(AP$2)-YEAR($F148))*12 + MONTH(AP$2)-MONTH($F148)) / 12),
  0)</f>
        <v/>
      </c>
      <c r="AQ148" s="299">
        <f>IF(AND($F148&lt;=AQ$2, OR($G148="",$G148&gt;=AQ$2)),
  $H148 * (1 + Assumptions!$C$7) ^ INT(((YEAR(AQ$2)-YEAR($F148))*12 + MONTH(AQ$2)-MONTH($F148)) / 12),
  0)</f>
        <v/>
      </c>
      <c r="AR148" s="299">
        <f>IF(AND($F148&lt;=AR$2, OR($G148="",$G148&gt;=AR$2)),
  $H148 * (1 + Assumptions!$C$7) ^ INT(((YEAR(AR$2)-YEAR($F148))*12 + MONTH(AR$2)-MONTH($F148)) / 12),
  0)</f>
        <v/>
      </c>
      <c r="AS148" s="299">
        <f>IF(AND($F148&lt;=AS$2, OR($G148="",$G148&gt;=AS$2)),
  $H148 * (1 + Assumptions!$C$7) ^ INT(((YEAR(AS$2)-YEAR($F148))*12 + MONTH(AS$2)-MONTH($F148)) / 12),
  0)</f>
        <v/>
      </c>
      <c r="AT148" s="299">
        <f>IF(AND($F148&lt;=AT$2, OR($G148="",$G148&gt;=AT$2)),
  $H148 * (1 + Assumptions!$C$7) ^ INT(((YEAR(AT$2)-YEAR($F148))*12 + MONTH(AT$2)-MONTH($F148)) / 12),
  0)</f>
        <v/>
      </c>
      <c r="AU148" s="299">
        <f>IF(AND($F148&lt;=AU$2, OR($G148="",$G148&gt;=AU$2)),
  $H148 * (1 + Assumptions!$C$7) ^ INT(((YEAR(AU$2)-YEAR($F148))*12 + MONTH(AU$2)-MONTH($F148)) / 12),
  0)</f>
        <v/>
      </c>
      <c r="AV148" s="299">
        <f>IF(AND($F148&lt;=AV$2, OR($G148="",$G148&gt;=AV$2)),
  $H148 * (1 + Assumptions!$C$7) ^ INT(((YEAR(AV$2)-YEAR($F148))*12 + MONTH(AV$2)-MONTH($F148)) / 12),
  0)</f>
        <v/>
      </c>
      <c r="AW148" s="299">
        <f>IF(AND($F148&lt;=AW$2, OR($G148="",$G148&gt;=AW$2)),
  $H148 * (1 + Assumptions!$C$7) ^ INT(((YEAR(AW$2)-YEAR($F148))*12 + MONTH(AW$2)-MONTH($F148)) / 12),
  0)</f>
        <v/>
      </c>
      <c r="AX148" s="299">
        <f>IF(AND($F148&lt;=AX$2, OR($G148="",$G148&gt;=AX$2)),
  $H148 * (1 + Assumptions!$C$7) ^ INT(((YEAR(AX$2)-YEAR($F148))*12 + MONTH(AX$2)-MONTH($F148)) / 12),
  0)</f>
        <v/>
      </c>
      <c r="AY148" s="299">
        <f>IF(AND($F148&lt;=AY$2, OR($G148="",$G148&gt;=AY$2)),
  $H148 * (1 + Assumptions!$C$7) ^ INT(((YEAR(AY$2)-YEAR($F148))*12 + MONTH(AY$2)-MONTH($F148)) / 12),
  0)</f>
        <v/>
      </c>
      <c r="AZ148" s="299">
        <f>IF(AND($F148&lt;=AZ$2, OR($G148="",$G148&gt;=AZ$2)),
  $H148 * (1 + Assumptions!$C$7) ^ INT(((YEAR(AZ$2)-YEAR($F148))*12 + MONTH(AZ$2)-MONTH($F148)) / 12),
  0)</f>
        <v/>
      </c>
      <c r="BA148" s="299">
        <f>IF(AND($F148&lt;=BA$2, OR($G148="",$G148&gt;=BA$2)),
  $H148 * (1 + Assumptions!$C$7) ^ INT(((YEAR(BA$2)-YEAR($F148))*12 + MONTH(BA$2)-MONTH($F148)) / 12),
  0)</f>
        <v/>
      </c>
      <c r="BB148" s="299">
        <f>IF(AND($F148&lt;=BB$2, OR($G148="",$G148&gt;=BB$2)),
  $H148 * (1 + Assumptions!$C$7) ^ INT(((YEAR(BB$2)-YEAR($F148))*12 + MONTH(BB$2)-MONTH($F148)) / 12),
  0)</f>
        <v/>
      </c>
      <c r="BC148" s="299">
        <f>IF(AND($F148&lt;=BC$2, OR($G148="",$G148&gt;=BC$2)),
  $H148 * (1 + Assumptions!$C$7) ^ INT(((YEAR(BC$2)-YEAR($F148))*12 + MONTH(BC$2)-MONTH($F148)) / 12),
  0)</f>
        <v/>
      </c>
      <c r="BD148" s="299">
        <f>IF(AND($F148&lt;=BD$2, OR($G148="",$G148&gt;=BD$2)),
  $H148 * (1 + Assumptions!$C$7) ^ INT(((YEAR(BD$2)-YEAR($F148))*12 + MONTH(BD$2)-MONTH($F148)) / 12),
  0)</f>
        <v/>
      </c>
      <c r="BE148" s="299">
        <f>IF(AND($F148&lt;=BE$2, OR($G148="",$G148&gt;=BE$2)),
  $H148 * (1 + Assumptions!$C$7) ^ INT(((YEAR(BE$2)-YEAR($F148))*12 + MONTH(BE$2)-MONTH($F148)) / 12),
  0)</f>
        <v/>
      </c>
      <c r="BF148" s="299">
        <f>IF(AND($F148&lt;=BF$2, OR($G148="",$G148&gt;=BF$2)),
  $H148 * (1 + Assumptions!$C$7) ^ INT(((YEAR(BF$2)-YEAR($F148))*12 + MONTH(BF$2)-MONTH($F148)) / 12),
  0)</f>
        <v/>
      </c>
      <c r="BG148" s="299">
        <f>IF(AND($F148&lt;=BG$2, OR($G148="",$G148&gt;=BG$2)),
  $H148 * (1 + Assumptions!$C$7) ^ INT(((YEAR(BG$2)-YEAR($F148))*12 + MONTH(BG$2)-MONTH($F148)) / 12),
  0)</f>
        <v/>
      </c>
      <c r="BH148" s="299">
        <f>IF(AND($F148&lt;=BH$2, OR($G148="",$G148&gt;=BH$2)),
  $H148 * (1 + Assumptions!$C$7) ^ INT(((YEAR(BH$2)-YEAR($F148))*12 + MONTH(BH$2)-MONTH($F148)) / 12),
  0)</f>
        <v/>
      </c>
      <c r="BI148" s="299">
        <f>IF(AND($F148&lt;=BI$2, OR($G148="",$G148&gt;=BI$2)),
  $H148 * (1 + Assumptions!$C$7) ^ INT(((YEAR(BI$2)-YEAR($F148))*12 + MONTH(BI$2)-MONTH($F148)) / 12),
  0)</f>
        <v/>
      </c>
      <c r="BJ148" s="299">
        <f>IF(AND($F148&lt;=BJ$2, OR($G148="",$G148&gt;=BJ$2)),
  $H148 * (1 + Assumptions!$C$7) ^ INT(((YEAR(BJ$2)-YEAR($F148))*12 + MONTH(BJ$2)-MONTH($F148)) / 12),
  0)</f>
        <v/>
      </c>
      <c r="BK148" s="299">
        <f>IF(AND($F148&lt;=BK$2, OR($G148="",$G148&gt;=BK$2)),
  $H148 * (1 + Assumptions!$C$7) ^ INT(((YEAR(BK$2)-YEAR($F148))*12 + MONTH(BK$2)-MONTH($F148)) / 12),
  0)</f>
        <v/>
      </c>
      <c r="BL148" s="299">
        <f>IF(AND($F148&lt;=BL$2, OR($G148="",$G148&gt;=BL$2)),
  $H148 * (1 + Assumptions!$C$7) ^ INT(((YEAR(BL$2)-YEAR($F148))*12 + MONTH(BL$2)-MONTH($F148)) / 12),
  0)</f>
        <v/>
      </c>
      <c r="BM148" s="299">
        <f>IF(AND($F148&lt;=BM$2, OR($G148="",$G148&gt;=BM$2)),
  $H148 * (1 + Assumptions!$C$7) ^ INT(((YEAR(BM$2)-YEAR($F148))*12 + MONTH(BM$2)-MONTH($F148)) / 12),
  0)</f>
        <v/>
      </c>
      <c r="BN148" s="299">
        <f>IF(AND($F148&lt;=BN$2, OR($G148="",$G148&gt;=BN$2)),
  $H148 * (1 + Assumptions!$C$7) ^ INT(((YEAR(BN$2)-YEAR($F148))*12 + MONTH(BN$2)-MONTH($F148)) / 12),
  0)</f>
        <v/>
      </c>
      <c r="BO148" s="299">
        <f>IF(AND($F148&lt;=BO$2, OR($G148="",$G148&gt;=BO$2)),
  $H148 * (1 + Assumptions!$C$7) ^ INT(((YEAR(BO$2)-YEAR($F148))*12 + MONTH(BO$2)-MONTH($F148)) / 12),
  0)</f>
        <v/>
      </c>
      <c r="BP148" s="299">
        <f>IF(AND($F148&lt;=BP$2, OR($G148="",$G148&gt;=BP$2)),
  $H148 * (1 + Assumptions!$C$7) ^ INT(((YEAR(BP$2)-YEAR($F148))*12 + MONTH(BP$2)-MONTH($F148)) / 12),
  0)</f>
        <v/>
      </c>
      <c r="BQ148" s="31" t="n"/>
      <c r="BR148" s="31" t="n"/>
      <c r="BS148" s="31" t="n"/>
      <c r="BT148" s="31" t="n"/>
    </row>
    <row r="149" ht="15.75" customHeight="1" s="349">
      <c r="A149" s="321" t="n">
        <v>144</v>
      </c>
      <c r="B149" s="285" t="inlineStr">
        <is>
          <t>New hire</t>
        </is>
      </c>
      <c r="C149" s="317" t="inlineStr">
        <is>
          <t>G&amp;A</t>
        </is>
      </c>
      <c r="D149" s="317" t="inlineStr">
        <is>
          <t>Production Operator</t>
        </is>
      </c>
      <c r="E149" s="297" t="inlineStr">
        <is>
          <t>Planned</t>
        </is>
      </c>
      <c r="F149" s="318">
        <f>IF(Assumptions!$D$82=2,DATE(2029,7,1),DATE(2035,1,1))</f>
        <v/>
      </c>
      <c r="G149" s="318" t="n"/>
      <c r="H149" s="288" t="n">
        <v>5000</v>
      </c>
      <c r="I149" s="299">
        <f>IF(AND($F149&lt;=I$2, OR($G149="",$G149&gt;=I$2)),
  $H149 * (1 + Assumptions!$C$7) ^ INT(((YEAR(I$2)-YEAR($F149))*12 + MONTH(I$2)-MONTH($F149)) / 12),
  0)</f>
        <v/>
      </c>
      <c r="J149" s="299">
        <f>IF(AND($F149&lt;=J$2, OR($G149="",$G149&gt;=J$2)),
  $H149 * (1 + Assumptions!$C$7) ^ INT(((YEAR(J$2)-YEAR($F149))*12 + MONTH(J$2)-MONTH($F149)) / 12),
  0)</f>
        <v/>
      </c>
      <c r="K149" s="299">
        <f>IF(AND($F149&lt;=K$2, OR($G149="",$G149&gt;=K$2)),
  $H149 * (1 + Assumptions!$C$7) ^ INT(((YEAR(K$2)-YEAR($F149))*12 + MONTH(K$2)-MONTH($F149)) / 12),
  0)</f>
        <v/>
      </c>
      <c r="L149" s="299">
        <f>IF(AND($F149&lt;=L$2, OR($G149="",$G149&gt;=L$2)),
  $H149 * (1 + Assumptions!$C$7) ^ INT(((YEAR(L$2)-YEAR($F149))*12 + MONTH(L$2)-MONTH($F149)) / 12),
  0)</f>
        <v/>
      </c>
      <c r="M149" s="299">
        <f>IF(AND($F149&lt;=M$2, OR($G149="",$G149&gt;=M$2)),
  $H149 * (1 + Assumptions!$C$7) ^ INT(((YEAR(M$2)-YEAR($F149))*12 + MONTH(M$2)-MONTH($F149)) / 12),
  0)</f>
        <v/>
      </c>
      <c r="N149" s="299">
        <f>IF(AND($F149&lt;=N$2, OR($G149="",$G149&gt;=N$2)),
  $H149 * (1 + Assumptions!$C$7) ^ INT(((YEAR(N$2)-YEAR($F149))*12 + MONTH(N$2)-MONTH($F149)) / 12),
  0)</f>
        <v/>
      </c>
      <c r="O149" s="299">
        <f>IF(AND($F149&lt;=O$2, OR($G149="",$G149&gt;=O$2)),
  $H149 * (1 + Assumptions!$C$7) ^ INT(((YEAR(O$2)-YEAR($F149))*12 + MONTH(O$2)-MONTH($F149)) / 12),
  0)</f>
        <v/>
      </c>
      <c r="P149" s="299">
        <f>IF(AND($F149&lt;=P$2, OR($G149="",$G149&gt;=P$2)),
  $H149 * (1 + Assumptions!$C$7) ^ INT(((YEAR(P$2)-YEAR($F149))*12 + MONTH(P$2)-MONTH($F149)) / 12),
  0)</f>
        <v/>
      </c>
      <c r="Q149" s="299">
        <f>IF(AND($F149&lt;=Q$2, OR($G149="",$G149&gt;=Q$2)),
  $H149 * (1 + Assumptions!$C$7) ^ INT(((YEAR(Q$2)-YEAR($F149))*12 + MONTH(Q$2)-MONTH($F149)) / 12),
  0)</f>
        <v/>
      </c>
      <c r="R149" s="299">
        <f>IF(AND($F149&lt;=R$2, OR($G149="",$G149&gt;=R$2)),
  $H149 * (1 + Assumptions!$C$7) ^ INT(((YEAR(R$2)-YEAR($F149))*12 + MONTH(R$2)-MONTH($F149)) / 12),
  0)</f>
        <v/>
      </c>
      <c r="S149" s="299">
        <f>IF(AND($F149&lt;=S$2, OR($G149="",$G149&gt;=S$2)),
  $H149 * (1 + Assumptions!$C$7) ^ INT(((YEAR(S$2)-YEAR($F149))*12 + MONTH(S$2)-MONTH($F149)) / 12),
  0)</f>
        <v/>
      </c>
      <c r="T149" s="299">
        <f>IF(AND($F149&lt;=T$2, OR($G149="",$G149&gt;=T$2)),
  $H149 * (1 + Assumptions!$C$7) ^ INT(((YEAR(T$2)-YEAR($F149))*12 + MONTH(T$2)-MONTH($F149)) / 12),
  0)</f>
        <v/>
      </c>
      <c r="U149" s="299">
        <f>IF(AND($F149&lt;=U$2, OR($G149="",$G149&gt;=U$2)),
  $H149 * (1 + Assumptions!$C$7) ^ INT(((YEAR(U$2)-YEAR($F149))*12 + MONTH(U$2)-MONTH($F149)) / 12),
  0)</f>
        <v/>
      </c>
      <c r="V149" s="299">
        <f>IF(AND($F149&lt;=V$2, OR($G149="",$G149&gt;=V$2)),
  $H149 * (1 + Assumptions!$C$7) ^ INT(((YEAR(V$2)-YEAR($F149))*12 + MONTH(V$2)-MONTH($F149)) / 12),
  0)</f>
        <v/>
      </c>
      <c r="W149" s="299">
        <f>IF(AND($F149&lt;=W$2, OR($G149="",$G149&gt;=W$2)),
  $H149 * (1 + Assumptions!$C$7) ^ INT(((YEAR(W$2)-YEAR($F149))*12 + MONTH(W$2)-MONTH($F149)) / 12),
  0)</f>
        <v/>
      </c>
      <c r="X149" s="299">
        <f>IF(AND($F149&lt;=X$2, OR($G149="",$G149&gt;=X$2)),
  $H149 * (1 + Assumptions!$C$7) ^ INT(((YEAR(X$2)-YEAR($F149))*12 + MONTH(X$2)-MONTH($F149)) / 12),
  0)</f>
        <v/>
      </c>
      <c r="Y149" s="299">
        <f>IF(AND($F149&lt;=Y$2, OR($G149="",$G149&gt;=Y$2)),
  $H149 * (1 + Assumptions!$C$7) ^ INT(((YEAR(Y$2)-YEAR($F149))*12 + MONTH(Y$2)-MONTH($F149)) / 12),
  0)</f>
        <v/>
      </c>
      <c r="Z149" s="299">
        <f>IF(AND($F149&lt;=Z$2, OR($G149="",$G149&gt;=Z$2)),
  $H149 * (1 + Assumptions!$C$7) ^ INT(((YEAR(Z$2)-YEAR($F149))*12 + MONTH(Z$2)-MONTH($F149)) / 12),
  0)</f>
        <v/>
      </c>
      <c r="AA149" s="299">
        <f>IF(AND($F149&lt;=AA$2, OR($G149="",$G149&gt;=AA$2)),
  $H149 * (1 + Assumptions!$C$7) ^ INT(((YEAR(AA$2)-YEAR($F149))*12 + MONTH(AA$2)-MONTH($F149)) / 12),
  0)</f>
        <v/>
      </c>
      <c r="AB149" s="299">
        <f>IF(AND($F149&lt;=AB$2, OR($G149="",$G149&gt;=AB$2)),
  $H149 * (1 + Assumptions!$C$7) ^ INT(((YEAR(AB$2)-YEAR($F149))*12 + MONTH(AB$2)-MONTH($F149)) / 12),
  0)</f>
        <v/>
      </c>
      <c r="AC149" s="299">
        <f>IF(AND($F149&lt;=AC$2, OR($G149="",$G149&gt;=AC$2)),
  $H149 * (1 + Assumptions!$C$7) ^ INT(((YEAR(AC$2)-YEAR($F149))*12 + MONTH(AC$2)-MONTH($F149)) / 12),
  0)</f>
        <v/>
      </c>
      <c r="AD149" s="299">
        <f>IF(AND($F149&lt;=AD$2, OR($G149="",$G149&gt;=AD$2)),
  $H149 * (1 + Assumptions!$C$7) ^ INT(((YEAR(AD$2)-YEAR($F149))*12 + MONTH(AD$2)-MONTH($F149)) / 12),
  0)</f>
        <v/>
      </c>
      <c r="AE149" s="299">
        <f>IF(AND($F149&lt;=AE$2, OR($G149="",$G149&gt;=AE$2)),
  $H149 * (1 + Assumptions!$C$7) ^ INT(((YEAR(AE$2)-YEAR($F149))*12 + MONTH(AE$2)-MONTH($F149)) / 12),
  0)</f>
        <v/>
      </c>
      <c r="AF149" s="299">
        <f>IF(AND($F149&lt;=AF$2, OR($G149="",$G149&gt;=AF$2)),
  $H149 * (1 + Assumptions!$C$7) ^ INT(((YEAR(AF$2)-YEAR($F149))*12 + MONTH(AF$2)-MONTH($F149)) / 12),
  0)</f>
        <v/>
      </c>
      <c r="AG149" s="299">
        <f>IF(AND($F149&lt;=AG$2, OR($G149="",$G149&gt;=AG$2)),
  $H149 * (1 + Assumptions!$C$7) ^ INT(((YEAR(AG$2)-YEAR($F149))*12 + MONTH(AG$2)-MONTH($F149)) / 12),
  0)</f>
        <v/>
      </c>
      <c r="AH149" s="299">
        <f>IF(AND($F149&lt;=AH$2, OR($G149="",$G149&gt;=AH$2)),
  $H149 * (1 + Assumptions!$C$7) ^ INT(((YEAR(AH$2)-YEAR($F149))*12 + MONTH(AH$2)-MONTH($F149)) / 12),
  0)</f>
        <v/>
      </c>
      <c r="AI149" s="299">
        <f>IF(AND($F149&lt;=AI$2, OR($G149="",$G149&gt;=AI$2)),
  $H149 * (1 + Assumptions!$C$7) ^ INT(((YEAR(AI$2)-YEAR($F149))*12 + MONTH(AI$2)-MONTH($F149)) / 12),
  0)</f>
        <v/>
      </c>
      <c r="AJ149" s="299">
        <f>IF(AND($F149&lt;=AJ$2, OR($G149="",$G149&gt;=AJ$2)),
  $H149 * (1 + Assumptions!$C$7) ^ INT(((YEAR(AJ$2)-YEAR($F149))*12 + MONTH(AJ$2)-MONTH($F149)) / 12),
  0)</f>
        <v/>
      </c>
      <c r="AK149" s="299">
        <f>IF(AND($F149&lt;=AK$2, OR($G149="",$G149&gt;=AK$2)),
  $H149 * (1 + Assumptions!$C$7) ^ INT(((YEAR(AK$2)-YEAR($F149))*12 + MONTH(AK$2)-MONTH($F149)) / 12),
  0)</f>
        <v/>
      </c>
      <c r="AL149" s="299">
        <f>IF(AND($F149&lt;=AL$2, OR($G149="",$G149&gt;=AL$2)),
  $H149 * (1 + Assumptions!$C$7) ^ INT(((YEAR(AL$2)-YEAR($F149))*12 + MONTH(AL$2)-MONTH($F149)) / 12),
  0)</f>
        <v/>
      </c>
      <c r="AM149" s="299">
        <f>IF(AND($F149&lt;=AM$2, OR($G149="",$G149&gt;=AM$2)),
  $H149 * (1 + Assumptions!$C$7) ^ INT(((YEAR(AM$2)-YEAR($F149))*12 + MONTH(AM$2)-MONTH($F149)) / 12),
  0)</f>
        <v/>
      </c>
      <c r="AN149" s="299">
        <f>IF(AND($F149&lt;=AN$2, OR($G149="",$G149&gt;=AN$2)),
  $H149 * (1 + Assumptions!$C$7) ^ INT(((YEAR(AN$2)-YEAR($F149))*12 + MONTH(AN$2)-MONTH($F149)) / 12),
  0)</f>
        <v/>
      </c>
      <c r="AO149" s="299">
        <f>IF(AND($F149&lt;=AO$2, OR($G149="",$G149&gt;=AO$2)),
  $H149 * (1 + Assumptions!$C$7) ^ INT(((YEAR(AO$2)-YEAR($F149))*12 + MONTH(AO$2)-MONTH($F149)) / 12),
  0)</f>
        <v/>
      </c>
      <c r="AP149" s="299">
        <f>IF(AND($F149&lt;=AP$2, OR($G149="",$G149&gt;=AP$2)),
  $H149 * (1 + Assumptions!$C$7) ^ INT(((YEAR(AP$2)-YEAR($F149))*12 + MONTH(AP$2)-MONTH($F149)) / 12),
  0)</f>
        <v/>
      </c>
      <c r="AQ149" s="299">
        <f>IF(AND($F149&lt;=AQ$2, OR($G149="",$G149&gt;=AQ$2)),
  $H149 * (1 + Assumptions!$C$7) ^ INT(((YEAR(AQ$2)-YEAR($F149))*12 + MONTH(AQ$2)-MONTH($F149)) / 12),
  0)</f>
        <v/>
      </c>
      <c r="AR149" s="299">
        <f>IF(AND($F149&lt;=AR$2, OR($G149="",$G149&gt;=AR$2)),
  $H149 * (1 + Assumptions!$C$7) ^ INT(((YEAR(AR$2)-YEAR($F149))*12 + MONTH(AR$2)-MONTH($F149)) / 12),
  0)</f>
        <v/>
      </c>
      <c r="AS149" s="299">
        <f>IF(AND($F149&lt;=AS$2, OR($G149="",$G149&gt;=AS$2)),
  $H149 * (1 + Assumptions!$C$7) ^ INT(((YEAR(AS$2)-YEAR($F149))*12 + MONTH(AS$2)-MONTH($F149)) / 12),
  0)</f>
        <v/>
      </c>
      <c r="AT149" s="299">
        <f>IF(AND($F149&lt;=AT$2, OR($G149="",$G149&gt;=AT$2)),
  $H149 * (1 + Assumptions!$C$7) ^ INT(((YEAR(AT$2)-YEAR($F149))*12 + MONTH(AT$2)-MONTH($F149)) / 12),
  0)</f>
        <v/>
      </c>
      <c r="AU149" s="299">
        <f>IF(AND($F149&lt;=AU$2, OR($G149="",$G149&gt;=AU$2)),
  $H149 * (1 + Assumptions!$C$7) ^ INT(((YEAR(AU$2)-YEAR($F149))*12 + MONTH(AU$2)-MONTH($F149)) / 12),
  0)</f>
        <v/>
      </c>
      <c r="AV149" s="299">
        <f>IF(AND($F149&lt;=AV$2, OR($G149="",$G149&gt;=AV$2)),
  $H149 * (1 + Assumptions!$C$7) ^ INT(((YEAR(AV$2)-YEAR($F149))*12 + MONTH(AV$2)-MONTH($F149)) / 12),
  0)</f>
        <v/>
      </c>
      <c r="AW149" s="299">
        <f>IF(AND($F149&lt;=AW$2, OR($G149="",$G149&gt;=AW$2)),
  $H149 * (1 + Assumptions!$C$7) ^ INT(((YEAR(AW$2)-YEAR($F149))*12 + MONTH(AW$2)-MONTH($F149)) / 12),
  0)</f>
        <v/>
      </c>
      <c r="AX149" s="299">
        <f>IF(AND($F149&lt;=AX$2, OR($G149="",$G149&gt;=AX$2)),
  $H149 * (1 + Assumptions!$C$7) ^ INT(((YEAR(AX$2)-YEAR($F149))*12 + MONTH(AX$2)-MONTH($F149)) / 12),
  0)</f>
        <v/>
      </c>
      <c r="AY149" s="299">
        <f>IF(AND($F149&lt;=AY$2, OR($G149="",$G149&gt;=AY$2)),
  $H149 * (1 + Assumptions!$C$7) ^ INT(((YEAR(AY$2)-YEAR($F149))*12 + MONTH(AY$2)-MONTH($F149)) / 12),
  0)</f>
        <v/>
      </c>
      <c r="AZ149" s="299">
        <f>IF(AND($F149&lt;=AZ$2, OR($G149="",$G149&gt;=AZ$2)),
  $H149 * (1 + Assumptions!$C$7) ^ INT(((YEAR(AZ$2)-YEAR($F149))*12 + MONTH(AZ$2)-MONTH($F149)) / 12),
  0)</f>
        <v/>
      </c>
      <c r="BA149" s="299">
        <f>IF(AND($F149&lt;=BA$2, OR($G149="",$G149&gt;=BA$2)),
  $H149 * (1 + Assumptions!$C$7) ^ INT(((YEAR(BA$2)-YEAR($F149))*12 + MONTH(BA$2)-MONTH($F149)) / 12),
  0)</f>
        <v/>
      </c>
      <c r="BB149" s="299">
        <f>IF(AND($F149&lt;=BB$2, OR($G149="",$G149&gt;=BB$2)),
  $H149 * (1 + Assumptions!$C$7) ^ INT(((YEAR(BB$2)-YEAR($F149))*12 + MONTH(BB$2)-MONTH($F149)) / 12),
  0)</f>
        <v/>
      </c>
      <c r="BC149" s="299">
        <f>IF(AND($F149&lt;=BC$2, OR($G149="",$G149&gt;=BC$2)),
  $H149 * (1 + Assumptions!$C$7) ^ INT(((YEAR(BC$2)-YEAR($F149))*12 + MONTH(BC$2)-MONTH($F149)) / 12),
  0)</f>
        <v/>
      </c>
      <c r="BD149" s="299">
        <f>IF(AND($F149&lt;=BD$2, OR($G149="",$G149&gt;=BD$2)),
  $H149 * (1 + Assumptions!$C$7) ^ INT(((YEAR(BD$2)-YEAR($F149))*12 + MONTH(BD$2)-MONTH($F149)) / 12),
  0)</f>
        <v/>
      </c>
      <c r="BE149" s="299">
        <f>IF(AND($F149&lt;=BE$2, OR($G149="",$G149&gt;=BE$2)),
  $H149 * (1 + Assumptions!$C$7) ^ INT(((YEAR(BE$2)-YEAR($F149))*12 + MONTH(BE$2)-MONTH($F149)) / 12),
  0)</f>
        <v/>
      </c>
      <c r="BF149" s="299">
        <f>IF(AND($F149&lt;=BF$2, OR($G149="",$G149&gt;=BF$2)),
  $H149 * (1 + Assumptions!$C$7) ^ INT(((YEAR(BF$2)-YEAR($F149))*12 + MONTH(BF$2)-MONTH($F149)) / 12),
  0)</f>
        <v/>
      </c>
      <c r="BG149" s="299">
        <f>IF(AND($F149&lt;=BG$2, OR($G149="",$G149&gt;=BG$2)),
  $H149 * (1 + Assumptions!$C$7) ^ INT(((YEAR(BG$2)-YEAR($F149))*12 + MONTH(BG$2)-MONTH($F149)) / 12),
  0)</f>
        <v/>
      </c>
      <c r="BH149" s="299">
        <f>IF(AND($F149&lt;=BH$2, OR($G149="",$G149&gt;=BH$2)),
  $H149 * (1 + Assumptions!$C$7) ^ INT(((YEAR(BH$2)-YEAR($F149))*12 + MONTH(BH$2)-MONTH($F149)) / 12),
  0)</f>
        <v/>
      </c>
      <c r="BI149" s="299">
        <f>IF(AND($F149&lt;=BI$2, OR($G149="",$G149&gt;=BI$2)),
  $H149 * (1 + Assumptions!$C$7) ^ INT(((YEAR(BI$2)-YEAR($F149))*12 + MONTH(BI$2)-MONTH($F149)) / 12),
  0)</f>
        <v/>
      </c>
      <c r="BJ149" s="299">
        <f>IF(AND($F149&lt;=BJ$2, OR($G149="",$G149&gt;=BJ$2)),
  $H149 * (1 + Assumptions!$C$7) ^ INT(((YEAR(BJ$2)-YEAR($F149))*12 + MONTH(BJ$2)-MONTH($F149)) / 12),
  0)</f>
        <v/>
      </c>
      <c r="BK149" s="299">
        <f>IF(AND($F149&lt;=BK$2, OR($G149="",$G149&gt;=BK$2)),
  $H149 * (1 + Assumptions!$C$7) ^ INT(((YEAR(BK$2)-YEAR($F149))*12 + MONTH(BK$2)-MONTH($F149)) / 12),
  0)</f>
        <v/>
      </c>
      <c r="BL149" s="299">
        <f>IF(AND($F149&lt;=BL$2, OR($G149="",$G149&gt;=BL$2)),
  $H149 * (1 + Assumptions!$C$7) ^ INT(((YEAR(BL$2)-YEAR($F149))*12 + MONTH(BL$2)-MONTH($F149)) / 12),
  0)</f>
        <v/>
      </c>
      <c r="BM149" s="299">
        <f>IF(AND($F149&lt;=BM$2, OR($G149="",$G149&gt;=BM$2)),
  $H149 * (1 + Assumptions!$C$7) ^ INT(((YEAR(BM$2)-YEAR($F149))*12 + MONTH(BM$2)-MONTH($F149)) / 12),
  0)</f>
        <v/>
      </c>
      <c r="BN149" s="299">
        <f>IF(AND($F149&lt;=BN$2, OR($G149="",$G149&gt;=BN$2)),
  $H149 * (1 + Assumptions!$C$7) ^ INT(((YEAR(BN$2)-YEAR($F149))*12 + MONTH(BN$2)-MONTH($F149)) / 12),
  0)</f>
        <v/>
      </c>
      <c r="BO149" s="299">
        <f>IF(AND($F149&lt;=BO$2, OR($G149="",$G149&gt;=BO$2)),
  $H149 * (1 + Assumptions!$C$7) ^ INT(((YEAR(BO$2)-YEAR($F149))*12 + MONTH(BO$2)-MONTH($F149)) / 12),
  0)</f>
        <v/>
      </c>
      <c r="BP149" s="299">
        <f>IF(AND($F149&lt;=BP$2, OR($G149="",$G149&gt;=BP$2)),
  $H149 * (1 + Assumptions!$C$7) ^ INT(((YEAR(BP$2)-YEAR($F149))*12 + MONTH(BP$2)-MONTH($F149)) / 12),
  0)</f>
        <v/>
      </c>
      <c r="BQ149" s="31" t="n"/>
      <c r="BR149" s="31" t="n"/>
      <c r="BS149" s="31" t="n"/>
      <c r="BT149" s="31" t="n"/>
    </row>
    <row r="150" ht="15.75" customHeight="1" s="349">
      <c r="A150" s="321" t="n">
        <v>145</v>
      </c>
      <c r="B150" s="285" t="inlineStr">
        <is>
          <t>New hire</t>
        </is>
      </c>
      <c r="C150" s="317" t="inlineStr">
        <is>
          <t>G&amp;A</t>
        </is>
      </c>
      <c r="D150" s="317" t="inlineStr">
        <is>
          <t>Production Operator</t>
        </is>
      </c>
      <c r="E150" s="297" t="inlineStr">
        <is>
          <t>Planned</t>
        </is>
      </c>
      <c r="F150" s="318">
        <f>IF(Assumptions!$D$82=2,DATE(2029,7,1),DATE(2035,1,1))</f>
        <v/>
      </c>
      <c r="G150" s="318" t="n"/>
      <c r="H150" s="288" t="n">
        <v>5000</v>
      </c>
      <c r="I150" s="299">
        <f>IF(AND($F150&lt;=I$2, OR($G150="",$G150&gt;=I$2)),
  $H150 * (1 + Assumptions!$C$7) ^ INT(((YEAR(I$2)-YEAR($F150))*12 + MONTH(I$2)-MONTH($F150)) / 12),
  0)</f>
        <v/>
      </c>
      <c r="J150" s="299">
        <f>IF(AND($F150&lt;=J$2, OR($G150="",$G150&gt;=J$2)),
  $H150 * (1 + Assumptions!$C$7) ^ INT(((YEAR(J$2)-YEAR($F150))*12 + MONTH(J$2)-MONTH($F150)) / 12),
  0)</f>
        <v/>
      </c>
      <c r="K150" s="299">
        <f>IF(AND($F150&lt;=K$2, OR($G150="",$G150&gt;=K$2)),
  $H150 * (1 + Assumptions!$C$7) ^ INT(((YEAR(K$2)-YEAR($F150))*12 + MONTH(K$2)-MONTH($F150)) / 12),
  0)</f>
        <v/>
      </c>
      <c r="L150" s="299">
        <f>IF(AND($F150&lt;=L$2, OR($G150="",$G150&gt;=L$2)),
  $H150 * (1 + Assumptions!$C$7) ^ INT(((YEAR(L$2)-YEAR($F150))*12 + MONTH(L$2)-MONTH($F150)) / 12),
  0)</f>
        <v/>
      </c>
      <c r="M150" s="299">
        <f>IF(AND($F150&lt;=M$2, OR($G150="",$G150&gt;=M$2)),
  $H150 * (1 + Assumptions!$C$7) ^ INT(((YEAR(M$2)-YEAR($F150))*12 + MONTH(M$2)-MONTH($F150)) / 12),
  0)</f>
        <v/>
      </c>
      <c r="N150" s="299">
        <f>IF(AND($F150&lt;=N$2, OR($G150="",$G150&gt;=N$2)),
  $H150 * (1 + Assumptions!$C$7) ^ INT(((YEAR(N$2)-YEAR($F150))*12 + MONTH(N$2)-MONTH($F150)) / 12),
  0)</f>
        <v/>
      </c>
      <c r="O150" s="299">
        <f>IF(AND($F150&lt;=O$2, OR($G150="",$G150&gt;=O$2)),
  $H150 * (1 + Assumptions!$C$7) ^ INT(((YEAR(O$2)-YEAR($F150))*12 + MONTH(O$2)-MONTH($F150)) / 12),
  0)</f>
        <v/>
      </c>
      <c r="P150" s="299">
        <f>IF(AND($F150&lt;=P$2, OR($G150="",$G150&gt;=P$2)),
  $H150 * (1 + Assumptions!$C$7) ^ INT(((YEAR(P$2)-YEAR($F150))*12 + MONTH(P$2)-MONTH($F150)) / 12),
  0)</f>
        <v/>
      </c>
      <c r="Q150" s="299">
        <f>IF(AND($F150&lt;=Q$2, OR($G150="",$G150&gt;=Q$2)),
  $H150 * (1 + Assumptions!$C$7) ^ INT(((YEAR(Q$2)-YEAR($F150))*12 + MONTH(Q$2)-MONTH($F150)) / 12),
  0)</f>
        <v/>
      </c>
      <c r="R150" s="299">
        <f>IF(AND($F150&lt;=R$2, OR($G150="",$G150&gt;=R$2)),
  $H150 * (1 + Assumptions!$C$7) ^ INT(((YEAR(R$2)-YEAR($F150))*12 + MONTH(R$2)-MONTH($F150)) / 12),
  0)</f>
        <v/>
      </c>
      <c r="S150" s="299">
        <f>IF(AND($F150&lt;=S$2, OR($G150="",$G150&gt;=S$2)),
  $H150 * (1 + Assumptions!$C$7) ^ INT(((YEAR(S$2)-YEAR($F150))*12 + MONTH(S$2)-MONTH($F150)) / 12),
  0)</f>
        <v/>
      </c>
      <c r="T150" s="299">
        <f>IF(AND($F150&lt;=T$2, OR($G150="",$G150&gt;=T$2)),
  $H150 * (1 + Assumptions!$C$7) ^ INT(((YEAR(T$2)-YEAR($F150))*12 + MONTH(T$2)-MONTH($F150)) / 12),
  0)</f>
        <v/>
      </c>
      <c r="U150" s="299">
        <f>IF(AND($F150&lt;=U$2, OR($G150="",$G150&gt;=U$2)),
  $H150 * (1 + Assumptions!$C$7) ^ INT(((YEAR(U$2)-YEAR($F150))*12 + MONTH(U$2)-MONTH($F150)) / 12),
  0)</f>
        <v/>
      </c>
      <c r="V150" s="299">
        <f>IF(AND($F150&lt;=V$2, OR($G150="",$G150&gt;=V$2)),
  $H150 * (1 + Assumptions!$C$7) ^ INT(((YEAR(V$2)-YEAR($F150))*12 + MONTH(V$2)-MONTH($F150)) / 12),
  0)</f>
        <v/>
      </c>
      <c r="W150" s="299">
        <f>IF(AND($F150&lt;=W$2, OR($G150="",$G150&gt;=W$2)),
  $H150 * (1 + Assumptions!$C$7) ^ INT(((YEAR(W$2)-YEAR($F150))*12 + MONTH(W$2)-MONTH($F150)) / 12),
  0)</f>
        <v/>
      </c>
      <c r="X150" s="299">
        <f>IF(AND($F150&lt;=X$2, OR($G150="",$G150&gt;=X$2)),
  $H150 * (1 + Assumptions!$C$7) ^ INT(((YEAR(X$2)-YEAR($F150))*12 + MONTH(X$2)-MONTH($F150)) / 12),
  0)</f>
        <v/>
      </c>
      <c r="Y150" s="299">
        <f>IF(AND($F150&lt;=Y$2, OR($G150="",$G150&gt;=Y$2)),
  $H150 * (1 + Assumptions!$C$7) ^ INT(((YEAR(Y$2)-YEAR($F150))*12 + MONTH(Y$2)-MONTH($F150)) / 12),
  0)</f>
        <v/>
      </c>
      <c r="Z150" s="299">
        <f>IF(AND($F150&lt;=Z$2, OR($G150="",$G150&gt;=Z$2)),
  $H150 * (1 + Assumptions!$C$7) ^ INT(((YEAR(Z$2)-YEAR($F150))*12 + MONTH(Z$2)-MONTH($F150)) / 12),
  0)</f>
        <v/>
      </c>
      <c r="AA150" s="299">
        <f>IF(AND($F150&lt;=AA$2, OR($G150="",$G150&gt;=AA$2)),
  $H150 * (1 + Assumptions!$C$7) ^ INT(((YEAR(AA$2)-YEAR($F150))*12 + MONTH(AA$2)-MONTH($F150)) / 12),
  0)</f>
        <v/>
      </c>
      <c r="AB150" s="299">
        <f>IF(AND($F150&lt;=AB$2, OR($G150="",$G150&gt;=AB$2)),
  $H150 * (1 + Assumptions!$C$7) ^ INT(((YEAR(AB$2)-YEAR($F150))*12 + MONTH(AB$2)-MONTH($F150)) / 12),
  0)</f>
        <v/>
      </c>
      <c r="AC150" s="299">
        <f>IF(AND($F150&lt;=AC$2, OR($G150="",$G150&gt;=AC$2)),
  $H150 * (1 + Assumptions!$C$7) ^ INT(((YEAR(AC$2)-YEAR($F150))*12 + MONTH(AC$2)-MONTH($F150)) / 12),
  0)</f>
        <v/>
      </c>
      <c r="AD150" s="299">
        <f>IF(AND($F150&lt;=AD$2, OR($G150="",$G150&gt;=AD$2)),
  $H150 * (1 + Assumptions!$C$7) ^ INT(((YEAR(AD$2)-YEAR($F150))*12 + MONTH(AD$2)-MONTH($F150)) / 12),
  0)</f>
        <v/>
      </c>
      <c r="AE150" s="299">
        <f>IF(AND($F150&lt;=AE$2, OR($G150="",$G150&gt;=AE$2)),
  $H150 * (1 + Assumptions!$C$7) ^ INT(((YEAR(AE$2)-YEAR($F150))*12 + MONTH(AE$2)-MONTH($F150)) / 12),
  0)</f>
        <v/>
      </c>
      <c r="AF150" s="299">
        <f>IF(AND($F150&lt;=AF$2, OR($G150="",$G150&gt;=AF$2)),
  $H150 * (1 + Assumptions!$C$7) ^ INT(((YEAR(AF$2)-YEAR($F150))*12 + MONTH(AF$2)-MONTH($F150)) / 12),
  0)</f>
        <v/>
      </c>
      <c r="AG150" s="299">
        <f>IF(AND($F150&lt;=AG$2, OR($G150="",$G150&gt;=AG$2)),
  $H150 * (1 + Assumptions!$C$7) ^ INT(((YEAR(AG$2)-YEAR($F150))*12 + MONTH(AG$2)-MONTH($F150)) / 12),
  0)</f>
        <v/>
      </c>
      <c r="AH150" s="299">
        <f>IF(AND($F150&lt;=AH$2, OR($G150="",$G150&gt;=AH$2)),
  $H150 * (1 + Assumptions!$C$7) ^ INT(((YEAR(AH$2)-YEAR($F150))*12 + MONTH(AH$2)-MONTH($F150)) / 12),
  0)</f>
        <v/>
      </c>
      <c r="AI150" s="299">
        <f>IF(AND($F150&lt;=AI$2, OR($G150="",$G150&gt;=AI$2)),
  $H150 * (1 + Assumptions!$C$7) ^ INT(((YEAR(AI$2)-YEAR($F150))*12 + MONTH(AI$2)-MONTH($F150)) / 12),
  0)</f>
        <v/>
      </c>
      <c r="AJ150" s="299">
        <f>IF(AND($F150&lt;=AJ$2, OR($G150="",$G150&gt;=AJ$2)),
  $H150 * (1 + Assumptions!$C$7) ^ INT(((YEAR(AJ$2)-YEAR($F150))*12 + MONTH(AJ$2)-MONTH($F150)) / 12),
  0)</f>
        <v/>
      </c>
      <c r="AK150" s="299">
        <f>IF(AND($F150&lt;=AK$2, OR($G150="",$G150&gt;=AK$2)),
  $H150 * (1 + Assumptions!$C$7) ^ INT(((YEAR(AK$2)-YEAR($F150))*12 + MONTH(AK$2)-MONTH($F150)) / 12),
  0)</f>
        <v/>
      </c>
      <c r="AL150" s="299">
        <f>IF(AND($F150&lt;=AL$2, OR($G150="",$G150&gt;=AL$2)),
  $H150 * (1 + Assumptions!$C$7) ^ INT(((YEAR(AL$2)-YEAR($F150))*12 + MONTH(AL$2)-MONTH($F150)) / 12),
  0)</f>
        <v/>
      </c>
      <c r="AM150" s="299">
        <f>IF(AND($F150&lt;=AM$2, OR($G150="",$G150&gt;=AM$2)),
  $H150 * (1 + Assumptions!$C$7) ^ INT(((YEAR(AM$2)-YEAR($F150))*12 + MONTH(AM$2)-MONTH($F150)) / 12),
  0)</f>
        <v/>
      </c>
      <c r="AN150" s="299">
        <f>IF(AND($F150&lt;=AN$2, OR($G150="",$G150&gt;=AN$2)),
  $H150 * (1 + Assumptions!$C$7) ^ INT(((YEAR(AN$2)-YEAR($F150))*12 + MONTH(AN$2)-MONTH($F150)) / 12),
  0)</f>
        <v/>
      </c>
      <c r="AO150" s="299">
        <f>IF(AND($F150&lt;=AO$2, OR($G150="",$G150&gt;=AO$2)),
  $H150 * (1 + Assumptions!$C$7) ^ INT(((YEAR(AO$2)-YEAR($F150))*12 + MONTH(AO$2)-MONTH($F150)) / 12),
  0)</f>
        <v/>
      </c>
      <c r="AP150" s="299">
        <f>IF(AND($F150&lt;=AP$2, OR($G150="",$G150&gt;=AP$2)),
  $H150 * (1 + Assumptions!$C$7) ^ INT(((YEAR(AP$2)-YEAR($F150))*12 + MONTH(AP$2)-MONTH($F150)) / 12),
  0)</f>
        <v/>
      </c>
      <c r="AQ150" s="299">
        <f>IF(AND($F150&lt;=AQ$2, OR($G150="",$G150&gt;=AQ$2)),
  $H150 * (1 + Assumptions!$C$7) ^ INT(((YEAR(AQ$2)-YEAR($F150))*12 + MONTH(AQ$2)-MONTH($F150)) / 12),
  0)</f>
        <v/>
      </c>
      <c r="AR150" s="299">
        <f>IF(AND($F150&lt;=AR$2, OR($G150="",$G150&gt;=AR$2)),
  $H150 * (1 + Assumptions!$C$7) ^ INT(((YEAR(AR$2)-YEAR($F150))*12 + MONTH(AR$2)-MONTH($F150)) / 12),
  0)</f>
        <v/>
      </c>
      <c r="AS150" s="299">
        <f>IF(AND($F150&lt;=AS$2, OR($G150="",$G150&gt;=AS$2)),
  $H150 * (1 + Assumptions!$C$7) ^ INT(((YEAR(AS$2)-YEAR($F150))*12 + MONTH(AS$2)-MONTH($F150)) / 12),
  0)</f>
        <v/>
      </c>
      <c r="AT150" s="299">
        <f>IF(AND($F150&lt;=AT$2, OR($G150="",$G150&gt;=AT$2)),
  $H150 * (1 + Assumptions!$C$7) ^ INT(((YEAR(AT$2)-YEAR($F150))*12 + MONTH(AT$2)-MONTH($F150)) / 12),
  0)</f>
        <v/>
      </c>
      <c r="AU150" s="299">
        <f>IF(AND($F150&lt;=AU$2, OR($G150="",$G150&gt;=AU$2)),
  $H150 * (1 + Assumptions!$C$7) ^ INT(((YEAR(AU$2)-YEAR($F150))*12 + MONTH(AU$2)-MONTH($F150)) / 12),
  0)</f>
        <v/>
      </c>
      <c r="AV150" s="299">
        <f>IF(AND($F150&lt;=AV$2, OR($G150="",$G150&gt;=AV$2)),
  $H150 * (1 + Assumptions!$C$7) ^ INT(((YEAR(AV$2)-YEAR($F150))*12 + MONTH(AV$2)-MONTH($F150)) / 12),
  0)</f>
        <v/>
      </c>
      <c r="AW150" s="299">
        <f>IF(AND($F150&lt;=AW$2, OR($G150="",$G150&gt;=AW$2)),
  $H150 * (1 + Assumptions!$C$7) ^ INT(((YEAR(AW$2)-YEAR($F150))*12 + MONTH(AW$2)-MONTH($F150)) / 12),
  0)</f>
        <v/>
      </c>
      <c r="AX150" s="299">
        <f>IF(AND($F150&lt;=AX$2, OR($G150="",$G150&gt;=AX$2)),
  $H150 * (1 + Assumptions!$C$7) ^ INT(((YEAR(AX$2)-YEAR($F150))*12 + MONTH(AX$2)-MONTH($F150)) / 12),
  0)</f>
        <v/>
      </c>
      <c r="AY150" s="299">
        <f>IF(AND($F150&lt;=AY$2, OR($G150="",$G150&gt;=AY$2)),
  $H150 * (1 + Assumptions!$C$7) ^ INT(((YEAR(AY$2)-YEAR($F150))*12 + MONTH(AY$2)-MONTH($F150)) / 12),
  0)</f>
        <v/>
      </c>
      <c r="AZ150" s="299">
        <f>IF(AND($F150&lt;=AZ$2, OR($G150="",$G150&gt;=AZ$2)),
  $H150 * (1 + Assumptions!$C$7) ^ INT(((YEAR(AZ$2)-YEAR($F150))*12 + MONTH(AZ$2)-MONTH($F150)) / 12),
  0)</f>
        <v/>
      </c>
      <c r="BA150" s="299">
        <f>IF(AND($F150&lt;=BA$2, OR($G150="",$G150&gt;=BA$2)),
  $H150 * (1 + Assumptions!$C$7) ^ INT(((YEAR(BA$2)-YEAR($F150))*12 + MONTH(BA$2)-MONTH($F150)) / 12),
  0)</f>
        <v/>
      </c>
      <c r="BB150" s="299">
        <f>IF(AND($F150&lt;=BB$2, OR($G150="",$G150&gt;=BB$2)),
  $H150 * (1 + Assumptions!$C$7) ^ INT(((YEAR(BB$2)-YEAR($F150))*12 + MONTH(BB$2)-MONTH($F150)) / 12),
  0)</f>
        <v/>
      </c>
      <c r="BC150" s="299">
        <f>IF(AND($F150&lt;=BC$2, OR($G150="",$G150&gt;=BC$2)),
  $H150 * (1 + Assumptions!$C$7) ^ INT(((YEAR(BC$2)-YEAR($F150))*12 + MONTH(BC$2)-MONTH($F150)) / 12),
  0)</f>
        <v/>
      </c>
      <c r="BD150" s="299">
        <f>IF(AND($F150&lt;=BD$2, OR($G150="",$G150&gt;=BD$2)),
  $H150 * (1 + Assumptions!$C$7) ^ INT(((YEAR(BD$2)-YEAR($F150))*12 + MONTH(BD$2)-MONTH($F150)) / 12),
  0)</f>
        <v/>
      </c>
      <c r="BE150" s="299">
        <f>IF(AND($F150&lt;=BE$2, OR($G150="",$G150&gt;=BE$2)),
  $H150 * (1 + Assumptions!$C$7) ^ INT(((YEAR(BE$2)-YEAR($F150))*12 + MONTH(BE$2)-MONTH($F150)) / 12),
  0)</f>
        <v/>
      </c>
      <c r="BF150" s="299">
        <f>IF(AND($F150&lt;=BF$2, OR($G150="",$G150&gt;=BF$2)),
  $H150 * (1 + Assumptions!$C$7) ^ INT(((YEAR(BF$2)-YEAR($F150))*12 + MONTH(BF$2)-MONTH($F150)) / 12),
  0)</f>
        <v/>
      </c>
      <c r="BG150" s="299">
        <f>IF(AND($F150&lt;=BG$2, OR($G150="",$G150&gt;=BG$2)),
  $H150 * (1 + Assumptions!$C$7) ^ INT(((YEAR(BG$2)-YEAR($F150))*12 + MONTH(BG$2)-MONTH($F150)) / 12),
  0)</f>
        <v/>
      </c>
      <c r="BH150" s="299">
        <f>IF(AND($F150&lt;=BH$2, OR($G150="",$G150&gt;=BH$2)),
  $H150 * (1 + Assumptions!$C$7) ^ INT(((YEAR(BH$2)-YEAR($F150))*12 + MONTH(BH$2)-MONTH($F150)) / 12),
  0)</f>
        <v/>
      </c>
      <c r="BI150" s="299">
        <f>IF(AND($F150&lt;=BI$2, OR($G150="",$G150&gt;=BI$2)),
  $H150 * (1 + Assumptions!$C$7) ^ INT(((YEAR(BI$2)-YEAR($F150))*12 + MONTH(BI$2)-MONTH($F150)) / 12),
  0)</f>
        <v/>
      </c>
      <c r="BJ150" s="299">
        <f>IF(AND($F150&lt;=BJ$2, OR($G150="",$G150&gt;=BJ$2)),
  $H150 * (1 + Assumptions!$C$7) ^ INT(((YEAR(BJ$2)-YEAR($F150))*12 + MONTH(BJ$2)-MONTH($F150)) / 12),
  0)</f>
        <v/>
      </c>
      <c r="BK150" s="299">
        <f>IF(AND($F150&lt;=BK$2, OR($G150="",$G150&gt;=BK$2)),
  $H150 * (1 + Assumptions!$C$7) ^ INT(((YEAR(BK$2)-YEAR($F150))*12 + MONTH(BK$2)-MONTH($F150)) / 12),
  0)</f>
        <v/>
      </c>
      <c r="BL150" s="299">
        <f>IF(AND($F150&lt;=BL$2, OR($G150="",$G150&gt;=BL$2)),
  $H150 * (1 + Assumptions!$C$7) ^ INT(((YEAR(BL$2)-YEAR($F150))*12 + MONTH(BL$2)-MONTH($F150)) / 12),
  0)</f>
        <v/>
      </c>
      <c r="BM150" s="299">
        <f>IF(AND($F150&lt;=BM$2, OR($G150="",$G150&gt;=BM$2)),
  $H150 * (1 + Assumptions!$C$7) ^ INT(((YEAR(BM$2)-YEAR($F150))*12 + MONTH(BM$2)-MONTH($F150)) / 12),
  0)</f>
        <v/>
      </c>
      <c r="BN150" s="299">
        <f>IF(AND($F150&lt;=BN$2, OR($G150="",$G150&gt;=BN$2)),
  $H150 * (1 + Assumptions!$C$7) ^ INT(((YEAR(BN$2)-YEAR($F150))*12 + MONTH(BN$2)-MONTH($F150)) / 12),
  0)</f>
        <v/>
      </c>
      <c r="BO150" s="299">
        <f>IF(AND($F150&lt;=BO$2, OR($G150="",$G150&gt;=BO$2)),
  $H150 * (1 + Assumptions!$C$7) ^ INT(((YEAR(BO$2)-YEAR($F150))*12 + MONTH(BO$2)-MONTH($F150)) / 12),
  0)</f>
        <v/>
      </c>
      <c r="BP150" s="299">
        <f>IF(AND($F150&lt;=BP$2, OR($G150="",$G150&gt;=BP$2)),
  $H150 * (1 + Assumptions!$C$7) ^ INT(((YEAR(BP$2)-YEAR($F150))*12 + MONTH(BP$2)-MONTH($F150)) / 12),
  0)</f>
        <v/>
      </c>
      <c r="BQ150" s="31" t="n"/>
      <c r="BR150" s="31" t="n"/>
      <c r="BS150" s="31" t="n"/>
      <c r="BT150" s="31" t="n"/>
    </row>
    <row r="151" ht="15.75" customHeight="1" s="349">
      <c r="A151" s="321" t="n">
        <v>146</v>
      </c>
      <c r="B151" s="285" t="inlineStr">
        <is>
          <t>New hire</t>
        </is>
      </c>
      <c r="C151" s="317" t="inlineStr">
        <is>
          <t>G&amp;A</t>
        </is>
      </c>
      <c r="D151" s="317" t="inlineStr">
        <is>
          <t>Production Operator</t>
        </is>
      </c>
      <c r="E151" s="297" t="inlineStr">
        <is>
          <t>Planned</t>
        </is>
      </c>
      <c r="F151" s="318">
        <f>IF(Assumptions!$D$82=2,DATE(2029,7,1),DATE(2035,1,1))</f>
        <v/>
      </c>
      <c r="G151" s="318" t="n"/>
      <c r="H151" s="288" t="n">
        <v>5000</v>
      </c>
      <c r="I151" s="299">
        <f>IF(AND($F151&lt;=I$2, OR($G151="",$G151&gt;=I$2)),
  $H151 * (1 + Assumptions!$C$7) ^ INT(((YEAR(I$2)-YEAR($F151))*12 + MONTH(I$2)-MONTH($F151)) / 12),
  0)</f>
        <v/>
      </c>
      <c r="J151" s="299">
        <f>IF(AND($F151&lt;=J$2, OR($G151="",$G151&gt;=J$2)),
  $H151 * (1 + Assumptions!$C$7) ^ INT(((YEAR(J$2)-YEAR($F151))*12 + MONTH(J$2)-MONTH($F151)) / 12),
  0)</f>
        <v/>
      </c>
      <c r="K151" s="299">
        <f>IF(AND($F151&lt;=K$2, OR($G151="",$G151&gt;=K$2)),
  $H151 * (1 + Assumptions!$C$7) ^ INT(((YEAR(K$2)-YEAR($F151))*12 + MONTH(K$2)-MONTH($F151)) / 12),
  0)</f>
        <v/>
      </c>
      <c r="L151" s="299">
        <f>IF(AND($F151&lt;=L$2, OR($G151="",$G151&gt;=L$2)),
  $H151 * (1 + Assumptions!$C$7) ^ INT(((YEAR(L$2)-YEAR($F151))*12 + MONTH(L$2)-MONTH($F151)) / 12),
  0)</f>
        <v/>
      </c>
      <c r="M151" s="299">
        <f>IF(AND($F151&lt;=M$2, OR($G151="",$G151&gt;=M$2)),
  $H151 * (1 + Assumptions!$C$7) ^ INT(((YEAR(M$2)-YEAR($F151))*12 + MONTH(M$2)-MONTH($F151)) / 12),
  0)</f>
        <v/>
      </c>
      <c r="N151" s="299">
        <f>IF(AND($F151&lt;=N$2, OR($G151="",$G151&gt;=N$2)),
  $H151 * (1 + Assumptions!$C$7) ^ INT(((YEAR(N$2)-YEAR($F151))*12 + MONTH(N$2)-MONTH($F151)) / 12),
  0)</f>
        <v/>
      </c>
      <c r="O151" s="299">
        <f>IF(AND($F151&lt;=O$2, OR($G151="",$G151&gt;=O$2)),
  $H151 * (1 + Assumptions!$C$7) ^ INT(((YEAR(O$2)-YEAR($F151))*12 + MONTH(O$2)-MONTH($F151)) / 12),
  0)</f>
        <v/>
      </c>
      <c r="P151" s="299">
        <f>IF(AND($F151&lt;=P$2, OR($G151="",$G151&gt;=P$2)),
  $H151 * (1 + Assumptions!$C$7) ^ INT(((YEAR(P$2)-YEAR($F151))*12 + MONTH(P$2)-MONTH($F151)) / 12),
  0)</f>
        <v/>
      </c>
      <c r="Q151" s="299">
        <f>IF(AND($F151&lt;=Q$2, OR($G151="",$G151&gt;=Q$2)),
  $H151 * (1 + Assumptions!$C$7) ^ INT(((YEAR(Q$2)-YEAR($F151))*12 + MONTH(Q$2)-MONTH($F151)) / 12),
  0)</f>
        <v/>
      </c>
      <c r="R151" s="299">
        <f>IF(AND($F151&lt;=R$2, OR($G151="",$G151&gt;=R$2)),
  $H151 * (1 + Assumptions!$C$7) ^ INT(((YEAR(R$2)-YEAR($F151))*12 + MONTH(R$2)-MONTH($F151)) / 12),
  0)</f>
        <v/>
      </c>
      <c r="S151" s="299">
        <f>IF(AND($F151&lt;=S$2, OR($G151="",$G151&gt;=S$2)),
  $H151 * (1 + Assumptions!$C$7) ^ INT(((YEAR(S$2)-YEAR($F151))*12 + MONTH(S$2)-MONTH($F151)) / 12),
  0)</f>
        <v/>
      </c>
      <c r="T151" s="299">
        <f>IF(AND($F151&lt;=T$2, OR($G151="",$G151&gt;=T$2)),
  $H151 * (1 + Assumptions!$C$7) ^ INT(((YEAR(T$2)-YEAR($F151))*12 + MONTH(T$2)-MONTH($F151)) / 12),
  0)</f>
        <v/>
      </c>
      <c r="U151" s="299">
        <f>IF(AND($F151&lt;=U$2, OR($G151="",$G151&gt;=U$2)),
  $H151 * (1 + Assumptions!$C$7) ^ INT(((YEAR(U$2)-YEAR($F151))*12 + MONTH(U$2)-MONTH($F151)) / 12),
  0)</f>
        <v/>
      </c>
      <c r="V151" s="299">
        <f>IF(AND($F151&lt;=V$2, OR($G151="",$G151&gt;=V$2)),
  $H151 * (1 + Assumptions!$C$7) ^ INT(((YEAR(V$2)-YEAR($F151))*12 + MONTH(V$2)-MONTH($F151)) / 12),
  0)</f>
        <v/>
      </c>
      <c r="W151" s="299">
        <f>IF(AND($F151&lt;=W$2, OR($G151="",$G151&gt;=W$2)),
  $H151 * (1 + Assumptions!$C$7) ^ INT(((YEAR(W$2)-YEAR($F151))*12 + MONTH(W$2)-MONTH($F151)) / 12),
  0)</f>
        <v/>
      </c>
      <c r="X151" s="299">
        <f>IF(AND($F151&lt;=X$2, OR($G151="",$G151&gt;=X$2)),
  $H151 * (1 + Assumptions!$C$7) ^ INT(((YEAR(X$2)-YEAR($F151))*12 + MONTH(X$2)-MONTH($F151)) / 12),
  0)</f>
        <v/>
      </c>
      <c r="Y151" s="299">
        <f>IF(AND($F151&lt;=Y$2, OR($G151="",$G151&gt;=Y$2)),
  $H151 * (1 + Assumptions!$C$7) ^ INT(((YEAR(Y$2)-YEAR($F151))*12 + MONTH(Y$2)-MONTH($F151)) / 12),
  0)</f>
        <v/>
      </c>
      <c r="Z151" s="299">
        <f>IF(AND($F151&lt;=Z$2, OR($G151="",$G151&gt;=Z$2)),
  $H151 * (1 + Assumptions!$C$7) ^ INT(((YEAR(Z$2)-YEAR($F151))*12 + MONTH(Z$2)-MONTH($F151)) / 12),
  0)</f>
        <v/>
      </c>
      <c r="AA151" s="299">
        <f>IF(AND($F151&lt;=AA$2, OR($G151="",$G151&gt;=AA$2)),
  $H151 * (1 + Assumptions!$C$7) ^ INT(((YEAR(AA$2)-YEAR($F151))*12 + MONTH(AA$2)-MONTH($F151)) / 12),
  0)</f>
        <v/>
      </c>
      <c r="AB151" s="299">
        <f>IF(AND($F151&lt;=AB$2, OR($G151="",$G151&gt;=AB$2)),
  $H151 * (1 + Assumptions!$C$7) ^ INT(((YEAR(AB$2)-YEAR($F151))*12 + MONTH(AB$2)-MONTH($F151)) / 12),
  0)</f>
        <v/>
      </c>
      <c r="AC151" s="299">
        <f>IF(AND($F151&lt;=AC$2, OR($G151="",$G151&gt;=AC$2)),
  $H151 * (1 + Assumptions!$C$7) ^ INT(((YEAR(AC$2)-YEAR($F151))*12 + MONTH(AC$2)-MONTH($F151)) / 12),
  0)</f>
        <v/>
      </c>
      <c r="AD151" s="299">
        <f>IF(AND($F151&lt;=AD$2, OR($G151="",$G151&gt;=AD$2)),
  $H151 * (1 + Assumptions!$C$7) ^ INT(((YEAR(AD$2)-YEAR($F151))*12 + MONTH(AD$2)-MONTH($F151)) / 12),
  0)</f>
        <v/>
      </c>
      <c r="AE151" s="299">
        <f>IF(AND($F151&lt;=AE$2, OR($G151="",$G151&gt;=AE$2)),
  $H151 * (1 + Assumptions!$C$7) ^ INT(((YEAR(AE$2)-YEAR($F151))*12 + MONTH(AE$2)-MONTH($F151)) / 12),
  0)</f>
        <v/>
      </c>
      <c r="AF151" s="299">
        <f>IF(AND($F151&lt;=AF$2, OR($G151="",$G151&gt;=AF$2)),
  $H151 * (1 + Assumptions!$C$7) ^ INT(((YEAR(AF$2)-YEAR($F151))*12 + MONTH(AF$2)-MONTH($F151)) / 12),
  0)</f>
        <v/>
      </c>
      <c r="AG151" s="299">
        <f>IF(AND($F151&lt;=AG$2, OR($G151="",$G151&gt;=AG$2)),
  $H151 * (1 + Assumptions!$C$7) ^ INT(((YEAR(AG$2)-YEAR($F151))*12 + MONTH(AG$2)-MONTH($F151)) / 12),
  0)</f>
        <v/>
      </c>
      <c r="AH151" s="299">
        <f>IF(AND($F151&lt;=AH$2, OR($G151="",$G151&gt;=AH$2)),
  $H151 * (1 + Assumptions!$C$7) ^ INT(((YEAR(AH$2)-YEAR($F151))*12 + MONTH(AH$2)-MONTH($F151)) / 12),
  0)</f>
        <v/>
      </c>
      <c r="AI151" s="299">
        <f>IF(AND($F151&lt;=AI$2, OR($G151="",$G151&gt;=AI$2)),
  $H151 * (1 + Assumptions!$C$7) ^ INT(((YEAR(AI$2)-YEAR($F151))*12 + MONTH(AI$2)-MONTH($F151)) / 12),
  0)</f>
        <v/>
      </c>
      <c r="AJ151" s="299">
        <f>IF(AND($F151&lt;=AJ$2, OR($G151="",$G151&gt;=AJ$2)),
  $H151 * (1 + Assumptions!$C$7) ^ INT(((YEAR(AJ$2)-YEAR($F151))*12 + MONTH(AJ$2)-MONTH($F151)) / 12),
  0)</f>
        <v/>
      </c>
      <c r="AK151" s="299">
        <f>IF(AND($F151&lt;=AK$2, OR($G151="",$G151&gt;=AK$2)),
  $H151 * (1 + Assumptions!$C$7) ^ INT(((YEAR(AK$2)-YEAR($F151))*12 + MONTH(AK$2)-MONTH($F151)) / 12),
  0)</f>
        <v/>
      </c>
      <c r="AL151" s="299">
        <f>IF(AND($F151&lt;=AL$2, OR($G151="",$G151&gt;=AL$2)),
  $H151 * (1 + Assumptions!$C$7) ^ INT(((YEAR(AL$2)-YEAR($F151))*12 + MONTH(AL$2)-MONTH($F151)) / 12),
  0)</f>
        <v/>
      </c>
      <c r="AM151" s="299">
        <f>IF(AND($F151&lt;=AM$2, OR($G151="",$G151&gt;=AM$2)),
  $H151 * (1 + Assumptions!$C$7) ^ INT(((YEAR(AM$2)-YEAR($F151))*12 + MONTH(AM$2)-MONTH($F151)) / 12),
  0)</f>
        <v/>
      </c>
      <c r="AN151" s="299">
        <f>IF(AND($F151&lt;=AN$2, OR($G151="",$G151&gt;=AN$2)),
  $H151 * (1 + Assumptions!$C$7) ^ INT(((YEAR(AN$2)-YEAR($F151))*12 + MONTH(AN$2)-MONTH($F151)) / 12),
  0)</f>
        <v/>
      </c>
      <c r="AO151" s="299">
        <f>IF(AND($F151&lt;=AO$2, OR($G151="",$G151&gt;=AO$2)),
  $H151 * (1 + Assumptions!$C$7) ^ INT(((YEAR(AO$2)-YEAR($F151))*12 + MONTH(AO$2)-MONTH($F151)) / 12),
  0)</f>
        <v/>
      </c>
      <c r="AP151" s="299">
        <f>IF(AND($F151&lt;=AP$2, OR($G151="",$G151&gt;=AP$2)),
  $H151 * (1 + Assumptions!$C$7) ^ INT(((YEAR(AP$2)-YEAR($F151))*12 + MONTH(AP$2)-MONTH($F151)) / 12),
  0)</f>
        <v/>
      </c>
      <c r="AQ151" s="299">
        <f>IF(AND($F151&lt;=AQ$2, OR($G151="",$G151&gt;=AQ$2)),
  $H151 * (1 + Assumptions!$C$7) ^ INT(((YEAR(AQ$2)-YEAR($F151))*12 + MONTH(AQ$2)-MONTH($F151)) / 12),
  0)</f>
        <v/>
      </c>
      <c r="AR151" s="299">
        <f>IF(AND($F151&lt;=AR$2, OR($G151="",$G151&gt;=AR$2)),
  $H151 * (1 + Assumptions!$C$7) ^ INT(((YEAR(AR$2)-YEAR($F151))*12 + MONTH(AR$2)-MONTH($F151)) / 12),
  0)</f>
        <v/>
      </c>
      <c r="AS151" s="299">
        <f>IF(AND($F151&lt;=AS$2, OR($G151="",$G151&gt;=AS$2)),
  $H151 * (1 + Assumptions!$C$7) ^ INT(((YEAR(AS$2)-YEAR($F151))*12 + MONTH(AS$2)-MONTH($F151)) / 12),
  0)</f>
        <v/>
      </c>
      <c r="AT151" s="299">
        <f>IF(AND($F151&lt;=AT$2, OR($G151="",$G151&gt;=AT$2)),
  $H151 * (1 + Assumptions!$C$7) ^ INT(((YEAR(AT$2)-YEAR($F151))*12 + MONTH(AT$2)-MONTH($F151)) / 12),
  0)</f>
        <v/>
      </c>
      <c r="AU151" s="299">
        <f>IF(AND($F151&lt;=AU$2, OR($G151="",$G151&gt;=AU$2)),
  $H151 * (1 + Assumptions!$C$7) ^ INT(((YEAR(AU$2)-YEAR($F151))*12 + MONTH(AU$2)-MONTH($F151)) / 12),
  0)</f>
        <v/>
      </c>
      <c r="AV151" s="299">
        <f>IF(AND($F151&lt;=AV$2, OR($G151="",$G151&gt;=AV$2)),
  $H151 * (1 + Assumptions!$C$7) ^ INT(((YEAR(AV$2)-YEAR($F151))*12 + MONTH(AV$2)-MONTH($F151)) / 12),
  0)</f>
        <v/>
      </c>
      <c r="AW151" s="299">
        <f>IF(AND($F151&lt;=AW$2, OR($G151="",$G151&gt;=AW$2)),
  $H151 * (1 + Assumptions!$C$7) ^ INT(((YEAR(AW$2)-YEAR($F151))*12 + MONTH(AW$2)-MONTH($F151)) / 12),
  0)</f>
        <v/>
      </c>
      <c r="AX151" s="299">
        <f>IF(AND($F151&lt;=AX$2, OR($G151="",$G151&gt;=AX$2)),
  $H151 * (1 + Assumptions!$C$7) ^ INT(((YEAR(AX$2)-YEAR($F151))*12 + MONTH(AX$2)-MONTH($F151)) / 12),
  0)</f>
        <v/>
      </c>
      <c r="AY151" s="299">
        <f>IF(AND($F151&lt;=AY$2, OR($G151="",$G151&gt;=AY$2)),
  $H151 * (1 + Assumptions!$C$7) ^ INT(((YEAR(AY$2)-YEAR($F151))*12 + MONTH(AY$2)-MONTH($F151)) / 12),
  0)</f>
        <v/>
      </c>
      <c r="AZ151" s="299">
        <f>IF(AND($F151&lt;=AZ$2, OR($G151="",$G151&gt;=AZ$2)),
  $H151 * (1 + Assumptions!$C$7) ^ INT(((YEAR(AZ$2)-YEAR($F151))*12 + MONTH(AZ$2)-MONTH($F151)) / 12),
  0)</f>
        <v/>
      </c>
      <c r="BA151" s="299">
        <f>IF(AND($F151&lt;=BA$2, OR($G151="",$G151&gt;=BA$2)),
  $H151 * (1 + Assumptions!$C$7) ^ INT(((YEAR(BA$2)-YEAR($F151))*12 + MONTH(BA$2)-MONTH($F151)) / 12),
  0)</f>
        <v/>
      </c>
      <c r="BB151" s="299">
        <f>IF(AND($F151&lt;=BB$2, OR($G151="",$G151&gt;=BB$2)),
  $H151 * (1 + Assumptions!$C$7) ^ INT(((YEAR(BB$2)-YEAR($F151))*12 + MONTH(BB$2)-MONTH($F151)) / 12),
  0)</f>
        <v/>
      </c>
      <c r="BC151" s="299">
        <f>IF(AND($F151&lt;=BC$2, OR($G151="",$G151&gt;=BC$2)),
  $H151 * (1 + Assumptions!$C$7) ^ INT(((YEAR(BC$2)-YEAR($F151))*12 + MONTH(BC$2)-MONTH($F151)) / 12),
  0)</f>
        <v/>
      </c>
      <c r="BD151" s="299">
        <f>IF(AND($F151&lt;=BD$2, OR($G151="",$G151&gt;=BD$2)),
  $H151 * (1 + Assumptions!$C$7) ^ INT(((YEAR(BD$2)-YEAR($F151))*12 + MONTH(BD$2)-MONTH($F151)) / 12),
  0)</f>
        <v/>
      </c>
      <c r="BE151" s="299">
        <f>IF(AND($F151&lt;=BE$2, OR($G151="",$G151&gt;=BE$2)),
  $H151 * (1 + Assumptions!$C$7) ^ INT(((YEAR(BE$2)-YEAR($F151))*12 + MONTH(BE$2)-MONTH($F151)) / 12),
  0)</f>
        <v/>
      </c>
      <c r="BF151" s="299">
        <f>IF(AND($F151&lt;=BF$2, OR($G151="",$G151&gt;=BF$2)),
  $H151 * (1 + Assumptions!$C$7) ^ INT(((YEAR(BF$2)-YEAR($F151))*12 + MONTH(BF$2)-MONTH($F151)) / 12),
  0)</f>
        <v/>
      </c>
      <c r="BG151" s="299">
        <f>IF(AND($F151&lt;=BG$2, OR($G151="",$G151&gt;=BG$2)),
  $H151 * (1 + Assumptions!$C$7) ^ INT(((YEAR(BG$2)-YEAR($F151))*12 + MONTH(BG$2)-MONTH($F151)) / 12),
  0)</f>
        <v/>
      </c>
      <c r="BH151" s="299">
        <f>IF(AND($F151&lt;=BH$2, OR($G151="",$G151&gt;=BH$2)),
  $H151 * (1 + Assumptions!$C$7) ^ INT(((YEAR(BH$2)-YEAR($F151))*12 + MONTH(BH$2)-MONTH($F151)) / 12),
  0)</f>
        <v/>
      </c>
      <c r="BI151" s="299">
        <f>IF(AND($F151&lt;=BI$2, OR($G151="",$G151&gt;=BI$2)),
  $H151 * (1 + Assumptions!$C$7) ^ INT(((YEAR(BI$2)-YEAR($F151))*12 + MONTH(BI$2)-MONTH($F151)) / 12),
  0)</f>
        <v/>
      </c>
      <c r="BJ151" s="299">
        <f>IF(AND($F151&lt;=BJ$2, OR($G151="",$G151&gt;=BJ$2)),
  $H151 * (1 + Assumptions!$C$7) ^ INT(((YEAR(BJ$2)-YEAR($F151))*12 + MONTH(BJ$2)-MONTH($F151)) / 12),
  0)</f>
        <v/>
      </c>
      <c r="BK151" s="299">
        <f>IF(AND($F151&lt;=BK$2, OR($G151="",$G151&gt;=BK$2)),
  $H151 * (1 + Assumptions!$C$7) ^ INT(((YEAR(BK$2)-YEAR($F151))*12 + MONTH(BK$2)-MONTH($F151)) / 12),
  0)</f>
        <v/>
      </c>
      <c r="BL151" s="299">
        <f>IF(AND($F151&lt;=BL$2, OR($G151="",$G151&gt;=BL$2)),
  $H151 * (1 + Assumptions!$C$7) ^ INT(((YEAR(BL$2)-YEAR($F151))*12 + MONTH(BL$2)-MONTH($F151)) / 12),
  0)</f>
        <v/>
      </c>
      <c r="BM151" s="299">
        <f>IF(AND($F151&lt;=BM$2, OR($G151="",$G151&gt;=BM$2)),
  $H151 * (1 + Assumptions!$C$7) ^ INT(((YEAR(BM$2)-YEAR($F151))*12 + MONTH(BM$2)-MONTH($F151)) / 12),
  0)</f>
        <v/>
      </c>
      <c r="BN151" s="299">
        <f>IF(AND($F151&lt;=BN$2, OR($G151="",$G151&gt;=BN$2)),
  $H151 * (1 + Assumptions!$C$7) ^ INT(((YEAR(BN$2)-YEAR($F151))*12 + MONTH(BN$2)-MONTH($F151)) / 12),
  0)</f>
        <v/>
      </c>
      <c r="BO151" s="299">
        <f>IF(AND($F151&lt;=BO$2, OR($G151="",$G151&gt;=BO$2)),
  $H151 * (1 + Assumptions!$C$7) ^ INT(((YEAR(BO$2)-YEAR($F151))*12 + MONTH(BO$2)-MONTH($F151)) / 12),
  0)</f>
        <v/>
      </c>
      <c r="BP151" s="299">
        <f>IF(AND($F151&lt;=BP$2, OR($G151="",$G151&gt;=BP$2)),
  $H151 * (1 + Assumptions!$C$7) ^ INT(((YEAR(BP$2)-YEAR($F151))*12 + MONTH(BP$2)-MONTH($F151)) / 12),
  0)</f>
        <v/>
      </c>
      <c r="BQ151" s="31" t="n"/>
      <c r="BR151" s="31" t="n"/>
      <c r="BS151" s="31" t="n"/>
      <c r="BT151" s="31" t="n"/>
    </row>
    <row r="152" ht="15.75" customHeight="1" s="349">
      <c r="A152" s="321" t="n">
        <v>147</v>
      </c>
      <c r="B152" s="285" t="inlineStr">
        <is>
          <t>New hire</t>
        </is>
      </c>
      <c r="C152" s="317" t="inlineStr">
        <is>
          <t>G&amp;A</t>
        </is>
      </c>
      <c r="D152" s="317" t="inlineStr">
        <is>
          <t>Production Operator</t>
        </is>
      </c>
      <c r="E152" s="297" t="inlineStr">
        <is>
          <t>Planned</t>
        </is>
      </c>
      <c r="F152" s="318">
        <f>IF(Assumptions!$D$82=2,DATE(2029,7,1),DATE(2035,1,1))</f>
        <v/>
      </c>
      <c r="G152" s="318" t="n"/>
      <c r="H152" s="288" t="n">
        <v>5000</v>
      </c>
      <c r="I152" s="299">
        <f>IF(AND($F152&lt;=I$2, OR($G152="",$G152&gt;=I$2)),
  $H152 * (1 + Assumptions!$C$7) ^ INT(((YEAR(I$2)-YEAR($F152))*12 + MONTH(I$2)-MONTH($F152)) / 12),
  0)</f>
        <v/>
      </c>
      <c r="J152" s="299">
        <f>IF(AND($F152&lt;=J$2, OR($G152="",$G152&gt;=J$2)),
  $H152 * (1 + Assumptions!$C$7) ^ INT(((YEAR(J$2)-YEAR($F152))*12 + MONTH(J$2)-MONTH($F152)) / 12),
  0)</f>
        <v/>
      </c>
      <c r="K152" s="299">
        <f>IF(AND($F152&lt;=K$2, OR($G152="",$G152&gt;=K$2)),
  $H152 * (1 + Assumptions!$C$7) ^ INT(((YEAR(K$2)-YEAR($F152))*12 + MONTH(K$2)-MONTH($F152)) / 12),
  0)</f>
        <v/>
      </c>
      <c r="L152" s="299">
        <f>IF(AND($F152&lt;=L$2, OR($G152="",$G152&gt;=L$2)),
  $H152 * (1 + Assumptions!$C$7) ^ INT(((YEAR(L$2)-YEAR($F152))*12 + MONTH(L$2)-MONTH($F152)) / 12),
  0)</f>
        <v/>
      </c>
      <c r="M152" s="299">
        <f>IF(AND($F152&lt;=M$2, OR($G152="",$G152&gt;=M$2)),
  $H152 * (1 + Assumptions!$C$7) ^ INT(((YEAR(M$2)-YEAR($F152))*12 + MONTH(M$2)-MONTH($F152)) / 12),
  0)</f>
        <v/>
      </c>
      <c r="N152" s="299">
        <f>IF(AND($F152&lt;=N$2, OR($G152="",$G152&gt;=N$2)),
  $H152 * (1 + Assumptions!$C$7) ^ INT(((YEAR(N$2)-YEAR($F152))*12 + MONTH(N$2)-MONTH($F152)) / 12),
  0)</f>
        <v/>
      </c>
      <c r="O152" s="299">
        <f>IF(AND($F152&lt;=O$2, OR($G152="",$G152&gt;=O$2)),
  $H152 * (1 + Assumptions!$C$7) ^ INT(((YEAR(O$2)-YEAR($F152))*12 + MONTH(O$2)-MONTH($F152)) / 12),
  0)</f>
        <v/>
      </c>
      <c r="P152" s="299">
        <f>IF(AND($F152&lt;=P$2, OR($G152="",$G152&gt;=P$2)),
  $H152 * (1 + Assumptions!$C$7) ^ INT(((YEAR(P$2)-YEAR($F152))*12 + MONTH(P$2)-MONTH($F152)) / 12),
  0)</f>
        <v/>
      </c>
      <c r="Q152" s="299">
        <f>IF(AND($F152&lt;=Q$2, OR($G152="",$G152&gt;=Q$2)),
  $H152 * (1 + Assumptions!$C$7) ^ INT(((YEAR(Q$2)-YEAR($F152))*12 + MONTH(Q$2)-MONTH($F152)) / 12),
  0)</f>
        <v/>
      </c>
      <c r="R152" s="299">
        <f>IF(AND($F152&lt;=R$2, OR($G152="",$G152&gt;=R$2)),
  $H152 * (1 + Assumptions!$C$7) ^ INT(((YEAR(R$2)-YEAR($F152))*12 + MONTH(R$2)-MONTH($F152)) / 12),
  0)</f>
        <v/>
      </c>
      <c r="S152" s="299">
        <f>IF(AND($F152&lt;=S$2, OR($G152="",$G152&gt;=S$2)),
  $H152 * (1 + Assumptions!$C$7) ^ INT(((YEAR(S$2)-YEAR($F152))*12 + MONTH(S$2)-MONTH($F152)) / 12),
  0)</f>
        <v/>
      </c>
      <c r="T152" s="299">
        <f>IF(AND($F152&lt;=T$2, OR($G152="",$G152&gt;=T$2)),
  $H152 * (1 + Assumptions!$C$7) ^ INT(((YEAR(T$2)-YEAR($F152))*12 + MONTH(T$2)-MONTH($F152)) / 12),
  0)</f>
        <v/>
      </c>
      <c r="U152" s="299">
        <f>IF(AND($F152&lt;=U$2, OR($G152="",$G152&gt;=U$2)),
  $H152 * (1 + Assumptions!$C$7) ^ INT(((YEAR(U$2)-YEAR($F152))*12 + MONTH(U$2)-MONTH($F152)) / 12),
  0)</f>
        <v/>
      </c>
      <c r="V152" s="299">
        <f>IF(AND($F152&lt;=V$2, OR($G152="",$G152&gt;=V$2)),
  $H152 * (1 + Assumptions!$C$7) ^ INT(((YEAR(V$2)-YEAR($F152))*12 + MONTH(V$2)-MONTH($F152)) / 12),
  0)</f>
        <v/>
      </c>
      <c r="W152" s="299">
        <f>IF(AND($F152&lt;=W$2, OR($G152="",$G152&gt;=W$2)),
  $H152 * (1 + Assumptions!$C$7) ^ INT(((YEAR(W$2)-YEAR($F152))*12 + MONTH(W$2)-MONTH($F152)) / 12),
  0)</f>
        <v/>
      </c>
      <c r="X152" s="299">
        <f>IF(AND($F152&lt;=X$2, OR($G152="",$G152&gt;=X$2)),
  $H152 * (1 + Assumptions!$C$7) ^ INT(((YEAR(X$2)-YEAR($F152))*12 + MONTH(X$2)-MONTH($F152)) / 12),
  0)</f>
        <v/>
      </c>
      <c r="Y152" s="299">
        <f>IF(AND($F152&lt;=Y$2, OR($G152="",$G152&gt;=Y$2)),
  $H152 * (1 + Assumptions!$C$7) ^ INT(((YEAR(Y$2)-YEAR($F152))*12 + MONTH(Y$2)-MONTH($F152)) / 12),
  0)</f>
        <v/>
      </c>
      <c r="Z152" s="299">
        <f>IF(AND($F152&lt;=Z$2, OR($G152="",$G152&gt;=Z$2)),
  $H152 * (1 + Assumptions!$C$7) ^ INT(((YEAR(Z$2)-YEAR($F152))*12 + MONTH(Z$2)-MONTH($F152)) / 12),
  0)</f>
        <v/>
      </c>
      <c r="AA152" s="299">
        <f>IF(AND($F152&lt;=AA$2, OR($G152="",$G152&gt;=AA$2)),
  $H152 * (1 + Assumptions!$C$7) ^ INT(((YEAR(AA$2)-YEAR($F152))*12 + MONTH(AA$2)-MONTH($F152)) / 12),
  0)</f>
        <v/>
      </c>
      <c r="AB152" s="299">
        <f>IF(AND($F152&lt;=AB$2, OR($G152="",$G152&gt;=AB$2)),
  $H152 * (1 + Assumptions!$C$7) ^ INT(((YEAR(AB$2)-YEAR($F152))*12 + MONTH(AB$2)-MONTH($F152)) / 12),
  0)</f>
        <v/>
      </c>
      <c r="AC152" s="299">
        <f>IF(AND($F152&lt;=AC$2, OR($G152="",$G152&gt;=AC$2)),
  $H152 * (1 + Assumptions!$C$7) ^ INT(((YEAR(AC$2)-YEAR($F152))*12 + MONTH(AC$2)-MONTH($F152)) / 12),
  0)</f>
        <v/>
      </c>
      <c r="AD152" s="299">
        <f>IF(AND($F152&lt;=AD$2, OR($G152="",$G152&gt;=AD$2)),
  $H152 * (1 + Assumptions!$C$7) ^ INT(((YEAR(AD$2)-YEAR($F152))*12 + MONTH(AD$2)-MONTH($F152)) / 12),
  0)</f>
        <v/>
      </c>
      <c r="AE152" s="299">
        <f>IF(AND($F152&lt;=AE$2, OR($G152="",$G152&gt;=AE$2)),
  $H152 * (1 + Assumptions!$C$7) ^ INT(((YEAR(AE$2)-YEAR($F152))*12 + MONTH(AE$2)-MONTH($F152)) / 12),
  0)</f>
        <v/>
      </c>
      <c r="AF152" s="299">
        <f>IF(AND($F152&lt;=AF$2, OR($G152="",$G152&gt;=AF$2)),
  $H152 * (1 + Assumptions!$C$7) ^ INT(((YEAR(AF$2)-YEAR($F152))*12 + MONTH(AF$2)-MONTH($F152)) / 12),
  0)</f>
        <v/>
      </c>
      <c r="AG152" s="299">
        <f>IF(AND($F152&lt;=AG$2, OR($G152="",$G152&gt;=AG$2)),
  $H152 * (1 + Assumptions!$C$7) ^ INT(((YEAR(AG$2)-YEAR($F152))*12 + MONTH(AG$2)-MONTH($F152)) / 12),
  0)</f>
        <v/>
      </c>
      <c r="AH152" s="299">
        <f>IF(AND($F152&lt;=AH$2, OR($G152="",$G152&gt;=AH$2)),
  $H152 * (1 + Assumptions!$C$7) ^ INT(((YEAR(AH$2)-YEAR($F152))*12 + MONTH(AH$2)-MONTH($F152)) / 12),
  0)</f>
        <v/>
      </c>
      <c r="AI152" s="299">
        <f>IF(AND($F152&lt;=AI$2, OR($G152="",$G152&gt;=AI$2)),
  $H152 * (1 + Assumptions!$C$7) ^ INT(((YEAR(AI$2)-YEAR($F152))*12 + MONTH(AI$2)-MONTH($F152)) / 12),
  0)</f>
        <v/>
      </c>
      <c r="AJ152" s="299">
        <f>IF(AND($F152&lt;=AJ$2, OR($G152="",$G152&gt;=AJ$2)),
  $H152 * (1 + Assumptions!$C$7) ^ INT(((YEAR(AJ$2)-YEAR($F152))*12 + MONTH(AJ$2)-MONTH($F152)) / 12),
  0)</f>
        <v/>
      </c>
      <c r="AK152" s="299">
        <f>IF(AND($F152&lt;=AK$2, OR($G152="",$G152&gt;=AK$2)),
  $H152 * (1 + Assumptions!$C$7) ^ INT(((YEAR(AK$2)-YEAR($F152))*12 + MONTH(AK$2)-MONTH($F152)) / 12),
  0)</f>
        <v/>
      </c>
      <c r="AL152" s="299">
        <f>IF(AND($F152&lt;=AL$2, OR($G152="",$G152&gt;=AL$2)),
  $H152 * (1 + Assumptions!$C$7) ^ INT(((YEAR(AL$2)-YEAR($F152))*12 + MONTH(AL$2)-MONTH($F152)) / 12),
  0)</f>
        <v/>
      </c>
      <c r="AM152" s="299">
        <f>IF(AND($F152&lt;=AM$2, OR($G152="",$G152&gt;=AM$2)),
  $H152 * (1 + Assumptions!$C$7) ^ INT(((YEAR(AM$2)-YEAR($F152))*12 + MONTH(AM$2)-MONTH($F152)) / 12),
  0)</f>
        <v/>
      </c>
      <c r="AN152" s="299">
        <f>IF(AND($F152&lt;=AN$2, OR($G152="",$G152&gt;=AN$2)),
  $H152 * (1 + Assumptions!$C$7) ^ INT(((YEAR(AN$2)-YEAR($F152))*12 + MONTH(AN$2)-MONTH($F152)) / 12),
  0)</f>
        <v/>
      </c>
      <c r="AO152" s="299">
        <f>IF(AND($F152&lt;=AO$2, OR($G152="",$G152&gt;=AO$2)),
  $H152 * (1 + Assumptions!$C$7) ^ INT(((YEAR(AO$2)-YEAR($F152))*12 + MONTH(AO$2)-MONTH($F152)) / 12),
  0)</f>
        <v/>
      </c>
      <c r="AP152" s="299">
        <f>IF(AND($F152&lt;=AP$2, OR($G152="",$G152&gt;=AP$2)),
  $H152 * (1 + Assumptions!$C$7) ^ INT(((YEAR(AP$2)-YEAR($F152))*12 + MONTH(AP$2)-MONTH($F152)) / 12),
  0)</f>
        <v/>
      </c>
      <c r="AQ152" s="299">
        <f>IF(AND($F152&lt;=AQ$2, OR($G152="",$G152&gt;=AQ$2)),
  $H152 * (1 + Assumptions!$C$7) ^ INT(((YEAR(AQ$2)-YEAR($F152))*12 + MONTH(AQ$2)-MONTH($F152)) / 12),
  0)</f>
        <v/>
      </c>
      <c r="AR152" s="299">
        <f>IF(AND($F152&lt;=AR$2, OR($G152="",$G152&gt;=AR$2)),
  $H152 * (1 + Assumptions!$C$7) ^ INT(((YEAR(AR$2)-YEAR($F152))*12 + MONTH(AR$2)-MONTH($F152)) / 12),
  0)</f>
        <v/>
      </c>
      <c r="AS152" s="299">
        <f>IF(AND($F152&lt;=AS$2, OR($G152="",$G152&gt;=AS$2)),
  $H152 * (1 + Assumptions!$C$7) ^ INT(((YEAR(AS$2)-YEAR($F152))*12 + MONTH(AS$2)-MONTH($F152)) / 12),
  0)</f>
        <v/>
      </c>
      <c r="AT152" s="299">
        <f>IF(AND($F152&lt;=AT$2, OR($G152="",$G152&gt;=AT$2)),
  $H152 * (1 + Assumptions!$C$7) ^ INT(((YEAR(AT$2)-YEAR($F152))*12 + MONTH(AT$2)-MONTH($F152)) / 12),
  0)</f>
        <v/>
      </c>
      <c r="AU152" s="299">
        <f>IF(AND($F152&lt;=AU$2, OR($G152="",$G152&gt;=AU$2)),
  $H152 * (1 + Assumptions!$C$7) ^ INT(((YEAR(AU$2)-YEAR($F152))*12 + MONTH(AU$2)-MONTH($F152)) / 12),
  0)</f>
        <v/>
      </c>
      <c r="AV152" s="299">
        <f>IF(AND($F152&lt;=AV$2, OR($G152="",$G152&gt;=AV$2)),
  $H152 * (1 + Assumptions!$C$7) ^ INT(((YEAR(AV$2)-YEAR($F152))*12 + MONTH(AV$2)-MONTH($F152)) / 12),
  0)</f>
        <v/>
      </c>
      <c r="AW152" s="299">
        <f>IF(AND($F152&lt;=AW$2, OR($G152="",$G152&gt;=AW$2)),
  $H152 * (1 + Assumptions!$C$7) ^ INT(((YEAR(AW$2)-YEAR($F152))*12 + MONTH(AW$2)-MONTH($F152)) / 12),
  0)</f>
        <v/>
      </c>
      <c r="AX152" s="299">
        <f>IF(AND($F152&lt;=AX$2, OR($G152="",$G152&gt;=AX$2)),
  $H152 * (1 + Assumptions!$C$7) ^ INT(((YEAR(AX$2)-YEAR($F152))*12 + MONTH(AX$2)-MONTH($F152)) / 12),
  0)</f>
        <v/>
      </c>
      <c r="AY152" s="299">
        <f>IF(AND($F152&lt;=AY$2, OR($G152="",$G152&gt;=AY$2)),
  $H152 * (1 + Assumptions!$C$7) ^ INT(((YEAR(AY$2)-YEAR($F152))*12 + MONTH(AY$2)-MONTH($F152)) / 12),
  0)</f>
        <v/>
      </c>
      <c r="AZ152" s="299">
        <f>IF(AND($F152&lt;=AZ$2, OR($G152="",$G152&gt;=AZ$2)),
  $H152 * (1 + Assumptions!$C$7) ^ INT(((YEAR(AZ$2)-YEAR($F152))*12 + MONTH(AZ$2)-MONTH($F152)) / 12),
  0)</f>
        <v/>
      </c>
      <c r="BA152" s="299">
        <f>IF(AND($F152&lt;=BA$2, OR($G152="",$G152&gt;=BA$2)),
  $H152 * (1 + Assumptions!$C$7) ^ INT(((YEAR(BA$2)-YEAR($F152))*12 + MONTH(BA$2)-MONTH($F152)) / 12),
  0)</f>
        <v/>
      </c>
      <c r="BB152" s="299">
        <f>IF(AND($F152&lt;=BB$2, OR($G152="",$G152&gt;=BB$2)),
  $H152 * (1 + Assumptions!$C$7) ^ INT(((YEAR(BB$2)-YEAR($F152))*12 + MONTH(BB$2)-MONTH($F152)) / 12),
  0)</f>
        <v/>
      </c>
      <c r="BC152" s="299">
        <f>IF(AND($F152&lt;=BC$2, OR($G152="",$G152&gt;=BC$2)),
  $H152 * (1 + Assumptions!$C$7) ^ INT(((YEAR(BC$2)-YEAR($F152))*12 + MONTH(BC$2)-MONTH($F152)) / 12),
  0)</f>
        <v/>
      </c>
      <c r="BD152" s="299">
        <f>IF(AND($F152&lt;=BD$2, OR($G152="",$G152&gt;=BD$2)),
  $H152 * (1 + Assumptions!$C$7) ^ INT(((YEAR(BD$2)-YEAR($F152))*12 + MONTH(BD$2)-MONTH($F152)) / 12),
  0)</f>
        <v/>
      </c>
      <c r="BE152" s="299">
        <f>IF(AND($F152&lt;=BE$2, OR($G152="",$G152&gt;=BE$2)),
  $H152 * (1 + Assumptions!$C$7) ^ INT(((YEAR(BE$2)-YEAR($F152))*12 + MONTH(BE$2)-MONTH($F152)) / 12),
  0)</f>
        <v/>
      </c>
      <c r="BF152" s="299">
        <f>IF(AND($F152&lt;=BF$2, OR($G152="",$G152&gt;=BF$2)),
  $H152 * (1 + Assumptions!$C$7) ^ INT(((YEAR(BF$2)-YEAR($F152))*12 + MONTH(BF$2)-MONTH($F152)) / 12),
  0)</f>
        <v/>
      </c>
      <c r="BG152" s="299">
        <f>IF(AND($F152&lt;=BG$2, OR($G152="",$G152&gt;=BG$2)),
  $H152 * (1 + Assumptions!$C$7) ^ INT(((YEAR(BG$2)-YEAR($F152))*12 + MONTH(BG$2)-MONTH($F152)) / 12),
  0)</f>
        <v/>
      </c>
      <c r="BH152" s="299">
        <f>IF(AND($F152&lt;=BH$2, OR($G152="",$G152&gt;=BH$2)),
  $H152 * (1 + Assumptions!$C$7) ^ INT(((YEAR(BH$2)-YEAR($F152))*12 + MONTH(BH$2)-MONTH($F152)) / 12),
  0)</f>
        <v/>
      </c>
      <c r="BI152" s="299">
        <f>IF(AND($F152&lt;=BI$2, OR($G152="",$G152&gt;=BI$2)),
  $H152 * (1 + Assumptions!$C$7) ^ INT(((YEAR(BI$2)-YEAR($F152))*12 + MONTH(BI$2)-MONTH($F152)) / 12),
  0)</f>
        <v/>
      </c>
      <c r="BJ152" s="299">
        <f>IF(AND($F152&lt;=BJ$2, OR($G152="",$G152&gt;=BJ$2)),
  $H152 * (1 + Assumptions!$C$7) ^ INT(((YEAR(BJ$2)-YEAR($F152))*12 + MONTH(BJ$2)-MONTH($F152)) / 12),
  0)</f>
        <v/>
      </c>
      <c r="BK152" s="299">
        <f>IF(AND($F152&lt;=BK$2, OR($G152="",$G152&gt;=BK$2)),
  $H152 * (1 + Assumptions!$C$7) ^ INT(((YEAR(BK$2)-YEAR($F152))*12 + MONTH(BK$2)-MONTH($F152)) / 12),
  0)</f>
        <v/>
      </c>
      <c r="BL152" s="299">
        <f>IF(AND($F152&lt;=BL$2, OR($G152="",$G152&gt;=BL$2)),
  $H152 * (1 + Assumptions!$C$7) ^ INT(((YEAR(BL$2)-YEAR($F152))*12 + MONTH(BL$2)-MONTH($F152)) / 12),
  0)</f>
        <v/>
      </c>
      <c r="BM152" s="299">
        <f>IF(AND($F152&lt;=BM$2, OR($G152="",$G152&gt;=BM$2)),
  $H152 * (1 + Assumptions!$C$7) ^ INT(((YEAR(BM$2)-YEAR($F152))*12 + MONTH(BM$2)-MONTH($F152)) / 12),
  0)</f>
        <v/>
      </c>
      <c r="BN152" s="299">
        <f>IF(AND($F152&lt;=BN$2, OR($G152="",$G152&gt;=BN$2)),
  $H152 * (1 + Assumptions!$C$7) ^ INT(((YEAR(BN$2)-YEAR($F152))*12 + MONTH(BN$2)-MONTH($F152)) / 12),
  0)</f>
        <v/>
      </c>
      <c r="BO152" s="299">
        <f>IF(AND($F152&lt;=BO$2, OR($G152="",$G152&gt;=BO$2)),
  $H152 * (1 + Assumptions!$C$7) ^ INT(((YEAR(BO$2)-YEAR($F152))*12 + MONTH(BO$2)-MONTH($F152)) / 12),
  0)</f>
        <v/>
      </c>
      <c r="BP152" s="299">
        <f>IF(AND($F152&lt;=BP$2, OR($G152="",$G152&gt;=BP$2)),
  $H152 * (1 + Assumptions!$C$7) ^ INT(((YEAR(BP$2)-YEAR($F152))*12 + MONTH(BP$2)-MONTH($F152)) / 12),
  0)</f>
        <v/>
      </c>
      <c r="BQ152" s="31" t="n"/>
      <c r="BR152" s="31" t="n"/>
      <c r="BS152" s="31" t="n"/>
      <c r="BT152" s="31" t="n"/>
    </row>
    <row r="153" ht="15.75" customHeight="1" s="349">
      <c r="A153" s="321" t="n">
        <v>148</v>
      </c>
      <c r="B153" s="285" t="inlineStr">
        <is>
          <t>New hire</t>
        </is>
      </c>
      <c r="C153" s="317" t="inlineStr">
        <is>
          <t>G&amp;A</t>
        </is>
      </c>
      <c r="D153" s="317" t="inlineStr">
        <is>
          <t>Production Operator</t>
        </is>
      </c>
      <c r="E153" s="297" t="inlineStr">
        <is>
          <t>Planned</t>
        </is>
      </c>
      <c r="F153" s="318">
        <f>IF(Assumptions!$D$82=2,DATE(2029,7,1),DATE(2035,1,1))</f>
        <v/>
      </c>
      <c r="G153" s="318" t="n"/>
      <c r="H153" s="288" t="n">
        <v>5000</v>
      </c>
      <c r="I153" s="299">
        <f>IF(AND($F153&lt;=I$2, OR($G153="",$G153&gt;=I$2)),
  $H153 * (1 + Assumptions!$C$7) ^ INT(((YEAR(I$2)-YEAR($F153))*12 + MONTH(I$2)-MONTH($F153)) / 12),
  0)</f>
        <v/>
      </c>
      <c r="J153" s="299">
        <f>IF(AND($F153&lt;=J$2, OR($G153="",$G153&gt;=J$2)),
  $H153 * (1 + Assumptions!$C$7) ^ INT(((YEAR(J$2)-YEAR($F153))*12 + MONTH(J$2)-MONTH($F153)) / 12),
  0)</f>
        <v/>
      </c>
      <c r="K153" s="299">
        <f>IF(AND($F153&lt;=K$2, OR($G153="",$G153&gt;=K$2)),
  $H153 * (1 + Assumptions!$C$7) ^ INT(((YEAR(K$2)-YEAR($F153))*12 + MONTH(K$2)-MONTH($F153)) / 12),
  0)</f>
        <v/>
      </c>
      <c r="L153" s="299">
        <f>IF(AND($F153&lt;=L$2, OR($G153="",$G153&gt;=L$2)),
  $H153 * (1 + Assumptions!$C$7) ^ INT(((YEAR(L$2)-YEAR($F153))*12 + MONTH(L$2)-MONTH($F153)) / 12),
  0)</f>
        <v/>
      </c>
      <c r="M153" s="299">
        <f>IF(AND($F153&lt;=M$2, OR($G153="",$G153&gt;=M$2)),
  $H153 * (1 + Assumptions!$C$7) ^ INT(((YEAR(M$2)-YEAR($F153))*12 + MONTH(M$2)-MONTH($F153)) / 12),
  0)</f>
        <v/>
      </c>
      <c r="N153" s="299">
        <f>IF(AND($F153&lt;=N$2, OR($G153="",$G153&gt;=N$2)),
  $H153 * (1 + Assumptions!$C$7) ^ INT(((YEAR(N$2)-YEAR($F153))*12 + MONTH(N$2)-MONTH($F153)) / 12),
  0)</f>
        <v/>
      </c>
      <c r="O153" s="299">
        <f>IF(AND($F153&lt;=O$2, OR($G153="",$G153&gt;=O$2)),
  $H153 * (1 + Assumptions!$C$7) ^ INT(((YEAR(O$2)-YEAR($F153))*12 + MONTH(O$2)-MONTH($F153)) / 12),
  0)</f>
        <v/>
      </c>
      <c r="P153" s="299">
        <f>IF(AND($F153&lt;=P$2, OR($G153="",$G153&gt;=P$2)),
  $H153 * (1 + Assumptions!$C$7) ^ INT(((YEAR(P$2)-YEAR($F153))*12 + MONTH(P$2)-MONTH($F153)) / 12),
  0)</f>
        <v/>
      </c>
      <c r="Q153" s="299">
        <f>IF(AND($F153&lt;=Q$2, OR($G153="",$G153&gt;=Q$2)),
  $H153 * (1 + Assumptions!$C$7) ^ INT(((YEAR(Q$2)-YEAR($F153))*12 + MONTH(Q$2)-MONTH($F153)) / 12),
  0)</f>
        <v/>
      </c>
      <c r="R153" s="299">
        <f>IF(AND($F153&lt;=R$2, OR($G153="",$G153&gt;=R$2)),
  $H153 * (1 + Assumptions!$C$7) ^ INT(((YEAR(R$2)-YEAR($F153))*12 + MONTH(R$2)-MONTH($F153)) / 12),
  0)</f>
        <v/>
      </c>
      <c r="S153" s="299">
        <f>IF(AND($F153&lt;=S$2, OR($G153="",$G153&gt;=S$2)),
  $H153 * (1 + Assumptions!$C$7) ^ INT(((YEAR(S$2)-YEAR($F153))*12 + MONTH(S$2)-MONTH($F153)) / 12),
  0)</f>
        <v/>
      </c>
      <c r="T153" s="299">
        <f>IF(AND($F153&lt;=T$2, OR($G153="",$G153&gt;=T$2)),
  $H153 * (1 + Assumptions!$C$7) ^ INT(((YEAR(T$2)-YEAR($F153))*12 + MONTH(T$2)-MONTH($F153)) / 12),
  0)</f>
        <v/>
      </c>
      <c r="U153" s="299">
        <f>IF(AND($F153&lt;=U$2, OR($G153="",$G153&gt;=U$2)),
  $H153 * (1 + Assumptions!$C$7) ^ INT(((YEAR(U$2)-YEAR($F153))*12 + MONTH(U$2)-MONTH($F153)) / 12),
  0)</f>
        <v/>
      </c>
      <c r="V153" s="299">
        <f>IF(AND($F153&lt;=V$2, OR($G153="",$G153&gt;=V$2)),
  $H153 * (1 + Assumptions!$C$7) ^ INT(((YEAR(V$2)-YEAR($F153))*12 + MONTH(V$2)-MONTH($F153)) / 12),
  0)</f>
        <v/>
      </c>
      <c r="W153" s="299">
        <f>IF(AND($F153&lt;=W$2, OR($G153="",$G153&gt;=W$2)),
  $H153 * (1 + Assumptions!$C$7) ^ INT(((YEAR(W$2)-YEAR($F153))*12 + MONTH(W$2)-MONTH($F153)) / 12),
  0)</f>
        <v/>
      </c>
      <c r="X153" s="299">
        <f>IF(AND($F153&lt;=X$2, OR($G153="",$G153&gt;=X$2)),
  $H153 * (1 + Assumptions!$C$7) ^ INT(((YEAR(X$2)-YEAR($F153))*12 + MONTH(X$2)-MONTH($F153)) / 12),
  0)</f>
        <v/>
      </c>
      <c r="Y153" s="299">
        <f>IF(AND($F153&lt;=Y$2, OR($G153="",$G153&gt;=Y$2)),
  $H153 * (1 + Assumptions!$C$7) ^ INT(((YEAR(Y$2)-YEAR($F153))*12 + MONTH(Y$2)-MONTH($F153)) / 12),
  0)</f>
        <v/>
      </c>
      <c r="Z153" s="299">
        <f>IF(AND($F153&lt;=Z$2, OR($G153="",$G153&gt;=Z$2)),
  $H153 * (1 + Assumptions!$C$7) ^ INT(((YEAR(Z$2)-YEAR($F153))*12 + MONTH(Z$2)-MONTH($F153)) / 12),
  0)</f>
        <v/>
      </c>
      <c r="AA153" s="299">
        <f>IF(AND($F153&lt;=AA$2, OR($G153="",$G153&gt;=AA$2)),
  $H153 * (1 + Assumptions!$C$7) ^ INT(((YEAR(AA$2)-YEAR($F153))*12 + MONTH(AA$2)-MONTH($F153)) / 12),
  0)</f>
        <v/>
      </c>
      <c r="AB153" s="299">
        <f>IF(AND($F153&lt;=AB$2, OR($G153="",$G153&gt;=AB$2)),
  $H153 * (1 + Assumptions!$C$7) ^ INT(((YEAR(AB$2)-YEAR($F153))*12 + MONTH(AB$2)-MONTH($F153)) / 12),
  0)</f>
        <v/>
      </c>
      <c r="AC153" s="299">
        <f>IF(AND($F153&lt;=AC$2, OR($G153="",$G153&gt;=AC$2)),
  $H153 * (1 + Assumptions!$C$7) ^ INT(((YEAR(AC$2)-YEAR($F153))*12 + MONTH(AC$2)-MONTH($F153)) / 12),
  0)</f>
        <v/>
      </c>
      <c r="AD153" s="299">
        <f>IF(AND($F153&lt;=AD$2, OR($G153="",$G153&gt;=AD$2)),
  $H153 * (1 + Assumptions!$C$7) ^ INT(((YEAR(AD$2)-YEAR($F153))*12 + MONTH(AD$2)-MONTH($F153)) / 12),
  0)</f>
        <v/>
      </c>
      <c r="AE153" s="299">
        <f>IF(AND($F153&lt;=AE$2, OR($G153="",$G153&gt;=AE$2)),
  $H153 * (1 + Assumptions!$C$7) ^ INT(((YEAR(AE$2)-YEAR($F153))*12 + MONTH(AE$2)-MONTH($F153)) / 12),
  0)</f>
        <v/>
      </c>
      <c r="AF153" s="299">
        <f>IF(AND($F153&lt;=AF$2, OR($G153="",$G153&gt;=AF$2)),
  $H153 * (1 + Assumptions!$C$7) ^ INT(((YEAR(AF$2)-YEAR($F153))*12 + MONTH(AF$2)-MONTH($F153)) / 12),
  0)</f>
        <v/>
      </c>
      <c r="AG153" s="299">
        <f>IF(AND($F153&lt;=AG$2, OR($G153="",$G153&gt;=AG$2)),
  $H153 * (1 + Assumptions!$C$7) ^ INT(((YEAR(AG$2)-YEAR($F153))*12 + MONTH(AG$2)-MONTH($F153)) / 12),
  0)</f>
        <v/>
      </c>
      <c r="AH153" s="299">
        <f>IF(AND($F153&lt;=AH$2, OR($G153="",$G153&gt;=AH$2)),
  $H153 * (1 + Assumptions!$C$7) ^ INT(((YEAR(AH$2)-YEAR($F153))*12 + MONTH(AH$2)-MONTH($F153)) / 12),
  0)</f>
        <v/>
      </c>
      <c r="AI153" s="299">
        <f>IF(AND($F153&lt;=AI$2, OR($G153="",$G153&gt;=AI$2)),
  $H153 * (1 + Assumptions!$C$7) ^ INT(((YEAR(AI$2)-YEAR($F153))*12 + MONTH(AI$2)-MONTH($F153)) / 12),
  0)</f>
        <v/>
      </c>
      <c r="AJ153" s="299">
        <f>IF(AND($F153&lt;=AJ$2, OR($G153="",$G153&gt;=AJ$2)),
  $H153 * (1 + Assumptions!$C$7) ^ INT(((YEAR(AJ$2)-YEAR($F153))*12 + MONTH(AJ$2)-MONTH($F153)) / 12),
  0)</f>
        <v/>
      </c>
      <c r="AK153" s="299">
        <f>IF(AND($F153&lt;=AK$2, OR($G153="",$G153&gt;=AK$2)),
  $H153 * (1 + Assumptions!$C$7) ^ INT(((YEAR(AK$2)-YEAR($F153))*12 + MONTH(AK$2)-MONTH($F153)) / 12),
  0)</f>
        <v/>
      </c>
      <c r="AL153" s="299">
        <f>IF(AND($F153&lt;=AL$2, OR($G153="",$G153&gt;=AL$2)),
  $H153 * (1 + Assumptions!$C$7) ^ INT(((YEAR(AL$2)-YEAR($F153))*12 + MONTH(AL$2)-MONTH($F153)) / 12),
  0)</f>
        <v/>
      </c>
      <c r="AM153" s="299">
        <f>IF(AND($F153&lt;=AM$2, OR($G153="",$G153&gt;=AM$2)),
  $H153 * (1 + Assumptions!$C$7) ^ INT(((YEAR(AM$2)-YEAR($F153))*12 + MONTH(AM$2)-MONTH($F153)) / 12),
  0)</f>
        <v/>
      </c>
      <c r="AN153" s="299">
        <f>IF(AND($F153&lt;=AN$2, OR($G153="",$G153&gt;=AN$2)),
  $H153 * (1 + Assumptions!$C$7) ^ INT(((YEAR(AN$2)-YEAR($F153))*12 + MONTH(AN$2)-MONTH($F153)) / 12),
  0)</f>
        <v/>
      </c>
      <c r="AO153" s="299">
        <f>IF(AND($F153&lt;=AO$2, OR($G153="",$G153&gt;=AO$2)),
  $H153 * (1 + Assumptions!$C$7) ^ INT(((YEAR(AO$2)-YEAR($F153))*12 + MONTH(AO$2)-MONTH($F153)) / 12),
  0)</f>
        <v/>
      </c>
      <c r="AP153" s="299">
        <f>IF(AND($F153&lt;=AP$2, OR($G153="",$G153&gt;=AP$2)),
  $H153 * (1 + Assumptions!$C$7) ^ INT(((YEAR(AP$2)-YEAR($F153))*12 + MONTH(AP$2)-MONTH($F153)) / 12),
  0)</f>
        <v/>
      </c>
      <c r="AQ153" s="299">
        <f>IF(AND($F153&lt;=AQ$2, OR($G153="",$G153&gt;=AQ$2)),
  $H153 * (1 + Assumptions!$C$7) ^ INT(((YEAR(AQ$2)-YEAR($F153))*12 + MONTH(AQ$2)-MONTH($F153)) / 12),
  0)</f>
        <v/>
      </c>
      <c r="AR153" s="299">
        <f>IF(AND($F153&lt;=AR$2, OR($G153="",$G153&gt;=AR$2)),
  $H153 * (1 + Assumptions!$C$7) ^ INT(((YEAR(AR$2)-YEAR($F153))*12 + MONTH(AR$2)-MONTH($F153)) / 12),
  0)</f>
        <v/>
      </c>
      <c r="AS153" s="299">
        <f>IF(AND($F153&lt;=AS$2, OR($G153="",$G153&gt;=AS$2)),
  $H153 * (1 + Assumptions!$C$7) ^ INT(((YEAR(AS$2)-YEAR($F153))*12 + MONTH(AS$2)-MONTH($F153)) / 12),
  0)</f>
        <v/>
      </c>
      <c r="AT153" s="299">
        <f>IF(AND($F153&lt;=AT$2, OR($G153="",$G153&gt;=AT$2)),
  $H153 * (1 + Assumptions!$C$7) ^ INT(((YEAR(AT$2)-YEAR($F153))*12 + MONTH(AT$2)-MONTH($F153)) / 12),
  0)</f>
        <v/>
      </c>
      <c r="AU153" s="299">
        <f>IF(AND($F153&lt;=AU$2, OR($G153="",$G153&gt;=AU$2)),
  $H153 * (1 + Assumptions!$C$7) ^ INT(((YEAR(AU$2)-YEAR($F153))*12 + MONTH(AU$2)-MONTH($F153)) / 12),
  0)</f>
        <v/>
      </c>
      <c r="AV153" s="299">
        <f>IF(AND($F153&lt;=AV$2, OR($G153="",$G153&gt;=AV$2)),
  $H153 * (1 + Assumptions!$C$7) ^ INT(((YEAR(AV$2)-YEAR($F153))*12 + MONTH(AV$2)-MONTH($F153)) / 12),
  0)</f>
        <v/>
      </c>
      <c r="AW153" s="299">
        <f>IF(AND($F153&lt;=AW$2, OR($G153="",$G153&gt;=AW$2)),
  $H153 * (1 + Assumptions!$C$7) ^ INT(((YEAR(AW$2)-YEAR($F153))*12 + MONTH(AW$2)-MONTH($F153)) / 12),
  0)</f>
        <v/>
      </c>
      <c r="AX153" s="299">
        <f>IF(AND($F153&lt;=AX$2, OR($G153="",$G153&gt;=AX$2)),
  $H153 * (1 + Assumptions!$C$7) ^ INT(((YEAR(AX$2)-YEAR($F153))*12 + MONTH(AX$2)-MONTH($F153)) / 12),
  0)</f>
        <v/>
      </c>
      <c r="AY153" s="299">
        <f>IF(AND($F153&lt;=AY$2, OR($G153="",$G153&gt;=AY$2)),
  $H153 * (1 + Assumptions!$C$7) ^ INT(((YEAR(AY$2)-YEAR($F153))*12 + MONTH(AY$2)-MONTH($F153)) / 12),
  0)</f>
        <v/>
      </c>
      <c r="AZ153" s="299">
        <f>IF(AND($F153&lt;=AZ$2, OR($G153="",$G153&gt;=AZ$2)),
  $H153 * (1 + Assumptions!$C$7) ^ INT(((YEAR(AZ$2)-YEAR($F153))*12 + MONTH(AZ$2)-MONTH($F153)) / 12),
  0)</f>
        <v/>
      </c>
      <c r="BA153" s="299">
        <f>IF(AND($F153&lt;=BA$2, OR($G153="",$G153&gt;=BA$2)),
  $H153 * (1 + Assumptions!$C$7) ^ INT(((YEAR(BA$2)-YEAR($F153))*12 + MONTH(BA$2)-MONTH($F153)) / 12),
  0)</f>
        <v/>
      </c>
      <c r="BB153" s="299">
        <f>IF(AND($F153&lt;=BB$2, OR($G153="",$G153&gt;=BB$2)),
  $H153 * (1 + Assumptions!$C$7) ^ INT(((YEAR(BB$2)-YEAR($F153))*12 + MONTH(BB$2)-MONTH($F153)) / 12),
  0)</f>
        <v/>
      </c>
      <c r="BC153" s="299">
        <f>IF(AND($F153&lt;=BC$2, OR($G153="",$G153&gt;=BC$2)),
  $H153 * (1 + Assumptions!$C$7) ^ INT(((YEAR(BC$2)-YEAR($F153))*12 + MONTH(BC$2)-MONTH($F153)) / 12),
  0)</f>
        <v/>
      </c>
      <c r="BD153" s="299">
        <f>IF(AND($F153&lt;=BD$2, OR($G153="",$G153&gt;=BD$2)),
  $H153 * (1 + Assumptions!$C$7) ^ INT(((YEAR(BD$2)-YEAR($F153))*12 + MONTH(BD$2)-MONTH($F153)) / 12),
  0)</f>
        <v/>
      </c>
      <c r="BE153" s="299">
        <f>IF(AND($F153&lt;=BE$2, OR($G153="",$G153&gt;=BE$2)),
  $H153 * (1 + Assumptions!$C$7) ^ INT(((YEAR(BE$2)-YEAR($F153))*12 + MONTH(BE$2)-MONTH($F153)) / 12),
  0)</f>
        <v/>
      </c>
      <c r="BF153" s="299">
        <f>IF(AND($F153&lt;=BF$2, OR($G153="",$G153&gt;=BF$2)),
  $H153 * (1 + Assumptions!$C$7) ^ INT(((YEAR(BF$2)-YEAR($F153))*12 + MONTH(BF$2)-MONTH($F153)) / 12),
  0)</f>
        <v/>
      </c>
      <c r="BG153" s="299">
        <f>IF(AND($F153&lt;=BG$2, OR($G153="",$G153&gt;=BG$2)),
  $H153 * (1 + Assumptions!$C$7) ^ INT(((YEAR(BG$2)-YEAR($F153))*12 + MONTH(BG$2)-MONTH($F153)) / 12),
  0)</f>
        <v/>
      </c>
      <c r="BH153" s="299">
        <f>IF(AND($F153&lt;=BH$2, OR($G153="",$G153&gt;=BH$2)),
  $H153 * (1 + Assumptions!$C$7) ^ INT(((YEAR(BH$2)-YEAR($F153))*12 + MONTH(BH$2)-MONTH($F153)) / 12),
  0)</f>
        <v/>
      </c>
      <c r="BI153" s="299">
        <f>IF(AND($F153&lt;=BI$2, OR($G153="",$G153&gt;=BI$2)),
  $H153 * (1 + Assumptions!$C$7) ^ INT(((YEAR(BI$2)-YEAR($F153))*12 + MONTH(BI$2)-MONTH($F153)) / 12),
  0)</f>
        <v/>
      </c>
      <c r="BJ153" s="299">
        <f>IF(AND($F153&lt;=BJ$2, OR($G153="",$G153&gt;=BJ$2)),
  $H153 * (1 + Assumptions!$C$7) ^ INT(((YEAR(BJ$2)-YEAR($F153))*12 + MONTH(BJ$2)-MONTH($F153)) / 12),
  0)</f>
        <v/>
      </c>
      <c r="BK153" s="299">
        <f>IF(AND($F153&lt;=BK$2, OR($G153="",$G153&gt;=BK$2)),
  $H153 * (1 + Assumptions!$C$7) ^ INT(((YEAR(BK$2)-YEAR($F153))*12 + MONTH(BK$2)-MONTH($F153)) / 12),
  0)</f>
        <v/>
      </c>
      <c r="BL153" s="299">
        <f>IF(AND($F153&lt;=BL$2, OR($G153="",$G153&gt;=BL$2)),
  $H153 * (1 + Assumptions!$C$7) ^ INT(((YEAR(BL$2)-YEAR($F153))*12 + MONTH(BL$2)-MONTH($F153)) / 12),
  0)</f>
        <v/>
      </c>
      <c r="BM153" s="299">
        <f>IF(AND($F153&lt;=BM$2, OR($G153="",$G153&gt;=BM$2)),
  $H153 * (1 + Assumptions!$C$7) ^ INT(((YEAR(BM$2)-YEAR($F153))*12 + MONTH(BM$2)-MONTH($F153)) / 12),
  0)</f>
        <v/>
      </c>
      <c r="BN153" s="299">
        <f>IF(AND($F153&lt;=BN$2, OR($G153="",$G153&gt;=BN$2)),
  $H153 * (1 + Assumptions!$C$7) ^ INT(((YEAR(BN$2)-YEAR($F153))*12 + MONTH(BN$2)-MONTH($F153)) / 12),
  0)</f>
        <v/>
      </c>
      <c r="BO153" s="299">
        <f>IF(AND($F153&lt;=BO$2, OR($G153="",$G153&gt;=BO$2)),
  $H153 * (1 + Assumptions!$C$7) ^ INT(((YEAR(BO$2)-YEAR($F153))*12 + MONTH(BO$2)-MONTH($F153)) / 12),
  0)</f>
        <v/>
      </c>
      <c r="BP153" s="299">
        <f>IF(AND($F153&lt;=BP$2, OR($G153="",$G153&gt;=BP$2)),
  $H153 * (1 + Assumptions!$C$7) ^ INT(((YEAR(BP$2)-YEAR($F153))*12 + MONTH(BP$2)-MONTH($F153)) / 12),
  0)</f>
        <v/>
      </c>
      <c r="BQ153" s="31" t="n"/>
      <c r="BR153" s="31" t="n"/>
      <c r="BS153" s="31" t="n"/>
      <c r="BT153" s="31" t="n"/>
    </row>
    <row r="154" ht="15.75" customHeight="1" s="349">
      <c r="A154" s="321" t="n">
        <v>149</v>
      </c>
      <c r="B154" s="285" t="inlineStr">
        <is>
          <t>New hire</t>
        </is>
      </c>
      <c r="C154" s="317" t="inlineStr">
        <is>
          <t>G&amp;A</t>
        </is>
      </c>
      <c r="D154" s="317" t="inlineStr">
        <is>
          <t>Production Operator</t>
        </is>
      </c>
      <c r="E154" s="297" t="inlineStr">
        <is>
          <t>Planned</t>
        </is>
      </c>
      <c r="F154" s="318">
        <f>IF(Assumptions!$D$82=2,DATE(2029,7,1),DATE(2035,1,1))</f>
        <v/>
      </c>
      <c r="G154" s="318" t="n"/>
      <c r="H154" s="288" t="n">
        <v>5000</v>
      </c>
      <c r="I154" s="299">
        <f>IF(AND($F154&lt;=I$2, OR($G154="",$G154&gt;=I$2)),
  $H154 * (1 + Assumptions!$C$7) ^ INT(((YEAR(I$2)-YEAR($F154))*12 + MONTH(I$2)-MONTH($F154)) / 12),
  0)</f>
        <v/>
      </c>
      <c r="J154" s="299">
        <f>IF(AND($F154&lt;=J$2, OR($G154="",$G154&gt;=J$2)),
  $H154 * (1 + Assumptions!$C$7) ^ INT(((YEAR(J$2)-YEAR($F154))*12 + MONTH(J$2)-MONTH($F154)) / 12),
  0)</f>
        <v/>
      </c>
      <c r="K154" s="299">
        <f>IF(AND($F154&lt;=K$2, OR($G154="",$G154&gt;=K$2)),
  $H154 * (1 + Assumptions!$C$7) ^ INT(((YEAR(K$2)-YEAR($F154))*12 + MONTH(K$2)-MONTH($F154)) / 12),
  0)</f>
        <v/>
      </c>
      <c r="L154" s="299">
        <f>IF(AND($F154&lt;=L$2, OR($G154="",$G154&gt;=L$2)),
  $H154 * (1 + Assumptions!$C$7) ^ INT(((YEAR(L$2)-YEAR($F154))*12 + MONTH(L$2)-MONTH($F154)) / 12),
  0)</f>
        <v/>
      </c>
      <c r="M154" s="299">
        <f>IF(AND($F154&lt;=M$2, OR($G154="",$G154&gt;=M$2)),
  $H154 * (1 + Assumptions!$C$7) ^ INT(((YEAR(M$2)-YEAR($F154))*12 + MONTH(M$2)-MONTH($F154)) / 12),
  0)</f>
        <v/>
      </c>
      <c r="N154" s="299">
        <f>IF(AND($F154&lt;=N$2, OR($G154="",$G154&gt;=N$2)),
  $H154 * (1 + Assumptions!$C$7) ^ INT(((YEAR(N$2)-YEAR($F154))*12 + MONTH(N$2)-MONTH($F154)) / 12),
  0)</f>
        <v/>
      </c>
      <c r="O154" s="299">
        <f>IF(AND($F154&lt;=O$2, OR($G154="",$G154&gt;=O$2)),
  $H154 * (1 + Assumptions!$C$7) ^ INT(((YEAR(O$2)-YEAR($F154))*12 + MONTH(O$2)-MONTH($F154)) / 12),
  0)</f>
        <v/>
      </c>
      <c r="P154" s="299">
        <f>IF(AND($F154&lt;=P$2, OR($G154="",$G154&gt;=P$2)),
  $H154 * (1 + Assumptions!$C$7) ^ INT(((YEAR(P$2)-YEAR($F154))*12 + MONTH(P$2)-MONTH($F154)) / 12),
  0)</f>
        <v/>
      </c>
      <c r="Q154" s="299">
        <f>IF(AND($F154&lt;=Q$2, OR($G154="",$G154&gt;=Q$2)),
  $H154 * (1 + Assumptions!$C$7) ^ INT(((YEAR(Q$2)-YEAR($F154))*12 + MONTH(Q$2)-MONTH($F154)) / 12),
  0)</f>
        <v/>
      </c>
      <c r="R154" s="299">
        <f>IF(AND($F154&lt;=R$2, OR($G154="",$G154&gt;=R$2)),
  $H154 * (1 + Assumptions!$C$7) ^ INT(((YEAR(R$2)-YEAR($F154))*12 + MONTH(R$2)-MONTH($F154)) / 12),
  0)</f>
        <v/>
      </c>
      <c r="S154" s="299">
        <f>IF(AND($F154&lt;=S$2, OR($G154="",$G154&gt;=S$2)),
  $H154 * (1 + Assumptions!$C$7) ^ INT(((YEAR(S$2)-YEAR($F154))*12 + MONTH(S$2)-MONTH($F154)) / 12),
  0)</f>
        <v/>
      </c>
      <c r="T154" s="299">
        <f>IF(AND($F154&lt;=T$2, OR($G154="",$G154&gt;=T$2)),
  $H154 * (1 + Assumptions!$C$7) ^ INT(((YEAR(T$2)-YEAR($F154))*12 + MONTH(T$2)-MONTH($F154)) / 12),
  0)</f>
        <v/>
      </c>
      <c r="U154" s="299">
        <f>IF(AND($F154&lt;=U$2, OR($G154="",$G154&gt;=U$2)),
  $H154 * (1 + Assumptions!$C$7) ^ INT(((YEAR(U$2)-YEAR($F154))*12 + MONTH(U$2)-MONTH($F154)) / 12),
  0)</f>
        <v/>
      </c>
      <c r="V154" s="299">
        <f>IF(AND($F154&lt;=V$2, OR($G154="",$G154&gt;=V$2)),
  $H154 * (1 + Assumptions!$C$7) ^ INT(((YEAR(V$2)-YEAR($F154))*12 + MONTH(V$2)-MONTH($F154)) / 12),
  0)</f>
        <v/>
      </c>
      <c r="W154" s="299">
        <f>IF(AND($F154&lt;=W$2, OR($G154="",$G154&gt;=W$2)),
  $H154 * (1 + Assumptions!$C$7) ^ INT(((YEAR(W$2)-YEAR($F154))*12 + MONTH(W$2)-MONTH($F154)) / 12),
  0)</f>
        <v/>
      </c>
      <c r="X154" s="299">
        <f>IF(AND($F154&lt;=X$2, OR($G154="",$G154&gt;=X$2)),
  $H154 * (1 + Assumptions!$C$7) ^ INT(((YEAR(X$2)-YEAR($F154))*12 + MONTH(X$2)-MONTH($F154)) / 12),
  0)</f>
        <v/>
      </c>
      <c r="Y154" s="299">
        <f>IF(AND($F154&lt;=Y$2, OR($G154="",$G154&gt;=Y$2)),
  $H154 * (1 + Assumptions!$C$7) ^ INT(((YEAR(Y$2)-YEAR($F154))*12 + MONTH(Y$2)-MONTH($F154)) / 12),
  0)</f>
        <v/>
      </c>
      <c r="Z154" s="299">
        <f>IF(AND($F154&lt;=Z$2, OR($G154="",$G154&gt;=Z$2)),
  $H154 * (1 + Assumptions!$C$7) ^ INT(((YEAR(Z$2)-YEAR($F154))*12 + MONTH(Z$2)-MONTH($F154)) / 12),
  0)</f>
        <v/>
      </c>
      <c r="AA154" s="299">
        <f>IF(AND($F154&lt;=AA$2, OR($G154="",$G154&gt;=AA$2)),
  $H154 * (1 + Assumptions!$C$7) ^ INT(((YEAR(AA$2)-YEAR($F154))*12 + MONTH(AA$2)-MONTH($F154)) / 12),
  0)</f>
        <v/>
      </c>
      <c r="AB154" s="299">
        <f>IF(AND($F154&lt;=AB$2, OR($G154="",$G154&gt;=AB$2)),
  $H154 * (1 + Assumptions!$C$7) ^ INT(((YEAR(AB$2)-YEAR($F154))*12 + MONTH(AB$2)-MONTH($F154)) / 12),
  0)</f>
        <v/>
      </c>
      <c r="AC154" s="299">
        <f>IF(AND($F154&lt;=AC$2, OR($G154="",$G154&gt;=AC$2)),
  $H154 * (1 + Assumptions!$C$7) ^ INT(((YEAR(AC$2)-YEAR($F154))*12 + MONTH(AC$2)-MONTH($F154)) / 12),
  0)</f>
        <v/>
      </c>
      <c r="AD154" s="299">
        <f>IF(AND($F154&lt;=AD$2, OR($G154="",$G154&gt;=AD$2)),
  $H154 * (1 + Assumptions!$C$7) ^ INT(((YEAR(AD$2)-YEAR($F154))*12 + MONTH(AD$2)-MONTH($F154)) / 12),
  0)</f>
        <v/>
      </c>
      <c r="AE154" s="299">
        <f>IF(AND($F154&lt;=AE$2, OR($G154="",$G154&gt;=AE$2)),
  $H154 * (1 + Assumptions!$C$7) ^ INT(((YEAR(AE$2)-YEAR($F154))*12 + MONTH(AE$2)-MONTH($F154)) / 12),
  0)</f>
        <v/>
      </c>
      <c r="AF154" s="299">
        <f>IF(AND($F154&lt;=AF$2, OR($G154="",$G154&gt;=AF$2)),
  $H154 * (1 + Assumptions!$C$7) ^ INT(((YEAR(AF$2)-YEAR($F154))*12 + MONTH(AF$2)-MONTH($F154)) / 12),
  0)</f>
        <v/>
      </c>
      <c r="AG154" s="299">
        <f>IF(AND($F154&lt;=AG$2, OR($G154="",$G154&gt;=AG$2)),
  $H154 * (1 + Assumptions!$C$7) ^ INT(((YEAR(AG$2)-YEAR($F154))*12 + MONTH(AG$2)-MONTH($F154)) / 12),
  0)</f>
        <v/>
      </c>
      <c r="AH154" s="299">
        <f>IF(AND($F154&lt;=AH$2, OR($G154="",$G154&gt;=AH$2)),
  $H154 * (1 + Assumptions!$C$7) ^ INT(((YEAR(AH$2)-YEAR($F154))*12 + MONTH(AH$2)-MONTH($F154)) / 12),
  0)</f>
        <v/>
      </c>
      <c r="AI154" s="299">
        <f>IF(AND($F154&lt;=AI$2, OR($G154="",$G154&gt;=AI$2)),
  $H154 * (1 + Assumptions!$C$7) ^ INT(((YEAR(AI$2)-YEAR($F154))*12 + MONTH(AI$2)-MONTH($F154)) / 12),
  0)</f>
        <v/>
      </c>
      <c r="AJ154" s="299">
        <f>IF(AND($F154&lt;=AJ$2, OR($G154="",$G154&gt;=AJ$2)),
  $H154 * (1 + Assumptions!$C$7) ^ INT(((YEAR(AJ$2)-YEAR($F154))*12 + MONTH(AJ$2)-MONTH($F154)) / 12),
  0)</f>
        <v/>
      </c>
      <c r="AK154" s="299">
        <f>IF(AND($F154&lt;=AK$2, OR($G154="",$G154&gt;=AK$2)),
  $H154 * (1 + Assumptions!$C$7) ^ INT(((YEAR(AK$2)-YEAR($F154))*12 + MONTH(AK$2)-MONTH($F154)) / 12),
  0)</f>
        <v/>
      </c>
      <c r="AL154" s="299">
        <f>IF(AND($F154&lt;=AL$2, OR($G154="",$G154&gt;=AL$2)),
  $H154 * (1 + Assumptions!$C$7) ^ INT(((YEAR(AL$2)-YEAR($F154))*12 + MONTH(AL$2)-MONTH($F154)) / 12),
  0)</f>
        <v/>
      </c>
      <c r="AM154" s="299">
        <f>IF(AND($F154&lt;=AM$2, OR($G154="",$G154&gt;=AM$2)),
  $H154 * (1 + Assumptions!$C$7) ^ INT(((YEAR(AM$2)-YEAR($F154))*12 + MONTH(AM$2)-MONTH($F154)) / 12),
  0)</f>
        <v/>
      </c>
      <c r="AN154" s="299">
        <f>IF(AND($F154&lt;=AN$2, OR($G154="",$G154&gt;=AN$2)),
  $H154 * (1 + Assumptions!$C$7) ^ INT(((YEAR(AN$2)-YEAR($F154))*12 + MONTH(AN$2)-MONTH($F154)) / 12),
  0)</f>
        <v/>
      </c>
      <c r="AO154" s="299">
        <f>IF(AND($F154&lt;=AO$2, OR($G154="",$G154&gt;=AO$2)),
  $H154 * (1 + Assumptions!$C$7) ^ INT(((YEAR(AO$2)-YEAR($F154))*12 + MONTH(AO$2)-MONTH($F154)) / 12),
  0)</f>
        <v/>
      </c>
      <c r="AP154" s="299">
        <f>IF(AND($F154&lt;=AP$2, OR($G154="",$G154&gt;=AP$2)),
  $H154 * (1 + Assumptions!$C$7) ^ INT(((YEAR(AP$2)-YEAR($F154))*12 + MONTH(AP$2)-MONTH($F154)) / 12),
  0)</f>
        <v/>
      </c>
      <c r="AQ154" s="299">
        <f>IF(AND($F154&lt;=AQ$2, OR($G154="",$G154&gt;=AQ$2)),
  $H154 * (1 + Assumptions!$C$7) ^ INT(((YEAR(AQ$2)-YEAR($F154))*12 + MONTH(AQ$2)-MONTH($F154)) / 12),
  0)</f>
        <v/>
      </c>
      <c r="AR154" s="299">
        <f>IF(AND($F154&lt;=AR$2, OR($G154="",$G154&gt;=AR$2)),
  $H154 * (1 + Assumptions!$C$7) ^ INT(((YEAR(AR$2)-YEAR($F154))*12 + MONTH(AR$2)-MONTH($F154)) / 12),
  0)</f>
        <v/>
      </c>
      <c r="AS154" s="299">
        <f>IF(AND($F154&lt;=AS$2, OR($G154="",$G154&gt;=AS$2)),
  $H154 * (1 + Assumptions!$C$7) ^ INT(((YEAR(AS$2)-YEAR($F154))*12 + MONTH(AS$2)-MONTH($F154)) / 12),
  0)</f>
        <v/>
      </c>
      <c r="AT154" s="299">
        <f>IF(AND($F154&lt;=AT$2, OR($G154="",$G154&gt;=AT$2)),
  $H154 * (1 + Assumptions!$C$7) ^ INT(((YEAR(AT$2)-YEAR($F154))*12 + MONTH(AT$2)-MONTH($F154)) / 12),
  0)</f>
        <v/>
      </c>
      <c r="AU154" s="299">
        <f>IF(AND($F154&lt;=AU$2, OR($G154="",$G154&gt;=AU$2)),
  $H154 * (1 + Assumptions!$C$7) ^ INT(((YEAR(AU$2)-YEAR($F154))*12 + MONTH(AU$2)-MONTH($F154)) / 12),
  0)</f>
        <v/>
      </c>
      <c r="AV154" s="299">
        <f>IF(AND($F154&lt;=AV$2, OR($G154="",$G154&gt;=AV$2)),
  $H154 * (1 + Assumptions!$C$7) ^ INT(((YEAR(AV$2)-YEAR($F154))*12 + MONTH(AV$2)-MONTH($F154)) / 12),
  0)</f>
        <v/>
      </c>
      <c r="AW154" s="299">
        <f>IF(AND($F154&lt;=AW$2, OR($G154="",$G154&gt;=AW$2)),
  $H154 * (1 + Assumptions!$C$7) ^ INT(((YEAR(AW$2)-YEAR($F154))*12 + MONTH(AW$2)-MONTH($F154)) / 12),
  0)</f>
        <v/>
      </c>
      <c r="AX154" s="299">
        <f>IF(AND($F154&lt;=AX$2, OR($G154="",$G154&gt;=AX$2)),
  $H154 * (1 + Assumptions!$C$7) ^ INT(((YEAR(AX$2)-YEAR($F154))*12 + MONTH(AX$2)-MONTH($F154)) / 12),
  0)</f>
        <v/>
      </c>
      <c r="AY154" s="299">
        <f>IF(AND($F154&lt;=AY$2, OR($G154="",$G154&gt;=AY$2)),
  $H154 * (1 + Assumptions!$C$7) ^ INT(((YEAR(AY$2)-YEAR($F154))*12 + MONTH(AY$2)-MONTH($F154)) / 12),
  0)</f>
        <v/>
      </c>
      <c r="AZ154" s="299">
        <f>IF(AND($F154&lt;=AZ$2, OR($G154="",$G154&gt;=AZ$2)),
  $H154 * (1 + Assumptions!$C$7) ^ INT(((YEAR(AZ$2)-YEAR($F154))*12 + MONTH(AZ$2)-MONTH($F154)) / 12),
  0)</f>
        <v/>
      </c>
      <c r="BA154" s="299">
        <f>IF(AND($F154&lt;=BA$2, OR($G154="",$G154&gt;=BA$2)),
  $H154 * (1 + Assumptions!$C$7) ^ INT(((YEAR(BA$2)-YEAR($F154))*12 + MONTH(BA$2)-MONTH($F154)) / 12),
  0)</f>
        <v/>
      </c>
      <c r="BB154" s="299">
        <f>IF(AND($F154&lt;=BB$2, OR($G154="",$G154&gt;=BB$2)),
  $H154 * (1 + Assumptions!$C$7) ^ INT(((YEAR(BB$2)-YEAR($F154))*12 + MONTH(BB$2)-MONTH($F154)) / 12),
  0)</f>
        <v/>
      </c>
      <c r="BC154" s="299">
        <f>IF(AND($F154&lt;=BC$2, OR($G154="",$G154&gt;=BC$2)),
  $H154 * (1 + Assumptions!$C$7) ^ INT(((YEAR(BC$2)-YEAR($F154))*12 + MONTH(BC$2)-MONTH($F154)) / 12),
  0)</f>
        <v/>
      </c>
      <c r="BD154" s="299">
        <f>IF(AND($F154&lt;=BD$2, OR($G154="",$G154&gt;=BD$2)),
  $H154 * (1 + Assumptions!$C$7) ^ INT(((YEAR(BD$2)-YEAR($F154))*12 + MONTH(BD$2)-MONTH($F154)) / 12),
  0)</f>
        <v/>
      </c>
      <c r="BE154" s="299">
        <f>IF(AND($F154&lt;=BE$2, OR($G154="",$G154&gt;=BE$2)),
  $H154 * (1 + Assumptions!$C$7) ^ INT(((YEAR(BE$2)-YEAR($F154))*12 + MONTH(BE$2)-MONTH($F154)) / 12),
  0)</f>
        <v/>
      </c>
      <c r="BF154" s="299">
        <f>IF(AND($F154&lt;=BF$2, OR($G154="",$G154&gt;=BF$2)),
  $H154 * (1 + Assumptions!$C$7) ^ INT(((YEAR(BF$2)-YEAR($F154))*12 + MONTH(BF$2)-MONTH($F154)) / 12),
  0)</f>
        <v/>
      </c>
      <c r="BG154" s="299">
        <f>IF(AND($F154&lt;=BG$2, OR($G154="",$G154&gt;=BG$2)),
  $H154 * (1 + Assumptions!$C$7) ^ INT(((YEAR(BG$2)-YEAR($F154))*12 + MONTH(BG$2)-MONTH($F154)) / 12),
  0)</f>
        <v/>
      </c>
      <c r="BH154" s="299">
        <f>IF(AND($F154&lt;=BH$2, OR($G154="",$G154&gt;=BH$2)),
  $H154 * (1 + Assumptions!$C$7) ^ INT(((YEAR(BH$2)-YEAR($F154))*12 + MONTH(BH$2)-MONTH($F154)) / 12),
  0)</f>
        <v/>
      </c>
      <c r="BI154" s="299">
        <f>IF(AND($F154&lt;=BI$2, OR($G154="",$G154&gt;=BI$2)),
  $H154 * (1 + Assumptions!$C$7) ^ INT(((YEAR(BI$2)-YEAR($F154))*12 + MONTH(BI$2)-MONTH($F154)) / 12),
  0)</f>
        <v/>
      </c>
      <c r="BJ154" s="299">
        <f>IF(AND($F154&lt;=BJ$2, OR($G154="",$G154&gt;=BJ$2)),
  $H154 * (1 + Assumptions!$C$7) ^ INT(((YEAR(BJ$2)-YEAR($F154))*12 + MONTH(BJ$2)-MONTH($F154)) / 12),
  0)</f>
        <v/>
      </c>
      <c r="BK154" s="299">
        <f>IF(AND($F154&lt;=BK$2, OR($G154="",$G154&gt;=BK$2)),
  $H154 * (1 + Assumptions!$C$7) ^ INT(((YEAR(BK$2)-YEAR($F154))*12 + MONTH(BK$2)-MONTH($F154)) / 12),
  0)</f>
        <v/>
      </c>
      <c r="BL154" s="299">
        <f>IF(AND($F154&lt;=BL$2, OR($G154="",$G154&gt;=BL$2)),
  $H154 * (1 + Assumptions!$C$7) ^ INT(((YEAR(BL$2)-YEAR($F154))*12 + MONTH(BL$2)-MONTH($F154)) / 12),
  0)</f>
        <v/>
      </c>
      <c r="BM154" s="299">
        <f>IF(AND($F154&lt;=BM$2, OR($G154="",$G154&gt;=BM$2)),
  $H154 * (1 + Assumptions!$C$7) ^ INT(((YEAR(BM$2)-YEAR($F154))*12 + MONTH(BM$2)-MONTH($F154)) / 12),
  0)</f>
        <v/>
      </c>
      <c r="BN154" s="299">
        <f>IF(AND($F154&lt;=BN$2, OR($G154="",$G154&gt;=BN$2)),
  $H154 * (1 + Assumptions!$C$7) ^ INT(((YEAR(BN$2)-YEAR($F154))*12 + MONTH(BN$2)-MONTH($F154)) / 12),
  0)</f>
        <v/>
      </c>
      <c r="BO154" s="299">
        <f>IF(AND($F154&lt;=BO$2, OR($G154="",$G154&gt;=BO$2)),
  $H154 * (1 + Assumptions!$C$7) ^ INT(((YEAR(BO$2)-YEAR($F154))*12 + MONTH(BO$2)-MONTH($F154)) / 12),
  0)</f>
        <v/>
      </c>
      <c r="BP154" s="299">
        <f>IF(AND($F154&lt;=BP$2, OR($G154="",$G154&gt;=BP$2)),
  $H154 * (1 + Assumptions!$C$7) ^ INT(((YEAR(BP$2)-YEAR($F154))*12 + MONTH(BP$2)-MONTH($F154)) / 12),
  0)</f>
        <v/>
      </c>
      <c r="BQ154" s="31" t="n"/>
      <c r="BR154" s="31" t="n"/>
      <c r="BS154" s="31" t="n"/>
      <c r="BT154" s="31" t="n"/>
    </row>
    <row r="155" ht="15.75" customHeight="1" s="349">
      <c r="A155" s="321" t="n">
        <v>150</v>
      </c>
      <c r="B155" s="285" t="inlineStr">
        <is>
          <t>New hire</t>
        </is>
      </c>
      <c r="C155" s="317" t="inlineStr">
        <is>
          <t>G&amp;A</t>
        </is>
      </c>
      <c r="D155" s="317" t="inlineStr">
        <is>
          <t>Production Operator</t>
        </is>
      </c>
      <c r="E155" s="297" t="inlineStr">
        <is>
          <t>Planned</t>
        </is>
      </c>
      <c r="F155" s="318">
        <f>IF(Assumptions!$D$82=2,DATE(2029,7,1),DATE(2035,1,1))</f>
        <v/>
      </c>
      <c r="G155" s="318" t="n"/>
      <c r="H155" s="288" t="n">
        <v>5000</v>
      </c>
      <c r="I155" s="299">
        <f>IF(AND($F155&lt;=I$2, OR($G155="",$G155&gt;=I$2)),
  $H155 * (1 + Assumptions!$C$7) ^ INT(((YEAR(I$2)-YEAR($F155))*12 + MONTH(I$2)-MONTH($F155)) / 12),
  0)</f>
        <v/>
      </c>
      <c r="J155" s="299">
        <f>IF(AND($F155&lt;=J$2, OR($G155="",$G155&gt;=J$2)),
  $H155 * (1 + Assumptions!$C$7) ^ INT(((YEAR(J$2)-YEAR($F155))*12 + MONTH(J$2)-MONTH($F155)) / 12),
  0)</f>
        <v/>
      </c>
      <c r="K155" s="299">
        <f>IF(AND($F155&lt;=K$2, OR($G155="",$G155&gt;=K$2)),
  $H155 * (1 + Assumptions!$C$7) ^ INT(((YEAR(K$2)-YEAR($F155))*12 + MONTH(K$2)-MONTH($F155)) / 12),
  0)</f>
        <v/>
      </c>
      <c r="L155" s="299">
        <f>IF(AND($F155&lt;=L$2, OR($G155="",$G155&gt;=L$2)),
  $H155 * (1 + Assumptions!$C$7) ^ INT(((YEAR(L$2)-YEAR($F155))*12 + MONTH(L$2)-MONTH($F155)) / 12),
  0)</f>
        <v/>
      </c>
      <c r="M155" s="299">
        <f>IF(AND($F155&lt;=M$2, OR($G155="",$G155&gt;=M$2)),
  $H155 * (1 + Assumptions!$C$7) ^ INT(((YEAR(M$2)-YEAR($F155))*12 + MONTH(M$2)-MONTH($F155)) / 12),
  0)</f>
        <v/>
      </c>
      <c r="N155" s="299">
        <f>IF(AND($F155&lt;=N$2, OR($G155="",$G155&gt;=N$2)),
  $H155 * (1 + Assumptions!$C$7) ^ INT(((YEAR(N$2)-YEAR($F155))*12 + MONTH(N$2)-MONTH($F155)) / 12),
  0)</f>
        <v/>
      </c>
      <c r="O155" s="299">
        <f>IF(AND($F155&lt;=O$2, OR($G155="",$G155&gt;=O$2)),
  $H155 * (1 + Assumptions!$C$7) ^ INT(((YEAR(O$2)-YEAR($F155))*12 + MONTH(O$2)-MONTH($F155)) / 12),
  0)</f>
        <v/>
      </c>
      <c r="P155" s="299">
        <f>IF(AND($F155&lt;=P$2, OR($G155="",$G155&gt;=P$2)),
  $H155 * (1 + Assumptions!$C$7) ^ INT(((YEAR(P$2)-YEAR($F155))*12 + MONTH(P$2)-MONTH($F155)) / 12),
  0)</f>
        <v/>
      </c>
      <c r="Q155" s="299">
        <f>IF(AND($F155&lt;=Q$2, OR($G155="",$G155&gt;=Q$2)),
  $H155 * (1 + Assumptions!$C$7) ^ INT(((YEAR(Q$2)-YEAR($F155))*12 + MONTH(Q$2)-MONTH($F155)) / 12),
  0)</f>
        <v/>
      </c>
      <c r="R155" s="299">
        <f>IF(AND($F155&lt;=R$2, OR($G155="",$G155&gt;=R$2)),
  $H155 * (1 + Assumptions!$C$7) ^ INT(((YEAR(R$2)-YEAR($F155))*12 + MONTH(R$2)-MONTH($F155)) / 12),
  0)</f>
        <v/>
      </c>
      <c r="S155" s="299">
        <f>IF(AND($F155&lt;=S$2, OR($G155="",$G155&gt;=S$2)),
  $H155 * (1 + Assumptions!$C$7) ^ INT(((YEAR(S$2)-YEAR($F155))*12 + MONTH(S$2)-MONTH($F155)) / 12),
  0)</f>
        <v/>
      </c>
      <c r="T155" s="299">
        <f>IF(AND($F155&lt;=T$2, OR($G155="",$G155&gt;=T$2)),
  $H155 * (1 + Assumptions!$C$7) ^ INT(((YEAR(T$2)-YEAR($F155))*12 + MONTH(T$2)-MONTH($F155)) / 12),
  0)</f>
        <v/>
      </c>
      <c r="U155" s="299">
        <f>IF(AND($F155&lt;=U$2, OR($G155="",$G155&gt;=U$2)),
  $H155 * (1 + Assumptions!$C$7) ^ INT(((YEAR(U$2)-YEAR($F155))*12 + MONTH(U$2)-MONTH($F155)) / 12),
  0)</f>
        <v/>
      </c>
      <c r="V155" s="299">
        <f>IF(AND($F155&lt;=V$2, OR($G155="",$G155&gt;=V$2)),
  $H155 * (1 + Assumptions!$C$7) ^ INT(((YEAR(V$2)-YEAR($F155))*12 + MONTH(V$2)-MONTH($F155)) / 12),
  0)</f>
        <v/>
      </c>
      <c r="W155" s="299">
        <f>IF(AND($F155&lt;=W$2, OR($G155="",$G155&gt;=W$2)),
  $H155 * (1 + Assumptions!$C$7) ^ INT(((YEAR(W$2)-YEAR($F155))*12 + MONTH(W$2)-MONTH($F155)) / 12),
  0)</f>
        <v/>
      </c>
      <c r="X155" s="299">
        <f>IF(AND($F155&lt;=X$2, OR($G155="",$G155&gt;=X$2)),
  $H155 * (1 + Assumptions!$C$7) ^ INT(((YEAR(X$2)-YEAR($F155))*12 + MONTH(X$2)-MONTH($F155)) / 12),
  0)</f>
        <v/>
      </c>
      <c r="Y155" s="299">
        <f>IF(AND($F155&lt;=Y$2, OR($G155="",$G155&gt;=Y$2)),
  $H155 * (1 + Assumptions!$C$7) ^ INT(((YEAR(Y$2)-YEAR($F155))*12 + MONTH(Y$2)-MONTH($F155)) / 12),
  0)</f>
        <v/>
      </c>
      <c r="Z155" s="299">
        <f>IF(AND($F155&lt;=Z$2, OR($G155="",$G155&gt;=Z$2)),
  $H155 * (1 + Assumptions!$C$7) ^ INT(((YEAR(Z$2)-YEAR($F155))*12 + MONTH(Z$2)-MONTH($F155)) / 12),
  0)</f>
        <v/>
      </c>
      <c r="AA155" s="299">
        <f>IF(AND($F155&lt;=AA$2, OR($G155="",$G155&gt;=AA$2)),
  $H155 * (1 + Assumptions!$C$7) ^ INT(((YEAR(AA$2)-YEAR($F155))*12 + MONTH(AA$2)-MONTH($F155)) / 12),
  0)</f>
        <v/>
      </c>
      <c r="AB155" s="299">
        <f>IF(AND($F155&lt;=AB$2, OR($G155="",$G155&gt;=AB$2)),
  $H155 * (1 + Assumptions!$C$7) ^ INT(((YEAR(AB$2)-YEAR($F155))*12 + MONTH(AB$2)-MONTH($F155)) / 12),
  0)</f>
        <v/>
      </c>
      <c r="AC155" s="299">
        <f>IF(AND($F155&lt;=AC$2, OR($G155="",$G155&gt;=AC$2)),
  $H155 * (1 + Assumptions!$C$7) ^ INT(((YEAR(AC$2)-YEAR($F155))*12 + MONTH(AC$2)-MONTH($F155)) / 12),
  0)</f>
        <v/>
      </c>
      <c r="AD155" s="299">
        <f>IF(AND($F155&lt;=AD$2, OR($G155="",$G155&gt;=AD$2)),
  $H155 * (1 + Assumptions!$C$7) ^ INT(((YEAR(AD$2)-YEAR($F155))*12 + MONTH(AD$2)-MONTH($F155)) / 12),
  0)</f>
        <v/>
      </c>
      <c r="AE155" s="299">
        <f>IF(AND($F155&lt;=AE$2, OR($G155="",$G155&gt;=AE$2)),
  $H155 * (1 + Assumptions!$C$7) ^ INT(((YEAR(AE$2)-YEAR($F155))*12 + MONTH(AE$2)-MONTH($F155)) / 12),
  0)</f>
        <v/>
      </c>
      <c r="AF155" s="299">
        <f>IF(AND($F155&lt;=AF$2, OR($G155="",$G155&gt;=AF$2)),
  $H155 * (1 + Assumptions!$C$7) ^ INT(((YEAR(AF$2)-YEAR($F155))*12 + MONTH(AF$2)-MONTH($F155)) / 12),
  0)</f>
        <v/>
      </c>
      <c r="AG155" s="299">
        <f>IF(AND($F155&lt;=AG$2, OR($G155="",$G155&gt;=AG$2)),
  $H155 * (1 + Assumptions!$C$7) ^ INT(((YEAR(AG$2)-YEAR($F155))*12 + MONTH(AG$2)-MONTH($F155)) / 12),
  0)</f>
        <v/>
      </c>
      <c r="AH155" s="299">
        <f>IF(AND($F155&lt;=AH$2, OR($G155="",$G155&gt;=AH$2)),
  $H155 * (1 + Assumptions!$C$7) ^ INT(((YEAR(AH$2)-YEAR($F155))*12 + MONTH(AH$2)-MONTH($F155)) / 12),
  0)</f>
        <v/>
      </c>
      <c r="AI155" s="299">
        <f>IF(AND($F155&lt;=AI$2, OR($G155="",$G155&gt;=AI$2)),
  $H155 * (1 + Assumptions!$C$7) ^ INT(((YEAR(AI$2)-YEAR($F155))*12 + MONTH(AI$2)-MONTH($F155)) / 12),
  0)</f>
        <v/>
      </c>
      <c r="AJ155" s="299">
        <f>IF(AND($F155&lt;=AJ$2, OR($G155="",$G155&gt;=AJ$2)),
  $H155 * (1 + Assumptions!$C$7) ^ INT(((YEAR(AJ$2)-YEAR($F155))*12 + MONTH(AJ$2)-MONTH($F155)) / 12),
  0)</f>
        <v/>
      </c>
      <c r="AK155" s="299">
        <f>IF(AND($F155&lt;=AK$2, OR($G155="",$G155&gt;=AK$2)),
  $H155 * (1 + Assumptions!$C$7) ^ INT(((YEAR(AK$2)-YEAR($F155))*12 + MONTH(AK$2)-MONTH($F155)) / 12),
  0)</f>
        <v/>
      </c>
      <c r="AL155" s="299">
        <f>IF(AND($F155&lt;=AL$2, OR($G155="",$G155&gt;=AL$2)),
  $H155 * (1 + Assumptions!$C$7) ^ INT(((YEAR(AL$2)-YEAR($F155))*12 + MONTH(AL$2)-MONTH($F155)) / 12),
  0)</f>
        <v/>
      </c>
      <c r="AM155" s="299">
        <f>IF(AND($F155&lt;=AM$2, OR($G155="",$G155&gt;=AM$2)),
  $H155 * (1 + Assumptions!$C$7) ^ INT(((YEAR(AM$2)-YEAR($F155))*12 + MONTH(AM$2)-MONTH($F155)) / 12),
  0)</f>
        <v/>
      </c>
      <c r="AN155" s="299">
        <f>IF(AND($F155&lt;=AN$2, OR($G155="",$G155&gt;=AN$2)),
  $H155 * (1 + Assumptions!$C$7) ^ INT(((YEAR(AN$2)-YEAR($F155))*12 + MONTH(AN$2)-MONTH($F155)) / 12),
  0)</f>
        <v/>
      </c>
      <c r="AO155" s="299">
        <f>IF(AND($F155&lt;=AO$2, OR($G155="",$G155&gt;=AO$2)),
  $H155 * (1 + Assumptions!$C$7) ^ INT(((YEAR(AO$2)-YEAR($F155))*12 + MONTH(AO$2)-MONTH($F155)) / 12),
  0)</f>
        <v/>
      </c>
      <c r="AP155" s="299">
        <f>IF(AND($F155&lt;=AP$2, OR($G155="",$G155&gt;=AP$2)),
  $H155 * (1 + Assumptions!$C$7) ^ INT(((YEAR(AP$2)-YEAR($F155))*12 + MONTH(AP$2)-MONTH($F155)) / 12),
  0)</f>
        <v/>
      </c>
      <c r="AQ155" s="299">
        <f>IF(AND($F155&lt;=AQ$2, OR($G155="",$G155&gt;=AQ$2)),
  $H155 * (1 + Assumptions!$C$7) ^ INT(((YEAR(AQ$2)-YEAR($F155))*12 + MONTH(AQ$2)-MONTH($F155)) / 12),
  0)</f>
        <v/>
      </c>
      <c r="AR155" s="299">
        <f>IF(AND($F155&lt;=AR$2, OR($G155="",$G155&gt;=AR$2)),
  $H155 * (1 + Assumptions!$C$7) ^ INT(((YEAR(AR$2)-YEAR($F155))*12 + MONTH(AR$2)-MONTH($F155)) / 12),
  0)</f>
        <v/>
      </c>
      <c r="AS155" s="299">
        <f>IF(AND($F155&lt;=AS$2, OR($G155="",$G155&gt;=AS$2)),
  $H155 * (1 + Assumptions!$C$7) ^ INT(((YEAR(AS$2)-YEAR($F155))*12 + MONTH(AS$2)-MONTH($F155)) / 12),
  0)</f>
        <v/>
      </c>
      <c r="AT155" s="299">
        <f>IF(AND($F155&lt;=AT$2, OR($G155="",$G155&gt;=AT$2)),
  $H155 * (1 + Assumptions!$C$7) ^ INT(((YEAR(AT$2)-YEAR($F155))*12 + MONTH(AT$2)-MONTH($F155)) / 12),
  0)</f>
        <v/>
      </c>
      <c r="AU155" s="299">
        <f>IF(AND($F155&lt;=AU$2, OR($G155="",$G155&gt;=AU$2)),
  $H155 * (1 + Assumptions!$C$7) ^ INT(((YEAR(AU$2)-YEAR($F155))*12 + MONTH(AU$2)-MONTH($F155)) / 12),
  0)</f>
        <v/>
      </c>
      <c r="AV155" s="299">
        <f>IF(AND($F155&lt;=AV$2, OR($G155="",$G155&gt;=AV$2)),
  $H155 * (1 + Assumptions!$C$7) ^ INT(((YEAR(AV$2)-YEAR($F155))*12 + MONTH(AV$2)-MONTH($F155)) / 12),
  0)</f>
        <v/>
      </c>
      <c r="AW155" s="299">
        <f>IF(AND($F155&lt;=AW$2, OR($G155="",$G155&gt;=AW$2)),
  $H155 * (1 + Assumptions!$C$7) ^ INT(((YEAR(AW$2)-YEAR($F155))*12 + MONTH(AW$2)-MONTH($F155)) / 12),
  0)</f>
        <v/>
      </c>
      <c r="AX155" s="299">
        <f>IF(AND($F155&lt;=AX$2, OR($G155="",$G155&gt;=AX$2)),
  $H155 * (1 + Assumptions!$C$7) ^ INT(((YEAR(AX$2)-YEAR($F155))*12 + MONTH(AX$2)-MONTH($F155)) / 12),
  0)</f>
        <v/>
      </c>
      <c r="AY155" s="299">
        <f>IF(AND($F155&lt;=AY$2, OR($G155="",$G155&gt;=AY$2)),
  $H155 * (1 + Assumptions!$C$7) ^ INT(((YEAR(AY$2)-YEAR($F155))*12 + MONTH(AY$2)-MONTH($F155)) / 12),
  0)</f>
        <v/>
      </c>
      <c r="AZ155" s="299">
        <f>IF(AND($F155&lt;=AZ$2, OR($G155="",$G155&gt;=AZ$2)),
  $H155 * (1 + Assumptions!$C$7) ^ INT(((YEAR(AZ$2)-YEAR($F155))*12 + MONTH(AZ$2)-MONTH($F155)) / 12),
  0)</f>
        <v/>
      </c>
      <c r="BA155" s="299">
        <f>IF(AND($F155&lt;=BA$2, OR($G155="",$G155&gt;=BA$2)),
  $H155 * (1 + Assumptions!$C$7) ^ INT(((YEAR(BA$2)-YEAR($F155))*12 + MONTH(BA$2)-MONTH($F155)) / 12),
  0)</f>
        <v/>
      </c>
      <c r="BB155" s="299">
        <f>IF(AND($F155&lt;=BB$2, OR($G155="",$G155&gt;=BB$2)),
  $H155 * (1 + Assumptions!$C$7) ^ INT(((YEAR(BB$2)-YEAR($F155))*12 + MONTH(BB$2)-MONTH($F155)) / 12),
  0)</f>
        <v/>
      </c>
      <c r="BC155" s="299">
        <f>IF(AND($F155&lt;=BC$2, OR($G155="",$G155&gt;=BC$2)),
  $H155 * (1 + Assumptions!$C$7) ^ INT(((YEAR(BC$2)-YEAR($F155))*12 + MONTH(BC$2)-MONTH($F155)) / 12),
  0)</f>
        <v/>
      </c>
      <c r="BD155" s="299">
        <f>IF(AND($F155&lt;=BD$2, OR($G155="",$G155&gt;=BD$2)),
  $H155 * (1 + Assumptions!$C$7) ^ INT(((YEAR(BD$2)-YEAR($F155))*12 + MONTH(BD$2)-MONTH($F155)) / 12),
  0)</f>
        <v/>
      </c>
      <c r="BE155" s="299">
        <f>IF(AND($F155&lt;=BE$2, OR($G155="",$G155&gt;=BE$2)),
  $H155 * (1 + Assumptions!$C$7) ^ INT(((YEAR(BE$2)-YEAR($F155))*12 + MONTH(BE$2)-MONTH($F155)) / 12),
  0)</f>
        <v/>
      </c>
      <c r="BF155" s="299">
        <f>IF(AND($F155&lt;=BF$2, OR($G155="",$G155&gt;=BF$2)),
  $H155 * (1 + Assumptions!$C$7) ^ INT(((YEAR(BF$2)-YEAR($F155))*12 + MONTH(BF$2)-MONTH($F155)) / 12),
  0)</f>
        <v/>
      </c>
      <c r="BG155" s="299">
        <f>IF(AND($F155&lt;=BG$2, OR($G155="",$G155&gt;=BG$2)),
  $H155 * (1 + Assumptions!$C$7) ^ INT(((YEAR(BG$2)-YEAR($F155))*12 + MONTH(BG$2)-MONTH($F155)) / 12),
  0)</f>
        <v/>
      </c>
      <c r="BH155" s="299">
        <f>IF(AND($F155&lt;=BH$2, OR($G155="",$G155&gt;=BH$2)),
  $H155 * (1 + Assumptions!$C$7) ^ INT(((YEAR(BH$2)-YEAR($F155))*12 + MONTH(BH$2)-MONTH($F155)) / 12),
  0)</f>
        <v/>
      </c>
      <c r="BI155" s="299">
        <f>IF(AND($F155&lt;=BI$2, OR($G155="",$G155&gt;=BI$2)),
  $H155 * (1 + Assumptions!$C$7) ^ INT(((YEAR(BI$2)-YEAR($F155))*12 + MONTH(BI$2)-MONTH($F155)) / 12),
  0)</f>
        <v/>
      </c>
      <c r="BJ155" s="299">
        <f>IF(AND($F155&lt;=BJ$2, OR($G155="",$G155&gt;=BJ$2)),
  $H155 * (1 + Assumptions!$C$7) ^ INT(((YEAR(BJ$2)-YEAR($F155))*12 + MONTH(BJ$2)-MONTH($F155)) / 12),
  0)</f>
        <v/>
      </c>
      <c r="BK155" s="299">
        <f>IF(AND($F155&lt;=BK$2, OR($G155="",$G155&gt;=BK$2)),
  $H155 * (1 + Assumptions!$C$7) ^ INT(((YEAR(BK$2)-YEAR($F155))*12 + MONTH(BK$2)-MONTH($F155)) / 12),
  0)</f>
        <v/>
      </c>
      <c r="BL155" s="299">
        <f>IF(AND($F155&lt;=BL$2, OR($G155="",$G155&gt;=BL$2)),
  $H155 * (1 + Assumptions!$C$7) ^ INT(((YEAR(BL$2)-YEAR($F155))*12 + MONTH(BL$2)-MONTH($F155)) / 12),
  0)</f>
        <v/>
      </c>
      <c r="BM155" s="299">
        <f>IF(AND($F155&lt;=BM$2, OR($G155="",$G155&gt;=BM$2)),
  $H155 * (1 + Assumptions!$C$7) ^ INT(((YEAR(BM$2)-YEAR($F155))*12 + MONTH(BM$2)-MONTH($F155)) / 12),
  0)</f>
        <v/>
      </c>
      <c r="BN155" s="299">
        <f>IF(AND($F155&lt;=BN$2, OR($G155="",$G155&gt;=BN$2)),
  $H155 * (1 + Assumptions!$C$7) ^ INT(((YEAR(BN$2)-YEAR($F155))*12 + MONTH(BN$2)-MONTH($F155)) / 12),
  0)</f>
        <v/>
      </c>
      <c r="BO155" s="299">
        <f>IF(AND($F155&lt;=BO$2, OR($G155="",$G155&gt;=BO$2)),
  $H155 * (1 + Assumptions!$C$7) ^ INT(((YEAR(BO$2)-YEAR($F155))*12 + MONTH(BO$2)-MONTH($F155)) / 12),
  0)</f>
        <v/>
      </c>
      <c r="BP155" s="299">
        <f>IF(AND($F155&lt;=BP$2, OR($G155="",$G155&gt;=BP$2)),
  $H155 * (1 + Assumptions!$C$7) ^ INT(((YEAR(BP$2)-YEAR($F155))*12 + MONTH(BP$2)-MONTH($F155)) / 12),
  0)</f>
        <v/>
      </c>
      <c r="BQ155" s="31" t="n"/>
      <c r="BR155" s="31" t="n"/>
      <c r="BS155" s="31" t="n"/>
      <c r="BT155" s="31" t="n"/>
    </row>
    <row r="156" ht="15.75" customHeight="1" s="349">
      <c r="A156" s="321" t="n">
        <v>151</v>
      </c>
      <c r="B156" s="285" t="inlineStr">
        <is>
          <t>New hire</t>
        </is>
      </c>
      <c r="C156" s="317" t="inlineStr">
        <is>
          <t>G&amp;A</t>
        </is>
      </c>
      <c r="D156" s="317" t="inlineStr">
        <is>
          <t>Production Operator</t>
        </is>
      </c>
      <c r="E156" s="297" t="inlineStr">
        <is>
          <t>Planned</t>
        </is>
      </c>
      <c r="F156" s="318">
        <f>IF(Assumptions!$D$82=2,DATE(2029,7,1),DATE(2035,1,1))</f>
        <v/>
      </c>
      <c r="G156" s="318" t="n"/>
      <c r="H156" s="288" t="n">
        <v>5000</v>
      </c>
      <c r="I156" s="299">
        <f>IF(AND($F156&lt;=I$2, OR($G156="",$G156&gt;=I$2)),
  $H156 * (1 + Assumptions!$C$7) ^ INT(((YEAR(I$2)-YEAR($F156))*12 + MONTH(I$2)-MONTH($F156)) / 12),
  0)</f>
        <v/>
      </c>
      <c r="J156" s="299">
        <f>IF(AND($F156&lt;=J$2, OR($G156="",$G156&gt;=J$2)),
  $H156 * (1 + Assumptions!$C$7) ^ INT(((YEAR(J$2)-YEAR($F156))*12 + MONTH(J$2)-MONTH($F156)) / 12),
  0)</f>
        <v/>
      </c>
      <c r="K156" s="299">
        <f>IF(AND($F156&lt;=K$2, OR($G156="",$G156&gt;=K$2)),
  $H156 * (1 + Assumptions!$C$7) ^ INT(((YEAR(K$2)-YEAR($F156))*12 + MONTH(K$2)-MONTH($F156)) / 12),
  0)</f>
        <v/>
      </c>
      <c r="L156" s="299">
        <f>IF(AND($F156&lt;=L$2, OR($G156="",$G156&gt;=L$2)),
  $H156 * (1 + Assumptions!$C$7) ^ INT(((YEAR(L$2)-YEAR($F156))*12 + MONTH(L$2)-MONTH($F156)) / 12),
  0)</f>
        <v/>
      </c>
      <c r="M156" s="299">
        <f>IF(AND($F156&lt;=M$2, OR($G156="",$G156&gt;=M$2)),
  $H156 * (1 + Assumptions!$C$7) ^ INT(((YEAR(M$2)-YEAR($F156))*12 + MONTH(M$2)-MONTH($F156)) / 12),
  0)</f>
        <v/>
      </c>
      <c r="N156" s="299">
        <f>IF(AND($F156&lt;=N$2, OR($G156="",$G156&gt;=N$2)),
  $H156 * (1 + Assumptions!$C$7) ^ INT(((YEAR(N$2)-YEAR($F156))*12 + MONTH(N$2)-MONTH($F156)) / 12),
  0)</f>
        <v/>
      </c>
      <c r="O156" s="299">
        <f>IF(AND($F156&lt;=O$2, OR($G156="",$G156&gt;=O$2)),
  $H156 * (1 + Assumptions!$C$7) ^ INT(((YEAR(O$2)-YEAR($F156))*12 + MONTH(O$2)-MONTH($F156)) / 12),
  0)</f>
        <v/>
      </c>
      <c r="P156" s="299">
        <f>IF(AND($F156&lt;=P$2, OR($G156="",$G156&gt;=P$2)),
  $H156 * (1 + Assumptions!$C$7) ^ INT(((YEAR(P$2)-YEAR($F156))*12 + MONTH(P$2)-MONTH($F156)) / 12),
  0)</f>
        <v/>
      </c>
      <c r="Q156" s="299">
        <f>IF(AND($F156&lt;=Q$2, OR($G156="",$G156&gt;=Q$2)),
  $H156 * (1 + Assumptions!$C$7) ^ INT(((YEAR(Q$2)-YEAR($F156))*12 + MONTH(Q$2)-MONTH($F156)) / 12),
  0)</f>
        <v/>
      </c>
      <c r="R156" s="299">
        <f>IF(AND($F156&lt;=R$2, OR($G156="",$G156&gt;=R$2)),
  $H156 * (1 + Assumptions!$C$7) ^ INT(((YEAR(R$2)-YEAR($F156))*12 + MONTH(R$2)-MONTH($F156)) / 12),
  0)</f>
        <v/>
      </c>
      <c r="S156" s="299">
        <f>IF(AND($F156&lt;=S$2, OR($G156="",$G156&gt;=S$2)),
  $H156 * (1 + Assumptions!$C$7) ^ INT(((YEAR(S$2)-YEAR($F156))*12 + MONTH(S$2)-MONTH($F156)) / 12),
  0)</f>
        <v/>
      </c>
      <c r="T156" s="299">
        <f>IF(AND($F156&lt;=T$2, OR($G156="",$G156&gt;=T$2)),
  $H156 * (1 + Assumptions!$C$7) ^ INT(((YEAR(T$2)-YEAR($F156))*12 + MONTH(T$2)-MONTH($F156)) / 12),
  0)</f>
        <v/>
      </c>
      <c r="U156" s="299">
        <f>IF(AND($F156&lt;=U$2, OR($G156="",$G156&gt;=U$2)),
  $H156 * (1 + Assumptions!$C$7) ^ INT(((YEAR(U$2)-YEAR($F156))*12 + MONTH(U$2)-MONTH($F156)) / 12),
  0)</f>
        <v/>
      </c>
      <c r="V156" s="299">
        <f>IF(AND($F156&lt;=V$2, OR($G156="",$G156&gt;=V$2)),
  $H156 * (1 + Assumptions!$C$7) ^ INT(((YEAR(V$2)-YEAR($F156))*12 + MONTH(V$2)-MONTH($F156)) / 12),
  0)</f>
        <v/>
      </c>
      <c r="W156" s="299">
        <f>IF(AND($F156&lt;=W$2, OR($G156="",$G156&gt;=W$2)),
  $H156 * (1 + Assumptions!$C$7) ^ INT(((YEAR(W$2)-YEAR($F156))*12 + MONTH(W$2)-MONTH($F156)) / 12),
  0)</f>
        <v/>
      </c>
      <c r="X156" s="299">
        <f>IF(AND($F156&lt;=X$2, OR($G156="",$G156&gt;=X$2)),
  $H156 * (1 + Assumptions!$C$7) ^ INT(((YEAR(X$2)-YEAR($F156))*12 + MONTH(X$2)-MONTH($F156)) / 12),
  0)</f>
        <v/>
      </c>
      <c r="Y156" s="299">
        <f>IF(AND($F156&lt;=Y$2, OR($G156="",$G156&gt;=Y$2)),
  $H156 * (1 + Assumptions!$C$7) ^ INT(((YEAR(Y$2)-YEAR($F156))*12 + MONTH(Y$2)-MONTH($F156)) / 12),
  0)</f>
        <v/>
      </c>
      <c r="Z156" s="299">
        <f>IF(AND($F156&lt;=Z$2, OR($G156="",$G156&gt;=Z$2)),
  $H156 * (1 + Assumptions!$C$7) ^ INT(((YEAR(Z$2)-YEAR($F156))*12 + MONTH(Z$2)-MONTH($F156)) / 12),
  0)</f>
        <v/>
      </c>
      <c r="AA156" s="299">
        <f>IF(AND($F156&lt;=AA$2, OR($G156="",$G156&gt;=AA$2)),
  $H156 * (1 + Assumptions!$C$7) ^ INT(((YEAR(AA$2)-YEAR($F156))*12 + MONTH(AA$2)-MONTH($F156)) / 12),
  0)</f>
        <v/>
      </c>
      <c r="AB156" s="299">
        <f>IF(AND($F156&lt;=AB$2, OR($G156="",$G156&gt;=AB$2)),
  $H156 * (1 + Assumptions!$C$7) ^ INT(((YEAR(AB$2)-YEAR($F156))*12 + MONTH(AB$2)-MONTH($F156)) / 12),
  0)</f>
        <v/>
      </c>
      <c r="AC156" s="299">
        <f>IF(AND($F156&lt;=AC$2, OR($G156="",$G156&gt;=AC$2)),
  $H156 * (1 + Assumptions!$C$7) ^ INT(((YEAR(AC$2)-YEAR($F156))*12 + MONTH(AC$2)-MONTH($F156)) / 12),
  0)</f>
        <v/>
      </c>
      <c r="AD156" s="299">
        <f>IF(AND($F156&lt;=AD$2, OR($G156="",$G156&gt;=AD$2)),
  $H156 * (1 + Assumptions!$C$7) ^ INT(((YEAR(AD$2)-YEAR($F156))*12 + MONTH(AD$2)-MONTH($F156)) / 12),
  0)</f>
        <v/>
      </c>
      <c r="AE156" s="299">
        <f>IF(AND($F156&lt;=AE$2, OR($G156="",$G156&gt;=AE$2)),
  $H156 * (1 + Assumptions!$C$7) ^ INT(((YEAR(AE$2)-YEAR($F156))*12 + MONTH(AE$2)-MONTH($F156)) / 12),
  0)</f>
        <v/>
      </c>
      <c r="AF156" s="299">
        <f>IF(AND($F156&lt;=AF$2, OR($G156="",$G156&gt;=AF$2)),
  $H156 * (1 + Assumptions!$C$7) ^ INT(((YEAR(AF$2)-YEAR($F156))*12 + MONTH(AF$2)-MONTH($F156)) / 12),
  0)</f>
        <v/>
      </c>
      <c r="AG156" s="299">
        <f>IF(AND($F156&lt;=AG$2, OR($G156="",$G156&gt;=AG$2)),
  $H156 * (1 + Assumptions!$C$7) ^ INT(((YEAR(AG$2)-YEAR($F156))*12 + MONTH(AG$2)-MONTH($F156)) / 12),
  0)</f>
        <v/>
      </c>
      <c r="AH156" s="299">
        <f>IF(AND($F156&lt;=AH$2, OR($G156="",$G156&gt;=AH$2)),
  $H156 * (1 + Assumptions!$C$7) ^ INT(((YEAR(AH$2)-YEAR($F156))*12 + MONTH(AH$2)-MONTH($F156)) / 12),
  0)</f>
        <v/>
      </c>
      <c r="AI156" s="299">
        <f>IF(AND($F156&lt;=AI$2, OR($G156="",$G156&gt;=AI$2)),
  $H156 * (1 + Assumptions!$C$7) ^ INT(((YEAR(AI$2)-YEAR($F156))*12 + MONTH(AI$2)-MONTH($F156)) / 12),
  0)</f>
        <v/>
      </c>
      <c r="AJ156" s="299">
        <f>IF(AND($F156&lt;=AJ$2, OR($G156="",$G156&gt;=AJ$2)),
  $H156 * (1 + Assumptions!$C$7) ^ INT(((YEAR(AJ$2)-YEAR($F156))*12 + MONTH(AJ$2)-MONTH($F156)) / 12),
  0)</f>
        <v/>
      </c>
      <c r="AK156" s="299">
        <f>IF(AND($F156&lt;=AK$2, OR($G156="",$G156&gt;=AK$2)),
  $H156 * (1 + Assumptions!$C$7) ^ INT(((YEAR(AK$2)-YEAR($F156))*12 + MONTH(AK$2)-MONTH($F156)) / 12),
  0)</f>
        <v/>
      </c>
      <c r="AL156" s="299">
        <f>IF(AND($F156&lt;=AL$2, OR($G156="",$G156&gt;=AL$2)),
  $H156 * (1 + Assumptions!$C$7) ^ INT(((YEAR(AL$2)-YEAR($F156))*12 + MONTH(AL$2)-MONTH($F156)) / 12),
  0)</f>
        <v/>
      </c>
      <c r="AM156" s="299">
        <f>IF(AND($F156&lt;=AM$2, OR($G156="",$G156&gt;=AM$2)),
  $H156 * (1 + Assumptions!$C$7) ^ INT(((YEAR(AM$2)-YEAR($F156))*12 + MONTH(AM$2)-MONTH($F156)) / 12),
  0)</f>
        <v/>
      </c>
      <c r="AN156" s="299">
        <f>IF(AND($F156&lt;=AN$2, OR($G156="",$G156&gt;=AN$2)),
  $H156 * (1 + Assumptions!$C$7) ^ INT(((YEAR(AN$2)-YEAR($F156))*12 + MONTH(AN$2)-MONTH($F156)) / 12),
  0)</f>
        <v/>
      </c>
      <c r="AO156" s="299">
        <f>IF(AND($F156&lt;=AO$2, OR($G156="",$G156&gt;=AO$2)),
  $H156 * (1 + Assumptions!$C$7) ^ INT(((YEAR(AO$2)-YEAR($F156))*12 + MONTH(AO$2)-MONTH($F156)) / 12),
  0)</f>
        <v/>
      </c>
      <c r="AP156" s="299">
        <f>IF(AND($F156&lt;=AP$2, OR($G156="",$G156&gt;=AP$2)),
  $H156 * (1 + Assumptions!$C$7) ^ INT(((YEAR(AP$2)-YEAR($F156))*12 + MONTH(AP$2)-MONTH($F156)) / 12),
  0)</f>
        <v/>
      </c>
      <c r="AQ156" s="299">
        <f>IF(AND($F156&lt;=AQ$2, OR($G156="",$G156&gt;=AQ$2)),
  $H156 * (1 + Assumptions!$C$7) ^ INT(((YEAR(AQ$2)-YEAR($F156))*12 + MONTH(AQ$2)-MONTH($F156)) / 12),
  0)</f>
        <v/>
      </c>
      <c r="AR156" s="299">
        <f>IF(AND($F156&lt;=AR$2, OR($G156="",$G156&gt;=AR$2)),
  $H156 * (1 + Assumptions!$C$7) ^ INT(((YEAR(AR$2)-YEAR($F156))*12 + MONTH(AR$2)-MONTH($F156)) / 12),
  0)</f>
        <v/>
      </c>
      <c r="AS156" s="299">
        <f>IF(AND($F156&lt;=AS$2, OR($G156="",$G156&gt;=AS$2)),
  $H156 * (1 + Assumptions!$C$7) ^ INT(((YEAR(AS$2)-YEAR($F156))*12 + MONTH(AS$2)-MONTH($F156)) / 12),
  0)</f>
        <v/>
      </c>
      <c r="AT156" s="299">
        <f>IF(AND($F156&lt;=AT$2, OR($G156="",$G156&gt;=AT$2)),
  $H156 * (1 + Assumptions!$C$7) ^ INT(((YEAR(AT$2)-YEAR($F156))*12 + MONTH(AT$2)-MONTH($F156)) / 12),
  0)</f>
        <v/>
      </c>
      <c r="AU156" s="299">
        <f>IF(AND($F156&lt;=AU$2, OR($G156="",$G156&gt;=AU$2)),
  $H156 * (1 + Assumptions!$C$7) ^ INT(((YEAR(AU$2)-YEAR($F156))*12 + MONTH(AU$2)-MONTH($F156)) / 12),
  0)</f>
        <v/>
      </c>
      <c r="AV156" s="299">
        <f>IF(AND($F156&lt;=AV$2, OR($G156="",$G156&gt;=AV$2)),
  $H156 * (1 + Assumptions!$C$7) ^ INT(((YEAR(AV$2)-YEAR($F156))*12 + MONTH(AV$2)-MONTH($F156)) / 12),
  0)</f>
        <v/>
      </c>
      <c r="AW156" s="299">
        <f>IF(AND($F156&lt;=AW$2, OR($G156="",$G156&gt;=AW$2)),
  $H156 * (1 + Assumptions!$C$7) ^ INT(((YEAR(AW$2)-YEAR($F156))*12 + MONTH(AW$2)-MONTH($F156)) / 12),
  0)</f>
        <v/>
      </c>
      <c r="AX156" s="299">
        <f>IF(AND($F156&lt;=AX$2, OR($G156="",$G156&gt;=AX$2)),
  $H156 * (1 + Assumptions!$C$7) ^ INT(((YEAR(AX$2)-YEAR($F156))*12 + MONTH(AX$2)-MONTH($F156)) / 12),
  0)</f>
        <v/>
      </c>
      <c r="AY156" s="299">
        <f>IF(AND($F156&lt;=AY$2, OR($G156="",$G156&gt;=AY$2)),
  $H156 * (1 + Assumptions!$C$7) ^ INT(((YEAR(AY$2)-YEAR($F156))*12 + MONTH(AY$2)-MONTH($F156)) / 12),
  0)</f>
        <v/>
      </c>
      <c r="AZ156" s="299">
        <f>IF(AND($F156&lt;=AZ$2, OR($G156="",$G156&gt;=AZ$2)),
  $H156 * (1 + Assumptions!$C$7) ^ INT(((YEAR(AZ$2)-YEAR($F156))*12 + MONTH(AZ$2)-MONTH($F156)) / 12),
  0)</f>
        <v/>
      </c>
      <c r="BA156" s="299">
        <f>IF(AND($F156&lt;=BA$2, OR($G156="",$G156&gt;=BA$2)),
  $H156 * (1 + Assumptions!$C$7) ^ INT(((YEAR(BA$2)-YEAR($F156))*12 + MONTH(BA$2)-MONTH($F156)) / 12),
  0)</f>
        <v/>
      </c>
      <c r="BB156" s="299">
        <f>IF(AND($F156&lt;=BB$2, OR($G156="",$G156&gt;=BB$2)),
  $H156 * (1 + Assumptions!$C$7) ^ INT(((YEAR(BB$2)-YEAR($F156))*12 + MONTH(BB$2)-MONTH($F156)) / 12),
  0)</f>
        <v/>
      </c>
      <c r="BC156" s="299">
        <f>IF(AND($F156&lt;=BC$2, OR($G156="",$G156&gt;=BC$2)),
  $H156 * (1 + Assumptions!$C$7) ^ INT(((YEAR(BC$2)-YEAR($F156))*12 + MONTH(BC$2)-MONTH($F156)) / 12),
  0)</f>
        <v/>
      </c>
      <c r="BD156" s="299">
        <f>IF(AND($F156&lt;=BD$2, OR($G156="",$G156&gt;=BD$2)),
  $H156 * (1 + Assumptions!$C$7) ^ INT(((YEAR(BD$2)-YEAR($F156))*12 + MONTH(BD$2)-MONTH($F156)) / 12),
  0)</f>
        <v/>
      </c>
      <c r="BE156" s="299">
        <f>IF(AND($F156&lt;=BE$2, OR($G156="",$G156&gt;=BE$2)),
  $H156 * (1 + Assumptions!$C$7) ^ INT(((YEAR(BE$2)-YEAR($F156))*12 + MONTH(BE$2)-MONTH($F156)) / 12),
  0)</f>
        <v/>
      </c>
      <c r="BF156" s="299">
        <f>IF(AND($F156&lt;=BF$2, OR($G156="",$G156&gt;=BF$2)),
  $H156 * (1 + Assumptions!$C$7) ^ INT(((YEAR(BF$2)-YEAR($F156))*12 + MONTH(BF$2)-MONTH($F156)) / 12),
  0)</f>
        <v/>
      </c>
      <c r="BG156" s="299">
        <f>IF(AND($F156&lt;=BG$2, OR($G156="",$G156&gt;=BG$2)),
  $H156 * (1 + Assumptions!$C$7) ^ INT(((YEAR(BG$2)-YEAR($F156))*12 + MONTH(BG$2)-MONTH($F156)) / 12),
  0)</f>
        <v/>
      </c>
      <c r="BH156" s="299">
        <f>IF(AND($F156&lt;=BH$2, OR($G156="",$G156&gt;=BH$2)),
  $H156 * (1 + Assumptions!$C$7) ^ INT(((YEAR(BH$2)-YEAR($F156))*12 + MONTH(BH$2)-MONTH($F156)) / 12),
  0)</f>
        <v/>
      </c>
      <c r="BI156" s="299">
        <f>IF(AND($F156&lt;=BI$2, OR($G156="",$G156&gt;=BI$2)),
  $H156 * (1 + Assumptions!$C$7) ^ INT(((YEAR(BI$2)-YEAR($F156))*12 + MONTH(BI$2)-MONTH($F156)) / 12),
  0)</f>
        <v/>
      </c>
      <c r="BJ156" s="299">
        <f>IF(AND($F156&lt;=BJ$2, OR($G156="",$G156&gt;=BJ$2)),
  $H156 * (1 + Assumptions!$C$7) ^ INT(((YEAR(BJ$2)-YEAR($F156))*12 + MONTH(BJ$2)-MONTH($F156)) / 12),
  0)</f>
        <v/>
      </c>
      <c r="BK156" s="299">
        <f>IF(AND($F156&lt;=BK$2, OR($G156="",$G156&gt;=BK$2)),
  $H156 * (1 + Assumptions!$C$7) ^ INT(((YEAR(BK$2)-YEAR($F156))*12 + MONTH(BK$2)-MONTH($F156)) / 12),
  0)</f>
        <v/>
      </c>
      <c r="BL156" s="299">
        <f>IF(AND($F156&lt;=BL$2, OR($G156="",$G156&gt;=BL$2)),
  $H156 * (1 + Assumptions!$C$7) ^ INT(((YEAR(BL$2)-YEAR($F156))*12 + MONTH(BL$2)-MONTH($F156)) / 12),
  0)</f>
        <v/>
      </c>
      <c r="BM156" s="299">
        <f>IF(AND($F156&lt;=BM$2, OR($G156="",$G156&gt;=BM$2)),
  $H156 * (1 + Assumptions!$C$7) ^ INT(((YEAR(BM$2)-YEAR($F156))*12 + MONTH(BM$2)-MONTH($F156)) / 12),
  0)</f>
        <v/>
      </c>
      <c r="BN156" s="299">
        <f>IF(AND($F156&lt;=BN$2, OR($G156="",$G156&gt;=BN$2)),
  $H156 * (1 + Assumptions!$C$7) ^ INT(((YEAR(BN$2)-YEAR($F156))*12 + MONTH(BN$2)-MONTH($F156)) / 12),
  0)</f>
        <v/>
      </c>
      <c r="BO156" s="299">
        <f>IF(AND($F156&lt;=BO$2, OR($G156="",$G156&gt;=BO$2)),
  $H156 * (1 + Assumptions!$C$7) ^ INT(((YEAR(BO$2)-YEAR($F156))*12 + MONTH(BO$2)-MONTH($F156)) / 12),
  0)</f>
        <v/>
      </c>
      <c r="BP156" s="299">
        <f>IF(AND($F156&lt;=BP$2, OR($G156="",$G156&gt;=BP$2)),
  $H156 * (1 + Assumptions!$C$7) ^ INT(((YEAR(BP$2)-YEAR($F156))*12 + MONTH(BP$2)-MONTH($F156)) / 12),
  0)</f>
        <v/>
      </c>
      <c r="BQ156" s="31" t="n"/>
      <c r="BR156" s="31" t="n"/>
      <c r="BS156" s="31" t="n"/>
      <c r="BT156" s="31" t="n"/>
    </row>
    <row r="157" ht="15.75" customHeight="1" s="349">
      <c r="A157" s="321" t="n">
        <v>152</v>
      </c>
      <c r="B157" s="285" t="inlineStr">
        <is>
          <t>New hire</t>
        </is>
      </c>
      <c r="C157" s="317" t="inlineStr">
        <is>
          <t>G&amp;A</t>
        </is>
      </c>
      <c r="D157" s="317" t="inlineStr">
        <is>
          <t>Production Operator</t>
        </is>
      </c>
      <c r="E157" s="297" t="inlineStr">
        <is>
          <t>Planned</t>
        </is>
      </c>
      <c r="F157" s="318">
        <f>IF(Assumptions!$D$82=2,DATE(2029,7,1),DATE(2035,1,1))</f>
        <v/>
      </c>
      <c r="G157" s="318" t="n"/>
      <c r="H157" s="288" t="n">
        <v>5000</v>
      </c>
      <c r="I157" s="299">
        <f>IF(AND($F157&lt;=I$2, OR($G157="",$G157&gt;=I$2)),
  $H157 * (1 + Assumptions!$C$7) ^ INT(((YEAR(I$2)-YEAR($F157))*12 + MONTH(I$2)-MONTH($F157)) / 12),
  0)</f>
        <v/>
      </c>
      <c r="J157" s="299">
        <f>IF(AND($F157&lt;=J$2, OR($G157="",$G157&gt;=J$2)),
  $H157 * (1 + Assumptions!$C$7) ^ INT(((YEAR(J$2)-YEAR($F157))*12 + MONTH(J$2)-MONTH($F157)) / 12),
  0)</f>
        <v/>
      </c>
      <c r="K157" s="299">
        <f>IF(AND($F157&lt;=K$2, OR($G157="",$G157&gt;=K$2)),
  $H157 * (1 + Assumptions!$C$7) ^ INT(((YEAR(K$2)-YEAR($F157))*12 + MONTH(K$2)-MONTH($F157)) / 12),
  0)</f>
        <v/>
      </c>
      <c r="L157" s="299">
        <f>IF(AND($F157&lt;=L$2, OR($G157="",$G157&gt;=L$2)),
  $H157 * (1 + Assumptions!$C$7) ^ INT(((YEAR(L$2)-YEAR($F157))*12 + MONTH(L$2)-MONTH($F157)) / 12),
  0)</f>
        <v/>
      </c>
      <c r="M157" s="299">
        <f>IF(AND($F157&lt;=M$2, OR($G157="",$G157&gt;=M$2)),
  $H157 * (1 + Assumptions!$C$7) ^ INT(((YEAR(M$2)-YEAR($F157))*12 + MONTH(M$2)-MONTH($F157)) / 12),
  0)</f>
        <v/>
      </c>
      <c r="N157" s="299">
        <f>IF(AND($F157&lt;=N$2, OR($G157="",$G157&gt;=N$2)),
  $H157 * (1 + Assumptions!$C$7) ^ INT(((YEAR(N$2)-YEAR($F157))*12 + MONTH(N$2)-MONTH($F157)) / 12),
  0)</f>
        <v/>
      </c>
      <c r="O157" s="299">
        <f>IF(AND($F157&lt;=O$2, OR($G157="",$G157&gt;=O$2)),
  $H157 * (1 + Assumptions!$C$7) ^ INT(((YEAR(O$2)-YEAR($F157))*12 + MONTH(O$2)-MONTH($F157)) / 12),
  0)</f>
        <v/>
      </c>
      <c r="P157" s="299">
        <f>IF(AND($F157&lt;=P$2, OR($G157="",$G157&gt;=P$2)),
  $H157 * (1 + Assumptions!$C$7) ^ INT(((YEAR(P$2)-YEAR($F157))*12 + MONTH(P$2)-MONTH($F157)) / 12),
  0)</f>
        <v/>
      </c>
      <c r="Q157" s="299">
        <f>IF(AND($F157&lt;=Q$2, OR($G157="",$G157&gt;=Q$2)),
  $H157 * (1 + Assumptions!$C$7) ^ INT(((YEAR(Q$2)-YEAR($F157))*12 + MONTH(Q$2)-MONTH($F157)) / 12),
  0)</f>
        <v/>
      </c>
      <c r="R157" s="299">
        <f>IF(AND($F157&lt;=R$2, OR($G157="",$G157&gt;=R$2)),
  $H157 * (1 + Assumptions!$C$7) ^ INT(((YEAR(R$2)-YEAR($F157))*12 + MONTH(R$2)-MONTH($F157)) / 12),
  0)</f>
        <v/>
      </c>
      <c r="S157" s="299">
        <f>IF(AND($F157&lt;=S$2, OR($G157="",$G157&gt;=S$2)),
  $H157 * (1 + Assumptions!$C$7) ^ INT(((YEAR(S$2)-YEAR($F157))*12 + MONTH(S$2)-MONTH($F157)) / 12),
  0)</f>
        <v/>
      </c>
      <c r="T157" s="299">
        <f>IF(AND($F157&lt;=T$2, OR($G157="",$G157&gt;=T$2)),
  $H157 * (1 + Assumptions!$C$7) ^ INT(((YEAR(T$2)-YEAR($F157))*12 + MONTH(T$2)-MONTH($F157)) / 12),
  0)</f>
        <v/>
      </c>
      <c r="U157" s="299">
        <f>IF(AND($F157&lt;=U$2, OR($G157="",$G157&gt;=U$2)),
  $H157 * (1 + Assumptions!$C$7) ^ INT(((YEAR(U$2)-YEAR($F157))*12 + MONTH(U$2)-MONTH($F157)) / 12),
  0)</f>
        <v/>
      </c>
      <c r="V157" s="299">
        <f>IF(AND($F157&lt;=V$2, OR($G157="",$G157&gt;=V$2)),
  $H157 * (1 + Assumptions!$C$7) ^ INT(((YEAR(V$2)-YEAR($F157))*12 + MONTH(V$2)-MONTH($F157)) / 12),
  0)</f>
        <v/>
      </c>
      <c r="W157" s="299">
        <f>IF(AND($F157&lt;=W$2, OR($G157="",$G157&gt;=W$2)),
  $H157 * (1 + Assumptions!$C$7) ^ INT(((YEAR(W$2)-YEAR($F157))*12 + MONTH(W$2)-MONTH($F157)) / 12),
  0)</f>
        <v/>
      </c>
      <c r="X157" s="299">
        <f>IF(AND($F157&lt;=X$2, OR($G157="",$G157&gt;=X$2)),
  $H157 * (1 + Assumptions!$C$7) ^ INT(((YEAR(X$2)-YEAR($F157))*12 + MONTH(X$2)-MONTH($F157)) / 12),
  0)</f>
        <v/>
      </c>
      <c r="Y157" s="299">
        <f>IF(AND($F157&lt;=Y$2, OR($G157="",$G157&gt;=Y$2)),
  $H157 * (1 + Assumptions!$C$7) ^ INT(((YEAR(Y$2)-YEAR($F157))*12 + MONTH(Y$2)-MONTH($F157)) / 12),
  0)</f>
        <v/>
      </c>
      <c r="Z157" s="299">
        <f>IF(AND($F157&lt;=Z$2, OR($G157="",$G157&gt;=Z$2)),
  $H157 * (1 + Assumptions!$C$7) ^ INT(((YEAR(Z$2)-YEAR($F157))*12 + MONTH(Z$2)-MONTH($F157)) / 12),
  0)</f>
        <v/>
      </c>
      <c r="AA157" s="299">
        <f>IF(AND($F157&lt;=AA$2, OR($G157="",$G157&gt;=AA$2)),
  $H157 * (1 + Assumptions!$C$7) ^ INT(((YEAR(AA$2)-YEAR($F157))*12 + MONTH(AA$2)-MONTH($F157)) / 12),
  0)</f>
        <v/>
      </c>
      <c r="AB157" s="299">
        <f>IF(AND($F157&lt;=AB$2, OR($G157="",$G157&gt;=AB$2)),
  $H157 * (1 + Assumptions!$C$7) ^ INT(((YEAR(AB$2)-YEAR($F157))*12 + MONTH(AB$2)-MONTH($F157)) / 12),
  0)</f>
        <v/>
      </c>
      <c r="AC157" s="299">
        <f>IF(AND($F157&lt;=AC$2, OR($G157="",$G157&gt;=AC$2)),
  $H157 * (1 + Assumptions!$C$7) ^ INT(((YEAR(AC$2)-YEAR($F157))*12 + MONTH(AC$2)-MONTH($F157)) / 12),
  0)</f>
        <v/>
      </c>
      <c r="AD157" s="299">
        <f>IF(AND($F157&lt;=AD$2, OR($G157="",$G157&gt;=AD$2)),
  $H157 * (1 + Assumptions!$C$7) ^ INT(((YEAR(AD$2)-YEAR($F157))*12 + MONTH(AD$2)-MONTH($F157)) / 12),
  0)</f>
        <v/>
      </c>
      <c r="AE157" s="299">
        <f>IF(AND($F157&lt;=AE$2, OR($G157="",$G157&gt;=AE$2)),
  $H157 * (1 + Assumptions!$C$7) ^ INT(((YEAR(AE$2)-YEAR($F157))*12 + MONTH(AE$2)-MONTH($F157)) / 12),
  0)</f>
        <v/>
      </c>
      <c r="AF157" s="299">
        <f>IF(AND($F157&lt;=AF$2, OR($G157="",$G157&gt;=AF$2)),
  $H157 * (1 + Assumptions!$C$7) ^ INT(((YEAR(AF$2)-YEAR($F157))*12 + MONTH(AF$2)-MONTH($F157)) / 12),
  0)</f>
        <v/>
      </c>
      <c r="AG157" s="299">
        <f>IF(AND($F157&lt;=AG$2, OR($G157="",$G157&gt;=AG$2)),
  $H157 * (1 + Assumptions!$C$7) ^ INT(((YEAR(AG$2)-YEAR($F157))*12 + MONTH(AG$2)-MONTH($F157)) / 12),
  0)</f>
        <v/>
      </c>
      <c r="AH157" s="299">
        <f>IF(AND($F157&lt;=AH$2, OR($G157="",$G157&gt;=AH$2)),
  $H157 * (1 + Assumptions!$C$7) ^ INT(((YEAR(AH$2)-YEAR($F157))*12 + MONTH(AH$2)-MONTH($F157)) / 12),
  0)</f>
        <v/>
      </c>
      <c r="AI157" s="299">
        <f>IF(AND($F157&lt;=AI$2, OR($G157="",$G157&gt;=AI$2)),
  $H157 * (1 + Assumptions!$C$7) ^ INT(((YEAR(AI$2)-YEAR($F157))*12 + MONTH(AI$2)-MONTH($F157)) / 12),
  0)</f>
        <v/>
      </c>
      <c r="AJ157" s="299">
        <f>IF(AND($F157&lt;=AJ$2, OR($G157="",$G157&gt;=AJ$2)),
  $H157 * (1 + Assumptions!$C$7) ^ INT(((YEAR(AJ$2)-YEAR($F157))*12 + MONTH(AJ$2)-MONTH($F157)) / 12),
  0)</f>
        <v/>
      </c>
      <c r="AK157" s="299">
        <f>IF(AND($F157&lt;=AK$2, OR($G157="",$G157&gt;=AK$2)),
  $H157 * (1 + Assumptions!$C$7) ^ INT(((YEAR(AK$2)-YEAR($F157))*12 + MONTH(AK$2)-MONTH($F157)) / 12),
  0)</f>
        <v/>
      </c>
      <c r="AL157" s="299">
        <f>IF(AND($F157&lt;=AL$2, OR($G157="",$G157&gt;=AL$2)),
  $H157 * (1 + Assumptions!$C$7) ^ INT(((YEAR(AL$2)-YEAR($F157))*12 + MONTH(AL$2)-MONTH($F157)) / 12),
  0)</f>
        <v/>
      </c>
      <c r="AM157" s="299">
        <f>IF(AND($F157&lt;=AM$2, OR($G157="",$G157&gt;=AM$2)),
  $H157 * (1 + Assumptions!$C$7) ^ INT(((YEAR(AM$2)-YEAR($F157))*12 + MONTH(AM$2)-MONTH($F157)) / 12),
  0)</f>
        <v/>
      </c>
      <c r="AN157" s="299">
        <f>IF(AND($F157&lt;=AN$2, OR($G157="",$G157&gt;=AN$2)),
  $H157 * (1 + Assumptions!$C$7) ^ INT(((YEAR(AN$2)-YEAR($F157))*12 + MONTH(AN$2)-MONTH($F157)) / 12),
  0)</f>
        <v/>
      </c>
      <c r="AO157" s="299">
        <f>IF(AND($F157&lt;=AO$2, OR($G157="",$G157&gt;=AO$2)),
  $H157 * (1 + Assumptions!$C$7) ^ INT(((YEAR(AO$2)-YEAR($F157))*12 + MONTH(AO$2)-MONTH($F157)) / 12),
  0)</f>
        <v/>
      </c>
      <c r="AP157" s="299">
        <f>IF(AND($F157&lt;=AP$2, OR($G157="",$G157&gt;=AP$2)),
  $H157 * (1 + Assumptions!$C$7) ^ INT(((YEAR(AP$2)-YEAR($F157))*12 + MONTH(AP$2)-MONTH($F157)) / 12),
  0)</f>
        <v/>
      </c>
      <c r="AQ157" s="299">
        <f>IF(AND($F157&lt;=AQ$2, OR($G157="",$G157&gt;=AQ$2)),
  $H157 * (1 + Assumptions!$C$7) ^ INT(((YEAR(AQ$2)-YEAR($F157))*12 + MONTH(AQ$2)-MONTH($F157)) / 12),
  0)</f>
        <v/>
      </c>
      <c r="AR157" s="299">
        <f>IF(AND($F157&lt;=AR$2, OR($G157="",$G157&gt;=AR$2)),
  $H157 * (1 + Assumptions!$C$7) ^ INT(((YEAR(AR$2)-YEAR($F157))*12 + MONTH(AR$2)-MONTH($F157)) / 12),
  0)</f>
        <v/>
      </c>
      <c r="AS157" s="299">
        <f>IF(AND($F157&lt;=AS$2, OR($G157="",$G157&gt;=AS$2)),
  $H157 * (1 + Assumptions!$C$7) ^ INT(((YEAR(AS$2)-YEAR($F157))*12 + MONTH(AS$2)-MONTH($F157)) / 12),
  0)</f>
        <v/>
      </c>
      <c r="AT157" s="299">
        <f>IF(AND($F157&lt;=AT$2, OR($G157="",$G157&gt;=AT$2)),
  $H157 * (1 + Assumptions!$C$7) ^ INT(((YEAR(AT$2)-YEAR($F157))*12 + MONTH(AT$2)-MONTH($F157)) / 12),
  0)</f>
        <v/>
      </c>
      <c r="AU157" s="299">
        <f>IF(AND($F157&lt;=AU$2, OR($G157="",$G157&gt;=AU$2)),
  $H157 * (1 + Assumptions!$C$7) ^ INT(((YEAR(AU$2)-YEAR($F157))*12 + MONTH(AU$2)-MONTH($F157)) / 12),
  0)</f>
        <v/>
      </c>
      <c r="AV157" s="299">
        <f>IF(AND($F157&lt;=AV$2, OR($G157="",$G157&gt;=AV$2)),
  $H157 * (1 + Assumptions!$C$7) ^ INT(((YEAR(AV$2)-YEAR($F157))*12 + MONTH(AV$2)-MONTH($F157)) / 12),
  0)</f>
        <v/>
      </c>
      <c r="AW157" s="299">
        <f>IF(AND($F157&lt;=AW$2, OR($G157="",$G157&gt;=AW$2)),
  $H157 * (1 + Assumptions!$C$7) ^ INT(((YEAR(AW$2)-YEAR($F157))*12 + MONTH(AW$2)-MONTH($F157)) / 12),
  0)</f>
        <v/>
      </c>
      <c r="AX157" s="299">
        <f>IF(AND($F157&lt;=AX$2, OR($G157="",$G157&gt;=AX$2)),
  $H157 * (1 + Assumptions!$C$7) ^ INT(((YEAR(AX$2)-YEAR($F157))*12 + MONTH(AX$2)-MONTH($F157)) / 12),
  0)</f>
        <v/>
      </c>
      <c r="AY157" s="299">
        <f>IF(AND($F157&lt;=AY$2, OR($G157="",$G157&gt;=AY$2)),
  $H157 * (1 + Assumptions!$C$7) ^ INT(((YEAR(AY$2)-YEAR($F157))*12 + MONTH(AY$2)-MONTH($F157)) / 12),
  0)</f>
        <v/>
      </c>
      <c r="AZ157" s="299">
        <f>IF(AND($F157&lt;=AZ$2, OR($G157="",$G157&gt;=AZ$2)),
  $H157 * (1 + Assumptions!$C$7) ^ INT(((YEAR(AZ$2)-YEAR($F157))*12 + MONTH(AZ$2)-MONTH($F157)) / 12),
  0)</f>
        <v/>
      </c>
      <c r="BA157" s="299">
        <f>IF(AND($F157&lt;=BA$2, OR($G157="",$G157&gt;=BA$2)),
  $H157 * (1 + Assumptions!$C$7) ^ INT(((YEAR(BA$2)-YEAR($F157))*12 + MONTH(BA$2)-MONTH($F157)) / 12),
  0)</f>
        <v/>
      </c>
      <c r="BB157" s="299">
        <f>IF(AND($F157&lt;=BB$2, OR($G157="",$G157&gt;=BB$2)),
  $H157 * (1 + Assumptions!$C$7) ^ INT(((YEAR(BB$2)-YEAR($F157))*12 + MONTH(BB$2)-MONTH($F157)) / 12),
  0)</f>
        <v/>
      </c>
      <c r="BC157" s="299">
        <f>IF(AND($F157&lt;=BC$2, OR($G157="",$G157&gt;=BC$2)),
  $H157 * (1 + Assumptions!$C$7) ^ INT(((YEAR(BC$2)-YEAR($F157))*12 + MONTH(BC$2)-MONTH($F157)) / 12),
  0)</f>
        <v/>
      </c>
      <c r="BD157" s="299">
        <f>IF(AND($F157&lt;=BD$2, OR($G157="",$G157&gt;=BD$2)),
  $H157 * (1 + Assumptions!$C$7) ^ INT(((YEAR(BD$2)-YEAR($F157))*12 + MONTH(BD$2)-MONTH($F157)) / 12),
  0)</f>
        <v/>
      </c>
      <c r="BE157" s="299">
        <f>IF(AND($F157&lt;=BE$2, OR($G157="",$G157&gt;=BE$2)),
  $H157 * (1 + Assumptions!$C$7) ^ INT(((YEAR(BE$2)-YEAR($F157))*12 + MONTH(BE$2)-MONTH($F157)) / 12),
  0)</f>
        <v/>
      </c>
      <c r="BF157" s="299">
        <f>IF(AND($F157&lt;=BF$2, OR($G157="",$G157&gt;=BF$2)),
  $H157 * (1 + Assumptions!$C$7) ^ INT(((YEAR(BF$2)-YEAR($F157))*12 + MONTH(BF$2)-MONTH($F157)) / 12),
  0)</f>
        <v/>
      </c>
      <c r="BG157" s="299">
        <f>IF(AND($F157&lt;=BG$2, OR($G157="",$G157&gt;=BG$2)),
  $H157 * (1 + Assumptions!$C$7) ^ INT(((YEAR(BG$2)-YEAR($F157))*12 + MONTH(BG$2)-MONTH($F157)) / 12),
  0)</f>
        <v/>
      </c>
      <c r="BH157" s="299">
        <f>IF(AND($F157&lt;=BH$2, OR($G157="",$G157&gt;=BH$2)),
  $H157 * (1 + Assumptions!$C$7) ^ INT(((YEAR(BH$2)-YEAR($F157))*12 + MONTH(BH$2)-MONTH($F157)) / 12),
  0)</f>
        <v/>
      </c>
      <c r="BI157" s="299">
        <f>IF(AND($F157&lt;=BI$2, OR($G157="",$G157&gt;=BI$2)),
  $H157 * (1 + Assumptions!$C$7) ^ INT(((YEAR(BI$2)-YEAR($F157))*12 + MONTH(BI$2)-MONTH($F157)) / 12),
  0)</f>
        <v/>
      </c>
      <c r="BJ157" s="299">
        <f>IF(AND($F157&lt;=BJ$2, OR($G157="",$G157&gt;=BJ$2)),
  $H157 * (1 + Assumptions!$C$7) ^ INT(((YEAR(BJ$2)-YEAR($F157))*12 + MONTH(BJ$2)-MONTH($F157)) / 12),
  0)</f>
        <v/>
      </c>
      <c r="BK157" s="299">
        <f>IF(AND($F157&lt;=BK$2, OR($G157="",$G157&gt;=BK$2)),
  $H157 * (1 + Assumptions!$C$7) ^ INT(((YEAR(BK$2)-YEAR($F157))*12 + MONTH(BK$2)-MONTH($F157)) / 12),
  0)</f>
        <v/>
      </c>
      <c r="BL157" s="299">
        <f>IF(AND($F157&lt;=BL$2, OR($G157="",$G157&gt;=BL$2)),
  $H157 * (1 + Assumptions!$C$7) ^ INT(((YEAR(BL$2)-YEAR($F157))*12 + MONTH(BL$2)-MONTH($F157)) / 12),
  0)</f>
        <v/>
      </c>
      <c r="BM157" s="299">
        <f>IF(AND($F157&lt;=BM$2, OR($G157="",$G157&gt;=BM$2)),
  $H157 * (1 + Assumptions!$C$7) ^ INT(((YEAR(BM$2)-YEAR($F157))*12 + MONTH(BM$2)-MONTH($F157)) / 12),
  0)</f>
        <v/>
      </c>
      <c r="BN157" s="299">
        <f>IF(AND($F157&lt;=BN$2, OR($G157="",$G157&gt;=BN$2)),
  $H157 * (1 + Assumptions!$C$7) ^ INT(((YEAR(BN$2)-YEAR($F157))*12 + MONTH(BN$2)-MONTH($F157)) / 12),
  0)</f>
        <v/>
      </c>
      <c r="BO157" s="299">
        <f>IF(AND($F157&lt;=BO$2, OR($G157="",$G157&gt;=BO$2)),
  $H157 * (1 + Assumptions!$C$7) ^ INT(((YEAR(BO$2)-YEAR($F157))*12 + MONTH(BO$2)-MONTH($F157)) / 12),
  0)</f>
        <v/>
      </c>
      <c r="BP157" s="299">
        <f>IF(AND($F157&lt;=BP$2, OR($G157="",$G157&gt;=BP$2)),
  $H157 * (1 + Assumptions!$C$7) ^ INT(((YEAR(BP$2)-YEAR($F157))*12 + MONTH(BP$2)-MONTH($F157)) / 12),
  0)</f>
        <v/>
      </c>
      <c r="BQ157" s="31" t="n"/>
      <c r="BR157" s="31" t="n"/>
      <c r="BS157" s="31" t="n"/>
      <c r="BT157" s="31" t="n"/>
    </row>
    <row r="158" ht="15.75" customHeight="1" s="349">
      <c r="A158" s="321" t="n">
        <v>153</v>
      </c>
      <c r="B158" s="285" t="inlineStr">
        <is>
          <t>New hire</t>
        </is>
      </c>
      <c r="C158" s="317" t="inlineStr">
        <is>
          <t>G&amp;A</t>
        </is>
      </c>
      <c r="D158" s="317" t="inlineStr">
        <is>
          <t>Production Operator</t>
        </is>
      </c>
      <c r="E158" s="297" t="inlineStr">
        <is>
          <t>Planned</t>
        </is>
      </c>
      <c r="F158" s="318">
        <f>IF(Assumptions!$D$82=2,DATE(2029,7,1),DATE(2035,1,1))</f>
        <v/>
      </c>
      <c r="G158" s="318" t="n"/>
      <c r="H158" s="288" t="n">
        <v>5000</v>
      </c>
      <c r="I158" s="299">
        <f>IF(AND($F158&lt;=I$2, OR($G158="",$G158&gt;=I$2)),
  $H158 * (1 + Assumptions!$C$7) ^ INT(((YEAR(I$2)-YEAR($F158))*12 + MONTH(I$2)-MONTH($F158)) / 12),
  0)</f>
        <v/>
      </c>
      <c r="J158" s="299">
        <f>IF(AND($F158&lt;=J$2, OR($G158="",$G158&gt;=J$2)),
  $H158 * (1 + Assumptions!$C$7) ^ INT(((YEAR(J$2)-YEAR($F158))*12 + MONTH(J$2)-MONTH($F158)) / 12),
  0)</f>
        <v/>
      </c>
      <c r="K158" s="299">
        <f>IF(AND($F158&lt;=K$2, OR($G158="",$G158&gt;=K$2)),
  $H158 * (1 + Assumptions!$C$7) ^ INT(((YEAR(K$2)-YEAR($F158))*12 + MONTH(K$2)-MONTH($F158)) / 12),
  0)</f>
        <v/>
      </c>
      <c r="L158" s="299">
        <f>IF(AND($F158&lt;=L$2, OR($G158="",$G158&gt;=L$2)),
  $H158 * (1 + Assumptions!$C$7) ^ INT(((YEAR(L$2)-YEAR($F158))*12 + MONTH(L$2)-MONTH($F158)) / 12),
  0)</f>
        <v/>
      </c>
      <c r="M158" s="299">
        <f>IF(AND($F158&lt;=M$2, OR($G158="",$G158&gt;=M$2)),
  $H158 * (1 + Assumptions!$C$7) ^ INT(((YEAR(M$2)-YEAR($F158))*12 + MONTH(M$2)-MONTH($F158)) / 12),
  0)</f>
        <v/>
      </c>
      <c r="N158" s="299">
        <f>IF(AND($F158&lt;=N$2, OR($G158="",$G158&gt;=N$2)),
  $H158 * (1 + Assumptions!$C$7) ^ INT(((YEAR(N$2)-YEAR($F158))*12 + MONTH(N$2)-MONTH($F158)) / 12),
  0)</f>
        <v/>
      </c>
      <c r="O158" s="299">
        <f>IF(AND($F158&lt;=O$2, OR($G158="",$G158&gt;=O$2)),
  $H158 * (1 + Assumptions!$C$7) ^ INT(((YEAR(O$2)-YEAR($F158))*12 + MONTH(O$2)-MONTH($F158)) / 12),
  0)</f>
        <v/>
      </c>
      <c r="P158" s="299">
        <f>IF(AND($F158&lt;=P$2, OR($G158="",$G158&gt;=P$2)),
  $H158 * (1 + Assumptions!$C$7) ^ INT(((YEAR(P$2)-YEAR($F158))*12 + MONTH(P$2)-MONTH($F158)) / 12),
  0)</f>
        <v/>
      </c>
      <c r="Q158" s="299">
        <f>IF(AND($F158&lt;=Q$2, OR($G158="",$G158&gt;=Q$2)),
  $H158 * (1 + Assumptions!$C$7) ^ INT(((YEAR(Q$2)-YEAR($F158))*12 + MONTH(Q$2)-MONTH($F158)) / 12),
  0)</f>
        <v/>
      </c>
      <c r="R158" s="299">
        <f>IF(AND($F158&lt;=R$2, OR($G158="",$G158&gt;=R$2)),
  $H158 * (1 + Assumptions!$C$7) ^ INT(((YEAR(R$2)-YEAR($F158))*12 + MONTH(R$2)-MONTH($F158)) / 12),
  0)</f>
        <v/>
      </c>
      <c r="S158" s="299">
        <f>IF(AND($F158&lt;=S$2, OR($G158="",$G158&gt;=S$2)),
  $H158 * (1 + Assumptions!$C$7) ^ INT(((YEAR(S$2)-YEAR($F158))*12 + MONTH(S$2)-MONTH($F158)) / 12),
  0)</f>
        <v/>
      </c>
      <c r="T158" s="299">
        <f>IF(AND($F158&lt;=T$2, OR($G158="",$G158&gt;=T$2)),
  $H158 * (1 + Assumptions!$C$7) ^ INT(((YEAR(T$2)-YEAR($F158))*12 + MONTH(T$2)-MONTH($F158)) / 12),
  0)</f>
        <v/>
      </c>
      <c r="U158" s="299">
        <f>IF(AND($F158&lt;=U$2, OR($G158="",$G158&gt;=U$2)),
  $H158 * (1 + Assumptions!$C$7) ^ INT(((YEAR(U$2)-YEAR($F158))*12 + MONTH(U$2)-MONTH($F158)) / 12),
  0)</f>
        <v/>
      </c>
      <c r="V158" s="299">
        <f>IF(AND($F158&lt;=V$2, OR($G158="",$G158&gt;=V$2)),
  $H158 * (1 + Assumptions!$C$7) ^ INT(((YEAR(V$2)-YEAR($F158))*12 + MONTH(V$2)-MONTH($F158)) / 12),
  0)</f>
        <v/>
      </c>
      <c r="W158" s="299">
        <f>IF(AND($F158&lt;=W$2, OR($G158="",$G158&gt;=W$2)),
  $H158 * (1 + Assumptions!$C$7) ^ INT(((YEAR(W$2)-YEAR($F158))*12 + MONTH(W$2)-MONTH($F158)) / 12),
  0)</f>
        <v/>
      </c>
      <c r="X158" s="299">
        <f>IF(AND($F158&lt;=X$2, OR($G158="",$G158&gt;=X$2)),
  $H158 * (1 + Assumptions!$C$7) ^ INT(((YEAR(X$2)-YEAR($F158))*12 + MONTH(X$2)-MONTH($F158)) / 12),
  0)</f>
        <v/>
      </c>
      <c r="Y158" s="299">
        <f>IF(AND($F158&lt;=Y$2, OR($G158="",$G158&gt;=Y$2)),
  $H158 * (1 + Assumptions!$C$7) ^ INT(((YEAR(Y$2)-YEAR($F158))*12 + MONTH(Y$2)-MONTH($F158)) / 12),
  0)</f>
        <v/>
      </c>
      <c r="Z158" s="299">
        <f>IF(AND($F158&lt;=Z$2, OR($G158="",$G158&gt;=Z$2)),
  $H158 * (1 + Assumptions!$C$7) ^ INT(((YEAR(Z$2)-YEAR($F158))*12 + MONTH(Z$2)-MONTH($F158)) / 12),
  0)</f>
        <v/>
      </c>
      <c r="AA158" s="299">
        <f>IF(AND($F158&lt;=AA$2, OR($G158="",$G158&gt;=AA$2)),
  $H158 * (1 + Assumptions!$C$7) ^ INT(((YEAR(AA$2)-YEAR($F158))*12 + MONTH(AA$2)-MONTH($F158)) / 12),
  0)</f>
        <v/>
      </c>
      <c r="AB158" s="299">
        <f>IF(AND($F158&lt;=AB$2, OR($G158="",$G158&gt;=AB$2)),
  $H158 * (1 + Assumptions!$C$7) ^ INT(((YEAR(AB$2)-YEAR($F158))*12 + MONTH(AB$2)-MONTH($F158)) / 12),
  0)</f>
        <v/>
      </c>
      <c r="AC158" s="299">
        <f>IF(AND($F158&lt;=AC$2, OR($G158="",$G158&gt;=AC$2)),
  $H158 * (1 + Assumptions!$C$7) ^ INT(((YEAR(AC$2)-YEAR($F158))*12 + MONTH(AC$2)-MONTH($F158)) / 12),
  0)</f>
        <v/>
      </c>
      <c r="AD158" s="299">
        <f>IF(AND($F158&lt;=AD$2, OR($G158="",$G158&gt;=AD$2)),
  $H158 * (1 + Assumptions!$C$7) ^ INT(((YEAR(AD$2)-YEAR($F158))*12 + MONTH(AD$2)-MONTH($F158)) / 12),
  0)</f>
        <v/>
      </c>
      <c r="AE158" s="299">
        <f>IF(AND($F158&lt;=AE$2, OR($G158="",$G158&gt;=AE$2)),
  $H158 * (1 + Assumptions!$C$7) ^ INT(((YEAR(AE$2)-YEAR($F158))*12 + MONTH(AE$2)-MONTH($F158)) / 12),
  0)</f>
        <v/>
      </c>
      <c r="AF158" s="299">
        <f>IF(AND($F158&lt;=AF$2, OR($G158="",$G158&gt;=AF$2)),
  $H158 * (1 + Assumptions!$C$7) ^ INT(((YEAR(AF$2)-YEAR($F158))*12 + MONTH(AF$2)-MONTH($F158)) / 12),
  0)</f>
        <v/>
      </c>
      <c r="AG158" s="299">
        <f>IF(AND($F158&lt;=AG$2, OR($G158="",$G158&gt;=AG$2)),
  $H158 * (1 + Assumptions!$C$7) ^ INT(((YEAR(AG$2)-YEAR($F158))*12 + MONTH(AG$2)-MONTH($F158)) / 12),
  0)</f>
        <v/>
      </c>
      <c r="AH158" s="299">
        <f>IF(AND($F158&lt;=AH$2, OR($G158="",$G158&gt;=AH$2)),
  $H158 * (1 + Assumptions!$C$7) ^ INT(((YEAR(AH$2)-YEAR($F158))*12 + MONTH(AH$2)-MONTH($F158)) / 12),
  0)</f>
        <v/>
      </c>
      <c r="AI158" s="299">
        <f>IF(AND($F158&lt;=AI$2, OR($G158="",$G158&gt;=AI$2)),
  $H158 * (1 + Assumptions!$C$7) ^ INT(((YEAR(AI$2)-YEAR($F158))*12 + MONTH(AI$2)-MONTH($F158)) / 12),
  0)</f>
        <v/>
      </c>
      <c r="AJ158" s="299">
        <f>IF(AND($F158&lt;=AJ$2, OR($G158="",$G158&gt;=AJ$2)),
  $H158 * (1 + Assumptions!$C$7) ^ INT(((YEAR(AJ$2)-YEAR($F158))*12 + MONTH(AJ$2)-MONTH($F158)) / 12),
  0)</f>
        <v/>
      </c>
      <c r="AK158" s="299">
        <f>IF(AND($F158&lt;=AK$2, OR($G158="",$G158&gt;=AK$2)),
  $H158 * (1 + Assumptions!$C$7) ^ INT(((YEAR(AK$2)-YEAR($F158))*12 + MONTH(AK$2)-MONTH($F158)) / 12),
  0)</f>
        <v/>
      </c>
      <c r="AL158" s="299">
        <f>IF(AND($F158&lt;=AL$2, OR($G158="",$G158&gt;=AL$2)),
  $H158 * (1 + Assumptions!$C$7) ^ INT(((YEAR(AL$2)-YEAR($F158))*12 + MONTH(AL$2)-MONTH($F158)) / 12),
  0)</f>
        <v/>
      </c>
      <c r="AM158" s="299">
        <f>IF(AND($F158&lt;=AM$2, OR($G158="",$G158&gt;=AM$2)),
  $H158 * (1 + Assumptions!$C$7) ^ INT(((YEAR(AM$2)-YEAR($F158))*12 + MONTH(AM$2)-MONTH($F158)) / 12),
  0)</f>
        <v/>
      </c>
      <c r="AN158" s="299">
        <f>IF(AND($F158&lt;=AN$2, OR($G158="",$G158&gt;=AN$2)),
  $H158 * (1 + Assumptions!$C$7) ^ INT(((YEAR(AN$2)-YEAR($F158))*12 + MONTH(AN$2)-MONTH($F158)) / 12),
  0)</f>
        <v/>
      </c>
      <c r="AO158" s="299">
        <f>IF(AND($F158&lt;=AO$2, OR($G158="",$G158&gt;=AO$2)),
  $H158 * (1 + Assumptions!$C$7) ^ INT(((YEAR(AO$2)-YEAR($F158))*12 + MONTH(AO$2)-MONTH($F158)) / 12),
  0)</f>
        <v/>
      </c>
      <c r="AP158" s="299">
        <f>IF(AND($F158&lt;=AP$2, OR($G158="",$G158&gt;=AP$2)),
  $H158 * (1 + Assumptions!$C$7) ^ INT(((YEAR(AP$2)-YEAR($F158))*12 + MONTH(AP$2)-MONTH($F158)) / 12),
  0)</f>
        <v/>
      </c>
      <c r="AQ158" s="299">
        <f>IF(AND($F158&lt;=AQ$2, OR($G158="",$G158&gt;=AQ$2)),
  $H158 * (1 + Assumptions!$C$7) ^ INT(((YEAR(AQ$2)-YEAR($F158))*12 + MONTH(AQ$2)-MONTH($F158)) / 12),
  0)</f>
        <v/>
      </c>
      <c r="AR158" s="299">
        <f>IF(AND($F158&lt;=AR$2, OR($G158="",$G158&gt;=AR$2)),
  $H158 * (1 + Assumptions!$C$7) ^ INT(((YEAR(AR$2)-YEAR($F158))*12 + MONTH(AR$2)-MONTH($F158)) / 12),
  0)</f>
        <v/>
      </c>
      <c r="AS158" s="299">
        <f>IF(AND($F158&lt;=AS$2, OR($G158="",$G158&gt;=AS$2)),
  $H158 * (1 + Assumptions!$C$7) ^ INT(((YEAR(AS$2)-YEAR($F158))*12 + MONTH(AS$2)-MONTH($F158)) / 12),
  0)</f>
        <v/>
      </c>
      <c r="AT158" s="299">
        <f>IF(AND($F158&lt;=AT$2, OR($G158="",$G158&gt;=AT$2)),
  $H158 * (1 + Assumptions!$C$7) ^ INT(((YEAR(AT$2)-YEAR($F158))*12 + MONTH(AT$2)-MONTH($F158)) / 12),
  0)</f>
        <v/>
      </c>
      <c r="AU158" s="299">
        <f>IF(AND($F158&lt;=AU$2, OR($G158="",$G158&gt;=AU$2)),
  $H158 * (1 + Assumptions!$C$7) ^ INT(((YEAR(AU$2)-YEAR($F158))*12 + MONTH(AU$2)-MONTH($F158)) / 12),
  0)</f>
        <v/>
      </c>
      <c r="AV158" s="299">
        <f>IF(AND($F158&lt;=AV$2, OR($G158="",$G158&gt;=AV$2)),
  $H158 * (1 + Assumptions!$C$7) ^ INT(((YEAR(AV$2)-YEAR($F158))*12 + MONTH(AV$2)-MONTH($F158)) / 12),
  0)</f>
        <v/>
      </c>
      <c r="AW158" s="299">
        <f>IF(AND($F158&lt;=AW$2, OR($G158="",$G158&gt;=AW$2)),
  $H158 * (1 + Assumptions!$C$7) ^ INT(((YEAR(AW$2)-YEAR($F158))*12 + MONTH(AW$2)-MONTH($F158)) / 12),
  0)</f>
        <v/>
      </c>
      <c r="AX158" s="299">
        <f>IF(AND($F158&lt;=AX$2, OR($G158="",$G158&gt;=AX$2)),
  $H158 * (1 + Assumptions!$C$7) ^ INT(((YEAR(AX$2)-YEAR($F158))*12 + MONTH(AX$2)-MONTH($F158)) / 12),
  0)</f>
        <v/>
      </c>
      <c r="AY158" s="299">
        <f>IF(AND($F158&lt;=AY$2, OR($G158="",$G158&gt;=AY$2)),
  $H158 * (1 + Assumptions!$C$7) ^ INT(((YEAR(AY$2)-YEAR($F158))*12 + MONTH(AY$2)-MONTH($F158)) / 12),
  0)</f>
        <v/>
      </c>
      <c r="AZ158" s="299">
        <f>IF(AND($F158&lt;=AZ$2, OR($G158="",$G158&gt;=AZ$2)),
  $H158 * (1 + Assumptions!$C$7) ^ INT(((YEAR(AZ$2)-YEAR($F158))*12 + MONTH(AZ$2)-MONTH($F158)) / 12),
  0)</f>
        <v/>
      </c>
      <c r="BA158" s="299">
        <f>IF(AND($F158&lt;=BA$2, OR($G158="",$G158&gt;=BA$2)),
  $H158 * (1 + Assumptions!$C$7) ^ INT(((YEAR(BA$2)-YEAR($F158))*12 + MONTH(BA$2)-MONTH($F158)) / 12),
  0)</f>
        <v/>
      </c>
      <c r="BB158" s="299">
        <f>IF(AND($F158&lt;=BB$2, OR($G158="",$G158&gt;=BB$2)),
  $H158 * (1 + Assumptions!$C$7) ^ INT(((YEAR(BB$2)-YEAR($F158))*12 + MONTH(BB$2)-MONTH($F158)) / 12),
  0)</f>
        <v/>
      </c>
      <c r="BC158" s="299">
        <f>IF(AND($F158&lt;=BC$2, OR($G158="",$G158&gt;=BC$2)),
  $H158 * (1 + Assumptions!$C$7) ^ INT(((YEAR(BC$2)-YEAR($F158))*12 + MONTH(BC$2)-MONTH($F158)) / 12),
  0)</f>
        <v/>
      </c>
      <c r="BD158" s="299">
        <f>IF(AND($F158&lt;=BD$2, OR($G158="",$G158&gt;=BD$2)),
  $H158 * (1 + Assumptions!$C$7) ^ INT(((YEAR(BD$2)-YEAR($F158))*12 + MONTH(BD$2)-MONTH($F158)) / 12),
  0)</f>
        <v/>
      </c>
      <c r="BE158" s="299">
        <f>IF(AND($F158&lt;=BE$2, OR($G158="",$G158&gt;=BE$2)),
  $H158 * (1 + Assumptions!$C$7) ^ INT(((YEAR(BE$2)-YEAR($F158))*12 + MONTH(BE$2)-MONTH($F158)) / 12),
  0)</f>
        <v/>
      </c>
      <c r="BF158" s="299">
        <f>IF(AND($F158&lt;=BF$2, OR($G158="",$G158&gt;=BF$2)),
  $H158 * (1 + Assumptions!$C$7) ^ INT(((YEAR(BF$2)-YEAR($F158))*12 + MONTH(BF$2)-MONTH($F158)) / 12),
  0)</f>
        <v/>
      </c>
      <c r="BG158" s="299">
        <f>IF(AND($F158&lt;=BG$2, OR($G158="",$G158&gt;=BG$2)),
  $H158 * (1 + Assumptions!$C$7) ^ INT(((YEAR(BG$2)-YEAR($F158))*12 + MONTH(BG$2)-MONTH($F158)) / 12),
  0)</f>
        <v/>
      </c>
      <c r="BH158" s="299">
        <f>IF(AND($F158&lt;=BH$2, OR($G158="",$G158&gt;=BH$2)),
  $H158 * (1 + Assumptions!$C$7) ^ INT(((YEAR(BH$2)-YEAR($F158))*12 + MONTH(BH$2)-MONTH($F158)) / 12),
  0)</f>
        <v/>
      </c>
      <c r="BI158" s="299">
        <f>IF(AND($F158&lt;=BI$2, OR($G158="",$G158&gt;=BI$2)),
  $H158 * (1 + Assumptions!$C$7) ^ INT(((YEAR(BI$2)-YEAR($F158))*12 + MONTH(BI$2)-MONTH($F158)) / 12),
  0)</f>
        <v/>
      </c>
      <c r="BJ158" s="299">
        <f>IF(AND($F158&lt;=BJ$2, OR($G158="",$G158&gt;=BJ$2)),
  $H158 * (1 + Assumptions!$C$7) ^ INT(((YEAR(BJ$2)-YEAR($F158))*12 + MONTH(BJ$2)-MONTH($F158)) / 12),
  0)</f>
        <v/>
      </c>
      <c r="BK158" s="299">
        <f>IF(AND($F158&lt;=BK$2, OR($G158="",$G158&gt;=BK$2)),
  $H158 * (1 + Assumptions!$C$7) ^ INT(((YEAR(BK$2)-YEAR($F158))*12 + MONTH(BK$2)-MONTH($F158)) / 12),
  0)</f>
        <v/>
      </c>
      <c r="BL158" s="299">
        <f>IF(AND($F158&lt;=BL$2, OR($G158="",$G158&gt;=BL$2)),
  $H158 * (1 + Assumptions!$C$7) ^ INT(((YEAR(BL$2)-YEAR($F158))*12 + MONTH(BL$2)-MONTH($F158)) / 12),
  0)</f>
        <v/>
      </c>
      <c r="BM158" s="299">
        <f>IF(AND($F158&lt;=BM$2, OR($G158="",$G158&gt;=BM$2)),
  $H158 * (1 + Assumptions!$C$7) ^ INT(((YEAR(BM$2)-YEAR($F158))*12 + MONTH(BM$2)-MONTH($F158)) / 12),
  0)</f>
        <v/>
      </c>
      <c r="BN158" s="299">
        <f>IF(AND($F158&lt;=BN$2, OR($G158="",$G158&gt;=BN$2)),
  $H158 * (1 + Assumptions!$C$7) ^ INT(((YEAR(BN$2)-YEAR($F158))*12 + MONTH(BN$2)-MONTH($F158)) / 12),
  0)</f>
        <v/>
      </c>
      <c r="BO158" s="299">
        <f>IF(AND($F158&lt;=BO$2, OR($G158="",$G158&gt;=BO$2)),
  $H158 * (1 + Assumptions!$C$7) ^ INT(((YEAR(BO$2)-YEAR($F158))*12 + MONTH(BO$2)-MONTH($F158)) / 12),
  0)</f>
        <v/>
      </c>
      <c r="BP158" s="299">
        <f>IF(AND($F158&lt;=BP$2, OR($G158="",$G158&gt;=BP$2)),
  $H158 * (1 + Assumptions!$C$7) ^ INT(((YEAR(BP$2)-YEAR($F158))*12 + MONTH(BP$2)-MONTH($F158)) / 12),
  0)</f>
        <v/>
      </c>
      <c r="BQ158" s="31" t="n"/>
      <c r="BR158" s="31" t="n"/>
      <c r="BS158" s="31" t="n"/>
      <c r="BT158" s="31" t="n"/>
    </row>
    <row r="159" ht="15.75" customHeight="1" s="349">
      <c r="A159" s="321" t="n">
        <v>154</v>
      </c>
      <c r="B159" s="285" t="inlineStr">
        <is>
          <t>New hire</t>
        </is>
      </c>
      <c r="C159" s="317" t="inlineStr">
        <is>
          <t>G&amp;A</t>
        </is>
      </c>
      <c r="D159" s="317" t="inlineStr">
        <is>
          <t>Production Operator</t>
        </is>
      </c>
      <c r="E159" s="297" t="inlineStr">
        <is>
          <t>Planned</t>
        </is>
      </c>
      <c r="F159" s="318">
        <f>IF(Assumptions!$D$82=2,DATE(2029,7,1),DATE(2035,1,1))</f>
        <v/>
      </c>
      <c r="G159" s="318" t="n"/>
      <c r="H159" s="288" t="n">
        <v>5000</v>
      </c>
      <c r="I159" s="299">
        <f>IF(AND($F159&lt;=I$2, OR($G159="",$G159&gt;=I$2)),
  $H159 * (1 + Assumptions!$C$7) ^ INT(((YEAR(I$2)-YEAR($F159))*12 + MONTH(I$2)-MONTH($F159)) / 12),
  0)</f>
        <v/>
      </c>
      <c r="J159" s="299">
        <f>IF(AND($F159&lt;=J$2, OR($G159="",$G159&gt;=J$2)),
  $H159 * (1 + Assumptions!$C$7) ^ INT(((YEAR(J$2)-YEAR($F159))*12 + MONTH(J$2)-MONTH($F159)) / 12),
  0)</f>
        <v/>
      </c>
      <c r="K159" s="299">
        <f>IF(AND($F159&lt;=K$2, OR($G159="",$G159&gt;=K$2)),
  $H159 * (1 + Assumptions!$C$7) ^ INT(((YEAR(K$2)-YEAR($F159))*12 + MONTH(K$2)-MONTH($F159)) / 12),
  0)</f>
        <v/>
      </c>
      <c r="L159" s="299">
        <f>IF(AND($F159&lt;=L$2, OR($G159="",$G159&gt;=L$2)),
  $H159 * (1 + Assumptions!$C$7) ^ INT(((YEAR(L$2)-YEAR($F159))*12 + MONTH(L$2)-MONTH($F159)) / 12),
  0)</f>
        <v/>
      </c>
      <c r="M159" s="299">
        <f>IF(AND($F159&lt;=M$2, OR($G159="",$G159&gt;=M$2)),
  $H159 * (1 + Assumptions!$C$7) ^ INT(((YEAR(M$2)-YEAR($F159))*12 + MONTH(M$2)-MONTH($F159)) / 12),
  0)</f>
        <v/>
      </c>
      <c r="N159" s="299">
        <f>IF(AND($F159&lt;=N$2, OR($G159="",$G159&gt;=N$2)),
  $H159 * (1 + Assumptions!$C$7) ^ INT(((YEAR(N$2)-YEAR($F159))*12 + MONTH(N$2)-MONTH($F159)) / 12),
  0)</f>
        <v/>
      </c>
      <c r="O159" s="299">
        <f>IF(AND($F159&lt;=O$2, OR($G159="",$G159&gt;=O$2)),
  $H159 * (1 + Assumptions!$C$7) ^ INT(((YEAR(O$2)-YEAR($F159))*12 + MONTH(O$2)-MONTH($F159)) / 12),
  0)</f>
        <v/>
      </c>
      <c r="P159" s="299">
        <f>IF(AND($F159&lt;=P$2, OR($G159="",$G159&gt;=P$2)),
  $H159 * (1 + Assumptions!$C$7) ^ INT(((YEAR(P$2)-YEAR($F159))*12 + MONTH(P$2)-MONTH($F159)) / 12),
  0)</f>
        <v/>
      </c>
      <c r="Q159" s="299">
        <f>IF(AND($F159&lt;=Q$2, OR($G159="",$G159&gt;=Q$2)),
  $H159 * (1 + Assumptions!$C$7) ^ INT(((YEAR(Q$2)-YEAR($F159))*12 + MONTH(Q$2)-MONTH($F159)) / 12),
  0)</f>
        <v/>
      </c>
      <c r="R159" s="299">
        <f>IF(AND($F159&lt;=R$2, OR($G159="",$G159&gt;=R$2)),
  $H159 * (1 + Assumptions!$C$7) ^ INT(((YEAR(R$2)-YEAR($F159))*12 + MONTH(R$2)-MONTH($F159)) / 12),
  0)</f>
        <v/>
      </c>
      <c r="S159" s="299">
        <f>IF(AND($F159&lt;=S$2, OR($G159="",$G159&gt;=S$2)),
  $H159 * (1 + Assumptions!$C$7) ^ INT(((YEAR(S$2)-YEAR($F159))*12 + MONTH(S$2)-MONTH($F159)) / 12),
  0)</f>
        <v/>
      </c>
      <c r="T159" s="299">
        <f>IF(AND($F159&lt;=T$2, OR($G159="",$G159&gt;=T$2)),
  $H159 * (1 + Assumptions!$C$7) ^ INT(((YEAR(T$2)-YEAR($F159))*12 + MONTH(T$2)-MONTH($F159)) / 12),
  0)</f>
        <v/>
      </c>
      <c r="U159" s="299">
        <f>IF(AND($F159&lt;=U$2, OR($G159="",$G159&gt;=U$2)),
  $H159 * (1 + Assumptions!$C$7) ^ INT(((YEAR(U$2)-YEAR($F159))*12 + MONTH(U$2)-MONTH($F159)) / 12),
  0)</f>
        <v/>
      </c>
      <c r="V159" s="299">
        <f>IF(AND($F159&lt;=V$2, OR($G159="",$G159&gt;=V$2)),
  $H159 * (1 + Assumptions!$C$7) ^ INT(((YEAR(V$2)-YEAR($F159))*12 + MONTH(V$2)-MONTH($F159)) / 12),
  0)</f>
        <v/>
      </c>
      <c r="W159" s="299">
        <f>IF(AND($F159&lt;=W$2, OR($G159="",$G159&gt;=W$2)),
  $H159 * (1 + Assumptions!$C$7) ^ INT(((YEAR(W$2)-YEAR($F159))*12 + MONTH(W$2)-MONTH($F159)) / 12),
  0)</f>
        <v/>
      </c>
      <c r="X159" s="299">
        <f>IF(AND($F159&lt;=X$2, OR($G159="",$G159&gt;=X$2)),
  $H159 * (1 + Assumptions!$C$7) ^ INT(((YEAR(X$2)-YEAR($F159))*12 + MONTH(X$2)-MONTH($F159)) / 12),
  0)</f>
        <v/>
      </c>
      <c r="Y159" s="299">
        <f>IF(AND($F159&lt;=Y$2, OR($G159="",$G159&gt;=Y$2)),
  $H159 * (1 + Assumptions!$C$7) ^ INT(((YEAR(Y$2)-YEAR($F159))*12 + MONTH(Y$2)-MONTH($F159)) / 12),
  0)</f>
        <v/>
      </c>
      <c r="Z159" s="299">
        <f>IF(AND($F159&lt;=Z$2, OR($G159="",$G159&gt;=Z$2)),
  $H159 * (1 + Assumptions!$C$7) ^ INT(((YEAR(Z$2)-YEAR($F159))*12 + MONTH(Z$2)-MONTH($F159)) / 12),
  0)</f>
        <v/>
      </c>
      <c r="AA159" s="299">
        <f>IF(AND($F159&lt;=AA$2, OR($G159="",$G159&gt;=AA$2)),
  $H159 * (1 + Assumptions!$C$7) ^ INT(((YEAR(AA$2)-YEAR($F159))*12 + MONTH(AA$2)-MONTH($F159)) / 12),
  0)</f>
        <v/>
      </c>
      <c r="AB159" s="299">
        <f>IF(AND($F159&lt;=AB$2, OR($G159="",$G159&gt;=AB$2)),
  $H159 * (1 + Assumptions!$C$7) ^ INT(((YEAR(AB$2)-YEAR($F159))*12 + MONTH(AB$2)-MONTH($F159)) / 12),
  0)</f>
        <v/>
      </c>
      <c r="AC159" s="299">
        <f>IF(AND($F159&lt;=AC$2, OR($G159="",$G159&gt;=AC$2)),
  $H159 * (1 + Assumptions!$C$7) ^ INT(((YEAR(AC$2)-YEAR($F159))*12 + MONTH(AC$2)-MONTH($F159)) / 12),
  0)</f>
        <v/>
      </c>
      <c r="AD159" s="299">
        <f>IF(AND($F159&lt;=AD$2, OR($G159="",$G159&gt;=AD$2)),
  $H159 * (1 + Assumptions!$C$7) ^ INT(((YEAR(AD$2)-YEAR($F159))*12 + MONTH(AD$2)-MONTH($F159)) / 12),
  0)</f>
        <v/>
      </c>
      <c r="AE159" s="299">
        <f>IF(AND($F159&lt;=AE$2, OR($G159="",$G159&gt;=AE$2)),
  $H159 * (1 + Assumptions!$C$7) ^ INT(((YEAR(AE$2)-YEAR($F159))*12 + MONTH(AE$2)-MONTH($F159)) / 12),
  0)</f>
        <v/>
      </c>
      <c r="AF159" s="299">
        <f>IF(AND($F159&lt;=AF$2, OR($G159="",$G159&gt;=AF$2)),
  $H159 * (1 + Assumptions!$C$7) ^ INT(((YEAR(AF$2)-YEAR($F159))*12 + MONTH(AF$2)-MONTH($F159)) / 12),
  0)</f>
        <v/>
      </c>
      <c r="AG159" s="299">
        <f>IF(AND($F159&lt;=AG$2, OR($G159="",$G159&gt;=AG$2)),
  $H159 * (1 + Assumptions!$C$7) ^ INT(((YEAR(AG$2)-YEAR($F159))*12 + MONTH(AG$2)-MONTH($F159)) / 12),
  0)</f>
        <v/>
      </c>
      <c r="AH159" s="299">
        <f>IF(AND($F159&lt;=AH$2, OR($G159="",$G159&gt;=AH$2)),
  $H159 * (1 + Assumptions!$C$7) ^ INT(((YEAR(AH$2)-YEAR($F159))*12 + MONTH(AH$2)-MONTH($F159)) / 12),
  0)</f>
        <v/>
      </c>
      <c r="AI159" s="299">
        <f>IF(AND($F159&lt;=AI$2, OR($G159="",$G159&gt;=AI$2)),
  $H159 * (1 + Assumptions!$C$7) ^ INT(((YEAR(AI$2)-YEAR($F159))*12 + MONTH(AI$2)-MONTH($F159)) / 12),
  0)</f>
        <v/>
      </c>
      <c r="AJ159" s="299">
        <f>IF(AND($F159&lt;=AJ$2, OR($G159="",$G159&gt;=AJ$2)),
  $H159 * (1 + Assumptions!$C$7) ^ INT(((YEAR(AJ$2)-YEAR($F159))*12 + MONTH(AJ$2)-MONTH($F159)) / 12),
  0)</f>
        <v/>
      </c>
      <c r="AK159" s="299">
        <f>IF(AND($F159&lt;=AK$2, OR($G159="",$G159&gt;=AK$2)),
  $H159 * (1 + Assumptions!$C$7) ^ INT(((YEAR(AK$2)-YEAR($F159))*12 + MONTH(AK$2)-MONTH($F159)) / 12),
  0)</f>
        <v/>
      </c>
      <c r="AL159" s="299">
        <f>IF(AND($F159&lt;=AL$2, OR($G159="",$G159&gt;=AL$2)),
  $H159 * (1 + Assumptions!$C$7) ^ INT(((YEAR(AL$2)-YEAR($F159))*12 + MONTH(AL$2)-MONTH($F159)) / 12),
  0)</f>
        <v/>
      </c>
      <c r="AM159" s="299">
        <f>IF(AND($F159&lt;=AM$2, OR($G159="",$G159&gt;=AM$2)),
  $H159 * (1 + Assumptions!$C$7) ^ INT(((YEAR(AM$2)-YEAR($F159))*12 + MONTH(AM$2)-MONTH($F159)) / 12),
  0)</f>
        <v/>
      </c>
      <c r="AN159" s="299">
        <f>IF(AND($F159&lt;=AN$2, OR($G159="",$G159&gt;=AN$2)),
  $H159 * (1 + Assumptions!$C$7) ^ INT(((YEAR(AN$2)-YEAR($F159))*12 + MONTH(AN$2)-MONTH($F159)) / 12),
  0)</f>
        <v/>
      </c>
      <c r="AO159" s="299">
        <f>IF(AND($F159&lt;=AO$2, OR($G159="",$G159&gt;=AO$2)),
  $H159 * (1 + Assumptions!$C$7) ^ INT(((YEAR(AO$2)-YEAR($F159))*12 + MONTH(AO$2)-MONTH($F159)) / 12),
  0)</f>
        <v/>
      </c>
      <c r="AP159" s="299">
        <f>IF(AND($F159&lt;=AP$2, OR($G159="",$G159&gt;=AP$2)),
  $H159 * (1 + Assumptions!$C$7) ^ INT(((YEAR(AP$2)-YEAR($F159))*12 + MONTH(AP$2)-MONTH($F159)) / 12),
  0)</f>
        <v/>
      </c>
      <c r="AQ159" s="299">
        <f>IF(AND($F159&lt;=AQ$2, OR($G159="",$G159&gt;=AQ$2)),
  $H159 * (1 + Assumptions!$C$7) ^ INT(((YEAR(AQ$2)-YEAR($F159))*12 + MONTH(AQ$2)-MONTH($F159)) / 12),
  0)</f>
        <v/>
      </c>
      <c r="AR159" s="299">
        <f>IF(AND($F159&lt;=AR$2, OR($G159="",$G159&gt;=AR$2)),
  $H159 * (1 + Assumptions!$C$7) ^ INT(((YEAR(AR$2)-YEAR($F159))*12 + MONTH(AR$2)-MONTH($F159)) / 12),
  0)</f>
        <v/>
      </c>
      <c r="AS159" s="299">
        <f>IF(AND($F159&lt;=AS$2, OR($G159="",$G159&gt;=AS$2)),
  $H159 * (1 + Assumptions!$C$7) ^ INT(((YEAR(AS$2)-YEAR($F159))*12 + MONTH(AS$2)-MONTH($F159)) / 12),
  0)</f>
        <v/>
      </c>
      <c r="AT159" s="299">
        <f>IF(AND($F159&lt;=AT$2, OR($G159="",$G159&gt;=AT$2)),
  $H159 * (1 + Assumptions!$C$7) ^ INT(((YEAR(AT$2)-YEAR($F159))*12 + MONTH(AT$2)-MONTH($F159)) / 12),
  0)</f>
        <v/>
      </c>
      <c r="AU159" s="299">
        <f>IF(AND($F159&lt;=AU$2, OR($G159="",$G159&gt;=AU$2)),
  $H159 * (1 + Assumptions!$C$7) ^ INT(((YEAR(AU$2)-YEAR($F159))*12 + MONTH(AU$2)-MONTH($F159)) / 12),
  0)</f>
        <v/>
      </c>
      <c r="AV159" s="299">
        <f>IF(AND($F159&lt;=AV$2, OR($G159="",$G159&gt;=AV$2)),
  $H159 * (1 + Assumptions!$C$7) ^ INT(((YEAR(AV$2)-YEAR($F159))*12 + MONTH(AV$2)-MONTH($F159)) / 12),
  0)</f>
        <v/>
      </c>
      <c r="AW159" s="299">
        <f>IF(AND($F159&lt;=AW$2, OR($G159="",$G159&gt;=AW$2)),
  $H159 * (1 + Assumptions!$C$7) ^ INT(((YEAR(AW$2)-YEAR($F159))*12 + MONTH(AW$2)-MONTH($F159)) / 12),
  0)</f>
        <v/>
      </c>
      <c r="AX159" s="299">
        <f>IF(AND($F159&lt;=AX$2, OR($G159="",$G159&gt;=AX$2)),
  $H159 * (1 + Assumptions!$C$7) ^ INT(((YEAR(AX$2)-YEAR($F159))*12 + MONTH(AX$2)-MONTH($F159)) / 12),
  0)</f>
        <v/>
      </c>
      <c r="AY159" s="299">
        <f>IF(AND($F159&lt;=AY$2, OR($G159="",$G159&gt;=AY$2)),
  $H159 * (1 + Assumptions!$C$7) ^ INT(((YEAR(AY$2)-YEAR($F159))*12 + MONTH(AY$2)-MONTH($F159)) / 12),
  0)</f>
        <v/>
      </c>
      <c r="AZ159" s="299">
        <f>IF(AND($F159&lt;=AZ$2, OR($G159="",$G159&gt;=AZ$2)),
  $H159 * (1 + Assumptions!$C$7) ^ INT(((YEAR(AZ$2)-YEAR($F159))*12 + MONTH(AZ$2)-MONTH($F159)) / 12),
  0)</f>
        <v/>
      </c>
      <c r="BA159" s="299">
        <f>IF(AND($F159&lt;=BA$2, OR($G159="",$G159&gt;=BA$2)),
  $H159 * (1 + Assumptions!$C$7) ^ INT(((YEAR(BA$2)-YEAR($F159))*12 + MONTH(BA$2)-MONTH($F159)) / 12),
  0)</f>
        <v/>
      </c>
      <c r="BB159" s="299">
        <f>IF(AND($F159&lt;=BB$2, OR($G159="",$G159&gt;=BB$2)),
  $H159 * (1 + Assumptions!$C$7) ^ INT(((YEAR(BB$2)-YEAR($F159))*12 + MONTH(BB$2)-MONTH($F159)) / 12),
  0)</f>
        <v/>
      </c>
      <c r="BC159" s="299">
        <f>IF(AND($F159&lt;=BC$2, OR($G159="",$G159&gt;=BC$2)),
  $H159 * (1 + Assumptions!$C$7) ^ INT(((YEAR(BC$2)-YEAR($F159))*12 + MONTH(BC$2)-MONTH($F159)) / 12),
  0)</f>
        <v/>
      </c>
      <c r="BD159" s="299">
        <f>IF(AND($F159&lt;=BD$2, OR($G159="",$G159&gt;=BD$2)),
  $H159 * (1 + Assumptions!$C$7) ^ INT(((YEAR(BD$2)-YEAR($F159))*12 + MONTH(BD$2)-MONTH($F159)) / 12),
  0)</f>
        <v/>
      </c>
      <c r="BE159" s="299">
        <f>IF(AND($F159&lt;=BE$2, OR($G159="",$G159&gt;=BE$2)),
  $H159 * (1 + Assumptions!$C$7) ^ INT(((YEAR(BE$2)-YEAR($F159))*12 + MONTH(BE$2)-MONTH($F159)) / 12),
  0)</f>
        <v/>
      </c>
      <c r="BF159" s="299">
        <f>IF(AND($F159&lt;=BF$2, OR($G159="",$G159&gt;=BF$2)),
  $H159 * (1 + Assumptions!$C$7) ^ INT(((YEAR(BF$2)-YEAR($F159))*12 + MONTH(BF$2)-MONTH($F159)) / 12),
  0)</f>
        <v/>
      </c>
      <c r="BG159" s="299">
        <f>IF(AND($F159&lt;=BG$2, OR($G159="",$G159&gt;=BG$2)),
  $H159 * (1 + Assumptions!$C$7) ^ INT(((YEAR(BG$2)-YEAR($F159))*12 + MONTH(BG$2)-MONTH($F159)) / 12),
  0)</f>
        <v/>
      </c>
      <c r="BH159" s="299">
        <f>IF(AND($F159&lt;=BH$2, OR($G159="",$G159&gt;=BH$2)),
  $H159 * (1 + Assumptions!$C$7) ^ INT(((YEAR(BH$2)-YEAR($F159))*12 + MONTH(BH$2)-MONTH($F159)) / 12),
  0)</f>
        <v/>
      </c>
      <c r="BI159" s="299">
        <f>IF(AND($F159&lt;=BI$2, OR($G159="",$G159&gt;=BI$2)),
  $H159 * (1 + Assumptions!$C$7) ^ INT(((YEAR(BI$2)-YEAR($F159))*12 + MONTH(BI$2)-MONTH($F159)) / 12),
  0)</f>
        <v/>
      </c>
      <c r="BJ159" s="299">
        <f>IF(AND($F159&lt;=BJ$2, OR($G159="",$G159&gt;=BJ$2)),
  $H159 * (1 + Assumptions!$C$7) ^ INT(((YEAR(BJ$2)-YEAR($F159))*12 + MONTH(BJ$2)-MONTH($F159)) / 12),
  0)</f>
        <v/>
      </c>
      <c r="BK159" s="299">
        <f>IF(AND($F159&lt;=BK$2, OR($G159="",$G159&gt;=BK$2)),
  $H159 * (1 + Assumptions!$C$7) ^ INT(((YEAR(BK$2)-YEAR($F159))*12 + MONTH(BK$2)-MONTH($F159)) / 12),
  0)</f>
        <v/>
      </c>
      <c r="BL159" s="299">
        <f>IF(AND($F159&lt;=BL$2, OR($G159="",$G159&gt;=BL$2)),
  $H159 * (1 + Assumptions!$C$7) ^ INT(((YEAR(BL$2)-YEAR($F159))*12 + MONTH(BL$2)-MONTH($F159)) / 12),
  0)</f>
        <v/>
      </c>
      <c r="BM159" s="299">
        <f>IF(AND($F159&lt;=BM$2, OR($G159="",$G159&gt;=BM$2)),
  $H159 * (1 + Assumptions!$C$7) ^ INT(((YEAR(BM$2)-YEAR($F159))*12 + MONTH(BM$2)-MONTH($F159)) / 12),
  0)</f>
        <v/>
      </c>
      <c r="BN159" s="299">
        <f>IF(AND($F159&lt;=BN$2, OR($G159="",$G159&gt;=BN$2)),
  $H159 * (1 + Assumptions!$C$7) ^ INT(((YEAR(BN$2)-YEAR($F159))*12 + MONTH(BN$2)-MONTH($F159)) / 12),
  0)</f>
        <v/>
      </c>
      <c r="BO159" s="299">
        <f>IF(AND($F159&lt;=BO$2, OR($G159="",$G159&gt;=BO$2)),
  $H159 * (1 + Assumptions!$C$7) ^ INT(((YEAR(BO$2)-YEAR($F159))*12 + MONTH(BO$2)-MONTH($F159)) / 12),
  0)</f>
        <v/>
      </c>
      <c r="BP159" s="299">
        <f>IF(AND($F159&lt;=BP$2, OR($G159="",$G159&gt;=BP$2)),
  $H159 * (1 + Assumptions!$C$7) ^ INT(((YEAR(BP$2)-YEAR($F159))*12 + MONTH(BP$2)-MONTH($F159)) / 12),
  0)</f>
        <v/>
      </c>
      <c r="BQ159" s="31" t="n"/>
      <c r="BR159" s="31" t="n"/>
      <c r="BS159" s="31" t="n"/>
      <c r="BT159" s="31" t="n"/>
    </row>
    <row r="160" ht="15.75" customHeight="1" s="349">
      <c r="A160" s="321" t="n">
        <v>155</v>
      </c>
      <c r="B160" s="285" t="inlineStr">
        <is>
          <t>New hire</t>
        </is>
      </c>
      <c r="C160" s="317" t="inlineStr">
        <is>
          <t>G&amp;A</t>
        </is>
      </c>
      <c r="D160" s="317" t="inlineStr">
        <is>
          <t>Production Operator</t>
        </is>
      </c>
      <c r="E160" s="297" t="inlineStr">
        <is>
          <t>Planned</t>
        </is>
      </c>
      <c r="F160" s="318">
        <f>IF(Assumptions!$D$82=2,DATE(2029,7,1),DATE(2035,1,1))</f>
        <v/>
      </c>
      <c r="G160" s="318" t="n"/>
      <c r="H160" s="288" t="n">
        <v>5000</v>
      </c>
      <c r="I160" s="299">
        <f>IF(AND($F160&lt;=I$2, OR($G160="",$G160&gt;=I$2)),
  $H160 * (1 + Assumptions!$C$7) ^ INT(((YEAR(I$2)-YEAR($F160))*12 + MONTH(I$2)-MONTH($F160)) / 12),
  0)</f>
        <v/>
      </c>
      <c r="J160" s="299">
        <f>IF(AND($F160&lt;=J$2, OR($G160="",$G160&gt;=J$2)),
  $H160 * (1 + Assumptions!$C$7) ^ INT(((YEAR(J$2)-YEAR($F160))*12 + MONTH(J$2)-MONTH($F160)) / 12),
  0)</f>
        <v/>
      </c>
      <c r="K160" s="299">
        <f>IF(AND($F160&lt;=K$2, OR($G160="",$G160&gt;=K$2)),
  $H160 * (1 + Assumptions!$C$7) ^ INT(((YEAR(K$2)-YEAR($F160))*12 + MONTH(K$2)-MONTH($F160)) / 12),
  0)</f>
        <v/>
      </c>
      <c r="L160" s="299">
        <f>IF(AND($F160&lt;=L$2, OR($G160="",$G160&gt;=L$2)),
  $H160 * (1 + Assumptions!$C$7) ^ INT(((YEAR(L$2)-YEAR($F160))*12 + MONTH(L$2)-MONTH($F160)) / 12),
  0)</f>
        <v/>
      </c>
      <c r="M160" s="299">
        <f>IF(AND($F160&lt;=M$2, OR($G160="",$G160&gt;=M$2)),
  $H160 * (1 + Assumptions!$C$7) ^ INT(((YEAR(M$2)-YEAR($F160))*12 + MONTH(M$2)-MONTH($F160)) / 12),
  0)</f>
        <v/>
      </c>
      <c r="N160" s="299">
        <f>IF(AND($F160&lt;=N$2, OR($G160="",$G160&gt;=N$2)),
  $H160 * (1 + Assumptions!$C$7) ^ INT(((YEAR(N$2)-YEAR($F160))*12 + MONTH(N$2)-MONTH($F160)) / 12),
  0)</f>
        <v/>
      </c>
      <c r="O160" s="299">
        <f>IF(AND($F160&lt;=O$2, OR($G160="",$G160&gt;=O$2)),
  $H160 * (1 + Assumptions!$C$7) ^ INT(((YEAR(O$2)-YEAR($F160))*12 + MONTH(O$2)-MONTH($F160)) / 12),
  0)</f>
        <v/>
      </c>
      <c r="P160" s="299">
        <f>IF(AND($F160&lt;=P$2, OR($G160="",$G160&gt;=P$2)),
  $H160 * (1 + Assumptions!$C$7) ^ INT(((YEAR(P$2)-YEAR($F160))*12 + MONTH(P$2)-MONTH($F160)) / 12),
  0)</f>
        <v/>
      </c>
      <c r="Q160" s="299">
        <f>IF(AND($F160&lt;=Q$2, OR($G160="",$G160&gt;=Q$2)),
  $H160 * (1 + Assumptions!$C$7) ^ INT(((YEAR(Q$2)-YEAR($F160))*12 + MONTH(Q$2)-MONTH($F160)) / 12),
  0)</f>
        <v/>
      </c>
      <c r="R160" s="299">
        <f>IF(AND($F160&lt;=R$2, OR($G160="",$G160&gt;=R$2)),
  $H160 * (1 + Assumptions!$C$7) ^ INT(((YEAR(R$2)-YEAR($F160))*12 + MONTH(R$2)-MONTH($F160)) / 12),
  0)</f>
        <v/>
      </c>
      <c r="S160" s="299">
        <f>IF(AND($F160&lt;=S$2, OR($G160="",$G160&gt;=S$2)),
  $H160 * (1 + Assumptions!$C$7) ^ INT(((YEAR(S$2)-YEAR($F160))*12 + MONTH(S$2)-MONTH($F160)) / 12),
  0)</f>
        <v/>
      </c>
      <c r="T160" s="299">
        <f>IF(AND($F160&lt;=T$2, OR($G160="",$G160&gt;=T$2)),
  $H160 * (1 + Assumptions!$C$7) ^ INT(((YEAR(T$2)-YEAR($F160))*12 + MONTH(T$2)-MONTH($F160)) / 12),
  0)</f>
        <v/>
      </c>
      <c r="U160" s="299">
        <f>IF(AND($F160&lt;=U$2, OR($G160="",$G160&gt;=U$2)),
  $H160 * (1 + Assumptions!$C$7) ^ INT(((YEAR(U$2)-YEAR($F160))*12 + MONTH(U$2)-MONTH($F160)) / 12),
  0)</f>
        <v/>
      </c>
      <c r="V160" s="299">
        <f>IF(AND($F160&lt;=V$2, OR($G160="",$G160&gt;=V$2)),
  $H160 * (1 + Assumptions!$C$7) ^ INT(((YEAR(V$2)-YEAR($F160))*12 + MONTH(V$2)-MONTH($F160)) / 12),
  0)</f>
        <v/>
      </c>
      <c r="W160" s="299">
        <f>IF(AND($F160&lt;=W$2, OR($G160="",$G160&gt;=W$2)),
  $H160 * (1 + Assumptions!$C$7) ^ INT(((YEAR(W$2)-YEAR($F160))*12 + MONTH(W$2)-MONTH($F160)) / 12),
  0)</f>
        <v/>
      </c>
      <c r="X160" s="299">
        <f>IF(AND($F160&lt;=X$2, OR($G160="",$G160&gt;=X$2)),
  $H160 * (1 + Assumptions!$C$7) ^ INT(((YEAR(X$2)-YEAR($F160))*12 + MONTH(X$2)-MONTH($F160)) / 12),
  0)</f>
        <v/>
      </c>
      <c r="Y160" s="299">
        <f>IF(AND($F160&lt;=Y$2, OR($G160="",$G160&gt;=Y$2)),
  $H160 * (1 + Assumptions!$C$7) ^ INT(((YEAR(Y$2)-YEAR($F160))*12 + MONTH(Y$2)-MONTH($F160)) / 12),
  0)</f>
        <v/>
      </c>
      <c r="Z160" s="299">
        <f>IF(AND($F160&lt;=Z$2, OR($G160="",$G160&gt;=Z$2)),
  $H160 * (1 + Assumptions!$C$7) ^ INT(((YEAR(Z$2)-YEAR($F160))*12 + MONTH(Z$2)-MONTH($F160)) / 12),
  0)</f>
        <v/>
      </c>
      <c r="AA160" s="299">
        <f>IF(AND($F160&lt;=AA$2, OR($G160="",$G160&gt;=AA$2)),
  $H160 * (1 + Assumptions!$C$7) ^ INT(((YEAR(AA$2)-YEAR($F160))*12 + MONTH(AA$2)-MONTH($F160)) / 12),
  0)</f>
        <v/>
      </c>
      <c r="AB160" s="299">
        <f>IF(AND($F160&lt;=AB$2, OR($G160="",$G160&gt;=AB$2)),
  $H160 * (1 + Assumptions!$C$7) ^ INT(((YEAR(AB$2)-YEAR($F160))*12 + MONTH(AB$2)-MONTH($F160)) / 12),
  0)</f>
        <v/>
      </c>
      <c r="AC160" s="299">
        <f>IF(AND($F160&lt;=AC$2, OR($G160="",$G160&gt;=AC$2)),
  $H160 * (1 + Assumptions!$C$7) ^ INT(((YEAR(AC$2)-YEAR($F160))*12 + MONTH(AC$2)-MONTH($F160)) / 12),
  0)</f>
        <v/>
      </c>
      <c r="AD160" s="299">
        <f>IF(AND($F160&lt;=AD$2, OR($G160="",$G160&gt;=AD$2)),
  $H160 * (1 + Assumptions!$C$7) ^ INT(((YEAR(AD$2)-YEAR($F160))*12 + MONTH(AD$2)-MONTH($F160)) / 12),
  0)</f>
        <v/>
      </c>
      <c r="AE160" s="299">
        <f>IF(AND($F160&lt;=AE$2, OR($G160="",$G160&gt;=AE$2)),
  $H160 * (1 + Assumptions!$C$7) ^ INT(((YEAR(AE$2)-YEAR($F160))*12 + MONTH(AE$2)-MONTH($F160)) / 12),
  0)</f>
        <v/>
      </c>
      <c r="AF160" s="299">
        <f>IF(AND($F160&lt;=AF$2, OR($G160="",$G160&gt;=AF$2)),
  $H160 * (1 + Assumptions!$C$7) ^ INT(((YEAR(AF$2)-YEAR($F160))*12 + MONTH(AF$2)-MONTH($F160)) / 12),
  0)</f>
        <v/>
      </c>
      <c r="AG160" s="299">
        <f>IF(AND($F160&lt;=AG$2, OR($G160="",$G160&gt;=AG$2)),
  $H160 * (1 + Assumptions!$C$7) ^ INT(((YEAR(AG$2)-YEAR($F160))*12 + MONTH(AG$2)-MONTH($F160)) / 12),
  0)</f>
        <v/>
      </c>
      <c r="AH160" s="299">
        <f>IF(AND($F160&lt;=AH$2, OR($G160="",$G160&gt;=AH$2)),
  $H160 * (1 + Assumptions!$C$7) ^ INT(((YEAR(AH$2)-YEAR($F160))*12 + MONTH(AH$2)-MONTH($F160)) / 12),
  0)</f>
        <v/>
      </c>
      <c r="AI160" s="299">
        <f>IF(AND($F160&lt;=AI$2, OR($G160="",$G160&gt;=AI$2)),
  $H160 * (1 + Assumptions!$C$7) ^ INT(((YEAR(AI$2)-YEAR($F160))*12 + MONTH(AI$2)-MONTH($F160)) / 12),
  0)</f>
        <v/>
      </c>
      <c r="AJ160" s="299">
        <f>IF(AND($F160&lt;=AJ$2, OR($G160="",$G160&gt;=AJ$2)),
  $H160 * (1 + Assumptions!$C$7) ^ INT(((YEAR(AJ$2)-YEAR($F160))*12 + MONTH(AJ$2)-MONTH($F160)) / 12),
  0)</f>
        <v/>
      </c>
      <c r="AK160" s="299">
        <f>IF(AND($F160&lt;=AK$2, OR($G160="",$G160&gt;=AK$2)),
  $H160 * (1 + Assumptions!$C$7) ^ INT(((YEAR(AK$2)-YEAR($F160))*12 + MONTH(AK$2)-MONTH($F160)) / 12),
  0)</f>
        <v/>
      </c>
      <c r="AL160" s="299">
        <f>IF(AND($F160&lt;=AL$2, OR($G160="",$G160&gt;=AL$2)),
  $H160 * (1 + Assumptions!$C$7) ^ INT(((YEAR(AL$2)-YEAR($F160))*12 + MONTH(AL$2)-MONTH($F160)) / 12),
  0)</f>
        <v/>
      </c>
      <c r="AM160" s="299">
        <f>IF(AND($F160&lt;=AM$2, OR($G160="",$G160&gt;=AM$2)),
  $H160 * (1 + Assumptions!$C$7) ^ INT(((YEAR(AM$2)-YEAR($F160))*12 + MONTH(AM$2)-MONTH($F160)) / 12),
  0)</f>
        <v/>
      </c>
      <c r="AN160" s="299">
        <f>IF(AND($F160&lt;=AN$2, OR($G160="",$G160&gt;=AN$2)),
  $H160 * (1 + Assumptions!$C$7) ^ INT(((YEAR(AN$2)-YEAR($F160))*12 + MONTH(AN$2)-MONTH($F160)) / 12),
  0)</f>
        <v/>
      </c>
      <c r="AO160" s="299">
        <f>IF(AND($F160&lt;=AO$2, OR($G160="",$G160&gt;=AO$2)),
  $H160 * (1 + Assumptions!$C$7) ^ INT(((YEAR(AO$2)-YEAR($F160))*12 + MONTH(AO$2)-MONTH($F160)) / 12),
  0)</f>
        <v/>
      </c>
      <c r="AP160" s="299">
        <f>IF(AND($F160&lt;=AP$2, OR($G160="",$G160&gt;=AP$2)),
  $H160 * (1 + Assumptions!$C$7) ^ INT(((YEAR(AP$2)-YEAR($F160))*12 + MONTH(AP$2)-MONTH($F160)) / 12),
  0)</f>
        <v/>
      </c>
      <c r="AQ160" s="299">
        <f>IF(AND($F160&lt;=AQ$2, OR($G160="",$G160&gt;=AQ$2)),
  $H160 * (1 + Assumptions!$C$7) ^ INT(((YEAR(AQ$2)-YEAR($F160))*12 + MONTH(AQ$2)-MONTH($F160)) / 12),
  0)</f>
        <v/>
      </c>
      <c r="AR160" s="299">
        <f>IF(AND($F160&lt;=AR$2, OR($G160="",$G160&gt;=AR$2)),
  $H160 * (1 + Assumptions!$C$7) ^ INT(((YEAR(AR$2)-YEAR($F160))*12 + MONTH(AR$2)-MONTH($F160)) / 12),
  0)</f>
        <v/>
      </c>
      <c r="AS160" s="299">
        <f>IF(AND($F160&lt;=AS$2, OR($G160="",$G160&gt;=AS$2)),
  $H160 * (1 + Assumptions!$C$7) ^ INT(((YEAR(AS$2)-YEAR($F160))*12 + MONTH(AS$2)-MONTH($F160)) / 12),
  0)</f>
        <v/>
      </c>
      <c r="AT160" s="299">
        <f>IF(AND($F160&lt;=AT$2, OR($G160="",$G160&gt;=AT$2)),
  $H160 * (1 + Assumptions!$C$7) ^ INT(((YEAR(AT$2)-YEAR($F160))*12 + MONTH(AT$2)-MONTH($F160)) / 12),
  0)</f>
        <v/>
      </c>
      <c r="AU160" s="299">
        <f>IF(AND($F160&lt;=AU$2, OR($G160="",$G160&gt;=AU$2)),
  $H160 * (1 + Assumptions!$C$7) ^ INT(((YEAR(AU$2)-YEAR($F160))*12 + MONTH(AU$2)-MONTH($F160)) / 12),
  0)</f>
        <v/>
      </c>
      <c r="AV160" s="299">
        <f>IF(AND($F160&lt;=AV$2, OR($G160="",$G160&gt;=AV$2)),
  $H160 * (1 + Assumptions!$C$7) ^ INT(((YEAR(AV$2)-YEAR($F160))*12 + MONTH(AV$2)-MONTH($F160)) / 12),
  0)</f>
        <v/>
      </c>
      <c r="AW160" s="299">
        <f>IF(AND($F160&lt;=AW$2, OR($G160="",$G160&gt;=AW$2)),
  $H160 * (1 + Assumptions!$C$7) ^ INT(((YEAR(AW$2)-YEAR($F160))*12 + MONTH(AW$2)-MONTH($F160)) / 12),
  0)</f>
        <v/>
      </c>
      <c r="AX160" s="299">
        <f>IF(AND($F160&lt;=AX$2, OR($G160="",$G160&gt;=AX$2)),
  $H160 * (1 + Assumptions!$C$7) ^ INT(((YEAR(AX$2)-YEAR($F160))*12 + MONTH(AX$2)-MONTH($F160)) / 12),
  0)</f>
        <v/>
      </c>
      <c r="AY160" s="299">
        <f>IF(AND($F160&lt;=AY$2, OR($G160="",$G160&gt;=AY$2)),
  $H160 * (1 + Assumptions!$C$7) ^ INT(((YEAR(AY$2)-YEAR($F160))*12 + MONTH(AY$2)-MONTH($F160)) / 12),
  0)</f>
        <v/>
      </c>
      <c r="AZ160" s="299">
        <f>IF(AND($F160&lt;=AZ$2, OR($G160="",$G160&gt;=AZ$2)),
  $H160 * (1 + Assumptions!$C$7) ^ INT(((YEAR(AZ$2)-YEAR($F160))*12 + MONTH(AZ$2)-MONTH($F160)) / 12),
  0)</f>
        <v/>
      </c>
      <c r="BA160" s="299">
        <f>IF(AND($F160&lt;=BA$2, OR($G160="",$G160&gt;=BA$2)),
  $H160 * (1 + Assumptions!$C$7) ^ INT(((YEAR(BA$2)-YEAR($F160))*12 + MONTH(BA$2)-MONTH($F160)) / 12),
  0)</f>
        <v/>
      </c>
      <c r="BB160" s="299">
        <f>IF(AND($F160&lt;=BB$2, OR($G160="",$G160&gt;=BB$2)),
  $H160 * (1 + Assumptions!$C$7) ^ INT(((YEAR(BB$2)-YEAR($F160))*12 + MONTH(BB$2)-MONTH($F160)) / 12),
  0)</f>
        <v/>
      </c>
      <c r="BC160" s="299">
        <f>IF(AND($F160&lt;=BC$2, OR($G160="",$G160&gt;=BC$2)),
  $H160 * (1 + Assumptions!$C$7) ^ INT(((YEAR(BC$2)-YEAR($F160))*12 + MONTH(BC$2)-MONTH($F160)) / 12),
  0)</f>
        <v/>
      </c>
      <c r="BD160" s="299">
        <f>IF(AND($F160&lt;=BD$2, OR($G160="",$G160&gt;=BD$2)),
  $H160 * (1 + Assumptions!$C$7) ^ INT(((YEAR(BD$2)-YEAR($F160))*12 + MONTH(BD$2)-MONTH($F160)) / 12),
  0)</f>
        <v/>
      </c>
      <c r="BE160" s="299">
        <f>IF(AND($F160&lt;=BE$2, OR($G160="",$G160&gt;=BE$2)),
  $H160 * (1 + Assumptions!$C$7) ^ INT(((YEAR(BE$2)-YEAR($F160))*12 + MONTH(BE$2)-MONTH($F160)) / 12),
  0)</f>
        <v/>
      </c>
      <c r="BF160" s="299">
        <f>IF(AND($F160&lt;=BF$2, OR($G160="",$G160&gt;=BF$2)),
  $H160 * (1 + Assumptions!$C$7) ^ INT(((YEAR(BF$2)-YEAR($F160))*12 + MONTH(BF$2)-MONTH($F160)) / 12),
  0)</f>
        <v/>
      </c>
      <c r="BG160" s="299">
        <f>IF(AND($F160&lt;=BG$2, OR($G160="",$G160&gt;=BG$2)),
  $H160 * (1 + Assumptions!$C$7) ^ INT(((YEAR(BG$2)-YEAR($F160))*12 + MONTH(BG$2)-MONTH($F160)) / 12),
  0)</f>
        <v/>
      </c>
      <c r="BH160" s="299">
        <f>IF(AND($F160&lt;=BH$2, OR($G160="",$G160&gt;=BH$2)),
  $H160 * (1 + Assumptions!$C$7) ^ INT(((YEAR(BH$2)-YEAR($F160))*12 + MONTH(BH$2)-MONTH($F160)) / 12),
  0)</f>
        <v/>
      </c>
      <c r="BI160" s="299">
        <f>IF(AND($F160&lt;=BI$2, OR($G160="",$G160&gt;=BI$2)),
  $H160 * (1 + Assumptions!$C$7) ^ INT(((YEAR(BI$2)-YEAR($F160))*12 + MONTH(BI$2)-MONTH($F160)) / 12),
  0)</f>
        <v/>
      </c>
      <c r="BJ160" s="299">
        <f>IF(AND($F160&lt;=BJ$2, OR($G160="",$G160&gt;=BJ$2)),
  $H160 * (1 + Assumptions!$C$7) ^ INT(((YEAR(BJ$2)-YEAR($F160))*12 + MONTH(BJ$2)-MONTH($F160)) / 12),
  0)</f>
        <v/>
      </c>
      <c r="BK160" s="299">
        <f>IF(AND($F160&lt;=BK$2, OR($G160="",$G160&gt;=BK$2)),
  $H160 * (1 + Assumptions!$C$7) ^ INT(((YEAR(BK$2)-YEAR($F160))*12 + MONTH(BK$2)-MONTH($F160)) / 12),
  0)</f>
        <v/>
      </c>
      <c r="BL160" s="299">
        <f>IF(AND($F160&lt;=BL$2, OR($G160="",$G160&gt;=BL$2)),
  $H160 * (1 + Assumptions!$C$7) ^ INT(((YEAR(BL$2)-YEAR($F160))*12 + MONTH(BL$2)-MONTH($F160)) / 12),
  0)</f>
        <v/>
      </c>
      <c r="BM160" s="299">
        <f>IF(AND($F160&lt;=BM$2, OR($G160="",$G160&gt;=BM$2)),
  $H160 * (1 + Assumptions!$C$7) ^ INT(((YEAR(BM$2)-YEAR($F160))*12 + MONTH(BM$2)-MONTH($F160)) / 12),
  0)</f>
        <v/>
      </c>
      <c r="BN160" s="299">
        <f>IF(AND($F160&lt;=BN$2, OR($G160="",$G160&gt;=BN$2)),
  $H160 * (1 + Assumptions!$C$7) ^ INT(((YEAR(BN$2)-YEAR($F160))*12 + MONTH(BN$2)-MONTH($F160)) / 12),
  0)</f>
        <v/>
      </c>
      <c r="BO160" s="299">
        <f>IF(AND($F160&lt;=BO$2, OR($G160="",$G160&gt;=BO$2)),
  $H160 * (1 + Assumptions!$C$7) ^ INT(((YEAR(BO$2)-YEAR($F160))*12 + MONTH(BO$2)-MONTH($F160)) / 12),
  0)</f>
        <v/>
      </c>
      <c r="BP160" s="299">
        <f>IF(AND($F160&lt;=BP$2, OR($G160="",$G160&gt;=BP$2)),
  $H160 * (1 + Assumptions!$C$7) ^ INT(((YEAR(BP$2)-YEAR($F160))*12 + MONTH(BP$2)-MONTH($F160)) / 12),
  0)</f>
        <v/>
      </c>
      <c r="BQ160" s="31" t="n"/>
      <c r="BR160" s="31" t="n"/>
      <c r="BS160" s="31" t="n"/>
      <c r="BT160" s="31" t="n"/>
    </row>
    <row r="161" ht="15.75" customHeight="1" s="349">
      <c r="A161" s="321" t="n">
        <v>156</v>
      </c>
      <c r="B161" s="285" t="inlineStr">
        <is>
          <t>New hire</t>
        </is>
      </c>
      <c r="C161" s="317" t="inlineStr">
        <is>
          <t>G&amp;A</t>
        </is>
      </c>
      <c r="D161" s="317" t="inlineStr">
        <is>
          <t>Production Operator</t>
        </is>
      </c>
      <c r="E161" s="297" t="inlineStr">
        <is>
          <t>Planned</t>
        </is>
      </c>
      <c r="F161" s="318">
        <f>IF(Assumptions!$D$82=2,DATE(2029,7,1),DATE(2035,1,1))</f>
        <v/>
      </c>
      <c r="G161" s="318" t="n"/>
      <c r="H161" s="288" t="n">
        <v>5000</v>
      </c>
      <c r="I161" s="299">
        <f>IF(AND($F161&lt;=I$2, OR($G161="",$G161&gt;=I$2)),
  $H161 * (1 + Assumptions!$C$7) ^ INT(((YEAR(I$2)-YEAR($F161))*12 + MONTH(I$2)-MONTH($F161)) / 12),
  0)</f>
        <v/>
      </c>
      <c r="J161" s="299">
        <f>IF(AND($F161&lt;=J$2, OR($G161="",$G161&gt;=J$2)),
  $H161 * (1 + Assumptions!$C$7) ^ INT(((YEAR(J$2)-YEAR($F161))*12 + MONTH(J$2)-MONTH($F161)) / 12),
  0)</f>
        <v/>
      </c>
      <c r="K161" s="299">
        <f>IF(AND($F161&lt;=K$2, OR($G161="",$G161&gt;=K$2)),
  $H161 * (1 + Assumptions!$C$7) ^ INT(((YEAR(K$2)-YEAR($F161))*12 + MONTH(K$2)-MONTH($F161)) / 12),
  0)</f>
        <v/>
      </c>
      <c r="L161" s="299">
        <f>IF(AND($F161&lt;=L$2, OR($G161="",$G161&gt;=L$2)),
  $H161 * (1 + Assumptions!$C$7) ^ INT(((YEAR(L$2)-YEAR($F161))*12 + MONTH(L$2)-MONTH($F161)) / 12),
  0)</f>
        <v/>
      </c>
      <c r="M161" s="299">
        <f>IF(AND($F161&lt;=M$2, OR($G161="",$G161&gt;=M$2)),
  $H161 * (1 + Assumptions!$C$7) ^ INT(((YEAR(M$2)-YEAR($F161))*12 + MONTH(M$2)-MONTH($F161)) / 12),
  0)</f>
        <v/>
      </c>
      <c r="N161" s="299">
        <f>IF(AND($F161&lt;=N$2, OR($G161="",$G161&gt;=N$2)),
  $H161 * (1 + Assumptions!$C$7) ^ INT(((YEAR(N$2)-YEAR($F161))*12 + MONTH(N$2)-MONTH($F161)) / 12),
  0)</f>
        <v/>
      </c>
      <c r="O161" s="299">
        <f>IF(AND($F161&lt;=O$2, OR($G161="",$G161&gt;=O$2)),
  $H161 * (1 + Assumptions!$C$7) ^ INT(((YEAR(O$2)-YEAR($F161))*12 + MONTH(O$2)-MONTH($F161)) / 12),
  0)</f>
        <v/>
      </c>
      <c r="P161" s="299">
        <f>IF(AND($F161&lt;=P$2, OR($G161="",$G161&gt;=P$2)),
  $H161 * (1 + Assumptions!$C$7) ^ INT(((YEAR(P$2)-YEAR($F161))*12 + MONTH(P$2)-MONTH($F161)) / 12),
  0)</f>
        <v/>
      </c>
      <c r="Q161" s="299">
        <f>IF(AND($F161&lt;=Q$2, OR($G161="",$G161&gt;=Q$2)),
  $H161 * (1 + Assumptions!$C$7) ^ INT(((YEAR(Q$2)-YEAR($F161))*12 + MONTH(Q$2)-MONTH($F161)) / 12),
  0)</f>
        <v/>
      </c>
      <c r="R161" s="299">
        <f>IF(AND($F161&lt;=R$2, OR($G161="",$G161&gt;=R$2)),
  $H161 * (1 + Assumptions!$C$7) ^ INT(((YEAR(R$2)-YEAR($F161))*12 + MONTH(R$2)-MONTH($F161)) / 12),
  0)</f>
        <v/>
      </c>
      <c r="S161" s="299">
        <f>IF(AND($F161&lt;=S$2, OR($G161="",$G161&gt;=S$2)),
  $H161 * (1 + Assumptions!$C$7) ^ INT(((YEAR(S$2)-YEAR($F161))*12 + MONTH(S$2)-MONTH($F161)) / 12),
  0)</f>
        <v/>
      </c>
      <c r="T161" s="299">
        <f>IF(AND($F161&lt;=T$2, OR($G161="",$G161&gt;=T$2)),
  $H161 * (1 + Assumptions!$C$7) ^ INT(((YEAR(T$2)-YEAR($F161))*12 + MONTH(T$2)-MONTH($F161)) / 12),
  0)</f>
        <v/>
      </c>
      <c r="U161" s="299">
        <f>IF(AND($F161&lt;=U$2, OR($G161="",$G161&gt;=U$2)),
  $H161 * (1 + Assumptions!$C$7) ^ INT(((YEAR(U$2)-YEAR($F161))*12 + MONTH(U$2)-MONTH($F161)) / 12),
  0)</f>
        <v/>
      </c>
      <c r="V161" s="299">
        <f>IF(AND($F161&lt;=V$2, OR($G161="",$G161&gt;=V$2)),
  $H161 * (1 + Assumptions!$C$7) ^ INT(((YEAR(V$2)-YEAR($F161))*12 + MONTH(V$2)-MONTH($F161)) / 12),
  0)</f>
        <v/>
      </c>
      <c r="W161" s="299">
        <f>IF(AND($F161&lt;=W$2, OR($G161="",$G161&gt;=W$2)),
  $H161 * (1 + Assumptions!$C$7) ^ INT(((YEAR(W$2)-YEAR($F161))*12 + MONTH(W$2)-MONTH($F161)) / 12),
  0)</f>
        <v/>
      </c>
      <c r="X161" s="299">
        <f>IF(AND($F161&lt;=X$2, OR($G161="",$G161&gt;=X$2)),
  $H161 * (1 + Assumptions!$C$7) ^ INT(((YEAR(X$2)-YEAR($F161))*12 + MONTH(X$2)-MONTH($F161)) / 12),
  0)</f>
        <v/>
      </c>
      <c r="Y161" s="299">
        <f>IF(AND($F161&lt;=Y$2, OR($G161="",$G161&gt;=Y$2)),
  $H161 * (1 + Assumptions!$C$7) ^ INT(((YEAR(Y$2)-YEAR($F161))*12 + MONTH(Y$2)-MONTH($F161)) / 12),
  0)</f>
        <v/>
      </c>
      <c r="Z161" s="299">
        <f>IF(AND($F161&lt;=Z$2, OR($G161="",$G161&gt;=Z$2)),
  $H161 * (1 + Assumptions!$C$7) ^ INT(((YEAR(Z$2)-YEAR($F161))*12 + MONTH(Z$2)-MONTH($F161)) / 12),
  0)</f>
        <v/>
      </c>
      <c r="AA161" s="299">
        <f>IF(AND($F161&lt;=AA$2, OR($G161="",$G161&gt;=AA$2)),
  $H161 * (1 + Assumptions!$C$7) ^ INT(((YEAR(AA$2)-YEAR($F161))*12 + MONTH(AA$2)-MONTH($F161)) / 12),
  0)</f>
        <v/>
      </c>
      <c r="AB161" s="299">
        <f>IF(AND($F161&lt;=AB$2, OR($G161="",$G161&gt;=AB$2)),
  $H161 * (1 + Assumptions!$C$7) ^ INT(((YEAR(AB$2)-YEAR($F161))*12 + MONTH(AB$2)-MONTH($F161)) / 12),
  0)</f>
        <v/>
      </c>
      <c r="AC161" s="299">
        <f>IF(AND($F161&lt;=AC$2, OR($G161="",$G161&gt;=AC$2)),
  $H161 * (1 + Assumptions!$C$7) ^ INT(((YEAR(AC$2)-YEAR($F161))*12 + MONTH(AC$2)-MONTH($F161)) / 12),
  0)</f>
        <v/>
      </c>
      <c r="AD161" s="299">
        <f>IF(AND($F161&lt;=AD$2, OR($G161="",$G161&gt;=AD$2)),
  $H161 * (1 + Assumptions!$C$7) ^ INT(((YEAR(AD$2)-YEAR($F161))*12 + MONTH(AD$2)-MONTH($F161)) / 12),
  0)</f>
        <v/>
      </c>
      <c r="AE161" s="299">
        <f>IF(AND($F161&lt;=AE$2, OR($G161="",$G161&gt;=AE$2)),
  $H161 * (1 + Assumptions!$C$7) ^ INT(((YEAR(AE$2)-YEAR($F161))*12 + MONTH(AE$2)-MONTH($F161)) / 12),
  0)</f>
        <v/>
      </c>
      <c r="AF161" s="299">
        <f>IF(AND($F161&lt;=AF$2, OR($G161="",$G161&gt;=AF$2)),
  $H161 * (1 + Assumptions!$C$7) ^ INT(((YEAR(AF$2)-YEAR($F161))*12 + MONTH(AF$2)-MONTH($F161)) / 12),
  0)</f>
        <v/>
      </c>
      <c r="AG161" s="299">
        <f>IF(AND($F161&lt;=AG$2, OR($G161="",$G161&gt;=AG$2)),
  $H161 * (1 + Assumptions!$C$7) ^ INT(((YEAR(AG$2)-YEAR($F161))*12 + MONTH(AG$2)-MONTH($F161)) / 12),
  0)</f>
        <v/>
      </c>
      <c r="AH161" s="299">
        <f>IF(AND($F161&lt;=AH$2, OR($G161="",$G161&gt;=AH$2)),
  $H161 * (1 + Assumptions!$C$7) ^ INT(((YEAR(AH$2)-YEAR($F161))*12 + MONTH(AH$2)-MONTH($F161)) / 12),
  0)</f>
        <v/>
      </c>
      <c r="AI161" s="299">
        <f>IF(AND($F161&lt;=AI$2, OR($G161="",$G161&gt;=AI$2)),
  $H161 * (1 + Assumptions!$C$7) ^ INT(((YEAR(AI$2)-YEAR($F161))*12 + MONTH(AI$2)-MONTH($F161)) / 12),
  0)</f>
        <v/>
      </c>
      <c r="AJ161" s="299">
        <f>IF(AND($F161&lt;=AJ$2, OR($G161="",$G161&gt;=AJ$2)),
  $H161 * (1 + Assumptions!$C$7) ^ INT(((YEAR(AJ$2)-YEAR($F161))*12 + MONTH(AJ$2)-MONTH($F161)) / 12),
  0)</f>
        <v/>
      </c>
      <c r="AK161" s="299">
        <f>IF(AND($F161&lt;=AK$2, OR($G161="",$G161&gt;=AK$2)),
  $H161 * (1 + Assumptions!$C$7) ^ INT(((YEAR(AK$2)-YEAR($F161))*12 + MONTH(AK$2)-MONTH($F161)) / 12),
  0)</f>
        <v/>
      </c>
      <c r="AL161" s="299">
        <f>IF(AND($F161&lt;=AL$2, OR($G161="",$G161&gt;=AL$2)),
  $H161 * (1 + Assumptions!$C$7) ^ INT(((YEAR(AL$2)-YEAR($F161))*12 + MONTH(AL$2)-MONTH($F161)) / 12),
  0)</f>
        <v/>
      </c>
      <c r="AM161" s="299">
        <f>IF(AND($F161&lt;=AM$2, OR($G161="",$G161&gt;=AM$2)),
  $H161 * (1 + Assumptions!$C$7) ^ INT(((YEAR(AM$2)-YEAR($F161))*12 + MONTH(AM$2)-MONTH($F161)) / 12),
  0)</f>
        <v/>
      </c>
      <c r="AN161" s="299">
        <f>IF(AND($F161&lt;=AN$2, OR($G161="",$G161&gt;=AN$2)),
  $H161 * (1 + Assumptions!$C$7) ^ INT(((YEAR(AN$2)-YEAR($F161))*12 + MONTH(AN$2)-MONTH($F161)) / 12),
  0)</f>
        <v/>
      </c>
      <c r="AO161" s="299">
        <f>IF(AND($F161&lt;=AO$2, OR($G161="",$G161&gt;=AO$2)),
  $H161 * (1 + Assumptions!$C$7) ^ INT(((YEAR(AO$2)-YEAR($F161))*12 + MONTH(AO$2)-MONTH($F161)) / 12),
  0)</f>
        <v/>
      </c>
      <c r="AP161" s="299">
        <f>IF(AND($F161&lt;=AP$2, OR($G161="",$G161&gt;=AP$2)),
  $H161 * (1 + Assumptions!$C$7) ^ INT(((YEAR(AP$2)-YEAR($F161))*12 + MONTH(AP$2)-MONTH($F161)) / 12),
  0)</f>
        <v/>
      </c>
      <c r="AQ161" s="299">
        <f>IF(AND($F161&lt;=AQ$2, OR($G161="",$G161&gt;=AQ$2)),
  $H161 * (1 + Assumptions!$C$7) ^ INT(((YEAR(AQ$2)-YEAR($F161))*12 + MONTH(AQ$2)-MONTH($F161)) / 12),
  0)</f>
        <v/>
      </c>
      <c r="AR161" s="299">
        <f>IF(AND($F161&lt;=AR$2, OR($G161="",$G161&gt;=AR$2)),
  $H161 * (1 + Assumptions!$C$7) ^ INT(((YEAR(AR$2)-YEAR($F161))*12 + MONTH(AR$2)-MONTH($F161)) / 12),
  0)</f>
        <v/>
      </c>
      <c r="AS161" s="299">
        <f>IF(AND($F161&lt;=AS$2, OR($G161="",$G161&gt;=AS$2)),
  $H161 * (1 + Assumptions!$C$7) ^ INT(((YEAR(AS$2)-YEAR($F161))*12 + MONTH(AS$2)-MONTH($F161)) / 12),
  0)</f>
        <v/>
      </c>
      <c r="AT161" s="299">
        <f>IF(AND($F161&lt;=AT$2, OR($G161="",$G161&gt;=AT$2)),
  $H161 * (1 + Assumptions!$C$7) ^ INT(((YEAR(AT$2)-YEAR($F161))*12 + MONTH(AT$2)-MONTH($F161)) / 12),
  0)</f>
        <v/>
      </c>
      <c r="AU161" s="299">
        <f>IF(AND($F161&lt;=AU$2, OR($G161="",$G161&gt;=AU$2)),
  $H161 * (1 + Assumptions!$C$7) ^ INT(((YEAR(AU$2)-YEAR($F161))*12 + MONTH(AU$2)-MONTH($F161)) / 12),
  0)</f>
        <v/>
      </c>
      <c r="AV161" s="299">
        <f>IF(AND($F161&lt;=AV$2, OR($G161="",$G161&gt;=AV$2)),
  $H161 * (1 + Assumptions!$C$7) ^ INT(((YEAR(AV$2)-YEAR($F161))*12 + MONTH(AV$2)-MONTH($F161)) / 12),
  0)</f>
        <v/>
      </c>
      <c r="AW161" s="299">
        <f>IF(AND($F161&lt;=AW$2, OR($G161="",$G161&gt;=AW$2)),
  $H161 * (1 + Assumptions!$C$7) ^ INT(((YEAR(AW$2)-YEAR($F161))*12 + MONTH(AW$2)-MONTH($F161)) / 12),
  0)</f>
        <v/>
      </c>
      <c r="AX161" s="299">
        <f>IF(AND($F161&lt;=AX$2, OR($G161="",$G161&gt;=AX$2)),
  $H161 * (1 + Assumptions!$C$7) ^ INT(((YEAR(AX$2)-YEAR($F161))*12 + MONTH(AX$2)-MONTH($F161)) / 12),
  0)</f>
        <v/>
      </c>
      <c r="AY161" s="299">
        <f>IF(AND($F161&lt;=AY$2, OR($G161="",$G161&gt;=AY$2)),
  $H161 * (1 + Assumptions!$C$7) ^ INT(((YEAR(AY$2)-YEAR($F161))*12 + MONTH(AY$2)-MONTH($F161)) / 12),
  0)</f>
        <v/>
      </c>
      <c r="AZ161" s="299">
        <f>IF(AND($F161&lt;=AZ$2, OR($G161="",$G161&gt;=AZ$2)),
  $H161 * (1 + Assumptions!$C$7) ^ INT(((YEAR(AZ$2)-YEAR($F161))*12 + MONTH(AZ$2)-MONTH($F161)) / 12),
  0)</f>
        <v/>
      </c>
      <c r="BA161" s="299">
        <f>IF(AND($F161&lt;=BA$2, OR($G161="",$G161&gt;=BA$2)),
  $H161 * (1 + Assumptions!$C$7) ^ INT(((YEAR(BA$2)-YEAR($F161))*12 + MONTH(BA$2)-MONTH($F161)) / 12),
  0)</f>
        <v/>
      </c>
      <c r="BB161" s="299">
        <f>IF(AND($F161&lt;=BB$2, OR($G161="",$G161&gt;=BB$2)),
  $H161 * (1 + Assumptions!$C$7) ^ INT(((YEAR(BB$2)-YEAR($F161))*12 + MONTH(BB$2)-MONTH($F161)) / 12),
  0)</f>
        <v/>
      </c>
      <c r="BC161" s="299">
        <f>IF(AND($F161&lt;=BC$2, OR($G161="",$G161&gt;=BC$2)),
  $H161 * (1 + Assumptions!$C$7) ^ INT(((YEAR(BC$2)-YEAR($F161))*12 + MONTH(BC$2)-MONTH($F161)) / 12),
  0)</f>
        <v/>
      </c>
      <c r="BD161" s="299">
        <f>IF(AND($F161&lt;=BD$2, OR($G161="",$G161&gt;=BD$2)),
  $H161 * (1 + Assumptions!$C$7) ^ INT(((YEAR(BD$2)-YEAR($F161))*12 + MONTH(BD$2)-MONTH($F161)) / 12),
  0)</f>
        <v/>
      </c>
      <c r="BE161" s="299">
        <f>IF(AND($F161&lt;=BE$2, OR($G161="",$G161&gt;=BE$2)),
  $H161 * (1 + Assumptions!$C$7) ^ INT(((YEAR(BE$2)-YEAR($F161))*12 + MONTH(BE$2)-MONTH($F161)) / 12),
  0)</f>
        <v/>
      </c>
      <c r="BF161" s="299">
        <f>IF(AND($F161&lt;=BF$2, OR($G161="",$G161&gt;=BF$2)),
  $H161 * (1 + Assumptions!$C$7) ^ INT(((YEAR(BF$2)-YEAR($F161))*12 + MONTH(BF$2)-MONTH($F161)) / 12),
  0)</f>
        <v/>
      </c>
      <c r="BG161" s="299">
        <f>IF(AND($F161&lt;=BG$2, OR($G161="",$G161&gt;=BG$2)),
  $H161 * (1 + Assumptions!$C$7) ^ INT(((YEAR(BG$2)-YEAR($F161))*12 + MONTH(BG$2)-MONTH($F161)) / 12),
  0)</f>
        <v/>
      </c>
      <c r="BH161" s="299">
        <f>IF(AND($F161&lt;=BH$2, OR($G161="",$G161&gt;=BH$2)),
  $H161 * (1 + Assumptions!$C$7) ^ INT(((YEAR(BH$2)-YEAR($F161))*12 + MONTH(BH$2)-MONTH($F161)) / 12),
  0)</f>
        <v/>
      </c>
      <c r="BI161" s="299">
        <f>IF(AND($F161&lt;=BI$2, OR($G161="",$G161&gt;=BI$2)),
  $H161 * (1 + Assumptions!$C$7) ^ INT(((YEAR(BI$2)-YEAR($F161))*12 + MONTH(BI$2)-MONTH($F161)) / 12),
  0)</f>
        <v/>
      </c>
      <c r="BJ161" s="299">
        <f>IF(AND($F161&lt;=BJ$2, OR($G161="",$G161&gt;=BJ$2)),
  $H161 * (1 + Assumptions!$C$7) ^ INT(((YEAR(BJ$2)-YEAR($F161))*12 + MONTH(BJ$2)-MONTH($F161)) / 12),
  0)</f>
        <v/>
      </c>
      <c r="BK161" s="299">
        <f>IF(AND($F161&lt;=BK$2, OR($G161="",$G161&gt;=BK$2)),
  $H161 * (1 + Assumptions!$C$7) ^ INT(((YEAR(BK$2)-YEAR($F161))*12 + MONTH(BK$2)-MONTH($F161)) / 12),
  0)</f>
        <v/>
      </c>
      <c r="BL161" s="299">
        <f>IF(AND($F161&lt;=BL$2, OR($G161="",$G161&gt;=BL$2)),
  $H161 * (1 + Assumptions!$C$7) ^ INT(((YEAR(BL$2)-YEAR($F161))*12 + MONTH(BL$2)-MONTH($F161)) / 12),
  0)</f>
        <v/>
      </c>
      <c r="BM161" s="299">
        <f>IF(AND($F161&lt;=BM$2, OR($G161="",$G161&gt;=BM$2)),
  $H161 * (1 + Assumptions!$C$7) ^ INT(((YEAR(BM$2)-YEAR($F161))*12 + MONTH(BM$2)-MONTH($F161)) / 12),
  0)</f>
        <v/>
      </c>
      <c r="BN161" s="299">
        <f>IF(AND($F161&lt;=BN$2, OR($G161="",$G161&gt;=BN$2)),
  $H161 * (1 + Assumptions!$C$7) ^ INT(((YEAR(BN$2)-YEAR($F161))*12 + MONTH(BN$2)-MONTH($F161)) / 12),
  0)</f>
        <v/>
      </c>
      <c r="BO161" s="299">
        <f>IF(AND($F161&lt;=BO$2, OR($G161="",$G161&gt;=BO$2)),
  $H161 * (1 + Assumptions!$C$7) ^ INT(((YEAR(BO$2)-YEAR($F161))*12 + MONTH(BO$2)-MONTH($F161)) / 12),
  0)</f>
        <v/>
      </c>
      <c r="BP161" s="299">
        <f>IF(AND($F161&lt;=BP$2, OR($G161="",$G161&gt;=BP$2)),
  $H161 * (1 + Assumptions!$C$7) ^ INT(((YEAR(BP$2)-YEAR($F161))*12 + MONTH(BP$2)-MONTH($F161)) / 12),
  0)</f>
        <v/>
      </c>
      <c r="BQ161" s="31" t="n"/>
      <c r="BR161" s="31" t="n"/>
      <c r="BS161" s="31" t="n"/>
      <c r="BT161" s="31" t="n"/>
    </row>
    <row r="162" ht="15.75" customHeight="1" s="349">
      <c r="A162" s="321" t="n">
        <v>157</v>
      </c>
      <c r="B162" s="285" t="inlineStr">
        <is>
          <t>New hire</t>
        </is>
      </c>
      <c r="C162" s="317" t="inlineStr">
        <is>
          <t>G&amp;A</t>
        </is>
      </c>
      <c r="D162" s="317" t="inlineStr">
        <is>
          <t>Production Operator</t>
        </is>
      </c>
      <c r="E162" s="297" t="inlineStr">
        <is>
          <t>Planned</t>
        </is>
      </c>
      <c r="F162" s="318">
        <f>IF(Assumptions!$D$82=2,DATE(2029,7,1),DATE(2035,1,1))</f>
        <v/>
      </c>
      <c r="G162" s="318" t="n"/>
      <c r="H162" s="288" t="n">
        <v>5000</v>
      </c>
      <c r="I162" s="299">
        <f>IF(AND($F162&lt;=I$2, OR($G162="",$G162&gt;=I$2)),
  $H162 * (1 + Assumptions!$C$7) ^ INT(((YEAR(I$2)-YEAR($F162))*12 + MONTH(I$2)-MONTH($F162)) / 12),
  0)</f>
        <v/>
      </c>
      <c r="J162" s="299">
        <f>IF(AND($F162&lt;=J$2, OR($G162="",$G162&gt;=J$2)),
  $H162 * (1 + Assumptions!$C$7) ^ INT(((YEAR(J$2)-YEAR($F162))*12 + MONTH(J$2)-MONTH($F162)) / 12),
  0)</f>
        <v/>
      </c>
      <c r="K162" s="299">
        <f>IF(AND($F162&lt;=K$2, OR($G162="",$G162&gt;=K$2)),
  $H162 * (1 + Assumptions!$C$7) ^ INT(((YEAR(K$2)-YEAR($F162))*12 + MONTH(K$2)-MONTH($F162)) / 12),
  0)</f>
        <v/>
      </c>
      <c r="L162" s="299">
        <f>IF(AND($F162&lt;=L$2, OR($G162="",$G162&gt;=L$2)),
  $H162 * (1 + Assumptions!$C$7) ^ INT(((YEAR(L$2)-YEAR($F162))*12 + MONTH(L$2)-MONTH($F162)) / 12),
  0)</f>
        <v/>
      </c>
      <c r="M162" s="299">
        <f>IF(AND($F162&lt;=M$2, OR($G162="",$G162&gt;=M$2)),
  $H162 * (1 + Assumptions!$C$7) ^ INT(((YEAR(M$2)-YEAR($F162))*12 + MONTH(M$2)-MONTH($F162)) / 12),
  0)</f>
        <v/>
      </c>
      <c r="N162" s="299">
        <f>IF(AND($F162&lt;=N$2, OR($G162="",$G162&gt;=N$2)),
  $H162 * (1 + Assumptions!$C$7) ^ INT(((YEAR(N$2)-YEAR($F162))*12 + MONTH(N$2)-MONTH($F162)) / 12),
  0)</f>
        <v/>
      </c>
      <c r="O162" s="299">
        <f>IF(AND($F162&lt;=O$2, OR($G162="",$G162&gt;=O$2)),
  $H162 * (1 + Assumptions!$C$7) ^ INT(((YEAR(O$2)-YEAR($F162))*12 + MONTH(O$2)-MONTH($F162)) / 12),
  0)</f>
        <v/>
      </c>
      <c r="P162" s="299">
        <f>IF(AND($F162&lt;=P$2, OR($G162="",$G162&gt;=P$2)),
  $H162 * (1 + Assumptions!$C$7) ^ INT(((YEAR(P$2)-YEAR($F162))*12 + MONTH(P$2)-MONTH($F162)) / 12),
  0)</f>
        <v/>
      </c>
      <c r="Q162" s="299">
        <f>IF(AND($F162&lt;=Q$2, OR($G162="",$G162&gt;=Q$2)),
  $H162 * (1 + Assumptions!$C$7) ^ INT(((YEAR(Q$2)-YEAR($F162))*12 + MONTH(Q$2)-MONTH($F162)) / 12),
  0)</f>
        <v/>
      </c>
      <c r="R162" s="299">
        <f>IF(AND($F162&lt;=R$2, OR($G162="",$G162&gt;=R$2)),
  $H162 * (1 + Assumptions!$C$7) ^ INT(((YEAR(R$2)-YEAR($F162))*12 + MONTH(R$2)-MONTH($F162)) / 12),
  0)</f>
        <v/>
      </c>
      <c r="S162" s="299">
        <f>IF(AND($F162&lt;=S$2, OR($G162="",$G162&gt;=S$2)),
  $H162 * (1 + Assumptions!$C$7) ^ INT(((YEAR(S$2)-YEAR($F162))*12 + MONTH(S$2)-MONTH($F162)) / 12),
  0)</f>
        <v/>
      </c>
      <c r="T162" s="299">
        <f>IF(AND($F162&lt;=T$2, OR($G162="",$G162&gt;=T$2)),
  $H162 * (1 + Assumptions!$C$7) ^ INT(((YEAR(T$2)-YEAR($F162))*12 + MONTH(T$2)-MONTH($F162)) / 12),
  0)</f>
        <v/>
      </c>
      <c r="U162" s="299">
        <f>IF(AND($F162&lt;=U$2, OR($G162="",$G162&gt;=U$2)),
  $H162 * (1 + Assumptions!$C$7) ^ INT(((YEAR(U$2)-YEAR($F162))*12 + MONTH(U$2)-MONTH($F162)) / 12),
  0)</f>
        <v/>
      </c>
      <c r="V162" s="299">
        <f>IF(AND($F162&lt;=V$2, OR($G162="",$G162&gt;=V$2)),
  $H162 * (1 + Assumptions!$C$7) ^ INT(((YEAR(V$2)-YEAR($F162))*12 + MONTH(V$2)-MONTH($F162)) / 12),
  0)</f>
        <v/>
      </c>
      <c r="W162" s="299">
        <f>IF(AND($F162&lt;=W$2, OR($G162="",$G162&gt;=W$2)),
  $H162 * (1 + Assumptions!$C$7) ^ INT(((YEAR(W$2)-YEAR($F162))*12 + MONTH(W$2)-MONTH($F162)) / 12),
  0)</f>
        <v/>
      </c>
      <c r="X162" s="299">
        <f>IF(AND($F162&lt;=X$2, OR($G162="",$G162&gt;=X$2)),
  $H162 * (1 + Assumptions!$C$7) ^ INT(((YEAR(X$2)-YEAR($F162))*12 + MONTH(X$2)-MONTH($F162)) / 12),
  0)</f>
        <v/>
      </c>
      <c r="Y162" s="299">
        <f>IF(AND($F162&lt;=Y$2, OR($G162="",$G162&gt;=Y$2)),
  $H162 * (1 + Assumptions!$C$7) ^ INT(((YEAR(Y$2)-YEAR($F162))*12 + MONTH(Y$2)-MONTH($F162)) / 12),
  0)</f>
        <v/>
      </c>
      <c r="Z162" s="299">
        <f>IF(AND($F162&lt;=Z$2, OR($G162="",$G162&gt;=Z$2)),
  $H162 * (1 + Assumptions!$C$7) ^ INT(((YEAR(Z$2)-YEAR($F162))*12 + MONTH(Z$2)-MONTH($F162)) / 12),
  0)</f>
        <v/>
      </c>
      <c r="AA162" s="299">
        <f>IF(AND($F162&lt;=AA$2, OR($G162="",$G162&gt;=AA$2)),
  $H162 * (1 + Assumptions!$C$7) ^ INT(((YEAR(AA$2)-YEAR($F162))*12 + MONTH(AA$2)-MONTH($F162)) / 12),
  0)</f>
        <v/>
      </c>
      <c r="AB162" s="299">
        <f>IF(AND($F162&lt;=AB$2, OR($G162="",$G162&gt;=AB$2)),
  $H162 * (1 + Assumptions!$C$7) ^ INT(((YEAR(AB$2)-YEAR($F162))*12 + MONTH(AB$2)-MONTH($F162)) / 12),
  0)</f>
        <v/>
      </c>
      <c r="AC162" s="299">
        <f>IF(AND($F162&lt;=AC$2, OR($G162="",$G162&gt;=AC$2)),
  $H162 * (1 + Assumptions!$C$7) ^ INT(((YEAR(AC$2)-YEAR($F162))*12 + MONTH(AC$2)-MONTH($F162)) / 12),
  0)</f>
        <v/>
      </c>
      <c r="AD162" s="299">
        <f>IF(AND($F162&lt;=AD$2, OR($G162="",$G162&gt;=AD$2)),
  $H162 * (1 + Assumptions!$C$7) ^ INT(((YEAR(AD$2)-YEAR($F162))*12 + MONTH(AD$2)-MONTH($F162)) / 12),
  0)</f>
        <v/>
      </c>
      <c r="AE162" s="299">
        <f>IF(AND($F162&lt;=AE$2, OR($G162="",$G162&gt;=AE$2)),
  $H162 * (1 + Assumptions!$C$7) ^ INT(((YEAR(AE$2)-YEAR($F162))*12 + MONTH(AE$2)-MONTH($F162)) / 12),
  0)</f>
        <v/>
      </c>
      <c r="AF162" s="299">
        <f>IF(AND($F162&lt;=AF$2, OR($G162="",$G162&gt;=AF$2)),
  $H162 * (1 + Assumptions!$C$7) ^ INT(((YEAR(AF$2)-YEAR($F162))*12 + MONTH(AF$2)-MONTH($F162)) / 12),
  0)</f>
        <v/>
      </c>
      <c r="AG162" s="299">
        <f>IF(AND($F162&lt;=AG$2, OR($G162="",$G162&gt;=AG$2)),
  $H162 * (1 + Assumptions!$C$7) ^ INT(((YEAR(AG$2)-YEAR($F162))*12 + MONTH(AG$2)-MONTH($F162)) / 12),
  0)</f>
        <v/>
      </c>
      <c r="AH162" s="299">
        <f>IF(AND($F162&lt;=AH$2, OR($G162="",$G162&gt;=AH$2)),
  $H162 * (1 + Assumptions!$C$7) ^ INT(((YEAR(AH$2)-YEAR($F162))*12 + MONTH(AH$2)-MONTH($F162)) / 12),
  0)</f>
        <v/>
      </c>
      <c r="AI162" s="299">
        <f>IF(AND($F162&lt;=AI$2, OR($G162="",$G162&gt;=AI$2)),
  $H162 * (1 + Assumptions!$C$7) ^ INT(((YEAR(AI$2)-YEAR($F162))*12 + MONTH(AI$2)-MONTH($F162)) / 12),
  0)</f>
        <v/>
      </c>
      <c r="AJ162" s="299">
        <f>IF(AND($F162&lt;=AJ$2, OR($G162="",$G162&gt;=AJ$2)),
  $H162 * (1 + Assumptions!$C$7) ^ INT(((YEAR(AJ$2)-YEAR($F162))*12 + MONTH(AJ$2)-MONTH($F162)) / 12),
  0)</f>
        <v/>
      </c>
      <c r="AK162" s="299">
        <f>IF(AND($F162&lt;=AK$2, OR($G162="",$G162&gt;=AK$2)),
  $H162 * (1 + Assumptions!$C$7) ^ INT(((YEAR(AK$2)-YEAR($F162))*12 + MONTH(AK$2)-MONTH($F162)) / 12),
  0)</f>
        <v/>
      </c>
      <c r="AL162" s="299">
        <f>IF(AND($F162&lt;=AL$2, OR($G162="",$G162&gt;=AL$2)),
  $H162 * (1 + Assumptions!$C$7) ^ INT(((YEAR(AL$2)-YEAR($F162))*12 + MONTH(AL$2)-MONTH($F162)) / 12),
  0)</f>
        <v/>
      </c>
      <c r="AM162" s="299">
        <f>IF(AND($F162&lt;=AM$2, OR($G162="",$G162&gt;=AM$2)),
  $H162 * (1 + Assumptions!$C$7) ^ INT(((YEAR(AM$2)-YEAR($F162))*12 + MONTH(AM$2)-MONTH($F162)) / 12),
  0)</f>
        <v/>
      </c>
      <c r="AN162" s="299">
        <f>IF(AND($F162&lt;=AN$2, OR($G162="",$G162&gt;=AN$2)),
  $H162 * (1 + Assumptions!$C$7) ^ INT(((YEAR(AN$2)-YEAR($F162))*12 + MONTH(AN$2)-MONTH($F162)) / 12),
  0)</f>
        <v/>
      </c>
      <c r="AO162" s="299">
        <f>IF(AND($F162&lt;=AO$2, OR($G162="",$G162&gt;=AO$2)),
  $H162 * (1 + Assumptions!$C$7) ^ INT(((YEAR(AO$2)-YEAR($F162))*12 + MONTH(AO$2)-MONTH($F162)) / 12),
  0)</f>
        <v/>
      </c>
      <c r="AP162" s="299">
        <f>IF(AND($F162&lt;=AP$2, OR($G162="",$G162&gt;=AP$2)),
  $H162 * (1 + Assumptions!$C$7) ^ INT(((YEAR(AP$2)-YEAR($F162))*12 + MONTH(AP$2)-MONTH($F162)) / 12),
  0)</f>
        <v/>
      </c>
      <c r="AQ162" s="299">
        <f>IF(AND($F162&lt;=AQ$2, OR($G162="",$G162&gt;=AQ$2)),
  $H162 * (1 + Assumptions!$C$7) ^ INT(((YEAR(AQ$2)-YEAR($F162))*12 + MONTH(AQ$2)-MONTH($F162)) / 12),
  0)</f>
        <v/>
      </c>
      <c r="AR162" s="299">
        <f>IF(AND($F162&lt;=AR$2, OR($G162="",$G162&gt;=AR$2)),
  $H162 * (1 + Assumptions!$C$7) ^ INT(((YEAR(AR$2)-YEAR($F162))*12 + MONTH(AR$2)-MONTH($F162)) / 12),
  0)</f>
        <v/>
      </c>
      <c r="AS162" s="299">
        <f>IF(AND($F162&lt;=AS$2, OR($G162="",$G162&gt;=AS$2)),
  $H162 * (1 + Assumptions!$C$7) ^ INT(((YEAR(AS$2)-YEAR($F162))*12 + MONTH(AS$2)-MONTH($F162)) / 12),
  0)</f>
        <v/>
      </c>
      <c r="AT162" s="299">
        <f>IF(AND($F162&lt;=AT$2, OR($G162="",$G162&gt;=AT$2)),
  $H162 * (1 + Assumptions!$C$7) ^ INT(((YEAR(AT$2)-YEAR($F162))*12 + MONTH(AT$2)-MONTH($F162)) / 12),
  0)</f>
        <v/>
      </c>
      <c r="AU162" s="299">
        <f>IF(AND($F162&lt;=AU$2, OR($G162="",$G162&gt;=AU$2)),
  $H162 * (1 + Assumptions!$C$7) ^ INT(((YEAR(AU$2)-YEAR($F162))*12 + MONTH(AU$2)-MONTH($F162)) / 12),
  0)</f>
        <v/>
      </c>
      <c r="AV162" s="299">
        <f>IF(AND($F162&lt;=AV$2, OR($G162="",$G162&gt;=AV$2)),
  $H162 * (1 + Assumptions!$C$7) ^ INT(((YEAR(AV$2)-YEAR($F162))*12 + MONTH(AV$2)-MONTH($F162)) / 12),
  0)</f>
        <v/>
      </c>
      <c r="AW162" s="299">
        <f>IF(AND($F162&lt;=AW$2, OR($G162="",$G162&gt;=AW$2)),
  $H162 * (1 + Assumptions!$C$7) ^ INT(((YEAR(AW$2)-YEAR($F162))*12 + MONTH(AW$2)-MONTH($F162)) / 12),
  0)</f>
        <v/>
      </c>
      <c r="AX162" s="299">
        <f>IF(AND($F162&lt;=AX$2, OR($G162="",$G162&gt;=AX$2)),
  $H162 * (1 + Assumptions!$C$7) ^ INT(((YEAR(AX$2)-YEAR($F162))*12 + MONTH(AX$2)-MONTH($F162)) / 12),
  0)</f>
        <v/>
      </c>
      <c r="AY162" s="299">
        <f>IF(AND($F162&lt;=AY$2, OR($G162="",$G162&gt;=AY$2)),
  $H162 * (1 + Assumptions!$C$7) ^ INT(((YEAR(AY$2)-YEAR($F162))*12 + MONTH(AY$2)-MONTH($F162)) / 12),
  0)</f>
        <v/>
      </c>
      <c r="AZ162" s="299">
        <f>IF(AND($F162&lt;=AZ$2, OR($G162="",$G162&gt;=AZ$2)),
  $H162 * (1 + Assumptions!$C$7) ^ INT(((YEAR(AZ$2)-YEAR($F162))*12 + MONTH(AZ$2)-MONTH($F162)) / 12),
  0)</f>
        <v/>
      </c>
      <c r="BA162" s="299">
        <f>IF(AND($F162&lt;=BA$2, OR($G162="",$G162&gt;=BA$2)),
  $H162 * (1 + Assumptions!$C$7) ^ INT(((YEAR(BA$2)-YEAR($F162))*12 + MONTH(BA$2)-MONTH($F162)) / 12),
  0)</f>
        <v/>
      </c>
      <c r="BB162" s="299">
        <f>IF(AND($F162&lt;=BB$2, OR($G162="",$G162&gt;=BB$2)),
  $H162 * (1 + Assumptions!$C$7) ^ INT(((YEAR(BB$2)-YEAR($F162))*12 + MONTH(BB$2)-MONTH($F162)) / 12),
  0)</f>
        <v/>
      </c>
      <c r="BC162" s="299">
        <f>IF(AND($F162&lt;=BC$2, OR($G162="",$G162&gt;=BC$2)),
  $H162 * (1 + Assumptions!$C$7) ^ INT(((YEAR(BC$2)-YEAR($F162))*12 + MONTH(BC$2)-MONTH($F162)) / 12),
  0)</f>
        <v/>
      </c>
      <c r="BD162" s="299">
        <f>IF(AND($F162&lt;=BD$2, OR($G162="",$G162&gt;=BD$2)),
  $H162 * (1 + Assumptions!$C$7) ^ INT(((YEAR(BD$2)-YEAR($F162))*12 + MONTH(BD$2)-MONTH($F162)) / 12),
  0)</f>
        <v/>
      </c>
      <c r="BE162" s="299">
        <f>IF(AND($F162&lt;=BE$2, OR($G162="",$G162&gt;=BE$2)),
  $H162 * (1 + Assumptions!$C$7) ^ INT(((YEAR(BE$2)-YEAR($F162))*12 + MONTH(BE$2)-MONTH($F162)) / 12),
  0)</f>
        <v/>
      </c>
      <c r="BF162" s="299">
        <f>IF(AND($F162&lt;=BF$2, OR($G162="",$G162&gt;=BF$2)),
  $H162 * (1 + Assumptions!$C$7) ^ INT(((YEAR(BF$2)-YEAR($F162))*12 + MONTH(BF$2)-MONTH($F162)) / 12),
  0)</f>
        <v/>
      </c>
      <c r="BG162" s="299">
        <f>IF(AND($F162&lt;=BG$2, OR($G162="",$G162&gt;=BG$2)),
  $H162 * (1 + Assumptions!$C$7) ^ INT(((YEAR(BG$2)-YEAR($F162))*12 + MONTH(BG$2)-MONTH($F162)) / 12),
  0)</f>
        <v/>
      </c>
      <c r="BH162" s="299">
        <f>IF(AND($F162&lt;=BH$2, OR($G162="",$G162&gt;=BH$2)),
  $H162 * (1 + Assumptions!$C$7) ^ INT(((YEAR(BH$2)-YEAR($F162))*12 + MONTH(BH$2)-MONTH($F162)) / 12),
  0)</f>
        <v/>
      </c>
      <c r="BI162" s="299">
        <f>IF(AND($F162&lt;=BI$2, OR($G162="",$G162&gt;=BI$2)),
  $H162 * (1 + Assumptions!$C$7) ^ INT(((YEAR(BI$2)-YEAR($F162))*12 + MONTH(BI$2)-MONTH($F162)) / 12),
  0)</f>
        <v/>
      </c>
      <c r="BJ162" s="299">
        <f>IF(AND($F162&lt;=BJ$2, OR($G162="",$G162&gt;=BJ$2)),
  $H162 * (1 + Assumptions!$C$7) ^ INT(((YEAR(BJ$2)-YEAR($F162))*12 + MONTH(BJ$2)-MONTH($F162)) / 12),
  0)</f>
        <v/>
      </c>
      <c r="BK162" s="299">
        <f>IF(AND($F162&lt;=BK$2, OR($G162="",$G162&gt;=BK$2)),
  $H162 * (1 + Assumptions!$C$7) ^ INT(((YEAR(BK$2)-YEAR($F162))*12 + MONTH(BK$2)-MONTH($F162)) / 12),
  0)</f>
        <v/>
      </c>
      <c r="BL162" s="299">
        <f>IF(AND($F162&lt;=BL$2, OR($G162="",$G162&gt;=BL$2)),
  $H162 * (1 + Assumptions!$C$7) ^ INT(((YEAR(BL$2)-YEAR($F162))*12 + MONTH(BL$2)-MONTH($F162)) / 12),
  0)</f>
        <v/>
      </c>
      <c r="BM162" s="299">
        <f>IF(AND($F162&lt;=BM$2, OR($G162="",$G162&gt;=BM$2)),
  $H162 * (1 + Assumptions!$C$7) ^ INT(((YEAR(BM$2)-YEAR($F162))*12 + MONTH(BM$2)-MONTH($F162)) / 12),
  0)</f>
        <v/>
      </c>
      <c r="BN162" s="299">
        <f>IF(AND($F162&lt;=BN$2, OR($G162="",$G162&gt;=BN$2)),
  $H162 * (1 + Assumptions!$C$7) ^ INT(((YEAR(BN$2)-YEAR($F162))*12 + MONTH(BN$2)-MONTH($F162)) / 12),
  0)</f>
        <v/>
      </c>
      <c r="BO162" s="299">
        <f>IF(AND($F162&lt;=BO$2, OR($G162="",$G162&gt;=BO$2)),
  $H162 * (1 + Assumptions!$C$7) ^ INT(((YEAR(BO$2)-YEAR($F162))*12 + MONTH(BO$2)-MONTH($F162)) / 12),
  0)</f>
        <v/>
      </c>
      <c r="BP162" s="299">
        <f>IF(AND($F162&lt;=BP$2, OR($G162="",$G162&gt;=BP$2)),
  $H162 * (1 + Assumptions!$C$7) ^ INT(((YEAR(BP$2)-YEAR($F162))*12 + MONTH(BP$2)-MONTH($F162)) / 12),
  0)</f>
        <v/>
      </c>
      <c r="BQ162" s="31" t="n"/>
      <c r="BR162" s="31" t="n"/>
      <c r="BS162" s="31" t="n"/>
      <c r="BT162" s="31" t="n"/>
    </row>
    <row r="163" ht="15.75" customHeight="1" s="349">
      <c r="A163" s="321" t="n">
        <v>158</v>
      </c>
      <c r="B163" s="285" t="inlineStr">
        <is>
          <t>New hire</t>
        </is>
      </c>
      <c r="C163" s="317" t="inlineStr">
        <is>
          <t>G&amp;A</t>
        </is>
      </c>
      <c r="D163" s="317" t="inlineStr">
        <is>
          <t>Production Operator</t>
        </is>
      </c>
      <c r="E163" s="297" t="inlineStr">
        <is>
          <t>Planned</t>
        </is>
      </c>
      <c r="F163" s="318">
        <f>IF(Assumptions!$D$82=2,DATE(2029,7,1),DATE(2035,1,1))</f>
        <v/>
      </c>
      <c r="G163" s="318" t="n"/>
      <c r="H163" s="288" t="n">
        <v>5000</v>
      </c>
      <c r="I163" s="299">
        <f>IF(AND($F163&lt;=I$2, OR($G163="",$G163&gt;=I$2)),
  $H163 * (1 + Assumptions!$C$7) ^ INT(((YEAR(I$2)-YEAR($F163))*12 + MONTH(I$2)-MONTH($F163)) / 12),
  0)</f>
        <v/>
      </c>
      <c r="J163" s="299">
        <f>IF(AND($F163&lt;=J$2, OR($G163="",$G163&gt;=J$2)),
  $H163 * (1 + Assumptions!$C$7) ^ INT(((YEAR(J$2)-YEAR($F163))*12 + MONTH(J$2)-MONTH($F163)) / 12),
  0)</f>
        <v/>
      </c>
      <c r="K163" s="299">
        <f>IF(AND($F163&lt;=K$2, OR($G163="",$G163&gt;=K$2)),
  $H163 * (1 + Assumptions!$C$7) ^ INT(((YEAR(K$2)-YEAR($F163))*12 + MONTH(K$2)-MONTH($F163)) / 12),
  0)</f>
        <v/>
      </c>
      <c r="L163" s="299">
        <f>IF(AND($F163&lt;=L$2, OR($G163="",$G163&gt;=L$2)),
  $H163 * (1 + Assumptions!$C$7) ^ INT(((YEAR(L$2)-YEAR($F163))*12 + MONTH(L$2)-MONTH($F163)) / 12),
  0)</f>
        <v/>
      </c>
      <c r="M163" s="299">
        <f>IF(AND($F163&lt;=M$2, OR($G163="",$G163&gt;=M$2)),
  $H163 * (1 + Assumptions!$C$7) ^ INT(((YEAR(M$2)-YEAR($F163))*12 + MONTH(M$2)-MONTH($F163)) / 12),
  0)</f>
        <v/>
      </c>
      <c r="N163" s="299">
        <f>IF(AND($F163&lt;=N$2, OR($G163="",$G163&gt;=N$2)),
  $H163 * (1 + Assumptions!$C$7) ^ INT(((YEAR(N$2)-YEAR($F163))*12 + MONTH(N$2)-MONTH($F163)) / 12),
  0)</f>
        <v/>
      </c>
      <c r="O163" s="299">
        <f>IF(AND($F163&lt;=O$2, OR($G163="",$G163&gt;=O$2)),
  $H163 * (1 + Assumptions!$C$7) ^ INT(((YEAR(O$2)-YEAR($F163))*12 + MONTH(O$2)-MONTH($F163)) / 12),
  0)</f>
        <v/>
      </c>
      <c r="P163" s="299">
        <f>IF(AND($F163&lt;=P$2, OR($G163="",$G163&gt;=P$2)),
  $H163 * (1 + Assumptions!$C$7) ^ INT(((YEAR(P$2)-YEAR($F163))*12 + MONTH(P$2)-MONTH($F163)) / 12),
  0)</f>
        <v/>
      </c>
      <c r="Q163" s="299">
        <f>IF(AND($F163&lt;=Q$2, OR($G163="",$G163&gt;=Q$2)),
  $H163 * (1 + Assumptions!$C$7) ^ INT(((YEAR(Q$2)-YEAR($F163))*12 + MONTH(Q$2)-MONTH($F163)) / 12),
  0)</f>
        <v/>
      </c>
      <c r="R163" s="299">
        <f>IF(AND($F163&lt;=R$2, OR($G163="",$G163&gt;=R$2)),
  $H163 * (1 + Assumptions!$C$7) ^ INT(((YEAR(R$2)-YEAR($F163))*12 + MONTH(R$2)-MONTH($F163)) / 12),
  0)</f>
        <v/>
      </c>
      <c r="S163" s="299">
        <f>IF(AND($F163&lt;=S$2, OR($G163="",$G163&gt;=S$2)),
  $H163 * (1 + Assumptions!$C$7) ^ INT(((YEAR(S$2)-YEAR($F163))*12 + MONTH(S$2)-MONTH($F163)) / 12),
  0)</f>
        <v/>
      </c>
      <c r="T163" s="299">
        <f>IF(AND($F163&lt;=T$2, OR($G163="",$G163&gt;=T$2)),
  $H163 * (1 + Assumptions!$C$7) ^ INT(((YEAR(T$2)-YEAR($F163))*12 + MONTH(T$2)-MONTH($F163)) / 12),
  0)</f>
        <v/>
      </c>
      <c r="U163" s="299">
        <f>IF(AND($F163&lt;=U$2, OR($G163="",$G163&gt;=U$2)),
  $H163 * (1 + Assumptions!$C$7) ^ INT(((YEAR(U$2)-YEAR($F163))*12 + MONTH(U$2)-MONTH($F163)) / 12),
  0)</f>
        <v/>
      </c>
      <c r="V163" s="299">
        <f>IF(AND($F163&lt;=V$2, OR($G163="",$G163&gt;=V$2)),
  $H163 * (1 + Assumptions!$C$7) ^ INT(((YEAR(V$2)-YEAR($F163))*12 + MONTH(V$2)-MONTH($F163)) / 12),
  0)</f>
        <v/>
      </c>
      <c r="W163" s="299">
        <f>IF(AND($F163&lt;=W$2, OR($G163="",$G163&gt;=W$2)),
  $H163 * (1 + Assumptions!$C$7) ^ INT(((YEAR(W$2)-YEAR($F163))*12 + MONTH(W$2)-MONTH($F163)) / 12),
  0)</f>
        <v/>
      </c>
      <c r="X163" s="299">
        <f>IF(AND($F163&lt;=X$2, OR($G163="",$G163&gt;=X$2)),
  $H163 * (1 + Assumptions!$C$7) ^ INT(((YEAR(X$2)-YEAR($F163))*12 + MONTH(X$2)-MONTH($F163)) / 12),
  0)</f>
        <v/>
      </c>
      <c r="Y163" s="299">
        <f>IF(AND($F163&lt;=Y$2, OR($G163="",$G163&gt;=Y$2)),
  $H163 * (1 + Assumptions!$C$7) ^ INT(((YEAR(Y$2)-YEAR($F163))*12 + MONTH(Y$2)-MONTH($F163)) / 12),
  0)</f>
        <v/>
      </c>
      <c r="Z163" s="299">
        <f>IF(AND($F163&lt;=Z$2, OR($G163="",$G163&gt;=Z$2)),
  $H163 * (1 + Assumptions!$C$7) ^ INT(((YEAR(Z$2)-YEAR($F163))*12 + MONTH(Z$2)-MONTH($F163)) / 12),
  0)</f>
        <v/>
      </c>
      <c r="AA163" s="299">
        <f>IF(AND($F163&lt;=AA$2, OR($G163="",$G163&gt;=AA$2)),
  $H163 * (1 + Assumptions!$C$7) ^ INT(((YEAR(AA$2)-YEAR($F163))*12 + MONTH(AA$2)-MONTH($F163)) / 12),
  0)</f>
        <v/>
      </c>
      <c r="AB163" s="299">
        <f>IF(AND($F163&lt;=AB$2, OR($G163="",$G163&gt;=AB$2)),
  $H163 * (1 + Assumptions!$C$7) ^ INT(((YEAR(AB$2)-YEAR($F163))*12 + MONTH(AB$2)-MONTH($F163)) / 12),
  0)</f>
        <v/>
      </c>
      <c r="AC163" s="299">
        <f>IF(AND($F163&lt;=AC$2, OR($G163="",$G163&gt;=AC$2)),
  $H163 * (1 + Assumptions!$C$7) ^ INT(((YEAR(AC$2)-YEAR($F163))*12 + MONTH(AC$2)-MONTH($F163)) / 12),
  0)</f>
        <v/>
      </c>
      <c r="AD163" s="299">
        <f>IF(AND($F163&lt;=AD$2, OR($G163="",$G163&gt;=AD$2)),
  $H163 * (1 + Assumptions!$C$7) ^ INT(((YEAR(AD$2)-YEAR($F163))*12 + MONTH(AD$2)-MONTH($F163)) / 12),
  0)</f>
        <v/>
      </c>
      <c r="AE163" s="299">
        <f>IF(AND($F163&lt;=AE$2, OR($G163="",$G163&gt;=AE$2)),
  $H163 * (1 + Assumptions!$C$7) ^ INT(((YEAR(AE$2)-YEAR($F163))*12 + MONTH(AE$2)-MONTH($F163)) / 12),
  0)</f>
        <v/>
      </c>
      <c r="AF163" s="299">
        <f>IF(AND($F163&lt;=AF$2, OR($G163="",$G163&gt;=AF$2)),
  $H163 * (1 + Assumptions!$C$7) ^ INT(((YEAR(AF$2)-YEAR($F163))*12 + MONTH(AF$2)-MONTH($F163)) / 12),
  0)</f>
        <v/>
      </c>
      <c r="AG163" s="299">
        <f>IF(AND($F163&lt;=AG$2, OR($G163="",$G163&gt;=AG$2)),
  $H163 * (1 + Assumptions!$C$7) ^ INT(((YEAR(AG$2)-YEAR($F163))*12 + MONTH(AG$2)-MONTH($F163)) / 12),
  0)</f>
        <v/>
      </c>
      <c r="AH163" s="299">
        <f>IF(AND($F163&lt;=AH$2, OR($G163="",$G163&gt;=AH$2)),
  $H163 * (1 + Assumptions!$C$7) ^ INT(((YEAR(AH$2)-YEAR($F163))*12 + MONTH(AH$2)-MONTH($F163)) / 12),
  0)</f>
        <v/>
      </c>
      <c r="AI163" s="299">
        <f>IF(AND($F163&lt;=AI$2, OR($G163="",$G163&gt;=AI$2)),
  $H163 * (1 + Assumptions!$C$7) ^ INT(((YEAR(AI$2)-YEAR($F163))*12 + MONTH(AI$2)-MONTH($F163)) / 12),
  0)</f>
        <v/>
      </c>
      <c r="AJ163" s="299">
        <f>IF(AND($F163&lt;=AJ$2, OR($G163="",$G163&gt;=AJ$2)),
  $H163 * (1 + Assumptions!$C$7) ^ INT(((YEAR(AJ$2)-YEAR($F163))*12 + MONTH(AJ$2)-MONTH($F163)) / 12),
  0)</f>
        <v/>
      </c>
      <c r="AK163" s="299">
        <f>IF(AND($F163&lt;=AK$2, OR($G163="",$G163&gt;=AK$2)),
  $H163 * (1 + Assumptions!$C$7) ^ INT(((YEAR(AK$2)-YEAR($F163))*12 + MONTH(AK$2)-MONTH($F163)) / 12),
  0)</f>
        <v/>
      </c>
      <c r="AL163" s="299">
        <f>IF(AND($F163&lt;=AL$2, OR($G163="",$G163&gt;=AL$2)),
  $H163 * (1 + Assumptions!$C$7) ^ INT(((YEAR(AL$2)-YEAR($F163))*12 + MONTH(AL$2)-MONTH($F163)) / 12),
  0)</f>
        <v/>
      </c>
      <c r="AM163" s="299">
        <f>IF(AND($F163&lt;=AM$2, OR($G163="",$G163&gt;=AM$2)),
  $H163 * (1 + Assumptions!$C$7) ^ INT(((YEAR(AM$2)-YEAR($F163))*12 + MONTH(AM$2)-MONTH($F163)) / 12),
  0)</f>
        <v/>
      </c>
      <c r="AN163" s="299">
        <f>IF(AND($F163&lt;=AN$2, OR($G163="",$G163&gt;=AN$2)),
  $H163 * (1 + Assumptions!$C$7) ^ INT(((YEAR(AN$2)-YEAR($F163))*12 + MONTH(AN$2)-MONTH($F163)) / 12),
  0)</f>
        <v/>
      </c>
      <c r="AO163" s="299">
        <f>IF(AND($F163&lt;=AO$2, OR($G163="",$G163&gt;=AO$2)),
  $H163 * (1 + Assumptions!$C$7) ^ INT(((YEAR(AO$2)-YEAR($F163))*12 + MONTH(AO$2)-MONTH($F163)) / 12),
  0)</f>
        <v/>
      </c>
      <c r="AP163" s="299">
        <f>IF(AND($F163&lt;=AP$2, OR($G163="",$G163&gt;=AP$2)),
  $H163 * (1 + Assumptions!$C$7) ^ INT(((YEAR(AP$2)-YEAR($F163))*12 + MONTH(AP$2)-MONTH($F163)) / 12),
  0)</f>
        <v/>
      </c>
      <c r="AQ163" s="299">
        <f>IF(AND($F163&lt;=AQ$2, OR($G163="",$G163&gt;=AQ$2)),
  $H163 * (1 + Assumptions!$C$7) ^ INT(((YEAR(AQ$2)-YEAR($F163))*12 + MONTH(AQ$2)-MONTH($F163)) / 12),
  0)</f>
        <v/>
      </c>
      <c r="AR163" s="299">
        <f>IF(AND($F163&lt;=AR$2, OR($G163="",$G163&gt;=AR$2)),
  $H163 * (1 + Assumptions!$C$7) ^ INT(((YEAR(AR$2)-YEAR($F163))*12 + MONTH(AR$2)-MONTH($F163)) / 12),
  0)</f>
        <v/>
      </c>
      <c r="AS163" s="299">
        <f>IF(AND($F163&lt;=AS$2, OR($G163="",$G163&gt;=AS$2)),
  $H163 * (1 + Assumptions!$C$7) ^ INT(((YEAR(AS$2)-YEAR($F163))*12 + MONTH(AS$2)-MONTH($F163)) / 12),
  0)</f>
        <v/>
      </c>
      <c r="AT163" s="299">
        <f>IF(AND($F163&lt;=AT$2, OR($G163="",$G163&gt;=AT$2)),
  $H163 * (1 + Assumptions!$C$7) ^ INT(((YEAR(AT$2)-YEAR($F163))*12 + MONTH(AT$2)-MONTH($F163)) / 12),
  0)</f>
        <v/>
      </c>
      <c r="AU163" s="299">
        <f>IF(AND($F163&lt;=AU$2, OR($G163="",$G163&gt;=AU$2)),
  $H163 * (1 + Assumptions!$C$7) ^ INT(((YEAR(AU$2)-YEAR($F163))*12 + MONTH(AU$2)-MONTH($F163)) / 12),
  0)</f>
        <v/>
      </c>
      <c r="AV163" s="299">
        <f>IF(AND($F163&lt;=AV$2, OR($G163="",$G163&gt;=AV$2)),
  $H163 * (1 + Assumptions!$C$7) ^ INT(((YEAR(AV$2)-YEAR($F163))*12 + MONTH(AV$2)-MONTH($F163)) / 12),
  0)</f>
        <v/>
      </c>
      <c r="AW163" s="299">
        <f>IF(AND($F163&lt;=AW$2, OR($G163="",$G163&gt;=AW$2)),
  $H163 * (1 + Assumptions!$C$7) ^ INT(((YEAR(AW$2)-YEAR($F163))*12 + MONTH(AW$2)-MONTH($F163)) / 12),
  0)</f>
        <v/>
      </c>
      <c r="AX163" s="299">
        <f>IF(AND($F163&lt;=AX$2, OR($G163="",$G163&gt;=AX$2)),
  $H163 * (1 + Assumptions!$C$7) ^ INT(((YEAR(AX$2)-YEAR($F163))*12 + MONTH(AX$2)-MONTH($F163)) / 12),
  0)</f>
        <v/>
      </c>
      <c r="AY163" s="299">
        <f>IF(AND($F163&lt;=AY$2, OR($G163="",$G163&gt;=AY$2)),
  $H163 * (1 + Assumptions!$C$7) ^ INT(((YEAR(AY$2)-YEAR($F163))*12 + MONTH(AY$2)-MONTH($F163)) / 12),
  0)</f>
        <v/>
      </c>
      <c r="AZ163" s="299">
        <f>IF(AND($F163&lt;=AZ$2, OR($G163="",$G163&gt;=AZ$2)),
  $H163 * (1 + Assumptions!$C$7) ^ INT(((YEAR(AZ$2)-YEAR($F163))*12 + MONTH(AZ$2)-MONTH($F163)) / 12),
  0)</f>
        <v/>
      </c>
      <c r="BA163" s="299">
        <f>IF(AND($F163&lt;=BA$2, OR($G163="",$G163&gt;=BA$2)),
  $H163 * (1 + Assumptions!$C$7) ^ INT(((YEAR(BA$2)-YEAR($F163))*12 + MONTH(BA$2)-MONTH($F163)) / 12),
  0)</f>
        <v/>
      </c>
      <c r="BB163" s="299">
        <f>IF(AND($F163&lt;=BB$2, OR($G163="",$G163&gt;=BB$2)),
  $H163 * (1 + Assumptions!$C$7) ^ INT(((YEAR(BB$2)-YEAR($F163))*12 + MONTH(BB$2)-MONTH($F163)) / 12),
  0)</f>
        <v/>
      </c>
      <c r="BC163" s="299">
        <f>IF(AND($F163&lt;=BC$2, OR($G163="",$G163&gt;=BC$2)),
  $H163 * (1 + Assumptions!$C$7) ^ INT(((YEAR(BC$2)-YEAR($F163))*12 + MONTH(BC$2)-MONTH($F163)) / 12),
  0)</f>
        <v/>
      </c>
      <c r="BD163" s="299">
        <f>IF(AND($F163&lt;=BD$2, OR($G163="",$G163&gt;=BD$2)),
  $H163 * (1 + Assumptions!$C$7) ^ INT(((YEAR(BD$2)-YEAR($F163))*12 + MONTH(BD$2)-MONTH($F163)) / 12),
  0)</f>
        <v/>
      </c>
      <c r="BE163" s="299">
        <f>IF(AND($F163&lt;=BE$2, OR($G163="",$G163&gt;=BE$2)),
  $H163 * (1 + Assumptions!$C$7) ^ INT(((YEAR(BE$2)-YEAR($F163))*12 + MONTH(BE$2)-MONTH($F163)) / 12),
  0)</f>
        <v/>
      </c>
      <c r="BF163" s="299">
        <f>IF(AND($F163&lt;=BF$2, OR($G163="",$G163&gt;=BF$2)),
  $H163 * (1 + Assumptions!$C$7) ^ INT(((YEAR(BF$2)-YEAR($F163))*12 + MONTH(BF$2)-MONTH($F163)) / 12),
  0)</f>
        <v/>
      </c>
      <c r="BG163" s="299">
        <f>IF(AND($F163&lt;=BG$2, OR($G163="",$G163&gt;=BG$2)),
  $H163 * (1 + Assumptions!$C$7) ^ INT(((YEAR(BG$2)-YEAR($F163))*12 + MONTH(BG$2)-MONTH($F163)) / 12),
  0)</f>
        <v/>
      </c>
      <c r="BH163" s="299">
        <f>IF(AND($F163&lt;=BH$2, OR($G163="",$G163&gt;=BH$2)),
  $H163 * (1 + Assumptions!$C$7) ^ INT(((YEAR(BH$2)-YEAR($F163))*12 + MONTH(BH$2)-MONTH($F163)) / 12),
  0)</f>
        <v/>
      </c>
      <c r="BI163" s="299">
        <f>IF(AND($F163&lt;=BI$2, OR($G163="",$G163&gt;=BI$2)),
  $H163 * (1 + Assumptions!$C$7) ^ INT(((YEAR(BI$2)-YEAR($F163))*12 + MONTH(BI$2)-MONTH($F163)) / 12),
  0)</f>
        <v/>
      </c>
      <c r="BJ163" s="299">
        <f>IF(AND($F163&lt;=BJ$2, OR($G163="",$G163&gt;=BJ$2)),
  $H163 * (1 + Assumptions!$C$7) ^ INT(((YEAR(BJ$2)-YEAR($F163))*12 + MONTH(BJ$2)-MONTH($F163)) / 12),
  0)</f>
        <v/>
      </c>
      <c r="BK163" s="299">
        <f>IF(AND($F163&lt;=BK$2, OR($G163="",$G163&gt;=BK$2)),
  $H163 * (1 + Assumptions!$C$7) ^ INT(((YEAR(BK$2)-YEAR($F163))*12 + MONTH(BK$2)-MONTH($F163)) / 12),
  0)</f>
        <v/>
      </c>
      <c r="BL163" s="299">
        <f>IF(AND($F163&lt;=BL$2, OR($G163="",$G163&gt;=BL$2)),
  $H163 * (1 + Assumptions!$C$7) ^ INT(((YEAR(BL$2)-YEAR($F163))*12 + MONTH(BL$2)-MONTH($F163)) / 12),
  0)</f>
        <v/>
      </c>
      <c r="BM163" s="299">
        <f>IF(AND($F163&lt;=BM$2, OR($G163="",$G163&gt;=BM$2)),
  $H163 * (1 + Assumptions!$C$7) ^ INT(((YEAR(BM$2)-YEAR($F163))*12 + MONTH(BM$2)-MONTH($F163)) / 12),
  0)</f>
        <v/>
      </c>
      <c r="BN163" s="299">
        <f>IF(AND($F163&lt;=BN$2, OR($G163="",$G163&gt;=BN$2)),
  $H163 * (1 + Assumptions!$C$7) ^ INT(((YEAR(BN$2)-YEAR($F163))*12 + MONTH(BN$2)-MONTH($F163)) / 12),
  0)</f>
        <v/>
      </c>
      <c r="BO163" s="299">
        <f>IF(AND($F163&lt;=BO$2, OR($G163="",$G163&gt;=BO$2)),
  $H163 * (1 + Assumptions!$C$7) ^ INT(((YEAR(BO$2)-YEAR($F163))*12 + MONTH(BO$2)-MONTH($F163)) / 12),
  0)</f>
        <v/>
      </c>
      <c r="BP163" s="299">
        <f>IF(AND($F163&lt;=BP$2, OR($G163="",$G163&gt;=BP$2)),
  $H163 * (1 + Assumptions!$C$7) ^ INT(((YEAR(BP$2)-YEAR($F163))*12 + MONTH(BP$2)-MONTH($F163)) / 12),
  0)</f>
        <v/>
      </c>
      <c r="BQ163" s="31" t="n"/>
      <c r="BR163" s="31" t="n"/>
      <c r="BS163" s="31" t="n"/>
      <c r="BT163" s="31" t="n"/>
    </row>
    <row r="164" ht="15.75" customHeight="1" s="349">
      <c r="A164" s="321" t="n">
        <v>159</v>
      </c>
      <c r="B164" s="285" t="inlineStr">
        <is>
          <t>New hire</t>
        </is>
      </c>
      <c r="C164" s="317" t="inlineStr">
        <is>
          <t>G&amp;A</t>
        </is>
      </c>
      <c r="D164" s="317" t="inlineStr">
        <is>
          <t>Production Operator</t>
        </is>
      </c>
      <c r="E164" s="297" t="inlineStr">
        <is>
          <t>Planned</t>
        </is>
      </c>
      <c r="F164" s="318">
        <f>IF(Assumptions!$D$82=2,DATE(2029,7,1),DATE(2035,1,1))</f>
        <v/>
      </c>
      <c r="G164" s="318" t="n"/>
      <c r="H164" s="288" t="n">
        <v>5000</v>
      </c>
      <c r="I164" s="299">
        <f>IF(AND($F164&lt;=I$2, OR($G164="",$G164&gt;=I$2)),
  $H164 * (1 + Assumptions!$C$7) ^ INT(((YEAR(I$2)-YEAR($F164))*12 + MONTH(I$2)-MONTH($F164)) / 12),
  0)</f>
        <v/>
      </c>
      <c r="J164" s="299">
        <f>IF(AND($F164&lt;=J$2, OR($G164="",$G164&gt;=J$2)),
  $H164 * (1 + Assumptions!$C$7) ^ INT(((YEAR(J$2)-YEAR($F164))*12 + MONTH(J$2)-MONTH($F164)) / 12),
  0)</f>
        <v/>
      </c>
      <c r="K164" s="299">
        <f>IF(AND($F164&lt;=K$2, OR($G164="",$G164&gt;=K$2)),
  $H164 * (1 + Assumptions!$C$7) ^ INT(((YEAR(K$2)-YEAR($F164))*12 + MONTH(K$2)-MONTH($F164)) / 12),
  0)</f>
        <v/>
      </c>
      <c r="L164" s="299">
        <f>IF(AND($F164&lt;=L$2, OR($G164="",$G164&gt;=L$2)),
  $H164 * (1 + Assumptions!$C$7) ^ INT(((YEAR(L$2)-YEAR($F164))*12 + MONTH(L$2)-MONTH($F164)) / 12),
  0)</f>
        <v/>
      </c>
      <c r="M164" s="299">
        <f>IF(AND($F164&lt;=M$2, OR($G164="",$G164&gt;=M$2)),
  $H164 * (1 + Assumptions!$C$7) ^ INT(((YEAR(M$2)-YEAR($F164))*12 + MONTH(M$2)-MONTH($F164)) / 12),
  0)</f>
        <v/>
      </c>
      <c r="N164" s="299">
        <f>IF(AND($F164&lt;=N$2, OR($G164="",$G164&gt;=N$2)),
  $H164 * (1 + Assumptions!$C$7) ^ INT(((YEAR(N$2)-YEAR($F164))*12 + MONTH(N$2)-MONTH($F164)) / 12),
  0)</f>
        <v/>
      </c>
      <c r="O164" s="299">
        <f>IF(AND($F164&lt;=O$2, OR($G164="",$G164&gt;=O$2)),
  $H164 * (1 + Assumptions!$C$7) ^ INT(((YEAR(O$2)-YEAR($F164))*12 + MONTH(O$2)-MONTH($F164)) / 12),
  0)</f>
        <v/>
      </c>
      <c r="P164" s="299">
        <f>IF(AND($F164&lt;=P$2, OR($G164="",$G164&gt;=P$2)),
  $H164 * (1 + Assumptions!$C$7) ^ INT(((YEAR(P$2)-YEAR($F164))*12 + MONTH(P$2)-MONTH($F164)) / 12),
  0)</f>
        <v/>
      </c>
      <c r="Q164" s="299">
        <f>IF(AND($F164&lt;=Q$2, OR($G164="",$G164&gt;=Q$2)),
  $H164 * (1 + Assumptions!$C$7) ^ INT(((YEAR(Q$2)-YEAR($F164))*12 + MONTH(Q$2)-MONTH($F164)) / 12),
  0)</f>
        <v/>
      </c>
      <c r="R164" s="299">
        <f>IF(AND($F164&lt;=R$2, OR($G164="",$G164&gt;=R$2)),
  $H164 * (1 + Assumptions!$C$7) ^ INT(((YEAR(R$2)-YEAR($F164))*12 + MONTH(R$2)-MONTH($F164)) / 12),
  0)</f>
        <v/>
      </c>
      <c r="S164" s="299">
        <f>IF(AND($F164&lt;=S$2, OR($G164="",$G164&gt;=S$2)),
  $H164 * (1 + Assumptions!$C$7) ^ INT(((YEAR(S$2)-YEAR($F164))*12 + MONTH(S$2)-MONTH($F164)) / 12),
  0)</f>
        <v/>
      </c>
      <c r="T164" s="299">
        <f>IF(AND($F164&lt;=T$2, OR($G164="",$G164&gt;=T$2)),
  $H164 * (1 + Assumptions!$C$7) ^ INT(((YEAR(T$2)-YEAR($F164))*12 + MONTH(T$2)-MONTH($F164)) / 12),
  0)</f>
        <v/>
      </c>
      <c r="U164" s="299">
        <f>IF(AND($F164&lt;=U$2, OR($G164="",$G164&gt;=U$2)),
  $H164 * (1 + Assumptions!$C$7) ^ INT(((YEAR(U$2)-YEAR($F164))*12 + MONTH(U$2)-MONTH($F164)) / 12),
  0)</f>
        <v/>
      </c>
      <c r="V164" s="299">
        <f>IF(AND($F164&lt;=V$2, OR($G164="",$G164&gt;=V$2)),
  $H164 * (1 + Assumptions!$C$7) ^ INT(((YEAR(V$2)-YEAR($F164))*12 + MONTH(V$2)-MONTH($F164)) / 12),
  0)</f>
        <v/>
      </c>
      <c r="W164" s="299">
        <f>IF(AND($F164&lt;=W$2, OR($G164="",$G164&gt;=W$2)),
  $H164 * (1 + Assumptions!$C$7) ^ INT(((YEAR(W$2)-YEAR($F164))*12 + MONTH(W$2)-MONTH($F164)) / 12),
  0)</f>
        <v/>
      </c>
      <c r="X164" s="299">
        <f>IF(AND($F164&lt;=X$2, OR($G164="",$G164&gt;=X$2)),
  $H164 * (1 + Assumptions!$C$7) ^ INT(((YEAR(X$2)-YEAR($F164))*12 + MONTH(X$2)-MONTH($F164)) / 12),
  0)</f>
        <v/>
      </c>
      <c r="Y164" s="299">
        <f>IF(AND($F164&lt;=Y$2, OR($G164="",$G164&gt;=Y$2)),
  $H164 * (1 + Assumptions!$C$7) ^ INT(((YEAR(Y$2)-YEAR($F164))*12 + MONTH(Y$2)-MONTH($F164)) / 12),
  0)</f>
        <v/>
      </c>
      <c r="Z164" s="299">
        <f>IF(AND($F164&lt;=Z$2, OR($G164="",$G164&gt;=Z$2)),
  $H164 * (1 + Assumptions!$C$7) ^ INT(((YEAR(Z$2)-YEAR($F164))*12 + MONTH(Z$2)-MONTH($F164)) / 12),
  0)</f>
        <v/>
      </c>
      <c r="AA164" s="299">
        <f>IF(AND($F164&lt;=AA$2, OR($G164="",$G164&gt;=AA$2)),
  $H164 * (1 + Assumptions!$C$7) ^ INT(((YEAR(AA$2)-YEAR($F164))*12 + MONTH(AA$2)-MONTH($F164)) / 12),
  0)</f>
        <v/>
      </c>
      <c r="AB164" s="299">
        <f>IF(AND($F164&lt;=AB$2, OR($G164="",$G164&gt;=AB$2)),
  $H164 * (1 + Assumptions!$C$7) ^ INT(((YEAR(AB$2)-YEAR($F164))*12 + MONTH(AB$2)-MONTH($F164)) / 12),
  0)</f>
        <v/>
      </c>
      <c r="AC164" s="299">
        <f>IF(AND($F164&lt;=AC$2, OR($G164="",$G164&gt;=AC$2)),
  $H164 * (1 + Assumptions!$C$7) ^ INT(((YEAR(AC$2)-YEAR($F164))*12 + MONTH(AC$2)-MONTH($F164)) / 12),
  0)</f>
        <v/>
      </c>
      <c r="AD164" s="299">
        <f>IF(AND($F164&lt;=AD$2, OR($G164="",$G164&gt;=AD$2)),
  $H164 * (1 + Assumptions!$C$7) ^ INT(((YEAR(AD$2)-YEAR($F164))*12 + MONTH(AD$2)-MONTH($F164)) / 12),
  0)</f>
        <v/>
      </c>
      <c r="AE164" s="299">
        <f>IF(AND($F164&lt;=AE$2, OR($G164="",$G164&gt;=AE$2)),
  $H164 * (1 + Assumptions!$C$7) ^ INT(((YEAR(AE$2)-YEAR($F164))*12 + MONTH(AE$2)-MONTH($F164)) / 12),
  0)</f>
        <v/>
      </c>
      <c r="AF164" s="299">
        <f>IF(AND($F164&lt;=AF$2, OR($G164="",$G164&gt;=AF$2)),
  $H164 * (1 + Assumptions!$C$7) ^ INT(((YEAR(AF$2)-YEAR($F164))*12 + MONTH(AF$2)-MONTH($F164)) / 12),
  0)</f>
        <v/>
      </c>
      <c r="AG164" s="299">
        <f>IF(AND($F164&lt;=AG$2, OR($G164="",$G164&gt;=AG$2)),
  $H164 * (1 + Assumptions!$C$7) ^ INT(((YEAR(AG$2)-YEAR($F164))*12 + MONTH(AG$2)-MONTH($F164)) / 12),
  0)</f>
        <v/>
      </c>
      <c r="AH164" s="299">
        <f>IF(AND($F164&lt;=AH$2, OR($G164="",$G164&gt;=AH$2)),
  $H164 * (1 + Assumptions!$C$7) ^ INT(((YEAR(AH$2)-YEAR($F164))*12 + MONTH(AH$2)-MONTH($F164)) / 12),
  0)</f>
        <v/>
      </c>
      <c r="AI164" s="299">
        <f>IF(AND($F164&lt;=AI$2, OR($G164="",$G164&gt;=AI$2)),
  $H164 * (1 + Assumptions!$C$7) ^ INT(((YEAR(AI$2)-YEAR($F164))*12 + MONTH(AI$2)-MONTH($F164)) / 12),
  0)</f>
        <v/>
      </c>
      <c r="AJ164" s="299">
        <f>IF(AND($F164&lt;=AJ$2, OR($G164="",$G164&gt;=AJ$2)),
  $H164 * (1 + Assumptions!$C$7) ^ INT(((YEAR(AJ$2)-YEAR($F164))*12 + MONTH(AJ$2)-MONTH($F164)) / 12),
  0)</f>
        <v/>
      </c>
      <c r="AK164" s="299">
        <f>IF(AND($F164&lt;=AK$2, OR($G164="",$G164&gt;=AK$2)),
  $H164 * (1 + Assumptions!$C$7) ^ INT(((YEAR(AK$2)-YEAR($F164))*12 + MONTH(AK$2)-MONTH($F164)) / 12),
  0)</f>
        <v/>
      </c>
      <c r="AL164" s="299">
        <f>IF(AND($F164&lt;=AL$2, OR($G164="",$G164&gt;=AL$2)),
  $H164 * (1 + Assumptions!$C$7) ^ INT(((YEAR(AL$2)-YEAR($F164))*12 + MONTH(AL$2)-MONTH($F164)) / 12),
  0)</f>
        <v/>
      </c>
      <c r="AM164" s="299">
        <f>IF(AND($F164&lt;=AM$2, OR($G164="",$G164&gt;=AM$2)),
  $H164 * (1 + Assumptions!$C$7) ^ INT(((YEAR(AM$2)-YEAR($F164))*12 + MONTH(AM$2)-MONTH($F164)) / 12),
  0)</f>
        <v/>
      </c>
      <c r="AN164" s="299">
        <f>IF(AND($F164&lt;=AN$2, OR($G164="",$G164&gt;=AN$2)),
  $H164 * (1 + Assumptions!$C$7) ^ INT(((YEAR(AN$2)-YEAR($F164))*12 + MONTH(AN$2)-MONTH($F164)) / 12),
  0)</f>
        <v/>
      </c>
      <c r="AO164" s="299">
        <f>IF(AND($F164&lt;=AO$2, OR($G164="",$G164&gt;=AO$2)),
  $H164 * (1 + Assumptions!$C$7) ^ INT(((YEAR(AO$2)-YEAR($F164))*12 + MONTH(AO$2)-MONTH($F164)) / 12),
  0)</f>
        <v/>
      </c>
      <c r="AP164" s="299">
        <f>IF(AND($F164&lt;=AP$2, OR($G164="",$G164&gt;=AP$2)),
  $H164 * (1 + Assumptions!$C$7) ^ INT(((YEAR(AP$2)-YEAR($F164))*12 + MONTH(AP$2)-MONTH($F164)) / 12),
  0)</f>
        <v/>
      </c>
      <c r="AQ164" s="299">
        <f>IF(AND($F164&lt;=AQ$2, OR($G164="",$G164&gt;=AQ$2)),
  $H164 * (1 + Assumptions!$C$7) ^ INT(((YEAR(AQ$2)-YEAR($F164))*12 + MONTH(AQ$2)-MONTH($F164)) / 12),
  0)</f>
        <v/>
      </c>
      <c r="AR164" s="299">
        <f>IF(AND($F164&lt;=AR$2, OR($G164="",$G164&gt;=AR$2)),
  $H164 * (1 + Assumptions!$C$7) ^ INT(((YEAR(AR$2)-YEAR($F164))*12 + MONTH(AR$2)-MONTH($F164)) / 12),
  0)</f>
        <v/>
      </c>
      <c r="AS164" s="299">
        <f>IF(AND($F164&lt;=AS$2, OR($G164="",$G164&gt;=AS$2)),
  $H164 * (1 + Assumptions!$C$7) ^ INT(((YEAR(AS$2)-YEAR($F164))*12 + MONTH(AS$2)-MONTH($F164)) / 12),
  0)</f>
        <v/>
      </c>
      <c r="AT164" s="299">
        <f>IF(AND($F164&lt;=AT$2, OR($G164="",$G164&gt;=AT$2)),
  $H164 * (1 + Assumptions!$C$7) ^ INT(((YEAR(AT$2)-YEAR($F164))*12 + MONTH(AT$2)-MONTH($F164)) / 12),
  0)</f>
        <v/>
      </c>
      <c r="AU164" s="299">
        <f>IF(AND($F164&lt;=AU$2, OR($G164="",$G164&gt;=AU$2)),
  $H164 * (1 + Assumptions!$C$7) ^ INT(((YEAR(AU$2)-YEAR($F164))*12 + MONTH(AU$2)-MONTH($F164)) / 12),
  0)</f>
        <v/>
      </c>
      <c r="AV164" s="299">
        <f>IF(AND($F164&lt;=AV$2, OR($G164="",$G164&gt;=AV$2)),
  $H164 * (1 + Assumptions!$C$7) ^ INT(((YEAR(AV$2)-YEAR($F164))*12 + MONTH(AV$2)-MONTH($F164)) / 12),
  0)</f>
        <v/>
      </c>
      <c r="AW164" s="299">
        <f>IF(AND($F164&lt;=AW$2, OR($G164="",$G164&gt;=AW$2)),
  $H164 * (1 + Assumptions!$C$7) ^ INT(((YEAR(AW$2)-YEAR($F164))*12 + MONTH(AW$2)-MONTH($F164)) / 12),
  0)</f>
        <v/>
      </c>
      <c r="AX164" s="299">
        <f>IF(AND($F164&lt;=AX$2, OR($G164="",$G164&gt;=AX$2)),
  $H164 * (1 + Assumptions!$C$7) ^ INT(((YEAR(AX$2)-YEAR($F164))*12 + MONTH(AX$2)-MONTH($F164)) / 12),
  0)</f>
        <v/>
      </c>
      <c r="AY164" s="299">
        <f>IF(AND($F164&lt;=AY$2, OR($G164="",$G164&gt;=AY$2)),
  $H164 * (1 + Assumptions!$C$7) ^ INT(((YEAR(AY$2)-YEAR($F164))*12 + MONTH(AY$2)-MONTH($F164)) / 12),
  0)</f>
        <v/>
      </c>
      <c r="AZ164" s="299">
        <f>IF(AND($F164&lt;=AZ$2, OR($G164="",$G164&gt;=AZ$2)),
  $H164 * (1 + Assumptions!$C$7) ^ INT(((YEAR(AZ$2)-YEAR($F164))*12 + MONTH(AZ$2)-MONTH($F164)) / 12),
  0)</f>
        <v/>
      </c>
      <c r="BA164" s="299">
        <f>IF(AND($F164&lt;=BA$2, OR($G164="",$G164&gt;=BA$2)),
  $H164 * (1 + Assumptions!$C$7) ^ INT(((YEAR(BA$2)-YEAR($F164))*12 + MONTH(BA$2)-MONTH($F164)) / 12),
  0)</f>
        <v/>
      </c>
      <c r="BB164" s="299">
        <f>IF(AND($F164&lt;=BB$2, OR($G164="",$G164&gt;=BB$2)),
  $H164 * (1 + Assumptions!$C$7) ^ INT(((YEAR(BB$2)-YEAR($F164))*12 + MONTH(BB$2)-MONTH($F164)) / 12),
  0)</f>
        <v/>
      </c>
      <c r="BC164" s="299">
        <f>IF(AND($F164&lt;=BC$2, OR($G164="",$G164&gt;=BC$2)),
  $H164 * (1 + Assumptions!$C$7) ^ INT(((YEAR(BC$2)-YEAR($F164))*12 + MONTH(BC$2)-MONTH($F164)) / 12),
  0)</f>
        <v/>
      </c>
      <c r="BD164" s="299">
        <f>IF(AND($F164&lt;=BD$2, OR($G164="",$G164&gt;=BD$2)),
  $H164 * (1 + Assumptions!$C$7) ^ INT(((YEAR(BD$2)-YEAR($F164))*12 + MONTH(BD$2)-MONTH($F164)) / 12),
  0)</f>
        <v/>
      </c>
      <c r="BE164" s="299">
        <f>IF(AND($F164&lt;=BE$2, OR($G164="",$G164&gt;=BE$2)),
  $H164 * (1 + Assumptions!$C$7) ^ INT(((YEAR(BE$2)-YEAR($F164))*12 + MONTH(BE$2)-MONTH($F164)) / 12),
  0)</f>
        <v/>
      </c>
      <c r="BF164" s="299">
        <f>IF(AND($F164&lt;=BF$2, OR($G164="",$G164&gt;=BF$2)),
  $H164 * (1 + Assumptions!$C$7) ^ INT(((YEAR(BF$2)-YEAR($F164))*12 + MONTH(BF$2)-MONTH($F164)) / 12),
  0)</f>
        <v/>
      </c>
      <c r="BG164" s="299">
        <f>IF(AND($F164&lt;=BG$2, OR($G164="",$G164&gt;=BG$2)),
  $H164 * (1 + Assumptions!$C$7) ^ INT(((YEAR(BG$2)-YEAR($F164))*12 + MONTH(BG$2)-MONTH($F164)) / 12),
  0)</f>
        <v/>
      </c>
      <c r="BH164" s="299">
        <f>IF(AND($F164&lt;=BH$2, OR($G164="",$G164&gt;=BH$2)),
  $H164 * (1 + Assumptions!$C$7) ^ INT(((YEAR(BH$2)-YEAR($F164))*12 + MONTH(BH$2)-MONTH($F164)) / 12),
  0)</f>
        <v/>
      </c>
      <c r="BI164" s="299">
        <f>IF(AND($F164&lt;=BI$2, OR($G164="",$G164&gt;=BI$2)),
  $H164 * (1 + Assumptions!$C$7) ^ INT(((YEAR(BI$2)-YEAR($F164))*12 + MONTH(BI$2)-MONTH($F164)) / 12),
  0)</f>
        <v/>
      </c>
      <c r="BJ164" s="299">
        <f>IF(AND($F164&lt;=BJ$2, OR($G164="",$G164&gt;=BJ$2)),
  $H164 * (1 + Assumptions!$C$7) ^ INT(((YEAR(BJ$2)-YEAR($F164))*12 + MONTH(BJ$2)-MONTH($F164)) / 12),
  0)</f>
        <v/>
      </c>
      <c r="BK164" s="299">
        <f>IF(AND($F164&lt;=BK$2, OR($G164="",$G164&gt;=BK$2)),
  $H164 * (1 + Assumptions!$C$7) ^ INT(((YEAR(BK$2)-YEAR($F164))*12 + MONTH(BK$2)-MONTH($F164)) / 12),
  0)</f>
        <v/>
      </c>
      <c r="BL164" s="299">
        <f>IF(AND($F164&lt;=BL$2, OR($G164="",$G164&gt;=BL$2)),
  $H164 * (1 + Assumptions!$C$7) ^ INT(((YEAR(BL$2)-YEAR($F164))*12 + MONTH(BL$2)-MONTH($F164)) / 12),
  0)</f>
        <v/>
      </c>
      <c r="BM164" s="299">
        <f>IF(AND($F164&lt;=BM$2, OR($G164="",$G164&gt;=BM$2)),
  $H164 * (1 + Assumptions!$C$7) ^ INT(((YEAR(BM$2)-YEAR($F164))*12 + MONTH(BM$2)-MONTH($F164)) / 12),
  0)</f>
        <v/>
      </c>
      <c r="BN164" s="299">
        <f>IF(AND($F164&lt;=BN$2, OR($G164="",$G164&gt;=BN$2)),
  $H164 * (1 + Assumptions!$C$7) ^ INT(((YEAR(BN$2)-YEAR($F164))*12 + MONTH(BN$2)-MONTH($F164)) / 12),
  0)</f>
        <v/>
      </c>
      <c r="BO164" s="299">
        <f>IF(AND($F164&lt;=BO$2, OR($G164="",$G164&gt;=BO$2)),
  $H164 * (1 + Assumptions!$C$7) ^ INT(((YEAR(BO$2)-YEAR($F164))*12 + MONTH(BO$2)-MONTH($F164)) / 12),
  0)</f>
        <v/>
      </c>
      <c r="BP164" s="299">
        <f>IF(AND($F164&lt;=BP$2, OR($G164="",$G164&gt;=BP$2)),
  $H164 * (1 + Assumptions!$C$7) ^ INT(((YEAR(BP$2)-YEAR($F164))*12 + MONTH(BP$2)-MONTH($F164)) / 12),
  0)</f>
        <v/>
      </c>
      <c r="BQ164" s="31" t="n"/>
      <c r="BR164" s="31" t="n"/>
      <c r="BS164" s="31" t="n"/>
      <c r="BT164" s="31" t="n"/>
    </row>
    <row r="165" ht="15.75" customHeight="1" s="349">
      <c r="A165" s="321" t="n">
        <v>160</v>
      </c>
      <c r="B165" s="285" t="inlineStr">
        <is>
          <t>New hire</t>
        </is>
      </c>
      <c r="C165" s="317" t="inlineStr">
        <is>
          <t>G&amp;A</t>
        </is>
      </c>
      <c r="D165" s="317" t="inlineStr">
        <is>
          <t>Production Operator</t>
        </is>
      </c>
      <c r="E165" s="297" t="inlineStr">
        <is>
          <t>Planned</t>
        </is>
      </c>
      <c r="F165" s="318">
        <f>IF(Assumptions!$D$82=2,DATE(2029,7,1),DATE(2035,1,1))</f>
        <v/>
      </c>
      <c r="G165" s="318" t="n"/>
      <c r="H165" s="288" t="n">
        <v>5000</v>
      </c>
      <c r="I165" s="299">
        <f>IF(AND($F165&lt;=I$2, OR($G165="",$G165&gt;=I$2)),
  $H165 * (1 + Assumptions!$C$7) ^ INT(((YEAR(I$2)-YEAR($F165))*12 + MONTH(I$2)-MONTH($F165)) / 12),
  0)</f>
        <v/>
      </c>
      <c r="J165" s="299">
        <f>IF(AND($F165&lt;=J$2, OR($G165="",$G165&gt;=J$2)),
  $H165 * (1 + Assumptions!$C$7) ^ INT(((YEAR(J$2)-YEAR($F165))*12 + MONTH(J$2)-MONTH($F165)) / 12),
  0)</f>
        <v/>
      </c>
      <c r="K165" s="299">
        <f>IF(AND($F165&lt;=K$2, OR($G165="",$G165&gt;=K$2)),
  $H165 * (1 + Assumptions!$C$7) ^ INT(((YEAR(K$2)-YEAR($F165))*12 + MONTH(K$2)-MONTH($F165)) / 12),
  0)</f>
        <v/>
      </c>
      <c r="L165" s="299">
        <f>IF(AND($F165&lt;=L$2, OR($G165="",$G165&gt;=L$2)),
  $H165 * (1 + Assumptions!$C$7) ^ INT(((YEAR(L$2)-YEAR($F165))*12 + MONTH(L$2)-MONTH($F165)) / 12),
  0)</f>
        <v/>
      </c>
      <c r="M165" s="299">
        <f>IF(AND($F165&lt;=M$2, OR($G165="",$G165&gt;=M$2)),
  $H165 * (1 + Assumptions!$C$7) ^ INT(((YEAR(M$2)-YEAR($F165))*12 + MONTH(M$2)-MONTH($F165)) / 12),
  0)</f>
        <v/>
      </c>
      <c r="N165" s="299">
        <f>IF(AND($F165&lt;=N$2, OR($G165="",$G165&gt;=N$2)),
  $H165 * (1 + Assumptions!$C$7) ^ INT(((YEAR(N$2)-YEAR($F165))*12 + MONTH(N$2)-MONTH($F165)) / 12),
  0)</f>
        <v/>
      </c>
      <c r="O165" s="299">
        <f>IF(AND($F165&lt;=O$2, OR($G165="",$G165&gt;=O$2)),
  $H165 * (1 + Assumptions!$C$7) ^ INT(((YEAR(O$2)-YEAR($F165))*12 + MONTH(O$2)-MONTH($F165)) / 12),
  0)</f>
        <v/>
      </c>
      <c r="P165" s="299">
        <f>IF(AND($F165&lt;=P$2, OR($G165="",$G165&gt;=P$2)),
  $H165 * (1 + Assumptions!$C$7) ^ INT(((YEAR(P$2)-YEAR($F165))*12 + MONTH(P$2)-MONTH($F165)) / 12),
  0)</f>
        <v/>
      </c>
      <c r="Q165" s="299">
        <f>IF(AND($F165&lt;=Q$2, OR($G165="",$G165&gt;=Q$2)),
  $H165 * (1 + Assumptions!$C$7) ^ INT(((YEAR(Q$2)-YEAR($F165))*12 + MONTH(Q$2)-MONTH($F165)) / 12),
  0)</f>
        <v/>
      </c>
      <c r="R165" s="299">
        <f>IF(AND($F165&lt;=R$2, OR($G165="",$G165&gt;=R$2)),
  $H165 * (1 + Assumptions!$C$7) ^ INT(((YEAR(R$2)-YEAR($F165))*12 + MONTH(R$2)-MONTH($F165)) / 12),
  0)</f>
        <v/>
      </c>
      <c r="S165" s="299">
        <f>IF(AND($F165&lt;=S$2, OR($G165="",$G165&gt;=S$2)),
  $H165 * (1 + Assumptions!$C$7) ^ INT(((YEAR(S$2)-YEAR($F165))*12 + MONTH(S$2)-MONTH($F165)) / 12),
  0)</f>
        <v/>
      </c>
      <c r="T165" s="299">
        <f>IF(AND($F165&lt;=T$2, OR($G165="",$G165&gt;=T$2)),
  $H165 * (1 + Assumptions!$C$7) ^ INT(((YEAR(T$2)-YEAR($F165))*12 + MONTH(T$2)-MONTH($F165)) / 12),
  0)</f>
        <v/>
      </c>
      <c r="U165" s="299">
        <f>IF(AND($F165&lt;=U$2, OR($G165="",$G165&gt;=U$2)),
  $H165 * (1 + Assumptions!$C$7) ^ INT(((YEAR(U$2)-YEAR($F165))*12 + MONTH(U$2)-MONTH($F165)) / 12),
  0)</f>
        <v/>
      </c>
      <c r="V165" s="299">
        <f>IF(AND($F165&lt;=V$2, OR($G165="",$G165&gt;=V$2)),
  $H165 * (1 + Assumptions!$C$7) ^ INT(((YEAR(V$2)-YEAR($F165))*12 + MONTH(V$2)-MONTH($F165)) / 12),
  0)</f>
        <v/>
      </c>
      <c r="W165" s="299">
        <f>IF(AND($F165&lt;=W$2, OR($G165="",$G165&gt;=W$2)),
  $H165 * (1 + Assumptions!$C$7) ^ INT(((YEAR(W$2)-YEAR($F165))*12 + MONTH(W$2)-MONTH($F165)) / 12),
  0)</f>
        <v/>
      </c>
      <c r="X165" s="299">
        <f>IF(AND($F165&lt;=X$2, OR($G165="",$G165&gt;=X$2)),
  $H165 * (1 + Assumptions!$C$7) ^ INT(((YEAR(X$2)-YEAR($F165))*12 + MONTH(X$2)-MONTH($F165)) / 12),
  0)</f>
        <v/>
      </c>
      <c r="Y165" s="299">
        <f>IF(AND($F165&lt;=Y$2, OR($G165="",$G165&gt;=Y$2)),
  $H165 * (1 + Assumptions!$C$7) ^ INT(((YEAR(Y$2)-YEAR($F165))*12 + MONTH(Y$2)-MONTH($F165)) / 12),
  0)</f>
        <v/>
      </c>
      <c r="Z165" s="299">
        <f>IF(AND($F165&lt;=Z$2, OR($G165="",$G165&gt;=Z$2)),
  $H165 * (1 + Assumptions!$C$7) ^ INT(((YEAR(Z$2)-YEAR($F165))*12 + MONTH(Z$2)-MONTH($F165)) / 12),
  0)</f>
        <v/>
      </c>
      <c r="AA165" s="299">
        <f>IF(AND($F165&lt;=AA$2, OR($G165="",$G165&gt;=AA$2)),
  $H165 * (1 + Assumptions!$C$7) ^ INT(((YEAR(AA$2)-YEAR($F165))*12 + MONTH(AA$2)-MONTH($F165)) / 12),
  0)</f>
        <v/>
      </c>
      <c r="AB165" s="299">
        <f>IF(AND($F165&lt;=AB$2, OR($G165="",$G165&gt;=AB$2)),
  $H165 * (1 + Assumptions!$C$7) ^ INT(((YEAR(AB$2)-YEAR($F165))*12 + MONTH(AB$2)-MONTH($F165)) / 12),
  0)</f>
        <v/>
      </c>
      <c r="AC165" s="299">
        <f>IF(AND($F165&lt;=AC$2, OR($G165="",$G165&gt;=AC$2)),
  $H165 * (1 + Assumptions!$C$7) ^ INT(((YEAR(AC$2)-YEAR($F165))*12 + MONTH(AC$2)-MONTH($F165)) / 12),
  0)</f>
        <v/>
      </c>
      <c r="AD165" s="299">
        <f>IF(AND($F165&lt;=AD$2, OR($G165="",$G165&gt;=AD$2)),
  $H165 * (1 + Assumptions!$C$7) ^ INT(((YEAR(AD$2)-YEAR($F165))*12 + MONTH(AD$2)-MONTH($F165)) / 12),
  0)</f>
        <v/>
      </c>
      <c r="AE165" s="299">
        <f>IF(AND($F165&lt;=AE$2, OR($G165="",$G165&gt;=AE$2)),
  $H165 * (1 + Assumptions!$C$7) ^ INT(((YEAR(AE$2)-YEAR($F165))*12 + MONTH(AE$2)-MONTH($F165)) / 12),
  0)</f>
        <v/>
      </c>
      <c r="AF165" s="299">
        <f>IF(AND($F165&lt;=AF$2, OR($G165="",$G165&gt;=AF$2)),
  $H165 * (1 + Assumptions!$C$7) ^ INT(((YEAR(AF$2)-YEAR($F165))*12 + MONTH(AF$2)-MONTH($F165)) / 12),
  0)</f>
        <v/>
      </c>
      <c r="AG165" s="299">
        <f>IF(AND($F165&lt;=AG$2, OR($G165="",$G165&gt;=AG$2)),
  $H165 * (1 + Assumptions!$C$7) ^ INT(((YEAR(AG$2)-YEAR($F165))*12 + MONTH(AG$2)-MONTH($F165)) / 12),
  0)</f>
        <v/>
      </c>
      <c r="AH165" s="299">
        <f>IF(AND($F165&lt;=AH$2, OR($G165="",$G165&gt;=AH$2)),
  $H165 * (1 + Assumptions!$C$7) ^ INT(((YEAR(AH$2)-YEAR($F165))*12 + MONTH(AH$2)-MONTH($F165)) / 12),
  0)</f>
        <v/>
      </c>
      <c r="AI165" s="299">
        <f>IF(AND($F165&lt;=AI$2, OR($G165="",$G165&gt;=AI$2)),
  $H165 * (1 + Assumptions!$C$7) ^ INT(((YEAR(AI$2)-YEAR($F165))*12 + MONTH(AI$2)-MONTH($F165)) / 12),
  0)</f>
        <v/>
      </c>
      <c r="AJ165" s="299">
        <f>IF(AND($F165&lt;=AJ$2, OR($G165="",$G165&gt;=AJ$2)),
  $H165 * (1 + Assumptions!$C$7) ^ INT(((YEAR(AJ$2)-YEAR($F165))*12 + MONTH(AJ$2)-MONTH($F165)) / 12),
  0)</f>
        <v/>
      </c>
      <c r="AK165" s="299">
        <f>IF(AND($F165&lt;=AK$2, OR($G165="",$G165&gt;=AK$2)),
  $H165 * (1 + Assumptions!$C$7) ^ INT(((YEAR(AK$2)-YEAR($F165))*12 + MONTH(AK$2)-MONTH($F165)) / 12),
  0)</f>
        <v/>
      </c>
      <c r="AL165" s="299">
        <f>IF(AND($F165&lt;=AL$2, OR($G165="",$G165&gt;=AL$2)),
  $H165 * (1 + Assumptions!$C$7) ^ INT(((YEAR(AL$2)-YEAR($F165))*12 + MONTH(AL$2)-MONTH($F165)) / 12),
  0)</f>
        <v/>
      </c>
      <c r="AM165" s="299">
        <f>IF(AND($F165&lt;=AM$2, OR($G165="",$G165&gt;=AM$2)),
  $H165 * (1 + Assumptions!$C$7) ^ INT(((YEAR(AM$2)-YEAR($F165))*12 + MONTH(AM$2)-MONTH($F165)) / 12),
  0)</f>
        <v/>
      </c>
      <c r="AN165" s="299">
        <f>IF(AND($F165&lt;=AN$2, OR($G165="",$G165&gt;=AN$2)),
  $H165 * (1 + Assumptions!$C$7) ^ INT(((YEAR(AN$2)-YEAR($F165))*12 + MONTH(AN$2)-MONTH($F165)) / 12),
  0)</f>
        <v/>
      </c>
      <c r="AO165" s="299">
        <f>IF(AND($F165&lt;=AO$2, OR($G165="",$G165&gt;=AO$2)),
  $H165 * (1 + Assumptions!$C$7) ^ INT(((YEAR(AO$2)-YEAR($F165))*12 + MONTH(AO$2)-MONTH($F165)) / 12),
  0)</f>
        <v/>
      </c>
      <c r="AP165" s="299">
        <f>IF(AND($F165&lt;=AP$2, OR($G165="",$G165&gt;=AP$2)),
  $H165 * (1 + Assumptions!$C$7) ^ INT(((YEAR(AP$2)-YEAR($F165))*12 + MONTH(AP$2)-MONTH($F165)) / 12),
  0)</f>
        <v/>
      </c>
      <c r="AQ165" s="299">
        <f>IF(AND($F165&lt;=AQ$2, OR($G165="",$G165&gt;=AQ$2)),
  $H165 * (1 + Assumptions!$C$7) ^ INT(((YEAR(AQ$2)-YEAR($F165))*12 + MONTH(AQ$2)-MONTH($F165)) / 12),
  0)</f>
        <v/>
      </c>
      <c r="AR165" s="299">
        <f>IF(AND($F165&lt;=AR$2, OR($G165="",$G165&gt;=AR$2)),
  $H165 * (1 + Assumptions!$C$7) ^ INT(((YEAR(AR$2)-YEAR($F165))*12 + MONTH(AR$2)-MONTH($F165)) / 12),
  0)</f>
        <v/>
      </c>
      <c r="AS165" s="299">
        <f>IF(AND($F165&lt;=AS$2, OR($G165="",$G165&gt;=AS$2)),
  $H165 * (1 + Assumptions!$C$7) ^ INT(((YEAR(AS$2)-YEAR($F165))*12 + MONTH(AS$2)-MONTH($F165)) / 12),
  0)</f>
        <v/>
      </c>
      <c r="AT165" s="299">
        <f>IF(AND($F165&lt;=AT$2, OR($G165="",$G165&gt;=AT$2)),
  $H165 * (1 + Assumptions!$C$7) ^ INT(((YEAR(AT$2)-YEAR($F165))*12 + MONTH(AT$2)-MONTH($F165)) / 12),
  0)</f>
        <v/>
      </c>
      <c r="AU165" s="299">
        <f>IF(AND($F165&lt;=AU$2, OR($G165="",$G165&gt;=AU$2)),
  $H165 * (1 + Assumptions!$C$7) ^ INT(((YEAR(AU$2)-YEAR($F165))*12 + MONTH(AU$2)-MONTH($F165)) / 12),
  0)</f>
        <v/>
      </c>
      <c r="AV165" s="299">
        <f>IF(AND($F165&lt;=AV$2, OR($G165="",$G165&gt;=AV$2)),
  $H165 * (1 + Assumptions!$C$7) ^ INT(((YEAR(AV$2)-YEAR($F165))*12 + MONTH(AV$2)-MONTH($F165)) / 12),
  0)</f>
        <v/>
      </c>
      <c r="AW165" s="299">
        <f>IF(AND($F165&lt;=AW$2, OR($G165="",$G165&gt;=AW$2)),
  $H165 * (1 + Assumptions!$C$7) ^ INT(((YEAR(AW$2)-YEAR($F165))*12 + MONTH(AW$2)-MONTH($F165)) / 12),
  0)</f>
        <v/>
      </c>
      <c r="AX165" s="299">
        <f>IF(AND($F165&lt;=AX$2, OR($G165="",$G165&gt;=AX$2)),
  $H165 * (1 + Assumptions!$C$7) ^ INT(((YEAR(AX$2)-YEAR($F165))*12 + MONTH(AX$2)-MONTH($F165)) / 12),
  0)</f>
        <v/>
      </c>
      <c r="AY165" s="299">
        <f>IF(AND($F165&lt;=AY$2, OR($G165="",$G165&gt;=AY$2)),
  $H165 * (1 + Assumptions!$C$7) ^ INT(((YEAR(AY$2)-YEAR($F165))*12 + MONTH(AY$2)-MONTH($F165)) / 12),
  0)</f>
        <v/>
      </c>
      <c r="AZ165" s="299">
        <f>IF(AND($F165&lt;=AZ$2, OR($G165="",$G165&gt;=AZ$2)),
  $H165 * (1 + Assumptions!$C$7) ^ INT(((YEAR(AZ$2)-YEAR($F165))*12 + MONTH(AZ$2)-MONTH($F165)) / 12),
  0)</f>
        <v/>
      </c>
      <c r="BA165" s="299">
        <f>IF(AND($F165&lt;=BA$2, OR($G165="",$G165&gt;=BA$2)),
  $H165 * (1 + Assumptions!$C$7) ^ INT(((YEAR(BA$2)-YEAR($F165))*12 + MONTH(BA$2)-MONTH($F165)) / 12),
  0)</f>
        <v/>
      </c>
      <c r="BB165" s="299">
        <f>IF(AND($F165&lt;=BB$2, OR($G165="",$G165&gt;=BB$2)),
  $H165 * (1 + Assumptions!$C$7) ^ INT(((YEAR(BB$2)-YEAR($F165))*12 + MONTH(BB$2)-MONTH($F165)) / 12),
  0)</f>
        <v/>
      </c>
      <c r="BC165" s="299">
        <f>IF(AND($F165&lt;=BC$2, OR($G165="",$G165&gt;=BC$2)),
  $H165 * (1 + Assumptions!$C$7) ^ INT(((YEAR(BC$2)-YEAR($F165))*12 + MONTH(BC$2)-MONTH($F165)) / 12),
  0)</f>
        <v/>
      </c>
      <c r="BD165" s="299">
        <f>IF(AND($F165&lt;=BD$2, OR($G165="",$G165&gt;=BD$2)),
  $H165 * (1 + Assumptions!$C$7) ^ INT(((YEAR(BD$2)-YEAR($F165))*12 + MONTH(BD$2)-MONTH($F165)) / 12),
  0)</f>
        <v/>
      </c>
      <c r="BE165" s="299">
        <f>IF(AND($F165&lt;=BE$2, OR($G165="",$G165&gt;=BE$2)),
  $H165 * (1 + Assumptions!$C$7) ^ INT(((YEAR(BE$2)-YEAR($F165))*12 + MONTH(BE$2)-MONTH($F165)) / 12),
  0)</f>
        <v/>
      </c>
      <c r="BF165" s="299">
        <f>IF(AND($F165&lt;=BF$2, OR($G165="",$G165&gt;=BF$2)),
  $H165 * (1 + Assumptions!$C$7) ^ INT(((YEAR(BF$2)-YEAR($F165))*12 + MONTH(BF$2)-MONTH($F165)) / 12),
  0)</f>
        <v/>
      </c>
      <c r="BG165" s="299">
        <f>IF(AND($F165&lt;=BG$2, OR($G165="",$G165&gt;=BG$2)),
  $H165 * (1 + Assumptions!$C$7) ^ INT(((YEAR(BG$2)-YEAR($F165))*12 + MONTH(BG$2)-MONTH($F165)) / 12),
  0)</f>
        <v/>
      </c>
      <c r="BH165" s="299">
        <f>IF(AND($F165&lt;=BH$2, OR($G165="",$G165&gt;=BH$2)),
  $H165 * (1 + Assumptions!$C$7) ^ INT(((YEAR(BH$2)-YEAR($F165))*12 + MONTH(BH$2)-MONTH($F165)) / 12),
  0)</f>
        <v/>
      </c>
      <c r="BI165" s="299">
        <f>IF(AND($F165&lt;=BI$2, OR($G165="",$G165&gt;=BI$2)),
  $H165 * (1 + Assumptions!$C$7) ^ INT(((YEAR(BI$2)-YEAR($F165))*12 + MONTH(BI$2)-MONTH($F165)) / 12),
  0)</f>
        <v/>
      </c>
      <c r="BJ165" s="299">
        <f>IF(AND($F165&lt;=BJ$2, OR($G165="",$G165&gt;=BJ$2)),
  $H165 * (1 + Assumptions!$C$7) ^ INT(((YEAR(BJ$2)-YEAR($F165))*12 + MONTH(BJ$2)-MONTH($F165)) / 12),
  0)</f>
        <v/>
      </c>
      <c r="BK165" s="299">
        <f>IF(AND($F165&lt;=BK$2, OR($G165="",$G165&gt;=BK$2)),
  $H165 * (1 + Assumptions!$C$7) ^ INT(((YEAR(BK$2)-YEAR($F165))*12 + MONTH(BK$2)-MONTH($F165)) / 12),
  0)</f>
        <v/>
      </c>
      <c r="BL165" s="299">
        <f>IF(AND($F165&lt;=BL$2, OR($G165="",$G165&gt;=BL$2)),
  $H165 * (1 + Assumptions!$C$7) ^ INT(((YEAR(BL$2)-YEAR($F165))*12 + MONTH(BL$2)-MONTH($F165)) / 12),
  0)</f>
        <v/>
      </c>
      <c r="BM165" s="299">
        <f>IF(AND($F165&lt;=BM$2, OR($G165="",$G165&gt;=BM$2)),
  $H165 * (1 + Assumptions!$C$7) ^ INT(((YEAR(BM$2)-YEAR($F165))*12 + MONTH(BM$2)-MONTH($F165)) / 12),
  0)</f>
        <v/>
      </c>
      <c r="BN165" s="299">
        <f>IF(AND($F165&lt;=BN$2, OR($G165="",$G165&gt;=BN$2)),
  $H165 * (1 + Assumptions!$C$7) ^ INT(((YEAR(BN$2)-YEAR($F165))*12 + MONTH(BN$2)-MONTH($F165)) / 12),
  0)</f>
        <v/>
      </c>
      <c r="BO165" s="299">
        <f>IF(AND($F165&lt;=BO$2, OR($G165="",$G165&gt;=BO$2)),
  $H165 * (1 + Assumptions!$C$7) ^ INT(((YEAR(BO$2)-YEAR($F165))*12 + MONTH(BO$2)-MONTH($F165)) / 12),
  0)</f>
        <v/>
      </c>
      <c r="BP165" s="299">
        <f>IF(AND($F165&lt;=BP$2, OR($G165="",$G165&gt;=BP$2)),
  $H165 * (1 + Assumptions!$C$7) ^ INT(((YEAR(BP$2)-YEAR($F165))*12 + MONTH(BP$2)-MONTH($F165)) / 12),
  0)</f>
        <v/>
      </c>
      <c r="BQ165" s="31" t="n"/>
      <c r="BR165" s="31" t="n"/>
      <c r="BS165" s="31" t="n"/>
      <c r="BT165" s="31" t="n"/>
    </row>
    <row r="166" ht="15.75" customHeight="1" s="349">
      <c r="A166" s="321" t="n">
        <v>161</v>
      </c>
      <c r="B166" s="285" t="inlineStr">
        <is>
          <t>New hire</t>
        </is>
      </c>
      <c r="C166" s="317" t="inlineStr">
        <is>
          <t>G&amp;A</t>
        </is>
      </c>
      <c r="D166" s="317" t="inlineStr">
        <is>
          <t>Production Operator</t>
        </is>
      </c>
      <c r="E166" s="297" t="inlineStr">
        <is>
          <t>Planned</t>
        </is>
      </c>
      <c r="F166" s="318">
        <f>IF(Assumptions!$D$82=2,DATE(2029,7,1),DATE(2035,1,1))</f>
        <v/>
      </c>
      <c r="G166" s="318" t="n"/>
      <c r="H166" s="288" t="n">
        <v>5000</v>
      </c>
      <c r="I166" s="299">
        <f>IF(AND($F166&lt;=I$2, OR($G166="",$G166&gt;=I$2)),
  $H166 * (1 + Assumptions!$C$7) ^ INT(((YEAR(I$2)-YEAR($F166))*12 + MONTH(I$2)-MONTH($F166)) / 12),
  0)</f>
        <v/>
      </c>
      <c r="J166" s="299">
        <f>IF(AND($F166&lt;=J$2, OR($G166="",$G166&gt;=J$2)),
  $H166 * (1 + Assumptions!$C$7) ^ INT(((YEAR(J$2)-YEAR($F166))*12 + MONTH(J$2)-MONTH($F166)) / 12),
  0)</f>
        <v/>
      </c>
      <c r="K166" s="299">
        <f>IF(AND($F166&lt;=K$2, OR($G166="",$G166&gt;=K$2)),
  $H166 * (1 + Assumptions!$C$7) ^ INT(((YEAR(K$2)-YEAR($F166))*12 + MONTH(K$2)-MONTH($F166)) / 12),
  0)</f>
        <v/>
      </c>
      <c r="L166" s="299">
        <f>IF(AND($F166&lt;=L$2, OR($G166="",$G166&gt;=L$2)),
  $H166 * (1 + Assumptions!$C$7) ^ INT(((YEAR(L$2)-YEAR($F166))*12 + MONTH(L$2)-MONTH($F166)) / 12),
  0)</f>
        <v/>
      </c>
      <c r="M166" s="299">
        <f>IF(AND($F166&lt;=M$2, OR($G166="",$G166&gt;=M$2)),
  $H166 * (1 + Assumptions!$C$7) ^ INT(((YEAR(M$2)-YEAR($F166))*12 + MONTH(M$2)-MONTH($F166)) / 12),
  0)</f>
        <v/>
      </c>
      <c r="N166" s="299">
        <f>IF(AND($F166&lt;=N$2, OR($G166="",$G166&gt;=N$2)),
  $H166 * (1 + Assumptions!$C$7) ^ INT(((YEAR(N$2)-YEAR($F166))*12 + MONTH(N$2)-MONTH($F166)) / 12),
  0)</f>
        <v/>
      </c>
      <c r="O166" s="299">
        <f>IF(AND($F166&lt;=O$2, OR($G166="",$G166&gt;=O$2)),
  $H166 * (1 + Assumptions!$C$7) ^ INT(((YEAR(O$2)-YEAR($F166))*12 + MONTH(O$2)-MONTH($F166)) / 12),
  0)</f>
        <v/>
      </c>
      <c r="P166" s="299">
        <f>IF(AND($F166&lt;=P$2, OR($G166="",$G166&gt;=P$2)),
  $H166 * (1 + Assumptions!$C$7) ^ INT(((YEAR(P$2)-YEAR($F166))*12 + MONTH(P$2)-MONTH($F166)) / 12),
  0)</f>
        <v/>
      </c>
      <c r="Q166" s="299">
        <f>IF(AND($F166&lt;=Q$2, OR($G166="",$G166&gt;=Q$2)),
  $H166 * (1 + Assumptions!$C$7) ^ INT(((YEAR(Q$2)-YEAR($F166))*12 + MONTH(Q$2)-MONTH($F166)) / 12),
  0)</f>
        <v/>
      </c>
      <c r="R166" s="299">
        <f>IF(AND($F166&lt;=R$2, OR($G166="",$G166&gt;=R$2)),
  $H166 * (1 + Assumptions!$C$7) ^ INT(((YEAR(R$2)-YEAR($F166))*12 + MONTH(R$2)-MONTH($F166)) / 12),
  0)</f>
        <v/>
      </c>
      <c r="S166" s="299">
        <f>IF(AND($F166&lt;=S$2, OR($G166="",$G166&gt;=S$2)),
  $H166 * (1 + Assumptions!$C$7) ^ INT(((YEAR(S$2)-YEAR($F166))*12 + MONTH(S$2)-MONTH($F166)) / 12),
  0)</f>
        <v/>
      </c>
      <c r="T166" s="299">
        <f>IF(AND($F166&lt;=T$2, OR($G166="",$G166&gt;=T$2)),
  $H166 * (1 + Assumptions!$C$7) ^ INT(((YEAR(T$2)-YEAR($F166))*12 + MONTH(T$2)-MONTH($F166)) / 12),
  0)</f>
        <v/>
      </c>
      <c r="U166" s="299">
        <f>IF(AND($F166&lt;=U$2, OR($G166="",$G166&gt;=U$2)),
  $H166 * (1 + Assumptions!$C$7) ^ INT(((YEAR(U$2)-YEAR($F166))*12 + MONTH(U$2)-MONTH($F166)) / 12),
  0)</f>
        <v/>
      </c>
      <c r="V166" s="299">
        <f>IF(AND($F166&lt;=V$2, OR($G166="",$G166&gt;=V$2)),
  $H166 * (1 + Assumptions!$C$7) ^ INT(((YEAR(V$2)-YEAR($F166))*12 + MONTH(V$2)-MONTH($F166)) / 12),
  0)</f>
        <v/>
      </c>
      <c r="W166" s="299">
        <f>IF(AND($F166&lt;=W$2, OR($G166="",$G166&gt;=W$2)),
  $H166 * (1 + Assumptions!$C$7) ^ INT(((YEAR(W$2)-YEAR($F166))*12 + MONTH(W$2)-MONTH($F166)) / 12),
  0)</f>
        <v/>
      </c>
      <c r="X166" s="299">
        <f>IF(AND($F166&lt;=X$2, OR($G166="",$G166&gt;=X$2)),
  $H166 * (1 + Assumptions!$C$7) ^ INT(((YEAR(X$2)-YEAR($F166))*12 + MONTH(X$2)-MONTH($F166)) / 12),
  0)</f>
        <v/>
      </c>
      <c r="Y166" s="299">
        <f>IF(AND($F166&lt;=Y$2, OR($G166="",$G166&gt;=Y$2)),
  $H166 * (1 + Assumptions!$C$7) ^ INT(((YEAR(Y$2)-YEAR($F166))*12 + MONTH(Y$2)-MONTH($F166)) / 12),
  0)</f>
        <v/>
      </c>
      <c r="Z166" s="299">
        <f>IF(AND($F166&lt;=Z$2, OR($G166="",$G166&gt;=Z$2)),
  $H166 * (1 + Assumptions!$C$7) ^ INT(((YEAR(Z$2)-YEAR($F166))*12 + MONTH(Z$2)-MONTH($F166)) / 12),
  0)</f>
        <v/>
      </c>
      <c r="AA166" s="299">
        <f>IF(AND($F166&lt;=AA$2, OR($G166="",$G166&gt;=AA$2)),
  $H166 * (1 + Assumptions!$C$7) ^ INT(((YEAR(AA$2)-YEAR($F166))*12 + MONTH(AA$2)-MONTH($F166)) / 12),
  0)</f>
        <v/>
      </c>
      <c r="AB166" s="299">
        <f>IF(AND($F166&lt;=AB$2, OR($G166="",$G166&gt;=AB$2)),
  $H166 * (1 + Assumptions!$C$7) ^ INT(((YEAR(AB$2)-YEAR($F166))*12 + MONTH(AB$2)-MONTH($F166)) / 12),
  0)</f>
        <v/>
      </c>
      <c r="AC166" s="299">
        <f>IF(AND($F166&lt;=AC$2, OR($G166="",$G166&gt;=AC$2)),
  $H166 * (1 + Assumptions!$C$7) ^ INT(((YEAR(AC$2)-YEAR($F166))*12 + MONTH(AC$2)-MONTH($F166)) / 12),
  0)</f>
        <v/>
      </c>
      <c r="AD166" s="299">
        <f>IF(AND($F166&lt;=AD$2, OR($G166="",$G166&gt;=AD$2)),
  $H166 * (1 + Assumptions!$C$7) ^ INT(((YEAR(AD$2)-YEAR($F166))*12 + MONTH(AD$2)-MONTH($F166)) / 12),
  0)</f>
        <v/>
      </c>
      <c r="AE166" s="299">
        <f>IF(AND($F166&lt;=AE$2, OR($G166="",$G166&gt;=AE$2)),
  $H166 * (1 + Assumptions!$C$7) ^ INT(((YEAR(AE$2)-YEAR($F166))*12 + MONTH(AE$2)-MONTH($F166)) / 12),
  0)</f>
        <v/>
      </c>
      <c r="AF166" s="299">
        <f>IF(AND($F166&lt;=AF$2, OR($G166="",$G166&gt;=AF$2)),
  $H166 * (1 + Assumptions!$C$7) ^ INT(((YEAR(AF$2)-YEAR($F166))*12 + MONTH(AF$2)-MONTH($F166)) / 12),
  0)</f>
        <v/>
      </c>
      <c r="AG166" s="299">
        <f>IF(AND($F166&lt;=AG$2, OR($G166="",$G166&gt;=AG$2)),
  $H166 * (1 + Assumptions!$C$7) ^ INT(((YEAR(AG$2)-YEAR($F166))*12 + MONTH(AG$2)-MONTH($F166)) / 12),
  0)</f>
        <v/>
      </c>
      <c r="AH166" s="299">
        <f>IF(AND($F166&lt;=AH$2, OR($G166="",$G166&gt;=AH$2)),
  $H166 * (1 + Assumptions!$C$7) ^ INT(((YEAR(AH$2)-YEAR($F166))*12 + MONTH(AH$2)-MONTH($F166)) / 12),
  0)</f>
        <v/>
      </c>
      <c r="AI166" s="299">
        <f>IF(AND($F166&lt;=AI$2, OR($G166="",$G166&gt;=AI$2)),
  $H166 * (1 + Assumptions!$C$7) ^ INT(((YEAR(AI$2)-YEAR($F166))*12 + MONTH(AI$2)-MONTH($F166)) / 12),
  0)</f>
        <v/>
      </c>
      <c r="AJ166" s="299">
        <f>IF(AND($F166&lt;=AJ$2, OR($G166="",$G166&gt;=AJ$2)),
  $H166 * (1 + Assumptions!$C$7) ^ INT(((YEAR(AJ$2)-YEAR($F166))*12 + MONTH(AJ$2)-MONTH($F166)) / 12),
  0)</f>
        <v/>
      </c>
      <c r="AK166" s="299">
        <f>IF(AND($F166&lt;=AK$2, OR($G166="",$G166&gt;=AK$2)),
  $H166 * (1 + Assumptions!$C$7) ^ INT(((YEAR(AK$2)-YEAR($F166))*12 + MONTH(AK$2)-MONTH($F166)) / 12),
  0)</f>
        <v/>
      </c>
      <c r="AL166" s="299">
        <f>IF(AND($F166&lt;=AL$2, OR($G166="",$G166&gt;=AL$2)),
  $H166 * (1 + Assumptions!$C$7) ^ INT(((YEAR(AL$2)-YEAR($F166))*12 + MONTH(AL$2)-MONTH($F166)) / 12),
  0)</f>
        <v/>
      </c>
      <c r="AM166" s="299">
        <f>IF(AND($F166&lt;=AM$2, OR($G166="",$G166&gt;=AM$2)),
  $H166 * (1 + Assumptions!$C$7) ^ INT(((YEAR(AM$2)-YEAR($F166))*12 + MONTH(AM$2)-MONTH($F166)) / 12),
  0)</f>
        <v/>
      </c>
      <c r="AN166" s="299">
        <f>IF(AND($F166&lt;=AN$2, OR($G166="",$G166&gt;=AN$2)),
  $H166 * (1 + Assumptions!$C$7) ^ INT(((YEAR(AN$2)-YEAR($F166))*12 + MONTH(AN$2)-MONTH($F166)) / 12),
  0)</f>
        <v/>
      </c>
      <c r="AO166" s="299">
        <f>IF(AND($F166&lt;=AO$2, OR($G166="",$G166&gt;=AO$2)),
  $H166 * (1 + Assumptions!$C$7) ^ INT(((YEAR(AO$2)-YEAR($F166))*12 + MONTH(AO$2)-MONTH($F166)) / 12),
  0)</f>
        <v/>
      </c>
      <c r="AP166" s="299">
        <f>IF(AND($F166&lt;=AP$2, OR($G166="",$G166&gt;=AP$2)),
  $H166 * (1 + Assumptions!$C$7) ^ INT(((YEAR(AP$2)-YEAR($F166))*12 + MONTH(AP$2)-MONTH($F166)) / 12),
  0)</f>
        <v/>
      </c>
      <c r="AQ166" s="299">
        <f>IF(AND($F166&lt;=AQ$2, OR($G166="",$G166&gt;=AQ$2)),
  $H166 * (1 + Assumptions!$C$7) ^ INT(((YEAR(AQ$2)-YEAR($F166))*12 + MONTH(AQ$2)-MONTH($F166)) / 12),
  0)</f>
        <v/>
      </c>
      <c r="AR166" s="299">
        <f>IF(AND($F166&lt;=AR$2, OR($G166="",$G166&gt;=AR$2)),
  $H166 * (1 + Assumptions!$C$7) ^ INT(((YEAR(AR$2)-YEAR($F166))*12 + MONTH(AR$2)-MONTH($F166)) / 12),
  0)</f>
        <v/>
      </c>
      <c r="AS166" s="299">
        <f>IF(AND($F166&lt;=AS$2, OR($G166="",$G166&gt;=AS$2)),
  $H166 * (1 + Assumptions!$C$7) ^ INT(((YEAR(AS$2)-YEAR($F166))*12 + MONTH(AS$2)-MONTH($F166)) / 12),
  0)</f>
        <v/>
      </c>
      <c r="AT166" s="299">
        <f>IF(AND($F166&lt;=AT$2, OR($G166="",$G166&gt;=AT$2)),
  $H166 * (1 + Assumptions!$C$7) ^ INT(((YEAR(AT$2)-YEAR($F166))*12 + MONTH(AT$2)-MONTH($F166)) / 12),
  0)</f>
        <v/>
      </c>
      <c r="AU166" s="299">
        <f>IF(AND($F166&lt;=AU$2, OR($G166="",$G166&gt;=AU$2)),
  $H166 * (1 + Assumptions!$C$7) ^ INT(((YEAR(AU$2)-YEAR($F166))*12 + MONTH(AU$2)-MONTH($F166)) / 12),
  0)</f>
        <v/>
      </c>
      <c r="AV166" s="299">
        <f>IF(AND($F166&lt;=AV$2, OR($G166="",$G166&gt;=AV$2)),
  $H166 * (1 + Assumptions!$C$7) ^ INT(((YEAR(AV$2)-YEAR($F166))*12 + MONTH(AV$2)-MONTH($F166)) / 12),
  0)</f>
        <v/>
      </c>
      <c r="AW166" s="299">
        <f>IF(AND($F166&lt;=AW$2, OR($G166="",$G166&gt;=AW$2)),
  $H166 * (1 + Assumptions!$C$7) ^ INT(((YEAR(AW$2)-YEAR($F166))*12 + MONTH(AW$2)-MONTH($F166)) / 12),
  0)</f>
        <v/>
      </c>
      <c r="AX166" s="299">
        <f>IF(AND($F166&lt;=AX$2, OR($G166="",$G166&gt;=AX$2)),
  $H166 * (1 + Assumptions!$C$7) ^ INT(((YEAR(AX$2)-YEAR($F166))*12 + MONTH(AX$2)-MONTH($F166)) / 12),
  0)</f>
        <v/>
      </c>
      <c r="AY166" s="299">
        <f>IF(AND($F166&lt;=AY$2, OR($G166="",$G166&gt;=AY$2)),
  $H166 * (1 + Assumptions!$C$7) ^ INT(((YEAR(AY$2)-YEAR($F166))*12 + MONTH(AY$2)-MONTH($F166)) / 12),
  0)</f>
        <v/>
      </c>
      <c r="AZ166" s="299">
        <f>IF(AND($F166&lt;=AZ$2, OR($G166="",$G166&gt;=AZ$2)),
  $H166 * (1 + Assumptions!$C$7) ^ INT(((YEAR(AZ$2)-YEAR($F166))*12 + MONTH(AZ$2)-MONTH($F166)) / 12),
  0)</f>
        <v/>
      </c>
      <c r="BA166" s="299">
        <f>IF(AND($F166&lt;=BA$2, OR($G166="",$G166&gt;=BA$2)),
  $H166 * (1 + Assumptions!$C$7) ^ INT(((YEAR(BA$2)-YEAR($F166))*12 + MONTH(BA$2)-MONTH($F166)) / 12),
  0)</f>
        <v/>
      </c>
      <c r="BB166" s="299">
        <f>IF(AND($F166&lt;=BB$2, OR($G166="",$G166&gt;=BB$2)),
  $H166 * (1 + Assumptions!$C$7) ^ INT(((YEAR(BB$2)-YEAR($F166))*12 + MONTH(BB$2)-MONTH($F166)) / 12),
  0)</f>
        <v/>
      </c>
      <c r="BC166" s="299">
        <f>IF(AND($F166&lt;=BC$2, OR($G166="",$G166&gt;=BC$2)),
  $H166 * (1 + Assumptions!$C$7) ^ INT(((YEAR(BC$2)-YEAR($F166))*12 + MONTH(BC$2)-MONTH($F166)) / 12),
  0)</f>
        <v/>
      </c>
      <c r="BD166" s="299">
        <f>IF(AND($F166&lt;=BD$2, OR($G166="",$G166&gt;=BD$2)),
  $H166 * (1 + Assumptions!$C$7) ^ INT(((YEAR(BD$2)-YEAR($F166))*12 + MONTH(BD$2)-MONTH($F166)) / 12),
  0)</f>
        <v/>
      </c>
      <c r="BE166" s="299">
        <f>IF(AND($F166&lt;=BE$2, OR($G166="",$G166&gt;=BE$2)),
  $H166 * (1 + Assumptions!$C$7) ^ INT(((YEAR(BE$2)-YEAR($F166))*12 + MONTH(BE$2)-MONTH($F166)) / 12),
  0)</f>
        <v/>
      </c>
      <c r="BF166" s="299">
        <f>IF(AND($F166&lt;=BF$2, OR($G166="",$G166&gt;=BF$2)),
  $H166 * (1 + Assumptions!$C$7) ^ INT(((YEAR(BF$2)-YEAR($F166))*12 + MONTH(BF$2)-MONTH($F166)) / 12),
  0)</f>
        <v/>
      </c>
      <c r="BG166" s="299">
        <f>IF(AND($F166&lt;=BG$2, OR($G166="",$G166&gt;=BG$2)),
  $H166 * (1 + Assumptions!$C$7) ^ INT(((YEAR(BG$2)-YEAR($F166))*12 + MONTH(BG$2)-MONTH($F166)) / 12),
  0)</f>
        <v/>
      </c>
      <c r="BH166" s="299">
        <f>IF(AND($F166&lt;=BH$2, OR($G166="",$G166&gt;=BH$2)),
  $H166 * (1 + Assumptions!$C$7) ^ INT(((YEAR(BH$2)-YEAR($F166))*12 + MONTH(BH$2)-MONTH($F166)) / 12),
  0)</f>
        <v/>
      </c>
      <c r="BI166" s="299">
        <f>IF(AND($F166&lt;=BI$2, OR($G166="",$G166&gt;=BI$2)),
  $H166 * (1 + Assumptions!$C$7) ^ INT(((YEAR(BI$2)-YEAR($F166))*12 + MONTH(BI$2)-MONTH($F166)) / 12),
  0)</f>
        <v/>
      </c>
      <c r="BJ166" s="299">
        <f>IF(AND($F166&lt;=BJ$2, OR($G166="",$G166&gt;=BJ$2)),
  $H166 * (1 + Assumptions!$C$7) ^ INT(((YEAR(BJ$2)-YEAR($F166))*12 + MONTH(BJ$2)-MONTH($F166)) / 12),
  0)</f>
        <v/>
      </c>
      <c r="BK166" s="299">
        <f>IF(AND($F166&lt;=BK$2, OR($G166="",$G166&gt;=BK$2)),
  $H166 * (1 + Assumptions!$C$7) ^ INT(((YEAR(BK$2)-YEAR($F166))*12 + MONTH(BK$2)-MONTH($F166)) / 12),
  0)</f>
        <v/>
      </c>
      <c r="BL166" s="299">
        <f>IF(AND($F166&lt;=BL$2, OR($G166="",$G166&gt;=BL$2)),
  $H166 * (1 + Assumptions!$C$7) ^ INT(((YEAR(BL$2)-YEAR($F166))*12 + MONTH(BL$2)-MONTH($F166)) / 12),
  0)</f>
        <v/>
      </c>
      <c r="BM166" s="299">
        <f>IF(AND($F166&lt;=BM$2, OR($G166="",$G166&gt;=BM$2)),
  $H166 * (1 + Assumptions!$C$7) ^ INT(((YEAR(BM$2)-YEAR($F166))*12 + MONTH(BM$2)-MONTH($F166)) / 12),
  0)</f>
        <v/>
      </c>
      <c r="BN166" s="299">
        <f>IF(AND($F166&lt;=BN$2, OR($G166="",$G166&gt;=BN$2)),
  $H166 * (1 + Assumptions!$C$7) ^ INT(((YEAR(BN$2)-YEAR($F166))*12 + MONTH(BN$2)-MONTH($F166)) / 12),
  0)</f>
        <v/>
      </c>
      <c r="BO166" s="299">
        <f>IF(AND($F166&lt;=BO$2, OR($G166="",$G166&gt;=BO$2)),
  $H166 * (1 + Assumptions!$C$7) ^ INT(((YEAR(BO$2)-YEAR($F166))*12 + MONTH(BO$2)-MONTH($F166)) / 12),
  0)</f>
        <v/>
      </c>
      <c r="BP166" s="299">
        <f>IF(AND($F166&lt;=BP$2, OR($G166="",$G166&gt;=BP$2)),
  $H166 * (1 + Assumptions!$C$7) ^ INT(((YEAR(BP$2)-YEAR($F166))*12 + MONTH(BP$2)-MONTH($F166)) / 12),
  0)</f>
        <v/>
      </c>
      <c r="BQ166" s="31" t="n"/>
      <c r="BR166" s="31" t="n"/>
      <c r="BS166" s="31" t="n"/>
      <c r="BT166" s="31" t="n"/>
    </row>
    <row r="167" ht="15.75" customHeight="1" s="349">
      <c r="A167" s="321" t="n">
        <v>162</v>
      </c>
      <c r="B167" s="285" t="inlineStr">
        <is>
          <t>New hire</t>
        </is>
      </c>
      <c r="C167" s="317" t="inlineStr">
        <is>
          <t>G&amp;A</t>
        </is>
      </c>
      <c r="D167" s="317" t="inlineStr">
        <is>
          <t>Production Operator</t>
        </is>
      </c>
      <c r="E167" s="297" t="inlineStr">
        <is>
          <t>Planned</t>
        </is>
      </c>
      <c r="F167" s="318">
        <f>IF(Assumptions!$D$82=2,DATE(2029,7,1),DATE(2035,1,1))</f>
        <v/>
      </c>
      <c r="G167" s="318" t="n"/>
      <c r="H167" s="288" t="n">
        <v>5000</v>
      </c>
      <c r="I167" s="299">
        <f>IF(AND($F167&lt;=I$2, OR($G167="",$G167&gt;=I$2)),
  $H167 * (1 + Assumptions!$C$7) ^ INT(((YEAR(I$2)-YEAR($F167))*12 + MONTH(I$2)-MONTH($F167)) / 12),
  0)</f>
        <v/>
      </c>
      <c r="J167" s="299">
        <f>IF(AND($F167&lt;=J$2, OR($G167="",$G167&gt;=J$2)),
  $H167 * (1 + Assumptions!$C$7) ^ INT(((YEAR(J$2)-YEAR($F167))*12 + MONTH(J$2)-MONTH($F167)) / 12),
  0)</f>
        <v/>
      </c>
      <c r="K167" s="299">
        <f>IF(AND($F167&lt;=K$2, OR($G167="",$G167&gt;=K$2)),
  $H167 * (1 + Assumptions!$C$7) ^ INT(((YEAR(K$2)-YEAR($F167))*12 + MONTH(K$2)-MONTH($F167)) / 12),
  0)</f>
        <v/>
      </c>
      <c r="L167" s="299">
        <f>IF(AND($F167&lt;=L$2, OR($G167="",$G167&gt;=L$2)),
  $H167 * (1 + Assumptions!$C$7) ^ INT(((YEAR(L$2)-YEAR($F167))*12 + MONTH(L$2)-MONTH($F167)) / 12),
  0)</f>
        <v/>
      </c>
      <c r="M167" s="299">
        <f>IF(AND($F167&lt;=M$2, OR($G167="",$G167&gt;=M$2)),
  $H167 * (1 + Assumptions!$C$7) ^ INT(((YEAR(M$2)-YEAR($F167))*12 + MONTH(M$2)-MONTH($F167)) / 12),
  0)</f>
        <v/>
      </c>
      <c r="N167" s="299">
        <f>IF(AND($F167&lt;=N$2, OR($G167="",$G167&gt;=N$2)),
  $H167 * (1 + Assumptions!$C$7) ^ INT(((YEAR(N$2)-YEAR($F167))*12 + MONTH(N$2)-MONTH($F167)) / 12),
  0)</f>
        <v/>
      </c>
      <c r="O167" s="299">
        <f>IF(AND($F167&lt;=O$2, OR($G167="",$G167&gt;=O$2)),
  $H167 * (1 + Assumptions!$C$7) ^ INT(((YEAR(O$2)-YEAR($F167))*12 + MONTH(O$2)-MONTH($F167)) / 12),
  0)</f>
        <v/>
      </c>
      <c r="P167" s="299">
        <f>IF(AND($F167&lt;=P$2, OR($G167="",$G167&gt;=P$2)),
  $H167 * (1 + Assumptions!$C$7) ^ INT(((YEAR(P$2)-YEAR($F167))*12 + MONTH(P$2)-MONTH($F167)) / 12),
  0)</f>
        <v/>
      </c>
      <c r="Q167" s="299">
        <f>IF(AND($F167&lt;=Q$2, OR($G167="",$G167&gt;=Q$2)),
  $H167 * (1 + Assumptions!$C$7) ^ INT(((YEAR(Q$2)-YEAR($F167))*12 + MONTH(Q$2)-MONTH($F167)) / 12),
  0)</f>
        <v/>
      </c>
      <c r="R167" s="299">
        <f>IF(AND($F167&lt;=R$2, OR($G167="",$G167&gt;=R$2)),
  $H167 * (1 + Assumptions!$C$7) ^ INT(((YEAR(R$2)-YEAR($F167))*12 + MONTH(R$2)-MONTH($F167)) / 12),
  0)</f>
        <v/>
      </c>
      <c r="S167" s="299">
        <f>IF(AND($F167&lt;=S$2, OR($G167="",$G167&gt;=S$2)),
  $H167 * (1 + Assumptions!$C$7) ^ INT(((YEAR(S$2)-YEAR($F167))*12 + MONTH(S$2)-MONTH($F167)) / 12),
  0)</f>
        <v/>
      </c>
      <c r="T167" s="299">
        <f>IF(AND($F167&lt;=T$2, OR($G167="",$G167&gt;=T$2)),
  $H167 * (1 + Assumptions!$C$7) ^ INT(((YEAR(T$2)-YEAR($F167))*12 + MONTH(T$2)-MONTH($F167)) / 12),
  0)</f>
        <v/>
      </c>
      <c r="U167" s="299">
        <f>IF(AND($F167&lt;=U$2, OR($G167="",$G167&gt;=U$2)),
  $H167 * (1 + Assumptions!$C$7) ^ INT(((YEAR(U$2)-YEAR($F167))*12 + MONTH(U$2)-MONTH($F167)) / 12),
  0)</f>
        <v/>
      </c>
      <c r="V167" s="299">
        <f>IF(AND($F167&lt;=V$2, OR($G167="",$G167&gt;=V$2)),
  $H167 * (1 + Assumptions!$C$7) ^ INT(((YEAR(V$2)-YEAR($F167))*12 + MONTH(V$2)-MONTH($F167)) / 12),
  0)</f>
        <v/>
      </c>
      <c r="W167" s="299">
        <f>IF(AND($F167&lt;=W$2, OR($G167="",$G167&gt;=W$2)),
  $H167 * (1 + Assumptions!$C$7) ^ INT(((YEAR(W$2)-YEAR($F167))*12 + MONTH(W$2)-MONTH($F167)) / 12),
  0)</f>
        <v/>
      </c>
      <c r="X167" s="299">
        <f>IF(AND($F167&lt;=X$2, OR($G167="",$G167&gt;=X$2)),
  $H167 * (1 + Assumptions!$C$7) ^ INT(((YEAR(X$2)-YEAR($F167))*12 + MONTH(X$2)-MONTH($F167)) / 12),
  0)</f>
        <v/>
      </c>
      <c r="Y167" s="299">
        <f>IF(AND($F167&lt;=Y$2, OR($G167="",$G167&gt;=Y$2)),
  $H167 * (1 + Assumptions!$C$7) ^ INT(((YEAR(Y$2)-YEAR($F167))*12 + MONTH(Y$2)-MONTH($F167)) / 12),
  0)</f>
        <v/>
      </c>
      <c r="Z167" s="299">
        <f>IF(AND($F167&lt;=Z$2, OR($G167="",$G167&gt;=Z$2)),
  $H167 * (1 + Assumptions!$C$7) ^ INT(((YEAR(Z$2)-YEAR($F167))*12 + MONTH(Z$2)-MONTH($F167)) / 12),
  0)</f>
        <v/>
      </c>
      <c r="AA167" s="299">
        <f>IF(AND($F167&lt;=AA$2, OR($G167="",$G167&gt;=AA$2)),
  $H167 * (1 + Assumptions!$C$7) ^ INT(((YEAR(AA$2)-YEAR($F167))*12 + MONTH(AA$2)-MONTH($F167)) / 12),
  0)</f>
        <v/>
      </c>
      <c r="AB167" s="299">
        <f>IF(AND($F167&lt;=AB$2, OR($G167="",$G167&gt;=AB$2)),
  $H167 * (1 + Assumptions!$C$7) ^ INT(((YEAR(AB$2)-YEAR($F167))*12 + MONTH(AB$2)-MONTH($F167)) / 12),
  0)</f>
        <v/>
      </c>
      <c r="AC167" s="299">
        <f>IF(AND($F167&lt;=AC$2, OR($G167="",$G167&gt;=AC$2)),
  $H167 * (1 + Assumptions!$C$7) ^ INT(((YEAR(AC$2)-YEAR($F167))*12 + MONTH(AC$2)-MONTH($F167)) / 12),
  0)</f>
        <v/>
      </c>
      <c r="AD167" s="299">
        <f>IF(AND($F167&lt;=AD$2, OR($G167="",$G167&gt;=AD$2)),
  $H167 * (1 + Assumptions!$C$7) ^ INT(((YEAR(AD$2)-YEAR($F167))*12 + MONTH(AD$2)-MONTH($F167)) / 12),
  0)</f>
        <v/>
      </c>
      <c r="AE167" s="299">
        <f>IF(AND($F167&lt;=AE$2, OR($G167="",$G167&gt;=AE$2)),
  $H167 * (1 + Assumptions!$C$7) ^ INT(((YEAR(AE$2)-YEAR($F167))*12 + MONTH(AE$2)-MONTH($F167)) / 12),
  0)</f>
        <v/>
      </c>
      <c r="AF167" s="299">
        <f>IF(AND($F167&lt;=AF$2, OR($G167="",$G167&gt;=AF$2)),
  $H167 * (1 + Assumptions!$C$7) ^ INT(((YEAR(AF$2)-YEAR($F167))*12 + MONTH(AF$2)-MONTH($F167)) / 12),
  0)</f>
        <v/>
      </c>
      <c r="AG167" s="299">
        <f>IF(AND($F167&lt;=AG$2, OR($G167="",$G167&gt;=AG$2)),
  $H167 * (1 + Assumptions!$C$7) ^ INT(((YEAR(AG$2)-YEAR($F167))*12 + MONTH(AG$2)-MONTH($F167)) / 12),
  0)</f>
        <v/>
      </c>
      <c r="AH167" s="299">
        <f>IF(AND($F167&lt;=AH$2, OR($G167="",$G167&gt;=AH$2)),
  $H167 * (1 + Assumptions!$C$7) ^ INT(((YEAR(AH$2)-YEAR($F167))*12 + MONTH(AH$2)-MONTH($F167)) / 12),
  0)</f>
        <v/>
      </c>
      <c r="AI167" s="299">
        <f>IF(AND($F167&lt;=AI$2, OR($G167="",$G167&gt;=AI$2)),
  $H167 * (1 + Assumptions!$C$7) ^ INT(((YEAR(AI$2)-YEAR($F167))*12 + MONTH(AI$2)-MONTH($F167)) / 12),
  0)</f>
        <v/>
      </c>
      <c r="AJ167" s="299">
        <f>IF(AND($F167&lt;=AJ$2, OR($G167="",$G167&gt;=AJ$2)),
  $H167 * (1 + Assumptions!$C$7) ^ INT(((YEAR(AJ$2)-YEAR($F167))*12 + MONTH(AJ$2)-MONTH($F167)) / 12),
  0)</f>
        <v/>
      </c>
      <c r="AK167" s="299">
        <f>IF(AND($F167&lt;=AK$2, OR($G167="",$G167&gt;=AK$2)),
  $H167 * (1 + Assumptions!$C$7) ^ INT(((YEAR(AK$2)-YEAR($F167))*12 + MONTH(AK$2)-MONTH($F167)) / 12),
  0)</f>
        <v/>
      </c>
      <c r="AL167" s="299">
        <f>IF(AND($F167&lt;=AL$2, OR($G167="",$G167&gt;=AL$2)),
  $H167 * (1 + Assumptions!$C$7) ^ INT(((YEAR(AL$2)-YEAR($F167))*12 + MONTH(AL$2)-MONTH($F167)) / 12),
  0)</f>
        <v/>
      </c>
      <c r="AM167" s="299">
        <f>IF(AND($F167&lt;=AM$2, OR($G167="",$G167&gt;=AM$2)),
  $H167 * (1 + Assumptions!$C$7) ^ INT(((YEAR(AM$2)-YEAR($F167))*12 + MONTH(AM$2)-MONTH($F167)) / 12),
  0)</f>
        <v/>
      </c>
      <c r="AN167" s="299">
        <f>IF(AND($F167&lt;=AN$2, OR($G167="",$G167&gt;=AN$2)),
  $H167 * (1 + Assumptions!$C$7) ^ INT(((YEAR(AN$2)-YEAR($F167))*12 + MONTH(AN$2)-MONTH($F167)) / 12),
  0)</f>
        <v/>
      </c>
      <c r="AO167" s="299">
        <f>IF(AND($F167&lt;=AO$2, OR($G167="",$G167&gt;=AO$2)),
  $H167 * (1 + Assumptions!$C$7) ^ INT(((YEAR(AO$2)-YEAR($F167))*12 + MONTH(AO$2)-MONTH($F167)) / 12),
  0)</f>
        <v/>
      </c>
      <c r="AP167" s="299">
        <f>IF(AND($F167&lt;=AP$2, OR($G167="",$G167&gt;=AP$2)),
  $H167 * (1 + Assumptions!$C$7) ^ INT(((YEAR(AP$2)-YEAR($F167))*12 + MONTH(AP$2)-MONTH($F167)) / 12),
  0)</f>
        <v/>
      </c>
      <c r="AQ167" s="299">
        <f>IF(AND($F167&lt;=AQ$2, OR($G167="",$G167&gt;=AQ$2)),
  $H167 * (1 + Assumptions!$C$7) ^ INT(((YEAR(AQ$2)-YEAR($F167))*12 + MONTH(AQ$2)-MONTH($F167)) / 12),
  0)</f>
        <v/>
      </c>
      <c r="AR167" s="299">
        <f>IF(AND($F167&lt;=AR$2, OR($G167="",$G167&gt;=AR$2)),
  $H167 * (1 + Assumptions!$C$7) ^ INT(((YEAR(AR$2)-YEAR($F167))*12 + MONTH(AR$2)-MONTH($F167)) / 12),
  0)</f>
        <v/>
      </c>
      <c r="AS167" s="299">
        <f>IF(AND($F167&lt;=AS$2, OR($G167="",$G167&gt;=AS$2)),
  $H167 * (1 + Assumptions!$C$7) ^ INT(((YEAR(AS$2)-YEAR($F167))*12 + MONTH(AS$2)-MONTH($F167)) / 12),
  0)</f>
        <v/>
      </c>
      <c r="AT167" s="299">
        <f>IF(AND($F167&lt;=AT$2, OR($G167="",$G167&gt;=AT$2)),
  $H167 * (1 + Assumptions!$C$7) ^ INT(((YEAR(AT$2)-YEAR($F167))*12 + MONTH(AT$2)-MONTH($F167)) / 12),
  0)</f>
        <v/>
      </c>
      <c r="AU167" s="299">
        <f>IF(AND($F167&lt;=AU$2, OR($G167="",$G167&gt;=AU$2)),
  $H167 * (1 + Assumptions!$C$7) ^ INT(((YEAR(AU$2)-YEAR($F167))*12 + MONTH(AU$2)-MONTH($F167)) / 12),
  0)</f>
        <v/>
      </c>
      <c r="AV167" s="299">
        <f>IF(AND($F167&lt;=AV$2, OR($G167="",$G167&gt;=AV$2)),
  $H167 * (1 + Assumptions!$C$7) ^ INT(((YEAR(AV$2)-YEAR($F167))*12 + MONTH(AV$2)-MONTH($F167)) / 12),
  0)</f>
        <v/>
      </c>
      <c r="AW167" s="299">
        <f>IF(AND($F167&lt;=AW$2, OR($G167="",$G167&gt;=AW$2)),
  $H167 * (1 + Assumptions!$C$7) ^ INT(((YEAR(AW$2)-YEAR($F167))*12 + MONTH(AW$2)-MONTH($F167)) / 12),
  0)</f>
        <v/>
      </c>
      <c r="AX167" s="299">
        <f>IF(AND($F167&lt;=AX$2, OR($G167="",$G167&gt;=AX$2)),
  $H167 * (1 + Assumptions!$C$7) ^ INT(((YEAR(AX$2)-YEAR($F167))*12 + MONTH(AX$2)-MONTH($F167)) / 12),
  0)</f>
        <v/>
      </c>
      <c r="AY167" s="299">
        <f>IF(AND($F167&lt;=AY$2, OR($G167="",$G167&gt;=AY$2)),
  $H167 * (1 + Assumptions!$C$7) ^ INT(((YEAR(AY$2)-YEAR($F167))*12 + MONTH(AY$2)-MONTH($F167)) / 12),
  0)</f>
        <v/>
      </c>
      <c r="AZ167" s="299">
        <f>IF(AND($F167&lt;=AZ$2, OR($G167="",$G167&gt;=AZ$2)),
  $H167 * (1 + Assumptions!$C$7) ^ INT(((YEAR(AZ$2)-YEAR($F167))*12 + MONTH(AZ$2)-MONTH($F167)) / 12),
  0)</f>
        <v/>
      </c>
      <c r="BA167" s="299">
        <f>IF(AND($F167&lt;=BA$2, OR($G167="",$G167&gt;=BA$2)),
  $H167 * (1 + Assumptions!$C$7) ^ INT(((YEAR(BA$2)-YEAR($F167))*12 + MONTH(BA$2)-MONTH($F167)) / 12),
  0)</f>
        <v/>
      </c>
      <c r="BB167" s="299">
        <f>IF(AND($F167&lt;=BB$2, OR($G167="",$G167&gt;=BB$2)),
  $H167 * (1 + Assumptions!$C$7) ^ INT(((YEAR(BB$2)-YEAR($F167))*12 + MONTH(BB$2)-MONTH($F167)) / 12),
  0)</f>
        <v/>
      </c>
      <c r="BC167" s="299">
        <f>IF(AND($F167&lt;=BC$2, OR($G167="",$G167&gt;=BC$2)),
  $H167 * (1 + Assumptions!$C$7) ^ INT(((YEAR(BC$2)-YEAR($F167))*12 + MONTH(BC$2)-MONTH($F167)) / 12),
  0)</f>
        <v/>
      </c>
      <c r="BD167" s="299">
        <f>IF(AND($F167&lt;=BD$2, OR($G167="",$G167&gt;=BD$2)),
  $H167 * (1 + Assumptions!$C$7) ^ INT(((YEAR(BD$2)-YEAR($F167))*12 + MONTH(BD$2)-MONTH($F167)) / 12),
  0)</f>
        <v/>
      </c>
      <c r="BE167" s="299">
        <f>IF(AND($F167&lt;=BE$2, OR($G167="",$G167&gt;=BE$2)),
  $H167 * (1 + Assumptions!$C$7) ^ INT(((YEAR(BE$2)-YEAR($F167))*12 + MONTH(BE$2)-MONTH($F167)) / 12),
  0)</f>
        <v/>
      </c>
      <c r="BF167" s="299">
        <f>IF(AND($F167&lt;=BF$2, OR($G167="",$G167&gt;=BF$2)),
  $H167 * (1 + Assumptions!$C$7) ^ INT(((YEAR(BF$2)-YEAR($F167))*12 + MONTH(BF$2)-MONTH($F167)) / 12),
  0)</f>
        <v/>
      </c>
      <c r="BG167" s="299">
        <f>IF(AND($F167&lt;=BG$2, OR($G167="",$G167&gt;=BG$2)),
  $H167 * (1 + Assumptions!$C$7) ^ INT(((YEAR(BG$2)-YEAR($F167))*12 + MONTH(BG$2)-MONTH($F167)) / 12),
  0)</f>
        <v/>
      </c>
      <c r="BH167" s="299">
        <f>IF(AND($F167&lt;=BH$2, OR($G167="",$G167&gt;=BH$2)),
  $H167 * (1 + Assumptions!$C$7) ^ INT(((YEAR(BH$2)-YEAR($F167))*12 + MONTH(BH$2)-MONTH($F167)) / 12),
  0)</f>
        <v/>
      </c>
      <c r="BI167" s="299">
        <f>IF(AND($F167&lt;=BI$2, OR($G167="",$G167&gt;=BI$2)),
  $H167 * (1 + Assumptions!$C$7) ^ INT(((YEAR(BI$2)-YEAR($F167))*12 + MONTH(BI$2)-MONTH($F167)) / 12),
  0)</f>
        <v/>
      </c>
      <c r="BJ167" s="299">
        <f>IF(AND($F167&lt;=BJ$2, OR($G167="",$G167&gt;=BJ$2)),
  $H167 * (1 + Assumptions!$C$7) ^ INT(((YEAR(BJ$2)-YEAR($F167))*12 + MONTH(BJ$2)-MONTH($F167)) / 12),
  0)</f>
        <v/>
      </c>
      <c r="BK167" s="299">
        <f>IF(AND($F167&lt;=BK$2, OR($G167="",$G167&gt;=BK$2)),
  $H167 * (1 + Assumptions!$C$7) ^ INT(((YEAR(BK$2)-YEAR($F167))*12 + MONTH(BK$2)-MONTH($F167)) / 12),
  0)</f>
        <v/>
      </c>
      <c r="BL167" s="299">
        <f>IF(AND($F167&lt;=BL$2, OR($G167="",$G167&gt;=BL$2)),
  $H167 * (1 + Assumptions!$C$7) ^ INT(((YEAR(BL$2)-YEAR($F167))*12 + MONTH(BL$2)-MONTH($F167)) / 12),
  0)</f>
        <v/>
      </c>
      <c r="BM167" s="299">
        <f>IF(AND($F167&lt;=BM$2, OR($G167="",$G167&gt;=BM$2)),
  $H167 * (1 + Assumptions!$C$7) ^ INT(((YEAR(BM$2)-YEAR($F167))*12 + MONTH(BM$2)-MONTH($F167)) / 12),
  0)</f>
        <v/>
      </c>
      <c r="BN167" s="299">
        <f>IF(AND($F167&lt;=BN$2, OR($G167="",$G167&gt;=BN$2)),
  $H167 * (1 + Assumptions!$C$7) ^ INT(((YEAR(BN$2)-YEAR($F167))*12 + MONTH(BN$2)-MONTH($F167)) / 12),
  0)</f>
        <v/>
      </c>
      <c r="BO167" s="299">
        <f>IF(AND($F167&lt;=BO$2, OR($G167="",$G167&gt;=BO$2)),
  $H167 * (1 + Assumptions!$C$7) ^ INT(((YEAR(BO$2)-YEAR($F167))*12 + MONTH(BO$2)-MONTH($F167)) / 12),
  0)</f>
        <v/>
      </c>
      <c r="BP167" s="299">
        <f>IF(AND($F167&lt;=BP$2, OR($G167="",$G167&gt;=BP$2)),
  $H167 * (1 + Assumptions!$C$7) ^ INT(((YEAR(BP$2)-YEAR($F167))*12 + MONTH(BP$2)-MONTH($F167)) / 12),
  0)</f>
        <v/>
      </c>
      <c r="BQ167" s="31" t="n"/>
      <c r="BR167" s="31" t="n"/>
      <c r="BS167" s="31" t="n"/>
      <c r="BT167" s="31" t="n"/>
    </row>
    <row r="168" ht="15.75" customHeight="1" s="349">
      <c r="A168" s="321" t="n">
        <v>163</v>
      </c>
      <c r="B168" s="285" t="inlineStr">
        <is>
          <t>New hire</t>
        </is>
      </c>
      <c r="C168" s="317" t="inlineStr">
        <is>
          <t>G&amp;A</t>
        </is>
      </c>
      <c r="D168" s="317" t="inlineStr">
        <is>
          <t>Production Operator</t>
        </is>
      </c>
      <c r="E168" s="297" t="inlineStr">
        <is>
          <t>Planned</t>
        </is>
      </c>
      <c r="F168" s="318">
        <f>IF(Assumptions!$D$82=2,DATE(2029,7,1),DATE(2035,1,1))</f>
        <v/>
      </c>
      <c r="G168" s="318" t="n"/>
      <c r="H168" s="288" t="n">
        <v>5000</v>
      </c>
      <c r="I168" s="299">
        <f>IF(AND($F168&lt;=I$2, OR($G168="",$G168&gt;=I$2)),
  $H168 * (1 + Assumptions!$C$7) ^ INT(((YEAR(I$2)-YEAR($F168))*12 + MONTH(I$2)-MONTH($F168)) / 12),
  0)</f>
        <v/>
      </c>
      <c r="J168" s="299">
        <f>IF(AND($F168&lt;=J$2, OR($G168="",$G168&gt;=J$2)),
  $H168 * (1 + Assumptions!$C$7) ^ INT(((YEAR(J$2)-YEAR($F168))*12 + MONTH(J$2)-MONTH($F168)) / 12),
  0)</f>
        <v/>
      </c>
      <c r="K168" s="299">
        <f>IF(AND($F168&lt;=K$2, OR($G168="",$G168&gt;=K$2)),
  $H168 * (1 + Assumptions!$C$7) ^ INT(((YEAR(K$2)-YEAR($F168))*12 + MONTH(K$2)-MONTH($F168)) / 12),
  0)</f>
        <v/>
      </c>
      <c r="L168" s="299">
        <f>IF(AND($F168&lt;=L$2, OR($G168="",$G168&gt;=L$2)),
  $H168 * (1 + Assumptions!$C$7) ^ INT(((YEAR(L$2)-YEAR($F168))*12 + MONTH(L$2)-MONTH($F168)) / 12),
  0)</f>
        <v/>
      </c>
      <c r="M168" s="299">
        <f>IF(AND($F168&lt;=M$2, OR($G168="",$G168&gt;=M$2)),
  $H168 * (1 + Assumptions!$C$7) ^ INT(((YEAR(M$2)-YEAR($F168))*12 + MONTH(M$2)-MONTH($F168)) / 12),
  0)</f>
        <v/>
      </c>
      <c r="N168" s="299">
        <f>IF(AND($F168&lt;=N$2, OR($G168="",$G168&gt;=N$2)),
  $H168 * (1 + Assumptions!$C$7) ^ INT(((YEAR(N$2)-YEAR($F168))*12 + MONTH(N$2)-MONTH($F168)) / 12),
  0)</f>
        <v/>
      </c>
      <c r="O168" s="299">
        <f>IF(AND($F168&lt;=O$2, OR($G168="",$G168&gt;=O$2)),
  $H168 * (1 + Assumptions!$C$7) ^ INT(((YEAR(O$2)-YEAR($F168))*12 + MONTH(O$2)-MONTH($F168)) / 12),
  0)</f>
        <v/>
      </c>
      <c r="P168" s="299">
        <f>IF(AND($F168&lt;=P$2, OR($G168="",$G168&gt;=P$2)),
  $H168 * (1 + Assumptions!$C$7) ^ INT(((YEAR(P$2)-YEAR($F168))*12 + MONTH(P$2)-MONTH($F168)) / 12),
  0)</f>
        <v/>
      </c>
      <c r="Q168" s="299">
        <f>IF(AND($F168&lt;=Q$2, OR($G168="",$G168&gt;=Q$2)),
  $H168 * (1 + Assumptions!$C$7) ^ INT(((YEAR(Q$2)-YEAR($F168))*12 + MONTH(Q$2)-MONTH($F168)) / 12),
  0)</f>
        <v/>
      </c>
      <c r="R168" s="299">
        <f>IF(AND($F168&lt;=R$2, OR($G168="",$G168&gt;=R$2)),
  $H168 * (1 + Assumptions!$C$7) ^ INT(((YEAR(R$2)-YEAR($F168))*12 + MONTH(R$2)-MONTH($F168)) / 12),
  0)</f>
        <v/>
      </c>
      <c r="S168" s="299">
        <f>IF(AND($F168&lt;=S$2, OR($G168="",$G168&gt;=S$2)),
  $H168 * (1 + Assumptions!$C$7) ^ INT(((YEAR(S$2)-YEAR($F168))*12 + MONTH(S$2)-MONTH($F168)) / 12),
  0)</f>
        <v/>
      </c>
      <c r="T168" s="299">
        <f>IF(AND($F168&lt;=T$2, OR($G168="",$G168&gt;=T$2)),
  $H168 * (1 + Assumptions!$C$7) ^ INT(((YEAR(T$2)-YEAR($F168))*12 + MONTH(T$2)-MONTH($F168)) / 12),
  0)</f>
        <v/>
      </c>
      <c r="U168" s="299">
        <f>IF(AND($F168&lt;=U$2, OR($G168="",$G168&gt;=U$2)),
  $H168 * (1 + Assumptions!$C$7) ^ INT(((YEAR(U$2)-YEAR($F168))*12 + MONTH(U$2)-MONTH($F168)) / 12),
  0)</f>
        <v/>
      </c>
      <c r="V168" s="299">
        <f>IF(AND($F168&lt;=V$2, OR($G168="",$G168&gt;=V$2)),
  $H168 * (1 + Assumptions!$C$7) ^ INT(((YEAR(V$2)-YEAR($F168))*12 + MONTH(V$2)-MONTH($F168)) / 12),
  0)</f>
        <v/>
      </c>
      <c r="W168" s="299">
        <f>IF(AND($F168&lt;=W$2, OR($G168="",$G168&gt;=W$2)),
  $H168 * (1 + Assumptions!$C$7) ^ INT(((YEAR(W$2)-YEAR($F168))*12 + MONTH(W$2)-MONTH($F168)) / 12),
  0)</f>
        <v/>
      </c>
      <c r="X168" s="299">
        <f>IF(AND($F168&lt;=X$2, OR($G168="",$G168&gt;=X$2)),
  $H168 * (1 + Assumptions!$C$7) ^ INT(((YEAR(X$2)-YEAR($F168))*12 + MONTH(X$2)-MONTH($F168)) / 12),
  0)</f>
        <v/>
      </c>
      <c r="Y168" s="299">
        <f>IF(AND($F168&lt;=Y$2, OR($G168="",$G168&gt;=Y$2)),
  $H168 * (1 + Assumptions!$C$7) ^ INT(((YEAR(Y$2)-YEAR($F168))*12 + MONTH(Y$2)-MONTH($F168)) / 12),
  0)</f>
        <v/>
      </c>
      <c r="Z168" s="299">
        <f>IF(AND($F168&lt;=Z$2, OR($G168="",$G168&gt;=Z$2)),
  $H168 * (1 + Assumptions!$C$7) ^ INT(((YEAR(Z$2)-YEAR($F168))*12 + MONTH(Z$2)-MONTH($F168)) / 12),
  0)</f>
        <v/>
      </c>
      <c r="AA168" s="299">
        <f>IF(AND($F168&lt;=AA$2, OR($G168="",$G168&gt;=AA$2)),
  $H168 * (1 + Assumptions!$C$7) ^ INT(((YEAR(AA$2)-YEAR($F168))*12 + MONTH(AA$2)-MONTH($F168)) / 12),
  0)</f>
        <v/>
      </c>
      <c r="AB168" s="299">
        <f>IF(AND($F168&lt;=AB$2, OR($G168="",$G168&gt;=AB$2)),
  $H168 * (1 + Assumptions!$C$7) ^ INT(((YEAR(AB$2)-YEAR($F168))*12 + MONTH(AB$2)-MONTH($F168)) / 12),
  0)</f>
        <v/>
      </c>
      <c r="AC168" s="299">
        <f>IF(AND($F168&lt;=AC$2, OR($G168="",$G168&gt;=AC$2)),
  $H168 * (1 + Assumptions!$C$7) ^ INT(((YEAR(AC$2)-YEAR($F168))*12 + MONTH(AC$2)-MONTH($F168)) / 12),
  0)</f>
        <v/>
      </c>
      <c r="AD168" s="299">
        <f>IF(AND($F168&lt;=AD$2, OR($G168="",$G168&gt;=AD$2)),
  $H168 * (1 + Assumptions!$C$7) ^ INT(((YEAR(AD$2)-YEAR($F168))*12 + MONTH(AD$2)-MONTH($F168)) / 12),
  0)</f>
        <v/>
      </c>
      <c r="AE168" s="299">
        <f>IF(AND($F168&lt;=AE$2, OR($G168="",$G168&gt;=AE$2)),
  $H168 * (1 + Assumptions!$C$7) ^ INT(((YEAR(AE$2)-YEAR($F168))*12 + MONTH(AE$2)-MONTH($F168)) / 12),
  0)</f>
        <v/>
      </c>
      <c r="AF168" s="299">
        <f>IF(AND($F168&lt;=AF$2, OR($G168="",$G168&gt;=AF$2)),
  $H168 * (1 + Assumptions!$C$7) ^ INT(((YEAR(AF$2)-YEAR($F168))*12 + MONTH(AF$2)-MONTH($F168)) / 12),
  0)</f>
        <v/>
      </c>
      <c r="AG168" s="299">
        <f>IF(AND($F168&lt;=AG$2, OR($G168="",$G168&gt;=AG$2)),
  $H168 * (1 + Assumptions!$C$7) ^ INT(((YEAR(AG$2)-YEAR($F168))*12 + MONTH(AG$2)-MONTH($F168)) / 12),
  0)</f>
        <v/>
      </c>
      <c r="AH168" s="299">
        <f>IF(AND($F168&lt;=AH$2, OR($G168="",$G168&gt;=AH$2)),
  $H168 * (1 + Assumptions!$C$7) ^ INT(((YEAR(AH$2)-YEAR($F168))*12 + MONTH(AH$2)-MONTH($F168)) / 12),
  0)</f>
        <v/>
      </c>
      <c r="AI168" s="299">
        <f>IF(AND($F168&lt;=AI$2, OR($G168="",$G168&gt;=AI$2)),
  $H168 * (1 + Assumptions!$C$7) ^ INT(((YEAR(AI$2)-YEAR($F168))*12 + MONTH(AI$2)-MONTH($F168)) / 12),
  0)</f>
        <v/>
      </c>
      <c r="AJ168" s="299">
        <f>IF(AND($F168&lt;=AJ$2, OR($G168="",$G168&gt;=AJ$2)),
  $H168 * (1 + Assumptions!$C$7) ^ INT(((YEAR(AJ$2)-YEAR($F168))*12 + MONTH(AJ$2)-MONTH($F168)) / 12),
  0)</f>
        <v/>
      </c>
      <c r="AK168" s="299">
        <f>IF(AND($F168&lt;=AK$2, OR($G168="",$G168&gt;=AK$2)),
  $H168 * (1 + Assumptions!$C$7) ^ INT(((YEAR(AK$2)-YEAR($F168))*12 + MONTH(AK$2)-MONTH($F168)) / 12),
  0)</f>
        <v/>
      </c>
      <c r="AL168" s="299">
        <f>IF(AND($F168&lt;=AL$2, OR($G168="",$G168&gt;=AL$2)),
  $H168 * (1 + Assumptions!$C$7) ^ INT(((YEAR(AL$2)-YEAR($F168))*12 + MONTH(AL$2)-MONTH($F168)) / 12),
  0)</f>
        <v/>
      </c>
      <c r="AM168" s="299">
        <f>IF(AND($F168&lt;=AM$2, OR($G168="",$G168&gt;=AM$2)),
  $H168 * (1 + Assumptions!$C$7) ^ INT(((YEAR(AM$2)-YEAR($F168))*12 + MONTH(AM$2)-MONTH($F168)) / 12),
  0)</f>
        <v/>
      </c>
      <c r="AN168" s="299">
        <f>IF(AND($F168&lt;=AN$2, OR($G168="",$G168&gt;=AN$2)),
  $H168 * (1 + Assumptions!$C$7) ^ INT(((YEAR(AN$2)-YEAR($F168))*12 + MONTH(AN$2)-MONTH($F168)) / 12),
  0)</f>
        <v/>
      </c>
      <c r="AO168" s="299">
        <f>IF(AND($F168&lt;=AO$2, OR($G168="",$G168&gt;=AO$2)),
  $H168 * (1 + Assumptions!$C$7) ^ INT(((YEAR(AO$2)-YEAR($F168))*12 + MONTH(AO$2)-MONTH($F168)) / 12),
  0)</f>
        <v/>
      </c>
      <c r="AP168" s="299">
        <f>IF(AND($F168&lt;=AP$2, OR($G168="",$G168&gt;=AP$2)),
  $H168 * (1 + Assumptions!$C$7) ^ INT(((YEAR(AP$2)-YEAR($F168))*12 + MONTH(AP$2)-MONTH($F168)) / 12),
  0)</f>
        <v/>
      </c>
      <c r="AQ168" s="299">
        <f>IF(AND($F168&lt;=AQ$2, OR($G168="",$G168&gt;=AQ$2)),
  $H168 * (1 + Assumptions!$C$7) ^ INT(((YEAR(AQ$2)-YEAR($F168))*12 + MONTH(AQ$2)-MONTH($F168)) / 12),
  0)</f>
        <v/>
      </c>
      <c r="AR168" s="299">
        <f>IF(AND($F168&lt;=AR$2, OR($G168="",$G168&gt;=AR$2)),
  $H168 * (1 + Assumptions!$C$7) ^ INT(((YEAR(AR$2)-YEAR($F168))*12 + MONTH(AR$2)-MONTH($F168)) / 12),
  0)</f>
        <v/>
      </c>
      <c r="AS168" s="299">
        <f>IF(AND($F168&lt;=AS$2, OR($G168="",$G168&gt;=AS$2)),
  $H168 * (1 + Assumptions!$C$7) ^ INT(((YEAR(AS$2)-YEAR($F168))*12 + MONTH(AS$2)-MONTH($F168)) / 12),
  0)</f>
        <v/>
      </c>
      <c r="AT168" s="299">
        <f>IF(AND($F168&lt;=AT$2, OR($G168="",$G168&gt;=AT$2)),
  $H168 * (1 + Assumptions!$C$7) ^ INT(((YEAR(AT$2)-YEAR($F168))*12 + MONTH(AT$2)-MONTH($F168)) / 12),
  0)</f>
        <v/>
      </c>
      <c r="AU168" s="299">
        <f>IF(AND($F168&lt;=AU$2, OR($G168="",$G168&gt;=AU$2)),
  $H168 * (1 + Assumptions!$C$7) ^ INT(((YEAR(AU$2)-YEAR($F168))*12 + MONTH(AU$2)-MONTH($F168)) / 12),
  0)</f>
        <v/>
      </c>
      <c r="AV168" s="299">
        <f>IF(AND($F168&lt;=AV$2, OR($G168="",$G168&gt;=AV$2)),
  $H168 * (1 + Assumptions!$C$7) ^ INT(((YEAR(AV$2)-YEAR($F168))*12 + MONTH(AV$2)-MONTH($F168)) / 12),
  0)</f>
        <v/>
      </c>
      <c r="AW168" s="299">
        <f>IF(AND($F168&lt;=AW$2, OR($G168="",$G168&gt;=AW$2)),
  $H168 * (1 + Assumptions!$C$7) ^ INT(((YEAR(AW$2)-YEAR($F168))*12 + MONTH(AW$2)-MONTH($F168)) / 12),
  0)</f>
        <v/>
      </c>
      <c r="AX168" s="299">
        <f>IF(AND($F168&lt;=AX$2, OR($G168="",$G168&gt;=AX$2)),
  $H168 * (1 + Assumptions!$C$7) ^ INT(((YEAR(AX$2)-YEAR($F168))*12 + MONTH(AX$2)-MONTH($F168)) / 12),
  0)</f>
        <v/>
      </c>
      <c r="AY168" s="299">
        <f>IF(AND($F168&lt;=AY$2, OR($G168="",$G168&gt;=AY$2)),
  $H168 * (1 + Assumptions!$C$7) ^ INT(((YEAR(AY$2)-YEAR($F168))*12 + MONTH(AY$2)-MONTH($F168)) / 12),
  0)</f>
        <v/>
      </c>
      <c r="AZ168" s="299">
        <f>IF(AND($F168&lt;=AZ$2, OR($G168="",$G168&gt;=AZ$2)),
  $H168 * (1 + Assumptions!$C$7) ^ INT(((YEAR(AZ$2)-YEAR($F168))*12 + MONTH(AZ$2)-MONTH($F168)) / 12),
  0)</f>
        <v/>
      </c>
      <c r="BA168" s="299">
        <f>IF(AND($F168&lt;=BA$2, OR($G168="",$G168&gt;=BA$2)),
  $H168 * (1 + Assumptions!$C$7) ^ INT(((YEAR(BA$2)-YEAR($F168))*12 + MONTH(BA$2)-MONTH($F168)) / 12),
  0)</f>
        <v/>
      </c>
      <c r="BB168" s="299">
        <f>IF(AND($F168&lt;=BB$2, OR($G168="",$G168&gt;=BB$2)),
  $H168 * (1 + Assumptions!$C$7) ^ INT(((YEAR(BB$2)-YEAR($F168))*12 + MONTH(BB$2)-MONTH($F168)) / 12),
  0)</f>
        <v/>
      </c>
      <c r="BC168" s="299">
        <f>IF(AND($F168&lt;=BC$2, OR($G168="",$G168&gt;=BC$2)),
  $H168 * (1 + Assumptions!$C$7) ^ INT(((YEAR(BC$2)-YEAR($F168))*12 + MONTH(BC$2)-MONTH($F168)) / 12),
  0)</f>
        <v/>
      </c>
      <c r="BD168" s="299">
        <f>IF(AND($F168&lt;=BD$2, OR($G168="",$G168&gt;=BD$2)),
  $H168 * (1 + Assumptions!$C$7) ^ INT(((YEAR(BD$2)-YEAR($F168))*12 + MONTH(BD$2)-MONTH($F168)) / 12),
  0)</f>
        <v/>
      </c>
      <c r="BE168" s="299">
        <f>IF(AND($F168&lt;=BE$2, OR($G168="",$G168&gt;=BE$2)),
  $H168 * (1 + Assumptions!$C$7) ^ INT(((YEAR(BE$2)-YEAR($F168))*12 + MONTH(BE$2)-MONTH($F168)) / 12),
  0)</f>
        <v/>
      </c>
      <c r="BF168" s="299">
        <f>IF(AND($F168&lt;=BF$2, OR($G168="",$G168&gt;=BF$2)),
  $H168 * (1 + Assumptions!$C$7) ^ INT(((YEAR(BF$2)-YEAR($F168))*12 + MONTH(BF$2)-MONTH($F168)) / 12),
  0)</f>
        <v/>
      </c>
      <c r="BG168" s="299">
        <f>IF(AND($F168&lt;=BG$2, OR($G168="",$G168&gt;=BG$2)),
  $H168 * (1 + Assumptions!$C$7) ^ INT(((YEAR(BG$2)-YEAR($F168))*12 + MONTH(BG$2)-MONTH($F168)) / 12),
  0)</f>
        <v/>
      </c>
      <c r="BH168" s="299">
        <f>IF(AND($F168&lt;=BH$2, OR($G168="",$G168&gt;=BH$2)),
  $H168 * (1 + Assumptions!$C$7) ^ INT(((YEAR(BH$2)-YEAR($F168))*12 + MONTH(BH$2)-MONTH($F168)) / 12),
  0)</f>
        <v/>
      </c>
      <c r="BI168" s="299">
        <f>IF(AND($F168&lt;=BI$2, OR($G168="",$G168&gt;=BI$2)),
  $H168 * (1 + Assumptions!$C$7) ^ INT(((YEAR(BI$2)-YEAR($F168))*12 + MONTH(BI$2)-MONTH($F168)) / 12),
  0)</f>
        <v/>
      </c>
      <c r="BJ168" s="299">
        <f>IF(AND($F168&lt;=BJ$2, OR($G168="",$G168&gt;=BJ$2)),
  $H168 * (1 + Assumptions!$C$7) ^ INT(((YEAR(BJ$2)-YEAR($F168))*12 + MONTH(BJ$2)-MONTH($F168)) / 12),
  0)</f>
        <v/>
      </c>
      <c r="BK168" s="299">
        <f>IF(AND($F168&lt;=BK$2, OR($G168="",$G168&gt;=BK$2)),
  $H168 * (1 + Assumptions!$C$7) ^ INT(((YEAR(BK$2)-YEAR($F168))*12 + MONTH(BK$2)-MONTH($F168)) / 12),
  0)</f>
        <v/>
      </c>
      <c r="BL168" s="299">
        <f>IF(AND($F168&lt;=BL$2, OR($G168="",$G168&gt;=BL$2)),
  $H168 * (1 + Assumptions!$C$7) ^ INT(((YEAR(BL$2)-YEAR($F168))*12 + MONTH(BL$2)-MONTH($F168)) / 12),
  0)</f>
        <v/>
      </c>
      <c r="BM168" s="299">
        <f>IF(AND($F168&lt;=BM$2, OR($G168="",$G168&gt;=BM$2)),
  $H168 * (1 + Assumptions!$C$7) ^ INT(((YEAR(BM$2)-YEAR($F168))*12 + MONTH(BM$2)-MONTH($F168)) / 12),
  0)</f>
        <v/>
      </c>
      <c r="BN168" s="299">
        <f>IF(AND($F168&lt;=BN$2, OR($G168="",$G168&gt;=BN$2)),
  $H168 * (1 + Assumptions!$C$7) ^ INT(((YEAR(BN$2)-YEAR($F168))*12 + MONTH(BN$2)-MONTH($F168)) / 12),
  0)</f>
        <v/>
      </c>
      <c r="BO168" s="299">
        <f>IF(AND($F168&lt;=BO$2, OR($G168="",$G168&gt;=BO$2)),
  $H168 * (1 + Assumptions!$C$7) ^ INT(((YEAR(BO$2)-YEAR($F168))*12 + MONTH(BO$2)-MONTH($F168)) / 12),
  0)</f>
        <v/>
      </c>
      <c r="BP168" s="299">
        <f>IF(AND($F168&lt;=BP$2, OR($G168="",$G168&gt;=BP$2)),
  $H168 * (1 + Assumptions!$C$7) ^ INT(((YEAR(BP$2)-YEAR($F168))*12 + MONTH(BP$2)-MONTH($F168)) / 12),
  0)</f>
        <v/>
      </c>
      <c r="BQ168" s="31" t="n"/>
      <c r="BR168" s="31" t="n"/>
      <c r="BS168" s="31" t="n"/>
      <c r="BT168" s="31" t="n"/>
    </row>
    <row r="169" ht="15.75" customHeight="1" s="349">
      <c r="A169" s="321" t="n">
        <v>164</v>
      </c>
      <c r="B169" s="285" t="inlineStr">
        <is>
          <t>New hire</t>
        </is>
      </c>
      <c r="C169" s="317" t="inlineStr">
        <is>
          <t>G&amp;A</t>
        </is>
      </c>
      <c r="D169" s="317" t="inlineStr">
        <is>
          <t>Production Operator</t>
        </is>
      </c>
      <c r="E169" s="297" t="inlineStr">
        <is>
          <t>Planned</t>
        </is>
      </c>
      <c r="F169" s="318">
        <f>IF(Assumptions!$D$82=2,DATE(2029,7,1),DATE(2035,1,1))</f>
        <v/>
      </c>
      <c r="G169" s="318" t="n"/>
      <c r="H169" s="288" t="n">
        <v>5000</v>
      </c>
      <c r="I169" s="299">
        <f>IF(AND($F169&lt;=I$2, OR($G169="",$G169&gt;=I$2)),
  $H169 * (1 + Assumptions!$C$7) ^ INT(((YEAR(I$2)-YEAR($F169))*12 + MONTH(I$2)-MONTH($F169)) / 12),
  0)</f>
        <v/>
      </c>
      <c r="J169" s="299">
        <f>IF(AND($F169&lt;=J$2, OR($G169="",$G169&gt;=J$2)),
  $H169 * (1 + Assumptions!$C$7) ^ INT(((YEAR(J$2)-YEAR($F169))*12 + MONTH(J$2)-MONTH($F169)) / 12),
  0)</f>
        <v/>
      </c>
      <c r="K169" s="299">
        <f>IF(AND($F169&lt;=K$2, OR($G169="",$G169&gt;=K$2)),
  $H169 * (1 + Assumptions!$C$7) ^ INT(((YEAR(K$2)-YEAR($F169))*12 + MONTH(K$2)-MONTH($F169)) / 12),
  0)</f>
        <v/>
      </c>
      <c r="L169" s="299">
        <f>IF(AND($F169&lt;=L$2, OR($G169="",$G169&gt;=L$2)),
  $H169 * (1 + Assumptions!$C$7) ^ INT(((YEAR(L$2)-YEAR($F169))*12 + MONTH(L$2)-MONTH($F169)) / 12),
  0)</f>
        <v/>
      </c>
      <c r="M169" s="299">
        <f>IF(AND($F169&lt;=M$2, OR($G169="",$G169&gt;=M$2)),
  $H169 * (1 + Assumptions!$C$7) ^ INT(((YEAR(M$2)-YEAR($F169))*12 + MONTH(M$2)-MONTH($F169)) / 12),
  0)</f>
        <v/>
      </c>
      <c r="N169" s="299">
        <f>IF(AND($F169&lt;=N$2, OR($G169="",$G169&gt;=N$2)),
  $H169 * (1 + Assumptions!$C$7) ^ INT(((YEAR(N$2)-YEAR($F169))*12 + MONTH(N$2)-MONTH($F169)) / 12),
  0)</f>
        <v/>
      </c>
      <c r="O169" s="299">
        <f>IF(AND($F169&lt;=O$2, OR($G169="",$G169&gt;=O$2)),
  $H169 * (1 + Assumptions!$C$7) ^ INT(((YEAR(O$2)-YEAR($F169))*12 + MONTH(O$2)-MONTH($F169)) / 12),
  0)</f>
        <v/>
      </c>
      <c r="P169" s="299">
        <f>IF(AND($F169&lt;=P$2, OR($G169="",$G169&gt;=P$2)),
  $H169 * (1 + Assumptions!$C$7) ^ INT(((YEAR(P$2)-YEAR($F169))*12 + MONTH(P$2)-MONTH($F169)) / 12),
  0)</f>
        <v/>
      </c>
      <c r="Q169" s="299">
        <f>IF(AND($F169&lt;=Q$2, OR($G169="",$G169&gt;=Q$2)),
  $H169 * (1 + Assumptions!$C$7) ^ INT(((YEAR(Q$2)-YEAR($F169))*12 + MONTH(Q$2)-MONTH($F169)) / 12),
  0)</f>
        <v/>
      </c>
      <c r="R169" s="299">
        <f>IF(AND($F169&lt;=R$2, OR($G169="",$G169&gt;=R$2)),
  $H169 * (1 + Assumptions!$C$7) ^ INT(((YEAR(R$2)-YEAR($F169))*12 + MONTH(R$2)-MONTH($F169)) / 12),
  0)</f>
        <v/>
      </c>
      <c r="S169" s="299">
        <f>IF(AND($F169&lt;=S$2, OR($G169="",$G169&gt;=S$2)),
  $H169 * (1 + Assumptions!$C$7) ^ INT(((YEAR(S$2)-YEAR($F169))*12 + MONTH(S$2)-MONTH($F169)) / 12),
  0)</f>
        <v/>
      </c>
      <c r="T169" s="299">
        <f>IF(AND($F169&lt;=T$2, OR($G169="",$G169&gt;=T$2)),
  $H169 * (1 + Assumptions!$C$7) ^ INT(((YEAR(T$2)-YEAR($F169))*12 + MONTH(T$2)-MONTH($F169)) / 12),
  0)</f>
        <v/>
      </c>
      <c r="U169" s="299">
        <f>IF(AND($F169&lt;=U$2, OR($G169="",$G169&gt;=U$2)),
  $H169 * (1 + Assumptions!$C$7) ^ INT(((YEAR(U$2)-YEAR($F169))*12 + MONTH(U$2)-MONTH($F169)) / 12),
  0)</f>
        <v/>
      </c>
      <c r="V169" s="299">
        <f>IF(AND($F169&lt;=V$2, OR($G169="",$G169&gt;=V$2)),
  $H169 * (1 + Assumptions!$C$7) ^ INT(((YEAR(V$2)-YEAR($F169))*12 + MONTH(V$2)-MONTH($F169)) / 12),
  0)</f>
        <v/>
      </c>
      <c r="W169" s="299">
        <f>IF(AND($F169&lt;=W$2, OR($G169="",$G169&gt;=W$2)),
  $H169 * (1 + Assumptions!$C$7) ^ INT(((YEAR(W$2)-YEAR($F169))*12 + MONTH(W$2)-MONTH($F169)) / 12),
  0)</f>
        <v/>
      </c>
      <c r="X169" s="299">
        <f>IF(AND($F169&lt;=X$2, OR($G169="",$G169&gt;=X$2)),
  $H169 * (1 + Assumptions!$C$7) ^ INT(((YEAR(X$2)-YEAR($F169))*12 + MONTH(X$2)-MONTH($F169)) / 12),
  0)</f>
        <v/>
      </c>
      <c r="Y169" s="299">
        <f>IF(AND($F169&lt;=Y$2, OR($G169="",$G169&gt;=Y$2)),
  $H169 * (1 + Assumptions!$C$7) ^ INT(((YEAR(Y$2)-YEAR($F169))*12 + MONTH(Y$2)-MONTH($F169)) / 12),
  0)</f>
        <v/>
      </c>
      <c r="Z169" s="299">
        <f>IF(AND($F169&lt;=Z$2, OR($G169="",$G169&gt;=Z$2)),
  $H169 * (1 + Assumptions!$C$7) ^ INT(((YEAR(Z$2)-YEAR($F169))*12 + MONTH(Z$2)-MONTH($F169)) / 12),
  0)</f>
        <v/>
      </c>
      <c r="AA169" s="299">
        <f>IF(AND($F169&lt;=AA$2, OR($G169="",$G169&gt;=AA$2)),
  $H169 * (1 + Assumptions!$C$7) ^ INT(((YEAR(AA$2)-YEAR($F169))*12 + MONTH(AA$2)-MONTH($F169)) / 12),
  0)</f>
        <v/>
      </c>
      <c r="AB169" s="299">
        <f>IF(AND($F169&lt;=AB$2, OR($G169="",$G169&gt;=AB$2)),
  $H169 * (1 + Assumptions!$C$7) ^ INT(((YEAR(AB$2)-YEAR($F169))*12 + MONTH(AB$2)-MONTH($F169)) / 12),
  0)</f>
        <v/>
      </c>
      <c r="AC169" s="299">
        <f>IF(AND($F169&lt;=AC$2, OR($G169="",$G169&gt;=AC$2)),
  $H169 * (1 + Assumptions!$C$7) ^ INT(((YEAR(AC$2)-YEAR($F169))*12 + MONTH(AC$2)-MONTH($F169)) / 12),
  0)</f>
        <v/>
      </c>
      <c r="AD169" s="299">
        <f>IF(AND($F169&lt;=AD$2, OR($G169="",$G169&gt;=AD$2)),
  $H169 * (1 + Assumptions!$C$7) ^ INT(((YEAR(AD$2)-YEAR($F169))*12 + MONTH(AD$2)-MONTH($F169)) / 12),
  0)</f>
        <v/>
      </c>
      <c r="AE169" s="299">
        <f>IF(AND($F169&lt;=AE$2, OR($G169="",$G169&gt;=AE$2)),
  $H169 * (1 + Assumptions!$C$7) ^ INT(((YEAR(AE$2)-YEAR($F169))*12 + MONTH(AE$2)-MONTH($F169)) / 12),
  0)</f>
        <v/>
      </c>
      <c r="AF169" s="299">
        <f>IF(AND($F169&lt;=AF$2, OR($G169="",$G169&gt;=AF$2)),
  $H169 * (1 + Assumptions!$C$7) ^ INT(((YEAR(AF$2)-YEAR($F169))*12 + MONTH(AF$2)-MONTH($F169)) / 12),
  0)</f>
        <v/>
      </c>
      <c r="AG169" s="299">
        <f>IF(AND($F169&lt;=AG$2, OR($G169="",$G169&gt;=AG$2)),
  $H169 * (1 + Assumptions!$C$7) ^ INT(((YEAR(AG$2)-YEAR($F169))*12 + MONTH(AG$2)-MONTH($F169)) / 12),
  0)</f>
        <v/>
      </c>
      <c r="AH169" s="299">
        <f>IF(AND($F169&lt;=AH$2, OR($G169="",$G169&gt;=AH$2)),
  $H169 * (1 + Assumptions!$C$7) ^ INT(((YEAR(AH$2)-YEAR($F169))*12 + MONTH(AH$2)-MONTH($F169)) / 12),
  0)</f>
        <v/>
      </c>
      <c r="AI169" s="299">
        <f>IF(AND($F169&lt;=AI$2, OR($G169="",$G169&gt;=AI$2)),
  $H169 * (1 + Assumptions!$C$7) ^ INT(((YEAR(AI$2)-YEAR($F169))*12 + MONTH(AI$2)-MONTH($F169)) / 12),
  0)</f>
        <v/>
      </c>
      <c r="AJ169" s="299">
        <f>IF(AND($F169&lt;=AJ$2, OR($G169="",$G169&gt;=AJ$2)),
  $H169 * (1 + Assumptions!$C$7) ^ INT(((YEAR(AJ$2)-YEAR($F169))*12 + MONTH(AJ$2)-MONTH($F169)) / 12),
  0)</f>
        <v/>
      </c>
      <c r="AK169" s="299">
        <f>IF(AND($F169&lt;=AK$2, OR($G169="",$G169&gt;=AK$2)),
  $H169 * (1 + Assumptions!$C$7) ^ INT(((YEAR(AK$2)-YEAR($F169))*12 + MONTH(AK$2)-MONTH($F169)) / 12),
  0)</f>
        <v/>
      </c>
      <c r="AL169" s="299">
        <f>IF(AND($F169&lt;=AL$2, OR($G169="",$G169&gt;=AL$2)),
  $H169 * (1 + Assumptions!$C$7) ^ INT(((YEAR(AL$2)-YEAR($F169))*12 + MONTH(AL$2)-MONTH($F169)) / 12),
  0)</f>
        <v/>
      </c>
      <c r="AM169" s="299">
        <f>IF(AND($F169&lt;=AM$2, OR($G169="",$G169&gt;=AM$2)),
  $H169 * (1 + Assumptions!$C$7) ^ INT(((YEAR(AM$2)-YEAR($F169))*12 + MONTH(AM$2)-MONTH($F169)) / 12),
  0)</f>
        <v/>
      </c>
      <c r="AN169" s="299">
        <f>IF(AND($F169&lt;=AN$2, OR($G169="",$G169&gt;=AN$2)),
  $H169 * (1 + Assumptions!$C$7) ^ INT(((YEAR(AN$2)-YEAR($F169))*12 + MONTH(AN$2)-MONTH($F169)) / 12),
  0)</f>
        <v/>
      </c>
      <c r="AO169" s="299">
        <f>IF(AND($F169&lt;=AO$2, OR($G169="",$G169&gt;=AO$2)),
  $H169 * (1 + Assumptions!$C$7) ^ INT(((YEAR(AO$2)-YEAR($F169))*12 + MONTH(AO$2)-MONTH($F169)) / 12),
  0)</f>
        <v/>
      </c>
      <c r="AP169" s="299">
        <f>IF(AND($F169&lt;=AP$2, OR($G169="",$G169&gt;=AP$2)),
  $H169 * (1 + Assumptions!$C$7) ^ INT(((YEAR(AP$2)-YEAR($F169))*12 + MONTH(AP$2)-MONTH($F169)) / 12),
  0)</f>
        <v/>
      </c>
      <c r="AQ169" s="299">
        <f>IF(AND($F169&lt;=AQ$2, OR($G169="",$G169&gt;=AQ$2)),
  $H169 * (1 + Assumptions!$C$7) ^ INT(((YEAR(AQ$2)-YEAR($F169))*12 + MONTH(AQ$2)-MONTH($F169)) / 12),
  0)</f>
        <v/>
      </c>
      <c r="AR169" s="299">
        <f>IF(AND($F169&lt;=AR$2, OR($G169="",$G169&gt;=AR$2)),
  $H169 * (1 + Assumptions!$C$7) ^ INT(((YEAR(AR$2)-YEAR($F169))*12 + MONTH(AR$2)-MONTH($F169)) / 12),
  0)</f>
        <v/>
      </c>
      <c r="AS169" s="299">
        <f>IF(AND($F169&lt;=AS$2, OR($G169="",$G169&gt;=AS$2)),
  $H169 * (1 + Assumptions!$C$7) ^ INT(((YEAR(AS$2)-YEAR($F169))*12 + MONTH(AS$2)-MONTH($F169)) / 12),
  0)</f>
        <v/>
      </c>
      <c r="AT169" s="299">
        <f>IF(AND($F169&lt;=AT$2, OR($G169="",$G169&gt;=AT$2)),
  $H169 * (1 + Assumptions!$C$7) ^ INT(((YEAR(AT$2)-YEAR($F169))*12 + MONTH(AT$2)-MONTH($F169)) / 12),
  0)</f>
        <v/>
      </c>
      <c r="AU169" s="299">
        <f>IF(AND($F169&lt;=AU$2, OR($G169="",$G169&gt;=AU$2)),
  $H169 * (1 + Assumptions!$C$7) ^ INT(((YEAR(AU$2)-YEAR($F169))*12 + MONTH(AU$2)-MONTH($F169)) / 12),
  0)</f>
        <v/>
      </c>
      <c r="AV169" s="299">
        <f>IF(AND($F169&lt;=AV$2, OR($G169="",$G169&gt;=AV$2)),
  $H169 * (1 + Assumptions!$C$7) ^ INT(((YEAR(AV$2)-YEAR($F169))*12 + MONTH(AV$2)-MONTH($F169)) / 12),
  0)</f>
        <v/>
      </c>
      <c r="AW169" s="299">
        <f>IF(AND($F169&lt;=AW$2, OR($G169="",$G169&gt;=AW$2)),
  $H169 * (1 + Assumptions!$C$7) ^ INT(((YEAR(AW$2)-YEAR($F169))*12 + MONTH(AW$2)-MONTH($F169)) / 12),
  0)</f>
        <v/>
      </c>
      <c r="AX169" s="299">
        <f>IF(AND($F169&lt;=AX$2, OR($G169="",$G169&gt;=AX$2)),
  $H169 * (1 + Assumptions!$C$7) ^ INT(((YEAR(AX$2)-YEAR($F169))*12 + MONTH(AX$2)-MONTH($F169)) / 12),
  0)</f>
        <v/>
      </c>
      <c r="AY169" s="299">
        <f>IF(AND($F169&lt;=AY$2, OR($G169="",$G169&gt;=AY$2)),
  $H169 * (1 + Assumptions!$C$7) ^ INT(((YEAR(AY$2)-YEAR($F169))*12 + MONTH(AY$2)-MONTH($F169)) / 12),
  0)</f>
        <v/>
      </c>
      <c r="AZ169" s="299">
        <f>IF(AND($F169&lt;=AZ$2, OR($G169="",$G169&gt;=AZ$2)),
  $H169 * (1 + Assumptions!$C$7) ^ INT(((YEAR(AZ$2)-YEAR($F169))*12 + MONTH(AZ$2)-MONTH($F169)) / 12),
  0)</f>
        <v/>
      </c>
      <c r="BA169" s="299">
        <f>IF(AND($F169&lt;=BA$2, OR($G169="",$G169&gt;=BA$2)),
  $H169 * (1 + Assumptions!$C$7) ^ INT(((YEAR(BA$2)-YEAR($F169))*12 + MONTH(BA$2)-MONTH($F169)) / 12),
  0)</f>
        <v/>
      </c>
      <c r="BB169" s="299">
        <f>IF(AND($F169&lt;=BB$2, OR($G169="",$G169&gt;=BB$2)),
  $H169 * (1 + Assumptions!$C$7) ^ INT(((YEAR(BB$2)-YEAR($F169))*12 + MONTH(BB$2)-MONTH($F169)) / 12),
  0)</f>
        <v/>
      </c>
      <c r="BC169" s="299">
        <f>IF(AND($F169&lt;=BC$2, OR($G169="",$G169&gt;=BC$2)),
  $H169 * (1 + Assumptions!$C$7) ^ INT(((YEAR(BC$2)-YEAR($F169))*12 + MONTH(BC$2)-MONTH($F169)) / 12),
  0)</f>
        <v/>
      </c>
      <c r="BD169" s="299">
        <f>IF(AND($F169&lt;=BD$2, OR($G169="",$G169&gt;=BD$2)),
  $H169 * (1 + Assumptions!$C$7) ^ INT(((YEAR(BD$2)-YEAR($F169))*12 + MONTH(BD$2)-MONTH($F169)) / 12),
  0)</f>
        <v/>
      </c>
      <c r="BE169" s="299">
        <f>IF(AND($F169&lt;=BE$2, OR($G169="",$G169&gt;=BE$2)),
  $H169 * (1 + Assumptions!$C$7) ^ INT(((YEAR(BE$2)-YEAR($F169))*12 + MONTH(BE$2)-MONTH($F169)) / 12),
  0)</f>
        <v/>
      </c>
      <c r="BF169" s="299">
        <f>IF(AND($F169&lt;=BF$2, OR($G169="",$G169&gt;=BF$2)),
  $H169 * (1 + Assumptions!$C$7) ^ INT(((YEAR(BF$2)-YEAR($F169))*12 + MONTH(BF$2)-MONTH($F169)) / 12),
  0)</f>
        <v/>
      </c>
      <c r="BG169" s="299">
        <f>IF(AND($F169&lt;=BG$2, OR($G169="",$G169&gt;=BG$2)),
  $H169 * (1 + Assumptions!$C$7) ^ INT(((YEAR(BG$2)-YEAR($F169))*12 + MONTH(BG$2)-MONTH($F169)) / 12),
  0)</f>
        <v/>
      </c>
      <c r="BH169" s="299">
        <f>IF(AND($F169&lt;=BH$2, OR($G169="",$G169&gt;=BH$2)),
  $H169 * (1 + Assumptions!$C$7) ^ INT(((YEAR(BH$2)-YEAR($F169))*12 + MONTH(BH$2)-MONTH($F169)) / 12),
  0)</f>
        <v/>
      </c>
      <c r="BI169" s="299">
        <f>IF(AND($F169&lt;=BI$2, OR($G169="",$G169&gt;=BI$2)),
  $H169 * (1 + Assumptions!$C$7) ^ INT(((YEAR(BI$2)-YEAR($F169))*12 + MONTH(BI$2)-MONTH($F169)) / 12),
  0)</f>
        <v/>
      </c>
      <c r="BJ169" s="299">
        <f>IF(AND($F169&lt;=BJ$2, OR($G169="",$G169&gt;=BJ$2)),
  $H169 * (1 + Assumptions!$C$7) ^ INT(((YEAR(BJ$2)-YEAR($F169))*12 + MONTH(BJ$2)-MONTH($F169)) / 12),
  0)</f>
        <v/>
      </c>
      <c r="BK169" s="299">
        <f>IF(AND($F169&lt;=BK$2, OR($G169="",$G169&gt;=BK$2)),
  $H169 * (1 + Assumptions!$C$7) ^ INT(((YEAR(BK$2)-YEAR($F169))*12 + MONTH(BK$2)-MONTH($F169)) / 12),
  0)</f>
        <v/>
      </c>
      <c r="BL169" s="299">
        <f>IF(AND($F169&lt;=BL$2, OR($G169="",$G169&gt;=BL$2)),
  $H169 * (1 + Assumptions!$C$7) ^ INT(((YEAR(BL$2)-YEAR($F169))*12 + MONTH(BL$2)-MONTH($F169)) / 12),
  0)</f>
        <v/>
      </c>
      <c r="BM169" s="299">
        <f>IF(AND($F169&lt;=BM$2, OR($G169="",$G169&gt;=BM$2)),
  $H169 * (1 + Assumptions!$C$7) ^ INT(((YEAR(BM$2)-YEAR($F169))*12 + MONTH(BM$2)-MONTH($F169)) / 12),
  0)</f>
        <v/>
      </c>
      <c r="BN169" s="299">
        <f>IF(AND($F169&lt;=BN$2, OR($G169="",$G169&gt;=BN$2)),
  $H169 * (1 + Assumptions!$C$7) ^ INT(((YEAR(BN$2)-YEAR($F169))*12 + MONTH(BN$2)-MONTH($F169)) / 12),
  0)</f>
        <v/>
      </c>
      <c r="BO169" s="299">
        <f>IF(AND($F169&lt;=BO$2, OR($G169="",$G169&gt;=BO$2)),
  $H169 * (1 + Assumptions!$C$7) ^ INT(((YEAR(BO$2)-YEAR($F169))*12 + MONTH(BO$2)-MONTH($F169)) / 12),
  0)</f>
        <v/>
      </c>
      <c r="BP169" s="299">
        <f>IF(AND($F169&lt;=BP$2, OR($G169="",$G169&gt;=BP$2)),
  $H169 * (1 + Assumptions!$C$7) ^ INT(((YEAR(BP$2)-YEAR($F169))*12 + MONTH(BP$2)-MONTH($F169)) / 12),
  0)</f>
        <v/>
      </c>
      <c r="BQ169" s="31" t="n"/>
      <c r="BR169" s="31" t="n"/>
      <c r="BS169" s="31" t="n"/>
      <c r="BT169" s="31" t="n"/>
    </row>
    <row r="170" ht="15.75" customHeight="1" s="349">
      <c r="A170" s="321" t="n">
        <v>165</v>
      </c>
      <c r="B170" s="285" t="inlineStr">
        <is>
          <t>New hire</t>
        </is>
      </c>
      <c r="C170" s="317" t="inlineStr">
        <is>
          <t>G&amp;A</t>
        </is>
      </c>
      <c r="D170" s="317" t="inlineStr">
        <is>
          <t>Production Operator</t>
        </is>
      </c>
      <c r="E170" s="297" t="inlineStr">
        <is>
          <t>Planned</t>
        </is>
      </c>
      <c r="F170" s="318">
        <f>IF(Assumptions!$D$82=2,DATE(2029,7,1),DATE(2035,1,1))</f>
        <v/>
      </c>
      <c r="G170" s="318" t="n"/>
      <c r="H170" s="288" t="n">
        <v>5000</v>
      </c>
      <c r="I170" s="299">
        <f>IF(AND($F170&lt;=I$2, OR($G170="",$G170&gt;=I$2)),
  $H170 * (1 + Assumptions!$C$7) ^ INT(((YEAR(I$2)-YEAR($F170))*12 + MONTH(I$2)-MONTH($F170)) / 12),
  0)</f>
        <v/>
      </c>
      <c r="J170" s="299">
        <f>IF(AND($F170&lt;=J$2, OR($G170="",$G170&gt;=J$2)),
  $H170 * (1 + Assumptions!$C$7) ^ INT(((YEAR(J$2)-YEAR($F170))*12 + MONTH(J$2)-MONTH($F170)) / 12),
  0)</f>
        <v/>
      </c>
      <c r="K170" s="299">
        <f>IF(AND($F170&lt;=K$2, OR($G170="",$G170&gt;=K$2)),
  $H170 * (1 + Assumptions!$C$7) ^ INT(((YEAR(K$2)-YEAR($F170))*12 + MONTH(K$2)-MONTH($F170)) / 12),
  0)</f>
        <v/>
      </c>
      <c r="L170" s="299">
        <f>IF(AND($F170&lt;=L$2, OR($G170="",$G170&gt;=L$2)),
  $H170 * (1 + Assumptions!$C$7) ^ INT(((YEAR(L$2)-YEAR($F170))*12 + MONTH(L$2)-MONTH($F170)) / 12),
  0)</f>
        <v/>
      </c>
      <c r="M170" s="299">
        <f>IF(AND($F170&lt;=M$2, OR($G170="",$G170&gt;=M$2)),
  $H170 * (1 + Assumptions!$C$7) ^ INT(((YEAR(M$2)-YEAR($F170))*12 + MONTH(M$2)-MONTH($F170)) / 12),
  0)</f>
        <v/>
      </c>
      <c r="N170" s="299">
        <f>IF(AND($F170&lt;=N$2, OR($G170="",$G170&gt;=N$2)),
  $H170 * (1 + Assumptions!$C$7) ^ INT(((YEAR(N$2)-YEAR($F170))*12 + MONTH(N$2)-MONTH($F170)) / 12),
  0)</f>
        <v/>
      </c>
      <c r="O170" s="299">
        <f>IF(AND($F170&lt;=O$2, OR($G170="",$G170&gt;=O$2)),
  $H170 * (1 + Assumptions!$C$7) ^ INT(((YEAR(O$2)-YEAR($F170))*12 + MONTH(O$2)-MONTH($F170)) / 12),
  0)</f>
        <v/>
      </c>
      <c r="P170" s="299">
        <f>IF(AND($F170&lt;=P$2, OR($G170="",$G170&gt;=P$2)),
  $H170 * (1 + Assumptions!$C$7) ^ INT(((YEAR(P$2)-YEAR($F170))*12 + MONTH(P$2)-MONTH($F170)) / 12),
  0)</f>
        <v/>
      </c>
      <c r="Q170" s="299">
        <f>IF(AND($F170&lt;=Q$2, OR($G170="",$G170&gt;=Q$2)),
  $H170 * (1 + Assumptions!$C$7) ^ INT(((YEAR(Q$2)-YEAR($F170))*12 + MONTH(Q$2)-MONTH($F170)) / 12),
  0)</f>
        <v/>
      </c>
      <c r="R170" s="299">
        <f>IF(AND($F170&lt;=R$2, OR($G170="",$G170&gt;=R$2)),
  $H170 * (1 + Assumptions!$C$7) ^ INT(((YEAR(R$2)-YEAR($F170))*12 + MONTH(R$2)-MONTH($F170)) / 12),
  0)</f>
        <v/>
      </c>
      <c r="S170" s="299">
        <f>IF(AND($F170&lt;=S$2, OR($G170="",$G170&gt;=S$2)),
  $H170 * (1 + Assumptions!$C$7) ^ INT(((YEAR(S$2)-YEAR($F170))*12 + MONTH(S$2)-MONTH($F170)) / 12),
  0)</f>
        <v/>
      </c>
      <c r="T170" s="299">
        <f>IF(AND($F170&lt;=T$2, OR($G170="",$G170&gt;=T$2)),
  $H170 * (1 + Assumptions!$C$7) ^ INT(((YEAR(T$2)-YEAR($F170))*12 + MONTH(T$2)-MONTH($F170)) / 12),
  0)</f>
        <v/>
      </c>
      <c r="U170" s="299">
        <f>IF(AND($F170&lt;=U$2, OR($G170="",$G170&gt;=U$2)),
  $H170 * (1 + Assumptions!$C$7) ^ INT(((YEAR(U$2)-YEAR($F170))*12 + MONTH(U$2)-MONTH($F170)) / 12),
  0)</f>
        <v/>
      </c>
      <c r="V170" s="299">
        <f>IF(AND($F170&lt;=V$2, OR($G170="",$G170&gt;=V$2)),
  $H170 * (1 + Assumptions!$C$7) ^ INT(((YEAR(V$2)-YEAR($F170))*12 + MONTH(V$2)-MONTH($F170)) / 12),
  0)</f>
        <v/>
      </c>
      <c r="W170" s="299">
        <f>IF(AND($F170&lt;=W$2, OR($G170="",$G170&gt;=W$2)),
  $H170 * (1 + Assumptions!$C$7) ^ INT(((YEAR(W$2)-YEAR($F170))*12 + MONTH(W$2)-MONTH($F170)) / 12),
  0)</f>
        <v/>
      </c>
      <c r="X170" s="299">
        <f>IF(AND($F170&lt;=X$2, OR($G170="",$G170&gt;=X$2)),
  $H170 * (1 + Assumptions!$C$7) ^ INT(((YEAR(X$2)-YEAR($F170))*12 + MONTH(X$2)-MONTH($F170)) / 12),
  0)</f>
        <v/>
      </c>
      <c r="Y170" s="299">
        <f>IF(AND($F170&lt;=Y$2, OR($G170="",$G170&gt;=Y$2)),
  $H170 * (1 + Assumptions!$C$7) ^ INT(((YEAR(Y$2)-YEAR($F170))*12 + MONTH(Y$2)-MONTH($F170)) / 12),
  0)</f>
        <v/>
      </c>
      <c r="Z170" s="299">
        <f>IF(AND($F170&lt;=Z$2, OR($G170="",$G170&gt;=Z$2)),
  $H170 * (1 + Assumptions!$C$7) ^ INT(((YEAR(Z$2)-YEAR($F170))*12 + MONTH(Z$2)-MONTH($F170)) / 12),
  0)</f>
        <v/>
      </c>
      <c r="AA170" s="299">
        <f>IF(AND($F170&lt;=AA$2, OR($G170="",$G170&gt;=AA$2)),
  $H170 * (1 + Assumptions!$C$7) ^ INT(((YEAR(AA$2)-YEAR($F170))*12 + MONTH(AA$2)-MONTH($F170)) / 12),
  0)</f>
        <v/>
      </c>
      <c r="AB170" s="299">
        <f>IF(AND($F170&lt;=AB$2, OR($G170="",$G170&gt;=AB$2)),
  $H170 * (1 + Assumptions!$C$7) ^ INT(((YEAR(AB$2)-YEAR($F170))*12 + MONTH(AB$2)-MONTH($F170)) / 12),
  0)</f>
        <v/>
      </c>
      <c r="AC170" s="299">
        <f>IF(AND($F170&lt;=AC$2, OR($G170="",$G170&gt;=AC$2)),
  $H170 * (1 + Assumptions!$C$7) ^ INT(((YEAR(AC$2)-YEAR($F170))*12 + MONTH(AC$2)-MONTH($F170)) / 12),
  0)</f>
        <v/>
      </c>
      <c r="AD170" s="299">
        <f>IF(AND($F170&lt;=AD$2, OR($G170="",$G170&gt;=AD$2)),
  $H170 * (1 + Assumptions!$C$7) ^ INT(((YEAR(AD$2)-YEAR($F170))*12 + MONTH(AD$2)-MONTH($F170)) / 12),
  0)</f>
        <v/>
      </c>
      <c r="AE170" s="299">
        <f>IF(AND($F170&lt;=AE$2, OR($G170="",$G170&gt;=AE$2)),
  $H170 * (1 + Assumptions!$C$7) ^ INT(((YEAR(AE$2)-YEAR($F170))*12 + MONTH(AE$2)-MONTH($F170)) / 12),
  0)</f>
        <v/>
      </c>
      <c r="AF170" s="299">
        <f>IF(AND($F170&lt;=AF$2, OR($G170="",$G170&gt;=AF$2)),
  $H170 * (1 + Assumptions!$C$7) ^ INT(((YEAR(AF$2)-YEAR($F170))*12 + MONTH(AF$2)-MONTH($F170)) / 12),
  0)</f>
        <v/>
      </c>
      <c r="AG170" s="299">
        <f>IF(AND($F170&lt;=AG$2, OR($G170="",$G170&gt;=AG$2)),
  $H170 * (1 + Assumptions!$C$7) ^ INT(((YEAR(AG$2)-YEAR($F170))*12 + MONTH(AG$2)-MONTH($F170)) / 12),
  0)</f>
        <v/>
      </c>
      <c r="AH170" s="299">
        <f>IF(AND($F170&lt;=AH$2, OR($G170="",$G170&gt;=AH$2)),
  $H170 * (1 + Assumptions!$C$7) ^ INT(((YEAR(AH$2)-YEAR($F170))*12 + MONTH(AH$2)-MONTH($F170)) / 12),
  0)</f>
        <v/>
      </c>
      <c r="AI170" s="299">
        <f>IF(AND($F170&lt;=AI$2, OR($G170="",$G170&gt;=AI$2)),
  $H170 * (1 + Assumptions!$C$7) ^ INT(((YEAR(AI$2)-YEAR($F170))*12 + MONTH(AI$2)-MONTH($F170)) / 12),
  0)</f>
        <v/>
      </c>
      <c r="AJ170" s="299">
        <f>IF(AND($F170&lt;=AJ$2, OR($G170="",$G170&gt;=AJ$2)),
  $H170 * (1 + Assumptions!$C$7) ^ INT(((YEAR(AJ$2)-YEAR($F170))*12 + MONTH(AJ$2)-MONTH($F170)) / 12),
  0)</f>
        <v/>
      </c>
      <c r="AK170" s="299">
        <f>IF(AND($F170&lt;=AK$2, OR($G170="",$G170&gt;=AK$2)),
  $H170 * (1 + Assumptions!$C$7) ^ INT(((YEAR(AK$2)-YEAR($F170))*12 + MONTH(AK$2)-MONTH($F170)) / 12),
  0)</f>
        <v/>
      </c>
      <c r="AL170" s="299">
        <f>IF(AND($F170&lt;=AL$2, OR($G170="",$G170&gt;=AL$2)),
  $H170 * (1 + Assumptions!$C$7) ^ INT(((YEAR(AL$2)-YEAR($F170))*12 + MONTH(AL$2)-MONTH($F170)) / 12),
  0)</f>
        <v/>
      </c>
      <c r="AM170" s="299">
        <f>IF(AND($F170&lt;=AM$2, OR($G170="",$G170&gt;=AM$2)),
  $H170 * (1 + Assumptions!$C$7) ^ INT(((YEAR(AM$2)-YEAR($F170))*12 + MONTH(AM$2)-MONTH($F170)) / 12),
  0)</f>
        <v/>
      </c>
      <c r="AN170" s="299">
        <f>IF(AND($F170&lt;=AN$2, OR($G170="",$G170&gt;=AN$2)),
  $H170 * (1 + Assumptions!$C$7) ^ INT(((YEAR(AN$2)-YEAR($F170))*12 + MONTH(AN$2)-MONTH($F170)) / 12),
  0)</f>
        <v/>
      </c>
      <c r="AO170" s="299">
        <f>IF(AND($F170&lt;=AO$2, OR($G170="",$G170&gt;=AO$2)),
  $H170 * (1 + Assumptions!$C$7) ^ INT(((YEAR(AO$2)-YEAR($F170))*12 + MONTH(AO$2)-MONTH($F170)) / 12),
  0)</f>
        <v/>
      </c>
      <c r="AP170" s="299">
        <f>IF(AND($F170&lt;=AP$2, OR($G170="",$G170&gt;=AP$2)),
  $H170 * (1 + Assumptions!$C$7) ^ INT(((YEAR(AP$2)-YEAR($F170))*12 + MONTH(AP$2)-MONTH($F170)) / 12),
  0)</f>
        <v/>
      </c>
      <c r="AQ170" s="299">
        <f>IF(AND($F170&lt;=AQ$2, OR($G170="",$G170&gt;=AQ$2)),
  $H170 * (1 + Assumptions!$C$7) ^ INT(((YEAR(AQ$2)-YEAR($F170))*12 + MONTH(AQ$2)-MONTH($F170)) / 12),
  0)</f>
        <v/>
      </c>
      <c r="AR170" s="299">
        <f>IF(AND($F170&lt;=AR$2, OR($G170="",$G170&gt;=AR$2)),
  $H170 * (1 + Assumptions!$C$7) ^ INT(((YEAR(AR$2)-YEAR($F170))*12 + MONTH(AR$2)-MONTH($F170)) / 12),
  0)</f>
        <v/>
      </c>
      <c r="AS170" s="299">
        <f>IF(AND($F170&lt;=AS$2, OR($G170="",$G170&gt;=AS$2)),
  $H170 * (1 + Assumptions!$C$7) ^ INT(((YEAR(AS$2)-YEAR($F170))*12 + MONTH(AS$2)-MONTH($F170)) / 12),
  0)</f>
        <v/>
      </c>
      <c r="AT170" s="299">
        <f>IF(AND($F170&lt;=AT$2, OR($G170="",$G170&gt;=AT$2)),
  $H170 * (1 + Assumptions!$C$7) ^ INT(((YEAR(AT$2)-YEAR($F170))*12 + MONTH(AT$2)-MONTH($F170)) / 12),
  0)</f>
        <v/>
      </c>
      <c r="AU170" s="299">
        <f>IF(AND($F170&lt;=AU$2, OR($G170="",$G170&gt;=AU$2)),
  $H170 * (1 + Assumptions!$C$7) ^ INT(((YEAR(AU$2)-YEAR($F170))*12 + MONTH(AU$2)-MONTH($F170)) / 12),
  0)</f>
        <v/>
      </c>
      <c r="AV170" s="299">
        <f>IF(AND($F170&lt;=AV$2, OR($G170="",$G170&gt;=AV$2)),
  $H170 * (1 + Assumptions!$C$7) ^ INT(((YEAR(AV$2)-YEAR($F170))*12 + MONTH(AV$2)-MONTH($F170)) / 12),
  0)</f>
        <v/>
      </c>
      <c r="AW170" s="299">
        <f>IF(AND($F170&lt;=AW$2, OR($G170="",$G170&gt;=AW$2)),
  $H170 * (1 + Assumptions!$C$7) ^ INT(((YEAR(AW$2)-YEAR($F170))*12 + MONTH(AW$2)-MONTH($F170)) / 12),
  0)</f>
        <v/>
      </c>
      <c r="AX170" s="299">
        <f>IF(AND($F170&lt;=AX$2, OR($G170="",$G170&gt;=AX$2)),
  $H170 * (1 + Assumptions!$C$7) ^ INT(((YEAR(AX$2)-YEAR($F170))*12 + MONTH(AX$2)-MONTH($F170)) / 12),
  0)</f>
        <v/>
      </c>
      <c r="AY170" s="299">
        <f>IF(AND($F170&lt;=AY$2, OR($G170="",$G170&gt;=AY$2)),
  $H170 * (1 + Assumptions!$C$7) ^ INT(((YEAR(AY$2)-YEAR($F170))*12 + MONTH(AY$2)-MONTH($F170)) / 12),
  0)</f>
        <v/>
      </c>
      <c r="AZ170" s="299">
        <f>IF(AND($F170&lt;=AZ$2, OR($G170="",$G170&gt;=AZ$2)),
  $H170 * (1 + Assumptions!$C$7) ^ INT(((YEAR(AZ$2)-YEAR($F170))*12 + MONTH(AZ$2)-MONTH($F170)) / 12),
  0)</f>
        <v/>
      </c>
      <c r="BA170" s="299">
        <f>IF(AND($F170&lt;=BA$2, OR($G170="",$G170&gt;=BA$2)),
  $H170 * (1 + Assumptions!$C$7) ^ INT(((YEAR(BA$2)-YEAR($F170))*12 + MONTH(BA$2)-MONTH($F170)) / 12),
  0)</f>
        <v/>
      </c>
      <c r="BB170" s="299">
        <f>IF(AND($F170&lt;=BB$2, OR($G170="",$G170&gt;=BB$2)),
  $H170 * (1 + Assumptions!$C$7) ^ INT(((YEAR(BB$2)-YEAR($F170))*12 + MONTH(BB$2)-MONTH($F170)) / 12),
  0)</f>
        <v/>
      </c>
      <c r="BC170" s="299">
        <f>IF(AND($F170&lt;=BC$2, OR($G170="",$G170&gt;=BC$2)),
  $H170 * (1 + Assumptions!$C$7) ^ INT(((YEAR(BC$2)-YEAR($F170))*12 + MONTH(BC$2)-MONTH($F170)) / 12),
  0)</f>
        <v/>
      </c>
      <c r="BD170" s="299">
        <f>IF(AND($F170&lt;=BD$2, OR($G170="",$G170&gt;=BD$2)),
  $H170 * (1 + Assumptions!$C$7) ^ INT(((YEAR(BD$2)-YEAR($F170))*12 + MONTH(BD$2)-MONTH($F170)) / 12),
  0)</f>
        <v/>
      </c>
      <c r="BE170" s="299">
        <f>IF(AND($F170&lt;=BE$2, OR($G170="",$G170&gt;=BE$2)),
  $H170 * (1 + Assumptions!$C$7) ^ INT(((YEAR(BE$2)-YEAR($F170))*12 + MONTH(BE$2)-MONTH($F170)) / 12),
  0)</f>
        <v/>
      </c>
      <c r="BF170" s="299">
        <f>IF(AND($F170&lt;=BF$2, OR($G170="",$G170&gt;=BF$2)),
  $H170 * (1 + Assumptions!$C$7) ^ INT(((YEAR(BF$2)-YEAR($F170))*12 + MONTH(BF$2)-MONTH($F170)) / 12),
  0)</f>
        <v/>
      </c>
      <c r="BG170" s="299">
        <f>IF(AND($F170&lt;=BG$2, OR($G170="",$G170&gt;=BG$2)),
  $H170 * (1 + Assumptions!$C$7) ^ INT(((YEAR(BG$2)-YEAR($F170))*12 + MONTH(BG$2)-MONTH($F170)) / 12),
  0)</f>
        <v/>
      </c>
      <c r="BH170" s="299">
        <f>IF(AND($F170&lt;=BH$2, OR($G170="",$G170&gt;=BH$2)),
  $H170 * (1 + Assumptions!$C$7) ^ INT(((YEAR(BH$2)-YEAR($F170))*12 + MONTH(BH$2)-MONTH($F170)) / 12),
  0)</f>
        <v/>
      </c>
      <c r="BI170" s="299">
        <f>IF(AND($F170&lt;=BI$2, OR($G170="",$G170&gt;=BI$2)),
  $H170 * (1 + Assumptions!$C$7) ^ INT(((YEAR(BI$2)-YEAR($F170))*12 + MONTH(BI$2)-MONTH($F170)) / 12),
  0)</f>
        <v/>
      </c>
      <c r="BJ170" s="299">
        <f>IF(AND($F170&lt;=BJ$2, OR($G170="",$G170&gt;=BJ$2)),
  $H170 * (1 + Assumptions!$C$7) ^ INT(((YEAR(BJ$2)-YEAR($F170))*12 + MONTH(BJ$2)-MONTH($F170)) / 12),
  0)</f>
        <v/>
      </c>
      <c r="BK170" s="299">
        <f>IF(AND($F170&lt;=BK$2, OR($G170="",$G170&gt;=BK$2)),
  $H170 * (1 + Assumptions!$C$7) ^ INT(((YEAR(BK$2)-YEAR($F170))*12 + MONTH(BK$2)-MONTH($F170)) / 12),
  0)</f>
        <v/>
      </c>
      <c r="BL170" s="299">
        <f>IF(AND($F170&lt;=BL$2, OR($G170="",$G170&gt;=BL$2)),
  $H170 * (1 + Assumptions!$C$7) ^ INT(((YEAR(BL$2)-YEAR($F170))*12 + MONTH(BL$2)-MONTH($F170)) / 12),
  0)</f>
        <v/>
      </c>
      <c r="BM170" s="299">
        <f>IF(AND($F170&lt;=BM$2, OR($G170="",$G170&gt;=BM$2)),
  $H170 * (1 + Assumptions!$C$7) ^ INT(((YEAR(BM$2)-YEAR($F170))*12 + MONTH(BM$2)-MONTH($F170)) / 12),
  0)</f>
        <v/>
      </c>
      <c r="BN170" s="299">
        <f>IF(AND($F170&lt;=BN$2, OR($G170="",$G170&gt;=BN$2)),
  $H170 * (1 + Assumptions!$C$7) ^ INT(((YEAR(BN$2)-YEAR($F170))*12 + MONTH(BN$2)-MONTH($F170)) / 12),
  0)</f>
        <v/>
      </c>
      <c r="BO170" s="299">
        <f>IF(AND($F170&lt;=BO$2, OR($G170="",$G170&gt;=BO$2)),
  $H170 * (1 + Assumptions!$C$7) ^ INT(((YEAR(BO$2)-YEAR($F170))*12 + MONTH(BO$2)-MONTH($F170)) / 12),
  0)</f>
        <v/>
      </c>
      <c r="BP170" s="299">
        <f>IF(AND($F170&lt;=BP$2, OR($G170="",$G170&gt;=BP$2)),
  $H170 * (1 + Assumptions!$C$7) ^ INT(((YEAR(BP$2)-YEAR($F170))*12 + MONTH(BP$2)-MONTH($F170)) / 12),
  0)</f>
        <v/>
      </c>
      <c r="BQ170" s="31" t="n"/>
      <c r="BR170" s="31" t="n"/>
      <c r="BS170" s="31" t="n"/>
      <c r="BT170" s="31" t="n"/>
    </row>
    <row r="171" ht="15.75" customHeight="1" s="349">
      <c r="A171" s="321" t="n">
        <v>166</v>
      </c>
      <c r="B171" s="285" t="inlineStr">
        <is>
          <t>New hire</t>
        </is>
      </c>
      <c r="C171" s="317" t="inlineStr">
        <is>
          <t>G&amp;A</t>
        </is>
      </c>
      <c r="D171" s="317" t="inlineStr">
        <is>
          <t>Customer Support</t>
        </is>
      </c>
      <c r="E171" s="297" t="inlineStr">
        <is>
          <t>Planned</t>
        </is>
      </c>
      <c r="F171" s="318">
        <f>IF(Assumptions!$D$82=2,DATE(2027,1,1),DATE(2027,1,1))</f>
        <v/>
      </c>
      <c r="G171" s="318" t="n"/>
      <c r="H171" s="288" t="n">
        <v>4800</v>
      </c>
      <c r="I171" s="299">
        <f>IF(AND($F171&lt;=I$2, OR($G171="",$G171&gt;=I$2)),
  $H171 * (1 + Assumptions!$C$7) ^ INT(((YEAR(I$2)-YEAR($F171))*12 + MONTH(I$2)-MONTH($F171)) / 12),
  0)</f>
        <v/>
      </c>
      <c r="J171" s="299">
        <f>IF(AND($F171&lt;=J$2, OR($G171="",$G171&gt;=J$2)),
  $H171 * (1 + Assumptions!$C$7) ^ INT(((YEAR(J$2)-YEAR($F171))*12 + MONTH(J$2)-MONTH($F171)) / 12),
  0)</f>
        <v/>
      </c>
      <c r="K171" s="299">
        <f>IF(AND($F171&lt;=K$2, OR($G171="",$G171&gt;=K$2)),
  $H171 * (1 + Assumptions!$C$7) ^ INT(((YEAR(K$2)-YEAR($F171))*12 + MONTH(K$2)-MONTH($F171)) / 12),
  0)</f>
        <v/>
      </c>
      <c r="L171" s="299">
        <f>IF(AND($F171&lt;=L$2, OR($G171="",$G171&gt;=L$2)),
  $H171 * (1 + Assumptions!$C$7) ^ INT(((YEAR(L$2)-YEAR($F171))*12 + MONTH(L$2)-MONTH($F171)) / 12),
  0)</f>
        <v/>
      </c>
      <c r="M171" s="299">
        <f>IF(AND($F171&lt;=M$2, OR($G171="",$G171&gt;=M$2)),
  $H171 * (1 + Assumptions!$C$7) ^ INT(((YEAR(M$2)-YEAR($F171))*12 + MONTH(M$2)-MONTH($F171)) / 12),
  0)</f>
        <v/>
      </c>
      <c r="N171" s="299">
        <f>IF(AND($F171&lt;=N$2, OR($G171="",$G171&gt;=N$2)),
  $H171 * (1 + Assumptions!$C$7) ^ INT(((YEAR(N$2)-YEAR($F171))*12 + MONTH(N$2)-MONTH($F171)) / 12),
  0)</f>
        <v/>
      </c>
      <c r="O171" s="299">
        <f>IF(AND($F171&lt;=O$2, OR($G171="",$G171&gt;=O$2)),
  $H171 * (1 + Assumptions!$C$7) ^ INT(((YEAR(O$2)-YEAR($F171))*12 + MONTH(O$2)-MONTH($F171)) / 12),
  0)</f>
        <v/>
      </c>
      <c r="P171" s="299">
        <f>IF(AND($F171&lt;=P$2, OR($G171="",$G171&gt;=P$2)),
  $H171 * (1 + Assumptions!$C$7) ^ INT(((YEAR(P$2)-YEAR($F171))*12 + MONTH(P$2)-MONTH($F171)) / 12),
  0)</f>
        <v/>
      </c>
      <c r="Q171" s="299">
        <f>IF(AND($F171&lt;=Q$2, OR($G171="",$G171&gt;=Q$2)),
  $H171 * (1 + Assumptions!$C$7) ^ INT(((YEAR(Q$2)-YEAR($F171))*12 + MONTH(Q$2)-MONTH($F171)) / 12),
  0)</f>
        <v/>
      </c>
      <c r="R171" s="299">
        <f>IF(AND($F171&lt;=R$2, OR($G171="",$G171&gt;=R$2)),
  $H171 * (1 + Assumptions!$C$7) ^ INT(((YEAR(R$2)-YEAR($F171))*12 + MONTH(R$2)-MONTH($F171)) / 12),
  0)</f>
        <v/>
      </c>
      <c r="S171" s="299">
        <f>IF(AND($F171&lt;=S$2, OR($G171="",$G171&gt;=S$2)),
  $H171 * (1 + Assumptions!$C$7) ^ INT(((YEAR(S$2)-YEAR($F171))*12 + MONTH(S$2)-MONTH($F171)) / 12),
  0)</f>
        <v/>
      </c>
      <c r="T171" s="299">
        <f>IF(AND($F171&lt;=T$2, OR($G171="",$G171&gt;=T$2)),
  $H171 * (1 + Assumptions!$C$7) ^ INT(((YEAR(T$2)-YEAR($F171))*12 + MONTH(T$2)-MONTH($F171)) / 12),
  0)</f>
        <v/>
      </c>
      <c r="U171" s="299">
        <f>IF(AND($F171&lt;=U$2, OR($G171="",$G171&gt;=U$2)),
  $H171 * (1 + Assumptions!$C$7) ^ INT(((YEAR(U$2)-YEAR($F171))*12 + MONTH(U$2)-MONTH($F171)) / 12),
  0)</f>
        <v/>
      </c>
      <c r="V171" s="299">
        <f>IF(AND($F171&lt;=V$2, OR($G171="",$G171&gt;=V$2)),
  $H171 * (1 + Assumptions!$C$7) ^ INT(((YEAR(V$2)-YEAR($F171))*12 + MONTH(V$2)-MONTH($F171)) / 12),
  0)</f>
        <v/>
      </c>
      <c r="W171" s="299">
        <f>IF(AND($F171&lt;=W$2, OR($G171="",$G171&gt;=W$2)),
  $H171 * (1 + Assumptions!$C$7) ^ INT(((YEAR(W$2)-YEAR($F171))*12 + MONTH(W$2)-MONTH($F171)) / 12),
  0)</f>
        <v/>
      </c>
      <c r="X171" s="299">
        <f>IF(AND($F171&lt;=X$2, OR($G171="",$G171&gt;=X$2)),
  $H171 * (1 + Assumptions!$C$7) ^ INT(((YEAR(X$2)-YEAR($F171))*12 + MONTH(X$2)-MONTH($F171)) / 12),
  0)</f>
        <v/>
      </c>
      <c r="Y171" s="299">
        <f>IF(AND($F171&lt;=Y$2, OR($G171="",$G171&gt;=Y$2)),
  $H171 * (1 + Assumptions!$C$7) ^ INT(((YEAR(Y$2)-YEAR($F171))*12 + MONTH(Y$2)-MONTH($F171)) / 12),
  0)</f>
        <v/>
      </c>
      <c r="Z171" s="299">
        <f>IF(AND($F171&lt;=Z$2, OR($G171="",$G171&gt;=Z$2)),
  $H171 * (1 + Assumptions!$C$7) ^ INT(((YEAR(Z$2)-YEAR($F171))*12 + MONTH(Z$2)-MONTH($F171)) / 12),
  0)</f>
        <v/>
      </c>
      <c r="AA171" s="299">
        <f>IF(AND($F171&lt;=AA$2, OR($G171="",$G171&gt;=AA$2)),
  $H171 * (1 + Assumptions!$C$7) ^ INT(((YEAR(AA$2)-YEAR($F171))*12 + MONTH(AA$2)-MONTH($F171)) / 12),
  0)</f>
        <v/>
      </c>
      <c r="AB171" s="299">
        <f>IF(AND($F171&lt;=AB$2, OR($G171="",$G171&gt;=AB$2)),
  $H171 * (1 + Assumptions!$C$7) ^ INT(((YEAR(AB$2)-YEAR($F171))*12 + MONTH(AB$2)-MONTH($F171)) / 12),
  0)</f>
        <v/>
      </c>
      <c r="AC171" s="299">
        <f>IF(AND($F171&lt;=AC$2, OR($G171="",$G171&gt;=AC$2)),
  $H171 * (1 + Assumptions!$C$7) ^ INT(((YEAR(AC$2)-YEAR($F171))*12 + MONTH(AC$2)-MONTH($F171)) / 12),
  0)</f>
        <v/>
      </c>
      <c r="AD171" s="299">
        <f>IF(AND($F171&lt;=AD$2, OR($G171="",$G171&gt;=AD$2)),
  $H171 * (1 + Assumptions!$C$7) ^ INT(((YEAR(AD$2)-YEAR($F171))*12 + MONTH(AD$2)-MONTH($F171)) / 12),
  0)</f>
        <v/>
      </c>
      <c r="AE171" s="299">
        <f>IF(AND($F171&lt;=AE$2, OR($G171="",$G171&gt;=AE$2)),
  $H171 * (1 + Assumptions!$C$7) ^ INT(((YEAR(AE$2)-YEAR($F171))*12 + MONTH(AE$2)-MONTH($F171)) / 12),
  0)</f>
        <v/>
      </c>
      <c r="AF171" s="299">
        <f>IF(AND($F171&lt;=AF$2, OR($G171="",$G171&gt;=AF$2)),
  $H171 * (1 + Assumptions!$C$7) ^ INT(((YEAR(AF$2)-YEAR($F171))*12 + MONTH(AF$2)-MONTH($F171)) / 12),
  0)</f>
        <v/>
      </c>
      <c r="AG171" s="299">
        <f>IF(AND($F171&lt;=AG$2, OR($G171="",$G171&gt;=AG$2)),
  $H171 * (1 + Assumptions!$C$7) ^ INT(((YEAR(AG$2)-YEAR($F171))*12 + MONTH(AG$2)-MONTH($F171)) / 12),
  0)</f>
        <v/>
      </c>
      <c r="AH171" s="299">
        <f>IF(AND($F171&lt;=AH$2, OR($G171="",$G171&gt;=AH$2)),
  $H171 * (1 + Assumptions!$C$7) ^ INT(((YEAR(AH$2)-YEAR($F171))*12 + MONTH(AH$2)-MONTH($F171)) / 12),
  0)</f>
        <v/>
      </c>
      <c r="AI171" s="299">
        <f>IF(AND($F171&lt;=AI$2, OR($G171="",$G171&gt;=AI$2)),
  $H171 * (1 + Assumptions!$C$7) ^ INT(((YEAR(AI$2)-YEAR($F171))*12 + MONTH(AI$2)-MONTH($F171)) / 12),
  0)</f>
        <v/>
      </c>
      <c r="AJ171" s="299">
        <f>IF(AND($F171&lt;=AJ$2, OR($G171="",$G171&gt;=AJ$2)),
  $H171 * (1 + Assumptions!$C$7) ^ INT(((YEAR(AJ$2)-YEAR($F171))*12 + MONTH(AJ$2)-MONTH($F171)) / 12),
  0)</f>
        <v/>
      </c>
      <c r="AK171" s="299">
        <f>IF(AND($F171&lt;=AK$2, OR($G171="",$G171&gt;=AK$2)),
  $H171 * (1 + Assumptions!$C$7) ^ INT(((YEAR(AK$2)-YEAR($F171))*12 + MONTH(AK$2)-MONTH($F171)) / 12),
  0)</f>
        <v/>
      </c>
      <c r="AL171" s="299">
        <f>IF(AND($F171&lt;=AL$2, OR($G171="",$G171&gt;=AL$2)),
  $H171 * (1 + Assumptions!$C$7) ^ INT(((YEAR(AL$2)-YEAR($F171))*12 + MONTH(AL$2)-MONTH($F171)) / 12),
  0)</f>
        <v/>
      </c>
      <c r="AM171" s="299">
        <f>IF(AND($F171&lt;=AM$2, OR($G171="",$G171&gt;=AM$2)),
  $H171 * (1 + Assumptions!$C$7) ^ INT(((YEAR(AM$2)-YEAR($F171))*12 + MONTH(AM$2)-MONTH($F171)) / 12),
  0)</f>
        <v/>
      </c>
      <c r="AN171" s="299">
        <f>IF(AND($F171&lt;=AN$2, OR($G171="",$G171&gt;=AN$2)),
  $H171 * (1 + Assumptions!$C$7) ^ INT(((YEAR(AN$2)-YEAR($F171))*12 + MONTH(AN$2)-MONTH($F171)) / 12),
  0)</f>
        <v/>
      </c>
      <c r="AO171" s="299">
        <f>IF(AND($F171&lt;=AO$2, OR($G171="",$G171&gt;=AO$2)),
  $H171 * (1 + Assumptions!$C$7) ^ INT(((YEAR(AO$2)-YEAR($F171))*12 + MONTH(AO$2)-MONTH($F171)) / 12),
  0)</f>
        <v/>
      </c>
      <c r="AP171" s="299">
        <f>IF(AND($F171&lt;=AP$2, OR($G171="",$G171&gt;=AP$2)),
  $H171 * (1 + Assumptions!$C$7) ^ INT(((YEAR(AP$2)-YEAR($F171))*12 + MONTH(AP$2)-MONTH($F171)) / 12),
  0)</f>
        <v/>
      </c>
      <c r="AQ171" s="299">
        <f>IF(AND($F171&lt;=AQ$2, OR($G171="",$G171&gt;=AQ$2)),
  $H171 * (1 + Assumptions!$C$7) ^ INT(((YEAR(AQ$2)-YEAR($F171))*12 + MONTH(AQ$2)-MONTH($F171)) / 12),
  0)</f>
        <v/>
      </c>
      <c r="AR171" s="299">
        <f>IF(AND($F171&lt;=AR$2, OR($G171="",$G171&gt;=AR$2)),
  $H171 * (1 + Assumptions!$C$7) ^ INT(((YEAR(AR$2)-YEAR($F171))*12 + MONTH(AR$2)-MONTH($F171)) / 12),
  0)</f>
        <v/>
      </c>
      <c r="AS171" s="299">
        <f>IF(AND($F171&lt;=AS$2, OR($G171="",$G171&gt;=AS$2)),
  $H171 * (1 + Assumptions!$C$7) ^ INT(((YEAR(AS$2)-YEAR($F171))*12 + MONTH(AS$2)-MONTH($F171)) / 12),
  0)</f>
        <v/>
      </c>
      <c r="AT171" s="299">
        <f>IF(AND($F171&lt;=AT$2, OR($G171="",$G171&gt;=AT$2)),
  $H171 * (1 + Assumptions!$C$7) ^ INT(((YEAR(AT$2)-YEAR($F171))*12 + MONTH(AT$2)-MONTH($F171)) / 12),
  0)</f>
        <v/>
      </c>
      <c r="AU171" s="299">
        <f>IF(AND($F171&lt;=AU$2, OR($G171="",$G171&gt;=AU$2)),
  $H171 * (1 + Assumptions!$C$7) ^ INT(((YEAR(AU$2)-YEAR($F171))*12 + MONTH(AU$2)-MONTH($F171)) / 12),
  0)</f>
        <v/>
      </c>
      <c r="AV171" s="299">
        <f>IF(AND($F171&lt;=AV$2, OR($G171="",$G171&gt;=AV$2)),
  $H171 * (1 + Assumptions!$C$7) ^ INT(((YEAR(AV$2)-YEAR($F171))*12 + MONTH(AV$2)-MONTH($F171)) / 12),
  0)</f>
        <v/>
      </c>
      <c r="AW171" s="299">
        <f>IF(AND($F171&lt;=AW$2, OR($G171="",$G171&gt;=AW$2)),
  $H171 * (1 + Assumptions!$C$7) ^ INT(((YEAR(AW$2)-YEAR($F171))*12 + MONTH(AW$2)-MONTH($F171)) / 12),
  0)</f>
        <v/>
      </c>
      <c r="AX171" s="299">
        <f>IF(AND($F171&lt;=AX$2, OR($G171="",$G171&gt;=AX$2)),
  $H171 * (1 + Assumptions!$C$7) ^ INT(((YEAR(AX$2)-YEAR($F171))*12 + MONTH(AX$2)-MONTH($F171)) / 12),
  0)</f>
        <v/>
      </c>
      <c r="AY171" s="299">
        <f>IF(AND($F171&lt;=AY$2, OR($G171="",$G171&gt;=AY$2)),
  $H171 * (1 + Assumptions!$C$7) ^ INT(((YEAR(AY$2)-YEAR($F171))*12 + MONTH(AY$2)-MONTH($F171)) / 12),
  0)</f>
        <v/>
      </c>
      <c r="AZ171" s="299">
        <f>IF(AND($F171&lt;=AZ$2, OR($G171="",$G171&gt;=AZ$2)),
  $H171 * (1 + Assumptions!$C$7) ^ INT(((YEAR(AZ$2)-YEAR($F171))*12 + MONTH(AZ$2)-MONTH($F171)) / 12),
  0)</f>
        <v/>
      </c>
      <c r="BA171" s="299">
        <f>IF(AND($F171&lt;=BA$2, OR($G171="",$G171&gt;=BA$2)),
  $H171 * (1 + Assumptions!$C$7) ^ INT(((YEAR(BA$2)-YEAR($F171))*12 + MONTH(BA$2)-MONTH($F171)) / 12),
  0)</f>
        <v/>
      </c>
      <c r="BB171" s="299">
        <f>IF(AND($F171&lt;=BB$2, OR($G171="",$G171&gt;=BB$2)),
  $H171 * (1 + Assumptions!$C$7) ^ INT(((YEAR(BB$2)-YEAR($F171))*12 + MONTH(BB$2)-MONTH($F171)) / 12),
  0)</f>
        <v/>
      </c>
      <c r="BC171" s="299">
        <f>IF(AND($F171&lt;=BC$2, OR($G171="",$G171&gt;=BC$2)),
  $H171 * (1 + Assumptions!$C$7) ^ INT(((YEAR(BC$2)-YEAR($F171))*12 + MONTH(BC$2)-MONTH($F171)) / 12),
  0)</f>
        <v/>
      </c>
      <c r="BD171" s="299">
        <f>IF(AND($F171&lt;=BD$2, OR($G171="",$G171&gt;=BD$2)),
  $H171 * (1 + Assumptions!$C$7) ^ INT(((YEAR(BD$2)-YEAR($F171))*12 + MONTH(BD$2)-MONTH($F171)) / 12),
  0)</f>
        <v/>
      </c>
      <c r="BE171" s="299">
        <f>IF(AND($F171&lt;=BE$2, OR($G171="",$G171&gt;=BE$2)),
  $H171 * (1 + Assumptions!$C$7) ^ INT(((YEAR(BE$2)-YEAR($F171))*12 + MONTH(BE$2)-MONTH($F171)) / 12),
  0)</f>
        <v/>
      </c>
      <c r="BF171" s="299">
        <f>IF(AND($F171&lt;=BF$2, OR($G171="",$G171&gt;=BF$2)),
  $H171 * (1 + Assumptions!$C$7) ^ INT(((YEAR(BF$2)-YEAR($F171))*12 + MONTH(BF$2)-MONTH($F171)) / 12),
  0)</f>
        <v/>
      </c>
      <c r="BG171" s="299">
        <f>IF(AND($F171&lt;=BG$2, OR($G171="",$G171&gt;=BG$2)),
  $H171 * (1 + Assumptions!$C$7) ^ INT(((YEAR(BG$2)-YEAR($F171))*12 + MONTH(BG$2)-MONTH($F171)) / 12),
  0)</f>
        <v/>
      </c>
      <c r="BH171" s="299">
        <f>IF(AND($F171&lt;=BH$2, OR($G171="",$G171&gt;=BH$2)),
  $H171 * (1 + Assumptions!$C$7) ^ INT(((YEAR(BH$2)-YEAR($F171))*12 + MONTH(BH$2)-MONTH($F171)) / 12),
  0)</f>
        <v/>
      </c>
      <c r="BI171" s="299">
        <f>IF(AND($F171&lt;=BI$2, OR($G171="",$G171&gt;=BI$2)),
  $H171 * (1 + Assumptions!$C$7) ^ INT(((YEAR(BI$2)-YEAR($F171))*12 + MONTH(BI$2)-MONTH($F171)) / 12),
  0)</f>
        <v/>
      </c>
      <c r="BJ171" s="299">
        <f>IF(AND($F171&lt;=BJ$2, OR($G171="",$G171&gt;=BJ$2)),
  $H171 * (1 + Assumptions!$C$7) ^ INT(((YEAR(BJ$2)-YEAR($F171))*12 + MONTH(BJ$2)-MONTH($F171)) / 12),
  0)</f>
        <v/>
      </c>
      <c r="BK171" s="299">
        <f>IF(AND($F171&lt;=BK$2, OR($G171="",$G171&gt;=BK$2)),
  $H171 * (1 + Assumptions!$C$7) ^ INT(((YEAR(BK$2)-YEAR($F171))*12 + MONTH(BK$2)-MONTH($F171)) / 12),
  0)</f>
        <v/>
      </c>
      <c r="BL171" s="299">
        <f>IF(AND($F171&lt;=BL$2, OR($G171="",$G171&gt;=BL$2)),
  $H171 * (1 + Assumptions!$C$7) ^ INT(((YEAR(BL$2)-YEAR($F171))*12 + MONTH(BL$2)-MONTH($F171)) / 12),
  0)</f>
        <v/>
      </c>
      <c r="BM171" s="299">
        <f>IF(AND($F171&lt;=BM$2, OR($G171="",$G171&gt;=BM$2)),
  $H171 * (1 + Assumptions!$C$7) ^ INT(((YEAR(BM$2)-YEAR($F171))*12 + MONTH(BM$2)-MONTH($F171)) / 12),
  0)</f>
        <v/>
      </c>
      <c r="BN171" s="299">
        <f>IF(AND($F171&lt;=BN$2, OR($G171="",$G171&gt;=BN$2)),
  $H171 * (1 + Assumptions!$C$7) ^ INT(((YEAR(BN$2)-YEAR($F171))*12 + MONTH(BN$2)-MONTH($F171)) / 12),
  0)</f>
        <v/>
      </c>
      <c r="BO171" s="299">
        <f>IF(AND($F171&lt;=BO$2, OR($G171="",$G171&gt;=BO$2)),
  $H171 * (1 + Assumptions!$C$7) ^ INT(((YEAR(BO$2)-YEAR($F171))*12 + MONTH(BO$2)-MONTH($F171)) / 12),
  0)</f>
        <v/>
      </c>
      <c r="BP171" s="299">
        <f>IF(AND($F171&lt;=BP$2, OR($G171="",$G171&gt;=BP$2)),
  $H171 * (1 + Assumptions!$C$7) ^ INT(((YEAR(BP$2)-YEAR($F171))*12 + MONTH(BP$2)-MONTH($F171)) / 12),
  0)</f>
        <v/>
      </c>
      <c r="BQ171" s="31" t="n"/>
      <c r="BR171" s="31" t="n"/>
      <c r="BS171" s="31" t="n"/>
      <c r="BT171" s="31" t="n"/>
    </row>
    <row r="172" ht="15.75" customHeight="1" s="349">
      <c r="A172" s="321" t="n">
        <v>167</v>
      </c>
      <c r="B172" s="285" t="inlineStr">
        <is>
          <t>New hire</t>
        </is>
      </c>
      <c r="C172" s="317" t="inlineStr">
        <is>
          <t>G&amp;A</t>
        </is>
      </c>
      <c r="D172" s="317" t="inlineStr">
        <is>
          <t>Customer Support</t>
        </is>
      </c>
      <c r="E172" s="297" t="inlineStr">
        <is>
          <t>Planned</t>
        </is>
      </c>
      <c r="F172" s="318">
        <f>IF(Assumptions!$D$82=2,DATE(2028,5,1),DATE(2029,1,1))</f>
        <v/>
      </c>
      <c r="G172" s="318" t="n"/>
      <c r="H172" s="288" t="n">
        <v>4800</v>
      </c>
      <c r="I172" s="299">
        <f>IF(AND($F172&lt;=I$2, OR($G172="",$G172&gt;=I$2)),
  $H172 * (1 + Assumptions!$C$7) ^ INT(((YEAR(I$2)-YEAR($F172))*12 + MONTH(I$2)-MONTH($F172)) / 12),
  0)</f>
        <v/>
      </c>
      <c r="J172" s="299">
        <f>IF(AND($F172&lt;=J$2, OR($G172="",$G172&gt;=J$2)),
  $H172 * (1 + Assumptions!$C$7) ^ INT(((YEAR(J$2)-YEAR($F172))*12 + MONTH(J$2)-MONTH($F172)) / 12),
  0)</f>
        <v/>
      </c>
      <c r="K172" s="299">
        <f>IF(AND($F172&lt;=K$2, OR($G172="",$G172&gt;=K$2)),
  $H172 * (1 + Assumptions!$C$7) ^ INT(((YEAR(K$2)-YEAR($F172))*12 + MONTH(K$2)-MONTH($F172)) / 12),
  0)</f>
        <v/>
      </c>
      <c r="L172" s="299">
        <f>IF(AND($F172&lt;=L$2, OR($G172="",$G172&gt;=L$2)),
  $H172 * (1 + Assumptions!$C$7) ^ INT(((YEAR(L$2)-YEAR($F172))*12 + MONTH(L$2)-MONTH($F172)) / 12),
  0)</f>
        <v/>
      </c>
      <c r="M172" s="299">
        <f>IF(AND($F172&lt;=M$2, OR($G172="",$G172&gt;=M$2)),
  $H172 * (1 + Assumptions!$C$7) ^ INT(((YEAR(M$2)-YEAR($F172))*12 + MONTH(M$2)-MONTH($F172)) / 12),
  0)</f>
        <v/>
      </c>
      <c r="N172" s="299">
        <f>IF(AND($F172&lt;=N$2, OR($G172="",$G172&gt;=N$2)),
  $H172 * (1 + Assumptions!$C$7) ^ INT(((YEAR(N$2)-YEAR($F172))*12 + MONTH(N$2)-MONTH($F172)) / 12),
  0)</f>
        <v/>
      </c>
      <c r="O172" s="299">
        <f>IF(AND($F172&lt;=O$2, OR($G172="",$G172&gt;=O$2)),
  $H172 * (1 + Assumptions!$C$7) ^ INT(((YEAR(O$2)-YEAR($F172))*12 + MONTH(O$2)-MONTH($F172)) / 12),
  0)</f>
        <v/>
      </c>
      <c r="P172" s="299">
        <f>IF(AND($F172&lt;=P$2, OR($G172="",$G172&gt;=P$2)),
  $H172 * (1 + Assumptions!$C$7) ^ INT(((YEAR(P$2)-YEAR($F172))*12 + MONTH(P$2)-MONTH($F172)) / 12),
  0)</f>
        <v/>
      </c>
      <c r="Q172" s="299">
        <f>IF(AND($F172&lt;=Q$2, OR($G172="",$G172&gt;=Q$2)),
  $H172 * (1 + Assumptions!$C$7) ^ INT(((YEAR(Q$2)-YEAR($F172))*12 + MONTH(Q$2)-MONTH($F172)) / 12),
  0)</f>
        <v/>
      </c>
      <c r="R172" s="299">
        <f>IF(AND($F172&lt;=R$2, OR($G172="",$G172&gt;=R$2)),
  $H172 * (1 + Assumptions!$C$7) ^ INT(((YEAR(R$2)-YEAR($F172))*12 + MONTH(R$2)-MONTH($F172)) / 12),
  0)</f>
        <v/>
      </c>
      <c r="S172" s="299">
        <f>IF(AND($F172&lt;=S$2, OR($G172="",$G172&gt;=S$2)),
  $H172 * (1 + Assumptions!$C$7) ^ INT(((YEAR(S$2)-YEAR($F172))*12 + MONTH(S$2)-MONTH($F172)) / 12),
  0)</f>
        <v/>
      </c>
      <c r="T172" s="299">
        <f>IF(AND($F172&lt;=T$2, OR($G172="",$G172&gt;=T$2)),
  $H172 * (1 + Assumptions!$C$7) ^ INT(((YEAR(T$2)-YEAR($F172))*12 + MONTH(T$2)-MONTH($F172)) / 12),
  0)</f>
        <v/>
      </c>
      <c r="U172" s="299">
        <f>IF(AND($F172&lt;=U$2, OR($G172="",$G172&gt;=U$2)),
  $H172 * (1 + Assumptions!$C$7) ^ INT(((YEAR(U$2)-YEAR($F172))*12 + MONTH(U$2)-MONTH($F172)) / 12),
  0)</f>
        <v/>
      </c>
      <c r="V172" s="299">
        <f>IF(AND($F172&lt;=V$2, OR($G172="",$G172&gt;=V$2)),
  $H172 * (1 + Assumptions!$C$7) ^ INT(((YEAR(V$2)-YEAR($F172))*12 + MONTH(V$2)-MONTH($F172)) / 12),
  0)</f>
        <v/>
      </c>
      <c r="W172" s="299">
        <f>IF(AND($F172&lt;=W$2, OR($G172="",$G172&gt;=W$2)),
  $H172 * (1 + Assumptions!$C$7) ^ INT(((YEAR(W$2)-YEAR($F172))*12 + MONTH(W$2)-MONTH($F172)) / 12),
  0)</f>
        <v/>
      </c>
      <c r="X172" s="299">
        <f>IF(AND($F172&lt;=X$2, OR($G172="",$G172&gt;=X$2)),
  $H172 * (1 + Assumptions!$C$7) ^ INT(((YEAR(X$2)-YEAR($F172))*12 + MONTH(X$2)-MONTH($F172)) / 12),
  0)</f>
        <v/>
      </c>
      <c r="Y172" s="299">
        <f>IF(AND($F172&lt;=Y$2, OR($G172="",$G172&gt;=Y$2)),
  $H172 * (1 + Assumptions!$C$7) ^ INT(((YEAR(Y$2)-YEAR($F172))*12 + MONTH(Y$2)-MONTH($F172)) / 12),
  0)</f>
        <v/>
      </c>
      <c r="Z172" s="299">
        <f>IF(AND($F172&lt;=Z$2, OR($G172="",$G172&gt;=Z$2)),
  $H172 * (1 + Assumptions!$C$7) ^ INT(((YEAR(Z$2)-YEAR($F172))*12 + MONTH(Z$2)-MONTH($F172)) / 12),
  0)</f>
        <v/>
      </c>
      <c r="AA172" s="299">
        <f>IF(AND($F172&lt;=AA$2, OR($G172="",$G172&gt;=AA$2)),
  $H172 * (1 + Assumptions!$C$7) ^ INT(((YEAR(AA$2)-YEAR($F172))*12 + MONTH(AA$2)-MONTH($F172)) / 12),
  0)</f>
        <v/>
      </c>
      <c r="AB172" s="299">
        <f>IF(AND($F172&lt;=AB$2, OR($G172="",$G172&gt;=AB$2)),
  $H172 * (1 + Assumptions!$C$7) ^ INT(((YEAR(AB$2)-YEAR($F172))*12 + MONTH(AB$2)-MONTH($F172)) / 12),
  0)</f>
        <v/>
      </c>
      <c r="AC172" s="299">
        <f>IF(AND($F172&lt;=AC$2, OR($G172="",$G172&gt;=AC$2)),
  $H172 * (1 + Assumptions!$C$7) ^ INT(((YEAR(AC$2)-YEAR($F172))*12 + MONTH(AC$2)-MONTH($F172)) / 12),
  0)</f>
        <v/>
      </c>
      <c r="AD172" s="299">
        <f>IF(AND($F172&lt;=AD$2, OR($G172="",$G172&gt;=AD$2)),
  $H172 * (1 + Assumptions!$C$7) ^ INT(((YEAR(AD$2)-YEAR($F172))*12 + MONTH(AD$2)-MONTH($F172)) / 12),
  0)</f>
        <v/>
      </c>
      <c r="AE172" s="299">
        <f>IF(AND($F172&lt;=AE$2, OR($G172="",$G172&gt;=AE$2)),
  $H172 * (1 + Assumptions!$C$7) ^ INT(((YEAR(AE$2)-YEAR($F172))*12 + MONTH(AE$2)-MONTH($F172)) / 12),
  0)</f>
        <v/>
      </c>
      <c r="AF172" s="299">
        <f>IF(AND($F172&lt;=AF$2, OR($G172="",$G172&gt;=AF$2)),
  $H172 * (1 + Assumptions!$C$7) ^ INT(((YEAR(AF$2)-YEAR($F172))*12 + MONTH(AF$2)-MONTH($F172)) / 12),
  0)</f>
        <v/>
      </c>
      <c r="AG172" s="299">
        <f>IF(AND($F172&lt;=AG$2, OR($G172="",$G172&gt;=AG$2)),
  $H172 * (1 + Assumptions!$C$7) ^ INT(((YEAR(AG$2)-YEAR($F172))*12 + MONTH(AG$2)-MONTH($F172)) / 12),
  0)</f>
        <v/>
      </c>
      <c r="AH172" s="299">
        <f>IF(AND($F172&lt;=AH$2, OR($G172="",$G172&gt;=AH$2)),
  $H172 * (1 + Assumptions!$C$7) ^ INT(((YEAR(AH$2)-YEAR($F172))*12 + MONTH(AH$2)-MONTH($F172)) / 12),
  0)</f>
        <v/>
      </c>
      <c r="AI172" s="299">
        <f>IF(AND($F172&lt;=AI$2, OR($G172="",$G172&gt;=AI$2)),
  $H172 * (1 + Assumptions!$C$7) ^ INT(((YEAR(AI$2)-YEAR($F172))*12 + MONTH(AI$2)-MONTH($F172)) / 12),
  0)</f>
        <v/>
      </c>
      <c r="AJ172" s="299">
        <f>IF(AND($F172&lt;=AJ$2, OR($G172="",$G172&gt;=AJ$2)),
  $H172 * (1 + Assumptions!$C$7) ^ INT(((YEAR(AJ$2)-YEAR($F172))*12 + MONTH(AJ$2)-MONTH($F172)) / 12),
  0)</f>
        <v/>
      </c>
      <c r="AK172" s="299">
        <f>IF(AND($F172&lt;=AK$2, OR($G172="",$G172&gt;=AK$2)),
  $H172 * (1 + Assumptions!$C$7) ^ INT(((YEAR(AK$2)-YEAR($F172))*12 + MONTH(AK$2)-MONTH($F172)) / 12),
  0)</f>
        <v/>
      </c>
      <c r="AL172" s="299">
        <f>IF(AND($F172&lt;=AL$2, OR($G172="",$G172&gt;=AL$2)),
  $H172 * (1 + Assumptions!$C$7) ^ INT(((YEAR(AL$2)-YEAR($F172))*12 + MONTH(AL$2)-MONTH($F172)) / 12),
  0)</f>
        <v/>
      </c>
      <c r="AM172" s="299">
        <f>IF(AND($F172&lt;=AM$2, OR($G172="",$G172&gt;=AM$2)),
  $H172 * (1 + Assumptions!$C$7) ^ INT(((YEAR(AM$2)-YEAR($F172))*12 + MONTH(AM$2)-MONTH($F172)) / 12),
  0)</f>
        <v/>
      </c>
      <c r="AN172" s="299">
        <f>IF(AND($F172&lt;=AN$2, OR($G172="",$G172&gt;=AN$2)),
  $H172 * (1 + Assumptions!$C$7) ^ INT(((YEAR(AN$2)-YEAR($F172))*12 + MONTH(AN$2)-MONTH($F172)) / 12),
  0)</f>
        <v/>
      </c>
      <c r="AO172" s="299">
        <f>IF(AND($F172&lt;=AO$2, OR($G172="",$G172&gt;=AO$2)),
  $H172 * (1 + Assumptions!$C$7) ^ INT(((YEAR(AO$2)-YEAR($F172))*12 + MONTH(AO$2)-MONTH($F172)) / 12),
  0)</f>
        <v/>
      </c>
      <c r="AP172" s="299">
        <f>IF(AND($F172&lt;=AP$2, OR($G172="",$G172&gt;=AP$2)),
  $H172 * (1 + Assumptions!$C$7) ^ INT(((YEAR(AP$2)-YEAR($F172))*12 + MONTH(AP$2)-MONTH($F172)) / 12),
  0)</f>
        <v/>
      </c>
      <c r="AQ172" s="299">
        <f>IF(AND($F172&lt;=AQ$2, OR($G172="",$G172&gt;=AQ$2)),
  $H172 * (1 + Assumptions!$C$7) ^ INT(((YEAR(AQ$2)-YEAR($F172))*12 + MONTH(AQ$2)-MONTH($F172)) / 12),
  0)</f>
        <v/>
      </c>
      <c r="AR172" s="299">
        <f>IF(AND($F172&lt;=AR$2, OR($G172="",$G172&gt;=AR$2)),
  $H172 * (1 + Assumptions!$C$7) ^ INT(((YEAR(AR$2)-YEAR($F172))*12 + MONTH(AR$2)-MONTH($F172)) / 12),
  0)</f>
        <v/>
      </c>
      <c r="AS172" s="299">
        <f>IF(AND($F172&lt;=AS$2, OR($G172="",$G172&gt;=AS$2)),
  $H172 * (1 + Assumptions!$C$7) ^ INT(((YEAR(AS$2)-YEAR($F172))*12 + MONTH(AS$2)-MONTH($F172)) / 12),
  0)</f>
        <v/>
      </c>
      <c r="AT172" s="299">
        <f>IF(AND($F172&lt;=AT$2, OR($G172="",$G172&gt;=AT$2)),
  $H172 * (1 + Assumptions!$C$7) ^ INT(((YEAR(AT$2)-YEAR($F172))*12 + MONTH(AT$2)-MONTH($F172)) / 12),
  0)</f>
        <v/>
      </c>
      <c r="AU172" s="299">
        <f>IF(AND($F172&lt;=AU$2, OR($G172="",$G172&gt;=AU$2)),
  $H172 * (1 + Assumptions!$C$7) ^ INT(((YEAR(AU$2)-YEAR($F172))*12 + MONTH(AU$2)-MONTH($F172)) / 12),
  0)</f>
        <v/>
      </c>
      <c r="AV172" s="299">
        <f>IF(AND($F172&lt;=AV$2, OR($G172="",$G172&gt;=AV$2)),
  $H172 * (1 + Assumptions!$C$7) ^ INT(((YEAR(AV$2)-YEAR($F172))*12 + MONTH(AV$2)-MONTH($F172)) / 12),
  0)</f>
        <v/>
      </c>
      <c r="AW172" s="299">
        <f>IF(AND($F172&lt;=AW$2, OR($G172="",$G172&gt;=AW$2)),
  $H172 * (1 + Assumptions!$C$7) ^ INT(((YEAR(AW$2)-YEAR($F172))*12 + MONTH(AW$2)-MONTH($F172)) / 12),
  0)</f>
        <v/>
      </c>
      <c r="AX172" s="299">
        <f>IF(AND($F172&lt;=AX$2, OR($G172="",$G172&gt;=AX$2)),
  $H172 * (1 + Assumptions!$C$7) ^ INT(((YEAR(AX$2)-YEAR($F172))*12 + MONTH(AX$2)-MONTH($F172)) / 12),
  0)</f>
        <v/>
      </c>
      <c r="AY172" s="299">
        <f>IF(AND($F172&lt;=AY$2, OR($G172="",$G172&gt;=AY$2)),
  $H172 * (1 + Assumptions!$C$7) ^ INT(((YEAR(AY$2)-YEAR($F172))*12 + MONTH(AY$2)-MONTH($F172)) / 12),
  0)</f>
        <v/>
      </c>
      <c r="AZ172" s="299">
        <f>IF(AND($F172&lt;=AZ$2, OR($G172="",$G172&gt;=AZ$2)),
  $H172 * (1 + Assumptions!$C$7) ^ INT(((YEAR(AZ$2)-YEAR($F172))*12 + MONTH(AZ$2)-MONTH($F172)) / 12),
  0)</f>
        <v/>
      </c>
      <c r="BA172" s="299">
        <f>IF(AND($F172&lt;=BA$2, OR($G172="",$G172&gt;=BA$2)),
  $H172 * (1 + Assumptions!$C$7) ^ INT(((YEAR(BA$2)-YEAR($F172))*12 + MONTH(BA$2)-MONTH($F172)) / 12),
  0)</f>
        <v/>
      </c>
      <c r="BB172" s="299">
        <f>IF(AND($F172&lt;=BB$2, OR($G172="",$G172&gt;=BB$2)),
  $H172 * (1 + Assumptions!$C$7) ^ INT(((YEAR(BB$2)-YEAR($F172))*12 + MONTH(BB$2)-MONTH($F172)) / 12),
  0)</f>
        <v/>
      </c>
      <c r="BC172" s="299">
        <f>IF(AND($F172&lt;=BC$2, OR($G172="",$G172&gt;=BC$2)),
  $H172 * (1 + Assumptions!$C$7) ^ INT(((YEAR(BC$2)-YEAR($F172))*12 + MONTH(BC$2)-MONTH($F172)) / 12),
  0)</f>
        <v/>
      </c>
      <c r="BD172" s="299">
        <f>IF(AND($F172&lt;=BD$2, OR($G172="",$G172&gt;=BD$2)),
  $H172 * (1 + Assumptions!$C$7) ^ INT(((YEAR(BD$2)-YEAR($F172))*12 + MONTH(BD$2)-MONTH($F172)) / 12),
  0)</f>
        <v/>
      </c>
      <c r="BE172" s="299">
        <f>IF(AND($F172&lt;=BE$2, OR($G172="",$G172&gt;=BE$2)),
  $H172 * (1 + Assumptions!$C$7) ^ INT(((YEAR(BE$2)-YEAR($F172))*12 + MONTH(BE$2)-MONTH($F172)) / 12),
  0)</f>
        <v/>
      </c>
      <c r="BF172" s="299">
        <f>IF(AND($F172&lt;=BF$2, OR($G172="",$G172&gt;=BF$2)),
  $H172 * (1 + Assumptions!$C$7) ^ INT(((YEAR(BF$2)-YEAR($F172))*12 + MONTH(BF$2)-MONTH($F172)) / 12),
  0)</f>
        <v/>
      </c>
      <c r="BG172" s="299">
        <f>IF(AND($F172&lt;=BG$2, OR($G172="",$G172&gt;=BG$2)),
  $H172 * (1 + Assumptions!$C$7) ^ INT(((YEAR(BG$2)-YEAR($F172))*12 + MONTH(BG$2)-MONTH($F172)) / 12),
  0)</f>
        <v/>
      </c>
      <c r="BH172" s="299">
        <f>IF(AND($F172&lt;=BH$2, OR($G172="",$G172&gt;=BH$2)),
  $H172 * (1 + Assumptions!$C$7) ^ INT(((YEAR(BH$2)-YEAR($F172))*12 + MONTH(BH$2)-MONTH($F172)) / 12),
  0)</f>
        <v/>
      </c>
      <c r="BI172" s="299">
        <f>IF(AND($F172&lt;=BI$2, OR($G172="",$G172&gt;=BI$2)),
  $H172 * (1 + Assumptions!$C$7) ^ INT(((YEAR(BI$2)-YEAR($F172))*12 + MONTH(BI$2)-MONTH($F172)) / 12),
  0)</f>
        <v/>
      </c>
      <c r="BJ172" s="299">
        <f>IF(AND($F172&lt;=BJ$2, OR($G172="",$G172&gt;=BJ$2)),
  $H172 * (1 + Assumptions!$C$7) ^ INT(((YEAR(BJ$2)-YEAR($F172))*12 + MONTH(BJ$2)-MONTH($F172)) / 12),
  0)</f>
        <v/>
      </c>
      <c r="BK172" s="299">
        <f>IF(AND($F172&lt;=BK$2, OR($G172="",$G172&gt;=BK$2)),
  $H172 * (1 + Assumptions!$C$7) ^ INT(((YEAR(BK$2)-YEAR($F172))*12 + MONTH(BK$2)-MONTH($F172)) / 12),
  0)</f>
        <v/>
      </c>
      <c r="BL172" s="299">
        <f>IF(AND($F172&lt;=BL$2, OR($G172="",$G172&gt;=BL$2)),
  $H172 * (1 + Assumptions!$C$7) ^ INT(((YEAR(BL$2)-YEAR($F172))*12 + MONTH(BL$2)-MONTH($F172)) / 12),
  0)</f>
        <v/>
      </c>
      <c r="BM172" s="299">
        <f>IF(AND($F172&lt;=BM$2, OR($G172="",$G172&gt;=BM$2)),
  $H172 * (1 + Assumptions!$C$7) ^ INT(((YEAR(BM$2)-YEAR($F172))*12 + MONTH(BM$2)-MONTH($F172)) / 12),
  0)</f>
        <v/>
      </c>
      <c r="BN172" s="299">
        <f>IF(AND($F172&lt;=BN$2, OR($G172="",$G172&gt;=BN$2)),
  $H172 * (1 + Assumptions!$C$7) ^ INT(((YEAR(BN$2)-YEAR($F172))*12 + MONTH(BN$2)-MONTH($F172)) / 12),
  0)</f>
        <v/>
      </c>
      <c r="BO172" s="299">
        <f>IF(AND($F172&lt;=BO$2, OR($G172="",$G172&gt;=BO$2)),
  $H172 * (1 + Assumptions!$C$7) ^ INT(((YEAR(BO$2)-YEAR($F172))*12 + MONTH(BO$2)-MONTH($F172)) / 12),
  0)</f>
        <v/>
      </c>
      <c r="BP172" s="299">
        <f>IF(AND($F172&lt;=BP$2, OR($G172="",$G172&gt;=BP$2)),
  $H172 * (1 + Assumptions!$C$7) ^ INT(((YEAR(BP$2)-YEAR($F172))*12 + MONTH(BP$2)-MONTH($F172)) / 12),
  0)</f>
        <v/>
      </c>
      <c r="BQ172" s="31" t="n"/>
      <c r="BR172" s="31" t="n"/>
      <c r="BS172" s="31" t="n"/>
      <c r="BT172" s="31" t="n"/>
    </row>
    <row r="173" ht="15.75" customHeight="1" s="349">
      <c r="A173" s="321" t="n">
        <v>168</v>
      </c>
      <c r="B173" s="285" t="inlineStr">
        <is>
          <t>New hire</t>
        </is>
      </c>
      <c r="C173" s="317" t="inlineStr">
        <is>
          <t>G&amp;A</t>
        </is>
      </c>
      <c r="D173" s="317" t="inlineStr">
        <is>
          <t>Customer Support</t>
        </is>
      </c>
      <c r="E173" s="297" t="inlineStr">
        <is>
          <t>Planned</t>
        </is>
      </c>
      <c r="F173" s="318">
        <f>IF(Assumptions!$D$82=2,DATE(2028,10,1),DATE(2029,9,1))</f>
        <v/>
      </c>
      <c r="G173" s="318" t="n"/>
      <c r="H173" s="288" t="n">
        <v>4800</v>
      </c>
      <c r="I173" s="299">
        <f>IF(AND($F173&lt;=I$2, OR($G173="",$G173&gt;=I$2)),
  $H173 * (1 + Assumptions!$C$7) ^ INT(((YEAR(I$2)-YEAR($F173))*12 + MONTH(I$2)-MONTH($F173)) / 12),
  0)</f>
        <v/>
      </c>
      <c r="J173" s="299">
        <f>IF(AND($F173&lt;=J$2, OR($G173="",$G173&gt;=J$2)),
  $H173 * (1 + Assumptions!$C$7) ^ INT(((YEAR(J$2)-YEAR($F173))*12 + MONTH(J$2)-MONTH($F173)) / 12),
  0)</f>
        <v/>
      </c>
      <c r="K173" s="299">
        <f>IF(AND($F173&lt;=K$2, OR($G173="",$G173&gt;=K$2)),
  $H173 * (1 + Assumptions!$C$7) ^ INT(((YEAR(K$2)-YEAR($F173))*12 + MONTH(K$2)-MONTH($F173)) / 12),
  0)</f>
        <v/>
      </c>
      <c r="L173" s="299">
        <f>IF(AND($F173&lt;=L$2, OR($G173="",$G173&gt;=L$2)),
  $H173 * (1 + Assumptions!$C$7) ^ INT(((YEAR(L$2)-YEAR($F173))*12 + MONTH(L$2)-MONTH($F173)) / 12),
  0)</f>
        <v/>
      </c>
      <c r="M173" s="299">
        <f>IF(AND($F173&lt;=M$2, OR($G173="",$G173&gt;=M$2)),
  $H173 * (1 + Assumptions!$C$7) ^ INT(((YEAR(M$2)-YEAR($F173))*12 + MONTH(M$2)-MONTH($F173)) / 12),
  0)</f>
        <v/>
      </c>
      <c r="N173" s="299">
        <f>IF(AND($F173&lt;=N$2, OR($G173="",$G173&gt;=N$2)),
  $H173 * (1 + Assumptions!$C$7) ^ INT(((YEAR(N$2)-YEAR($F173))*12 + MONTH(N$2)-MONTH($F173)) / 12),
  0)</f>
        <v/>
      </c>
      <c r="O173" s="299">
        <f>IF(AND($F173&lt;=O$2, OR($G173="",$G173&gt;=O$2)),
  $H173 * (1 + Assumptions!$C$7) ^ INT(((YEAR(O$2)-YEAR($F173))*12 + MONTH(O$2)-MONTH($F173)) / 12),
  0)</f>
        <v/>
      </c>
      <c r="P173" s="299">
        <f>IF(AND($F173&lt;=P$2, OR($G173="",$G173&gt;=P$2)),
  $H173 * (1 + Assumptions!$C$7) ^ INT(((YEAR(P$2)-YEAR($F173))*12 + MONTH(P$2)-MONTH($F173)) / 12),
  0)</f>
        <v/>
      </c>
      <c r="Q173" s="299">
        <f>IF(AND($F173&lt;=Q$2, OR($G173="",$G173&gt;=Q$2)),
  $H173 * (1 + Assumptions!$C$7) ^ INT(((YEAR(Q$2)-YEAR($F173))*12 + MONTH(Q$2)-MONTH($F173)) / 12),
  0)</f>
        <v/>
      </c>
      <c r="R173" s="299">
        <f>IF(AND($F173&lt;=R$2, OR($G173="",$G173&gt;=R$2)),
  $H173 * (1 + Assumptions!$C$7) ^ INT(((YEAR(R$2)-YEAR($F173))*12 + MONTH(R$2)-MONTH($F173)) / 12),
  0)</f>
        <v/>
      </c>
      <c r="S173" s="299">
        <f>IF(AND($F173&lt;=S$2, OR($G173="",$G173&gt;=S$2)),
  $H173 * (1 + Assumptions!$C$7) ^ INT(((YEAR(S$2)-YEAR($F173))*12 + MONTH(S$2)-MONTH($F173)) / 12),
  0)</f>
        <v/>
      </c>
      <c r="T173" s="299">
        <f>IF(AND($F173&lt;=T$2, OR($G173="",$G173&gt;=T$2)),
  $H173 * (1 + Assumptions!$C$7) ^ INT(((YEAR(T$2)-YEAR($F173))*12 + MONTH(T$2)-MONTH($F173)) / 12),
  0)</f>
        <v/>
      </c>
      <c r="U173" s="299">
        <f>IF(AND($F173&lt;=U$2, OR($G173="",$G173&gt;=U$2)),
  $H173 * (1 + Assumptions!$C$7) ^ INT(((YEAR(U$2)-YEAR($F173))*12 + MONTH(U$2)-MONTH($F173)) / 12),
  0)</f>
        <v/>
      </c>
      <c r="V173" s="299">
        <f>IF(AND($F173&lt;=V$2, OR($G173="",$G173&gt;=V$2)),
  $H173 * (1 + Assumptions!$C$7) ^ INT(((YEAR(V$2)-YEAR($F173))*12 + MONTH(V$2)-MONTH($F173)) / 12),
  0)</f>
        <v/>
      </c>
      <c r="W173" s="299">
        <f>IF(AND($F173&lt;=W$2, OR($G173="",$G173&gt;=W$2)),
  $H173 * (1 + Assumptions!$C$7) ^ INT(((YEAR(W$2)-YEAR($F173))*12 + MONTH(W$2)-MONTH($F173)) / 12),
  0)</f>
        <v/>
      </c>
      <c r="X173" s="299">
        <f>IF(AND($F173&lt;=X$2, OR($G173="",$G173&gt;=X$2)),
  $H173 * (1 + Assumptions!$C$7) ^ INT(((YEAR(X$2)-YEAR($F173))*12 + MONTH(X$2)-MONTH($F173)) / 12),
  0)</f>
        <v/>
      </c>
      <c r="Y173" s="299">
        <f>IF(AND($F173&lt;=Y$2, OR($G173="",$G173&gt;=Y$2)),
  $H173 * (1 + Assumptions!$C$7) ^ INT(((YEAR(Y$2)-YEAR($F173))*12 + MONTH(Y$2)-MONTH($F173)) / 12),
  0)</f>
        <v/>
      </c>
      <c r="Z173" s="299">
        <f>IF(AND($F173&lt;=Z$2, OR($G173="",$G173&gt;=Z$2)),
  $H173 * (1 + Assumptions!$C$7) ^ INT(((YEAR(Z$2)-YEAR($F173))*12 + MONTH(Z$2)-MONTH($F173)) / 12),
  0)</f>
        <v/>
      </c>
      <c r="AA173" s="299">
        <f>IF(AND($F173&lt;=AA$2, OR($G173="",$G173&gt;=AA$2)),
  $H173 * (1 + Assumptions!$C$7) ^ INT(((YEAR(AA$2)-YEAR($F173))*12 + MONTH(AA$2)-MONTH($F173)) / 12),
  0)</f>
        <v/>
      </c>
      <c r="AB173" s="299">
        <f>IF(AND($F173&lt;=AB$2, OR($G173="",$G173&gt;=AB$2)),
  $H173 * (1 + Assumptions!$C$7) ^ INT(((YEAR(AB$2)-YEAR($F173))*12 + MONTH(AB$2)-MONTH($F173)) / 12),
  0)</f>
        <v/>
      </c>
      <c r="AC173" s="299">
        <f>IF(AND($F173&lt;=AC$2, OR($G173="",$G173&gt;=AC$2)),
  $H173 * (1 + Assumptions!$C$7) ^ INT(((YEAR(AC$2)-YEAR($F173))*12 + MONTH(AC$2)-MONTH($F173)) / 12),
  0)</f>
        <v/>
      </c>
      <c r="AD173" s="299">
        <f>IF(AND($F173&lt;=AD$2, OR($G173="",$G173&gt;=AD$2)),
  $H173 * (1 + Assumptions!$C$7) ^ INT(((YEAR(AD$2)-YEAR($F173))*12 + MONTH(AD$2)-MONTH($F173)) / 12),
  0)</f>
        <v/>
      </c>
      <c r="AE173" s="299">
        <f>IF(AND($F173&lt;=AE$2, OR($G173="",$G173&gt;=AE$2)),
  $H173 * (1 + Assumptions!$C$7) ^ INT(((YEAR(AE$2)-YEAR($F173))*12 + MONTH(AE$2)-MONTH($F173)) / 12),
  0)</f>
        <v/>
      </c>
      <c r="AF173" s="299">
        <f>IF(AND($F173&lt;=AF$2, OR($G173="",$G173&gt;=AF$2)),
  $H173 * (1 + Assumptions!$C$7) ^ INT(((YEAR(AF$2)-YEAR($F173))*12 + MONTH(AF$2)-MONTH($F173)) / 12),
  0)</f>
        <v/>
      </c>
      <c r="AG173" s="299">
        <f>IF(AND($F173&lt;=AG$2, OR($G173="",$G173&gt;=AG$2)),
  $H173 * (1 + Assumptions!$C$7) ^ INT(((YEAR(AG$2)-YEAR($F173))*12 + MONTH(AG$2)-MONTH($F173)) / 12),
  0)</f>
        <v/>
      </c>
      <c r="AH173" s="299">
        <f>IF(AND($F173&lt;=AH$2, OR($G173="",$G173&gt;=AH$2)),
  $H173 * (1 + Assumptions!$C$7) ^ INT(((YEAR(AH$2)-YEAR($F173))*12 + MONTH(AH$2)-MONTH($F173)) / 12),
  0)</f>
        <v/>
      </c>
      <c r="AI173" s="299">
        <f>IF(AND($F173&lt;=AI$2, OR($G173="",$G173&gt;=AI$2)),
  $H173 * (1 + Assumptions!$C$7) ^ INT(((YEAR(AI$2)-YEAR($F173))*12 + MONTH(AI$2)-MONTH($F173)) / 12),
  0)</f>
        <v/>
      </c>
      <c r="AJ173" s="299">
        <f>IF(AND($F173&lt;=AJ$2, OR($G173="",$G173&gt;=AJ$2)),
  $H173 * (1 + Assumptions!$C$7) ^ INT(((YEAR(AJ$2)-YEAR($F173))*12 + MONTH(AJ$2)-MONTH($F173)) / 12),
  0)</f>
        <v/>
      </c>
      <c r="AK173" s="299">
        <f>IF(AND($F173&lt;=AK$2, OR($G173="",$G173&gt;=AK$2)),
  $H173 * (1 + Assumptions!$C$7) ^ INT(((YEAR(AK$2)-YEAR($F173))*12 + MONTH(AK$2)-MONTH($F173)) / 12),
  0)</f>
        <v/>
      </c>
      <c r="AL173" s="299">
        <f>IF(AND($F173&lt;=AL$2, OR($G173="",$G173&gt;=AL$2)),
  $H173 * (1 + Assumptions!$C$7) ^ INT(((YEAR(AL$2)-YEAR($F173))*12 + MONTH(AL$2)-MONTH($F173)) / 12),
  0)</f>
        <v/>
      </c>
      <c r="AM173" s="299">
        <f>IF(AND($F173&lt;=AM$2, OR($G173="",$G173&gt;=AM$2)),
  $H173 * (1 + Assumptions!$C$7) ^ INT(((YEAR(AM$2)-YEAR($F173))*12 + MONTH(AM$2)-MONTH($F173)) / 12),
  0)</f>
        <v/>
      </c>
      <c r="AN173" s="299">
        <f>IF(AND($F173&lt;=AN$2, OR($G173="",$G173&gt;=AN$2)),
  $H173 * (1 + Assumptions!$C$7) ^ INT(((YEAR(AN$2)-YEAR($F173))*12 + MONTH(AN$2)-MONTH($F173)) / 12),
  0)</f>
        <v/>
      </c>
      <c r="AO173" s="299">
        <f>IF(AND($F173&lt;=AO$2, OR($G173="",$G173&gt;=AO$2)),
  $H173 * (1 + Assumptions!$C$7) ^ INT(((YEAR(AO$2)-YEAR($F173))*12 + MONTH(AO$2)-MONTH($F173)) / 12),
  0)</f>
        <v/>
      </c>
      <c r="AP173" s="299">
        <f>IF(AND($F173&lt;=AP$2, OR($G173="",$G173&gt;=AP$2)),
  $H173 * (1 + Assumptions!$C$7) ^ INT(((YEAR(AP$2)-YEAR($F173))*12 + MONTH(AP$2)-MONTH($F173)) / 12),
  0)</f>
        <v/>
      </c>
      <c r="AQ173" s="299">
        <f>IF(AND($F173&lt;=AQ$2, OR($G173="",$G173&gt;=AQ$2)),
  $H173 * (1 + Assumptions!$C$7) ^ INT(((YEAR(AQ$2)-YEAR($F173))*12 + MONTH(AQ$2)-MONTH($F173)) / 12),
  0)</f>
        <v/>
      </c>
      <c r="AR173" s="299">
        <f>IF(AND($F173&lt;=AR$2, OR($G173="",$G173&gt;=AR$2)),
  $H173 * (1 + Assumptions!$C$7) ^ INT(((YEAR(AR$2)-YEAR($F173))*12 + MONTH(AR$2)-MONTH($F173)) / 12),
  0)</f>
        <v/>
      </c>
      <c r="AS173" s="299">
        <f>IF(AND($F173&lt;=AS$2, OR($G173="",$G173&gt;=AS$2)),
  $H173 * (1 + Assumptions!$C$7) ^ INT(((YEAR(AS$2)-YEAR($F173))*12 + MONTH(AS$2)-MONTH($F173)) / 12),
  0)</f>
        <v/>
      </c>
      <c r="AT173" s="299">
        <f>IF(AND($F173&lt;=AT$2, OR($G173="",$G173&gt;=AT$2)),
  $H173 * (1 + Assumptions!$C$7) ^ INT(((YEAR(AT$2)-YEAR($F173))*12 + MONTH(AT$2)-MONTH($F173)) / 12),
  0)</f>
        <v/>
      </c>
      <c r="AU173" s="299">
        <f>IF(AND($F173&lt;=AU$2, OR($G173="",$G173&gt;=AU$2)),
  $H173 * (1 + Assumptions!$C$7) ^ INT(((YEAR(AU$2)-YEAR($F173))*12 + MONTH(AU$2)-MONTH($F173)) / 12),
  0)</f>
        <v/>
      </c>
      <c r="AV173" s="299">
        <f>IF(AND($F173&lt;=AV$2, OR($G173="",$G173&gt;=AV$2)),
  $H173 * (1 + Assumptions!$C$7) ^ INT(((YEAR(AV$2)-YEAR($F173))*12 + MONTH(AV$2)-MONTH($F173)) / 12),
  0)</f>
        <v/>
      </c>
      <c r="AW173" s="299">
        <f>IF(AND($F173&lt;=AW$2, OR($G173="",$G173&gt;=AW$2)),
  $H173 * (1 + Assumptions!$C$7) ^ INT(((YEAR(AW$2)-YEAR($F173))*12 + MONTH(AW$2)-MONTH($F173)) / 12),
  0)</f>
        <v/>
      </c>
      <c r="AX173" s="299">
        <f>IF(AND($F173&lt;=AX$2, OR($G173="",$G173&gt;=AX$2)),
  $H173 * (1 + Assumptions!$C$7) ^ INT(((YEAR(AX$2)-YEAR($F173))*12 + MONTH(AX$2)-MONTH($F173)) / 12),
  0)</f>
        <v/>
      </c>
      <c r="AY173" s="299">
        <f>IF(AND($F173&lt;=AY$2, OR($G173="",$G173&gt;=AY$2)),
  $H173 * (1 + Assumptions!$C$7) ^ INT(((YEAR(AY$2)-YEAR($F173))*12 + MONTH(AY$2)-MONTH($F173)) / 12),
  0)</f>
        <v/>
      </c>
      <c r="AZ173" s="299">
        <f>IF(AND($F173&lt;=AZ$2, OR($G173="",$G173&gt;=AZ$2)),
  $H173 * (1 + Assumptions!$C$7) ^ INT(((YEAR(AZ$2)-YEAR($F173))*12 + MONTH(AZ$2)-MONTH($F173)) / 12),
  0)</f>
        <v/>
      </c>
      <c r="BA173" s="299">
        <f>IF(AND($F173&lt;=BA$2, OR($G173="",$G173&gt;=BA$2)),
  $H173 * (1 + Assumptions!$C$7) ^ INT(((YEAR(BA$2)-YEAR($F173))*12 + MONTH(BA$2)-MONTH($F173)) / 12),
  0)</f>
        <v/>
      </c>
      <c r="BB173" s="299">
        <f>IF(AND($F173&lt;=BB$2, OR($G173="",$G173&gt;=BB$2)),
  $H173 * (1 + Assumptions!$C$7) ^ INT(((YEAR(BB$2)-YEAR($F173))*12 + MONTH(BB$2)-MONTH($F173)) / 12),
  0)</f>
        <v/>
      </c>
      <c r="BC173" s="299">
        <f>IF(AND($F173&lt;=BC$2, OR($G173="",$G173&gt;=BC$2)),
  $H173 * (1 + Assumptions!$C$7) ^ INT(((YEAR(BC$2)-YEAR($F173))*12 + MONTH(BC$2)-MONTH($F173)) / 12),
  0)</f>
        <v/>
      </c>
      <c r="BD173" s="299">
        <f>IF(AND($F173&lt;=BD$2, OR($G173="",$G173&gt;=BD$2)),
  $H173 * (1 + Assumptions!$C$7) ^ INT(((YEAR(BD$2)-YEAR($F173))*12 + MONTH(BD$2)-MONTH($F173)) / 12),
  0)</f>
        <v/>
      </c>
      <c r="BE173" s="299">
        <f>IF(AND($F173&lt;=BE$2, OR($G173="",$G173&gt;=BE$2)),
  $H173 * (1 + Assumptions!$C$7) ^ INT(((YEAR(BE$2)-YEAR($F173))*12 + MONTH(BE$2)-MONTH($F173)) / 12),
  0)</f>
        <v/>
      </c>
      <c r="BF173" s="299">
        <f>IF(AND($F173&lt;=BF$2, OR($G173="",$G173&gt;=BF$2)),
  $H173 * (1 + Assumptions!$C$7) ^ INT(((YEAR(BF$2)-YEAR($F173))*12 + MONTH(BF$2)-MONTH($F173)) / 12),
  0)</f>
        <v/>
      </c>
      <c r="BG173" s="299">
        <f>IF(AND($F173&lt;=BG$2, OR($G173="",$G173&gt;=BG$2)),
  $H173 * (1 + Assumptions!$C$7) ^ INT(((YEAR(BG$2)-YEAR($F173))*12 + MONTH(BG$2)-MONTH($F173)) / 12),
  0)</f>
        <v/>
      </c>
      <c r="BH173" s="299">
        <f>IF(AND($F173&lt;=BH$2, OR($G173="",$G173&gt;=BH$2)),
  $H173 * (1 + Assumptions!$C$7) ^ INT(((YEAR(BH$2)-YEAR($F173))*12 + MONTH(BH$2)-MONTH($F173)) / 12),
  0)</f>
        <v/>
      </c>
      <c r="BI173" s="299">
        <f>IF(AND($F173&lt;=BI$2, OR($G173="",$G173&gt;=BI$2)),
  $H173 * (1 + Assumptions!$C$7) ^ INT(((YEAR(BI$2)-YEAR($F173))*12 + MONTH(BI$2)-MONTH($F173)) / 12),
  0)</f>
        <v/>
      </c>
      <c r="BJ173" s="299">
        <f>IF(AND($F173&lt;=BJ$2, OR($G173="",$G173&gt;=BJ$2)),
  $H173 * (1 + Assumptions!$C$7) ^ INT(((YEAR(BJ$2)-YEAR($F173))*12 + MONTH(BJ$2)-MONTH($F173)) / 12),
  0)</f>
        <v/>
      </c>
      <c r="BK173" s="299">
        <f>IF(AND($F173&lt;=BK$2, OR($G173="",$G173&gt;=BK$2)),
  $H173 * (1 + Assumptions!$C$7) ^ INT(((YEAR(BK$2)-YEAR($F173))*12 + MONTH(BK$2)-MONTH($F173)) / 12),
  0)</f>
        <v/>
      </c>
      <c r="BL173" s="299">
        <f>IF(AND($F173&lt;=BL$2, OR($G173="",$G173&gt;=BL$2)),
  $H173 * (1 + Assumptions!$C$7) ^ INT(((YEAR(BL$2)-YEAR($F173))*12 + MONTH(BL$2)-MONTH($F173)) / 12),
  0)</f>
        <v/>
      </c>
      <c r="BM173" s="299">
        <f>IF(AND($F173&lt;=BM$2, OR($G173="",$G173&gt;=BM$2)),
  $H173 * (1 + Assumptions!$C$7) ^ INT(((YEAR(BM$2)-YEAR($F173))*12 + MONTH(BM$2)-MONTH($F173)) / 12),
  0)</f>
        <v/>
      </c>
      <c r="BN173" s="299">
        <f>IF(AND($F173&lt;=BN$2, OR($G173="",$G173&gt;=BN$2)),
  $H173 * (1 + Assumptions!$C$7) ^ INT(((YEAR(BN$2)-YEAR($F173))*12 + MONTH(BN$2)-MONTH($F173)) / 12),
  0)</f>
        <v/>
      </c>
      <c r="BO173" s="299">
        <f>IF(AND($F173&lt;=BO$2, OR($G173="",$G173&gt;=BO$2)),
  $H173 * (1 + Assumptions!$C$7) ^ INT(((YEAR(BO$2)-YEAR($F173))*12 + MONTH(BO$2)-MONTH($F173)) / 12),
  0)</f>
        <v/>
      </c>
      <c r="BP173" s="299">
        <f>IF(AND($F173&lt;=BP$2, OR($G173="",$G173&gt;=BP$2)),
  $H173 * (1 + Assumptions!$C$7) ^ INT(((YEAR(BP$2)-YEAR($F173))*12 + MONTH(BP$2)-MONTH($F173)) / 12),
  0)</f>
        <v/>
      </c>
      <c r="BQ173" s="31" t="n"/>
      <c r="BR173" s="31" t="n"/>
      <c r="BS173" s="31" t="n"/>
      <c r="BT173" s="31" t="n"/>
    </row>
    <row r="174" ht="15.75" customHeight="1" s="349">
      <c r="A174" s="321" t="n">
        <v>169</v>
      </c>
      <c r="B174" s="285" t="inlineStr">
        <is>
          <t>New hire</t>
        </is>
      </c>
      <c r="C174" s="317" t="inlineStr">
        <is>
          <t>G&amp;A</t>
        </is>
      </c>
      <c r="D174" s="317" t="inlineStr">
        <is>
          <t>Customer Support</t>
        </is>
      </c>
      <c r="E174" s="297" t="inlineStr">
        <is>
          <t>Planned</t>
        </is>
      </c>
      <c r="F174" s="318">
        <f>IF(Assumptions!$D$82=2,DATE(2029,2,1),DATE(2035,1,1))</f>
        <v/>
      </c>
      <c r="G174" s="318" t="n"/>
      <c r="H174" s="288" t="n">
        <v>4800</v>
      </c>
      <c r="I174" s="299">
        <f>IF(AND($F174&lt;=I$2, OR($G174="",$G174&gt;=I$2)),
  $H174 * (1 + Assumptions!$C$7) ^ INT(((YEAR(I$2)-YEAR($F174))*12 + MONTH(I$2)-MONTH($F174)) / 12),
  0)</f>
        <v/>
      </c>
      <c r="J174" s="299">
        <f>IF(AND($F174&lt;=J$2, OR($G174="",$G174&gt;=J$2)),
  $H174 * (1 + Assumptions!$C$7) ^ INT(((YEAR(J$2)-YEAR($F174))*12 + MONTH(J$2)-MONTH($F174)) / 12),
  0)</f>
        <v/>
      </c>
      <c r="K174" s="299">
        <f>IF(AND($F174&lt;=K$2, OR($G174="",$G174&gt;=K$2)),
  $H174 * (1 + Assumptions!$C$7) ^ INT(((YEAR(K$2)-YEAR($F174))*12 + MONTH(K$2)-MONTH($F174)) / 12),
  0)</f>
        <v/>
      </c>
      <c r="L174" s="299">
        <f>IF(AND($F174&lt;=L$2, OR($G174="",$G174&gt;=L$2)),
  $H174 * (1 + Assumptions!$C$7) ^ INT(((YEAR(L$2)-YEAR($F174))*12 + MONTH(L$2)-MONTH($F174)) / 12),
  0)</f>
        <v/>
      </c>
      <c r="M174" s="299">
        <f>IF(AND($F174&lt;=M$2, OR($G174="",$G174&gt;=M$2)),
  $H174 * (1 + Assumptions!$C$7) ^ INT(((YEAR(M$2)-YEAR($F174))*12 + MONTH(M$2)-MONTH($F174)) / 12),
  0)</f>
        <v/>
      </c>
      <c r="N174" s="299">
        <f>IF(AND($F174&lt;=N$2, OR($G174="",$G174&gt;=N$2)),
  $H174 * (1 + Assumptions!$C$7) ^ INT(((YEAR(N$2)-YEAR($F174))*12 + MONTH(N$2)-MONTH($F174)) / 12),
  0)</f>
        <v/>
      </c>
      <c r="O174" s="299">
        <f>IF(AND($F174&lt;=O$2, OR($G174="",$G174&gt;=O$2)),
  $H174 * (1 + Assumptions!$C$7) ^ INT(((YEAR(O$2)-YEAR($F174))*12 + MONTH(O$2)-MONTH($F174)) / 12),
  0)</f>
        <v/>
      </c>
      <c r="P174" s="299">
        <f>IF(AND($F174&lt;=P$2, OR($G174="",$G174&gt;=P$2)),
  $H174 * (1 + Assumptions!$C$7) ^ INT(((YEAR(P$2)-YEAR($F174))*12 + MONTH(P$2)-MONTH($F174)) / 12),
  0)</f>
        <v/>
      </c>
      <c r="Q174" s="299">
        <f>IF(AND($F174&lt;=Q$2, OR($G174="",$G174&gt;=Q$2)),
  $H174 * (1 + Assumptions!$C$7) ^ INT(((YEAR(Q$2)-YEAR($F174))*12 + MONTH(Q$2)-MONTH($F174)) / 12),
  0)</f>
        <v/>
      </c>
      <c r="R174" s="299">
        <f>IF(AND($F174&lt;=R$2, OR($G174="",$G174&gt;=R$2)),
  $H174 * (1 + Assumptions!$C$7) ^ INT(((YEAR(R$2)-YEAR($F174))*12 + MONTH(R$2)-MONTH($F174)) / 12),
  0)</f>
        <v/>
      </c>
      <c r="S174" s="299">
        <f>IF(AND($F174&lt;=S$2, OR($G174="",$G174&gt;=S$2)),
  $H174 * (1 + Assumptions!$C$7) ^ INT(((YEAR(S$2)-YEAR($F174))*12 + MONTH(S$2)-MONTH($F174)) / 12),
  0)</f>
        <v/>
      </c>
      <c r="T174" s="299">
        <f>IF(AND($F174&lt;=T$2, OR($G174="",$G174&gt;=T$2)),
  $H174 * (1 + Assumptions!$C$7) ^ INT(((YEAR(T$2)-YEAR($F174))*12 + MONTH(T$2)-MONTH($F174)) / 12),
  0)</f>
        <v/>
      </c>
      <c r="U174" s="299">
        <f>IF(AND($F174&lt;=U$2, OR($G174="",$G174&gt;=U$2)),
  $H174 * (1 + Assumptions!$C$7) ^ INT(((YEAR(U$2)-YEAR($F174))*12 + MONTH(U$2)-MONTH($F174)) / 12),
  0)</f>
        <v/>
      </c>
      <c r="V174" s="299">
        <f>IF(AND($F174&lt;=V$2, OR($G174="",$G174&gt;=V$2)),
  $H174 * (1 + Assumptions!$C$7) ^ INT(((YEAR(V$2)-YEAR($F174))*12 + MONTH(V$2)-MONTH($F174)) / 12),
  0)</f>
        <v/>
      </c>
      <c r="W174" s="299">
        <f>IF(AND($F174&lt;=W$2, OR($G174="",$G174&gt;=W$2)),
  $H174 * (1 + Assumptions!$C$7) ^ INT(((YEAR(W$2)-YEAR($F174))*12 + MONTH(W$2)-MONTH($F174)) / 12),
  0)</f>
        <v/>
      </c>
      <c r="X174" s="299">
        <f>IF(AND($F174&lt;=X$2, OR($G174="",$G174&gt;=X$2)),
  $H174 * (1 + Assumptions!$C$7) ^ INT(((YEAR(X$2)-YEAR($F174))*12 + MONTH(X$2)-MONTH($F174)) / 12),
  0)</f>
        <v/>
      </c>
      <c r="Y174" s="299">
        <f>IF(AND($F174&lt;=Y$2, OR($G174="",$G174&gt;=Y$2)),
  $H174 * (1 + Assumptions!$C$7) ^ INT(((YEAR(Y$2)-YEAR($F174))*12 + MONTH(Y$2)-MONTH($F174)) / 12),
  0)</f>
        <v/>
      </c>
      <c r="Z174" s="299">
        <f>IF(AND($F174&lt;=Z$2, OR($G174="",$G174&gt;=Z$2)),
  $H174 * (1 + Assumptions!$C$7) ^ INT(((YEAR(Z$2)-YEAR($F174))*12 + MONTH(Z$2)-MONTH($F174)) / 12),
  0)</f>
        <v/>
      </c>
      <c r="AA174" s="299">
        <f>IF(AND($F174&lt;=AA$2, OR($G174="",$G174&gt;=AA$2)),
  $H174 * (1 + Assumptions!$C$7) ^ INT(((YEAR(AA$2)-YEAR($F174))*12 + MONTH(AA$2)-MONTH($F174)) / 12),
  0)</f>
        <v/>
      </c>
      <c r="AB174" s="299">
        <f>IF(AND($F174&lt;=AB$2, OR($G174="",$G174&gt;=AB$2)),
  $H174 * (1 + Assumptions!$C$7) ^ INT(((YEAR(AB$2)-YEAR($F174))*12 + MONTH(AB$2)-MONTH($F174)) / 12),
  0)</f>
        <v/>
      </c>
      <c r="AC174" s="299">
        <f>IF(AND($F174&lt;=AC$2, OR($G174="",$G174&gt;=AC$2)),
  $H174 * (1 + Assumptions!$C$7) ^ INT(((YEAR(AC$2)-YEAR($F174))*12 + MONTH(AC$2)-MONTH($F174)) / 12),
  0)</f>
        <v/>
      </c>
      <c r="AD174" s="299">
        <f>IF(AND($F174&lt;=AD$2, OR($G174="",$G174&gt;=AD$2)),
  $H174 * (1 + Assumptions!$C$7) ^ INT(((YEAR(AD$2)-YEAR($F174))*12 + MONTH(AD$2)-MONTH($F174)) / 12),
  0)</f>
        <v/>
      </c>
      <c r="AE174" s="299">
        <f>IF(AND($F174&lt;=AE$2, OR($G174="",$G174&gt;=AE$2)),
  $H174 * (1 + Assumptions!$C$7) ^ INT(((YEAR(AE$2)-YEAR($F174))*12 + MONTH(AE$2)-MONTH($F174)) / 12),
  0)</f>
        <v/>
      </c>
      <c r="AF174" s="299">
        <f>IF(AND($F174&lt;=AF$2, OR($G174="",$G174&gt;=AF$2)),
  $H174 * (1 + Assumptions!$C$7) ^ INT(((YEAR(AF$2)-YEAR($F174))*12 + MONTH(AF$2)-MONTH($F174)) / 12),
  0)</f>
        <v/>
      </c>
      <c r="AG174" s="299">
        <f>IF(AND($F174&lt;=AG$2, OR($G174="",$G174&gt;=AG$2)),
  $H174 * (1 + Assumptions!$C$7) ^ INT(((YEAR(AG$2)-YEAR($F174))*12 + MONTH(AG$2)-MONTH($F174)) / 12),
  0)</f>
        <v/>
      </c>
      <c r="AH174" s="299">
        <f>IF(AND($F174&lt;=AH$2, OR($G174="",$G174&gt;=AH$2)),
  $H174 * (1 + Assumptions!$C$7) ^ INT(((YEAR(AH$2)-YEAR($F174))*12 + MONTH(AH$2)-MONTH($F174)) / 12),
  0)</f>
        <v/>
      </c>
      <c r="AI174" s="299">
        <f>IF(AND($F174&lt;=AI$2, OR($G174="",$G174&gt;=AI$2)),
  $H174 * (1 + Assumptions!$C$7) ^ INT(((YEAR(AI$2)-YEAR($F174))*12 + MONTH(AI$2)-MONTH($F174)) / 12),
  0)</f>
        <v/>
      </c>
      <c r="AJ174" s="299">
        <f>IF(AND($F174&lt;=AJ$2, OR($G174="",$G174&gt;=AJ$2)),
  $H174 * (1 + Assumptions!$C$7) ^ INT(((YEAR(AJ$2)-YEAR($F174))*12 + MONTH(AJ$2)-MONTH($F174)) / 12),
  0)</f>
        <v/>
      </c>
      <c r="AK174" s="299">
        <f>IF(AND($F174&lt;=AK$2, OR($G174="",$G174&gt;=AK$2)),
  $H174 * (1 + Assumptions!$C$7) ^ INT(((YEAR(AK$2)-YEAR($F174))*12 + MONTH(AK$2)-MONTH($F174)) / 12),
  0)</f>
        <v/>
      </c>
      <c r="AL174" s="299">
        <f>IF(AND($F174&lt;=AL$2, OR($G174="",$G174&gt;=AL$2)),
  $H174 * (1 + Assumptions!$C$7) ^ INT(((YEAR(AL$2)-YEAR($F174))*12 + MONTH(AL$2)-MONTH($F174)) / 12),
  0)</f>
        <v/>
      </c>
      <c r="AM174" s="299">
        <f>IF(AND($F174&lt;=AM$2, OR($G174="",$G174&gt;=AM$2)),
  $H174 * (1 + Assumptions!$C$7) ^ INT(((YEAR(AM$2)-YEAR($F174))*12 + MONTH(AM$2)-MONTH($F174)) / 12),
  0)</f>
        <v/>
      </c>
      <c r="AN174" s="299">
        <f>IF(AND($F174&lt;=AN$2, OR($G174="",$G174&gt;=AN$2)),
  $H174 * (1 + Assumptions!$C$7) ^ INT(((YEAR(AN$2)-YEAR($F174))*12 + MONTH(AN$2)-MONTH($F174)) / 12),
  0)</f>
        <v/>
      </c>
      <c r="AO174" s="299">
        <f>IF(AND($F174&lt;=AO$2, OR($G174="",$G174&gt;=AO$2)),
  $H174 * (1 + Assumptions!$C$7) ^ INT(((YEAR(AO$2)-YEAR($F174))*12 + MONTH(AO$2)-MONTH($F174)) / 12),
  0)</f>
        <v/>
      </c>
      <c r="AP174" s="299">
        <f>IF(AND($F174&lt;=AP$2, OR($G174="",$G174&gt;=AP$2)),
  $H174 * (1 + Assumptions!$C$7) ^ INT(((YEAR(AP$2)-YEAR($F174))*12 + MONTH(AP$2)-MONTH($F174)) / 12),
  0)</f>
        <v/>
      </c>
      <c r="AQ174" s="299">
        <f>IF(AND($F174&lt;=AQ$2, OR($G174="",$G174&gt;=AQ$2)),
  $H174 * (1 + Assumptions!$C$7) ^ INT(((YEAR(AQ$2)-YEAR($F174))*12 + MONTH(AQ$2)-MONTH($F174)) / 12),
  0)</f>
        <v/>
      </c>
      <c r="AR174" s="299">
        <f>IF(AND($F174&lt;=AR$2, OR($G174="",$G174&gt;=AR$2)),
  $H174 * (1 + Assumptions!$C$7) ^ INT(((YEAR(AR$2)-YEAR($F174))*12 + MONTH(AR$2)-MONTH($F174)) / 12),
  0)</f>
        <v/>
      </c>
      <c r="AS174" s="299">
        <f>IF(AND($F174&lt;=AS$2, OR($G174="",$G174&gt;=AS$2)),
  $H174 * (1 + Assumptions!$C$7) ^ INT(((YEAR(AS$2)-YEAR($F174))*12 + MONTH(AS$2)-MONTH($F174)) / 12),
  0)</f>
        <v/>
      </c>
      <c r="AT174" s="299">
        <f>IF(AND($F174&lt;=AT$2, OR($G174="",$G174&gt;=AT$2)),
  $H174 * (1 + Assumptions!$C$7) ^ INT(((YEAR(AT$2)-YEAR($F174))*12 + MONTH(AT$2)-MONTH($F174)) / 12),
  0)</f>
        <v/>
      </c>
      <c r="AU174" s="299">
        <f>IF(AND($F174&lt;=AU$2, OR($G174="",$G174&gt;=AU$2)),
  $H174 * (1 + Assumptions!$C$7) ^ INT(((YEAR(AU$2)-YEAR($F174))*12 + MONTH(AU$2)-MONTH($F174)) / 12),
  0)</f>
        <v/>
      </c>
      <c r="AV174" s="299">
        <f>IF(AND($F174&lt;=AV$2, OR($G174="",$G174&gt;=AV$2)),
  $H174 * (1 + Assumptions!$C$7) ^ INT(((YEAR(AV$2)-YEAR($F174))*12 + MONTH(AV$2)-MONTH($F174)) / 12),
  0)</f>
        <v/>
      </c>
      <c r="AW174" s="299">
        <f>IF(AND($F174&lt;=AW$2, OR($G174="",$G174&gt;=AW$2)),
  $H174 * (1 + Assumptions!$C$7) ^ INT(((YEAR(AW$2)-YEAR($F174))*12 + MONTH(AW$2)-MONTH($F174)) / 12),
  0)</f>
        <v/>
      </c>
      <c r="AX174" s="299">
        <f>IF(AND($F174&lt;=AX$2, OR($G174="",$G174&gt;=AX$2)),
  $H174 * (1 + Assumptions!$C$7) ^ INT(((YEAR(AX$2)-YEAR($F174))*12 + MONTH(AX$2)-MONTH($F174)) / 12),
  0)</f>
        <v/>
      </c>
      <c r="AY174" s="299">
        <f>IF(AND($F174&lt;=AY$2, OR($G174="",$G174&gt;=AY$2)),
  $H174 * (1 + Assumptions!$C$7) ^ INT(((YEAR(AY$2)-YEAR($F174))*12 + MONTH(AY$2)-MONTH($F174)) / 12),
  0)</f>
        <v/>
      </c>
      <c r="AZ174" s="299">
        <f>IF(AND($F174&lt;=AZ$2, OR($G174="",$G174&gt;=AZ$2)),
  $H174 * (1 + Assumptions!$C$7) ^ INT(((YEAR(AZ$2)-YEAR($F174))*12 + MONTH(AZ$2)-MONTH($F174)) / 12),
  0)</f>
        <v/>
      </c>
      <c r="BA174" s="299">
        <f>IF(AND($F174&lt;=BA$2, OR($G174="",$G174&gt;=BA$2)),
  $H174 * (1 + Assumptions!$C$7) ^ INT(((YEAR(BA$2)-YEAR($F174))*12 + MONTH(BA$2)-MONTH($F174)) / 12),
  0)</f>
        <v/>
      </c>
      <c r="BB174" s="299">
        <f>IF(AND($F174&lt;=BB$2, OR($G174="",$G174&gt;=BB$2)),
  $H174 * (1 + Assumptions!$C$7) ^ INT(((YEAR(BB$2)-YEAR($F174))*12 + MONTH(BB$2)-MONTH($F174)) / 12),
  0)</f>
        <v/>
      </c>
      <c r="BC174" s="299">
        <f>IF(AND($F174&lt;=BC$2, OR($G174="",$G174&gt;=BC$2)),
  $H174 * (1 + Assumptions!$C$7) ^ INT(((YEAR(BC$2)-YEAR($F174))*12 + MONTH(BC$2)-MONTH($F174)) / 12),
  0)</f>
        <v/>
      </c>
      <c r="BD174" s="299">
        <f>IF(AND($F174&lt;=BD$2, OR($G174="",$G174&gt;=BD$2)),
  $H174 * (1 + Assumptions!$C$7) ^ INT(((YEAR(BD$2)-YEAR($F174))*12 + MONTH(BD$2)-MONTH($F174)) / 12),
  0)</f>
        <v/>
      </c>
      <c r="BE174" s="299">
        <f>IF(AND($F174&lt;=BE$2, OR($G174="",$G174&gt;=BE$2)),
  $H174 * (1 + Assumptions!$C$7) ^ INT(((YEAR(BE$2)-YEAR($F174))*12 + MONTH(BE$2)-MONTH($F174)) / 12),
  0)</f>
        <v/>
      </c>
      <c r="BF174" s="299">
        <f>IF(AND($F174&lt;=BF$2, OR($G174="",$G174&gt;=BF$2)),
  $H174 * (1 + Assumptions!$C$7) ^ INT(((YEAR(BF$2)-YEAR($F174))*12 + MONTH(BF$2)-MONTH($F174)) / 12),
  0)</f>
        <v/>
      </c>
      <c r="BG174" s="299">
        <f>IF(AND($F174&lt;=BG$2, OR($G174="",$G174&gt;=BG$2)),
  $H174 * (1 + Assumptions!$C$7) ^ INT(((YEAR(BG$2)-YEAR($F174))*12 + MONTH(BG$2)-MONTH($F174)) / 12),
  0)</f>
        <v/>
      </c>
      <c r="BH174" s="299">
        <f>IF(AND($F174&lt;=BH$2, OR($G174="",$G174&gt;=BH$2)),
  $H174 * (1 + Assumptions!$C$7) ^ INT(((YEAR(BH$2)-YEAR($F174))*12 + MONTH(BH$2)-MONTH($F174)) / 12),
  0)</f>
        <v/>
      </c>
      <c r="BI174" s="299">
        <f>IF(AND($F174&lt;=BI$2, OR($G174="",$G174&gt;=BI$2)),
  $H174 * (1 + Assumptions!$C$7) ^ INT(((YEAR(BI$2)-YEAR($F174))*12 + MONTH(BI$2)-MONTH($F174)) / 12),
  0)</f>
        <v/>
      </c>
      <c r="BJ174" s="299">
        <f>IF(AND($F174&lt;=BJ$2, OR($G174="",$G174&gt;=BJ$2)),
  $H174 * (1 + Assumptions!$C$7) ^ INT(((YEAR(BJ$2)-YEAR($F174))*12 + MONTH(BJ$2)-MONTH($F174)) / 12),
  0)</f>
        <v/>
      </c>
      <c r="BK174" s="299">
        <f>IF(AND($F174&lt;=BK$2, OR($G174="",$G174&gt;=BK$2)),
  $H174 * (1 + Assumptions!$C$7) ^ INT(((YEAR(BK$2)-YEAR($F174))*12 + MONTH(BK$2)-MONTH($F174)) / 12),
  0)</f>
        <v/>
      </c>
      <c r="BL174" s="299">
        <f>IF(AND($F174&lt;=BL$2, OR($G174="",$G174&gt;=BL$2)),
  $H174 * (1 + Assumptions!$C$7) ^ INT(((YEAR(BL$2)-YEAR($F174))*12 + MONTH(BL$2)-MONTH($F174)) / 12),
  0)</f>
        <v/>
      </c>
      <c r="BM174" s="299">
        <f>IF(AND($F174&lt;=BM$2, OR($G174="",$G174&gt;=BM$2)),
  $H174 * (1 + Assumptions!$C$7) ^ INT(((YEAR(BM$2)-YEAR($F174))*12 + MONTH(BM$2)-MONTH($F174)) / 12),
  0)</f>
        <v/>
      </c>
      <c r="BN174" s="299">
        <f>IF(AND($F174&lt;=BN$2, OR($G174="",$G174&gt;=BN$2)),
  $H174 * (1 + Assumptions!$C$7) ^ INT(((YEAR(BN$2)-YEAR($F174))*12 + MONTH(BN$2)-MONTH($F174)) / 12),
  0)</f>
        <v/>
      </c>
      <c r="BO174" s="299">
        <f>IF(AND($F174&lt;=BO$2, OR($G174="",$G174&gt;=BO$2)),
  $H174 * (1 + Assumptions!$C$7) ^ INT(((YEAR(BO$2)-YEAR($F174))*12 + MONTH(BO$2)-MONTH($F174)) / 12),
  0)</f>
        <v/>
      </c>
      <c r="BP174" s="299">
        <f>IF(AND($F174&lt;=BP$2, OR($G174="",$G174&gt;=BP$2)),
  $H174 * (1 + Assumptions!$C$7) ^ INT(((YEAR(BP$2)-YEAR($F174))*12 + MONTH(BP$2)-MONTH($F174)) / 12),
  0)</f>
        <v/>
      </c>
      <c r="BQ174" s="31" t="n"/>
      <c r="BR174" s="31" t="n"/>
      <c r="BS174" s="31" t="n"/>
      <c r="BT174" s="31" t="n"/>
    </row>
    <row r="175" ht="15.75" customHeight="1" s="349">
      <c r="A175" s="321" t="n">
        <v>170</v>
      </c>
      <c r="B175" s="285" t="inlineStr">
        <is>
          <t>New hire</t>
        </is>
      </c>
      <c r="C175" s="317" t="inlineStr">
        <is>
          <t>G&amp;A</t>
        </is>
      </c>
      <c r="D175" s="317" t="inlineStr">
        <is>
          <t>Customer Support</t>
        </is>
      </c>
      <c r="E175" s="297" t="inlineStr">
        <is>
          <t>Planned</t>
        </is>
      </c>
      <c r="F175" s="318">
        <f>IF(Assumptions!$D$82=2,DATE(2029,5,1),DATE(2035,1,1))</f>
        <v/>
      </c>
      <c r="G175" s="318" t="n"/>
      <c r="H175" s="288" t="n">
        <v>4800</v>
      </c>
      <c r="I175" s="299">
        <f>IF(AND($F175&lt;=I$2, OR($G175="",$G175&gt;=I$2)),
  $H175 * (1 + Assumptions!$C$7) ^ INT(((YEAR(I$2)-YEAR($F175))*12 + MONTH(I$2)-MONTH($F175)) / 12),
  0)</f>
        <v/>
      </c>
      <c r="J175" s="299">
        <f>IF(AND($F175&lt;=J$2, OR($G175="",$G175&gt;=J$2)),
  $H175 * (1 + Assumptions!$C$7) ^ INT(((YEAR(J$2)-YEAR($F175))*12 + MONTH(J$2)-MONTH($F175)) / 12),
  0)</f>
        <v/>
      </c>
      <c r="K175" s="299">
        <f>IF(AND($F175&lt;=K$2, OR($G175="",$G175&gt;=K$2)),
  $H175 * (1 + Assumptions!$C$7) ^ INT(((YEAR(K$2)-YEAR($F175))*12 + MONTH(K$2)-MONTH($F175)) / 12),
  0)</f>
        <v/>
      </c>
      <c r="L175" s="299">
        <f>IF(AND($F175&lt;=L$2, OR($G175="",$G175&gt;=L$2)),
  $H175 * (1 + Assumptions!$C$7) ^ INT(((YEAR(L$2)-YEAR($F175))*12 + MONTH(L$2)-MONTH($F175)) / 12),
  0)</f>
        <v/>
      </c>
      <c r="M175" s="299">
        <f>IF(AND($F175&lt;=M$2, OR($G175="",$G175&gt;=M$2)),
  $H175 * (1 + Assumptions!$C$7) ^ INT(((YEAR(M$2)-YEAR($F175))*12 + MONTH(M$2)-MONTH($F175)) / 12),
  0)</f>
        <v/>
      </c>
      <c r="N175" s="299">
        <f>IF(AND($F175&lt;=N$2, OR($G175="",$G175&gt;=N$2)),
  $H175 * (1 + Assumptions!$C$7) ^ INT(((YEAR(N$2)-YEAR($F175))*12 + MONTH(N$2)-MONTH($F175)) / 12),
  0)</f>
        <v/>
      </c>
      <c r="O175" s="299">
        <f>IF(AND($F175&lt;=O$2, OR($G175="",$G175&gt;=O$2)),
  $H175 * (1 + Assumptions!$C$7) ^ INT(((YEAR(O$2)-YEAR($F175))*12 + MONTH(O$2)-MONTH($F175)) / 12),
  0)</f>
        <v/>
      </c>
      <c r="P175" s="299">
        <f>IF(AND($F175&lt;=P$2, OR($G175="",$G175&gt;=P$2)),
  $H175 * (1 + Assumptions!$C$7) ^ INT(((YEAR(P$2)-YEAR($F175))*12 + MONTH(P$2)-MONTH($F175)) / 12),
  0)</f>
        <v/>
      </c>
      <c r="Q175" s="299">
        <f>IF(AND($F175&lt;=Q$2, OR($G175="",$G175&gt;=Q$2)),
  $H175 * (1 + Assumptions!$C$7) ^ INT(((YEAR(Q$2)-YEAR($F175))*12 + MONTH(Q$2)-MONTH($F175)) / 12),
  0)</f>
        <v/>
      </c>
      <c r="R175" s="299">
        <f>IF(AND($F175&lt;=R$2, OR($G175="",$G175&gt;=R$2)),
  $H175 * (1 + Assumptions!$C$7) ^ INT(((YEAR(R$2)-YEAR($F175))*12 + MONTH(R$2)-MONTH($F175)) / 12),
  0)</f>
        <v/>
      </c>
      <c r="S175" s="299">
        <f>IF(AND($F175&lt;=S$2, OR($G175="",$G175&gt;=S$2)),
  $H175 * (1 + Assumptions!$C$7) ^ INT(((YEAR(S$2)-YEAR($F175))*12 + MONTH(S$2)-MONTH($F175)) / 12),
  0)</f>
        <v/>
      </c>
      <c r="T175" s="299">
        <f>IF(AND($F175&lt;=T$2, OR($G175="",$G175&gt;=T$2)),
  $H175 * (1 + Assumptions!$C$7) ^ INT(((YEAR(T$2)-YEAR($F175))*12 + MONTH(T$2)-MONTH($F175)) / 12),
  0)</f>
        <v/>
      </c>
      <c r="U175" s="299">
        <f>IF(AND($F175&lt;=U$2, OR($G175="",$G175&gt;=U$2)),
  $H175 * (1 + Assumptions!$C$7) ^ INT(((YEAR(U$2)-YEAR($F175))*12 + MONTH(U$2)-MONTH($F175)) / 12),
  0)</f>
        <v/>
      </c>
      <c r="V175" s="299">
        <f>IF(AND($F175&lt;=V$2, OR($G175="",$G175&gt;=V$2)),
  $H175 * (1 + Assumptions!$C$7) ^ INT(((YEAR(V$2)-YEAR($F175))*12 + MONTH(V$2)-MONTH($F175)) / 12),
  0)</f>
        <v/>
      </c>
      <c r="W175" s="299">
        <f>IF(AND($F175&lt;=W$2, OR($G175="",$G175&gt;=W$2)),
  $H175 * (1 + Assumptions!$C$7) ^ INT(((YEAR(W$2)-YEAR($F175))*12 + MONTH(W$2)-MONTH($F175)) / 12),
  0)</f>
        <v/>
      </c>
      <c r="X175" s="299">
        <f>IF(AND($F175&lt;=X$2, OR($G175="",$G175&gt;=X$2)),
  $H175 * (1 + Assumptions!$C$7) ^ INT(((YEAR(X$2)-YEAR($F175))*12 + MONTH(X$2)-MONTH($F175)) / 12),
  0)</f>
        <v/>
      </c>
      <c r="Y175" s="299">
        <f>IF(AND($F175&lt;=Y$2, OR($G175="",$G175&gt;=Y$2)),
  $H175 * (1 + Assumptions!$C$7) ^ INT(((YEAR(Y$2)-YEAR($F175))*12 + MONTH(Y$2)-MONTH($F175)) / 12),
  0)</f>
        <v/>
      </c>
      <c r="Z175" s="299">
        <f>IF(AND($F175&lt;=Z$2, OR($G175="",$G175&gt;=Z$2)),
  $H175 * (1 + Assumptions!$C$7) ^ INT(((YEAR(Z$2)-YEAR($F175))*12 + MONTH(Z$2)-MONTH($F175)) / 12),
  0)</f>
        <v/>
      </c>
      <c r="AA175" s="299">
        <f>IF(AND($F175&lt;=AA$2, OR($G175="",$G175&gt;=AA$2)),
  $H175 * (1 + Assumptions!$C$7) ^ INT(((YEAR(AA$2)-YEAR($F175))*12 + MONTH(AA$2)-MONTH($F175)) / 12),
  0)</f>
        <v/>
      </c>
      <c r="AB175" s="299">
        <f>IF(AND($F175&lt;=AB$2, OR($G175="",$G175&gt;=AB$2)),
  $H175 * (1 + Assumptions!$C$7) ^ INT(((YEAR(AB$2)-YEAR($F175))*12 + MONTH(AB$2)-MONTH($F175)) / 12),
  0)</f>
        <v/>
      </c>
      <c r="AC175" s="299">
        <f>IF(AND($F175&lt;=AC$2, OR($G175="",$G175&gt;=AC$2)),
  $H175 * (1 + Assumptions!$C$7) ^ INT(((YEAR(AC$2)-YEAR($F175))*12 + MONTH(AC$2)-MONTH($F175)) / 12),
  0)</f>
        <v/>
      </c>
      <c r="AD175" s="299">
        <f>IF(AND($F175&lt;=AD$2, OR($G175="",$G175&gt;=AD$2)),
  $H175 * (1 + Assumptions!$C$7) ^ INT(((YEAR(AD$2)-YEAR($F175))*12 + MONTH(AD$2)-MONTH($F175)) / 12),
  0)</f>
        <v/>
      </c>
      <c r="AE175" s="299">
        <f>IF(AND($F175&lt;=AE$2, OR($G175="",$G175&gt;=AE$2)),
  $H175 * (1 + Assumptions!$C$7) ^ INT(((YEAR(AE$2)-YEAR($F175))*12 + MONTH(AE$2)-MONTH($F175)) / 12),
  0)</f>
        <v/>
      </c>
      <c r="AF175" s="299">
        <f>IF(AND($F175&lt;=AF$2, OR($G175="",$G175&gt;=AF$2)),
  $H175 * (1 + Assumptions!$C$7) ^ INT(((YEAR(AF$2)-YEAR($F175))*12 + MONTH(AF$2)-MONTH($F175)) / 12),
  0)</f>
        <v/>
      </c>
      <c r="AG175" s="299">
        <f>IF(AND($F175&lt;=AG$2, OR($G175="",$G175&gt;=AG$2)),
  $H175 * (1 + Assumptions!$C$7) ^ INT(((YEAR(AG$2)-YEAR($F175))*12 + MONTH(AG$2)-MONTH($F175)) / 12),
  0)</f>
        <v/>
      </c>
      <c r="AH175" s="299">
        <f>IF(AND($F175&lt;=AH$2, OR($G175="",$G175&gt;=AH$2)),
  $H175 * (1 + Assumptions!$C$7) ^ INT(((YEAR(AH$2)-YEAR($F175))*12 + MONTH(AH$2)-MONTH($F175)) / 12),
  0)</f>
        <v/>
      </c>
      <c r="AI175" s="299">
        <f>IF(AND($F175&lt;=AI$2, OR($G175="",$G175&gt;=AI$2)),
  $H175 * (1 + Assumptions!$C$7) ^ INT(((YEAR(AI$2)-YEAR($F175))*12 + MONTH(AI$2)-MONTH($F175)) / 12),
  0)</f>
        <v/>
      </c>
      <c r="AJ175" s="299">
        <f>IF(AND($F175&lt;=AJ$2, OR($G175="",$G175&gt;=AJ$2)),
  $H175 * (1 + Assumptions!$C$7) ^ INT(((YEAR(AJ$2)-YEAR($F175))*12 + MONTH(AJ$2)-MONTH($F175)) / 12),
  0)</f>
        <v/>
      </c>
      <c r="AK175" s="299">
        <f>IF(AND($F175&lt;=AK$2, OR($G175="",$G175&gt;=AK$2)),
  $H175 * (1 + Assumptions!$C$7) ^ INT(((YEAR(AK$2)-YEAR($F175))*12 + MONTH(AK$2)-MONTH($F175)) / 12),
  0)</f>
        <v/>
      </c>
      <c r="AL175" s="299">
        <f>IF(AND($F175&lt;=AL$2, OR($G175="",$G175&gt;=AL$2)),
  $H175 * (1 + Assumptions!$C$7) ^ INT(((YEAR(AL$2)-YEAR($F175))*12 + MONTH(AL$2)-MONTH($F175)) / 12),
  0)</f>
        <v/>
      </c>
      <c r="AM175" s="299">
        <f>IF(AND($F175&lt;=AM$2, OR($G175="",$G175&gt;=AM$2)),
  $H175 * (1 + Assumptions!$C$7) ^ INT(((YEAR(AM$2)-YEAR($F175))*12 + MONTH(AM$2)-MONTH($F175)) / 12),
  0)</f>
        <v/>
      </c>
      <c r="AN175" s="299">
        <f>IF(AND($F175&lt;=AN$2, OR($G175="",$G175&gt;=AN$2)),
  $H175 * (1 + Assumptions!$C$7) ^ INT(((YEAR(AN$2)-YEAR($F175))*12 + MONTH(AN$2)-MONTH($F175)) / 12),
  0)</f>
        <v/>
      </c>
      <c r="AO175" s="299">
        <f>IF(AND($F175&lt;=AO$2, OR($G175="",$G175&gt;=AO$2)),
  $H175 * (1 + Assumptions!$C$7) ^ INT(((YEAR(AO$2)-YEAR($F175))*12 + MONTH(AO$2)-MONTH($F175)) / 12),
  0)</f>
        <v/>
      </c>
      <c r="AP175" s="299">
        <f>IF(AND($F175&lt;=AP$2, OR($G175="",$G175&gt;=AP$2)),
  $H175 * (1 + Assumptions!$C$7) ^ INT(((YEAR(AP$2)-YEAR($F175))*12 + MONTH(AP$2)-MONTH($F175)) / 12),
  0)</f>
        <v/>
      </c>
      <c r="AQ175" s="299">
        <f>IF(AND($F175&lt;=AQ$2, OR($G175="",$G175&gt;=AQ$2)),
  $H175 * (1 + Assumptions!$C$7) ^ INT(((YEAR(AQ$2)-YEAR($F175))*12 + MONTH(AQ$2)-MONTH($F175)) / 12),
  0)</f>
        <v/>
      </c>
      <c r="AR175" s="299">
        <f>IF(AND($F175&lt;=AR$2, OR($G175="",$G175&gt;=AR$2)),
  $H175 * (1 + Assumptions!$C$7) ^ INT(((YEAR(AR$2)-YEAR($F175))*12 + MONTH(AR$2)-MONTH($F175)) / 12),
  0)</f>
        <v/>
      </c>
      <c r="AS175" s="299">
        <f>IF(AND($F175&lt;=AS$2, OR($G175="",$G175&gt;=AS$2)),
  $H175 * (1 + Assumptions!$C$7) ^ INT(((YEAR(AS$2)-YEAR($F175))*12 + MONTH(AS$2)-MONTH($F175)) / 12),
  0)</f>
        <v/>
      </c>
      <c r="AT175" s="299">
        <f>IF(AND($F175&lt;=AT$2, OR($G175="",$G175&gt;=AT$2)),
  $H175 * (1 + Assumptions!$C$7) ^ INT(((YEAR(AT$2)-YEAR($F175))*12 + MONTH(AT$2)-MONTH($F175)) / 12),
  0)</f>
        <v/>
      </c>
      <c r="AU175" s="299">
        <f>IF(AND($F175&lt;=AU$2, OR($G175="",$G175&gt;=AU$2)),
  $H175 * (1 + Assumptions!$C$7) ^ INT(((YEAR(AU$2)-YEAR($F175))*12 + MONTH(AU$2)-MONTH($F175)) / 12),
  0)</f>
        <v/>
      </c>
      <c r="AV175" s="299">
        <f>IF(AND($F175&lt;=AV$2, OR($G175="",$G175&gt;=AV$2)),
  $H175 * (1 + Assumptions!$C$7) ^ INT(((YEAR(AV$2)-YEAR($F175))*12 + MONTH(AV$2)-MONTH($F175)) / 12),
  0)</f>
        <v/>
      </c>
      <c r="AW175" s="299">
        <f>IF(AND($F175&lt;=AW$2, OR($G175="",$G175&gt;=AW$2)),
  $H175 * (1 + Assumptions!$C$7) ^ INT(((YEAR(AW$2)-YEAR($F175))*12 + MONTH(AW$2)-MONTH($F175)) / 12),
  0)</f>
        <v/>
      </c>
      <c r="AX175" s="299">
        <f>IF(AND($F175&lt;=AX$2, OR($G175="",$G175&gt;=AX$2)),
  $H175 * (1 + Assumptions!$C$7) ^ INT(((YEAR(AX$2)-YEAR($F175))*12 + MONTH(AX$2)-MONTH($F175)) / 12),
  0)</f>
        <v/>
      </c>
      <c r="AY175" s="299">
        <f>IF(AND($F175&lt;=AY$2, OR($G175="",$G175&gt;=AY$2)),
  $H175 * (1 + Assumptions!$C$7) ^ INT(((YEAR(AY$2)-YEAR($F175))*12 + MONTH(AY$2)-MONTH($F175)) / 12),
  0)</f>
        <v/>
      </c>
      <c r="AZ175" s="299">
        <f>IF(AND($F175&lt;=AZ$2, OR($G175="",$G175&gt;=AZ$2)),
  $H175 * (1 + Assumptions!$C$7) ^ INT(((YEAR(AZ$2)-YEAR($F175))*12 + MONTH(AZ$2)-MONTH($F175)) / 12),
  0)</f>
        <v/>
      </c>
      <c r="BA175" s="299">
        <f>IF(AND($F175&lt;=BA$2, OR($G175="",$G175&gt;=BA$2)),
  $H175 * (1 + Assumptions!$C$7) ^ INT(((YEAR(BA$2)-YEAR($F175))*12 + MONTH(BA$2)-MONTH($F175)) / 12),
  0)</f>
        <v/>
      </c>
      <c r="BB175" s="299">
        <f>IF(AND($F175&lt;=BB$2, OR($G175="",$G175&gt;=BB$2)),
  $H175 * (1 + Assumptions!$C$7) ^ INT(((YEAR(BB$2)-YEAR($F175))*12 + MONTH(BB$2)-MONTH($F175)) / 12),
  0)</f>
        <v/>
      </c>
      <c r="BC175" s="299">
        <f>IF(AND($F175&lt;=BC$2, OR($G175="",$G175&gt;=BC$2)),
  $H175 * (1 + Assumptions!$C$7) ^ INT(((YEAR(BC$2)-YEAR($F175))*12 + MONTH(BC$2)-MONTH($F175)) / 12),
  0)</f>
        <v/>
      </c>
      <c r="BD175" s="299">
        <f>IF(AND($F175&lt;=BD$2, OR($G175="",$G175&gt;=BD$2)),
  $H175 * (1 + Assumptions!$C$7) ^ INT(((YEAR(BD$2)-YEAR($F175))*12 + MONTH(BD$2)-MONTH($F175)) / 12),
  0)</f>
        <v/>
      </c>
      <c r="BE175" s="299">
        <f>IF(AND($F175&lt;=BE$2, OR($G175="",$G175&gt;=BE$2)),
  $H175 * (1 + Assumptions!$C$7) ^ INT(((YEAR(BE$2)-YEAR($F175))*12 + MONTH(BE$2)-MONTH($F175)) / 12),
  0)</f>
        <v/>
      </c>
      <c r="BF175" s="299">
        <f>IF(AND($F175&lt;=BF$2, OR($G175="",$G175&gt;=BF$2)),
  $H175 * (1 + Assumptions!$C$7) ^ INT(((YEAR(BF$2)-YEAR($F175))*12 + MONTH(BF$2)-MONTH($F175)) / 12),
  0)</f>
        <v/>
      </c>
      <c r="BG175" s="299">
        <f>IF(AND($F175&lt;=BG$2, OR($G175="",$G175&gt;=BG$2)),
  $H175 * (1 + Assumptions!$C$7) ^ INT(((YEAR(BG$2)-YEAR($F175))*12 + MONTH(BG$2)-MONTH($F175)) / 12),
  0)</f>
        <v/>
      </c>
      <c r="BH175" s="299">
        <f>IF(AND($F175&lt;=BH$2, OR($G175="",$G175&gt;=BH$2)),
  $H175 * (1 + Assumptions!$C$7) ^ INT(((YEAR(BH$2)-YEAR($F175))*12 + MONTH(BH$2)-MONTH($F175)) / 12),
  0)</f>
        <v/>
      </c>
      <c r="BI175" s="299">
        <f>IF(AND($F175&lt;=BI$2, OR($G175="",$G175&gt;=BI$2)),
  $H175 * (1 + Assumptions!$C$7) ^ INT(((YEAR(BI$2)-YEAR($F175))*12 + MONTH(BI$2)-MONTH($F175)) / 12),
  0)</f>
        <v/>
      </c>
      <c r="BJ175" s="299">
        <f>IF(AND($F175&lt;=BJ$2, OR($G175="",$G175&gt;=BJ$2)),
  $H175 * (1 + Assumptions!$C$7) ^ INT(((YEAR(BJ$2)-YEAR($F175))*12 + MONTH(BJ$2)-MONTH($F175)) / 12),
  0)</f>
        <v/>
      </c>
      <c r="BK175" s="299">
        <f>IF(AND($F175&lt;=BK$2, OR($G175="",$G175&gt;=BK$2)),
  $H175 * (1 + Assumptions!$C$7) ^ INT(((YEAR(BK$2)-YEAR($F175))*12 + MONTH(BK$2)-MONTH($F175)) / 12),
  0)</f>
        <v/>
      </c>
      <c r="BL175" s="299">
        <f>IF(AND($F175&lt;=BL$2, OR($G175="",$G175&gt;=BL$2)),
  $H175 * (1 + Assumptions!$C$7) ^ INT(((YEAR(BL$2)-YEAR($F175))*12 + MONTH(BL$2)-MONTH($F175)) / 12),
  0)</f>
        <v/>
      </c>
      <c r="BM175" s="299">
        <f>IF(AND($F175&lt;=BM$2, OR($G175="",$G175&gt;=BM$2)),
  $H175 * (1 + Assumptions!$C$7) ^ INT(((YEAR(BM$2)-YEAR($F175))*12 + MONTH(BM$2)-MONTH($F175)) / 12),
  0)</f>
        <v/>
      </c>
      <c r="BN175" s="299">
        <f>IF(AND($F175&lt;=BN$2, OR($G175="",$G175&gt;=BN$2)),
  $H175 * (1 + Assumptions!$C$7) ^ INT(((YEAR(BN$2)-YEAR($F175))*12 + MONTH(BN$2)-MONTH($F175)) / 12),
  0)</f>
        <v/>
      </c>
      <c r="BO175" s="299">
        <f>IF(AND($F175&lt;=BO$2, OR($G175="",$G175&gt;=BO$2)),
  $H175 * (1 + Assumptions!$C$7) ^ INT(((YEAR(BO$2)-YEAR($F175))*12 + MONTH(BO$2)-MONTH($F175)) / 12),
  0)</f>
        <v/>
      </c>
      <c r="BP175" s="299">
        <f>IF(AND($F175&lt;=BP$2, OR($G175="",$G175&gt;=BP$2)),
  $H175 * (1 + Assumptions!$C$7) ^ INT(((YEAR(BP$2)-YEAR($F175))*12 + MONTH(BP$2)-MONTH($F175)) / 12),
  0)</f>
        <v/>
      </c>
      <c r="BQ175" s="31" t="n"/>
      <c r="BR175" s="31" t="n"/>
      <c r="BS175" s="31" t="n"/>
      <c r="BT175" s="31" t="n"/>
    </row>
    <row r="176" ht="15.75" customHeight="1" s="349">
      <c r="A176" s="321" t="n">
        <v>171</v>
      </c>
      <c r="B176" s="285" t="inlineStr">
        <is>
          <t>New hire</t>
        </is>
      </c>
      <c r="C176" s="317" t="inlineStr">
        <is>
          <t>G&amp;A</t>
        </is>
      </c>
      <c r="D176" s="317" t="inlineStr">
        <is>
          <t>Customer Support</t>
        </is>
      </c>
      <c r="E176" s="297" t="inlineStr">
        <is>
          <t>Planned</t>
        </is>
      </c>
      <c r="F176" s="318">
        <f>IF(Assumptions!$D$82=2,DATE(2029,8,1),DATE(2035,1,1))</f>
        <v/>
      </c>
      <c r="G176" s="318" t="n"/>
      <c r="H176" s="288" t="n">
        <v>4800</v>
      </c>
      <c r="I176" s="299">
        <f>IF(AND($F176&lt;=I$2, OR($G176="",$G176&gt;=I$2)),
  $H176 * (1 + Assumptions!$C$7) ^ INT(((YEAR(I$2)-YEAR($F176))*12 + MONTH(I$2)-MONTH($F176)) / 12),
  0)</f>
        <v/>
      </c>
      <c r="J176" s="299">
        <f>IF(AND($F176&lt;=J$2, OR($G176="",$G176&gt;=J$2)),
  $H176 * (1 + Assumptions!$C$7) ^ INT(((YEAR(J$2)-YEAR($F176))*12 + MONTH(J$2)-MONTH($F176)) / 12),
  0)</f>
        <v/>
      </c>
      <c r="K176" s="299">
        <f>IF(AND($F176&lt;=K$2, OR($G176="",$G176&gt;=K$2)),
  $H176 * (1 + Assumptions!$C$7) ^ INT(((YEAR(K$2)-YEAR($F176))*12 + MONTH(K$2)-MONTH($F176)) / 12),
  0)</f>
        <v/>
      </c>
      <c r="L176" s="299">
        <f>IF(AND($F176&lt;=L$2, OR($G176="",$G176&gt;=L$2)),
  $H176 * (1 + Assumptions!$C$7) ^ INT(((YEAR(L$2)-YEAR($F176))*12 + MONTH(L$2)-MONTH($F176)) / 12),
  0)</f>
        <v/>
      </c>
      <c r="M176" s="299">
        <f>IF(AND($F176&lt;=M$2, OR($G176="",$G176&gt;=M$2)),
  $H176 * (1 + Assumptions!$C$7) ^ INT(((YEAR(M$2)-YEAR($F176))*12 + MONTH(M$2)-MONTH($F176)) / 12),
  0)</f>
        <v/>
      </c>
      <c r="N176" s="299">
        <f>IF(AND($F176&lt;=N$2, OR($G176="",$G176&gt;=N$2)),
  $H176 * (1 + Assumptions!$C$7) ^ INT(((YEAR(N$2)-YEAR($F176))*12 + MONTH(N$2)-MONTH($F176)) / 12),
  0)</f>
        <v/>
      </c>
      <c r="O176" s="299">
        <f>IF(AND($F176&lt;=O$2, OR($G176="",$G176&gt;=O$2)),
  $H176 * (1 + Assumptions!$C$7) ^ INT(((YEAR(O$2)-YEAR($F176))*12 + MONTH(O$2)-MONTH($F176)) / 12),
  0)</f>
        <v/>
      </c>
      <c r="P176" s="299">
        <f>IF(AND($F176&lt;=P$2, OR($G176="",$G176&gt;=P$2)),
  $H176 * (1 + Assumptions!$C$7) ^ INT(((YEAR(P$2)-YEAR($F176))*12 + MONTH(P$2)-MONTH($F176)) / 12),
  0)</f>
        <v/>
      </c>
      <c r="Q176" s="299">
        <f>IF(AND($F176&lt;=Q$2, OR($G176="",$G176&gt;=Q$2)),
  $H176 * (1 + Assumptions!$C$7) ^ INT(((YEAR(Q$2)-YEAR($F176))*12 + MONTH(Q$2)-MONTH($F176)) / 12),
  0)</f>
        <v/>
      </c>
      <c r="R176" s="299">
        <f>IF(AND($F176&lt;=R$2, OR($G176="",$G176&gt;=R$2)),
  $H176 * (1 + Assumptions!$C$7) ^ INT(((YEAR(R$2)-YEAR($F176))*12 + MONTH(R$2)-MONTH($F176)) / 12),
  0)</f>
        <v/>
      </c>
      <c r="S176" s="299">
        <f>IF(AND($F176&lt;=S$2, OR($G176="",$G176&gt;=S$2)),
  $H176 * (1 + Assumptions!$C$7) ^ INT(((YEAR(S$2)-YEAR($F176))*12 + MONTH(S$2)-MONTH($F176)) / 12),
  0)</f>
        <v/>
      </c>
      <c r="T176" s="299">
        <f>IF(AND($F176&lt;=T$2, OR($G176="",$G176&gt;=T$2)),
  $H176 * (1 + Assumptions!$C$7) ^ INT(((YEAR(T$2)-YEAR($F176))*12 + MONTH(T$2)-MONTH($F176)) / 12),
  0)</f>
        <v/>
      </c>
      <c r="U176" s="299">
        <f>IF(AND($F176&lt;=U$2, OR($G176="",$G176&gt;=U$2)),
  $H176 * (1 + Assumptions!$C$7) ^ INT(((YEAR(U$2)-YEAR($F176))*12 + MONTH(U$2)-MONTH($F176)) / 12),
  0)</f>
        <v/>
      </c>
      <c r="V176" s="299">
        <f>IF(AND($F176&lt;=V$2, OR($G176="",$G176&gt;=V$2)),
  $H176 * (1 + Assumptions!$C$7) ^ INT(((YEAR(V$2)-YEAR($F176))*12 + MONTH(V$2)-MONTH($F176)) / 12),
  0)</f>
        <v/>
      </c>
      <c r="W176" s="299">
        <f>IF(AND($F176&lt;=W$2, OR($G176="",$G176&gt;=W$2)),
  $H176 * (1 + Assumptions!$C$7) ^ INT(((YEAR(W$2)-YEAR($F176))*12 + MONTH(W$2)-MONTH($F176)) / 12),
  0)</f>
        <v/>
      </c>
      <c r="X176" s="299">
        <f>IF(AND($F176&lt;=X$2, OR($G176="",$G176&gt;=X$2)),
  $H176 * (1 + Assumptions!$C$7) ^ INT(((YEAR(X$2)-YEAR($F176))*12 + MONTH(X$2)-MONTH($F176)) / 12),
  0)</f>
        <v/>
      </c>
      <c r="Y176" s="299">
        <f>IF(AND($F176&lt;=Y$2, OR($G176="",$G176&gt;=Y$2)),
  $H176 * (1 + Assumptions!$C$7) ^ INT(((YEAR(Y$2)-YEAR($F176))*12 + MONTH(Y$2)-MONTH($F176)) / 12),
  0)</f>
        <v/>
      </c>
      <c r="Z176" s="299">
        <f>IF(AND($F176&lt;=Z$2, OR($G176="",$G176&gt;=Z$2)),
  $H176 * (1 + Assumptions!$C$7) ^ INT(((YEAR(Z$2)-YEAR($F176))*12 + MONTH(Z$2)-MONTH($F176)) / 12),
  0)</f>
        <v/>
      </c>
      <c r="AA176" s="299">
        <f>IF(AND($F176&lt;=AA$2, OR($G176="",$G176&gt;=AA$2)),
  $H176 * (1 + Assumptions!$C$7) ^ INT(((YEAR(AA$2)-YEAR($F176))*12 + MONTH(AA$2)-MONTH($F176)) / 12),
  0)</f>
        <v/>
      </c>
      <c r="AB176" s="299">
        <f>IF(AND($F176&lt;=AB$2, OR($G176="",$G176&gt;=AB$2)),
  $H176 * (1 + Assumptions!$C$7) ^ INT(((YEAR(AB$2)-YEAR($F176))*12 + MONTH(AB$2)-MONTH($F176)) / 12),
  0)</f>
        <v/>
      </c>
      <c r="AC176" s="299">
        <f>IF(AND($F176&lt;=AC$2, OR($G176="",$G176&gt;=AC$2)),
  $H176 * (1 + Assumptions!$C$7) ^ INT(((YEAR(AC$2)-YEAR($F176))*12 + MONTH(AC$2)-MONTH($F176)) / 12),
  0)</f>
        <v/>
      </c>
      <c r="AD176" s="299">
        <f>IF(AND($F176&lt;=AD$2, OR($G176="",$G176&gt;=AD$2)),
  $H176 * (1 + Assumptions!$C$7) ^ INT(((YEAR(AD$2)-YEAR($F176))*12 + MONTH(AD$2)-MONTH($F176)) / 12),
  0)</f>
        <v/>
      </c>
      <c r="AE176" s="299">
        <f>IF(AND($F176&lt;=AE$2, OR($G176="",$G176&gt;=AE$2)),
  $H176 * (1 + Assumptions!$C$7) ^ INT(((YEAR(AE$2)-YEAR($F176))*12 + MONTH(AE$2)-MONTH($F176)) / 12),
  0)</f>
        <v/>
      </c>
      <c r="AF176" s="299">
        <f>IF(AND($F176&lt;=AF$2, OR($G176="",$G176&gt;=AF$2)),
  $H176 * (1 + Assumptions!$C$7) ^ INT(((YEAR(AF$2)-YEAR($F176))*12 + MONTH(AF$2)-MONTH($F176)) / 12),
  0)</f>
        <v/>
      </c>
      <c r="AG176" s="299">
        <f>IF(AND($F176&lt;=AG$2, OR($G176="",$G176&gt;=AG$2)),
  $H176 * (1 + Assumptions!$C$7) ^ INT(((YEAR(AG$2)-YEAR($F176))*12 + MONTH(AG$2)-MONTH($F176)) / 12),
  0)</f>
        <v/>
      </c>
      <c r="AH176" s="299">
        <f>IF(AND($F176&lt;=AH$2, OR($G176="",$G176&gt;=AH$2)),
  $H176 * (1 + Assumptions!$C$7) ^ INT(((YEAR(AH$2)-YEAR($F176))*12 + MONTH(AH$2)-MONTH($F176)) / 12),
  0)</f>
        <v/>
      </c>
      <c r="AI176" s="299">
        <f>IF(AND($F176&lt;=AI$2, OR($G176="",$G176&gt;=AI$2)),
  $H176 * (1 + Assumptions!$C$7) ^ INT(((YEAR(AI$2)-YEAR($F176))*12 + MONTH(AI$2)-MONTH($F176)) / 12),
  0)</f>
        <v/>
      </c>
      <c r="AJ176" s="299">
        <f>IF(AND($F176&lt;=AJ$2, OR($G176="",$G176&gt;=AJ$2)),
  $H176 * (1 + Assumptions!$C$7) ^ INT(((YEAR(AJ$2)-YEAR($F176))*12 + MONTH(AJ$2)-MONTH($F176)) / 12),
  0)</f>
        <v/>
      </c>
      <c r="AK176" s="299">
        <f>IF(AND($F176&lt;=AK$2, OR($G176="",$G176&gt;=AK$2)),
  $H176 * (1 + Assumptions!$C$7) ^ INT(((YEAR(AK$2)-YEAR($F176))*12 + MONTH(AK$2)-MONTH($F176)) / 12),
  0)</f>
        <v/>
      </c>
      <c r="AL176" s="299">
        <f>IF(AND($F176&lt;=AL$2, OR($G176="",$G176&gt;=AL$2)),
  $H176 * (1 + Assumptions!$C$7) ^ INT(((YEAR(AL$2)-YEAR($F176))*12 + MONTH(AL$2)-MONTH($F176)) / 12),
  0)</f>
        <v/>
      </c>
      <c r="AM176" s="299">
        <f>IF(AND($F176&lt;=AM$2, OR($G176="",$G176&gt;=AM$2)),
  $H176 * (1 + Assumptions!$C$7) ^ INT(((YEAR(AM$2)-YEAR($F176))*12 + MONTH(AM$2)-MONTH($F176)) / 12),
  0)</f>
        <v/>
      </c>
      <c r="AN176" s="299">
        <f>IF(AND($F176&lt;=AN$2, OR($G176="",$G176&gt;=AN$2)),
  $H176 * (1 + Assumptions!$C$7) ^ INT(((YEAR(AN$2)-YEAR($F176))*12 + MONTH(AN$2)-MONTH($F176)) / 12),
  0)</f>
        <v/>
      </c>
      <c r="AO176" s="299">
        <f>IF(AND($F176&lt;=AO$2, OR($G176="",$G176&gt;=AO$2)),
  $H176 * (1 + Assumptions!$C$7) ^ INT(((YEAR(AO$2)-YEAR($F176))*12 + MONTH(AO$2)-MONTH($F176)) / 12),
  0)</f>
        <v/>
      </c>
      <c r="AP176" s="299">
        <f>IF(AND($F176&lt;=AP$2, OR($G176="",$G176&gt;=AP$2)),
  $H176 * (1 + Assumptions!$C$7) ^ INT(((YEAR(AP$2)-YEAR($F176))*12 + MONTH(AP$2)-MONTH($F176)) / 12),
  0)</f>
        <v/>
      </c>
      <c r="AQ176" s="299">
        <f>IF(AND($F176&lt;=AQ$2, OR($G176="",$G176&gt;=AQ$2)),
  $H176 * (1 + Assumptions!$C$7) ^ INT(((YEAR(AQ$2)-YEAR($F176))*12 + MONTH(AQ$2)-MONTH($F176)) / 12),
  0)</f>
        <v/>
      </c>
      <c r="AR176" s="299">
        <f>IF(AND($F176&lt;=AR$2, OR($G176="",$G176&gt;=AR$2)),
  $H176 * (1 + Assumptions!$C$7) ^ INT(((YEAR(AR$2)-YEAR($F176))*12 + MONTH(AR$2)-MONTH($F176)) / 12),
  0)</f>
        <v/>
      </c>
      <c r="AS176" s="299">
        <f>IF(AND($F176&lt;=AS$2, OR($G176="",$G176&gt;=AS$2)),
  $H176 * (1 + Assumptions!$C$7) ^ INT(((YEAR(AS$2)-YEAR($F176))*12 + MONTH(AS$2)-MONTH($F176)) / 12),
  0)</f>
        <v/>
      </c>
      <c r="AT176" s="299">
        <f>IF(AND($F176&lt;=AT$2, OR($G176="",$G176&gt;=AT$2)),
  $H176 * (1 + Assumptions!$C$7) ^ INT(((YEAR(AT$2)-YEAR($F176))*12 + MONTH(AT$2)-MONTH($F176)) / 12),
  0)</f>
        <v/>
      </c>
      <c r="AU176" s="299">
        <f>IF(AND($F176&lt;=AU$2, OR($G176="",$G176&gt;=AU$2)),
  $H176 * (1 + Assumptions!$C$7) ^ INT(((YEAR(AU$2)-YEAR($F176))*12 + MONTH(AU$2)-MONTH($F176)) / 12),
  0)</f>
        <v/>
      </c>
      <c r="AV176" s="299">
        <f>IF(AND($F176&lt;=AV$2, OR($G176="",$G176&gt;=AV$2)),
  $H176 * (1 + Assumptions!$C$7) ^ INT(((YEAR(AV$2)-YEAR($F176))*12 + MONTH(AV$2)-MONTH($F176)) / 12),
  0)</f>
        <v/>
      </c>
      <c r="AW176" s="299">
        <f>IF(AND($F176&lt;=AW$2, OR($G176="",$G176&gt;=AW$2)),
  $H176 * (1 + Assumptions!$C$7) ^ INT(((YEAR(AW$2)-YEAR($F176))*12 + MONTH(AW$2)-MONTH($F176)) / 12),
  0)</f>
        <v/>
      </c>
      <c r="AX176" s="299">
        <f>IF(AND($F176&lt;=AX$2, OR($G176="",$G176&gt;=AX$2)),
  $H176 * (1 + Assumptions!$C$7) ^ INT(((YEAR(AX$2)-YEAR($F176))*12 + MONTH(AX$2)-MONTH($F176)) / 12),
  0)</f>
        <v/>
      </c>
      <c r="AY176" s="299">
        <f>IF(AND($F176&lt;=AY$2, OR($G176="",$G176&gt;=AY$2)),
  $H176 * (1 + Assumptions!$C$7) ^ INT(((YEAR(AY$2)-YEAR($F176))*12 + MONTH(AY$2)-MONTH($F176)) / 12),
  0)</f>
        <v/>
      </c>
      <c r="AZ176" s="299">
        <f>IF(AND($F176&lt;=AZ$2, OR($G176="",$G176&gt;=AZ$2)),
  $H176 * (1 + Assumptions!$C$7) ^ INT(((YEAR(AZ$2)-YEAR($F176))*12 + MONTH(AZ$2)-MONTH($F176)) / 12),
  0)</f>
        <v/>
      </c>
      <c r="BA176" s="299">
        <f>IF(AND($F176&lt;=BA$2, OR($G176="",$G176&gt;=BA$2)),
  $H176 * (1 + Assumptions!$C$7) ^ INT(((YEAR(BA$2)-YEAR($F176))*12 + MONTH(BA$2)-MONTH($F176)) / 12),
  0)</f>
        <v/>
      </c>
      <c r="BB176" s="299">
        <f>IF(AND($F176&lt;=BB$2, OR($G176="",$G176&gt;=BB$2)),
  $H176 * (1 + Assumptions!$C$7) ^ INT(((YEAR(BB$2)-YEAR($F176))*12 + MONTH(BB$2)-MONTH($F176)) / 12),
  0)</f>
        <v/>
      </c>
      <c r="BC176" s="299">
        <f>IF(AND($F176&lt;=BC$2, OR($G176="",$G176&gt;=BC$2)),
  $H176 * (1 + Assumptions!$C$7) ^ INT(((YEAR(BC$2)-YEAR($F176))*12 + MONTH(BC$2)-MONTH($F176)) / 12),
  0)</f>
        <v/>
      </c>
      <c r="BD176" s="299">
        <f>IF(AND($F176&lt;=BD$2, OR($G176="",$G176&gt;=BD$2)),
  $H176 * (1 + Assumptions!$C$7) ^ INT(((YEAR(BD$2)-YEAR($F176))*12 + MONTH(BD$2)-MONTH($F176)) / 12),
  0)</f>
        <v/>
      </c>
      <c r="BE176" s="299">
        <f>IF(AND($F176&lt;=BE$2, OR($G176="",$G176&gt;=BE$2)),
  $H176 * (1 + Assumptions!$C$7) ^ INT(((YEAR(BE$2)-YEAR($F176))*12 + MONTH(BE$2)-MONTH($F176)) / 12),
  0)</f>
        <v/>
      </c>
      <c r="BF176" s="299">
        <f>IF(AND($F176&lt;=BF$2, OR($G176="",$G176&gt;=BF$2)),
  $H176 * (1 + Assumptions!$C$7) ^ INT(((YEAR(BF$2)-YEAR($F176))*12 + MONTH(BF$2)-MONTH($F176)) / 12),
  0)</f>
        <v/>
      </c>
      <c r="BG176" s="299">
        <f>IF(AND($F176&lt;=BG$2, OR($G176="",$G176&gt;=BG$2)),
  $H176 * (1 + Assumptions!$C$7) ^ INT(((YEAR(BG$2)-YEAR($F176))*12 + MONTH(BG$2)-MONTH($F176)) / 12),
  0)</f>
        <v/>
      </c>
      <c r="BH176" s="299">
        <f>IF(AND($F176&lt;=BH$2, OR($G176="",$G176&gt;=BH$2)),
  $H176 * (1 + Assumptions!$C$7) ^ INT(((YEAR(BH$2)-YEAR($F176))*12 + MONTH(BH$2)-MONTH($F176)) / 12),
  0)</f>
        <v/>
      </c>
      <c r="BI176" s="299">
        <f>IF(AND($F176&lt;=BI$2, OR($G176="",$G176&gt;=BI$2)),
  $H176 * (1 + Assumptions!$C$7) ^ INT(((YEAR(BI$2)-YEAR($F176))*12 + MONTH(BI$2)-MONTH($F176)) / 12),
  0)</f>
        <v/>
      </c>
      <c r="BJ176" s="299">
        <f>IF(AND($F176&lt;=BJ$2, OR($G176="",$G176&gt;=BJ$2)),
  $H176 * (1 + Assumptions!$C$7) ^ INT(((YEAR(BJ$2)-YEAR($F176))*12 + MONTH(BJ$2)-MONTH($F176)) / 12),
  0)</f>
        <v/>
      </c>
      <c r="BK176" s="299">
        <f>IF(AND($F176&lt;=BK$2, OR($G176="",$G176&gt;=BK$2)),
  $H176 * (1 + Assumptions!$C$7) ^ INT(((YEAR(BK$2)-YEAR($F176))*12 + MONTH(BK$2)-MONTH($F176)) / 12),
  0)</f>
        <v/>
      </c>
      <c r="BL176" s="299">
        <f>IF(AND($F176&lt;=BL$2, OR($G176="",$G176&gt;=BL$2)),
  $H176 * (1 + Assumptions!$C$7) ^ INT(((YEAR(BL$2)-YEAR($F176))*12 + MONTH(BL$2)-MONTH($F176)) / 12),
  0)</f>
        <v/>
      </c>
      <c r="BM176" s="299">
        <f>IF(AND($F176&lt;=BM$2, OR($G176="",$G176&gt;=BM$2)),
  $H176 * (1 + Assumptions!$C$7) ^ INT(((YEAR(BM$2)-YEAR($F176))*12 + MONTH(BM$2)-MONTH($F176)) / 12),
  0)</f>
        <v/>
      </c>
      <c r="BN176" s="299">
        <f>IF(AND($F176&lt;=BN$2, OR($G176="",$G176&gt;=BN$2)),
  $H176 * (1 + Assumptions!$C$7) ^ INT(((YEAR(BN$2)-YEAR($F176))*12 + MONTH(BN$2)-MONTH($F176)) / 12),
  0)</f>
        <v/>
      </c>
      <c r="BO176" s="299">
        <f>IF(AND($F176&lt;=BO$2, OR($G176="",$G176&gt;=BO$2)),
  $H176 * (1 + Assumptions!$C$7) ^ INT(((YEAR(BO$2)-YEAR($F176))*12 + MONTH(BO$2)-MONTH($F176)) / 12),
  0)</f>
        <v/>
      </c>
      <c r="BP176" s="299">
        <f>IF(AND($F176&lt;=BP$2, OR($G176="",$G176&gt;=BP$2)),
  $H176 * (1 + Assumptions!$C$7) ^ INT(((YEAR(BP$2)-YEAR($F176))*12 + MONTH(BP$2)-MONTH($F176)) / 12),
  0)</f>
        <v/>
      </c>
      <c r="BQ176" s="31" t="n"/>
      <c r="BR176" s="31" t="n"/>
      <c r="BS176" s="31" t="n"/>
      <c r="BT176" s="31" t="n"/>
    </row>
    <row r="177" ht="15.75" customHeight="1" s="349">
      <c r="A177" s="321" t="n">
        <v>172</v>
      </c>
      <c r="B177" s="285" t="inlineStr">
        <is>
          <t>New hire</t>
        </is>
      </c>
      <c r="C177" s="317" t="inlineStr">
        <is>
          <t>G&amp;A</t>
        </is>
      </c>
      <c r="D177" s="317" t="inlineStr">
        <is>
          <t>Customer Support</t>
        </is>
      </c>
      <c r="E177" s="297" t="inlineStr">
        <is>
          <t>Planned</t>
        </is>
      </c>
      <c r="F177" s="318">
        <f>IF(Assumptions!$D$82=2,DATE(2029,10,1),DATE(2035,1,1))</f>
        <v/>
      </c>
      <c r="G177" s="318" t="n"/>
      <c r="H177" s="288" t="n">
        <v>4800</v>
      </c>
      <c r="I177" s="299">
        <f>IF(AND($F177&lt;=I$2, OR($G177="",$G177&gt;=I$2)),
  $H177 * (1 + Assumptions!$C$7) ^ INT(((YEAR(I$2)-YEAR($F177))*12 + MONTH(I$2)-MONTH($F177)) / 12),
  0)</f>
        <v/>
      </c>
      <c r="J177" s="299">
        <f>IF(AND($F177&lt;=J$2, OR($G177="",$G177&gt;=J$2)),
  $H177 * (1 + Assumptions!$C$7) ^ INT(((YEAR(J$2)-YEAR($F177))*12 + MONTH(J$2)-MONTH($F177)) / 12),
  0)</f>
        <v/>
      </c>
      <c r="K177" s="299">
        <f>IF(AND($F177&lt;=K$2, OR($G177="",$G177&gt;=K$2)),
  $H177 * (1 + Assumptions!$C$7) ^ INT(((YEAR(K$2)-YEAR($F177))*12 + MONTH(K$2)-MONTH($F177)) / 12),
  0)</f>
        <v/>
      </c>
      <c r="L177" s="299">
        <f>IF(AND($F177&lt;=L$2, OR($G177="",$G177&gt;=L$2)),
  $H177 * (1 + Assumptions!$C$7) ^ INT(((YEAR(L$2)-YEAR($F177))*12 + MONTH(L$2)-MONTH($F177)) / 12),
  0)</f>
        <v/>
      </c>
      <c r="M177" s="299">
        <f>IF(AND($F177&lt;=M$2, OR($G177="",$G177&gt;=M$2)),
  $H177 * (1 + Assumptions!$C$7) ^ INT(((YEAR(M$2)-YEAR($F177))*12 + MONTH(M$2)-MONTH($F177)) / 12),
  0)</f>
        <v/>
      </c>
      <c r="N177" s="299">
        <f>IF(AND($F177&lt;=N$2, OR($G177="",$G177&gt;=N$2)),
  $H177 * (1 + Assumptions!$C$7) ^ INT(((YEAR(N$2)-YEAR($F177))*12 + MONTH(N$2)-MONTH($F177)) / 12),
  0)</f>
        <v/>
      </c>
      <c r="O177" s="299">
        <f>IF(AND($F177&lt;=O$2, OR($G177="",$G177&gt;=O$2)),
  $H177 * (1 + Assumptions!$C$7) ^ INT(((YEAR(O$2)-YEAR($F177))*12 + MONTH(O$2)-MONTH($F177)) / 12),
  0)</f>
        <v/>
      </c>
      <c r="P177" s="299">
        <f>IF(AND($F177&lt;=P$2, OR($G177="",$G177&gt;=P$2)),
  $H177 * (1 + Assumptions!$C$7) ^ INT(((YEAR(P$2)-YEAR($F177))*12 + MONTH(P$2)-MONTH($F177)) / 12),
  0)</f>
        <v/>
      </c>
      <c r="Q177" s="299">
        <f>IF(AND($F177&lt;=Q$2, OR($G177="",$G177&gt;=Q$2)),
  $H177 * (1 + Assumptions!$C$7) ^ INT(((YEAR(Q$2)-YEAR($F177))*12 + MONTH(Q$2)-MONTH($F177)) / 12),
  0)</f>
        <v/>
      </c>
      <c r="R177" s="299">
        <f>IF(AND($F177&lt;=R$2, OR($G177="",$G177&gt;=R$2)),
  $H177 * (1 + Assumptions!$C$7) ^ INT(((YEAR(R$2)-YEAR($F177))*12 + MONTH(R$2)-MONTH($F177)) / 12),
  0)</f>
        <v/>
      </c>
      <c r="S177" s="299">
        <f>IF(AND($F177&lt;=S$2, OR($G177="",$G177&gt;=S$2)),
  $H177 * (1 + Assumptions!$C$7) ^ INT(((YEAR(S$2)-YEAR($F177))*12 + MONTH(S$2)-MONTH($F177)) / 12),
  0)</f>
        <v/>
      </c>
      <c r="T177" s="299">
        <f>IF(AND($F177&lt;=T$2, OR($G177="",$G177&gt;=T$2)),
  $H177 * (1 + Assumptions!$C$7) ^ INT(((YEAR(T$2)-YEAR($F177))*12 + MONTH(T$2)-MONTH($F177)) / 12),
  0)</f>
        <v/>
      </c>
      <c r="U177" s="299">
        <f>IF(AND($F177&lt;=U$2, OR($G177="",$G177&gt;=U$2)),
  $H177 * (1 + Assumptions!$C$7) ^ INT(((YEAR(U$2)-YEAR($F177))*12 + MONTH(U$2)-MONTH($F177)) / 12),
  0)</f>
        <v/>
      </c>
      <c r="V177" s="299">
        <f>IF(AND($F177&lt;=V$2, OR($G177="",$G177&gt;=V$2)),
  $H177 * (1 + Assumptions!$C$7) ^ INT(((YEAR(V$2)-YEAR($F177))*12 + MONTH(V$2)-MONTH($F177)) / 12),
  0)</f>
        <v/>
      </c>
      <c r="W177" s="299">
        <f>IF(AND($F177&lt;=W$2, OR($G177="",$G177&gt;=W$2)),
  $H177 * (1 + Assumptions!$C$7) ^ INT(((YEAR(W$2)-YEAR($F177))*12 + MONTH(W$2)-MONTH($F177)) / 12),
  0)</f>
        <v/>
      </c>
      <c r="X177" s="299">
        <f>IF(AND($F177&lt;=X$2, OR($G177="",$G177&gt;=X$2)),
  $H177 * (1 + Assumptions!$C$7) ^ INT(((YEAR(X$2)-YEAR($F177))*12 + MONTH(X$2)-MONTH($F177)) / 12),
  0)</f>
        <v/>
      </c>
      <c r="Y177" s="299">
        <f>IF(AND($F177&lt;=Y$2, OR($G177="",$G177&gt;=Y$2)),
  $H177 * (1 + Assumptions!$C$7) ^ INT(((YEAR(Y$2)-YEAR($F177))*12 + MONTH(Y$2)-MONTH($F177)) / 12),
  0)</f>
        <v/>
      </c>
      <c r="Z177" s="299">
        <f>IF(AND($F177&lt;=Z$2, OR($G177="",$G177&gt;=Z$2)),
  $H177 * (1 + Assumptions!$C$7) ^ INT(((YEAR(Z$2)-YEAR($F177))*12 + MONTH(Z$2)-MONTH($F177)) / 12),
  0)</f>
        <v/>
      </c>
      <c r="AA177" s="299">
        <f>IF(AND($F177&lt;=AA$2, OR($G177="",$G177&gt;=AA$2)),
  $H177 * (1 + Assumptions!$C$7) ^ INT(((YEAR(AA$2)-YEAR($F177))*12 + MONTH(AA$2)-MONTH($F177)) / 12),
  0)</f>
        <v/>
      </c>
      <c r="AB177" s="299">
        <f>IF(AND($F177&lt;=AB$2, OR($G177="",$G177&gt;=AB$2)),
  $H177 * (1 + Assumptions!$C$7) ^ INT(((YEAR(AB$2)-YEAR($F177))*12 + MONTH(AB$2)-MONTH($F177)) / 12),
  0)</f>
        <v/>
      </c>
      <c r="AC177" s="299">
        <f>IF(AND($F177&lt;=AC$2, OR($G177="",$G177&gt;=AC$2)),
  $H177 * (1 + Assumptions!$C$7) ^ INT(((YEAR(AC$2)-YEAR($F177))*12 + MONTH(AC$2)-MONTH($F177)) / 12),
  0)</f>
        <v/>
      </c>
      <c r="AD177" s="299">
        <f>IF(AND($F177&lt;=AD$2, OR($G177="",$G177&gt;=AD$2)),
  $H177 * (1 + Assumptions!$C$7) ^ INT(((YEAR(AD$2)-YEAR($F177))*12 + MONTH(AD$2)-MONTH($F177)) / 12),
  0)</f>
        <v/>
      </c>
      <c r="AE177" s="299">
        <f>IF(AND($F177&lt;=AE$2, OR($G177="",$G177&gt;=AE$2)),
  $H177 * (1 + Assumptions!$C$7) ^ INT(((YEAR(AE$2)-YEAR($F177))*12 + MONTH(AE$2)-MONTH($F177)) / 12),
  0)</f>
        <v/>
      </c>
      <c r="AF177" s="299">
        <f>IF(AND($F177&lt;=AF$2, OR($G177="",$G177&gt;=AF$2)),
  $H177 * (1 + Assumptions!$C$7) ^ INT(((YEAR(AF$2)-YEAR($F177))*12 + MONTH(AF$2)-MONTH($F177)) / 12),
  0)</f>
        <v/>
      </c>
      <c r="AG177" s="299">
        <f>IF(AND($F177&lt;=AG$2, OR($G177="",$G177&gt;=AG$2)),
  $H177 * (1 + Assumptions!$C$7) ^ INT(((YEAR(AG$2)-YEAR($F177))*12 + MONTH(AG$2)-MONTH($F177)) / 12),
  0)</f>
        <v/>
      </c>
      <c r="AH177" s="299">
        <f>IF(AND($F177&lt;=AH$2, OR($G177="",$G177&gt;=AH$2)),
  $H177 * (1 + Assumptions!$C$7) ^ INT(((YEAR(AH$2)-YEAR($F177))*12 + MONTH(AH$2)-MONTH($F177)) / 12),
  0)</f>
        <v/>
      </c>
      <c r="AI177" s="299">
        <f>IF(AND($F177&lt;=AI$2, OR($G177="",$G177&gt;=AI$2)),
  $H177 * (1 + Assumptions!$C$7) ^ INT(((YEAR(AI$2)-YEAR($F177))*12 + MONTH(AI$2)-MONTH($F177)) / 12),
  0)</f>
        <v/>
      </c>
      <c r="AJ177" s="299">
        <f>IF(AND($F177&lt;=AJ$2, OR($G177="",$G177&gt;=AJ$2)),
  $H177 * (1 + Assumptions!$C$7) ^ INT(((YEAR(AJ$2)-YEAR($F177))*12 + MONTH(AJ$2)-MONTH($F177)) / 12),
  0)</f>
        <v/>
      </c>
      <c r="AK177" s="299">
        <f>IF(AND($F177&lt;=AK$2, OR($G177="",$G177&gt;=AK$2)),
  $H177 * (1 + Assumptions!$C$7) ^ INT(((YEAR(AK$2)-YEAR($F177))*12 + MONTH(AK$2)-MONTH($F177)) / 12),
  0)</f>
        <v/>
      </c>
      <c r="AL177" s="299">
        <f>IF(AND($F177&lt;=AL$2, OR($G177="",$G177&gt;=AL$2)),
  $H177 * (1 + Assumptions!$C$7) ^ INT(((YEAR(AL$2)-YEAR($F177))*12 + MONTH(AL$2)-MONTH($F177)) / 12),
  0)</f>
        <v/>
      </c>
      <c r="AM177" s="299">
        <f>IF(AND($F177&lt;=AM$2, OR($G177="",$G177&gt;=AM$2)),
  $H177 * (1 + Assumptions!$C$7) ^ INT(((YEAR(AM$2)-YEAR($F177))*12 + MONTH(AM$2)-MONTH($F177)) / 12),
  0)</f>
        <v/>
      </c>
      <c r="AN177" s="299">
        <f>IF(AND($F177&lt;=AN$2, OR($G177="",$G177&gt;=AN$2)),
  $H177 * (1 + Assumptions!$C$7) ^ INT(((YEAR(AN$2)-YEAR($F177))*12 + MONTH(AN$2)-MONTH($F177)) / 12),
  0)</f>
        <v/>
      </c>
      <c r="AO177" s="299">
        <f>IF(AND($F177&lt;=AO$2, OR($G177="",$G177&gt;=AO$2)),
  $H177 * (1 + Assumptions!$C$7) ^ INT(((YEAR(AO$2)-YEAR($F177))*12 + MONTH(AO$2)-MONTH($F177)) / 12),
  0)</f>
        <v/>
      </c>
      <c r="AP177" s="299">
        <f>IF(AND($F177&lt;=AP$2, OR($G177="",$G177&gt;=AP$2)),
  $H177 * (1 + Assumptions!$C$7) ^ INT(((YEAR(AP$2)-YEAR($F177))*12 + MONTH(AP$2)-MONTH($F177)) / 12),
  0)</f>
        <v/>
      </c>
      <c r="AQ177" s="299">
        <f>IF(AND($F177&lt;=AQ$2, OR($G177="",$G177&gt;=AQ$2)),
  $H177 * (1 + Assumptions!$C$7) ^ INT(((YEAR(AQ$2)-YEAR($F177))*12 + MONTH(AQ$2)-MONTH($F177)) / 12),
  0)</f>
        <v/>
      </c>
      <c r="AR177" s="299">
        <f>IF(AND($F177&lt;=AR$2, OR($G177="",$G177&gt;=AR$2)),
  $H177 * (1 + Assumptions!$C$7) ^ INT(((YEAR(AR$2)-YEAR($F177))*12 + MONTH(AR$2)-MONTH($F177)) / 12),
  0)</f>
        <v/>
      </c>
      <c r="AS177" s="299">
        <f>IF(AND($F177&lt;=AS$2, OR($G177="",$G177&gt;=AS$2)),
  $H177 * (1 + Assumptions!$C$7) ^ INT(((YEAR(AS$2)-YEAR($F177))*12 + MONTH(AS$2)-MONTH($F177)) / 12),
  0)</f>
        <v/>
      </c>
      <c r="AT177" s="299">
        <f>IF(AND($F177&lt;=AT$2, OR($G177="",$G177&gt;=AT$2)),
  $H177 * (1 + Assumptions!$C$7) ^ INT(((YEAR(AT$2)-YEAR($F177))*12 + MONTH(AT$2)-MONTH($F177)) / 12),
  0)</f>
        <v/>
      </c>
      <c r="AU177" s="299">
        <f>IF(AND($F177&lt;=AU$2, OR($G177="",$G177&gt;=AU$2)),
  $H177 * (1 + Assumptions!$C$7) ^ INT(((YEAR(AU$2)-YEAR($F177))*12 + MONTH(AU$2)-MONTH($F177)) / 12),
  0)</f>
        <v/>
      </c>
      <c r="AV177" s="299">
        <f>IF(AND($F177&lt;=AV$2, OR($G177="",$G177&gt;=AV$2)),
  $H177 * (1 + Assumptions!$C$7) ^ INT(((YEAR(AV$2)-YEAR($F177))*12 + MONTH(AV$2)-MONTH($F177)) / 12),
  0)</f>
        <v/>
      </c>
      <c r="AW177" s="299">
        <f>IF(AND($F177&lt;=AW$2, OR($G177="",$G177&gt;=AW$2)),
  $H177 * (1 + Assumptions!$C$7) ^ INT(((YEAR(AW$2)-YEAR($F177))*12 + MONTH(AW$2)-MONTH($F177)) / 12),
  0)</f>
        <v/>
      </c>
      <c r="AX177" s="299">
        <f>IF(AND($F177&lt;=AX$2, OR($G177="",$G177&gt;=AX$2)),
  $H177 * (1 + Assumptions!$C$7) ^ INT(((YEAR(AX$2)-YEAR($F177))*12 + MONTH(AX$2)-MONTH($F177)) / 12),
  0)</f>
        <v/>
      </c>
      <c r="AY177" s="299">
        <f>IF(AND($F177&lt;=AY$2, OR($G177="",$G177&gt;=AY$2)),
  $H177 * (1 + Assumptions!$C$7) ^ INT(((YEAR(AY$2)-YEAR($F177))*12 + MONTH(AY$2)-MONTH($F177)) / 12),
  0)</f>
        <v/>
      </c>
      <c r="AZ177" s="299">
        <f>IF(AND($F177&lt;=AZ$2, OR($G177="",$G177&gt;=AZ$2)),
  $H177 * (1 + Assumptions!$C$7) ^ INT(((YEAR(AZ$2)-YEAR($F177))*12 + MONTH(AZ$2)-MONTH($F177)) / 12),
  0)</f>
        <v/>
      </c>
      <c r="BA177" s="299">
        <f>IF(AND($F177&lt;=BA$2, OR($G177="",$G177&gt;=BA$2)),
  $H177 * (1 + Assumptions!$C$7) ^ INT(((YEAR(BA$2)-YEAR($F177))*12 + MONTH(BA$2)-MONTH($F177)) / 12),
  0)</f>
        <v/>
      </c>
      <c r="BB177" s="299">
        <f>IF(AND($F177&lt;=BB$2, OR($G177="",$G177&gt;=BB$2)),
  $H177 * (1 + Assumptions!$C$7) ^ INT(((YEAR(BB$2)-YEAR($F177))*12 + MONTH(BB$2)-MONTH($F177)) / 12),
  0)</f>
        <v/>
      </c>
      <c r="BC177" s="299">
        <f>IF(AND($F177&lt;=BC$2, OR($G177="",$G177&gt;=BC$2)),
  $H177 * (1 + Assumptions!$C$7) ^ INT(((YEAR(BC$2)-YEAR($F177))*12 + MONTH(BC$2)-MONTH($F177)) / 12),
  0)</f>
        <v/>
      </c>
      <c r="BD177" s="299">
        <f>IF(AND($F177&lt;=BD$2, OR($G177="",$G177&gt;=BD$2)),
  $H177 * (1 + Assumptions!$C$7) ^ INT(((YEAR(BD$2)-YEAR($F177))*12 + MONTH(BD$2)-MONTH($F177)) / 12),
  0)</f>
        <v/>
      </c>
      <c r="BE177" s="299">
        <f>IF(AND($F177&lt;=BE$2, OR($G177="",$G177&gt;=BE$2)),
  $H177 * (1 + Assumptions!$C$7) ^ INT(((YEAR(BE$2)-YEAR($F177))*12 + MONTH(BE$2)-MONTH($F177)) / 12),
  0)</f>
        <v/>
      </c>
      <c r="BF177" s="299">
        <f>IF(AND($F177&lt;=BF$2, OR($G177="",$G177&gt;=BF$2)),
  $H177 * (1 + Assumptions!$C$7) ^ INT(((YEAR(BF$2)-YEAR($F177))*12 + MONTH(BF$2)-MONTH($F177)) / 12),
  0)</f>
        <v/>
      </c>
      <c r="BG177" s="299">
        <f>IF(AND($F177&lt;=BG$2, OR($G177="",$G177&gt;=BG$2)),
  $H177 * (1 + Assumptions!$C$7) ^ INT(((YEAR(BG$2)-YEAR($F177))*12 + MONTH(BG$2)-MONTH($F177)) / 12),
  0)</f>
        <v/>
      </c>
      <c r="BH177" s="299">
        <f>IF(AND($F177&lt;=BH$2, OR($G177="",$G177&gt;=BH$2)),
  $H177 * (1 + Assumptions!$C$7) ^ INT(((YEAR(BH$2)-YEAR($F177))*12 + MONTH(BH$2)-MONTH($F177)) / 12),
  0)</f>
        <v/>
      </c>
      <c r="BI177" s="299">
        <f>IF(AND($F177&lt;=BI$2, OR($G177="",$G177&gt;=BI$2)),
  $H177 * (1 + Assumptions!$C$7) ^ INT(((YEAR(BI$2)-YEAR($F177))*12 + MONTH(BI$2)-MONTH($F177)) / 12),
  0)</f>
        <v/>
      </c>
      <c r="BJ177" s="299">
        <f>IF(AND($F177&lt;=BJ$2, OR($G177="",$G177&gt;=BJ$2)),
  $H177 * (1 + Assumptions!$C$7) ^ INT(((YEAR(BJ$2)-YEAR($F177))*12 + MONTH(BJ$2)-MONTH($F177)) / 12),
  0)</f>
        <v/>
      </c>
      <c r="BK177" s="299">
        <f>IF(AND($F177&lt;=BK$2, OR($G177="",$G177&gt;=BK$2)),
  $H177 * (1 + Assumptions!$C$7) ^ INT(((YEAR(BK$2)-YEAR($F177))*12 + MONTH(BK$2)-MONTH($F177)) / 12),
  0)</f>
        <v/>
      </c>
      <c r="BL177" s="299">
        <f>IF(AND($F177&lt;=BL$2, OR($G177="",$G177&gt;=BL$2)),
  $H177 * (1 + Assumptions!$C$7) ^ INT(((YEAR(BL$2)-YEAR($F177))*12 + MONTH(BL$2)-MONTH($F177)) / 12),
  0)</f>
        <v/>
      </c>
      <c r="BM177" s="299">
        <f>IF(AND($F177&lt;=BM$2, OR($G177="",$G177&gt;=BM$2)),
  $H177 * (1 + Assumptions!$C$7) ^ INT(((YEAR(BM$2)-YEAR($F177))*12 + MONTH(BM$2)-MONTH($F177)) / 12),
  0)</f>
        <v/>
      </c>
      <c r="BN177" s="299">
        <f>IF(AND($F177&lt;=BN$2, OR($G177="",$G177&gt;=BN$2)),
  $H177 * (1 + Assumptions!$C$7) ^ INT(((YEAR(BN$2)-YEAR($F177))*12 + MONTH(BN$2)-MONTH($F177)) / 12),
  0)</f>
        <v/>
      </c>
      <c r="BO177" s="299">
        <f>IF(AND($F177&lt;=BO$2, OR($G177="",$G177&gt;=BO$2)),
  $H177 * (1 + Assumptions!$C$7) ^ INT(((YEAR(BO$2)-YEAR($F177))*12 + MONTH(BO$2)-MONTH($F177)) / 12),
  0)</f>
        <v/>
      </c>
      <c r="BP177" s="299">
        <f>IF(AND($F177&lt;=BP$2, OR($G177="",$G177&gt;=BP$2)),
  $H177 * (1 + Assumptions!$C$7) ^ INT(((YEAR(BP$2)-YEAR($F177))*12 + MONTH(BP$2)-MONTH($F177)) / 12),
  0)</f>
        <v/>
      </c>
      <c r="BQ177" s="31" t="n"/>
      <c r="BR177" s="31" t="n"/>
      <c r="BS177" s="31" t="n"/>
      <c r="BT177" s="31" t="n"/>
    </row>
    <row r="178" ht="15.75" customHeight="1" s="349">
      <c r="A178" s="321" t="n">
        <v>173</v>
      </c>
      <c r="B178" s="285" t="inlineStr">
        <is>
          <t>New hire</t>
        </is>
      </c>
      <c r="C178" s="317" t="inlineStr">
        <is>
          <t>G&amp;A</t>
        </is>
      </c>
      <c r="D178" s="317" t="inlineStr">
        <is>
          <t>Customer Support</t>
        </is>
      </c>
      <c r="E178" s="297" t="inlineStr">
        <is>
          <t>Planned</t>
        </is>
      </c>
      <c r="F178" s="318">
        <f>IF(Assumptions!$D$82=2,DATE(2029,12,1),DATE(2035,1,1))</f>
        <v/>
      </c>
      <c r="G178" s="318" t="n"/>
      <c r="H178" s="288" t="n">
        <v>4800</v>
      </c>
      <c r="I178" s="299">
        <f>IF(AND($F178&lt;=I$2, OR($G178="",$G178&gt;=I$2)),
  $H178 * (1 + Assumptions!$C$7) ^ INT(((YEAR(I$2)-YEAR($F178))*12 + MONTH(I$2)-MONTH($F178)) / 12),
  0)</f>
        <v/>
      </c>
      <c r="J178" s="299">
        <f>IF(AND($F178&lt;=J$2, OR($G178="",$G178&gt;=J$2)),
  $H178 * (1 + Assumptions!$C$7) ^ INT(((YEAR(J$2)-YEAR($F178))*12 + MONTH(J$2)-MONTH($F178)) / 12),
  0)</f>
        <v/>
      </c>
      <c r="K178" s="299">
        <f>IF(AND($F178&lt;=K$2, OR($G178="",$G178&gt;=K$2)),
  $H178 * (1 + Assumptions!$C$7) ^ INT(((YEAR(K$2)-YEAR($F178))*12 + MONTH(K$2)-MONTH($F178)) / 12),
  0)</f>
        <v/>
      </c>
      <c r="L178" s="299">
        <f>IF(AND($F178&lt;=L$2, OR($G178="",$G178&gt;=L$2)),
  $H178 * (1 + Assumptions!$C$7) ^ INT(((YEAR(L$2)-YEAR($F178))*12 + MONTH(L$2)-MONTH($F178)) / 12),
  0)</f>
        <v/>
      </c>
      <c r="M178" s="299">
        <f>IF(AND($F178&lt;=M$2, OR($G178="",$G178&gt;=M$2)),
  $H178 * (1 + Assumptions!$C$7) ^ INT(((YEAR(M$2)-YEAR($F178))*12 + MONTH(M$2)-MONTH($F178)) / 12),
  0)</f>
        <v/>
      </c>
      <c r="N178" s="299">
        <f>IF(AND($F178&lt;=N$2, OR($G178="",$G178&gt;=N$2)),
  $H178 * (1 + Assumptions!$C$7) ^ INT(((YEAR(N$2)-YEAR($F178))*12 + MONTH(N$2)-MONTH($F178)) / 12),
  0)</f>
        <v/>
      </c>
      <c r="O178" s="299">
        <f>IF(AND($F178&lt;=O$2, OR($G178="",$G178&gt;=O$2)),
  $H178 * (1 + Assumptions!$C$7) ^ INT(((YEAR(O$2)-YEAR($F178))*12 + MONTH(O$2)-MONTH($F178)) / 12),
  0)</f>
        <v/>
      </c>
      <c r="P178" s="299">
        <f>IF(AND($F178&lt;=P$2, OR($G178="",$G178&gt;=P$2)),
  $H178 * (1 + Assumptions!$C$7) ^ INT(((YEAR(P$2)-YEAR($F178))*12 + MONTH(P$2)-MONTH($F178)) / 12),
  0)</f>
        <v/>
      </c>
      <c r="Q178" s="299">
        <f>IF(AND($F178&lt;=Q$2, OR($G178="",$G178&gt;=Q$2)),
  $H178 * (1 + Assumptions!$C$7) ^ INT(((YEAR(Q$2)-YEAR($F178))*12 + MONTH(Q$2)-MONTH($F178)) / 12),
  0)</f>
        <v/>
      </c>
      <c r="R178" s="299">
        <f>IF(AND($F178&lt;=R$2, OR($G178="",$G178&gt;=R$2)),
  $H178 * (1 + Assumptions!$C$7) ^ INT(((YEAR(R$2)-YEAR($F178))*12 + MONTH(R$2)-MONTH($F178)) / 12),
  0)</f>
        <v/>
      </c>
      <c r="S178" s="299">
        <f>IF(AND($F178&lt;=S$2, OR($G178="",$G178&gt;=S$2)),
  $H178 * (1 + Assumptions!$C$7) ^ INT(((YEAR(S$2)-YEAR($F178))*12 + MONTH(S$2)-MONTH($F178)) / 12),
  0)</f>
        <v/>
      </c>
      <c r="T178" s="299">
        <f>IF(AND($F178&lt;=T$2, OR($G178="",$G178&gt;=T$2)),
  $H178 * (1 + Assumptions!$C$7) ^ INT(((YEAR(T$2)-YEAR($F178))*12 + MONTH(T$2)-MONTH($F178)) / 12),
  0)</f>
        <v/>
      </c>
      <c r="U178" s="299">
        <f>IF(AND($F178&lt;=U$2, OR($G178="",$G178&gt;=U$2)),
  $H178 * (1 + Assumptions!$C$7) ^ INT(((YEAR(U$2)-YEAR($F178))*12 + MONTH(U$2)-MONTH($F178)) / 12),
  0)</f>
        <v/>
      </c>
      <c r="V178" s="299">
        <f>IF(AND($F178&lt;=V$2, OR($G178="",$G178&gt;=V$2)),
  $H178 * (1 + Assumptions!$C$7) ^ INT(((YEAR(V$2)-YEAR($F178))*12 + MONTH(V$2)-MONTH($F178)) / 12),
  0)</f>
        <v/>
      </c>
      <c r="W178" s="299">
        <f>IF(AND($F178&lt;=W$2, OR($G178="",$G178&gt;=W$2)),
  $H178 * (1 + Assumptions!$C$7) ^ INT(((YEAR(W$2)-YEAR($F178))*12 + MONTH(W$2)-MONTH($F178)) / 12),
  0)</f>
        <v/>
      </c>
      <c r="X178" s="299">
        <f>IF(AND($F178&lt;=X$2, OR($G178="",$G178&gt;=X$2)),
  $H178 * (1 + Assumptions!$C$7) ^ INT(((YEAR(X$2)-YEAR($F178))*12 + MONTH(X$2)-MONTH($F178)) / 12),
  0)</f>
        <v/>
      </c>
      <c r="Y178" s="299">
        <f>IF(AND($F178&lt;=Y$2, OR($G178="",$G178&gt;=Y$2)),
  $H178 * (1 + Assumptions!$C$7) ^ INT(((YEAR(Y$2)-YEAR($F178))*12 + MONTH(Y$2)-MONTH($F178)) / 12),
  0)</f>
        <v/>
      </c>
      <c r="Z178" s="299">
        <f>IF(AND($F178&lt;=Z$2, OR($G178="",$G178&gt;=Z$2)),
  $H178 * (1 + Assumptions!$C$7) ^ INT(((YEAR(Z$2)-YEAR($F178))*12 + MONTH(Z$2)-MONTH($F178)) / 12),
  0)</f>
        <v/>
      </c>
      <c r="AA178" s="299">
        <f>IF(AND($F178&lt;=AA$2, OR($G178="",$G178&gt;=AA$2)),
  $H178 * (1 + Assumptions!$C$7) ^ INT(((YEAR(AA$2)-YEAR($F178))*12 + MONTH(AA$2)-MONTH($F178)) / 12),
  0)</f>
        <v/>
      </c>
      <c r="AB178" s="299">
        <f>IF(AND($F178&lt;=AB$2, OR($G178="",$G178&gt;=AB$2)),
  $H178 * (1 + Assumptions!$C$7) ^ INT(((YEAR(AB$2)-YEAR($F178))*12 + MONTH(AB$2)-MONTH($F178)) / 12),
  0)</f>
        <v/>
      </c>
      <c r="AC178" s="299">
        <f>IF(AND($F178&lt;=AC$2, OR($G178="",$G178&gt;=AC$2)),
  $H178 * (1 + Assumptions!$C$7) ^ INT(((YEAR(AC$2)-YEAR($F178))*12 + MONTH(AC$2)-MONTH($F178)) / 12),
  0)</f>
        <v/>
      </c>
      <c r="AD178" s="299">
        <f>IF(AND($F178&lt;=AD$2, OR($G178="",$G178&gt;=AD$2)),
  $H178 * (1 + Assumptions!$C$7) ^ INT(((YEAR(AD$2)-YEAR($F178))*12 + MONTH(AD$2)-MONTH($F178)) / 12),
  0)</f>
        <v/>
      </c>
      <c r="AE178" s="299">
        <f>IF(AND($F178&lt;=AE$2, OR($G178="",$G178&gt;=AE$2)),
  $H178 * (1 + Assumptions!$C$7) ^ INT(((YEAR(AE$2)-YEAR($F178))*12 + MONTH(AE$2)-MONTH($F178)) / 12),
  0)</f>
        <v/>
      </c>
      <c r="AF178" s="299">
        <f>IF(AND($F178&lt;=AF$2, OR($G178="",$G178&gt;=AF$2)),
  $H178 * (1 + Assumptions!$C$7) ^ INT(((YEAR(AF$2)-YEAR($F178))*12 + MONTH(AF$2)-MONTH($F178)) / 12),
  0)</f>
        <v/>
      </c>
      <c r="AG178" s="299">
        <f>IF(AND($F178&lt;=AG$2, OR($G178="",$G178&gt;=AG$2)),
  $H178 * (1 + Assumptions!$C$7) ^ INT(((YEAR(AG$2)-YEAR($F178))*12 + MONTH(AG$2)-MONTH($F178)) / 12),
  0)</f>
        <v/>
      </c>
      <c r="AH178" s="299">
        <f>IF(AND($F178&lt;=AH$2, OR($G178="",$G178&gt;=AH$2)),
  $H178 * (1 + Assumptions!$C$7) ^ INT(((YEAR(AH$2)-YEAR($F178))*12 + MONTH(AH$2)-MONTH($F178)) / 12),
  0)</f>
        <v/>
      </c>
      <c r="AI178" s="299">
        <f>IF(AND($F178&lt;=AI$2, OR($G178="",$G178&gt;=AI$2)),
  $H178 * (1 + Assumptions!$C$7) ^ INT(((YEAR(AI$2)-YEAR($F178))*12 + MONTH(AI$2)-MONTH($F178)) / 12),
  0)</f>
        <v/>
      </c>
      <c r="AJ178" s="299">
        <f>IF(AND($F178&lt;=AJ$2, OR($G178="",$G178&gt;=AJ$2)),
  $H178 * (1 + Assumptions!$C$7) ^ INT(((YEAR(AJ$2)-YEAR($F178))*12 + MONTH(AJ$2)-MONTH($F178)) / 12),
  0)</f>
        <v/>
      </c>
      <c r="AK178" s="299">
        <f>IF(AND($F178&lt;=AK$2, OR($G178="",$G178&gt;=AK$2)),
  $H178 * (1 + Assumptions!$C$7) ^ INT(((YEAR(AK$2)-YEAR($F178))*12 + MONTH(AK$2)-MONTH($F178)) / 12),
  0)</f>
        <v/>
      </c>
      <c r="AL178" s="299">
        <f>IF(AND($F178&lt;=AL$2, OR($G178="",$G178&gt;=AL$2)),
  $H178 * (1 + Assumptions!$C$7) ^ INT(((YEAR(AL$2)-YEAR($F178))*12 + MONTH(AL$2)-MONTH($F178)) / 12),
  0)</f>
        <v/>
      </c>
      <c r="AM178" s="299">
        <f>IF(AND($F178&lt;=AM$2, OR($G178="",$G178&gt;=AM$2)),
  $H178 * (1 + Assumptions!$C$7) ^ INT(((YEAR(AM$2)-YEAR($F178))*12 + MONTH(AM$2)-MONTH($F178)) / 12),
  0)</f>
        <v/>
      </c>
      <c r="AN178" s="299">
        <f>IF(AND($F178&lt;=AN$2, OR($G178="",$G178&gt;=AN$2)),
  $H178 * (1 + Assumptions!$C$7) ^ INT(((YEAR(AN$2)-YEAR($F178))*12 + MONTH(AN$2)-MONTH($F178)) / 12),
  0)</f>
        <v/>
      </c>
      <c r="AO178" s="299">
        <f>IF(AND($F178&lt;=AO$2, OR($G178="",$G178&gt;=AO$2)),
  $H178 * (1 + Assumptions!$C$7) ^ INT(((YEAR(AO$2)-YEAR($F178))*12 + MONTH(AO$2)-MONTH($F178)) / 12),
  0)</f>
        <v/>
      </c>
      <c r="AP178" s="299">
        <f>IF(AND($F178&lt;=AP$2, OR($G178="",$G178&gt;=AP$2)),
  $H178 * (1 + Assumptions!$C$7) ^ INT(((YEAR(AP$2)-YEAR($F178))*12 + MONTH(AP$2)-MONTH($F178)) / 12),
  0)</f>
        <v/>
      </c>
      <c r="AQ178" s="299">
        <f>IF(AND($F178&lt;=AQ$2, OR($G178="",$G178&gt;=AQ$2)),
  $H178 * (1 + Assumptions!$C$7) ^ INT(((YEAR(AQ$2)-YEAR($F178))*12 + MONTH(AQ$2)-MONTH($F178)) / 12),
  0)</f>
        <v/>
      </c>
      <c r="AR178" s="299">
        <f>IF(AND($F178&lt;=AR$2, OR($G178="",$G178&gt;=AR$2)),
  $H178 * (1 + Assumptions!$C$7) ^ INT(((YEAR(AR$2)-YEAR($F178))*12 + MONTH(AR$2)-MONTH($F178)) / 12),
  0)</f>
        <v/>
      </c>
      <c r="AS178" s="299">
        <f>IF(AND($F178&lt;=AS$2, OR($G178="",$G178&gt;=AS$2)),
  $H178 * (1 + Assumptions!$C$7) ^ INT(((YEAR(AS$2)-YEAR($F178))*12 + MONTH(AS$2)-MONTH($F178)) / 12),
  0)</f>
        <v/>
      </c>
      <c r="AT178" s="299">
        <f>IF(AND($F178&lt;=AT$2, OR($G178="",$G178&gt;=AT$2)),
  $H178 * (1 + Assumptions!$C$7) ^ INT(((YEAR(AT$2)-YEAR($F178))*12 + MONTH(AT$2)-MONTH($F178)) / 12),
  0)</f>
        <v/>
      </c>
      <c r="AU178" s="299">
        <f>IF(AND($F178&lt;=AU$2, OR($G178="",$G178&gt;=AU$2)),
  $H178 * (1 + Assumptions!$C$7) ^ INT(((YEAR(AU$2)-YEAR($F178))*12 + MONTH(AU$2)-MONTH($F178)) / 12),
  0)</f>
        <v/>
      </c>
      <c r="AV178" s="299">
        <f>IF(AND($F178&lt;=AV$2, OR($G178="",$G178&gt;=AV$2)),
  $H178 * (1 + Assumptions!$C$7) ^ INT(((YEAR(AV$2)-YEAR($F178))*12 + MONTH(AV$2)-MONTH($F178)) / 12),
  0)</f>
        <v/>
      </c>
      <c r="AW178" s="299">
        <f>IF(AND($F178&lt;=AW$2, OR($G178="",$G178&gt;=AW$2)),
  $H178 * (1 + Assumptions!$C$7) ^ INT(((YEAR(AW$2)-YEAR($F178))*12 + MONTH(AW$2)-MONTH($F178)) / 12),
  0)</f>
        <v/>
      </c>
      <c r="AX178" s="299">
        <f>IF(AND($F178&lt;=AX$2, OR($G178="",$G178&gt;=AX$2)),
  $H178 * (1 + Assumptions!$C$7) ^ INT(((YEAR(AX$2)-YEAR($F178))*12 + MONTH(AX$2)-MONTH($F178)) / 12),
  0)</f>
        <v/>
      </c>
      <c r="AY178" s="299">
        <f>IF(AND($F178&lt;=AY$2, OR($G178="",$G178&gt;=AY$2)),
  $H178 * (1 + Assumptions!$C$7) ^ INT(((YEAR(AY$2)-YEAR($F178))*12 + MONTH(AY$2)-MONTH($F178)) / 12),
  0)</f>
        <v/>
      </c>
      <c r="AZ178" s="299">
        <f>IF(AND($F178&lt;=AZ$2, OR($G178="",$G178&gt;=AZ$2)),
  $H178 * (1 + Assumptions!$C$7) ^ INT(((YEAR(AZ$2)-YEAR($F178))*12 + MONTH(AZ$2)-MONTH($F178)) / 12),
  0)</f>
        <v/>
      </c>
      <c r="BA178" s="299">
        <f>IF(AND($F178&lt;=BA$2, OR($G178="",$G178&gt;=BA$2)),
  $H178 * (1 + Assumptions!$C$7) ^ INT(((YEAR(BA$2)-YEAR($F178))*12 + MONTH(BA$2)-MONTH($F178)) / 12),
  0)</f>
        <v/>
      </c>
      <c r="BB178" s="299">
        <f>IF(AND($F178&lt;=BB$2, OR($G178="",$G178&gt;=BB$2)),
  $H178 * (1 + Assumptions!$C$7) ^ INT(((YEAR(BB$2)-YEAR($F178))*12 + MONTH(BB$2)-MONTH($F178)) / 12),
  0)</f>
        <v/>
      </c>
      <c r="BC178" s="299">
        <f>IF(AND($F178&lt;=BC$2, OR($G178="",$G178&gt;=BC$2)),
  $H178 * (1 + Assumptions!$C$7) ^ INT(((YEAR(BC$2)-YEAR($F178))*12 + MONTH(BC$2)-MONTH($F178)) / 12),
  0)</f>
        <v/>
      </c>
      <c r="BD178" s="299">
        <f>IF(AND($F178&lt;=BD$2, OR($G178="",$G178&gt;=BD$2)),
  $H178 * (1 + Assumptions!$C$7) ^ INT(((YEAR(BD$2)-YEAR($F178))*12 + MONTH(BD$2)-MONTH($F178)) / 12),
  0)</f>
        <v/>
      </c>
      <c r="BE178" s="299">
        <f>IF(AND($F178&lt;=BE$2, OR($G178="",$G178&gt;=BE$2)),
  $H178 * (1 + Assumptions!$C$7) ^ INT(((YEAR(BE$2)-YEAR($F178))*12 + MONTH(BE$2)-MONTH($F178)) / 12),
  0)</f>
        <v/>
      </c>
      <c r="BF178" s="299">
        <f>IF(AND($F178&lt;=BF$2, OR($G178="",$G178&gt;=BF$2)),
  $H178 * (1 + Assumptions!$C$7) ^ INT(((YEAR(BF$2)-YEAR($F178))*12 + MONTH(BF$2)-MONTH($F178)) / 12),
  0)</f>
        <v/>
      </c>
      <c r="BG178" s="299">
        <f>IF(AND($F178&lt;=BG$2, OR($G178="",$G178&gt;=BG$2)),
  $H178 * (1 + Assumptions!$C$7) ^ INT(((YEAR(BG$2)-YEAR($F178))*12 + MONTH(BG$2)-MONTH($F178)) / 12),
  0)</f>
        <v/>
      </c>
      <c r="BH178" s="299">
        <f>IF(AND($F178&lt;=BH$2, OR($G178="",$G178&gt;=BH$2)),
  $H178 * (1 + Assumptions!$C$7) ^ INT(((YEAR(BH$2)-YEAR($F178))*12 + MONTH(BH$2)-MONTH($F178)) / 12),
  0)</f>
        <v/>
      </c>
      <c r="BI178" s="299">
        <f>IF(AND($F178&lt;=BI$2, OR($G178="",$G178&gt;=BI$2)),
  $H178 * (1 + Assumptions!$C$7) ^ INT(((YEAR(BI$2)-YEAR($F178))*12 + MONTH(BI$2)-MONTH($F178)) / 12),
  0)</f>
        <v/>
      </c>
      <c r="BJ178" s="299">
        <f>IF(AND($F178&lt;=BJ$2, OR($G178="",$G178&gt;=BJ$2)),
  $H178 * (1 + Assumptions!$C$7) ^ INT(((YEAR(BJ$2)-YEAR($F178))*12 + MONTH(BJ$2)-MONTH($F178)) / 12),
  0)</f>
        <v/>
      </c>
      <c r="BK178" s="299">
        <f>IF(AND($F178&lt;=BK$2, OR($G178="",$G178&gt;=BK$2)),
  $H178 * (1 + Assumptions!$C$7) ^ INT(((YEAR(BK$2)-YEAR($F178))*12 + MONTH(BK$2)-MONTH($F178)) / 12),
  0)</f>
        <v/>
      </c>
      <c r="BL178" s="299">
        <f>IF(AND($F178&lt;=BL$2, OR($G178="",$G178&gt;=BL$2)),
  $H178 * (1 + Assumptions!$C$7) ^ INT(((YEAR(BL$2)-YEAR($F178))*12 + MONTH(BL$2)-MONTH($F178)) / 12),
  0)</f>
        <v/>
      </c>
      <c r="BM178" s="299">
        <f>IF(AND($F178&lt;=BM$2, OR($G178="",$G178&gt;=BM$2)),
  $H178 * (1 + Assumptions!$C$7) ^ INT(((YEAR(BM$2)-YEAR($F178))*12 + MONTH(BM$2)-MONTH($F178)) / 12),
  0)</f>
        <v/>
      </c>
      <c r="BN178" s="299">
        <f>IF(AND($F178&lt;=BN$2, OR($G178="",$G178&gt;=BN$2)),
  $H178 * (1 + Assumptions!$C$7) ^ INT(((YEAR(BN$2)-YEAR($F178))*12 + MONTH(BN$2)-MONTH($F178)) / 12),
  0)</f>
        <v/>
      </c>
      <c r="BO178" s="299">
        <f>IF(AND($F178&lt;=BO$2, OR($G178="",$G178&gt;=BO$2)),
  $H178 * (1 + Assumptions!$C$7) ^ INT(((YEAR(BO$2)-YEAR($F178))*12 + MONTH(BO$2)-MONTH($F178)) / 12),
  0)</f>
        <v/>
      </c>
      <c r="BP178" s="299">
        <f>IF(AND($F178&lt;=BP$2, OR($G178="",$G178&gt;=BP$2)),
  $H178 * (1 + Assumptions!$C$7) ^ INT(((YEAR(BP$2)-YEAR($F178))*12 + MONTH(BP$2)-MONTH($F178)) / 12),
  0)</f>
        <v/>
      </c>
      <c r="BQ178" s="31" t="n"/>
      <c r="BR178" s="31" t="n"/>
      <c r="BS178" s="31" t="n"/>
      <c r="BT178" s="31" t="n"/>
    </row>
    <row r="179" ht="15.75" customHeight="1" s="349">
      <c r="A179" s="321" t="n">
        <v>174</v>
      </c>
      <c r="B179" s="285" t="inlineStr">
        <is>
          <t>New hire</t>
        </is>
      </c>
      <c r="C179" s="317" t="inlineStr">
        <is>
          <t>G&amp;A</t>
        </is>
      </c>
      <c r="D179" s="317" t="inlineStr">
        <is>
          <t>Technical Escalation</t>
        </is>
      </c>
      <c r="E179" s="297" t="inlineStr">
        <is>
          <t>Planned</t>
        </is>
      </c>
      <c r="F179" s="318">
        <f>IF(Assumptions!$D$82=2,DATE(2027,1,1),DATE(2027,1,1))</f>
        <v/>
      </c>
      <c r="G179" s="318" t="n"/>
      <c r="H179" s="288" t="n">
        <v>4800</v>
      </c>
      <c r="I179" s="299">
        <f>IF(AND($F179&lt;=I$2, OR($G179="",$G179&gt;=I$2)),
  $H179 * (1 + Assumptions!$C$7) ^ INT(((YEAR(I$2)-YEAR($F179))*12 + MONTH(I$2)-MONTH($F179)) / 12),
  0)</f>
        <v/>
      </c>
      <c r="J179" s="299">
        <f>IF(AND($F179&lt;=J$2, OR($G179="",$G179&gt;=J$2)),
  $H179 * (1 + Assumptions!$C$7) ^ INT(((YEAR(J$2)-YEAR($F179))*12 + MONTH(J$2)-MONTH($F179)) / 12),
  0)</f>
        <v/>
      </c>
      <c r="K179" s="299">
        <f>IF(AND($F179&lt;=K$2, OR($G179="",$G179&gt;=K$2)),
  $H179 * (1 + Assumptions!$C$7) ^ INT(((YEAR(K$2)-YEAR($F179))*12 + MONTH(K$2)-MONTH($F179)) / 12),
  0)</f>
        <v/>
      </c>
      <c r="L179" s="299">
        <f>IF(AND($F179&lt;=L$2, OR($G179="",$G179&gt;=L$2)),
  $H179 * (1 + Assumptions!$C$7) ^ INT(((YEAR(L$2)-YEAR($F179))*12 + MONTH(L$2)-MONTH($F179)) / 12),
  0)</f>
        <v/>
      </c>
      <c r="M179" s="299">
        <f>IF(AND($F179&lt;=M$2, OR($G179="",$G179&gt;=M$2)),
  $H179 * (1 + Assumptions!$C$7) ^ INT(((YEAR(M$2)-YEAR($F179))*12 + MONTH(M$2)-MONTH($F179)) / 12),
  0)</f>
        <v/>
      </c>
      <c r="N179" s="299">
        <f>IF(AND($F179&lt;=N$2, OR($G179="",$G179&gt;=N$2)),
  $H179 * (1 + Assumptions!$C$7) ^ INT(((YEAR(N$2)-YEAR($F179))*12 + MONTH(N$2)-MONTH($F179)) / 12),
  0)</f>
        <v/>
      </c>
      <c r="O179" s="299">
        <f>IF(AND($F179&lt;=O$2, OR($G179="",$G179&gt;=O$2)),
  $H179 * (1 + Assumptions!$C$7) ^ INT(((YEAR(O$2)-YEAR($F179))*12 + MONTH(O$2)-MONTH($F179)) / 12),
  0)</f>
        <v/>
      </c>
      <c r="P179" s="299">
        <f>IF(AND($F179&lt;=P$2, OR($G179="",$G179&gt;=P$2)),
  $H179 * (1 + Assumptions!$C$7) ^ INT(((YEAR(P$2)-YEAR($F179))*12 + MONTH(P$2)-MONTH($F179)) / 12),
  0)</f>
        <v/>
      </c>
      <c r="Q179" s="299">
        <f>IF(AND($F179&lt;=Q$2, OR($G179="",$G179&gt;=Q$2)),
  $H179 * (1 + Assumptions!$C$7) ^ INT(((YEAR(Q$2)-YEAR($F179))*12 + MONTH(Q$2)-MONTH($F179)) / 12),
  0)</f>
        <v/>
      </c>
      <c r="R179" s="299">
        <f>IF(AND($F179&lt;=R$2, OR($G179="",$G179&gt;=R$2)),
  $H179 * (1 + Assumptions!$C$7) ^ INT(((YEAR(R$2)-YEAR($F179))*12 + MONTH(R$2)-MONTH($F179)) / 12),
  0)</f>
        <v/>
      </c>
      <c r="S179" s="299">
        <f>IF(AND($F179&lt;=S$2, OR($G179="",$G179&gt;=S$2)),
  $H179 * (1 + Assumptions!$C$7) ^ INT(((YEAR(S$2)-YEAR($F179))*12 + MONTH(S$2)-MONTH($F179)) / 12),
  0)</f>
        <v/>
      </c>
      <c r="T179" s="299">
        <f>IF(AND($F179&lt;=T$2, OR($G179="",$G179&gt;=T$2)),
  $H179 * (1 + Assumptions!$C$7) ^ INT(((YEAR(T$2)-YEAR($F179))*12 + MONTH(T$2)-MONTH($F179)) / 12),
  0)</f>
        <v/>
      </c>
      <c r="U179" s="299">
        <f>IF(AND($F179&lt;=U$2, OR($G179="",$G179&gt;=U$2)),
  $H179 * (1 + Assumptions!$C$7) ^ INT(((YEAR(U$2)-YEAR($F179))*12 + MONTH(U$2)-MONTH($F179)) / 12),
  0)</f>
        <v/>
      </c>
      <c r="V179" s="299">
        <f>IF(AND($F179&lt;=V$2, OR($G179="",$G179&gt;=V$2)),
  $H179 * (1 + Assumptions!$C$7) ^ INT(((YEAR(V$2)-YEAR($F179))*12 + MONTH(V$2)-MONTH($F179)) / 12),
  0)</f>
        <v/>
      </c>
      <c r="W179" s="299">
        <f>IF(AND($F179&lt;=W$2, OR($G179="",$G179&gt;=W$2)),
  $H179 * (1 + Assumptions!$C$7) ^ INT(((YEAR(W$2)-YEAR($F179))*12 + MONTH(W$2)-MONTH($F179)) / 12),
  0)</f>
        <v/>
      </c>
      <c r="X179" s="299">
        <f>IF(AND($F179&lt;=X$2, OR($G179="",$G179&gt;=X$2)),
  $H179 * (1 + Assumptions!$C$7) ^ INT(((YEAR(X$2)-YEAR($F179))*12 + MONTH(X$2)-MONTH($F179)) / 12),
  0)</f>
        <v/>
      </c>
      <c r="Y179" s="299">
        <f>IF(AND($F179&lt;=Y$2, OR($G179="",$G179&gt;=Y$2)),
  $H179 * (1 + Assumptions!$C$7) ^ INT(((YEAR(Y$2)-YEAR($F179))*12 + MONTH(Y$2)-MONTH($F179)) / 12),
  0)</f>
        <v/>
      </c>
      <c r="Z179" s="299">
        <f>IF(AND($F179&lt;=Z$2, OR($G179="",$G179&gt;=Z$2)),
  $H179 * (1 + Assumptions!$C$7) ^ INT(((YEAR(Z$2)-YEAR($F179))*12 + MONTH(Z$2)-MONTH($F179)) / 12),
  0)</f>
        <v/>
      </c>
      <c r="AA179" s="299">
        <f>IF(AND($F179&lt;=AA$2, OR($G179="",$G179&gt;=AA$2)),
  $H179 * (1 + Assumptions!$C$7) ^ INT(((YEAR(AA$2)-YEAR($F179))*12 + MONTH(AA$2)-MONTH($F179)) / 12),
  0)</f>
        <v/>
      </c>
      <c r="AB179" s="299">
        <f>IF(AND($F179&lt;=AB$2, OR($G179="",$G179&gt;=AB$2)),
  $H179 * (1 + Assumptions!$C$7) ^ INT(((YEAR(AB$2)-YEAR($F179))*12 + MONTH(AB$2)-MONTH($F179)) / 12),
  0)</f>
        <v/>
      </c>
      <c r="AC179" s="299">
        <f>IF(AND($F179&lt;=AC$2, OR($G179="",$G179&gt;=AC$2)),
  $H179 * (1 + Assumptions!$C$7) ^ INT(((YEAR(AC$2)-YEAR($F179))*12 + MONTH(AC$2)-MONTH($F179)) / 12),
  0)</f>
        <v/>
      </c>
      <c r="AD179" s="299">
        <f>IF(AND($F179&lt;=AD$2, OR($G179="",$G179&gt;=AD$2)),
  $H179 * (1 + Assumptions!$C$7) ^ INT(((YEAR(AD$2)-YEAR($F179))*12 + MONTH(AD$2)-MONTH($F179)) / 12),
  0)</f>
        <v/>
      </c>
      <c r="AE179" s="299">
        <f>IF(AND($F179&lt;=AE$2, OR($G179="",$G179&gt;=AE$2)),
  $H179 * (1 + Assumptions!$C$7) ^ INT(((YEAR(AE$2)-YEAR($F179))*12 + MONTH(AE$2)-MONTH($F179)) / 12),
  0)</f>
        <v/>
      </c>
      <c r="AF179" s="299">
        <f>IF(AND($F179&lt;=AF$2, OR($G179="",$G179&gt;=AF$2)),
  $H179 * (1 + Assumptions!$C$7) ^ INT(((YEAR(AF$2)-YEAR($F179))*12 + MONTH(AF$2)-MONTH($F179)) / 12),
  0)</f>
        <v/>
      </c>
      <c r="AG179" s="299">
        <f>IF(AND($F179&lt;=AG$2, OR($G179="",$G179&gt;=AG$2)),
  $H179 * (1 + Assumptions!$C$7) ^ INT(((YEAR(AG$2)-YEAR($F179))*12 + MONTH(AG$2)-MONTH($F179)) / 12),
  0)</f>
        <v/>
      </c>
      <c r="AH179" s="299">
        <f>IF(AND($F179&lt;=AH$2, OR($G179="",$G179&gt;=AH$2)),
  $H179 * (1 + Assumptions!$C$7) ^ INT(((YEAR(AH$2)-YEAR($F179))*12 + MONTH(AH$2)-MONTH($F179)) / 12),
  0)</f>
        <v/>
      </c>
      <c r="AI179" s="299">
        <f>IF(AND($F179&lt;=AI$2, OR($G179="",$G179&gt;=AI$2)),
  $H179 * (1 + Assumptions!$C$7) ^ INT(((YEAR(AI$2)-YEAR($F179))*12 + MONTH(AI$2)-MONTH($F179)) / 12),
  0)</f>
        <v/>
      </c>
      <c r="AJ179" s="299">
        <f>IF(AND($F179&lt;=AJ$2, OR($G179="",$G179&gt;=AJ$2)),
  $H179 * (1 + Assumptions!$C$7) ^ INT(((YEAR(AJ$2)-YEAR($F179))*12 + MONTH(AJ$2)-MONTH($F179)) / 12),
  0)</f>
        <v/>
      </c>
      <c r="AK179" s="299">
        <f>IF(AND($F179&lt;=AK$2, OR($G179="",$G179&gt;=AK$2)),
  $H179 * (1 + Assumptions!$C$7) ^ INT(((YEAR(AK$2)-YEAR($F179))*12 + MONTH(AK$2)-MONTH($F179)) / 12),
  0)</f>
        <v/>
      </c>
      <c r="AL179" s="299">
        <f>IF(AND($F179&lt;=AL$2, OR($G179="",$G179&gt;=AL$2)),
  $H179 * (1 + Assumptions!$C$7) ^ INT(((YEAR(AL$2)-YEAR($F179))*12 + MONTH(AL$2)-MONTH($F179)) / 12),
  0)</f>
        <v/>
      </c>
      <c r="AM179" s="299">
        <f>IF(AND($F179&lt;=AM$2, OR($G179="",$G179&gt;=AM$2)),
  $H179 * (1 + Assumptions!$C$7) ^ INT(((YEAR(AM$2)-YEAR($F179))*12 + MONTH(AM$2)-MONTH($F179)) / 12),
  0)</f>
        <v/>
      </c>
      <c r="AN179" s="299">
        <f>IF(AND($F179&lt;=AN$2, OR($G179="",$G179&gt;=AN$2)),
  $H179 * (1 + Assumptions!$C$7) ^ INT(((YEAR(AN$2)-YEAR($F179))*12 + MONTH(AN$2)-MONTH($F179)) / 12),
  0)</f>
        <v/>
      </c>
      <c r="AO179" s="299">
        <f>IF(AND($F179&lt;=AO$2, OR($G179="",$G179&gt;=AO$2)),
  $H179 * (1 + Assumptions!$C$7) ^ INT(((YEAR(AO$2)-YEAR($F179))*12 + MONTH(AO$2)-MONTH($F179)) / 12),
  0)</f>
        <v/>
      </c>
      <c r="AP179" s="299">
        <f>IF(AND($F179&lt;=AP$2, OR($G179="",$G179&gt;=AP$2)),
  $H179 * (1 + Assumptions!$C$7) ^ INT(((YEAR(AP$2)-YEAR($F179))*12 + MONTH(AP$2)-MONTH($F179)) / 12),
  0)</f>
        <v/>
      </c>
      <c r="AQ179" s="299">
        <f>IF(AND($F179&lt;=AQ$2, OR($G179="",$G179&gt;=AQ$2)),
  $H179 * (1 + Assumptions!$C$7) ^ INT(((YEAR(AQ$2)-YEAR($F179))*12 + MONTH(AQ$2)-MONTH($F179)) / 12),
  0)</f>
        <v/>
      </c>
      <c r="AR179" s="299">
        <f>IF(AND($F179&lt;=AR$2, OR($G179="",$G179&gt;=AR$2)),
  $H179 * (1 + Assumptions!$C$7) ^ INT(((YEAR(AR$2)-YEAR($F179))*12 + MONTH(AR$2)-MONTH($F179)) / 12),
  0)</f>
        <v/>
      </c>
      <c r="AS179" s="299">
        <f>IF(AND($F179&lt;=AS$2, OR($G179="",$G179&gt;=AS$2)),
  $H179 * (1 + Assumptions!$C$7) ^ INT(((YEAR(AS$2)-YEAR($F179))*12 + MONTH(AS$2)-MONTH($F179)) / 12),
  0)</f>
        <v/>
      </c>
      <c r="AT179" s="299">
        <f>IF(AND($F179&lt;=AT$2, OR($G179="",$G179&gt;=AT$2)),
  $H179 * (1 + Assumptions!$C$7) ^ INT(((YEAR(AT$2)-YEAR($F179))*12 + MONTH(AT$2)-MONTH($F179)) / 12),
  0)</f>
        <v/>
      </c>
      <c r="AU179" s="299">
        <f>IF(AND($F179&lt;=AU$2, OR($G179="",$G179&gt;=AU$2)),
  $H179 * (1 + Assumptions!$C$7) ^ INT(((YEAR(AU$2)-YEAR($F179))*12 + MONTH(AU$2)-MONTH($F179)) / 12),
  0)</f>
        <v/>
      </c>
      <c r="AV179" s="299">
        <f>IF(AND($F179&lt;=AV$2, OR($G179="",$G179&gt;=AV$2)),
  $H179 * (1 + Assumptions!$C$7) ^ INT(((YEAR(AV$2)-YEAR($F179))*12 + MONTH(AV$2)-MONTH($F179)) / 12),
  0)</f>
        <v/>
      </c>
      <c r="AW179" s="299">
        <f>IF(AND($F179&lt;=AW$2, OR($G179="",$G179&gt;=AW$2)),
  $H179 * (1 + Assumptions!$C$7) ^ INT(((YEAR(AW$2)-YEAR($F179))*12 + MONTH(AW$2)-MONTH($F179)) / 12),
  0)</f>
        <v/>
      </c>
      <c r="AX179" s="299">
        <f>IF(AND($F179&lt;=AX$2, OR($G179="",$G179&gt;=AX$2)),
  $H179 * (1 + Assumptions!$C$7) ^ INT(((YEAR(AX$2)-YEAR($F179))*12 + MONTH(AX$2)-MONTH($F179)) / 12),
  0)</f>
        <v/>
      </c>
      <c r="AY179" s="299">
        <f>IF(AND($F179&lt;=AY$2, OR($G179="",$G179&gt;=AY$2)),
  $H179 * (1 + Assumptions!$C$7) ^ INT(((YEAR(AY$2)-YEAR($F179))*12 + MONTH(AY$2)-MONTH($F179)) / 12),
  0)</f>
        <v/>
      </c>
      <c r="AZ179" s="299">
        <f>IF(AND($F179&lt;=AZ$2, OR($G179="",$G179&gt;=AZ$2)),
  $H179 * (1 + Assumptions!$C$7) ^ INT(((YEAR(AZ$2)-YEAR($F179))*12 + MONTH(AZ$2)-MONTH($F179)) / 12),
  0)</f>
        <v/>
      </c>
      <c r="BA179" s="299">
        <f>IF(AND($F179&lt;=BA$2, OR($G179="",$G179&gt;=BA$2)),
  $H179 * (1 + Assumptions!$C$7) ^ INT(((YEAR(BA$2)-YEAR($F179))*12 + MONTH(BA$2)-MONTH($F179)) / 12),
  0)</f>
        <v/>
      </c>
      <c r="BB179" s="299">
        <f>IF(AND($F179&lt;=BB$2, OR($G179="",$G179&gt;=BB$2)),
  $H179 * (1 + Assumptions!$C$7) ^ INT(((YEAR(BB$2)-YEAR($F179))*12 + MONTH(BB$2)-MONTH($F179)) / 12),
  0)</f>
        <v/>
      </c>
      <c r="BC179" s="299">
        <f>IF(AND($F179&lt;=BC$2, OR($G179="",$G179&gt;=BC$2)),
  $H179 * (1 + Assumptions!$C$7) ^ INT(((YEAR(BC$2)-YEAR($F179))*12 + MONTH(BC$2)-MONTH($F179)) / 12),
  0)</f>
        <v/>
      </c>
      <c r="BD179" s="299">
        <f>IF(AND($F179&lt;=BD$2, OR($G179="",$G179&gt;=BD$2)),
  $H179 * (1 + Assumptions!$C$7) ^ INT(((YEAR(BD$2)-YEAR($F179))*12 + MONTH(BD$2)-MONTH($F179)) / 12),
  0)</f>
        <v/>
      </c>
      <c r="BE179" s="299">
        <f>IF(AND($F179&lt;=BE$2, OR($G179="",$G179&gt;=BE$2)),
  $H179 * (1 + Assumptions!$C$7) ^ INT(((YEAR(BE$2)-YEAR($F179))*12 + MONTH(BE$2)-MONTH($F179)) / 12),
  0)</f>
        <v/>
      </c>
      <c r="BF179" s="299">
        <f>IF(AND($F179&lt;=BF$2, OR($G179="",$G179&gt;=BF$2)),
  $H179 * (1 + Assumptions!$C$7) ^ INT(((YEAR(BF$2)-YEAR($F179))*12 + MONTH(BF$2)-MONTH($F179)) / 12),
  0)</f>
        <v/>
      </c>
      <c r="BG179" s="299">
        <f>IF(AND($F179&lt;=BG$2, OR($G179="",$G179&gt;=BG$2)),
  $H179 * (1 + Assumptions!$C$7) ^ INT(((YEAR(BG$2)-YEAR($F179))*12 + MONTH(BG$2)-MONTH($F179)) / 12),
  0)</f>
        <v/>
      </c>
      <c r="BH179" s="299">
        <f>IF(AND($F179&lt;=BH$2, OR($G179="",$G179&gt;=BH$2)),
  $H179 * (1 + Assumptions!$C$7) ^ INT(((YEAR(BH$2)-YEAR($F179))*12 + MONTH(BH$2)-MONTH($F179)) / 12),
  0)</f>
        <v/>
      </c>
      <c r="BI179" s="299">
        <f>IF(AND($F179&lt;=BI$2, OR($G179="",$G179&gt;=BI$2)),
  $H179 * (1 + Assumptions!$C$7) ^ INT(((YEAR(BI$2)-YEAR($F179))*12 + MONTH(BI$2)-MONTH($F179)) / 12),
  0)</f>
        <v/>
      </c>
      <c r="BJ179" s="299">
        <f>IF(AND($F179&lt;=BJ$2, OR($G179="",$G179&gt;=BJ$2)),
  $H179 * (1 + Assumptions!$C$7) ^ INT(((YEAR(BJ$2)-YEAR($F179))*12 + MONTH(BJ$2)-MONTH($F179)) / 12),
  0)</f>
        <v/>
      </c>
      <c r="BK179" s="299">
        <f>IF(AND($F179&lt;=BK$2, OR($G179="",$G179&gt;=BK$2)),
  $H179 * (1 + Assumptions!$C$7) ^ INT(((YEAR(BK$2)-YEAR($F179))*12 + MONTH(BK$2)-MONTH($F179)) / 12),
  0)</f>
        <v/>
      </c>
      <c r="BL179" s="299">
        <f>IF(AND($F179&lt;=BL$2, OR($G179="",$G179&gt;=BL$2)),
  $H179 * (1 + Assumptions!$C$7) ^ INT(((YEAR(BL$2)-YEAR($F179))*12 + MONTH(BL$2)-MONTH($F179)) / 12),
  0)</f>
        <v/>
      </c>
      <c r="BM179" s="299">
        <f>IF(AND($F179&lt;=BM$2, OR($G179="",$G179&gt;=BM$2)),
  $H179 * (1 + Assumptions!$C$7) ^ INT(((YEAR(BM$2)-YEAR($F179))*12 + MONTH(BM$2)-MONTH($F179)) / 12),
  0)</f>
        <v/>
      </c>
      <c r="BN179" s="299">
        <f>IF(AND($F179&lt;=BN$2, OR($G179="",$G179&gt;=BN$2)),
  $H179 * (1 + Assumptions!$C$7) ^ INT(((YEAR(BN$2)-YEAR($F179))*12 + MONTH(BN$2)-MONTH($F179)) / 12),
  0)</f>
        <v/>
      </c>
      <c r="BO179" s="299">
        <f>IF(AND($F179&lt;=BO$2, OR($G179="",$G179&gt;=BO$2)),
  $H179 * (1 + Assumptions!$C$7) ^ INT(((YEAR(BO$2)-YEAR($F179))*12 + MONTH(BO$2)-MONTH($F179)) / 12),
  0)</f>
        <v/>
      </c>
      <c r="BP179" s="299">
        <f>IF(AND($F179&lt;=BP$2, OR($G179="",$G179&gt;=BP$2)),
  $H179 * (1 + Assumptions!$C$7) ^ INT(((YEAR(BP$2)-YEAR($F179))*12 + MONTH(BP$2)-MONTH($F179)) / 12),
  0)</f>
        <v/>
      </c>
      <c r="BQ179" s="31" t="n"/>
      <c r="BR179" s="31" t="n"/>
      <c r="BS179" s="31" t="n"/>
      <c r="BT179" s="31" t="n"/>
    </row>
    <row r="180" ht="15.75" customHeight="1" s="349">
      <c r="A180" s="321" t="n">
        <v>175</v>
      </c>
      <c r="B180" s="285" t="inlineStr">
        <is>
          <t>New hire</t>
        </is>
      </c>
      <c r="C180" s="317" t="inlineStr">
        <is>
          <t>G&amp;A</t>
        </is>
      </c>
      <c r="D180" s="317" t="inlineStr">
        <is>
          <t>Technical Escalation</t>
        </is>
      </c>
      <c r="E180" s="297" t="inlineStr">
        <is>
          <t>Planned</t>
        </is>
      </c>
      <c r="F180" s="318">
        <f>IF(Assumptions!$D$82=2,DATE(2029,10,1),DATE(2035,1,1))</f>
        <v/>
      </c>
      <c r="G180" s="318" t="n"/>
      <c r="H180" s="288" t="n">
        <v>4800</v>
      </c>
      <c r="I180" s="299">
        <f>IF(AND($F180&lt;=I$2, OR($G180="",$G180&gt;=I$2)),
  $H180 * (1 + Assumptions!$C$7) ^ INT(((YEAR(I$2)-YEAR($F180))*12 + MONTH(I$2)-MONTH($F180)) / 12),
  0)</f>
        <v/>
      </c>
      <c r="J180" s="299">
        <f>IF(AND($F180&lt;=J$2, OR($G180="",$G180&gt;=J$2)),
  $H180 * (1 + Assumptions!$C$7) ^ INT(((YEAR(J$2)-YEAR($F180))*12 + MONTH(J$2)-MONTH($F180)) / 12),
  0)</f>
        <v/>
      </c>
      <c r="K180" s="299">
        <f>IF(AND($F180&lt;=K$2, OR($G180="",$G180&gt;=K$2)),
  $H180 * (1 + Assumptions!$C$7) ^ INT(((YEAR(K$2)-YEAR($F180))*12 + MONTH(K$2)-MONTH($F180)) / 12),
  0)</f>
        <v/>
      </c>
      <c r="L180" s="299">
        <f>IF(AND($F180&lt;=L$2, OR($G180="",$G180&gt;=L$2)),
  $H180 * (1 + Assumptions!$C$7) ^ INT(((YEAR(L$2)-YEAR($F180))*12 + MONTH(L$2)-MONTH($F180)) / 12),
  0)</f>
        <v/>
      </c>
      <c r="M180" s="299">
        <f>IF(AND($F180&lt;=M$2, OR($G180="",$G180&gt;=M$2)),
  $H180 * (1 + Assumptions!$C$7) ^ INT(((YEAR(M$2)-YEAR($F180))*12 + MONTH(M$2)-MONTH($F180)) / 12),
  0)</f>
        <v/>
      </c>
      <c r="N180" s="299">
        <f>IF(AND($F180&lt;=N$2, OR($G180="",$G180&gt;=N$2)),
  $H180 * (1 + Assumptions!$C$7) ^ INT(((YEAR(N$2)-YEAR($F180))*12 + MONTH(N$2)-MONTH($F180)) / 12),
  0)</f>
        <v/>
      </c>
      <c r="O180" s="299">
        <f>IF(AND($F180&lt;=O$2, OR($G180="",$G180&gt;=O$2)),
  $H180 * (1 + Assumptions!$C$7) ^ INT(((YEAR(O$2)-YEAR($F180))*12 + MONTH(O$2)-MONTH($F180)) / 12),
  0)</f>
        <v/>
      </c>
      <c r="P180" s="299">
        <f>IF(AND($F180&lt;=P$2, OR($G180="",$G180&gt;=P$2)),
  $H180 * (1 + Assumptions!$C$7) ^ INT(((YEAR(P$2)-YEAR($F180))*12 + MONTH(P$2)-MONTH($F180)) / 12),
  0)</f>
        <v/>
      </c>
      <c r="Q180" s="299">
        <f>IF(AND($F180&lt;=Q$2, OR($G180="",$G180&gt;=Q$2)),
  $H180 * (1 + Assumptions!$C$7) ^ INT(((YEAR(Q$2)-YEAR($F180))*12 + MONTH(Q$2)-MONTH($F180)) / 12),
  0)</f>
        <v/>
      </c>
      <c r="R180" s="299">
        <f>IF(AND($F180&lt;=R$2, OR($G180="",$G180&gt;=R$2)),
  $H180 * (1 + Assumptions!$C$7) ^ INT(((YEAR(R$2)-YEAR($F180))*12 + MONTH(R$2)-MONTH($F180)) / 12),
  0)</f>
        <v/>
      </c>
      <c r="S180" s="299">
        <f>IF(AND($F180&lt;=S$2, OR($G180="",$G180&gt;=S$2)),
  $H180 * (1 + Assumptions!$C$7) ^ INT(((YEAR(S$2)-YEAR($F180))*12 + MONTH(S$2)-MONTH($F180)) / 12),
  0)</f>
        <v/>
      </c>
      <c r="T180" s="299">
        <f>IF(AND($F180&lt;=T$2, OR($G180="",$G180&gt;=T$2)),
  $H180 * (1 + Assumptions!$C$7) ^ INT(((YEAR(T$2)-YEAR($F180))*12 + MONTH(T$2)-MONTH($F180)) / 12),
  0)</f>
        <v/>
      </c>
      <c r="U180" s="299">
        <f>IF(AND($F180&lt;=U$2, OR($G180="",$G180&gt;=U$2)),
  $H180 * (1 + Assumptions!$C$7) ^ INT(((YEAR(U$2)-YEAR($F180))*12 + MONTH(U$2)-MONTH($F180)) / 12),
  0)</f>
        <v/>
      </c>
      <c r="V180" s="299">
        <f>IF(AND($F180&lt;=V$2, OR($G180="",$G180&gt;=V$2)),
  $H180 * (1 + Assumptions!$C$7) ^ INT(((YEAR(V$2)-YEAR($F180))*12 + MONTH(V$2)-MONTH($F180)) / 12),
  0)</f>
        <v/>
      </c>
      <c r="W180" s="299">
        <f>IF(AND($F180&lt;=W$2, OR($G180="",$G180&gt;=W$2)),
  $H180 * (1 + Assumptions!$C$7) ^ INT(((YEAR(W$2)-YEAR($F180))*12 + MONTH(W$2)-MONTH($F180)) / 12),
  0)</f>
        <v/>
      </c>
      <c r="X180" s="299">
        <f>IF(AND($F180&lt;=X$2, OR($G180="",$G180&gt;=X$2)),
  $H180 * (1 + Assumptions!$C$7) ^ INT(((YEAR(X$2)-YEAR($F180))*12 + MONTH(X$2)-MONTH($F180)) / 12),
  0)</f>
        <v/>
      </c>
      <c r="Y180" s="299">
        <f>IF(AND($F180&lt;=Y$2, OR($G180="",$G180&gt;=Y$2)),
  $H180 * (1 + Assumptions!$C$7) ^ INT(((YEAR(Y$2)-YEAR($F180))*12 + MONTH(Y$2)-MONTH($F180)) / 12),
  0)</f>
        <v/>
      </c>
      <c r="Z180" s="299">
        <f>IF(AND($F180&lt;=Z$2, OR($G180="",$G180&gt;=Z$2)),
  $H180 * (1 + Assumptions!$C$7) ^ INT(((YEAR(Z$2)-YEAR($F180))*12 + MONTH(Z$2)-MONTH($F180)) / 12),
  0)</f>
        <v/>
      </c>
      <c r="AA180" s="299">
        <f>IF(AND($F180&lt;=AA$2, OR($G180="",$G180&gt;=AA$2)),
  $H180 * (1 + Assumptions!$C$7) ^ INT(((YEAR(AA$2)-YEAR($F180))*12 + MONTH(AA$2)-MONTH($F180)) / 12),
  0)</f>
        <v/>
      </c>
      <c r="AB180" s="299">
        <f>IF(AND($F180&lt;=AB$2, OR($G180="",$G180&gt;=AB$2)),
  $H180 * (1 + Assumptions!$C$7) ^ INT(((YEAR(AB$2)-YEAR($F180))*12 + MONTH(AB$2)-MONTH($F180)) / 12),
  0)</f>
        <v/>
      </c>
      <c r="AC180" s="299">
        <f>IF(AND($F180&lt;=AC$2, OR($G180="",$G180&gt;=AC$2)),
  $H180 * (1 + Assumptions!$C$7) ^ INT(((YEAR(AC$2)-YEAR($F180))*12 + MONTH(AC$2)-MONTH($F180)) / 12),
  0)</f>
        <v/>
      </c>
      <c r="AD180" s="299">
        <f>IF(AND($F180&lt;=AD$2, OR($G180="",$G180&gt;=AD$2)),
  $H180 * (1 + Assumptions!$C$7) ^ INT(((YEAR(AD$2)-YEAR($F180))*12 + MONTH(AD$2)-MONTH($F180)) / 12),
  0)</f>
        <v/>
      </c>
      <c r="AE180" s="299">
        <f>IF(AND($F180&lt;=AE$2, OR($G180="",$G180&gt;=AE$2)),
  $H180 * (1 + Assumptions!$C$7) ^ INT(((YEAR(AE$2)-YEAR($F180))*12 + MONTH(AE$2)-MONTH($F180)) / 12),
  0)</f>
        <v/>
      </c>
      <c r="AF180" s="299">
        <f>IF(AND($F180&lt;=AF$2, OR($G180="",$G180&gt;=AF$2)),
  $H180 * (1 + Assumptions!$C$7) ^ INT(((YEAR(AF$2)-YEAR($F180))*12 + MONTH(AF$2)-MONTH($F180)) / 12),
  0)</f>
        <v/>
      </c>
      <c r="AG180" s="299">
        <f>IF(AND($F180&lt;=AG$2, OR($G180="",$G180&gt;=AG$2)),
  $H180 * (1 + Assumptions!$C$7) ^ INT(((YEAR(AG$2)-YEAR($F180))*12 + MONTH(AG$2)-MONTH($F180)) / 12),
  0)</f>
        <v/>
      </c>
      <c r="AH180" s="299">
        <f>IF(AND($F180&lt;=AH$2, OR($G180="",$G180&gt;=AH$2)),
  $H180 * (1 + Assumptions!$C$7) ^ INT(((YEAR(AH$2)-YEAR($F180))*12 + MONTH(AH$2)-MONTH($F180)) / 12),
  0)</f>
        <v/>
      </c>
      <c r="AI180" s="299">
        <f>IF(AND($F180&lt;=AI$2, OR($G180="",$G180&gt;=AI$2)),
  $H180 * (1 + Assumptions!$C$7) ^ INT(((YEAR(AI$2)-YEAR($F180))*12 + MONTH(AI$2)-MONTH($F180)) / 12),
  0)</f>
        <v/>
      </c>
      <c r="AJ180" s="299">
        <f>IF(AND($F180&lt;=AJ$2, OR($G180="",$G180&gt;=AJ$2)),
  $H180 * (1 + Assumptions!$C$7) ^ INT(((YEAR(AJ$2)-YEAR($F180))*12 + MONTH(AJ$2)-MONTH($F180)) / 12),
  0)</f>
        <v/>
      </c>
      <c r="AK180" s="299">
        <f>IF(AND($F180&lt;=AK$2, OR($G180="",$G180&gt;=AK$2)),
  $H180 * (1 + Assumptions!$C$7) ^ INT(((YEAR(AK$2)-YEAR($F180))*12 + MONTH(AK$2)-MONTH($F180)) / 12),
  0)</f>
        <v/>
      </c>
      <c r="AL180" s="299">
        <f>IF(AND($F180&lt;=AL$2, OR($G180="",$G180&gt;=AL$2)),
  $H180 * (1 + Assumptions!$C$7) ^ INT(((YEAR(AL$2)-YEAR($F180))*12 + MONTH(AL$2)-MONTH($F180)) / 12),
  0)</f>
        <v/>
      </c>
      <c r="AM180" s="299">
        <f>IF(AND($F180&lt;=AM$2, OR($G180="",$G180&gt;=AM$2)),
  $H180 * (1 + Assumptions!$C$7) ^ INT(((YEAR(AM$2)-YEAR($F180))*12 + MONTH(AM$2)-MONTH($F180)) / 12),
  0)</f>
        <v/>
      </c>
      <c r="AN180" s="299">
        <f>IF(AND($F180&lt;=AN$2, OR($G180="",$G180&gt;=AN$2)),
  $H180 * (1 + Assumptions!$C$7) ^ INT(((YEAR(AN$2)-YEAR($F180))*12 + MONTH(AN$2)-MONTH($F180)) / 12),
  0)</f>
        <v/>
      </c>
      <c r="AO180" s="299">
        <f>IF(AND($F180&lt;=AO$2, OR($G180="",$G180&gt;=AO$2)),
  $H180 * (1 + Assumptions!$C$7) ^ INT(((YEAR(AO$2)-YEAR($F180))*12 + MONTH(AO$2)-MONTH($F180)) / 12),
  0)</f>
        <v/>
      </c>
      <c r="AP180" s="299">
        <f>IF(AND($F180&lt;=AP$2, OR($G180="",$G180&gt;=AP$2)),
  $H180 * (1 + Assumptions!$C$7) ^ INT(((YEAR(AP$2)-YEAR($F180))*12 + MONTH(AP$2)-MONTH($F180)) / 12),
  0)</f>
        <v/>
      </c>
      <c r="AQ180" s="299">
        <f>IF(AND($F180&lt;=AQ$2, OR($G180="",$G180&gt;=AQ$2)),
  $H180 * (1 + Assumptions!$C$7) ^ INT(((YEAR(AQ$2)-YEAR($F180))*12 + MONTH(AQ$2)-MONTH($F180)) / 12),
  0)</f>
        <v/>
      </c>
      <c r="AR180" s="299">
        <f>IF(AND($F180&lt;=AR$2, OR($G180="",$G180&gt;=AR$2)),
  $H180 * (1 + Assumptions!$C$7) ^ INT(((YEAR(AR$2)-YEAR($F180))*12 + MONTH(AR$2)-MONTH($F180)) / 12),
  0)</f>
        <v/>
      </c>
      <c r="AS180" s="299">
        <f>IF(AND($F180&lt;=AS$2, OR($G180="",$G180&gt;=AS$2)),
  $H180 * (1 + Assumptions!$C$7) ^ INT(((YEAR(AS$2)-YEAR($F180))*12 + MONTH(AS$2)-MONTH($F180)) / 12),
  0)</f>
        <v/>
      </c>
      <c r="AT180" s="299">
        <f>IF(AND($F180&lt;=AT$2, OR($G180="",$G180&gt;=AT$2)),
  $H180 * (1 + Assumptions!$C$7) ^ INT(((YEAR(AT$2)-YEAR($F180))*12 + MONTH(AT$2)-MONTH($F180)) / 12),
  0)</f>
        <v/>
      </c>
      <c r="AU180" s="299">
        <f>IF(AND($F180&lt;=AU$2, OR($G180="",$G180&gt;=AU$2)),
  $H180 * (1 + Assumptions!$C$7) ^ INT(((YEAR(AU$2)-YEAR($F180))*12 + MONTH(AU$2)-MONTH($F180)) / 12),
  0)</f>
        <v/>
      </c>
      <c r="AV180" s="299">
        <f>IF(AND($F180&lt;=AV$2, OR($G180="",$G180&gt;=AV$2)),
  $H180 * (1 + Assumptions!$C$7) ^ INT(((YEAR(AV$2)-YEAR($F180))*12 + MONTH(AV$2)-MONTH($F180)) / 12),
  0)</f>
        <v/>
      </c>
      <c r="AW180" s="299">
        <f>IF(AND($F180&lt;=AW$2, OR($G180="",$G180&gt;=AW$2)),
  $H180 * (1 + Assumptions!$C$7) ^ INT(((YEAR(AW$2)-YEAR($F180))*12 + MONTH(AW$2)-MONTH($F180)) / 12),
  0)</f>
        <v/>
      </c>
      <c r="AX180" s="299">
        <f>IF(AND($F180&lt;=AX$2, OR($G180="",$G180&gt;=AX$2)),
  $H180 * (1 + Assumptions!$C$7) ^ INT(((YEAR(AX$2)-YEAR($F180))*12 + MONTH(AX$2)-MONTH($F180)) / 12),
  0)</f>
        <v/>
      </c>
      <c r="AY180" s="299">
        <f>IF(AND($F180&lt;=AY$2, OR($G180="",$G180&gt;=AY$2)),
  $H180 * (1 + Assumptions!$C$7) ^ INT(((YEAR(AY$2)-YEAR($F180))*12 + MONTH(AY$2)-MONTH($F180)) / 12),
  0)</f>
        <v/>
      </c>
      <c r="AZ180" s="299">
        <f>IF(AND($F180&lt;=AZ$2, OR($G180="",$G180&gt;=AZ$2)),
  $H180 * (1 + Assumptions!$C$7) ^ INT(((YEAR(AZ$2)-YEAR($F180))*12 + MONTH(AZ$2)-MONTH($F180)) / 12),
  0)</f>
        <v/>
      </c>
      <c r="BA180" s="299">
        <f>IF(AND($F180&lt;=BA$2, OR($G180="",$G180&gt;=BA$2)),
  $H180 * (1 + Assumptions!$C$7) ^ INT(((YEAR(BA$2)-YEAR($F180))*12 + MONTH(BA$2)-MONTH($F180)) / 12),
  0)</f>
        <v/>
      </c>
      <c r="BB180" s="299">
        <f>IF(AND($F180&lt;=BB$2, OR($G180="",$G180&gt;=BB$2)),
  $H180 * (1 + Assumptions!$C$7) ^ INT(((YEAR(BB$2)-YEAR($F180))*12 + MONTH(BB$2)-MONTH($F180)) / 12),
  0)</f>
        <v/>
      </c>
      <c r="BC180" s="299">
        <f>IF(AND($F180&lt;=BC$2, OR($G180="",$G180&gt;=BC$2)),
  $H180 * (1 + Assumptions!$C$7) ^ INT(((YEAR(BC$2)-YEAR($F180))*12 + MONTH(BC$2)-MONTH($F180)) / 12),
  0)</f>
        <v/>
      </c>
      <c r="BD180" s="299">
        <f>IF(AND($F180&lt;=BD$2, OR($G180="",$G180&gt;=BD$2)),
  $H180 * (1 + Assumptions!$C$7) ^ INT(((YEAR(BD$2)-YEAR($F180))*12 + MONTH(BD$2)-MONTH($F180)) / 12),
  0)</f>
        <v/>
      </c>
      <c r="BE180" s="299">
        <f>IF(AND($F180&lt;=BE$2, OR($G180="",$G180&gt;=BE$2)),
  $H180 * (1 + Assumptions!$C$7) ^ INT(((YEAR(BE$2)-YEAR($F180))*12 + MONTH(BE$2)-MONTH($F180)) / 12),
  0)</f>
        <v/>
      </c>
      <c r="BF180" s="299">
        <f>IF(AND($F180&lt;=BF$2, OR($G180="",$G180&gt;=BF$2)),
  $H180 * (1 + Assumptions!$C$7) ^ INT(((YEAR(BF$2)-YEAR($F180))*12 + MONTH(BF$2)-MONTH($F180)) / 12),
  0)</f>
        <v/>
      </c>
      <c r="BG180" s="299">
        <f>IF(AND($F180&lt;=BG$2, OR($G180="",$G180&gt;=BG$2)),
  $H180 * (1 + Assumptions!$C$7) ^ INT(((YEAR(BG$2)-YEAR($F180))*12 + MONTH(BG$2)-MONTH($F180)) / 12),
  0)</f>
        <v/>
      </c>
      <c r="BH180" s="299">
        <f>IF(AND($F180&lt;=BH$2, OR($G180="",$G180&gt;=BH$2)),
  $H180 * (1 + Assumptions!$C$7) ^ INT(((YEAR(BH$2)-YEAR($F180))*12 + MONTH(BH$2)-MONTH($F180)) / 12),
  0)</f>
        <v/>
      </c>
      <c r="BI180" s="299">
        <f>IF(AND($F180&lt;=BI$2, OR($G180="",$G180&gt;=BI$2)),
  $H180 * (1 + Assumptions!$C$7) ^ INT(((YEAR(BI$2)-YEAR($F180))*12 + MONTH(BI$2)-MONTH($F180)) / 12),
  0)</f>
        <v/>
      </c>
      <c r="BJ180" s="299">
        <f>IF(AND($F180&lt;=BJ$2, OR($G180="",$G180&gt;=BJ$2)),
  $H180 * (1 + Assumptions!$C$7) ^ INT(((YEAR(BJ$2)-YEAR($F180))*12 + MONTH(BJ$2)-MONTH($F180)) / 12),
  0)</f>
        <v/>
      </c>
      <c r="BK180" s="299">
        <f>IF(AND($F180&lt;=BK$2, OR($G180="",$G180&gt;=BK$2)),
  $H180 * (1 + Assumptions!$C$7) ^ INT(((YEAR(BK$2)-YEAR($F180))*12 + MONTH(BK$2)-MONTH($F180)) / 12),
  0)</f>
        <v/>
      </c>
      <c r="BL180" s="299">
        <f>IF(AND($F180&lt;=BL$2, OR($G180="",$G180&gt;=BL$2)),
  $H180 * (1 + Assumptions!$C$7) ^ INT(((YEAR(BL$2)-YEAR($F180))*12 + MONTH(BL$2)-MONTH($F180)) / 12),
  0)</f>
        <v/>
      </c>
      <c r="BM180" s="299">
        <f>IF(AND($F180&lt;=BM$2, OR($G180="",$G180&gt;=BM$2)),
  $H180 * (1 + Assumptions!$C$7) ^ INT(((YEAR(BM$2)-YEAR($F180))*12 + MONTH(BM$2)-MONTH($F180)) / 12),
  0)</f>
        <v/>
      </c>
      <c r="BN180" s="299">
        <f>IF(AND($F180&lt;=BN$2, OR($G180="",$G180&gt;=BN$2)),
  $H180 * (1 + Assumptions!$C$7) ^ INT(((YEAR(BN$2)-YEAR($F180))*12 + MONTH(BN$2)-MONTH($F180)) / 12),
  0)</f>
        <v/>
      </c>
      <c r="BO180" s="299">
        <f>IF(AND($F180&lt;=BO$2, OR($G180="",$G180&gt;=BO$2)),
  $H180 * (1 + Assumptions!$C$7) ^ INT(((YEAR(BO$2)-YEAR($F180))*12 + MONTH(BO$2)-MONTH($F180)) / 12),
  0)</f>
        <v/>
      </c>
      <c r="BP180" s="299">
        <f>IF(AND($F180&lt;=BP$2, OR($G180="",$G180&gt;=BP$2)),
  $H180 * (1 + Assumptions!$C$7) ^ INT(((YEAR(BP$2)-YEAR($F180))*12 + MONTH(BP$2)-MONTH($F180)) / 12),
  0)</f>
        <v/>
      </c>
      <c r="BQ180" s="31" t="n"/>
      <c r="BR180" s="31" t="n"/>
      <c r="BS180" s="31" t="n"/>
      <c r="BT180" s="31" t="n"/>
    </row>
    <row r="181" ht="15.75" customHeight="1" s="349">
      <c r="A181" s="321" t="n">
        <v>176</v>
      </c>
      <c r="B181" s="285" t="inlineStr">
        <is>
          <t>New hire</t>
        </is>
      </c>
      <c r="C181" s="317" t="inlineStr">
        <is>
          <t>G&amp;A</t>
        </is>
      </c>
      <c r="D181" s="317" t="inlineStr">
        <is>
          <t>Quality &amp; Certification</t>
        </is>
      </c>
      <c r="E181" s="297" t="inlineStr">
        <is>
          <t>Planned</t>
        </is>
      </c>
      <c r="F181" s="318">
        <f>IF(Assumptions!$D$82=2,DATE(2027,1,1),DATE(2027,1,1))</f>
        <v/>
      </c>
      <c r="G181" s="318" t="n"/>
      <c r="H181" s="288" t="n">
        <v>7000</v>
      </c>
      <c r="I181" s="299">
        <f>IF(AND($F181&lt;=I$2, OR($G181="",$G181&gt;=I$2)),
  $H181 * (1 + Assumptions!$C$7) ^ INT(((YEAR(I$2)-YEAR($F181))*12 + MONTH(I$2)-MONTH($F181)) / 12),
  0)</f>
        <v/>
      </c>
      <c r="J181" s="299">
        <f>IF(AND($F181&lt;=J$2, OR($G181="",$G181&gt;=J$2)),
  $H181 * (1 + Assumptions!$C$7) ^ INT(((YEAR(J$2)-YEAR($F181))*12 + MONTH(J$2)-MONTH($F181)) / 12),
  0)</f>
        <v/>
      </c>
      <c r="K181" s="299">
        <f>IF(AND($F181&lt;=K$2, OR($G181="",$G181&gt;=K$2)),
  $H181 * (1 + Assumptions!$C$7) ^ INT(((YEAR(K$2)-YEAR($F181))*12 + MONTH(K$2)-MONTH($F181)) / 12),
  0)</f>
        <v/>
      </c>
      <c r="L181" s="299">
        <f>IF(AND($F181&lt;=L$2, OR($G181="",$G181&gt;=L$2)),
  $H181 * (1 + Assumptions!$C$7) ^ INT(((YEAR(L$2)-YEAR($F181))*12 + MONTH(L$2)-MONTH($F181)) / 12),
  0)</f>
        <v/>
      </c>
      <c r="M181" s="299">
        <f>IF(AND($F181&lt;=M$2, OR($G181="",$G181&gt;=M$2)),
  $H181 * (1 + Assumptions!$C$7) ^ INT(((YEAR(M$2)-YEAR($F181))*12 + MONTH(M$2)-MONTH($F181)) / 12),
  0)</f>
        <v/>
      </c>
      <c r="N181" s="299">
        <f>IF(AND($F181&lt;=N$2, OR($G181="",$G181&gt;=N$2)),
  $H181 * (1 + Assumptions!$C$7) ^ INT(((YEAR(N$2)-YEAR($F181))*12 + MONTH(N$2)-MONTH($F181)) / 12),
  0)</f>
        <v/>
      </c>
      <c r="O181" s="299">
        <f>IF(AND($F181&lt;=O$2, OR($G181="",$G181&gt;=O$2)),
  $H181 * (1 + Assumptions!$C$7) ^ INT(((YEAR(O$2)-YEAR($F181))*12 + MONTH(O$2)-MONTH($F181)) / 12),
  0)</f>
        <v/>
      </c>
      <c r="P181" s="299">
        <f>IF(AND($F181&lt;=P$2, OR($G181="",$G181&gt;=P$2)),
  $H181 * (1 + Assumptions!$C$7) ^ INT(((YEAR(P$2)-YEAR($F181))*12 + MONTH(P$2)-MONTH($F181)) / 12),
  0)</f>
        <v/>
      </c>
      <c r="Q181" s="299">
        <f>IF(AND($F181&lt;=Q$2, OR($G181="",$G181&gt;=Q$2)),
  $H181 * (1 + Assumptions!$C$7) ^ INT(((YEAR(Q$2)-YEAR($F181))*12 + MONTH(Q$2)-MONTH($F181)) / 12),
  0)</f>
        <v/>
      </c>
      <c r="R181" s="299">
        <f>IF(AND($F181&lt;=R$2, OR($G181="",$G181&gt;=R$2)),
  $H181 * (1 + Assumptions!$C$7) ^ INT(((YEAR(R$2)-YEAR($F181))*12 + MONTH(R$2)-MONTH($F181)) / 12),
  0)</f>
        <v/>
      </c>
      <c r="S181" s="299">
        <f>IF(AND($F181&lt;=S$2, OR($G181="",$G181&gt;=S$2)),
  $H181 * (1 + Assumptions!$C$7) ^ INT(((YEAR(S$2)-YEAR($F181))*12 + MONTH(S$2)-MONTH($F181)) / 12),
  0)</f>
        <v/>
      </c>
      <c r="T181" s="299">
        <f>IF(AND($F181&lt;=T$2, OR($G181="",$G181&gt;=T$2)),
  $H181 * (1 + Assumptions!$C$7) ^ INT(((YEAR(T$2)-YEAR($F181))*12 + MONTH(T$2)-MONTH($F181)) / 12),
  0)</f>
        <v/>
      </c>
      <c r="U181" s="299">
        <f>IF(AND($F181&lt;=U$2, OR($G181="",$G181&gt;=U$2)),
  $H181 * (1 + Assumptions!$C$7) ^ INT(((YEAR(U$2)-YEAR($F181))*12 + MONTH(U$2)-MONTH($F181)) / 12),
  0)</f>
        <v/>
      </c>
      <c r="V181" s="299">
        <f>IF(AND($F181&lt;=V$2, OR($G181="",$G181&gt;=V$2)),
  $H181 * (1 + Assumptions!$C$7) ^ INT(((YEAR(V$2)-YEAR($F181))*12 + MONTH(V$2)-MONTH($F181)) / 12),
  0)</f>
        <v/>
      </c>
      <c r="W181" s="299">
        <f>IF(AND($F181&lt;=W$2, OR($G181="",$G181&gt;=W$2)),
  $H181 * (1 + Assumptions!$C$7) ^ INT(((YEAR(W$2)-YEAR($F181))*12 + MONTH(W$2)-MONTH($F181)) / 12),
  0)</f>
        <v/>
      </c>
      <c r="X181" s="299">
        <f>IF(AND($F181&lt;=X$2, OR($G181="",$G181&gt;=X$2)),
  $H181 * (1 + Assumptions!$C$7) ^ INT(((YEAR(X$2)-YEAR($F181))*12 + MONTH(X$2)-MONTH($F181)) / 12),
  0)</f>
        <v/>
      </c>
      <c r="Y181" s="299">
        <f>IF(AND($F181&lt;=Y$2, OR($G181="",$G181&gt;=Y$2)),
  $H181 * (1 + Assumptions!$C$7) ^ INT(((YEAR(Y$2)-YEAR($F181))*12 + MONTH(Y$2)-MONTH($F181)) / 12),
  0)</f>
        <v/>
      </c>
      <c r="Z181" s="299">
        <f>IF(AND($F181&lt;=Z$2, OR($G181="",$G181&gt;=Z$2)),
  $H181 * (1 + Assumptions!$C$7) ^ INT(((YEAR(Z$2)-YEAR($F181))*12 + MONTH(Z$2)-MONTH($F181)) / 12),
  0)</f>
        <v/>
      </c>
      <c r="AA181" s="299">
        <f>IF(AND($F181&lt;=AA$2, OR($G181="",$G181&gt;=AA$2)),
  $H181 * (1 + Assumptions!$C$7) ^ INT(((YEAR(AA$2)-YEAR($F181))*12 + MONTH(AA$2)-MONTH($F181)) / 12),
  0)</f>
        <v/>
      </c>
      <c r="AB181" s="299">
        <f>IF(AND($F181&lt;=AB$2, OR($G181="",$G181&gt;=AB$2)),
  $H181 * (1 + Assumptions!$C$7) ^ INT(((YEAR(AB$2)-YEAR($F181))*12 + MONTH(AB$2)-MONTH($F181)) / 12),
  0)</f>
        <v/>
      </c>
      <c r="AC181" s="299">
        <f>IF(AND($F181&lt;=AC$2, OR($G181="",$G181&gt;=AC$2)),
  $H181 * (1 + Assumptions!$C$7) ^ INT(((YEAR(AC$2)-YEAR($F181))*12 + MONTH(AC$2)-MONTH($F181)) / 12),
  0)</f>
        <v/>
      </c>
      <c r="AD181" s="299">
        <f>IF(AND($F181&lt;=AD$2, OR($G181="",$G181&gt;=AD$2)),
  $H181 * (1 + Assumptions!$C$7) ^ INT(((YEAR(AD$2)-YEAR($F181))*12 + MONTH(AD$2)-MONTH($F181)) / 12),
  0)</f>
        <v/>
      </c>
      <c r="AE181" s="299">
        <f>IF(AND($F181&lt;=AE$2, OR($G181="",$G181&gt;=AE$2)),
  $H181 * (1 + Assumptions!$C$7) ^ INT(((YEAR(AE$2)-YEAR($F181))*12 + MONTH(AE$2)-MONTH($F181)) / 12),
  0)</f>
        <v/>
      </c>
      <c r="AF181" s="299">
        <f>IF(AND($F181&lt;=AF$2, OR($G181="",$G181&gt;=AF$2)),
  $H181 * (1 + Assumptions!$C$7) ^ INT(((YEAR(AF$2)-YEAR($F181))*12 + MONTH(AF$2)-MONTH($F181)) / 12),
  0)</f>
        <v/>
      </c>
      <c r="AG181" s="299">
        <f>IF(AND($F181&lt;=AG$2, OR($G181="",$G181&gt;=AG$2)),
  $H181 * (1 + Assumptions!$C$7) ^ INT(((YEAR(AG$2)-YEAR($F181))*12 + MONTH(AG$2)-MONTH($F181)) / 12),
  0)</f>
        <v/>
      </c>
      <c r="AH181" s="299">
        <f>IF(AND($F181&lt;=AH$2, OR($G181="",$G181&gt;=AH$2)),
  $H181 * (1 + Assumptions!$C$7) ^ INT(((YEAR(AH$2)-YEAR($F181))*12 + MONTH(AH$2)-MONTH($F181)) / 12),
  0)</f>
        <v/>
      </c>
      <c r="AI181" s="299">
        <f>IF(AND($F181&lt;=AI$2, OR($G181="",$G181&gt;=AI$2)),
  $H181 * (1 + Assumptions!$C$7) ^ INT(((YEAR(AI$2)-YEAR($F181))*12 + MONTH(AI$2)-MONTH($F181)) / 12),
  0)</f>
        <v/>
      </c>
      <c r="AJ181" s="299">
        <f>IF(AND($F181&lt;=AJ$2, OR($G181="",$G181&gt;=AJ$2)),
  $H181 * (1 + Assumptions!$C$7) ^ INT(((YEAR(AJ$2)-YEAR($F181))*12 + MONTH(AJ$2)-MONTH($F181)) / 12),
  0)</f>
        <v/>
      </c>
      <c r="AK181" s="299">
        <f>IF(AND($F181&lt;=AK$2, OR($G181="",$G181&gt;=AK$2)),
  $H181 * (1 + Assumptions!$C$7) ^ INT(((YEAR(AK$2)-YEAR($F181))*12 + MONTH(AK$2)-MONTH($F181)) / 12),
  0)</f>
        <v/>
      </c>
      <c r="AL181" s="299">
        <f>IF(AND($F181&lt;=AL$2, OR($G181="",$G181&gt;=AL$2)),
  $H181 * (1 + Assumptions!$C$7) ^ INT(((YEAR(AL$2)-YEAR($F181))*12 + MONTH(AL$2)-MONTH($F181)) / 12),
  0)</f>
        <v/>
      </c>
      <c r="AM181" s="299">
        <f>IF(AND($F181&lt;=AM$2, OR($G181="",$G181&gt;=AM$2)),
  $H181 * (1 + Assumptions!$C$7) ^ INT(((YEAR(AM$2)-YEAR($F181))*12 + MONTH(AM$2)-MONTH($F181)) / 12),
  0)</f>
        <v/>
      </c>
      <c r="AN181" s="299">
        <f>IF(AND($F181&lt;=AN$2, OR($G181="",$G181&gt;=AN$2)),
  $H181 * (1 + Assumptions!$C$7) ^ INT(((YEAR(AN$2)-YEAR($F181))*12 + MONTH(AN$2)-MONTH($F181)) / 12),
  0)</f>
        <v/>
      </c>
      <c r="AO181" s="299">
        <f>IF(AND($F181&lt;=AO$2, OR($G181="",$G181&gt;=AO$2)),
  $H181 * (1 + Assumptions!$C$7) ^ INT(((YEAR(AO$2)-YEAR($F181))*12 + MONTH(AO$2)-MONTH($F181)) / 12),
  0)</f>
        <v/>
      </c>
      <c r="AP181" s="299">
        <f>IF(AND($F181&lt;=AP$2, OR($G181="",$G181&gt;=AP$2)),
  $H181 * (1 + Assumptions!$C$7) ^ INT(((YEAR(AP$2)-YEAR($F181))*12 + MONTH(AP$2)-MONTH($F181)) / 12),
  0)</f>
        <v/>
      </c>
      <c r="AQ181" s="299">
        <f>IF(AND($F181&lt;=AQ$2, OR($G181="",$G181&gt;=AQ$2)),
  $H181 * (1 + Assumptions!$C$7) ^ INT(((YEAR(AQ$2)-YEAR($F181))*12 + MONTH(AQ$2)-MONTH($F181)) / 12),
  0)</f>
        <v/>
      </c>
      <c r="AR181" s="299">
        <f>IF(AND($F181&lt;=AR$2, OR($G181="",$G181&gt;=AR$2)),
  $H181 * (1 + Assumptions!$C$7) ^ INT(((YEAR(AR$2)-YEAR($F181))*12 + MONTH(AR$2)-MONTH($F181)) / 12),
  0)</f>
        <v/>
      </c>
      <c r="AS181" s="299">
        <f>IF(AND($F181&lt;=AS$2, OR($G181="",$G181&gt;=AS$2)),
  $H181 * (1 + Assumptions!$C$7) ^ INT(((YEAR(AS$2)-YEAR($F181))*12 + MONTH(AS$2)-MONTH($F181)) / 12),
  0)</f>
        <v/>
      </c>
      <c r="AT181" s="299">
        <f>IF(AND($F181&lt;=AT$2, OR($G181="",$G181&gt;=AT$2)),
  $H181 * (1 + Assumptions!$C$7) ^ INT(((YEAR(AT$2)-YEAR($F181))*12 + MONTH(AT$2)-MONTH($F181)) / 12),
  0)</f>
        <v/>
      </c>
      <c r="AU181" s="299">
        <f>IF(AND($F181&lt;=AU$2, OR($G181="",$G181&gt;=AU$2)),
  $H181 * (1 + Assumptions!$C$7) ^ INT(((YEAR(AU$2)-YEAR($F181))*12 + MONTH(AU$2)-MONTH($F181)) / 12),
  0)</f>
        <v/>
      </c>
      <c r="AV181" s="299">
        <f>IF(AND($F181&lt;=AV$2, OR($G181="",$G181&gt;=AV$2)),
  $H181 * (1 + Assumptions!$C$7) ^ INT(((YEAR(AV$2)-YEAR($F181))*12 + MONTH(AV$2)-MONTH($F181)) / 12),
  0)</f>
        <v/>
      </c>
      <c r="AW181" s="299">
        <f>IF(AND($F181&lt;=AW$2, OR($G181="",$G181&gt;=AW$2)),
  $H181 * (1 + Assumptions!$C$7) ^ INT(((YEAR(AW$2)-YEAR($F181))*12 + MONTH(AW$2)-MONTH($F181)) / 12),
  0)</f>
        <v/>
      </c>
      <c r="AX181" s="299">
        <f>IF(AND($F181&lt;=AX$2, OR($G181="",$G181&gt;=AX$2)),
  $H181 * (1 + Assumptions!$C$7) ^ INT(((YEAR(AX$2)-YEAR($F181))*12 + MONTH(AX$2)-MONTH($F181)) / 12),
  0)</f>
        <v/>
      </c>
      <c r="AY181" s="299">
        <f>IF(AND($F181&lt;=AY$2, OR($G181="",$G181&gt;=AY$2)),
  $H181 * (1 + Assumptions!$C$7) ^ INT(((YEAR(AY$2)-YEAR($F181))*12 + MONTH(AY$2)-MONTH($F181)) / 12),
  0)</f>
        <v/>
      </c>
      <c r="AZ181" s="299">
        <f>IF(AND($F181&lt;=AZ$2, OR($G181="",$G181&gt;=AZ$2)),
  $H181 * (1 + Assumptions!$C$7) ^ INT(((YEAR(AZ$2)-YEAR($F181))*12 + MONTH(AZ$2)-MONTH($F181)) / 12),
  0)</f>
        <v/>
      </c>
      <c r="BA181" s="299">
        <f>IF(AND($F181&lt;=BA$2, OR($G181="",$G181&gt;=BA$2)),
  $H181 * (1 + Assumptions!$C$7) ^ INT(((YEAR(BA$2)-YEAR($F181))*12 + MONTH(BA$2)-MONTH($F181)) / 12),
  0)</f>
        <v/>
      </c>
      <c r="BB181" s="299">
        <f>IF(AND($F181&lt;=BB$2, OR($G181="",$G181&gt;=BB$2)),
  $H181 * (1 + Assumptions!$C$7) ^ INT(((YEAR(BB$2)-YEAR($F181))*12 + MONTH(BB$2)-MONTH($F181)) / 12),
  0)</f>
        <v/>
      </c>
      <c r="BC181" s="299">
        <f>IF(AND($F181&lt;=BC$2, OR($G181="",$G181&gt;=BC$2)),
  $H181 * (1 + Assumptions!$C$7) ^ INT(((YEAR(BC$2)-YEAR($F181))*12 + MONTH(BC$2)-MONTH($F181)) / 12),
  0)</f>
        <v/>
      </c>
      <c r="BD181" s="299">
        <f>IF(AND($F181&lt;=BD$2, OR($G181="",$G181&gt;=BD$2)),
  $H181 * (1 + Assumptions!$C$7) ^ INT(((YEAR(BD$2)-YEAR($F181))*12 + MONTH(BD$2)-MONTH($F181)) / 12),
  0)</f>
        <v/>
      </c>
      <c r="BE181" s="299">
        <f>IF(AND($F181&lt;=BE$2, OR($G181="",$G181&gt;=BE$2)),
  $H181 * (1 + Assumptions!$C$7) ^ INT(((YEAR(BE$2)-YEAR($F181))*12 + MONTH(BE$2)-MONTH($F181)) / 12),
  0)</f>
        <v/>
      </c>
      <c r="BF181" s="299">
        <f>IF(AND($F181&lt;=BF$2, OR($G181="",$G181&gt;=BF$2)),
  $H181 * (1 + Assumptions!$C$7) ^ INT(((YEAR(BF$2)-YEAR($F181))*12 + MONTH(BF$2)-MONTH($F181)) / 12),
  0)</f>
        <v/>
      </c>
      <c r="BG181" s="299">
        <f>IF(AND($F181&lt;=BG$2, OR($G181="",$G181&gt;=BG$2)),
  $H181 * (1 + Assumptions!$C$7) ^ INT(((YEAR(BG$2)-YEAR($F181))*12 + MONTH(BG$2)-MONTH($F181)) / 12),
  0)</f>
        <v/>
      </c>
      <c r="BH181" s="299">
        <f>IF(AND($F181&lt;=BH$2, OR($G181="",$G181&gt;=BH$2)),
  $H181 * (1 + Assumptions!$C$7) ^ INT(((YEAR(BH$2)-YEAR($F181))*12 + MONTH(BH$2)-MONTH($F181)) / 12),
  0)</f>
        <v/>
      </c>
      <c r="BI181" s="299">
        <f>IF(AND($F181&lt;=BI$2, OR($G181="",$G181&gt;=BI$2)),
  $H181 * (1 + Assumptions!$C$7) ^ INT(((YEAR(BI$2)-YEAR($F181))*12 + MONTH(BI$2)-MONTH($F181)) / 12),
  0)</f>
        <v/>
      </c>
      <c r="BJ181" s="299">
        <f>IF(AND($F181&lt;=BJ$2, OR($G181="",$G181&gt;=BJ$2)),
  $H181 * (1 + Assumptions!$C$7) ^ INT(((YEAR(BJ$2)-YEAR($F181))*12 + MONTH(BJ$2)-MONTH($F181)) / 12),
  0)</f>
        <v/>
      </c>
      <c r="BK181" s="299">
        <f>IF(AND($F181&lt;=BK$2, OR($G181="",$G181&gt;=BK$2)),
  $H181 * (1 + Assumptions!$C$7) ^ INT(((YEAR(BK$2)-YEAR($F181))*12 + MONTH(BK$2)-MONTH($F181)) / 12),
  0)</f>
        <v/>
      </c>
      <c r="BL181" s="299">
        <f>IF(AND($F181&lt;=BL$2, OR($G181="",$G181&gt;=BL$2)),
  $H181 * (1 + Assumptions!$C$7) ^ INT(((YEAR(BL$2)-YEAR($F181))*12 + MONTH(BL$2)-MONTH($F181)) / 12),
  0)</f>
        <v/>
      </c>
      <c r="BM181" s="299">
        <f>IF(AND($F181&lt;=BM$2, OR($G181="",$G181&gt;=BM$2)),
  $H181 * (1 + Assumptions!$C$7) ^ INT(((YEAR(BM$2)-YEAR($F181))*12 + MONTH(BM$2)-MONTH($F181)) / 12),
  0)</f>
        <v/>
      </c>
      <c r="BN181" s="299">
        <f>IF(AND($F181&lt;=BN$2, OR($G181="",$G181&gt;=BN$2)),
  $H181 * (1 + Assumptions!$C$7) ^ INT(((YEAR(BN$2)-YEAR($F181))*12 + MONTH(BN$2)-MONTH($F181)) / 12),
  0)</f>
        <v/>
      </c>
      <c r="BO181" s="299">
        <f>IF(AND($F181&lt;=BO$2, OR($G181="",$G181&gt;=BO$2)),
  $H181 * (1 + Assumptions!$C$7) ^ INT(((YEAR(BO$2)-YEAR($F181))*12 + MONTH(BO$2)-MONTH($F181)) / 12),
  0)</f>
        <v/>
      </c>
      <c r="BP181" s="299">
        <f>IF(AND($F181&lt;=BP$2, OR($G181="",$G181&gt;=BP$2)),
  $H181 * (1 + Assumptions!$C$7) ^ INT(((YEAR(BP$2)-YEAR($F181))*12 + MONTH(BP$2)-MONTH($F181)) / 12),
  0)</f>
        <v/>
      </c>
      <c r="BQ181" s="31" t="n"/>
      <c r="BR181" s="31" t="n"/>
      <c r="BS181" s="31" t="n"/>
      <c r="BT181" s="31" t="n"/>
    </row>
    <row r="182" ht="15.75" customHeight="1" s="349">
      <c r="A182" s="321" t="n">
        <v>177</v>
      </c>
      <c r="B182" s="285" t="inlineStr">
        <is>
          <t>New hire</t>
        </is>
      </c>
      <c r="C182" s="317" t="inlineStr">
        <is>
          <t>G&amp;A</t>
        </is>
      </c>
      <c r="D182" s="317" t="inlineStr">
        <is>
          <t>Quality &amp; Certification</t>
        </is>
      </c>
      <c r="E182" s="297" t="inlineStr">
        <is>
          <t>Planned</t>
        </is>
      </c>
      <c r="F182" s="318">
        <f>IF(Assumptions!$D$82=2,DATE(2027,1,1),DATE(2027,1,1))</f>
        <v/>
      </c>
      <c r="G182" s="318" t="n"/>
      <c r="H182" s="288" t="n">
        <v>7000</v>
      </c>
      <c r="I182" s="299">
        <f>IF(AND($F182&lt;=I$2, OR($G182="",$G182&gt;=I$2)),
  $H182 * (1 + Assumptions!$C$7) ^ INT(((YEAR(I$2)-YEAR($F182))*12 + MONTH(I$2)-MONTH($F182)) / 12),
  0)</f>
        <v/>
      </c>
      <c r="J182" s="299">
        <f>IF(AND($F182&lt;=J$2, OR($G182="",$G182&gt;=J$2)),
  $H182 * (1 + Assumptions!$C$7) ^ INT(((YEAR(J$2)-YEAR($F182))*12 + MONTH(J$2)-MONTH($F182)) / 12),
  0)</f>
        <v/>
      </c>
      <c r="K182" s="299">
        <f>IF(AND($F182&lt;=K$2, OR($G182="",$G182&gt;=K$2)),
  $H182 * (1 + Assumptions!$C$7) ^ INT(((YEAR(K$2)-YEAR($F182))*12 + MONTH(K$2)-MONTH($F182)) / 12),
  0)</f>
        <v/>
      </c>
      <c r="L182" s="299">
        <f>IF(AND($F182&lt;=L$2, OR($G182="",$G182&gt;=L$2)),
  $H182 * (1 + Assumptions!$C$7) ^ INT(((YEAR(L$2)-YEAR($F182))*12 + MONTH(L$2)-MONTH($F182)) / 12),
  0)</f>
        <v/>
      </c>
      <c r="M182" s="299">
        <f>IF(AND($F182&lt;=M$2, OR($G182="",$G182&gt;=M$2)),
  $H182 * (1 + Assumptions!$C$7) ^ INT(((YEAR(M$2)-YEAR($F182))*12 + MONTH(M$2)-MONTH($F182)) / 12),
  0)</f>
        <v/>
      </c>
      <c r="N182" s="299">
        <f>IF(AND($F182&lt;=N$2, OR($G182="",$G182&gt;=N$2)),
  $H182 * (1 + Assumptions!$C$7) ^ INT(((YEAR(N$2)-YEAR($F182))*12 + MONTH(N$2)-MONTH($F182)) / 12),
  0)</f>
        <v/>
      </c>
      <c r="O182" s="299">
        <f>IF(AND($F182&lt;=O$2, OR($G182="",$G182&gt;=O$2)),
  $H182 * (1 + Assumptions!$C$7) ^ INT(((YEAR(O$2)-YEAR($F182))*12 + MONTH(O$2)-MONTH($F182)) / 12),
  0)</f>
        <v/>
      </c>
      <c r="P182" s="299">
        <f>IF(AND($F182&lt;=P$2, OR($G182="",$G182&gt;=P$2)),
  $H182 * (1 + Assumptions!$C$7) ^ INT(((YEAR(P$2)-YEAR($F182))*12 + MONTH(P$2)-MONTH($F182)) / 12),
  0)</f>
        <v/>
      </c>
      <c r="Q182" s="299">
        <f>IF(AND($F182&lt;=Q$2, OR($G182="",$G182&gt;=Q$2)),
  $H182 * (1 + Assumptions!$C$7) ^ INT(((YEAR(Q$2)-YEAR($F182))*12 + MONTH(Q$2)-MONTH($F182)) / 12),
  0)</f>
        <v/>
      </c>
      <c r="R182" s="299">
        <f>IF(AND($F182&lt;=R$2, OR($G182="",$G182&gt;=R$2)),
  $H182 * (1 + Assumptions!$C$7) ^ INT(((YEAR(R$2)-YEAR($F182))*12 + MONTH(R$2)-MONTH($F182)) / 12),
  0)</f>
        <v/>
      </c>
      <c r="S182" s="299">
        <f>IF(AND($F182&lt;=S$2, OR($G182="",$G182&gt;=S$2)),
  $H182 * (1 + Assumptions!$C$7) ^ INT(((YEAR(S$2)-YEAR($F182))*12 + MONTH(S$2)-MONTH($F182)) / 12),
  0)</f>
        <v/>
      </c>
      <c r="T182" s="299">
        <f>IF(AND($F182&lt;=T$2, OR($G182="",$G182&gt;=T$2)),
  $H182 * (1 + Assumptions!$C$7) ^ INT(((YEAR(T$2)-YEAR($F182))*12 + MONTH(T$2)-MONTH($F182)) / 12),
  0)</f>
        <v/>
      </c>
      <c r="U182" s="299">
        <f>IF(AND($F182&lt;=U$2, OR($G182="",$G182&gt;=U$2)),
  $H182 * (1 + Assumptions!$C$7) ^ INT(((YEAR(U$2)-YEAR($F182))*12 + MONTH(U$2)-MONTH($F182)) / 12),
  0)</f>
        <v/>
      </c>
      <c r="V182" s="299">
        <f>IF(AND($F182&lt;=V$2, OR($G182="",$G182&gt;=V$2)),
  $H182 * (1 + Assumptions!$C$7) ^ INT(((YEAR(V$2)-YEAR($F182))*12 + MONTH(V$2)-MONTH($F182)) / 12),
  0)</f>
        <v/>
      </c>
      <c r="W182" s="299">
        <f>IF(AND($F182&lt;=W$2, OR($G182="",$G182&gt;=W$2)),
  $H182 * (1 + Assumptions!$C$7) ^ INT(((YEAR(W$2)-YEAR($F182))*12 + MONTH(W$2)-MONTH($F182)) / 12),
  0)</f>
        <v/>
      </c>
      <c r="X182" s="299">
        <f>IF(AND($F182&lt;=X$2, OR($G182="",$G182&gt;=X$2)),
  $H182 * (1 + Assumptions!$C$7) ^ INT(((YEAR(X$2)-YEAR($F182))*12 + MONTH(X$2)-MONTH($F182)) / 12),
  0)</f>
        <v/>
      </c>
      <c r="Y182" s="299">
        <f>IF(AND($F182&lt;=Y$2, OR($G182="",$G182&gt;=Y$2)),
  $H182 * (1 + Assumptions!$C$7) ^ INT(((YEAR(Y$2)-YEAR($F182))*12 + MONTH(Y$2)-MONTH($F182)) / 12),
  0)</f>
        <v/>
      </c>
      <c r="Z182" s="299">
        <f>IF(AND($F182&lt;=Z$2, OR($G182="",$G182&gt;=Z$2)),
  $H182 * (1 + Assumptions!$C$7) ^ INT(((YEAR(Z$2)-YEAR($F182))*12 + MONTH(Z$2)-MONTH($F182)) / 12),
  0)</f>
        <v/>
      </c>
      <c r="AA182" s="299">
        <f>IF(AND($F182&lt;=AA$2, OR($G182="",$G182&gt;=AA$2)),
  $H182 * (1 + Assumptions!$C$7) ^ INT(((YEAR(AA$2)-YEAR($F182))*12 + MONTH(AA$2)-MONTH($F182)) / 12),
  0)</f>
        <v/>
      </c>
      <c r="AB182" s="299">
        <f>IF(AND($F182&lt;=AB$2, OR($G182="",$G182&gt;=AB$2)),
  $H182 * (1 + Assumptions!$C$7) ^ INT(((YEAR(AB$2)-YEAR($F182))*12 + MONTH(AB$2)-MONTH($F182)) / 12),
  0)</f>
        <v/>
      </c>
      <c r="AC182" s="299">
        <f>IF(AND($F182&lt;=AC$2, OR($G182="",$G182&gt;=AC$2)),
  $H182 * (1 + Assumptions!$C$7) ^ INT(((YEAR(AC$2)-YEAR($F182))*12 + MONTH(AC$2)-MONTH($F182)) / 12),
  0)</f>
        <v/>
      </c>
      <c r="AD182" s="299">
        <f>IF(AND($F182&lt;=AD$2, OR($G182="",$G182&gt;=AD$2)),
  $H182 * (1 + Assumptions!$C$7) ^ INT(((YEAR(AD$2)-YEAR($F182))*12 + MONTH(AD$2)-MONTH($F182)) / 12),
  0)</f>
        <v/>
      </c>
      <c r="AE182" s="299">
        <f>IF(AND($F182&lt;=AE$2, OR($G182="",$G182&gt;=AE$2)),
  $H182 * (1 + Assumptions!$C$7) ^ INT(((YEAR(AE$2)-YEAR($F182))*12 + MONTH(AE$2)-MONTH($F182)) / 12),
  0)</f>
        <v/>
      </c>
      <c r="AF182" s="299">
        <f>IF(AND($F182&lt;=AF$2, OR($G182="",$G182&gt;=AF$2)),
  $H182 * (1 + Assumptions!$C$7) ^ INT(((YEAR(AF$2)-YEAR($F182))*12 + MONTH(AF$2)-MONTH($F182)) / 12),
  0)</f>
        <v/>
      </c>
      <c r="AG182" s="299">
        <f>IF(AND($F182&lt;=AG$2, OR($G182="",$G182&gt;=AG$2)),
  $H182 * (1 + Assumptions!$C$7) ^ INT(((YEAR(AG$2)-YEAR($F182))*12 + MONTH(AG$2)-MONTH($F182)) / 12),
  0)</f>
        <v/>
      </c>
      <c r="AH182" s="299">
        <f>IF(AND($F182&lt;=AH$2, OR($G182="",$G182&gt;=AH$2)),
  $H182 * (1 + Assumptions!$C$7) ^ INT(((YEAR(AH$2)-YEAR($F182))*12 + MONTH(AH$2)-MONTH($F182)) / 12),
  0)</f>
        <v/>
      </c>
      <c r="AI182" s="299">
        <f>IF(AND($F182&lt;=AI$2, OR($G182="",$G182&gt;=AI$2)),
  $H182 * (1 + Assumptions!$C$7) ^ INT(((YEAR(AI$2)-YEAR($F182))*12 + MONTH(AI$2)-MONTH($F182)) / 12),
  0)</f>
        <v/>
      </c>
      <c r="AJ182" s="299">
        <f>IF(AND($F182&lt;=AJ$2, OR($G182="",$G182&gt;=AJ$2)),
  $H182 * (1 + Assumptions!$C$7) ^ INT(((YEAR(AJ$2)-YEAR($F182))*12 + MONTH(AJ$2)-MONTH($F182)) / 12),
  0)</f>
        <v/>
      </c>
      <c r="AK182" s="299">
        <f>IF(AND($F182&lt;=AK$2, OR($G182="",$G182&gt;=AK$2)),
  $H182 * (1 + Assumptions!$C$7) ^ INT(((YEAR(AK$2)-YEAR($F182))*12 + MONTH(AK$2)-MONTH($F182)) / 12),
  0)</f>
        <v/>
      </c>
      <c r="AL182" s="299">
        <f>IF(AND($F182&lt;=AL$2, OR($G182="",$G182&gt;=AL$2)),
  $H182 * (1 + Assumptions!$C$7) ^ INT(((YEAR(AL$2)-YEAR($F182))*12 + MONTH(AL$2)-MONTH($F182)) / 12),
  0)</f>
        <v/>
      </c>
      <c r="AM182" s="299">
        <f>IF(AND($F182&lt;=AM$2, OR($G182="",$G182&gt;=AM$2)),
  $H182 * (1 + Assumptions!$C$7) ^ INT(((YEAR(AM$2)-YEAR($F182))*12 + MONTH(AM$2)-MONTH($F182)) / 12),
  0)</f>
        <v/>
      </c>
      <c r="AN182" s="299">
        <f>IF(AND($F182&lt;=AN$2, OR($G182="",$G182&gt;=AN$2)),
  $H182 * (1 + Assumptions!$C$7) ^ INT(((YEAR(AN$2)-YEAR($F182))*12 + MONTH(AN$2)-MONTH($F182)) / 12),
  0)</f>
        <v/>
      </c>
      <c r="AO182" s="299">
        <f>IF(AND($F182&lt;=AO$2, OR($G182="",$G182&gt;=AO$2)),
  $H182 * (1 + Assumptions!$C$7) ^ INT(((YEAR(AO$2)-YEAR($F182))*12 + MONTH(AO$2)-MONTH($F182)) / 12),
  0)</f>
        <v/>
      </c>
      <c r="AP182" s="299">
        <f>IF(AND($F182&lt;=AP$2, OR($G182="",$G182&gt;=AP$2)),
  $H182 * (1 + Assumptions!$C$7) ^ INT(((YEAR(AP$2)-YEAR($F182))*12 + MONTH(AP$2)-MONTH($F182)) / 12),
  0)</f>
        <v/>
      </c>
      <c r="AQ182" s="299">
        <f>IF(AND($F182&lt;=AQ$2, OR($G182="",$G182&gt;=AQ$2)),
  $H182 * (1 + Assumptions!$C$7) ^ INT(((YEAR(AQ$2)-YEAR($F182))*12 + MONTH(AQ$2)-MONTH($F182)) / 12),
  0)</f>
        <v/>
      </c>
      <c r="AR182" s="299">
        <f>IF(AND($F182&lt;=AR$2, OR($G182="",$G182&gt;=AR$2)),
  $H182 * (1 + Assumptions!$C$7) ^ INT(((YEAR(AR$2)-YEAR($F182))*12 + MONTH(AR$2)-MONTH($F182)) / 12),
  0)</f>
        <v/>
      </c>
      <c r="AS182" s="299">
        <f>IF(AND($F182&lt;=AS$2, OR($G182="",$G182&gt;=AS$2)),
  $H182 * (1 + Assumptions!$C$7) ^ INT(((YEAR(AS$2)-YEAR($F182))*12 + MONTH(AS$2)-MONTH($F182)) / 12),
  0)</f>
        <v/>
      </c>
      <c r="AT182" s="299">
        <f>IF(AND($F182&lt;=AT$2, OR($G182="",$G182&gt;=AT$2)),
  $H182 * (1 + Assumptions!$C$7) ^ INT(((YEAR(AT$2)-YEAR($F182))*12 + MONTH(AT$2)-MONTH($F182)) / 12),
  0)</f>
        <v/>
      </c>
      <c r="AU182" s="299">
        <f>IF(AND($F182&lt;=AU$2, OR($G182="",$G182&gt;=AU$2)),
  $H182 * (1 + Assumptions!$C$7) ^ INT(((YEAR(AU$2)-YEAR($F182))*12 + MONTH(AU$2)-MONTH($F182)) / 12),
  0)</f>
        <v/>
      </c>
      <c r="AV182" s="299">
        <f>IF(AND($F182&lt;=AV$2, OR($G182="",$G182&gt;=AV$2)),
  $H182 * (1 + Assumptions!$C$7) ^ INT(((YEAR(AV$2)-YEAR($F182))*12 + MONTH(AV$2)-MONTH($F182)) / 12),
  0)</f>
        <v/>
      </c>
      <c r="AW182" s="299">
        <f>IF(AND($F182&lt;=AW$2, OR($G182="",$G182&gt;=AW$2)),
  $H182 * (1 + Assumptions!$C$7) ^ INT(((YEAR(AW$2)-YEAR($F182))*12 + MONTH(AW$2)-MONTH($F182)) / 12),
  0)</f>
        <v/>
      </c>
      <c r="AX182" s="299">
        <f>IF(AND($F182&lt;=AX$2, OR($G182="",$G182&gt;=AX$2)),
  $H182 * (1 + Assumptions!$C$7) ^ INT(((YEAR(AX$2)-YEAR($F182))*12 + MONTH(AX$2)-MONTH($F182)) / 12),
  0)</f>
        <v/>
      </c>
      <c r="AY182" s="299">
        <f>IF(AND($F182&lt;=AY$2, OR($G182="",$G182&gt;=AY$2)),
  $H182 * (1 + Assumptions!$C$7) ^ INT(((YEAR(AY$2)-YEAR($F182))*12 + MONTH(AY$2)-MONTH($F182)) / 12),
  0)</f>
        <v/>
      </c>
      <c r="AZ182" s="299">
        <f>IF(AND($F182&lt;=AZ$2, OR($G182="",$G182&gt;=AZ$2)),
  $H182 * (1 + Assumptions!$C$7) ^ INT(((YEAR(AZ$2)-YEAR($F182))*12 + MONTH(AZ$2)-MONTH($F182)) / 12),
  0)</f>
        <v/>
      </c>
      <c r="BA182" s="299">
        <f>IF(AND($F182&lt;=BA$2, OR($G182="",$G182&gt;=BA$2)),
  $H182 * (1 + Assumptions!$C$7) ^ INT(((YEAR(BA$2)-YEAR($F182))*12 + MONTH(BA$2)-MONTH($F182)) / 12),
  0)</f>
        <v/>
      </c>
      <c r="BB182" s="299">
        <f>IF(AND($F182&lt;=BB$2, OR($G182="",$G182&gt;=BB$2)),
  $H182 * (1 + Assumptions!$C$7) ^ INT(((YEAR(BB$2)-YEAR($F182))*12 + MONTH(BB$2)-MONTH($F182)) / 12),
  0)</f>
        <v/>
      </c>
      <c r="BC182" s="299">
        <f>IF(AND($F182&lt;=BC$2, OR($G182="",$G182&gt;=BC$2)),
  $H182 * (1 + Assumptions!$C$7) ^ INT(((YEAR(BC$2)-YEAR($F182))*12 + MONTH(BC$2)-MONTH($F182)) / 12),
  0)</f>
        <v/>
      </c>
      <c r="BD182" s="299">
        <f>IF(AND($F182&lt;=BD$2, OR($G182="",$G182&gt;=BD$2)),
  $H182 * (1 + Assumptions!$C$7) ^ INT(((YEAR(BD$2)-YEAR($F182))*12 + MONTH(BD$2)-MONTH($F182)) / 12),
  0)</f>
        <v/>
      </c>
      <c r="BE182" s="299">
        <f>IF(AND($F182&lt;=BE$2, OR($G182="",$G182&gt;=BE$2)),
  $H182 * (1 + Assumptions!$C$7) ^ INT(((YEAR(BE$2)-YEAR($F182))*12 + MONTH(BE$2)-MONTH($F182)) / 12),
  0)</f>
        <v/>
      </c>
      <c r="BF182" s="299">
        <f>IF(AND($F182&lt;=BF$2, OR($G182="",$G182&gt;=BF$2)),
  $H182 * (1 + Assumptions!$C$7) ^ INT(((YEAR(BF$2)-YEAR($F182))*12 + MONTH(BF$2)-MONTH($F182)) / 12),
  0)</f>
        <v/>
      </c>
      <c r="BG182" s="299">
        <f>IF(AND($F182&lt;=BG$2, OR($G182="",$G182&gt;=BG$2)),
  $H182 * (1 + Assumptions!$C$7) ^ INT(((YEAR(BG$2)-YEAR($F182))*12 + MONTH(BG$2)-MONTH($F182)) / 12),
  0)</f>
        <v/>
      </c>
      <c r="BH182" s="299">
        <f>IF(AND($F182&lt;=BH$2, OR($G182="",$G182&gt;=BH$2)),
  $H182 * (1 + Assumptions!$C$7) ^ INT(((YEAR(BH$2)-YEAR($F182))*12 + MONTH(BH$2)-MONTH($F182)) / 12),
  0)</f>
        <v/>
      </c>
      <c r="BI182" s="299">
        <f>IF(AND($F182&lt;=BI$2, OR($G182="",$G182&gt;=BI$2)),
  $H182 * (1 + Assumptions!$C$7) ^ INT(((YEAR(BI$2)-YEAR($F182))*12 + MONTH(BI$2)-MONTH($F182)) / 12),
  0)</f>
        <v/>
      </c>
      <c r="BJ182" s="299">
        <f>IF(AND($F182&lt;=BJ$2, OR($G182="",$G182&gt;=BJ$2)),
  $H182 * (1 + Assumptions!$C$7) ^ INT(((YEAR(BJ$2)-YEAR($F182))*12 + MONTH(BJ$2)-MONTH($F182)) / 12),
  0)</f>
        <v/>
      </c>
      <c r="BK182" s="299">
        <f>IF(AND($F182&lt;=BK$2, OR($G182="",$G182&gt;=BK$2)),
  $H182 * (1 + Assumptions!$C$7) ^ INT(((YEAR(BK$2)-YEAR($F182))*12 + MONTH(BK$2)-MONTH($F182)) / 12),
  0)</f>
        <v/>
      </c>
      <c r="BL182" s="299">
        <f>IF(AND($F182&lt;=BL$2, OR($G182="",$G182&gt;=BL$2)),
  $H182 * (1 + Assumptions!$C$7) ^ INT(((YEAR(BL$2)-YEAR($F182))*12 + MONTH(BL$2)-MONTH($F182)) / 12),
  0)</f>
        <v/>
      </c>
      <c r="BM182" s="299">
        <f>IF(AND($F182&lt;=BM$2, OR($G182="",$G182&gt;=BM$2)),
  $H182 * (1 + Assumptions!$C$7) ^ INT(((YEAR(BM$2)-YEAR($F182))*12 + MONTH(BM$2)-MONTH($F182)) / 12),
  0)</f>
        <v/>
      </c>
      <c r="BN182" s="299">
        <f>IF(AND($F182&lt;=BN$2, OR($G182="",$G182&gt;=BN$2)),
  $H182 * (1 + Assumptions!$C$7) ^ INT(((YEAR(BN$2)-YEAR($F182))*12 + MONTH(BN$2)-MONTH($F182)) / 12),
  0)</f>
        <v/>
      </c>
      <c r="BO182" s="299">
        <f>IF(AND($F182&lt;=BO$2, OR($G182="",$G182&gt;=BO$2)),
  $H182 * (1 + Assumptions!$C$7) ^ INT(((YEAR(BO$2)-YEAR($F182))*12 + MONTH(BO$2)-MONTH($F182)) / 12),
  0)</f>
        <v/>
      </c>
      <c r="BP182" s="299">
        <f>IF(AND($F182&lt;=BP$2, OR($G182="",$G182&gt;=BP$2)),
  $H182 * (1 + Assumptions!$C$7) ^ INT(((YEAR(BP$2)-YEAR($F182))*12 + MONTH(BP$2)-MONTH($F182)) / 12),
  0)</f>
        <v/>
      </c>
      <c r="BQ182" s="31" t="n"/>
      <c r="BR182" s="31" t="n"/>
      <c r="BS182" s="31" t="n"/>
      <c r="BT182" s="31" t="n"/>
    </row>
    <row r="183" ht="15.75" customHeight="1" s="349">
      <c r="A183" s="321" t="n">
        <v>178</v>
      </c>
      <c r="B183" s="285" t="inlineStr">
        <is>
          <t>New hire</t>
        </is>
      </c>
      <c r="C183" s="317" t="inlineStr">
        <is>
          <t>G&amp;A</t>
        </is>
      </c>
      <c r="D183" s="317" t="inlineStr">
        <is>
          <t>Quality &amp; Certification</t>
        </is>
      </c>
      <c r="E183" s="297" t="inlineStr">
        <is>
          <t>Planned</t>
        </is>
      </c>
      <c r="F183" s="318">
        <f>IF(Assumptions!$D$82=2,DATE(2027,1,1),DATE(2027,1,1))</f>
        <v/>
      </c>
      <c r="G183" s="318" t="n"/>
      <c r="H183" s="288" t="n">
        <v>7000</v>
      </c>
      <c r="I183" s="299">
        <f>IF(AND($F183&lt;=I$2, OR($G183="",$G183&gt;=I$2)),
  $H183 * (1 + Assumptions!$C$7) ^ INT(((YEAR(I$2)-YEAR($F183))*12 + MONTH(I$2)-MONTH($F183)) / 12),
  0)</f>
        <v/>
      </c>
      <c r="J183" s="299">
        <f>IF(AND($F183&lt;=J$2, OR($G183="",$G183&gt;=J$2)),
  $H183 * (1 + Assumptions!$C$7) ^ INT(((YEAR(J$2)-YEAR($F183))*12 + MONTH(J$2)-MONTH($F183)) / 12),
  0)</f>
        <v/>
      </c>
      <c r="K183" s="299">
        <f>IF(AND($F183&lt;=K$2, OR($G183="",$G183&gt;=K$2)),
  $H183 * (1 + Assumptions!$C$7) ^ INT(((YEAR(K$2)-YEAR($F183))*12 + MONTH(K$2)-MONTH($F183)) / 12),
  0)</f>
        <v/>
      </c>
      <c r="L183" s="299">
        <f>IF(AND($F183&lt;=L$2, OR($G183="",$G183&gt;=L$2)),
  $H183 * (1 + Assumptions!$C$7) ^ INT(((YEAR(L$2)-YEAR($F183))*12 + MONTH(L$2)-MONTH($F183)) / 12),
  0)</f>
        <v/>
      </c>
      <c r="M183" s="299">
        <f>IF(AND($F183&lt;=M$2, OR($G183="",$G183&gt;=M$2)),
  $H183 * (1 + Assumptions!$C$7) ^ INT(((YEAR(M$2)-YEAR($F183))*12 + MONTH(M$2)-MONTH($F183)) / 12),
  0)</f>
        <v/>
      </c>
      <c r="N183" s="299">
        <f>IF(AND($F183&lt;=N$2, OR($G183="",$G183&gt;=N$2)),
  $H183 * (1 + Assumptions!$C$7) ^ INT(((YEAR(N$2)-YEAR($F183))*12 + MONTH(N$2)-MONTH($F183)) / 12),
  0)</f>
        <v/>
      </c>
      <c r="O183" s="299">
        <f>IF(AND($F183&lt;=O$2, OR($G183="",$G183&gt;=O$2)),
  $H183 * (1 + Assumptions!$C$7) ^ INT(((YEAR(O$2)-YEAR($F183))*12 + MONTH(O$2)-MONTH($F183)) / 12),
  0)</f>
        <v/>
      </c>
      <c r="P183" s="299">
        <f>IF(AND($F183&lt;=P$2, OR($G183="",$G183&gt;=P$2)),
  $H183 * (1 + Assumptions!$C$7) ^ INT(((YEAR(P$2)-YEAR($F183))*12 + MONTH(P$2)-MONTH($F183)) / 12),
  0)</f>
        <v/>
      </c>
      <c r="Q183" s="299">
        <f>IF(AND($F183&lt;=Q$2, OR($G183="",$G183&gt;=Q$2)),
  $H183 * (1 + Assumptions!$C$7) ^ INT(((YEAR(Q$2)-YEAR($F183))*12 + MONTH(Q$2)-MONTH($F183)) / 12),
  0)</f>
        <v/>
      </c>
      <c r="R183" s="299">
        <f>IF(AND($F183&lt;=R$2, OR($G183="",$G183&gt;=R$2)),
  $H183 * (1 + Assumptions!$C$7) ^ INT(((YEAR(R$2)-YEAR($F183))*12 + MONTH(R$2)-MONTH($F183)) / 12),
  0)</f>
        <v/>
      </c>
      <c r="S183" s="299">
        <f>IF(AND($F183&lt;=S$2, OR($G183="",$G183&gt;=S$2)),
  $H183 * (1 + Assumptions!$C$7) ^ INT(((YEAR(S$2)-YEAR($F183))*12 + MONTH(S$2)-MONTH($F183)) / 12),
  0)</f>
        <v/>
      </c>
      <c r="T183" s="299">
        <f>IF(AND($F183&lt;=T$2, OR($G183="",$G183&gt;=T$2)),
  $H183 * (1 + Assumptions!$C$7) ^ INT(((YEAR(T$2)-YEAR($F183))*12 + MONTH(T$2)-MONTH($F183)) / 12),
  0)</f>
        <v/>
      </c>
      <c r="U183" s="299">
        <f>IF(AND($F183&lt;=U$2, OR($G183="",$G183&gt;=U$2)),
  $H183 * (1 + Assumptions!$C$7) ^ INT(((YEAR(U$2)-YEAR($F183))*12 + MONTH(U$2)-MONTH($F183)) / 12),
  0)</f>
        <v/>
      </c>
      <c r="V183" s="299">
        <f>IF(AND($F183&lt;=V$2, OR($G183="",$G183&gt;=V$2)),
  $H183 * (1 + Assumptions!$C$7) ^ INT(((YEAR(V$2)-YEAR($F183))*12 + MONTH(V$2)-MONTH($F183)) / 12),
  0)</f>
        <v/>
      </c>
      <c r="W183" s="299">
        <f>IF(AND($F183&lt;=W$2, OR($G183="",$G183&gt;=W$2)),
  $H183 * (1 + Assumptions!$C$7) ^ INT(((YEAR(W$2)-YEAR($F183))*12 + MONTH(W$2)-MONTH($F183)) / 12),
  0)</f>
        <v/>
      </c>
      <c r="X183" s="299">
        <f>IF(AND($F183&lt;=X$2, OR($G183="",$G183&gt;=X$2)),
  $H183 * (1 + Assumptions!$C$7) ^ INT(((YEAR(X$2)-YEAR($F183))*12 + MONTH(X$2)-MONTH($F183)) / 12),
  0)</f>
        <v/>
      </c>
      <c r="Y183" s="299">
        <f>IF(AND($F183&lt;=Y$2, OR($G183="",$G183&gt;=Y$2)),
  $H183 * (1 + Assumptions!$C$7) ^ INT(((YEAR(Y$2)-YEAR($F183))*12 + MONTH(Y$2)-MONTH($F183)) / 12),
  0)</f>
        <v/>
      </c>
      <c r="Z183" s="299">
        <f>IF(AND($F183&lt;=Z$2, OR($G183="",$G183&gt;=Z$2)),
  $H183 * (1 + Assumptions!$C$7) ^ INT(((YEAR(Z$2)-YEAR($F183))*12 + MONTH(Z$2)-MONTH($F183)) / 12),
  0)</f>
        <v/>
      </c>
      <c r="AA183" s="299">
        <f>IF(AND($F183&lt;=AA$2, OR($G183="",$G183&gt;=AA$2)),
  $H183 * (1 + Assumptions!$C$7) ^ INT(((YEAR(AA$2)-YEAR($F183))*12 + MONTH(AA$2)-MONTH($F183)) / 12),
  0)</f>
        <v/>
      </c>
      <c r="AB183" s="299">
        <f>IF(AND($F183&lt;=AB$2, OR($G183="",$G183&gt;=AB$2)),
  $H183 * (1 + Assumptions!$C$7) ^ INT(((YEAR(AB$2)-YEAR($F183))*12 + MONTH(AB$2)-MONTH($F183)) / 12),
  0)</f>
        <v/>
      </c>
      <c r="AC183" s="299">
        <f>IF(AND($F183&lt;=AC$2, OR($G183="",$G183&gt;=AC$2)),
  $H183 * (1 + Assumptions!$C$7) ^ INT(((YEAR(AC$2)-YEAR($F183))*12 + MONTH(AC$2)-MONTH($F183)) / 12),
  0)</f>
        <v/>
      </c>
      <c r="AD183" s="299">
        <f>IF(AND($F183&lt;=AD$2, OR($G183="",$G183&gt;=AD$2)),
  $H183 * (1 + Assumptions!$C$7) ^ INT(((YEAR(AD$2)-YEAR($F183))*12 + MONTH(AD$2)-MONTH($F183)) / 12),
  0)</f>
        <v/>
      </c>
      <c r="AE183" s="299">
        <f>IF(AND($F183&lt;=AE$2, OR($G183="",$G183&gt;=AE$2)),
  $H183 * (1 + Assumptions!$C$7) ^ INT(((YEAR(AE$2)-YEAR($F183))*12 + MONTH(AE$2)-MONTH($F183)) / 12),
  0)</f>
        <v/>
      </c>
      <c r="AF183" s="299">
        <f>IF(AND($F183&lt;=AF$2, OR($G183="",$G183&gt;=AF$2)),
  $H183 * (1 + Assumptions!$C$7) ^ INT(((YEAR(AF$2)-YEAR($F183))*12 + MONTH(AF$2)-MONTH($F183)) / 12),
  0)</f>
        <v/>
      </c>
      <c r="AG183" s="299">
        <f>IF(AND($F183&lt;=AG$2, OR($G183="",$G183&gt;=AG$2)),
  $H183 * (1 + Assumptions!$C$7) ^ INT(((YEAR(AG$2)-YEAR($F183))*12 + MONTH(AG$2)-MONTH($F183)) / 12),
  0)</f>
        <v/>
      </c>
      <c r="AH183" s="299">
        <f>IF(AND($F183&lt;=AH$2, OR($G183="",$G183&gt;=AH$2)),
  $H183 * (1 + Assumptions!$C$7) ^ INT(((YEAR(AH$2)-YEAR($F183))*12 + MONTH(AH$2)-MONTH($F183)) / 12),
  0)</f>
        <v/>
      </c>
      <c r="AI183" s="299">
        <f>IF(AND($F183&lt;=AI$2, OR($G183="",$G183&gt;=AI$2)),
  $H183 * (1 + Assumptions!$C$7) ^ INT(((YEAR(AI$2)-YEAR($F183))*12 + MONTH(AI$2)-MONTH($F183)) / 12),
  0)</f>
        <v/>
      </c>
      <c r="AJ183" s="299">
        <f>IF(AND($F183&lt;=AJ$2, OR($G183="",$G183&gt;=AJ$2)),
  $H183 * (1 + Assumptions!$C$7) ^ INT(((YEAR(AJ$2)-YEAR($F183))*12 + MONTH(AJ$2)-MONTH($F183)) / 12),
  0)</f>
        <v/>
      </c>
      <c r="AK183" s="299">
        <f>IF(AND($F183&lt;=AK$2, OR($G183="",$G183&gt;=AK$2)),
  $H183 * (1 + Assumptions!$C$7) ^ INT(((YEAR(AK$2)-YEAR($F183))*12 + MONTH(AK$2)-MONTH($F183)) / 12),
  0)</f>
        <v/>
      </c>
      <c r="AL183" s="299">
        <f>IF(AND($F183&lt;=AL$2, OR($G183="",$G183&gt;=AL$2)),
  $H183 * (1 + Assumptions!$C$7) ^ INT(((YEAR(AL$2)-YEAR($F183))*12 + MONTH(AL$2)-MONTH($F183)) / 12),
  0)</f>
        <v/>
      </c>
      <c r="AM183" s="299">
        <f>IF(AND($F183&lt;=AM$2, OR($G183="",$G183&gt;=AM$2)),
  $H183 * (1 + Assumptions!$C$7) ^ INT(((YEAR(AM$2)-YEAR($F183))*12 + MONTH(AM$2)-MONTH($F183)) / 12),
  0)</f>
        <v/>
      </c>
      <c r="AN183" s="299">
        <f>IF(AND($F183&lt;=AN$2, OR($G183="",$G183&gt;=AN$2)),
  $H183 * (1 + Assumptions!$C$7) ^ INT(((YEAR(AN$2)-YEAR($F183))*12 + MONTH(AN$2)-MONTH($F183)) / 12),
  0)</f>
        <v/>
      </c>
      <c r="AO183" s="299">
        <f>IF(AND($F183&lt;=AO$2, OR($G183="",$G183&gt;=AO$2)),
  $H183 * (1 + Assumptions!$C$7) ^ INT(((YEAR(AO$2)-YEAR($F183))*12 + MONTH(AO$2)-MONTH($F183)) / 12),
  0)</f>
        <v/>
      </c>
      <c r="AP183" s="299">
        <f>IF(AND($F183&lt;=AP$2, OR($G183="",$G183&gt;=AP$2)),
  $H183 * (1 + Assumptions!$C$7) ^ INT(((YEAR(AP$2)-YEAR($F183))*12 + MONTH(AP$2)-MONTH($F183)) / 12),
  0)</f>
        <v/>
      </c>
      <c r="AQ183" s="299">
        <f>IF(AND($F183&lt;=AQ$2, OR($G183="",$G183&gt;=AQ$2)),
  $H183 * (1 + Assumptions!$C$7) ^ INT(((YEAR(AQ$2)-YEAR($F183))*12 + MONTH(AQ$2)-MONTH($F183)) / 12),
  0)</f>
        <v/>
      </c>
      <c r="AR183" s="299">
        <f>IF(AND($F183&lt;=AR$2, OR($G183="",$G183&gt;=AR$2)),
  $H183 * (1 + Assumptions!$C$7) ^ INT(((YEAR(AR$2)-YEAR($F183))*12 + MONTH(AR$2)-MONTH($F183)) / 12),
  0)</f>
        <v/>
      </c>
      <c r="AS183" s="299">
        <f>IF(AND($F183&lt;=AS$2, OR($G183="",$G183&gt;=AS$2)),
  $H183 * (1 + Assumptions!$C$7) ^ INT(((YEAR(AS$2)-YEAR($F183))*12 + MONTH(AS$2)-MONTH($F183)) / 12),
  0)</f>
        <v/>
      </c>
      <c r="AT183" s="299">
        <f>IF(AND($F183&lt;=AT$2, OR($G183="",$G183&gt;=AT$2)),
  $H183 * (1 + Assumptions!$C$7) ^ INT(((YEAR(AT$2)-YEAR($F183))*12 + MONTH(AT$2)-MONTH($F183)) / 12),
  0)</f>
        <v/>
      </c>
      <c r="AU183" s="299">
        <f>IF(AND($F183&lt;=AU$2, OR($G183="",$G183&gt;=AU$2)),
  $H183 * (1 + Assumptions!$C$7) ^ INT(((YEAR(AU$2)-YEAR($F183))*12 + MONTH(AU$2)-MONTH($F183)) / 12),
  0)</f>
        <v/>
      </c>
      <c r="AV183" s="299">
        <f>IF(AND($F183&lt;=AV$2, OR($G183="",$G183&gt;=AV$2)),
  $H183 * (1 + Assumptions!$C$7) ^ INT(((YEAR(AV$2)-YEAR($F183))*12 + MONTH(AV$2)-MONTH($F183)) / 12),
  0)</f>
        <v/>
      </c>
      <c r="AW183" s="299">
        <f>IF(AND($F183&lt;=AW$2, OR($G183="",$G183&gt;=AW$2)),
  $H183 * (1 + Assumptions!$C$7) ^ INT(((YEAR(AW$2)-YEAR($F183))*12 + MONTH(AW$2)-MONTH($F183)) / 12),
  0)</f>
        <v/>
      </c>
      <c r="AX183" s="299">
        <f>IF(AND($F183&lt;=AX$2, OR($G183="",$G183&gt;=AX$2)),
  $H183 * (1 + Assumptions!$C$7) ^ INT(((YEAR(AX$2)-YEAR($F183))*12 + MONTH(AX$2)-MONTH($F183)) / 12),
  0)</f>
        <v/>
      </c>
      <c r="AY183" s="299">
        <f>IF(AND($F183&lt;=AY$2, OR($G183="",$G183&gt;=AY$2)),
  $H183 * (1 + Assumptions!$C$7) ^ INT(((YEAR(AY$2)-YEAR($F183))*12 + MONTH(AY$2)-MONTH($F183)) / 12),
  0)</f>
        <v/>
      </c>
      <c r="AZ183" s="299">
        <f>IF(AND($F183&lt;=AZ$2, OR($G183="",$G183&gt;=AZ$2)),
  $H183 * (1 + Assumptions!$C$7) ^ INT(((YEAR(AZ$2)-YEAR($F183))*12 + MONTH(AZ$2)-MONTH($F183)) / 12),
  0)</f>
        <v/>
      </c>
      <c r="BA183" s="299">
        <f>IF(AND($F183&lt;=BA$2, OR($G183="",$G183&gt;=BA$2)),
  $H183 * (1 + Assumptions!$C$7) ^ INT(((YEAR(BA$2)-YEAR($F183))*12 + MONTH(BA$2)-MONTH($F183)) / 12),
  0)</f>
        <v/>
      </c>
      <c r="BB183" s="299">
        <f>IF(AND($F183&lt;=BB$2, OR($G183="",$G183&gt;=BB$2)),
  $H183 * (1 + Assumptions!$C$7) ^ INT(((YEAR(BB$2)-YEAR($F183))*12 + MONTH(BB$2)-MONTH($F183)) / 12),
  0)</f>
        <v/>
      </c>
      <c r="BC183" s="299">
        <f>IF(AND($F183&lt;=BC$2, OR($G183="",$G183&gt;=BC$2)),
  $H183 * (1 + Assumptions!$C$7) ^ INT(((YEAR(BC$2)-YEAR($F183))*12 + MONTH(BC$2)-MONTH($F183)) / 12),
  0)</f>
        <v/>
      </c>
      <c r="BD183" s="299">
        <f>IF(AND($F183&lt;=BD$2, OR($G183="",$G183&gt;=BD$2)),
  $H183 * (1 + Assumptions!$C$7) ^ INT(((YEAR(BD$2)-YEAR($F183))*12 + MONTH(BD$2)-MONTH($F183)) / 12),
  0)</f>
        <v/>
      </c>
      <c r="BE183" s="299">
        <f>IF(AND($F183&lt;=BE$2, OR($G183="",$G183&gt;=BE$2)),
  $H183 * (1 + Assumptions!$C$7) ^ INT(((YEAR(BE$2)-YEAR($F183))*12 + MONTH(BE$2)-MONTH($F183)) / 12),
  0)</f>
        <v/>
      </c>
      <c r="BF183" s="299">
        <f>IF(AND($F183&lt;=BF$2, OR($G183="",$G183&gt;=BF$2)),
  $H183 * (1 + Assumptions!$C$7) ^ INT(((YEAR(BF$2)-YEAR($F183))*12 + MONTH(BF$2)-MONTH($F183)) / 12),
  0)</f>
        <v/>
      </c>
      <c r="BG183" s="299">
        <f>IF(AND($F183&lt;=BG$2, OR($G183="",$G183&gt;=BG$2)),
  $H183 * (1 + Assumptions!$C$7) ^ INT(((YEAR(BG$2)-YEAR($F183))*12 + MONTH(BG$2)-MONTH($F183)) / 12),
  0)</f>
        <v/>
      </c>
      <c r="BH183" s="299">
        <f>IF(AND($F183&lt;=BH$2, OR($G183="",$G183&gt;=BH$2)),
  $H183 * (1 + Assumptions!$C$7) ^ INT(((YEAR(BH$2)-YEAR($F183))*12 + MONTH(BH$2)-MONTH($F183)) / 12),
  0)</f>
        <v/>
      </c>
      <c r="BI183" s="299">
        <f>IF(AND($F183&lt;=BI$2, OR($G183="",$G183&gt;=BI$2)),
  $H183 * (1 + Assumptions!$C$7) ^ INT(((YEAR(BI$2)-YEAR($F183))*12 + MONTH(BI$2)-MONTH($F183)) / 12),
  0)</f>
        <v/>
      </c>
      <c r="BJ183" s="299">
        <f>IF(AND($F183&lt;=BJ$2, OR($G183="",$G183&gt;=BJ$2)),
  $H183 * (1 + Assumptions!$C$7) ^ INT(((YEAR(BJ$2)-YEAR($F183))*12 + MONTH(BJ$2)-MONTH($F183)) / 12),
  0)</f>
        <v/>
      </c>
      <c r="BK183" s="299">
        <f>IF(AND($F183&lt;=BK$2, OR($G183="",$G183&gt;=BK$2)),
  $H183 * (1 + Assumptions!$C$7) ^ INT(((YEAR(BK$2)-YEAR($F183))*12 + MONTH(BK$2)-MONTH($F183)) / 12),
  0)</f>
        <v/>
      </c>
      <c r="BL183" s="299">
        <f>IF(AND($F183&lt;=BL$2, OR($G183="",$G183&gt;=BL$2)),
  $H183 * (1 + Assumptions!$C$7) ^ INT(((YEAR(BL$2)-YEAR($F183))*12 + MONTH(BL$2)-MONTH($F183)) / 12),
  0)</f>
        <v/>
      </c>
      <c r="BM183" s="299">
        <f>IF(AND($F183&lt;=BM$2, OR($G183="",$G183&gt;=BM$2)),
  $H183 * (1 + Assumptions!$C$7) ^ INT(((YEAR(BM$2)-YEAR($F183))*12 + MONTH(BM$2)-MONTH($F183)) / 12),
  0)</f>
        <v/>
      </c>
      <c r="BN183" s="299">
        <f>IF(AND($F183&lt;=BN$2, OR($G183="",$G183&gt;=BN$2)),
  $H183 * (1 + Assumptions!$C$7) ^ INT(((YEAR(BN$2)-YEAR($F183))*12 + MONTH(BN$2)-MONTH($F183)) / 12),
  0)</f>
        <v/>
      </c>
      <c r="BO183" s="299">
        <f>IF(AND($F183&lt;=BO$2, OR($G183="",$G183&gt;=BO$2)),
  $H183 * (1 + Assumptions!$C$7) ^ INT(((YEAR(BO$2)-YEAR($F183))*12 + MONTH(BO$2)-MONTH($F183)) / 12),
  0)</f>
        <v/>
      </c>
      <c r="BP183" s="299">
        <f>IF(AND($F183&lt;=BP$2, OR($G183="",$G183&gt;=BP$2)),
  $H183 * (1 + Assumptions!$C$7) ^ INT(((YEAR(BP$2)-YEAR($F183))*12 + MONTH(BP$2)-MONTH($F183)) / 12),
  0)</f>
        <v/>
      </c>
      <c r="BQ183" s="31" t="n"/>
      <c r="BR183" s="31" t="n"/>
      <c r="BS183" s="31" t="n"/>
      <c r="BT183" s="31" t="n"/>
    </row>
    <row r="184" ht="15.75" customHeight="1" s="349">
      <c r="A184" s="321" t="n">
        <v>179</v>
      </c>
      <c r="B184" s="285" t="inlineStr">
        <is>
          <t>New hire</t>
        </is>
      </c>
      <c r="C184" s="317" t="inlineStr">
        <is>
          <t>G&amp;A</t>
        </is>
      </c>
      <c r="D184" s="317" t="inlineStr">
        <is>
          <t>Quality &amp; Certification</t>
        </is>
      </c>
      <c r="E184" s="297" t="inlineStr">
        <is>
          <t>Planned</t>
        </is>
      </c>
      <c r="F184" s="318">
        <f>IF(Assumptions!$D$82=2,DATE(2029,1,1),DATE(2035,1,1))</f>
        <v/>
      </c>
      <c r="G184" s="318" t="n"/>
      <c r="H184" s="288" t="n">
        <v>7000</v>
      </c>
      <c r="I184" s="299">
        <f>IF(AND($F184&lt;=I$2, OR($G184="",$G184&gt;=I$2)),
  $H184 * (1 + Assumptions!$C$7) ^ INT(((YEAR(I$2)-YEAR($F184))*12 + MONTH(I$2)-MONTH($F184)) / 12),
  0)</f>
        <v/>
      </c>
      <c r="J184" s="299">
        <f>IF(AND($F184&lt;=J$2, OR($G184="",$G184&gt;=J$2)),
  $H184 * (1 + Assumptions!$C$7) ^ INT(((YEAR(J$2)-YEAR($F184))*12 + MONTH(J$2)-MONTH($F184)) / 12),
  0)</f>
        <v/>
      </c>
      <c r="K184" s="299">
        <f>IF(AND($F184&lt;=K$2, OR($G184="",$G184&gt;=K$2)),
  $H184 * (1 + Assumptions!$C$7) ^ INT(((YEAR(K$2)-YEAR($F184))*12 + MONTH(K$2)-MONTH($F184)) / 12),
  0)</f>
        <v/>
      </c>
      <c r="L184" s="299">
        <f>IF(AND($F184&lt;=L$2, OR($G184="",$G184&gt;=L$2)),
  $H184 * (1 + Assumptions!$C$7) ^ INT(((YEAR(L$2)-YEAR($F184))*12 + MONTH(L$2)-MONTH($F184)) / 12),
  0)</f>
        <v/>
      </c>
      <c r="M184" s="299">
        <f>IF(AND($F184&lt;=M$2, OR($G184="",$G184&gt;=M$2)),
  $H184 * (1 + Assumptions!$C$7) ^ INT(((YEAR(M$2)-YEAR($F184))*12 + MONTH(M$2)-MONTH($F184)) / 12),
  0)</f>
        <v/>
      </c>
      <c r="N184" s="299">
        <f>IF(AND($F184&lt;=N$2, OR($G184="",$G184&gt;=N$2)),
  $H184 * (1 + Assumptions!$C$7) ^ INT(((YEAR(N$2)-YEAR($F184))*12 + MONTH(N$2)-MONTH($F184)) / 12),
  0)</f>
        <v/>
      </c>
      <c r="O184" s="299">
        <f>IF(AND($F184&lt;=O$2, OR($G184="",$G184&gt;=O$2)),
  $H184 * (1 + Assumptions!$C$7) ^ INT(((YEAR(O$2)-YEAR($F184))*12 + MONTH(O$2)-MONTH($F184)) / 12),
  0)</f>
        <v/>
      </c>
      <c r="P184" s="299">
        <f>IF(AND($F184&lt;=P$2, OR($G184="",$G184&gt;=P$2)),
  $H184 * (1 + Assumptions!$C$7) ^ INT(((YEAR(P$2)-YEAR($F184))*12 + MONTH(P$2)-MONTH($F184)) / 12),
  0)</f>
        <v/>
      </c>
      <c r="Q184" s="299">
        <f>IF(AND($F184&lt;=Q$2, OR($G184="",$G184&gt;=Q$2)),
  $H184 * (1 + Assumptions!$C$7) ^ INT(((YEAR(Q$2)-YEAR($F184))*12 + MONTH(Q$2)-MONTH($F184)) / 12),
  0)</f>
        <v/>
      </c>
      <c r="R184" s="299">
        <f>IF(AND($F184&lt;=R$2, OR($G184="",$G184&gt;=R$2)),
  $H184 * (1 + Assumptions!$C$7) ^ INT(((YEAR(R$2)-YEAR($F184))*12 + MONTH(R$2)-MONTH($F184)) / 12),
  0)</f>
        <v/>
      </c>
      <c r="S184" s="299">
        <f>IF(AND($F184&lt;=S$2, OR($G184="",$G184&gt;=S$2)),
  $H184 * (1 + Assumptions!$C$7) ^ INT(((YEAR(S$2)-YEAR($F184))*12 + MONTH(S$2)-MONTH($F184)) / 12),
  0)</f>
        <v/>
      </c>
      <c r="T184" s="299">
        <f>IF(AND($F184&lt;=T$2, OR($G184="",$G184&gt;=T$2)),
  $H184 * (1 + Assumptions!$C$7) ^ INT(((YEAR(T$2)-YEAR($F184))*12 + MONTH(T$2)-MONTH($F184)) / 12),
  0)</f>
        <v/>
      </c>
      <c r="U184" s="299">
        <f>IF(AND($F184&lt;=U$2, OR($G184="",$G184&gt;=U$2)),
  $H184 * (1 + Assumptions!$C$7) ^ INT(((YEAR(U$2)-YEAR($F184))*12 + MONTH(U$2)-MONTH($F184)) / 12),
  0)</f>
        <v/>
      </c>
      <c r="V184" s="299">
        <f>IF(AND($F184&lt;=V$2, OR($G184="",$G184&gt;=V$2)),
  $H184 * (1 + Assumptions!$C$7) ^ INT(((YEAR(V$2)-YEAR($F184))*12 + MONTH(V$2)-MONTH($F184)) / 12),
  0)</f>
        <v/>
      </c>
      <c r="W184" s="299">
        <f>IF(AND($F184&lt;=W$2, OR($G184="",$G184&gt;=W$2)),
  $H184 * (1 + Assumptions!$C$7) ^ INT(((YEAR(W$2)-YEAR($F184))*12 + MONTH(W$2)-MONTH($F184)) / 12),
  0)</f>
        <v/>
      </c>
      <c r="X184" s="299">
        <f>IF(AND($F184&lt;=X$2, OR($G184="",$G184&gt;=X$2)),
  $H184 * (1 + Assumptions!$C$7) ^ INT(((YEAR(X$2)-YEAR($F184))*12 + MONTH(X$2)-MONTH($F184)) / 12),
  0)</f>
        <v/>
      </c>
      <c r="Y184" s="299">
        <f>IF(AND($F184&lt;=Y$2, OR($G184="",$G184&gt;=Y$2)),
  $H184 * (1 + Assumptions!$C$7) ^ INT(((YEAR(Y$2)-YEAR($F184))*12 + MONTH(Y$2)-MONTH($F184)) / 12),
  0)</f>
        <v/>
      </c>
      <c r="Z184" s="299">
        <f>IF(AND($F184&lt;=Z$2, OR($G184="",$G184&gt;=Z$2)),
  $H184 * (1 + Assumptions!$C$7) ^ INT(((YEAR(Z$2)-YEAR($F184))*12 + MONTH(Z$2)-MONTH($F184)) / 12),
  0)</f>
        <v/>
      </c>
      <c r="AA184" s="299">
        <f>IF(AND($F184&lt;=AA$2, OR($G184="",$G184&gt;=AA$2)),
  $H184 * (1 + Assumptions!$C$7) ^ INT(((YEAR(AA$2)-YEAR($F184))*12 + MONTH(AA$2)-MONTH($F184)) / 12),
  0)</f>
        <v/>
      </c>
      <c r="AB184" s="299">
        <f>IF(AND($F184&lt;=AB$2, OR($G184="",$G184&gt;=AB$2)),
  $H184 * (1 + Assumptions!$C$7) ^ INT(((YEAR(AB$2)-YEAR($F184))*12 + MONTH(AB$2)-MONTH($F184)) / 12),
  0)</f>
        <v/>
      </c>
      <c r="AC184" s="299">
        <f>IF(AND($F184&lt;=AC$2, OR($G184="",$G184&gt;=AC$2)),
  $H184 * (1 + Assumptions!$C$7) ^ INT(((YEAR(AC$2)-YEAR($F184))*12 + MONTH(AC$2)-MONTH($F184)) / 12),
  0)</f>
        <v/>
      </c>
      <c r="AD184" s="299">
        <f>IF(AND($F184&lt;=AD$2, OR($G184="",$G184&gt;=AD$2)),
  $H184 * (1 + Assumptions!$C$7) ^ INT(((YEAR(AD$2)-YEAR($F184))*12 + MONTH(AD$2)-MONTH($F184)) / 12),
  0)</f>
        <v/>
      </c>
      <c r="AE184" s="299">
        <f>IF(AND($F184&lt;=AE$2, OR($G184="",$G184&gt;=AE$2)),
  $H184 * (1 + Assumptions!$C$7) ^ INT(((YEAR(AE$2)-YEAR($F184))*12 + MONTH(AE$2)-MONTH($F184)) / 12),
  0)</f>
        <v/>
      </c>
      <c r="AF184" s="299">
        <f>IF(AND($F184&lt;=AF$2, OR($G184="",$G184&gt;=AF$2)),
  $H184 * (1 + Assumptions!$C$7) ^ INT(((YEAR(AF$2)-YEAR($F184))*12 + MONTH(AF$2)-MONTH($F184)) / 12),
  0)</f>
        <v/>
      </c>
      <c r="AG184" s="299">
        <f>IF(AND($F184&lt;=AG$2, OR($G184="",$G184&gt;=AG$2)),
  $H184 * (1 + Assumptions!$C$7) ^ INT(((YEAR(AG$2)-YEAR($F184))*12 + MONTH(AG$2)-MONTH($F184)) / 12),
  0)</f>
        <v/>
      </c>
      <c r="AH184" s="299">
        <f>IF(AND($F184&lt;=AH$2, OR($G184="",$G184&gt;=AH$2)),
  $H184 * (1 + Assumptions!$C$7) ^ INT(((YEAR(AH$2)-YEAR($F184))*12 + MONTH(AH$2)-MONTH($F184)) / 12),
  0)</f>
        <v/>
      </c>
      <c r="AI184" s="299">
        <f>IF(AND($F184&lt;=AI$2, OR($G184="",$G184&gt;=AI$2)),
  $H184 * (1 + Assumptions!$C$7) ^ INT(((YEAR(AI$2)-YEAR($F184))*12 + MONTH(AI$2)-MONTH($F184)) / 12),
  0)</f>
        <v/>
      </c>
      <c r="AJ184" s="299">
        <f>IF(AND($F184&lt;=AJ$2, OR($G184="",$G184&gt;=AJ$2)),
  $H184 * (1 + Assumptions!$C$7) ^ INT(((YEAR(AJ$2)-YEAR($F184))*12 + MONTH(AJ$2)-MONTH($F184)) / 12),
  0)</f>
        <v/>
      </c>
      <c r="AK184" s="299">
        <f>IF(AND($F184&lt;=AK$2, OR($G184="",$G184&gt;=AK$2)),
  $H184 * (1 + Assumptions!$C$7) ^ INT(((YEAR(AK$2)-YEAR($F184))*12 + MONTH(AK$2)-MONTH($F184)) / 12),
  0)</f>
        <v/>
      </c>
      <c r="AL184" s="299">
        <f>IF(AND($F184&lt;=AL$2, OR($G184="",$G184&gt;=AL$2)),
  $H184 * (1 + Assumptions!$C$7) ^ INT(((YEAR(AL$2)-YEAR($F184))*12 + MONTH(AL$2)-MONTH($F184)) / 12),
  0)</f>
        <v/>
      </c>
      <c r="AM184" s="299">
        <f>IF(AND($F184&lt;=AM$2, OR($G184="",$G184&gt;=AM$2)),
  $H184 * (1 + Assumptions!$C$7) ^ INT(((YEAR(AM$2)-YEAR($F184))*12 + MONTH(AM$2)-MONTH($F184)) / 12),
  0)</f>
        <v/>
      </c>
      <c r="AN184" s="299">
        <f>IF(AND($F184&lt;=AN$2, OR($G184="",$G184&gt;=AN$2)),
  $H184 * (1 + Assumptions!$C$7) ^ INT(((YEAR(AN$2)-YEAR($F184))*12 + MONTH(AN$2)-MONTH($F184)) / 12),
  0)</f>
        <v/>
      </c>
      <c r="AO184" s="299">
        <f>IF(AND($F184&lt;=AO$2, OR($G184="",$G184&gt;=AO$2)),
  $H184 * (1 + Assumptions!$C$7) ^ INT(((YEAR(AO$2)-YEAR($F184))*12 + MONTH(AO$2)-MONTH($F184)) / 12),
  0)</f>
        <v/>
      </c>
      <c r="AP184" s="299">
        <f>IF(AND($F184&lt;=AP$2, OR($G184="",$G184&gt;=AP$2)),
  $H184 * (1 + Assumptions!$C$7) ^ INT(((YEAR(AP$2)-YEAR($F184))*12 + MONTH(AP$2)-MONTH($F184)) / 12),
  0)</f>
        <v/>
      </c>
      <c r="AQ184" s="299">
        <f>IF(AND($F184&lt;=AQ$2, OR($G184="",$G184&gt;=AQ$2)),
  $H184 * (1 + Assumptions!$C$7) ^ INT(((YEAR(AQ$2)-YEAR($F184))*12 + MONTH(AQ$2)-MONTH($F184)) / 12),
  0)</f>
        <v/>
      </c>
      <c r="AR184" s="299">
        <f>IF(AND($F184&lt;=AR$2, OR($G184="",$G184&gt;=AR$2)),
  $H184 * (1 + Assumptions!$C$7) ^ INT(((YEAR(AR$2)-YEAR($F184))*12 + MONTH(AR$2)-MONTH($F184)) / 12),
  0)</f>
        <v/>
      </c>
      <c r="AS184" s="299">
        <f>IF(AND($F184&lt;=AS$2, OR($G184="",$G184&gt;=AS$2)),
  $H184 * (1 + Assumptions!$C$7) ^ INT(((YEAR(AS$2)-YEAR($F184))*12 + MONTH(AS$2)-MONTH($F184)) / 12),
  0)</f>
        <v/>
      </c>
      <c r="AT184" s="299">
        <f>IF(AND($F184&lt;=AT$2, OR($G184="",$G184&gt;=AT$2)),
  $H184 * (1 + Assumptions!$C$7) ^ INT(((YEAR(AT$2)-YEAR($F184))*12 + MONTH(AT$2)-MONTH($F184)) / 12),
  0)</f>
        <v/>
      </c>
      <c r="AU184" s="299">
        <f>IF(AND($F184&lt;=AU$2, OR($G184="",$G184&gt;=AU$2)),
  $H184 * (1 + Assumptions!$C$7) ^ INT(((YEAR(AU$2)-YEAR($F184))*12 + MONTH(AU$2)-MONTH($F184)) / 12),
  0)</f>
        <v/>
      </c>
      <c r="AV184" s="299">
        <f>IF(AND($F184&lt;=AV$2, OR($G184="",$G184&gt;=AV$2)),
  $H184 * (1 + Assumptions!$C$7) ^ INT(((YEAR(AV$2)-YEAR($F184))*12 + MONTH(AV$2)-MONTH($F184)) / 12),
  0)</f>
        <v/>
      </c>
      <c r="AW184" s="299">
        <f>IF(AND($F184&lt;=AW$2, OR($G184="",$G184&gt;=AW$2)),
  $H184 * (1 + Assumptions!$C$7) ^ INT(((YEAR(AW$2)-YEAR($F184))*12 + MONTH(AW$2)-MONTH($F184)) / 12),
  0)</f>
        <v/>
      </c>
      <c r="AX184" s="299">
        <f>IF(AND($F184&lt;=AX$2, OR($G184="",$G184&gt;=AX$2)),
  $H184 * (1 + Assumptions!$C$7) ^ INT(((YEAR(AX$2)-YEAR($F184))*12 + MONTH(AX$2)-MONTH($F184)) / 12),
  0)</f>
        <v/>
      </c>
      <c r="AY184" s="299">
        <f>IF(AND($F184&lt;=AY$2, OR($G184="",$G184&gt;=AY$2)),
  $H184 * (1 + Assumptions!$C$7) ^ INT(((YEAR(AY$2)-YEAR($F184))*12 + MONTH(AY$2)-MONTH($F184)) / 12),
  0)</f>
        <v/>
      </c>
      <c r="AZ184" s="299">
        <f>IF(AND($F184&lt;=AZ$2, OR($G184="",$G184&gt;=AZ$2)),
  $H184 * (1 + Assumptions!$C$7) ^ INT(((YEAR(AZ$2)-YEAR($F184))*12 + MONTH(AZ$2)-MONTH($F184)) / 12),
  0)</f>
        <v/>
      </c>
      <c r="BA184" s="299">
        <f>IF(AND($F184&lt;=BA$2, OR($G184="",$G184&gt;=BA$2)),
  $H184 * (1 + Assumptions!$C$7) ^ INT(((YEAR(BA$2)-YEAR($F184))*12 + MONTH(BA$2)-MONTH($F184)) / 12),
  0)</f>
        <v/>
      </c>
      <c r="BB184" s="299">
        <f>IF(AND($F184&lt;=BB$2, OR($G184="",$G184&gt;=BB$2)),
  $H184 * (1 + Assumptions!$C$7) ^ INT(((YEAR(BB$2)-YEAR($F184))*12 + MONTH(BB$2)-MONTH($F184)) / 12),
  0)</f>
        <v/>
      </c>
      <c r="BC184" s="299">
        <f>IF(AND($F184&lt;=BC$2, OR($G184="",$G184&gt;=BC$2)),
  $H184 * (1 + Assumptions!$C$7) ^ INT(((YEAR(BC$2)-YEAR($F184))*12 + MONTH(BC$2)-MONTH($F184)) / 12),
  0)</f>
        <v/>
      </c>
      <c r="BD184" s="299">
        <f>IF(AND($F184&lt;=BD$2, OR($G184="",$G184&gt;=BD$2)),
  $H184 * (1 + Assumptions!$C$7) ^ INT(((YEAR(BD$2)-YEAR($F184))*12 + MONTH(BD$2)-MONTH($F184)) / 12),
  0)</f>
        <v/>
      </c>
      <c r="BE184" s="299">
        <f>IF(AND($F184&lt;=BE$2, OR($G184="",$G184&gt;=BE$2)),
  $H184 * (1 + Assumptions!$C$7) ^ INT(((YEAR(BE$2)-YEAR($F184))*12 + MONTH(BE$2)-MONTH($F184)) / 12),
  0)</f>
        <v/>
      </c>
      <c r="BF184" s="299">
        <f>IF(AND($F184&lt;=BF$2, OR($G184="",$G184&gt;=BF$2)),
  $H184 * (1 + Assumptions!$C$7) ^ INT(((YEAR(BF$2)-YEAR($F184))*12 + MONTH(BF$2)-MONTH($F184)) / 12),
  0)</f>
        <v/>
      </c>
      <c r="BG184" s="299">
        <f>IF(AND($F184&lt;=BG$2, OR($G184="",$G184&gt;=BG$2)),
  $H184 * (1 + Assumptions!$C$7) ^ INT(((YEAR(BG$2)-YEAR($F184))*12 + MONTH(BG$2)-MONTH($F184)) / 12),
  0)</f>
        <v/>
      </c>
      <c r="BH184" s="299">
        <f>IF(AND($F184&lt;=BH$2, OR($G184="",$G184&gt;=BH$2)),
  $H184 * (1 + Assumptions!$C$7) ^ INT(((YEAR(BH$2)-YEAR($F184))*12 + MONTH(BH$2)-MONTH($F184)) / 12),
  0)</f>
        <v/>
      </c>
      <c r="BI184" s="299">
        <f>IF(AND($F184&lt;=BI$2, OR($G184="",$G184&gt;=BI$2)),
  $H184 * (1 + Assumptions!$C$7) ^ INT(((YEAR(BI$2)-YEAR($F184))*12 + MONTH(BI$2)-MONTH($F184)) / 12),
  0)</f>
        <v/>
      </c>
      <c r="BJ184" s="299">
        <f>IF(AND($F184&lt;=BJ$2, OR($G184="",$G184&gt;=BJ$2)),
  $H184 * (1 + Assumptions!$C$7) ^ INT(((YEAR(BJ$2)-YEAR($F184))*12 + MONTH(BJ$2)-MONTH($F184)) / 12),
  0)</f>
        <v/>
      </c>
      <c r="BK184" s="299">
        <f>IF(AND($F184&lt;=BK$2, OR($G184="",$G184&gt;=BK$2)),
  $H184 * (1 + Assumptions!$C$7) ^ INT(((YEAR(BK$2)-YEAR($F184))*12 + MONTH(BK$2)-MONTH($F184)) / 12),
  0)</f>
        <v/>
      </c>
      <c r="BL184" s="299">
        <f>IF(AND($F184&lt;=BL$2, OR($G184="",$G184&gt;=BL$2)),
  $H184 * (1 + Assumptions!$C$7) ^ INT(((YEAR(BL$2)-YEAR($F184))*12 + MONTH(BL$2)-MONTH($F184)) / 12),
  0)</f>
        <v/>
      </c>
      <c r="BM184" s="299">
        <f>IF(AND($F184&lt;=BM$2, OR($G184="",$G184&gt;=BM$2)),
  $H184 * (1 + Assumptions!$C$7) ^ INT(((YEAR(BM$2)-YEAR($F184))*12 + MONTH(BM$2)-MONTH($F184)) / 12),
  0)</f>
        <v/>
      </c>
      <c r="BN184" s="299">
        <f>IF(AND($F184&lt;=BN$2, OR($G184="",$G184&gt;=BN$2)),
  $H184 * (1 + Assumptions!$C$7) ^ INT(((YEAR(BN$2)-YEAR($F184))*12 + MONTH(BN$2)-MONTH($F184)) / 12),
  0)</f>
        <v/>
      </c>
      <c r="BO184" s="299">
        <f>IF(AND($F184&lt;=BO$2, OR($G184="",$G184&gt;=BO$2)),
  $H184 * (1 + Assumptions!$C$7) ^ INT(((YEAR(BO$2)-YEAR($F184))*12 + MONTH(BO$2)-MONTH($F184)) / 12),
  0)</f>
        <v/>
      </c>
      <c r="BP184" s="299">
        <f>IF(AND($F184&lt;=BP$2, OR($G184="",$G184&gt;=BP$2)),
  $H184 * (1 + Assumptions!$C$7) ^ INT(((YEAR(BP$2)-YEAR($F184))*12 + MONTH(BP$2)-MONTH($F184)) / 12),
  0)</f>
        <v/>
      </c>
      <c r="BQ184" s="31" t="n"/>
      <c r="BR184" s="31" t="n"/>
      <c r="BS184" s="31" t="n"/>
      <c r="BT184" s="31" t="n"/>
    </row>
    <row r="185" ht="15.75" customHeight="1" s="349">
      <c r="A185" s="321" t="n">
        <v>180</v>
      </c>
      <c r="B185" s="285" t="inlineStr">
        <is>
          <t>New hire</t>
        </is>
      </c>
      <c r="C185" s="317" t="inlineStr">
        <is>
          <t>G&amp;A</t>
        </is>
      </c>
      <c r="D185" s="317" t="inlineStr">
        <is>
          <t>Quality &amp; Certification</t>
        </is>
      </c>
      <c r="E185" s="297" t="inlineStr">
        <is>
          <t>Planned</t>
        </is>
      </c>
      <c r="F185" s="318">
        <f>IF(Assumptions!$D$82=2,DATE(2029,1,1),DATE(2035,1,1))</f>
        <v/>
      </c>
      <c r="G185" s="318" t="n"/>
      <c r="H185" s="288" t="n">
        <v>7000</v>
      </c>
      <c r="I185" s="299">
        <f>IF(AND($F185&lt;=I$2, OR($G185="",$G185&gt;=I$2)),
  $H185 * (1 + Assumptions!$C$7) ^ INT(((YEAR(I$2)-YEAR($F185))*12 + MONTH(I$2)-MONTH($F185)) / 12),
  0)</f>
        <v/>
      </c>
      <c r="J185" s="299">
        <f>IF(AND($F185&lt;=J$2, OR($G185="",$G185&gt;=J$2)),
  $H185 * (1 + Assumptions!$C$7) ^ INT(((YEAR(J$2)-YEAR($F185))*12 + MONTH(J$2)-MONTH($F185)) / 12),
  0)</f>
        <v/>
      </c>
      <c r="K185" s="299">
        <f>IF(AND($F185&lt;=K$2, OR($G185="",$G185&gt;=K$2)),
  $H185 * (1 + Assumptions!$C$7) ^ INT(((YEAR(K$2)-YEAR($F185))*12 + MONTH(K$2)-MONTH($F185)) / 12),
  0)</f>
        <v/>
      </c>
      <c r="L185" s="299">
        <f>IF(AND($F185&lt;=L$2, OR($G185="",$G185&gt;=L$2)),
  $H185 * (1 + Assumptions!$C$7) ^ INT(((YEAR(L$2)-YEAR($F185))*12 + MONTH(L$2)-MONTH($F185)) / 12),
  0)</f>
        <v/>
      </c>
      <c r="M185" s="299">
        <f>IF(AND($F185&lt;=M$2, OR($G185="",$G185&gt;=M$2)),
  $H185 * (1 + Assumptions!$C$7) ^ INT(((YEAR(M$2)-YEAR($F185))*12 + MONTH(M$2)-MONTH($F185)) / 12),
  0)</f>
        <v/>
      </c>
      <c r="N185" s="299">
        <f>IF(AND($F185&lt;=N$2, OR($G185="",$G185&gt;=N$2)),
  $H185 * (1 + Assumptions!$C$7) ^ INT(((YEAR(N$2)-YEAR($F185))*12 + MONTH(N$2)-MONTH($F185)) / 12),
  0)</f>
        <v/>
      </c>
      <c r="O185" s="299">
        <f>IF(AND($F185&lt;=O$2, OR($G185="",$G185&gt;=O$2)),
  $H185 * (1 + Assumptions!$C$7) ^ INT(((YEAR(O$2)-YEAR($F185))*12 + MONTH(O$2)-MONTH($F185)) / 12),
  0)</f>
        <v/>
      </c>
      <c r="P185" s="299">
        <f>IF(AND($F185&lt;=P$2, OR($G185="",$G185&gt;=P$2)),
  $H185 * (1 + Assumptions!$C$7) ^ INT(((YEAR(P$2)-YEAR($F185))*12 + MONTH(P$2)-MONTH($F185)) / 12),
  0)</f>
        <v/>
      </c>
      <c r="Q185" s="299">
        <f>IF(AND($F185&lt;=Q$2, OR($G185="",$G185&gt;=Q$2)),
  $H185 * (1 + Assumptions!$C$7) ^ INT(((YEAR(Q$2)-YEAR($F185))*12 + MONTH(Q$2)-MONTH($F185)) / 12),
  0)</f>
        <v/>
      </c>
      <c r="R185" s="299">
        <f>IF(AND($F185&lt;=R$2, OR($G185="",$G185&gt;=R$2)),
  $H185 * (1 + Assumptions!$C$7) ^ INT(((YEAR(R$2)-YEAR($F185))*12 + MONTH(R$2)-MONTH($F185)) / 12),
  0)</f>
        <v/>
      </c>
      <c r="S185" s="299">
        <f>IF(AND($F185&lt;=S$2, OR($G185="",$G185&gt;=S$2)),
  $H185 * (1 + Assumptions!$C$7) ^ INT(((YEAR(S$2)-YEAR($F185))*12 + MONTH(S$2)-MONTH($F185)) / 12),
  0)</f>
        <v/>
      </c>
      <c r="T185" s="299">
        <f>IF(AND($F185&lt;=T$2, OR($G185="",$G185&gt;=T$2)),
  $H185 * (1 + Assumptions!$C$7) ^ INT(((YEAR(T$2)-YEAR($F185))*12 + MONTH(T$2)-MONTH($F185)) / 12),
  0)</f>
        <v/>
      </c>
      <c r="U185" s="299">
        <f>IF(AND($F185&lt;=U$2, OR($G185="",$G185&gt;=U$2)),
  $H185 * (1 + Assumptions!$C$7) ^ INT(((YEAR(U$2)-YEAR($F185))*12 + MONTH(U$2)-MONTH($F185)) / 12),
  0)</f>
        <v/>
      </c>
      <c r="V185" s="299">
        <f>IF(AND($F185&lt;=V$2, OR($G185="",$G185&gt;=V$2)),
  $H185 * (1 + Assumptions!$C$7) ^ INT(((YEAR(V$2)-YEAR($F185))*12 + MONTH(V$2)-MONTH($F185)) / 12),
  0)</f>
        <v/>
      </c>
      <c r="W185" s="299">
        <f>IF(AND($F185&lt;=W$2, OR($G185="",$G185&gt;=W$2)),
  $H185 * (1 + Assumptions!$C$7) ^ INT(((YEAR(W$2)-YEAR($F185))*12 + MONTH(W$2)-MONTH($F185)) / 12),
  0)</f>
        <v/>
      </c>
      <c r="X185" s="299">
        <f>IF(AND($F185&lt;=X$2, OR($G185="",$G185&gt;=X$2)),
  $H185 * (1 + Assumptions!$C$7) ^ INT(((YEAR(X$2)-YEAR($F185))*12 + MONTH(X$2)-MONTH($F185)) / 12),
  0)</f>
        <v/>
      </c>
      <c r="Y185" s="299">
        <f>IF(AND($F185&lt;=Y$2, OR($G185="",$G185&gt;=Y$2)),
  $H185 * (1 + Assumptions!$C$7) ^ INT(((YEAR(Y$2)-YEAR($F185))*12 + MONTH(Y$2)-MONTH($F185)) / 12),
  0)</f>
        <v/>
      </c>
      <c r="Z185" s="299">
        <f>IF(AND($F185&lt;=Z$2, OR($G185="",$G185&gt;=Z$2)),
  $H185 * (1 + Assumptions!$C$7) ^ INT(((YEAR(Z$2)-YEAR($F185))*12 + MONTH(Z$2)-MONTH($F185)) / 12),
  0)</f>
        <v/>
      </c>
      <c r="AA185" s="299">
        <f>IF(AND($F185&lt;=AA$2, OR($G185="",$G185&gt;=AA$2)),
  $H185 * (1 + Assumptions!$C$7) ^ INT(((YEAR(AA$2)-YEAR($F185))*12 + MONTH(AA$2)-MONTH($F185)) / 12),
  0)</f>
        <v/>
      </c>
      <c r="AB185" s="299">
        <f>IF(AND($F185&lt;=AB$2, OR($G185="",$G185&gt;=AB$2)),
  $H185 * (1 + Assumptions!$C$7) ^ INT(((YEAR(AB$2)-YEAR($F185))*12 + MONTH(AB$2)-MONTH($F185)) / 12),
  0)</f>
        <v/>
      </c>
      <c r="AC185" s="299">
        <f>IF(AND($F185&lt;=AC$2, OR($G185="",$G185&gt;=AC$2)),
  $H185 * (1 + Assumptions!$C$7) ^ INT(((YEAR(AC$2)-YEAR($F185))*12 + MONTH(AC$2)-MONTH($F185)) / 12),
  0)</f>
        <v/>
      </c>
      <c r="AD185" s="299">
        <f>IF(AND($F185&lt;=AD$2, OR($G185="",$G185&gt;=AD$2)),
  $H185 * (1 + Assumptions!$C$7) ^ INT(((YEAR(AD$2)-YEAR($F185))*12 + MONTH(AD$2)-MONTH($F185)) / 12),
  0)</f>
        <v/>
      </c>
      <c r="AE185" s="299">
        <f>IF(AND($F185&lt;=AE$2, OR($G185="",$G185&gt;=AE$2)),
  $H185 * (1 + Assumptions!$C$7) ^ INT(((YEAR(AE$2)-YEAR($F185))*12 + MONTH(AE$2)-MONTH($F185)) / 12),
  0)</f>
        <v/>
      </c>
      <c r="AF185" s="299">
        <f>IF(AND($F185&lt;=AF$2, OR($G185="",$G185&gt;=AF$2)),
  $H185 * (1 + Assumptions!$C$7) ^ INT(((YEAR(AF$2)-YEAR($F185))*12 + MONTH(AF$2)-MONTH($F185)) / 12),
  0)</f>
        <v/>
      </c>
      <c r="AG185" s="299">
        <f>IF(AND($F185&lt;=AG$2, OR($G185="",$G185&gt;=AG$2)),
  $H185 * (1 + Assumptions!$C$7) ^ INT(((YEAR(AG$2)-YEAR($F185))*12 + MONTH(AG$2)-MONTH($F185)) / 12),
  0)</f>
        <v/>
      </c>
      <c r="AH185" s="299">
        <f>IF(AND($F185&lt;=AH$2, OR($G185="",$G185&gt;=AH$2)),
  $H185 * (1 + Assumptions!$C$7) ^ INT(((YEAR(AH$2)-YEAR($F185))*12 + MONTH(AH$2)-MONTH($F185)) / 12),
  0)</f>
        <v/>
      </c>
      <c r="AI185" s="299">
        <f>IF(AND($F185&lt;=AI$2, OR($G185="",$G185&gt;=AI$2)),
  $H185 * (1 + Assumptions!$C$7) ^ INT(((YEAR(AI$2)-YEAR($F185))*12 + MONTH(AI$2)-MONTH($F185)) / 12),
  0)</f>
        <v/>
      </c>
      <c r="AJ185" s="299">
        <f>IF(AND($F185&lt;=AJ$2, OR($G185="",$G185&gt;=AJ$2)),
  $H185 * (1 + Assumptions!$C$7) ^ INT(((YEAR(AJ$2)-YEAR($F185))*12 + MONTH(AJ$2)-MONTH($F185)) / 12),
  0)</f>
        <v/>
      </c>
      <c r="AK185" s="299">
        <f>IF(AND($F185&lt;=AK$2, OR($G185="",$G185&gt;=AK$2)),
  $H185 * (1 + Assumptions!$C$7) ^ INT(((YEAR(AK$2)-YEAR($F185))*12 + MONTH(AK$2)-MONTH($F185)) / 12),
  0)</f>
        <v/>
      </c>
      <c r="AL185" s="299">
        <f>IF(AND($F185&lt;=AL$2, OR($G185="",$G185&gt;=AL$2)),
  $H185 * (1 + Assumptions!$C$7) ^ INT(((YEAR(AL$2)-YEAR($F185))*12 + MONTH(AL$2)-MONTH($F185)) / 12),
  0)</f>
        <v/>
      </c>
      <c r="AM185" s="299">
        <f>IF(AND($F185&lt;=AM$2, OR($G185="",$G185&gt;=AM$2)),
  $H185 * (1 + Assumptions!$C$7) ^ INT(((YEAR(AM$2)-YEAR($F185))*12 + MONTH(AM$2)-MONTH($F185)) / 12),
  0)</f>
        <v/>
      </c>
      <c r="AN185" s="299">
        <f>IF(AND($F185&lt;=AN$2, OR($G185="",$G185&gt;=AN$2)),
  $H185 * (1 + Assumptions!$C$7) ^ INT(((YEAR(AN$2)-YEAR($F185))*12 + MONTH(AN$2)-MONTH($F185)) / 12),
  0)</f>
        <v/>
      </c>
      <c r="AO185" s="299">
        <f>IF(AND($F185&lt;=AO$2, OR($G185="",$G185&gt;=AO$2)),
  $H185 * (1 + Assumptions!$C$7) ^ INT(((YEAR(AO$2)-YEAR($F185))*12 + MONTH(AO$2)-MONTH($F185)) / 12),
  0)</f>
        <v/>
      </c>
      <c r="AP185" s="299">
        <f>IF(AND($F185&lt;=AP$2, OR($G185="",$G185&gt;=AP$2)),
  $H185 * (1 + Assumptions!$C$7) ^ INT(((YEAR(AP$2)-YEAR($F185))*12 + MONTH(AP$2)-MONTH($F185)) / 12),
  0)</f>
        <v/>
      </c>
      <c r="AQ185" s="299">
        <f>IF(AND($F185&lt;=AQ$2, OR($G185="",$G185&gt;=AQ$2)),
  $H185 * (1 + Assumptions!$C$7) ^ INT(((YEAR(AQ$2)-YEAR($F185))*12 + MONTH(AQ$2)-MONTH($F185)) / 12),
  0)</f>
        <v/>
      </c>
      <c r="AR185" s="299">
        <f>IF(AND($F185&lt;=AR$2, OR($G185="",$G185&gt;=AR$2)),
  $H185 * (1 + Assumptions!$C$7) ^ INT(((YEAR(AR$2)-YEAR($F185))*12 + MONTH(AR$2)-MONTH($F185)) / 12),
  0)</f>
        <v/>
      </c>
      <c r="AS185" s="299">
        <f>IF(AND($F185&lt;=AS$2, OR($G185="",$G185&gt;=AS$2)),
  $H185 * (1 + Assumptions!$C$7) ^ INT(((YEAR(AS$2)-YEAR($F185))*12 + MONTH(AS$2)-MONTH($F185)) / 12),
  0)</f>
        <v/>
      </c>
      <c r="AT185" s="299">
        <f>IF(AND($F185&lt;=AT$2, OR($G185="",$G185&gt;=AT$2)),
  $H185 * (1 + Assumptions!$C$7) ^ INT(((YEAR(AT$2)-YEAR($F185))*12 + MONTH(AT$2)-MONTH($F185)) / 12),
  0)</f>
        <v/>
      </c>
      <c r="AU185" s="299">
        <f>IF(AND($F185&lt;=AU$2, OR($G185="",$G185&gt;=AU$2)),
  $H185 * (1 + Assumptions!$C$7) ^ INT(((YEAR(AU$2)-YEAR($F185))*12 + MONTH(AU$2)-MONTH($F185)) / 12),
  0)</f>
        <v/>
      </c>
      <c r="AV185" s="299">
        <f>IF(AND($F185&lt;=AV$2, OR($G185="",$G185&gt;=AV$2)),
  $H185 * (1 + Assumptions!$C$7) ^ INT(((YEAR(AV$2)-YEAR($F185))*12 + MONTH(AV$2)-MONTH($F185)) / 12),
  0)</f>
        <v/>
      </c>
      <c r="AW185" s="299">
        <f>IF(AND($F185&lt;=AW$2, OR($G185="",$G185&gt;=AW$2)),
  $H185 * (1 + Assumptions!$C$7) ^ INT(((YEAR(AW$2)-YEAR($F185))*12 + MONTH(AW$2)-MONTH($F185)) / 12),
  0)</f>
        <v/>
      </c>
      <c r="AX185" s="299">
        <f>IF(AND($F185&lt;=AX$2, OR($G185="",$G185&gt;=AX$2)),
  $H185 * (1 + Assumptions!$C$7) ^ INT(((YEAR(AX$2)-YEAR($F185))*12 + MONTH(AX$2)-MONTH($F185)) / 12),
  0)</f>
        <v/>
      </c>
      <c r="AY185" s="299">
        <f>IF(AND($F185&lt;=AY$2, OR($G185="",$G185&gt;=AY$2)),
  $H185 * (1 + Assumptions!$C$7) ^ INT(((YEAR(AY$2)-YEAR($F185))*12 + MONTH(AY$2)-MONTH($F185)) / 12),
  0)</f>
        <v/>
      </c>
      <c r="AZ185" s="299">
        <f>IF(AND($F185&lt;=AZ$2, OR($G185="",$G185&gt;=AZ$2)),
  $H185 * (1 + Assumptions!$C$7) ^ INT(((YEAR(AZ$2)-YEAR($F185))*12 + MONTH(AZ$2)-MONTH($F185)) / 12),
  0)</f>
        <v/>
      </c>
      <c r="BA185" s="299">
        <f>IF(AND($F185&lt;=BA$2, OR($G185="",$G185&gt;=BA$2)),
  $H185 * (1 + Assumptions!$C$7) ^ INT(((YEAR(BA$2)-YEAR($F185))*12 + MONTH(BA$2)-MONTH($F185)) / 12),
  0)</f>
        <v/>
      </c>
      <c r="BB185" s="299">
        <f>IF(AND($F185&lt;=BB$2, OR($G185="",$G185&gt;=BB$2)),
  $H185 * (1 + Assumptions!$C$7) ^ INT(((YEAR(BB$2)-YEAR($F185))*12 + MONTH(BB$2)-MONTH($F185)) / 12),
  0)</f>
        <v/>
      </c>
      <c r="BC185" s="299">
        <f>IF(AND($F185&lt;=BC$2, OR($G185="",$G185&gt;=BC$2)),
  $H185 * (1 + Assumptions!$C$7) ^ INT(((YEAR(BC$2)-YEAR($F185))*12 + MONTH(BC$2)-MONTH($F185)) / 12),
  0)</f>
        <v/>
      </c>
      <c r="BD185" s="299">
        <f>IF(AND($F185&lt;=BD$2, OR($G185="",$G185&gt;=BD$2)),
  $H185 * (1 + Assumptions!$C$7) ^ INT(((YEAR(BD$2)-YEAR($F185))*12 + MONTH(BD$2)-MONTH($F185)) / 12),
  0)</f>
        <v/>
      </c>
      <c r="BE185" s="299">
        <f>IF(AND($F185&lt;=BE$2, OR($G185="",$G185&gt;=BE$2)),
  $H185 * (1 + Assumptions!$C$7) ^ INT(((YEAR(BE$2)-YEAR($F185))*12 + MONTH(BE$2)-MONTH($F185)) / 12),
  0)</f>
        <v/>
      </c>
      <c r="BF185" s="299">
        <f>IF(AND($F185&lt;=BF$2, OR($G185="",$G185&gt;=BF$2)),
  $H185 * (1 + Assumptions!$C$7) ^ INT(((YEAR(BF$2)-YEAR($F185))*12 + MONTH(BF$2)-MONTH($F185)) / 12),
  0)</f>
        <v/>
      </c>
      <c r="BG185" s="299">
        <f>IF(AND($F185&lt;=BG$2, OR($G185="",$G185&gt;=BG$2)),
  $H185 * (1 + Assumptions!$C$7) ^ INT(((YEAR(BG$2)-YEAR($F185))*12 + MONTH(BG$2)-MONTH($F185)) / 12),
  0)</f>
        <v/>
      </c>
      <c r="BH185" s="299">
        <f>IF(AND($F185&lt;=BH$2, OR($G185="",$G185&gt;=BH$2)),
  $H185 * (1 + Assumptions!$C$7) ^ INT(((YEAR(BH$2)-YEAR($F185))*12 + MONTH(BH$2)-MONTH($F185)) / 12),
  0)</f>
        <v/>
      </c>
      <c r="BI185" s="299">
        <f>IF(AND($F185&lt;=BI$2, OR($G185="",$G185&gt;=BI$2)),
  $H185 * (1 + Assumptions!$C$7) ^ INT(((YEAR(BI$2)-YEAR($F185))*12 + MONTH(BI$2)-MONTH($F185)) / 12),
  0)</f>
        <v/>
      </c>
      <c r="BJ185" s="299">
        <f>IF(AND($F185&lt;=BJ$2, OR($G185="",$G185&gt;=BJ$2)),
  $H185 * (1 + Assumptions!$C$7) ^ INT(((YEAR(BJ$2)-YEAR($F185))*12 + MONTH(BJ$2)-MONTH($F185)) / 12),
  0)</f>
        <v/>
      </c>
      <c r="BK185" s="299">
        <f>IF(AND($F185&lt;=BK$2, OR($G185="",$G185&gt;=BK$2)),
  $H185 * (1 + Assumptions!$C$7) ^ INT(((YEAR(BK$2)-YEAR($F185))*12 + MONTH(BK$2)-MONTH($F185)) / 12),
  0)</f>
        <v/>
      </c>
      <c r="BL185" s="299">
        <f>IF(AND($F185&lt;=BL$2, OR($G185="",$G185&gt;=BL$2)),
  $H185 * (1 + Assumptions!$C$7) ^ INT(((YEAR(BL$2)-YEAR($F185))*12 + MONTH(BL$2)-MONTH($F185)) / 12),
  0)</f>
        <v/>
      </c>
      <c r="BM185" s="299">
        <f>IF(AND($F185&lt;=BM$2, OR($G185="",$G185&gt;=BM$2)),
  $H185 * (1 + Assumptions!$C$7) ^ INT(((YEAR(BM$2)-YEAR($F185))*12 + MONTH(BM$2)-MONTH($F185)) / 12),
  0)</f>
        <v/>
      </c>
      <c r="BN185" s="299">
        <f>IF(AND($F185&lt;=BN$2, OR($G185="",$G185&gt;=BN$2)),
  $H185 * (1 + Assumptions!$C$7) ^ INT(((YEAR(BN$2)-YEAR($F185))*12 + MONTH(BN$2)-MONTH($F185)) / 12),
  0)</f>
        <v/>
      </c>
      <c r="BO185" s="299">
        <f>IF(AND($F185&lt;=BO$2, OR($G185="",$G185&gt;=BO$2)),
  $H185 * (1 + Assumptions!$C$7) ^ INT(((YEAR(BO$2)-YEAR($F185))*12 + MONTH(BO$2)-MONTH($F185)) / 12),
  0)</f>
        <v/>
      </c>
      <c r="BP185" s="299">
        <f>IF(AND($F185&lt;=BP$2, OR($G185="",$G185&gt;=BP$2)),
  $H185 * (1 + Assumptions!$C$7) ^ INT(((YEAR(BP$2)-YEAR($F185))*12 + MONTH(BP$2)-MONTH($F185)) / 12),
  0)</f>
        <v/>
      </c>
      <c r="BQ185" s="31" t="n"/>
      <c r="BR185" s="31" t="n"/>
      <c r="BS185" s="31" t="n"/>
      <c r="BT185" s="31" t="n"/>
    </row>
    <row r="186" ht="15.75" customHeight="1" s="349">
      <c r="A186" s="321" t="n">
        <v>181</v>
      </c>
      <c r="B186" s="285" t="inlineStr">
        <is>
          <t>New hire</t>
        </is>
      </c>
      <c r="C186" s="317" t="inlineStr">
        <is>
          <t>G&amp;A</t>
        </is>
      </c>
      <c r="D186" s="317" t="inlineStr">
        <is>
          <t>Quality &amp; Certification</t>
        </is>
      </c>
      <c r="E186" s="297" t="inlineStr">
        <is>
          <t>Planned</t>
        </is>
      </c>
      <c r="F186" s="318">
        <f>IF(Assumptions!$D$82=2,DATE(2029,1,1),DATE(2035,1,1))</f>
        <v/>
      </c>
      <c r="G186" s="318" t="n"/>
      <c r="H186" s="288" t="n">
        <v>7000</v>
      </c>
      <c r="I186" s="299">
        <f>IF(AND($F186&lt;=I$2, OR($G186="",$G186&gt;=I$2)),
  $H186 * (1 + Assumptions!$C$7) ^ INT(((YEAR(I$2)-YEAR($F186))*12 + MONTH(I$2)-MONTH($F186)) / 12),
  0)</f>
        <v/>
      </c>
      <c r="J186" s="299">
        <f>IF(AND($F186&lt;=J$2, OR($G186="",$G186&gt;=J$2)),
  $H186 * (1 + Assumptions!$C$7) ^ INT(((YEAR(J$2)-YEAR($F186))*12 + MONTH(J$2)-MONTH($F186)) / 12),
  0)</f>
        <v/>
      </c>
      <c r="K186" s="299">
        <f>IF(AND($F186&lt;=K$2, OR($G186="",$G186&gt;=K$2)),
  $H186 * (1 + Assumptions!$C$7) ^ INT(((YEAR(K$2)-YEAR($F186))*12 + MONTH(K$2)-MONTH($F186)) / 12),
  0)</f>
        <v/>
      </c>
      <c r="L186" s="299">
        <f>IF(AND($F186&lt;=L$2, OR($G186="",$G186&gt;=L$2)),
  $H186 * (1 + Assumptions!$C$7) ^ INT(((YEAR(L$2)-YEAR($F186))*12 + MONTH(L$2)-MONTH($F186)) / 12),
  0)</f>
        <v/>
      </c>
      <c r="M186" s="299">
        <f>IF(AND($F186&lt;=M$2, OR($G186="",$G186&gt;=M$2)),
  $H186 * (1 + Assumptions!$C$7) ^ INT(((YEAR(M$2)-YEAR($F186))*12 + MONTH(M$2)-MONTH($F186)) / 12),
  0)</f>
        <v/>
      </c>
      <c r="N186" s="299">
        <f>IF(AND($F186&lt;=N$2, OR($G186="",$G186&gt;=N$2)),
  $H186 * (1 + Assumptions!$C$7) ^ INT(((YEAR(N$2)-YEAR($F186))*12 + MONTH(N$2)-MONTH($F186)) / 12),
  0)</f>
        <v/>
      </c>
      <c r="O186" s="299">
        <f>IF(AND($F186&lt;=O$2, OR($G186="",$G186&gt;=O$2)),
  $H186 * (1 + Assumptions!$C$7) ^ INT(((YEAR(O$2)-YEAR($F186))*12 + MONTH(O$2)-MONTH($F186)) / 12),
  0)</f>
        <v/>
      </c>
      <c r="P186" s="299">
        <f>IF(AND($F186&lt;=P$2, OR($G186="",$G186&gt;=P$2)),
  $H186 * (1 + Assumptions!$C$7) ^ INT(((YEAR(P$2)-YEAR($F186))*12 + MONTH(P$2)-MONTH($F186)) / 12),
  0)</f>
        <v/>
      </c>
      <c r="Q186" s="299">
        <f>IF(AND($F186&lt;=Q$2, OR($G186="",$G186&gt;=Q$2)),
  $H186 * (1 + Assumptions!$C$7) ^ INT(((YEAR(Q$2)-YEAR($F186))*12 + MONTH(Q$2)-MONTH($F186)) / 12),
  0)</f>
        <v/>
      </c>
      <c r="R186" s="299">
        <f>IF(AND($F186&lt;=R$2, OR($G186="",$G186&gt;=R$2)),
  $H186 * (1 + Assumptions!$C$7) ^ INT(((YEAR(R$2)-YEAR($F186))*12 + MONTH(R$2)-MONTH($F186)) / 12),
  0)</f>
        <v/>
      </c>
      <c r="S186" s="299">
        <f>IF(AND($F186&lt;=S$2, OR($G186="",$G186&gt;=S$2)),
  $H186 * (1 + Assumptions!$C$7) ^ INT(((YEAR(S$2)-YEAR($F186))*12 + MONTH(S$2)-MONTH($F186)) / 12),
  0)</f>
        <v/>
      </c>
      <c r="T186" s="299">
        <f>IF(AND($F186&lt;=T$2, OR($G186="",$G186&gt;=T$2)),
  $H186 * (1 + Assumptions!$C$7) ^ INT(((YEAR(T$2)-YEAR($F186))*12 + MONTH(T$2)-MONTH($F186)) / 12),
  0)</f>
        <v/>
      </c>
      <c r="U186" s="299">
        <f>IF(AND($F186&lt;=U$2, OR($G186="",$G186&gt;=U$2)),
  $H186 * (1 + Assumptions!$C$7) ^ INT(((YEAR(U$2)-YEAR($F186))*12 + MONTH(U$2)-MONTH($F186)) / 12),
  0)</f>
        <v/>
      </c>
      <c r="V186" s="299">
        <f>IF(AND($F186&lt;=V$2, OR($G186="",$G186&gt;=V$2)),
  $H186 * (1 + Assumptions!$C$7) ^ INT(((YEAR(V$2)-YEAR($F186))*12 + MONTH(V$2)-MONTH($F186)) / 12),
  0)</f>
        <v/>
      </c>
      <c r="W186" s="299">
        <f>IF(AND($F186&lt;=W$2, OR($G186="",$G186&gt;=W$2)),
  $H186 * (1 + Assumptions!$C$7) ^ INT(((YEAR(W$2)-YEAR($F186))*12 + MONTH(W$2)-MONTH($F186)) / 12),
  0)</f>
        <v/>
      </c>
      <c r="X186" s="299">
        <f>IF(AND($F186&lt;=X$2, OR($G186="",$G186&gt;=X$2)),
  $H186 * (1 + Assumptions!$C$7) ^ INT(((YEAR(X$2)-YEAR($F186))*12 + MONTH(X$2)-MONTH($F186)) / 12),
  0)</f>
        <v/>
      </c>
      <c r="Y186" s="299">
        <f>IF(AND($F186&lt;=Y$2, OR($G186="",$G186&gt;=Y$2)),
  $H186 * (1 + Assumptions!$C$7) ^ INT(((YEAR(Y$2)-YEAR($F186))*12 + MONTH(Y$2)-MONTH($F186)) / 12),
  0)</f>
        <v/>
      </c>
      <c r="Z186" s="299">
        <f>IF(AND($F186&lt;=Z$2, OR($G186="",$G186&gt;=Z$2)),
  $H186 * (1 + Assumptions!$C$7) ^ INT(((YEAR(Z$2)-YEAR($F186))*12 + MONTH(Z$2)-MONTH($F186)) / 12),
  0)</f>
        <v/>
      </c>
      <c r="AA186" s="299">
        <f>IF(AND($F186&lt;=AA$2, OR($G186="",$G186&gt;=AA$2)),
  $H186 * (1 + Assumptions!$C$7) ^ INT(((YEAR(AA$2)-YEAR($F186))*12 + MONTH(AA$2)-MONTH($F186)) / 12),
  0)</f>
        <v/>
      </c>
      <c r="AB186" s="299">
        <f>IF(AND($F186&lt;=AB$2, OR($G186="",$G186&gt;=AB$2)),
  $H186 * (1 + Assumptions!$C$7) ^ INT(((YEAR(AB$2)-YEAR($F186))*12 + MONTH(AB$2)-MONTH($F186)) / 12),
  0)</f>
        <v/>
      </c>
      <c r="AC186" s="299">
        <f>IF(AND($F186&lt;=AC$2, OR($G186="",$G186&gt;=AC$2)),
  $H186 * (1 + Assumptions!$C$7) ^ INT(((YEAR(AC$2)-YEAR($F186))*12 + MONTH(AC$2)-MONTH($F186)) / 12),
  0)</f>
        <v/>
      </c>
      <c r="AD186" s="299">
        <f>IF(AND($F186&lt;=AD$2, OR($G186="",$G186&gt;=AD$2)),
  $H186 * (1 + Assumptions!$C$7) ^ INT(((YEAR(AD$2)-YEAR($F186))*12 + MONTH(AD$2)-MONTH($F186)) / 12),
  0)</f>
        <v/>
      </c>
      <c r="AE186" s="299">
        <f>IF(AND($F186&lt;=AE$2, OR($G186="",$G186&gt;=AE$2)),
  $H186 * (1 + Assumptions!$C$7) ^ INT(((YEAR(AE$2)-YEAR($F186))*12 + MONTH(AE$2)-MONTH($F186)) / 12),
  0)</f>
        <v/>
      </c>
      <c r="AF186" s="299">
        <f>IF(AND($F186&lt;=AF$2, OR($G186="",$G186&gt;=AF$2)),
  $H186 * (1 + Assumptions!$C$7) ^ INT(((YEAR(AF$2)-YEAR($F186))*12 + MONTH(AF$2)-MONTH($F186)) / 12),
  0)</f>
        <v/>
      </c>
      <c r="AG186" s="299">
        <f>IF(AND($F186&lt;=AG$2, OR($G186="",$G186&gt;=AG$2)),
  $H186 * (1 + Assumptions!$C$7) ^ INT(((YEAR(AG$2)-YEAR($F186))*12 + MONTH(AG$2)-MONTH($F186)) / 12),
  0)</f>
        <v/>
      </c>
      <c r="AH186" s="299">
        <f>IF(AND($F186&lt;=AH$2, OR($G186="",$G186&gt;=AH$2)),
  $H186 * (1 + Assumptions!$C$7) ^ INT(((YEAR(AH$2)-YEAR($F186))*12 + MONTH(AH$2)-MONTH($F186)) / 12),
  0)</f>
        <v/>
      </c>
      <c r="AI186" s="299">
        <f>IF(AND($F186&lt;=AI$2, OR($G186="",$G186&gt;=AI$2)),
  $H186 * (1 + Assumptions!$C$7) ^ INT(((YEAR(AI$2)-YEAR($F186))*12 + MONTH(AI$2)-MONTH($F186)) / 12),
  0)</f>
        <v/>
      </c>
      <c r="AJ186" s="299">
        <f>IF(AND($F186&lt;=AJ$2, OR($G186="",$G186&gt;=AJ$2)),
  $H186 * (1 + Assumptions!$C$7) ^ INT(((YEAR(AJ$2)-YEAR($F186))*12 + MONTH(AJ$2)-MONTH($F186)) / 12),
  0)</f>
        <v/>
      </c>
      <c r="AK186" s="299">
        <f>IF(AND($F186&lt;=AK$2, OR($G186="",$G186&gt;=AK$2)),
  $H186 * (1 + Assumptions!$C$7) ^ INT(((YEAR(AK$2)-YEAR($F186))*12 + MONTH(AK$2)-MONTH($F186)) / 12),
  0)</f>
        <v/>
      </c>
      <c r="AL186" s="299">
        <f>IF(AND($F186&lt;=AL$2, OR($G186="",$G186&gt;=AL$2)),
  $H186 * (1 + Assumptions!$C$7) ^ INT(((YEAR(AL$2)-YEAR($F186))*12 + MONTH(AL$2)-MONTH($F186)) / 12),
  0)</f>
        <v/>
      </c>
      <c r="AM186" s="299">
        <f>IF(AND($F186&lt;=AM$2, OR($G186="",$G186&gt;=AM$2)),
  $H186 * (1 + Assumptions!$C$7) ^ INT(((YEAR(AM$2)-YEAR($F186))*12 + MONTH(AM$2)-MONTH($F186)) / 12),
  0)</f>
        <v/>
      </c>
      <c r="AN186" s="299">
        <f>IF(AND($F186&lt;=AN$2, OR($G186="",$G186&gt;=AN$2)),
  $H186 * (1 + Assumptions!$C$7) ^ INT(((YEAR(AN$2)-YEAR($F186))*12 + MONTH(AN$2)-MONTH($F186)) / 12),
  0)</f>
        <v/>
      </c>
      <c r="AO186" s="299">
        <f>IF(AND($F186&lt;=AO$2, OR($G186="",$G186&gt;=AO$2)),
  $H186 * (1 + Assumptions!$C$7) ^ INT(((YEAR(AO$2)-YEAR($F186))*12 + MONTH(AO$2)-MONTH($F186)) / 12),
  0)</f>
        <v/>
      </c>
      <c r="AP186" s="299">
        <f>IF(AND($F186&lt;=AP$2, OR($G186="",$G186&gt;=AP$2)),
  $H186 * (1 + Assumptions!$C$7) ^ INT(((YEAR(AP$2)-YEAR($F186))*12 + MONTH(AP$2)-MONTH($F186)) / 12),
  0)</f>
        <v/>
      </c>
      <c r="AQ186" s="299">
        <f>IF(AND($F186&lt;=AQ$2, OR($G186="",$G186&gt;=AQ$2)),
  $H186 * (1 + Assumptions!$C$7) ^ INT(((YEAR(AQ$2)-YEAR($F186))*12 + MONTH(AQ$2)-MONTH($F186)) / 12),
  0)</f>
        <v/>
      </c>
      <c r="AR186" s="299">
        <f>IF(AND($F186&lt;=AR$2, OR($G186="",$G186&gt;=AR$2)),
  $H186 * (1 + Assumptions!$C$7) ^ INT(((YEAR(AR$2)-YEAR($F186))*12 + MONTH(AR$2)-MONTH($F186)) / 12),
  0)</f>
        <v/>
      </c>
      <c r="AS186" s="299">
        <f>IF(AND($F186&lt;=AS$2, OR($G186="",$G186&gt;=AS$2)),
  $H186 * (1 + Assumptions!$C$7) ^ INT(((YEAR(AS$2)-YEAR($F186))*12 + MONTH(AS$2)-MONTH($F186)) / 12),
  0)</f>
        <v/>
      </c>
      <c r="AT186" s="299">
        <f>IF(AND($F186&lt;=AT$2, OR($G186="",$G186&gt;=AT$2)),
  $H186 * (1 + Assumptions!$C$7) ^ INT(((YEAR(AT$2)-YEAR($F186))*12 + MONTH(AT$2)-MONTH($F186)) / 12),
  0)</f>
        <v/>
      </c>
      <c r="AU186" s="299">
        <f>IF(AND($F186&lt;=AU$2, OR($G186="",$G186&gt;=AU$2)),
  $H186 * (1 + Assumptions!$C$7) ^ INT(((YEAR(AU$2)-YEAR($F186))*12 + MONTH(AU$2)-MONTH($F186)) / 12),
  0)</f>
        <v/>
      </c>
      <c r="AV186" s="299">
        <f>IF(AND($F186&lt;=AV$2, OR($G186="",$G186&gt;=AV$2)),
  $H186 * (1 + Assumptions!$C$7) ^ INT(((YEAR(AV$2)-YEAR($F186))*12 + MONTH(AV$2)-MONTH($F186)) / 12),
  0)</f>
        <v/>
      </c>
      <c r="AW186" s="299">
        <f>IF(AND($F186&lt;=AW$2, OR($G186="",$G186&gt;=AW$2)),
  $H186 * (1 + Assumptions!$C$7) ^ INT(((YEAR(AW$2)-YEAR($F186))*12 + MONTH(AW$2)-MONTH($F186)) / 12),
  0)</f>
        <v/>
      </c>
      <c r="AX186" s="299">
        <f>IF(AND($F186&lt;=AX$2, OR($G186="",$G186&gt;=AX$2)),
  $H186 * (1 + Assumptions!$C$7) ^ INT(((YEAR(AX$2)-YEAR($F186))*12 + MONTH(AX$2)-MONTH($F186)) / 12),
  0)</f>
        <v/>
      </c>
      <c r="AY186" s="299">
        <f>IF(AND($F186&lt;=AY$2, OR($G186="",$G186&gt;=AY$2)),
  $H186 * (1 + Assumptions!$C$7) ^ INT(((YEAR(AY$2)-YEAR($F186))*12 + MONTH(AY$2)-MONTH($F186)) / 12),
  0)</f>
        <v/>
      </c>
      <c r="AZ186" s="299">
        <f>IF(AND($F186&lt;=AZ$2, OR($G186="",$G186&gt;=AZ$2)),
  $H186 * (1 + Assumptions!$C$7) ^ INT(((YEAR(AZ$2)-YEAR($F186))*12 + MONTH(AZ$2)-MONTH($F186)) / 12),
  0)</f>
        <v/>
      </c>
      <c r="BA186" s="299">
        <f>IF(AND($F186&lt;=BA$2, OR($G186="",$G186&gt;=BA$2)),
  $H186 * (1 + Assumptions!$C$7) ^ INT(((YEAR(BA$2)-YEAR($F186))*12 + MONTH(BA$2)-MONTH($F186)) / 12),
  0)</f>
        <v/>
      </c>
      <c r="BB186" s="299">
        <f>IF(AND($F186&lt;=BB$2, OR($G186="",$G186&gt;=BB$2)),
  $H186 * (1 + Assumptions!$C$7) ^ INT(((YEAR(BB$2)-YEAR($F186))*12 + MONTH(BB$2)-MONTH($F186)) / 12),
  0)</f>
        <v/>
      </c>
      <c r="BC186" s="299">
        <f>IF(AND($F186&lt;=BC$2, OR($G186="",$G186&gt;=BC$2)),
  $H186 * (1 + Assumptions!$C$7) ^ INT(((YEAR(BC$2)-YEAR($F186))*12 + MONTH(BC$2)-MONTH($F186)) / 12),
  0)</f>
        <v/>
      </c>
      <c r="BD186" s="299">
        <f>IF(AND($F186&lt;=BD$2, OR($G186="",$G186&gt;=BD$2)),
  $H186 * (1 + Assumptions!$C$7) ^ INT(((YEAR(BD$2)-YEAR($F186))*12 + MONTH(BD$2)-MONTH($F186)) / 12),
  0)</f>
        <v/>
      </c>
      <c r="BE186" s="299">
        <f>IF(AND($F186&lt;=BE$2, OR($G186="",$G186&gt;=BE$2)),
  $H186 * (1 + Assumptions!$C$7) ^ INT(((YEAR(BE$2)-YEAR($F186))*12 + MONTH(BE$2)-MONTH($F186)) / 12),
  0)</f>
        <v/>
      </c>
      <c r="BF186" s="299">
        <f>IF(AND($F186&lt;=BF$2, OR($G186="",$G186&gt;=BF$2)),
  $H186 * (1 + Assumptions!$C$7) ^ INT(((YEAR(BF$2)-YEAR($F186))*12 + MONTH(BF$2)-MONTH($F186)) / 12),
  0)</f>
        <v/>
      </c>
      <c r="BG186" s="299">
        <f>IF(AND($F186&lt;=BG$2, OR($G186="",$G186&gt;=BG$2)),
  $H186 * (1 + Assumptions!$C$7) ^ INT(((YEAR(BG$2)-YEAR($F186))*12 + MONTH(BG$2)-MONTH($F186)) / 12),
  0)</f>
        <v/>
      </c>
      <c r="BH186" s="299">
        <f>IF(AND($F186&lt;=BH$2, OR($G186="",$G186&gt;=BH$2)),
  $H186 * (1 + Assumptions!$C$7) ^ INT(((YEAR(BH$2)-YEAR($F186))*12 + MONTH(BH$2)-MONTH($F186)) / 12),
  0)</f>
        <v/>
      </c>
      <c r="BI186" s="299">
        <f>IF(AND($F186&lt;=BI$2, OR($G186="",$G186&gt;=BI$2)),
  $H186 * (1 + Assumptions!$C$7) ^ INT(((YEAR(BI$2)-YEAR($F186))*12 + MONTH(BI$2)-MONTH($F186)) / 12),
  0)</f>
        <v/>
      </c>
      <c r="BJ186" s="299">
        <f>IF(AND($F186&lt;=BJ$2, OR($G186="",$G186&gt;=BJ$2)),
  $H186 * (1 + Assumptions!$C$7) ^ INT(((YEAR(BJ$2)-YEAR($F186))*12 + MONTH(BJ$2)-MONTH($F186)) / 12),
  0)</f>
        <v/>
      </c>
      <c r="BK186" s="299">
        <f>IF(AND($F186&lt;=BK$2, OR($G186="",$G186&gt;=BK$2)),
  $H186 * (1 + Assumptions!$C$7) ^ INT(((YEAR(BK$2)-YEAR($F186))*12 + MONTH(BK$2)-MONTH($F186)) / 12),
  0)</f>
        <v/>
      </c>
      <c r="BL186" s="299">
        <f>IF(AND($F186&lt;=BL$2, OR($G186="",$G186&gt;=BL$2)),
  $H186 * (1 + Assumptions!$C$7) ^ INT(((YEAR(BL$2)-YEAR($F186))*12 + MONTH(BL$2)-MONTH($F186)) / 12),
  0)</f>
        <v/>
      </c>
      <c r="BM186" s="299">
        <f>IF(AND($F186&lt;=BM$2, OR($G186="",$G186&gt;=BM$2)),
  $H186 * (1 + Assumptions!$C$7) ^ INT(((YEAR(BM$2)-YEAR($F186))*12 + MONTH(BM$2)-MONTH($F186)) / 12),
  0)</f>
        <v/>
      </c>
      <c r="BN186" s="299">
        <f>IF(AND($F186&lt;=BN$2, OR($G186="",$G186&gt;=BN$2)),
  $H186 * (1 + Assumptions!$C$7) ^ INT(((YEAR(BN$2)-YEAR($F186))*12 + MONTH(BN$2)-MONTH($F186)) / 12),
  0)</f>
        <v/>
      </c>
      <c r="BO186" s="299">
        <f>IF(AND($F186&lt;=BO$2, OR($G186="",$G186&gt;=BO$2)),
  $H186 * (1 + Assumptions!$C$7) ^ INT(((YEAR(BO$2)-YEAR($F186))*12 + MONTH(BO$2)-MONTH($F186)) / 12),
  0)</f>
        <v/>
      </c>
      <c r="BP186" s="299">
        <f>IF(AND($F186&lt;=BP$2, OR($G186="",$G186&gt;=BP$2)),
  $H186 * (1 + Assumptions!$C$7) ^ INT(((YEAR(BP$2)-YEAR($F186))*12 + MONTH(BP$2)-MONTH($F186)) / 12),
  0)</f>
        <v/>
      </c>
      <c r="BQ186" s="31" t="n"/>
      <c r="BR186" s="31" t="n"/>
      <c r="BS186" s="31" t="n"/>
      <c r="BT186" s="31" t="n"/>
    </row>
    <row r="187" ht="15.75" customHeight="1" s="349">
      <c r="A187" s="321" t="n">
        <v>182</v>
      </c>
      <c r="B187" s="285" t="inlineStr">
        <is>
          <t>New hire</t>
        </is>
      </c>
      <c r="C187" s="317" t="inlineStr">
        <is>
          <t>G&amp;A</t>
        </is>
      </c>
      <c r="D187" s="317" t="inlineStr">
        <is>
          <t>Quality &amp; Certification</t>
        </is>
      </c>
      <c r="E187" s="297" t="inlineStr">
        <is>
          <t>Planned</t>
        </is>
      </c>
      <c r="F187" s="318">
        <f>IF(Assumptions!$D$82=2,DATE(2029,1,1),DATE(2035,1,1))</f>
        <v/>
      </c>
      <c r="G187" s="318" t="n"/>
      <c r="H187" s="288" t="n">
        <v>7000</v>
      </c>
      <c r="I187" s="299">
        <f>IF(AND($F187&lt;=I$2, OR($G187="",$G187&gt;=I$2)),
  $H187 * (1 + Assumptions!$C$7) ^ INT(((YEAR(I$2)-YEAR($F187))*12 + MONTH(I$2)-MONTH($F187)) / 12),
  0)</f>
        <v/>
      </c>
      <c r="J187" s="299">
        <f>IF(AND($F187&lt;=J$2, OR($G187="",$G187&gt;=J$2)),
  $H187 * (1 + Assumptions!$C$7) ^ INT(((YEAR(J$2)-YEAR($F187))*12 + MONTH(J$2)-MONTH($F187)) / 12),
  0)</f>
        <v/>
      </c>
      <c r="K187" s="299">
        <f>IF(AND($F187&lt;=K$2, OR($G187="",$G187&gt;=K$2)),
  $H187 * (1 + Assumptions!$C$7) ^ INT(((YEAR(K$2)-YEAR($F187))*12 + MONTH(K$2)-MONTH($F187)) / 12),
  0)</f>
        <v/>
      </c>
      <c r="L187" s="299">
        <f>IF(AND($F187&lt;=L$2, OR($G187="",$G187&gt;=L$2)),
  $H187 * (1 + Assumptions!$C$7) ^ INT(((YEAR(L$2)-YEAR($F187))*12 + MONTH(L$2)-MONTH($F187)) / 12),
  0)</f>
        <v/>
      </c>
      <c r="M187" s="299">
        <f>IF(AND($F187&lt;=M$2, OR($G187="",$G187&gt;=M$2)),
  $H187 * (1 + Assumptions!$C$7) ^ INT(((YEAR(M$2)-YEAR($F187))*12 + MONTH(M$2)-MONTH($F187)) / 12),
  0)</f>
        <v/>
      </c>
      <c r="N187" s="299">
        <f>IF(AND($F187&lt;=N$2, OR($G187="",$G187&gt;=N$2)),
  $H187 * (1 + Assumptions!$C$7) ^ INT(((YEAR(N$2)-YEAR($F187))*12 + MONTH(N$2)-MONTH($F187)) / 12),
  0)</f>
        <v/>
      </c>
      <c r="O187" s="299">
        <f>IF(AND($F187&lt;=O$2, OR($G187="",$G187&gt;=O$2)),
  $H187 * (1 + Assumptions!$C$7) ^ INT(((YEAR(O$2)-YEAR($F187))*12 + MONTH(O$2)-MONTH($F187)) / 12),
  0)</f>
        <v/>
      </c>
      <c r="P187" s="299">
        <f>IF(AND($F187&lt;=P$2, OR($G187="",$G187&gt;=P$2)),
  $H187 * (1 + Assumptions!$C$7) ^ INT(((YEAR(P$2)-YEAR($F187))*12 + MONTH(P$2)-MONTH($F187)) / 12),
  0)</f>
        <v/>
      </c>
      <c r="Q187" s="299">
        <f>IF(AND($F187&lt;=Q$2, OR($G187="",$G187&gt;=Q$2)),
  $H187 * (1 + Assumptions!$C$7) ^ INT(((YEAR(Q$2)-YEAR($F187))*12 + MONTH(Q$2)-MONTH($F187)) / 12),
  0)</f>
        <v/>
      </c>
      <c r="R187" s="299">
        <f>IF(AND($F187&lt;=R$2, OR($G187="",$G187&gt;=R$2)),
  $H187 * (1 + Assumptions!$C$7) ^ INT(((YEAR(R$2)-YEAR($F187))*12 + MONTH(R$2)-MONTH($F187)) / 12),
  0)</f>
        <v/>
      </c>
      <c r="S187" s="299">
        <f>IF(AND($F187&lt;=S$2, OR($G187="",$G187&gt;=S$2)),
  $H187 * (1 + Assumptions!$C$7) ^ INT(((YEAR(S$2)-YEAR($F187))*12 + MONTH(S$2)-MONTH($F187)) / 12),
  0)</f>
        <v/>
      </c>
      <c r="T187" s="299">
        <f>IF(AND($F187&lt;=T$2, OR($G187="",$G187&gt;=T$2)),
  $H187 * (1 + Assumptions!$C$7) ^ INT(((YEAR(T$2)-YEAR($F187))*12 + MONTH(T$2)-MONTH($F187)) / 12),
  0)</f>
        <v/>
      </c>
      <c r="U187" s="299">
        <f>IF(AND($F187&lt;=U$2, OR($G187="",$G187&gt;=U$2)),
  $H187 * (1 + Assumptions!$C$7) ^ INT(((YEAR(U$2)-YEAR($F187))*12 + MONTH(U$2)-MONTH($F187)) / 12),
  0)</f>
        <v/>
      </c>
      <c r="V187" s="299">
        <f>IF(AND($F187&lt;=V$2, OR($G187="",$G187&gt;=V$2)),
  $H187 * (1 + Assumptions!$C$7) ^ INT(((YEAR(V$2)-YEAR($F187))*12 + MONTH(V$2)-MONTH($F187)) / 12),
  0)</f>
        <v/>
      </c>
      <c r="W187" s="299">
        <f>IF(AND($F187&lt;=W$2, OR($G187="",$G187&gt;=W$2)),
  $H187 * (1 + Assumptions!$C$7) ^ INT(((YEAR(W$2)-YEAR($F187))*12 + MONTH(W$2)-MONTH($F187)) / 12),
  0)</f>
        <v/>
      </c>
      <c r="X187" s="299">
        <f>IF(AND($F187&lt;=X$2, OR($G187="",$G187&gt;=X$2)),
  $H187 * (1 + Assumptions!$C$7) ^ INT(((YEAR(X$2)-YEAR($F187))*12 + MONTH(X$2)-MONTH($F187)) / 12),
  0)</f>
        <v/>
      </c>
      <c r="Y187" s="299">
        <f>IF(AND($F187&lt;=Y$2, OR($G187="",$G187&gt;=Y$2)),
  $H187 * (1 + Assumptions!$C$7) ^ INT(((YEAR(Y$2)-YEAR($F187))*12 + MONTH(Y$2)-MONTH($F187)) / 12),
  0)</f>
        <v/>
      </c>
      <c r="Z187" s="299">
        <f>IF(AND($F187&lt;=Z$2, OR($G187="",$G187&gt;=Z$2)),
  $H187 * (1 + Assumptions!$C$7) ^ INT(((YEAR(Z$2)-YEAR($F187))*12 + MONTH(Z$2)-MONTH($F187)) / 12),
  0)</f>
        <v/>
      </c>
      <c r="AA187" s="299">
        <f>IF(AND($F187&lt;=AA$2, OR($G187="",$G187&gt;=AA$2)),
  $H187 * (1 + Assumptions!$C$7) ^ INT(((YEAR(AA$2)-YEAR($F187))*12 + MONTH(AA$2)-MONTH($F187)) / 12),
  0)</f>
        <v/>
      </c>
      <c r="AB187" s="299">
        <f>IF(AND($F187&lt;=AB$2, OR($G187="",$G187&gt;=AB$2)),
  $H187 * (1 + Assumptions!$C$7) ^ INT(((YEAR(AB$2)-YEAR($F187))*12 + MONTH(AB$2)-MONTH($F187)) / 12),
  0)</f>
        <v/>
      </c>
      <c r="AC187" s="299">
        <f>IF(AND($F187&lt;=AC$2, OR($G187="",$G187&gt;=AC$2)),
  $H187 * (1 + Assumptions!$C$7) ^ INT(((YEAR(AC$2)-YEAR($F187))*12 + MONTH(AC$2)-MONTH($F187)) / 12),
  0)</f>
        <v/>
      </c>
      <c r="AD187" s="299">
        <f>IF(AND($F187&lt;=AD$2, OR($G187="",$G187&gt;=AD$2)),
  $H187 * (1 + Assumptions!$C$7) ^ INT(((YEAR(AD$2)-YEAR($F187))*12 + MONTH(AD$2)-MONTH($F187)) / 12),
  0)</f>
        <v/>
      </c>
      <c r="AE187" s="299">
        <f>IF(AND($F187&lt;=AE$2, OR($G187="",$G187&gt;=AE$2)),
  $H187 * (1 + Assumptions!$C$7) ^ INT(((YEAR(AE$2)-YEAR($F187))*12 + MONTH(AE$2)-MONTH($F187)) / 12),
  0)</f>
        <v/>
      </c>
      <c r="AF187" s="299">
        <f>IF(AND($F187&lt;=AF$2, OR($G187="",$G187&gt;=AF$2)),
  $H187 * (1 + Assumptions!$C$7) ^ INT(((YEAR(AF$2)-YEAR($F187))*12 + MONTH(AF$2)-MONTH($F187)) / 12),
  0)</f>
        <v/>
      </c>
      <c r="AG187" s="299">
        <f>IF(AND($F187&lt;=AG$2, OR($G187="",$G187&gt;=AG$2)),
  $H187 * (1 + Assumptions!$C$7) ^ INT(((YEAR(AG$2)-YEAR($F187))*12 + MONTH(AG$2)-MONTH($F187)) / 12),
  0)</f>
        <v/>
      </c>
      <c r="AH187" s="299">
        <f>IF(AND($F187&lt;=AH$2, OR($G187="",$G187&gt;=AH$2)),
  $H187 * (1 + Assumptions!$C$7) ^ INT(((YEAR(AH$2)-YEAR($F187))*12 + MONTH(AH$2)-MONTH($F187)) / 12),
  0)</f>
        <v/>
      </c>
      <c r="AI187" s="299">
        <f>IF(AND($F187&lt;=AI$2, OR($G187="",$G187&gt;=AI$2)),
  $H187 * (1 + Assumptions!$C$7) ^ INT(((YEAR(AI$2)-YEAR($F187))*12 + MONTH(AI$2)-MONTH($F187)) / 12),
  0)</f>
        <v/>
      </c>
      <c r="AJ187" s="299">
        <f>IF(AND($F187&lt;=AJ$2, OR($G187="",$G187&gt;=AJ$2)),
  $H187 * (1 + Assumptions!$C$7) ^ INT(((YEAR(AJ$2)-YEAR($F187))*12 + MONTH(AJ$2)-MONTH($F187)) / 12),
  0)</f>
        <v/>
      </c>
      <c r="AK187" s="299">
        <f>IF(AND($F187&lt;=AK$2, OR($G187="",$G187&gt;=AK$2)),
  $H187 * (1 + Assumptions!$C$7) ^ INT(((YEAR(AK$2)-YEAR($F187))*12 + MONTH(AK$2)-MONTH($F187)) / 12),
  0)</f>
        <v/>
      </c>
      <c r="AL187" s="299">
        <f>IF(AND($F187&lt;=AL$2, OR($G187="",$G187&gt;=AL$2)),
  $H187 * (1 + Assumptions!$C$7) ^ INT(((YEAR(AL$2)-YEAR($F187))*12 + MONTH(AL$2)-MONTH($F187)) / 12),
  0)</f>
        <v/>
      </c>
      <c r="AM187" s="299">
        <f>IF(AND($F187&lt;=AM$2, OR($G187="",$G187&gt;=AM$2)),
  $H187 * (1 + Assumptions!$C$7) ^ INT(((YEAR(AM$2)-YEAR($F187))*12 + MONTH(AM$2)-MONTH($F187)) / 12),
  0)</f>
        <v/>
      </c>
      <c r="AN187" s="299">
        <f>IF(AND($F187&lt;=AN$2, OR($G187="",$G187&gt;=AN$2)),
  $H187 * (1 + Assumptions!$C$7) ^ INT(((YEAR(AN$2)-YEAR($F187))*12 + MONTH(AN$2)-MONTH($F187)) / 12),
  0)</f>
        <v/>
      </c>
      <c r="AO187" s="299">
        <f>IF(AND($F187&lt;=AO$2, OR($G187="",$G187&gt;=AO$2)),
  $H187 * (1 + Assumptions!$C$7) ^ INT(((YEAR(AO$2)-YEAR($F187))*12 + MONTH(AO$2)-MONTH($F187)) / 12),
  0)</f>
        <v/>
      </c>
      <c r="AP187" s="299">
        <f>IF(AND($F187&lt;=AP$2, OR($G187="",$G187&gt;=AP$2)),
  $H187 * (1 + Assumptions!$C$7) ^ INT(((YEAR(AP$2)-YEAR($F187))*12 + MONTH(AP$2)-MONTH($F187)) / 12),
  0)</f>
        <v/>
      </c>
      <c r="AQ187" s="299">
        <f>IF(AND($F187&lt;=AQ$2, OR($G187="",$G187&gt;=AQ$2)),
  $H187 * (1 + Assumptions!$C$7) ^ INT(((YEAR(AQ$2)-YEAR($F187))*12 + MONTH(AQ$2)-MONTH($F187)) / 12),
  0)</f>
        <v/>
      </c>
      <c r="AR187" s="299">
        <f>IF(AND($F187&lt;=AR$2, OR($G187="",$G187&gt;=AR$2)),
  $H187 * (1 + Assumptions!$C$7) ^ INT(((YEAR(AR$2)-YEAR($F187))*12 + MONTH(AR$2)-MONTH($F187)) / 12),
  0)</f>
        <v/>
      </c>
      <c r="AS187" s="299">
        <f>IF(AND($F187&lt;=AS$2, OR($G187="",$G187&gt;=AS$2)),
  $H187 * (1 + Assumptions!$C$7) ^ INT(((YEAR(AS$2)-YEAR($F187))*12 + MONTH(AS$2)-MONTH($F187)) / 12),
  0)</f>
        <v/>
      </c>
      <c r="AT187" s="299">
        <f>IF(AND($F187&lt;=AT$2, OR($G187="",$G187&gt;=AT$2)),
  $H187 * (1 + Assumptions!$C$7) ^ INT(((YEAR(AT$2)-YEAR($F187))*12 + MONTH(AT$2)-MONTH($F187)) / 12),
  0)</f>
        <v/>
      </c>
      <c r="AU187" s="299">
        <f>IF(AND($F187&lt;=AU$2, OR($G187="",$G187&gt;=AU$2)),
  $H187 * (1 + Assumptions!$C$7) ^ INT(((YEAR(AU$2)-YEAR($F187))*12 + MONTH(AU$2)-MONTH($F187)) / 12),
  0)</f>
        <v/>
      </c>
      <c r="AV187" s="299">
        <f>IF(AND($F187&lt;=AV$2, OR($G187="",$G187&gt;=AV$2)),
  $H187 * (1 + Assumptions!$C$7) ^ INT(((YEAR(AV$2)-YEAR($F187))*12 + MONTH(AV$2)-MONTH($F187)) / 12),
  0)</f>
        <v/>
      </c>
      <c r="AW187" s="299">
        <f>IF(AND($F187&lt;=AW$2, OR($G187="",$G187&gt;=AW$2)),
  $H187 * (1 + Assumptions!$C$7) ^ INT(((YEAR(AW$2)-YEAR($F187))*12 + MONTH(AW$2)-MONTH($F187)) / 12),
  0)</f>
        <v/>
      </c>
      <c r="AX187" s="299">
        <f>IF(AND($F187&lt;=AX$2, OR($G187="",$G187&gt;=AX$2)),
  $H187 * (1 + Assumptions!$C$7) ^ INT(((YEAR(AX$2)-YEAR($F187))*12 + MONTH(AX$2)-MONTH($F187)) / 12),
  0)</f>
        <v/>
      </c>
      <c r="AY187" s="299">
        <f>IF(AND($F187&lt;=AY$2, OR($G187="",$G187&gt;=AY$2)),
  $H187 * (1 + Assumptions!$C$7) ^ INT(((YEAR(AY$2)-YEAR($F187))*12 + MONTH(AY$2)-MONTH($F187)) / 12),
  0)</f>
        <v/>
      </c>
      <c r="AZ187" s="299">
        <f>IF(AND($F187&lt;=AZ$2, OR($G187="",$G187&gt;=AZ$2)),
  $H187 * (1 + Assumptions!$C$7) ^ INT(((YEAR(AZ$2)-YEAR($F187))*12 + MONTH(AZ$2)-MONTH($F187)) / 12),
  0)</f>
        <v/>
      </c>
      <c r="BA187" s="299">
        <f>IF(AND($F187&lt;=BA$2, OR($G187="",$G187&gt;=BA$2)),
  $H187 * (1 + Assumptions!$C$7) ^ INT(((YEAR(BA$2)-YEAR($F187))*12 + MONTH(BA$2)-MONTH($F187)) / 12),
  0)</f>
        <v/>
      </c>
      <c r="BB187" s="299">
        <f>IF(AND($F187&lt;=BB$2, OR($G187="",$G187&gt;=BB$2)),
  $H187 * (1 + Assumptions!$C$7) ^ INT(((YEAR(BB$2)-YEAR($F187))*12 + MONTH(BB$2)-MONTH($F187)) / 12),
  0)</f>
        <v/>
      </c>
      <c r="BC187" s="299">
        <f>IF(AND($F187&lt;=BC$2, OR($G187="",$G187&gt;=BC$2)),
  $H187 * (1 + Assumptions!$C$7) ^ INT(((YEAR(BC$2)-YEAR($F187))*12 + MONTH(BC$2)-MONTH($F187)) / 12),
  0)</f>
        <v/>
      </c>
      <c r="BD187" s="299">
        <f>IF(AND($F187&lt;=BD$2, OR($G187="",$G187&gt;=BD$2)),
  $H187 * (1 + Assumptions!$C$7) ^ INT(((YEAR(BD$2)-YEAR($F187))*12 + MONTH(BD$2)-MONTH($F187)) / 12),
  0)</f>
        <v/>
      </c>
      <c r="BE187" s="299">
        <f>IF(AND($F187&lt;=BE$2, OR($G187="",$G187&gt;=BE$2)),
  $H187 * (1 + Assumptions!$C$7) ^ INT(((YEAR(BE$2)-YEAR($F187))*12 + MONTH(BE$2)-MONTH($F187)) / 12),
  0)</f>
        <v/>
      </c>
      <c r="BF187" s="299">
        <f>IF(AND($F187&lt;=BF$2, OR($G187="",$G187&gt;=BF$2)),
  $H187 * (1 + Assumptions!$C$7) ^ INT(((YEAR(BF$2)-YEAR($F187))*12 + MONTH(BF$2)-MONTH($F187)) / 12),
  0)</f>
        <v/>
      </c>
      <c r="BG187" s="299">
        <f>IF(AND($F187&lt;=BG$2, OR($G187="",$G187&gt;=BG$2)),
  $H187 * (1 + Assumptions!$C$7) ^ INT(((YEAR(BG$2)-YEAR($F187))*12 + MONTH(BG$2)-MONTH($F187)) / 12),
  0)</f>
        <v/>
      </c>
      <c r="BH187" s="299">
        <f>IF(AND($F187&lt;=BH$2, OR($G187="",$G187&gt;=BH$2)),
  $H187 * (1 + Assumptions!$C$7) ^ INT(((YEAR(BH$2)-YEAR($F187))*12 + MONTH(BH$2)-MONTH($F187)) / 12),
  0)</f>
        <v/>
      </c>
      <c r="BI187" s="299">
        <f>IF(AND($F187&lt;=BI$2, OR($G187="",$G187&gt;=BI$2)),
  $H187 * (1 + Assumptions!$C$7) ^ INT(((YEAR(BI$2)-YEAR($F187))*12 + MONTH(BI$2)-MONTH($F187)) / 12),
  0)</f>
        <v/>
      </c>
      <c r="BJ187" s="299">
        <f>IF(AND($F187&lt;=BJ$2, OR($G187="",$G187&gt;=BJ$2)),
  $H187 * (1 + Assumptions!$C$7) ^ INT(((YEAR(BJ$2)-YEAR($F187))*12 + MONTH(BJ$2)-MONTH($F187)) / 12),
  0)</f>
        <v/>
      </c>
      <c r="BK187" s="299">
        <f>IF(AND($F187&lt;=BK$2, OR($G187="",$G187&gt;=BK$2)),
  $H187 * (1 + Assumptions!$C$7) ^ INT(((YEAR(BK$2)-YEAR($F187))*12 + MONTH(BK$2)-MONTH($F187)) / 12),
  0)</f>
        <v/>
      </c>
      <c r="BL187" s="299">
        <f>IF(AND($F187&lt;=BL$2, OR($G187="",$G187&gt;=BL$2)),
  $H187 * (1 + Assumptions!$C$7) ^ INT(((YEAR(BL$2)-YEAR($F187))*12 + MONTH(BL$2)-MONTH($F187)) / 12),
  0)</f>
        <v/>
      </c>
      <c r="BM187" s="299">
        <f>IF(AND($F187&lt;=BM$2, OR($G187="",$G187&gt;=BM$2)),
  $H187 * (1 + Assumptions!$C$7) ^ INT(((YEAR(BM$2)-YEAR($F187))*12 + MONTH(BM$2)-MONTH($F187)) / 12),
  0)</f>
        <v/>
      </c>
      <c r="BN187" s="299">
        <f>IF(AND($F187&lt;=BN$2, OR($G187="",$G187&gt;=BN$2)),
  $H187 * (1 + Assumptions!$C$7) ^ INT(((YEAR(BN$2)-YEAR($F187))*12 + MONTH(BN$2)-MONTH($F187)) / 12),
  0)</f>
        <v/>
      </c>
      <c r="BO187" s="299">
        <f>IF(AND($F187&lt;=BO$2, OR($G187="",$G187&gt;=BO$2)),
  $H187 * (1 + Assumptions!$C$7) ^ INT(((YEAR(BO$2)-YEAR($F187))*12 + MONTH(BO$2)-MONTH($F187)) / 12),
  0)</f>
        <v/>
      </c>
      <c r="BP187" s="299">
        <f>IF(AND($F187&lt;=BP$2, OR($G187="",$G187&gt;=BP$2)),
  $H187 * (1 + Assumptions!$C$7) ^ INT(((YEAR(BP$2)-YEAR($F187))*12 + MONTH(BP$2)-MONTH($F187)) / 12),
  0)</f>
        <v/>
      </c>
      <c r="BQ187" s="31" t="n"/>
      <c r="BR187" s="31" t="n"/>
      <c r="BS187" s="31" t="n"/>
      <c r="BT187" s="31" t="n"/>
    </row>
    <row r="188" ht="15.75" customHeight="1" s="349">
      <c r="A188" s="321" t="n">
        <v>183</v>
      </c>
      <c r="B188" s="285" t="inlineStr">
        <is>
          <t>New hire</t>
        </is>
      </c>
      <c r="C188" s="317" t="inlineStr">
        <is>
          <t>G&amp;A</t>
        </is>
      </c>
      <c r="D188" s="317" t="inlineStr">
        <is>
          <t>Finance / HR / IT / Legal</t>
        </is>
      </c>
      <c r="E188" s="297" t="inlineStr">
        <is>
          <t>Planned</t>
        </is>
      </c>
      <c r="F188" s="318">
        <f>IF(Assumptions!$D$82=2,DATE(2027,9,1),DATE(2029,1,1))</f>
        <v/>
      </c>
      <c r="G188" s="318" t="n"/>
      <c r="H188" s="288" t="n">
        <v>7000</v>
      </c>
      <c r="I188" s="299">
        <f>IF(AND($F188&lt;=I$2, OR($G188="",$G188&gt;=I$2)),
  $H188 * (1 + Assumptions!$C$7) ^ INT(((YEAR(I$2)-YEAR($F188))*12 + MONTH(I$2)-MONTH($F188)) / 12),
  0)</f>
        <v/>
      </c>
      <c r="J188" s="299">
        <f>IF(AND($F188&lt;=J$2, OR($G188="",$G188&gt;=J$2)),
  $H188 * (1 + Assumptions!$C$7) ^ INT(((YEAR(J$2)-YEAR($F188))*12 + MONTH(J$2)-MONTH($F188)) / 12),
  0)</f>
        <v/>
      </c>
      <c r="K188" s="299">
        <f>IF(AND($F188&lt;=K$2, OR($G188="",$G188&gt;=K$2)),
  $H188 * (1 + Assumptions!$C$7) ^ INT(((YEAR(K$2)-YEAR($F188))*12 + MONTH(K$2)-MONTH($F188)) / 12),
  0)</f>
        <v/>
      </c>
      <c r="L188" s="299">
        <f>IF(AND($F188&lt;=L$2, OR($G188="",$G188&gt;=L$2)),
  $H188 * (1 + Assumptions!$C$7) ^ INT(((YEAR(L$2)-YEAR($F188))*12 + MONTH(L$2)-MONTH($F188)) / 12),
  0)</f>
        <v/>
      </c>
      <c r="M188" s="299">
        <f>IF(AND($F188&lt;=M$2, OR($G188="",$G188&gt;=M$2)),
  $H188 * (1 + Assumptions!$C$7) ^ INT(((YEAR(M$2)-YEAR($F188))*12 + MONTH(M$2)-MONTH($F188)) / 12),
  0)</f>
        <v/>
      </c>
      <c r="N188" s="299">
        <f>IF(AND($F188&lt;=N$2, OR($G188="",$G188&gt;=N$2)),
  $H188 * (1 + Assumptions!$C$7) ^ INT(((YEAR(N$2)-YEAR($F188))*12 + MONTH(N$2)-MONTH($F188)) / 12),
  0)</f>
        <v/>
      </c>
      <c r="O188" s="299">
        <f>IF(AND($F188&lt;=O$2, OR($G188="",$G188&gt;=O$2)),
  $H188 * (1 + Assumptions!$C$7) ^ INT(((YEAR(O$2)-YEAR($F188))*12 + MONTH(O$2)-MONTH($F188)) / 12),
  0)</f>
        <v/>
      </c>
      <c r="P188" s="299">
        <f>IF(AND($F188&lt;=P$2, OR($G188="",$G188&gt;=P$2)),
  $H188 * (1 + Assumptions!$C$7) ^ INT(((YEAR(P$2)-YEAR($F188))*12 + MONTH(P$2)-MONTH($F188)) / 12),
  0)</f>
        <v/>
      </c>
      <c r="Q188" s="299">
        <f>IF(AND($F188&lt;=Q$2, OR($G188="",$G188&gt;=Q$2)),
  $H188 * (1 + Assumptions!$C$7) ^ INT(((YEAR(Q$2)-YEAR($F188))*12 + MONTH(Q$2)-MONTH($F188)) / 12),
  0)</f>
        <v/>
      </c>
      <c r="R188" s="299">
        <f>IF(AND($F188&lt;=R$2, OR($G188="",$G188&gt;=R$2)),
  $H188 * (1 + Assumptions!$C$7) ^ INT(((YEAR(R$2)-YEAR($F188))*12 + MONTH(R$2)-MONTH($F188)) / 12),
  0)</f>
        <v/>
      </c>
      <c r="S188" s="299">
        <f>IF(AND($F188&lt;=S$2, OR($G188="",$G188&gt;=S$2)),
  $H188 * (1 + Assumptions!$C$7) ^ INT(((YEAR(S$2)-YEAR($F188))*12 + MONTH(S$2)-MONTH($F188)) / 12),
  0)</f>
        <v/>
      </c>
      <c r="T188" s="299">
        <f>IF(AND($F188&lt;=T$2, OR($G188="",$G188&gt;=T$2)),
  $H188 * (1 + Assumptions!$C$7) ^ INT(((YEAR(T$2)-YEAR($F188))*12 + MONTH(T$2)-MONTH($F188)) / 12),
  0)</f>
        <v/>
      </c>
      <c r="U188" s="299">
        <f>IF(AND($F188&lt;=U$2, OR($G188="",$G188&gt;=U$2)),
  $H188 * (1 + Assumptions!$C$7) ^ INT(((YEAR(U$2)-YEAR($F188))*12 + MONTH(U$2)-MONTH($F188)) / 12),
  0)</f>
        <v/>
      </c>
      <c r="V188" s="299">
        <f>IF(AND($F188&lt;=V$2, OR($G188="",$G188&gt;=V$2)),
  $H188 * (1 + Assumptions!$C$7) ^ INT(((YEAR(V$2)-YEAR($F188))*12 + MONTH(V$2)-MONTH($F188)) / 12),
  0)</f>
        <v/>
      </c>
      <c r="W188" s="299">
        <f>IF(AND($F188&lt;=W$2, OR($G188="",$G188&gt;=W$2)),
  $H188 * (1 + Assumptions!$C$7) ^ INT(((YEAR(W$2)-YEAR($F188))*12 + MONTH(W$2)-MONTH($F188)) / 12),
  0)</f>
        <v/>
      </c>
      <c r="X188" s="299">
        <f>IF(AND($F188&lt;=X$2, OR($G188="",$G188&gt;=X$2)),
  $H188 * (1 + Assumptions!$C$7) ^ INT(((YEAR(X$2)-YEAR($F188))*12 + MONTH(X$2)-MONTH($F188)) / 12),
  0)</f>
        <v/>
      </c>
      <c r="Y188" s="299">
        <f>IF(AND($F188&lt;=Y$2, OR($G188="",$G188&gt;=Y$2)),
  $H188 * (1 + Assumptions!$C$7) ^ INT(((YEAR(Y$2)-YEAR($F188))*12 + MONTH(Y$2)-MONTH($F188)) / 12),
  0)</f>
        <v/>
      </c>
      <c r="Z188" s="299">
        <f>IF(AND($F188&lt;=Z$2, OR($G188="",$G188&gt;=Z$2)),
  $H188 * (1 + Assumptions!$C$7) ^ INT(((YEAR(Z$2)-YEAR($F188))*12 + MONTH(Z$2)-MONTH($F188)) / 12),
  0)</f>
        <v/>
      </c>
      <c r="AA188" s="299">
        <f>IF(AND($F188&lt;=AA$2, OR($G188="",$G188&gt;=AA$2)),
  $H188 * (1 + Assumptions!$C$7) ^ INT(((YEAR(AA$2)-YEAR($F188))*12 + MONTH(AA$2)-MONTH($F188)) / 12),
  0)</f>
        <v/>
      </c>
      <c r="AB188" s="299">
        <f>IF(AND($F188&lt;=AB$2, OR($G188="",$G188&gt;=AB$2)),
  $H188 * (1 + Assumptions!$C$7) ^ INT(((YEAR(AB$2)-YEAR($F188))*12 + MONTH(AB$2)-MONTH($F188)) / 12),
  0)</f>
        <v/>
      </c>
      <c r="AC188" s="299">
        <f>IF(AND($F188&lt;=AC$2, OR($G188="",$G188&gt;=AC$2)),
  $H188 * (1 + Assumptions!$C$7) ^ INT(((YEAR(AC$2)-YEAR($F188))*12 + MONTH(AC$2)-MONTH($F188)) / 12),
  0)</f>
        <v/>
      </c>
      <c r="AD188" s="299">
        <f>IF(AND($F188&lt;=AD$2, OR($G188="",$G188&gt;=AD$2)),
  $H188 * (1 + Assumptions!$C$7) ^ INT(((YEAR(AD$2)-YEAR($F188))*12 + MONTH(AD$2)-MONTH($F188)) / 12),
  0)</f>
        <v/>
      </c>
      <c r="AE188" s="299">
        <f>IF(AND($F188&lt;=AE$2, OR($G188="",$G188&gt;=AE$2)),
  $H188 * (1 + Assumptions!$C$7) ^ INT(((YEAR(AE$2)-YEAR($F188))*12 + MONTH(AE$2)-MONTH($F188)) / 12),
  0)</f>
        <v/>
      </c>
      <c r="AF188" s="299">
        <f>IF(AND($F188&lt;=AF$2, OR($G188="",$G188&gt;=AF$2)),
  $H188 * (1 + Assumptions!$C$7) ^ INT(((YEAR(AF$2)-YEAR($F188))*12 + MONTH(AF$2)-MONTH($F188)) / 12),
  0)</f>
        <v/>
      </c>
      <c r="AG188" s="299">
        <f>IF(AND($F188&lt;=AG$2, OR($G188="",$G188&gt;=AG$2)),
  $H188 * (1 + Assumptions!$C$7) ^ INT(((YEAR(AG$2)-YEAR($F188))*12 + MONTH(AG$2)-MONTH($F188)) / 12),
  0)</f>
        <v/>
      </c>
      <c r="AH188" s="299">
        <f>IF(AND($F188&lt;=AH$2, OR($G188="",$G188&gt;=AH$2)),
  $H188 * (1 + Assumptions!$C$7) ^ INT(((YEAR(AH$2)-YEAR($F188))*12 + MONTH(AH$2)-MONTH($F188)) / 12),
  0)</f>
        <v/>
      </c>
      <c r="AI188" s="299">
        <f>IF(AND($F188&lt;=AI$2, OR($G188="",$G188&gt;=AI$2)),
  $H188 * (1 + Assumptions!$C$7) ^ INT(((YEAR(AI$2)-YEAR($F188))*12 + MONTH(AI$2)-MONTH($F188)) / 12),
  0)</f>
        <v/>
      </c>
      <c r="AJ188" s="299">
        <f>IF(AND($F188&lt;=AJ$2, OR($G188="",$G188&gt;=AJ$2)),
  $H188 * (1 + Assumptions!$C$7) ^ INT(((YEAR(AJ$2)-YEAR($F188))*12 + MONTH(AJ$2)-MONTH($F188)) / 12),
  0)</f>
        <v/>
      </c>
      <c r="AK188" s="299">
        <f>IF(AND($F188&lt;=AK$2, OR($G188="",$G188&gt;=AK$2)),
  $H188 * (1 + Assumptions!$C$7) ^ INT(((YEAR(AK$2)-YEAR($F188))*12 + MONTH(AK$2)-MONTH($F188)) / 12),
  0)</f>
        <v/>
      </c>
      <c r="AL188" s="299">
        <f>IF(AND($F188&lt;=AL$2, OR($G188="",$G188&gt;=AL$2)),
  $H188 * (1 + Assumptions!$C$7) ^ INT(((YEAR(AL$2)-YEAR($F188))*12 + MONTH(AL$2)-MONTH($F188)) / 12),
  0)</f>
        <v/>
      </c>
      <c r="AM188" s="299">
        <f>IF(AND($F188&lt;=AM$2, OR($G188="",$G188&gt;=AM$2)),
  $H188 * (1 + Assumptions!$C$7) ^ INT(((YEAR(AM$2)-YEAR($F188))*12 + MONTH(AM$2)-MONTH($F188)) / 12),
  0)</f>
        <v/>
      </c>
      <c r="AN188" s="299">
        <f>IF(AND($F188&lt;=AN$2, OR($G188="",$G188&gt;=AN$2)),
  $H188 * (1 + Assumptions!$C$7) ^ INT(((YEAR(AN$2)-YEAR($F188))*12 + MONTH(AN$2)-MONTH($F188)) / 12),
  0)</f>
        <v/>
      </c>
      <c r="AO188" s="299">
        <f>IF(AND($F188&lt;=AO$2, OR($G188="",$G188&gt;=AO$2)),
  $H188 * (1 + Assumptions!$C$7) ^ INT(((YEAR(AO$2)-YEAR($F188))*12 + MONTH(AO$2)-MONTH($F188)) / 12),
  0)</f>
        <v/>
      </c>
      <c r="AP188" s="299">
        <f>IF(AND($F188&lt;=AP$2, OR($G188="",$G188&gt;=AP$2)),
  $H188 * (1 + Assumptions!$C$7) ^ INT(((YEAR(AP$2)-YEAR($F188))*12 + MONTH(AP$2)-MONTH($F188)) / 12),
  0)</f>
        <v/>
      </c>
      <c r="AQ188" s="299">
        <f>IF(AND($F188&lt;=AQ$2, OR($G188="",$G188&gt;=AQ$2)),
  $H188 * (1 + Assumptions!$C$7) ^ INT(((YEAR(AQ$2)-YEAR($F188))*12 + MONTH(AQ$2)-MONTH($F188)) / 12),
  0)</f>
        <v/>
      </c>
      <c r="AR188" s="299">
        <f>IF(AND($F188&lt;=AR$2, OR($G188="",$G188&gt;=AR$2)),
  $H188 * (1 + Assumptions!$C$7) ^ INT(((YEAR(AR$2)-YEAR($F188))*12 + MONTH(AR$2)-MONTH($F188)) / 12),
  0)</f>
        <v/>
      </c>
      <c r="AS188" s="299">
        <f>IF(AND($F188&lt;=AS$2, OR($G188="",$G188&gt;=AS$2)),
  $H188 * (1 + Assumptions!$C$7) ^ INT(((YEAR(AS$2)-YEAR($F188))*12 + MONTH(AS$2)-MONTH($F188)) / 12),
  0)</f>
        <v/>
      </c>
      <c r="AT188" s="299">
        <f>IF(AND($F188&lt;=AT$2, OR($G188="",$G188&gt;=AT$2)),
  $H188 * (1 + Assumptions!$C$7) ^ INT(((YEAR(AT$2)-YEAR($F188))*12 + MONTH(AT$2)-MONTH($F188)) / 12),
  0)</f>
        <v/>
      </c>
      <c r="AU188" s="299">
        <f>IF(AND($F188&lt;=AU$2, OR($G188="",$G188&gt;=AU$2)),
  $H188 * (1 + Assumptions!$C$7) ^ INT(((YEAR(AU$2)-YEAR($F188))*12 + MONTH(AU$2)-MONTH($F188)) / 12),
  0)</f>
        <v/>
      </c>
      <c r="AV188" s="299">
        <f>IF(AND($F188&lt;=AV$2, OR($G188="",$G188&gt;=AV$2)),
  $H188 * (1 + Assumptions!$C$7) ^ INT(((YEAR(AV$2)-YEAR($F188))*12 + MONTH(AV$2)-MONTH($F188)) / 12),
  0)</f>
        <v/>
      </c>
      <c r="AW188" s="299">
        <f>IF(AND($F188&lt;=AW$2, OR($G188="",$G188&gt;=AW$2)),
  $H188 * (1 + Assumptions!$C$7) ^ INT(((YEAR(AW$2)-YEAR($F188))*12 + MONTH(AW$2)-MONTH($F188)) / 12),
  0)</f>
        <v/>
      </c>
      <c r="AX188" s="299">
        <f>IF(AND($F188&lt;=AX$2, OR($G188="",$G188&gt;=AX$2)),
  $H188 * (1 + Assumptions!$C$7) ^ INT(((YEAR(AX$2)-YEAR($F188))*12 + MONTH(AX$2)-MONTH($F188)) / 12),
  0)</f>
        <v/>
      </c>
      <c r="AY188" s="299">
        <f>IF(AND($F188&lt;=AY$2, OR($G188="",$G188&gt;=AY$2)),
  $H188 * (1 + Assumptions!$C$7) ^ INT(((YEAR(AY$2)-YEAR($F188))*12 + MONTH(AY$2)-MONTH($F188)) / 12),
  0)</f>
        <v/>
      </c>
      <c r="AZ188" s="299">
        <f>IF(AND($F188&lt;=AZ$2, OR($G188="",$G188&gt;=AZ$2)),
  $H188 * (1 + Assumptions!$C$7) ^ INT(((YEAR(AZ$2)-YEAR($F188))*12 + MONTH(AZ$2)-MONTH($F188)) / 12),
  0)</f>
        <v/>
      </c>
      <c r="BA188" s="299">
        <f>IF(AND($F188&lt;=BA$2, OR($G188="",$G188&gt;=BA$2)),
  $H188 * (1 + Assumptions!$C$7) ^ INT(((YEAR(BA$2)-YEAR($F188))*12 + MONTH(BA$2)-MONTH($F188)) / 12),
  0)</f>
        <v/>
      </c>
      <c r="BB188" s="299">
        <f>IF(AND($F188&lt;=BB$2, OR($G188="",$G188&gt;=BB$2)),
  $H188 * (1 + Assumptions!$C$7) ^ INT(((YEAR(BB$2)-YEAR($F188))*12 + MONTH(BB$2)-MONTH($F188)) / 12),
  0)</f>
        <v/>
      </c>
      <c r="BC188" s="299">
        <f>IF(AND($F188&lt;=BC$2, OR($G188="",$G188&gt;=BC$2)),
  $H188 * (1 + Assumptions!$C$7) ^ INT(((YEAR(BC$2)-YEAR($F188))*12 + MONTH(BC$2)-MONTH($F188)) / 12),
  0)</f>
        <v/>
      </c>
      <c r="BD188" s="299">
        <f>IF(AND($F188&lt;=BD$2, OR($G188="",$G188&gt;=BD$2)),
  $H188 * (1 + Assumptions!$C$7) ^ INT(((YEAR(BD$2)-YEAR($F188))*12 + MONTH(BD$2)-MONTH($F188)) / 12),
  0)</f>
        <v/>
      </c>
      <c r="BE188" s="299">
        <f>IF(AND($F188&lt;=BE$2, OR($G188="",$G188&gt;=BE$2)),
  $H188 * (1 + Assumptions!$C$7) ^ INT(((YEAR(BE$2)-YEAR($F188))*12 + MONTH(BE$2)-MONTH($F188)) / 12),
  0)</f>
        <v/>
      </c>
      <c r="BF188" s="299">
        <f>IF(AND($F188&lt;=BF$2, OR($G188="",$G188&gt;=BF$2)),
  $H188 * (1 + Assumptions!$C$7) ^ INT(((YEAR(BF$2)-YEAR($F188))*12 + MONTH(BF$2)-MONTH($F188)) / 12),
  0)</f>
        <v/>
      </c>
      <c r="BG188" s="299">
        <f>IF(AND($F188&lt;=BG$2, OR($G188="",$G188&gt;=BG$2)),
  $H188 * (1 + Assumptions!$C$7) ^ INT(((YEAR(BG$2)-YEAR($F188))*12 + MONTH(BG$2)-MONTH($F188)) / 12),
  0)</f>
        <v/>
      </c>
      <c r="BH188" s="299">
        <f>IF(AND($F188&lt;=BH$2, OR($G188="",$G188&gt;=BH$2)),
  $H188 * (1 + Assumptions!$C$7) ^ INT(((YEAR(BH$2)-YEAR($F188))*12 + MONTH(BH$2)-MONTH($F188)) / 12),
  0)</f>
        <v/>
      </c>
      <c r="BI188" s="299">
        <f>IF(AND($F188&lt;=BI$2, OR($G188="",$G188&gt;=BI$2)),
  $H188 * (1 + Assumptions!$C$7) ^ INT(((YEAR(BI$2)-YEAR($F188))*12 + MONTH(BI$2)-MONTH($F188)) / 12),
  0)</f>
        <v/>
      </c>
      <c r="BJ188" s="299">
        <f>IF(AND($F188&lt;=BJ$2, OR($G188="",$G188&gt;=BJ$2)),
  $H188 * (1 + Assumptions!$C$7) ^ INT(((YEAR(BJ$2)-YEAR($F188))*12 + MONTH(BJ$2)-MONTH($F188)) / 12),
  0)</f>
        <v/>
      </c>
      <c r="BK188" s="299">
        <f>IF(AND($F188&lt;=BK$2, OR($G188="",$G188&gt;=BK$2)),
  $H188 * (1 + Assumptions!$C$7) ^ INT(((YEAR(BK$2)-YEAR($F188))*12 + MONTH(BK$2)-MONTH($F188)) / 12),
  0)</f>
        <v/>
      </c>
      <c r="BL188" s="299">
        <f>IF(AND($F188&lt;=BL$2, OR($G188="",$G188&gt;=BL$2)),
  $H188 * (1 + Assumptions!$C$7) ^ INT(((YEAR(BL$2)-YEAR($F188))*12 + MONTH(BL$2)-MONTH($F188)) / 12),
  0)</f>
        <v/>
      </c>
      <c r="BM188" s="299">
        <f>IF(AND($F188&lt;=BM$2, OR($G188="",$G188&gt;=BM$2)),
  $H188 * (1 + Assumptions!$C$7) ^ INT(((YEAR(BM$2)-YEAR($F188))*12 + MONTH(BM$2)-MONTH($F188)) / 12),
  0)</f>
        <v/>
      </c>
      <c r="BN188" s="299">
        <f>IF(AND($F188&lt;=BN$2, OR($G188="",$G188&gt;=BN$2)),
  $H188 * (1 + Assumptions!$C$7) ^ INT(((YEAR(BN$2)-YEAR($F188))*12 + MONTH(BN$2)-MONTH($F188)) / 12),
  0)</f>
        <v/>
      </c>
      <c r="BO188" s="299">
        <f>IF(AND($F188&lt;=BO$2, OR($G188="",$G188&gt;=BO$2)),
  $H188 * (1 + Assumptions!$C$7) ^ INT(((YEAR(BO$2)-YEAR($F188))*12 + MONTH(BO$2)-MONTH($F188)) / 12),
  0)</f>
        <v/>
      </c>
      <c r="BP188" s="299">
        <f>IF(AND($F188&lt;=BP$2, OR($G188="",$G188&gt;=BP$2)),
  $H188 * (1 + Assumptions!$C$7) ^ INT(((YEAR(BP$2)-YEAR($F188))*12 + MONTH(BP$2)-MONTH($F188)) / 12),
  0)</f>
        <v/>
      </c>
      <c r="BQ188" s="31" t="n"/>
      <c r="BR188" s="31" t="n"/>
      <c r="BS188" s="31" t="n"/>
      <c r="BT188" s="31" t="n"/>
    </row>
    <row r="189" ht="15.75" customHeight="1" s="349">
      <c r="A189" s="321" t="n">
        <v>184</v>
      </c>
      <c r="B189" s="285" t="inlineStr">
        <is>
          <t>New hire</t>
        </is>
      </c>
      <c r="C189" s="317" t="inlineStr">
        <is>
          <t>G&amp;A</t>
        </is>
      </c>
      <c r="D189" s="317" t="inlineStr">
        <is>
          <t>Finance / HR / IT / Legal</t>
        </is>
      </c>
      <c r="E189" s="297" t="inlineStr">
        <is>
          <t>Planned</t>
        </is>
      </c>
      <c r="F189" s="318">
        <f>IF(Assumptions!$D$82=2,DATE(2028,1,1),DATE(2029,3,1))</f>
        <v/>
      </c>
      <c r="G189" s="318" t="n"/>
      <c r="H189" s="288" t="n">
        <v>7000</v>
      </c>
      <c r="I189" s="299">
        <f>IF(AND($F189&lt;=I$2, OR($G189="",$G189&gt;=I$2)),
  $H189 * (1 + Assumptions!$C$7) ^ INT(((YEAR(I$2)-YEAR($F189))*12 + MONTH(I$2)-MONTH($F189)) / 12),
  0)</f>
        <v/>
      </c>
      <c r="J189" s="299">
        <f>IF(AND($F189&lt;=J$2, OR($G189="",$G189&gt;=J$2)),
  $H189 * (1 + Assumptions!$C$7) ^ INT(((YEAR(J$2)-YEAR($F189))*12 + MONTH(J$2)-MONTH($F189)) / 12),
  0)</f>
        <v/>
      </c>
      <c r="K189" s="299">
        <f>IF(AND($F189&lt;=K$2, OR($G189="",$G189&gt;=K$2)),
  $H189 * (1 + Assumptions!$C$7) ^ INT(((YEAR(K$2)-YEAR($F189))*12 + MONTH(K$2)-MONTH($F189)) / 12),
  0)</f>
        <v/>
      </c>
      <c r="L189" s="299">
        <f>IF(AND($F189&lt;=L$2, OR($G189="",$G189&gt;=L$2)),
  $H189 * (1 + Assumptions!$C$7) ^ INT(((YEAR(L$2)-YEAR($F189))*12 + MONTH(L$2)-MONTH($F189)) / 12),
  0)</f>
        <v/>
      </c>
      <c r="M189" s="299">
        <f>IF(AND($F189&lt;=M$2, OR($G189="",$G189&gt;=M$2)),
  $H189 * (1 + Assumptions!$C$7) ^ INT(((YEAR(M$2)-YEAR($F189))*12 + MONTH(M$2)-MONTH($F189)) / 12),
  0)</f>
        <v/>
      </c>
      <c r="N189" s="299">
        <f>IF(AND($F189&lt;=N$2, OR($G189="",$G189&gt;=N$2)),
  $H189 * (1 + Assumptions!$C$7) ^ INT(((YEAR(N$2)-YEAR($F189))*12 + MONTH(N$2)-MONTH($F189)) / 12),
  0)</f>
        <v/>
      </c>
      <c r="O189" s="299">
        <f>IF(AND($F189&lt;=O$2, OR($G189="",$G189&gt;=O$2)),
  $H189 * (1 + Assumptions!$C$7) ^ INT(((YEAR(O$2)-YEAR($F189))*12 + MONTH(O$2)-MONTH($F189)) / 12),
  0)</f>
        <v/>
      </c>
      <c r="P189" s="299">
        <f>IF(AND($F189&lt;=P$2, OR($G189="",$G189&gt;=P$2)),
  $H189 * (1 + Assumptions!$C$7) ^ INT(((YEAR(P$2)-YEAR($F189))*12 + MONTH(P$2)-MONTH($F189)) / 12),
  0)</f>
        <v/>
      </c>
      <c r="Q189" s="299">
        <f>IF(AND($F189&lt;=Q$2, OR($G189="",$G189&gt;=Q$2)),
  $H189 * (1 + Assumptions!$C$7) ^ INT(((YEAR(Q$2)-YEAR($F189))*12 + MONTH(Q$2)-MONTH($F189)) / 12),
  0)</f>
        <v/>
      </c>
      <c r="R189" s="299">
        <f>IF(AND($F189&lt;=R$2, OR($G189="",$G189&gt;=R$2)),
  $H189 * (1 + Assumptions!$C$7) ^ INT(((YEAR(R$2)-YEAR($F189))*12 + MONTH(R$2)-MONTH($F189)) / 12),
  0)</f>
        <v/>
      </c>
      <c r="S189" s="299">
        <f>IF(AND($F189&lt;=S$2, OR($G189="",$G189&gt;=S$2)),
  $H189 * (1 + Assumptions!$C$7) ^ INT(((YEAR(S$2)-YEAR($F189))*12 + MONTH(S$2)-MONTH($F189)) / 12),
  0)</f>
        <v/>
      </c>
      <c r="T189" s="299">
        <f>IF(AND($F189&lt;=T$2, OR($G189="",$G189&gt;=T$2)),
  $H189 * (1 + Assumptions!$C$7) ^ INT(((YEAR(T$2)-YEAR($F189))*12 + MONTH(T$2)-MONTH($F189)) / 12),
  0)</f>
        <v/>
      </c>
      <c r="U189" s="299">
        <f>IF(AND($F189&lt;=U$2, OR($G189="",$G189&gt;=U$2)),
  $H189 * (1 + Assumptions!$C$7) ^ INT(((YEAR(U$2)-YEAR($F189))*12 + MONTH(U$2)-MONTH($F189)) / 12),
  0)</f>
        <v/>
      </c>
      <c r="V189" s="299">
        <f>IF(AND($F189&lt;=V$2, OR($G189="",$G189&gt;=V$2)),
  $H189 * (1 + Assumptions!$C$7) ^ INT(((YEAR(V$2)-YEAR($F189))*12 + MONTH(V$2)-MONTH($F189)) / 12),
  0)</f>
        <v/>
      </c>
      <c r="W189" s="299">
        <f>IF(AND($F189&lt;=W$2, OR($G189="",$G189&gt;=W$2)),
  $H189 * (1 + Assumptions!$C$7) ^ INT(((YEAR(W$2)-YEAR($F189))*12 + MONTH(W$2)-MONTH($F189)) / 12),
  0)</f>
        <v/>
      </c>
      <c r="X189" s="299">
        <f>IF(AND($F189&lt;=X$2, OR($G189="",$G189&gt;=X$2)),
  $H189 * (1 + Assumptions!$C$7) ^ INT(((YEAR(X$2)-YEAR($F189))*12 + MONTH(X$2)-MONTH($F189)) / 12),
  0)</f>
        <v/>
      </c>
      <c r="Y189" s="299">
        <f>IF(AND($F189&lt;=Y$2, OR($G189="",$G189&gt;=Y$2)),
  $H189 * (1 + Assumptions!$C$7) ^ INT(((YEAR(Y$2)-YEAR($F189))*12 + MONTH(Y$2)-MONTH($F189)) / 12),
  0)</f>
        <v/>
      </c>
      <c r="Z189" s="299">
        <f>IF(AND($F189&lt;=Z$2, OR($G189="",$G189&gt;=Z$2)),
  $H189 * (1 + Assumptions!$C$7) ^ INT(((YEAR(Z$2)-YEAR($F189))*12 + MONTH(Z$2)-MONTH($F189)) / 12),
  0)</f>
        <v/>
      </c>
      <c r="AA189" s="299">
        <f>IF(AND($F189&lt;=AA$2, OR($G189="",$G189&gt;=AA$2)),
  $H189 * (1 + Assumptions!$C$7) ^ INT(((YEAR(AA$2)-YEAR($F189))*12 + MONTH(AA$2)-MONTH($F189)) / 12),
  0)</f>
        <v/>
      </c>
      <c r="AB189" s="299">
        <f>IF(AND($F189&lt;=AB$2, OR($G189="",$G189&gt;=AB$2)),
  $H189 * (1 + Assumptions!$C$7) ^ INT(((YEAR(AB$2)-YEAR($F189))*12 + MONTH(AB$2)-MONTH($F189)) / 12),
  0)</f>
        <v/>
      </c>
      <c r="AC189" s="299">
        <f>IF(AND($F189&lt;=AC$2, OR($G189="",$G189&gt;=AC$2)),
  $H189 * (1 + Assumptions!$C$7) ^ INT(((YEAR(AC$2)-YEAR($F189))*12 + MONTH(AC$2)-MONTH($F189)) / 12),
  0)</f>
        <v/>
      </c>
      <c r="AD189" s="299">
        <f>IF(AND($F189&lt;=AD$2, OR($G189="",$G189&gt;=AD$2)),
  $H189 * (1 + Assumptions!$C$7) ^ INT(((YEAR(AD$2)-YEAR($F189))*12 + MONTH(AD$2)-MONTH($F189)) / 12),
  0)</f>
        <v/>
      </c>
      <c r="AE189" s="299">
        <f>IF(AND($F189&lt;=AE$2, OR($G189="",$G189&gt;=AE$2)),
  $H189 * (1 + Assumptions!$C$7) ^ INT(((YEAR(AE$2)-YEAR($F189))*12 + MONTH(AE$2)-MONTH($F189)) / 12),
  0)</f>
        <v/>
      </c>
      <c r="AF189" s="299">
        <f>IF(AND($F189&lt;=AF$2, OR($G189="",$G189&gt;=AF$2)),
  $H189 * (1 + Assumptions!$C$7) ^ INT(((YEAR(AF$2)-YEAR($F189))*12 + MONTH(AF$2)-MONTH($F189)) / 12),
  0)</f>
        <v/>
      </c>
      <c r="AG189" s="299">
        <f>IF(AND($F189&lt;=AG$2, OR($G189="",$G189&gt;=AG$2)),
  $H189 * (1 + Assumptions!$C$7) ^ INT(((YEAR(AG$2)-YEAR($F189))*12 + MONTH(AG$2)-MONTH($F189)) / 12),
  0)</f>
        <v/>
      </c>
      <c r="AH189" s="299">
        <f>IF(AND($F189&lt;=AH$2, OR($G189="",$G189&gt;=AH$2)),
  $H189 * (1 + Assumptions!$C$7) ^ INT(((YEAR(AH$2)-YEAR($F189))*12 + MONTH(AH$2)-MONTH($F189)) / 12),
  0)</f>
        <v/>
      </c>
      <c r="AI189" s="299">
        <f>IF(AND($F189&lt;=AI$2, OR($G189="",$G189&gt;=AI$2)),
  $H189 * (1 + Assumptions!$C$7) ^ INT(((YEAR(AI$2)-YEAR($F189))*12 + MONTH(AI$2)-MONTH($F189)) / 12),
  0)</f>
        <v/>
      </c>
      <c r="AJ189" s="299">
        <f>IF(AND($F189&lt;=AJ$2, OR($G189="",$G189&gt;=AJ$2)),
  $H189 * (1 + Assumptions!$C$7) ^ INT(((YEAR(AJ$2)-YEAR($F189))*12 + MONTH(AJ$2)-MONTH($F189)) / 12),
  0)</f>
        <v/>
      </c>
      <c r="AK189" s="299">
        <f>IF(AND($F189&lt;=AK$2, OR($G189="",$G189&gt;=AK$2)),
  $H189 * (1 + Assumptions!$C$7) ^ INT(((YEAR(AK$2)-YEAR($F189))*12 + MONTH(AK$2)-MONTH($F189)) / 12),
  0)</f>
        <v/>
      </c>
      <c r="AL189" s="299">
        <f>IF(AND($F189&lt;=AL$2, OR($G189="",$G189&gt;=AL$2)),
  $H189 * (1 + Assumptions!$C$7) ^ INT(((YEAR(AL$2)-YEAR($F189))*12 + MONTH(AL$2)-MONTH($F189)) / 12),
  0)</f>
        <v/>
      </c>
      <c r="AM189" s="299">
        <f>IF(AND($F189&lt;=AM$2, OR($G189="",$G189&gt;=AM$2)),
  $H189 * (1 + Assumptions!$C$7) ^ INT(((YEAR(AM$2)-YEAR($F189))*12 + MONTH(AM$2)-MONTH($F189)) / 12),
  0)</f>
        <v/>
      </c>
      <c r="AN189" s="299">
        <f>IF(AND($F189&lt;=AN$2, OR($G189="",$G189&gt;=AN$2)),
  $H189 * (1 + Assumptions!$C$7) ^ INT(((YEAR(AN$2)-YEAR($F189))*12 + MONTH(AN$2)-MONTH($F189)) / 12),
  0)</f>
        <v/>
      </c>
      <c r="AO189" s="299">
        <f>IF(AND($F189&lt;=AO$2, OR($G189="",$G189&gt;=AO$2)),
  $H189 * (1 + Assumptions!$C$7) ^ INT(((YEAR(AO$2)-YEAR($F189))*12 + MONTH(AO$2)-MONTH($F189)) / 12),
  0)</f>
        <v/>
      </c>
      <c r="AP189" s="299">
        <f>IF(AND($F189&lt;=AP$2, OR($G189="",$G189&gt;=AP$2)),
  $H189 * (1 + Assumptions!$C$7) ^ INT(((YEAR(AP$2)-YEAR($F189))*12 + MONTH(AP$2)-MONTH($F189)) / 12),
  0)</f>
        <v/>
      </c>
      <c r="AQ189" s="299">
        <f>IF(AND($F189&lt;=AQ$2, OR($G189="",$G189&gt;=AQ$2)),
  $H189 * (1 + Assumptions!$C$7) ^ INT(((YEAR(AQ$2)-YEAR($F189))*12 + MONTH(AQ$2)-MONTH($F189)) / 12),
  0)</f>
        <v/>
      </c>
      <c r="AR189" s="299">
        <f>IF(AND($F189&lt;=AR$2, OR($G189="",$G189&gt;=AR$2)),
  $H189 * (1 + Assumptions!$C$7) ^ INT(((YEAR(AR$2)-YEAR($F189))*12 + MONTH(AR$2)-MONTH($F189)) / 12),
  0)</f>
        <v/>
      </c>
      <c r="AS189" s="299">
        <f>IF(AND($F189&lt;=AS$2, OR($G189="",$G189&gt;=AS$2)),
  $H189 * (1 + Assumptions!$C$7) ^ INT(((YEAR(AS$2)-YEAR($F189))*12 + MONTH(AS$2)-MONTH($F189)) / 12),
  0)</f>
        <v/>
      </c>
      <c r="AT189" s="299">
        <f>IF(AND($F189&lt;=AT$2, OR($G189="",$G189&gt;=AT$2)),
  $H189 * (1 + Assumptions!$C$7) ^ INT(((YEAR(AT$2)-YEAR($F189))*12 + MONTH(AT$2)-MONTH($F189)) / 12),
  0)</f>
        <v/>
      </c>
      <c r="AU189" s="299">
        <f>IF(AND($F189&lt;=AU$2, OR($G189="",$G189&gt;=AU$2)),
  $H189 * (1 + Assumptions!$C$7) ^ INT(((YEAR(AU$2)-YEAR($F189))*12 + MONTH(AU$2)-MONTH($F189)) / 12),
  0)</f>
        <v/>
      </c>
      <c r="AV189" s="299">
        <f>IF(AND($F189&lt;=AV$2, OR($G189="",$G189&gt;=AV$2)),
  $H189 * (1 + Assumptions!$C$7) ^ INT(((YEAR(AV$2)-YEAR($F189))*12 + MONTH(AV$2)-MONTH($F189)) / 12),
  0)</f>
        <v/>
      </c>
      <c r="AW189" s="299">
        <f>IF(AND($F189&lt;=AW$2, OR($G189="",$G189&gt;=AW$2)),
  $H189 * (1 + Assumptions!$C$7) ^ INT(((YEAR(AW$2)-YEAR($F189))*12 + MONTH(AW$2)-MONTH($F189)) / 12),
  0)</f>
        <v/>
      </c>
      <c r="AX189" s="299">
        <f>IF(AND($F189&lt;=AX$2, OR($G189="",$G189&gt;=AX$2)),
  $H189 * (1 + Assumptions!$C$7) ^ INT(((YEAR(AX$2)-YEAR($F189))*12 + MONTH(AX$2)-MONTH($F189)) / 12),
  0)</f>
        <v/>
      </c>
      <c r="AY189" s="299">
        <f>IF(AND($F189&lt;=AY$2, OR($G189="",$G189&gt;=AY$2)),
  $H189 * (1 + Assumptions!$C$7) ^ INT(((YEAR(AY$2)-YEAR($F189))*12 + MONTH(AY$2)-MONTH($F189)) / 12),
  0)</f>
        <v/>
      </c>
      <c r="AZ189" s="299">
        <f>IF(AND($F189&lt;=AZ$2, OR($G189="",$G189&gt;=AZ$2)),
  $H189 * (1 + Assumptions!$C$7) ^ INT(((YEAR(AZ$2)-YEAR($F189))*12 + MONTH(AZ$2)-MONTH($F189)) / 12),
  0)</f>
        <v/>
      </c>
      <c r="BA189" s="299">
        <f>IF(AND($F189&lt;=BA$2, OR($G189="",$G189&gt;=BA$2)),
  $H189 * (1 + Assumptions!$C$7) ^ INT(((YEAR(BA$2)-YEAR($F189))*12 + MONTH(BA$2)-MONTH($F189)) / 12),
  0)</f>
        <v/>
      </c>
      <c r="BB189" s="299">
        <f>IF(AND($F189&lt;=BB$2, OR($G189="",$G189&gt;=BB$2)),
  $H189 * (1 + Assumptions!$C$7) ^ INT(((YEAR(BB$2)-YEAR($F189))*12 + MONTH(BB$2)-MONTH($F189)) / 12),
  0)</f>
        <v/>
      </c>
      <c r="BC189" s="299">
        <f>IF(AND($F189&lt;=BC$2, OR($G189="",$G189&gt;=BC$2)),
  $H189 * (1 + Assumptions!$C$7) ^ INT(((YEAR(BC$2)-YEAR($F189))*12 + MONTH(BC$2)-MONTH($F189)) / 12),
  0)</f>
        <v/>
      </c>
      <c r="BD189" s="299">
        <f>IF(AND($F189&lt;=BD$2, OR($G189="",$G189&gt;=BD$2)),
  $H189 * (1 + Assumptions!$C$7) ^ INT(((YEAR(BD$2)-YEAR($F189))*12 + MONTH(BD$2)-MONTH($F189)) / 12),
  0)</f>
        <v/>
      </c>
      <c r="BE189" s="299">
        <f>IF(AND($F189&lt;=BE$2, OR($G189="",$G189&gt;=BE$2)),
  $H189 * (1 + Assumptions!$C$7) ^ INT(((YEAR(BE$2)-YEAR($F189))*12 + MONTH(BE$2)-MONTH($F189)) / 12),
  0)</f>
        <v/>
      </c>
      <c r="BF189" s="299">
        <f>IF(AND($F189&lt;=BF$2, OR($G189="",$G189&gt;=BF$2)),
  $H189 * (1 + Assumptions!$C$7) ^ INT(((YEAR(BF$2)-YEAR($F189))*12 + MONTH(BF$2)-MONTH($F189)) / 12),
  0)</f>
        <v/>
      </c>
      <c r="BG189" s="299">
        <f>IF(AND($F189&lt;=BG$2, OR($G189="",$G189&gt;=BG$2)),
  $H189 * (1 + Assumptions!$C$7) ^ INT(((YEAR(BG$2)-YEAR($F189))*12 + MONTH(BG$2)-MONTH($F189)) / 12),
  0)</f>
        <v/>
      </c>
      <c r="BH189" s="299">
        <f>IF(AND($F189&lt;=BH$2, OR($G189="",$G189&gt;=BH$2)),
  $H189 * (1 + Assumptions!$C$7) ^ INT(((YEAR(BH$2)-YEAR($F189))*12 + MONTH(BH$2)-MONTH($F189)) / 12),
  0)</f>
        <v/>
      </c>
      <c r="BI189" s="299">
        <f>IF(AND($F189&lt;=BI$2, OR($G189="",$G189&gt;=BI$2)),
  $H189 * (1 + Assumptions!$C$7) ^ INT(((YEAR(BI$2)-YEAR($F189))*12 + MONTH(BI$2)-MONTH($F189)) / 12),
  0)</f>
        <v/>
      </c>
      <c r="BJ189" s="299">
        <f>IF(AND($F189&lt;=BJ$2, OR($G189="",$G189&gt;=BJ$2)),
  $H189 * (1 + Assumptions!$C$7) ^ INT(((YEAR(BJ$2)-YEAR($F189))*12 + MONTH(BJ$2)-MONTH($F189)) / 12),
  0)</f>
        <v/>
      </c>
      <c r="BK189" s="299">
        <f>IF(AND($F189&lt;=BK$2, OR($G189="",$G189&gt;=BK$2)),
  $H189 * (1 + Assumptions!$C$7) ^ INT(((YEAR(BK$2)-YEAR($F189))*12 + MONTH(BK$2)-MONTH($F189)) / 12),
  0)</f>
        <v/>
      </c>
      <c r="BL189" s="299">
        <f>IF(AND($F189&lt;=BL$2, OR($G189="",$G189&gt;=BL$2)),
  $H189 * (1 + Assumptions!$C$7) ^ INT(((YEAR(BL$2)-YEAR($F189))*12 + MONTH(BL$2)-MONTH($F189)) / 12),
  0)</f>
        <v/>
      </c>
      <c r="BM189" s="299">
        <f>IF(AND($F189&lt;=BM$2, OR($G189="",$G189&gt;=BM$2)),
  $H189 * (1 + Assumptions!$C$7) ^ INT(((YEAR(BM$2)-YEAR($F189))*12 + MONTH(BM$2)-MONTH($F189)) / 12),
  0)</f>
        <v/>
      </c>
      <c r="BN189" s="299">
        <f>IF(AND($F189&lt;=BN$2, OR($G189="",$G189&gt;=BN$2)),
  $H189 * (1 + Assumptions!$C$7) ^ INT(((YEAR(BN$2)-YEAR($F189))*12 + MONTH(BN$2)-MONTH($F189)) / 12),
  0)</f>
        <v/>
      </c>
      <c r="BO189" s="299">
        <f>IF(AND($F189&lt;=BO$2, OR($G189="",$G189&gt;=BO$2)),
  $H189 * (1 + Assumptions!$C$7) ^ INT(((YEAR(BO$2)-YEAR($F189))*12 + MONTH(BO$2)-MONTH($F189)) / 12),
  0)</f>
        <v/>
      </c>
      <c r="BP189" s="299">
        <f>IF(AND($F189&lt;=BP$2, OR($G189="",$G189&gt;=BP$2)),
  $H189 * (1 + Assumptions!$C$7) ^ INT(((YEAR(BP$2)-YEAR($F189))*12 + MONTH(BP$2)-MONTH($F189)) / 12),
  0)</f>
        <v/>
      </c>
      <c r="BQ189" s="31" t="n"/>
      <c r="BR189" s="31" t="n"/>
      <c r="BS189" s="31" t="n"/>
      <c r="BT189" s="31" t="n"/>
    </row>
    <row r="190" ht="15.75" customHeight="1" s="349">
      <c r="A190" s="321" t="n">
        <v>185</v>
      </c>
      <c r="B190" s="285" t="inlineStr">
        <is>
          <t>New hire</t>
        </is>
      </c>
      <c r="C190" s="317" t="inlineStr">
        <is>
          <t>G&amp;A</t>
        </is>
      </c>
      <c r="D190" s="317" t="inlineStr">
        <is>
          <t>Finance / HR / IT / Legal</t>
        </is>
      </c>
      <c r="E190" s="297" t="inlineStr">
        <is>
          <t>Planned</t>
        </is>
      </c>
      <c r="F190" s="318">
        <f>IF(Assumptions!$D$82=2,DATE(2028,3,1),DATE(2035,1,1))</f>
        <v/>
      </c>
      <c r="G190" s="318" t="n"/>
      <c r="H190" s="288" t="n">
        <v>7000</v>
      </c>
      <c r="I190" s="299">
        <f>IF(AND($F190&lt;=I$2, OR($G190="",$G190&gt;=I$2)),
  $H190 * (1 + Assumptions!$C$7) ^ INT(((YEAR(I$2)-YEAR($F190))*12 + MONTH(I$2)-MONTH($F190)) / 12),
  0)</f>
        <v/>
      </c>
      <c r="J190" s="299">
        <f>IF(AND($F190&lt;=J$2, OR($G190="",$G190&gt;=J$2)),
  $H190 * (1 + Assumptions!$C$7) ^ INT(((YEAR(J$2)-YEAR($F190))*12 + MONTH(J$2)-MONTH($F190)) / 12),
  0)</f>
        <v/>
      </c>
      <c r="K190" s="299">
        <f>IF(AND($F190&lt;=K$2, OR($G190="",$G190&gt;=K$2)),
  $H190 * (1 + Assumptions!$C$7) ^ INT(((YEAR(K$2)-YEAR($F190))*12 + MONTH(K$2)-MONTH($F190)) / 12),
  0)</f>
        <v/>
      </c>
      <c r="L190" s="299">
        <f>IF(AND($F190&lt;=L$2, OR($G190="",$G190&gt;=L$2)),
  $H190 * (1 + Assumptions!$C$7) ^ INT(((YEAR(L$2)-YEAR($F190))*12 + MONTH(L$2)-MONTH($F190)) / 12),
  0)</f>
        <v/>
      </c>
      <c r="M190" s="299">
        <f>IF(AND($F190&lt;=M$2, OR($G190="",$G190&gt;=M$2)),
  $H190 * (1 + Assumptions!$C$7) ^ INT(((YEAR(M$2)-YEAR($F190))*12 + MONTH(M$2)-MONTH($F190)) / 12),
  0)</f>
        <v/>
      </c>
      <c r="N190" s="299">
        <f>IF(AND($F190&lt;=N$2, OR($G190="",$G190&gt;=N$2)),
  $H190 * (1 + Assumptions!$C$7) ^ INT(((YEAR(N$2)-YEAR($F190))*12 + MONTH(N$2)-MONTH($F190)) / 12),
  0)</f>
        <v/>
      </c>
      <c r="O190" s="299">
        <f>IF(AND($F190&lt;=O$2, OR($G190="",$G190&gt;=O$2)),
  $H190 * (1 + Assumptions!$C$7) ^ INT(((YEAR(O$2)-YEAR($F190))*12 + MONTH(O$2)-MONTH($F190)) / 12),
  0)</f>
        <v/>
      </c>
      <c r="P190" s="299">
        <f>IF(AND($F190&lt;=P$2, OR($G190="",$G190&gt;=P$2)),
  $H190 * (1 + Assumptions!$C$7) ^ INT(((YEAR(P$2)-YEAR($F190))*12 + MONTH(P$2)-MONTH($F190)) / 12),
  0)</f>
        <v/>
      </c>
      <c r="Q190" s="299">
        <f>IF(AND($F190&lt;=Q$2, OR($G190="",$G190&gt;=Q$2)),
  $H190 * (1 + Assumptions!$C$7) ^ INT(((YEAR(Q$2)-YEAR($F190))*12 + MONTH(Q$2)-MONTH($F190)) / 12),
  0)</f>
        <v/>
      </c>
      <c r="R190" s="299">
        <f>IF(AND($F190&lt;=R$2, OR($G190="",$G190&gt;=R$2)),
  $H190 * (1 + Assumptions!$C$7) ^ INT(((YEAR(R$2)-YEAR($F190))*12 + MONTH(R$2)-MONTH($F190)) / 12),
  0)</f>
        <v/>
      </c>
      <c r="S190" s="299">
        <f>IF(AND($F190&lt;=S$2, OR($G190="",$G190&gt;=S$2)),
  $H190 * (1 + Assumptions!$C$7) ^ INT(((YEAR(S$2)-YEAR($F190))*12 + MONTH(S$2)-MONTH($F190)) / 12),
  0)</f>
        <v/>
      </c>
      <c r="T190" s="299">
        <f>IF(AND($F190&lt;=T$2, OR($G190="",$G190&gt;=T$2)),
  $H190 * (1 + Assumptions!$C$7) ^ INT(((YEAR(T$2)-YEAR($F190))*12 + MONTH(T$2)-MONTH($F190)) / 12),
  0)</f>
        <v/>
      </c>
      <c r="U190" s="299">
        <f>IF(AND($F190&lt;=U$2, OR($G190="",$G190&gt;=U$2)),
  $H190 * (1 + Assumptions!$C$7) ^ INT(((YEAR(U$2)-YEAR($F190))*12 + MONTH(U$2)-MONTH($F190)) / 12),
  0)</f>
        <v/>
      </c>
      <c r="V190" s="299">
        <f>IF(AND($F190&lt;=V$2, OR($G190="",$G190&gt;=V$2)),
  $H190 * (1 + Assumptions!$C$7) ^ INT(((YEAR(V$2)-YEAR($F190))*12 + MONTH(V$2)-MONTH($F190)) / 12),
  0)</f>
        <v/>
      </c>
      <c r="W190" s="299">
        <f>IF(AND($F190&lt;=W$2, OR($G190="",$G190&gt;=W$2)),
  $H190 * (1 + Assumptions!$C$7) ^ INT(((YEAR(W$2)-YEAR($F190))*12 + MONTH(W$2)-MONTH($F190)) / 12),
  0)</f>
        <v/>
      </c>
      <c r="X190" s="299">
        <f>IF(AND($F190&lt;=X$2, OR($G190="",$G190&gt;=X$2)),
  $H190 * (1 + Assumptions!$C$7) ^ INT(((YEAR(X$2)-YEAR($F190))*12 + MONTH(X$2)-MONTH($F190)) / 12),
  0)</f>
        <v/>
      </c>
      <c r="Y190" s="299">
        <f>IF(AND($F190&lt;=Y$2, OR($G190="",$G190&gt;=Y$2)),
  $H190 * (1 + Assumptions!$C$7) ^ INT(((YEAR(Y$2)-YEAR($F190))*12 + MONTH(Y$2)-MONTH($F190)) / 12),
  0)</f>
        <v/>
      </c>
      <c r="Z190" s="299">
        <f>IF(AND($F190&lt;=Z$2, OR($G190="",$G190&gt;=Z$2)),
  $H190 * (1 + Assumptions!$C$7) ^ INT(((YEAR(Z$2)-YEAR($F190))*12 + MONTH(Z$2)-MONTH($F190)) / 12),
  0)</f>
        <v/>
      </c>
      <c r="AA190" s="299">
        <f>IF(AND($F190&lt;=AA$2, OR($G190="",$G190&gt;=AA$2)),
  $H190 * (1 + Assumptions!$C$7) ^ INT(((YEAR(AA$2)-YEAR($F190))*12 + MONTH(AA$2)-MONTH($F190)) / 12),
  0)</f>
        <v/>
      </c>
      <c r="AB190" s="299">
        <f>IF(AND($F190&lt;=AB$2, OR($G190="",$G190&gt;=AB$2)),
  $H190 * (1 + Assumptions!$C$7) ^ INT(((YEAR(AB$2)-YEAR($F190))*12 + MONTH(AB$2)-MONTH($F190)) / 12),
  0)</f>
        <v/>
      </c>
      <c r="AC190" s="299">
        <f>IF(AND($F190&lt;=AC$2, OR($G190="",$G190&gt;=AC$2)),
  $H190 * (1 + Assumptions!$C$7) ^ INT(((YEAR(AC$2)-YEAR($F190))*12 + MONTH(AC$2)-MONTH($F190)) / 12),
  0)</f>
        <v/>
      </c>
      <c r="AD190" s="299">
        <f>IF(AND($F190&lt;=AD$2, OR($G190="",$G190&gt;=AD$2)),
  $H190 * (1 + Assumptions!$C$7) ^ INT(((YEAR(AD$2)-YEAR($F190))*12 + MONTH(AD$2)-MONTH($F190)) / 12),
  0)</f>
        <v/>
      </c>
      <c r="AE190" s="299">
        <f>IF(AND($F190&lt;=AE$2, OR($G190="",$G190&gt;=AE$2)),
  $H190 * (1 + Assumptions!$C$7) ^ INT(((YEAR(AE$2)-YEAR($F190))*12 + MONTH(AE$2)-MONTH($F190)) / 12),
  0)</f>
        <v/>
      </c>
      <c r="AF190" s="299">
        <f>IF(AND($F190&lt;=AF$2, OR($G190="",$G190&gt;=AF$2)),
  $H190 * (1 + Assumptions!$C$7) ^ INT(((YEAR(AF$2)-YEAR($F190))*12 + MONTH(AF$2)-MONTH($F190)) / 12),
  0)</f>
        <v/>
      </c>
      <c r="AG190" s="299">
        <f>IF(AND($F190&lt;=AG$2, OR($G190="",$G190&gt;=AG$2)),
  $H190 * (1 + Assumptions!$C$7) ^ INT(((YEAR(AG$2)-YEAR($F190))*12 + MONTH(AG$2)-MONTH($F190)) / 12),
  0)</f>
        <v/>
      </c>
      <c r="AH190" s="299">
        <f>IF(AND($F190&lt;=AH$2, OR($G190="",$G190&gt;=AH$2)),
  $H190 * (1 + Assumptions!$C$7) ^ INT(((YEAR(AH$2)-YEAR($F190))*12 + MONTH(AH$2)-MONTH($F190)) / 12),
  0)</f>
        <v/>
      </c>
      <c r="AI190" s="299">
        <f>IF(AND($F190&lt;=AI$2, OR($G190="",$G190&gt;=AI$2)),
  $H190 * (1 + Assumptions!$C$7) ^ INT(((YEAR(AI$2)-YEAR($F190))*12 + MONTH(AI$2)-MONTH($F190)) / 12),
  0)</f>
        <v/>
      </c>
      <c r="AJ190" s="299">
        <f>IF(AND($F190&lt;=AJ$2, OR($G190="",$G190&gt;=AJ$2)),
  $H190 * (1 + Assumptions!$C$7) ^ INT(((YEAR(AJ$2)-YEAR($F190))*12 + MONTH(AJ$2)-MONTH($F190)) / 12),
  0)</f>
        <v/>
      </c>
      <c r="AK190" s="299">
        <f>IF(AND($F190&lt;=AK$2, OR($G190="",$G190&gt;=AK$2)),
  $H190 * (1 + Assumptions!$C$7) ^ INT(((YEAR(AK$2)-YEAR($F190))*12 + MONTH(AK$2)-MONTH($F190)) / 12),
  0)</f>
        <v/>
      </c>
      <c r="AL190" s="299">
        <f>IF(AND($F190&lt;=AL$2, OR($G190="",$G190&gt;=AL$2)),
  $H190 * (1 + Assumptions!$C$7) ^ INT(((YEAR(AL$2)-YEAR($F190))*12 + MONTH(AL$2)-MONTH($F190)) / 12),
  0)</f>
        <v/>
      </c>
      <c r="AM190" s="299">
        <f>IF(AND($F190&lt;=AM$2, OR($G190="",$G190&gt;=AM$2)),
  $H190 * (1 + Assumptions!$C$7) ^ INT(((YEAR(AM$2)-YEAR($F190))*12 + MONTH(AM$2)-MONTH($F190)) / 12),
  0)</f>
        <v/>
      </c>
      <c r="AN190" s="299">
        <f>IF(AND($F190&lt;=AN$2, OR($G190="",$G190&gt;=AN$2)),
  $H190 * (1 + Assumptions!$C$7) ^ INT(((YEAR(AN$2)-YEAR($F190))*12 + MONTH(AN$2)-MONTH($F190)) / 12),
  0)</f>
        <v/>
      </c>
      <c r="AO190" s="299">
        <f>IF(AND($F190&lt;=AO$2, OR($G190="",$G190&gt;=AO$2)),
  $H190 * (1 + Assumptions!$C$7) ^ INT(((YEAR(AO$2)-YEAR($F190))*12 + MONTH(AO$2)-MONTH($F190)) / 12),
  0)</f>
        <v/>
      </c>
      <c r="AP190" s="299">
        <f>IF(AND($F190&lt;=AP$2, OR($G190="",$G190&gt;=AP$2)),
  $H190 * (1 + Assumptions!$C$7) ^ INT(((YEAR(AP$2)-YEAR($F190))*12 + MONTH(AP$2)-MONTH($F190)) / 12),
  0)</f>
        <v/>
      </c>
      <c r="AQ190" s="299">
        <f>IF(AND($F190&lt;=AQ$2, OR($G190="",$G190&gt;=AQ$2)),
  $H190 * (1 + Assumptions!$C$7) ^ INT(((YEAR(AQ$2)-YEAR($F190))*12 + MONTH(AQ$2)-MONTH($F190)) / 12),
  0)</f>
        <v/>
      </c>
      <c r="AR190" s="299">
        <f>IF(AND($F190&lt;=AR$2, OR($G190="",$G190&gt;=AR$2)),
  $H190 * (1 + Assumptions!$C$7) ^ INT(((YEAR(AR$2)-YEAR($F190))*12 + MONTH(AR$2)-MONTH($F190)) / 12),
  0)</f>
        <v/>
      </c>
      <c r="AS190" s="299">
        <f>IF(AND($F190&lt;=AS$2, OR($G190="",$G190&gt;=AS$2)),
  $H190 * (1 + Assumptions!$C$7) ^ INT(((YEAR(AS$2)-YEAR($F190))*12 + MONTH(AS$2)-MONTH($F190)) / 12),
  0)</f>
        <v/>
      </c>
      <c r="AT190" s="299">
        <f>IF(AND($F190&lt;=AT$2, OR($G190="",$G190&gt;=AT$2)),
  $H190 * (1 + Assumptions!$C$7) ^ INT(((YEAR(AT$2)-YEAR($F190))*12 + MONTH(AT$2)-MONTH($F190)) / 12),
  0)</f>
        <v/>
      </c>
      <c r="AU190" s="299">
        <f>IF(AND($F190&lt;=AU$2, OR($G190="",$G190&gt;=AU$2)),
  $H190 * (1 + Assumptions!$C$7) ^ INT(((YEAR(AU$2)-YEAR($F190))*12 + MONTH(AU$2)-MONTH($F190)) / 12),
  0)</f>
        <v/>
      </c>
      <c r="AV190" s="299">
        <f>IF(AND($F190&lt;=AV$2, OR($G190="",$G190&gt;=AV$2)),
  $H190 * (1 + Assumptions!$C$7) ^ INT(((YEAR(AV$2)-YEAR($F190))*12 + MONTH(AV$2)-MONTH($F190)) / 12),
  0)</f>
        <v/>
      </c>
      <c r="AW190" s="299">
        <f>IF(AND($F190&lt;=AW$2, OR($G190="",$G190&gt;=AW$2)),
  $H190 * (1 + Assumptions!$C$7) ^ INT(((YEAR(AW$2)-YEAR($F190))*12 + MONTH(AW$2)-MONTH($F190)) / 12),
  0)</f>
        <v/>
      </c>
      <c r="AX190" s="299">
        <f>IF(AND($F190&lt;=AX$2, OR($G190="",$G190&gt;=AX$2)),
  $H190 * (1 + Assumptions!$C$7) ^ INT(((YEAR(AX$2)-YEAR($F190))*12 + MONTH(AX$2)-MONTH($F190)) / 12),
  0)</f>
        <v/>
      </c>
      <c r="AY190" s="299">
        <f>IF(AND($F190&lt;=AY$2, OR($G190="",$G190&gt;=AY$2)),
  $H190 * (1 + Assumptions!$C$7) ^ INT(((YEAR(AY$2)-YEAR($F190))*12 + MONTH(AY$2)-MONTH($F190)) / 12),
  0)</f>
        <v/>
      </c>
      <c r="AZ190" s="299">
        <f>IF(AND($F190&lt;=AZ$2, OR($G190="",$G190&gt;=AZ$2)),
  $H190 * (1 + Assumptions!$C$7) ^ INT(((YEAR(AZ$2)-YEAR($F190))*12 + MONTH(AZ$2)-MONTH($F190)) / 12),
  0)</f>
        <v/>
      </c>
      <c r="BA190" s="299">
        <f>IF(AND($F190&lt;=BA$2, OR($G190="",$G190&gt;=BA$2)),
  $H190 * (1 + Assumptions!$C$7) ^ INT(((YEAR(BA$2)-YEAR($F190))*12 + MONTH(BA$2)-MONTH($F190)) / 12),
  0)</f>
        <v/>
      </c>
      <c r="BB190" s="299">
        <f>IF(AND($F190&lt;=BB$2, OR($G190="",$G190&gt;=BB$2)),
  $H190 * (1 + Assumptions!$C$7) ^ INT(((YEAR(BB$2)-YEAR($F190))*12 + MONTH(BB$2)-MONTH($F190)) / 12),
  0)</f>
        <v/>
      </c>
      <c r="BC190" s="299">
        <f>IF(AND($F190&lt;=BC$2, OR($G190="",$G190&gt;=BC$2)),
  $H190 * (1 + Assumptions!$C$7) ^ INT(((YEAR(BC$2)-YEAR($F190))*12 + MONTH(BC$2)-MONTH($F190)) / 12),
  0)</f>
        <v/>
      </c>
      <c r="BD190" s="299">
        <f>IF(AND($F190&lt;=BD$2, OR($G190="",$G190&gt;=BD$2)),
  $H190 * (1 + Assumptions!$C$7) ^ INT(((YEAR(BD$2)-YEAR($F190))*12 + MONTH(BD$2)-MONTH($F190)) / 12),
  0)</f>
        <v/>
      </c>
      <c r="BE190" s="299">
        <f>IF(AND($F190&lt;=BE$2, OR($G190="",$G190&gt;=BE$2)),
  $H190 * (1 + Assumptions!$C$7) ^ INT(((YEAR(BE$2)-YEAR($F190))*12 + MONTH(BE$2)-MONTH($F190)) / 12),
  0)</f>
        <v/>
      </c>
      <c r="BF190" s="299">
        <f>IF(AND($F190&lt;=BF$2, OR($G190="",$G190&gt;=BF$2)),
  $H190 * (1 + Assumptions!$C$7) ^ INT(((YEAR(BF$2)-YEAR($F190))*12 + MONTH(BF$2)-MONTH($F190)) / 12),
  0)</f>
        <v/>
      </c>
      <c r="BG190" s="299">
        <f>IF(AND($F190&lt;=BG$2, OR($G190="",$G190&gt;=BG$2)),
  $H190 * (1 + Assumptions!$C$7) ^ INT(((YEAR(BG$2)-YEAR($F190))*12 + MONTH(BG$2)-MONTH($F190)) / 12),
  0)</f>
        <v/>
      </c>
      <c r="BH190" s="299">
        <f>IF(AND($F190&lt;=BH$2, OR($G190="",$G190&gt;=BH$2)),
  $H190 * (1 + Assumptions!$C$7) ^ INT(((YEAR(BH$2)-YEAR($F190))*12 + MONTH(BH$2)-MONTH($F190)) / 12),
  0)</f>
        <v/>
      </c>
      <c r="BI190" s="299">
        <f>IF(AND($F190&lt;=BI$2, OR($G190="",$G190&gt;=BI$2)),
  $H190 * (1 + Assumptions!$C$7) ^ INT(((YEAR(BI$2)-YEAR($F190))*12 + MONTH(BI$2)-MONTH($F190)) / 12),
  0)</f>
        <v/>
      </c>
      <c r="BJ190" s="299">
        <f>IF(AND($F190&lt;=BJ$2, OR($G190="",$G190&gt;=BJ$2)),
  $H190 * (1 + Assumptions!$C$7) ^ INT(((YEAR(BJ$2)-YEAR($F190))*12 + MONTH(BJ$2)-MONTH($F190)) / 12),
  0)</f>
        <v/>
      </c>
      <c r="BK190" s="299">
        <f>IF(AND($F190&lt;=BK$2, OR($G190="",$G190&gt;=BK$2)),
  $H190 * (1 + Assumptions!$C$7) ^ INT(((YEAR(BK$2)-YEAR($F190))*12 + MONTH(BK$2)-MONTH($F190)) / 12),
  0)</f>
        <v/>
      </c>
      <c r="BL190" s="299">
        <f>IF(AND($F190&lt;=BL$2, OR($G190="",$G190&gt;=BL$2)),
  $H190 * (1 + Assumptions!$C$7) ^ INT(((YEAR(BL$2)-YEAR($F190))*12 + MONTH(BL$2)-MONTH($F190)) / 12),
  0)</f>
        <v/>
      </c>
      <c r="BM190" s="299">
        <f>IF(AND($F190&lt;=BM$2, OR($G190="",$G190&gt;=BM$2)),
  $H190 * (1 + Assumptions!$C$7) ^ INT(((YEAR(BM$2)-YEAR($F190))*12 + MONTH(BM$2)-MONTH($F190)) / 12),
  0)</f>
        <v/>
      </c>
      <c r="BN190" s="299">
        <f>IF(AND($F190&lt;=BN$2, OR($G190="",$G190&gt;=BN$2)),
  $H190 * (1 + Assumptions!$C$7) ^ INT(((YEAR(BN$2)-YEAR($F190))*12 + MONTH(BN$2)-MONTH($F190)) / 12),
  0)</f>
        <v/>
      </c>
      <c r="BO190" s="299">
        <f>IF(AND($F190&lt;=BO$2, OR($G190="",$G190&gt;=BO$2)),
  $H190 * (1 + Assumptions!$C$7) ^ INT(((YEAR(BO$2)-YEAR($F190))*12 + MONTH(BO$2)-MONTH($F190)) / 12),
  0)</f>
        <v/>
      </c>
      <c r="BP190" s="299">
        <f>IF(AND($F190&lt;=BP$2, OR($G190="",$G190&gt;=BP$2)),
  $H190 * (1 + Assumptions!$C$7) ^ INT(((YEAR(BP$2)-YEAR($F190))*12 + MONTH(BP$2)-MONTH($F190)) / 12),
  0)</f>
        <v/>
      </c>
      <c r="BQ190" s="31" t="n"/>
      <c r="BR190" s="31" t="n"/>
      <c r="BS190" s="31" t="n"/>
      <c r="BT190" s="31" t="n"/>
    </row>
    <row r="191" ht="15.75" customHeight="1" s="349">
      <c r="A191" s="321" t="n">
        <v>186</v>
      </c>
      <c r="B191" s="285" t="inlineStr">
        <is>
          <t>New hire</t>
        </is>
      </c>
      <c r="C191" s="317" t="inlineStr">
        <is>
          <t>G&amp;A</t>
        </is>
      </c>
      <c r="D191" s="317" t="inlineStr">
        <is>
          <t>Finance / HR / IT / Legal</t>
        </is>
      </c>
      <c r="E191" s="297" t="inlineStr">
        <is>
          <t>Planned</t>
        </is>
      </c>
      <c r="F191" s="318">
        <f>IF(Assumptions!$D$82=2,DATE(2028,7,1),DATE(2035,1,1))</f>
        <v/>
      </c>
      <c r="G191" s="318" t="n"/>
      <c r="H191" s="288" t="n">
        <v>7000</v>
      </c>
      <c r="I191" s="299">
        <f>IF(AND($F191&lt;=I$2, OR($G191="",$G191&gt;=I$2)),
  $H191 * (1 + Assumptions!$C$7) ^ INT(((YEAR(I$2)-YEAR($F191))*12 + MONTH(I$2)-MONTH($F191)) / 12),
  0)</f>
        <v/>
      </c>
      <c r="J191" s="299">
        <f>IF(AND($F191&lt;=J$2, OR($G191="",$G191&gt;=J$2)),
  $H191 * (1 + Assumptions!$C$7) ^ INT(((YEAR(J$2)-YEAR($F191))*12 + MONTH(J$2)-MONTH($F191)) / 12),
  0)</f>
        <v/>
      </c>
      <c r="K191" s="299">
        <f>IF(AND($F191&lt;=K$2, OR($G191="",$G191&gt;=K$2)),
  $H191 * (1 + Assumptions!$C$7) ^ INT(((YEAR(K$2)-YEAR($F191))*12 + MONTH(K$2)-MONTH($F191)) / 12),
  0)</f>
        <v/>
      </c>
      <c r="L191" s="299">
        <f>IF(AND($F191&lt;=L$2, OR($G191="",$G191&gt;=L$2)),
  $H191 * (1 + Assumptions!$C$7) ^ INT(((YEAR(L$2)-YEAR($F191))*12 + MONTH(L$2)-MONTH($F191)) / 12),
  0)</f>
        <v/>
      </c>
      <c r="M191" s="299">
        <f>IF(AND($F191&lt;=M$2, OR($G191="",$G191&gt;=M$2)),
  $H191 * (1 + Assumptions!$C$7) ^ INT(((YEAR(M$2)-YEAR($F191))*12 + MONTH(M$2)-MONTH($F191)) / 12),
  0)</f>
        <v/>
      </c>
      <c r="N191" s="299">
        <f>IF(AND($F191&lt;=N$2, OR($G191="",$G191&gt;=N$2)),
  $H191 * (1 + Assumptions!$C$7) ^ INT(((YEAR(N$2)-YEAR($F191))*12 + MONTH(N$2)-MONTH($F191)) / 12),
  0)</f>
        <v/>
      </c>
      <c r="O191" s="299">
        <f>IF(AND($F191&lt;=O$2, OR($G191="",$G191&gt;=O$2)),
  $H191 * (1 + Assumptions!$C$7) ^ INT(((YEAR(O$2)-YEAR($F191))*12 + MONTH(O$2)-MONTH($F191)) / 12),
  0)</f>
        <v/>
      </c>
      <c r="P191" s="299">
        <f>IF(AND($F191&lt;=P$2, OR($G191="",$G191&gt;=P$2)),
  $H191 * (1 + Assumptions!$C$7) ^ INT(((YEAR(P$2)-YEAR($F191))*12 + MONTH(P$2)-MONTH($F191)) / 12),
  0)</f>
        <v/>
      </c>
      <c r="Q191" s="299">
        <f>IF(AND($F191&lt;=Q$2, OR($G191="",$G191&gt;=Q$2)),
  $H191 * (1 + Assumptions!$C$7) ^ INT(((YEAR(Q$2)-YEAR($F191))*12 + MONTH(Q$2)-MONTH($F191)) / 12),
  0)</f>
        <v/>
      </c>
      <c r="R191" s="299">
        <f>IF(AND($F191&lt;=R$2, OR($G191="",$G191&gt;=R$2)),
  $H191 * (1 + Assumptions!$C$7) ^ INT(((YEAR(R$2)-YEAR($F191))*12 + MONTH(R$2)-MONTH($F191)) / 12),
  0)</f>
        <v/>
      </c>
      <c r="S191" s="299">
        <f>IF(AND($F191&lt;=S$2, OR($G191="",$G191&gt;=S$2)),
  $H191 * (1 + Assumptions!$C$7) ^ INT(((YEAR(S$2)-YEAR($F191))*12 + MONTH(S$2)-MONTH($F191)) / 12),
  0)</f>
        <v/>
      </c>
      <c r="T191" s="299">
        <f>IF(AND($F191&lt;=T$2, OR($G191="",$G191&gt;=T$2)),
  $H191 * (1 + Assumptions!$C$7) ^ INT(((YEAR(T$2)-YEAR($F191))*12 + MONTH(T$2)-MONTH($F191)) / 12),
  0)</f>
        <v/>
      </c>
      <c r="U191" s="299">
        <f>IF(AND($F191&lt;=U$2, OR($G191="",$G191&gt;=U$2)),
  $H191 * (1 + Assumptions!$C$7) ^ INT(((YEAR(U$2)-YEAR($F191))*12 + MONTH(U$2)-MONTH($F191)) / 12),
  0)</f>
        <v/>
      </c>
      <c r="V191" s="299">
        <f>IF(AND($F191&lt;=V$2, OR($G191="",$G191&gt;=V$2)),
  $H191 * (1 + Assumptions!$C$7) ^ INT(((YEAR(V$2)-YEAR($F191))*12 + MONTH(V$2)-MONTH($F191)) / 12),
  0)</f>
        <v/>
      </c>
      <c r="W191" s="299">
        <f>IF(AND($F191&lt;=W$2, OR($G191="",$G191&gt;=W$2)),
  $H191 * (1 + Assumptions!$C$7) ^ INT(((YEAR(W$2)-YEAR($F191))*12 + MONTH(W$2)-MONTH($F191)) / 12),
  0)</f>
        <v/>
      </c>
      <c r="X191" s="299">
        <f>IF(AND($F191&lt;=X$2, OR($G191="",$G191&gt;=X$2)),
  $H191 * (1 + Assumptions!$C$7) ^ INT(((YEAR(X$2)-YEAR($F191))*12 + MONTH(X$2)-MONTH($F191)) / 12),
  0)</f>
        <v/>
      </c>
      <c r="Y191" s="299">
        <f>IF(AND($F191&lt;=Y$2, OR($G191="",$G191&gt;=Y$2)),
  $H191 * (1 + Assumptions!$C$7) ^ INT(((YEAR(Y$2)-YEAR($F191))*12 + MONTH(Y$2)-MONTH($F191)) / 12),
  0)</f>
        <v/>
      </c>
      <c r="Z191" s="299">
        <f>IF(AND($F191&lt;=Z$2, OR($G191="",$G191&gt;=Z$2)),
  $H191 * (1 + Assumptions!$C$7) ^ INT(((YEAR(Z$2)-YEAR($F191))*12 + MONTH(Z$2)-MONTH($F191)) / 12),
  0)</f>
        <v/>
      </c>
      <c r="AA191" s="299">
        <f>IF(AND($F191&lt;=AA$2, OR($G191="",$G191&gt;=AA$2)),
  $H191 * (1 + Assumptions!$C$7) ^ INT(((YEAR(AA$2)-YEAR($F191))*12 + MONTH(AA$2)-MONTH($F191)) / 12),
  0)</f>
        <v/>
      </c>
      <c r="AB191" s="299">
        <f>IF(AND($F191&lt;=AB$2, OR($G191="",$G191&gt;=AB$2)),
  $H191 * (1 + Assumptions!$C$7) ^ INT(((YEAR(AB$2)-YEAR($F191))*12 + MONTH(AB$2)-MONTH($F191)) / 12),
  0)</f>
        <v/>
      </c>
      <c r="AC191" s="299">
        <f>IF(AND($F191&lt;=AC$2, OR($G191="",$G191&gt;=AC$2)),
  $H191 * (1 + Assumptions!$C$7) ^ INT(((YEAR(AC$2)-YEAR($F191))*12 + MONTH(AC$2)-MONTH($F191)) / 12),
  0)</f>
        <v/>
      </c>
      <c r="AD191" s="299">
        <f>IF(AND($F191&lt;=AD$2, OR($G191="",$G191&gt;=AD$2)),
  $H191 * (1 + Assumptions!$C$7) ^ INT(((YEAR(AD$2)-YEAR($F191))*12 + MONTH(AD$2)-MONTH($F191)) / 12),
  0)</f>
        <v/>
      </c>
      <c r="AE191" s="299">
        <f>IF(AND($F191&lt;=AE$2, OR($G191="",$G191&gt;=AE$2)),
  $H191 * (1 + Assumptions!$C$7) ^ INT(((YEAR(AE$2)-YEAR($F191))*12 + MONTH(AE$2)-MONTH($F191)) / 12),
  0)</f>
        <v/>
      </c>
      <c r="AF191" s="299">
        <f>IF(AND($F191&lt;=AF$2, OR($G191="",$G191&gt;=AF$2)),
  $H191 * (1 + Assumptions!$C$7) ^ INT(((YEAR(AF$2)-YEAR($F191))*12 + MONTH(AF$2)-MONTH($F191)) / 12),
  0)</f>
        <v/>
      </c>
      <c r="AG191" s="299">
        <f>IF(AND($F191&lt;=AG$2, OR($G191="",$G191&gt;=AG$2)),
  $H191 * (1 + Assumptions!$C$7) ^ INT(((YEAR(AG$2)-YEAR($F191))*12 + MONTH(AG$2)-MONTH($F191)) / 12),
  0)</f>
        <v/>
      </c>
      <c r="AH191" s="299">
        <f>IF(AND($F191&lt;=AH$2, OR($G191="",$G191&gt;=AH$2)),
  $H191 * (1 + Assumptions!$C$7) ^ INT(((YEAR(AH$2)-YEAR($F191))*12 + MONTH(AH$2)-MONTH($F191)) / 12),
  0)</f>
        <v/>
      </c>
      <c r="AI191" s="299">
        <f>IF(AND($F191&lt;=AI$2, OR($G191="",$G191&gt;=AI$2)),
  $H191 * (1 + Assumptions!$C$7) ^ INT(((YEAR(AI$2)-YEAR($F191))*12 + MONTH(AI$2)-MONTH($F191)) / 12),
  0)</f>
        <v/>
      </c>
      <c r="AJ191" s="299">
        <f>IF(AND($F191&lt;=AJ$2, OR($G191="",$G191&gt;=AJ$2)),
  $H191 * (1 + Assumptions!$C$7) ^ INT(((YEAR(AJ$2)-YEAR($F191))*12 + MONTH(AJ$2)-MONTH($F191)) / 12),
  0)</f>
        <v/>
      </c>
      <c r="AK191" s="299">
        <f>IF(AND($F191&lt;=AK$2, OR($G191="",$G191&gt;=AK$2)),
  $H191 * (1 + Assumptions!$C$7) ^ INT(((YEAR(AK$2)-YEAR($F191))*12 + MONTH(AK$2)-MONTH($F191)) / 12),
  0)</f>
        <v/>
      </c>
      <c r="AL191" s="299">
        <f>IF(AND($F191&lt;=AL$2, OR($G191="",$G191&gt;=AL$2)),
  $H191 * (1 + Assumptions!$C$7) ^ INT(((YEAR(AL$2)-YEAR($F191))*12 + MONTH(AL$2)-MONTH($F191)) / 12),
  0)</f>
        <v/>
      </c>
      <c r="AM191" s="299">
        <f>IF(AND($F191&lt;=AM$2, OR($G191="",$G191&gt;=AM$2)),
  $H191 * (1 + Assumptions!$C$7) ^ INT(((YEAR(AM$2)-YEAR($F191))*12 + MONTH(AM$2)-MONTH($F191)) / 12),
  0)</f>
        <v/>
      </c>
      <c r="AN191" s="299">
        <f>IF(AND($F191&lt;=AN$2, OR($G191="",$G191&gt;=AN$2)),
  $H191 * (1 + Assumptions!$C$7) ^ INT(((YEAR(AN$2)-YEAR($F191))*12 + MONTH(AN$2)-MONTH($F191)) / 12),
  0)</f>
        <v/>
      </c>
      <c r="AO191" s="299">
        <f>IF(AND($F191&lt;=AO$2, OR($G191="",$G191&gt;=AO$2)),
  $H191 * (1 + Assumptions!$C$7) ^ INT(((YEAR(AO$2)-YEAR($F191))*12 + MONTH(AO$2)-MONTH($F191)) / 12),
  0)</f>
        <v/>
      </c>
      <c r="AP191" s="299">
        <f>IF(AND($F191&lt;=AP$2, OR($G191="",$G191&gt;=AP$2)),
  $H191 * (1 + Assumptions!$C$7) ^ INT(((YEAR(AP$2)-YEAR($F191))*12 + MONTH(AP$2)-MONTH($F191)) / 12),
  0)</f>
        <v/>
      </c>
      <c r="AQ191" s="299">
        <f>IF(AND($F191&lt;=AQ$2, OR($G191="",$G191&gt;=AQ$2)),
  $H191 * (1 + Assumptions!$C$7) ^ INT(((YEAR(AQ$2)-YEAR($F191))*12 + MONTH(AQ$2)-MONTH($F191)) / 12),
  0)</f>
        <v/>
      </c>
      <c r="AR191" s="299">
        <f>IF(AND($F191&lt;=AR$2, OR($G191="",$G191&gt;=AR$2)),
  $H191 * (1 + Assumptions!$C$7) ^ INT(((YEAR(AR$2)-YEAR($F191))*12 + MONTH(AR$2)-MONTH($F191)) / 12),
  0)</f>
        <v/>
      </c>
      <c r="AS191" s="299">
        <f>IF(AND($F191&lt;=AS$2, OR($G191="",$G191&gt;=AS$2)),
  $H191 * (1 + Assumptions!$C$7) ^ INT(((YEAR(AS$2)-YEAR($F191))*12 + MONTH(AS$2)-MONTH($F191)) / 12),
  0)</f>
        <v/>
      </c>
      <c r="AT191" s="299">
        <f>IF(AND($F191&lt;=AT$2, OR($G191="",$G191&gt;=AT$2)),
  $H191 * (1 + Assumptions!$C$7) ^ INT(((YEAR(AT$2)-YEAR($F191))*12 + MONTH(AT$2)-MONTH($F191)) / 12),
  0)</f>
        <v/>
      </c>
      <c r="AU191" s="299">
        <f>IF(AND($F191&lt;=AU$2, OR($G191="",$G191&gt;=AU$2)),
  $H191 * (1 + Assumptions!$C$7) ^ INT(((YEAR(AU$2)-YEAR($F191))*12 + MONTH(AU$2)-MONTH($F191)) / 12),
  0)</f>
        <v/>
      </c>
      <c r="AV191" s="299">
        <f>IF(AND($F191&lt;=AV$2, OR($G191="",$G191&gt;=AV$2)),
  $H191 * (1 + Assumptions!$C$7) ^ INT(((YEAR(AV$2)-YEAR($F191))*12 + MONTH(AV$2)-MONTH($F191)) / 12),
  0)</f>
        <v/>
      </c>
      <c r="AW191" s="299">
        <f>IF(AND($F191&lt;=AW$2, OR($G191="",$G191&gt;=AW$2)),
  $H191 * (1 + Assumptions!$C$7) ^ INT(((YEAR(AW$2)-YEAR($F191))*12 + MONTH(AW$2)-MONTH($F191)) / 12),
  0)</f>
        <v/>
      </c>
      <c r="AX191" s="299">
        <f>IF(AND($F191&lt;=AX$2, OR($G191="",$G191&gt;=AX$2)),
  $H191 * (1 + Assumptions!$C$7) ^ INT(((YEAR(AX$2)-YEAR($F191))*12 + MONTH(AX$2)-MONTH($F191)) / 12),
  0)</f>
        <v/>
      </c>
      <c r="AY191" s="299">
        <f>IF(AND($F191&lt;=AY$2, OR($G191="",$G191&gt;=AY$2)),
  $H191 * (1 + Assumptions!$C$7) ^ INT(((YEAR(AY$2)-YEAR($F191))*12 + MONTH(AY$2)-MONTH($F191)) / 12),
  0)</f>
        <v/>
      </c>
      <c r="AZ191" s="299">
        <f>IF(AND($F191&lt;=AZ$2, OR($G191="",$G191&gt;=AZ$2)),
  $H191 * (1 + Assumptions!$C$7) ^ INT(((YEAR(AZ$2)-YEAR($F191))*12 + MONTH(AZ$2)-MONTH($F191)) / 12),
  0)</f>
        <v/>
      </c>
      <c r="BA191" s="299">
        <f>IF(AND($F191&lt;=BA$2, OR($G191="",$G191&gt;=BA$2)),
  $H191 * (1 + Assumptions!$C$7) ^ INT(((YEAR(BA$2)-YEAR($F191))*12 + MONTH(BA$2)-MONTH($F191)) / 12),
  0)</f>
        <v/>
      </c>
      <c r="BB191" s="299">
        <f>IF(AND($F191&lt;=BB$2, OR($G191="",$G191&gt;=BB$2)),
  $H191 * (1 + Assumptions!$C$7) ^ INT(((YEAR(BB$2)-YEAR($F191))*12 + MONTH(BB$2)-MONTH($F191)) / 12),
  0)</f>
        <v/>
      </c>
      <c r="BC191" s="299">
        <f>IF(AND($F191&lt;=BC$2, OR($G191="",$G191&gt;=BC$2)),
  $H191 * (1 + Assumptions!$C$7) ^ INT(((YEAR(BC$2)-YEAR($F191))*12 + MONTH(BC$2)-MONTH($F191)) / 12),
  0)</f>
        <v/>
      </c>
      <c r="BD191" s="299">
        <f>IF(AND($F191&lt;=BD$2, OR($G191="",$G191&gt;=BD$2)),
  $H191 * (1 + Assumptions!$C$7) ^ INT(((YEAR(BD$2)-YEAR($F191))*12 + MONTH(BD$2)-MONTH($F191)) / 12),
  0)</f>
        <v/>
      </c>
      <c r="BE191" s="299">
        <f>IF(AND($F191&lt;=BE$2, OR($G191="",$G191&gt;=BE$2)),
  $H191 * (1 + Assumptions!$C$7) ^ INT(((YEAR(BE$2)-YEAR($F191))*12 + MONTH(BE$2)-MONTH($F191)) / 12),
  0)</f>
        <v/>
      </c>
      <c r="BF191" s="299">
        <f>IF(AND($F191&lt;=BF$2, OR($G191="",$G191&gt;=BF$2)),
  $H191 * (1 + Assumptions!$C$7) ^ INT(((YEAR(BF$2)-YEAR($F191))*12 + MONTH(BF$2)-MONTH($F191)) / 12),
  0)</f>
        <v/>
      </c>
      <c r="BG191" s="299">
        <f>IF(AND($F191&lt;=BG$2, OR($G191="",$G191&gt;=BG$2)),
  $H191 * (1 + Assumptions!$C$7) ^ INT(((YEAR(BG$2)-YEAR($F191))*12 + MONTH(BG$2)-MONTH($F191)) / 12),
  0)</f>
        <v/>
      </c>
      <c r="BH191" s="299">
        <f>IF(AND($F191&lt;=BH$2, OR($G191="",$G191&gt;=BH$2)),
  $H191 * (1 + Assumptions!$C$7) ^ INT(((YEAR(BH$2)-YEAR($F191))*12 + MONTH(BH$2)-MONTH($F191)) / 12),
  0)</f>
        <v/>
      </c>
      <c r="BI191" s="299">
        <f>IF(AND($F191&lt;=BI$2, OR($G191="",$G191&gt;=BI$2)),
  $H191 * (1 + Assumptions!$C$7) ^ INT(((YEAR(BI$2)-YEAR($F191))*12 + MONTH(BI$2)-MONTH($F191)) / 12),
  0)</f>
        <v/>
      </c>
      <c r="BJ191" s="299">
        <f>IF(AND($F191&lt;=BJ$2, OR($G191="",$G191&gt;=BJ$2)),
  $H191 * (1 + Assumptions!$C$7) ^ INT(((YEAR(BJ$2)-YEAR($F191))*12 + MONTH(BJ$2)-MONTH($F191)) / 12),
  0)</f>
        <v/>
      </c>
      <c r="BK191" s="299">
        <f>IF(AND($F191&lt;=BK$2, OR($G191="",$G191&gt;=BK$2)),
  $H191 * (1 + Assumptions!$C$7) ^ INT(((YEAR(BK$2)-YEAR($F191))*12 + MONTH(BK$2)-MONTH($F191)) / 12),
  0)</f>
        <v/>
      </c>
      <c r="BL191" s="299">
        <f>IF(AND($F191&lt;=BL$2, OR($G191="",$G191&gt;=BL$2)),
  $H191 * (1 + Assumptions!$C$7) ^ INT(((YEAR(BL$2)-YEAR($F191))*12 + MONTH(BL$2)-MONTH($F191)) / 12),
  0)</f>
        <v/>
      </c>
      <c r="BM191" s="299">
        <f>IF(AND($F191&lt;=BM$2, OR($G191="",$G191&gt;=BM$2)),
  $H191 * (1 + Assumptions!$C$7) ^ INT(((YEAR(BM$2)-YEAR($F191))*12 + MONTH(BM$2)-MONTH($F191)) / 12),
  0)</f>
        <v/>
      </c>
      <c r="BN191" s="299">
        <f>IF(AND($F191&lt;=BN$2, OR($G191="",$G191&gt;=BN$2)),
  $H191 * (1 + Assumptions!$C$7) ^ INT(((YEAR(BN$2)-YEAR($F191))*12 + MONTH(BN$2)-MONTH($F191)) / 12),
  0)</f>
        <v/>
      </c>
      <c r="BO191" s="299">
        <f>IF(AND($F191&lt;=BO$2, OR($G191="",$G191&gt;=BO$2)),
  $H191 * (1 + Assumptions!$C$7) ^ INT(((YEAR(BO$2)-YEAR($F191))*12 + MONTH(BO$2)-MONTH($F191)) / 12),
  0)</f>
        <v/>
      </c>
      <c r="BP191" s="299">
        <f>IF(AND($F191&lt;=BP$2, OR($G191="",$G191&gt;=BP$2)),
  $H191 * (1 + Assumptions!$C$7) ^ INT(((YEAR(BP$2)-YEAR($F191))*12 + MONTH(BP$2)-MONTH($F191)) / 12),
  0)</f>
        <v/>
      </c>
      <c r="BQ191" s="31" t="n"/>
      <c r="BR191" s="31" t="n"/>
      <c r="BS191" s="31" t="n"/>
      <c r="BT191" s="31" t="n"/>
    </row>
    <row r="192" ht="15.75" customHeight="1" s="349">
      <c r="A192" s="321" t="n">
        <v>187</v>
      </c>
      <c r="B192" s="285" t="inlineStr">
        <is>
          <t>New hire</t>
        </is>
      </c>
      <c r="C192" s="317" t="inlineStr">
        <is>
          <t>G&amp;A</t>
        </is>
      </c>
      <c r="D192" s="317" t="inlineStr">
        <is>
          <t>Finance / HR / IT / Legal</t>
        </is>
      </c>
      <c r="E192" s="297" t="inlineStr">
        <is>
          <t>Planned</t>
        </is>
      </c>
      <c r="F192" s="318">
        <f>IF(Assumptions!$D$82=2,DATE(2028,7,1),DATE(2035,1,1))</f>
        <v/>
      </c>
      <c r="G192" s="318" t="n"/>
      <c r="H192" s="288" t="n">
        <v>7000</v>
      </c>
      <c r="I192" s="299">
        <f>IF(AND($F192&lt;=I$2, OR($G192="",$G192&gt;=I$2)),
  $H192 * (1 + Assumptions!$C$7) ^ INT(((YEAR(I$2)-YEAR($F192))*12 + MONTH(I$2)-MONTH($F192)) / 12),
  0)</f>
        <v/>
      </c>
      <c r="J192" s="299">
        <f>IF(AND($F192&lt;=J$2, OR($G192="",$G192&gt;=J$2)),
  $H192 * (1 + Assumptions!$C$7) ^ INT(((YEAR(J$2)-YEAR($F192))*12 + MONTH(J$2)-MONTH($F192)) / 12),
  0)</f>
        <v/>
      </c>
      <c r="K192" s="299">
        <f>IF(AND($F192&lt;=K$2, OR($G192="",$G192&gt;=K$2)),
  $H192 * (1 + Assumptions!$C$7) ^ INT(((YEAR(K$2)-YEAR($F192))*12 + MONTH(K$2)-MONTH($F192)) / 12),
  0)</f>
        <v/>
      </c>
      <c r="L192" s="299">
        <f>IF(AND($F192&lt;=L$2, OR($G192="",$G192&gt;=L$2)),
  $H192 * (1 + Assumptions!$C$7) ^ INT(((YEAR(L$2)-YEAR($F192))*12 + MONTH(L$2)-MONTH($F192)) / 12),
  0)</f>
        <v/>
      </c>
      <c r="M192" s="299">
        <f>IF(AND($F192&lt;=M$2, OR($G192="",$G192&gt;=M$2)),
  $H192 * (1 + Assumptions!$C$7) ^ INT(((YEAR(M$2)-YEAR($F192))*12 + MONTH(M$2)-MONTH($F192)) / 12),
  0)</f>
        <v/>
      </c>
      <c r="N192" s="299">
        <f>IF(AND($F192&lt;=N$2, OR($G192="",$G192&gt;=N$2)),
  $H192 * (1 + Assumptions!$C$7) ^ INT(((YEAR(N$2)-YEAR($F192))*12 + MONTH(N$2)-MONTH($F192)) / 12),
  0)</f>
        <v/>
      </c>
      <c r="O192" s="299">
        <f>IF(AND($F192&lt;=O$2, OR($G192="",$G192&gt;=O$2)),
  $H192 * (1 + Assumptions!$C$7) ^ INT(((YEAR(O$2)-YEAR($F192))*12 + MONTH(O$2)-MONTH($F192)) / 12),
  0)</f>
        <v/>
      </c>
      <c r="P192" s="299">
        <f>IF(AND($F192&lt;=P$2, OR($G192="",$G192&gt;=P$2)),
  $H192 * (1 + Assumptions!$C$7) ^ INT(((YEAR(P$2)-YEAR($F192))*12 + MONTH(P$2)-MONTH($F192)) / 12),
  0)</f>
        <v/>
      </c>
      <c r="Q192" s="299">
        <f>IF(AND($F192&lt;=Q$2, OR($G192="",$G192&gt;=Q$2)),
  $H192 * (1 + Assumptions!$C$7) ^ INT(((YEAR(Q$2)-YEAR($F192))*12 + MONTH(Q$2)-MONTH($F192)) / 12),
  0)</f>
        <v/>
      </c>
      <c r="R192" s="299">
        <f>IF(AND($F192&lt;=R$2, OR($G192="",$G192&gt;=R$2)),
  $H192 * (1 + Assumptions!$C$7) ^ INT(((YEAR(R$2)-YEAR($F192))*12 + MONTH(R$2)-MONTH($F192)) / 12),
  0)</f>
        <v/>
      </c>
      <c r="S192" s="299">
        <f>IF(AND($F192&lt;=S$2, OR($G192="",$G192&gt;=S$2)),
  $H192 * (1 + Assumptions!$C$7) ^ INT(((YEAR(S$2)-YEAR($F192))*12 + MONTH(S$2)-MONTH($F192)) / 12),
  0)</f>
        <v/>
      </c>
      <c r="T192" s="299">
        <f>IF(AND($F192&lt;=T$2, OR($G192="",$G192&gt;=T$2)),
  $H192 * (1 + Assumptions!$C$7) ^ INT(((YEAR(T$2)-YEAR($F192))*12 + MONTH(T$2)-MONTH($F192)) / 12),
  0)</f>
        <v/>
      </c>
      <c r="U192" s="299">
        <f>IF(AND($F192&lt;=U$2, OR($G192="",$G192&gt;=U$2)),
  $H192 * (1 + Assumptions!$C$7) ^ INT(((YEAR(U$2)-YEAR($F192))*12 + MONTH(U$2)-MONTH($F192)) / 12),
  0)</f>
        <v/>
      </c>
      <c r="V192" s="299">
        <f>IF(AND($F192&lt;=V$2, OR($G192="",$G192&gt;=V$2)),
  $H192 * (1 + Assumptions!$C$7) ^ INT(((YEAR(V$2)-YEAR($F192))*12 + MONTH(V$2)-MONTH($F192)) / 12),
  0)</f>
        <v/>
      </c>
      <c r="W192" s="299">
        <f>IF(AND($F192&lt;=W$2, OR($G192="",$G192&gt;=W$2)),
  $H192 * (1 + Assumptions!$C$7) ^ INT(((YEAR(W$2)-YEAR($F192))*12 + MONTH(W$2)-MONTH($F192)) / 12),
  0)</f>
        <v/>
      </c>
      <c r="X192" s="299">
        <f>IF(AND($F192&lt;=X$2, OR($G192="",$G192&gt;=X$2)),
  $H192 * (1 + Assumptions!$C$7) ^ INT(((YEAR(X$2)-YEAR($F192))*12 + MONTH(X$2)-MONTH($F192)) / 12),
  0)</f>
        <v/>
      </c>
      <c r="Y192" s="299">
        <f>IF(AND($F192&lt;=Y$2, OR($G192="",$G192&gt;=Y$2)),
  $H192 * (1 + Assumptions!$C$7) ^ INT(((YEAR(Y$2)-YEAR($F192))*12 + MONTH(Y$2)-MONTH($F192)) / 12),
  0)</f>
        <v/>
      </c>
      <c r="Z192" s="299">
        <f>IF(AND($F192&lt;=Z$2, OR($G192="",$G192&gt;=Z$2)),
  $H192 * (1 + Assumptions!$C$7) ^ INT(((YEAR(Z$2)-YEAR($F192))*12 + MONTH(Z$2)-MONTH($F192)) / 12),
  0)</f>
        <v/>
      </c>
      <c r="AA192" s="299">
        <f>IF(AND($F192&lt;=AA$2, OR($G192="",$G192&gt;=AA$2)),
  $H192 * (1 + Assumptions!$C$7) ^ INT(((YEAR(AA$2)-YEAR($F192))*12 + MONTH(AA$2)-MONTH($F192)) / 12),
  0)</f>
        <v/>
      </c>
      <c r="AB192" s="299">
        <f>IF(AND($F192&lt;=AB$2, OR($G192="",$G192&gt;=AB$2)),
  $H192 * (1 + Assumptions!$C$7) ^ INT(((YEAR(AB$2)-YEAR($F192))*12 + MONTH(AB$2)-MONTH($F192)) / 12),
  0)</f>
        <v/>
      </c>
      <c r="AC192" s="299">
        <f>IF(AND($F192&lt;=AC$2, OR($G192="",$G192&gt;=AC$2)),
  $H192 * (1 + Assumptions!$C$7) ^ INT(((YEAR(AC$2)-YEAR($F192))*12 + MONTH(AC$2)-MONTH($F192)) / 12),
  0)</f>
        <v/>
      </c>
      <c r="AD192" s="299">
        <f>IF(AND($F192&lt;=AD$2, OR($G192="",$G192&gt;=AD$2)),
  $H192 * (1 + Assumptions!$C$7) ^ INT(((YEAR(AD$2)-YEAR($F192))*12 + MONTH(AD$2)-MONTH($F192)) / 12),
  0)</f>
        <v/>
      </c>
      <c r="AE192" s="299">
        <f>IF(AND($F192&lt;=AE$2, OR($G192="",$G192&gt;=AE$2)),
  $H192 * (1 + Assumptions!$C$7) ^ INT(((YEAR(AE$2)-YEAR($F192))*12 + MONTH(AE$2)-MONTH($F192)) / 12),
  0)</f>
        <v/>
      </c>
      <c r="AF192" s="299">
        <f>IF(AND($F192&lt;=AF$2, OR($G192="",$G192&gt;=AF$2)),
  $H192 * (1 + Assumptions!$C$7) ^ INT(((YEAR(AF$2)-YEAR($F192))*12 + MONTH(AF$2)-MONTH($F192)) / 12),
  0)</f>
        <v/>
      </c>
      <c r="AG192" s="299">
        <f>IF(AND($F192&lt;=AG$2, OR($G192="",$G192&gt;=AG$2)),
  $H192 * (1 + Assumptions!$C$7) ^ INT(((YEAR(AG$2)-YEAR($F192))*12 + MONTH(AG$2)-MONTH($F192)) / 12),
  0)</f>
        <v/>
      </c>
      <c r="AH192" s="299">
        <f>IF(AND($F192&lt;=AH$2, OR($G192="",$G192&gt;=AH$2)),
  $H192 * (1 + Assumptions!$C$7) ^ INT(((YEAR(AH$2)-YEAR($F192))*12 + MONTH(AH$2)-MONTH($F192)) / 12),
  0)</f>
        <v/>
      </c>
      <c r="AI192" s="299">
        <f>IF(AND($F192&lt;=AI$2, OR($G192="",$G192&gt;=AI$2)),
  $H192 * (1 + Assumptions!$C$7) ^ INT(((YEAR(AI$2)-YEAR($F192))*12 + MONTH(AI$2)-MONTH($F192)) / 12),
  0)</f>
        <v/>
      </c>
      <c r="AJ192" s="299">
        <f>IF(AND($F192&lt;=AJ$2, OR($G192="",$G192&gt;=AJ$2)),
  $H192 * (1 + Assumptions!$C$7) ^ INT(((YEAR(AJ$2)-YEAR($F192))*12 + MONTH(AJ$2)-MONTH($F192)) / 12),
  0)</f>
        <v/>
      </c>
      <c r="AK192" s="299">
        <f>IF(AND($F192&lt;=AK$2, OR($G192="",$G192&gt;=AK$2)),
  $H192 * (1 + Assumptions!$C$7) ^ INT(((YEAR(AK$2)-YEAR($F192))*12 + MONTH(AK$2)-MONTH($F192)) / 12),
  0)</f>
        <v/>
      </c>
      <c r="AL192" s="299">
        <f>IF(AND($F192&lt;=AL$2, OR($G192="",$G192&gt;=AL$2)),
  $H192 * (1 + Assumptions!$C$7) ^ INT(((YEAR(AL$2)-YEAR($F192))*12 + MONTH(AL$2)-MONTH($F192)) / 12),
  0)</f>
        <v/>
      </c>
      <c r="AM192" s="299">
        <f>IF(AND($F192&lt;=AM$2, OR($G192="",$G192&gt;=AM$2)),
  $H192 * (1 + Assumptions!$C$7) ^ INT(((YEAR(AM$2)-YEAR($F192))*12 + MONTH(AM$2)-MONTH($F192)) / 12),
  0)</f>
        <v/>
      </c>
      <c r="AN192" s="299">
        <f>IF(AND($F192&lt;=AN$2, OR($G192="",$G192&gt;=AN$2)),
  $H192 * (1 + Assumptions!$C$7) ^ INT(((YEAR(AN$2)-YEAR($F192))*12 + MONTH(AN$2)-MONTH($F192)) / 12),
  0)</f>
        <v/>
      </c>
      <c r="AO192" s="299">
        <f>IF(AND($F192&lt;=AO$2, OR($G192="",$G192&gt;=AO$2)),
  $H192 * (1 + Assumptions!$C$7) ^ INT(((YEAR(AO$2)-YEAR($F192))*12 + MONTH(AO$2)-MONTH($F192)) / 12),
  0)</f>
        <v/>
      </c>
      <c r="AP192" s="299">
        <f>IF(AND($F192&lt;=AP$2, OR($G192="",$G192&gt;=AP$2)),
  $H192 * (1 + Assumptions!$C$7) ^ INT(((YEAR(AP$2)-YEAR($F192))*12 + MONTH(AP$2)-MONTH($F192)) / 12),
  0)</f>
        <v/>
      </c>
      <c r="AQ192" s="299">
        <f>IF(AND($F192&lt;=AQ$2, OR($G192="",$G192&gt;=AQ$2)),
  $H192 * (1 + Assumptions!$C$7) ^ INT(((YEAR(AQ$2)-YEAR($F192))*12 + MONTH(AQ$2)-MONTH($F192)) / 12),
  0)</f>
        <v/>
      </c>
      <c r="AR192" s="299">
        <f>IF(AND($F192&lt;=AR$2, OR($G192="",$G192&gt;=AR$2)),
  $H192 * (1 + Assumptions!$C$7) ^ INT(((YEAR(AR$2)-YEAR($F192))*12 + MONTH(AR$2)-MONTH($F192)) / 12),
  0)</f>
        <v/>
      </c>
      <c r="AS192" s="299">
        <f>IF(AND($F192&lt;=AS$2, OR($G192="",$G192&gt;=AS$2)),
  $H192 * (1 + Assumptions!$C$7) ^ INT(((YEAR(AS$2)-YEAR($F192))*12 + MONTH(AS$2)-MONTH($F192)) / 12),
  0)</f>
        <v/>
      </c>
      <c r="AT192" s="299">
        <f>IF(AND($F192&lt;=AT$2, OR($G192="",$G192&gt;=AT$2)),
  $H192 * (1 + Assumptions!$C$7) ^ INT(((YEAR(AT$2)-YEAR($F192))*12 + MONTH(AT$2)-MONTH($F192)) / 12),
  0)</f>
        <v/>
      </c>
      <c r="AU192" s="299">
        <f>IF(AND($F192&lt;=AU$2, OR($G192="",$G192&gt;=AU$2)),
  $H192 * (1 + Assumptions!$C$7) ^ INT(((YEAR(AU$2)-YEAR($F192))*12 + MONTH(AU$2)-MONTH($F192)) / 12),
  0)</f>
        <v/>
      </c>
      <c r="AV192" s="299">
        <f>IF(AND($F192&lt;=AV$2, OR($G192="",$G192&gt;=AV$2)),
  $H192 * (1 + Assumptions!$C$7) ^ INT(((YEAR(AV$2)-YEAR($F192))*12 + MONTH(AV$2)-MONTH($F192)) / 12),
  0)</f>
        <v/>
      </c>
      <c r="AW192" s="299">
        <f>IF(AND($F192&lt;=AW$2, OR($G192="",$G192&gt;=AW$2)),
  $H192 * (1 + Assumptions!$C$7) ^ INT(((YEAR(AW$2)-YEAR($F192))*12 + MONTH(AW$2)-MONTH($F192)) / 12),
  0)</f>
        <v/>
      </c>
      <c r="AX192" s="299">
        <f>IF(AND($F192&lt;=AX$2, OR($G192="",$G192&gt;=AX$2)),
  $H192 * (1 + Assumptions!$C$7) ^ INT(((YEAR(AX$2)-YEAR($F192))*12 + MONTH(AX$2)-MONTH($F192)) / 12),
  0)</f>
        <v/>
      </c>
      <c r="AY192" s="299">
        <f>IF(AND($F192&lt;=AY$2, OR($G192="",$G192&gt;=AY$2)),
  $H192 * (1 + Assumptions!$C$7) ^ INT(((YEAR(AY$2)-YEAR($F192))*12 + MONTH(AY$2)-MONTH($F192)) / 12),
  0)</f>
        <v/>
      </c>
      <c r="AZ192" s="299">
        <f>IF(AND($F192&lt;=AZ$2, OR($G192="",$G192&gt;=AZ$2)),
  $H192 * (1 + Assumptions!$C$7) ^ INT(((YEAR(AZ$2)-YEAR($F192))*12 + MONTH(AZ$2)-MONTH($F192)) / 12),
  0)</f>
        <v/>
      </c>
      <c r="BA192" s="299">
        <f>IF(AND($F192&lt;=BA$2, OR($G192="",$G192&gt;=BA$2)),
  $H192 * (1 + Assumptions!$C$7) ^ INT(((YEAR(BA$2)-YEAR($F192))*12 + MONTH(BA$2)-MONTH($F192)) / 12),
  0)</f>
        <v/>
      </c>
      <c r="BB192" s="299">
        <f>IF(AND($F192&lt;=BB$2, OR($G192="",$G192&gt;=BB$2)),
  $H192 * (1 + Assumptions!$C$7) ^ INT(((YEAR(BB$2)-YEAR($F192))*12 + MONTH(BB$2)-MONTH($F192)) / 12),
  0)</f>
        <v/>
      </c>
      <c r="BC192" s="299">
        <f>IF(AND($F192&lt;=BC$2, OR($G192="",$G192&gt;=BC$2)),
  $H192 * (1 + Assumptions!$C$7) ^ INT(((YEAR(BC$2)-YEAR($F192))*12 + MONTH(BC$2)-MONTH($F192)) / 12),
  0)</f>
        <v/>
      </c>
      <c r="BD192" s="299">
        <f>IF(AND($F192&lt;=BD$2, OR($G192="",$G192&gt;=BD$2)),
  $H192 * (1 + Assumptions!$C$7) ^ INT(((YEAR(BD$2)-YEAR($F192))*12 + MONTH(BD$2)-MONTH($F192)) / 12),
  0)</f>
        <v/>
      </c>
      <c r="BE192" s="299">
        <f>IF(AND($F192&lt;=BE$2, OR($G192="",$G192&gt;=BE$2)),
  $H192 * (1 + Assumptions!$C$7) ^ INT(((YEAR(BE$2)-YEAR($F192))*12 + MONTH(BE$2)-MONTH($F192)) / 12),
  0)</f>
        <v/>
      </c>
      <c r="BF192" s="299">
        <f>IF(AND($F192&lt;=BF$2, OR($G192="",$G192&gt;=BF$2)),
  $H192 * (1 + Assumptions!$C$7) ^ INT(((YEAR(BF$2)-YEAR($F192))*12 + MONTH(BF$2)-MONTH($F192)) / 12),
  0)</f>
        <v/>
      </c>
      <c r="BG192" s="299">
        <f>IF(AND($F192&lt;=BG$2, OR($G192="",$G192&gt;=BG$2)),
  $H192 * (1 + Assumptions!$C$7) ^ INT(((YEAR(BG$2)-YEAR($F192))*12 + MONTH(BG$2)-MONTH($F192)) / 12),
  0)</f>
        <v/>
      </c>
      <c r="BH192" s="299">
        <f>IF(AND($F192&lt;=BH$2, OR($G192="",$G192&gt;=BH$2)),
  $H192 * (1 + Assumptions!$C$7) ^ INT(((YEAR(BH$2)-YEAR($F192))*12 + MONTH(BH$2)-MONTH($F192)) / 12),
  0)</f>
        <v/>
      </c>
      <c r="BI192" s="299">
        <f>IF(AND($F192&lt;=BI$2, OR($G192="",$G192&gt;=BI$2)),
  $H192 * (1 + Assumptions!$C$7) ^ INT(((YEAR(BI$2)-YEAR($F192))*12 + MONTH(BI$2)-MONTH($F192)) / 12),
  0)</f>
        <v/>
      </c>
      <c r="BJ192" s="299">
        <f>IF(AND($F192&lt;=BJ$2, OR($G192="",$G192&gt;=BJ$2)),
  $H192 * (1 + Assumptions!$C$7) ^ INT(((YEAR(BJ$2)-YEAR($F192))*12 + MONTH(BJ$2)-MONTH($F192)) / 12),
  0)</f>
        <v/>
      </c>
      <c r="BK192" s="299">
        <f>IF(AND($F192&lt;=BK$2, OR($G192="",$G192&gt;=BK$2)),
  $H192 * (1 + Assumptions!$C$7) ^ INT(((YEAR(BK$2)-YEAR($F192))*12 + MONTH(BK$2)-MONTH($F192)) / 12),
  0)</f>
        <v/>
      </c>
      <c r="BL192" s="299">
        <f>IF(AND($F192&lt;=BL$2, OR($G192="",$G192&gt;=BL$2)),
  $H192 * (1 + Assumptions!$C$7) ^ INT(((YEAR(BL$2)-YEAR($F192))*12 + MONTH(BL$2)-MONTH($F192)) / 12),
  0)</f>
        <v/>
      </c>
      <c r="BM192" s="299">
        <f>IF(AND($F192&lt;=BM$2, OR($G192="",$G192&gt;=BM$2)),
  $H192 * (1 + Assumptions!$C$7) ^ INT(((YEAR(BM$2)-YEAR($F192))*12 + MONTH(BM$2)-MONTH($F192)) / 12),
  0)</f>
        <v/>
      </c>
      <c r="BN192" s="299">
        <f>IF(AND($F192&lt;=BN$2, OR($G192="",$G192&gt;=BN$2)),
  $H192 * (1 + Assumptions!$C$7) ^ INT(((YEAR(BN$2)-YEAR($F192))*12 + MONTH(BN$2)-MONTH($F192)) / 12),
  0)</f>
        <v/>
      </c>
      <c r="BO192" s="299">
        <f>IF(AND($F192&lt;=BO$2, OR($G192="",$G192&gt;=BO$2)),
  $H192 * (1 + Assumptions!$C$7) ^ INT(((YEAR(BO$2)-YEAR($F192))*12 + MONTH(BO$2)-MONTH($F192)) / 12),
  0)</f>
        <v/>
      </c>
      <c r="BP192" s="299">
        <f>IF(AND($F192&lt;=BP$2, OR($G192="",$G192&gt;=BP$2)),
  $H192 * (1 + Assumptions!$C$7) ^ INT(((YEAR(BP$2)-YEAR($F192))*12 + MONTH(BP$2)-MONTH($F192)) / 12),
  0)</f>
        <v/>
      </c>
      <c r="BQ192" s="31" t="n"/>
      <c r="BR192" s="31" t="n"/>
      <c r="BS192" s="31" t="n"/>
      <c r="BT192" s="31" t="n"/>
    </row>
    <row r="193" ht="15.75" customHeight="1" s="349">
      <c r="A193" s="321" t="n">
        <v>188</v>
      </c>
      <c r="B193" s="285" t="inlineStr">
        <is>
          <t>New hire</t>
        </is>
      </c>
      <c r="C193" s="317" t="inlineStr">
        <is>
          <t>G&amp;A</t>
        </is>
      </c>
      <c r="D193" s="317" t="inlineStr">
        <is>
          <t>Finance / HR / IT / Legal</t>
        </is>
      </c>
      <c r="E193" s="297" t="inlineStr">
        <is>
          <t>Planned</t>
        </is>
      </c>
      <c r="F193" s="318">
        <f>IF(Assumptions!$D$82=2,DATE(2028,7,1),DATE(2035,1,1))</f>
        <v/>
      </c>
      <c r="G193" s="318" t="n"/>
      <c r="H193" s="288" t="n">
        <v>7000</v>
      </c>
      <c r="I193" s="299">
        <f>IF(AND($F193&lt;=I$2, OR($G193="",$G193&gt;=I$2)),
  $H193 * (1 + Assumptions!$C$7) ^ INT(((YEAR(I$2)-YEAR($F193))*12 + MONTH(I$2)-MONTH($F193)) / 12),
  0)</f>
        <v/>
      </c>
      <c r="J193" s="299">
        <f>IF(AND($F193&lt;=J$2, OR($G193="",$G193&gt;=J$2)),
  $H193 * (1 + Assumptions!$C$7) ^ INT(((YEAR(J$2)-YEAR($F193))*12 + MONTH(J$2)-MONTH($F193)) / 12),
  0)</f>
        <v/>
      </c>
      <c r="K193" s="299">
        <f>IF(AND($F193&lt;=K$2, OR($G193="",$G193&gt;=K$2)),
  $H193 * (1 + Assumptions!$C$7) ^ INT(((YEAR(K$2)-YEAR($F193))*12 + MONTH(K$2)-MONTH($F193)) / 12),
  0)</f>
        <v/>
      </c>
      <c r="L193" s="299">
        <f>IF(AND($F193&lt;=L$2, OR($G193="",$G193&gt;=L$2)),
  $H193 * (1 + Assumptions!$C$7) ^ INT(((YEAR(L$2)-YEAR($F193))*12 + MONTH(L$2)-MONTH($F193)) / 12),
  0)</f>
        <v/>
      </c>
      <c r="M193" s="299">
        <f>IF(AND($F193&lt;=M$2, OR($G193="",$G193&gt;=M$2)),
  $H193 * (1 + Assumptions!$C$7) ^ INT(((YEAR(M$2)-YEAR($F193))*12 + MONTH(M$2)-MONTH($F193)) / 12),
  0)</f>
        <v/>
      </c>
      <c r="N193" s="299">
        <f>IF(AND($F193&lt;=N$2, OR($G193="",$G193&gt;=N$2)),
  $H193 * (1 + Assumptions!$C$7) ^ INT(((YEAR(N$2)-YEAR($F193))*12 + MONTH(N$2)-MONTH($F193)) / 12),
  0)</f>
        <v/>
      </c>
      <c r="O193" s="299">
        <f>IF(AND($F193&lt;=O$2, OR($G193="",$G193&gt;=O$2)),
  $H193 * (1 + Assumptions!$C$7) ^ INT(((YEAR(O$2)-YEAR($F193))*12 + MONTH(O$2)-MONTH($F193)) / 12),
  0)</f>
        <v/>
      </c>
      <c r="P193" s="299">
        <f>IF(AND($F193&lt;=P$2, OR($G193="",$G193&gt;=P$2)),
  $H193 * (1 + Assumptions!$C$7) ^ INT(((YEAR(P$2)-YEAR($F193))*12 + MONTH(P$2)-MONTH($F193)) / 12),
  0)</f>
        <v/>
      </c>
      <c r="Q193" s="299">
        <f>IF(AND($F193&lt;=Q$2, OR($G193="",$G193&gt;=Q$2)),
  $H193 * (1 + Assumptions!$C$7) ^ INT(((YEAR(Q$2)-YEAR($F193))*12 + MONTH(Q$2)-MONTH($F193)) / 12),
  0)</f>
        <v/>
      </c>
      <c r="R193" s="299">
        <f>IF(AND($F193&lt;=R$2, OR($G193="",$G193&gt;=R$2)),
  $H193 * (1 + Assumptions!$C$7) ^ INT(((YEAR(R$2)-YEAR($F193))*12 + MONTH(R$2)-MONTH($F193)) / 12),
  0)</f>
        <v/>
      </c>
      <c r="S193" s="299">
        <f>IF(AND($F193&lt;=S$2, OR($G193="",$G193&gt;=S$2)),
  $H193 * (1 + Assumptions!$C$7) ^ INT(((YEAR(S$2)-YEAR($F193))*12 + MONTH(S$2)-MONTH($F193)) / 12),
  0)</f>
        <v/>
      </c>
      <c r="T193" s="299">
        <f>IF(AND($F193&lt;=T$2, OR($G193="",$G193&gt;=T$2)),
  $H193 * (1 + Assumptions!$C$7) ^ INT(((YEAR(T$2)-YEAR($F193))*12 + MONTH(T$2)-MONTH($F193)) / 12),
  0)</f>
        <v/>
      </c>
      <c r="U193" s="299">
        <f>IF(AND($F193&lt;=U$2, OR($G193="",$G193&gt;=U$2)),
  $H193 * (1 + Assumptions!$C$7) ^ INT(((YEAR(U$2)-YEAR($F193))*12 + MONTH(U$2)-MONTH($F193)) / 12),
  0)</f>
        <v/>
      </c>
      <c r="V193" s="299">
        <f>IF(AND($F193&lt;=V$2, OR($G193="",$G193&gt;=V$2)),
  $H193 * (1 + Assumptions!$C$7) ^ INT(((YEAR(V$2)-YEAR($F193))*12 + MONTH(V$2)-MONTH($F193)) / 12),
  0)</f>
        <v/>
      </c>
      <c r="W193" s="299">
        <f>IF(AND($F193&lt;=W$2, OR($G193="",$G193&gt;=W$2)),
  $H193 * (1 + Assumptions!$C$7) ^ INT(((YEAR(W$2)-YEAR($F193))*12 + MONTH(W$2)-MONTH($F193)) / 12),
  0)</f>
        <v/>
      </c>
      <c r="X193" s="299">
        <f>IF(AND($F193&lt;=X$2, OR($G193="",$G193&gt;=X$2)),
  $H193 * (1 + Assumptions!$C$7) ^ INT(((YEAR(X$2)-YEAR($F193))*12 + MONTH(X$2)-MONTH($F193)) / 12),
  0)</f>
        <v/>
      </c>
      <c r="Y193" s="299">
        <f>IF(AND($F193&lt;=Y$2, OR($G193="",$G193&gt;=Y$2)),
  $H193 * (1 + Assumptions!$C$7) ^ INT(((YEAR(Y$2)-YEAR($F193))*12 + MONTH(Y$2)-MONTH($F193)) / 12),
  0)</f>
        <v/>
      </c>
      <c r="Z193" s="299">
        <f>IF(AND($F193&lt;=Z$2, OR($G193="",$G193&gt;=Z$2)),
  $H193 * (1 + Assumptions!$C$7) ^ INT(((YEAR(Z$2)-YEAR($F193))*12 + MONTH(Z$2)-MONTH($F193)) / 12),
  0)</f>
        <v/>
      </c>
      <c r="AA193" s="299">
        <f>IF(AND($F193&lt;=AA$2, OR($G193="",$G193&gt;=AA$2)),
  $H193 * (1 + Assumptions!$C$7) ^ INT(((YEAR(AA$2)-YEAR($F193))*12 + MONTH(AA$2)-MONTH($F193)) / 12),
  0)</f>
        <v/>
      </c>
      <c r="AB193" s="299">
        <f>IF(AND($F193&lt;=AB$2, OR($G193="",$G193&gt;=AB$2)),
  $H193 * (1 + Assumptions!$C$7) ^ INT(((YEAR(AB$2)-YEAR($F193))*12 + MONTH(AB$2)-MONTH($F193)) / 12),
  0)</f>
        <v/>
      </c>
      <c r="AC193" s="299">
        <f>IF(AND($F193&lt;=AC$2, OR($G193="",$G193&gt;=AC$2)),
  $H193 * (1 + Assumptions!$C$7) ^ INT(((YEAR(AC$2)-YEAR($F193))*12 + MONTH(AC$2)-MONTH($F193)) / 12),
  0)</f>
        <v/>
      </c>
      <c r="AD193" s="299">
        <f>IF(AND($F193&lt;=AD$2, OR($G193="",$G193&gt;=AD$2)),
  $H193 * (1 + Assumptions!$C$7) ^ INT(((YEAR(AD$2)-YEAR($F193))*12 + MONTH(AD$2)-MONTH($F193)) / 12),
  0)</f>
        <v/>
      </c>
      <c r="AE193" s="299">
        <f>IF(AND($F193&lt;=AE$2, OR($G193="",$G193&gt;=AE$2)),
  $H193 * (1 + Assumptions!$C$7) ^ INT(((YEAR(AE$2)-YEAR($F193))*12 + MONTH(AE$2)-MONTH($F193)) / 12),
  0)</f>
        <v/>
      </c>
      <c r="AF193" s="299">
        <f>IF(AND($F193&lt;=AF$2, OR($G193="",$G193&gt;=AF$2)),
  $H193 * (1 + Assumptions!$C$7) ^ INT(((YEAR(AF$2)-YEAR($F193))*12 + MONTH(AF$2)-MONTH($F193)) / 12),
  0)</f>
        <v/>
      </c>
      <c r="AG193" s="299">
        <f>IF(AND($F193&lt;=AG$2, OR($G193="",$G193&gt;=AG$2)),
  $H193 * (1 + Assumptions!$C$7) ^ INT(((YEAR(AG$2)-YEAR($F193))*12 + MONTH(AG$2)-MONTH($F193)) / 12),
  0)</f>
        <v/>
      </c>
      <c r="AH193" s="299">
        <f>IF(AND($F193&lt;=AH$2, OR($G193="",$G193&gt;=AH$2)),
  $H193 * (1 + Assumptions!$C$7) ^ INT(((YEAR(AH$2)-YEAR($F193))*12 + MONTH(AH$2)-MONTH($F193)) / 12),
  0)</f>
        <v/>
      </c>
      <c r="AI193" s="299">
        <f>IF(AND($F193&lt;=AI$2, OR($G193="",$G193&gt;=AI$2)),
  $H193 * (1 + Assumptions!$C$7) ^ INT(((YEAR(AI$2)-YEAR($F193))*12 + MONTH(AI$2)-MONTH($F193)) / 12),
  0)</f>
        <v/>
      </c>
      <c r="AJ193" s="299">
        <f>IF(AND($F193&lt;=AJ$2, OR($G193="",$G193&gt;=AJ$2)),
  $H193 * (1 + Assumptions!$C$7) ^ INT(((YEAR(AJ$2)-YEAR($F193))*12 + MONTH(AJ$2)-MONTH($F193)) / 12),
  0)</f>
        <v/>
      </c>
      <c r="AK193" s="299">
        <f>IF(AND($F193&lt;=AK$2, OR($G193="",$G193&gt;=AK$2)),
  $H193 * (1 + Assumptions!$C$7) ^ INT(((YEAR(AK$2)-YEAR($F193))*12 + MONTH(AK$2)-MONTH($F193)) / 12),
  0)</f>
        <v/>
      </c>
      <c r="AL193" s="299">
        <f>IF(AND($F193&lt;=AL$2, OR($G193="",$G193&gt;=AL$2)),
  $H193 * (1 + Assumptions!$C$7) ^ INT(((YEAR(AL$2)-YEAR($F193))*12 + MONTH(AL$2)-MONTH($F193)) / 12),
  0)</f>
        <v/>
      </c>
      <c r="AM193" s="299">
        <f>IF(AND($F193&lt;=AM$2, OR($G193="",$G193&gt;=AM$2)),
  $H193 * (1 + Assumptions!$C$7) ^ INT(((YEAR(AM$2)-YEAR($F193))*12 + MONTH(AM$2)-MONTH($F193)) / 12),
  0)</f>
        <v/>
      </c>
      <c r="AN193" s="299">
        <f>IF(AND($F193&lt;=AN$2, OR($G193="",$G193&gt;=AN$2)),
  $H193 * (1 + Assumptions!$C$7) ^ INT(((YEAR(AN$2)-YEAR($F193))*12 + MONTH(AN$2)-MONTH($F193)) / 12),
  0)</f>
        <v/>
      </c>
      <c r="AO193" s="299">
        <f>IF(AND($F193&lt;=AO$2, OR($G193="",$G193&gt;=AO$2)),
  $H193 * (1 + Assumptions!$C$7) ^ INT(((YEAR(AO$2)-YEAR($F193))*12 + MONTH(AO$2)-MONTH($F193)) / 12),
  0)</f>
        <v/>
      </c>
      <c r="AP193" s="299">
        <f>IF(AND($F193&lt;=AP$2, OR($G193="",$G193&gt;=AP$2)),
  $H193 * (1 + Assumptions!$C$7) ^ INT(((YEAR(AP$2)-YEAR($F193))*12 + MONTH(AP$2)-MONTH($F193)) / 12),
  0)</f>
        <v/>
      </c>
      <c r="AQ193" s="299">
        <f>IF(AND($F193&lt;=AQ$2, OR($G193="",$G193&gt;=AQ$2)),
  $H193 * (1 + Assumptions!$C$7) ^ INT(((YEAR(AQ$2)-YEAR($F193))*12 + MONTH(AQ$2)-MONTH($F193)) / 12),
  0)</f>
        <v/>
      </c>
      <c r="AR193" s="299">
        <f>IF(AND($F193&lt;=AR$2, OR($G193="",$G193&gt;=AR$2)),
  $H193 * (1 + Assumptions!$C$7) ^ INT(((YEAR(AR$2)-YEAR($F193))*12 + MONTH(AR$2)-MONTH($F193)) / 12),
  0)</f>
        <v/>
      </c>
      <c r="AS193" s="299">
        <f>IF(AND($F193&lt;=AS$2, OR($G193="",$G193&gt;=AS$2)),
  $H193 * (1 + Assumptions!$C$7) ^ INT(((YEAR(AS$2)-YEAR($F193))*12 + MONTH(AS$2)-MONTH($F193)) / 12),
  0)</f>
        <v/>
      </c>
      <c r="AT193" s="299">
        <f>IF(AND($F193&lt;=AT$2, OR($G193="",$G193&gt;=AT$2)),
  $H193 * (1 + Assumptions!$C$7) ^ INT(((YEAR(AT$2)-YEAR($F193))*12 + MONTH(AT$2)-MONTH($F193)) / 12),
  0)</f>
        <v/>
      </c>
      <c r="AU193" s="299">
        <f>IF(AND($F193&lt;=AU$2, OR($G193="",$G193&gt;=AU$2)),
  $H193 * (1 + Assumptions!$C$7) ^ INT(((YEAR(AU$2)-YEAR($F193))*12 + MONTH(AU$2)-MONTH($F193)) / 12),
  0)</f>
        <v/>
      </c>
      <c r="AV193" s="299">
        <f>IF(AND($F193&lt;=AV$2, OR($G193="",$G193&gt;=AV$2)),
  $H193 * (1 + Assumptions!$C$7) ^ INT(((YEAR(AV$2)-YEAR($F193))*12 + MONTH(AV$2)-MONTH($F193)) / 12),
  0)</f>
        <v/>
      </c>
      <c r="AW193" s="299">
        <f>IF(AND($F193&lt;=AW$2, OR($G193="",$G193&gt;=AW$2)),
  $H193 * (1 + Assumptions!$C$7) ^ INT(((YEAR(AW$2)-YEAR($F193))*12 + MONTH(AW$2)-MONTH($F193)) / 12),
  0)</f>
        <v/>
      </c>
      <c r="AX193" s="299">
        <f>IF(AND($F193&lt;=AX$2, OR($G193="",$G193&gt;=AX$2)),
  $H193 * (1 + Assumptions!$C$7) ^ INT(((YEAR(AX$2)-YEAR($F193))*12 + MONTH(AX$2)-MONTH($F193)) / 12),
  0)</f>
        <v/>
      </c>
      <c r="AY193" s="299">
        <f>IF(AND($F193&lt;=AY$2, OR($G193="",$G193&gt;=AY$2)),
  $H193 * (1 + Assumptions!$C$7) ^ INT(((YEAR(AY$2)-YEAR($F193))*12 + MONTH(AY$2)-MONTH($F193)) / 12),
  0)</f>
        <v/>
      </c>
      <c r="AZ193" s="299">
        <f>IF(AND($F193&lt;=AZ$2, OR($G193="",$G193&gt;=AZ$2)),
  $H193 * (1 + Assumptions!$C$7) ^ INT(((YEAR(AZ$2)-YEAR($F193))*12 + MONTH(AZ$2)-MONTH($F193)) / 12),
  0)</f>
        <v/>
      </c>
      <c r="BA193" s="299">
        <f>IF(AND($F193&lt;=BA$2, OR($G193="",$G193&gt;=BA$2)),
  $H193 * (1 + Assumptions!$C$7) ^ INT(((YEAR(BA$2)-YEAR($F193))*12 + MONTH(BA$2)-MONTH($F193)) / 12),
  0)</f>
        <v/>
      </c>
      <c r="BB193" s="299">
        <f>IF(AND($F193&lt;=BB$2, OR($G193="",$G193&gt;=BB$2)),
  $H193 * (1 + Assumptions!$C$7) ^ INT(((YEAR(BB$2)-YEAR($F193))*12 + MONTH(BB$2)-MONTH($F193)) / 12),
  0)</f>
        <v/>
      </c>
      <c r="BC193" s="299">
        <f>IF(AND($F193&lt;=BC$2, OR($G193="",$G193&gt;=BC$2)),
  $H193 * (1 + Assumptions!$C$7) ^ INT(((YEAR(BC$2)-YEAR($F193))*12 + MONTH(BC$2)-MONTH($F193)) / 12),
  0)</f>
        <v/>
      </c>
      <c r="BD193" s="299">
        <f>IF(AND($F193&lt;=BD$2, OR($G193="",$G193&gt;=BD$2)),
  $H193 * (1 + Assumptions!$C$7) ^ INT(((YEAR(BD$2)-YEAR($F193))*12 + MONTH(BD$2)-MONTH($F193)) / 12),
  0)</f>
        <v/>
      </c>
      <c r="BE193" s="299">
        <f>IF(AND($F193&lt;=BE$2, OR($G193="",$G193&gt;=BE$2)),
  $H193 * (1 + Assumptions!$C$7) ^ INT(((YEAR(BE$2)-YEAR($F193))*12 + MONTH(BE$2)-MONTH($F193)) / 12),
  0)</f>
        <v/>
      </c>
      <c r="BF193" s="299">
        <f>IF(AND($F193&lt;=BF$2, OR($G193="",$G193&gt;=BF$2)),
  $H193 * (1 + Assumptions!$C$7) ^ INT(((YEAR(BF$2)-YEAR($F193))*12 + MONTH(BF$2)-MONTH($F193)) / 12),
  0)</f>
        <v/>
      </c>
      <c r="BG193" s="299">
        <f>IF(AND($F193&lt;=BG$2, OR($G193="",$G193&gt;=BG$2)),
  $H193 * (1 + Assumptions!$C$7) ^ INT(((YEAR(BG$2)-YEAR($F193))*12 + MONTH(BG$2)-MONTH($F193)) / 12),
  0)</f>
        <v/>
      </c>
      <c r="BH193" s="299">
        <f>IF(AND($F193&lt;=BH$2, OR($G193="",$G193&gt;=BH$2)),
  $H193 * (1 + Assumptions!$C$7) ^ INT(((YEAR(BH$2)-YEAR($F193))*12 + MONTH(BH$2)-MONTH($F193)) / 12),
  0)</f>
        <v/>
      </c>
      <c r="BI193" s="299">
        <f>IF(AND($F193&lt;=BI$2, OR($G193="",$G193&gt;=BI$2)),
  $H193 * (1 + Assumptions!$C$7) ^ INT(((YEAR(BI$2)-YEAR($F193))*12 + MONTH(BI$2)-MONTH($F193)) / 12),
  0)</f>
        <v/>
      </c>
      <c r="BJ193" s="299">
        <f>IF(AND($F193&lt;=BJ$2, OR($G193="",$G193&gt;=BJ$2)),
  $H193 * (1 + Assumptions!$C$7) ^ INT(((YEAR(BJ$2)-YEAR($F193))*12 + MONTH(BJ$2)-MONTH($F193)) / 12),
  0)</f>
        <v/>
      </c>
      <c r="BK193" s="299">
        <f>IF(AND($F193&lt;=BK$2, OR($G193="",$G193&gt;=BK$2)),
  $H193 * (1 + Assumptions!$C$7) ^ INT(((YEAR(BK$2)-YEAR($F193))*12 + MONTH(BK$2)-MONTH($F193)) / 12),
  0)</f>
        <v/>
      </c>
      <c r="BL193" s="299">
        <f>IF(AND($F193&lt;=BL$2, OR($G193="",$G193&gt;=BL$2)),
  $H193 * (1 + Assumptions!$C$7) ^ INT(((YEAR(BL$2)-YEAR($F193))*12 + MONTH(BL$2)-MONTH($F193)) / 12),
  0)</f>
        <v/>
      </c>
      <c r="BM193" s="299">
        <f>IF(AND($F193&lt;=BM$2, OR($G193="",$G193&gt;=BM$2)),
  $H193 * (1 + Assumptions!$C$7) ^ INT(((YEAR(BM$2)-YEAR($F193))*12 + MONTH(BM$2)-MONTH($F193)) / 12),
  0)</f>
        <v/>
      </c>
      <c r="BN193" s="299">
        <f>IF(AND($F193&lt;=BN$2, OR($G193="",$G193&gt;=BN$2)),
  $H193 * (1 + Assumptions!$C$7) ^ INT(((YEAR(BN$2)-YEAR($F193))*12 + MONTH(BN$2)-MONTH($F193)) / 12),
  0)</f>
        <v/>
      </c>
      <c r="BO193" s="299">
        <f>IF(AND($F193&lt;=BO$2, OR($G193="",$G193&gt;=BO$2)),
  $H193 * (1 + Assumptions!$C$7) ^ INT(((YEAR(BO$2)-YEAR($F193))*12 + MONTH(BO$2)-MONTH($F193)) / 12),
  0)</f>
        <v/>
      </c>
      <c r="BP193" s="299">
        <f>IF(AND($F193&lt;=BP$2, OR($G193="",$G193&gt;=BP$2)),
  $H193 * (1 + Assumptions!$C$7) ^ INT(((YEAR(BP$2)-YEAR($F193))*12 + MONTH(BP$2)-MONTH($F193)) / 12),
  0)</f>
        <v/>
      </c>
      <c r="BQ193" s="31" t="n"/>
      <c r="BR193" s="31" t="n"/>
      <c r="BS193" s="31" t="n"/>
      <c r="BT193" s="31" t="n"/>
    </row>
    <row r="194" ht="15.75" customHeight="1" s="349">
      <c r="A194" s="321" t="n">
        <v>189</v>
      </c>
      <c r="B194" s="285" t="inlineStr">
        <is>
          <t>New hire</t>
        </is>
      </c>
      <c r="C194" s="317" t="inlineStr">
        <is>
          <t>G&amp;A</t>
        </is>
      </c>
      <c r="D194" s="317" t="inlineStr">
        <is>
          <t>Finance / HR / IT / Legal</t>
        </is>
      </c>
      <c r="E194" s="297" t="inlineStr">
        <is>
          <t>Planned</t>
        </is>
      </c>
      <c r="F194" s="318">
        <f>IF(Assumptions!$D$82=2,DATE(2028,7,1),DATE(2035,1,1))</f>
        <v/>
      </c>
      <c r="G194" s="318" t="n"/>
      <c r="H194" s="288" t="n">
        <v>7000</v>
      </c>
      <c r="I194" s="299">
        <f>IF(AND($F194&lt;=I$2, OR($G194="",$G194&gt;=I$2)),
  $H194 * (1 + Assumptions!$C$7) ^ INT(((YEAR(I$2)-YEAR($F194))*12 + MONTH(I$2)-MONTH($F194)) / 12),
  0)</f>
        <v/>
      </c>
      <c r="J194" s="299">
        <f>IF(AND($F194&lt;=J$2, OR($G194="",$G194&gt;=J$2)),
  $H194 * (1 + Assumptions!$C$7) ^ INT(((YEAR(J$2)-YEAR($F194))*12 + MONTH(J$2)-MONTH($F194)) / 12),
  0)</f>
        <v/>
      </c>
      <c r="K194" s="299">
        <f>IF(AND($F194&lt;=K$2, OR($G194="",$G194&gt;=K$2)),
  $H194 * (1 + Assumptions!$C$7) ^ INT(((YEAR(K$2)-YEAR($F194))*12 + MONTH(K$2)-MONTH($F194)) / 12),
  0)</f>
        <v/>
      </c>
      <c r="L194" s="299">
        <f>IF(AND($F194&lt;=L$2, OR($G194="",$G194&gt;=L$2)),
  $H194 * (1 + Assumptions!$C$7) ^ INT(((YEAR(L$2)-YEAR($F194))*12 + MONTH(L$2)-MONTH($F194)) / 12),
  0)</f>
        <v/>
      </c>
      <c r="M194" s="299">
        <f>IF(AND($F194&lt;=M$2, OR($G194="",$G194&gt;=M$2)),
  $H194 * (1 + Assumptions!$C$7) ^ INT(((YEAR(M$2)-YEAR($F194))*12 + MONTH(M$2)-MONTH($F194)) / 12),
  0)</f>
        <v/>
      </c>
      <c r="N194" s="299">
        <f>IF(AND($F194&lt;=N$2, OR($G194="",$G194&gt;=N$2)),
  $H194 * (1 + Assumptions!$C$7) ^ INT(((YEAR(N$2)-YEAR($F194))*12 + MONTH(N$2)-MONTH($F194)) / 12),
  0)</f>
        <v/>
      </c>
      <c r="O194" s="299">
        <f>IF(AND($F194&lt;=O$2, OR($G194="",$G194&gt;=O$2)),
  $H194 * (1 + Assumptions!$C$7) ^ INT(((YEAR(O$2)-YEAR($F194))*12 + MONTH(O$2)-MONTH($F194)) / 12),
  0)</f>
        <v/>
      </c>
      <c r="P194" s="299">
        <f>IF(AND($F194&lt;=P$2, OR($G194="",$G194&gt;=P$2)),
  $H194 * (1 + Assumptions!$C$7) ^ INT(((YEAR(P$2)-YEAR($F194))*12 + MONTH(P$2)-MONTH($F194)) / 12),
  0)</f>
        <v/>
      </c>
      <c r="Q194" s="299">
        <f>IF(AND($F194&lt;=Q$2, OR($G194="",$G194&gt;=Q$2)),
  $H194 * (1 + Assumptions!$C$7) ^ INT(((YEAR(Q$2)-YEAR($F194))*12 + MONTH(Q$2)-MONTH($F194)) / 12),
  0)</f>
        <v/>
      </c>
      <c r="R194" s="299">
        <f>IF(AND($F194&lt;=R$2, OR($G194="",$G194&gt;=R$2)),
  $H194 * (1 + Assumptions!$C$7) ^ INT(((YEAR(R$2)-YEAR($F194))*12 + MONTH(R$2)-MONTH($F194)) / 12),
  0)</f>
        <v/>
      </c>
      <c r="S194" s="299">
        <f>IF(AND($F194&lt;=S$2, OR($G194="",$G194&gt;=S$2)),
  $H194 * (1 + Assumptions!$C$7) ^ INT(((YEAR(S$2)-YEAR($F194))*12 + MONTH(S$2)-MONTH($F194)) / 12),
  0)</f>
        <v/>
      </c>
      <c r="T194" s="299">
        <f>IF(AND($F194&lt;=T$2, OR($G194="",$G194&gt;=T$2)),
  $H194 * (1 + Assumptions!$C$7) ^ INT(((YEAR(T$2)-YEAR($F194))*12 + MONTH(T$2)-MONTH($F194)) / 12),
  0)</f>
        <v/>
      </c>
      <c r="U194" s="299">
        <f>IF(AND($F194&lt;=U$2, OR($G194="",$G194&gt;=U$2)),
  $H194 * (1 + Assumptions!$C$7) ^ INT(((YEAR(U$2)-YEAR($F194))*12 + MONTH(U$2)-MONTH($F194)) / 12),
  0)</f>
        <v/>
      </c>
      <c r="V194" s="299">
        <f>IF(AND($F194&lt;=V$2, OR($G194="",$G194&gt;=V$2)),
  $H194 * (1 + Assumptions!$C$7) ^ INT(((YEAR(V$2)-YEAR($F194))*12 + MONTH(V$2)-MONTH($F194)) / 12),
  0)</f>
        <v/>
      </c>
      <c r="W194" s="299">
        <f>IF(AND($F194&lt;=W$2, OR($G194="",$G194&gt;=W$2)),
  $H194 * (1 + Assumptions!$C$7) ^ INT(((YEAR(W$2)-YEAR($F194))*12 + MONTH(W$2)-MONTH($F194)) / 12),
  0)</f>
        <v/>
      </c>
      <c r="X194" s="299">
        <f>IF(AND($F194&lt;=X$2, OR($G194="",$G194&gt;=X$2)),
  $H194 * (1 + Assumptions!$C$7) ^ INT(((YEAR(X$2)-YEAR($F194))*12 + MONTH(X$2)-MONTH($F194)) / 12),
  0)</f>
        <v/>
      </c>
      <c r="Y194" s="299">
        <f>IF(AND($F194&lt;=Y$2, OR($G194="",$G194&gt;=Y$2)),
  $H194 * (1 + Assumptions!$C$7) ^ INT(((YEAR(Y$2)-YEAR($F194))*12 + MONTH(Y$2)-MONTH($F194)) / 12),
  0)</f>
        <v/>
      </c>
      <c r="Z194" s="299">
        <f>IF(AND($F194&lt;=Z$2, OR($G194="",$G194&gt;=Z$2)),
  $H194 * (1 + Assumptions!$C$7) ^ INT(((YEAR(Z$2)-YEAR($F194))*12 + MONTH(Z$2)-MONTH($F194)) / 12),
  0)</f>
        <v/>
      </c>
      <c r="AA194" s="299">
        <f>IF(AND($F194&lt;=AA$2, OR($G194="",$G194&gt;=AA$2)),
  $H194 * (1 + Assumptions!$C$7) ^ INT(((YEAR(AA$2)-YEAR($F194))*12 + MONTH(AA$2)-MONTH($F194)) / 12),
  0)</f>
        <v/>
      </c>
      <c r="AB194" s="299">
        <f>IF(AND($F194&lt;=AB$2, OR($G194="",$G194&gt;=AB$2)),
  $H194 * (1 + Assumptions!$C$7) ^ INT(((YEAR(AB$2)-YEAR($F194))*12 + MONTH(AB$2)-MONTH($F194)) / 12),
  0)</f>
        <v/>
      </c>
      <c r="AC194" s="299">
        <f>IF(AND($F194&lt;=AC$2, OR($G194="",$G194&gt;=AC$2)),
  $H194 * (1 + Assumptions!$C$7) ^ INT(((YEAR(AC$2)-YEAR($F194))*12 + MONTH(AC$2)-MONTH($F194)) / 12),
  0)</f>
        <v/>
      </c>
      <c r="AD194" s="299">
        <f>IF(AND($F194&lt;=AD$2, OR($G194="",$G194&gt;=AD$2)),
  $H194 * (1 + Assumptions!$C$7) ^ INT(((YEAR(AD$2)-YEAR($F194))*12 + MONTH(AD$2)-MONTH($F194)) / 12),
  0)</f>
        <v/>
      </c>
      <c r="AE194" s="299">
        <f>IF(AND($F194&lt;=AE$2, OR($G194="",$G194&gt;=AE$2)),
  $H194 * (1 + Assumptions!$C$7) ^ INT(((YEAR(AE$2)-YEAR($F194))*12 + MONTH(AE$2)-MONTH($F194)) / 12),
  0)</f>
        <v/>
      </c>
      <c r="AF194" s="299">
        <f>IF(AND($F194&lt;=AF$2, OR($G194="",$G194&gt;=AF$2)),
  $H194 * (1 + Assumptions!$C$7) ^ INT(((YEAR(AF$2)-YEAR($F194))*12 + MONTH(AF$2)-MONTH($F194)) / 12),
  0)</f>
        <v/>
      </c>
      <c r="AG194" s="299">
        <f>IF(AND($F194&lt;=AG$2, OR($G194="",$G194&gt;=AG$2)),
  $H194 * (1 + Assumptions!$C$7) ^ INT(((YEAR(AG$2)-YEAR($F194))*12 + MONTH(AG$2)-MONTH($F194)) / 12),
  0)</f>
        <v/>
      </c>
      <c r="AH194" s="299">
        <f>IF(AND($F194&lt;=AH$2, OR($G194="",$G194&gt;=AH$2)),
  $H194 * (1 + Assumptions!$C$7) ^ INT(((YEAR(AH$2)-YEAR($F194))*12 + MONTH(AH$2)-MONTH($F194)) / 12),
  0)</f>
        <v/>
      </c>
      <c r="AI194" s="299">
        <f>IF(AND($F194&lt;=AI$2, OR($G194="",$G194&gt;=AI$2)),
  $H194 * (1 + Assumptions!$C$7) ^ INT(((YEAR(AI$2)-YEAR($F194))*12 + MONTH(AI$2)-MONTH($F194)) / 12),
  0)</f>
        <v/>
      </c>
      <c r="AJ194" s="299">
        <f>IF(AND($F194&lt;=AJ$2, OR($G194="",$G194&gt;=AJ$2)),
  $H194 * (1 + Assumptions!$C$7) ^ INT(((YEAR(AJ$2)-YEAR($F194))*12 + MONTH(AJ$2)-MONTH($F194)) / 12),
  0)</f>
        <v/>
      </c>
      <c r="AK194" s="299">
        <f>IF(AND($F194&lt;=AK$2, OR($G194="",$G194&gt;=AK$2)),
  $H194 * (1 + Assumptions!$C$7) ^ INT(((YEAR(AK$2)-YEAR($F194))*12 + MONTH(AK$2)-MONTH($F194)) / 12),
  0)</f>
        <v/>
      </c>
      <c r="AL194" s="299">
        <f>IF(AND($F194&lt;=AL$2, OR($G194="",$G194&gt;=AL$2)),
  $H194 * (1 + Assumptions!$C$7) ^ INT(((YEAR(AL$2)-YEAR($F194))*12 + MONTH(AL$2)-MONTH($F194)) / 12),
  0)</f>
        <v/>
      </c>
      <c r="AM194" s="299">
        <f>IF(AND($F194&lt;=AM$2, OR($G194="",$G194&gt;=AM$2)),
  $H194 * (1 + Assumptions!$C$7) ^ INT(((YEAR(AM$2)-YEAR($F194))*12 + MONTH(AM$2)-MONTH($F194)) / 12),
  0)</f>
        <v/>
      </c>
      <c r="AN194" s="299">
        <f>IF(AND($F194&lt;=AN$2, OR($G194="",$G194&gt;=AN$2)),
  $H194 * (1 + Assumptions!$C$7) ^ INT(((YEAR(AN$2)-YEAR($F194))*12 + MONTH(AN$2)-MONTH($F194)) / 12),
  0)</f>
        <v/>
      </c>
      <c r="AO194" s="299">
        <f>IF(AND($F194&lt;=AO$2, OR($G194="",$G194&gt;=AO$2)),
  $H194 * (1 + Assumptions!$C$7) ^ INT(((YEAR(AO$2)-YEAR($F194))*12 + MONTH(AO$2)-MONTH($F194)) / 12),
  0)</f>
        <v/>
      </c>
      <c r="AP194" s="299">
        <f>IF(AND($F194&lt;=AP$2, OR($G194="",$G194&gt;=AP$2)),
  $H194 * (1 + Assumptions!$C$7) ^ INT(((YEAR(AP$2)-YEAR($F194))*12 + MONTH(AP$2)-MONTH($F194)) / 12),
  0)</f>
        <v/>
      </c>
      <c r="AQ194" s="299">
        <f>IF(AND($F194&lt;=AQ$2, OR($G194="",$G194&gt;=AQ$2)),
  $H194 * (1 + Assumptions!$C$7) ^ INT(((YEAR(AQ$2)-YEAR($F194))*12 + MONTH(AQ$2)-MONTH($F194)) / 12),
  0)</f>
        <v/>
      </c>
      <c r="AR194" s="299">
        <f>IF(AND($F194&lt;=AR$2, OR($G194="",$G194&gt;=AR$2)),
  $H194 * (1 + Assumptions!$C$7) ^ INT(((YEAR(AR$2)-YEAR($F194))*12 + MONTH(AR$2)-MONTH($F194)) / 12),
  0)</f>
        <v/>
      </c>
      <c r="AS194" s="299">
        <f>IF(AND($F194&lt;=AS$2, OR($G194="",$G194&gt;=AS$2)),
  $H194 * (1 + Assumptions!$C$7) ^ INT(((YEAR(AS$2)-YEAR($F194))*12 + MONTH(AS$2)-MONTH($F194)) / 12),
  0)</f>
        <v/>
      </c>
      <c r="AT194" s="299">
        <f>IF(AND($F194&lt;=AT$2, OR($G194="",$G194&gt;=AT$2)),
  $H194 * (1 + Assumptions!$C$7) ^ INT(((YEAR(AT$2)-YEAR($F194))*12 + MONTH(AT$2)-MONTH($F194)) / 12),
  0)</f>
        <v/>
      </c>
      <c r="AU194" s="299">
        <f>IF(AND($F194&lt;=AU$2, OR($G194="",$G194&gt;=AU$2)),
  $H194 * (1 + Assumptions!$C$7) ^ INT(((YEAR(AU$2)-YEAR($F194))*12 + MONTH(AU$2)-MONTH($F194)) / 12),
  0)</f>
        <v/>
      </c>
      <c r="AV194" s="299">
        <f>IF(AND($F194&lt;=AV$2, OR($G194="",$G194&gt;=AV$2)),
  $H194 * (1 + Assumptions!$C$7) ^ INT(((YEAR(AV$2)-YEAR($F194))*12 + MONTH(AV$2)-MONTH($F194)) / 12),
  0)</f>
        <v/>
      </c>
      <c r="AW194" s="299">
        <f>IF(AND($F194&lt;=AW$2, OR($G194="",$G194&gt;=AW$2)),
  $H194 * (1 + Assumptions!$C$7) ^ INT(((YEAR(AW$2)-YEAR($F194))*12 + MONTH(AW$2)-MONTH($F194)) / 12),
  0)</f>
        <v/>
      </c>
      <c r="AX194" s="299">
        <f>IF(AND($F194&lt;=AX$2, OR($G194="",$G194&gt;=AX$2)),
  $H194 * (1 + Assumptions!$C$7) ^ INT(((YEAR(AX$2)-YEAR($F194))*12 + MONTH(AX$2)-MONTH($F194)) / 12),
  0)</f>
        <v/>
      </c>
      <c r="AY194" s="299">
        <f>IF(AND($F194&lt;=AY$2, OR($G194="",$G194&gt;=AY$2)),
  $H194 * (1 + Assumptions!$C$7) ^ INT(((YEAR(AY$2)-YEAR($F194))*12 + MONTH(AY$2)-MONTH($F194)) / 12),
  0)</f>
        <v/>
      </c>
      <c r="AZ194" s="299">
        <f>IF(AND($F194&lt;=AZ$2, OR($G194="",$G194&gt;=AZ$2)),
  $H194 * (1 + Assumptions!$C$7) ^ INT(((YEAR(AZ$2)-YEAR($F194))*12 + MONTH(AZ$2)-MONTH($F194)) / 12),
  0)</f>
        <v/>
      </c>
      <c r="BA194" s="299">
        <f>IF(AND($F194&lt;=BA$2, OR($G194="",$G194&gt;=BA$2)),
  $H194 * (1 + Assumptions!$C$7) ^ INT(((YEAR(BA$2)-YEAR($F194))*12 + MONTH(BA$2)-MONTH($F194)) / 12),
  0)</f>
        <v/>
      </c>
      <c r="BB194" s="299">
        <f>IF(AND($F194&lt;=BB$2, OR($G194="",$G194&gt;=BB$2)),
  $H194 * (1 + Assumptions!$C$7) ^ INT(((YEAR(BB$2)-YEAR($F194))*12 + MONTH(BB$2)-MONTH($F194)) / 12),
  0)</f>
        <v/>
      </c>
      <c r="BC194" s="299">
        <f>IF(AND($F194&lt;=BC$2, OR($G194="",$G194&gt;=BC$2)),
  $H194 * (1 + Assumptions!$C$7) ^ INT(((YEAR(BC$2)-YEAR($F194))*12 + MONTH(BC$2)-MONTH($F194)) / 12),
  0)</f>
        <v/>
      </c>
      <c r="BD194" s="299">
        <f>IF(AND($F194&lt;=BD$2, OR($G194="",$G194&gt;=BD$2)),
  $H194 * (1 + Assumptions!$C$7) ^ INT(((YEAR(BD$2)-YEAR($F194))*12 + MONTH(BD$2)-MONTH($F194)) / 12),
  0)</f>
        <v/>
      </c>
      <c r="BE194" s="299">
        <f>IF(AND($F194&lt;=BE$2, OR($G194="",$G194&gt;=BE$2)),
  $H194 * (1 + Assumptions!$C$7) ^ INT(((YEAR(BE$2)-YEAR($F194))*12 + MONTH(BE$2)-MONTH($F194)) / 12),
  0)</f>
        <v/>
      </c>
      <c r="BF194" s="299">
        <f>IF(AND($F194&lt;=BF$2, OR($G194="",$G194&gt;=BF$2)),
  $H194 * (1 + Assumptions!$C$7) ^ INT(((YEAR(BF$2)-YEAR($F194))*12 + MONTH(BF$2)-MONTH($F194)) / 12),
  0)</f>
        <v/>
      </c>
      <c r="BG194" s="299">
        <f>IF(AND($F194&lt;=BG$2, OR($G194="",$G194&gt;=BG$2)),
  $H194 * (1 + Assumptions!$C$7) ^ INT(((YEAR(BG$2)-YEAR($F194))*12 + MONTH(BG$2)-MONTH($F194)) / 12),
  0)</f>
        <v/>
      </c>
      <c r="BH194" s="299">
        <f>IF(AND($F194&lt;=BH$2, OR($G194="",$G194&gt;=BH$2)),
  $H194 * (1 + Assumptions!$C$7) ^ INT(((YEAR(BH$2)-YEAR($F194))*12 + MONTH(BH$2)-MONTH($F194)) / 12),
  0)</f>
        <v/>
      </c>
      <c r="BI194" s="299">
        <f>IF(AND($F194&lt;=BI$2, OR($G194="",$G194&gt;=BI$2)),
  $H194 * (1 + Assumptions!$C$7) ^ INT(((YEAR(BI$2)-YEAR($F194))*12 + MONTH(BI$2)-MONTH($F194)) / 12),
  0)</f>
        <v/>
      </c>
      <c r="BJ194" s="299">
        <f>IF(AND($F194&lt;=BJ$2, OR($G194="",$G194&gt;=BJ$2)),
  $H194 * (1 + Assumptions!$C$7) ^ INT(((YEAR(BJ$2)-YEAR($F194))*12 + MONTH(BJ$2)-MONTH($F194)) / 12),
  0)</f>
        <v/>
      </c>
      <c r="BK194" s="299">
        <f>IF(AND($F194&lt;=BK$2, OR($G194="",$G194&gt;=BK$2)),
  $H194 * (1 + Assumptions!$C$7) ^ INT(((YEAR(BK$2)-YEAR($F194))*12 + MONTH(BK$2)-MONTH($F194)) / 12),
  0)</f>
        <v/>
      </c>
      <c r="BL194" s="299">
        <f>IF(AND($F194&lt;=BL$2, OR($G194="",$G194&gt;=BL$2)),
  $H194 * (1 + Assumptions!$C$7) ^ INT(((YEAR(BL$2)-YEAR($F194))*12 + MONTH(BL$2)-MONTH($F194)) / 12),
  0)</f>
        <v/>
      </c>
      <c r="BM194" s="299">
        <f>IF(AND($F194&lt;=BM$2, OR($G194="",$G194&gt;=BM$2)),
  $H194 * (1 + Assumptions!$C$7) ^ INT(((YEAR(BM$2)-YEAR($F194))*12 + MONTH(BM$2)-MONTH($F194)) / 12),
  0)</f>
        <v/>
      </c>
      <c r="BN194" s="299">
        <f>IF(AND($F194&lt;=BN$2, OR($G194="",$G194&gt;=BN$2)),
  $H194 * (1 + Assumptions!$C$7) ^ INT(((YEAR(BN$2)-YEAR($F194))*12 + MONTH(BN$2)-MONTH($F194)) / 12),
  0)</f>
        <v/>
      </c>
      <c r="BO194" s="299">
        <f>IF(AND($F194&lt;=BO$2, OR($G194="",$G194&gt;=BO$2)),
  $H194 * (1 + Assumptions!$C$7) ^ INT(((YEAR(BO$2)-YEAR($F194))*12 + MONTH(BO$2)-MONTH($F194)) / 12),
  0)</f>
        <v/>
      </c>
      <c r="BP194" s="299">
        <f>IF(AND($F194&lt;=BP$2, OR($G194="",$G194&gt;=BP$2)),
  $H194 * (1 + Assumptions!$C$7) ^ INT(((YEAR(BP$2)-YEAR($F194))*12 + MONTH(BP$2)-MONTH($F194)) / 12),
  0)</f>
        <v/>
      </c>
      <c r="BQ194" s="31" t="n"/>
      <c r="BR194" s="31" t="n"/>
      <c r="BS194" s="31" t="n"/>
      <c r="BT194" s="31" t="n"/>
    </row>
    <row r="195" ht="15.75" customHeight="1" s="349">
      <c r="A195" s="321" t="n">
        <v>190</v>
      </c>
      <c r="B195" s="285" t="inlineStr">
        <is>
          <t>New hire</t>
        </is>
      </c>
      <c r="C195" s="317" t="inlineStr">
        <is>
          <t>G&amp;A</t>
        </is>
      </c>
      <c r="D195" s="317" t="inlineStr">
        <is>
          <t>Finance / HR / IT / Legal</t>
        </is>
      </c>
      <c r="E195" s="297" t="inlineStr">
        <is>
          <t>Planned</t>
        </is>
      </c>
      <c r="F195" s="318">
        <f>IF(Assumptions!$D$82=2,DATE(2028,8,1),DATE(2035,1,1))</f>
        <v/>
      </c>
      <c r="G195" s="318" t="n"/>
      <c r="H195" s="288" t="n">
        <v>7000</v>
      </c>
      <c r="I195" s="299">
        <f>IF(AND($F195&lt;=I$2, OR($G195="",$G195&gt;=I$2)),
  $H195 * (1 + Assumptions!$C$7) ^ INT(((YEAR(I$2)-YEAR($F195))*12 + MONTH(I$2)-MONTH($F195)) / 12),
  0)</f>
        <v/>
      </c>
      <c r="J195" s="299">
        <f>IF(AND($F195&lt;=J$2, OR($G195="",$G195&gt;=J$2)),
  $H195 * (1 + Assumptions!$C$7) ^ INT(((YEAR(J$2)-YEAR($F195))*12 + MONTH(J$2)-MONTH($F195)) / 12),
  0)</f>
        <v/>
      </c>
      <c r="K195" s="299">
        <f>IF(AND($F195&lt;=K$2, OR($G195="",$G195&gt;=K$2)),
  $H195 * (1 + Assumptions!$C$7) ^ INT(((YEAR(K$2)-YEAR($F195))*12 + MONTH(K$2)-MONTH($F195)) / 12),
  0)</f>
        <v/>
      </c>
      <c r="L195" s="299">
        <f>IF(AND($F195&lt;=L$2, OR($G195="",$G195&gt;=L$2)),
  $H195 * (1 + Assumptions!$C$7) ^ INT(((YEAR(L$2)-YEAR($F195))*12 + MONTH(L$2)-MONTH($F195)) / 12),
  0)</f>
        <v/>
      </c>
      <c r="M195" s="299">
        <f>IF(AND($F195&lt;=M$2, OR($G195="",$G195&gt;=M$2)),
  $H195 * (1 + Assumptions!$C$7) ^ INT(((YEAR(M$2)-YEAR($F195))*12 + MONTH(M$2)-MONTH($F195)) / 12),
  0)</f>
        <v/>
      </c>
      <c r="N195" s="299">
        <f>IF(AND($F195&lt;=N$2, OR($G195="",$G195&gt;=N$2)),
  $H195 * (1 + Assumptions!$C$7) ^ INT(((YEAR(N$2)-YEAR($F195))*12 + MONTH(N$2)-MONTH($F195)) / 12),
  0)</f>
        <v/>
      </c>
      <c r="O195" s="299">
        <f>IF(AND($F195&lt;=O$2, OR($G195="",$G195&gt;=O$2)),
  $H195 * (1 + Assumptions!$C$7) ^ INT(((YEAR(O$2)-YEAR($F195))*12 + MONTH(O$2)-MONTH($F195)) / 12),
  0)</f>
        <v/>
      </c>
      <c r="P195" s="299">
        <f>IF(AND($F195&lt;=P$2, OR($G195="",$G195&gt;=P$2)),
  $H195 * (1 + Assumptions!$C$7) ^ INT(((YEAR(P$2)-YEAR($F195))*12 + MONTH(P$2)-MONTH($F195)) / 12),
  0)</f>
        <v/>
      </c>
      <c r="Q195" s="299">
        <f>IF(AND($F195&lt;=Q$2, OR($G195="",$G195&gt;=Q$2)),
  $H195 * (1 + Assumptions!$C$7) ^ INT(((YEAR(Q$2)-YEAR($F195))*12 + MONTH(Q$2)-MONTH($F195)) / 12),
  0)</f>
        <v/>
      </c>
      <c r="R195" s="299">
        <f>IF(AND($F195&lt;=R$2, OR($G195="",$G195&gt;=R$2)),
  $H195 * (1 + Assumptions!$C$7) ^ INT(((YEAR(R$2)-YEAR($F195))*12 + MONTH(R$2)-MONTH($F195)) / 12),
  0)</f>
        <v/>
      </c>
      <c r="S195" s="299">
        <f>IF(AND($F195&lt;=S$2, OR($G195="",$G195&gt;=S$2)),
  $H195 * (1 + Assumptions!$C$7) ^ INT(((YEAR(S$2)-YEAR($F195))*12 + MONTH(S$2)-MONTH($F195)) / 12),
  0)</f>
        <v/>
      </c>
      <c r="T195" s="299">
        <f>IF(AND($F195&lt;=T$2, OR($G195="",$G195&gt;=T$2)),
  $H195 * (1 + Assumptions!$C$7) ^ INT(((YEAR(T$2)-YEAR($F195))*12 + MONTH(T$2)-MONTH($F195)) / 12),
  0)</f>
        <v/>
      </c>
      <c r="U195" s="299">
        <f>IF(AND($F195&lt;=U$2, OR($G195="",$G195&gt;=U$2)),
  $H195 * (1 + Assumptions!$C$7) ^ INT(((YEAR(U$2)-YEAR($F195))*12 + MONTH(U$2)-MONTH($F195)) / 12),
  0)</f>
        <v/>
      </c>
      <c r="V195" s="299">
        <f>IF(AND($F195&lt;=V$2, OR($G195="",$G195&gt;=V$2)),
  $H195 * (1 + Assumptions!$C$7) ^ INT(((YEAR(V$2)-YEAR($F195))*12 + MONTH(V$2)-MONTH($F195)) / 12),
  0)</f>
        <v/>
      </c>
      <c r="W195" s="299">
        <f>IF(AND($F195&lt;=W$2, OR($G195="",$G195&gt;=W$2)),
  $H195 * (1 + Assumptions!$C$7) ^ INT(((YEAR(W$2)-YEAR($F195))*12 + MONTH(W$2)-MONTH($F195)) / 12),
  0)</f>
        <v/>
      </c>
      <c r="X195" s="299">
        <f>IF(AND($F195&lt;=X$2, OR($G195="",$G195&gt;=X$2)),
  $H195 * (1 + Assumptions!$C$7) ^ INT(((YEAR(X$2)-YEAR($F195))*12 + MONTH(X$2)-MONTH($F195)) / 12),
  0)</f>
        <v/>
      </c>
      <c r="Y195" s="299">
        <f>IF(AND($F195&lt;=Y$2, OR($G195="",$G195&gt;=Y$2)),
  $H195 * (1 + Assumptions!$C$7) ^ INT(((YEAR(Y$2)-YEAR($F195))*12 + MONTH(Y$2)-MONTH($F195)) / 12),
  0)</f>
        <v/>
      </c>
      <c r="Z195" s="299">
        <f>IF(AND($F195&lt;=Z$2, OR($G195="",$G195&gt;=Z$2)),
  $H195 * (1 + Assumptions!$C$7) ^ INT(((YEAR(Z$2)-YEAR($F195))*12 + MONTH(Z$2)-MONTH($F195)) / 12),
  0)</f>
        <v/>
      </c>
      <c r="AA195" s="299">
        <f>IF(AND($F195&lt;=AA$2, OR($G195="",$G195&gt;=AA$2)),
  $H195 * (1 + Assumptions!$C$7) ^ INT(((YEAR(AA$2)-YEAR($F195))*12 + MONTH(AA$2)-MONTH($F195)) / 12),
  0)</f>
        <v/>
      </c>
      <c r="AB195" s="299">
        <f>IF(AND($F195&lt;=AB$2, OR($G195="",$G195&gt;=AB$2)),
  $H195 * (1 + Assumptions!$C$7) ^ INT(((YEAR(AB$2)-YEAR($F195))*12 + MONTH(AB$2)-MONTH($F195)) / 12),
  0)</f>
        <v/>
      </c>
      <c r="AC195" s="299">
        <f>IF(AND($F195&lt;=AC$2, OR($G195="",$G195&gt;=AC$2)),
  $H195 * (1 + Assumptions!$C$7) ^ INT(((YEAR(AC$2)-YEAR($F195))*12 + MONTH(AC$2)-MONTH($F195)) / 12),
  0)</f>
        <v/>
      </c>
      <c r="AD195" s="299">
        <f>IF(AND($F195&lt;=AD$2, OR($G195="",$G195&gt;=AD$2)),
  $H195 * (1 + Assumptions!$C$7) ^ INT(((YEAR(AD$2)-YEAR($F195))*12 + MONTH(AD$2)-MONTH($F195)) / 12),
  0)</f>
        <v/>
      </c>
      <c r="AE195" s="299">
        <f>IF(AND($F195&lt;=AE$2, OR($G195="",$G195&gt;=AE$2)),
  $H195 * (1 + Assumptions!$C$7) ^ INT(((YEAR(AE$2)-YEAR($F195))*12 + MONTH(AE$2)-MONTH($F195)) / 12),
  0)</f>
        <v/>
      </c>
      <c r="AF195" s="299">
        <f>IF(AND($F195&lt;=AF$2, OR($G195="",$G195&gt;=AF$2)),
  $H195 * (1 + Assumptions!$C$7) ^ INT(((YEAR(AF$2)-YEAR($F195))*12 + MONTH(AF$2)-MONTH($F195)) / 12),
  0)</f>
        <v/>
      </c>
      <c r="AG195" s="299">
        <f>IF(AND($F195&lt;=AG$2, OR($G195="",$G195&gt;=AG$2)),
  $H195 * (1 + Assumptions!$C$7) ^ INT(((YEAR(AG$2)-YEAR($F195))*12 + MONTH(AG$2)-MONTH($F195)) / 12),
  0)</f>
        <v/>
      </c>
      <c r="AH195" s="299">
        <f>IF(AND($F195&lt;=AH$2, OR($G195="",$G195&gt;=AH$2)),
  $H195 * (1 + Assumptions!$C$7) ^ INT(((YEAR(AH$2)-YEAR($F195))*12 + MONTH(AH$2)-MONTH($F195)) / 12),
  0)</f>
        <v/>
      </c>
      <c r="AI195" s="299">
        <f>IF(AND($F195&lt;=AI$2, OR($G195="",$G195&gt;=AI$2)),
  $H195 * (1 + Assumptions!$C$7) ^ INT(((YEAR(AI$2)-YEAR($F195))*12 + MONTH(AI$2)-MONTH($F195)) / 12),
  0)</f>
        <v/>
      </c>
      <c r="AJ195" s="299">
        <f>IF(AND($F195&lt;=AJ$2, OR($G195="",$G195&gt;=AJ$2)),
  $H195 * (1 + Assumptions!$C$7) ^ INT(((YEAR(AJ$2)-YEAR($F195))*12 + MONTH(AJ$2)-MONTH($F195)) / 12),
  0)</f>
        <v/>
      </c>
      <c r="AK195" s="299">
        <f>IF(AND($F195&lt;=AK$2, OR($G195="",$G195&gt;=AK$2)),
  $H195 * (1 + Assumptions!$C$7) ^ INT(((YEAR(AK$2)-YEAR($F195))*12 + MONTH(AK$2)-MONTH($F195)) / 12),
  0)</f>
        <v/>
      </c>
      <c r="AL195" s="299">
        <f>IF(AND($F195&lt;=AL$2, OR($G195="",$G195&gt;=AL$2)),
  $H195 * (1 + Assumptions!$C$7) ^ INT(((YEAR(AL$2)-YEAR($F195))*12 + MONTH(AL$2)-MONTH($F195)) / 12),
  0)</f>
        <v/>
      </c>
      <c r="AM195" s="299">
        <f>IF(AND($F195&lt;=AM$2, OR($G195="",$G195&gt;=AM$2)),
  $H195 * (1 + Assumptions!$C$7) ^ INT(((YEAR(AM$2)-YEAR($F195))*12 + MONTH(AM$2)-MONTH($F195)) / 12),
  0)</f>
        <v/>
      </c>
      <c r="AN195" s="299">
        <f>IF(AND($F195&lt;=AN$2, OR($G195="",$G195&gt;=AN$2)),
  $H195 * (1 + Assumptions!$C$7) ^ INT(((YEAR(AN$2)-YEAR($F195))*12 + MONTH(AN$2)-MONTH($F195)) / 12),
  0)</f>
        <v/>
      </c>
      <c r="AO195" s="299">
        <f>IF(AND($F195&lt;=AO$2, OR($G195="",$G195&gt;=AO$2)),
  $H195 * (1 + Assumptions!$C$7) ^ INT(((YEAR(AO$2)-YEAR($F195))*12 + MONTH(AO$2)-MONTH($F195)) / 12),
  0)</f>
        <v/>
      </c>
      <c r="AP195" s="299">
        <f>IF(AND($F195&lt;=AP$2, OR($G195="",$G195&gt;=AP$2)),
  $H195 * (1 + Assumptions!$C$7) ^ INT(((YEAR(AP$2)-YEAR($F195))*12 + MONTH(AP$2)-MONTH($F195)) / 12),
  0)</f>
        <v/>
      </c>
      <c r="AQ195" s="299">
        <f>IF(AND($F195&lt;=AQ$2, OR($G195="",$G195&gt;=AQ$2)),
  $H195 * (1 + Assumptions!$C$7) ^ INT(((YEAR(AQ$2)-YEAR($F195))*12 + MONTH(AQ$2)-MONTH($F195)) / 12),
  0)</f>
        <v/>
      </c>
      <c r="AR195" s="299">
        <f>IF(AND($F195&lt;=AR$2, OR($G195="",$G195&gt;=AR$2)),
  $H195 * (1 + Assumptions!$C$7) ^ INT(((YEAR(AR$2)-YEAR($F195))*12 + MONTH(AR$2)-MONTH($F195)) / 12),
  0)</f>
        <v/>
      </c>
      <c r="AS195" s="299">
        <f>IF(AND($F195&lt;=AS$2, OR($G195="",$G195&gt;=AS$2)),
  $H195 * (1 + Assumptions!$C$7) ^ INT(((YEAR(AS$2)-YEAR($F195))*12 + MONTH(AS$2)-MONTH($F195)) / 12),
  0)</f>
        <v/>
      </c>
      <c r="AT195" s="299">
        <f>IF(AND($F195&lt;=AT$2, OR($G195="",$G195&gt;=AT$2)),
  $H195 * (1 + Assumptions!$C$7) ^ INT(((YEAR(AT$2)-YEAR($F195))*12 + MONTH(AT$2)-MONTH($F195)) / 12),
  0)</f>
        <v/>
      </c>
      <c r="AU195" s="299">
        <f>IF(AND($F195&lt;=AU$2, OR($G195="",$G195&gt;=AU$2)),
  $H195 * (1 + Assumptions!$C$7) ^ INT(((YEAR(AU$2)-YEAR($F195))*12 + MONTH(AU$2)-MONTH($F195)) / 12),
  0)</f>
        <v/>
      </c>
      <c r="AV195" s="299">
        <f>IF(AND($F195&lt;=AV$2, OR($G195="",$G195&gt;=AV$2)),
  $H195 * (1 + Assumptions!$C$7) ^ INT(((YEAR(AV$2)-YEAR($F195))*12 + MONTH(AV$2)-MONTH($F195)) / 12),
  0)</f>
        <v/>
      </c>
      <c r="AW195" s="299">
        <f>IF(AND($F195&lt;=AW$2, OR($G195="",$G195&gt;=AW$2)),
  $H195 * (1 + Assumptions!$C$7) ^ INT(((YEAR(AW$2)-YEAR($F195))*12 + MONTH(AW$2)-MONTH($F195)) / 12),
  0)</f>
        <v/>
      </c>
      <c r="AX195" s="299">
        <f>IF(AND($F195&lt;=AX$2, OR($G195="",$G195&gt;=AX$2)),
  $H195 * (1 + Assumptions!$C$7) ^ INT(((YEAR(AX$2)-YEAR($F195))*12 + MONTH(AX$2)-MONTH($F195)) / 12),
  0)</f>
        <v/>
      </c>
      <c r="AY195" s="299">
        <f>IF(AND($F195&lt;=AY$2, OR($G195="",$G195&gt;=AY$2)),
  $H195 * (1 + Assumptions!$C$7) ^ INT(((YEAR(AY$2)-YEAR($F195))*12 + MONTH(AY$2)-MONTH($F195)) / 12),
  0)</f>
        <v/>
      </c>
      <c r="AZ195" s="299">
        <f>IF(AND($F195&lt;=AZ$2, OR($G195="",$G195&gt;=AZ$2)),
  $H195 * (1 + Assumptions!$C$7) ^ INT(((YEAR(AZ$2)-YEAR($F195))*12 + MONTH(AZ$2)-MONTH($F195)) / 12),
  0)</f>
        <v/>
      </c>
      <c r="BA195" s="299">
        <f>IF(AND($F195&lt;=BA$2, OR($G195="",$G195&gt;=BA$2)),
  $H195 * (1 + Assumptions!$C$7) ^ INT(((YEAR(BA$2)-YEAR($F195))*12 + MONTH(BA$2)-MONTH($F195)) / 12),
  0)</f>
        <v/>
      </c>
      <c r="BB195" s="299">
        <f>IF(AND($F195&lt;=BB$2, OR($G195="",$G195&gt;=BB$2)),
  $H195 * (1 + Assumptions!$C$7) ^ INT(((YEAR(BB$2)-YEAR($F195))*12 + MONTH(BB$2)-MONTH($F195)) / 12),
  0)</f>
        <v/>
      </c>
      <c r="BC195" s="299">
        <f>IF(AND($F195&lt;=BC$2, OR($G195="",$G195&gt;=BC$2)),
  $H195 * (1 + Assumptions!$C$7) ^ INT(((YEAR(BC$2)-YEAR($F195))*12 + MONTH(BC$2)-MONTH($F195)) / 12),
  0)</f>
        <v/>
      </c>
      <c r="BD195" s="299">
        <f>IF(AND($F195&lt;=BD$2, OR($G195="",$G195&gt;=BD$2)),
  $H195 * (1 + Assumptions!$C$7) ^ INT(((YEAR(BD$2)-YEAR($F195))*12 + MONTH(BD$2)-MONTH($F195)) / 12),
  0)</f>
        <v/>
      </c>
      <c r="BE195" s="299">
        <f>IF(AND($F195&lt;=BE$2, OR($G195="",$G195&gt;=BE$2)),
  $H195 * (1 + Assumptions!$C$7) ^ INT(((YEAR(BE$2)-YEAR($F195))*12 + MONTH(BE$2)-MONTH($F195)) / 12),
  0)</f>
        <v/>
      </c>
      <c r="BF195" s="299">
        <f>IF(AND($F195&lt;=BF$2, OR($G195="",$G195&gt;=BF$2)),
  $H195 * (1 + Assumptions!$C$7) ^ INT(((YEAR(BF$2)-YEAR($F195))*12 + MONTH(BF$2)-MONTH($F195)) / 12),
  0)</f>
        <v/>
      </c>
      <c r="BG195" s="299">
        <f>IF(AND($F195&lt;=BG$2, OR($G195="",$G195&gt;=BG$2)),
  $H195 * (1 + Assumptions!$C$7) ^ INT(((YEAR(BG$2)-YEAR($F195))*12 + MONTH(BG$2)-MONTH($F195)) / 12),
  0)</f>
        <v/>
      </c>
      <c r="BH195" s="299">
        <f>IF(AND($F195&lt;=BH$2, OR($G195="",$G195&gt;=BH$2)),
  $H195 * (1 + Assumptions!$C$7) ^ INT(((YEAR(BH$2)-YEAR($F195))*12 + MONTH(BH$2)-MONTH($F195)) / 12),
  0)</f>
        <v/>
      </c>
      <c r="BI195" s="299">
        <f>IF(AND($F195&lt;=BI$2, OR($G195="",$G195&gt;=BI$2)),
  $H195 * (1 + Assumptions!$C$7) ^ INT(((YEAR(BI$2)-YEAR($F195))*12 + MONTH(BI$2)-MONTH($F195)) / 12),
  0)</f>
        <v/>
      </c>
      <c r="BJ195" s="299">
        <f>IF(AND($F195&lt;=BJ$2, OR($G195="",$G195&gt;=BJ$2)),
  $H195 * (1 + Assumptions!$C$7) ^ INT(((YEAR(BJ$2)-YEAR($F195))*12 + MONTH(BJ$2)-MONTH($F195)) / 12),
  0)</f>
        <v/>
      </c>
      <c r="BK195" s="299">
        <f>IF(AND($F195&lt;=BK$2, OR($G195="",$G195&gt;=BK$2)),
  $H195 * (1 + Assumptions!$C$7) ^ INT(((YEAR(BK$2)-YEAR($F195))*12 + MONTH(BK$2)-MONTH($F195)) / 12),
  0)</f>
        <v/>
      </c>
      <c r="BL195" s="299">
        <f>IF(AND($F195&lt;=BL$2, OR($G195="",$G195&gt;=BL$2)),
  $H195 * (1 + Assumptions!$C$7) ^ INT(((YEAR(BL$2)-YEAR($F195))*12 + MONTH(BL$2)-MONTH($F195)) / 12),
  0)</f>
        <v/>
      </c>
      <c r="BM195" s="299">
        <f>IF(AND($F195&lt;=BM$2, OR($G195="",$G195&gt;=BM$2)),
  $H195 * (1 + Assumptions!$C$7) ^ INT(((YEAR(BM$2)-YEAR($F195))*12 + MONTH(BM$2)-MONTH($F195)) / 12),
  0)</f>
        <v/>
      </c>
      <c r="BN195" s="299">
        <f>IF(AND($F195&lt;=BN$2, OR($G195="",$G195&gt;=BN$2)),
  $H195 * (1 + Assumptions!$C$7) ^ INT(((YEAR(BN$2)-YEAR($F195))*12 + MONTH(BN$2)-MONTH($F195)) / 12),
  0)</f>
        <v/>
      </c>
      <c r="BO195" s="299">
        <f>IF(AND($F195&lt;=BO$2, OR($G195="",$G195&gt;=BO$2)),
  $H195 * (1 + Assumptions!$C$7) ^ INT(((YEAR(BO$2)-YEAR($F195))*12 + MONTH(BO$2)-MONTH($F195)) / 12),
  0)</f>
        <v/>
      </c>
      <c r="BP195" s="299">
        <f>IF(AND($F195&lt;=BP$2, OR($G195="",$G195&gt;=BP$2)),
  $H195 * (1 + Assumptions!$C$7) ^ INT(((YEAR(BP$2)-YEAR($F195))*12 + MONTH(BP$2)-MONTH($F195)) / 12),
  0)</f>
        <v/>
      </c>
      <c r="BQ195" s="31" t="n"/>
      <c r="BR195" s="31" t="n"/>
      <c r="BS195" s="31" t="n"/>
      <c r="BT195" s="31" t="n"/>
    </row>
    <row r="196" ht="15.75" customHeight="1" s="349">
      <c r="A196" s="321" t="n">
        <v>191</v>
      </c>
      <c r="B196" s="285" t="inlineStr">
        <is>
          <t>New hire</t>
        </is>
      </c>
      <c r="C196" s="317" t="inlineStr">
        <is>
          <t>G&amp;A</t>
        </is>
      </c>
      <c r="D196" s="317" t="inlineStr">
        <is>
          <t>Finance / HR / IT / Legal</t>
        </is>
      </c>
      <c r="E196" s="297" t="inlineStr">
        <is>
          <t>Planned</t>
        </is>
      </c>
      <c r="F196" s="318">
        <f>IF(Assumptions!$D$82=2,DATE(2029,1,1),DATE(2035,1,1))</f>
        <v/>
      </c>
      <c r="G196" s="318" t="n"/>
      <c r="H196" s="288" t="n">
        <v>7000</v>
      </c>
      <c r="I196" s="299">
        <f>IF(AND($F196&lt;=I$2, OR($G196="",$G196&gt;=I$2)),
  $H196 * (1 + Assumptions!$C$7) ^ INT(((YEAR(I$2)-YEAR($F196))*12 + MONTH(I$2)-MONTH($F196)) / 12),
  0)</f>
        <v/>
      </c>
      <c r="J196" s="299">
        <f>IF(AND($F196&lt;=J$2, OR($G196="",$G196&gt;=J$2)),
  $H196 * (1 + Assumptions!$C$7) ^ INT(((YEAR(J$2)-YEAR($F196))*12 + MONTH(J$2)-MONTH($F196)) / 12),
  0)</f>
        <v/>
      </c>
      <c r="K196" s="299">
        <f>IF(AND($F196&lt;=K$2, OR($G196="",$G196&gt;=K$2)),
  $H196 * (1 + Assumptions!$C$7) ^ INT(((YEAR(K$2)-YEAR($F196))*12 + MONTH(K$2)-MONTH($F196)) / 12),
  0)</f>
        <v/>
      </c>
      <c r="L196" s="299">
        <f>IF(AND($F196&lt;=L$2, OR($G196="",$G196&gt;=L$2)),
  $H196 * (1 + Assumptions!$C$7) ^ INT(((YEAR(L$2)-YEAR($F196))*12 + MONTH(L$2)-MONTH($F196)) / 12),
  0)</f>
        <v/>
      </c>
      <c r="M196" s="299">
        <f>IF(AND($F196&lt;=M$2, OR($G196="",$G196&gt;=M$2)),
  $H196 * (1 + Assumptions!$C$7) ^ INT(((YEAR(M$2)-YEAR($F196))*12 + MONTH(M$2)-MONTH($F196)) / 12),
  0)</f>
        <v/>
      </c>
      <c r="N196" s="299">
        <f>IF(AND($F196&lt;=N$2, OR($G196="",$G196&gt;=N$2)),
  $H196 * (1 + Assumptions!$C$7) ^ INT(((YEAR(N$2)-YEAR($F196))*12 + MONTH(N$2)-MONTH($F196)) / 12),
  0)</f>
        <v/>
      </c>
      <c r="O196" s="299">
        <f>IF(AND($F196&lt;=O$2, OR($G196="",$G196&gt;=O$2)),
  $H196 * (1 + Assumptions!$C$7) ^ INT(((YEAR(O$2)-YEAR($F196))*12 + MONTH(O$2)-MONTH($F196)) / 12),
  0)</f>
        <v/>
      </c>
      <c r="P196" s="299">
        <f>IF(AND($F196&lt;=P$2, OR($G196="",$G196&gt;=P$2)),
  $H196 * (1 + Assumptions!$C$7) ^ INT(((YEAR(P$2)-YEAR($F196))*12 + MONTH(P$2)-MONTH($F196)) / 12),
  0)</f>
        <v/>
      </c>
      <c r="Q196" s="299">
        <f>IF(AND($F196&lt;=Q$2, OR($G196="",$G196&gt;=Q$2)),
  $H196 * (1 + Assumptions!$C$7) ^ INT(((YEAR(Q$2)-YEAR($F196))*12 + MONTH(Q$2)-MONTH($F196)) / 12),
  0)</f>
        <v/>
      </c>
      <c r="R196" s="299">
        <f>IF(AND($F196&lt;=R$2, OR($G196="",$G196&gt;=R$2)),
  $H196 * (1 + Assumptions!$C$7) ^ INT(((YEAR(R$2)-YEAR($F196))*12 + MONTH(R$2)-MONTH($F196)) / 12),
  0)</f>
        <v/>
      </c>
      <c r="S196" s="299">
        <f>IF(AND($F196&lt;=S$2, OR($G196="",$G196&gt;=S$2)),
  $H196 * (1 + Assumptions!$C$7) ^ INT(((YEAR(S$2)-YEAR($F196))*12 + MONTH(S$2)-MONTH($F196)) / 12),
  0)</f>
        <v/>
      </c>
      <c r="T196" s="299">
        <f>IF(AND($F196&lt;=T$2, OR($G196="",$G196&gt;=T$2)),
  $H196 * (1 + Assumptions!$C$7) ^ INT(((YEAR(T$2)-YEAR($F196))*12 + MONTH(T$2)-MONTH($F196)) / 12),
  0)</f>
        <v/>
      </c>
      <c r="U196" s="299">
        <f>IF(AND($F196&lt;=U$2, OR($G196="",$G196&gt;=U$2)),
  $H196 * (1 + Assumptions!$C$7) ^ INT(((YEAR(U$2)-YEAR($F196))*12 + MONTH(U$2)-MONTH($F196)) / 12),
  0)</f>
        <v/>
      </c>
      <c r="V196" s="299">
        <f>IF(AND($F196&lt;=V$2, OR($G196="",$G196&gt;=V$2)),
  $H196 * (1 + Assumptions!$C$7) ^ INT(((YEAR(V$2)-YEAR($F196))*12 + MONTH(V$2)-MONTH($F196)) / 12),
  0)</f>
        <v/>
      </c>
      <c r="W196" s="299">
        <f>IF(AND($F196&lt;=W$2, OR($G196="",$G196&gt;=W$2)),
  $H196 * (1 + Assumptions!$C$7) ^ INT(((YEAR(W$2)-YEAR($F196))*12 + MONTH(W$2)-MONTH($F196)) / 12),
  0)</f>
        <v/>
      </c>
      <c r="X196" s="299">
        <f>IF(AND($F196&lt;=X$2, OR($G196="",$G196&gt;=X$2)),
  $H196 * (1 + Assumptions!$C$7) ^ INT(((YEAR(X$2)-YEAR($F196))*12 + MONTH(X$2)-MONTH($F196)) / 12),
  0)</f>
        <v/>
      </c>
      <c r="Y196" s="299">
        <f>IF(AND($F196&lt;=Y$2, OR($G196="",$G196&gt;=Y$2)),
  $H196 * (1 + Assumptions!$C$7) ^ INT(((YEAR(Y$2)-YEAR($F196))*12 + MONTH(Y$2)-MONTH($F196)) / 12),
  0)</f>
        <v/>
      </c>
      <c r="Z196" s="299">
        <f>IF(AND($F196&lt;=Z$2, OR($G196="",$G196&gt;=Z$2)),
  $H196 * (1 + Assumptions!$C$7) ^ INT(((YEAR(Z$2)-YEAR($F196))*12 + MONTH(Z$2)-MONTH($F196)) / 12),
  0)</f>
        <v/>
      </c>
      <c r="AA196" s="299">
        <f>IF(AND($F196&lt;=AA$2, OR($G196="",$G196&gt;=AA$2)),
  $H196 * (1 + Assumptions!$C$7) ^ INT(((YEAR(AA$2)-YEAR($F196))*12 + MONTH(AA$2)-MONTH($F196)) / 12),
  0)</f>
        <v/>
      </c>
      <c r="AB196" s="299">
        <f>IF(AND($F196&lt;=AB$2, OR($G196="",$G196&gt;=AB$2)),
  $H196 * (1 + Assumptions!$C$7) ^ INT(((YEAR(AB$2)-YEAR($F196))*12 + MONTH(AB$2)-MONTH($F196)) / 12),
  0)</f>
        <v/>
      </c>
      <c r="AC196" s="299">
        <f>IF(AND($F196&lt;=AC$2, OR($G196="",$G196&gt;=AC$2)),
  $H196 * (1 + Assumptions!$C$7) ^ INT(((YEAR(AC$2)-YEAR($F196))*12 + MONTH(AC$2)-MONTH($F196)) / 12),
  0)</f>
        <v/>
      </c>
      <c r="AD196" s="299">
        <f>IF(AND($F196&lt;=AD$2, OR($G196="",$G196&gt;=AD$2)),
  $H196 * (1 + Assumptions!$C$7) ^ INT(((YEAR(AD$2)-YEAR($F196))*12 + MONTH(AD$2)-MONTH($F196)) / 12),
  0)</f>
        <v/>
      </c>
      <c r="AE196" s="299">
        <f>IF(AND($F196&lt;=AE$2, OR($G196="",$G196&gt;=AE$2)),
  $H196 * (1 + Assumptions!$C$7) ^ INT(((YEAR(AE$2)-YEAR($F196))*12 + MONTH(AE$2)-MONTH($F196)) / 12),
  0)</f>
        <v/>
      </c>
      <c r="AF196" s="299">
        <f>IF(AND($F196&lt;=AF$2, OR($G196="",$G196&gt;=AF$2)),
  $H196 * (1 + Assumptions!$C$7) ^ INT(((YEAR(AF$2)-YEAR($F196))*12 + MONTH(AF$2)-MONTH($F196)) / 12),
  0)</f>
        <v/>
      </c>
      <c r="AG196" s="299">
        <f>IF(AND($F196&lt;=AG$2, OR($G196="",$G196&gt;=AG$2)),
  $H196 * (1 + Assumptions!$C$7) ^ INT(((YEAR(AG$2)-YEAR($F196))*12 + MONTH(AG$2)-MONTH($F196)) / 12),
  0)</f>
        <v/>
      </c>
      <c r="AH196" s="299">
        <f>IF(AND($F196&lt;=AH$2, OR($G196="",$G196&gt;=AH$2)),
  $H196 * (1 + Assumptions!$C$7) ^ INT(((YEAR(AH$2)-YEAR($F196))*12 + MONTH(AH$2)-MONTH($F196)) / 12),
  0)</f>
        <v/>
      </c>
      <c r="AI196" s="299">
        <f>IF(AND($F196&lt;=AI$2, OR($G196="",$G196&gt;=AI$2)),
  $H196 * (1 + Assumptions!$C$7) ^ INT(((YEAR(AI$2)-YEAR($F196))*12 + MONTH(AI$2)-MONTH($F196)) / 12),
  0)</f>
        <v/>
      </c>
      <c r="AJ196" s="299">
        <f>IF(AND($F196&lt;=AJ$2, OR($G196="",$G196&gt;=AJ$2)),
  $H196 * (1 + Assumptions!$C$7) ^ INT(((YEAR(AJ$2)-YEAR($F196))*12 + MONTH(AJ$2)-MONTH($F196)) / 12),
  0)</f>
        <v/>
      </c>
      <c r="AK196" s="299">
        <f>IF(AND($F196&lt;=AK$2, OR($G196="",$G196&gt;=AK$2)),
  $H196 * (1 + Assumptions!$C$7) ^ INT(((YEAR(AK$2)-YEAR($F196))*12 + MONTH(AK$2)-MONTH($F196)) / 12),
  0)</f>
        <v/>
      </c>
      <c r="AL196" s="299">
        <f>IF(AND($F196&lt;=AL$2, OR($G196="",$G196&gt;=AL$2)),
  $H196 * (1 + Assumptions!$C$7) ^ INT(((YEAR(AL$2)-YEAR($F196))*12 + MONTH(AL$2)-MONTH($F196)) / 12),
  0)</f>
        <v/>
      </c>
      <c r="AM196" s="299">
        <f>IF(AND($F196&lt;=AM$2, OR($G196="",$G196&gt;=AM$2)),
  $H196 * (1 + Assumptions!$C$7) ^ INT(((YEAR(AM$2)-YEAR($F196))*12 + MONTH(AM$2)-MONTH($F196)) / 12),
  0)</f>
        <v/>
      </c>
      <c r="AN196" s="299">
        <f>IF(AND($F196&lt;=AN$2, OR($G196="",$G196&gt;=AN$2)),
  $H196 * (1 + Assumptions!$C$7) ^ INT(((YEAR(AN$2)-YEAR($F196))*12 + MONTH(AN$2)-MONTH($F196)) / 12),
  0)</f>
        <v/>
      </c>
      <c r="AO196" s="299">
        <f>IF(AND($F196&lt;=AO$2, OR($G196="",$G196&gt;=AO$2)),
  $H196 * (1 + Assumptions!$C$7) ^ INT(((YEAR(AO$2)-YEAR($F196))*12 + MONTH(AO$2)-MONTH($F196)) / 12),
  0)</f>
        <v/>
      </c>
      <c r="AP196" s="299">
        <f>IF(AND($F196&lt;=AP$2, OR($G196="",$G196&gt;=AP$2)),
  $H196 * (1 + Assumptions!$C$7) ^ INT(((YEAR(AP$2)-YEAR($F196))*12 + MONTH(AP$2)-MONTH($F196)) / 12),
  0)</f>
        <v/>
      </c>
      <c r="AQ196" s="299">
        <f>IF(AND($F196&lt;=AQ$2, OR($G196="",$G196&gt;=AQ$2)),
  $H196 * (1 + Assumptions!$C$7) ^ INT(((YEAR(AQ$2)-YEAR($F196))*12 + MONTH(AQ$2)-MONTH($F196)) / 12),
  0)</f>
        <v/>
      </c>
      <c r="AR196" s="299">
        <f>IF(AND($F196&lt;=AR$2, OR($G196="",$G196&gt;=AR$2)),
  $H196 * (1 + Assumptions!$C$7) ^ INT(((YEAR(AR$2)-YEAR($F196))*12 + MONTH(AR$2)-MONTH($F196)) / 12),
  0)</f>
        <v/>
      </c>
      <c r="AS196" s="299">
        <f>IF(AND($F196&lt;=AS$2, OR($G196="",$G196&gt;=AS$2)),
  $H196 * (1 + Assumptions!$C$7) ^ INT(((YEAR(AS$2)-YEAR($F196))*12 + MONTH(AS$2)-MONTH($F196)) / 12),
  0)</f>
        <v/>
      </c>
      <c r="AT196" s="299">
        <f>IF(AND($F196&lt;=AT$2, OR($G196="",$G196&gt;=AT$2)),
  $H196 * (1 + Assumptions!$C$7) ^ INT(((YEAR(AT$2)-YEAR($F196))*12 + MONTH(AT$2)-MONTH($F196)) / 12),
  0)</f>
        <v/>
      </c>
      <c r="AU196" s="299">
        <f>IF(AND($F196&lt;=AU$2, OR($G196="",$G196&gt;=AU$2)),
  $H196 * (1 + Assumptions!$C$7) ^ INT(((YEAR(AU$2)-YEAR($F196))*12 + MONTH(AU$2)-MONTH($F196)) / 12),
  0)</f>
        <v/>
      </c>
      <c r="AV196" s="299">
        <f>IF(AND($F196&lt;=AV$2, OR($G196="",$G196&gt;=AV$2)),
  $H196 * (1 + Assumptions!$C$7) ^ INT(((YEAR(AV$2)-YEAR($F196))*12 + MONTH(AV$2)-MONTH($F196)) / 12),
  0)</f>
        <v/>
      </c>
      <c r="AW196" s="299">
        <f>IF(AND($F196&lt;=AW$2, OR($G196="",$G196&gt;=AW$2)),
  $H196 * (1 + Assumptions!$C$7) ^ INT(((YEAR(AW$2)-YEAR($F196))*12 + MONTH(AW$2)-MONTH($F196)) / 12),
  0)</f>
        <v/>
      </c>
      <c r="AX196" s="299">
        <f>IF(AND($F196&lt;=AX$2, OR($G196="",$G196&gt;=AX$2)),
  $H196 * (1 + Assumptions!$C$7) ^ INT(((YEAR(AX$2)-YEAR($F196))*12 + MONTH(AX$2)-MONTH($F196)) / 12),
  0)</f>
        <v/>
      </c>
      <c r="AY196" s="299">
        <f>IF(AND($F196&lt;=AY$2, OR($G196="",$G196&gt;=AY$2)),
  $H196 * (1 + Assumptions!$C$7) ^ INT(((YEAR(AY$2)-YEAR($F196))*12 + MONTH(AY$2)-MONTH($F196)) / 12),
  0)</f>
        <v/>
      </c>
      <c r="AZ196" s="299">
        <f>IF(AND($F196&lt;=AZ$2, OR($G196="",$G196&gt;=AZ$2)),
  $H196 * (1 + Assumptions!$C$7) ^ INT(((YEAR(AZ$2)-YEAR($F196))*12 + MONTH(AZ$2)-MONTH($F196)) / 12),
  0)</f>
        <v/>
      </c>
      <c r="BA196" s="299">
        <f>IF(AND($F196&lt;=BA$2, OR($G196="",$G196&gt;=BA$2)),
  $H196 * (1 + Assumptions!$C$7) ^ INT(((YEAR(BA$2)-YEAR($F196))*12 + MONTH(BA$2)-MONTH($F196)) / 12),
  0)</f>
        <v/>
      </c>
      <c r="BB196" s="299">
        <f>IF(AND($F196&lt;=BB$2, OR($G196="",$G196&gt;=BB$2)),
  $H196 * (1 + Assumptions!$C$7) ^ INT(((YEAR(BB$2)-YEAR($F196))*12 + MONTH(BB$2)-MONTH($F196)) / 12),
  0)</f>
        <v/>
      </c>
      <c r="BC196" s="299">
        <f>IF(AND($F196&lt;=BC$2, OR($G196="",$G196&gt;=BC$2)),
  $H196 * (1 + Assumptions!$C$7) ^ INT(((YEAR(BC$2)-YEAR($F196))*12 + MONTH(BC$2)-MONTH($F196)) / 12),
  0)</f>
        <v/>
      </c>
      <c r="BD196" s="299">
        <f>IF(AND($F196&lt;=BD$2, OR($G196="",$G196&gt;=BD$2)),
  $H196 * (1 + Assumptions!$C$7) ^ INT(((YEAR(BD$2)-YEAR($F196))*12 + MONTH(BD$2)-MONTH($F196)) / 12),
  0)</f>
        <v/>
      </c>
      <c r="BE196" s="299">
        <f>IF(AND($F196&lt;=BE$2, OR($G196="",$G196&gt;=BE$2)),
  $H196 * (1 + Assumptions!$C$7) ^ INT(((YEAR(BE$2)-YEAR($F196))*12 + MONTH(BE$2)-MONTH($F196)) / 12),
  0)</f>
        <v/>
      </c>
      <c r="BF196" s="299">
        <f>IF(AND($F196&lt;=BF$2, OR($G196="",$G196&gt;=BF$2)),
  $H196 * (1 + Assumptions!$C$7) ^ INT(((YEAR(BF$2)-YEAR($F196))*12 + MONTH(BF$2)-MONTH($F196)) / 12),
  0)</f>
        <v/>
      </c>
      <c r="BG196" s="299">
        <f>IF(AND($F196&lt;=BG$2, OR($G196="",$G196&gt;=BG$2)),
  $H196 * (1 + Assumptions!$C$7) ^ INT(((YEAR(BG$2)-YEAR($F196))*12 + MONTH(BG$2)-MONTH($F196)) / 12),
  0)</f>
        <v/>
      </c>
      <c r="BH196" s="299">
        <f>IF(AND($F196&lt;=BH$2, OR($G196="",$G196&gt;=BH$2)),
  $H196 * (1 + Assumptions!$C$7) ^ INT(((YEAR(BH$2)-YEAR($F196))*12 + MONTH(BH$2)-MONTH($F196)) / 12),
  0)</f>
        <v/>
      </c>
      <c r="BI196" s="299">
        <f>IF(AND($F196&lt;=BI$2, OR($G196="",$G196&gt;=BI$2)),
  $H196 * (1 + Assumptions!$C$7) ^ INT(((YEAR(BI$2)-YEAR($F196))*12 + MONTH(BI$2)-MONTH($F196)) / 12),
  0)</f>
        <v/>
      </c>
      <c r="BJ196" s="299">
        <f>IF(AND($F196&lt;=BJ$2, OR($G196="",$G196&gt;=BJ$2)),
  $H196 * (1 + Assumptions!$C$7) ^ INT(((YEAR(BJ$2)-YEAR($F196))*12 + MONTH(BJ$2)-MONTH($F196)) / 12),
  0)</f>
        <v/>
      </c>
      <c r="BK196" s="299">
        <f>IF(AND($F196&lt;=BK$2, OR($G196="",$G196&gt;=BK$2)),
  $H196 * (1 + Assumptions!$C$7) ^ INT(((YEAR(BK$2)-YEAR($F196))*12 + MONTH(BK$2)-MONTH($F196)) / 12),
  0)</f>
        <v/>
      </c>
      <c r="BL196" s="299">
        <f>IF(AND($F196&lt;=BL$2, OR($G196="",$G196&gt;=BL$2)),
  $H196 * (1 + Assumptions!$C$7) ^ INT(((YEAR(BL$2)-YEAR($F196))*12 + MONTH(BL$2)-MONTH($F196)) / 12),
  0)</f>
        <v/>
      </c>
      <c r="BM196" s="299">
        <f>IF(AND($F196&lt;=BM$2, OR($G196="",$G196&gt;=BM$2)),
  $H196 * (1 + Assumptions!$C$7) ^ INT(((YEAR(BM$2)-YEAR($F196))*12 + MONTH(BM$2)-MONTH($F196)) / 12),
  0)</f>
        <v/>
      </c>
      <c r="BN196" s="299">
        <f>IF(AND($F196&lt;=BN$2, OR($G196="",$G196&gt;=BN$2)),
  $H196 * (1 + Assumptions!$C$7) ^ INT(((YEAR(BN$2)-YEAR($F196))*12 + MONTH(BN$2)-MONTH($F196)) / 12),
  0)</f>
        <v/>
      </c>
      <c r="BO196" s="299">
        <f>IF(AND($F196&lt;=BO$2, OR($G196="",$G196&gt;=BO$2)),
  $H196 * (1 + Assumptions!$C$7) ^ INT(((YEAR(BO$2)-YEAR($F196))*12 + MONTH(BO$2)-MONTH($F196)) / 12),
  0)</f>
        <v/>
      </c>
      <c r="BP196" s="299">
        <f>IF(AND($F196&lt;=BP$2, OR($G196="",$G196&gt;=BP$2)),
  $H196 * (1 + Assumptions!$C$7) ^ INT(((YEAR(BP$2)-YEAR($F196))*12 + MONTH(BP$2)-MONTH($F196)) / 12),
  0)</f>
        <v/>
      </c>
      <c r="BQ196" s="31" t="n"/>
      <c r="BR196" s="31" t="n"/>
      <c r="BS196" s="31" t="n"/>
      <c r="BT196" s="31" t="n"/>
    </row>
    <row r="197" ht="15.75" customHeight="1" s="349">
      <c r="A197" s="321" t="n">
        <v>192</v>
      </c>
      <c r="B197" s="285" t="inlineStr">
        <is>
          <t>New hire</t>
        </is>
      </c>
      <c r="C197" s="317" t="inlineStr">
        <is>
          <t>G&amp;A</t>
        </is>
      </c>
      <c r="D197" s="317" t="inlineStr">
        <is>
          <t>Finance / HR / IT / Legal</t>
        </is>
      </c>
      <c r="E197" s="297" t="inlineStr">
        <is>
          <t>Planned</t>
        </is>
      </c>
      <c r="F197" s="318">
        <f>IF(Assumptions!$D$82=2,DATE(2029,1,1),DATE(2035,1,1))</f>
        <v/>
      </c>
      <c r="G197" s="318" t="n"/>
      <c r="H197" s="288" t="n">
        <v>7000</v>
      </c>
      <c r="I197" s="299">
        <f>IF(AND($F197&lt;=I$2, OR($G197="",$G197&gt;=I$2)),
  $H197 * (1 + Assumptions!$C$7) ^ INT(((YEAR(I$2)-YEAR($F197))*12 + MONTH(I$2)-MONTH($F197)) / 12),
  0)</f>
        <v/>
      </c>
      <c r="J197" s="299">
        <f>IF(AND($F197&lt;=J$2, OR($G197="",$G197&gt;=J$2)),
  $H197 * (1 + Assumptions!$C$7) ^ INT(((YEAR(J$2)-YEAR($F197))*12 + MONTH(J$2)-MONTH($F197)) / 12),
  0)</f>
        <v/>
      </c>
      <c r="K197" s="299">
        <f>IF(AND($F197&lt;=K$2, OR($G197="",$G197&gt;=K$2)),
  $H197 * (1 + Assumptions!$C$7) ^ INT(((YEAR(K$2)-YEAR($F197))*12 + MONTH(K$2)-MONTH($F197)) / 12),
  0)</f>
        <v/>
      </c>
      <c r="L197" s="299">
        <f>IF(AND($F197&lt;=L$2, OR($G197="",$G197&gt;=L$2)),
  $H197 * (1 + Assumptions!$C$7) ^ INT(((YEAR(L$2)-YEAR($F197))*12 + MONTH(L$2)-MONTH($F197)) / 12),
  0)</f>
        <v/>
      </c>
      <c r="M197" s="299">
        <f>IF(AND($F197&lt;=M$2, OR($G197="",$G197&gt;=M$2)),
  $H197 * (1 + Assumptions!$C$7) ^ INT(((YEAR(M$2)-YEAR($F197))*12 + MONTH(M$2)-MONTH($F197)) / 12),
  0)</f>
        <v/>
      </c>
      <c r="N197" s="299">
        <f>IF(AND($F197&lt;=N$2, OR($G197="",$G197&gt;=N$2)),
  $H197 * (1 + Assumptions!$C$7) ^ INT(((YEAR(N$2)-YEAR($F197))*12 + MONTH(N$2)-MONTH($F197)) / 12),
  0)</f>
        <v/>
      </c>
      <c r="O197" s="299">
        <f>IF(AND($F197&lt;=O$2, OR($G197="",$G197&gt;=O$2)),
  $H197 * (1 + Assumptions!$C$7) ^ INT(((YEAR(O$2)-YEAR($F197))*12 + MONTH(O$2)-MONTH($F197)) / 12),
  0)</f>
        <v/>
      </c>
      <c r="P197" s="299">
        <f>IF(AND($F197&lt;=P$2, OR($G197="",$G197&gt;=P$2)),
  $H197 * (1 + Assumptions!$C$7) ^ INT(((YEAR(P$2)-YEAR($F197))*12 + MONTH(P$2)-MONTH($F197)) / 12),
  0)</f>
        <v/>
      </c>
      <c r="Q197" s="299">
        <f>IF(AND($F197&lt;=Q$2, OR($G197="",$G197&gt;=Q$2)),
  $H197 * (1 + Assumptions!$C$7) ^ INT(((YEAR(Q$2)-YEAR($F197))*12 + MONTH(Q$2)-MONTH($F197)) / 12),
  0)</f>
        <v/>
      </c>
      <c r="R197" s="299">
        <f>IF(AND($F197&lt;=R$2, OR($G197="",$G197&gt;=R$2)),
  $H197 * (1 + Assumptions!$C$7) ^ INT(((YEAR(R$2)-YEAR($F197))*12 + MONTH(R$2)-MONTH($F197)) / 12),
  0)</f>
        <v/>
      </c>
      <c r="S197" s="299">
        <f>IF(AND($F197&lt;=S$2, OR($G197="",$G197&gt;=S$2)),
  $H197 * (1 + Assumptions!$C$7) ^ INT(((YEAR(S$2)-YEAR($F197))*12 + MONTH(S$2)-MONTH($F197)) / 12),
  0)</f>
        <v/>
      </c>
      <c r="T197" s="299">
        <f>IF(AND($F197&lt;=T$2, OR($G197="",$G197&gt;=T$2)),
  $H197 * (1 + Assumptions!$C$7) ^ INT(((YEAR(T$2)-YEAR($F197))*12 + MONTH(T$2)-MONTH($F197)) / 12),
  0)</f>
        <v/>
      </c>
      <c r="U197" s="299">
        <f>IF(AND($F197&lt;=U$2, OR($G197="",$G197&gt;=U$2)),
  $H197 * (1 + Assumptions!$C$7) ^ INT(((YEAR(U$2)-YEAR($F197))*12 + MONTH(U$2)-MONTH($F197)) / 12),
  0)</f>
        <v/>
      </c>
      <c r="V197" s="299">
        <f>IF(AND($F197&lt;=V$2, OR($G197="",$G197&gt;=V$2)),
  $H197 * (1 + Assumptions!$C$7) ^ INT(((YEAR(V$2)-YEAR($F197))*12 + MONTH(V$2)-MONTH($F197)) / 12),
  0)</f>
        <v/>
      </c>
      <c r="W197" s="299">
        <f>IF(AND($F197&lt;=W$2, OR($G197="",$G197&gt;=W$2)),
  $H197 * (1 + Assumptions!$C$7) ^ INT(((YEAR(W$2)-YEAR($F197))*12 + MONTH(W$2)-MONTH($F197)) / 12),
  0)</f>
        <v/>
      </c>
      <c r="X197" s="299">
        <f>IF(AND($F197&lt;=X$2, OR($G197="",$G197&gt;=X$2)),
  $H197 * (1 + Assumptions!$C$7) ^ INT(((YEAR(X$2)-YEAR($F197))*12 + MONTH(X$2)-MONTH($F197)) / 12),
  0)</f>
        <v/>
      </c>
      <c r="Y197" s="299">
        <f>IF(AND($F197&lt;=Y$2, OR($G197="",$G197&gt;=Y$2)),
  $H197 * (1 + Assumptions!$C$7) ^ INT(((YEAR(Y$2)-YEAR($F197))*12 + MONTH(Y$2)-MONTH($F197)) / 12),
  0)</f>
        <v/>
      </c>
      <c r="Z197" s="299">
        <f>IF(AND($F197&lt;=Z$2, OR($G197="",$G197&gt;=Z$2)),
  $H197 * (1 + Assumptions!$C$7) ^ INT(((YEAR(Z$2)-YEAR($F197))*12 + MONTH(Z$2)-MONTH($F197)) / 12),
  0)</f>
        <v/>
      </c>
      <c r="AA197" s="299">
        <f>IF(AND($F197&lt;=AA$2, OR($G197="",$G197&gt;=AA$2)),
  $H197 * (1 + Assumptions!$C$7) ^ INT(((YEAR(AA$2)-YEAR($F197))*12 + MONTH(AA$2)-MONTH($F197)) / 12),
  0)</f>
        <v/>
      </c>
      <c r="AB197" s="299">
        <f>IF(AND($F197&lt;=AB$2, OR($G197="",$G197&gt;=AB$2)),
  $H197 * (1 + Assumptions!$C$7) ^ INT(((YEAR(AB$2)-YEAR($F197))*12 + MONTH(AB$2)-MONTH($F197)) / 12),
  0)</f>
        <v/>
      </c>
      <c r="AC197" s="299">
        <f>IF(AND($F197&lt;=AC$2, OR($G197="",$G197&gt;=AC$2)),
  $H197 * (1 + Assumptions!$C$7) ^ INT(((YEAR(AC$2)-YEAR($F197))*12 + MONTH(AC$2)-MONTH($F197)) / 12),
  0)</f>
        <v/>
      </c>
      <c r="AD197" s="299">
        <f>IF(AND($F197&lt;=AD$2, OR($G197="",$G197&gt;=AD$2)),
  $H197 * (1 + Assumptions!$C$7) ^ INT(((YEAR(AD$2)-YEAR($F197))*12 + MONTH(AD$2)-MONTH($F197)) / 12),
  0)</f>
        <v/>
      </c>
      <c r="AE197" s="299">
        <f>IF(AND($F197&lt;=AE$2, OR($G197="",$G197&gt;=AE$2)),
  $H197 * (1 + Assumptions!$C$7) ^ INT(((YEAR(AE$2)-YEAR($F197))*12 + MONTH(AE$2)-MONTH($F197)) / 12),
  0)</f>
        <v/>
      </c>
      <c r="AF197" s="299">
        <f>IF(AND($F197&lt;=AF$2, OR($G197="",$G197&gt;=AF$2)),
  $H197 * (1 + Assumptions!$C$7) ^ INT(((YEAR(AF$2)-YEAR($F197))*12 + MONTH(AF$2)-MONTH($F197)) / 12),
  0)</f>
        <v/>
      </c>
      <c r="AG197" s="299">
        <f>IF(AND($F197&lt;=AG$2, OR($G197="",$G197&gt;=AG$2)),
  $H197 * (1 + Assumptions!$C$7) ^ INT(((YEAR(AG$2)-YEAR($F197))*12 + MONTH(AG$2)-MONTH($F197)) / 12),
  0)</f>
        <v/>
      </c>
      <c r="AH197" s="299">
        <f>IF(AND($F197&lt;=AH$2, OR($G197="",$G197&gt;=AH$2)),
  $H197 * (1 + Assumptions!$C$7) ^ INT(((YEAR(AH$2)-YEAR($F197))*12 + MONTH(AH$2)-MONTH($F197)) / 12),
  0)</f>
        <v/>
      </c>
      <c r="AI197" s="299">
        <f>IF(AND($F197&lt;=AI$2, OR($G197="",$G197&gt;=AI$2)),
  $H197 * (1 + Assumptions!$C$7) ^ INT(((YEAR(AI$2)-YEAR($F197))*12 + MONTH(AI$2)-MONTH($F197)) / 12),
  0)</f>
        <v/>
      </c>
      <c r="AJ197" s="299">
        <f>IF(AND($F197&lt;=AJ$2, OR($G197="",$G197&gt;=AJ$2)),
  $H197 * (1 + Assumptions!$C$7) ^ INT(((YEAR(AJ$2)-YEAR($F197))*12 + MONTH(AJ$2)-MONTH($F197)) / 12),
  0)</f>
        <v/>
      </c>
      <c r="AK197" s="299">
        <f>IF(AND($F197&lt;=AK$2, OR($G197="",$G197&gt;=AK$2)),
  $H197 * (1 + Assumptions!$C$7) ^ INT(((YEAR(AK$2)-YEAR($F197))*12 + MONTH(AK$2)-MONTH($F197)) / 12),
  0)</f>
        <v/>
      </c>
      <c r="AL197" s="299">
        <f>IF(AND($F197&lt;=AL$2, OR($G197="",$G197&gt;=AL$2)),
  $H197 * (1 + Assumptions!$C$7) ^ INT(((YEAR(AL$2)-YEAR($F197))*12 + MONTH(AL$2)-MONTH($F197)) / 12),
  0)</f>
        <v/>
      </c>
      <c r="AM197" s="299">
        <f>IF(AND($F197&lt;=AM$2, OR($G197="",$G197&gt;=AM$2)),
  $H197 * (1 + Assumptions!$C$7) ^ INT(((YEAR(AM$2)-YEAR($F197))*12 + MONTH(AM$2)-MONTH($F197)) / 12),
  0)</f>
        <v/>
      </c>
      <c r="AN197" s="299">
        <f>IF(AND($F197&lt;=AN$2, OR($G197="",$G197&gt;=AN$2)),
  $H197 * (1 + Assumptions!$C$7) ^ INT(((YEAR(AN$2)-YEAR($F197))*12 + MONTH(AN$2)-MONTH($F197)) / 12),
  0)</f>
        <v/>
      </c>
      <c r="AO197" s="299">
        <f>IF(AND($F197&lt;=AO$2, OR($G197="",$G197&gt;=AO$2)),
  $H197 * (1 + Assumptions!$C$7) ^ INT(((YEAR(AO$2)-YEAR($F197))*12 + MONTH(AO$2)-MONTH($F197)) / 12),
  0)</f>
        <v/>
      </c>
      <c r="AP197" s="299">
        <f>IF(AND($F197&lt;=AP$2, OR($G197="",$G197&gt;=AP$2)),
  $H197 * (1 + Assumptions!$C$7) ^ INT(((YEAR(AP$2)-YEAR($F197))*12 + MONTH(AP$2)-MONTH($F197)) / 12),
  0)</f>
        <v/>
      </c>
      <c r="AQ197" s="299">
        <f>IF(AND($F197&lt;=AQ$2, OR($G197="",$G197&gt;=AQ$2)),
  $H197 * (1 + Assumptions!$C$7) ^ INT(((YEAR(AQ$2)-YEAR($F197))*12 + MONTH(AQ$2)-MONTH($F197)) / 12),
  0)</f>
        <v/>
      </c>
      <c r="AR197" s="299">
        <f>IF(AND($F197&lt;=AR$2, OR($G197="",$G197&gt;=AR$2)),
  $H197 * (1 + Assumptions!$C$7) ^ INT(((YEAR(AR$2)-YEAR($F197))*12 + MONTH(AR$2)-MONTH($F197)) / 12),
  0)</f>
        <v/>
      </c>
      <c r="AS197" s="299">
        <f>IF(AND($F197&lt;=AS$2, OR($G197="",$G197&gt;=AS$2)),
  $H197 * (1 + Assumptions!$C$7) ^ INT(((YEAR(AS$2)-YEAR($F197))*12 + MONTH(AS$2)-MONTH($F197)) / 12),
  0)</f>
        <v/>
      </c>
      <c r="AT197" s="299">
        <f>IF(AND($F197&lt;=AT$2, OR($G197="",$G197&gt;=AT$2)),
  $H197 * (1 + Assumptions!$C$7) ^ INT(((YEAR(AT$2)-YEAR($F197))*12 + MONTH(AT$2)-MONTH($F197)) / 12),
  0)</f>
        <v/>
      </c>
      <c r="AU197" s="299">
        <f>IF(AND($F197&lt;=AU$2, OR($G197="",$G197&gt;=AU$2)),
  $H197 * (1 + Assumptions!$C$7) ^ INT(((YEAR(AU$2)-YEAR($F197))*12 + MONTH(AU$2)-MONTH($F197)) / 12),
  0)</f>
        <v/>
      </c>
      <c r="AV197" s="299">
        <f>IF(AND($F197&lt;=AV$2, OR($G197="",$G197&gt;=AV$2)),
  $H197 * (1 + Assumptions!$C$7) ^ INT(((YEAR(AV$2)-YEAR($F197))*12 + MONTH(AV$2)-MONTH($F197)) / 12),
  0)</f>
        <v/>
      </c>
      <c r="AW197" s="299">
        <f>IF(AND($F197&lt;=AW$2, OR($G197="",$G197&gt;=AW$2)),
  $H197 * (1 + Assumptions!$C$7) ^ INT(((YEAR(AW$2)-YEAR($F197))*12 + MONTH(AW$2)-MONTH($F197)) / 12),
  0)</f>
        <v/>
      </c>
      <c r="AX197" s="299">
        <f>IF(AND($F197&lt;=AX$2, OR($G197="",$G197&gt;=AX$2)),
  $H197 * (1 + Assumptions!$C$7) ^ INT(((YEAR(AX$2)-YEAR($F197))*12 + MONTH(AX$2)-MONTH($F197)) / 12),
  0)</f>
        <v/>
      </c>
      <c r="AY197" s="299">
        <f>IF(AND($F197&lt;=AY$2, OR($G197="",$G197&gt;=AY$2)),
  $H197 * (1 + Assumptions!$C$7) ^ INT(((YEAR(AY$2)-YEAR($F197))*12 + MONTH(AY$2)-MONTH($F197)) / 12),
  0)</f>
        <v/>
      </c>
      <c r="AZ197" s="299">
        <f>IF(AND($F197&lt;=AZ$2, OR($G197="",$G197&gt;=AZ$2)),
  $H197 * (1 + Assumptions!$C$7) ^ INT(((YEAR(AZ$2)-YEAR($F197))*12 + MONTH(AZ$2)-MONTH($F197)) / 12),
  0)</f>
        <v/>
      </c>
      <c r="BA197" s="299">
        <f>IF(AND($F197&lt;=BA$2, OR($G197="",$G197&gt;=BA$2)),
  $H197 * (1 + Assumptions!$C$7) ^ INT(((YEAR(BA$2)-YEAR($F197))*12 + MONTH(BA$2)-MONTH($F197)) / 12),
  0)</f>
        <v/>
      </c>
      <c r="BB197" s="299">
        <f>IF(AND($F197&lt;=BB$2, OR($G197="",$G197&gt;=BB$2)),
  $H197 * (1 + Assumptions!$C$7) ^ INT(((YEAR(BB$2)-YEAR($F197))*12 + MONTH(BB$2)-MONTH($F197)) / 12),
  0)</f>
        <v/>
      </c>
      <c r="BC197" s="299">
        <f>IF(AND($F197&lt;=BC$2, OR($G197="",$G197&gt;=BC$2)),
  $H197 * (1 + Assumptions!$C$7) ^ INT(((YEAR(BC$2)-YEAR($F197))*12 + MONTH(BC$2)-MONTH($F197)) / 12),
  0)</f>
        <v/>
      </c>
      <c r="BD197" s="299">
        <f>IF(AND($F197&lt;=BD$2, OR($G197="",$G197&gt;=BD$2)),
  $H197 * (1 + Assumptions!$C$7) ^ INT(((YEAR(BD$2)-YEAR($F197))*12 + MONTH(BD$2)-MONTH($F197)) / 12),
  0)</f>
        <v/>
      </c>
      <c r="BE197" s="299">
        <f>IF(AND($F197&lt;=BE$2, OR($G197="",$G197&gt;=BE$2)),
  $H197 * (1 + Assumptions!$C$7) ^ INT(((YEAR(BE$2)-YEAR($F197))*12 + MONTH(BE$2)-MONTH($F197)) / 12),
  0)</f>
        <v/>
      </c>
      <c r="BF197" s="299">
        <f>IF(AND($F197&lt;=BF$2, OR($G197="",$G197&gt;=BF$2)),
  $H197 * (1 + Assumptions!$C$7) ^ INT(((YEAR(BF$2)-YEAR($F197))*12 + MONTH(BF$2)-MONTH($F197)) / 12),
  0)</f>
        <v/>
      </c>
      <c r="BG197" s="299">
        <f>IF(AND($F197&lt;=BG$2, OR($G197="",$G197&gt;=BG$2)),
  $H197 * (1 + Assumptions!$C$7) ^ INT(((YEAR(BG$2)-YEAR($F197))*12 + MONTH(BG$2)-MONTH($F197)) / 12),
  0)</f>
        <v/>
      </c>
      <c r="BH197" s="299">
        <f>IF(AND($F197&lt;=BH$2, OR($G197="",$G197&gt;=BH$2)),
  $H197 * (1 + Assumptions!$C$7) ^ INT(((YEAR(BH$2)-YEAR($F197))*12 + MONTH(BH$2)-MONTH($F197)) / 12),
  0)</f>
        <v/>
      </c>
      <c r="BI197" s="299">
        <f>IF(AND($F197&lt;=BI$2, OR($G197="",$G197&gt;=BI$2)),
  $H197 * (1 + Assumptions!$C$7) ^ INT(((YEAR(BI$2)-YEAR($F197))*12 + MONTH(BI$2)-MONTH($F197)) / 12),
  0)</f>
        <v/>
      </c>
      <c r="BJ197" s="299">
        <f>IF(AND($F197&lt;=BJ$2, OR($G197="",$G197&gt;=BJ$2)),
  $H197 * (1 + Assumptions!$C$7) ^ INT(((YEAR(BJ$2)-YEAR($F197))*12 + MONTH(BJ$2)-MONTH($F197)) / 12),
  0)</f>
        <v/>
      </c>
      <c r="BK197" s="299">
        <f>IF(AND($F197&lt;=BK$2, OR($G197="",$G197&gt;=BK$2)),
  $H197 * (1 + Assumptions!$C$7) ^ INT(((YEAR(BK$2)-YEAR($F197))*12 + MONTH(BK$2)-MONTH($F197)) / 12),
  0)</f>
        <v/>
      </c>
      <c r="BL197" s="299">
        <f>IF(AND($F197&lt;=BL$2, OR($G197="",$G197&gt;=BL$2)),
  $H197 * (1 + Assumptions!$C$7) ^ INT(((YEAR(BL$2)-YEAR($F197))*12 + MONTH(BL$2)-MONTH($F197)) / 12),
  0)</f>
        <v/>
      </c>
      <c r="BM197" s="299">
        <f>IF(AND($F197&lt;=BM$2, OR($G197="",$G197&gt;=BM$2)),
  $H197 * (1 + Assumptions!$C$7) ^ INT(((YEAR(BM$2)-YEAR($F197))*12 + MONTH(BM$2)-MONTH($F197)) / 12),
  0)</f>
        <v/>
      </c>
      <c r="BN197" s="299">
        <f>IF(AND($F197&lt;=BN$2, OR($G197="",$G197&gt;=BN$2)),
  $H197 * (1 + Assumptions!$C$7) ^ INT(((YEAR(BN$2)-YEAR($F197))*12 + MONTH(BN$2)-MONTH($F197)) / 12),
  0)</f>
        <v/>
      </c>
      <c r="BO197" s="299">
        <f>IF(AND($F197&lt;=BO$2, OR($G197="",$G197&gt;=BO$2)),
  $H197 * (1 + Assumptions!$C$7) ^ INT(((YEAR(BO$2)-YEAR($F197))*12 + MONTH(BO$2)-MONTH($F197)) / 12),
  0)</f>
        <v/>
      </c>
      <c r="BP197" s="299">
        <f>IF(AND($F197&lt;=BP$2, OR($G197="",$G197&gt;=BP$2)),
  $H197 * (1 + Assumptions!$C$7) ^ INT(((YEAR(BP$2)-YEAR($F197))*12 + MONTH(BP$2)-MONTH($F197)) / 12),
  0)</f>
        <v/>
      </c>
      <c r="BQ197" s="31" t="n"/>
      <c r="BR197" s="31" t="n"/>
      <c r="BS197" s="31" t="n"/>
      <c r="BT197" s="31" t="n"/>
    </row>
    <row r="198" ht="15.75" customHeight="1" s="349">
      <c r="A198" s="321" t="n">
        <v>193</v>
      </c>
      <c r="B198" s="285" t="inlineStr">
        <is>
          <t>New hire</t>
        </is>
      </c>
      <c r="C198" s="317" t="inlineStr">
        <is>
          <t>G&amp;A</t>
        </is>
      </c>
      <c r="D198" s="317" t="inlineStr">
        <is>
          <t>Finance / HR / IT / Legal</t>
        </is>
      </c>
      <c r="E198" s="297" t="inlineStr">
        <is>
          <t>Planned</t>
        </is>
      </c>
      <c r="F198" s="318">
        <f>IF(Assumptions!$D$82=2,DATE(2029,1,1),DATE(2035,1,1))</f>
        <v/>
      </c>
      <c r="G198" s="318" t="n"/>
      <c r="H198" s="288" t="n">
        <v>7000</v>
      </c>
      <c r="I198" s="299">
        <f>IF(AND($F198&lt;=I$2, OR($G198="",$G198&gt;=I$2)),
  $H198 * (1 + Assumptions!$C$7) ^ INT(((YEAR(I$2)-YEAR($F198))*12 + MONTH(I$2)-MONTH($F198)) / 12),
  0)</f>
        <v/>
      </c>
      <c r="J198" s="299">
        <f>IF(AND($F198&lt;=J$2, OR($G198="",$G198&gt;=J$2)),
  $H198 * (1 + Assumptions!$C$7) ^ INT(((YEAR(J$2)-YEAR($F198))*12 + MONTH(J$2)-MONTH($F198)) / 12),
  0)</f>
        <v/>
      </c>
      <c r="K198" s="299">
        <f>IF(AND($F198&lt;=K$2, OR($G198="",$G198&gt;=K$2)),
  $H198 * (1 + Assumptions!$C$7) ^ INT(((YEAR(K$2)-YEAR($F198))*12 + MONTH(K$2)-MONTH($F198)) / 12),
  0)</f>
        <v/>
      </c>
      <c r="L198" s="299">
        <f>IF(AND($F198&lt;=L$2, OR($G198="",$G198&gt;=L$2)),
  $H198 * (1 + Assumptions!$C$7) ^ INT(((YEAR(L$2)-YEAR($F198))*12 + MONTH(L$2)-MONTH($F198)) / 12),
  0)</f>
        <v/>
      </c>
      <c r="M198" s="299">
        <f>IF(AND($F198&lt;=M$2, OR($G198="",$G198&gt;=M$2)),
  $H198 * (1 + Assumptions!$C$7) ^ INT(((YEAR(M$2)-YEAR($F198))*12 + MONTH(M$2)-MONTH($F198)) / 12),
  0)</f>
        <v/>
      </c>
      <c r="N198" s="299">
        <f>IF(AND($F198&lt;=N$2, OR($G198="",$G198&gt;=N$2)),
  $H198 * (1 + Assumptions!$C$7) ^ INT(((YEAR(N$2)-YEAR($F198))*12 + MONTH(N$2)-MONTH($F198)) / 12),
  0)</f>
        <v/>
      </c>
      <c r="O198" s="299">
        <f>IF(AND($F198&lt;=O$2, OR($G198="",$G198&gt;=O$2)),
  $H198 * (1 + Assumptions!$C$7) ^ INT(((YEAR(O$2)-YEAR($F198))*12 + MONTH(O$2)-MONTH($F198)) / 12),
  0)</f>
        <v/>
      </c>
      <c r="P198" s="299">
        <f>IF(AND($F198&lt;=P$2, OR($G198="",$G198&gt;=P$2)),
  $H198 * (1 + Assumptions!$C$7) ^ INT(((YEAR(P$2)-YEAR($F198))*12 + MONTH(P$2)-MONTH($F198)) / 12),
  0)</f>
        <v/>
      </c>
      <c r="Q198" s="299">
        <f>IF(AND($F198&lt;=Q$2, OR($G198="",$G198&gt;=Q$2)),
  $H198 * (1 + Assumptions!$C$7) ^ INT(((YEAR(Q$2)-YEAR($F198))*12 + MONTH(Q$2)-MONTH($F198)) / 12),
  0)</f>
        <v/>
      </c>
      <c r="R198" s="299">
        <f>IF(AND($F198&lt;=R$2, OR($G198="",$G198&gt;=R$2)),
  $H198 * (1 + Assumptions!$C$7) ^ INT(((YEAR(R$2)-YEAR($F198))*12 + MONTH(R$2)-MONTH($F198)) / 12),
  0)</f>
        <v/>
      </c>
      <c r="S198" s="299">
        <f>IF(AND($F198&lt;=S$2, OR($G198="",$G198&gt;=S$2)),
  $H198 * (1 + Assumptions!$C$7) ^ INT(((YEAR(S$2)-YEAR($F198))*12 + MONTH(S$2)-MONTH($F198)) / 12),
  0)</f>
        <v/>
      </c>
      <c r="T198" s="299">
        <f>IF(AND($F198&lt;=T$2, OR($G198="",$G198&gt;=T$2)),
  $H198 * (1 + Assumptions!$C$7) ^ INT(((YEAR(T$2)-YEAR($F198))*12 + MONTH(T$2)-MONTH($F198)) / 12),
  0)</f>
        <v/>
      </c>
      <c r="U198" s="299">
        <f>IF(AND($F198&lt;=U$2, OR($G198="",$G198&gt;=U$2)),
  $H198 * (1 + Assumptions!$C$7) ^ INT(((YEAR(U$2)-YEAR($F198))*12 + MONTH(U$2)-MONTH($F198)) / 12),
  0)</f>
        <v/>
      </c>
      <c r="V198" s="299">
        <f>IF(AND($F198&lt;=V$2, OR($G198="",$G198&gt;=V$2)),
  $H198 * (1 + Assumptions!$C$7) ^ INT(((YEAR(V$2)-YEAR($F198))*12 + MONTH(V$2)-MONTH($F198)) / 12),
  0)</f>
        <v/>
      </c>
      <c r="W198" s="299">
        <f>IF(AND($F198&lt;=W$2, OR($G198="",$G198&gt;=W$2)),
  $H198 * (1 + Assumptions!$C$7) ^ INT(((YEAR(W$2)-YEAR($F198))*12 + MONTH(W$2)-MONTH($F198)) / 12),
  0)</f>
        <v/>
      </c>
      <c r="X198" s="299">
        <f>IF(AND($F198&lt;=X$2, OR($G198="",$G198&gt;=X$2)),
  $H198 * (1 + Assumptions!$C$7) ^ INT(((YEAR(X$2)-YEAR($F198))*12 + MONTH(X$2)-MONTH($F198)) / 12),
  0)</f>
        <v/>
      </c>
      <c r="Y198" s="299">
        <f>IF(AND($F198&lt;=Y$2, OR($G198="",$G198&gt;=Y$2)),
  $H198 * (1 + Assumptions!$C$7) ^ INT(((YEAR(Y$2)-YEAR($F198))*12 + MONTH(Y$2)-MONTH($F198)) / 12),
  0)</f>
        <v/>
      </c>
      <c r="Z198" s="299">
        <f>IF(AND($F198&lt;=Z$2, OR($G198="",$G198&gt;=Z$2)),
  $H198 * (1 + Assumptions!$C$7) ^ INT(((YEAR(Z$2)-YEAR($F198))*12 + MONTH(Z$2)-MONTH($F198)) / 12),
  0)</f>
        <v/>
      </c>
      <c r="AA198" s="299">
        <f>IF(AND($F198&lt;=AA$2, OR($G198="",$G198&gt;=AA$2)),
  $H198 * (1 + Assumptions!$C$7) ^ INT(((YEAR(AA$2)-YEAR($F198))*12 + MONTH(AA$2)-MONTH($F198)) / 12),
  0)</f>
        <v/>
      </c>
      <c r="AB198" s="299">
        <f>IF(AND($F198&lt;=AB$2, OR($G198="",$G198&gt;=AB$2)),
  $H198 * (1 + Assumptions!$C$7) ^ INT(((YEAR(AB$2)-YEAR($F198))*12 + MONTH(AB$2)-MONTH($F198)) / 12),
  0)</f>
        <v/>
      </c>
      <c r="AC198" s="299">
        <f>IF(AND($F198&lt;=AC$2, OR($G198="",$G198&gt;=AC$2)),
  $H198 * (1 + Assumptions!$C$7) ^ INT(((YEAR(AC$2)-YEAR($F198))*12 + MONTH(AC$2)-MONTH($F198)) / 12),
  0)</f>
        <v/>
      </c>
      <c r="AD198" s="299">
        <f>IF(AND($F198&lt;=AD$2, OR($G198="",$G198&gt;=AD$2)),
  $H198 * (1 + Assumptions!$C$7) ^ INT(((YEAR(AD$2)-YEAR($F198))*12 + MONTH(AD$2)-MONTH($F198)) / 12),
  0)</f>
        <v/>
      </c>
      <c r="AE198" s="299">
        <f>IF(AND($F198&lt;=AE$2, OR($G198="",$G198&gt;=AE$2)),
  $H198 * (1 + Assumptions!$C$7) ^ INT(((YEAR(AE$2)-YEAR($F198))*12 + MONTH(AE$2)-MONTH($F198)) / 12),
  0)</f>
        <v/>
      </c>
      <c r="AF198" s="299">
        <f>IF(AND($F198&lt;=AF$2, OR($G198="",$G198&gt;=AF$2)),
  $H198 * (1 + Assumptions!$C$7) ^ INT(((YEAR(AF$2)-YEAR($F198))*12 + MONTH(AF$2)-MONTH($F198)) / 12),
  0)</f>
        <v/>
      </c>
      <c r="AG198" s="299">
        <f>IF(AND($F198&lt;=AG$2, OR($G198="",$G198&gt;=AG$2)),
  $H198 * (1 + Assumptions!$C$7) ^ INT(((YEAR(AG$2)-YEAR($F198))*12 + MONTH(AG$2)-MONTH($F198)) / 12),
  0)</f>
        <v/>
      </c>
      <c r="AH198" s="299">
        <f>IF(AND($F198&lt;=AH$2, OR($G198="",$G198&gt;=AH$2)),
  $H198 * (1 + Assumptions!$C$7) ^ INT(((YEAR(AH$2)-YEAR($F198))*12 + MONTH(AH$2)-MONTH($F198)) / 12),
  0)</f>
        <v/>
      </c>
      <c r="AI198" s="299">
        <f>IF(AND($F198&lt;=AI$2, OR($G198="",$G198&gt;=AI$2)),
  $H198 * (1 + Assumptions!$C$7) ^ INT(((YEAR(AI$2)-YEAR($F198))*12 + MONTH(AI$2)-MONTH($F198)) / 12),
  0)</f>
        <v/>
      </c>
      <c r="AJ198" s="299">
        <f>IF(AND($F198&lt;=AJ$2, OR($G198="",$G198&gt;=AJ$2)),
  $H198 * (1 + Assumptions!$C$7) ^ INT(((YEAR(AJ$2)-YEAR($F198))*12 + MONTH(AJ$2)-MONTH($F198)) / 12),
  0)</f>
        <v/>
      </c>
      <c r="AK198" s="299">
        <f>IF(AND($F198&lt;=AK$2, OR($G198="",$G198&gt;=AK$2)),
  $H198 * (1 + Assumptions!$C$7) ^ INT(((YEAR(AK$2)-YEAR($F198))*12 + MONTH(AK$2)-MONTH($F198)) / 12),
  0)</f>
        <v/>
      </c>
      <c r="AL198" s="299">
        <f>IF(AND($F198&lt;=AL$2, OR($G198="",$G198&gt;=AL$2)),
  $H198 * (1 + Assumptions!$C$7) ^ INT(((YEAR(AL$2)-YEAR($F198))*12 + MONTH(AL$2)-MONTH($F198)) / 12),
  0)</f>
        <v/>
      </c>
      <c r="AM198" s="299">
        <f>IF(AND($F198&lt;=AM$2, OR($G198="",$G198&gt;=AM$2)),
  $H198 * (1 + Assumptions!$C$7) ^ INT(((YEAR(AM$2)-YEAR($F198))*12 + MONTH(AM$2)-MONTH($F198)) / 12),
  0)</f>
        <v/>
      </c>
      <c r="AN198" s="299">
        <f>IF(AND($F198&lt;=AN$2, OR($G198="",$G198&gt;=AN$2)),
  $H198 * (1 + Assumptions!$C$7) ^ INT(((YEAR(AN$2)-YEAR($F198))*12 + MONTH(AN$2)-MONTH($F198)) / 12),
  0)</f>
        <v/>
      </c>
      <c r="AO198" s="299">
        <f>IF(AND($F198&lt;=AO$2, OR($G198="",$G198&gt;=AO$2)),
  $H198 * (1 + Assumptions!$C$7) ^ INT(((YEAR(AO$2)-YEAR($F198))*12 + MONTH(AO$2)-MONTH($F198)) / 12),
  0)</f>
        <v/>
      </c>
      <c r="AP198" s="299">
        <f>IF(AND($F198&lt;=AP$2, OR($G198="",$G198&gt;=AP$2)),
  $H198 * (1 + Assumptions!$C$7) ^ INT(((YEAR(AP$2)-YEAR($F198))*12 + MONTH(AP$2)-MONTH($F198)) / 12),
  0)</f>
        <v/>
      </c>
      <c r="AQ198" s="299">
        <f>IF(AND($F198&lt;=AQ$2, OR($G198="",$G198&gt;=AQ$2)),
  $H198 * (1 + Assumptions!$C$7) ^ INT(((YEAR(AQ$2)-YEAR($F198))*12 + MONTH(AQ$2)-MONTH($F198)) / 12),
  0)</f>
        <v/>
      </c>
      <c r="AR198" s="299">
        <f>IF(AND($F198&lt;=AR$2, OR($G198="",$G198&gt;=AR$2)),
  $H198 * (1 + Assumptions!$C$7) ^ INT(((YEAR(AR$2)-YEAR($F198))*12 + MONTH(AR$2)-MONTH($F198)) / 12),
  0)</f>
        <v/>
      </c>
      <c r="AS198" s="299">
        <f>IF(AND($F198&lt;=AS$2, OR($G198="",$G198&gt;=AS$2)),
  $H198 * (1 + Assumptions!$C$7) ^ INT(((YEAR(AS$2)-YEAR($F198))*12 + MONTH(AS$2)-MONTH($F198)) / 12),
  0)</f>
        <v/>
      </c>
      <c r="AT198" s="299">
        <f>IF(AND($F198&lt;=AT$2, OR($G198="",$G198&gt;=AT$2)),
  $H198 * (1 + Assumptions!$C$7) ^ INT(((YEAR(AT$2)-YEAR($F198))*12 + MONTH(AT$2)-MONTH($F198)) / 12),
  0)</f>
        <v/>
      </c>
      <c r="AU198" s="299">
        <f>IF(AND($F198&lt;=AU$2, OR($G198="",$G198&gt;=AU$2)),
  $H198 * (1 + Assumptions!$C$7) ^ INT(((YEAR(AU$2)-YEAR($F198))*12 + MONTH(AU$2)-MONTH($F198)) / 12),
  0)</f>
        <v/>
      </c>
      <c r="AV198" s="299">
        <f>IF(AND($F198&lt;=AV$2, OR($G198="",$G198&gt;=AV$2)),
  $H198 * (1 + Assumptions!$C$7) ^ INT(((YEAR(AV$2)-YEAR($F198))*12 + MONTH(AV$2)-MONTH($F198)) / 12),
  0)</f>
        <v/>
      </c>
      <c r="AW198" s="299">
        <f>IF(AND($F198&lt;=AW$2, OR($G198="",$G198&gt;=AW$2)),
  $H198 * (1 + Assumptions!$C$7) ^ INT(((YEAR(AW$2)-YEAR($F198))*12 + MONTH(AW$2)-MONTH($F198)) / 12),
  0)</f>
        <v/>
      </c>
      <c r="AX198" s="299">
        <f>IF(AND($F198&lt;=AX$2, OR($G198="",$G198&gt;=AX$2)),
  $H198 * (1 + Assumptions!$C$7) ^ INT(((YEAR(AX$2)-YEAR($F198))*12 + MONTH(AX$2)-MONTH($F198)) / 12),
  0)</f>
        <v/>
      </c>
      <c r="AY198" s="299">
        <f>IF(AND($F198&lt;=AY$2, OR($G198="",$G198&gt;=AY$2)),
  $H198 * (1 + Assumptions!$C$7) ^ INT(((YEAR(AY$2)-YEAR($F198))*12 + MONTH(AY$2)-MONTH($F198)) / 12),
  0)</f>
        <v/>
      </c>
      <c r="AZ198" s="299">
        <f>IF(AND($F198&lt;=AZ$2, OR($G198="",$G198&gt;=AZ$2)),
  $H198 * (1 + Assumptions!$C$7) ^ INT(((YEAR(AZ$2)-YEAR($F198))*12 + MONTH(AZ$2)-MONTH($F198)) / 12),
  0)</f>
        <v/>
      </c>
      <c r="BA198" s="299">
        <f>IF(AND($F198&lt;=BA$2, OR($G198="",$G198&gt;=BA$2)),
  $H198 * (1 + Assumptions!$C$7) ^ INT(((YEAR(BA$2)-YEAR($F198))*12 + MONTH(BA$2)-MONTH($F198)) / 12),
  0)</f>
        <v/>
      </c>
      <c r="BB198" s="299">
        <f>IF(AND($F198&lt;=BB$2, OR($G198="",$G198&gt;=BB$2)),
  $H198 * (1 + Assumptions!$C$7) ^ INT(((YEAR(BB$2)-YEAR($F198))*12 + MONTH(BB$2)-MONTH($F198)) / 12),
  0)</f>
        <v/>
      </c>
      <c r="BC198" s="299">
        <f>IF(AND($F198&lt;=BC$2, OR($G198="",$G198&gt;=BC$2)),
  $H198 * (1 + Assumptions!$C$7) ^ INT(((YEAR(BC$2)-YEAR($F198))*12 + MONTH(BC$2)-MONTH($F198)) / 12),
  0)</f>
        <v/>
      </c>
      <c r="BD198" s="299">
        <f>IF(AND($F198&lt;=BD$2, OR($G198="",$G198&gt;=BD$2)),
  $H198 * (1 + Assumptions!$C$7) ^ INT(((YEAR(BD$2)-YEAR($F198))*12 + MONTH(BD$2)-MONTH($F198)) / 12),
  0)</f>
        <v/>
      </c>
      <c r="BE198" s="299">
        <f>IF(AND($F198&lt;=BE$2, OR($G198="",$G198&gt;=BE$2)),
  $H198 * (1 + Assumptions!$C$7) ^ INT(((YEAR(BE$2)-YEAR($F198))*12 + MONTH(BE$2)-MONTH($F198)) / 12),
  0)</f>
        <v/>
      </c>
      <c r="BF198" s="299">
        <f>IF(AND($F198&lt;=BF$2, OR($G198="",$G198&gt;=BF$2)),
  $H198 * (1 + Assumptions!$C$7) ^ INT(((YEAR(BF$2)-YEAR($F198))*12 + MONTH(BF$2)-MONTH($F198)) / 12),
  0)</f>
        <v/>
      </c>
      <c r="BG198" s="299">
        <f>IF(AND($F198&lt;=BG$2, OR($G198="",$G198&gt;=BG$2)),
  $H198 * (1 + Assumptions!$C$7) ^ INT(((YEAR(BG$2)-YEAR($F198))*12 + MONTH(BG$2)-MONTH($F198)) / 12),
  0)</f>
        <v/>
      </c>
      <c r="BH198" s="299">
        <f>IF(AND($F198&lt;=BH$2, OR($G198="",$G198&gt;=BH$2)),
  $H198 * (1 + Assumptions!$C$7) ^ INT(((YEAR(BH$2)-YEAR($F198))*12 + MONTH(BH$2)-MONTH($F198)) / 12),
  0)</f>
        <v/>
      </c>
      <c r="BI198" s="299">
        <f>IF(AND($F198&lt;=BI$2, OR($G198="",$G198&gt;=BI$2)),
  $H198 * (1 + Assumptions!$C$7) ^ INT(((YEAR(BI$2)-YEAR($F198))*12 + MONTH(BI$2)-MONTH($F198)) / 12),
  0)</f>
        <v/>
      </c>
      <c r="BJ198" s="299">
        <f>IF(AND($F198&lt;=BJ$2, OR($G198="",$G198&gt;=BJ$2)),
  $H198 * (1 + Assumptions!$C$7) ^ INT(((YEAR(BJ$2)-YEAR($F198))*12 + MONTH(BJ$2)-MONTH($F198)) / 12),
  0)</f>
        <v/>
      </c>
      <c r="BK198" s="299">
        <f>IF(AND($F198&lt;=BK$2, OR($G198="",$G198&gt;=BK$2)),
  $H198 * (1 + Assumptions!$C$7) ^ INT(((YEAR(BK$2)-YEAR($F198))*12 + MONTH(BK$2)-MONTH($F198)) / 12),
  0)</f>
        <v/>
      </c>
      <c r="BL198" s="299">
        <f>IF(AND($F198&lt;=BL$2, OR($G198="",$G198&gt;=BL$2)),
  $H198 * (1 + Assumptions!$C$7) ^ INT(((YEAR(BL$2)-YEAR($F198))*12 + MONTH(BL$2)-MONTH($F198)) / 12),
  0)</f>
        <v/>
      </c>
      <c r="BM198" s="299">
        <f>IF(AND($F198&lt;=BM$2, OR($G198="",$G198&gt;=BM$2)),
  $H198 * (1 + Assumptions!$C$7) ^ INT(((YEAR(BM$2)-YEAR($F198))*12 + MONTH(BM$2)-MONTH($F198)) / 12),
  0)</f>
        <v/>
      </c>
      <c r="BN198" s="299">
        <f>IF(AND($F198&lt;=BN$2, OR($G198="",$G198&gt;=BN$2)),
  $H198 * (1 + Assumptions!$C$7) ^ INT(((YEAR(BN$2)-YEAR($F198))*12 + MONTH(BN$2)-MONTH($F198)) / 12),
  0)</f>
        <v/>
      </c>
      <c r="BO198" s="299">
        <f>IF(AND($F198&lt;=BO$2, OR($G198="",$G198&gt;=BO$2)),
  $H198 * (1 + Assumptions!$C$7) ^ INT(((YEAR(BO$2)-YEAR($F198))*12 + MONTH(BO$2)-MONTH($F198)) / 12),
  0)</f>
        <v/>
      </c>
      <c r="BP198" s="299">
        <f>IF(AND($F198&lt;=BP$2, OR($G198="",$G198&gt;=BP$2)),
  $H198 * (1 + Assumptions!$C$7) ^ INT(((YEAR(BP$2)-YEAR($F198))*12 + MONTH(BP$2)-MONTH($F198)) / 12),
  0)</f>
        <v/>
      </c>
      <c r="BQ198" s="31" t="n"/>
      <c r="BR198" s="31" t="n"/>
      <c r="BS198" s="31" t="n"/>
      <c r="BT198" s="31" t="n"/>
    </row>
    <row r="199" ht="15.75" customHeight="1" s="349">
      <c r="A199" s="321" t="n">
        <v>194</v>
      </c>
      <c r="B199" s="285" t="inlineStr">
        <is>
          <t>New hire</t>
        </is>
      </c>
      <c r="C199" s="317" t="inlineStr">
        <is>
          <t>G&amp;A</t>
        </is>
      </c>
      <c r="D199" s="317" t="inlineStr">
        <is>
          <t>Finance / HR / IT / Legal</t>
        </is>
      </c>
      <c r="E199" s="297" t="inlineStr">
        <is>
          <t>Planned</t>
        </is>
      </c>
      <c r="F199" s="318">
        <f>IF(Assumptions!$D$82=2,DATE(2029,1,1),DATE(2035,1,1))</f>
        <v/>
      </c>
      <c r="G199" s="318" t="n"/>
      <c r="H199" s="288" t="n">
        <v>7000</v>
      </c>
      <c r="I199" s="299">
        <f>IF(AND($F199&lt;=I$2, OR($G199="",$G199&gt;=I$2)),
  $H199 * (1 + Assumptions!$C$7) ^ INT(((YEAR(I$2)-YEAR($F199))*12 + MONTH(I$2)-MONTH($F199)) / 12),
  0)</f>
        <v/>
      </c>
      <c r="J199" s="299">
        <f>IF(AND($F199&lt;=J$2, OR($G199="",$G199&gt;=J$2)),
  $H199 * (1 + Assumptions!$C$7) ^ INT(((YEAR(J$2)-YEAR($F199))*12 + MONTH(J$2)-MONTH($F199)) / 12),
  0)</f>
        <v/>
      </c>
      <c r="K199" s="299">
        <f>IF(AND($F199&lt;=K$2, OR($G199="",$G199&gt;=K$2)),
  $H199 * (1 + Assumptions!$C$7) ^ INT(((YEAR(K$2)-YEAR($F199))*12 + MONTH(K$2)-MONTH($F199)) / 12),
  0)</f>
        <v/>
      </c>
      <c r="L199" s="299">
        <f>IF(AND($F199&lt;=L$2, OR($G199="",$G199&gt;=L$2)),
  $H199 * (1 + Assumptions!$C$7) ^ INT(((YEAR(L$2)-YEAR($F199))*12 + MONTH(L$2)-MONTH($F199)) / 12),
  0)</f>
        <v/>
      </c>
      <c r="M199" s="299">
        <f>IF(AND($F199&lt;=M$2, OR($G199="",$G199&gt;=M$2)),
  $H199 * (1 + Assumptions!$C$7) ^ INT(((YEAR(M$2)-YEAR($F199))*12 + MONTH(M$2)-MONTH($F199)) / 12),
  0)</f>
        <v/>
      </c>
      <c r="N199" s="299">
        <f>IF(AND($F199&lt;=N$2, OR($G199="",$G199&gt;=N$2)),
  $H199 * (1 + Assumptions!$C$7) ^ INT(((YEAR(N$2)-YEAR($F199))*12 + MONTH(N$2)-MONTH($F199)) / 12),
  0)</f>
        <v/>
      </c>
      <c r="O199" s="299">
        <f>IF(AND($F199&lt;=O$2, OR($G199="",$G199&gt;=O$2)),
  $H199 * (1 + Assumptions!$C$7) ^ INT(((YEAR(O$2)-YEAR($F199))*12 + MONTH(O$2)-MONTH($F199)) / 12),
  0)</f>
        <v/>
      </c>
      <c r="P199" s="299">
        <f>IF(AND($F199&lt;=P$2, OR($G199="",$G199&gt;=P$2)),
  $H199 * (1 + Assumptions!$C$7) ^ INT(((YEAR(P$2)-YEAR($F199))*12 + MONTH(P$2)-MONTH($F199)) / 12),
  0)</f>
        <v/>
      </c>
      <c r="Q199" s="299">
        <f>IF(AND($F199&lt;=Q$2, OR($G199="",$G199&gt;=Q$2)),
  $H199 * (1 + Assumptions!$C$7) ^ INT(((YEAR(Q$2)-YEAR($F199))*12 + MONTH(Q$2)-MONTH($F199)) / 12),
  0)</f>
        <v/>
      </c>
      <c r="R199" s="299">
        <f>IF(AND($F199&lt;=R$2, OR($G199="",$G199&gt;=R$2)),
  $H199 * (1 + Assumptions!$C$7) ^ INT(((YEAR(R$2)-YEAR($F199))*12 + MONTH(R$2)-MONTH($F199)) / 12),
  0)</f>
        <v/>
      </c>
      <c r="S199" s="299">
        <f>IF(AND($F199&lt;=S$2, OR($G199="",$G199&gt;=S$2)),
  $H199 * (1 + Assumptions!$C$7) ^ INT(((YEAR(S$2)-YEAR($F199))*12 + MONTH(S$2)-MONTH($F199)) / 12),
  0)</f>
        <v/>
      </c>
      <c r="T199" s="299">
        <f>IF(AND($F199&lt;=T$2, OR($G199="",$G199&gt;=T$2)),
  $H199 * (1 + Assumptions!$C$7) ^ INT(((YEAR(T$2)-YEAR($F199))*12 + MONTH(T$2)-MONTH($F199)) / 12),
  0)</f>
        <v/>
      </c>
      <c r="U199" s="299">
        <f>IF(AND($F199&lt;=U$2, OR($G199="",$G199&gt;=U$2)),
  $H199 * (1 + Assumptions!$C$7) ^ INT(((YEAR(U$2)-YEAR($F199))*12 + MONTH(U$2)-MONTH($F199)) / 12),
  0)</f>
        <v/>
      </c>
      <c r="V199" s="299">
        <f>IF(AND($F199&lt;=V$2, OR($G199="",$G199&gt;=V$2)),
  $H199 * (1 + Assumptions!$C$7) ^ INT(((YEAR(V$2)-YEAR($F199))*12 + MONTH(V$2)-MONTH($F199)) / 12),
  0)</f>
        <v/>
      </c>
      <c r="W199" s="299">
        <f>IF(AND($F199&lt;=W$2, OR($G199="",$G199&gt;=W$2)),
  $H199 * (1 + Assumptions!$C$7) ^ INT(((YEAR(W$2)-YEAR($F199))*12 + MONTH(W$2)-MONTH($F199)) / 12),
  0)</f>
        <v/>
      </c>
      <c r="X199" s="299">
        <f>IF(AND($F199&lt;=X$2, OR($G199="",$G199&gt;=X$2)),
  $H199 * (1 + Assumptions!$C$7) ^ INT(((YEAR(X$2)-YEAR($F199))*12 + MONTH(X$2)-MONTH($F199)) / 12),
  0)</f>
        <v/>
      </c>
      <c r="Y199" s="299">
        <f>IF(AND($F199&lt;=Y$2, OR($G199="",$G199&gt;=Y$2)),
  $H199 * (1 + Assumptions!$C$7) ^ INT(((YEAR(Y$2)-YEAR($F199))*12 + MONTH(Y$2)-MONTH($F199)) / 12),
  0)</f>
        <v/>
      </c>
      <c r="Z199" s="299">
        <f>IF(AND($F199&lt;=Z$2, OR($G199="",$G199&gt;=Z$2)),
  $H199 * (1 + Assumptions!$C$7) ^ INT(((YEAR(Z$2)-YEAR($F199))*12 + MONTH(Z$2)-MONTH($F199)) / 12),
  0)</f>
        <v/>
      </c>
      <c r="AA199" s="299">
        <f>IF(AND($F199&lt;=AA$2, OR($G199="",$G199&gt;=AA$2)),
  $H199 * (1 + Assumptions!$C$7) ^ INT(((YEAR(AA$2)-YEAR($F199))*12 + MONTH(AA$2)-MONTH($F199)) / 12),
  0)</f>
        <v/>
      </c>
      <c r="AB199" s="299">
        <f>IF(AND($F199&lt;=AB$2, OR($G199="",$G199&gt;=AB$2)),
  $H199 * (1 + Assumptions!$C$7) ^ INT(((YEAR(AB$2)-YEAR($F199))*12 + MONTH(AB$2)-MONTH($F199)) / 12),
  0)</f>
        <v/>
      </c>
      <c r="AC199" s="299">
        <f>IF(AND($F199&lt;=AC$2, OR($G199="",$G199&gt;=AC$2)),
  $H199 * (1 + Assumptions!$C$7) ^ INT(((YEAR(AC$2)-YEAR($F199))*12 + MONTH(AC$2)-MONTH($F199)) / 12),
  0)</f>
        <v/>
      </c>
      <c r="AD199" s="299">
        <f>IF(AND($F199&lt;=AD$2, OR($G199="",$G199&gt;=AD$2)),
  $H199 * (1 + Assumptions!$C$7) ^ INT(((YEAR(AD$2)-YEAR($F199))*12 + MONTH(AD$2)-MONTH($F199)) / 12),
  0)</f>
        <v/>
      </c>
      <c r="AE199" s="299">
        <f>IF(AND($F199&lt;=AE$2, OR($G199="",$G199&gt;=AE$2)),
  $H199 * (1 + Assumptions!$C$7) ^ INT(((YEAR(AE$2)-YEAR($F199))*12 + MONTH(AE$2)-MONTH($F199)) / 12),
  0)</f>
        <v/>
      </c>
      <c r="AF199" s="299">
        <f>IF(AND($F199&lt;=AF$2, OR($G199="",$G199&gt;=AF$2)),
  $H199 * (1 + Assumptions!$C$7) ^ INT(((YEAR(AF$2)-YEAR($F199))*12 + MONTH(AF$2)-MONTH($F199)) / 12),
  0)</f>
        <v/>
      </c>
      <c r="AG199" s="299">
        <f>IF(AND($F199&lt;=AG$2, OR($G199="",$G199&gt;=AG$2)),
  $H199 * (1 + Assumptions!$C$7) ^ INT(((YEAR(AG$2)-YEAR($F199))*12 + MONTH(AG$2)-MONTH($F199)) / 12),
  0)</f>
        <v/>
      </c>
      <c r="AH199" s="299">
        <f>IF(AND($F199&lt;=AH$2, OR($G199="",$G199&gt;=AH$2)),
  $H199 * (1 + Assumptions!$C$7) ^ INT(((YEAR(AH$2)-YEAR($F199))*12 + MONTH(AH$2)-MONTH($F199)) / 12),
  0)</f>
        <v/>
      </c>
      <c r="AI199" s="299">
        <f>IF(AND($F199&lt;=AI$2, OR($G199="",$G199&gt;=AI$2)),
  $H199 * (1 + Assumptions!$C$7) ^ INT(((YEAR(AI$2)-YEAR($F199))*12 + MONTH(AI$2)-MONTH($F199)) / 12),
  0)</f>
        <v/>
      </c>
      <c r="AJ199" s="299">
        <f>IF(AND($F199&lt;=AJ$2, OR($G199="",$G199&gt;=AJ$2)),
  $H199 * (1 + Assumptions!$C$7) ^ INT(((YEAR(AJ$2)-YEAR($F199))*12 + MONTH(AJ$2)-MONTH($F199)) / 12),
  0)</f>
        <v/>
      </c>
      <c r="AK199" s="299">
        <f>IF(AND($F199&lt;=AK$2, OR($G199="",$G199&gt;=AK$2)),
  $H199 * (1 + Assumptions!$C$7) ^ INT(((YEAR(AK$2)-YEAR($F199))*12 + MONTH(AK$2)-MONTH($F199)) / 12),
  0)</f>
        <v/>
      </c>
      <c r="AL199" s="299">
        <f>IF(AND($F199&lt;=AL$2, OR($G199="",$G199&gt;=AL$2)),
  $H199 * (1 + Assumptions!$C$7) ^ INT(((YEAR(AL$2)-YEAR($F199))*12 + MONTH(AL$2)-MONTH($F199)) / 12),
  0)</f>
        <v/>
      </c>
      <c r="AM199" s="299">
        <f>IF(AND($F199&lt;=AM$2, OR($G199="",$G199&gt;=AM$2)),
  $H199 * (1 + Assumptions!$C$7) ^ INT(((YEAR(AM$2)-YEAR($F199))*12 + MONTH(AM$2)-MONTH($F199)) / 12),
  0)</f>
        <v/>
      </c>
      <c r="AN199" s="299">
        <f>IF(AND($F199&lt;=AN$2, OR($G199="",$G199&gt;=AN$2)),
  $H199 * (1 + Assumptions!$C$7) ^ INT(((YEAR(AN$2)-YEAR($F199))*12 + MONTH(AN$2)-MONTH($F199)) / 12),
  0)</f>
        <v/>
      </c>
      <c r="AO199" s="299">
        <f>IF(AND($F199&lt;=AO$2, OR($G199="",$G199&gt;=AO$2)),
  $H199 * (1 + Assumptions!$C$7) ^ INT(((YEAR(AO$2)-YEAR($F199))*12 + MONTH(AO$2)-MONTH($F199)) / 12),
  0)</f>
        <v/>
      </c>
      <c r="AP199" s="299">
        <f>IF(AND($F199&lt;=AP$2, OR($G199="",$G199&gt;=AP$2)),
  $H199 * (1 + Assumptions!$C$7) ^ INT(((YEAR(AP$2)-YEAR($F199))*12 + MONTH(AP$2)-MONTH($F199)) / 12),
  0)</f>
        <v/>
      </c>
      <c r="AQ199" s="299">
        <f>IF(AND($F199&lt;=AQ$2, OR($G199="",$G199&gt;=AQ$2)),
  $H199 * (1 + Assumptions!$C$7) ^ INT(((YEAR(AQ$2)-YEAR($F199))*12 + MONTH(AQ$2)-MONTH($F199)) / 12),
  0)</f>
        <v/>
      </c>
      <c r="AR199" s="299">
        <f>IF(AND($F199&lt;=AR$2, OR($G199="",$G199&gt;=AR$2)),
  $H199 * (1 + Assumptions!$C$7) ^ INT(((YEAR(AR$2)-YEAR($F199))*12 + MONTH(AR$2)-MONTH($F199)) / 12),
  0)</f>
        <v/>
      </c>
      <c r="AS199" s="299">
        <f>IF(AND($F199&lt;=AS$2, OR($G199="",$G199&gt;=AS$2)),
  $H199 * (1 + Assumptions!$C$7) ^ INT(((YEAR(AS$2)-YEAR($F199))*12 + MONTH(AS$2)-MONTH($F199)) / 12),
  0)</f>
        <v/>
      </c>
      <c r="AT199" s="299">
        <f>IF(AND($F199&lt;=AT$2, OR($G199="",$G199&gt;=AT$2)),
  $H199 * (1 + Assumptions!$C$7) ^ INT(((YEAR(AT$2)-YEAR($F199))*12 + MONTH(AT$2)-MONTH($F199)) / 12),
  0)</f>
        <v/>
      </c>
      <c r="AU199" s="299">
        <f>IF(AND($F199&lt;=AU$2, OR($G199="",$G199&gt;=AU$2)),
  $H199 * (1 + Assumptions!$C$7) ^ INT(((YEAR(AU$2)-YEAR($F199))*12 + MONTH(AU$2)-MONTH($F199)) / 12),
  0)</f>
        <v/>
      </c>
      <c r="AV199" s="299">
        <f>IF(AND($F199&lt;=AV$2, OR($G199="",$G199&gt;=AV$2)),
  $H199 * (1 + Assumptions!$C$7) ^ INT(((YEAR(AV$2)-YEAR($F199))*12 + MONTH(AV$2)-MONTH($F199)) / 12),
  0)</f>
        <v/>
      </c>
      <c r="AW199" s="299">
        <f>IF(AND($F199&lt;=AW$2, OR($G199="",$G199&gt;=AW$2)),
  $H199 * (1 + Assumptions!$C$7) ^ INT(((YEAR(AW$2)-YEAR($F199))*12 + MONTH(AW$2)-MONTH($F199)) / 12),
  0)</f>
        <v/>
      </c>
      <c r="AX199" s="299">
        <f>IF(AND($F199&lt;=AX$2, OR($G199="",$G199&gt;=AX$2)),
  $H199 * (1 + Assumptions!$C$7) ^ INT(((YEAR(AX$2)-YEAR($F199))*12 + MONTH(AX$2)-MONTH($F199)) / 12),
  0)</f>
        <v/>
      </c>
      <c r="AY199" s="299">
        <f>IF(AND($F199&lt;=AY$2, OR($G199="",$G199&gt;=AY$2)),
  $H199 * (1 + Assumptions!$C$7) ^ INT(((YEAR(AY$2)-YEAR($F199))*12 + MONTH(AY$2)-MONTH($F199)) / 12),
  0)</f>
        <v/>
      </c>
      <c r="AZ199" s="299">
        <f>IF(AND($F199&lt;=AZ$2, OR($G199="",$G199&gt;=AZ$2)),
  $H199 * (1 + Assumptions!$C$7) ^ INT(((YEAR(AZ$2)-YEAR($F199))*12 + MONTH(AZ$2)-MONTH($F199)) / 12),
  0)</f>
        <v/>
      </c>
      <c r="BA199" s="299">
        <f>IF(AND($F199&lt;=BA$2, OR($G199="",$G199&gt;=BA$2)),
  $H199 * (1 + Assumptions!$C$7) ^ INT(((YEAR(BA$2)-YEAR($F199))*12 + MONTH(BA$2)-MONTH($F199)) / 12),
  0)</f>
        <v/>
      </c>
      <c r="BB199" s="299">
        <f>IF(AND($F199&lt;=BB$2, OR($G199="",$G199&gt;=BB$2)),
  $H199 * (1 + Assumptions!$C$7) ^ INT(((YEAR(BB$2)-YEAR($F199))*12 + MONTH(BB$2)-MONTH($F199)) / 12),
  0)</f>
        <v/>
      </c>
      <c r="BC199" s="299">
        <f>IF(AND($F199&lt;=BC$2, OR($G199="",$G199&gt;=BC$2)),
  $H199 * (1 + Assumptions!$C$7) ^ INT(((YEAR(BC$2)-YEAR($F199))*12 + MONTH(BC$2)-MONTH($F199)) / 12),
  0)</f>
        <v/>
      </c>
      <c r="BD199" s="299">
        <f>IF(AND($F199&lt;=BD$2, OR($G199="",$G199&gt;=BD$2)),
  $H199 * (1 + Assumptions!$C$7) ^ INT(((YEAR(BD$2)-YEAR($F199))*12 + MONTH(BD$2)-MONTH($F199)) / 12),
  0)</f>
        <v/>
      </c>
      <c r="BE199" s="299">
        <f>IF(AND($F199&lt;=BE$2, OR($G199="",$G199&gt;=BE$2)),
  $H199 * (1 + Assumptions!$C$7) ^ INT(((YEAR(BE$2)-YEAR($F199))*12 + MONTH(BE$2)-MONTH($F199)) / 12),
  0)</f>
        <v/>
      </c>
      <c r="BF199" s="299">
        <f>IF(AND($F199&lt;=BF$2, OR($G199="",$G199&gt;=BF$2)),
  $H199 * (1 + Assumptions!$C$7) ^ INT(((YEAR(BF$2)-YEAR($F199))*12 + MONTH(BF$2)-MONTH($F199)) / 12),
  0)</f>
        <v/>
      </c>
      <c r="BG199" s="299">
        <f>IF(AND($F199&lt;=BG$2, OR($G199="",$G199&gt;=BG$2)),
  $H199 * (1 + Assumptions!$C$7) ^ INT(((YEAR(BG$2)-YEAR($F199))*12 + MONTH(BG$2)-MONTH($F199)) / 12),
  0)</f>
        <v/>
      </c>
      <c r="BH199" s="299">
        <f>IF(AND($F199&lt;=BH$2, OR($G199="",$G199&gt;=BH$2)),
  $H199 * (1 + Assumptions!$C$7) ^ INT(((YEAR(BH$2)-YEAR($F199))*12 + MONTH(BH$2)-MONTH($F199)) / 12),
  0)</f>
        <v/>
      </c>
      <c r="BI199" s="299">
        <f>IF(AND($F199&lt;=BI$2, OR($G199="",$G199&gt;=BI$2)),
  $H199 * (1 + Assumptions!$C$7) ^ INT(((YEAR(BI$2)-YEAR($F199))*12 + MONTH(BI$2)-MONTH($F199)) / 12),
  0)</f>
        <v/>
      </c>
      <c r="BJ199" s="299">
        <f>IF(AND($F199&lt;=BJ$2, OR($G199="",$G199&gt;=BJ$2)),
  $H199 * (1 + Assumptions!$C$7) ^ INT(((YEAR(BJ$2)-YEAR($F199))*12 + MONTH(BJ$2)-MONTH($F199)) / 12),
  0)</f>
        <v/>
      </c>
      <c r="BK199" s="299">
        <f>IF(AND($F199&lt;=BK$2, OR($G199="",$G199&gt;=BK$2)),
  $H199 * (1 + Assumptions!$C$7) ^ INT(((YEAR(BK$2)-YEAR($F199))*12 + MONTH(BK$2)-MONTH($F199)) / 12),
  0)</f>
        <v/>
      </c>
      <c r="BL199" s="299">
        <f>IF(AND($F199&lt;=BL$2, OR($G199="",$G199&gt;=BL$2)),
  $H199 * (1 + Assumptions!$C$7) ^ INT(((YEAR(BL$2)-YEAR($F199))*12 + MONTH(BL$2)-MONTH($F199)) / 12),
  0)</f>
        <v/>
      </c>
      <c r="BM199" s="299">
        <f>IF(AND($F199&lt;=BM$2, OR($G199="",$G199&gt;=BM$2)),
  $H199 * (1 + Assumptions!$C$7) ^ INT(((YEAR(BM$2)-YEAR($F199))*12 + MONTH(BM$2)-MONTH($F199)) / 12),
  0)</f>
        <v/>
      </c>
      <c r="BN199" s="299">
        <f>IF(AND($F199&lt;=BN$2, OR($G199="",$G199&gt;=BN$2)),
  $H199 * (1 + Assumptions!$C$7) ^ INT(((YEAR(BN$2)-YEAR($F199))*12 + MONTH(BN$2)-MONTH($F199)) / 12),
  0)</f>
        <v/>
      </c>
      <c r="BO199" s="299">
        <f>IF(AND($F199&lt;=BO$2, OR($G199="",$G199&gt;=BO$2)),
  $H199 * (1 + Assumptions!$C$7) ^ INT(((YEAR(BO$2)-YEAR($F199))*12 + MONTH(BO$2)-MONTH($F199)) / 12),
  0)</f>
        <v/>
      </c>
      <c r="BP199" s="299">
        <f>IF(AND($F199&lt;=BP$2, OR($G199="",$G199&gt;=BP$2)),
  $H199 * (1 + Assumptions!$C$7) ^ INT(((YEAR(BP$2)-YEAR($F199))*12 + MONTH(BP$2)-MONTH($F199)) / 12),
  0)</f>
        <v/>
      </c>
      <c r="BQ199" s="31" t="n"/>
      <c r="BR199" s="31" t="n"/>
      <c r="BS199" s="31" t="n"/>
      <c r="BT199" s="31" t="n"/>
    </row>
    <row r="200" ht="15.75" customHeight="1" s="349">
      <c r="A200" s="321" t="n">
        <v>195</v>
      </c>
      <c r="B200" s="285" t="inlineStr">
        <is>
          <t>New hire</t>
        </is>
      </c>
      <c r="C200" s="317" t="inlineStr">
        <is>
          <t>G&amp;A</t>
        </is>
      </c>
      <c r="D200" s="317" t="inlineStr">
        <is>
          <t>Finance / HR / IT / Legal</t>
        </is>
      </c>
      <c r="E200" s="297" t="inlineStr">
        <is>
          <t>Planned</t>
        </is>
      </c>
      <c r="F200" s="318">
        <f>IF(Assumptions!$D$82=2,DATE(2029,4,1),DATE(2035,1,1))</f>
        <v/>
      </c>
      <c r="G200" s="318" t="n"/>
      <c r="H200" s="288" t="n">
        <v>7000</v>
      </c>
      <c r="I200" s="299">
        <f>IF(AND($F200&lt;=I$2, OR($G200="",$G200&gt;=I$2)),
  $H200 * (1 + Assumptions!$C$7) ^ INT(((YEAR(I$2)-YEAR($F200))*12 + MONTH(I$2)-MONTH($F200)) / 12),
  0)</f>
        <v/>
      </c>
      <c r="J200" s="299">
        <f>IF(AND($F200&lt;=J$2, OR($G200="",$G200&gt;=J$2)),
  $H200 * (1 + Assumptions!$C$7) ^ INT(((YEAR(J$2)-YEAR($F200))*12 + MONTH(J$2)-MONTH($F200)) / 12),
  0)</f>
        <v/>
      </c>
      <c r="K200" s="299">
        <f>IF(AND($F200&lt;=K$2, OR($G200="",$G200&gt;=K$2)),
  $H200 * (1 + Assumptions!$C$7) ^ INT(((YEAR(K$2)-YEAR($F200))*12 + MONTH(K$2)-MONTH($F200)) / 12),
  0)</f>
        <v/>
      </c>
      <c r="L200" s="299">
        <f>IF(AND($F200&lt;=L$2, OR($G200="",$G200&gt;=L$2)),
  $H200 * (1 + Assumptions!$C$7) ^ INT(((YEAR(L$2)-YEAR($F200))*12 + MONTH(L$2)-MONTH($F200)) / 12),
  0)</f>
        <v/>
      </c>
      <c r="M200" s="299">
        <f>IF(AND($F200&lt;=M$2, OR($G200="",$G200&gt;=M$2)),
  $H200 * (1 + Assumptions!$C$7) ^ INT(((YEAR(M$2)-YEAR($F200))*12 + MONTH(M$2)-MONTH($F200)) / 12),
  0)</f>
        <v/>
      </c>
      <c r="N200" s="299">
        <f>IF(AND($F200&lt;=N$2, OR($G200="",$G200&gt;=N$2)),
  $H200 * (1 + Assumptions!$C$7) ^ INT(((YEAR(N$2)-YEAR($F200))*12 + MONTH(N$2)-MONTH($F200)) / 12),
  0)</f>
        <v/>
      </c>
      <c r="O200" s="299">
        <f>IF(AND($F200&lt;=O$2, OR($G200="",$G200&gt;=O$2)),
  $H200 * (1 + Assumptions!$C$7) ^ INT(((YEAR(O$2)-YEAR($F200))*12 + MONTH(O$2)-MONTH($F200)) / 12),
  0)</f>
        <v/>
      </c>
      <c r="P200" s="299">
        <f>IF(AND($F200&lt;=P$2, OR($G200="",$G200&gt;=P$2)),
  $H200 * (1 + Assumptions!$C$7) ^ INT(((YEAR(P$2)-YEAR($F200))*12 + MONTH(P$2)-MONTH($F200)) / 12),
  0)</f>
        <v/>
      </c>
      <c r="Q200" s="299">
        <f>IF(AND($F200&lt;=Q$2, OR($G200="",$G200&gt;=Q$2)),
  $H200 * (1 + Assumptions!$C$7) ^ INT(((YEAR(Q$2)-YEAR($F200))*12 + MONTH(Q$2)-MONTH($F200)) / 12),
  0)</f>
        <v/>
      </c>
      <c r="R200" s="299">
        <f>IF(AND($F200&lt;=R$2, OR($G200="",$G200&gt;=R$2)),
  $H200 * (1 + Assumptions!$C$7) ^ INT(((YEAR(R$2)-YEAR($F200))*12 + MONTH(R$2)-MONTH($F200)) / 12),
  0)</f>
        <v/>
      </c>
      <c r="S200" s="299">
        <f>IF(AND($F200&lt;=S$2, OR($G200="",$G200&gt;=S$2)),
  $H200 * (1 + Assumptions!$C$7) ^ INT(((YEAR(S$2)-YEAR($F200))*12 + MONTH(S$2)-MONTH($F200)) / 12),
  0)</f>
        <v/>
      </c>
      <c r="T200" s="299">
        <f>IF(AND($F200&lt;=T$2, OR($G200="",$G200&gt;=T$2)),
  $H200 * (1 + Assumptions!$C$7) ^ INT(((YEAR(T$2)-YEAR($F200))*12 + MONTH(T$2)-MONTH($F200)) / 12),
  0)</f>
        <v/>
      </c>
      <c r="U200" s="299">
        <f>IF(AND($F200&lt;=U$2, OR($G200="",$G200&gt;=U$2)),
  $H200 * (1 + Assumptions!$C$7) ^ INT(((YEAR(U$2)-YEAR($F200))*12 + MONTH(U$2)-MONTH($F200)) / 12),
  0)</f>
        <v/>
      </c>
      <c r="V200" s="299">
        <f>IF(AND($F200&lt;=V$2, OR($G200="",$G200&gt;=V$2)),
  $H200 * (1 + Assumptions!$C$7) ^ INT(((YEAR(V$2)-YEAR($F200))*12 + MONTH(V$2)-MONTH($F200)) / 12),
  0)</f>
        <v/>
      </c>
      <c r="W200" s="299">
        <f>IF(AND($F200&lt;=W$2, OR($G200="",$G200&gt;=W$2)),
  $H200 * (1 + Assumptions!$C$7) ^ INT(((YEAR(W$2)-YEAR($F200))*12 + MONTH(W$2)-MONTH($F200)) / 12),
  0)</f>
        <v/>
      </c>
      <c r="X200" s="299">
        <f>IF(AND($F200&lt;=X$2, OR($G200="",$G200&gt;=X$2)),
  $H200 * (1 + Assumptions!$C$7) ^ INT(((YEAR(X$2)-YEAR($F200))*12 + MONTH(X$2)-MONTH($F200)) / 12),
  0)</f>
        <v/>
      </c>
      <c r="Y200" s="299">
        <f>IF(AND($F200&lt;=Y$2, OR($G200="",$G200&gt;=Y$2)),
  $H200 * (1 + Assumptions!$C$7) ^ INT(((YEAR(Y$2)-YEAR($F200))*12 + MONTH(Y$2)-MONTH($F200)) / 12),
  0)</f>
        <v/>
      </c>
      <c r="Z200" s="299">
        <f>IF(AND($F200&lt;=Z$2, OR($G200="",$G200&gt;=Z$2)),
  $H200 * (1 + Assumptions!$C$7) ^ INT(((YEAR(Z$2)-YEAR($F200))*12 + MONTH(Z$2)-MONTH($F200)) / 12),
  0)</f>
        <v/>
      </c>
      <c r="AA200" s="299">
        <f>IF(AND($F200&lt;=AA$2, OR($G200="",$G200&gt;=AA$2)),
  $H200 * (1 + Assumptions!$C$7) ^ INT(((YEAR(AA$2)-YEAR($F200))*12 + MONTH(AA$2)-MONTH($F200)) / 12),
  0)</f>
        <v/>
      </c>
      <c r="AB200" s="299">
        <f>IF(AND($F200&lt;=AB$2, OR($G200="",$G200&gt;=AB$2)),
  $H200 * (1 + Assumptions!$C$7) ^ INT(((YEAR(AB$2)-YEAR($F200))*12 + MONTH(AB$2)-MONTH($F200)) / 12),
  0)</f>
        <v/>
      </c>
      <c r="AC200" s="299">
        <f>IF(AND($F200&lt;=AC$2, OR($G200="",$G200&gt;=AC$2)),
  $H200 * (1 + Assumptions!$C$7) ^ INT(((YEAR(AC$2)-YEAR($F200))*12 + MONTH(AC$2)-MONTH($F200)) / 12),
  0)</f>
        <v/>
      </c>
      <c r="AD200" s="299">
        <f>IF(AND($F200&lt;=AD$2, OR($G200="",$G200&gt;=AD$2)),
  $H200 * (1 + Assumptions!$C$7) ^ INT(((YEAR(AD$2)-YEAR($F200))*12 + MONTH(AD$2)-MONTH($F200)) / 12),
  0)</f>
        <v/>
      </c>
      <c r="AE200" s="299">
        <f>IF(AND($F200&lt;=AE$2, OR($G200="",$G200&gt;=AE$2)),
  $H200 * (1 + Assumptions!$C$7) ^ INT(((YEAR(AE$2)-YEAR($F200))*12 + MONTH(AE$2)-MONTH($F200)) / 12),
  0)</f>
        <v/>
      </c>
      <c r="AF200" s="299">
        <f>IF(AND($F200&lt;=AF$2, OR($G200="",$G200&gt;=AF$2)),
  $H200 * (1 + Assumptions!$C$7) ^ INT(((YEAR(AF$2)-YEAR($F200))*12 + MONTH(AF$2)-MONTH($F200)) / 12),
  0)</f>
        <v/>
      </c>
      <c r="AG200" s="299">
        <f>IF(AND($F200&lt;=AG$2, OR($G200="",$G200&gt;=AG$2)),
  $H200 * (1 + Assumptions!$C$7) ^ INT(((YEAR(AG$2)-YEAR($F200))*12 + MONTH(AG$2)-MONTH($F200)) / 12),
  0)</f>
        <v/>
      </c>
      <c r="AH200" s="299">
        <f>IF(AND($F200&lt;=AH$2, OR($G200="",$G200&gt;=AH$2)),
  $H200 * (1 + Assumptions!$C$7) ^ INT(((YEAR(AH$2)-YEAR($F200))*12 + MONTH(AH$2)-MONTH($F200)) / 12),
  0)</f>
        <v/>
      </c>
      <c r="AI200" s="299">
        <f>IF(AND($F200&lt;=AI$2, OR($G200="",$G200&gt;=AI$2)),
  $H200 * (1 + Assumptions!$C$7) ^ INT(((YEAR(AI$2)-YEAR($F200))*12 + MONTH(AI$2)-MONTH($F200)) / 12),
  0)</f>
        <v/>
      </c>
      <c r="AJ200" s="299">
        <f>IF(AND($F200&lt;=AJ$2, OR($G200="",$G200&gt;=AJ$2)),
  $H200 * (1 + Assumptions!$C$7) ^ INT(((YEAR(AJ$2)-YEAR($F200))*12 + MONTH(AJ$2)-MONTH($F200)) / 12),
  0)</f>
        <v/>
      </c>
      <c r="AK200" s="299">
        <f>IF(AND($F200&lt;=AK$2, OR($G200="",$G200&gt;=AK$2)),
  $H200 * (1 + Assumptions!$C$7) ^ INT(((YEAR(AK$2)-YEAR($F200))*12 + MONTH(AK$2)-MONTH($F200)) / 12),
  0)</f>
        <v/>
      </c>
      <c r="AL200" s="299">
        <f>IF(AND($F200&lt;=AL$2, OR($G200="",$G200&gt;=AL$2)),
  $H200 * (1 + Assumptions!$C$7) ^ INT(((YEAR(AL$2)-YEAR($F200))*12 + MONTH(AL$2)-MONTH($F200)) / 12),
  0)</f>
        <v/>
      </c>
      <c r="AM200" s="299">
        <f>IF(AND($F200&lt;=AM$2, OR($G200="",$G200&gt;=AM$2)),
  $H200 * (1 + Assumptions!$C$7) ^ INT(((YEAR(AM$2)-YEAR($F200))*12 + MONTH(AM$2)-MONTH($F200)) / 12),
  0)</f>
        <v/>
      </c>
      <c r="AN200" s="299">
        <f>IF(AND($F200&lt;=AN$2, OR($G200="",$G200&gt;=AN$2)),
  $H200 * (1 + Assumptions!$C$7) ^ INT(((YEAR(AN$2)-YEAR($F200))*12 + MONTH(AN$2)-MONTH($F200)) / 12),
  0)</f>
        <v/>
      </c>
      <c r="AO200" s="299">
        <f>IF(AND($F200&lt;=AO$2, OR($G200="",$G200&gt;=AO$2)),
  $H200 * (1 + Assumptions!$C$7) ^ INT(((YEAR(AO$2)-YEAR($F200))*12 + MONTH(AO$2)-MONTH($F200)) / 12),
  0)</f>
        <v/>
      </c>
      <c r="AP200" s="299">
        <f>IF(AND($F200&lt;=AP$2, OR($G200="",$G200&gt;=AP$2)),
  $H200 * (1 + Assumptions!$C$7) ^ INT(((YEAR(AP$2)-YEAR($F200))*12 + MONTH(AP$2)-MONTH($F200)) / 12),
  0)</f>
        <v/>
      </c>
      <c r="AQ200" s="299">
        <f>IF(AND($F200&lt;=AQ$2, OR($G200="",$G200&gt;=AQ$2)),
  $H200 * (1 + Assumptions!$C$7) ^ INT(((YEAR(AQ$2)-YEAR($F200))*12 + MONTH(AQ$2)-MONTH($F200)) / 12),
  0)</f>
        <v/>
      </c>
      <c r="AR200" s="299">
        <f>IF(AND($F200&lt;=AR$2, OR($G200="",$G200&gt;=AR$2)),
  $H200 * (1 + Assumptions!$C$7) ^ INT(((YEAR(AR$2)-YEAR($F200))*12 + MONTH(AR$2)-MONTH($F200)) / 12),
  0)</f>
        <v/>
      </c>
      <c r="AS200" s="299">
        <f>IF(AND($F200&lt;=AS$2, OR($G200="",$G200&gt;=AS$2)),
  $H200 * (1 + Assumptions!$C$7) ^ INT(((YEAR(AS$2)-YEAR($F200))*12 + MONTH(AS$2)-MONTH($F200)) / 12),
  0)</f>
        <v/>
      </c>
      <c r="AT200" s="299">
        <f>IF(AND($F200&lt;=AT$2, OR($G200="",$G200&gt;=AT$2)),
  $H200 * (1 + Assumptions!$C$7) ^ INT(((YEAR(AT$2)-YEAR($F200))*12 + MONTH(AT$2)-MONTH($F200)) / 12),
  0)</f>
        <v/>
      </c>
      <c r="AU200" s="299">
        <f>IF(AND($F200&lt;=AU$2, OR($G200="",$G200&gt;=AU$2)),
  $H200 * (1 + Assumptions!$C$7) ^ INT(((YEAR(AU$2)-YEAR($F200))*12 + MONTH(AU$2)-MONTH($F200)) / 12),
  0)</f>
        <v/>
      </c>
      <c r="AV200" s="299">
        <f>IF(AND($F200&lt;=AV$2, OR($G200="",$G200&gt;=AV$2)),
  $H200 * (1 + Assumptions!$C$7) ^ INT(((YEAR(AV$2)-YEAR($F200))*12 + MONTH(AV$2)-MONTH($F200)) / 12),
  0)</f>
        <v/>
      </c>
      <c r="AW200" s="299">
        <f>IF(AND($F200&lt;=AW$2, OR($G200="",$G200&gt;=AW$2)),
  $H200 * (1 + Assumptions!$C$7) ^ INT(((YEAR(AW$2)-YEAR($F200))*12 + MONTH(AW$2)-MONTH($F200)) / 12),
  0)</f>
        <v/>
      </c>
      <c r="AX200" s="299">
        <f>IF(AND($F200&lt;=AX$2, OR($G200="",$G200&gt;=AX$2)),
  $H200 * (1 + Assumptions!$C$7) ^ INT(((YEAR(AX$2)-YEAR($F200))*12 + MONTH(AX$2)-MONTH($F200)) / 12),
  0)</f>
        <v/>
      </c>
      <c r="AY200" s="299">
        <f>IF(AND($F200&lt;=AY$2, OR($G200="",$G200&gt;=AY$2)),
  $H200 * (1 + Assumptions!$C$7) ^ INT(((YEAR(AY$2)-YEAR($F200))*12 + MONTH(AY$2)-MONTH($F200)) / 12),
  0)</f>
        <v/>
      </c>
      <c r="AZ200" s="299">
        <f>IF(AND($F200&lt;=AZ$2, OR($G200="",$G200&gt;=AZ$2)),
  $H200 * (1 + Assumptions!$C$7) ^ INT(((YEAR(AZ$2)-YEAR($F200))*12 + MONTH(AZ$2)-MONTH($F200)) / 12),
  0)</f>
        <v/>
      </c>
      <c r="BA200" s="299">
        <f>IF(AND($F200&lt;=BA$2, OR($G200="",$G200&gt;=BA$2)),
  $H200 * (1 + Assumptions!$C$7) ^ INT(((YEAR(BA$2)-YEAR($F200))*12 + MONTH(BA$2)-MONTH($F200)) / 12),
  0)</f>
        <v/>
      </c>
      <c r="BB200" s="299">
        <f>IF(AND($F200&lt;=BB$2, OR($G200="",$G200&gt;=BB$2)),
  $H200 * (1 + Assumptions!$C$7) ^ INT(((YEAR(BB$2)-YEAR($F200))*12 + MONTH(BB$2)-MONTH($F200)) / 12),
  0)</f>
        <v/>
      </c>
      <c r="BC200" s="299">
        <f>IF(AND($F200&lt;=BC$2, OR($G200="",$G200&gt;=BC$2)),
  $H200 * (1 + Assumptions!$C$7) ^ INT(((YEAR(BC$2)-YEAR($F200))*12 + MONTH(BC$2)-MONTH($F200)) / 12),
  0)</f>
        <v/>
      </c>
      <c r="BD200" s="299">
        <f>IF(AND($F200&lt;=BD$2, OR($G200="",$G200&gt;=BD$2)),
  $H200 * (1 + Assumptions!$C$7) ^ INT(((YEAR(BD$2)-YEAR($F200))*12 + MONTH(BD$2)-MONTH($F200)) / 12),
  0)</f>
        <v/>
      </c>
      <c r="BE200" s="299">
        <f>IF(AND($F200&lt;=BE$2, OR($G200="",$G200&gt;=BE$2)),
  $H200 * (1 + Assumptions!$C$7) ^ INT(((YEAR(BE$2)-YEAR($F200))*12 + MONTH(BE$2)-MONTH($F200)) / 12),
  0)</f>
        <v/>
      </c>
      <c r="BF200" s="299">
        <f>IF(AND($F200&lt;=BF$2, OR($G200="",$G200&gt;=BF$2)),
  $H200 * (1 + Assumptions!$C$7) ^ INT(((YEAR(BF$2)-YEAR($F200))*12 + MONTH(BF$2)-MONTH($F200)) / 12),
  0)</f>
        <v/>
      </c>
      <c r="BG200" s="299">
        <f>IF(AND($F200&lt;=BG$2, OR($G200="",$G200&gt;=BG$2)),
  $H200 * (1 + Assumptions!$C$7) ^ INT(((YEAR(BG$2)-YEAR($F200))*12 + MONTH(BG$2)-MONTH($F200)) / 12),
  0)</f>
        <v/>
      </c>
      <c r="BH200" s="299">
        <f>IF(AND($F200&lt;=BH$2, OR($G200="",$G200&gt;=BH$2)),
  $H200 * (1 + Assumptions!$C$7) ^ INT(((YEAR(BH$2)-YEAR($F200))*12 + MONTH(BH$2)-MONTH($F200)) / 12),
  0)</f>
        <v/>
      </c>
      <c r="BI200" s="299">
        <f>IF(AND($F200&lt;=BI$2, OR($G200="",$G200&gt;=BI$2)),
  $H200 * (1 + Assumptions!$C$7) ^ INT(((YEAR(BI$2)-YEAR($F200))*12 + MONTH(BI$2)-MONTH($F200)) / 12),
  0)</f>
        <v/>
      </c>
      <c r="BJ200" s="299">
        <f>IF(AND($F200&lt;=BJ$2, OR($G200="",$G200&gt;=BJ$2)),
  $H200 * (1 + Assumptions!$C$7) ^ INT(((YEAR(BJ$2)-YEAR($F200))*12 + MONTH(BJ$2)-MONTH($F200)) / 12),
  0)</f>
        <v/>
      </c>
      <c r="BK200" s="299">
        <f>IF(AND($F200&lt;=BK$2, OR($G200="",$G200&gt;=BK$2)),
  $H200 * (1 + Assumptions!$C$7) ^ INT(((YEAR(BK$2)-YEAR($F200))*12 + MONTH(BK$2)-MONTH($F200)) / 12),
  0)</f>
        <v/>
      </c>
      <c r="BL200" s="299">
        <f>IF(AND($F200&lt;=BL$2, OR($G200="",$G200&gt;=BL$2)),
  $H200 * (1 + Assumptions!$C$7) ^ INT(((YEAR(BL$2)-YEAR($F200))*12 + MONTH(BL$2)-MONTH($F200)) / 12),
  0)</f>
        <v/>
      </c>
      <c r="BM200" s="299">
        <f>IF(AND($F200&lt;=BM$2, OR($G200="",$G200&gt;=BM$2)),
  $H200 * (1 + Assumptions!$C$7) ^ INT(((YEAR(BM$2)-YEAR($F200))*12 + MONTH(BM$2)-MONTH($F200)) / 12),
  0)</f>
        <v/>
      </c>
      <c r="BN200" s="299">
        <f>IF(AND($F200&lt;=BN$2, OR($G200="",$G200&gt;=BN$2)),
  $H200 * (1 + Assumptions!$C$7) ^ INT(((YEAR(BN$2)-YEAR($F200))*12 + MONTH(BN$2)-MONTH($F200)) / 12),
  0)</f>
        <v/>
      </c>
      <c r="BO200" s="299">
        <f>IF(AND($F200&lt;=BO$2, OR($G200="",$G200&gt;=BO$2)),
  $H200 * (1 + Assumptions!$C$7) ^ INT(((YEAR(BO$2)-YEAR($F200))*12 + MONTH(BO$2)-MONTH($F200)) / 12),
  0)</f>
        <v/>
      </c>
      <c r="BP200" s="299">
        <f>IF(AND($F200&lt;=BP$2, OR($G200="",$G200&gt;=BP$2)),
  $H200 * (1 + Assumptions!$C$7) ^ INT(((YEAR(BP$2)-YEAR($F200))*12 + MONTH(BP$2)-MONTH($F200)) / 12),
  0)</f>
        <v/>
      </c>
      <c r="BQ200" s="31" t="n"/>
      <c r="BR200" s="31" t="n"/>
      <c r="BS200" s="31" t="n"/>
      <c r="BT200" s="31" t="n"/>
    </row>
    <row r="201" ht="15.75" customHeight="1" s="349">
      <c r="A201" s="321" t="n">
        <v>196</v>
      </c>
      <c r="B201" s="285" t="inlineStr">
        <is>
          <t>New hire</t>
        </is>
      </c>
      <c r="C201" s="317" t="inlineStr">
        <is>
          <t>G&amp;A</t>
        </is>
      </c>
      <c r="D201" s="317" t="inlineStr">
        <is>
          <t>Finance / HR / IT / Legal</t>
        </is>
      </c>
      <c r="E201" s="297" t="inlineStr">
        <is>
          <t>Planned</t>
        </is>
      </c>
      <c r="F201" s="318">
        <f>IF(Assumptions!$D$82=2,DATE(2029,7,1),DATE(2035,1,1))</f>
        <v/>
      </c>
      <c r="G201" s="318" t="n"/>
      <c r="H201" s="288" t="n">
        <v>7000</v>
      </c>
      <c r="I201" s="299">
        <f>IF(AND($F201&lt;=I$2, OR($G201="",$G201&gt;=I$2)),
  $H201 * (1 + Assumptions!$C$7) ^ INT(((YEAR(I$2)-YEAR($F201))*12 + MONTH(I$2)-MONTH($F201)) / 12),
  0)</f>
        <v/>
      </c>
      <c r="J201" s="299">
        <f>IF(AND($F201&lt;=J$2, OR($G201="",$G201&gt;=J$2)),
  $H201 * (1 + Assumptions!$C$7) ^ INT(((YEAR(J$2)-YEAR($F201))*12 + MONTH(J$2)-MONTH($F201)) / 12),
  0)</f>
        <v/>
      </c>
      <c r="K201" s="299">
        <f>IF(AND($F201&lt;=K$2, OR($G201="",$G201&gt;=K$2)),
  $H201 * (1 + Assumptions!$C$7) ^ INT(((YEAR(K$2)-YEAR($F201))*12 + MONTH(K$2)-MONTH($F201)) / 12),
  0)</f>
        <v/>
      </c>
      <c r="L201" s="299">
        <f>IF(AND($F201&lt;=L$2, OR($G201="",$G201&gt;=L$2)),
  $H201 * (1 + Assumptions!$C$7) ^ INT(((YEAR(L$2)-YEAR($F201))*12 + MONTH(L$2)-MONTH($F201)) / 12),
  0)</f>
        <v/>
      </c>
      <c r="M201" s="299">
        <f>IF(AND($F201&lt;=M$2, OR($G201="",$G201&gt;=M$2)),
  $H201 * (1 + Assumptions!$C$7) ^ INT(((YEAR(M$2)-YEAR($F201))*12 + MONTH(M$2)-MONTH($F201)) / 12),
  0)</f>
        <v/>
      </c>
      <c r="N201" s="299">
        <f>IF(AND($F201&lt;=N$2, OR($G201="",$G201&gt;=N$2)),
  $H201 * (1 + Assumptions!$C$7) ^ INT(((YEAR(N$2)-YEAR($F201))*12 + MONTH(N$2)-MONTH($F201)) / 12),
  0)</f>
        <v/>
      </c>
      <c r="O201" s="299">
        <f>IF(AND($F201&lt;=O$2, OR($G201="",$G201&gt;=O$2)),
  $H201 * (1 + Assumptions!$C$7) ^ INT(((YEAR(O$2)-YEAR($F201))*12 + MONTH(O$2)-MONTH($F201)) / 12),
  0)</f>
        <v/>
      </c>
      <c r="P201" s="299">
        <f>IF(AND($F201&lt;=P$2, OR($G201="",$G201&gt;=P$2)),
  $H201 * (1 + Assumptions!$C$7) ^ INT(((YEAR(P$2)-YEAR($F201))*12 + MONTH(P$2)-MONTH($F201)) / 12),
  0)</f>
        <v/>
      </c>
      <c r="Q201" s="299">
        <f>IF(AND($F201&lt;=Q$2, OR($G201="",$G201&gt;=Q$2)),
  $H201 * (1 + Assumptions!$C$7) ^ INT(((YEAR(Q$2)-YEAR($F201))*12 + MONTH(Q$2)-MONTH($F201)) / 12),
  0)</f>
        <v/>
      </c>
      <c r="R201" s="299">
        <f>IF(AND($F201&lt;=R$2, OR($G201="",$G201&gt;=R$2)),
  $H201 * (1 + Assumptions!$C$7) ^ INT(((YEAR(R$2)-YEAR($F201))*12 + MONTH(R$2)-MONTH($F201)) / 12),
  0)</f>
        <v/>
      </c>
      <c r="S201" s="299">
        <f>IF(AND($F201&lt;=S$2, OR($G201="",$G201&gt;=S$2)),
  $H201 * (1 + Assumptions!$C$7) ^ INT(((YEAR(S$2)-YEAR($F201))*12 + MONTH(S$2)-MONTH($F201)) / 12),
  0)</f>
        <v/>
      </c>
      <c r="T201" s="299">
        <f>IF(AND($F201&lt;=T$2, OR($G201="",$G201&gt;=T$2)),
  $H201 * (1 + Assumptions!$C$7) ^ INT(((YEAR(T$2)-YEAR($F201))*12 + MONTH(T$2)-MONTH($F201)) / 12),
  0)</f>
        <v/>
      </c>
      <c r="U201" s="299">
        <f>IF(AND($F201&lt;=U$2, OR($G201="",$G201&gt;=U$2)),
  $H201 * (1 + Assumptions!$C$7) ^ INT(((YEAR(U$2)-YEAR($F201))*12 + MONTH(U$2)-MONTH($F201)) / 12),
  0)</f>
        <v/>
      </c>
      <c r="V201" s="299">
        <f>IF(AND($F201&lt;=V$2, OR($G201="",$G201&gt;=V$2)),
  $H201 * (1 + Assumptions!$C$7) ^ INT(((YEAR(V$2)-YEAR($F201))*12 + MONTH(V$2)-MONTH($F201)) / 12),
  0)</f>
        <v/>
      </c>
      <c r="W201" s="299">
        <f>IF(AND($F201&lt;=W$2, OR($G201="",$G201&gt;=W$2)),
  $H201 * (1 + Assumptions!$C$7) ^ INT(((YEAR(W$2)-YEAR($F201))*12 + MONTH(W$2)-MONTH($F201)) / 12),
  0)</f>
        <v/>
      </c>
      <c r="X201" s="299">
        <f>IF(AND($F201&lt;=X$2, OR($G201="",$G201&gt;=X$2)),
  $H201 * (1 + Assumptions!$C$7) ^ INT(((YEAR(X$2)-YEAR($F201))*12 + MONTH(X$2)-MONTH($F201)) / 12),
  0)</f>
        <v/>
      </c>
      <c r="Y201" s="299">
        <f>IF(AND($F201&lt;=Y$2, OR($G201="",$G201&gt;=Y$2)),
  $H201 * (1 + Assumptions!$C$7) ^ INT(((YEAR(Y$2)-YEAR($F201))*12 + MONTH(Y$2)-MONTH($F201)) / 12),
  0)</f>
        <v/>
      </c>
      <c r="Z201" s="299">
        <f>IF(AND($F201&lt;=Z$2, OR($G201="",$G201&gt;=Z$2)),
  $H201 * (1 + Assumptions!$C$7) ^ INT(((YEAR(Z$2)-YEAR($F201))*12 + MONTH(Z$2)-MONTH($F201)) / 12),
  0)</f>
        <v/>
      </c>
      <c r="AA201" s="299">
        <f>IF(AND($F201&lt;=AA$2, OR($G201="",$G201&gt;=AA$2)),
  $H201 * (1 + Assumptions!$C$7) ^ INT(((YEAR(AA$2)-YEAR($F201))*12 + MONTH(AA$2)-MONTH($F201)) / 12),
  0)</f>
        <v/>
      </c>
      <c r="AB201" s="299">
        <f>IF(AND($F201&lt;=AB$2, OR($G201="",$G201&gt;=AB$2)),
  $H201 * (1 + Assumptions!$C$7) ^ INT(((YEAR(AB$2)-YEAR($F201))*12 + MONTH(AB$2)-MONTH($F201)) / 12),
  0)</f>
        <v/>
      </c>
      <c r="AC201" s="299">
        <f>IF(AND($F201&lt;=AC$2, OR($G201="",$G201&gt;=AC$2)),
  $H201 * (1 + Assumptions!$C$7) ^ INT(((YEAR(AC$2)-YEAR($F201))*12 + MONTH(AC$2)-MONTH($F201)) / 12),
  0)</f>
        <v/>
      </c>
      <c r="AD201" s="299">
        <f>IF(AND($F201&lt;=AD$2, OR($G201="",$G201&gt;=AD$2)),
  $H201 * (1 + Assumptions!$C$7) ^ INT(((YEAR(AD$2)-YEAR($F201))*12 + MONTH(AD$2)-MONTH($F201)) / 12),
  0)</f>
        <v/>
      </c>
      <c r="AE201" s="299">
        <f>IF(AND($F201&lt;=AE$2, OR($G201="",$G201&gt;=AE$2)),
  $H201 * (1 + Assumptions!$C$7) ^ INT(((YEAR(AE$2)-YEAR($F201))*12 + MONTH(AE$2)-MONTH($F201)) / 12),
  0)</f>
        <v/>
      </c>
      <c r="AF201" s="299">
        <f>IF(AND($F201&lt;=AF$2, OR($G201="",$G201&gt;=AF$2)),
  $H201 * (1 + Assumptions!$C$7) ^ INT(((YEAR(AF$2)-YEAR($F201))*12 + MONTH(AF$2)-MONTH($F201)) / 12),
  0)</f>
        <v/>
      </c>
      <c r="AG201" s="299">
        <f>IF(AND($F201&lt;=AG$2, OR($G201="",$G201&gt;=AG$2)),
  $H201 * (1 + Assumptions!$C$7) ^ INT(((YEAR(AG$2)-YEAR($F201))*12 + MONTH(AG$2)-MONTH($F201)) / 12),
  0)</f>
        <v/>
      </c>
      <c r="AH201" s="299">
        <f>IF(AND($F201&lt;=AH$2, OR($G201="",$G201&gt;=AH$2)),
  $H201 * (1 + Assumptions!$C$7) ^ INT(((YEAR(AH$2)-YEAR($F201))*12 + MONTH(AH$2)-MONTH($F201)) / 12),
  0)</f>
        <v/>
      </c>
      <c r="AI201" s="299">
        <f>IF(AND($F201&lt;=AI$2, OR($G201="",$G201&gt;=AI$2)),
  $H201 * (1 + Assumptions!$C$7) ^ INT(((YEAR(AI$2)-YEAR($F201))*12 + MONTH(AI$2)-MONTH($F201)) / 12),
  0)</f>
        <v/>
      </c>
      <c r="AJ201" s="299">
        <f>IF(AND($F201&lt;=AJ$2, OR($G201="",$G201&gt;=AJ$2)),
  $H201 * (1 + Assumptions!$C$7) ^ INT(((YEAR(AJ$2)-YEAR($F201))*12 + MONTH(AJ$2)-MONTH($F201)) / 12),
  0)</f>
        <v/>
      </c>
      <c r="AK201" s="299">
        <f>IF(AND($F201&lt;=AK$2, OR($G201="",$G201&gt;=AK$2)),
  $H201 * (1 + Assumptions!$C$7) ^ INT(((YEAR(AK$2)-YEAR($F201))*12 + MONTH(AK$2)-MONTH($F201)) / 12),
  0)</f>
        <v/>
      </c>
      <c r="AL201" s="299">
        <f>IF(AND($F201&lt;=AL$2, OR($G201="",$G201&gt;=AL$2)),
  $H201 * (1 + Assumptions!$C$7) ^ INT(((YEAR(AL$2)-YEAR($F201))*12 + MONTH(AL$2)-MONTH($F201)) / 12),
  0)</f>
        <v/>
      </c>
      <c r="AM201" s="299">
        <f>IF(AND($F201&lt;=AM$2, OR($G201="",$G201&gt;=AM$2)),
  $H201 * (1 + Assumptions!$C$7) ^ INT(((YEAR(AM$2)-YEAR($F201))*12 + MONTH(AM$2)-MONTH($F201)) / 12),
  0)</f>
        <v/>
      </c>
      <c r="AN201" s="299">
        <f>IF(AND($F201&lt;=AN$2, OR($G201="",$G201&gt;=AN$2)),
  $H201 * (1 + Assumptions!$C$7) ^ INT(((YEAR(AN$2)-YEAR($F201))*12 + MONTH(AN$2)-MONTH($F201)) / 12),
  0)</f>
        <v/>
      </c>
      <c r="AO201" s="299">
        <f>IF(AND($F201&lt;=AO$2, OR($G201="",$G201&gt;=AO$2)),
  $H201 * (1 + Assumptions!$C$7) ^ INT(((YEAR(AO$2)-YEAR($F201))*12 + MONTH(AO$2)-MONTH($F201)) / 12),
  0)</f>
        <v/>
      </c>
      <c r="AP201" s="299">
        <f>IF(AND($F201&lt;=AP$2, OR($G201="",$G201&gt;=AP$2)),
  $H201 * (1 + Assumptions!$C$7) ^ INT(((YEAR(AP$2)-YEAR($F201))*12 + MONTH(AP$2)-MONTH($F201)) / 12),
  0)</f>
        <v/>
      </c>
      <c r="AQ201" s="299">
        <f>IF(AND($F201&lt;=AQ$2, OR($G201="",$G201&gt;=AQ$2)),
  $H201 * (1 + Assumptions!$C$7) ^ INT(((YEAR(AQ$2)-YEAR($F201))*12 + MONTH(AQ$2)-MONTH($F201)) / 12),
  0)</f>
        <v/>
      </c>
      <c r="AR201" s="299">
        <f>IF(AND($F201&lt;=AR$2, OR($G201="",$G201&gt;=AR$2)),
  $H201 * (1 + Assumptions!$C$7) ^ INT(((YEAR(AR$2)-YEAR($F201))*12 + MONTH(AR$2)-MONTH($F201)) / 12),
  0)</f>
        <v/>
      </c>
      <c r="AS201" s="299">
        <f>IF(AND($F201&lt;=AS$2, OR($G201="",$G201&gt;=AS$2)),
  $H201 * (1 + Assumptions!$C$7) ^ INT(((YEAR(AS$2)-YEAR($F201))*12 + MONTH(AS$2)-MONTH($F201)) / 12),
  0)</f>
        <v/>
      </c>
      <c r="AT201" s="299">
        <f>IF(AND($F201&lt;=AT$2, OR($G201="",$G201&gt;=AT$2)),
  $H201 * (1 + Assumptions!$C$7) ^ INT(((YEAR(AT$2)-YEAR($F201))*12 + MONTH(AT$2)-MONTH($F201)) / 12),
  0)</f>
        <v/>
      </c>
      <c r="AU201" s="299">
        <f>IF(AND($F201&lt;=AU$2, OR($G201="",$G201&gt;=AU$2)),
  $H201 * (1 + Assumptions!$C$7) ^ INT(((YEAR(AU$2)-YEAR($F201))*12 + MONTH(AU$2)-MONTH($F201)) / 12),
  0)</f>
        <v/>
      </c>
      <c r="AV201" s="299">
        <f>IF(AND($F201&lt;=AV$2, OR($G201="",$G201&gt;=AV$2)),
  $H201 * (1 + Assumptions!$C$7) ^ INT(((YEAR(AV$2)-YEAR($F201))*12 + MONTH(AV$2)-MONTH($F201)) / 12),
  0)</f>
        <v/>
      </c>
      <c r="AW201" s="299">
        <f>IF(AND($F201&lt;=AW$2, OR($G201="",$G201&gt;=AW$2)),
  $H201 * (1 + Assumptions!$C$7) ^ INT(((YEAR(AW$2)-YEAR($F201))*12 + MONTH(AW$2)-MONTH($F201)) / 12),
  0)</f>
        <v/>
      </c>
      <c r="AX201" s="299">
        <f>IF(AND($F201&lt;=AX$2, OR($G201="",$G201&gt;=AX$2)),
  $H201 * (1 + Assumptions!$C$7) ^ INT(((YEAR(AX$2)-YEAR($F201))*12 + MONTH(AX$2)-MONTH($F201)) / 12),
  0)</f>
        <v/>
      </c>
      <c r="AY201" s="299">
        <f>IF(AND($F201&lt;=AY$2, OR($G201="",$G201&gt;=AY$2)),
  $H201 * (1 + Assumptions!$C$7) ^ INT(((YEAR(AY$2)-YEAR($F201))*12 + MONTH(AY$2)-MONTH($F201)) / 12),
  0)</f>
        <v/>
      </c>
      <c r="AZ201" s="299">
        <f>IF(AND($F201&lt;=AZ$2, OR($G201="",$G201&gt;=AZ$2)),
  $H201 * (1 + Assumptions!$C$7) ^ INT(((YEAR(AZ$2)-YEAR($F201))*12 + MONTH(AZ$2)-MONTH($F201)) / 12),
  0)</f>
        <v/>
      </c>
      <c r="BA201" s="299">
        <f>IF(AND($F201&lt;=BA$2, OR($G201="",$G201&gt;=BA$2)),
  $H201 * (1 + Assumptions!$C$7) ^ INT(((YEAR(BA$2)-YEAR($F201))*12 + MONTH(BA$2)-MONTH($F201)) / 12),
  0)</f>
        <v/>
      </c>
      <c r="BB201" s="299">
        <f>IF(AND($F201&lt;=BB$2, OR($G201="",$G201&gt;=BB$2)),
  $H201 * (1 + Assumptions!$C$7) ^ INT(((YEAR(BB$2)-YEAR($F201))*12 + MONTH(BB$2)-MONTH($F201)) / 12),
  0)</f>
        <v/>
      </c>
      <c r="BC201" s="299">
        <f>IF(AND($F201&lt;=BC$2, OR($G201="",$G201&gt;=BC$2)),
  $H201 * (1 + Assumptions!$C$7) ^ INT(((YEAR(BC$2)-YEAR($F201))*12 + MONTH(BC$2)-MONTH($F201)) / 12),
  0)</f>
        <v/>
      </c>
      <c r="BD201" s="299">
        <f>IF(AND($F201&lt;=BD$2, OR($G201="",$G201&gt;=BD$2)),
  $H201 * (1 + Assumptions!$C$7) ^ INT(((YEAR(BD$2)-YEAR($F201))*12 + MONTH(BD$2)-MONTH($F201)) / 12),
  0)</f>
        <v/>
      </c>
      <c r="BE201" s="299">
        <f>IF(AND($F201&lt;=BE$2, OR($G201="",$G201&gt;=BE$2)),
  $H201 * (1 + Assumptions!$C$7) ^ INT(((YEAR(BE$2)-YEAR($F201))*12 + MONTH(BE$2)-MONTH($F201)) / 12),
  0)</f>
        <v/>
      </c>
      <c r="BF201" s="299">
        <f>IF(AND($F201&lt;=BF$2, OR($G201="",$G201&gt;=BF$2)),
  $H201 * (1 + Assumptions!$C$7) ^ INT(((YEAR(BF$2)-YEAR($F201))*12 + MONTH(BF$2)-MONTH($F201)) / 12),
  0)</f>
        <v/>
      </c>
      <c r="BG201" s="299">
        <f>IF(AND($F201&lt;=BG$2, OR($G201="",$G201&gt;=BG$2)),
  $H201 * (1 + Assumptions!$C$7) ^ INT(((YEAR(BG$2)-YEAR($F201))*12 + MONTH(BG$2)-MONTH($F201)) / 12),
  0)</f>
        <v/>
      </c>
      <c r="BH201" s="299">
        <f>IF(AND($F201&lt;=BH$2, OR($G201="",$G201&gt;=BH$2)),
  $H201 * (1 + Assumptions!$C$7) ^ INT(((YEAR(BH$2)-YEAR($F201))*12 + MONTH(BH$2)-MONTH($F201)) / 12),
  0)</f>
        <v/>
      </c>
      <c r="BI201" s="299">
        <f>IF(AND($F201&lt;=BI$2, OR($G201="",$G201&gt;=BI$2)),
  $H201 * (1 + Assumptions!$C$7) ^ INT(((YEAR(BI$2)-YEAR($F201))*12 + MONTH(BI$2)-MONTH($F201)) / 12),
  0)</f>
        <v/>
      </c>
      <c r="BJ201" s="299">
        <f>IF(AND($F201&lt;=BJ$2, OR($G201="",$G201&gt;=BJ$2)),
  $H201 * (1 + Assumptions!$C$7) ^ INT(((YEAR(BJ$2)-YEAR($F201))*12 + MONTH(BJ$2)-MONTH($F201)) / 12),
  0)</f>
        <v/>
      </c>
      <c r="BK201" s="299">
        <f>IF(AND($F201&lt;=BK$2, OR($G201="",$G201&gt;=BK$2)),
  $H201 * (1 + Assumptions!$C$7) ^ INT(((YEAR(BK$2)-YEAR($F201))*12 + MONTH(BK$2)-MONTH($F201)) / 12),
  0)</f>
        <v/>
      </c>
      <c r="BL201" s="299">
        <f>IF(AND($F201&lt;=BL$2, OR($G201="",$G201&gt;=BL$2)),
  $H201 * (1 + Assumptions!$C$7) ^ INT(((YEAR(BL$2)-YEAR($F201))*12 + MONTH(BL$2)-MONTH($F201)) / 12),
  0)</f>
        <v/>
      </c>
      <c r="BM201" s="299">
        <f>IF(AND($F201&lt;=BM$2, OR($G201="",$G201&gt;=BM$2)),
  $H201 * (1 + Assumptions!$C$7) ^ INT(((YEAR(BM$2)-YEAR($F201))*12 + MONTH(BM$2)-MONTH($F201)) / 12),
  0)</f>
        <v/>
      </c>
      <c r="BN201" s="299">
        <f>IF(AND($F201&lt;=BN$2, OR($G201="",$G201&gt;=BN$2)),
  $H201 * (1 + Assumptions!$C$7) ^ INT(((YEAR(BN$2)-YEAR($F201))*12 + MONTH(BN$2)-MONTH($F201)) / 12),
  0)</f>
        <v/>
      </c>
      <c r="BO201" s="299">
        <f>IF(AND($F201&lt;=BO$2, OR($G201="",$G201&gt;=BO$2)),
  $H201 * (1 + Assumptions!$C$7) ^ INT(((YEAR(BO$2)-YEAR($F201))*12 + MONTH(BO$2)-MONTH($F201)) / 12),
  0)</f>
        <v/>
      </c>
      <c r="BP201" s="299">
        <f>IF(AND($F201&lt;=BP$2, OR($G201="",$G201&gt;=BP$2)),
  $H201 * (1 + Assumptions!$C$7) ^ INT(((YEAR(BP$2)-YEAR($F201))*12 + MONTH(BP$2)-MONTH($F201)) / 12),
  0)</f>
        <v/>
      </c>
      <c r="BQ201" s="31" t="n"/>
      <c r="BR201" s="31" t="n"/>
      <c r="BS201" s="31" t="n"/>
      <c r="BT201" s="31" t="n"/>
    </row>
    <row r="202" ht="15.75" customHeight="1" s="349">
      <c r="A202" s="321" t="n">
        <v>197</v>
      </c>
      <c r="B202" s="285" t="inlineStr">
        <is>
          <t>New hire</t>
        </is>
      </c>
      <c r="C202" s="317" t="inlineStr">
        <is>
          <t>G&amp;A</t>
        </is>
      </c>
      <c r="D202" s="317" t="inlineStr">
        <is>
          <t>Finance / HR / IT / Legal</t>
        </is>
      </c>
      <c r="E202" s="297" t="inlineStr">
        <is>
          <t>Planned</t>
        </is>
      </c>
      <c r="F202" s="318">
        <f>IF(Assumptions!$D$82=2,DATE(2029,7,1),DATE(2035,1,1))</f>
        <v/>
      </c>
      <c r="G202" s="318" t="n"/>
      <c r="H202" s="288" t="n">
        <v>7000</v>
      </c>
      <c r="I202" s="299">
        <f>IF(AND($F202&lt;=I$2, OR($G202="",$G202&gt;=I$2)),
  $H202 * (1 + Assumptions!$C$7) ^ INT(((YEAR(I$2)-YEAR($F202))*12 + MONTH(I$2)-MONTH($F202)) / 12),
  0)</f>
        <v/>
      </c>
      <c r="J202" s="299">
        <f>IF(AND($F202&lt;=J$2, OR($G202="",$G202&gt;=J$2)),
  $H202 * (1 + Assumptions!$C$7) ^ INT(((YEAR(J$2)-YEAR($F202))*12 + MONTH(J$2)-MONTH($F202)) / 12),
  0)</f>
        <v/>
      </c>
      <c r="K202" s="299">
        <f>IF(AND($F202&lt;=K$2, OR($G202="",$G202&gt;=K$2)),
  $H202 * (1 + Assumptions!$C$7) ^ INT(((YEAR(K$2)-YEAR($F202))*12 + MONTH(K$2)-MONTH($F202)) / 12),
  0)</f>
        <v/>
      </c>
      <c r="L202" s="299">
        <f>IF(AND($F202&lt;=L$2, OR($G202="",$G202&gt;=L$2)),
  $H202 * (1 + Assumptions!$C$7) ^ INT(((YEAR(L$2)-YEAR($F202))*12 + MONTH(L$2)-MONTH($F202)) / 12),
  0)</f>
        <v/>
      </c>
      <c r="M202" s="299">
        <f>IF(AND($F202&lt;=M$2, OR($G202="",$G202&gt;=M$2)),
  $H202 * (1 + Assumptions!$C$7) ^ INT(((YEAR(M$2)-YEAR($F202))*12 + MONTH(M$2)-MONTH($F202)) / 12),
  0)</f>
        <v/>
      </c>
      <c r="N202" s="299">
        <f>IF(AND($F202&lt;=N$2, OR($G202="",$G202&gt;=N$2)),
  $H202 * (1 + Assumptions!$C$7) ^ INT(((YEAR(N$2)-YEAR($F202))*12 + MONTH(N$2)-MONTH($F202)) / 12),
  0)</f>
        <v/>
      </c>
      <c r="O202" s="299">
        <f>IF(AND($F202&lt;=O$2, OR($G202="",$G202&gt;=O$2)),
  $H202 * (1 + Assumptions!$C$7) ^ INT(((YEAR(O$2)-YEAR($F202))*12 + MONTH(O$2)-MONTH($F202)) / 12),
  0)</f>
        <v/>
      </c>
      <c r="P202" s="299">
        <f>IF(AND($F202&lt;=P$2, OR($G202="",$G202&gt;=P$2)),
  $H202 * (1 + Assumptions!$C$7) ^ INT(((YEAR(P$2)-YEAR($F202))*12 + MONTH(P$2)-MONTH($F202)) / 12),
  0)</f>
        <v/>
      </c>
      <c r="Q202" s="299">
        <f>IF(AND($F202&lt;=Q$2, OR($G202="",$G202&gt;=Q$2)),
  $H202 * (1 + Assumptions!$C$7) ^ INT(((YEAR(Q$2)-YEAR($F202))*12 + MONTH(Q$2)-MONTH($F202)) / 12),
  0)</f>
        <v/>
      </c>
      <c r="R202" s="299">
        <f>IF(AND($F202&lt;=R$2, OR($G202="",$G202&gt;=R$2)),
  $H202 * (1 + Assumptions!$C$7) ^ INT(((YEAR(R$2)-YEAR($F202))*12 + MONTH(R$2)-MONTH($F202)) / 12),
  0)</f>
        <v/>
      </c>
      <c r="S202" s="299">
        <f>IF(AND($F202&lt;=S$2, OR($G202="",$G202&gt;=S$2)),
  $H202 * (1 + Assumptions!$C$7) ^ INT(((YEAR(S$2)-YEAR($F202))*12 + MONTH(S$2)-MONTH($F202)) / 12),
  0)</f>
        <v/>
      </c>
      <c r="T202" s="299">
        <f>IF(AND($F202&lt;=T$2, OR($G202="",$G202&gt;=T$2)),
  $H202 * (1 + Assumptions!$C$7) ^ INT(((YEAR(T$2)-YEAR($F202))*12 + MONTH(T$2)-MONTH($F202)) / 12),
  0)</f>
        <v/>
      </c>
      <c r="U202" s="299">
        <f>IF(AND($F202&lt;=U$2, OR($G202="",$G202&gt;=U$2)),
  $H202 * (1 + Assumptions!$C$7) ^ INT(((YEAR(U$2)-YEAR($F202))*12 + MONTH(U$2)-MONTH($F202)) / 12),
  0)</f>
        <v/>
      </c>
      <c r="V202" s="299">
        <f>IF(AND($F202&lt;=V$2, OR($G202="",$G202&gt;=V$2)),
  $H202 * (1 + Assumptions!$C$7) ^ INT(((YEAR(V$2)-YEAR($F202))*12 + MONTH(V$2)-MONTH($F202)) / 12),
  0)</f>
        <v/>
      </c>
      <c r="W202" s="299">
        <f>IF(AND($F202&lt;=W$2, OR($G202="",$G202&gt;=W$2)),
  $H202 * (1 + Assumptions!$C$7) ^ INT(((YEAR(W$2)-YEAR($F202))*12 + MONTH(W$2)-MONTH($F202)) / 12),
  0)</f>
        <v/>
      </c>
      <c r="X202" s="299">
        <f>IF(AND($F202&lt;=X$2, OR($G202="",$G202&gt;=X$2)),
  $H202 * (1 + Assumptions!$C$7) ^ INT(((YEAR(X$2)-YEAR($F202))*12 + MONTH(X$2)-MONTH($F202)) / 12),
  0)</f>
        <v/>
      </c>
      <c r="Y202" s="299">
        <f>IF(AND($F202&lt;=Y$2, OR($G202="",$G202&gt;=Y$2)),
  $H202 * (1 + Assumptions!$C$7) ^ INT(((YEAR(Y$2)-YEAR($F202))*12 + MONTH(Y$2)-MONTH($F202)) / 12),
  0)</f>
        <v/>
      </c>
      <c r="Z202" s="299">
        <f>IF(AND($F202&lt;=Z$2, OR($G202="",$G202&gt;=Z$2)),
  $H202 * (1 + Assumptions!$C$7) ^ INT(((YEAR(Z$2)-YEAR($F202))*12 + MONTH(Z$2)-MONTH($F202)) / 12),
  0)</f>
        <v/>
      </c>
      <c r="AA202" s="299">
        <f>IF(AND($F202&lt;=AA$2, OR($G202="",$G202&gt;=AA$2)),
  $H202 * (1 + Assumptions!$C$7) ^ INT(((YEAR(AA$2)-YEAR($F202))*12 + MONTH(AA$2)-MONTH($F202)) / 12),
  0)</f>
        <v/>
      </c>
      <c r="AB202" s="299">
        <f>IF(AND($F202&lt;=AB$2, OR($G202="",$G202&gt;=AB$2)),
  $H202 * (1 + Assumptions!$C$7) ^ INT(((YEAR(AB$2)-YEAR($F202))*12 + MONTH(AB$2)-MONTH($F202)) / 12),
  0)</f>
        <v/>
      </c>
      <c r="AC202" s="299">
        <f>IF(AND($F202&lt;=AC$2, OR($G202="",$G202&gt;=AC$2)),
  $H202 * (1 + Assumptions!$C$7) ^ INT(((YEAR(AC$2)-YEAR($F202))*12 + MONTH(AC$2)-MONTH($F202)) / 12),
  0)</f>
        <v/>
      </c>
      <c r="AD202" s="299">
        <f>IF(AND($F202&lt;=AD$2, OR($G202="",$G202&gt;=AD$2)),
  $H202 * (1 + Assumptions!$C$7) ^ INT(((YEAR(AD$2)-YEAR($F202))*12 + MONTH(AD$2)-MONTH($F202)) / 12),
  0)</f>
        <v/>
      </c>
      <c r="AE202" s="299">
        <f>IF(AND($F202&lt;=AE$2, OR($G202="",$G202&gt;=AE$2)),
  $H202 * (1 + Assumptions!$C$7) ^ INT(((YEAR(AE$2)-YEAR($F202))*12 + MONTH(AE$2)-MONTH($F202)) / 12),
  0)</f>
        <v/>
      </c>
      <c r="AF202" s="299">
        <f>IF(AND($F202&lt;=AF$2, OR($G202="",$G202&gt;=AF$2)),
  $H202 * (1 + Assumptions!$C$7) ^ INT(((YEAR(AF$2)-YEAR($F202))*12 + MONTH(AF$2)-MONTH($F202)) / 12),
  0)</f>
        <v/>
      </c>
      <c r="AG202" s="299">
        <f>IF(AND($F202&lt;=AG$2, OR($G202="",$G202&gt;=AG$2)),
  $H202 * (1 + Assumptions!$C$7) ^ INT(((YEAR(AG$2)-YEAR($F202))*12 + MONTH(AG$2)-MONTH($F202)) / 12),
  0)</f>
        <v/>
      </c>
      <c r="AH202" s="299">
        <f>IF(AND($F202&lt;=AH$2, OR($G202="",$G202&gt;=AH$2)),
  $H202 * (1 + Assumptions!$C$7) ^ INT(((YEAR(AH$2)-YEAR($F202))*12 + MONTH(AH$2)-MONTH($F202)) / 12),
  0)</f>
        <v/>
      </c>
      <c r="AI202" s="299">
        <f>IF(AND($F202&lt;=AI$2, OR($G202="",$G202&gt;=AI$2)),
  $H202 * (1 + Assumptions!$C$7) ^ INT(((YEAR(AI$2)-YEAR($F202))*12 + MONTH(AI$2)-MONTH($F202)) / 12),
  0)</f>
        <v/>
      </c>
      <c r="AJ202" s="299">
        <f>IF(AND($F202&lt;=AJ$2, OR($G202="",$G202&gt;=AJ$2)),
  $H202 * (1 + Assumptions!$C$7) ^ INT(((YEAR(AJ$2)-YEAR($F202))*12 + MONTH(AJ$2)-MONTH($F202)) / 12),
  0)</f>
        <v/>
      </c>
      <c r="AK202" s="299">
        <f>IF(AND($F202&lt;=AK$2, OR($G202="",$G202&gt;=AK$2)),
  $H202 * (1 + Assumptions!$C$7) ^ INT(((YEAR(AK$2)-YEAR($F202))*12 + MONTH(AK$2)-MONTH($F202)) / 12),
  0)</f>
        <v/>
      </c>
      <c r="AL202" s="299">
        <f>IF(AND($F202&lt;=AL$2, OR($G202="",$G202&gt;=AL$2)),
  $H202 * (1 + Assumptions!$C$7) ^ INT(((YEAR(AL$2)-YEAR($F202))*12 + MONTH(AL$2)-MONTH($F202)) / 12),
  0)</f>
        <v/>
      </c>
      <c r="AM202" s="299">
        <f>IF(AND($F202&lt;=AM$2, OR($G202="",$G202&gt;=AM$2)),
  $H202 * (1 + Assumptions!$C$7) ^ INT(((YEAR(AM$2)-YEAR($F202))*12 + MONTH(AM$2)-MONTH($F202)) / 12),
  0)</f>
        <v/>
      </c>
      <c r="AN202" s="299">
        <f>IF(AND($F202&lt;=AN$2, OR($G202="",$G202&gt;=AN$2)),
  $H202 * (1 + Assumptions!$C$7) ^ INT(((YEAR(AN$2)-YEAR($F202))*12 + MONTH(AN$2)-MONTH($F202)) / 12),
  0)</f>
        <v/>
      </c>
      <c r="AO202" s="299">
        <f>IF(AND($F202&lt;=AO$2, OR($G202="",$G202&gt;=AO$2)),
  $H202 * (1 + Assumptions!$C$7) ^ INT(((YEAR(AO$2)-YEAR($F202))*12 + MONTH(AO$2)-MONTH($F202)) / 12),
  0)</f>
        <v/>
      </c>
      <c r="AP202" s="299">
        <f>IF(AND($F202&lt;=AP$2, OR($G202="",$G202&gt;=AP$2)),
  $H202 * (1 + Assumptions!$C$7) ^ INT(((YEAR(AP$2)-YEAR($F202))*12 + MONTH(AP$2)-MONTH($F202)) / 12),
  0)</f>
        <v/>
      </c>
      <c r="AQ202" s="299">
        <f>IF(AND($F202&lt;=AQ$2, OR($G202="",$G202&gt;=AQ$2)),
  $H202 * (1 + Assumptions!$C$7) ^ INT(((YEAR(AQ$2)-YEAR($F202))*12 + MONTH(AQ$2)-MONTH($F202)) / 12),
  0)</f>
        <v/>
      </c>
      <c r="AR202" s="299">
        <f>IF(AND($F202&lt;=AR$2, OR($G202="",$G202&gt;=AR$2)),
  $H202 * (1 + Assumptions!$C$7) ^ INT(((YEAR(AR$2)-YEAR($F202))*12 + MONTH(AR$2)-MONTH($F202)) / 12),
  0)</f>
        <v/>
      </c>
      <c r="AS202" s="299">
        <f>IF(AND($F202&lt;=AS$2, OR($G202="",$G202&gt;=AS$2)),
  $H202 * (1 + Assumptions!$C$7) ^ INT(((YEAR(AS$2)-YEAR($F202))*12 + MONTH(AS$2)-MONTH($F202)) / 12),
  0)</f>
        <v/>
      </c>
      <c r="AT202" s="299">
        <f>IF(AND($F202&lt;=AT$2, OR($G202="",$G202&gt;=AT$2)),
  $H202 * (1 + Assumptions!$C$7) ^ INT(((YEAR(AT$2)-YEAR($F202))*12 + MONTH(AT$2)-MONTH($F202)) / 12),
  0)</f>
        <v/>
      </c>
      <c r="AU202" s="299">
        <f>IF(AND($F202&lt;=AU$2, OR($G202="",$G202&gt;=AU$2)),
  $H202 * (1 + Assumptions!$C$7) ^ INT(((YEAR(AU$2)-YEAR($F202))*12 + MONTH(AU$2)-MONTH($F202)) / 12),
  0)</f>
        <v/>
      </c>
      <c r="AV202" s="299">
        <f>IF(AND($F202&lt;=AV$2, OR($G202="",$G202&gt;=AV$2)),
  $H202 * (1 + Assumptions!$C$7) ^ INT(((YEAR(AV$2)-YEAR($F202))*12 + MONTH(AV$2)-MONTH($F202)) / 12),
  0)</f>
        <v/>
      </c>
      <c r="AW202" s="299">
        <f>IF(AND($F202&lt;=AW$2, OR($G202="",$G202&gt;=AW$2)),
  $H202 * (1 + Assumptions!$C$7) ^ INT(((YEAR(AW$2)-YEAR($F202))*12 + MONTH(AW$2)-MONTH($F202)) / 12),
  0)</f>
        <v/>
      </c>
      <c r="AX202" s="299">
        <f>IF(AND($F202&lt;=AX$2, OR($G202="",$G202&gt;=AX$2)),
  $H202 * (1 + Assumptions!$C$7) ^ INT(((YEAR(AX$2)-YEAR($F202))*12 + MONTH(AX$2)-MONTH($F202)) / 12),
  0)</f>
        <v/>
      </c>
      <c r="AY202" s="299">
        <f>IF(AND($F202&lt;=AY$2, OR($G202="",$G202&gt;=AY$2)),
  $H202 * (1 + Assumptions!$C$7) ^ INT(((YEAR(AY$2)-YEAR($F202))*12 + MONTH(AY$2)-MONTH($F202)) / 12),
  0)</f>
        <v/>
      </c>
      <c r="AZ202" s="299">
        <f>IF(AND($F202&lt;=AZ$2, OR($G202="",$G202&gt;=AZ$2)),
  $H202 * (1 + Assumptions!$C$7) ^ INT(((YEAR(AZ$2)-YEAR($F202))*12 + MONTH(AZ$2)-MONTH($F202)) / 12),
  0)</f>
        <v/>
      </c>
      <c r="BA202" s="299">
        <f>IF(AND($F202&lt;=BA$2, OR($G202="",$G202&gt;=BA$2)),
  $H202 * (1 + Assumptions!$C$7) ^ INT(((YEAR(BA$2)-YEAR($F202))*12 + MONTH(BA$2)-MONTH($F202)) / 12),
  0)</f>
        <v/>
      </c>
      <c r="BB202" s="299">
        <f>IF(AND($F202&lt;=BB$2, OR($G202="",$G202&gt;=BB$2)),
  $H202 * (1 + Assumptions!$C$7) ^ INT(((YEAR(BB$2)-YEAR($F202))*12 + MONTH(BB$2)-MONTH($F202)) / 12),
  0)</f>
        <v/>
      </c>
      <c r="BC202" s="299">
        <f>IF(AND($F202&lt;=BC$2, OR($G202="",$G202&gt;=BC$2)),
  $H202 * (1 + Assumptions!$C$7) ^ INT(((YEAR(BC$2)-YEAR($F202))*12 + MONTH(BC$2)-MONTH($F202)) / 12),
  0)</f>
        <v/>
      </c>
      <c r="BD202" s="299">
        <f>IF(AND($F202&lt;=BD$2, OR($G202="",$G202&gt;=BD$2)),
  $H202 * (1 + Assumptions!$C$7) ^ INT(((YEAR(BD$2)-YEAR($F202))*12 + MONTH(BD$2)-MONTH($F202)) / 12),
  0)</f>
        <v/>
      </c>
      <c r="BE202" s="299">
        <f>IF(AND($F202&lt;=BE$2, OR($G202="",$G202&gt;=BE$2)),
  $H202 * (1 + Assumptions!$C$7) ^ INT(((YEAR(BE$2)-YEAR($F202))*12 + MONTH(BE$2)-MONTH($F202)) / 12),
  0)</f>
        <v/>
      </c>
      <c r="BF202" s="299">
        <f>IF(AND($F202&lt;=BF$2, OR($G202="",$G202&gt;=BF$2)),
  $H202 * (1 + Assumptions!$C$7) ^ INT(((YEAR(BF$2)-YEAR($F202))*12 + MONTH(BF$2)-MONTH($F202)) / 12),
  0)</f>
        <v/>
      </c>
      <c r="BG202" s="299">
        <f>IF(AND($F202&lt;=BG$2, OR($G202="",$G202&gt;=BG$2)),
  $H202 * (1 + Assumptions!$C$7) ^ INT(((YEAR(BG$2)-YEAR($F202))*12 + MONTH(BG$2)-MONTH($F202)) / 12),
  0)</f>
        <v/>
      </c>
      <c r="BH202" s="299">
        <f>IF(AND($F202&lt;=BH$2, OR($G202="",$G202&gt;=BH$2)),
  $H202 * (1 + Assumptions!$C$7) ^ INT(((YEAR(BH$2)-YEAR($F202))*12 + MONTH(BH$2)-MONTH($F202)) / 12),
  0)</f>
        <v/>
      </c>
      <c r="BI202" s="299">
        <f>IF(AND($F202&lt;=BI$2, OR($G202="",$G202&gt;=BI$2)),
  $H202 * (1 + Assumptions!$C$7) ^ INT(((YEAR(BI$2)-YEAR($F202))*12 + MONTH(BI$2)-MONTH($F202)) / 12),
  0)</f>
        <v/>
      </c>
      <c r="BJ202" s="299">
        <f>IF(AND($F202&lt;=BJ$2, OR($G202="",$G202&gt;=BJ$2)),
  $H202 * (1 + Assumptions!$C$7) ^ INT(((YEAR(BJ$2)-YEAR($F202))*12 + MONTH(BJ$2)-MONTH($F202)) / 12),
  0)</f>
        <v/>
      </c>
      <c r="BK202" s="299">
        <f>IF(AND($F202&lt;=BK$2, OR($G202="",$G202&gt;=BK$2)),
  $H202 * (1 + Assumptions!$C$7) ^ INT(((YEAR(BK$2)-YEAR($F202))*12 + MONTH(BK$2)-MONTH($F202)) / 12),
  0)</f>
        <v/>
      </c>
      <c r="BL202" s="299">
        <f>IF(AND($F202&lt;=BL$2, OR($G202="",$G202&gt;=BL$2)),
  $H202 * (1 + Assumptions!$C$7) ^ INT(((YEAR(BL$2)-YEAR($F202))*12 + MONTH(BL$2)-MONTH($F202)) / 12),
  0)</f>
        <v/>
      </c>
      <c r="BM202" s="299">
        <f>IF(AND($F202&lt;=BM$2, OR($G202="",$G202&gt;=BM$2)),
  $H202 * (1 + Assumptions!$C$7) ^ INT(((YEAR(BM$2)-YEAR($F202))*12 + MONTH(BM$2)-MONTH($F202)) / 12),
  0)</f>
        <v/>
      </c>
      <c r="BN202" s="299">
        <f>IF(AND($F202&lt;=BN$2, OR($G202="",$G202&gt;=BN$2)),
  $H202 * (1 + Assumptions!$C$7) ^ INT(((YEAR(BN$2)-YEAR($F202))*12 + MONTH(BN$2)-MONTH($F202)) / 12),
  0)</f>
        <v/>
      </c>
      <c r="BO202" s="299">
        <f>IF(AND($F202&lt;=BO$2, OR($G202="",$G202&gt;=BO$2)),
  $H202 * (1 + Assumptions!$C$7) ^ INT(((YEAR(BO$2)-YEAR($F202))*12 + MONTH(BO$2)-MONTH($F202)) / 12),
  0)</f>
        <v/>
      </c>
      <c r="BP202" s="299">
        <f>IF(AND($F202&lt;=BP$2, OR($G202="",$G202&gt;=BP$2)),
  $H202 * (1 + Assumptions!$C$7) ^ INT(((YEAR(BP$2)-YEAR($F202))*12 + MONTH(BP$2)-MONTH($F202)) / 12),
  0)</f>
        <v/>
      </c>
      <c r="BQ202" s="31" t="n"/>
      <c r="BR202" s="31" t="n"/>
      <c r="BS202" s="31" t="n"/>
      <c r="BT202" s="31" t="n"/>
    </row>
    <row r="203" ht="15.75" customHeight="1" s="349">
      <c r="A203" s="321" t="n">
        <v>198</v>
      </c>
      <c r="B203" s="285" t="inlineStr">
        <is>
          <t>New hire</t>
        </is>
      </c>
      <c r="C203" s="317" t="inlineStr">
        <is>
          <t>G&amp;A</t>
        </is>
      </c>
      <c r="D203" s="317" t="inlineStr">
        <is>
          <t>Finance / HR / IT / Legal</t>
        </is>
      </c>
      <c r="E203" s="297" t="inlineStr">
        <is>
          <t>Planned</t>
        </is>
      </c>
      <c r="F203" s="318">
        <f>IF(Assumptions!$D$82=2,DATE(2029,7,1),DATE(2035,1,1))</f>
        <v/>
      </c>
      <c r="G203" s="318" t="n"/>
      <c r="H203" s="288" t="n">
        <v>7000</v>
      </c>
      <c r="I203" s="299">
        <f>IF(AND($F203&lt;=I$2, OR($G203="",$G203&gt;=I$2)),
  $H203 * (1 + Assumptions!$C$7) ^ INT(((YEAR(I$2)-YEAR($F203))*12 + MONTH(I$2)-MONTH($F203)) / 12),
  0)</f>
        <v/>
      </c>
      <c r="J203" s="299">
        <f>IF(AND($F203&lt;=J$2, OR($G203="",$G203&gt;=J$2)),
  $H203 * (1 + Assumptions!$C$7) ^ INT(((YEAR(J$2)-YEAR($F203))*12 + MONTH(J$2)-MONTH($F203)) / 12),
  0)</f>
        <v/>
      </c>
      <c r="K203" s="299">
        <f>IF(AND($F203&lt;=K$2, OR($G203="",$G203&gt;=K$2)),
  $H203 * (1 + Assumptions!$C$7) ^ INT(((YEAR(K$2)-YEAR($F203))*12 + MONTH(K$2)-MONTH($F203)) / 12),
  0)</f>
        <v/>
      </c>
      <c r="L203" s="299">
        <f>IF(AND($F203&lt;=L$2, OR($G203="",$G203&gt;=L$2)),
  $H203 * (1 + Assumptions!$C$7) ^ INT(((YEAR(L$2)-YEAR($F203))*12 + MONTH(L$2)-MONTH($F203)) / 12),
  0)</f>
        <v/>
      </c>
      <c r="M203" s="299">
        <f>IF(AND($F203&lt;=M$2, OR($G203="",$G203&gt;=M$2)),
  $H203 * (1 + Assumptions!$C$7) ^ INT(((YEAR(M$2)-YEAR($F203))*12 + MONTH(M$2)-MONTH($F203)) / 12),
  0)</f>
        <v/>
      </c>
      <c r="N203" s="299">
        <f>IF(AND($F203&lt;=N$2, OR($G203="",$G203&gt;=N$2)),
  $H203 * (1 + Assumptions!$C$7) ^ INT(((YEAR(N$2)-YEAR($F203))*12 + MONTH(N$2)-MONTH($F203)) / 12),
  0)</f>
        <v/>
      </c>
      <c r="O203" s="299">
        <f>IF(AND($F203&lt;=O$2, OR($G203="",$G203&gt;=O$2)),
  $H203 * (1 + Assumptions!$C$7) ^ INT(((YEAR(O$2)-YEAR($F203))*12 + MONTH(O$2)-MONTH($F203)) / 12),
  0)</f>
        <v/>
      </c>
      <c r="P203" s="299">
        <f>IF(AND($F203&lt;=P$2, OR($G203="",$G203&gt;=P$2)),
  $H203 * (1 + Assumptions!$C$7) ^ INT(((YEAR(P$2)-YEAR($F203))*12 + MONTH(P$2)-MONTH($F203)) / 12),
  0)</f>
        <v/>
      </c>
      <c r="Q203" s="299">
        <f>IF(AND($F203&lt;=Q$2, OR($G203="",$G203&gt;=Q$2)),
  $H203 * (1 + Assumptions!$C$7) ^ INT(((YEAR(Q$2)-YEAR($F203))*12 + MONTH(Q$2)-MONTH($F203)) / 12),
  0)</f>
        <v/>
      </c>
      <c r="R203" s="299">
        <f>IF(AND($F203&lt;=R$2, OR($G203="",$G203&gt;=R$2)),
  $H203 * (1 + Assumptions!$C$7) ^ INT(((YEAR(R$2)-YEAR($F203))*12 + MONTH(R$2)-MONTH($F203)) / 12),
  0)</f>
        <v/>
      </c>
      <c r="S203" s="299">
        <f>IF(AND($F203&lt;=S$2, OR($G203="",$G203&gt;=S$2)),
  $H203 * (1 + Assumptions!$C$7) ^ INT(((YEAR(S$2)-YEAR($F203))*12 + MONTH(S$2)-MONTH($F203)) / 12),
  0)</f>
        <v/>
      </c>
      <c r="T203" s="299">
        <f>IF(AND($F203&lt;=T$2, OR($G203="",$G203&gt;=T$2)),
  $H203 * (1 + Assumptions!$C$7) ^ INT(((YEAR(T$2)-YEAR($F203))*12 + MONTH(T$2)-MONTH($F203)) / 12),
  0)</f>
        <v/>
      </c>
      <c r="U203" s="299">
        <f>IF(AND($F203&lt;=U$2, OR($G203="",$G203&gt;=U$2)),
  $H203 * (1 + Assumptions!$C$7) ^ INT(((YEAR(U$2)-YEAR($F203))*12 + MONTH(U$2)-MONTH($F203)) / 12),
  0)</f>
        <v/>
      </c>
      <c r="V203" s="299">
        <f>IF(AND($F203&lt;=V$2, OR($G203="",$G203&gt;=V$2)),
  $H203 * (1 + Assumptions!$C$7) ^ INT(((YEAR(V$2)-YEAR($F203))*12 + MONTH(V$2)-MONTH($F203)) / 12),
  0)</f>
        <v/>
      </c>
      <c r="W203" s="299">
        <f>IF(AND($F203&lt;=W$2, OR($G203="",$G203&gt;=W$2)),
  $H203 * (1 + Assumptions!$C$7) ^ INT(((YEAR(W$2)-YEAR($F203))*12 + MONTH(W$2)-MONTH($F203)) / 12),
  0)</f>
        <v/>
      </c>
      <c r="X203" s="299">
        <f>IF(AND($F203&lt;=X$2, OR($G203="",$G203&gt;=X$2)),
  $H203 * (1 + Assumptions!$C$7) ^ INT(((YEAR(X$2)-YEAR($F203))*12 + MONTH(X$2)-MONTH($F203)) / 12),
  0)</f>
        <v/>
      </c>
      <c r="Y203" s="299">
        <f>IF(AND($F203&lt;=Y$2, OR($G203="",$G203&gt;=Y$2)),
  $H203 * (1 + Assumptions!$C$7) ^ INT(((YEAR(Y$2)-YEAR($F203))*12 + MONTH(Y$2)-MONTH($F203)) / 12),
  0)</f>
        <v/>
      </c>
      <c r="Z203" s="299">
        <f>IF(AND($F203&lt;=Z$2, OR($G203="",$G203&gt;=Z$2)),
  $H203 * (1 + Assumptions!$C$7) ^ INT(((YEAR(Z$2)-YEAR($F203))*12 + MONTH(Z$2)-MONTH($F203)) / 12),
  0)</f>
        <v/>
      </c>
      <c r="AA203" s="299">
        <f>IF(AND($F203&lt;=AA$2, OR($G203="",$G203&gt;=AA$2)),
  $H203 * (1 + Assumptions!$C$7) ^ INT(((YEAR(AA$2)-YEAR($F203))*12 + MONTH(AA$2)-MONTH($F203)) / 12),
  0)</f>
        <v/>
      </c>
      <c r="AB203" s="299">
        <f>IF(AND($F203&lt;=AB$2, OR($G203="",$G203&gt;=AB$2)),
  $H203 * (1 + Assumptions!$C$7) ^ INT(((YEAR(AB$2)-YEAR($F203))*12 + MONTH(AB$2)-MONTH($F203)) / 12),
  0)</f>
        <v/>
      </c>
      <c r="AC203" s="299">
        <f>IF(AND($F203&lt;=AC$2, OR($G203="",$G203&gt;=AC$2)),
  $H203 * (1 + Assumptions!$C$7) ^ INT(((YEAR(AC$2)-YEAR($F203))*12 + MONTH(AC$2)-MONTH($F203)) / 12),
  0)</f>
        <v/>
      </c>
      <c r="AD203" s="299">
        <f>IF(AND($F203&lt;=AD$2, OR($G203="",$G203&gt;=AD$2)),
  $H203 * (1 + Assumptions!$C$7) ^ INT(((YEAR(AD$2)-YEAR($F203))*12 + MONTH(AD$2)-MONTH($F203)) / 12),
  0)</f>
        <v/>
      </c>
      <c r="AE203" s="299">
        <f>IF(AND($F203&lt;=AE$2, OR($G203="",$G203&gt;=AE$2)),
  $H203 * (1 + Assumptions!$C$7) ^ INT(((YEAR(AE$2)-YEAR($F203))*12 + MONTH(AE$2)-MONTH($F203)) / 12),
  0)</f>
        <v/>
      </c>
      <c r="AF203" s="299">
        <f>IF(AND($F203&lt;=AF$2, OR($G203="",$G203&gt;=AF$2)),
  $H203 * (1 + Assumptions!$C$7) ^ INT(((YEAR(AF$2)-YEAR($F203))*12 + MONTH(AF$2)-MONTH($F203)) / 12),
  0)</f>
        <v/>
      </c>
      <c r="AG203" s="299">
        <f>IF(AND($F203&lt;=AG$2, OR($G203="",$G203&gt;=AG$2)),
  $H203 * (1 + Assumptions!$C$7) ^ INT(((YEAR(AG$2)-YEAR($F203))*12 + MONTH(AG$2)-MONTH($F203)) / 12),
  0)</f>
        <v/>
      </c>
      <c r="AH203" s="299">
        <f>IF(AND($F203&lt;=AH$2, OR($G203="",$G203&gt;=AH$2)),
  $H203 * (1 + Assumptions!$C$7) ^ INT(((YEAR(AH$2)-YEAR($F203))*12 + MONTH(AH$2)-MONTH($F203)) / 12),
  0)</f>
        <v/>
      </c>
      <c r="AI203" s="299">
        <f>IF(AND($F203&lt;=AI$2, OR($G203="",$G203&gt;=AI$2)),
  $H203 * (1 + Assumptions!$C$7) ^ INT(((YEAR(AI$2)-YEAR($F203))*12 + MONTH(AI$2)-MONTH($F203)) / 12),
  0)</f>
        <v/>
      </c>
      <c r="AJ203" s="299">
        <f>IF(AND($F203&lt;=AJ$2, OR($G203="",$G203&gt;=AJ$2)),
  $H203 * (1 + Assumptions!$C$7) ^ INT(((YEAR(AJ$2)-YEAR($F203))*12 + MONTH(AJ$2)-MONTH($F203)) / 12),
  0)</f>
        <v/>
      </c>
      <c r="AK203" s="299">
        <f>IF(AND($F203&lt;=AK$2, OR($G203="",$G203&gt;=AK$2)),
  $H203 * (1 + Assumptions!$C$7) ^ INT(((YEAR(AK$2)-YEAR($F203))*12 + MONTH(AK$2)-MONTH($F203)) / 12),
  0)</f>
        <v/>
      </c>
      <c r="AL203" s="299">
        <f>IF(AND($F203&lt;=AL$2, OR($G203="",$G203&gt;=AL$2)),
  $H203 * (1 + Assumptions!$C$7) ^ INT(((YEAR(AL$2)-YEAR($F203))*12 + MONTH(AL$2)-MONTH($F203)) / 12),
  0)</f>
        <v/>
      </c>
      <c r="AM203" s="299">
        <f>IF(AND($F203&lt;=AM$2, OR($G203="",$G203&gt;=AM$2)),
  $H203 * (1 + Assumptions!$C$7) ^ INT(((YEAR(AM$2)-YEAR($F203))*12 + MONTH(AM$2)-MONTH($F203)) / 12),
  0)</f>
        <v/>
      </c>
      <c r="AN203" s="299">
        <f>IF(AND($F203&lt;=AN$2, OR($G203="",$G203&gt;=AN$2)),
  $H203 * (1 + Assumptions!$C$7) ^ INT(((YEAR(AN$2)-YEAR($F203))*12 + MONTH(AN$2)-MONTH($F203)) / 12),
  0)</f>
        <v/>
      </c>
      <c r="AO203" s="299">
        <f>IF(AND($F203&lt;=AO$2, OR($G203="",$G203&gt;=AO$2)),
  $H203 * (1 + Assumptions!$C$7) ^ INT(((YEAR(AO$2)-YEAR($F203))*12 + MONTH(AO$2)-MONTH($F203)) / 12),
  0)</f>
        <v/>
      </c>
      <c r="AP203" s="299">
        <f>IF(AND($F203&lt;=AP$2, OR($G203="",$G203&gt;=AP$2)),
  $H203 * (1 + Assumptions!$C$7) ^ INT(((YEAR(AP$2)-YEAR($F203))*12 + MONTH(AP$2)-MONTH($F203)) / 12),
  0)</f>
        <v/>
      </c>
      <c r="AQ203" s="299">
        <f>IF(AND($F203&lt;=AQ$2, OR($G203="",$G203&gt;=AQ$2)),
  $H203 * (1 + Assumptions!$C$7) ^ INT(((YEAR(AQ$2)-YEAR($F203))*12 + MONTH(AQ$2)-MONTH($F203)) / 12),
  0)</f>
        <v/>
      </c>
      <c r="AR203" s="299">
        <f>IF(AND($F203&lt;=AR$2, OR($G203="",$G203&gt;=AR$2)),
  $H203 * (1 + Assumptions!$C$7) ^ INT(((YEAR(AR$2)-YEAR($F203))*12 + MONTH(AR$2)-MONTH($F203)) / 12),
  0)</f>
        <v/>
      </c>
      <c r="AS203" s="299">
        <f>IF(AND($F203&lt;=AS$2, OR($G203="",$G203&gt;=AS$2)),
  $H203 * (1 + Assumptions!$C$7) ^ INT(((YEAR(AS$2)-YEAR($F203))*12 + MONTH(AS$2)-MONTH($F203)) / 12),
  0)</f>
        <v/>
      </c>
      <c r="AT203" s="299">
        <f>IF(AND($F203&lt;=AT$2, OR($G203="",$G203&gt;=AT$2)),
  $H203 * (1 + Assumptions!$C$7) ^ INT(((YEAR(AT$2)-YEAR($F203))*12 + MONTH(AT$2)-MONTH($F203)) / 12),
  0)</f>
        <v/>
      </c>
      <c r="AU203" s="299">
        <f>IF(AND($F203&lt;=AU$2, OR($G203="",$G203&gt;=AU$2)),
  $H203 * (1 + Assumptions!$C$7) ^ INT(((YEAR(AU$2)-YEAR($F203))*12 + MONTH(AU$2)-MONTH($F203)) / 12),
  0)</f>
        <v/>
      </c>
      <c r="AV203" s="299">
        <f>IF(AND($F203&lt;=AV$2, OR($G203="",$G203&gt;=AV$2)),
  $H203 * (1 + Assumptions!$C$7) ^ INT(((YEAR(AV$2)-YEAR($F203))*12 + MONTH(AV$2)-MONTH($F203)) / 12),
  0)</f>
        <v/>
      </c>
      <c r="AW203" s="299">
        <f>IF(AND($F203&lt;=AW$2, OR($G203="",$G203&gt;=AW$2)),
  $H203 * (1 + Assumptions!$C$7) ^ INT(((YEAR(AW$2)-YEAR($F203))*12 + MONTH(AW$2)-MONTH($F203)) / 12),
  0)</f>
        <v/>
      </c>
      <c r="AX203" s="299">
        <f>IF(AND($F203&lt;=AX$2, OR($G203="",$G203&gt;=AX$2)),
  $H203 * (1 + Assumptions!$C$7) ^ INT(((YEAR(AX$2)-YEAR($F203))*12 + MONTH(AX$2)-MONTH($F203)) / 12),
  0)</f>
        <v/>
      </c>
      <c r="AY203" s="299">
        <f>IF(AND($F203&lt;=AY$2, OR($G203="",$G203&gt;=AY$2)),
  $H203 * (1 + Assumptions!$C$7) ^ INT(((YEAR(AY$2)-YEAR($F203))*12 + MONTH(AY$2)-MONTH($F203)) / 12),
  0)</f>
        <v/>
      </c>
      <c r="AZ203" s="299">
        <f>IF(AND($F203&lt;=AZ$2, OR($G203="",$G203&gt;=AZ$2)),
  $H203 * (1 + Assumptions!$C$7) ^ INT(((YEAR(AZ$2)-YEAR($F203))*12 + MONTH(AZ$2)-MONTH($F203)) / 12),
  0)</f>
        <v/>
      </c>
      <c r="BA203" s="299">
        <f>IF(AND($F203&lt;=BA$2, OR($G203="",$G203&gt;=BA$2)),
  $H203 * (1 + Assumptions!$C$7) ^ INT(((YEAR(BA$2)-YEAR($F203))*12 + MONTH(BA$2)-MONTH($F203)) / 12),
  0)</f>
        <v/>
      </c>
      <c r="BB203" s="299">
        <f>IF(AND($F203&lt;=BB$2, OR($G203="",$G203&gt;=BB$2)),
  $H203 * (1 + Assumptions!$C$7) ^ INT(((YEAR(BB$2)-YEAR($F203))*12 + MONTH(BB$2)-MONTH($F203)) / 12),
  0)</f>
        <v/>
      </c>
      <c r="BC203" s="299">
        <f>IF(AND($F203&lt;=BC$2, OR($G203="",$G203&gt;=BC$2)),
  $H203 * (1 + Assumptions!$C$7) ^ INT(((YEAR(BC$2)-YEAR($F203))*12 + MONTH(BC$2)-MONTH($F203)) / 12),
  0)</f>
        <v/>
      </c>
      <c r="BD203" s="299">
        <f>IF(AND($F203&lt;=BD$2, OR($G203="",$G203&gt;=BD$2)),
  $H203 * (1 + Assumptions!$C$7) ^ INT(((YEAR(BD$2)-YEAR($F203))*12 + MONTH(BD$2)-MONTH($F203)) / 12),
  0)</f>
        <v/>
      </c>
      <c r="BE203" s="299">
        <f>IF(AND($F203&lt;=BE$2, OR($G203="",$G203&gt;=BE$2)),
  $H203 * (1 + Assumptions!$C$7) ^ INT(((YEAR(BE$2)-YEAR($F203))*12 + MONTH(BE$2)-MONTH($F203)) / 12),
  0)</f>
        <v/>
      </c>
      <c r="BF203" s="299">
        <f>IF(AND($F203&lt;=BF$2, OR($G203="",$G203&gt;=BF$2)),
  $H203 * (1 + Assumptions!$C$7) ^ INT(((YEAR(BF$2)-YEAR($F203))*12 + MONTH(BF$2)-MONTH($F203)) / 12),
  0)</f>
        <v/>
      </c>
      <c r="BG203" s="299">
        <f>IF(AND($F203&lt;=BG$2, OR($G203="",$G203&gt;=BG$2)),
  $H203 * (1 + Assumptions!$C$7) ^ INT(((YEAR(BG$2)-YEAR($F203))*12 + MONTH(BG$2)-MONTH($F203)) / 12),
  0)</f>
        <v/>
      </c>
      <c r="BH203" s="299">
        <f>IF(AND($F203&lt;=BH$2, OR($G203="",$G203&gt;=BH$2)),
  $H203 * (1 + Assumptions!$C$7) ^ INT(((YEAR(BH$2)-YEAR($F203))*12 + MONTH(BH$2)-MONTH($F203)) / 12),
  0)</f>
        <v/>
      </c>
      <c r="BI203" s="299">
        <f>IF(AND($F203&lt;=BI$2, OR($G203="",$G203&gt;=BI$2)),
  $H203 * (1 + Assumptions!$C$7) ^ INT(((YEAR(BI$2)-YEAR($F203))*12 + MONTH(BI$2)-MONTH($F203)) / 12),
  0)</f>
        <v/>
      </c>
      <c r="BJ203" s="299">
        <f>IF(AND($F203&lt;=BJ$2, OR($G203="",$G203&gt;=BJ$2)),
  $H203 * (1 + Assumptions!$C$7) ^ INT(((YEAR(BJ$2)-YEAR($F203))*12 + MONTH(BJ$2)-MONTH($F203)) / 12),
  0)</f>
        <v/>
      </c>
      <c r="BK203" s="299">
        <f>IF(AND($F203&lt;=BK$2, OR($G203="",$G203&gt;=BK$2)),
  $H203 * (1 + Assumptions!$C$7) ^ INT(((YEAR(BK$2)-YEAR($F203))*12 + MONTH(BK$2)-MONTH($F203)) / 12),
  0)</f>
        <v/>
      </c>
      <c r="BL203" s="299">
        <f>IF(AND($F203&lt;=BL$2, OR($G203="",$G203&gt;=BL$2)),
  $H203 * (1 + Assumptions!$C$7) ^ INT(((YEAR(BL$2)-YEAR($F203))*12 + MONTH(BL$2)-MONTH($F203)) / 12),
  0)</f>
        <v/>
      </c>
      <c r="BM203" s="299">
        <f>IF(AND($F203&lt;=BM$2, OR($G203="",$G203&gt;=BM$2)),
  $H203 * (1 + Assumptions!$C$7) ^ INT(((YEAR(BM$2)-YEAR($F203))*12 + MONTH(BM$2)-MONTH($F203)) / 12),
  0)</f>
        <v/>
      </c>
      <c r="BN203" s="299">
        <f>IF(AND($F203&lt;=BN$2, OR($G203="",$G203&gt;=BN$2)),
  $H203 * (1 + Assumptions!$C$7) ^ INT(((YEAR(BN$2)-YEAR($F203))*12 + MONTH(BN$2)-MONTH($F203)) / 12),
  0)</f>
        <v/>
      </c>
      <c r="BO203" s="299">
        <f>IF(AND($F203&lt;=BO$2, OR($G203="",$G203&gt;=BO$2)),
  $H203 * (1 + Assumptions!$C$7) ^ INT(((YEAR(BO$2)-YEAR($F203))*12 + MONTH(BO$2)-MONTH($F203)) / 12),
  0)</f>
        <v/>
      </c>
      <c r="BP203" s="299">
        <f>IF(AND($F203&lt;=BP$2, OR($G203="",$G203&gt;=BP$2)),
  $H203 * (1 + Assumptions!$C$7) ^ INT(((YEAR(BP$2)-YEAR($F203))*12 + MONTH(BP$2)-MONTH($F203)) / 12),
  0)</f>
        <v/>
      </c>
      <c r="BQ203" s="31" t="n"/>
      <c r="BR203" s="31" t="n"/>
      <c r="BS203" s="31" t="n"/>
      <c r="BT203" s="31" t="n"/>
    </row>
    <row r="204" ht="15.75" customHeight="1" s="349">
      <c r="A204" s="321" t="n">
        <v>199</v>
      </c>
      <c r="B204" s="285" t="inlineStr">
        <is>
          <t>New hire</t>
        </is>
      </c>
      <c r="C204" s="317" t="inlineStr">
        <is>
          <t>G&amp;A</t>
        </is>
      </c>
      <c r="D204" s="317" t="inlineStr">
        <is>
          <t>Finance / HR / IT / Legal</t>
        </is>
      </c>
      <c r="E204" s="297" t="inlineStr">
        <is>
          <t>Planned</t>
        </is>
      </c>
      <c r="F204" s="318">
        <f>IF(Assumptions!$D$82=2,DATE(2029,7,1),DATE(2035,1,1))</f>
        <v/>
      </c>
      <c r="G204" s="318" t="n"/>
      <c r="H204" s="288" t="n">
        <v>7000</v>
      </c>
      <c r="I204" s="299">
        <f>IF(AND($F204&lt;=I$2, OR($G204="",$G204&gt;=I$2)),
  $H204 * (1 + Assumptions!$C$7) ^ INT(((YEAR(I$2)-YEAR($F204))*12 + MONTH(I$2)-MONTH($F204)) / 12),
  0)</f>
        <v/>
      </c>
      <c r="J204" s="299">
        <f>IF(AND($F204&lt;=J$2, OR($G204="",$G204&gt;=J$2)),
  $H204 * (1 + Assumptions!$C$7) ^ INT(((YEAR(J$2)-YEAR($F204))*12 + MONTH(J$2)-MONTH($F204)) / 12),
  0)</f>
        <v/>
      </c>
      <c r="K204" s="299">
        <f>IF(AND($F204&lt;=K$2, OR($G204="",$G204&gt;=K$2)),
  $H204 * (1 + Assumptions!$C$7) ^ INT(((YEAR(K$2)-YEAR($F204))*12 + MONTH(K$2)-MONTH($F204)) / 12),
  0)</f>
        <v/>
      </c>
      <c r="L204" s="299">
        <f>IF(AND($F204&lt;=L$2, OR($G204="",$G204&gt;=L$2)),
  $H204 * (1 + Assumptions!$C$7) ^ INT(((YEAR(L$2)-YEAR($F204))*12 + MONTH(L$2)-MONTH($F204)) / 12),
  0)</f>
        <v/>
      </c>
      <c r="M204" s="299">
        <f>IF(AND($F204&lt;=M$2, OR($G204="",$G204&gt;=M$2)),
  $H204 * (1 + Assumptions!$C$7) ^ INT(((YEAR(M$2)-YEAR($F204))*12 + MONTH(M$2)-MONTH($F204)) / 12),
  0)</f>
        <v/>
      </c>
      <c r="N204" s="299">
        <f>IF(AND($F204&lt;=N$2, OR($G204="",$G204&gt;=N$2)),
  $H204 * (1 + Assumptions!$C$7) ^ INT(((YEAR(N$2)-YEAR($F204))*12 + MONTH(N$2)-MONTH($F204)) / 12),
  0)</f>
        <v/>
      </c>
      <c r="O204" s="299">
        <f>IF(AND($F204&lt;=O$2, OR($G204="",$G204&gt;=O$2)),
  $H204 * (1 + Assumptions!$C$7) ^ INT(((YEAR(O$2)-YEAR($F204))*12 + MONTH(O$2)-MONTH($F204)) / 12),
  0)</f>
        <v/>
      </c>
      <c r="P204" s="299">
        <f>IF(AND($F204&lt;=P$2, OR($G204="",$G204&gt;=P$2)),
  $H204 * (1 + Assumptions!$C$7) ^ INT(((YEAR(P$2)-YEAR($F204))*12 + MONTH(P$2)-MONTH($F204)) / 12),
  0)</f>
        <v/>
      </c>
      <c r="Q204" s="299">
        <f>IF(AND($F204&lt;=Q$2, OR($G204="",$G204&gt;=Q$2)),
  $H204 * (1 + Assumptions!$C$7) ^ INT(((YEAR(Q$2)-YEAR($F204))*12 + MONTH(Q$2)-MONTH($F204)) / 12),
  0)</f>
        <v/>
      </c>
      <c r="R204" s="299">
        <f>IF(AND($F204&lt;=R$2, OR($G204="",$G204&gt;=R$2)),
  $H204 * (1 + Assumptions!$C$7) ^ INT(((YEAR(R$2)-YEAR($F204))*12 + MONTH(R$2)-MONTH($F204)) / 12),
  0)</f>
        <v/>
      </c>
      <c r="S204" s="299">
        <f>IF(AND($F204&lt;=S$2, OR($G204="",$G204&gt;=S$2)),
  $H204 * (1 + Assumptions!$C$7) ^ INT(((YEAR(S$2)-YEAR($F204))*12 + MONTH(S$2)-MONTH($F204)) / 12),
  0)</f>
        <v/>
      </c>
      <c r="T204" s="299">
        <f>IF(AND($F204&lt;=T$2, OR($G204="",$G204&gt;=T$2)),
  $H204 * (1 + Assumptions!$C$7) ^ INT(((YEAR(T$2)-YEAR($F204))*12 + MONTH(T$2)-MONTH($F204)) / 12),
  0)</f>
        <v/>
      </c>
      <c r="U204" s="299">
        <f>IF(AND($F204&lt;=U$2, OR($G204="",$G204&gt;=U$2)),
  $H204 * (1 + Assumptions!$C$7) ^ INT(((YEAR(U$2)-YEAR($F204))*12 + MONTH(U$2)-MONTH($F204)) / 12),
  0)</f>
        <v/>
      </c>
      <c r="V204" s="299">
        <f>IF(AND($F204&lt;=V$2, OR($G204="",$G204&gt;=V$2)),
  $H204 * (1 + Assumptions!$C$7) ^ INT(((YEAR(V$2)-YEAR($F204))*12 + MONTH(V$2)-MONTH($F204)) / 12),
  0)</f>
        <v/>
      </c>
      <c r="W204" s="299">
        <f>IF(AND($F204&lt;=W$2, OR($G204="",$G204&gt;=W$2)),
  $H204 * (1 + Assumptions!$C$7) ^ INT(((YEAR(W$2)-YEAR($F204))*12 + MONTH(W$2)-MONTH($F204)) / 12),
  0)</f>
        <v/>
      </c>
      <c r="X204" s="299">
        <f>IF(AND($F204&lt;=X$2, OR($G204="",$G204&gt;=X$2)),
  $H204 * (1 + Assumptions!$C$7) ^ INT(((YEAR(X$2)-YEAR($F204))*12 + MONTH(X$2)-MONTH($F204)) / 12),
  0)</f>
        <v/>
      </c>
      <c r="Y204" s="299">
        <f>IF(AND($F204&lt;=Y$2, OR($G204="",$G204&gt;=Y$2)),
  $H204 * (1 + Assumptions!$C$7) ^ INT(((YEAR(Y$2)-YEAR($F204))*12 + MONTH(Y$2)-MONTH($F204)) / 12),
  0)</f>
        <v/>
      </c>
      <c r="Z204" s="299">
        <f>IF(AND($F204&lt;=Z$2, OR($G204="",$G204&gt;=Z$2)),
  $H204 * (1 + Assumptions!$C$7) ^ INT(((YEAR(Z$2)-YEAR($F204))*12 + MONTH(Z$2)-MONTH($F204)) / 12),
  0)</f>
        <v/>
      </c>
      <c r="AA204" s="299">
        <f>IF(AND($F204&lt;=AA$2, OR($G204="",$G204&gt;=AA$2)),
  $H204 * (1 + Assumptions!$C$7) ^ INT(((YEAR(AA$2)-YEAR($F204))*12 + MONTH(AA$2)-MONTH($F204)) / 12),
  0)</f>
        <v/>
      </c>
      <c r="AB204" s="299">
        <f>IF(AND($F204&lt;=AB$2, OR($G204="",$G204&gt;=AB$2)),
  $H204 * (1 + Assumptions!$C$7) ^ INT(((YEAR(AB$2)-YEAR($F204))*12 + MONTH(AB$2)-MONTH($F204)) / 12),
  0)</f>
        <v/>
      </c>
      <c r="AC204" s="299">
        <f>IF(AND($F204&lt;=AC$2, OR($G204="",$G204&gt;=AC$2)),
  $H204 * (1 + Assumptions!$C$7) ^ INT(((YEAR(AC$2)-YEAR($F204))*12 + MONTH(AC$2)-MONTH($F204)) / 12),
  0)</f>
        <v/>
      </c>
      <c r="AD204" s="299">
        <f>IF(AND($F204&lt;=AD$2, OR($G204="",$G204&gt;=AD$2)),
  $H204 * (1 + Assumptions!$C$7) ^ INT(((YEAR(AD$2)-YEAR($F204))*12 + MONTH(AD$2)-MONTH($F204)) / 12),
  0)</f>
        <v/>
      </c>
      <c r="AE204" s="299">
        <f>IF(AND($F204&lt;=AE$2, OR($G204="",$G204&gt;=AE$2)),
  $H204 * (1 + Assumptions!$C$7) ^ INT(((YEAR(AE$2)-YEAR($F204))*12 + MONTH(AE$2)-MONTH($F204)) / 12),
  0)</f>
        <v/>
      </c>
      <c r="AF204" s="299">
        <f>IF(AND($F204&lt;=AF$2, OR($G204="",$G204&gt;=AF$2)),
  $H204 * (1 + Assumptions!$C$7) ^ INT(((YEAR(AF$2)-YEAR($F204))*12 + MONTH(AF$2)-MONTH($F204)) / 12),
  0)</f>
        <v/>
      </c>
      <c r="AG204" s="299">
        <f>IF(AND($F204&lt;=AG$2, OR($G204="",$G204&gt;=AG$2)),
  $H204 * (1 + Assumptions!$C$7) ^ INT(((YEAR(AG$2)-YEAR($F204))*12 + MONTH(AG$2)-MONTH($F204)) / 12),
  0)</f>
        <v/>
      </c>
      <c r="AH204" s="299">
        <f>IF(AND($F204&lt;=AH$2, OR($G204="",$G204&gt;=AH$2)),
  $H204 * (1 + Assumptions!$C$7) ^ INT(((YEAR(AH$2)-YEAR($F204))*12 + MONTH(AH$2)-MONTH($F204)) / 12),
  0)</f>
        <v/>
      </c>
      <c r="AI204" s="299">
        <f>IF(AND($F204&lt;=AI$2, OR($G204="",$G204&gt;=AI$2)),
  $H204 * (1 + Assumptions!$C$7) ^ INT(((YEAR(AI$2)-YEAR($F204))*12 + MONTH(AI$2)-MONTH($F204)) / 12),
  0)</f>
        <v/>
      </c>
      <c r="AJ204" s="299">
        <f>IF(AND($F204&lt;=AJ$2, OR($G204="",$G204&gt;=AJ$2)),
  $H204 * (1 + Assumptions!$C$7) ^ INT(((YEAR(AJ$2)-YEAR($F204))*12 + MONTH(AJ$2)-MONTH($F204)) / 12),
  0)</f>
        <v/>
      </c>
      <c r="AK204" s="299">
        <f>IF(AND($F204&lt;=AK$2, OR($G204="",$G204&gt;=AK$2)),
  $H204 * (1 + Assumptions!$C$7) ^ INT(((YEAR(AK$2)-YEAR($F204))*12 + MONTH(AK$2)-MONTH($F204)) / 12),
  0)</f>
        <v/>
      </c>
      <c r="AL204" s="299">
        <f>IF(AND($F204&lt;=AL$2, OR($G204="",$G204&gt;=AL$2)),
  $H204 * (1 + Assumptions!$C$7) ^ INT(((YEAR(AL$2)-YEAR($F204))*12 + MONTH(AL$2)-MONTH($F204)) / 12),
  0)</f>
        <v/>
      </c>
      <c r="AM204" s="299">
        <f>IF(AND($F204&lt;=AM$2, OR($G204="",$G204&gt;=AM$2)),
  $H204 * (1 + Assumptions!$C$7) ^ INT(((YEAR(AM$2)-YEAR($F204))*12 + MONTH(AM$2)-MONTH($F204)) / 12),
  0)</f>
        <v/>
      </c>
      <c r="AN204" s="299">
        <f>IF(AND($F204&lt;=AN$2, OR($G204="",$G204&gt;=AN$2)),
  $H204 * (1 + Assumptions!$C$7) ^ INT(((YEAR(AN$2)-YEAR($F204))*12 + MONTH(AN$2)-MONTH($F204)) / 12),
  0)</f>
        <v/>
      </c>
      <c r="AO204" s="299">
        <f>IF(AND($F204&lt;=AO$2, OR($G204="",$G204&gt;=AO$2)),
  $H204 * (1 + Assumptions!$C$7) ^ INT(((YEAR(AO$2)-YEAR($F204))*12 + MONTH(AO$2)-MONTH($F204)) / 12),
  0)</f>
        <v/>
      </c>
      <c r="AP204" s="299">
        <f>IF(AND($F204&lt;=AP$2, OR($G204="",$G204&gt;=AP$2)),
  $H204 * (1 + Assumptions!$C$7) ^ INT(((YEAR(AP$2)-YEAR($F204))*12 + MONTH(AP$2)-MONTH($F204)) / 12),
  0)</f>
        <v/>
      </c>
      <c r="AQ204" s="299">
        <f>IF(AND($F204&lt;=AQ$2, OR($G204="",$G204&gt;=AQ$2)),
  $H204 * (1 + Assumptions!$C$7) ^ INT(((YEAR(AQ$2)-YEAR($F204))*12 + MONTH(AQ$2)-MONTH($F204)) / 12),
  0)</f>
        <v/>
      </c>
      <c r="AR204" s="299">
        <f>IF(AND($F204&lt;=AR$2, OR($G204="",$G204&gt;=AR$2)),
  $H204 * (1 + Assumptions!$C$7) ^ INT(((YEAR(AR$2)-YEAR($F204))*12 + MONTH(AR$2)-MONTH($F204)) / 12),
  0)</f>
        <v/>
      </c>
      <c r="AS204" s="299">
        <f>IF(AND($F204&lt;=AS$2, OR($G204="",$G204&gt;=AS$2)),
  $H204 * (1 + Assumptions!$C$7) ^ INT(((YEAR(AS$2)-YEAR($F204))*12 + MONTH(AS$2)-MONTH($F204)) / 12),
  0)</f>
        <v/>
      </c>
      <c r="AT204" s="299">
        <f>IF(AND($F204&lt;=AT$2, OR($G204="",$G204&gt;=AT$2)),
  $H204 * (1 + Assumptions!$C$7) ^ INT(((YEAR(AT$2)-YEAR($F204))*12 + MONTH(AT$2)-MONTH($F204)) / 12),
  0)</f>
        <v/>
      </c>
      <c r="AU204" s="299">
        <f>IF(AND($F204&lt;=AU$2, OR($G204="",$G204&gt;=AU$2)),
  $H204 * (1 + Assumptions!$C$7) ^ INT(((YEAR(AU$2)-YEAR($F204))*12 + MONTH(AU$2)-MONTH($F204)) / 12),
  0)</f>
        <v/>
      </c>
      <c r="AV204" s="299">
        <f>IF(AND($F204&lt;=AV$2, OR($G204="",$G204&gt;=AV$2)),
  $H204 * (1 + Assumptions!$C$7) ^ INT(((YEAR(AV$2)-YEAR($F204))*12 + MONTH(AV$2)-MONTH($F204)) / 12),
  0)</f>
        <v/>
      </c>
      <c r="AW204" s="299">
        <f>IF(AND($F204&lt;=AW$2, OR($G204="",$G204&gt;=AW$2)),
  $H204 * (1 + Assumptions!$C$7) ^ INT(((YEAR(AW$2)-YEAR($F204))*12 + MONTH(AW$2)-MONTH($F204)) / 12),
  0)</f>
        <v/>
      </c>
      <c r="AX204" s="299">
        <f>IF(AND($F204&lt;=AX$2, OR($G204="",$G204&gt;=AX$2)),
  $H204 * (1 + Assumptions!$C$7) ^ INT(((YEAR(AX$2)-YEAR($F204))*12 + MONTH(AX$2)-MONTH($F204)) / 12),
  0)</f>
        <v/>
      </c>
      <c r="AY204" s="299">
        <f>IF(AND($F204&lt;=AY$2, OR($G204="",$G204&gt;=AY$2)),
  $H204 * (1 + Assumptions!$C$7) ^ INT(((YEAR(AY$2)-YEAR($F204))*12 + MONTH(AY$2)-MONTH($F204)) / 12),
  0)</f>
        <v/>
      </c>
      <c r="AZ204" s="299">
        <f>IF(AND($F204&lt;=AZ$2, OR($G204="",$G204&gt;=AZ$2)),
  $H204 * (1 + Assumptions!$C$7) ^ INT(((YEAR(AZ$2)-YEAR($F204))*12 + MONTH(AZ$2)-MONTH($F204)) / 12),
  0)</f>
        <v/>
      </c>
      <c r="BA204" s="299">
        <f>IF(AND($F204&lt;=BA$2, OR($G204="",$G204&gt;=BA$2)),
  $H204 * (1 + Assumptions!$C$7) ^ INT(((YEAR(BA$2)-YEAR($F204))*12 + MONTH(BA$2)-MONTH($F204)) / 12),
  0)</f>
        <v/>
      </c>
      <c r="BB204" s="299">
        <f>IF(AND($F204&lt;=BB$2, OR($G204="",$G204&gt;=BB$2)),
  $H204 * (1 + Assumptions!$C$7) ^ INT(((YEAR(BB$2)-YEAR($F204))*12 + MONTH(BB$2)-MONTH($F204)) / 12),
  0)</f>
        <v/>
      </c>
      <c r="BC204" s="299">
        <f>IF(AND($F204&lt;=BC$2, OR($G204="",$G204&gt;=BC$2)),
  $H204 * (1 + Assumptions!$C$7) ^ INT(((YEAR(BC$2)-YEAR($F204))*12 + MONTH(BC$2)-MONTH($F204)) / 12),
  0)</f>
        <v/>
      </c>
      <c r="BD204" s="299">
        <f>IF(AND($F204&lt;=BD$2, OR($G204="",$G204&gt;=BD$2)),
  $H204 * (1 + Assumptions!$C$7) ^ INT(((YEAR(BD$2)-YEAR($F204))*12 + MONTH(BD$2)-MONTH($F204)) / 12),
  0)</f>
        <v/>
      </c>
      <c r="BE204" s="299">
        <f>IF(AND($F204&lt;=BE$2, OR($G204="",$G204&gt;=BE$2)),
  $H204 * (1 + Assumptions!$C$7) ^ INT(((YEAR(BE$2)-YEAR($F204))*12 + MONTH(BE$2)-MONTH($F204)) / 12),
  0)</f>
        <v/>
      </c>
      <c r="BF204" s="299">
        <f>IF(AND($F204&lt;=BF$2, OR($G204="",$G204&gt;=BF$2)),
  $H204 * (1 + Assumptions!$C$7) ^ INT(((YEAR(BF$2)-YEAR($F204))*12 + MONTH(BF$2)-MONTH($F204)) / 12),
  0)</f>
        <v/>
      </c>
      <c r="BG204" s="299">
        <f>IF(AND($F204&lt;=BG$2, OR($G204="",$G204&gt;=BG$2)),
  $H204 * (1 + Assumptions!$C$7) ^ INT(((YEAR(BG$2)-YEAR($F204))*12 + MONTH(BG$2)-MONTH($F204)) / 12),
  0)</f>
        <v/>
      </c>
      <c r="BH204" s="299">
        <f>IF(AND($F204&lt;=BH$2, OR($G204="",$G204&gt;=BH$2)),
  $H204 * (1 + Assumptions!$C$7) ^ INT(((YEAR(BH$2)-YEAR($F204))*12 + MONTH(BH$2)-MONTH($F204)) / 12),
  0)</f>
        <v/>
      </c>
      <c r="BI204" s="299">
        <f>IF(AND($F204&lt;=BI$2, OR($G204="",$G204&gt;=BI$2)),
  $H204 * (1 + Assumptions!$C$7) ^ INT(((YEAR(BI$2)-YEAR($F204))*12 + MONTH(BI$2)-MONTH($F204)) / 12),
  0)</f>
        <v/>
      </c>
      <c r="BJ204" s="299">
        <f>IF(AND($F204&lt;=BJ$2, OR($G204="",$G204&gt;=BJ$2)),
  $H204 * (1 + Assumptions!$C$7) ^ INT(((YEAR(BJ$2)-YEAR($F204))*12 + MONTH(BJ$2)-MONTH($F204)) / 12),
  0)</f>
        <v/>
      </c>
      <c r="BK204" s="299">
        <f>IF(AND($F204&lt;=BK$2, OR($G204="",$G204&gt;=BK$2)),
  $H204 * (1 + Assumptions!$C$7) ^ INT(((YEAR(BK$2)-YEAR($F204))*12 + MONTH(BK$2)-MONTH($F204)) / 12),
  0)</f>
        <v/>
      </c>
      <c r="BL204" s="299">
        <f>IF(AND($F204&lt;=BL$2, OR($G204="",$G204&gt;=BL$2)),
  $H204 * (1 + Assumptions!$C$7) ^ INT(((YEAR(BL$2)-YEAR($F204))*12 + MONTH(BL$2)-MONTH($F204)) / 12),
  0)</f>
        <v/>
      </c>
      <c r="BM204" s="299">
        <f>IF(AND($F204&lt;=BM$2, OR($G204="",$G204&gt;=BM$2)),
  $H204 * (1 + Assumptions!$C$7) ^ INT(((YEAR(BM$2)-YEAR($F204))*12 + MONTH(BM$2)-MONTH($F204)) / 12),
  0)</f>
        <v/>
      </c>
      <c r="BN204" s="299">
        <f>IF(AND($F204&lt;=BN$2, OR($G204="",$G204&gt;=BN$2)),
  $H204 * (1 + Assumptions!$C$7) ^ INT(((YEAR(BN$2)-YEAR($F204))*12 + MONTH(BN$2)-MONTH($F204)) / 12),
  0)</f>
        <v/>
      </c>
      <c r="BO204" s="299">
        <f>IF(AND($F204&lt;=BO$2, OR($G204="",$G204&gt;=BO$2)),
  $H204 * (1 + Assumptions!$C$7) ^ INT(((YEAR(BO$2)-YEAR($F204))*12 + MONTH(BO$2)-MONTH($F204)) / 12),
  0)</f>
        <v/>
      </c>
      <c r="BP204" s="299">
        <f>IF(AND($F204&lt;=BP$2, OR($G204="",$G204&gt;=BP$2)),
  $H204 * (1 + Assumptions!$C$7) ^ INT(((YEAR(BP$2)-YEAR($F204))*12 + MONTH(BP$2)-MONTH($F204)) / 12),
  0)</f>
        <v/>
      </c>
      <c r="BQ204" s="31" t="n"/>
      <c r="BR204" s="31" t="n"/>
      <c r="BS204" s="31" t="n"/>
      <c r="BT204" s="31" t="n"/>
    </row>
    <row r="205" ht="15.75" customHeight="1" s="349">
      <c r="A205" s="321" t="n">
        <v>200</v>
      </c>
      <c r="B205" s="285" t="inlineStr">
        <is>
          <t>New hire</t>
        </is>
      </c>
      <c r="C205" s="317" t="inlineStr">
        <is>
          <t>G&amp;A</t>
        </is>
      </c>
      <c r="D205" s="317" t="inlineStr">
        <is>
          <t>Finance / HR / IT / Legal</t>
        </is>
      </c>
      <c r="E205" s="297" t="inlineStr">
        <is>
          <t>Planned</t>
        </is>
      </c>
      <c r="F205" s="318">
        <f>IF(Assumptions!$D$82=2,DATE(2029,7,1),DATE(2035,1,1))</f>
        <v/>
      </c>
      <c r="G205" s="318" t="n"/>
      <c r="H205" s="288" t="n">
        <v>7000</v>
      </c>
      <c r="I205" s="299">
        <f>IF(AND($F205&lt;=I$2, OR($G205="",$G205&gt;=I$2)),
  $H205 * (1 + Assumptions!$C$7) ^ INT(((YEAR(I$2)-YEAR($F205))*12 + MONTH(I$2)-MONTH($F205)) / 12),
  0)</f>
        <v/>
      </c>
      <c r="J205" s="299">
        <f>IF(AND($F205&lt;=J$2, OR($G205="",$G205&gt;=J$2)),
  $H205 * (1 + Assumptions!$C$7) ^ INT(((YEAR(J$2)-YEAR($F205))*12 + MONTH(J$2)-MONTH($F205)) / 12),
  0)</f>
        <v/>
      </c>
      <c r="K205" s="299">
        <f>IF(AND($F205&lt;=K$2, OR($G205="",$G205&gt;=K$2)),
  $H205 * (1 + Assumptions!$C$7) ^ INT(((YEAR(K$2)-YEAR($F205))*12 + MONTH(K$2)-MONTH($F205)) / 12),
  0)</f>
        <v/>
      </c>
      <c r="L205" s="299">
        <f>IF(AND($F205&lt;=L$2, OR($G205="",$G205&gt;=L$2)),
  $H205 * (1 + Assumptions!$C$7) ^ INT(((YEAR(L$2)-YEAR($F205))*12 + MONTH(L$2)-MONTH($F205)) / 12),
  0)</f>
        <v/>
      </c>
      <c r="M205" s="299">
        <f>IF(AND($F205&lt;=M$2, OR($G205="",$G205&gt;=M$2)),
  $H205 * (1 + Assumptions!$C$7) ^ INT(((YEAR(M$2)-YEAR($F205))*12 + MONTH(M$2)-MONTH($F205)) / 12),
  0)</f>
        <v/>
      </c>
      <c r="N205" s="299">
        <f>IF(AND($F205&lt;=N$2, OR($G205="",$G205&gt;=N$2)),
  $H205 * (1 + Assumptions!$C$7) ^ INT(((YEAR(N$2)-YEAR($F205))*12 + MONTH(N$2)-MONTH($F205)) / 12),
  0)</f>
        <v/>
      </c>
      <c r="O205" s="299">
        <f>IF(AND($F205&lt;=O$2, OR($G205="",$G205&gt;=O$2)),
  $H205 * (1 + Assumptions!$C$7) ^ INT(((YEAR(O$2)-YEAR($F205))*12 + MONTH(O$2)-MONTH($F205)) / 12),
  0)</f>
        <v/>
      </c>
      <c r="P205" s="299">
        <f>IF(AND($F205&lt;=P$2, OR($G205="",$G205&gt;=P$2)),
  $H205 * (1 + Assumptions!$C$7) ^ INT(((YEAR(P$2)-YEAR($F205))*12 + MONTH(P$2)-MONTH($F205)) / 12),
  0)</f>
        <v/>
      </c>
      <c r="Q205" s="299">
        <f>IF(AND($F205&lt;=Q$2, OR($G205="",$G205&gt;=Q$2)),
  $H205 * (1 + Assumptions!$C$7) ^ INT(((YEAR(Q$2)-YEAR($F205))*12 + MONTH(Q$2)-MONTH($F205)) / 12),
  0)</f>
        <v/>
      </c>
      <c r="R205" s="299">
        <f>IF(AND($F205&lt;=R$2, OR($G205="",$G205&gt;=R$2)),
  $H205 * (1 + Assumptions!$C$7) ^ INT(((YEAR(R$2)-YEAR($F205))*12 + MONTH(R$2)-MONTH($F205)) / 12),
  0)</f>
        <v/>
      </c>
      <c r="S205" s="299">
        <f>IF(AND($F205&lt;=S$2, OR($G205="",$G205&gt;=S$2)),
  $H205 * (1 + Assumptions!$C$7) ^ INT(((YEAR(S$2)-YEAR($F205))*12 + MONTH(S$2)-MONTH($F205)) / 12),
  0)</f>
        <v/>
      </c>
      <c r="T205" s="299">
        <f>IF(AND($F205&lt;=T$2, OR($G205="",$G205&gt;=T$2)),
  $H205 * (1 + Assumptions!$C$7) ^ INT(((YEAR(T$2)-YEAR($F205))*12 + MONTH(T$2)-MONTH($F205)) / 12),
  0)</f>
        <v/>
      </c>
      <c r="U205" s="299">
        <f>IF(AND($F205&lt;=U$2, OR($G205="",$G205&gt;=U$2)),
  $H205 * (1 + Assumptions!$C$7) ^ INT(((YEAR(U$2)-YEAR($F205))*12 + MONTH(U$2)-MONTH($F205)) / 12),
  0)</f>
        <v/>
      </c>
      <c r="V205" s="299">
        <f>IF(AND($F205&lt;=V$2, OR($G205="",$G205&gt;=V$2)),
  $H205 * (1 + Assumptions!$C$7) ^ INT(((YEAR(V$2)-YEAR($F205))*12 + MONTH(V$2)-MONTH($F205)) / 12),
  0)</f>
        <v/>
      </c>
      <c r="W205" s="299">
        <f>IF(AND($F205&lt;=W$2, OR($G205="",$G205&gt;=W$2)),
  $H205 * (1 + Assumptions!$C$7) ^ INT(((YEAR(W$2)-YEAR($F205))*12 + MONTH(W$2)-MONTH($F205)) / 12),
  0)</f>
        <v/>
      </c>
      <c r="X205" s="299">
        <f>IF(AND($F205&lt;=X$2, OR($G205="",$G205&gt;=X$2)),
  $H205 * (1 + Assumptions!$C$7) ^ INT(((YEAR(X$2)-YEAR($F205))*12 + MONTH(X$2)-MONTH($F205)) / 12),
  0)</f>
        <v/>
      </c>
      <c r="Y205" s="299">
        <f>IF(AND($F205&lt;=Y$2, OR($G205="",$G205&gt;=Y$2)),
  $H205 * (1 + Assumptions!$C$7) ^ INT(((YEAR(Y$2)-YEAR($F205))*12 + MONTH(Y$2)-MONTH($F205)) / 12),
  0)</f>
        <v/>
      </c>
      <c r="Z205" s="299">
        <f>IF(AND($F205&lt;=Z$2, OR($G205="",$G205&gt;=Z$2)),
  $H205 * (1 + Assumptions!$C$7) ^ INT(((YEAR(Z$2)-YEAR($F205))*12 + MONTH(Z$2)-MONTH($F205)) / 12),
  0)</f>
        <v/>
      </c>
      <c r="AA205" s="299">
        <f>IF(AND($F205&lt;=AA$2, OR($G205="",$G205&gt;=AA$2)),
  $H205 * (1 + Assumptions!$C$7) ^ INT(((YEAR(AA$2)-YEAR($F205))*12 + MONTH(AA$2)-MONTH($F205)) / 12),
  0)</f>
        <v/>
      </c>
      <c r="AB205" s="299">
        <f>IF(AND($F205&lt;=AB$2, OR($G205="",$G205&gt;=AB$2)),
  $H205 * (1 + Assumptions!$C$7) ^ INT(((YEAR(AB$2)-YEAR($F205))*12 + MONTH(AB$2)-MONTH($F205)) / 12),
  0)</f>
        <v/>
      </c>
      <c r="AC205" s="299">
        <f>IF(AND($F205&lt;=AC$2, OR($G205="",$G205&gt;=AC$2)),
  $H205 * (1 + Assumptions!$C$7) ^ INT(((YEAR(AC$2)-YEAR($F205))*12 + MONTH(AC$2)-MONTH($F205)) / 12),
  0)</f>
        <v/>
      </c>
      <c r="AD205" s="299">
        <f>IF(AND($F205&lt;=AD$2, OR($G205="",$G205&gt;=AD$2)),
  $H205 * (1 + Assumptions!$C$7) ^ INT(((YEAR(AD$2)-YEAR($F205))*12 + MONTH(AD$2)-MONTH($F205)) / 12),
  0)</f>
        <v/>
      </c>
      <c r="AE205" s="299">
        <f>IF(AND($F205&lt;=AE$2, OR($G205="",$G205&gt;=AE$2)),
  $H205 * (1 + Assumptions!$C$7) ^ INT(((YEAR(AE$2)-YEAR($F205))*12 + MONTH(AE$2)-MONTH($F205)) / 12),
  0)</f>
        <v/>
      </c>
      <c r="AF205" s="299">
        <f>IF(AND($F205&lt;=AF$2, OR($G205="",$G205&gt;=AF$2)),
  $H205 * (1 + Assumptions!$C$7) ^ INT(((YEAR(AF$2)-YEAR($F205))*12 + MONTH(AF$2)-MONTH($F205)) / 12),
  0)</f>
        <v/>
      </c>
      <c r="AG205" s="299">
        <f>IF(AND($F205&lt;=AG$2, OR($G205="",$G205&gt;=AG$2)),
  $H205 * (1 + Assumptions!$C$7) ^ INT(((YEAR(AG$2)-YEAR($F205))*12 + MONTH(AG$2)-MONTH($F205)) / 12),
  0)</f>
        <v/>
      </c>
      <c r="AH205" s="299">
        <f>IF(AND($F205&lt;=AH$2, OR($G205="",$G205&gt;=AH$2)),
  $H205 * (1 + Assumptions!$C$7) ^ INT(((YEAR(AH$2)-YEAR($F205))*12 + MONTH(AH$2)-MONTH($F205)) / 12),
  0)</f>
        <v/>
      </c>
      <c r="AI205" s="299">
        <f>IF(AND($F205&lt;=AI$2, OR($G205="",$G205&gt;=AI$2)),
  $H205 * (1 + Assumptions!$C$7) ^ INT(((YEAR(AI$2)-YEAR($F205))*12 + MONTH(AI$2)-MONTH($F205)) / 12),
  0)</f>
        <v/>
      </c>
      <c r="AJ205" s="299">
        <f>IF(AND($F205&lt;=AJ$2, OR($G205="",$G205&gt;=AJ$2)),
  $H205 * (1 + Assumptions!$C$7) ^ INT(((YEAR(AJ$2)-YEAR($F205))*12 + MONTH(AJ$2)-MONTH($F205)) / 12),
  0)</f>
        <v/>
      </c>
      <c r="AK205" s="299">
        <f>IF(AND($F205&lt;=AK$2, OR($G205="",$G205&gt;=AK$2)),
  $H205 * (1 + Assumptions!$C$7) ^ INT(((YEAR(AK$2)-YEAR($F205))*12 + MONTH(AK$2)-MONTH($F205)) / 12),
  0)</f>
        <v/>
      </c>
      <c r="AL205" s="299">
        <f>IF(AND($F205&lt;=AL$2, OR($G205="",$G205&gt;=AL$2)),
  $H205 * (1 + Assumptions!$C$7) ^ INT(((YEAR(AL$2)-YEAR($F205))*12 + MONTH(AL$2)-MONTH($F205)) / 12),
  0)</f>
        <v/>
      </c>
      <c r="AM205" s="299">
        <f>IF(AND($F205&lt;=AM$2, OR($G205="",$G205&gt;=AM$2)),
  $H205 * (1 + Assumptions!$C$7) ^ INT(((YEAR(AM$2)-YEAR($F205))*12 + MONTH(AM$2)-MONTH($F205)) / 12),
  0)</f>
        <v/>
      </c>
      <c r="AN205" s="299">
        <f>IF(AND($F205&lt;=AN$2, OR($G205="",$G205&gt;=AN$2)),
  $H205 * (1 + Assumptions!$C$7) ^ INT(((YEAR(AN$2)-YEAR($F205))*12 + MONTH(AN$2)-MONTH($F205)) / 12),
  0)</f>
        <v/>
      </c>
      <c r="AO205" s="299">
        <f>IF(AND($F205&lt;=AO$2, OR($G205="",$G205&gt;=AO$2)),
  $H205 * (1 + Assumptions!$C$7) ^ INT(((YEAR(AO$2)-YEAR($F205))*12 + MONTH(AO$2)-MONTH($F205)) / 12),
  0)</f>
        <v/>
      </c>
      <c r="AP205" s="299">
        <f>IF(AND($F205&lt;=AP$2, OR($G205="",$G205&gt;=AP$2)),
  $H205 * (1 + Assumptions!$C$7) ^ INT(((YEAR(AP$2)-YEAR($F205))*12 + MONTH(AP$2)-MONTH($F205)) / 12),
  0)</f>
        <v/>
      </c>
      <c r="AQ205" s="299">
        <f>IF(AND($F205&lt;=AQ$2, OR($G205="",$G205&gt;=AQ$2)),
  $H205 * (1 + Assumptions!$C$7) ^ INT(((YEAR(AQ$2)-YEAR($F205))*12 + MONTH(AQ$2)-MONTH($F205)) / 12),
  0)</f>
        <v/>
      </c>
      <c r="AR205" s="299">
        <f>IF(AND($F205&lt;=AR$2, OR($G205="",$G205&gt;=AR$2)),
  $H205 * (1 + Assumptions!$C$7) ^ INT(((YEAR(AR$2)-YEAR($F205))*12 + MONTH(AR$2)-MONTH($F205)) / 12),
  0)</f>
        <v/>
      </c>
      <c r="AS205" s="299">
        <f>IF(AND($F205&lt;=AS$2, OR($G205="",$G205&gt;=AS$2)),
  $H205 * (1 + Assumptions!$C$7) ^ INT(((YEAR(AS$2)-YEAR($F205))*12 + MONTH(AS$2)-MONTH($F205)) / 12),
  0)</f>
        <v/>
      </c>
      <c r="AT205" s="299">
        <f>IF(AND($F205&lt;=AT$2, OR($G205="",$G205&gt;=AT$2)),
  $H205 * (1 + Assumptions!$C$7) ^ INT(((YEAR(AT$2)-YEAR($F205))*12 + MONTH(AT$2)-MONTH($F205)) / 12),
  0)</f>
        <v/>
      </c>
      <c r="AU205" s="299">
        <f>IF(AND($F205&lt;=AU$2, OR($G205="",$G205&gt;=AU$2)),
  $H205 * (1 + Assumptions!$C$7) ^ INT(((YEAR(AU$2)-YEAR($F205))*12 + MONTH(AU$2)-MONTH($F205)) / 12),
  0)</f>
        <v/>
      </c>
      <c r="AV205" s="299">
        <f>IF(AND($F205&lt;=AV$2, OR($G205="",$G205&gt;=AV$2)),
  $H205 * (1 + Assumptions!$C$7) ^ INT(((YEAR(AV$2)-YEAR($F205))*12 + MONTH(AV$2)-MONTH($F205)) / 12),
  0)</f>
        <v/>
      </c>
      <c r="AW205" s="299">
        <f>IF(AND($F205&lt;=AW$2, OR($G205="",$G205&gt;=AW$2)),
  $H205 * (1 + Assumptions!$C$7) ^ INT(((YEAR(AW$2)-YEAR($F205))*12 + MONTH(AW$2)-MONTH($F205)) / 12),
  0)</f>
        <v/>
      </c>
      <c r="AX205" s="299">
        <f>IF(AND($F205&lt;=AX$2, OR($G205="",$G205&gt;=AX$2)),
  $H205 * (1 + Assumptions!$C$7) ^ INT(((YEAR(AX$2)-YEAR($F205))*12 + MONTH(AX$2)-MONTH($F205)) / 12),
  0)</f>
        <v/>
      </c>
      <c r="AY205" s="299">
        <f>IF(AND($F205&lt;=AY$2, OR($G205="",$G205&gt;=AY$2)),
  $H205 * (1 + Assumptions!$C$7) ^ INT(((YEAR(AY$2)-YEAR($F205))*12 + MONTH(AY$2)-MONTH($F205)) / 12),
  0)</f>
        <v/>
      </c>
      <c r="AZ205" s="299">
        <f>IF(AND($F205&lt;=AZ$2, OR($G205="",$G205&gt;=AZ$2)),
  $H205 * (1 + Assumptions!$C$7) ^ INT(((YEAR(AZ$2)-YEAR($F205))*12 + MONTH(AZ$2)-MONTH($F205)) / 12),
  0)</f>
        <v/>
      </c>
      <c r="BA205" s="299">
        <f>IF(AND($F205&lt;=BA$2, OR($G205="",$G205&gt;=BA$2)),
  $H205 * (1 + Assumptions!$C$7) ^ INT(((YEAR(BA$2)-YEAR($F205))*12 + MONTH(BA$2)-MONTH($F205)) / 12),
  0)</f>
        <v/>
      </c>
      <c r="BB205" s="299">
        <f>IF(AND($F205&lt;=BB$2, OR($G205="",$G205&gt;=BB$2)),
  $H205 * (1 + Assumptions!$C$7) ^ INT(((YEAR(BB$2)-YEAR($F205))*12 + MONTH(BB$2)-MONTH($F205)) / 12),
  0)</f>
        <v/>
      </c>
      <c r="BC205" s="299">
        <f>IF(AND($F205&lt;=BC$2, OR($G205="",$G205&gt;=BC$2)),
  $H205 * (1 + Assumptions!$C$7) ^ INT(((YEAR(BC$2)-YEAR($F205))*12 + MONTH(BC$2)-MONTH($F205)) / 12),
  0)</f>
        <v/>
      </c>
      <c r="BD205" s="299">
        <f>IF(AND($F205&lt;=BD$2, OR($G205="",$G205&gt;=BD$2)),
  $H205 * (1 + Assumptions!$C$7) ^ INT(((YEAR(BD$2)-YEAR($F205))*12 + MONTH(BD$2)-MONTH($F205)) / 12),
  0)</f>
        <v/>
      </c>
      <c r="BE205" s="299">
        <f>IF(AND($F205&lt;=BE$2, OR($G205="",$G205&gt;=BE$2)),
  $H205 * (1 + Assumptions!$C$7) ^ INT(((YEAR(BE$2)-YEAR($F205))*12 + MONTH(BE$2)-MONTH($F205)) / 12),
  0)</f>
        <v/>
      </c>
      <c r="BF205" s="299">
        <f>IF(AND($F205&lt;=BF$2, OR($G205="",$G205&gt;=BF$2)),
  $H205 * (1 + Assumptions!$C$7) ^ INT(((YEAR(BF$2)-YEAR($F205))*12 + MONTH(BF$2)-MONTH($F205)) / 12),
  0)</f>
        <v/>
      </c>
      <c r="BG205" s="299">
        <f>IF(AND($F205&lt;=BG$2, OR($G205="",$G205&gt;=BG$2)),
  $H205 * (1 + Assumptions!$C$7) ^ INT(((YEAR(BG$2)-YEAR($F205))*12 + MONTH(BG$2)-MONTH($F205)) / 12),
  0)</f>
        <v/>
      </c>
      <c r="BH205" s="299">
        <f>IF(AND($F205&lt;=BH$2, OR($G205="",$G205&gt;=BH$2)),
  $H205 * (1 + Assumptions!$C$7) ^ INT(((YEAR(BH$2)-YEAR($F205))*12 + MONTH(BH$2)-MONTH($F205)) / 12),
  0)</f>
        <v/>
      </c>
      <c r="BI205" s="299">
        <f>IF(AND($F205&lt;=BI$2, OR($G205="",$G205&gt;=BI$2)),
  $H205 * (1 + Assumptions!$C$7) ^ INT(((YEAR(BI$2)-YEAR($F205))*12 + MONTH(BI$2)-MONTH($F205)) / 12),
  0)</f>
        <v/>
      </c>
      <c r="BJ205" s="299">
        <f>IF(AND($F205&lt;=BJ$2, OR($G205="",$G205&gt;=BJ$2)),
  $H205 * (1 + Assumptions!$C$7) ^ INT(((YEAR(BJ$2)-YEAR($F205))*12 + MONTH(BJ$2)-MONTH($F205)) / 12),
  0)</f>
        <v/>
      </c>
      <c r="BK205" s="299">
        <f>IF(AND($F205&lt;=BK$2, OR($G205="",$G205&gt;=BK$2)),
  $H205 * (1 + Assumptions!$C$7) ^ INT(((YEAR(BK$2)-YEAR($F205))*12 + MONTH(BK$2)-MONTH($F205)) / 12),
  0)</f>
        <v/>
      </c>
      <c r="BL205" s="299">
        <f>IF(AND($F205&lt;=BL$2, OR($G205="",$G205&gt;=BL$2)),
  $H205 * (1 + Assumptions!$C$7) ^ INT(((YEAR(BL$2)-YEAR($F205))*12 + MONTH(BL$2)-MONTH($F205)) / 12),
  0)</f>
        <v/>
      </c>
      <c r="BM205" s="299">
        <f>IF(AND($F205&lt;=BM$2, OR($G205="",$G205&gt;=BM$2)),
  $H205 * (1 + Assumptions!$C$7) ^ INT(((YEAR(BM$2)-YEAR($F205))*12 + MONTH(BM$2)-MONTH($F205)) / 12),
  0)</f>
        <v/>
      </c>
      <c r="BN205" s="299">
        <f>IF(AND($F205&lt;=BN$2, OR($G205="",$G205&gt;=BN$2)),
  $H205 * (1 + Assumptions!$C$7) ^ INT(((YEAR(BN$2)-YEAR($F205))*12 + MONTH(BN$2)-MONTH($F205)) / 12),
  0)</f>
        <v/>
      </c>
      <c r="BO205" s="299">
        <f>IF(AND($F205&lt;=BO$2, OR($G205="",$G205&gt;=BO$2)),
  $H205 * (1 + Assumptions!$C$7) ^ INT(((YEAR(BO$2)-YEAR($F205))*12 + MONTH(BO$2)-MONTH($F205)) / 12),
  0)</f>
        <v/>
      </c>
      <c r="BP205" s="299">
        <f>IF(AND($F205&lt;=BP$2, OR($G205="",$G205&gt;=BP$2)),
  $H205 * (1 + Assumptions!$C$7) ^ INT(((YEAR(BP$2)-YEAR($F205))*12 + MONTH(BP$2)-MONTH($F205)) / 12),
  0)</f>
        <v/>
      </c>
      <c r="BQ205" s="31" t="n"/>
      <c r="BR205" s="31" t="n"/>
      <c r="BS205" s="31" t="n"/>
      <c r="BT205" s="31" t="n"/>
    </row>
    <row r="206" ht="15.75" customHeight="1" s="349">
      <c r="A206" s="321" t="n">
        <v>201</v>
      </c>
      <c r="B206" s="285" t="inlineStr">
        <is>
          <t>New hire</t>
        </is>
      </c>
      <c r="C206" s="317" t="inlineStr">
        <is>
          <t>G&amp;A</t>
        </is>
      </c>
      <c r="D206" s="317" t="inlineStr">
        <is>
          <t>Finance / HR / IT / Legal</t>
        </is>
      </c>
      <c r="E206" s="297" t="inlineStr">
        <is>
          <t>Planned</t>
        </is>
      </c>
      <c r="F206" s="318">
        <f>IF(Assumptions!$D$82=2,DATE(2029,10,1),DATE(2035,1,1))</f>
        <v/>
      </c>
      <c r="G206" s="318" t="n"/>
      <c r="H206" s="288" t="n">
        <v>7000</v>
      </c>
      <c r="I206" s="299">
        <f>IF(AND($F206&lt;=I$2, OR($G206="",$G206&gt;=I$2)),
  $H206 * (1 + Assumptions!$C$7) ^ INT(((YEAR(I$2)-YEAR($F206))*12 + MONTH(I$2)-MONTH($F206)) / 12),
  0)</f>
        <v/>
      </c>
      <c r="J206" s="299">
        <f>IF(AND($F206&lt;=J$2, OR($G206="",$G206&gt;=J$2)),
  $H206 * (1 + Assumptions!$C$7) ^ INT(((YEAR(J$2)-YEAR($F206))*12 + MONTH(J$2)-MONTH($F206)) / 12),
  0)</f>
        <v/>
      </c>
      <c r="K206" s="299">
        <f>IF(AND($F206&lt;=K$2, OR($G206="",$G206&gt;=K$2)),
  $H206 * (1 + Assumptions!$C$7) ^ INT(((YEAR(K$2)-YEAR($F206))*12 + MONTH(K$2)-MONTH($F206)) / 12),
  0)</f>
        <v/>
      </c>
      <c r="L206" s="299">
        <f>IF(AND($F206&lt;=L$2, OR($G206="",$G206&gt;=L$2)),
  $H206 * (1 + Assumptions!$C$7) ^ INT(((YEAR(L$2)-YEAR($F206))*12 + MONTH(L$2)-MONTH($F206)) / 12),
  0)</f>
        <v/>
      </c>
      <c r="M206" s="299">
        <f>IF(AND($F206&lt;=M$2, OR($G206="",$G206&gt;=M$2)),
  $H206 * (1 + Assumptions!$C$7) ^ INT(((YEAR(M$2)-YEAR($F206))*12 + MONTH(M$2)-MONTH($F206)) / 12),
  0)</f>
        <v/>
      </c>
      <c r="N206" s="299">
        <f>IF(AND($F206&lt;=N$2, OR($G206="",$G206&gt;=N$2)),
  $H206 * (1 + Assumptions!$C$7) ^ INT(((YEAR(N$2)-YEAR($F206))*12 + MONTH(N$2)-MONTH($F206)) / 12),
  0)</f>
        <v/>
      </c>
      <c r="O206" s="299">
        <f>IF(AND($F206&lt;=O$2, OR($G206="",$G206&gt;=O$2)),
  $H206 * (1 + Assumptions!$C$7) ^ INT(((YEAR(O$2)-YEAR($F206))*12 + MONTH(O$2)-MONTH($F206)) / 12),
  0)</f>
        <v/>
      </c>
      <c r="P206" s="299">
        <f>IF(AND($F206&lt;=P$2, OR($G206="",$G206&gt;=P$2)),
  $H206 * (1 + Assumptions!$C$7) ^ INT(((YEAR(P$2)-YEAR($F206))*12 + MONTH(P$2)-MONTH($F206)) / 12),
  0)</f>
        <v/>
      </c>
      <c r="Q206" s="299">
        <f>IF(AND($F206&lt;=Q$2, OR($G206="",$G206&gt;=Q$2)),
  $H206 * (1 + Assumptions!$C$7) ^ INT(((YEAR(Q$2)-YEAR($F206))*12 + MONTH(Q$2)-MONTH($F206)) / 12),
  0)</f>
        <v/>
      </c>
      <c r="R206" s="299">
        <f>IF(AND($F206&lt;=R$2, OR($G206="",$G206&gt;=R$2)),
  $H206 * (1 + Assumptions!$C$7) ^ INT(((YEAR(R$2)-YEAR($F206))*12 + MONTH(R$2)-MONTH($F206)) / 12),
  0)</f>
        <v/>
      </c>
      <c r="S206" s="299">
        <f>IF(AND($F206&lt;=S$2, OR($G206="",$G206&gt;=S$2)),
  $H206 * (1 + Assumptions!$C$7) ^ INT(((YEAR(S$2)-YEAR($F206))*12 + MONTH(S$2)-MONTH($F206)) / 12),
  0)</f>
        <v/>
      </c>
      <c r="T206" s="299">
        <f>IF(AND($F206&lt;=T$2, OR($G206="",$G206&gt;=T$2)),
  $H206 * (1 + Assumptions!$C$7) ^ INT(((YEAR(T$2)-YEAR($F206))*12 + MONTH(T$2)-MONTH($F206)) / 12),
  0)</f>
        <v/>
      </c>
      <c r="U206" s="299">
        <f>IF(AND($F206&lt;=U$2, OR($G206="",$G206&gt;=U$2)),
  $H206 * (1 + Assumptions!$C$7) ^ INT(((YEAR(U$2)-YEAR($F206))*12 + MONTH(U$2)-MONTH($F206)) / 12),
  0)</f>
        <v/>
      </c>
      <c r="V206" s="299">
        <f>IF(AND($F206&lt;=V$2, OR($G206="",$G206&gt;=V$2)),
  $H206 * (1 + Assumptions!$C$7) ^ INT(((YEAR(V$2)-YEAR($F206))*12 + MONTH(V$2)-MONTH($F206)) / 12),
  0)</f>
        <v/>
      </c>
      <c r="W206" s="299">
        <f>IF(AND($F206&lt;=W$2, OR($G206="",$G206&gt;=W$2)),
  $H206 * (1 + Assumptions!$C$7) ^ INT(((YEAR(W$2)-YEAR($F206))*12 + MONTH(W$2)-MONTH($F206)) / 12),
  0)</f>
        <v/>
      </c>
      <c r="X206" s="299">
        <f>IF(AND($F206&lt;=X$2, OR($G206="",$G206&gt;=X$2)),
  $H206 * (1 + Assumptions!$C$7) ^ INT(((YEAR(X$2)-YEAR($F206))*12 + MONTH(X$2)-MONTH($F206)) / 12),
  0)</f>
        <v/>
      </c>
      <c r="Y206" s="299">
        <f>IF(AND($F206&lt;=Y$2, OR($G206="",$G206&gt;=Y$2)),
  $H206 * (1 + Assumptions!$C$7) ^ INT(((YEAR(Y$2)-YEAR($F206))*12 + MONTH(Y$2)-MONTH($F206)) / 12),
  0)</f>
        <v/>
      </c>
      <c r="Z206" s="299">
        <f>IF(AND($F206&lt;=Z$2, OR($G206="",$G206&gt;=Z$2)),
  $H206 * (1 + Assumptions!$C$7) ^ INT(((YEAR(Z$2)-YEAR($F206))*12 + MONTH(Z$2)-MONTH($F206)) / 12),
  0)</f>
        <v/>
      </c>
      <c r="AA206" s="299">
        <f>IF(AND($F206&lt;=AA$2, OR($G206="",$G206&gt;=AA$2)),
  $H206 * (1 + Assumptions!$C$7) ^ INT(((YEAR(AA$2)-YEAR($F206))*12 + MONTH(AA$2)-MONTH($F206)) / 12),
  0)</f>
        <v/>
      </c>
      <c r="AB206" s="299">
        <f>IF(AND($F206&lt;=AB$2, OR($G206="",$G206&gt;=AB$2)),
  $H206 * (1 + Assumptions!$C$7) ^ INT(((YEAR(AB$2)-YEAR($F206))*12 + MONTH(AB$2)-MONTH($F206)) / 12),
  0)</f>
        <v/>
      </c>
      <c r="AC206" s="299">
        <f>IF(AND($F206&lt;=AC$2, OR($G206="",$G206&gt;=AC$2)),
  $H206 * (1 + Assumptions!$C$7) ^ INT(((YEAR(AC$2)-YEAR($F206))*12 + MONTH(AC$2)-MONTH($F206)) / 12),
  0)</f>
        <v/>
      </c>
      <c r="AD206" s="299">
        <f>IF(AND($F206&lt;=AD$2, OR($G206="",$G206&gt;=AD$2)),
  $H206 * (1 + Assumptions!$C$7) ^ INT(((YEAR(AD$2)-YEAR($F206))*12 + MONTH(AD$2)-MONTH($F206)) / 12),
  0)</f>
        <v/>
      </c>
      <c r="AE206" s="299">
        <f>IF(AND($F206&lt;=AE$2, OR($G206="",$G206&gt;=AE$2)),
  $H206 * (1 + Assumptions!$C$7) ^ INT(((YEAR(AE$2)-YEAR($F206))*12 + MONTH(AE$2)-MONTH($F206)) / 12),
  0)</f>
        <v/>
      </c>
      <c r="AF206" s="299">
        <f>IF(AND($F206&lt;=AF$2, OR($G206="",$G206&gt;=AF$2)),
  $H206 * (1 + Assumptions!$C$7) ^ INT(((YEAR(AF$2)-YEAR($F206))*12 + MONTH(AF$2)-MONTH($F206)) / 12),
  0)</f>
        <v/>
      </c>
      <c r="AG206" s="299">
        <f>IF(AND($F206&lt;=AG$2, OR($G206="",$G206&gt;=AG$2)),
  $H206 * (1 + Assumptions!$C$7) ^ INT(((YEAR(AG$2)-YEAR($F206))*12 + MONTH(AG$2)-MONTH($F206)) / 12),
  0)</f>
        <v/>
      </c>
      <c r="AH206" s="299">
        <f>IF(AND($F206&lt;=AH$2, OR($G206="",$G206&gt;=AH$2)),
  $H206 * (1 + Assumptions!$C$7) ^ INT(((YEAR(AH$2)-YEAR($F206))*12 + MONTH(AH$2)-MONTH($F206)) / 12),
  0)</f>
        <v/>
      </c>
      <c r="AI206" s="299">
        <f>IF(AND($F206&lt;=AI$2, OR($G206="",$G206&gt;=AI$2)),
  $H206 * (1 + Assumptions!$C$7) ^ INT(((YEAR(AI$2)-YEAR($F206))*12 + MONTH(AI$2)-MONTH($F206)) / 12),
  0)</f>
        <v/>
      </c>
      <c r="AJ206" s="299">
        <f>IF(AND($F206&lt;=AJ$2, OR($G206="",$G206&gt;=AJ$2)),
  $H206 * (1 + Assumptions!$C$7) ^ INT(((YEAR(AJ$2)-YEAR($F206))*12 + MONTH(AJ$2)-MONTH($F206)) / 12),
  0)</f>
        <v/>
      </c>
      <c r="AK206" s="299">
        <f>IF(AND($F206&lt;=AK$2, OR($G206="",$G206&gt;=AK$2)),
  $H206 * (1 + Assumptions!$C$7) ^ INT(((YEAR(AK$2)-YEAR($F206))*12 + MONTH(AK$2)-MONTH($F206)) / 12),
  0)</f>
        <v/>
      </c>
      <c r="AL206" s="299">
        <f>IF(AND($F206&lt;=AL$2, OR($G206="",$G206&gt;=AL$2)),
  $H206 * (1 + Assumptions!$C$7) ^ INT(((YEAR(AL$2)-YEAR($F206))*12 + MONTH(AL$2)-MONTH($F206)) / 12),
  0)</f>
        <v/>
      </c>
      <c r="AM206" s="299">
        <f>IF(AND($F206&lt;=AM$2, OR($G206="",$G206&gt;=AM$2)),
  $H206 * (1 + Assumptions!$C$7) ^ INT(((YEAR(AM$2)-YEAR($F206))*12 + MONTH(AM$2)-MONTH($F206)) / 12),
  0)</f>
        <v/>
      </c>
      <c r="AN206" s="299">
        <f>IF(AND($F206&lt;=AN$2, OR($G206="",$G206&gt;=AN$2)),
  $H206 * (1 + Assumptions!$C$7) ^ INT(((YEAR(AN$2)-YEAR($F206))*12 + MONTH(AN$2)-MONTH($F206)) / 12),
  0)</f>
        <v/>
      </c>
      <c r="AO206" s="299">
        <f>IF(AND($F206&lt;=AO$2, OR($G206="",$G206&gt;=AO$2)),
  $H206 * (1 + Assumptions!$C$7) ^ INT(((YEAR(AO$2)-YEAR($F206))*12 + MONTH(AO$2)-MONTH($F206)) / 12),
  0)</f>
        <v/>
      </c>
      <c r="AP206" s="299">
        <f>IF(AND($F206&lt;=AP$2, OR($G206="",$G206&gt;=AP$2)),
  $H206 * (1 + Assumptions!$C$7) ^ INT(((YEAR(AP$2)-YEAR($F206))*12 + MONTH(AP$2)-MONTH($F206)) / 12),
  0)</f>
        <v/>
      </c>
      <c r="AQ206" s="299">
        <f>IF(AND($F206&lt;=AQ$2, OR($G206="",$G206&gt;=AQ$2)),
  $H206 * (1 + Assumptions!$C$7) ^ INT(((YEAR(AQ$2)-YEAR($F206))*12 + MONTH(AQ$2)-MONTH($F206)) / 12),
  0)</f>
        <v/>
      </c>
      <c r="AR206" s="299">
        <f>IF(AND($F206&lt;=AR$2, OR($G206="",$G206&gt;=AR$2)),
  $H206 * (1 + Assumptions!$C$7) ^ INT(((YEAR(AR$2)-YEAR($F206))*12 + MONTH(AR$2)-MONTH($F206)) / 12),
  0)</f>
        <v/>
      </c>
      <c r="AS206" s="299">
        <f>IF(AND($F206&lt;=AS$2, OR($G206="",$G206&gt;=AS$2)),
  $H206 * (1 + Assumptions!$C$7) ^ INT(((YEAR(AS$2)-YEAR($F206))*12 + MONTH(AS$2)-MONTH($F206)) / 12),
  0)</f>
        <v/>
      </c>
      <c r="AT206" s="299">
        <f>IF(AND($F206&lt;=AT$2, OR($G206="",$G206&gt;=AT$2)),
  $H206 * (1 + Assumptions!$C$7) ^ INT(((YEAR(AT$2)-YEAR($F206))*12 + MONTH(AT$2)-MONTH($F206)) / 12),
  0)</f>
        <v/>
      </c>
      <c r="AU206" s="299">
        <f>IF(AND($F206&lt;=AU$2, OR($G206="",$G206&gt;=AU$2)),
  $H206 * (1 + Assumptions!$C$7) ^ INT(((YEAR(AU$2)-YEAR($F206))*12 + MONTH(AU$2)-MONTH($F206)) / 12),
  0)</f>
        <v/>
      </c>
      <c r="AV206" s="299">
        <f>IF(AND($F206&lt;=AV$2, OR($G206="",$G206&gt;=AV$2)),
  $H206 * (1 + Assumptions!$C$7) ^ INT(((YEAR(AV$2)-YEAR($F206))*12 + MONTH(AV$2)-MONTH($F206)) / 12),
  0)</f>
        <v/>
      </c>
      <c r="AW206" s="299">
        <f>IF(AND($F206&lt;=AW$2, OR($G206="",$G206&gt;=AW$2)),
  $H206 * (1 + Assumptions!$C$7) ^ INT(((YEAR(AW$2)-YEAR($F206))*12 + MONTH(AW$2)-MONTH($F206)) / 12),
  0)</f>
        <v/>
      </c>
      <c r="AX206" s="299">
        <f>IF(AND($F206&lt;=AX$2, OR($G206="",$G206&gt;=AX$2)),
  $H206 * (1 + Assumptions!$C$7) ^ INT(((YEAR(AX$2)-YEAR($F206))*12 + MONTH(AX$2)-MONTH($F206)) / 12),
  0)</f>
        <v/>
      </c>
      <c r="AY206" s="299">
        <f>IF(AND($F206&lt;=AY$2, OR($G206="",$G206&gt;=AY$2)),
  $H206 * (1 + Assumptions!$C$7) ^ INT(((YEAR(AY$2)-YEAR($F206))*12 + MONTH(AY$2)-MONTH($F206)) / 12),
  0)</f>
        <v/>
      </c>
      <c r="AZ206" s="299">
        <f>IF(AND($F206&lt;=AZ$2, OR($G206="",$G206&gt;=AZ$2)),
  $H206 * (1 + Assumptions!$C$7) ^ INT(((YEAR(AZ$2)-YEAR($F206))*12 + MONTH(AZ$2)-MONTH($F206)) / 12),
  0)</f>
        <v/>
      </c>
      <c r="BA206" s="299">
        <f>IF(AND($F206&lt;=BA$2, OR($G206="",$G206&gt;=BA$2)),
  $H206 * (1 + Assumptions!$C$7) ^ INT(((YEAR(BA$2)-YEAR($F206))*12 + MONTH(BA$2)-MONTH($F206)) / 12),
  0)</f>
        <v/>
      </c>
      <c r="BB206" s="299">
        <f>IF(AND($F206&lt;=BB$2, OR($G206="",$G206&gt;=BB$2)),
  $H206 * (1 + Assumptions!$C$7) ^ INT(((YEAR(BB$2)-YEAR($F206))*12 + MONTH(BB$2)-MONTH($F206)) / 12),
  0)</f>
        <v/>
      </c>
      <c r="BC206" s="299">
        <f>IF(AND($F206&lt;=BC$2, OR($G206="",$G206&gt;=BC$2)),
  $H206 * (1 + Assumptions!$C$7) ^ INT(((YEAR(BC$2)-YEAR($F206))*12 + MONTH(BC$2)-MONTH($F206)) / 12),
  0)</f>
        <v/>
      </c>
      <c r="BD206" s="299">
        <f>IF(AND($F206&lt;=BD$2, OR($G206="",$G206&gt;=BD$2)),
  $H206 * (1 + Assumptions!$C$7) ^ INT(((YEAR(BD$2)-YEAR($F206))*12 + MONTH(BD$2)-MONTH($F206)) / 12),
  0)</f>
        <v/>
      </c>
      <c r="BE206" s="299">
        <f>IF(AND($F206&lt;=BE$2, OR($G206="",$G206&gt;=BE$2)),
  $H206 * (1 + Assumptions!$C$7) ^ INT(((YEAR(BE$2)-YEAR($F206))*12 + MONTH(BE$2)-MONTH($F206)) / 12),
  0)</f>
        <v/>
      </c>
      <c r="BF206" s="299">
        <f>IF(AND($F206&lt;=BF$2, OR($G206="",$G206&gt;=BF$2)),
  $H206 * (1 + Assumptions!$C$7) ^ INT(((YEAR(BF$2)-YEAR($F206))*12 + MONTH(BF$2)-MONTH($F206)) / 12),
  0)</f>
        <v/>
      </c>
      <c r="BG206" s="299">
        <f>IF(AND($F206&lt;=BG$2, OR($G206="",$G206&gt;=BG$2)),
  $H206 * (1 + Assumptions!$C$7) ^ INT(((YEAR(BG$2)-YEAR($F206))*12 + MONTH(BG$2)-MONTH($F206)) / 12),
  0)</f>
        <v/>
      </c>
      <c r="BH206" s="299">
        <f>IF(AND($F206&lt;=BH$2, OR($G206="",$G206&gt;=BH$2)),
  $H206 * (1 + Assumptions!$C$7) ^ INT(((YEAR(BH$2)-YEAR($F206))*12 + MONTH(BH$2)-MONTH($F206)) / 12),
  0)</f>
        <v/>
      </c>
      <c r="BI206" s="299">
        <f>IF(AND($F206&lt;=BI$2, OR($G206="",$G206&gt;=BI$2)),
  $H206 * (1 + Assumptions!$C$7) ^ INT(((YEAR(BI$2)-YEAR($F206))*12 + MONTH(BI$2)-MONTH($F206)) / 12),
  0)</f>
        <v/>
      </c>
      <c r="BJ206" s="299">
        <f>IF(AND($F206&lt;=BJ$2, OR($G206="",$G206&gt;=BJ$2)),
  $H206 * (1 + Assumptions!$C$7) ^ INT(((YEAR(BJ$2)-YEAR($F206))*12 + MONTH(BJ$2)-MONTH($F206)) / 12),
  0)</f>
        <v/>
      </c>
      <c r="BK206" s="299">
        <f>IF(AND($F206&lt;=BK$2, OR($G206="",$G206&gt;=BK$2)),
  $H206 * (1 + Assumptions!$C$7) ^ INT(((YEAR(BK$2)-YEAR($F206))*12 + MONTH(BK$2)-MONTH($F206)) / 12),
  0)</f>
        <v/>
      </c>
      <c r="BL206" s="299">
        <f>IF(AND($F206&lt;=BL$2, OR($G206="",$G206&gt;=BL$2)),
  $H206 * (1 + Assumptions!$C$7) ^ INT(((YEAR(BL$2)-YEAR($F206))*12 + MONTH(BL$2)-MONTH($F206)) / 12),
  0)</f>
        <v/>
      </c>
      <c r="BM206" s="299">
        <f>IF(AND($F206&lt;=BM$2, OR($G206="",$G206&gt;=BM$2)),
  $H206 * (1 + Assumptions!$C$7) ^ INT(((YEAR(BM$2)-YEAR($F206))*12 + MONTH(BM$2)-MONTH($F206)) / 12),
  0)</f>
        <v/>
      </c>
      <c r="BN206" s="299">
        <f>IF(AND($F206&lt;=BN$2, OR($G206="",$G206&gt;=BN$2)),
  $H206 * (1 + Assumptions!$C$7) ^ INT(((YEAR(BN$2)-YEAR($F206))*12 + MONTH(BN$2)-MONTH($F206)) / 12),
  0)</f>
        <v/>
      </c>
      <c r="BO206" s="299">
        <f>IF(AND($F206&lt;=BO$2, OR($G206="",$G206&gt;=BO$2)),
  $H206 * (1 + Assumptions!$C$7) ^ INT(((YEAR(BO$2)-YEAR($F206))*12 + MONTH(BO$2)-MONTH($F206)) / 12),
  0)</f>
        <v/>
      </c>
      <c r="BP206" s="299">
        <f>IF(AND($F206&lt;=BP$2, OR($G206="",$G206&gt;=BP$2)),
  $H206 * (1 + Assumptions!$C$7) ^ INT(((YEAR(BP$2)-YEAR($F206))*12 + MONTH(BP$2)-MONTH($F206)) / 12),
  0)</f>
        <v/>
      </c>
      <c r="BQ206" s="31" t="n"/>
      <c r="BR206" s="31" t="n"/>
      <c r="BS206" s="31" t="n"/>
      <c r="BT206" s="31" t="n"/>
    </row>
    <row r="207" ht="15.75" customHeight="1" s="349">
      <c r="A207" s="321" t="n">
        <v>202</v>
      </c>
      <c r="B207" s="285" t="inlineStr">
        <is>
          <t>New hire</t>
        </is>
      </c>
      <c r="C207" s="317" t="inlineStr">
        <is>
          <t>R&amp;D</t>
        </is>
      </c>
      <c r="D207" s="317" t="inlineStr">
        <is>
          <t>R&amp;D Engineer</t>
        </is>
      </c>
      <c r="E207" s="297" t="inlineStr">
        <is>
          <t>Planned</t>
        </is>
      </c>
      <c r="F207" s="318">
        <f>IF(Assumptions!$D$82=2,DATE(2028,1,1),DATE(2028,1,1))</f>
        <v/>
      </c>
      <c r="G207" s="318" t="n"/>
      <c r="H207" s="288" t="n">
        <v>8000</v>
      </c>
      <c r="I207" s="299">
        <f>IF(AND($F207&lt;=I$2, OR($G207="",$G207&gt;=I$2)),
  $H207 * (1 + Assumptions!$C$7) ^ INT(((YEAR(I$2)-YEAR($F207))*12 + MONTH(I$2)-MONTH($F207)) / 12),
  0)</f>
        <v/>
      </c>
      <c r="J207" s="299">
        <f>IF(AND($F207&lt;=J$2, OR($G207="",$G207&gt;=J$2)),
  $H207 * (1 + Assumptions!$C$7) ^ INT(((YEAR(J$2)-YEAR($F207))*12 + MONTH(J$2)-MONTH($F207)) / 12),
  0)</f>
        <v/>
      </c>
      <c r="K207" s="299">
        <f>IF(AND($F207&lt;=K$2, OR($G207="",$G207&gt;=K$2)),
  $H207 * (1 + Assumptions!$C$7) ^ INT(((YEAR(K$2)-YEAR($F207))*12 + MONTH(K$2)-MONTH($F207)) / 12),
  0)</f>
        <v/>
      </c>
      <c r="L207" s="299">
        <f>IF(AND($F207&lt;=L$2, OR($G207="",$G207&gt;=L$2)),
  $H207 * (1 + Assumptions!$C$7) ^ INT(((YEAR(L$2)-YEAR($F207))*12 + MONTH(L$2)-MONTH($F207)) / 12),
  0)</f>
        <v/>
      </c>
      <c r="M207" s="299">
        <f>IF(AND($F207&lt;=M$2, OR($G207="",$G207&gt;=M$2)),
  $H207 * (1 + Assumptions!$C$7) ^ INT(((YEAR(M$2)-YEAR($F207))*12 + MONTH(M$2)-MONTH($F207)) / 12),
  0)</f>
        <v/>
      </c>
      <c r="N207" s="299">
        <f>IF(AND($F207&lt;=N$2, OR($G207="",$G207&gt;=N$2)),
  $H207 * (1 + Assumptions!$C$7) ^ INT(((YEAR(N$2)-YEAR($F207))*12 + MONTH(N$2)-MONTH($F207)) / 12),
  0)</f>
        <v/>
      </c>
      <c r="O207" s="299">
        <f>IF(AND($F207&lt;=O$2, OR($G207="",$G207&gt;=O$2)),
  $H207 * (1 + Assumptions!$C$7) ^ INT(((YEAR(O$2)-YEAR($F207))*12 + MONTH(O$2)-MONTH($F207)) / 12),
  0)</f>
        <v/>
      </c>
      <c r="P207" s="299">
        <f>IF(AND($F207&lt;=P$2, OR($G207="",$G207&gt;=P$2)),
  $H207 * (1 + Assumptions!$C$7) ^ INT(((YEAR(P$2)-YEAR($F207))*12 + MONTH(P$2)-MONTH($F207)) / 12),
  0)</f>
        <v/>
      </c>
      <c r="Q207" s="299">
        <f>IF(AND($F207&lt;=Q$2, OR($G207="",$G207&gt;=Q$2)),
  $H207 * (1 + Assumptions!$C$7) ^ INT(((YEAR(Q$2)-YEAR($F207))*12 + MONTH(Q$2)-MONTH($F207)) / 12),
  0)</f>
        <v/>
      </c>
      <c r="R207" s="299">
        <f>IF(AND($F207&lt;=R$2, OR($G207="",$G207&gt;=R$2)),
  $H207 * (1 + Assumptions!$C$7) ^ INT(((YEAR(R$2)-YEAR($F207))*12 + MONTH(R$2)-MONTH($F207)) / 12),
  0)</f>
        <v/>
      </c>
      <c r="S207" s="299">
        <f>IF(AND($F207&lt;=S$2, OR($G207="",$G207&gt;=S$2)),
  $H207 * (1 + Assumptions!$C$7) ^ INT(((YEAR(S$2)-YEAR($F207))*12 + MONTH(S$2)-MONTH($F207)) / 12),
  0)</f>
        <v/>
      </c>
      <c r="T207" s="299">
        <f>IF(AND($F207&lt;=T$2, OR($G207="",$G207&gt;=T$2)),
  $H207 * (1 + Assumptions!$C$7) ^ INT(((YEAR(T$2)-YEAR($F207))*12 + MONTH(T$2)-MONTH($F207)) / 12),
  0)</f>
        <v/>
      </c>
      <c r="U207" s="299">
        <f>IF(AND($F207&lt;=U$2, OR($G207="",$G207&gt;=U$2)),
  $H207 * (1 + Assumptions!$C$7) ^ INT(((YEAR(U$2)-YEAR($F207))*12 + MONTH(U$2)-MONTH($F207)) / 12),
  0)</f>
        <v/>
      </c>
      <c r="V207" s="299">
        <f>IF(AND($F207&lt;=V$2, OR($G207="",$G207&gt;=V$2)),
  $H207 * (1 + Assumptions!$C$7) ^ INT(((YEAR(V$2)-YEAR($F207))*12 + MONTH(V$2)-MONTH($F207)) / 12),
  0)</f>
        <v/>
      </c>
      <c r="W207" s="299">
        <f>IF(AND($F207&lt;=W$2, OR($G207="",$G207&gt;=W$2)),
  $H207 * (1 + Assumptions!$C$7) ^ INT(((YEAR(W$2)-YEAR($F207))*12 + MONTH(W$2)-MONTH($F207)) / 12),
  0)</f>
        <v/>
      </c>
      <c r="X207" s="299">
        <f>IF(AND($F207&lt;=X$2, OR($G207="",$G207&gt;=X$2)),
  $H207 * (1 + Assumptions!$C$7) ^ INT(((YEAR(X$2)-YEAR($F207))*12 + MONTH(X$2)-MONTH($F207)) / 12),
  0)</f>
        <v/>
      </c>
      <c r="Y207" s="299">
        <f>IF(AND($F207&lt;=Y$2, OR($G207="",$G207&gt;=Y$2)),
  $H207 * (1 + Assumptions!$C$7) ^ INT(((YEAR(Y$2)-YEAR($F207))*12 + MONTH(Y$2)-MONTH($F207)) / 12),
  0)</f>
        <v/>
      </c>
      <c r="Z207" s="299">
        <f>IF(AND($F207&lt;=Z$2, OR($G207="",$G207&gt;=Z$2)),
  $H207 * (1 + Assumptions!$C$7) ^ INT(((YEAR(Z$2)-YEAR($F207))*12 + MONTH(Z$2)-MONTH($F207)) / 12),
  0)</f>
        <v/>
      </c>
      <c r="AA207" s="299">
        <f>IF(AND($F207&lt;=AA$2, OR($G207="",$G207&gt;=AA$2)),
  $H207 * (1 + Assumptions!$C$7) ^ INT(((YEAR(AA$2)-YEAR($F207))*12 + MONTH(AA$2)-MONTH($F207)) / 12),
  0)</f>
        <v/>
      </c>
      <c r="AB207" s="299">
        <f>IF(AND($F207&lt;=AB$2, OR($G207="",$G207&gt;=AB$2)),
  $H207 * (1 + Assumptions!$C$7) ^ INT(((YEAR(AB$2)-YEAR($F207))*12 + MONTH(AB$2)-MONTH($F207)) / 12),
  0)</f>
        <v/>
      </c>
      <c r="AC207" s="299">
        <f>IF(AND($F207&lt;=AC$2, OR($G207="",$G207&gt;=AC$2)),
  $H207 * (1 + Assumptions!$C$7) ^ INT(((YEAR(AC$2)-YEAR($F207))*12 + MONTH(AC$2)-MONTH($F207)) / 12),
  0)</f>
        <v/>
      </c>
      <c r="AD207" s="299">
        <f>IF(AND($F207&lt;=AD$2, OR($G207="",$G207&gt;=AD$2)),
  $H207 * (1 + Assumptions!$C$7) ^ INT(((YEAR(AD$2)-YEAR($F207))*12 + MONTH(AD$2)-MONTH($F207)) / 12),
  0)</f>
        <v/>
      </c>
      <c r="AE207" s="299">
        <f>IF(AND($F207&lt;=AE$2, OR($G207="",$G207&gt;=AE$2)),
  $H207 * (1 + Assumptions!$C$7) ^ INT(((YEAR(AE$2)-YEAR($F207))*12 + MONTH(AE$2)-MONTH($F207)) / 12),
  0)</f>
        <v/>
      </c>
      <c r="AF207" s="299">
        <f>IF(AND($F207&lt;=AF$2, OR($G207="",$G207&gt;=AF$2)),
  $H207 * (1 + Assumptions!$C$7) ^ INT(((YEAR(AF$2)-YEAR($F207))*12 + MONTH(AF$2)-MONTH($F207)) / 12),
  0)</f>
        <v/>
      </c>
      <c r="AG207" s="299">
        <f>IF(AND($F207&lt;=AG$2, OR($G207="",$G207&gt;=AG$2)),
  $H207 * (1 + Assumptions!$C$7) ^ INT(((YEAR(AG$2)-YEAR($F207))*12 + MONTH(AG$2)-MONTH($F207)) / 12),
  0)</f>
        <v/>
      </c>
      <c r="AH207" s="299">
        <f>IF(AND($F207&lt;=AH$2, OR($G207="",$G207&gt;=AH$2)),
  $H207 * (1 + Assumptions!$C$7) ^ INT(((YEAR(AH$2)-YEAR($F207))*12 + MONTH(AH$2)-MONTH($F207)) / 12),
  0)</f>
        <v/>
      </c>
      <c r="AI207" s="299">
        <f>IF(AND($F207&lt;=AI$2, OR($G207="",$G207&gt;=AI$2)),
  $H207 * (1 + Assumptions!$C$7) ^ INT(((YEAR(AI$2)-YEAR($F207))*12 + MONTH(AI$2)-MONTH($F207)) / 12),
  0)</f>
        <v/>
      </c>
      <c r="AJ207" s="299">
        <f>IF(AND($F207&lt;=AJ$2, OR($G207="",$G207&gt;=AJ$2)),
  $H207 * (1 + Assumptions!$C$7) ^ INT(((YEAR(AJ$2)-YEAR($F207))*12 + MONTH(AJ$2)-MONTH($F207)) / 12),
  0)</f>
        <v/>
      </c>
      <c r="AK207" s="299">
        <f>IF(AND($F207&lt;=AK$2, OR($G207="",$G207&gt;=AK$2)),
  $H207 * (1 + Assumptions!$C$7) ^ INT(((YEAR(AK$2)-YEAR($F207))*12 + MONTH(AK$2)-MONTH($F207)) / 12),
  0)</f>
        <v/>
      </c>
      <c r="AL207" s="299">
        <f>IF(AND($F207&lt;=AL$2, OR($G207="",$G207&gt;=AL$2)),
  $H207 * (1 + Assumptions!$C$7) ^ INT(((YEAR(AL$2)-YEAR($F207))*12 + MONTH(AL$2)-MONTH($F207)) / 12),
  0)</f>
        <v/>
      </c>
      <c r="AM207" s="299">
        <f>IF(AND($F207&lt;=AM$2, OR($G207="",$G207&gt;=AM$2)),
  $H207 * (1 + Assumptions!$C$7) ^ INT(((YEAR(AM$2)-YEAR($F207))*12 + MONTH(AM$2)-MONTH($F207)) / 12),
  0)</f>
        <v/>
      </c>
      <c r="AN207" s="299">
        <f>IF(AND($F207&lt;=AN$2, OR($G207="",$G207&gt;=AN$2)),
  $H207 * (1 + Assumptions!$C$7) ^ INT(((YEAR(AN$2)-YEAR($F207))*12 + MONTH(AN$2)-MONTH($F207)) / 12),
  0)</f>
        <v/>
      </c>
      <c r="AO207" s="299">
        <f>IF(AND($F207&lt;=AO$2, OR($G207="",$G207&gt;=AO$2)),
  $H207 * (1 + Assumptions!$C$7) ^ INT(((YEAR(AO$2)-YEAR($F207))*12 + MONTH(AO$2)-MONTH($F207)) / 12),
  0)</f>
        <v/>
      </c>
      <c r="AP207" s="299">
        <f>IF(AND($F207&lt;=AP$2, OR($G207="",$G207&gt;=AP$2)),
  $H207 * (1 + Assumptions!$C$7) ^ INT(((YEAR(AP$2)-YEAR($F207))*12 + MONTH(AP$2)-MONTH($F207)) / 12),
  0)</f>
        <v/>
      </c>
      <c r="AQ207" s="299">
        <f>IF(AND($F207&lt;=AQ$2, OR($G207="",$G207&gt;=AQ$2)),
  $H207 * (1 + Assumptions!$C$7) ^ INT(((YEAR(AQ$2)-YEAR($F207))*12 + MONTH(AQ$2)-MONTH($F207)) / 12),
  0)</f>
        <v/>
      </c>
      <c r="AR207" s="299">
        <f>IF(AND($F207&lt;=AR$2, OR($G207="",$G207&gt;=AR$2)),
  $H207 * (1 + Assumptions!$C$7) ^ INT(((YEAR(AR$2)-YEAR($F207))*12 + MONTH(AR$2)-MONTH($F207)) / 12),
  0)</f>
        <v/>
      </c>
      <c r="AS207" s="299">
        <f>IF(AND($F207&lt;=AS$2, OR($G207="",$G207&gt;=AS$2)),
  $H207 * (1 + Assumptions!$C$7) ^ INT(((YEAR(AS$2)-YEAR($F207))*12 + MONTH(AS$2)-MONTH($F207)) / 12),
  0)</f>
        <v/>
      </c>
      <c r="AT207" s="299">
        <f>IF(AND($F207&lt;=AT$2, OR($G207="",$G207&gt;=AT$2)),
  $H207 * (1 + Assumptions!$C$7) ^ INT(((YEAR(AT$2)-YEAR($F207))*12 + MONTH(AT$2)-MONTH($F207)) / 12),
  0)</f>
        <v/>
      </c>
      <c r="AU207" s="299">
        <f>IF(AND($F207&lt;=AU$2, OR($G207="",$G207&gt;=AU$2)),
  $H207 * (1 + Assumptions!$C$7) ^ INT(((YEAR(AU$2)-YEAR($F207))*12 + MONTH(AU$2)-MONTH($F207)) / 12),
  0)</f>
        <v/>
      </c>
      <c r="AV207" s="299">
        <f>IF(AND($F207&lt;=AV$2, OR($G207="",$G207&gt;=AV$2)),
  $H207 * (1 + Assumptions!$C$7) ^ INT(((YEAR(AV$2)-YEAR($F207))*12 + MONTH(AV$2)-MONTH($F207)) / 12),
  0)</f>
        <v/>
      </c>
      <c r="AW207" s="299">
        <f>IF(AND($F207&lt;=AW$2, OR($G207="",$G207&gt;=AW$2)),
  $H207 * (1 + Assumptions!$C$7) ^ INT(((YEAR(AW$2)-YEAR($F207))*12 + MONTH(AW$2)-MONTH($F207)) / 12),
  0)</f>
        <v/>
      </c>
      <c r="AX207" s="299">
        <f>IF(AND($F207&lt;=AX$2, OR($G207="",$G207&gt;=AX$2)),
  $H207 * (1 + Assumptions!$C$7) ^ INT(((YEAR(AX$2)-YEAR($F207))*12 + MONTH(AX$2)-MONTH($F207)) / 12),
  0)</f>
        <v/>
      </c>
      <c r="AY207" s="299">
        <f>IF(AND($F207&lt;=AY$2, OR($G207="",$G207&gt;=AY$2)),
  $H207 * (1 + Assumptions!$C$7) ^ INT(((YEAR(AY$2)-YEAR($F207))*12 + MONTH(AY$2)-MONTH($F207)) / 12),
  0)</f>
        <v/>
      </c>
      <c r="AZ207" s="299">
        <f>IF(AND($F207&lt;=AZ$2, OR($G207="",$G207&gt;=AZ$2)),
  $H207 * (1 + Assumptions!$C$7) ^ INT(((YEAR(AZ$2)-YEAR($F207))*12 + MONTH(AZ$2)-MONTH($F207)) / 12),
  0)</f>
        <v/>
      </c>
      <c r="BA207" s="299">
        <f>IF(AND($F207&lt;=BA$2, OR($G207="",$G207&gt;=BA$2)),
  $H207 * (1 + Assumptions!$C$7) ^ INT(((YEAR(BA$2)-YEAR($F207))*12 + MONTH(BA$2)-MONTH($F207)) / 12),
  0)</f>
        <v/>
      </c>
      <c r="BB207" s="299">
        <f>IF(AND($F207&lt;=BB$2, OR($G207="",$G207&gt;=BB$2)),
  $H207 * (1 + Assumptions!$C$7) ^ INT(((YEAR(BB$2)-YEAR($F207))*12 + MONTH(BB$2)-MONTH($F207)) / 12),
  0)</f>
        <v/>
      </c>
      <c r="BC207" s="299">
        <f>IF(AND($F207&lt;=BC$2, OR($G207="",$G207&gt;=BC$2)),
  $H207 * (1 + Assumptions!$C$7) ^ INT(((YEAR(BC$2)-YEAR($F207))*12 + MONTH(BC$2)-MONTH($F207)) / 12),
  0)</f>
        <v/>
      </c>
      <c r="BD207" s="299">
        <f>IF(AND($F207&lt;=BD$2, OR($G207="",$G207&gt;=BD$2)),
  $H207 * (1 + Assumptions!$C$7) ^ INT(((YEAR(BD$2)-YEAR($F207))*12 + MONTH(BD$2)-MONTH($F207)) / 12),
  0)</f>
        <v/>
      </c>
      <c r="BE207" s="299">
        <f>IF(AND($F207&lt;=BE$2, OR($G207="",$G207&gt;=BE$2)),
  $H207 * (1 + Assumptions!$C$7) ^ INT(((YEAR(BE$2)-YEAR($F207))*12 + MONTH(BE$2)-MONTH($F207)) / 12),
  0)</f>
        <v/>
      </c>
      <c r="BF207" s="299">
        <f>IF(AND($F207&lt;=BF$2, OR($G207="",$G207&gt;=BF$2)),
  $H207 * (1 + Assumptions!$C$7) ^ INT(((YEAR(BF$2)-YEAR($F207))*12 + MONTH(BF$2)-MONTH($F207)) / 12),
  0)</f>
        <v/>
      </c>
      <c r="BG207" s="299">
        <f>IF(AND($F207&lt;=BG$2, OR($G207="",$G207&gt;=BG$2)),
  $H207 * (1 + Assumptions!$C$7) ^ INT(((YEAR(BG$2)-YEAR($F207))*12 + MONTH(BG$2)-MONTH($F207)) / 12),
  0)</f>
        <v/>
      </c>
      <c r="BH207" s="299">
        <f>IF(AND($F207&lt;=BH$2, OR($G207="",$G207&gt;=BH$2)),
  $H207 * (1 + Assumptions!$C$7) ^ INT(((YEAR(BH$2)-YEAR($F207))*12 + MONTH(BH$2)-MONTH($F207)) / 12),
  0)</f>
        <v/>
      </c>
      <c r="BI207" s="299">
        <f>IF(AND($F207&lt;=BI$2, OR($G207="",$G207&gt;=BI$2)),
  $H207 * (1 + Assumptions!$C$7) ^ INT(((YEAR(BI$2)-YEAR($F207))*12 + MONTH(BI$2)-MONTH($F207)) / 12),
  0)</f>
        <v/>
      </c>
      <c r="BJ207" s="299">
        <f>IF(AND($F207&lt;=BJ$2, OR($G207="",$G207&gt;=BJ$2)),
  $H207 * (1 + Assumptions!$C$7) ^ INT(((YEAR(BJ$2)-YEAR($F207))*12 + MONTH(BJ$2)-MONTH($F207)) / 12),
  0)</f>
        <v/>
      </c>
      <c r="BK207" s="299">
        <f>IF(AND($F207&lt;=BK$2, OR($G207="",$G207&gt;=BK$2)),
  $H207 * (1 + Assumptions!$C$7) ^ INT(((YEAR(BK$2)-YEAR($F207))*12 + MONTH(BK$2)-MONTH($F207)) / 12),
  0)</f>
        <v/>
      </c>
      <c r="BL207" s="299">
        <f>IF(AND($F207&lt;=BL$2, OR($G207="",$G207&gt;=BL$2)),
  $H207 * (1 + Assumptions!$C$7) ^ INT(((YEAR(BL$2)-YEAR($F207))*12 + MONTH(BL$2)-MONTH($F207)) / 12),
  0)</f>
        <v/>
      </c>
      <c r="BM207" s="299">
        <f>IF(AND($F207&lt;=BM$2, OR($G207="",$G207&gt;=BM$2)),
  $H207 * (1 + Assumptions!$C$7) ^ INT(((YEAR(BM$2)-YEAR($F207))*12 + MONTH(BM$2)-MONTH($F207)) / 12),
  0)</f>
        <v/>
      </c>
      <c r="BN207" s="299">
        <f>IF(AND($F207&lt;=BN$2, OR($G207="",$G207&gt;=BN$2)),
  $H207 * (1 + Assumptions!$C$7) ^ INT(((YEAR(BN$2)-YEAR($F207))*12 + MONTH(BN$2)-MONTH($F207)) / 12),
  0)</f>
        <v/>
      </c>
      <c r="BO207" s="299">
        <f>IF(AND($F207&lt;=BO$2, OR($G207="",$G207&gt;=BO$2)),
  $H207 * (1 + Assumptions!$C$7) ^ INT(((YEAR(BO$2)-YEAR($F207))*12 + MONTH(BO$2)-MONTH($F207)) / 12),
  0)</f>
        <v/>
      </c>
      <c r="BP207" s="299">
        <f>IF(AND($F207&lt;=BP$2, OR($G207="",$G207&gt;=BP$2)),
  $H207 * (1 + Assumptions!$C$7) ^ INT(((YEAR(BP$2)-YEAR($F207))*12 + MONTH(BP$2)-MONTH($F207)) / 12),
  0)</f>
        <v/>
      </c>
      <c r="BQ207" s="31" t="n"/>
      <c r="BR207" s="31" t="n"/>
      <c r="BS207" s="31" t="n"/>
      <c r="BT207" s="31" t="n"/>
    </row>
    <row r="208" ht="15.75" customHeight="1" s="349">
      <c r="A208" s="321" t="n">
        <v>203</v>
      </c>
      <c r="B208" s="285" t="inlineStr">
        <is>
          <t>New hire</t>
        </is>
      </c>
      <c r="C208" s="317" t="inlineStr">
        <is>
          <t>R&amp;D</t>
        </is>
      </c>
      <c r="D208" s="317" t="inlineStr">
        <is>
          <t>R&amp;D Engineer</t>
        </is>
      </c>
      <c r="E208" s="297" t="inlineStr">
        <is>
          <t>Planned</t>
        </is>
      </c>
      <c r="F208" s="318">
        <f>IF(Assumptions!$D$82=2,DATE(2028,1,1),DATE(2028,1,1))</f>
        <v/>
      </c>
      <c r="G208" s="318" t="n"/>
      <c r="H208" s="288" t="n">
        <v>8000</v>
      </c>
      <c r="I208" s="299">
        <f>IF(AND($F208&lt;=I$2, OR($G208="",$G208&gt;=I$2)),
  $H208 * (1 + Assumptions!$C$7) ^ INT(((YEAR(I$2)-YEAR($F208))*12 + MONTH(I$2)-MONTH($F208)) / 12),
  0)</f>
        <v/>
      </c>
      <c r="J208" s="299">
        <f>IF(AND($F208&lt;=J$2, OR($G208="",$G208&gt;=J$2)),
  $H208 * (1 + Assumptions!$C$7) ^ INT(((YEAR(J$2)-YEAR($F208))*12 + MONTH(J$2)-MONTH($F208)) / 12),
  0)</f>
        <v/>
      </c>
      <c r="K208" s="299">
        <f>IF(AND($F208&lt;=K$2, OR($G208="",$G208&gt;=K$2)),
  $H208 * (1 + Assumptions!$C$7) ^ INT(((YEAR(K$2)-YEAR($F208))*12 + MONTH(K$2)-MONTH($F208)) / 12),
  0)</f>
        <v/>
      </c>
      <c r="L208" s="299">
        <f>IF(AND($F208&lt;=L$2, OR($G208="",$G208&gt;=L$2)),
  $H208 * (1 + Assumptions!$C$7) ^ INT(((YEAR(L$2)-YEAR($F208))*12 + MONTH(L$2)-MONTH($F208)) / 12),
  0)</f>
        <v/>
      </c>
      <c r="M208" s="299">
        <f>IF(AND($F208&lt;=M$2, OR($G208="",$G208&gt;=M$2)),
  $H208 * (1 + Assumptions!$C$7) ^ INT(((YEAR(M$2)-YEAR($F208))*12 + MONTH(M$2)-MONTH($F208)) / 12),
  0)</f>
        <v/>
      </c>
      <c r="N208" s="299">
        <f>IF(AND($F208&lt;=N$2, OR($G208="",$G208&gt;=N$2)),
  $H208 * (1 + Assumptions!$C$7) ^ INT(((YEAR(N$2)-YEAR($F208))*12 + MONTH(N$2)-MONTH($F208)) / 12),
  0)</f>
        <v/>
      </c>
      <c r="O208" s="299">
        <f>IF(AND($F208&lt;=O$2, OR($G208="",$G208&gt;=O$2)),
  $H208 * (1 + Assumptions!$C$7) ^ INT(((YEAR(O$2)-YEAR($F208))*12 + MONTH(O$2)-MONTH($F208)) / 12),
  0)</f>
        <v/>
      </c>
      <c r="P208" s="299">
        <f>IF(AND($F208&lt;=P$2, OR($G208="",$G208&gt;=P$2)),
  $H208 * (1 + Assumptions!$C$7) ^ INT(((YEAR(P$2)-YEAR($F208))*12 + MONTH(P$2)-MONTH($F208)) / 12),
  0)</f>
        <v/>
      </c>
      <c r="Q208" s="299">
        <f>IF(AND($F208&lt;=Q$2, OR($G208="",$G208&gt;=Q$2)),
  $H208 * (1 + Assumptions!$C$7) ^ INT(((YEAR(Q$2)-YEAR($F208))*12 + MONTH(Q$2)-MONTH($F208)) / 12),
  0)</f>
        <v/>
      </c>
      <c r="R208" s="299">
        <f>IF(AND($F208&lt;=R$2, OR($G208="",$G208&gt;=R$2)),
  $H208 * (1 + Assumptions!$C$7) ^ INT(((YEAR(R$2)-YEAR($F208))*12 + MONTH(R$2)-MONTH($F208)) / 12),
  0)</f>
        <v/>
      </c>
      <c r="S208" s="299">
        <f>IF(AND($F208&lt;=S$2, OR($G208="",$G208&gt;=S$2)),
  $H208 * (1 + Assumptions!$C$7) ^ INT(((YEAR(S$2)-YEAR($F208))*12 + MONTH(S$2)-MONTH($F208)) / 12),
  0)</f>
        <v/>
      </c>
      <c r="T208" s="299">
        <f>IF(AND($F208&lt;=T$2, OR($G208="",$G208&gt;=T$2)),
  $H208 * (1 + Assumptions!$C$7) ^ INT(((YEAR(T$2)-YEAR($F208))*12 + MONTH(T$2)-MONTH($F208)) / 12),
  0)</f>
        <v/>
      </c>
      <c r="U208" s="299">
        <f>IF(AND($F208&lt;=U$2, OR($G208="",$G208&gt;=U$2)),
  $H208 * (1 + Assumptions!$C$7) ^ INT(((YEAR(U$2)-YEAR($F208))*12 + MONTH(U$2)-MONTH($F208)) / 12),
  0)</f>
        <v/>
      </c>
      <c r="V208" s="299">
        <f>IF(AND($F208&lt;=V$2, OR($G208="",$G208&gt;=V$2)),
  $H208 * (1 + Assumptions!$C$7) ^ INT(((YEAR(V$2)-YEAR($F208))*12 + MONTH(V$2)-MONTH($F208)) / 12),
  0)</f>
        <v/>
      </c>
      <c r="W208" s="299">
        <f>IF(AND($F208&lt;=W$2, OR($G208="",$G208&gt;=W$2)),
  $H208 * (1 + Assumptions!$C$7) ^ INT(((YEAR(W$2)-YEAR($F208))*12 + MONTH(W$2)-MONTH($F208)) / 12),
  0)</f>
        <v/>
      </c>
      <c r="X208" s="299">
        <f>IF(AND($F208&lt;=X$2, OR($G208="",$G208&gt;=X$2)),
  $H208 * (1 + Assumptions!$C$7) ^ INT(((YEAR(X$2)-YEAR($F208))*12 + MONTH(X$2)-MONTH($F208)) / 12),
  0)</f>
        <v/>
      </c>
      <c r="Y208" s="299">
        <f>IF(AND($F208&lt;=Y$2, OR($G208="",$G208&gt;=Y$2)),
  $H208 * (1 + Assumptions!$C$7) ^ INT(((YEAR(Y$2)-YEAR($F208))*12 + MONTH(Y$2)-MONTH($F208)) / 12),
  0)</f>
        <v/>
      </c>
      <c r="Z208" s="299">
        <f>IF(AND($F208&lt;=Z$2, OR($G208="",$G208&gt;=Z$2)),
  $H208 * (1 + Assumptions!$C$7) ^ INT(((YEAR(Z$2)-YEAR($F208))*12 + MONTH(Z$2)-MONTH($F208)) / 12),
  0)</f>
        <v/>
      </c>
      <c r="AA208" s="299">
        <f>IF(AND($F208&lt;=AA$2, OR($G208="",$G208&gt;=AA$2)),
  $H208 * (1 + Assumptions!$C$7) ^ INT(((YEAR(AA$2)-YEAR($F208))*12 + MONTH(AA$2)-MONTH($F208)) / 12),
  0)</f>
        <v/>
      </c>
      <c r="AB208" s="299">
        <f>IF(AND($F208&lt;=AB$2, OR($G208="",$G208&gt;=AB$2)),
  $H208 * (1 + Assumptions!$C$7) ^ INT(((YEAR(AB$2)-YEAR($F208))*12 + MONTH(AB$2)-MONTH($F208)) / 12),
  0)</f>
        <v/>
      </c>
      <c r="AC208" s="299">
        <f>IF(AND($F208&lt;=AC$2, OR($G208="",$G208&gt;=AC$2)),
  $H208 * (1 + Assumptions!$C$7) ^ INT(((YEAR(AC$2)-YEAR($F208))*12 + MONTH(AC$2)-MONTH($F208)) / 12),
  0)</f>
        <v/>
      </c>
      <c r="AD208" s="299">
        <f>IF(AND($F208&lt;=AD$2, OR($G208="",$G208&gt;=AD$2)),
  $H208 * (1 + Assumptions!$C$7) ^ INT(((YEAR(AD$2)-YEAR($F208))*12 + MONTH(AD$2)-MONTH($F208)) / 12),
  0)</f>
        <v/>
      </c>
      <c r="AE208" s="299">
        <f>IF(AND($F208&lt;=AE$2, OR($G208="",$G208&gt;=AE$2)),
  $H208 * (1 + Assumptions!$C$7) ^ INT(((YEAR(AE$2)-YEAR($F208))*12 + MONTH(AE$2)-MONTH($F208)) / 12),
  0)</f>
        <v/>
      </c>
      <c r="AF208" s="299">
        <f>IF(AND($F208&lt;=AF$2, OR($G208="",$G208&gt;=AF$2)),
  $H208 * (1 + Assumptions!$C$7) ^ INT(((YEAR(AF$2)-YEAR($F208))*12 + MONTH(AF$2)-MONTH($F208)) / 12),
  0)</f>
        <v/>
      </c>
      <c r="AG208" s="299">
        <f>IF(AND($F208&lt;=AG$2, OR($G208="",$G208&gt;=AG$2)),
  $H208 * (1 + Assumptions!$C$7) ^ INT(((YEAR(AG$2)-YEAR($F208))*12 + MONTH(AG$2)-MONTH($F208)) / 12),
  0)</f>
        <v/>
      </c>
      <c r="AH208" s="299">
        <f>IF(AND($F208&lt;=AH$2, OR($G208="",$G208&gt;=AH$2)),
  $H208 * (1 + Assumptions!$C$7) ^ INT(((YEAR(AH$2)-YEAR($F208))*12 + MONTH(AH$2)-MONTH($F208)) / 12),
  0)</f>
        <v/>
      </c>
      <c r="AI208" s="299">
        <f>IF(AND($F208&lt;=AI$2, OR($G208="",$G208&gt;=AI$2)),
  $H208 * (1 + Assumptions!$C$7) ^ INT(((YEAR(AI$2)-YEAR($F208))*12 + MONTH(AI$2)-MONTH($F208)) / 12),
  0)</f>
        <v/>
      </c>
      <c r="AJ208" s="299">
        <f>IF(AND($F208&lt;=AJ$2, OR($G208="",$G208&gt;=AJ$2)),
  $H208 * (1 + Assumptions!$C$7) ^ INT(((YEAR(AJ$2)-YEAR($F208))*12 + MONTH(AJ$2)-MONTH($F208)) / 12),
  0)</f>
        <v/>
      </c>
      <c r="AK208" s="299">
        <f>IF(AND($F208&lt;=AK$2, OR($G208="",$G208&gt;=AK$2)),
  $H208 * (1 + Assumptions!$C$7) ^ INT(((YEAR(AK$2)-YEAR($F208))*12 + MONTH(AK$2)-MONTH($F208)) / 12),
  0)</f>
        <v/>
      </c>
      <c r="AL208" s="299">
        <f>IF(AND($F208&lt;=AL$2, OR($G208="",$G208&gt;=AL$2)),
  $H208 * (1 + Assumptions!$C$7) ^ INT(((YEAR(AL$2)-YEAR($F208))*12 + MONTH(AL$2)-MONTH($F208)) / 12),
  0)</f>
        <v/>
      </c>
      <c r="AM208" s="299">
        <f>IF(AND($F208&lt;=AM$2, OR($G208="",$G208&gt;=AM$2)),
  $H208 * (1 + Assumptions!$C$7) ^ INT(((YEAR(AM$2)-YEAR($F208))*12 + MONTH(AM$2)-MONTH($F208)) / 12),
  0)</f>
        <v/>
      </c>
      <c r="AN208" s="299">
        <f>IF(AND($F208&lt;=AN$2, OR($G208="",$G208&gt;=AN$2)),
  $H208 * (1 + Assumptions!$C$7) ^ INT(((YEAR(AN$2)-YEAR($F208))*12 + MONTH(AN$2)-MONTH($F208)) / 12),
  0)</f>
        <v/>
      </c>
      <c r="AO208" s="299">
        <f>IF(AND($F208&lt;=AO$2, OR($G208="",$G208&gt;=AO$2)),
  $H208 * (1 + Assumptions!$C$7) ^ INT(((YEAR(AO$2)-YEAR($F208))*12 + MONTH(AO$2)-MONTH($F208)) / 12),
  0)</f>
        <v/>
      </c>
      <c r="AP208" s="299">
        <f>IF(AND($F208&lt;=AP$2, OR($G208="",$G208&gt;=AP$2)),
  $H208 * (1 + Assumptions!$C$7) ^ INT(((YEAR(AP$2)-YEAR($F208))*12 + MONTH(AP$2)-MONTH($F208)) / 12),
  0)</f>
        <v/>
      </c>
      <c r="AQ208" s="299">
        <f>IF(AND($F208&lt;=AQ$2, OR($G208="",$G208&gt;=AQ$2)),
  $H208 * (1 + Assumptions!$C$7) ^ INT(((YEAR(AQ$2)-YEAR($F208))*12 + MONTH(AQ$2)-MONTH($F208)) / 12),
  0)</f>
        <v/>
      </c>
      <c r="AR208" s="299">
        <f>IF(AND($F208&lt;=AR$2, OR($G208="",$G208&gt;=AR$2)),
  $H208 * (1 + Assumptions!$C$7) ^ INT(((YEAR(AR$2)-YEAR($F208))*12 + MONTH(AR$2)-MONTH($F208)) / 12),
  0)</f>
        <v/>
      </c>
      <c r="AS208" s="299">
        <f>IF(AND($F208&lt;=AS$2, OR($G208="",$G208&gt;=AS$2)),
  $H208 * (1 + Assumptions!$C$7) ^ INT(((YEAR(AS$2)-YEAR($F208))*12 + MONTH(AS$2)-MONTH($F208)) / 12),
  0)</f>
        <v/>
      </c>
      <c r="AT208" s="299">
        <f>IF(AND($F208&lt;=AT$2, OR($G208="",$G208&gt;=AT$2)),
  $H208 * (1 + Assumptions!$C$7) ^ INT(((YEAR(AT$2)-YEAR($F208))*12 + MONTH(AT$2)-MONTH($F208)) / 12),
  0)</f>
        <v/>
      </c>
      <c r="AU208" s="299">
        <f>IF(AND($F208&lt;=AU$2, OR($G208="",$G208&gt;=AU$2)),
  $H208 * (1 + Assumptions!$C$7) ^ INT(((YEAR(AU$2)-YEAR($F208))*12 + MONTH(AU$2)-MONTH($F208)) / 12),
  0)</f>
        <v/>
      </c>
      <c r="AV208" s="299">
        <f>IF(AND($F208&lt;=AV$2, OR($G208="",$G208&gt;=AV$2)),
  $H208 * (1 + Assumptions!$C$7) ^ INT(((YEAR(AV$2)-YEAR($F208))*12 + MONTH(AV$2)-MONTH($F208)) / 12),
  0)</f>
        <v/>
      </c>
      <c r="AW208" s="299">
        <f>IF(AND($F208&lt;=AW$2, OR($G208="",$G208&gt;=AW$2)),
  $H208 * (1 + Assumptions!$C$7) ^ INT(((YEAR(AW$2)-YEAR($F208))*12 + MONTH(AW$2)-MONTH($F208)) / 12),
  0)</f>
        <v/>
      </c>
      <c r="AX208" s="299">
        <f>IF(AND($F208&lt;=AX$2, OR($G208="",$G208&gt;=AX$2)),
  $H208 * (1 + Assumptions!$C$7) ^ INT(((YEAR(AX$2)-YEAR($F208))*12 + MONTH(AX$2)-MONTH($F208)) / 12),
  0)</f>
        <v/>
      </c>
      <c r="AY208" s="299">
        <f>IF(AND($F208&lt;=AY$2, OR($G208="",$G208&gt;=AY$2)),
  $H208 * (1 + Assumptions!$C$7) ^ INT(((YEAR(AY$2)-YEAR($F208))*12 + MONTH(AY$2)-MONTH($F208)) / 12),
  0)</f>
        <v/>
      </c>
      <c r="AZ208" s="299">
        <f>IF(AND($F208&lt;=AZ$2, OR($G208="",$G208&gt;=AZ$2)),
  $H208 * (1 + Assumptions!$C$7) ^ INT(((YEAR(AZ$2)-YEAR($F208))*12 + MONTH(AZ$2)-MONTH($F208)) / 12),
  0)</f>
        <v/>
      </c>
      <c r="BA208" s="299">
        <f>IF(AND($F208&lt;=BA$2, OR($G208="",$G208&gt;=BA$2)),
  $H208 * (1 + Assumptions!$C$7) ^ INT(((YEAR(BA$2)-YEAR($F208))*12 + MONTH(BA$2)-MONTH($F208)) / 12),
  0)</f>
        <v/>
      </c>
      <c r="BB208" s="299">
        <f>IF(AND($F208&lt;=BB$2, OR($G208="",$G208&gt;=BB$2)),
  $H208 * (1 + Assumptions!$C$7) ^ INT(((YEAR(BB$2)-YEAR($F208))*12 + MONTH(BB$2)-MONTH($F208)) / 12),
  0)</f>
        <v/>
      </c>
      <c r="BC208" s="299">
        <f>IF(AND($F208&lt;=BC$2, OR($G208="",$G208&gt;=BC$2)),
  $H208 * (1 + Assumptions!$C$7) ^ INT(((YEAR(BC$2)-YEAR($F208))*12 + MONTH(BC$2)-MONTH($F208)) / 12),
  0)</f>
        <v/>
      </c>
      <c r="BD208" s="299">
        <f>IF(AND($F208&lt;=BD$2, OR($G208="",$G208&gt;=BD$2)),
  $H208 * (1 + Assumptions!$C$7) ^ INT(((YEAR(BD$2)-YEAR($F208))*12 + MONTH(BD$2)-MONTH($F208)) / 12),
  0)</f>
        <v/>
      </c>
      <c r="BE208" s="299">
        <f>IF(AND($F208&lt;=BE$2, OR($G208="",$G208&gt;=BE$2)),
  $H208 * (1 + Assumptions!$C$7) ^ INT(((YEAR(BE$2)-YEAR($F208))*12 + MONTH(BE$2)-MONTH($F208)) / 12),
  0)</f>
        <v/>
      </c>
      <c r="BF208" s="299">
        <f>IF(AND($F208&lt;=BF$2, OR($G208="",$G208&gt;=BF$2)),
  $H208 * (1 + Assumptions!$C$7) ^ INT(((YEAR(BF$2)-YEAR($F208))*12 + MONTH(BF$2)-MONTH($F208)) / 12),
  0)</f>
        <v/>
      </c>
      <c r="BG208" s="299">
        <f>IF(AND($F208&lt;=BG$2, OR($G208="",$G208&gt;=BG$2)),
  $H208 * (1 + Assumptions!$C$7) ^ INT(((YEAR(BG$2)-YEAR($F208))*12 + MONTH(BG$2)-MONTH($F208)) / 12),
  0)</f>
        <v/>
      </c>
      <c r="BH208" s="299">
        <f>IF(AND($F208&lt;=BH$2, OR($G208="",$G208&gt;=BH$2)),
  $H208 * (1 + Assumptions!$C$7) ^ INT(((YEAR(BH$2)-YEAR($F208))*12 + MONTH(BH$2)-MONTH($F208)) / 12),
  0)</f>
        <v/>
      </c>
      <c r="BI208" s="299">
        <f>IF(AND($F208&lt;=BI$2, OR($G208="",$G208&gt;=BI$2)),
  $H208 * (1 + Assumptions!$C$7) ^ INT(((YEAR(BI$2)-YEAR($F208))*12 + MONTH(BI$2)-MONTH($F208)) / 12),
  0)</f>
        <v/>
      </c>
      <c r="BJ208" s="299">
        <f>IF(AND($F208&lt;=BJ$2, OR($G208="",$G208&gt;=BJ$2)),
  $H208 * (1 + Assumptions!$C$7) ^ INT(((YEAR(BJ$2)-YEAR($F208))*12 + MONTH(BJ$2)-MONTH($F208)) / 12),
  0)</f>
        <v/>
      </c>
      <c r="BK208" s="299">
        <f>IF(AND($F208&lt;=BK$2, OR($G208="",$G208&gt;=BK$2)),
  $H208 * (1 + Assumptions!$C$7) ^ INT(((YEAR(BK$2)-YEAR($F208))*12 + MONTH(BK$2)-MONTH($F208)) / 12),
  0)</f>
        <v/>
      </c>
      <c r="BL208" s="299">
        <f>IF(AND($F208&lt;=BL$2, OR($G208="",$G208&gt;=BL$2)),
  $H208 * (1 + Assumptions!$C$7) ^ INT(((YEAR(BL$2)-YEAR($F208))*12 + MONTH(BL$2)-MONTH($F208)) / 12),
  0)</f>
        <v/>
      </c>
      <c r="BM208" s="299">
        <f>IF(AND($F208&lt;=BM$2, OR($G208="",$G208&gt;=BM$2)),
  $H208 * (1 + Assumptions!$C$7) ^ INT(((YEAR(BM$2)-YEAR($F208))*12 + MONTH(BM$2)-MONTH($F208)) / 12),
  0)</f>
        <v/>
      </c>
      <c r="BN208" s="299">
        <f>IF(AND($F208&lt;=BN$2, OR($G208="",$G208&gt;=BN$2)),
  $H208 * (1 + Assumptions!$C$7) ^ INT(((YEAR(BN$2)-YEAR($F208))*12 + MONTH(BN$2)-MONTH($F208)) / 12),
  0)</f>
        <v/>
      </c>
      <c r="BO208" s="299">
        <f>IF(AND($F208&lt;=BO$2, OR($G208="",$G208&gt;=BO$2)),
  $H208 * (1 + Assumptions!$C$7) ^ INT(((YEAR(BO$2)-YEAR($F208))*12 + MONTH(BO$2)-MONTH($F208)) / 12),
  0)</f>
        <v/>
      </c>
      <c r="BP208" s="299">
        <f>IF(AND($F208&lt;=BP$2, OR($G208="",$G208&gt;=BP$2)),
  $H208 * (1 + Assumptions!$C$7) ^ INT(((YEAR(BP$2)-YEAR($F208))*12 + MONTH(BP$2)-MONTH($F208)) / 12),
  0)</f>
        <v/>
      </c>
      <c r="BQ208" s="31" t="n"/>
      <c r="BR208" s="31" t="n"/>
      <c r="BS208" s="31" t="n"/>
      <c r="BT208" s="31" t="n"/>
    </row>
    <row r="209" ht="15.75" customHeight="1" s="349">
      <c r="A209" s="321" t="n">
        <v>204</v>
      </c>
      <c r="B209" s="285" t="inlineStr">
        <is>
          <t>New hire</t>
        </is>
      </c>
      <c r="C209" s="317" t="inlineStr">
        <is>
          <t>R&amp;D</t>
        </is>
      </c>
      <c r="D209" s="317" t="inlineStr">
        <is>
          <t>R&amp;D Engineer</t>
        </is>
      </c>
      <c r="E209" s="297" t="inlineStr">
        <is>
          <t>Planned</t>
        </is>
      </c>
      <c r="F209" s="318">
        <f>IF(Assumptions!$D$82=2,DATE(2028,1,1),DATE(2028,1,1))</f>
        <v/>
      </c>
      <c r="G209" s="318" t="n"/>
      <c r="H209" s="288" t="n">
        <v>8000</v>
      </c>
      <c r="I209" s="299">
        <f>IF(AND($F209&lt;=I$2, OR($G209="",$G209&gt;=I$2)),
  $H209 * (1 + Assumptions!$C$7) ^ INT(((YEAR(I$2)-YEAR($F209))*12 + MONTH(I$2)-MONTH($F209)) / 12),
  0)</f>
        <v/>
      </c>
      <c r="J209" s="299">
        <f>IF(AND($F209&lt;=J$2, OR($G209="",$G209&gt;=J$2)),
  $H209 * (1 + Assumptions!$C$7) ^ INT(((YEAR(J$2)-YEAR($F209))*12 + MONTH(J$2)-MONTH($F209)) / 12),
  0)</f>
        <v/>
      </c>
      <c r="K209" s="299">
        <f>IF(AND($F209&lt;=K$2, OR($G209="",$G209&gt;=K$2)),
  $H209 * (1 + Assumptions!$C$7) ^ INT(((YEAR(K$2)-YEAR($F209))*12 + MONTH(K$2)-MONTH($F209)) / 12),
  0)</f>
        <v/>
      </c>
      <c r="L209" s="299">
        <f>IF(AND($F209&lt;=L$2, OR($G209="",$G209&gt;=L$2)),
  $H209 * (1 + Assumptions!$C$7) ^ INT(((YEAR(L$2)-YEAR($F209))*12 + MONTH(L$2)-MONTH($F209)) / 12),
  0)</f>
        <v/>
      </c>
      <c r="M209" s="299">
        <f>IF(AND($F209&lt;=M$2, OR($G209="",$G209&gt;=M$2)),
  $H209 * (1 + Assumptions!$C$7) ^ INT(((YEAR(M$2)-YEAR($F209))*12 + MONTH(M$2)-MONTH($F209)) / 12),
  0)</f>
        <v/>
      </c>
      <c r="N209" s="299">
        <f>IF(AND($F209&lt;=N$2, OR($G209="",$G209&gt;=N$2)),
  $H209 * (1 + Assumptions!$C$7) ^ INT(((YEAR(N$2)-YEAR($F209))*12 + MONTH(N$2)-MONTH($F209)) / 12),
  0)</f>
        <v/>
      </c>
      <c r="O209" s="299">
        <f>IF(AND($F209&lt;=O$2, OR($G209="",$G209&gt;=O$2)),
  $H209 * (1 + Assumptions!$C$7) ^ INT(((YEAR(O$2)-YEAR($F209))*12 + MONTH(O$2)-MONTH($F209)) / 12),
  0)</f>
        <v/>
      </c>
      <c r="P209" s="299">
        <f>IF(AND($F209&lt;=P$2, OR($G209="",$G209&gt;=P$2)),
  $H209 * (1 + Assumptions!$C$7) ^ INT(((YEAR(P$2)-YEAR($F209))*12 + MONTH(P$2)-MONTH($F209)) / 12),
  0)</f>
        <v/>
      </c>
      <c r="Q209" s="299">
        <f>IF(AND($F209&lt;=Q$2, OR($G209="",$G209&gt;=Q$2)),
  $H209 * (1 + Assumptions!$C$7) ^ INT(((YEAR(Q$2)-YEAR($F209))*12 + MONTH(Q$2)-MONTH($F209)) / 12),
  0)</f>
        <v/>
      </c>
      <c r="R209" s="299">
        <f>IF(AND($F209&lt;=R$2, OR($G209="",$G209&gt;=R$2)),
  $H209 * (1 + Assumptions!$C$7) ^ INT(((YEAR(R$2)-YEAR($F209))*12 + MONTH(R$2)-MONTH($F209)) / 12),
  0)</f>
        <v/>
      </c>
      <c r="S209" s="299">
        <f>IF(AND($F209&lt;=S$2, OR($G209="",$G209&gt;=S$2)),
  $H209 * (1 + Assumptions!$C$7) ^ INT(((YEAR(S$2)-YEAR($F209))*12 + MONTH(S$2)-MONTH($F209)) / 12),
  0)</f>
        <v/>
      </c>
      <c r="T209" s="299">
        <f>IF(AND($F209&lt;=T$2, OR($G209="",$G209&gt;=T$2)),
  $H209 * (1 + Assumptions!$C$7) ^ INT(((YEAR(T$2)-YEAR($F209))*12 + MONTH(T$2)-MONTH($F209)) / 12),
  0)</f>
        <v/>
      </c>
      <c r="U209" s="299">
        <f>IF(AND($F209&lt;=U$2, OR($G209="",$G209&gt;=U$2)),
  $H209 * (1 + Assumptions!$C$7) ^ INT(((YEAR(U$2)-YEAR($F209))*12 + MONTH(U$2)-MONTH($F209)) / 12),
  0)</f>
        <v/>
      </c>
      <c r="V209" s="299">
        <f>IF(AND($F209&lt;=V$2, OR($G209="",$G209&gt;=V$2)),
  $H209 * (1 + Assumptions!$C$7) ^ INT(((YEAR(V$2)-YEAR($F209))*12 + MONTH(V$2)-MONTH($F209)) / 12),
  0)</f>
        <v/>
      </c>
      <c r="W209" s="299">
        <f>IF(AND($F209&lt;=W$2, OR($G209="",$G209&gt;=W$2)),
  $H209 * (1 + Assumptions!$C$7) ^ INT(((YEAR(W$2)-YEAR($F209))*12 + MONTH(W$2)-MONTH($F209)) / 12),
  0)</f>
        <v/>
      </c>
      <c r="X209" s="299">
        <f>IF(AND($F209&lt;=X$2, OR($G209="",$G209&gt;=X$2)),
  $H209 * (1 + Assumptions!$C$7) ^ INT(((YEAR(X$2)-YEAR($F209))*12 + MONTH(X$2)-MONTH($F209)) / 12),
  0)</f>
        <v/>
      </c>
      <c r="Y209" s="299">
        <f>IF(AND($F209&lt;=Y$2, OR($G209="",$G209&gt;=Y$2)),
  $H209 * (1 + Assumptions!$C$7) ^ INT(((YEAR(Y$2)-YEAR($F209))*12 + MONTH(Y$2)-MONTH($F209)) / 12),
  0)</f>
        <v/>
      </c>
      <c r="Z209" s="299">
        <f>IF(AND($F209&lt;=Z$2, OR($G209="",$G209&gt;=Z$2)),
  $H209 * (1 + Assumptions!$C$7) ^ INT(((YEAR(Z$2)-YEAR($F209))*12 + MONTH(Z$2)-MONTH($F209)) / 12),
  0)</f>
        <v/>
      </c>
      <c r="AA209" s="299">
        <f>IF(AND($F209&lt;=AA$2, OR($G209="",$G209&gt;=AA$2)),
  $H209 * (1 + Assumptions!$C$7) ^ INT(((YEAR(AA$2)-YEAR($F209))*12 + MONTH(AA$2)-MONTH($F209)) / 12),
  0)</f>
        <v/>
      </c>
      <c r="AB209" s="299">
        <f>IF(AND($F209&lt;=AB$2, OR($G209="",$G209&gt;=AB$2)),
  $H209 * (1 + Assumptions!$C$7) ^ INT(((YEAR(AB$2)-YEAR($F209))*12 + MONTH(AB$2)-MONTH($F209)) / 12),
  0)</f>
        <v/>
      </c>
      <c r="AC209" s="299">
        <f>IF(AND($F209&lt;=AC$2, OR($G209="",$G209&gt;=AC$2)),
  $H209 * (1 + Assumptions!$C$7) ^ INT(((YEAR(AC$2)-YEAR($F209))*12 + MONTH(AC$2)-MONTH($F209)) / 12),
  0)</f>
        <v/>
      </c>
      <c r="AD209" s="299">
        <f>IF(AND($F209&lt;=AD$2, OR($G209="",$G209&gt;=AD$2)),
  $H209 * (1 + Assumptions!$C$7) ^ INT(((YEAR(AD$2)-YEAR($F209))*12 + MONTH(AD$2)-MONTH($F209)) / 12),
  0)</f>
        <v/>
      </c>
      <c r="AE209" s="299">
        <f>IF(AND($F209&lt;=AE$2, OR($G209="",$G209&gt;=AE$2)),
  $H209 * (1 + Assumptions!$C$7) ^ INT(((YEAR(AE$2)-YEAR($F209))*12 + MONTH(AE$2)-MONTH($F209)) / 12),
  0)</f>
        <v/>
      </c>
      <c r="AF209" s="299">
        <f>IF(AND($F209&lt;=AF$2, OR($G209="",$G209&gt;=AF$2)),
  $H209 * (1 + Assumptions!$C$7) ^ INT(((YEAR(AF$2)-YEAR($F209))*12 + MONTH(AF$2)-MONTH($F209)) / 12),
  0)</f>
        <v/>
      </c>
      <c r="AG209" s="299">
        <f>IF(AND($F209&lt;=AG$2, OR($G209="",$G209&gt;=AG$2)),
  $H209 * (1 + Assumptions!$C$7) ^ INT(((YEAR(AG$2)-YEAR($F209))*12 + MONTH(AG$2)-MONTH($F209)) / 12),
  0)</f>
        <v/>
      </c>
      <c r="AH209" s="299">
        <f>IF(AND($F209&lt;=AH$2, OR($G209="",$G209&gt;=AH$2)),
  $H209 * (1 + Assumptions!$C$7) ^ INT(((YEAR(AH$2)-YEAR($F209))*12 + MONTH(AH$2)-MONTH($F209)) / 12),
  0)</f>
        <v/>
      </c>
      <c r="AI209" s="299">
        <f>IF(AND($F209&lt;=AI$2, OR($G209="",$G209&gt;=AI$2)),
  $H209 * (1 + Assumptions!$C$7) ^ INT(((YEAR(AI$2)-YEAR($F209))*12 + MONTH(AI$2)-MONTH($F209)) / 12),
  0)</f>
        <v/>
      </c>
      <c r="AJ209" s="299">
        <f>IF(AND($F209&lt;=AJ$2, OR($G209="",$G209&gt;=AJ$2)),
  $H209 * (1 + Assumptions!$C$7) ^ INT(((YEAR(AJ$2)-YEAR($F209))*12 + MONTH(AJ$2)-MONTH($F209)) / 12),
  0)</f>
        <v/>
      </c>
      <c r="AK209" s="299">
        <f>IF(AND($F209&lt;=AK$2, OR($G209="",$G209&gt;=AK$2)),
  $H209 * (1 + Assumptions!$C$7) ^ INT(((YEAR(AK$2)-YEAR($F209))*12 + MONTH(AK$2)-MONTH($F209)) / 12),
  0)</f>
        <v/>
      </c>
      <c r="AL209" s="299">
        <f>IF(AND($F209&lt;=AL$2, OR($G209="",$G209&gt;=AL$2)),
  $H209 * (1 + Assumptions!$C$7) ^ INT(((YEAR(AL$2)-YEAR($F209))*12 + MONTH(AL$2)-MONTH($F209)) / 12),
  0)</f>
        <v/>
      </c>
      <c r="AM209" s="299">
        <f>IF(AND($F209&lt;=AM$2, OR($G209="",$G209&gt;=AM$2)),
  $H209 * (1 + Assumptions!$C$7) ^ INT(((YEAR(AM$2)-YEAR($F209))*12 + MONTH(AM$2)-MONTH($F209)) / 12),
  0)</f>
        <v/>
      </c>
      <c r="AN209" s="299">
        <f>IF(AND($F209&lt;=AN$2, OR($G209="",$G209&gt;=AN$2)),
  $H209 * (1 + Assumptions!$C$7) ^ INT(((YEAR(AN$2)-YEAR($F209))*12 + MONTH(AN$2)-MONTH($F209)) / 12),
  0)</f>
        <v/>
      </c>
      <c r="AO209" s="299">
        <f>IF(AND($F209&lt;=AO$2, OR($G209="",$G209&gt;=AO$2)),
  $H209 * (1 + Assumptions!$C$7) ^ INT(((YEAR(AO$2)-YEAR($F209))*12 + MONTH(AO$2)-MONTH($F209)) / 12),
  0)</f>
        <v/>
      </c>
      <c r="AP209" s="299">
        <f>IF(AND($F209&lt;=AP$2, OR($G209="",$G209&gt;=AP$2)),
  $H209 * (1 + Assumptions!$C$7) ^ INT(((YEAR(AP$2)-YEAR($F209))*12 + MONTH(AP$2)-MONTH($F209)) / 12),
  0)</f>
        <v/>
      </c>
      <c r="AQ209" s="299">
        <f>IF(AND($F209&lt;=AQ$2, OR($G209="",$G209&gt;=AQ$2)),
  $H209 * (1 + Assumptions!$C$7) ^ INT(((YEAR(AQ$2)-YEAR($F209))*12 + MONTH(AQ$2)-MONTH($F209)) / 12),
  0)</f>
        <v/>
      </c>
      <c r="AR209" s="299">
        <f>IF(AND($F209&lt;=AR$2, OR($G209="",$G209&gt;=AR$2)),
  $H209 * (1 + Assumptions!$C$7) ^ INT(((YEAR(AR$2)-YEAR($F209))*12 + MONTH(AR$2)-MONTH($F209)) / 12),
  0)</f>
        <v/>
      </c>
      <c r="AS209" s="299">
        <f>IF(AND($F209&lt;=AS$2, OR($G209="",$G209&gt;=AS$2)),
  $H209 * (1 + Assumptions!$C$7) ^ INT(((YEAR(AS$2)-YEAR($F209))*12 + MONTH(AS$2)-MONTH($F209)) / 12),
  0)</f>
        <v/>
      </c>
      <c r="AT209" s="299">
        <f>IF(AND($F209&lt;=AT$2, OR($G209="",$G209&gt;=AT$2)),
  $H209 * (1 + Assumptions!$C$7) ^ INT(((YEAR(AT$2)-YEAR($F209))*12 + MONTH(AT$2)-MONTH($F209)) / 12),
  0)</f>
        <v/>
      </c>
      <c r="AU209" s="299">
        <f>IF(AND($F209&lt;=AU$2, OR($G209="",$G209&gt;=AU$2)),
  $H209 * (1 + Assumptions!$C$7) ^ INT(((YEAR(AU$2)-YEAR($F209))*12 + MONTH(AU$2)-MONTH($F209)) / 12),
  0)</f>
        <v/>
      </c>
      <c r="AV209" s="299">
        <f>IF(AND($F209&lt;=AV$2, OR($G209="",$G209&gt;=AV$2)),
  $H209 * (1 + Assumptions!$C$7) ^ INT(((YEAR(AV$2)-YEAR($F209))*12 + MONTH(AV$2)-MONTH($F209)) / 12),
  0)</f>
        <v/>
      </c>
      <c r="AW209" s="299">
        <f>IF(AND($F209&lt;=AW$2, OR($G209="",$G209&gt;=AW$2)),
  $H209 * (1 + Assumptions!$C$7) ^ INT(((YEAR(AW$2)-YEAR($F209))*12 + MONTH(AW$2)-MONTH($F209)) / 12),
  0)</f>
        <v/>
      </c>
      <c r="AX209" s="299">
        <f>IF(AND($F209&lt;=AX$2, OR($G209="",$G209&gt;=AX$2)),
  $H209 * (1 + Assumptions!$C$7) ^ INT(((YEAR(AX$2)-YEAR($F209))*12 + MONTH(AX$2)-MONTH($F209)) / 12),
  0)</f>
        <v/>
      </c>
      <c r="AY209" s="299">
        <f>IF(AND($F209&lt;=AY$2, OR($G209="",$G209&gt;=AY$2)),
  $H209 * (1 + Assumptions!$C$7) ^ INT(((YEAR(AY$2)-YEAR($F209))*12 + MONTH(AY$2)-MONTH($F209)) / 12),
  0)</f>
        <v/>
      </c>
      <c r="AZ209" s="299">
        <f>IF(AND($F209&lt;=AZ$2, OR($G209="",$G209&gt;=AZ$2)),
  $H209 * (1 + Assumptions!$C$7) ^ INT(((YEAR(AZ$2)-YEAR($F209))*12 + MONTH(AZ$2)-MONTH($F209)) / 12),
  0)</f>
        <v/>
      </c>
      <c r="BA209" s="299">
        <f>IF(AND($F209&lt;=BA$2, OR($G209="",$G209&gt;=BA$2)),
  $H209 * (1 + Assumptions!$C$7) ^ INT(((YEAR(BA$2)-YEAR($F209))*12 + MONTH(BA$2)-MONTH($F209)) / 12),
  0)</f>
        <v/>
      </c>
      <c r="BB209" s="299">
        <f>IF(AND($F209&lt;=BB$2, OR($G209="",$G209&gt;=BB$2)),
  $H209 * (1 + Assumptions!$C$7) ^ INT(((YEAR(BB$2)-YEAR($F209))*12 + MONTH(BB$2)-MONTH($F209)) / 12),
  0)</f>
        <v/>
      </c>
      <c r="BC209" s="299">
        <f>IF(AND($F209&lt;=BC$2, OR($G209="",$G209&gt;=BC$2)),
  $H209 * (1 + Assumptions!$C$7) ^ INT(((YEAR(BC$2)-YEAR($F209))*12 + MONTH(BC$2)-MONTH($F209)) / 12),
  0)</f>
        <v/>
      </c>
      <c r="BD209" s="299">
        <f>IF(AND($F209&lt;=BD$2, OR($G209="",$G209&gt;=BD$2)),
  $H209 * (1 + Assumptions!$C$7) ^ INT(((YEAR(BD$2)-YEAR($F209))*12 + MONTH(BD$2)-MONTH($F209)) / 12),
  0)</f>
        <v/>
      </c>
      <c r="BE209" s="299">
        <f>IF(AND($F209&lt;=BE$2, OR($G209="",$G209&gt;=BE$2)),
  $H209 * (1 + Assumptions!$C$7) ^ INT(((YEAR(BE$2)-YEAR($F209))*12 + MONTH(BE$2)-MONTH($F209)) / 12),
  0)</f>
        <v/>
      </c>
      <c r="BF209" s="299">
        <f>IF(AND($F209&lt;=BF$2, OR($G209="",$G209&gt;=BF$2)),
  $H209 * (1 + Assumptions!$C$7) ^ INT(((YEAR(BF$2)-YEAR($F209))*12 + MONTH(BF$2)-MONTH($F209)) / 12),
  0)</f>
        <v/>
      </c>
      <c r="BG209" s="299">
        <f>IF(AND($F209&lt;=BG$2, OR($G209="",$G209&gt;=BG$2)),
  $H209 * (1 + Assumptions!$C$7) ^ INT(((YEAR(BG$2)-YEAR($F209))*12 + MONTH(BG$2)-MONTH($F209)) / 12),
  0)</f>
        <v/>
      </c>
      <c r="BH209" s="299">
        <f>IF(AND($F209&lt;=BH$2, OR($G209="",$G209&gt;=BH$2)),
  $H209 * (1 + Assumptions!$C$7) ^ INT(((YEAR(BH$2)-YEAR($F209))*12 + MONTH(BH$2)-MONTH($F209)) / 12),
  0)</f>
        <v/>
      </c>
      <c r="BI209" s="299">
        <f>IF(AND($F209&lt;=BI$2, OR($G209="",$G209&gt;=BI$2)),
  $H209 * (1 + Assumptions!$C$7) ^ INT(((YEAR(BI$2)-YEAR($F209))*12 + MONTH(BI$2)-MONTH($F209)) / 12),
  0)</f>
        <v/>
      </c>
      <c r="BJ209" s="299">
        <f>IF(AND($F209&lt;=BJ$2, OR($G209="",$G209&gt;=BJ$2)),
  $H209 * (1 + Assumptions!$C$7) ^ INT(((YEAR(BJ$2)-YEAR($F209))*12 + MONTH(BJ$2)-MONTH($F209)) / 12),
  0)</f>
        <v/>
      </c>
      <c r="BK209" s="299">
        <f>IF(AND($F209&lt;=BK$2, OR($G209="",$G209&gt;=BK$2)),
  $H209 * (1 + Assumptions!$C$7) ^ INT(((YEAR(BK$2)-YEAR($F209))*12 + MONTH(BK$2)-MONTH($F209)) / 12),
  0)</f>
        <v/>
      </c>
      <c r="BL209" s="299">
        <f>IF(AND($F209&lt;=BL$2, OR($G209="",$G209&gt;=BL$2)),
  $H209 * (1 + Assumptions!$C$7) ^ INT(((YEAR(BL$2)-YEAR($F209))*12 + MONTH(BL$2)-MONTH($F209)) / 12),
  0)</f>
        <v/>
      </c>
      <c r="BM209" s="299">
        <f>IF(AND($F209&lt;=BM$2, OR($G209="",$G209&gt;=BM$2)),
  $H209 * (1 + Assumptions!$C$7) ^ INT(((YEAR(BM$2)-YEAR($F209))*12 + MONTH(BM$2)-MONTH($F209)) / 12),
  0)</f>
        <v/>
      </c>
      <c r="BN209" s="299">
        <f>IF(AND($F209&lt;=BN$2, OR($G209="",$G209&gt;=BN$2)),
  $H209 * (1 + Assumptions!$C$7) ^ INT(((YEAR(BN$2)-YEAR($F209))*12 + MONTH(BN$2)-MONTH($F209)) / 12),
  0)</f>
        <v/>
      </c>
      <c r="BO209" s="299">
        <f>IF(AND($F209&lt;=BO$2, OR($G209="",$G209&gt;=BO$2)),
  $H209 * (1 + Assumptions!$C$7) ^ INT(((YEAR(BO$2)-YEAR($F209))*12 + MONTH(BO$2)-MONTH($F209)) / 12),
  0)</f>
        <v/>
      </c>
      <c r="BP209" s="299">
        <f>IF(AND($F209&lt;=BP$2, OR($G209="",$G209&gt;=BP$2)),
  $H209 * (1 + Assumptions!$C$7) ^ INT(((YEAR(BP$2)-YEAR($F209))*12 + MONTH(BP$2)-MONTH($F209)) / 12),
  0)</f>
        <v/>
      </c>
      <c r="BQ209" s="31" t="n"/>
      <c r="BR209" s="31" t="n"/>
      <c r="BS209" s="31" t="n"/>
      <c r="BT209" s="31" t="n"/>
    </row>
    <row r="210" ht="15.75" customHeight="1" s="349">
      <c r="A210" s="321" t="n">
        <v>205</v>
      </c>
      <c r="B210" s="285" t="inlineStr">
        <is>
          <t>New hire</t>
        </is>
      </c>
      <c r="C210" s="317" t="inlineStr">
        <is>
          <t>R&amp;D</t>
        </is>
      </c>
      <c r="D210" s="317" t="inlineStr">
        <is>
          <t>R&amp;D Engineer</t>
        </is>
      </c>
      <c r="E210" s="297" t="inlineStr">
        <is>
          <t>Planned</t>
        </is>
      </c>
      <c r="F210" s="318">
        <f>IF(Assumptions!$D$82=2,DATE(2028,1,1),DATE(2029,1,1))</f>
        <v/>
      </c>
      <c r="G210" s="318" t="n"/>
      <c r="H210" s="288" t="n">
        <v>8000</v>
      </c>
      <c r="I210" s="299">
        <f>IF(AND($F210&lt;=I$2, OR($G210="",$G210&gt;=I$2)),
  $H210 * (1 + Assumptions!$C$7) ^ INT(((YEAR(I$2)-YEAR($F210))*12 + MONTH(I$2)-MONTH($F210)) / 12),
  0)</f>
        <v/>
      </c>
      <c r="J210" s="299">
        <f>IF(AND($F210&lt;=J$2, OR($G210="",$G210&gt;=J$2)),
  $H210 * (1 + Assumptions!$C$7) ^ INT(((YEAR(J$2)-YEAR($F210))*12 + MONTH(J$2)-MONTH($F210)) / 12),
  0)</f>
        <v/>
      </c>
      <c r="K210" s="299">
        <f>IF(AND($F210&lt;=K$2, OR($G210="",$G210&gt;=K$2)),
  $H210 * (1 + Assumptions!$C$7) ^ INT(((YEAR(K$2)-YEAR($F210))*12 + MONTH(K$2)-MONTH($F210)) / 12),
  0)</f>
        <v/>
      </c>
      <c r="L210" s="299">
        <f>IF(AND($F210&lt;=L$2, OR($G210="",$G210&gt;=L$2)),
  $H210 * (1 + Assumptions!$C$7) ^ INT(((YEAR(L$2)-YEAR($F210))*12 + MONTH(L$2)-MONTH($F210)) / 12),
  0)</f>
        <v/>
      </c>
      <c r="M210" s="299">
        <f>IF(AND($F210&lt;=M$2, OR($G210="",$G210&gt;=M$2)),
  $H210 * (1 + Assumptions!$C$7) ^ INT(((YEAR(M$2)-YEAR($F210))*12 + MONTH(M$2)-MONTH($F210)) / 12),
  0)</f>
        <v/>
      </c>
      <c r="N210" s="299">
        <f>IF(AND($F210&lt;=N$2, OR($G210="",$G210&gt;=N$2)),
  $H210 * (1 + Assumptions!$C$7) ^ INT(((YEAR(N$2)-YEAR($F210))*12 + MONTH(N$2)-MONTH($F210)) / 12),
  0)</f>
        <v/>
      </c>
      <c r="O210" s="299">
        <f>IF(AND($F210&lt;=O$2, OR($G210="",$G210&gt;=O$2)),
  $H210 * (1 + Assumptions!$C$7) ^ INT(((YEAR(O$2)-YEAR($F210))*12 + MONTH(O$2)-MONTH($F210)) / 12),
  0)</f>
        <v/>
      </c>
      <c r="P210" s="299">
        <f>IF(AND($F210&lt;=P$2, OR($G210="",$G210&gt;=P$2)),
  $H210 * (1 + Assumptions!$C$7) ^ INT(((YEAR(P$2)-YEAR($F210))*12 + MONTH(P$2)-MONTH($F210)) / 12),
  0)</f>
        <v/>
      </c>
      <c r="Q210" s="299">
        <f>IF(AND($F210&lt;=Q$2, OR($G210="",$G210&gt;=Q$2)),
  $H210 * (1 + Assumptions!$C$7) ^ INT(((YEAR(Q$2)-YEAR($F210))*12 + MONTH(Q$2)-MONTH($F210)) / 12),
  0)</f>
        <v/>
      </c>
      <c r="R210" s="299">
        <f>IF(AND($F210&lt;=R$2, OR($G210="",$G210&gt;=R$2)),
  $H210 * (1 + Assumptions!$C$7) ^ INT(((YEAR(R$2)-YEAR($F210))*12 + MONTH(R$2)-MONTH($F210)) / 12),
  0)</f>
        <v/>
      </c>
      <c r="S210" s="299">
        <f>IF(AND($F210&lt;=S$2, OR($G210="",$G210&gt;=S$2)),
  $H210 * (1 + Assumptions!$C$7) ^ INT(((YEAR(S$2)-YEAR($F210))*12 + MONTH(S$2)-MONTH($F210)) / 12),
  0)</f>
        <v/>
      </c>
      <c r="T210" s="299">
        <f>IF(AND($F210&lt;=T$2, OR($G210="",$G210&gt;=T$2)),
  $H210 * (1 + Assumptions!$C$7) ^ INT(((YEAR(T$2)-YEAR($F210))*12 + MONTH(T$2)-MONTH($F210)) / 12),
  0)</f>
        <v/>
      </c>
      <c r="U210" s="299">
        <f>IF(AND($F210&lt;=U$2, OR($G210="",$G210&gt;=U$2)),
  $H210 * (1 + Assumptions!$C$7) ^ INT(((YEAR(U$2)-YEAR($F210))*12 + MONTH(U$2)-MONTH($F210)) / 12),
  0)</f>
        <v/>
      </c>
      <c r="V210" s="299">
        <f>IF(AND($F210&lt;=V$2, OR($G210="",$G210&gt;=V$2)),
  $H210 * (1 + Assumptions!$C$7) ^ INT(((YEAR(V$2)-YEAR($F210))*12 + MONTH(V$2)-MONTH($F210)) / 12),
  0)</f>
        <v/>
      </c>
      <c r="W210" s="299">
        <f>IF(AND($F210&lt;=W$2, OR($G210="",$G210&gt;=W$2)),
  $H210 * (1 + Assumptions!$C$7) ^ INT(((YEAR(W$2)-YEAR($F210))*12 + MONTH(W$2)-MONTH($F210)) / 12),
  0)</f>
        <v/>
      </c>
      <c r="X210" s="299">
        <f>IF(AND($F210&lt;=X$2, OR($G210="",$G210&gt;=X$2)),
  $H210 * (1 + Assumptions!$C$7) ^ INT(((YEAR(X$2)-YEAR($F210))*12 + MONTH(X$2)-MONTH($F210)) / 12),
  0)</f>
        <v/>
      </c>
      <c r="Y210" s="299">
        <f>IF(AND($F210&lt;=Y$2, OR($G210="",$G210&gt;=Y$2)),
  $H210 * (1 + Assumptions!$C$7) ^ INT(((YEAR(Y$2)-YEAR($F210))*12 + MONTH(Y$2)-MONTH($F210)) / 12),
  0)</f>
        <v/>
      </c>
      <c r="Z210" s="299">
        <f>IF(AND($F210&lt;=Z$2, OR($G210="",$G210&gt;=Z$2)),
  $H210 * (1 + Assumptions!$C$7) ^ INT(((YEAR(Z$2)-YEAR($F210))*12 + MONTH(Z$2)-MONTH($F210)) / 12),
  0)</f>
        <v/>
      </c>
      <c r="AA210" s="299">
        <f>IF(AND($F210&lt;=AA$2, OR($G210="",$G210&gt;=AA$2)),
  $H210 * (1 + Assumptions!$C$7) ^ INT(((YEAR(AA$2)-YEAR($F210))*12 + MONTH(AA$2)-MONTH($F210)) / 12),
  0)</f>
        <v/>
      </c>
      <c r="AB210" s="299">
        <f>IF(AND($F210&lt;=AB$2, OR($G210="",$G210&gt;=AB$2)),
  $H210 * (1 + Assumptions!$C$7) ^ INT(((YEAR(AB$2)-YEAR($F210))*12 + MONTH(AB$2)-MONTH($F210)) / 12),
  0)</f>
        <v/>
      </c>
      <c r="AC210" s="299">
        <f>IF(AND($F210&lt;=AC$2, OR($G210="",$G210&gt;=AC$2)),
  $H210 * (1 + Assumptions!$C$7) ^ INT(((YEAR(AC$2)-YEAR($F210))*12 + MONTH(AC$2)-MONTH($F210)) / 12),
  0)</f>
        <v/>
      </c>
      <c r="AD210" s="299">
        <f>IF(AND($F210&lt;=AD$2, OR($G210="",$G210&gt;=AD$2)),
  $H210 * (1 + Assumptions!$C$7) ^ INT(((YEAR(AD$2)-YEAR($F210))*12 + MONTH(AD$2)-MONTH($F210)) / 12),
  0)</f>
        <v/>
      </c>
      <c r="AE210" s="299">
        <f>IF(AND($F210&lt;=AE$2, OR($G210="",$G210&gt;=AE$2)),
  $H210 * (1 + Assumptions!$C$7) ^ INT(((YEAR(AE$2)-YEAR($F210))*12 + MONTH(AE$2)-MONTH($F210)) / 12),
  0)</f>
        <v/>
      </c>
      <c r="AF210" s="299">
        <f>IF(AND($F210&lt;=AF$2, OR($G210="",$G210&gt;=AF$2)),
  $H210 * (1 + Assumptions!$C$7) ^ INT(((YEAR(AF$2)-YEAR($F210))*12 + MONTH(AF$2)-MONTH($F210)) / 12),
  0)</f>
        <v/>
      </c>
      <c r="AG210" s="299">
        <f>IF(AND($F210&lt;=AG$2, OR($G210="",$G210&gt;=AG$2)),
  $H210 * (1 + Assumptions!$C$7) ^ INT(((YEAR(AG$2)-YEAR($F210))*12 + MONTH(AG$2)-MONTH($F210)) / 12),
  0)</f>
        <v/>
      </c>
      <c r="AH210" s="299">
        <f>IF(AND($F210&lt;=AH$2, OR($G210="",$G210&gt;=AH$2)),
  $H210 * (1 + Assumptions!$C$7) ^ INT(((YEAR(AH$2)-YEAR($F210))*12 + MONTH(AH$2)-MONTH($F210)) / 12),
  0)</f>
        <v/>
      </c>
      <c r="AI210" s="299">
        <f>IF(AND($F210&lt;=AI$2, OR($G210="",$G210&gt;=AI$2)),
  $H210 * (1 + Assumptions!$C$7) ^ INT(((YEAR(AI$2)-YEAR($F210))*12 + MONTH(AI$2)-MONTH($F210)) / 12),
  0)</f>
        <v/>
      </c>
      <c r="AJ210" s="299">
        <f>IF(AND($F210&lt;=AJ$2, OR($G210="",$G210&gt;=AJ$2)),
  $H210 * (1 + Assumptions!$C$7) ^ INT(((YEAR(AJ$2)-YEAR($F210))*12 + MONTH(AJ$2)-MONTH($F210)) / 12),
  0)</f>
        <v/>
      </c>
      <c r="AK210" s="299">
        <f>IF(AND($F210&lt;=AK$2, OR($G210="",$G210&gt;=AK$2)),
  $H210 * (1 + Assumptions!$C$7) ^ INT(((YEAR(AK$2)-YEAR($F210))*12 + MONTH(AK$2)-MONTH($F210)) / 12),
  0)</f>
        <v/>
      </c>
      <c r="AL210" s="299">
        <f>IF(AND($F210&lt;=AL$2, OR($G210="",$G210&gt;=AL$2)),
  $H210 * (1 + Assumptions!$C$7) ^ INT(((YEAR(AL$2)-YEAR($F210))*12 + MONTH(AL$2)-MONTH($F210)) / 12),
  0)</f>
        <v/>
      </c>
      <c r="AM210" s="299">
        <f>IF(AND($F210&lt;=AM$2, OR($G210="",$G210&gt;=AM$2)),
  $H210 * (1 + Assumptions!$C$7) ^ INT(((YEAR(AM$2)-YEAR($F210))*12 + MONTH(AM$2)-MONTH($F210)) / 12),
  0)</f>
        <v/>
      </c>
      <c r="AN210" s="299">
        <f>IF(AND($F210&lt;=AN$2, OR($G210="",$G210&gt;=AN$2)),
  $H210 * (1 + Assumptions!$C$7) ^ INT(((YEAR(AN$2)-YEAR($F210))*12 + MONTH(AN$2)-MONTH($F210)) / 12),
  0)</f>
        <v/>
      </c>
      <c r="AO210" s="299">
        <f>IF(AND($F210&lt;=AO$2, OR($G210="",$G210&gt;=AO$2)),
  $H210 * (1 + Assumptions!$C$7) ^ INT(((YEAR(AO$2)-YEAR($F210))*12 + MONTH(AO$2)-MONTH($F210)) / 12),
  0)</f>
        <v/>
      </c>
      <c r="AP210" s="299">
        <f>IF(AND($F210&lt;=AP$2, OR($G210="",$G210&gt;=AP$2)),
  $H210 * (1 + Assumptions!$C$7) ^ INT(((YEAR(AP$2)-YEAR($F210))*12 + MONTH(AP$2)-MONTH($F210)) / 12),
  0)</f>
        <v/>
      </c>
      <c r="AQ210" s="299">
        <f>IF(AND($F210&lt;=AQ$2, OR($G210="",$G210&gt;=AQ$2)),
  $H210 * (1 + Assumptions!$C$7) ^ INT(((YEAR(AQ$2)-YEAR($F210))*12 + MONTH(AQ$2)-MONTH($F210)) / 12),
  0)</f>
        <v/>
      </c>
      <c r="AR210" s="299">
        <f>IF(AND($F210&lt;=AR$2, OR($G210="",$G210&gt;=AR$2)),
  $H210 * (1 + Assumptions!$C$7) ^ INT(((YEAR(AR$2)-YEAR($F210))*12 + MONTH(AR$2)-MONTH($F210)) / 12),
  0)</f>
        <v/>
      </c>
      <c r="AS210" s="299">
        <f>IF(AND($F210&lt;=AS$2, OR($G210="",$G210&gt;=AS$2)),
  $H210 * (1 + Assumptions!$C$7) ^ INT(((YEAR(AS$2)-YEAR($F210))*12 + MONTH(AS$2)-MONTH($F210)) / 12),
  0)</f>
        <v/>
      </c>
      <c r="AT210" s="299">
        <f>IF(AND($F210&lt;=AT$2, OR($G210="",$G210&gt;=AT$2)),
  $H210 * (1 + Assumptions!$C$7) ^ INT(((YEAR(AT$2)-YEAR($F210))*12 + MONTH(AT$2)-MONTH($F210)) / 12),
  0)</f>
        <v/>
      </c>
      <c r="AU210" s="299">
        <f>IF(AND($F210&lt;=AU$2, OR($G210="",$G210&gt;=AU$2)),
  $H210 * (1 + Assumptions!$C$7) ^ INT(((YEAR(AU$2)-YEAR($F210))*12 + MONTH(AU$2)-MONTH($F210)) / 12),
  0)</f>
        <v/>
      </c>
      <c r="AV210" s="299">
        <f>IF(AND($F210&lt;=AV$2, OR($G210="",$G210&gt;=AV$2)),
  $H210 * (1 + Assumptions!$C$7) ^ INT(((YEAR(AV$2)-YEAR($F210))*12 + MONTH(AV$2)-MONTH($F210)) / 12),
  0)</f>
        <v/>
      </c>
      <c r="AW210" s="299">
        <f>IF(AND($F210&lt;=AW$2, OR($G210="",$G210&gt;=AW$2)),
  $H210 * (1 + Assumptions!$C$7) ^ INT(((YEAR(AW$2)-YEAR($F210))*12 + MONTH(AW$2)-MONTH($F210)) / 12),
  0)</f>
        <v/>
      </c>
      <c r="AX210" s="299">
        <f>IF(AND($F210&lt;=AX$2, OR($G210="",$G210&gt;=AX$2)),
  $H210 * (1 + Assumptions!$C$7) ^ INT(((YEAR(AX$2)-YEAR($F210))*12 + MONTH(AX$2)-MONTH($F210)) / 12),
  0)</f>
        <v/>
      </c>
      <c r="AY210" s="299">
        <f>IF(AND($F210&lt;=AY$2, OR($G210="",$G210&gt;=AY$2)),
  $H210 * (1 + Assumptions!$C$7) ^ INT(((YEAR(AY$2)-YEAR($F210))*12 + MONTH(AY$2)-MONTH($F210)) / 12),
  0)</f>
        <v/>
      </c>
      <c r="AZ210" s="299">
        <f>IF(AND($F210&lt;=AZ$2, OR($G210="",$G210&gt;=AZ$2)),
  $H210 * (1 + Assumptions!$C$7) ^ INT(((YEAR(AZ$2)-YEAR($F210))*12 + MONTH(AZ$2)-MONTH($F210)) / 12),
  0)</f>
        <v/>
      </c>
      <c r="BA210" s="299">
        <f>IF(AND($F210&lt;=BA$2, OR($G210="",$G210&gt;=BA$2)),
  $H210 * (1 + Assumptions!$C$7) ^ INT(((YEAR(BA$2)-YEAR($F210))*12 + MONTH(BA$2)-MONTH($F210)) / 12),
  0)</f>
        <v/>
      </c>
      <c r="BB210" s="299">
        <f>IF(AND($F210&lt;=BB$2, OR($G210="",$G210&gt;=BB$2)),
  $H210 * (1 + Assumptions!$C$7) ^ INT(((YEAR(BB$2)-YEAR($F210))*12 + MONTH(BB$2)-MONTH($F210)) / 12),
  0)</f>
        <v/>
      </c>
      <c r="BC210" s="299">
        <f>IF(AND($F210&lt;=BC$2, OR($G210="",$G210&gt;=BC$2)),
  $H210 * (1 + Assumptions!$C$7) ^ INT(((YEAR(BC$2)-YEAR($F210))*12 + MONTH(BC$2)-MONTH($F210)) / 12),
  0)</f>
        <v/>
      </c>
      <c r="BD210" s="299">
        <f>IF(AND($F210&lt;=BD$2, OR($G210="",$G210&gt;=BD$2)),
  $H210 * (1 + Assumptions!$C$7) ^ INT(((YEAR(BD$2)-YEAR($F210))*12 + MONTH(BD$2)-MONTH($F210)) / 12),
  0)</f>
        <v/>
      </c>
      <c r="BE210" s="299">
        <f>IF(AND($F210&lt;=BE$2, OR($G210="",$G210&gt;=BE$2)),
  $H210 * (1 + Assumptions!$C$7) ^ INT(((YEAR(BE$2)-YEAR($F210))*12 + MONTH(BE$2)-MONTH($F210)) / 12),
  0)</f>
        <v/>
      </c>
      <c r="BF210" s="299">
        <f>IF(AND($F210&lt;=BF$2, OR($G210="",$G210&gt;=BF$2)),
  $H210 * (1 + Assumptions!$C$7) ^ INT(((YEAR(BF$2)-YEAR($F210))*12 + MONTH(BF$2)-MONTH($F210)) / 12),
  0)</f>
        <v/>
      </c>
      <c r="BG210" s="299">
        <f>IF(AND($F210&lt;=BG$2, OR($G210="",$G210&gt;=BG$2)),
  $H210 * (1 + Assumptions!$C$7) ^ INT(((YEAR(BG$2)-YEAR($F210))*12 + MONTH(BG$2)-MONTH($F210)) / 12),
  0)</f>
        <v/>
      </c>
      <c r="BH210" s="299">
        <f>IF(AND($F210&lt;=BH$2, OR($G210="",$G210&gt;=BH$2)),
  $H210 * (1 + Assumptions!$C$7) ^ INT(((YEAR(BH$2)-YEAR($F210))*12 + MONTH(BH$2)-MONTH($F210)) / 12),
  0)</f>
        <v/>
      </c>
      <c r="BI210" s="299">
        <f>IF(AND($F210&lt;=BI$2, OR($G210="",$G210&gt;=BI$2)),
  $H210 * (1 + Assumptions!$C$7) ^ INT(((YEAR(BI$2)-YEAR($F210))*12 + MONTH(BI$2)-MONTH($F210)) / 12),
  0)</f>
        <v/>
      </c>
      <c r="BJ210" s="299">
        <f>IF(AND($F210&lt;=BJ$2, OR($G210="",$G210&gt;=BJ$2)),
  $H210 * (1 + Assumptions!$C$7) ^ INT(((YEAR(BJ$2)-YEAR($F210))*12 + MONTH(BJ$2)-MONTH($F210)) / 12),
  0)</f>
        <v/>
      </c>
      <c r="BK210" s="299">
        <f>IF(AND($F210&lt;=BK$2, OR($G210="",$G210&gt;=BK$2)),
  $H210 * (1 + Assumptions!$C$7) ^ INT(((YEAR(BK$2)-YEAR($F210))*12 + MONTH(BK$2)-MONTH($F210)) / 12),
  0)</f>
        <v/>
      </c>
      <c r="BL210" s="299">
        <f>IF(AND($F210&lt;=BL$2, OR($G210="",$G210&gt;=BL$2)),
  $H210 * (1 + Assumptions!$C$7) ^ INT(((YEAR(BL$2)-YEAR($F210))*12 + MONTH(BL$2)-MONTH($F210)) / 12),
  0)</f>
        <v/>
      </c>
      <c r="BM210" s="299">
        <f>IF(AND($F210&lt;=BM$2, OR($G210="",$G210&gt;=BM$2)),
  $H210 * (1 + Assumptions!$C$7) ^ INT(((YEAR(BM$2)-YEAR($F210))*12 + MONTH(BM$2)-MONTH($F210)) / 12),
  0)</f>
        <v/>
      </c>
      <c r="BN210" s="299">
        <f>IF(AND($F210&lt;=BN$2, OR($G210="",$G210&gt;=BN$2)),
  $H210 * (1 + Assumptions!$C$7) ^ INT(((YEAR(BN$2)-YEAR($F210))*12 + MONTH(BN$2)-MONTH($F210)) / 12),
  0)</f>
        <v/>
      </c>
      <c r="BO210" s="299">
        <f>IF(AND($F210&lt;=BO$2, OR($G210="",$G210&gt;=BO$2)),
  $H210 * (1 + Assumptions!$C$7) ^ INT(((YEAR(BO$2)-YEAR($F210))*12 + MONTH(BO$2)-MONTH($F210)) / 12),
  0)</f>
        <v/>
      </c>
      <c r="BP210" s="299">
        <f>IF(AND($F210&lt;=BP$2, OR($G210="",$G210&gt;=BP$2)),
  $H210 * (1 + Assumptions!$C$7) ^ INT(((YEAR(BP$2)-YEAR($F210))*12 + MONTH(BP$2)-MONTH($F210)) / 12),
  0)</f>
        <v/>
      </c>
      <c r="BQ210" s="31" t="n"/>
      <c r="BR210" s="31" t="n"/>
      <c r="BS210" s="31" t="n"/>
      <c r="BT210" s="31" t="n"/>
    </row>
    <row r="211" ht="15.75" customHeight="1" s="349">
      <c r="A211" s="321" t="n">
        <v>206</v>
      </c>
      <c r="B211" s="285" t="inlineStr">
        <is>
          <t>New hire</t>
        </is>
      </c>
      <c r="C211" s="317" t="inlineStr">
        <is>
          <t>R&amp;D</t>
        </is>
      </c>
      <c r="D211" s="317" t="inlineStr">
        <is>
          <t>R&amp;D Engineer</t>
        </is>
      </c>
      <c r="E211" s="297" t="inlineStr">
        <is>
          <t>Planned</t>
        </is>
      </c>
      <c r="F211" s="318">
        <f>IF(Assumptions!$D$82=2,DATE(2028,1,1),DATE(2029,1,1))</f>
        <v/>
      </c>
      <c r="G211" s="318" t="n"/>
      <c r="H211" s="288" t="n">
        <v>8000</v>
      </c>
      <c r="I211" s="299">
        <f>IF(AND($F211&lt;=I$2, OR($G211="",$G211&gt;=I$2)),
  $H211 * (1 + Assumptions!$C$7) ^ INT(((YEAR(I$2)-YEAR($F211))*12 + MONTH(I$2)-MONTH($F211)) / 12),
  0)</f>
        <v/>
      </c>
      <c r="J211" s="299">
        <f>IF(AND($F211&lt;=J$2, OR($G211="",$G211&gt;=J$2)),
  $H211 * (1 + Assumptions!$C$7) ^ INT(((YEAR(J$2)-YEAR($F211))*12 + MONTH(J$2)-MONTH($F211)) / 12),
  0)</f>
        <v/>
      </c>
      <c r="K211" s="299">
        <f>IF(AND($F211&lt;=K$2, OR($G211="",$G211&gt;=K$2)),
  $H211 * (1 + Assumptions!$C$7) ^ INT(((YEAR(K$2)-YEAR($F211))*12 + MONTH(K$2)-MONTH($F211)) / 12),
  0)</f>
        <v/>
      </c>
      <c r="L211" s="299">
        <f>IF(AND($F211&lt;=L$2, OR($G211="",$G211&gt;=L$2)),
  $H211 * (1 + Assumptions!$C$7) ^ INT(((YEAR(L$2)-YEAR($F211))*12 + MONTH(L$2)-MONTH($F211)) / 12),
  0)</f>
        <v/>
      </c>
      <c r="M211" s="299">
        <f>IF(AND($F211&lt;=M$2, OR($G211="",$G211&gt;=M$2)),
  $H211 * (1 + Assumptions!$C$7) ^ INT(((YEAR(M$2)-YEAR($F211))*12 + MONTH(M$2)-MONTH($F211)) / 12),
  0)</f>
        <v/>
      </c>
      <c r="N211" s="299">
        <f>IF(AND($F211&lt;=N$2, OR($G211="",$G211&gt;=N$2)),
  $H211 * (1 + Assumptions!$C$7) ^ INT(((YEAR(N$2)-YEAR($F211))*12 + MONTH(N$2)-MONTH($F211)) / 12),
  0)</f>
        <v/>
      </c>
      <c r="O211" s="299">
        <f>IF(AND($F211&lt;=O$2, OR($G211="",$G211&gt;=O$2)),
  $H211 * (1 + Assumptions!$C$7) ^ INT(((YEAR(O$2)-YEAR($F211))*12 + MONTH(O$2)-MONTH($F211)) / 12),
  0)</f>
        <v/>
      </c>
      <c r="P211" s="299">
        <f>IF(AND($F211&lt;=P$2, OR($G211="",$G211&gt;=P$2)),
  $H211 * (1 + Assumptions!$C$7) ^ INT(((YEAR(P$2)-YEAR($F211))*12 + MONTH(P$2)-MONTH($F211)) / 12),
  0)</f>
        <v/>
      </c>
      <c r="Q211" s="299">
        <f>IF(AND($F211&lt;=Q$2, OR($G211="",$G211&gt;=Q$2)),
  $H211 * (1 + Assumptions!$C$7) ^ INT(((YEAR(Q$2)-YEAR($F211))*12 + MONTH(Q$2)-MONTH($F211)) / 12),
  0)</f>
        <v/>
      </c>
      <c r="R211" s="299">
        <f>IF(AND($F211&lt;=R$2, OR($G211="",$G211&gt;=R$2)),
  $H211 * (1 + Assumptions!$C$7) ^ INT(((YEAR(R$2)-YEAR($F211))*12 + MONTH(R$2)-MONTH($F211)) / 12),
  0)</f>
        <v/>
      </c>
      <c r="S211" s="299">
        <f>IF(AND($F211&lt;=S$2, OR($G211="",$G211&gt;=S$2)),
  $H211 * (1 + Assumptions!$C$7) ^ INT(((YEAR(S$2)-YEAR($F211))*12 + MONTH(S$2)-MONTH($F211)) / 12),
  0)</f>
        <v/>
      </c>
      <c r="T211" s="299">
        <f>IF(AND($F211&lt;=T$2, OR($G211="",$G211&gt;=T$2)),
  $H211 * (1 + Assumptions!$C$7) ^ INT(((YEAR(T$2)-YEAR($F211))*12 + MONTH(T$2)-MONTH($F211)) / 12),
  0)</f>
        <v/>
      </c>
      <c r="U211" s="299">
        <f>IF(AND($F211&lt;=U$2, OR($G211="",$G211&gt;=U$2)),
  $H211 * (1 + Assumptions!$C$7) ^ INT(((YEAR(U$2)-YEAR($F211))*12 + MONTH(U$2)-MONTH($F211)) / 12),
  0)</f>
        <v/>
      </c>
      <c r="V211" s="299">
        <f>IF(AND($F211&lt;=V$2, OR($G211="",$G211&gt;=V$2)),
  $H211 * (1 + Assumptions!$C$7) ^ INT(((YEAR(V$2)-YEAR($F211))*12 + MONTH(V$2)-MONTH($F211)) / 12),
  0)</f>
        <v/>
      </c>
      <c r="W211" s="299">
        <f>IF(AND($F211&lt;=W$2, OR($G211="",$G211&gt;=W$2)),
  $H211 * (1 + Assumptions!$C$7) ^ INT(((YEAR(W$2)-YEAR($F211))*12 + MONTH(W$2)-MONTH($F211)) / 12),
  0)</f>
        <v/>
      </c>
      <c r="X211" s="299">
        <f>IF(AND($F211&lt;=X$2, OR($G211="",$G211&gt;=X$2)),
  $H211 * (1 + Assumptions!$C$7) ^ INT(((YEAR(X$2)-YEAR($F211))*12 + MONTH(X$2)-MONTH($F211)) / 12),
  0)</f>
        <v/>
      </c>
      <c r="Y211" s="299">
        <f>IF(AND($F211&lt;=Y$2, OR($G211="",$G211&gt;=Y$2)),
  $H211 * (1 + Assumptions!$C$7) ^ INT(((YEAR(Y$2)-YEAR($F211))*12 + MONTH(Y$2)-MONTH($F211)) / 12),
  0)</f>
        <v/>
      </c>
      <c r="Z211" s="299">
        <f>IF(AND($F211&lt;=Z$2, OR($G211="",$G211&gt;=Z$2)),
  $H211 * (1 + Assumptions!$C$7) ^ INT(((YEAR(Z$2)-YEAR($F211))*12 + MONTH(Z$2)-MONTH($F211)) / 12),
  0)</f>
        <v/>
      </c>
      <c r="AA211" s="299">
        <f>IF(AND($F211&lt;=AA$2, OR($G211="",$G211&gt;=AA$2)),
  $H211 * (1 + Assumptions!$C$7) ^ INT(((YEAR(AA$2)-YEAR($F211))*12 + MONTH(AA$2)-MONTH($F211)) / 12),
  0)</f>
        <v/>
      </c>
      <c r="AB211" s="299">
        <f>IF(AND($F211&lt;=AB$2, OR($G211="",$G211&gt;=AB$2)),
  $H211 * (1 + Assumptions!$C$7) ^ INT(((YEAR(AB$2)-YEAR($F211))*12 + MONTH(AB$2)-MONTH($F211)) / 12),
  0)</f>
        <v/>
      </c>
      <c r="AC211" s="299">
        <f>IF(AND($F211&lt;=AC$2, OR($G211="",$G211&gt;=AC$2)),
  $H211 * (1 + Assumptions!$C$7) ^ INT(((YEAR(AC$2)-YEAR($F211))*12 + MONTH(AC$2)-MONTH($F211)) / 12),
  0)</f>
        <v/>
      </c>
      <c r="AD211" s="299">
        <f>IF(AND($F211&lt;=AD$2, OR($G211="",$G211&gt;=AD$2)),
  $H211 * (1 + Assumptions!$C$7) ^ INT(((YEAR(AD$2)-YEAR($F211))*12 + MONTH(AD$2)-MONTH($F211)) / 12),
  0)</f>
        <v/>
      </c>
      <c r="AE211" s="299">
        <f>IF(AND($F211&lt;=AE$2, OR($G211="",$G211&gt;=AE$2)),
  $H211 * (1 + Assumptions!$C$7) ^ INT(((YEAR(AE$2)-YEAR($F211))*12 + MONTH(AE$2)-MONTH($F211)) / 12),
  0)</f>
        <v/>
      </c>
      <c r="AF211" s="299">
        <f>IF(AND($F211&lt;=AF$2, OR($G211="",$G211&gt;=AF$2)),
  $H211 * (1 + Assumptions!$C$7) ^ INT(((YEAR(AF$2)-YEAR($F211))*12 + MONTH(AF$2)-MONTH($F211)) / 12),
  0)</f>
        <v/>
      </c>
      <c r="AG211" s="299">
        <f>IF(AND($F211&lt;=AG$2, OR($G211="",$G211&gt;=AG$2)),
  $H211 * (1 + Assumptions!$C$7) ^ INT(((YEAR(AG$2)-YEAR($F211))*12 + MONTH(AG$2)-MONTH($F211)) / 12),
  0)</f>
        <v/>
      </c>
      <c r="AH211" s="299">
        <f>IF(AND($F211&lt;=AH$2, OR($G211="",$G211&gt;=AH$2)),
  $H211 * (1 + Assumptions!$C$7) ^ INT(((YEAR(AH$2)-YEAR($F211))*12 + MONTH(AH$2)-MONTH($F211)) / 12),
  0)</f>
        <v/>
      </c>
      <c r="AI211" s="299">
        <f>IF(AND($F211&lt;=AI$2, OR($G211="",$G211&gt;=AI$2)),
  $H211 * (1 + Assumptions!$C$7) ^ INT(((YEAR(AI$2)-YEAR($F211))*12 + MONTH(AI$2)-MONTH($F211)) / 12),
  0)</f>
        <v/>
      </c>
      <c r="AJ211" s="299">
        <f>IF(AND($F211&lt;=AJ$2, OR($G211="",$G211&gt;=AJ$2)),
  $H211 * (1 + Assumptions!$C$7) ^ INT(((YEAR(AJ$2)-YEAR($F211))*12 + MONTH(AJ$2)-MONTH($F211)) / 12),
  0)</f>
        <v/>
      </c>
      <c r="AK211" s="299">
        <f>IF(AND($F211&lt;=AK$2, OR($G211="",$G211&gt;=AK$2)),
  $H211 * (1 + Assumptions!$C$7) ^ INT(((YEAR(AK$2)-YEAR($F211))*12 + MONTH(AK$2)-MONTH($F211)) / 12),
  0)</f>
        <v/>
      </c>
      <c r="AL211" s="299">
        <f>IF(AND($F211&lt;=AL$2, OR($G211="",$G211&gt;=AL$2)),
  $H211 * (1 + Assumptions!$C$7) ^ INT(((YEAR(AL$2)-YEAR($F211))*12 + MONTH(AL$2)-MONTH($F211)) / 12),
  0)</f>
        <v/>
      </c>
      <c r="AM211" s="299">
        <f>IF(AND($F211&lt;=AM$2, OR($G211="",$G211&gt;=AM$2)),
  $H211 * (1 + Assumptions!$C$7) ^ INT(((YEAR(AM$2)-YEAR($F211))*12 + MONTH(AM$2)-MONTH($F211)) / 12),
  0)</f>
        <v/>
      </c>
      <c r="AN211" s="299">
        <f>IF(AND($F211&lt;=AN$2, OR($G211="",$G211&gt;=AN$2)),
  $H211 * (1 + Assumptions!$C$7) ^ INT(((YEAR(AN$2)-YEAR($F211))*12 + MONTH(AN$2)-MONTH($F211)) / 12),
  0)</f>
        <v/>
      </c>
      <c r="AO211" s="299">
        <f>IF(AND($F211&lt;=AO$2, OR($G211="",$G211&gt;=AO$2)),
  $H211 * (1 + Assumptions!$C$7) ^ INT(((YEAR(AO$2)-YEAR($F211))*12 + MONTH(AO$2)-MONTH($F211)) / 12),
  0)</f>
        <v/>
      </c>
      <c r="AP211" s="299">
        <f>IF(AND($F211&lt;=AP$2, OR($G211="",$G211&gt;=AP$2)),
  $H211 * (1 + Assumptions!$C$7) ^ INT(((YEAR(AP$2)-YEAR($F211))*12 + MONTH(AP$2)-MONTH($F211)) / 12),
  0)</f>
        <v/>
      </c>
      <c r="AQ211" s="299">
        <f>IF(AND($F211&lt;=AQ$2, OR($G211="",$G211&gt;=AQ$2)),
  $H211 * (1 + Assumptions!$C$7) ^ INT(((YEAR(AQ$2)-YEAR($F211))*12 + MONTH(AQ$2)-MONTH($F211)) / 12),
  0)</f>
        <v/>
      </c>
      <c r="AR211" s="299">
        <f>IF(AND($F211&lt;=AR$2, OR($G211="",$G211&gt;=AR$2)),
  $H211 * (1 + Assumptions!$C$7) ^ INT(((YEAR(AR$2)-YEAR($F211))*12 + MONTH(AR$2)-MONTH($F211)) / 12),
  0)</f>
        <v/>
      </c>
      <c r="AS211" s="299">
        <f>IF(AND($F211&lt;=AS$2, OR($G211="",$G211&gt;=AS$2)),
  $H211 * (1 + Assumptions!$C$7) ^ INT(((YEAR(AS$2)-YEAR($F211))*12 + MONTH(AS$2)-MONTH($F211)) / 12),
  0)</f>
        <v/>
      </c>
      <c r="AT211" s="299">
        <f>IF(AND($F211&lt;=AT$2, OR($G211="",$G211&gt;=AT$2)),
  $H211 * (1 + Assumptions!$C$7) ^ INT(((YEAR(AT$2)-YEAR($F211))*12 + MONTH(AT$2)-MONTH($F211)) / 12),
  0)</f>
        <v/>
      </c>
      <c r="AU211" s="299">
        <f>IF(AND($F211&lt;=AU$2, OR($G211="",$G211&gt;=AU$2)),
  $H211 * (1 + Assumptions!$C$7) ^ INT(((YEAR(AU$2)-YEAR($F211))*12 + MONTH(AU$2)-MONTH($F211)) / 12),
  0)</f>
        <v/>
      </c>
      <c r="AV211" s="299">
        <f>IF(AND($F211&lt;=AV$2, OR($G211="",$G211&gt;=AV$2)),
  $H211 * (1 + Assumptions!$C$7) ^ INT(((YEAR(AV$2)-YEAR($F211))*12 + MONTH(AV$2)-MONTH($F211)) / 12),
  0)</f>
        <v/>
      </c>
      <c r="AW211" s="299">
        <f>IF(AND($F211&lt;=AW$2, OR($G211="",$G211&gt;=AW$2)),
  $H211 * (1 + Assumptions!$C$7) ^ INT(((YEAR(AW$2)-YEAR($F211))*12 + MONTH(AW$2)-MONTH($F211)) / 12),
  0)</f>
        <v/>
      </c>
      <c r="AX211" s="299">
        <f>IF(AND($F211&lt;=AX$2, OR($G211="",$G211&gt;=AX$2)),
  $H211 * (1 + Assumptions!$C$7) ^ INT(((YEAR(AX$2)-YEAR($F211))*12 + MONTH(AX$2)-MONTH($F211)) / 12),
  0)</f>
        <v/>
      </c>
      <c r="AY211" s="299">
        <f>IF(AND($F211&lt;=AY$2, OR($G211="",$G211&gt;=AY$2)),
  $H211 * (1 + Assumptions!$C$7) ^ INT(((YEAR(AY$2)-YEAR($F211))*12 + MONTH(AY$2)-MONTH($F211)) / 12),
  0)</f>
        <v/>
      </c>
      <c r="AZ211" s="299">
        <f>IF(AND($F211&lt;=AZ$2, OR($G211="",$G211&gt;=AZ$2)),
  $H211 * (1 + Assumptions!$C$7) ^ INT(((YEAR(AZ$2)-YEAR($F211))*12 + MONTH(AZ$2)-MONTH($F211)) / 12),
  0)</f>
        <v/>
      </c>
      <c r="BA211" s="299">
        <f>IF(AND($F211&lt;=BA$2, OR($G211="",$G211&gt;=BA$2)),
  $H211 * (1 + Assumptions!$C$7) ^ INT(((YEAR(BA$2)-YEAR($F211))*12 + MONTH(BA$2)-MONTH($F211)) / 12),
  0)</f>
        <v/>
      </c>
      <c r="BB211" s="299">
        <f>IF(AND($F211&lt;=BB$2, OR($G211="",$G211&gt;=BB$2)),
  $H211 * (1 + Assumptions!$C$7) ^ INT(((YEAR(BB$2)-YEAR($F211))*12 + MONTH(BB$2)-MONTH($F211)) / 12),
  0)</f>
        <v/>
      </c>
      <c r="BC211" s="299">
        <f>IF(AND($F211&lt;=BC$2, OR($G211="",$G211&gt;=BC$2)),
  $H211 * (1 + Assumptions!$C$7) ^ INT(((YEAR(BC$2)-YEAR($F211))*12 + MONTH(BC$2)-MONTH($F211)) / 12),
  0)</f>
        <v/>
      </c>
      <c r="BD211" s="299">
        <f>IF(AND($F211&lt;=BD$2, OR($G211="",$G211&gt;=BD$2)),
  $H211 * (1 + Assumptions!$C$7) ^ INT(((YEAR(BD$2)-YEAR($F211))*12 + MONTH(BD$2)-MONTH($F211)) / 12),
  0)</f>
        <v/>
      </c>
      <c r="BE211" s="299">
        <f>IF(AND($F211&lt;=BE$2, OR($G211="",$G211&gt;=BE$2)),
  $H211 * (1 + Assumptions!$C$7) ^ INT(((YEAR(BE$2)-YEAR($F211))*12 + MONTH(BE$2)-MONTH($F211)) / 12),
  0)</f>
        <v/>
      </c>
      <c r="BF211" s="299">
        <f>IF(AND($F211&lt;=BF$2, OR($G211="",$G211&gt;=BF$2)),
  $H211 * (1 + Assumptions!$C$7) ^ INT(((YEAR(BF$2)-YEAR($F211))*12 + MONTH(BF$2)-MONTH($F211)) / 12),
  0)</f>
        <v/>
      </c>
      <c r="BG211" s="299">
        <f>IF(AND($F211&lt;=BG$2, OR($G211="",$G211&gt;=BG$2)),
  $H211 * (1 + Assumptions!$C$7) ^ INT(((YEAR(BG$2)-YEAR($F211))*12 + MONTH(BG$2)-MONTH($F211)) / 12),
  0)</f>
        <v/>
      </c>
      <c r="BH211" s="299">
        <f>IF(AND($F211&lt;=BH$2, OR($G211="",$G211&gt;=BH$2)),
  $H211 * (1 + Assumptions!$C$7) ^ INT(((YEAR(BH$2)-YEAR($F211))*12 + MONTH(BH$2)-MONTH($F211)) / 12),
  0)</f>
        <v/>
      </c>
      <c r="BI211" s="299">
        <f>IF(AND($F211&lt;=BI$2, OR($G211="",$G211&gt;=BI$2)),
  $H211 * (1 + Assumptions!$C$7) ^ INT(((YEAR(BI$2)-YEAR($F211))*12 + MONTH(BI$2)-MONTH($F211)) / 12),
  0)</f>
        <v/>
      </c>
      <c r="BJ211" s="299">
        <f>IF(AND($F211&lt;=BJ$2, OR($G211="",$G211&gt;=BJ$2)),
  $H211 * (1 + Assumptions!$C$7) ^ INT(((YEAR(BJ$2)-YEAR($F211))*12 + MONTH(BJ$2)-MONTH($F211)) / 12),
  0)</f>
        <v/>
      </c>
      <c r="BK211" s="299">
        <f>IF(AND($F211&lt;=BK$2, OR($G211="",$G211&gt;=BK$2)),
  $H211 * (1 + Assumptions!$C$7) ^ INT(((YEAR(BK$2)-YEAR($F211))*12 + MONTH(BK$2)-MONTH($F211)) / 12),
  0)</f>
        <v/>
      </c>
      <c r="BL211" s="299">
        <f>IF(AND($F211&lt;=BL$2, OR($G211="",$G211&gt;=BL$2)),
  $H211 * (1 + Assumptions!$C$7) ^ INT(((YEAR(BL$2)-YEAR($F211))*12 + MONTH(BL$2)-MONTH($F211)) / 12),
  0)</f>
        <v/>
      </c>
      <c r="BM211" s="299">
        <f>IF(AND($F211&lt;=BM$2, OR($G211="",$G211&gt;=BM$2)),
  $H211 * (1 + Assumptions!$C$7) ^ INT(((YEAR(BM$2)-YEAR($F211))*12 + MONTH(BM$2)-MONTH($F211)) / 12),
  0)</f>
        <v/>
      </c>
      <c r="BN211" s="299">
        <f>IF(AND($F211&lt;=BN$2, OR($G211="",$G211&gt;=BN$2)),
  $H211 * (1 + Assumptions!$C$7) ^ INT(((YEAR(BN$2)-YEAR($F211))*12 + MONTH(BN$2)-MONTH($F211)) / 12),
  0)</f>
        <v/>
      </c>
      <c r="BO211" s="299">
        <f>IF(AND($F211&lt;=BO$2, OR($G211="",$G211&gt;=BO$2)),
  $H211 * (1 + Assumptions!$C$7) ^ INT(((YEAR(BO$2)-YEAR($F211))*12 + MONTH(BO$2)-MONTH($F211)) / 12),
  0)</f>
        <v/>
      </c>
      <c r="BP211" s="299">
        <f>IF(AND($F211&lt;=BP$2, OR($G211="",$G211&gt;=BP$2)),
  $H211 * (1 + Assumptions!$C$7) ^ INT(((YEAR(BP$2)-YEAR($F211))*12 + MONTH(BP$2)-MONTH($F211)) / 12),
  0)</f>
        <v/>
      </c>
      <c r="BQ211" s="31" t="n"/>
      <c r="BR211" s="31" t="n"/>
      <c r="BS211" s="31" t="n"/>
      <c r="BT211" s="31" t="n"/>
    </row>
    <row r="212" ht="15.75" customHeight="1" s="349">
      <c r="A212" s="321" t="n">
        <v>207</v>
      </c>
      <c r="B212" s="285" t="inlineStr">
        <is>
          <t>New hire</t>
        </is>
      </c>
      <c r="C212" s="317" t="inlineStr">
        <is>
          <t>R&amp;D</t>
        </is>
      </c>
      <c r="D212" s="317" t="inlineStr">
        <is>
          <t>R&amp;D Engineer</t>
        </is>
      </c>
      <c r="E212" s="297" t="inlineStr">
        <is>
          <t>Planned</t>
        </is>
      </c>
      <c r="F212" s="318">
        <f>IF(Assumptions!$D$82=2,DATE(2028,1,1),DATE(2029,1,1))</f>
        <v/>
      </c>
      <c r="G212" s="318" t="n"/>
      <c r="H212" s="288" t="n">
        <v>8000</v>
      </c>
      <c r="I212" s="299">
        <f>IF(AND($F212&lt;=I$2, OR($G212="",$G212&gt;=I$2)),
  $H212 * (1 + Assumptions!$C$7) ^ INT(((YEAR(I$2)-YEAR($F212))*12 + MONTH(I$2)-MONTH($F212)) / 12),
  0)</f>
        <v/>
      </c>
      <c r="J212" s="299">
        <f>IF(AND($F212&lt;=J$2, OR($G212="",$G212&gt;=J$2)),
  $H212 * (1 + Assumptions!$C$7) ^ INT(((YEAR(J$2)-YEAR($F212))*12 + MONTH(J$2)-MONTH($F212)) / 12),
  0)</f>
        <v/>
      </c>
      <c r="K212" s="299">
        <f>IF(AND($F212&lt;=K$2, OR($G212="",$G212&gt;=K$2)),
  $H212 * (1 + Assumptions!$C$7) ^ INT(((YEAR(K$2)-YEAR($F212))*12 + MONTH(K$2)-MONTH($F212)) / 12),
  0)</f>
        <v/>
      </c>
      <c r="L212" s="299">
        <f>IF(AND($F212&lt;=L$2, OR($G212="",$G212&gt;=L$2)),
  $H212 * (1 + Assumptions!$C$7) ^ INT(((YEAR(L$2)-YEAR($F212))*12 + MONTH(L$2)-MONTH($F212)) / 12),
  0)</f>
        <v/>
      </c>
      <c r="M212" s="299">
        <f>IF(AND($F212&lt;=M$2, OR($G212="",$G212&gt;=M$2)),
  $H212 * (1 + Assumptions!$C$7) ^ INT(((YEAR(M$2)-YEAR($F212))*12 + MONTH(M$2)-MONTH($F212)) / 12),
  0)</f>
        <v/>
      </c>
      <c r="N212" s="299">
        <f>IF(AND($F212&lt;=N$2, OR($G212="",$G212&gt;=N$2)),
  $H212 * (1 + Assumptions!$C$7) ^ INT(((YEAR(N$2)-YEAR($F212))*12 + MONTH(N$2)-MONTH($F212)) / 12),
  0)</f>
        <v/>
      </c>
      <c r="O212" s="299">
        <f>IF(AND($F212&lt;=O$2, OR($G212="",$G212&gt;=O$2)),
  $H212 * (1 + Assumptions!$C$7) ^ INT(((YEAR(O$2)-YEAR($F212))*12 + MONTH(O$2)-MONTH($F212)) / 12),
  0)</f>
        <v/>
      </c>
      <c r="P212" s="299">
        <f>IF(AND($F212&lt;=P$2, OR($G212="",$G212&gt;=P$2)),
  $H212 * (1 + Assumptions!$C$7) ^ INT(((YEAR(P$2)-YEAR($F212))*12 + MONTH(P$2)-MONTH($F212)) / 12),
  0)</f>
        <v/>
      </c>
      <c r="Q212" s="299">
        <f>IF(AND($F212&lt;=Q$2, OR($G212="",$G212&gt;=Q$2)),
  $H212 * (1 + Assumptions!$C$7) ^ INT(((YEAR(Q$2)-YEAR($F212))*12 + MONTH(Q$2)-MONTH($F212)) / 12),
  0)</f>
        <v/>
      </c>
      <c r="R212" s="299">
        <f>IF(AND($F212&lt;=R$2, OR($G212="",$G212&gt;=R$2)),
  $H212 * (1 + Assumptions!$C$7) ^ INT(((YEAR(R$2)-YEAR($F212))*12 + MONTH(R$2)-MONTH($F212)) / 12),
  0)</f>
        <v/>
      </c>
      <c r="S212" s="299">
        <f>IF(AND($F212&lt;=S$2, OR($G212="",$G212&gt;=S$2)),
  $H212 * (1 + Assumptions!$C$7) ^ INT(((YEAR(S$2)-YEAR($F212))*12 + MONTH(S$2)-MONTH($F212)) / 12),
  0)</f>
        <v/>
      </c>
      <c r="T212" s="299">
        <f>IF(AND($F212&lt;=T$2, OR($G212="",$G212&gt;=T$2)),
  $H212 * (1 + Assumptions!$C$7) ^ INT(((YEAR(T$2)-YEAR($F212))*12 + MONTH(T$2)-MONTH($F212)) / 12),
  0)</f>
        <v/>
      </c>
      <c r="U212" s="299">
        <f>IF(AND($F212&lt;=U$2, OR($G212="",$G212&gt;=U$2)),
  $H212 * (1 + Assumptions!$C$7) ^ INT(((YEAR(U$2)-YEAR($F212))*12 + MONTH(U$2)-MONTH($F212)) / 12),
  0)</f>
        <v/>
      </c>
      <c r="V212" s="299">
        <f>IF(AND($F212&lt;=V$2, OR($G212="",$G212&gt;=V$2)),
  $H212 * (1 + Assumptions!$C$7) ^ INT(((YEAR(V$2)-YEAR($F212))*12 + MONTH(V$2)-MONTH($F212)) / 12),
  0)</f>
        <v/>
      </c>
      <c r="W212" s="299">
        <f>IF(AND($F212&lt;=W$2, OR($G212="",$G212&gt;=W$2)),
  $H212 * (1 + Assumptions!$C$7) ^ INT(((YEAR(W$2)-YEAR($F212))*12 + MONTH(W$2)-MONTH($F212)) / 12),
  0)</f>
        <v/>
      </c>
      <c r="X212" s="299">
        <f>IF(AND($F212&lt;=X$2, OR($G212="",$G212&gt;=X$2)),
  $H212 * (1 + Assumptions!$C$7) ^ INT(((YEAR(X$2)-YEAR($F212))*12 + MONTH(X$2)-MONTH($F212)) / 12),
  0)</f>
        <v/>
      </c>
      <c r="Y212" s="299">
        <f>IF(AND($F212&lt;=Y$2, OR($G212="",$G212&gt;=Y$2)),
  $H212 * (1 + Assumptions!$C$7) ^ INT(((YEAR(Y$2)-YEAR($F212))*12 + MONTH(Y$2)-MONTH($F212)) / 12),
  0)</f>
        <v/>
      </c>
      <c r="Z212" s="299">
        <f>IF(AND($F212&lt;=Z$2, OR($G212="",$G212&gt;=Z$2)),
  $H212 * (1 + Assumptions!$C$7) ^ INT(((YEAR(Z$2)-YEAR($F212))*12 + MONTH(Z$2)-MONTH($F212)) / 12),
  0)</f>
        <v/>
      </c>
      <c r="AA212" s="299">
        <f>IF(AND($F212&lt;=AA$2, OR($G212="",$G212&gt;=AA$2)),
  $H212 * (1 + Assumptions!$C$7) ^ INT(((YEAR(AA$2)-YEAR($F212))*12 + MONTH(AA$2)-MONTH($F212)) / 12),
  0)</f>
        <v/>
      </c>
      <c r="AB212" s="299">
        <f>IF(AND($F212&lt;=AB$2, OR($G212="",$G212&gt;=AB$2)),
  $H212 * (1 + Assumptions!$C$7) ^ INT(((YEAR(AB$2)-YEAR($F212))*12 + MONTH(AB$2)-MONTH($F212)) / 12),
  0)</f>
        <v/>
      </c>
      <c r="AC212" s="299">
        <f>IF(AND($F212&lt;=AC$2, OR($G212="",$G212&gt;=AC$2)),
  $H212 * (1 + Assumptions!$C$7) ^ INT(((YEAR(AC$2)-YEAR($F212))*12 + MONTH(AC$2)-MONTH($F212)) / 12),
  0)</f>
        <v/>
      </c>
      <c r="AD212" s="299">
        <f>IF(AND($F212&lt;=AD$2, OR($G212="",$G212&gt;=AD$2)),
  $H212 * (1 + Assumptions!$C$7) ^ INT(((YEAR(AD$2)-YEAR($F212))*12 + MONTH(AD$2)-MONTH($F212)) / 12),
  0)</f>
        <v/>
      </c>
      <c r="AE212" s="299">
        <f>IF(AND($F212&lt;=AE$2, OR($G212="",$G212&gt;=AE$2)),
  $H212 * (1 + Assumptions!$C$7) ^ INT(((YEAR(AE$2)-YEAR($F212))*12 + MONTH(AE$2)-MONTH($F212)) / 12),
  0)</f>
        <v/>
      </c>
      <c r="AF212" s="299">
        <f>IF(AND($F212&lt;=AF$2, OR($G212="",$G212&gt;=AF$2)),
  $H212 * (1 + Assumptions!$C$7) ^ INT(((YEAR(AF$2)-YEAR($F212))*12 + MONTH(AF$2)-MONTH($F212)) / 12),
  0)</f>
        <v/>
      </c>
      <c r="AG212" s="299">
        <f>IF(AND($F212&lt;=AG$2, OR($G212="",$G212&gt;=AG$2)),
  $H212 * (1 + Assumptions!$C$7) ^ INT(((YEAR(AG$2)-YEAR($F212))*12 + MONTH(AG$2)-MONTH($F212)) / 12),
  0)</f>
        <v/>
      </c>
      <c r="AH212" s="299">
        <f>IF(AND($F212&lt;=AH$2, OR($G212="",$G212&gt;=AH$2)),
  $H212 * (1 + Assumptions!$C$7) ^ INT(((YEAR(AH$2)-YEAR($F212))*12 + MONTH(AH$2)-MONTH($F212)) / 12),
  0)</f>
        <v/>
      </c>
      <c r="AI212" s="299">
        <f>IF(AND($F212&lt;=AI$2, OR($G212="",$G212&gt;=AI$2)),
  $H212 * (1 + Assumptions!$C$7) ^ INT(((YEAR(AI$2)-YEAR($F212))*12 + MONTH(AI$2)-MONTH($F212)) / 12),
  0)</f>
        <v/>
      </c>
      <c r="AJ212" s="299">
        <f>IF(AND($F212&lt;=AJ$2, OR($G212="",$G212&gt;=AJ$2)),
  $H212 * (1 + Assumptions!$C$7) ^ INT(((YEAR(AJ$2)-YEAR($F212))*12 + MONTH(AJ$2)-MONTH($F212)) / 12),
  0)</f>
        <v/>
      </c>
      <c r="AK212" s="299">
        <f>IF(AND($F212&lt;=AK$2, OR($G212="",$G212&gt;=AK$2)),
  $H212 * (1 + Assumptions!$C$7) ^ INT(((YEAR(AK$2)-YEAR($F212))*12 + MONTH(AK$2)-MONTH($F212)) / 12),
  0)</f>
        <v/>
      </c>
      <c r="AL212" s="299">
        <f>IF(AND($F212&lt;=AL$2, OR($G212="",$G212&gt;=AL$2)),
  $H212 * (1 + Assumptions!$C$7) ^ INT(((YEAR(AL$2)-YEAR($F212))*12 + MONTH(AL$2)-MONTH($F212)) / 12),
  0)</f>
        <v/>
      </c>
      <c r="AM212" s="299">
        <f>IF(AND($F212&lt;=AM$2, OR($G212="",$G212&gt;=AM$2)),
  $H212 * (1 + Assumptions!$C$7) ^ INT(((YEAR(AM$2)-YEAR($F212))*12 + MONTH(AM$2)-MONTH($F212)) / 12),
  0)</f>
        <v/>
      </c>
      <c r="AN212" s="299">
        <f>IF(AND($F212&lt;=AN$2, OR($G212="",$G212&gt;=AN$2)),
  $H212 * (1 + Assumptions!$C$7) ^ INT(((YEAR(AN$2)-YEAR($F212))*12 + MONTH(AN$2)-MONTH($F212)) / 12),
  0)</f>
        <v/>
      </c>
      <c r="AO212" s="299">
        <f>IF(AND($F212&lt;=AO$2, OR($G212="",$G212&gt;=AO$2)),
  $H212 * (1 + Assumptions!$C$7) ^ INT(((YEAR(AO$2)-YEAR($F212))*12 + MONTH(AO$2)-MONTH($F212)) / 12),
  0)</f>
        <v/>
      </c>
      <c r="AP212" s="299">
        <f>IF(AND($F212&lt;=AP$2, OR($G212="",$G212&gt;=AP$2)),
  $H212 * (1 + Assumptions!$C$7) ^ INT(((YEAR(AP$2)-YEAR($F212))*12 + MONTH(AP$2)-MONTH($F212)) / 12),
  0)</f>
        <v/>
      </c>
      <c r="AQ212" s="299">
        <f>IF(AND($F212&lt;=AQ$2, OR($G212="",$G212&gt;=AQ$2)),
  $H212 * (1 + Assumptions!$C$7) ^ INT(((YEAR(AQ$2)-YEAR($F212))*12 + MONTH(AQ$2)-MONTH($F212)) / 12),
  0)</f>
        <v/>
      </c>
      <c r="AR212" s="299">
        <f>IF(AND($F212&lt;=AR$2, OR($G212="",$G212&gt;=AR$2)),
  $H212 * (1 + Assumptions!$C$7) ^ INT(((YEAR(AR$2)-YEAR($F212))*12 + MONTH(AR$2)-MONTH($F212)) / 12),
  0)</f>
        <v/>
      </c>
      <c r="AS212" s="299">
        <f>IF(AND($F212&lt;=AS$2, OR($G212="",$G212&gt;=AS$2)),
  $H212 * (1 + Assumptions!$C$7) ^ INT(((YEAR(AS$2)-YEAR($F212))*12 + MONTH(AS$2)-MONTH($F212)) / 12),
  0)</f>
        <v/>
      </c>
      <c r="AT212" s="299">
        <f>IF(AND($F212&lt;=AT$2, OR($G212="",$G212&gt;=AT$2)),
  $H212 * (1 + Assumptions!$C$7) ^ INT(((YEAR(AT$2)-YEAR($F212))*12 + MONTH(AT$2)-MONTH($F212)) / 12),
  0)</f>
        <v/>
      </c>
      <c r="AU212" s="299">
        <f>IF(AND($F212&lt;=AU$2, OR($G212="",$G212&gt;=AU$2)),
  $H212 * (1 + Assumptions!$C$7) ^ INT(((YEAR(AU$2)-YEAR($F212))*12 + MONTH(AU$2)-MONTH($F212)) / 12),
  0)</f>
        <v/>
      </c>
      <c r="AV212" s="299">
        <f>IF(AND($F212&lt;=AV$2, OR($G212="",$G212&gt;=AV$2)),
  $H212 * (1 + Assumptions!$C$7) ^ INT(((YEAR(AV$2)-YEAR($F212))*12 + MONTH(AV$2)-MONTH($F212)) / 12),
  0)</f>
        <v/>
      </c>
      <c r="AW212" s="299">
        <f>IF(AND($F212&lt;=AW$2, OR($G212="",$G212&gt;=AW$2)),
  $H212 * (1 + Assumptions!$C$7) ^ INT(((YEAR(AW$2)-YEAR($F212))*12 + MONTH(AW$2)-MONTH($F212)) / 12),
  0)</f>
        <v/>
      </c>
      <c r="AX212" s="299">
        <f>IF(AND($F212&lt;=AX$2, OR($G212="",$G212&gt;=AX$2)),
  $H212 * (1 + Assumptions!$C$7) ^ INT(((YEAR(AX$2)-YEAR($F212))*12 + MONTH(AX$2)-MONTH($F212)) / 12),
  0)</f>
        <v/>
      </c>
      <c r="AY212" s="299">
        <f>IF(AND($F212&lt;=AY$2, OR($G212="",$G212&gt;=AY$2)),
  $H212 * (1 + Assumptions!$C$7) ^ INT(((YEAR(AY$2)-YEAR($F212))*12 + MONTH(AY$2)-MONTH($F212)) / 12),
  0)</f>
        <v/>
      </c>
      <c r="AZ212" s="299">
        <f>IF(AND($F212&lt;=AZ$2, OR($G212="",$G212&gt;=AZ$2)),
  $H212 * (1 + Assumptions!$C$7) ^ INT(((YEAR(AZ$2)-YEAR($F212))*12 + MONTH(AZ$2)-MONTH($F212)) / 12),
  0)</f>
        <v/>
      </c>
      <c r="BA212" s="299">
        <f>IF(AND($F212&lt;=BA$2, OR($G212="",$G212&gt;=BA$2)),
  $H212 * (1 + Assumptions!$C$7) ^ INT(((YEAR(BA$2)-YEAR($F212))*12 + MONTH(BA$2)-MONTH($F212)) / 12),
  0)</f>
        <v/>
      </c>
      <c r="BB212" s="299">
        <f>IF(AND($F212&lt;=BB$2, OR($G212="",$G212&gt;=BB$2)),
  $H212 * (1 + Assumptions!$C$7) ^ INT(((YEAR(BB$2)-YEAR($F212))*12 + MONTH(BB$2)-MONTH($F212)) / 12),
  0)</f>
        <v/>
      </c>
      <c r="BC212" s="299">
        <f>IF(AND($F212&lt;=BC$2, OR($G212="",$G212&gt;=BC$2)),
  $H212 * (1 + Assumptions!$C$7) ^ INT(((YEAR(BC$2)-YEAR($F212))*12 + MONTH(BC$2)-MONTH($F212)) / 12),
  0)</f>
        <v/>
      </c>
      <c r="BD212" s="299">
        <f>IF(AND($F212&lt;=BD$2, OR($G212="",$G212&gt;=BD$2)),
  $H212 * (1 + Assumptions!$C$7) ^ INT(((YEAR(BD$2)-YEAR($F212))*12 + MONTH(BD$2)-MONTH($F212)) / 12),
  0)</f>
        <v/>
      </c>
      <c r="BE212" s="299">
        <f>IF(AND($F212&lt;=BE$2, OR($G212="",$G212&gt;=BE$2)),
  $H212 * (1 + Assumptions!$C$7) ^ INT(((YEAR(BE$2)-YEAR($F212))*12 + MONTH(BE$2)-MONTH($F212)) / 12),
  0)</f>
        <v/>
      </c>
      <c r="BF212" s="299">
        <f>IF(AND($F212&lt;=BF$2, OR($G212="",$G212&gt;=BF$2)),
  $H212 * (1 + Assumptions!$C$7) ^ INT(((YEAR(BF$2)-YEAR($F212))*12 + MONTH(BF$2)-MONTH($F212)) / 12),
  0)</f>
        <v/>
      </c>
      <c r="BG212" s="299">
        <f>IF(AND($F212&lt;=BG$2, OR($G212="",$G212&gt;=BG$2)),
  $H212 * (1 + Assumptions!$C$7) ^ INT(((YEAR(BG$2)-YEAR($F212))*12 + MONTH(BG$2)-MONTH($F212)) / 12),
  0)</f>
        <v/>
      </c>
      <c r="BH212" s="299">
        <f>IF(AND($F212&lt;=BH$2, OR($G212="",$G212&gt;=BH$2)),
  $H212 * (1 + Assumptions!$C$7) ^ INT(((YEAR(BH$2)-YEAR($F212))*12 + MONTH(BH$2)-MONTH($F212)) / 12),
  0)</f>
        <v/>
      </c>
      <c r="BI212" s="299">
        <f>IF(AND($F212&lt;=BI$2, OR($G212="",$G212&gt;=BI$2)),
  $H212 * (1 + Assumptions!$C$7) ^ INT(((YEAR(BI$2)-YEAR($F212))*12 + MONTH(BI$2)-MONTH($F212)) / 12),
  0)</f>
        <v/>
      </c>
      <c r="BJ212" s="299">
        <f>IF(AND($F212&lt;=BJ$2, OR($G212="",$G212&gt;=BJ$2)),
  $H212 * (1 + Assumptions!$C$7) ^ INT(((YEAR(BJ$2)-YEAR($F212))*12 + MONTH(BJ$2)-MONTH($F212)) / 12),
  0)</f>
        <v/>
      </c>
      <c r="BK212" s="299">
        <f>IF(AND($F212&lt;=BK$2, OR($G212="",$G212&gt;=BK$2)),
  $H212 * (1 + Assumptions!$C$7) ^ INT(((YEAR(BK$2)-YEAR($F212))*12 + MONTH(BK$2)-MONTH($F212)) / 12),
  0)</f>
        <v/>
      </c>
      <c r="BL212" s="299">
        <f>IF(AND($F212&lt;=BL$2, OR($G212="",$G212&gt;=BL$2)),
  $H212 * (1 + Assumptions!$C$7) ^ INT(((YEAR(BL$2)-YEAR($F212))*12 + MONTH(BL$2)-MONTH($F212)) / 12),
  0)</f>
        <v/>
      </c>
      <c r="BM212" s="299">
        <f>IF(AND($F212&lt;=BM$2, OR($G212="",$G212&gt;=BM$2)),
  $H212 * (1 + Assumptions!$C$7) ^ INT(((YEAR(BM$2)-YEAR($F212))*12 + MONTH(BM$2)-MONTH($F212)) / 12),
  0)</f>
        <v/>
      </c>
      <c r="BN212" s="299">
        <f>IF(AND($F212&lt;=BN$2, OR($G212="",$G212&gt;=BN$2)),
  $H212 * (1 + Assumptions!$C$7) ^ INT(((YEAR(BN$2)-YEAR($F212))*12 + MONTH(BN$2)-MONTH($F212)) / 12),
  0)</f>
        <v/>
      </c>
      <c r="BO212" s="299">
        <f>IF(AND($F212&lt;=BO$2, OR($G212="",$G212&gt;=BO$2)),
  $H212 * (1 + Assumptions!$C$7) ^ INT(((YEAR(BO$2)-YEAR($F212))*12 + MONTH(BO$2)-MONTH($F212)) / 12),
  0)</f>
        <v/>
      </c>
      <c r="BP212" s="299">
        <f>IF(AND($F212&lt;=BP$2, OR($G212="",$G212&gt;=BP$2)),
  $H212 * (1 + Assumptions!$C$7) ^ INT(((YEAR(BP$2)-YEAR($F212))*12 + MONTH(BP$2)-MONTH($F212)) / 12),
  0)</f>
        <v/>
      </c>
      <c r="BQ212" s="31" t="n"/>
      <c r="BR212" s="31" t="n"/>
      <c r="BS212" s="31" t="n"/>
      <c r="BT212" s="31" t="n"/>
    </row>
    <row r="213" ht="15.75" customHeight="1" s="349">
      <c r="A213" s="321" t="n">
        <v>208</v>
      </c>
      <c r="B213" s="285" t="inlineStr">
        <is>
          <t>New hire</t>
        </is>
      </c>
      <c r="C213" s="317" t="inlineStr">
        <is>
          <t>R&amp;D</t>
        </is>
      </c>
      <c r="D213" s="317" t="inlineStr">
        <is>
          <t>R&amp;D Engineer</t>
        </is>
      </c>
      <c r="E213" s="297" t="inlineStr">
        <is>
          <t>Planned</t>
        </is>
      </c>
      <c r="F213" s="318">
        <f>IF(Assumptions!$D$82=2,DATE(2028,1,1),DATE(2029,1,1))</f>
        <v/>
      </c>
      <c r="G213" s="318" t="n"/>
      <c r="H213" s="288" t="n">
        <v>8000</v>
      </c>
      <c r="I213" s="299">
        <f>IF(AND($F213&lt;=I$2, OR($G213="",$G213&gt;=I$2)),
  $H213 * (1 + Assumptions!$C$7) ^ INT(((YEAR(I$2)-YEAR($F213))*12 + MONTH(I$2)-MONTH($F213)) / 12),
  0)</f>
        <v/>
      </c>
      <c r="J213" s="299">
        <f>IF(AND($F213&lt;=J$2, OR($G213="",$G213&gt;=J$2)),
  $H213 * (1 + Assumptions!$C$7) ^ INT(((YEAR(J$2)-YEAR($F213))*12 + MONTH(J$2)-MONTH($F213)) / 12),
  0)</f>
        <v/>
      </c>
      <c r="K213" s="299">
        <f>IF(AND($F213&lt;=K$2, OR($G213="",$G213&gt;=K$2)),
  $H213 * (1 + Assumptions!$C$7) ^ INT(((YEAR(K$2)-YEAR($F213))*12 + MONTH(K$2)-MONTH($F213)) / 12),
  0)</f>
        <v/>
      </c>
      <c r="L213" s="299">
        <f>IF(AND($F213&lt;=L$2, OR($G213="",$G213&gt;=L$2)),
  $H213 * (1 + Assumptions!$C$7) ^ INT(((YEAR(L$2)-YEAR($F213))*12 + MONTH(L$2)-MONTH($F213)) / 12),
  0)</f>
        <v/>
      </c>
      <c r="M213" s="299">
        <f>IF(AND($F213&lt;=M$2, OR($G213="",$G213&gt;=M$2)),
  $H213 * (1 + Assumptions!$C$7) ^ INT(((YEAR(M$2)-YEAR($F213))*12 + MONTH(M$2)-MONTH($F213)) / 12),
  0)</f>
        <v/>
      </c>
      <c r="N213" s="299">
        <f>IF(AND($F213&lt;=N$2, OR($G213="",$G213&gt;=N$2)),
  $H213 * (1 + Assumptions!$C$7) ^ INT(((YEAR(N$2)-YEAR($F213))*12 + MONTH(N$2)-MONTH($F213)) / 12),
  0)</f>
        <v/>
      </c>
      <c r="O213" s="299">
        <f>IF(AND($F213&lt;=O$2, OR($G213="",$G213&gt;=O$2)),
  $H213 * (1 + Assumptions!$C$7) ^ INT(((YEAR(O$2)-YEAR($F213))*12 + MONTH(O$2)-MONTH($F213)) / 12),
  0)</f>
        <v/>
      </c>
      <c r="P213" s="299">
        <f>IF(AND($F213&lt;=P$2, OR($G213="",$G213&gt;=P$2)),
  $H213 * (1 + Assumptions!$C$7) ^ INT(((YEAR(P$2)-YEAR($F213))*12 + MONTH(P$2)-MONTH($F213)) / 12),
  0)</f>
        <v/>
      </c>
      <c r="Q213" s="299">
        <f>IF(AND($F213&lt;=Q$2, OR($G213="",$G213&gt;=Q$2)),
  $H213 * (1 + Assumptions!$C$7) ^ INT(((YEAR(Q$2)-YEAR($F213))*12 + MONTH(Q$2)-MONTH($F213)) / 12),
  0)</f>
        <v/>
      </c>
      <c r="R213" s="299">
        <f>IF(AND($F213&lt;=R$2, OR($G213="",$G213&gt;=R$2)),
  $H213 * (1 + Assumptions!$C$7) ^ INT(((YEAR(R$2)-YEAR($F213))*12 + MONTH(R$2)-MONTH($F213)) / 12),
  0)</f>
        <v/>
      </c>
      <c r="S213" s="299">
        <f>IF(AND($F213&lt;=S$2, OR($G213="",$G213&gt;=S$2)),
  $H213 * (1 + Assumptions!$C$7) ^ INT(((YEAR(S$2)-YEAR($F213))*12 + MONTH(S$2)-MONTH($F213)) / 12),
  0)</f>
        <v/>
      </c>
      <c r="T213" s="299">
        <f>IF(AND($F213&lt;=T$2, OR($G213="",$G213&gt;=T$2)),
  $H213 * (1 + Assumptions!$C$7) ^ INT(((YEAR(T$2)-YEAR($F213))*12 + MONTH(T$2)-MONTH($F213)) / 12),
  0)</f>
        <v/>
      </c>
      <c r="U213" s="299">
        <f>IF(AND($F213&lt;=U$2, OR($G213="",$G213&gt;=U$2)),
  $H213 * (1 + Assumptions!$C$7) ^ INT(((YEAR(U$2)-YEAR($F213))*12 + MONTH(U$2)-MONTH($F213)) / 12),
  0)</f>
        <v/>
      </c>
      <c r="V213" s="299">
        <f>IF(AND($F213&lt;=V$2, OR($G213="",$G213&gt;=V$2)),
  $H213 * (1 + Assumptions!$C$7) ^ INT(((YEAR(V$2)-YEAR($F213))*12 + MONTH(V$2)-MONTH($F213)) / 12),
  0)</f>
        <v/>
      </c>
      <c r="W213" s="299">
        <f>IF(AND($F213&lt;=W$2, OR($G213="",$G213&gt;=W$2)),
  $H213 * (1 + Assumptions!$C$7) ^ INT(((YEAR(W$2)-YEAR($F213))*12 + MONTH(W$2)-MONTH($F213)) / 12),
  0)</f>
        <v/>
      </c>
      <c r="X213" s="299">
        <f>IF(AND($F213&lt;=X$2, OR($G213="",$G213&gt;=X$2)),
  $H213 * (1 + Assumptions!$C$7) ^ INT(((YEAR(X$2)-YEAR($F213))*12 + MONTH(X$2)-MONTH($F213)) / 12),
  0)</f>
        <v/>
      </c>
      <c r="Y213" s="299">
        <f>IF(AND($F213&lt;=Y$2, OR($G213="",$G213&gt;=Y$2)),
  $H213 * (1 + Assumptions!$C$7) ^ INT(((YEAR(Y$2)-YEAR($F213))*12 + MONTH(Y$2)-MONTH($F213)) / 12),
  0)</f>
        <v/>
      </c>
      <c r="Z213" s="299">
        <f>IF(AND($F213&lt;=Z$2, OR($G213="",$G213&gt;=Z$2)),
  $H213 * (1 + Assumptions!$C$7) ^ INT(((YEAR(Z$2)-YEAR($F213))*12 + MONTH(Z$2)-MONTH($F213)) / 12),
  0)</f>
        <v/>
      </c>
      <c r="AA213" s="299">
        <f>IF(AND($F213&lt;=AA$2, OR($G213="",$G213&gt;=AA$2)),
  $H213 * (1 + Assumptions!$C$7) ^ INT(((YEAR(AA$2)-YEAR($F213))*12 + MONTH(AA$2)-MONTH($F213)) / 12),
  0)</f>
        <v/>
      </c>
      <c r="AB213" s="299">
        <f>IF(AND($F213&lt;=AB$2, OR($G213="",$G213&gt;=AB$2)),
  $H213 * (1 + Assumptions!$C$7) ^ INT(((YEAR(AB$2)-YEAR($F213))*12 + MONTH(AB$2)-MONTH($F213)) / 12),
  0)</f>
        <v/>
      </c>
      <c r="AC213" s="299">
        <f>IF(AND($F213&lt;=AC$2, OR($G213="",$G213&gt;=AC$2)),
  $H213 * (1 + Assumptions!$C$7) ^ INT(((YEAR(AC$2)-YEAR($F213))*12 + MONTH(AC$2)-MONTH($F213)) / 12),
  0)</f>
        <v/>
      </c>
      <c r="AD213" s="299">
        <f>IF(AND($F213&lt;=AD$2, OR($G213="",$G213&gt;=AD$2)),
  $H213 * (1 + Assumptions!$C$7) ^ INT(((YEAR(AD$2)-YEAR($F213))*12 + MONTH(AD$2)-MONTH($F213)) / 12),
  0)</f>
        <v/>
      </c>
      <c r="AE213" s="299">
        <f>IF(AND($F213&lt;=AE$2, OR($G213="",$G213&gt;=AE$2)),
  $H213 * (1 + Assumptions!$C$7) ^ INT(((YEAR(AE$2)-YEAR($F213))*12 + MONTH(AE$2)-MONTH($F213)) / 12),
  0)</f>
        <v/>
      </c>
      <c r="AF213" s="299">
        <f>IF(AND($F213&lt;=AF$2, OR($G213="",$G213&gt;=AF$2)),
  $H213 * (1 + Assumptions!$C$7) ^ INT(((YEAR(AF$2)-YEAR($F213))*12 + MONTH(AF$2)-MONTH($F213)) / 12),
  0)</f>
        <v/>
      </c>
      <c r="AG213" s="299">
        <f>IF(AND($F213&lt;=AG$2, OR($G213="",$G213&gt;=AG$2)),
  $H213 * (1 + Assumptions!$C$7) ^ INT(((YEAR(AG$2)-YEAR($F213))*12 + MONTH(AG$2)-MONTH($F213)) / 12),
  0)</f>
        <v/>
      </c>
      <c r="AH213" s="299">
        <f>IF(AND($F213&lt;=AH$2, OR($G213="",$G213&gt;=AH$2)),
  $H213 * (1 + Assumptions!$C$7) ^ INT(((YEAR(AH$2)-YEAR($F213))*12 + MONTH(AH$2)-MONTH($F213)) / 12),
  0)</f>
        <v/>
      </c>
      <c r="AI213" s="299">
        <f>IF(AND($F213&lt;=AI$2, OR($G213="",$G213&gt;=AI$2)),
  $H213 * (1 + Assumptions!$C$7) ^ INT(((YEAR(AI$2)-YEAR($F213))*12 + MONTH(AI$2)-MONTH($F213)) / 12),
  0)</f>
        <v/>
      </c>
      <c r="AJ213" s="299">
        <f>IF(AND($F213&lt;=AJ$2, OR($G213="",$G213&gt;=AJ$2)),
  $H213 * (1 + Assumptions!$C$7) ^ INT(((YEAR(AJ$2)-YEAR($F213))*12 + MONTH(AJ$2)-MONTH($F213)) / 12),
  0)</f>
        <v/>
      </c>
      <c r="AK213" s="299">
        <f>IF(AND($F213&lt;=AK$2, OR($G213="",$G213&gt;=AK$2)),
  $H213 * (1 + Assumptions!$C$7) ^ INT(((YEAR(AK$2)-YEAR($F213))*12 + MONTH(AK$2)-MONTH($F213)) / 12),
  0)</f>
        <v/>
      </c>
      <c r="AL213" s="299">
        <f>IF(AND($F213&lt;=AL$2, OR($G213="",$G213&gt;=AL$2)),
  $H213 * (1 + Assumptions!$C$7) ^ INT(((YEAR(AL$2)-YEAR($F213))*12 + MONTH(AL$2)-MONTH($F213)) / 12),
  0)</f>
        <v/>
      </c>
      <c r="AM213" s="299">
        <f>IF(AND($F213&lt;=AM$2, OR($G213="",$G213&gt;=AM$2)),
  $H213 * (1 + Assumptions!$C$7) ^ INT(((YEAR(AM$2)-YEAR($F213))*12 + MONTH(AM$2)-MONTH($F213)) / 12),
  0)</f>
        <v/>
      </c>
      <c r="AN213" s="299">
        <f>IF(AND($F213&lt;=AN$2, OR($G213="",$G213&gt;=AN$2)),
  $H213 * (1 + Assumptions!$C$7) ^ INT(((YEAR(AN$2)-YEAR($F213))*12 + MONTH(AN$2)-MONTH($F213)) / 12),
  0)</f>
        <v/>
      </c>
      <c r="AO213" s="299">
        <f>IF(AND($F213&lt;=AO$2, OR($G213="",$G213&gt;=AO$2)),
  $H213 * (1 + Assumptions!$C$7) ^ INT(((YEAR(AO$2)-YEAR($F213))*12 + MONTH(AO$2)-MONTH($F213)) / 12),
  0)</f>
        <v/>
      </c>
      <c r="AP213" s="299">
        <f>IF(AND($F213&lt;=AP$2, OR($G213="",$G213&gt;=AP$2)),
  $H213 * (1 + Assumptions!$C$7) ^ INT(((YEAR(AP$2)-YEAR($F213))*12 + MONTH(AP$2)-MONTH($F213)) / 12),
  0)</f>
        <v/>
      </c>
      <c r="AQ213" s="299">
        <f>IF(AND($F213&lt;=AQ$2, OR($G213="",$G213&gt;=AQ$2)),
  $H213 * (1 + Assumptions!$C$7) ^ INT(((YEAR(AQ$2)-YEAR($F213))*12 + MONTH(AQ$2)-MONTH($F213)) / 12),
  0)</f>
        <v/>
      </c>
      <c r="AR213" s="299">
        <f>IF(AND($F213&lt;=AR$2, OR($G213="",$G213&gt;=AR$2)),
  $H213 * (1 + Assumptions!$C$7) ^ INT(((YEAR(AR$2)-YEAR($F213))*12 + MONTH(AR$2)-MONTH($F213)) / 12),
  0)</f>
        <v/>
      </c>
      <c r="AS213" s="299">
        <f>IF(AND($F213&lt;=AS$2, OR($G213="",$G213&gt;=AS$2)),
  $H213 * (1 + Assumptions!$C$7) ^ INT(((YEAR(AS$2)-YEAR($F213))*12 + MONTH(AS$2)-MONTH($F213)) / 12),
  0)</f>
        <v/>
      </c>
      <c r="AT213" s="299">
        <f>IF(AND($F213&lt;=AT$2, OR($G213="",$G213&gt;=AT$2)),
  $H213 * (1 + Assumptions!$C$7) ^ INT(((YEAR(AT$2)-YEAR($F213))*12 + MONTH(AT$2)-MONTH($F213)) / 12),
  0)</f>
        <v/>
      </c>
      <c r="AU213" s="299">
        <f>IF(AND($F213&lt;=AU$2, OR($G213="",$G213&gt;=AU$2)),
  $H213 * (1 + Assumptions!$C$7) ^ INT(((YEAR(AU$2)-YEAR($F213))*12 + MONTH(AU$2)-MONTH($F213)) / 12),
  0)</f>
        <v/>
      </c>
      <c r="AV213" s="299">
        <f>IF(AND($F213&lt;=AV$2, OR($G213="",$G213&gt;=AV$2)),
  $H213 * (1 + Assumptions!$C$7) ^ INT(((YEAR(AV$2)-YEAR($F213))*12 + MONTH(AV$2)-MONTH($F213)) / 12),
  0)</f>
        <v/>
      </c>
      <c r="AW213" s="299">
        <f>IF(AND($F213&lt;=AW$2, OR($G213="",$G213&gt;=AW$2)),
  $H213 * (1 + Assumptions!$C$7) ^ INT(((YEAR(AW$2)-YEAR($F213))*12 + MONTH(AW$2)-MONTH($F213)) / 12),
  0)</f>
        <v/>
      </c>
      <c r="AX213" s="299">
        <f>IF(AND($F213&lt;=AX$2, OR($G213="",$G213&gt;=AX$2)),
  $H213 * (1 + Assumptions!$C$7) ^ INT(((YEAR(AX$2)-YEAR($F213))*12 + MONTH(AX$2)-MONTH($F213)) / 12),
  0)</f>
        <v/>
      </c>
      <c r="AY213" s="299">
        <f>IF(AND($F213&lt;=AY$2, OR($G213="",$G213&gt;=AY$2)),
  $H213 * (1 + Assumptions!$C$7) ^ INT(((YEAR(AY$2)-YEAR($F213))*12 + MONTH(AY$2)-MONTH($F213)) / 12),
  0)</f>
        <v/>
      </c>
      <c r="AZ213" s="299">
        <f>IF(AND($F213&lt;=AZ$2, OR($G213="",$G213&gt;=AZ$2)),
  $H213 * (1 + Assumptions!$C$7) ^ INT(((YEAR(AZ$2)-YEAR($F213))*12 + MONTH(AZ$2)-MONTH($F213)) / 12),
  0)</f>
        <v/>
      </c>
      <c r="BA213" s="299">
        <f>IF(AND($F213&lt;=BA$2, OR($G213="",$G213&gt;=BA$2)),
  $H213 * (1 + Assumptions!$C$7) ^ INT(((YEAR(BA$2)-YEAR($F213))*12 + MONTH(BA$2)-MONTH($F213)) / 12),
  0)</f>
        <v/>
      </c>
      <c r="BB213" s="299">
        <f>IF(AND($F213&lt;=BB$2, OR($G213="",$G213&gt;=BB$2)),
  $H213 * (1 + Assumptions!$C$7) ^ INT(((YEAR(BB$2)-YEAR($F213))*12 + MONTH(BB$2)-MONTH($F213)) / 12),
  0)</f>
        <v/>
      </c>
      <c r="BC213" s="299">
        <f>IF(AND($F213&lt;=BC$2, OR($G213="",$G213&gt;=BC$2)),
  $H213 * (1 + Assumptions!$C$7) ^ INT(((YEAR(BC$2)-YEAR($F213))*12 + MONTH(BC$2)-MONTH($F213)) / 12),
  0)</f>
        <v/>
      </c>
      <c r="BD213" s="299">
        <f>IF(AND($F213&lt;=BD$2, OR($G213="",$G213&gt;=BD$2)),
  $H213 * (1 + Assumptions!$C$7) ^ INT(((YEAR(BD$2)-YEAR($F213))*12 + MONTH(BD$2)-MONTH($F213)) / 12),
  0)</f>
        <v/>
      </c>
      <c r="BE213" s="299">
        <f>IF(AND($F213&lt;=BE$2, OR($G213="",$G213&gt;=BE$2)),
  $H213 * (1 + Assumptions!$C$7) ^ INT(((YEAR(BE$2)-YEAR($F213))*12 + MONTH(BE$2)-MONTH($F213)) / 12),
  0)</f>
        <v/>
      </c>
      <c r="BF213" s="299">
        <f>IF(AND($F213&lt;=BF$2, OR($G213="",$G213&gt;=BF$2)),
  $H213 * (1 + Assumptions!$C$7) ^ INT(((YEAR(BF$2)-YEAR($F213))*12 + MONTH(BF$2)-MONTH($F213)) / 12),
  0)</f>
        <v/>
      </c>
      <c r="BG213" s="299">
        <f>IF(AND($F213&lt;=BG$2, OR($G213="",$G213&gt;=BG$2)),
  $H213 * (1 + Assumptions!$C$7) ^ INT(((YEAR(BG$2)-YEAR($F213))*12 + MONTH(BG$2)-MONTH($F213)) / 12),
  0)</f>
        <v/>
      </c>
      <c r="BH213" s="299">
        <f>IF(AND($F213&lt;=BH$2, OR($G213="",$G213&gt;=BH$2)),
  $H213 * (1 + Assumptions!$C$7) ^ INT(((YEAR(BH$2)-YEAR($F213))*12 + MONTH(BH$2)-MONTH($F213)) / 12),
  0)</f>
        <v/>
      </c>
      <c r="BI213" s="299">
        <f>IF(AND($F213&lt;=BI$2, OR($G213="",$G213&gt;=BI$2)),
  $H213 * (1 + Assumptions!$C$7) ^ INT(((YEAR(BI$2)-YEAR($F213))*12 + MONTH(BI$2)-MONTH($F213)) / 12),
  0)</f>
        <v/>
      </c>
      <c r="BJ213" s="299">
        <f>IF(AND($F213&lt;=BJ$2, OR($G213="",$G213&gt;=BJ$2)),
  $H213 * (1 + Assumptions!$C$7) ^ INT(((YEAR(BJ$2)-YEAR($F213))*12 + MONTH(BJ$2)-MONTH($F213)) / 12),
  0)</f>
        <v/>
      </c>
      <c r="BK213" s="299">
        <f>IF(AND($F213&lt;=BK$2, OR($G213="",$G213&gt;=BK$2)),
  $H213 * (1 + Assumptions!$C$7) ^ INT(((YEAR(BK$2)-YEAR($F213))*12 + MONTH(BK$2)-MONTH($F213)) / 12),
  0)</f>
        <v/>
      </c>
      <c r="BL213" s="299">
        <f>IF(AND($F213&lt;=BL$2, OR($G213="",$G213&gt;=BL$2)),
  $H213 * (1 + Assumptions!$C$7) ^ INT(((YEAR(BL$2)-YEAR($F213))*12 + MONTH(BL$2)-MONTH($F213)) / 12),
  0)</f>
        <v/>
      </c>
      <c r="BM213" s="299">
        <f>IF(AND($F213&lt;=BM$2, OR($G213="",$G213&gt;=BM$2)),
  $H213 * (1 + Assumptions!$C$7) ^ INT(((YEAR(BM$2)-YEAR($F213))*12 + MONTH(BM$2)-MONTH($F213)) / 12),
  0)</f>
        <v/>
      </c>
      <c r="BN213" s="299">
        <f>IF(AND($F213&lt;=BN$2, OR($G213="",$G213&gt;=BN$2)),
  $H213 * (1 + Assumptions!$C$7) ^ INT(((YEAR(BN$2)-YEAR($F213))*12 + MONTH(BN$2)-MONTH($F213)) / 12),
  0)</f>
        <v/>
      </c>
      <c r="BO213" s="299">
        <f>IF(AND($F213&lt;=BO$2, OR($G213="",$G213&gt;=BO$2)),
  $H213 * (1 + Assumptions!$C$7) ^ INT(((YEAR(BO$2)-YEAR($F213))*12 + MONTH(BO$2)-MONTH($F213)) / 12),
  0)</f>
        <v/>
      </c>
      <c r="BP213" s="299">
        <f>IF(AND($F213&lt;=BP$2, OR($G213="",$G213&gt;=BP$2)),
  $H213 * (1 + Assumptions!$C$7) ^ INT(((YEAR(BP$2)-YEAR($F213))*12 + MONTH(BP$2)-MONTH($F213)) / 12),
  0)</f>
        <v/>
      </c>
      <c r="BQ213" s="31" t="n"/>
      <c r="BR213" s="31" t="n"/>
      <c r="BS213" s="31" t="n"/>
      <c r="BT213" s="31" t="n"/>
    </row>
    <row r="214" ht="15.75" customHeight="1" s="349">
      <c r="A214" s="321" t="n">
        <v>209</v>
      </c>
      <c r="B214" s="285" t="inlineStr">
        <is>
          <t>New hire</t>
        </is>
      </c>
      <c r="C214" s="317" t="inlineStr">
        <is>
          <t>R&amp;D</t>
        </is>
      </c>
      <c r="D214" s="317" t="inlineStr">
        <is>
          <t>R&amp;D Engineer</t>
        </is>
      </c>
      <c r="E214" s="297" t="inlineStr">
        <is>
          <t>Planned</t>
        </is>
      </c>
      <c r="F214" s="318">
        <f>IF(Assumptions!$D$82=2,DATE(2028,1,1),DATE(2035,1,1))</f>
        <v/>
      </c>
      <c r="G214" s="318" t="n"/>
      <c r="H214" s="288" t="n">
        <v>8000</v>
      </c>
      <c r="I214" s="299">
        <f>IF(AND($F214&lt;=I$2, OR($G214="",$G214&gt;=I$2)),
  $H214 * (1 + Assumptions!$C$7) ^ INT(((YEAR(I$2)-YEAR($F214))*12 + MONTH(I$2)-MONTH($F214)) / 12),
  0)</f>
        <v/>
      </c>
      <c r="J214" s="299">
        <f>IF(AND($F214&lt;=J$2, OR($G214="",$G214&gt;=J$2)),
  $H214 * (1 + Assumptions!$C$7) ^ INT(((YEAR(J$2)-YEAR($F214))*12 + MONTH(J$2)-MONTH($F214)) / 12),
  0)</f>
        <v/>
      </c>
      <c r="K214" s="299">
        <f>IF(AND($F214&lt;=K$2, OR($G214="",$G214&gt;=K$2)),
  $H214 * (1 + Assumptions!$C$7) ^ INT(((YEAR(K$2)-YEAR($F214))*12 + MONTH(K$2)-MONTH($F214)) / 12),
  0)</f>
        <v/>
      </c>
      <c r="L214" s="299">
        <f>IF(AND($F214&lt;=L$2, OR($G214="",$G214&gt;=L$2)),
  $H214 * (1 + Assumptions!$C$7) ^ INT(((YEAR(L$2)-YEAR($F214))*12 + MONTH(L$2)-MONTH($F214)) / 12),
  0)</f>
        <v/>
      </c>
      <c r="M214" s="299">
        <f>IF(AND($F214&lt;=M$2, OR($G214="",$G214&gt;=M$2)),
  $H214 * (1 + Assumptions!$C$7) ^ INT(((YEAR(M$2)-YEAR($F214))*12 + MONTH(M$2)-MONTH($F214)) / 12),
  0)</f>
        <v/>
      </c>
      <c r="N214" s="299">
        <f>IF(AND($F214&lt;=N$2, OR($G214="",$G214&gt;=N$2)),
  $H214 * (1 + Assumptions!$C$7) ^ INT(((YEAR(N$2)-YEAR($F214))*12 + MONTH(N$2)-MONTH($F214)) / 12),
  0)</f>
        <v/>
      </c>
      <c r="O214" s="299">
        <f>IF(AND($F214&lt;=O$2, OR($G214="",$G214&gt;=O$2)),
  $H214 * (1 + Assumptions!$C$7) ^ INT(((YEAR(O$2)-YEAR($F214))*12 + MONTH(O$2)-MONTH($F214)) / 12),
  0)</f>
        <v/>
      </c>
      <c r="P214" s="299">
        <f>IF(AND($F214&lt;=P$2, OR($G214="",$G214&gt;=P$2)),
  $H214 * (1 + Assumptions!$C$7) ^ INT(((YEAR(P$2)-YEAR($F214))*12 + MONTH(P$2)-MONTH($F214)) / 12),
  0)</f>
        <v/>
      </c>
      <c r="Q214" s="299">
        <f>IF(AND($F214&lt;=Q$2, OR($G214="",$G214&gt;=Q$2)),
  $H214 * (1 + Assumptions!$C$7) ^ INT(((YEAR(Q$2)-YEAR($F214))*12 + MONTH(Q$2)-MONTH($F214)) / 12),
  0)</f>
        <v/>
      </c>
      <c r="R214" s="299">
        <f>IF(AND($F214&lt;=R$2, OR($G214="",$G214&gt;=R$2)),
  $H214 * (1 + Assumptions!$C$7) ^ INT(((YEAR(R$2)-YEAR($F214))*12 + MONTH(R$2)-MONTH($F214)) / 12),
  0)</f>
        <v/>
      </c>
      <c r="S214" s="299">
        <f>IF(AND($F214&lt;=S$2, OR($G214="",$G214&gt;=S$2)),
  $H214 * (1 + Assumptions!$C$7) ^ INT(((YEAR(S$2)-YEAR($F214))*12 + MONTH(S$2)-MONTH($F214)) / 12),
  0)</f>
        <v/>
      </c>
      <c r="T214" s="299">
        <f>IF(AND($F214&lt;=T$2, OR($G214="",$G214&gt;=T$2)),
  $H214 * (1 + Assumptions!$C$7) ^ INT(((YEAR(T$2)-YEAR($F214))*12 + MONTH(T$2)-MONTH($F214)) / 12),
  0)</f>
        <v/>
      </c>
      <c r="U214" s="299">
        <f>IF(AND($F214&lt;=U$2, OR($G214="",$G214&gt;=U$2)),
  $H214 * (1 + Assumptions!$C$7) ^ INT(((YEAR(U$2)-YEAR($F214))*12 + MONTH(U$2)-MONTH($F214)) / 12),
  0)</f>
        <v/>
      </c>
      <c r="V214" s="299">
        <f>IF(AND($F214&lt;=V$2, OR($G214="",$G214&gt;=V$2)),
  $H214 * (1 + Assumptions!$C$7) ^ INT(((YEAR(V$2)-YEAR($F214))*12 + MONTH(V$2)-MONTH($F214)) / 12),
  0)</f>
        <v/>
      </c>
      <c r="W214" s="299">
        <f>IF(AND($F214&lt;=W$2, OR($G214="",$G214&gt;=W$2)),
  $H214 * (1 + Assumptions!$C$7) ^ INT(((YEAR(W$2)-YEAR($F214))*12 + MONTH(W$2)-MONTH($F214)) / 12),
  0)</f>
        <v/>
      </c>
      <c r="X214" s="299">
        <f>IF(AND($F214&lt;=X$2, OR($G214="",$G214&gt;=X$2)),
  $H214 * (1 + Assumptions!$C$7) ^ INT(((YEAR(X$2)-YEAR($F214))*12 + MONTH(X$2)-MONTH($F214)) / 12),
  0)</f>
        <v/>
      </c>
      <c r="Y214" s="299">
        <f>IF(AND($F214&lt;=Y$2, OR($G214="",$G214&gt;=Y$2)),
  $H214 * (1 + Assumptions!$C$7) ^ INT(((YEAR(Y$2)-YEAR($F214))*12 + MONTH(Y$2)-MONTH($F214)) / 12),
  0)</f>
        <v/>
      </c>
      <c r="Z214" s="299">
        <f>IF(AND($F214&lt;=Z$2, OR($G214="",$G214&gt;=Z$2)),
  $H214 * (1 + Assumptions!$C$7) ^ INT(((YEAR(Z$2)-YEAR($F214))*12 + MONTH(Z$2)-MONTH($F214)) / 12),
  0)</f>
        <v/>
      </c>
      <c r="AA214" s="299">
        <f>IF(AND($F214&lt;=AA$2, OR($G214="",$G214&gt;=AA$2)),
  $H214 * (1 + Assumptions!$C$7) ^ INT(((YEAR(AA$2)-YEAR($F214))*12 + MONTH(AA$2)-MONTH($F214)) / 12),
  0)</f>
        <v/>
      </c>
      <c r="AB214" s="299">
        <f>IF(AND($F214&lt;=AB$2, OR($G214="",$G214&gt;=AB$2)),
  $H214 * (1 + Assumptions!$C$7) ^ INT(((YEAR(AB$2)-YEAR($F214))*12 + MONTH(AB$2)-MONTH($F214)) / 12),
  0)</f>
        <v/>
      </c>
      <c r="AC214" s="299">
        <f>IF(AND($F214&lt;=AC$2, OR($G214="",$G214&gt;=AC$2)),
  $H214 * (1 + Assumptions!$C$7) ^ INT(((YEAR(AC$2)-YEAR($F214))*12 + MONTH(AC$2)-MONTH($F214)) / 12),
  0)</f>
        <v/>
      </c>
      <c r="AD214" s="299">
        <f>IF(AND($F214&lt;=AD$2, OR($G214="",$G214&gt;=AD$2)),
  $H214 * (1 + Assumptions!$C$7) ^ INT(((YEAR(AD$2)-YEAR($F214))*12 + MONTH(AD$2)-MONTH($F214)) / 12),
  0)</f>
        <v/>
      </c>
      <c r="AE214" s="299">
        <f>IF(AND($F214&lt;=AE$2, OR($G214="",$G214&gt;=AE$2)),
  $H214 * (1 + Assumptions!$C$7) ^ INT(((YEAR(AE$2)-YEAR($F214))*12 + MONTH(AE$2)-MONTH($F214)) / 12),
  0)</f>
        <v/>
      </c>
      <c r="AF214" s="299">
        <f>IF(AND($F214&lt;=AF$2, OR($G214="",$G214&gt;=AF$2)),
  $H214 * (1 + Assumptions!$C$7) ^ INT(((YEAR(AF$2)-YEAR($F214))*12 + MONTH(AF$2)-MONTH($F214)) / 12),
  0)</f>
        <v/>
      </c>
      <c r="AG214" s="299">
        <f>IF(AND($F214&lt;=AG$2, OR($G214="",$G214&gt;=AG$2)),
  $H214 * (1 + Assumptions!$C$7) ^ INT(((YEAR(AG$2)-YEAR($F214))*12 + MONTH(AG$2)-MONTH($F214)) / 12),
  0)</f>
        <v/>
      </c>
      <c r="AH214" s="299">
        <f>IF(AND($F214&lt;=AH$2, OR($G214="",$G214&gt;=AH$2)),
  $H214 * (1 + Assumptions!$C$7) ^ INT(((YEAR(AH$2)-YEAR($F214))*12 + MONTH(AH$2)-MONTH($F214)) / 12),
  0)</f>
        <v/>
      </c>
      <c r="AI214" s="299">
        <f>IF(AND($F214&lt;=AI$2, OR($G214="",$G214&gt;=AI$2)),
  $H214 * (1 + Assumptions!$C$7) ^ INT(((YEAR(AI$2)-YEAR($F214))*12 + MONTH(AI$2)-MONTH($F214)) / 12),
  0)</f>
        <v/>
      </c>
      <c r="AJ214" s="299">
        <f>IF(AND($F214&lt;=AJ$2, OR($G214="",$G214&gt;=AJ$2)),
  $H214 * (1 + Assumptions!$C$7) ^ INT(((YEAR(AJ$2)-YEAR($F214))*12 + MONTH(AJ$2)-MONTH($F214)) / 12),
  0)</f>
        <v/>
      </c>
      <c r="AK214" s="299">
        <f>IF(AND($F214&lt;=AK$2, OR($G214="",$G214&gt;=AK$2)),
  $H214 * (1 + Assumptions!$C$7) ^ INT(((YEAR(AK$2)-YEAR($F214))*12 + MONTH(AK$2)-MONTH($F214)) / 12),
  0)</f>
        <v/>
      </c>
      <c r="AL214" s="299">
        <f>IF(AND($F214&lt;=AL$2, OR($G214="",$G214&gt;=AL$2)),
  $H214 * (1 + Assumptions!$C$7) ^ INT(((YEAR(AL$2)-YEAR($F214))*12 + MONTH(AL$2)-MONTH($F214)) / 12),
  0)</f>
        <v/>
      </c>
      <c r="AM214" s="299">
        <f>IF(AND($F214&lt;=AM$2, OR($G214="",$G214&gt;=AM$2)),
  $H214 * (1 + Assumptions!$C$7) ^ INT(((YEAR(AM$2)-YEAR($F214))*12 + MONTH(AM$2)-MONTH($F214)) / 12),
  0)</f>
        <v/>
      </c>
      <c r="AN214" s="299">
        <f>IF(AND($F214&lt;=AN$2, OR($G214="",$G214&gt;=AN$2)),
  $H214 * (1 + Assumptions!$C$7) ^ INT(((YEAR(AN$2)-YEAR($F214))*12 + MONTH(AN$2)-MONTH($F214)) / 12),
  0)</f>
        <v/>
      </c>
      <c r="AO214" s="299">
        <f>IF(AND($F214&lt;=AO$2, OR($G214="",$G214&gt;=AO$2)),
  $H214 * (1 + Assumptions!$C$7) ^ INT(((YEAR(AO$2)-YEAR($F214))*12 + MONTH(AO$2)-MONTH($F214)) / 12),
  0)</f>
        <v/>
      </c>
      <c r="AP214" s="299">
        <f>IF(AND($F214&lt;=AP$2, OR($G214="",$G214&gt;=AP$2)),
  $H214 * (1 + Assumptions!$C$7) ^ INT(((YEAR(AP$2)-YEAR($F214))*12 + MONTH(AP$2)-MONTH($F214)) / 12),
  0)</f>
        <v/>
      </c>
      <c r="AQ214" s="299">
        <f>IF(AND($F214&lt;=AQ$2, OR($G214="",$G214&gt;=AQ$2)),
  $H214 * (1 + Assumptions!$C$7) ^ INT(((YEAR(AQ$2)-YEAR($F214))*12 + MONTH(AQ$2)-MONTH($F214)) / 12),
  0)</f>
        <v/>
      </c>
      <c r="AR214" s="299">
        <f>IF(AND($F214&lt;=AR$2, OR($G214="",$G214&gt;=AR$2)),
  $H214 * (1 + Assumptions!$C$7) ^ INT(((YEAR(AR$2)-YEAR($F214))*12 + MONTH(AR$2)-MONTH($F214)) / 12),
  0)</f>
        <v/>
      </c>
      <c r="AS214" s="299">
        <f>IF(AND($F214&lt;=AS$2, OR($G214="",$G214&gt;=AS$2)),
  $H214 * (1 + Assumptions!$C$7) ^ INT(((YEAR(AS$2)-YEAR($F214))*12 + MONTH(AS$2)-MONTH($F214)) / 12),
  0)</f>
        <v/>
      </c>
      <c r="AT214" s="299">
        <f>IF(AND($F214&lt;=AT$2, OR($G214="",$G214&gt;=AT$2)),
  $H214 * (1 + Assumptions!$C$7) ^ INT(((YEAR(AT$2)-YEAR($F214))*12 + MONTH(AT$2)-MONTH($F214)) / 12),
  0)</f>
        <v/>
      </c>
      <c r="AU214" s="299">
        <f>IF(AND($F214&lt;=AU$2, OR($G214="",$G214&gt;=AU$2)),
  $H214 * (1 + Assumptions!$C$7) ^ INT(((YEAR(AU$2)-YEAR($F214))*12 + MONTH(AU$2)-MONTH($F214)) / 12),
  0)</f>
        <v/>
      </c>
      <c r="AV214" s="299">
        <f>IF(AND($F214&lt;=AV$2, OR($G214="",$G214&gt;=AV$2)),
  $H214 * (1 + Assumptions!$C$7) ^ INT(((YEAR(AV$2)-YEAR($F214))*12 + MONTH(AV$2)-MONTH($F214)) / 12),
  0)</f>
        <v/>
      </c>
      <c r="AW214" s="299">
        <f>IF(AND($F214&lt;=AW$2, OR($G214="",$G214&gt;=AW$2)),
  $H214 * (1 + Assumptions!$C$7) ^ INT(((YEAR(AW$2)-YEAR($F214))*12 + MONTH(AW$2)-MONTH($F214)) / 12),
  0)</f>
        <v/>
      </c>
      <c r="AX214" s="299">
        <f>IF(AND($F214&lt;=AX$2, OR($G214="",$G214&gt;=AX$2)),
  $H214 * (1 + Assumptions!$C$7) ^ INT(((YEAR(AX$2)-YEAR($F214))*12 + MONTH(AX$2)-MONTH($F214)) / 12),
  0)</f>
        <v/>
      </c>
      <c r="AY214" s="299">
        <f>IF(AND($F214&lt;=AY$2, OR($G214="",$G214&gt;=AY$2)),
  $H214 * (1 + Assumptions!$C$7) ^ INT(((YEAR(AY$2)-YEAR($F214))*12 + MONTH(AY$2)-MONTH($F214)) / 12),
  0)</f>
        <v/>
      </c>
      <c r="AZ214" s="299">
        <f>IF(AND($F214&lt;=AZ$2, OR($G214="",$G214&gt;=AZ$2)),
  $H214 * (1 + Assumptions!$C$7) ^ INT(((YEAR(AZ$2)-YEAR($F214))*12 + MONTH(AZ$2)-MONTH($F214)) / 12),
  0)</f>
        <v/>
      </c>
      <c r="BA214" s="299">
        <f>IF(AND($F214&lt;=BA$2, OR($G214="",$G214&gt;=BA$2)),
  $H214 * (1 + Assumptions!$C$7) ^ INT(((YEAR(BA$2)-YEAR($F214))*12 + MONTH(BA$2)-MONTH($F214)) / 12),
  0)</f>
        <v/>
      </c>
      <c r="BB214" s="299">
        <f>IF(AND($F214&lt;=BB$2, OR($G214="",$G214&gt;=BB$2)),
  $H214 * (1 + Assumptions!$C$7) ^ INT(((YEAR(BB$2)-YEAR($F214))*12 + MONTH(BB$2)-MONTH($F214)) / 12),
  0)</f>
        <v/>
      </c>
      <c r="BC214" s="299">
        <f>IF(AND($F214&lt;=BC$2, OR($G214="",$G214&gt;=BC$2)),
  $H214 * (1 + Assumptions!$C$7) ^ INT(((YEAR(BC$2)-YEAR($F214))*12 + MONTH(BC$2)-MONTH($F214)) / 12),
  0)</f>
        <v/>
      </c>
      <c r="BD214" s="299">
        <f>IF(AND($F214&lt;=BD$2, OR($G214="",$G214&gt;=BD$2)),
  $H214 * (1 + Assumptions!$C$7) ^ INT(((YEAR(BD$2)-YEAR($F214))*12 + MONTH(BD$2)-MONTH($F214)) / 12),
  0)</f>
        <v/>
      </c>
      <c r="BE214" s="299">
        <f>IF(AND($F214&lt;=BE$2, OR($G214="",$G214&gt;=BE$2)),
  $H214 * (1 + Assumptions!$C$7) ^ INT(((YEAR(BE$2)-YEAR($F214))*12 + MONTH(BE$2)-MONTH($F214)) / 12),
  0)</f>
        <v/>
      </c>
      <c r="BF214" s="299">
        <f>IF(AND($F214&lt;=BF$2, OR($G214="",$G214&gt;=BF$2)),
  $H214 * (1 + Assumptions!$C$7) ^ INT(((YEAR(BF$2)-YEAR($F214))*12 + MONTH(BF$2)-MONTH($F214)) / 12),
  0)</f>
        <v/>
      </c>
      <c r="BG214" s="299">
        <f>IF(AND($F214&lt;=BG$2, OR($G214="",$G214&gt;=BG$2)),
  $H214 * (1 + Assumptions!$C$7) ^ INT(((YEAR(BG$2)-YEAR($F214))*12 + MONTH(BG$2)-MONTH($F214)) / 12),
  0)</f>
        <v/>
      </c>
      <c r="BH214" s="299">
        <f>IF(AND($F214&lt;=BH$2, OR($G214="",$G214&gt;=BH$2)),
  $H214 * (1 + Assumptions!$C$7) ^ INT(((YEAR(BH$2)-YEAR($F214))*12 + MONTH(BH$2)-MONTH($F214)) / 12),
  0)</f>
        <v/>
      </c>
      <c r="BI214" s="299">
        <f>IF(AND($F214&lt;=BI$2, OR($G214="",$G214&gt;=BI$2)),
  $H214 * (1 + Assumptions!$C$7) ^ INT(((YEAR(BI$2)-YEAR($F214))*12 + MONTH(BI$2)-MONTH($F214)) / 12),
  0)</f>
        <v/>
      </c>
      <c r="BJ214" s="299">
        <f>IF(AND($F214&lt;=BJ$2, OR($G214="",$G214&gt;=BJ$2)),
  $H214 * (1 + Assumptions!$C$7) ^ INT(((YEAR(BJ$2)-YEAR($F214))*12 + MONTH(BJ$2)-MONTH($F214)) / 12),
  0)</f>
        <v/>
      </c>
      <c r="BK214" s="299">
        <f>IF(AND($F214&lt;=BK$2, OR($G214="",$G214&gt;=BK$2)),
  $H214 * (1 + Assumptions!$C$7) ^ INT(((YEAR(BK$2)-YEAR($F214))*12 + MONTH(BK$2)-MONTH($F214)) / 12),
  0)</f>
        <v/>
      </c>
      <c r="BL214" s="299">
        <f>IF(AND($F214&lt;=BL$2, OR($G214="",$G214&gt;=BL$2)),
  $H214 * (1 + Assumptions!$C$7) ^ INT(((YEAR(BL$2)-YEAR($F214))*12 + MONTH(BL$2)-MONTH($F214)) / 12),
  0)</f>
        <v/>
      </c>
      <c r="BM214" s="299">
        <f>IF(AND($F214&lt;=BM$2, OR($G214="",$G214&gt;=BM$2)),
  $H214 * (1 + Assumptions!$C$7) ^ INT(((YEAR(BM$2)-YEAR($F214))*12 + MONTH(BM$2)-MONTH($F214)) / 12),
  0)</f>
        <v/>
      </c>
      <c r="BN214" s="299">
        <f>IF(AND($F214&lt;=BN$2, OR($G214="",$G214&gt;=BN$2)),
  $H214 * (1 + Assumptions!$C$7) ^ INT(((YEAR(BN$2)-YEAR($F214))*12 + MONTH(BN$2)-MONTH($F214)) / 12),
  0)</f>
        <v/>
      </c>
      <c r="BO214" s="299">
        <f>IF(AND($F214&lt;=BO$2, OR($G214="",$G214&gt;=BO$2)),
  $H214 * (1 + Assumptions!$C$7) ^ INT(((YEAR(BO$2)-YEAR($F214))*12 + MONTH(BO$2)-MONTH($F214)) / 12),
  0)</f>
        <v/>
      </c>
      <c r="BP214" s="299">
        <f>IF(AND($F214&lt;=BP$2, OR($G214="",$G214&gt;=BP$2)),
  $H214 * (1 + Assumptions!$C$7) ^ INT(((YEAR(BP$2)-YEAR($F214))*12 + MONTH(BP$2)-MONTH($F214)) / 12),
  0)</f>
        <v/>
      </c>
      <c r="BQ214" s="31" t="n"/>
      <c r="BR214" s="31" t="n"/>
      <c r="BS214" s="31" t="n"/>
      <c r="BT214" s="31" t="n"/>
    </row>
    <row r="215" ht="15.75" customHeight="1" s="349">
      <c r="A215" s="321" t="n">
        <v>210</v>
      </c>
      <c r="B215" s="285" t="inlineStr">
        <is>
          <t>New hire</t>
        </is>
      </c>
      <c r="C215" s="317" t="inlineStr">
        <is>
          <t>R&amp;D</t>
        </is>
      </c>
      <c r="D215" s="317" t="inlineStr">
        <is>
          <t>R&amp;D Engineer</t>
        </is>
      </c>
      <c r="E215" s="297" t="inlineStr">
        <is>
          <t>Planned</t>
        </is>
      </c>
      <c r="F215" s="318">
        <f>IF(Assumptions!$D$82=2,DATE(2028,1,1),DATE(2035,1,1))</f>
        <v/>
      </c>
      <c r="G215" s="318" t="n"/>
      <c r="H215" s="288" t="n">
        <v>8000</v>
      </c>
      <c r="I215" s="299">
        <f>IF(AND($F215&lt;=I$2, OR($G215="",$G215&gt;=I$2)),
  $H215 * (1 + Assumptions!$C$7) ^ INT(((YEAR(I$2)-YEAR($F215))*12 + MONTH(I$2)-MONTH($F215)) / 12),
  0)</f>
        <v/>
      </c>
      <c r="J215" s="299">
        <f>IF(AND($F215&lt;=J$2, OR($G215="",$G215&gt;=J$2)),
  $H215 * (1 + Assumptions!$C$7) ^ INT(((YEAR(J$2)-YEAR($F215))*12 + MONTH(J$2)-MONTH($F215)) / 12),
  0)</f>
        <v/>
      </c>
      <c r="K215" s="299">
        <f>IF(AND($F215&lt;=K$2, OR($G215="",$G215&gt;=K$2)),
  $H215 * (1 + Assumptions!$C$7) ^ INT(((YEAR(K$2)-YEAR($F215))*12 + MONTH(K$2)-MONTH($F215)) / 12),
  0)</f>
        <v/>
      </c>
      <c r="L215" s="299">
        <f>IF(AND($F215&lt;=L$2, OR($G215="",$G215&gt;=L$2)),
  $H215 * (1 + Assumptions!$C$7) ^ INT(((YEAR(L$2)-YEAR($F215))*12 + MONTH(L$2)-MONTH($F215)) / 12),
  0)</f>
        <v/>
      </c>
      <c r="M215" s="299">
        <f>IF(AND($F215&lt;=M$2, OR($G215="",$G215&gt;=M$2)),
  $H215 * (1 + Assumptions!$C$7) ^ INT(((YEAR(M$2)-YEAR($F215))*12 + MONTH(M$2)-MONTH($F215)) / 12),
  0)</f>
        <v/>
      </c>
      <c r="N215" s="299">
        <f>IF(AND($F215&lt;=N$2, OR($G215="",$G215&gt;=N$2)),
  $H215 * (1 + Assumptions!$C$7) ^ INT(((YEAR(N$2)-YEAR($F215))*12 + MONTH(N$2)-MONTH($F215)) / 12),
  0)</f>
        <v/>
      </c>
      <c r="O215" s="299">
        <f>IF(AND($F215&lt;=O$2, OR($G215="",$G215&gt;=O$2)),
  $H215 * (1 + Assumptions!$C$7) ^ INT(((YEAR(O$2)-YEAR($F215))*12 + MONTH(O$2)-MONTH($F215)) / 12),
  0)</f>
        <v/>
      </c>
      <c r="P215" s="299">
        <f>IF(AND($F215&lt;=P$2, OR($G215="",$G215&gt;=P$2)),
  $H215 * (1 + Assumptions!$C$7) ^ INT(((YEAR(P$2)-YEAR($F215))*12 + MONTH(P$2)-MONTH($F215)) / 12),
  0)</f>
        <v/>
      </c>
      <c r="Q215" s="299">
        <f>IF(AND($F215&lt;=Q$2, OR($G215="",$G215&gt;=Q$2)),
  $H215 * (1 + Assumptions!$C$7) ^ INT(((YEAR(Q$2)-YEAR($F215))*12 + MONTH(Q$2)-MONTH($F215)) / 12),
  0)</f>
        <v/>
      </c>
      <c r="R215" s="299">
        <f>IF(AND($F215&lt;=R$2, OR($G215="",$G215&gt;=R$2)),
  $H215 * (1 + Assumptions!$C$7) ^ INT(((YEAR(R$2)-YEAR($F215))*12 + MONTH(R$2)-MONTH($F215)) / 12),
  0)</f>
        <v/>
      </c>
      <c r="S215" s="299">
        <f>IF(AND($F215&lt;=S$2, OR($G215="",$G215&gt;=S$2)),
  $H215 * (1 + Assumptions!$C$7) ^ INT(((YEAR(S$2)-YEAR($F215))*12 + MONTH(S$2)-MONTH($F215)) / 12),
  0)</f>
        <v/>
      </c>
      <c r="T215" s="299">
        <f>IF(AND($F215&lt;=T$2, OR($G215="",$G215&gt;=T$2)),
  $H215 * (1 + Assumptions!$C$7) ^ INT(((YEAR(T$2)-YEAR($F215))*12 + MONTH(T$2)-MONTH($F215)) / 12),
  0)</f>
        <v/>
      </c>
      <c r="U215" s="299">
        <f>IF(AND($F215&lt;=U$2, OR($G215="",$G215&gt;=U$2)),
  $H215 * (1 + Assumptions!$C$7) ^ INT(((YEAR(U$2)-YEAR($F215))*12 + MONTH(U$2)-MONTH($F215)) / 12),
  0)</f>
        <v/>
      </c>
      <c r="V215" s="299">
        <f>IF(AND($F215&lt;=V$2, OR($G215="",$G215&gt;=V$2)),
  $H215 * (1 + Assumptions!$C$7) ^ INT(((YEAR(V$2)-YEAR($F215))*12 + MONTH(V$2)-MONTH($F215)) / 12),
  0)</f>
        <v/>
      </c>
      <c r="W215" s="299">
        <f>IF(AND($F215&lt;=W$2, OR($G215="",$G215&gt;=W$2)),
  $H215 * (1 + Assumptions!$C$7) ^ INT(((YEAR(W$2)-YEAR($F215))*12 + MONTH(W$2)-MONTH($F215)) / 12),
  0)</f>
        <v/>
      </c>
      <c r="X215" s="299">
        <f>IF(AND($F215&lt;=X$2, OR($G215="",$G215&gt;=X$2)),
  $H215 * (1 + Assumptions!$C$7) ^ INT(((YEAR(X$2)-YEAR($F215))*12 + MONTH(X$2)-MONTH($F215)) / 12),
  0)</f>
        <v/>
      </c>
      <c r="Y215" s="299">
        <f>IF(AND($F215&lt;=Y$2, OR($G215="",$G215&gt;=Y$2)),
  $H215 * (1 + Assumptions!$C$7) ^ INT(((YEAR(Y$2)-YEAR($F215))*12 + MONTH(Y$2)-MONTH($F215)) / 12),
  0)</f>
        <v/>
      </c>
      <c r="Z215" s="299">
        <f>IF(AND($F215&lt;=Z$2, OR($G215="",$G215&gt;=Z$2)),
  $H215 * (1 + Assumptions!$C$7) ^ INT(((YEAR(Z$2)-YEAR($F215))*12 + MONTH(Z$2)-MONTH($F215)) / 12),
  0)</f>
        <v/>
      </c>
      <c r="AA215" s="299">
        <f>IF(AND($F215&lt;=AA$2, OR($G215="",$G215&gt;=AA$2)),
  $H215 * (1 + Assumptions!$C$7) ^ INT(((YEAR(AA$2)-YEAR($F215))*12 + MONTH(AA$2)-MONTH($F215)) / 12),
  0)</f>
        <v/>
      </c>
      <c r="AB215" s="299">
        <f>IF(AND($F215&lt;=AB$2, OR($G215="",$G215&gt;=AB$2)),
  $H215 * (1 + Assumptions!$C$7) ^ INT(((YEAR(AB$2)-YEAR($F215))*12 + MONTH(AB$2)-MONTH($F215)) / 12),
  0)</f>
        <v/>
      </c>
      <c r="AC215" s="299">
        <f>IF(AND($F215&lt;=AC$2, OR($G215="",$G215&gt;=AC$2)),
  $H215 * (1 + Assumptions!$C$7) ^ INT(((YEAR(AC$2)-YEAR($F215))*12 + MONTH(AC$2)-MONTH($F215)) / 12),
  0)</f>
        <v/>
      </c>
      <c r="AD215" s="299">
        <f>IF(AND($F215&lt;=AD$2, OR($G215="",$G215&gt;=AD$2)),
  $H215 * (1 + Assumptions!$C$7) ^ INT(((YEAR(AD$2)-YEAR($F215))*12 + MONTH(AD$2)-MONTH($F215)) / 12),
  0)</f>
        <v/>
      </c>
      <c r="AE215" s="299">
        <f>IF(AND($F215&lt;=AE$2, OR($G215="",$G215&gt;=AE$2)),
  $H215 * (1 + Assumptions!$C$7) ^ INT(((YEAR(AE$2)-YEAR($F215))*12 + MONTH(AE$2)-MONTH($F215)) / 12),
  0)</f>
        <v/>
      </c>
      <c r="AF215" s="299">
        <f>IF(AND($F215&lt;=AF$2, OR($G215="",$G215&gt;=AF$2)),
  $H215 * (1 + Assumptions!$C$7) ^ INT(((YEAR(AF$2)-YEAR($F215))*12 + MONTH(AF$2)-MONTH($F215)) / 12),
  0)</f>
        <v/>
      </c>
      <c r="AG215" s="299">
        <f>IF(AND($F215&lt;=AG$2, OR($G215="",$G215&gt;=AG$2)),
  $H215 * (1 + Assumptions!$C$7) ^ INT(((YEAR(AG$2)-YEAR($F215))*12 + MONTH(AG$2)-MONTH($F215)) / 12),
  0)</f>
        <v/>
      </c>
      <c r="AH215" s="299">
        <f>IF(AND($F215&lt;=AH$2, OR($G215="",$G215&gt;=AH$2)),
  $H215 * (1 + Assumptions!$C$7) ^ INT(((YEAR(AH$2)-YEAR($F215))*12 + MONTH(AH$2)-MONTH($F215)) / 12),
  0)</f>
        <v/>
      </c>
      <c r="AI215" s="299">
        <f>IF(AND($F215&lt;=AI$2, OR($G215="",$G215&gt;=AI$2)),
  $H215 * (1 + Assumptions!$C$7) ^ INT(((YEAR(AI$2)-YEAR($F215))*12 + MONTH(AI$2)-MONTH($F215)) / 12),
  0)</f>
        <v/>
      </c>
      <c r="AJ215" s="299">
        <f>IF(AND($F215&lt;=AJ$2, OR($G215="",$G215&gt;=AJ$2)),
  $H215 * (1 + Assumptions!$C$7) ^ INT(((YEAR(AJ$2)-YEAR($F215))*12 + MONTH(AJ$2)-MONTH($F215)) / 12),
  0)</f>
        <v/>
      </c>
      <c r="AK215" s="299">
        <f>IF(AND($F215&lt;=AK$2, OR($G215="",$G215&gt;=AK$2)),
  $H215 * (1 + Assumptions!$C$7) ^ INT(((YEAR(AK$2)-YEAR($F215))*12 + MONTH(AK$2)-MONTH($F215)) / 12),
  0)</f>
        <v/>
      </c>
      <c r="AL215" s="299">
        <f>IF(AND($F215&lt;=AL$2, OR($G215="",$G215&gt;=AL$2)),
  $H215 * (1 + Assumptions!$C$7) ^ INT(((YEAR(AL$2)-YEAR($F215))*12 + MONTH(AL$2)-MONTH($F215)) / 12),
  0)</f>
        <v/>
      </c>
      <c r="AM215" s="299">
        <f>IF(AND($F215&lt;=AM$2, OR($G215="",$G215&gt;=AM$2)),
  $H215 * (1 + Assumptions!$C$7) ^ INT(((YEAR(AM$2)-YEAR($F215))*12 + MONTH(AM$2)-MONTH($F215)) / 12),
  0)</f>
        <v/>
      </c>
      <c r="AN215" s="299">
        <f>IF(AND($F215&lt;=AN$2, OR($G215="",$G215&gt;=AN$2)),
  $H215 * (1 + Assumptions!$C$7) ^ INT(((YEAR(AN$2)-YEAR($F215))*12 + MONTH(AN$2)-MONTH($F215)) / 12),
  0)</f>
        <v/>
      </c>
      <c r="AO215" s="299">
        <f>IF(AND($F215&lt;=AO$2, OR($G215="",$G215&gt;=AO$2)),
  $H215 * (1 + Assumptions!$C$7) ^ INT(((YEAR(AO$2)-YEAR($F215))*12 + MONTH(AO$2)-MONTH($F215)) / 12),
  0)</f>
        <v/>
      </c>
      <c r="AP215" s="299">
        <f>IF(AND($F215&lt;=AP$2, OR($G215="",$G215&gt;=AP$2)),
  $H215 * (1 + Assumptions!$C$7) ^ INT(((YEAR(AP$2)-YEAR($F215))*12 + MONTH(AP$2)-MONTH($F215)) / 12),
  0)</f>
        <v/>
      </c>
      <c r="AQ215" s="299">
        <f>IF(AND($F215&lt;=AQ$2, OR($G215="",$G215&gt;=AQ$2)),
  $H215 * (1 + Assumptions!$C$7) ^ INT(((YEAR(AQ$2)-YEAR($F215))*12 + MONTH(AQ$2)-MONTH($F215)) / 12),
  0)</f>
        <v/>
      </c>
      <c r="AR215" s="299">
        <f>IF(AND($F215&lt;=AR$2, OR($G215="",$G215&gt;=AR$2)),
  $H215 * (1 + Assumptions!$C$7) ^ INT(((YEAR(AR$2)-YEAR($F215))*12 + MONTH(AR$2)-MONTH($F215)) / 12),
  0)</f>
        <v/>
      </c>
      <c r="AS215" s="299">
        <f>IF(AND($F215&lt;=AS$2, OR($G215="",$G215&gt;=AS$2)),
  $H215 * (1 + Assumptions!$C$7) ^ INT(((YEAR(AS$2)-YEAR($F215))*12 + MONTH(AS$2)-MONTH($F215)) / 12),
  0)</f>
        <v/>
      </c>
      <c r="AT215" s="299">
        <f>IF(AND($F215&lt;=AT$2, OR($G215="",$G215&gt;=AT$2)),
  $H215 * (1 + Assumptions!$C$7) ^ INT(((YEAR(AT$2)-YEAR($F215))*12 + MONTH(AT$2)-MONTH($F215)) / 12),
  0)</f>
        <v/>
      </c>
      <c r="AU215" s="299">
        <f>IF(AND($F215&lt;=AU$2, OR($G215="",$G215&gt;=AU$2)),
  $H215 * (1 + Assumptions!$C$7) ^ INT(((YEAR(AU$2)-YEAR($F215))*12 + MONTH(AU$2)-MONTH($F215)) / 12),
  0)</f>
        <v/>
      </c>
      <c r="AV215" s="299">
        <f>IF(AND($F215&lt;=AV$2, OR($G215="",$G215&gt;=AV$2)),
  $H215 * (1 + Assumptions!$C$7) ^ INT(((YEAR(AV$2)-YEAR($F215))*12 + MONTH(AV$2)-MONTH($F215)) / 12),
  0)</f>
        <v/>
      </c>
      <c r="AW215" s="299">
        <f>IF(AND($F215&lt;=AW$2, OR($G215="",$G215&gt;=AW$2)),
  $H215 * (1 + Assumptions!$C$7) ^ INT(((YEAR(AW$2)-YEAR($F215))*12 + MONTH(AW$2)-MONTH($F215)) / 12),
  0)</f>
        <v/>
      </c>
      <c r="AX215" s="299">
        <f>IF(AND($F215&lt;=AX$2, OR($G215="",$G215&gt;=AX$2)),
  $H215 * (1 + Assumptions!$C$7) ^ INT(((YEAR(AX$2)-YEAR($F215))*12 + MONTH(AX$2)-MONTH($F215)) / 12),
  0)</f>
        <v/>
      </c>
      <c r="AY215" s="299">
        <f>IF(AND($F215&lt;=AY$2, OR($G215="",$G215&gt;=AY$2)),
  $H215 * (1 + Assumptions!$C$7) ^ INT(((YEAR(AY$2)-YEAR($F215))*12 + MONTH(AY$2)-MONTH($F215)) / 12),
  0)</f>
        <v/>
      </c>
      <c r="AZ215" s="299">
        <f>IF(AND($F215&lt;=AZ$2, OR($G215="",$G215&gt;=AZ$2)),
  $H215 * (1 + Assumptions!$C$7) ^ INT(((YEAR(AZ$2)-YEAR($F215))*12 + MONTH(AZ$2)-MONTH($F215)) / 12),
  0)</f>
        <v/>
      </c>
      <c r="BA215" s="299">
        <f>IF(AND($F215&lt;=BA$2, OR($G215="",$G215&gt;=BA$2)),
  $H215 * (1 + Assumptions!$C$7) ^ INT(((YEAR(BA$2)-YEAR($F215))*12 + MONTH(BA$2)-MONTH($F215)) / 12),
  0)</f>
        <v/>
      </c>
      <c r="BB215" s="299">
        <f>IF(AND($F215&lt;=BB$2, OR($G215="",$G215&gt;=BB$2)),
  $H215 * (1 + Assumptions!$C$7) ^ INT(((YEAR(BB$2)-YEAR($F215))*12 + MONTH(BB$2)-MONTH($F215)) / 12),
  0)</f>
        <v/>
      </c>
      <c r="BC215" s="299">
        <f>IF(AND($F215&lt;=BC$2, OR($G215="",$G215&gt;=BC$2)),
  $H215 * (1 + Assumptions!$C$7) ^ INT(((YEAR(BC$2)-YEAR($F215))*12 + MONTH(BC$2)-MONTH($F215)) / 12),
  0)</f>
        <v/>
      </c>
      <c r="BD215" s="299">
        <f>IF(AND($F215&lt;=BD$2, OR($G215="",$G215&gt;=BD$2)),
  $H215 * (1 + Assumptions!$C$7) ^ INT(((YEAR(BD$2)-YEAR($F215))*12 + MONTH(BD$2)-MONTH($F215)) / 12),
  0)</f>
        <v/>
      </c>
      <c r="BE215" s="299">
        <f>IF(AND($F215&lt;=BE$2, OR($G215="",$G215&gt;=BE$2)),
  $H215 * (1 + Assumptions!$C$7) ^ INT(((YEAR(BE$2)-YEAR($F215))*12 + MONTH(BE$2)-MONTH($F215)) / 12),
  0)</f>
        <v/>
      </c>
      <c r="BF215" s="299">
        <f>IF(AND($F215&lt;=BF$2, OR($G215="",$G215&gt;=BF$2)),
  $H215 * (1 + Assumptions!$C$7) ^ INT(((YEAR(BF$2)-YEAR($F215))*12 + MONTH(BF$2)-MONTH($F215)) / 12),
  0)</f>
        <v/>
      </c>
      <c r="BG215" s="299">
        <f>IF(AND($F215&lt;=BG$2, OR($G215="",$G215&gt;=BG$2)),
  $H215 * (1 + Assumptions!$C$7) ^ INT(((YEAR(BG$2)-YEAR($F215))*12 + MONTH(BG$2)-MONTH($F215)) / 12),
  0)</f>
        <v/>
      </c>
      <c r="BH215" s="299">
        <f>IF(AND($F215&lt;=BH$2, OR($G215="",$G215&gt;=BH$2)),
  $H215 * (1 + Assumptions!$C$7) ^ INT(((YEAR(BH$2)-YEAR($F215))*12 + MONTH(BH$2)-MONTH($F215)) / 12),
  0)</f>
        <v/>
      </c>
      <c r="BI215" s="299">
        <f>IF(AND($F215&lt;=BI$2, OR($G215="",$G215&gt;=BI$2)),
  $H215 * (1 + Assumptions!$C$7) ^ INT(((YEAR(BI$2)-YEAR($F215))*12 + MONTH(BI$2)-MONTH($F215)) / 12),
  0)</f>
        <v/>
      </c>
      <c r="BJ215" s="299">
        <f>IF(AND($F215&lt;=BJ$2, OR($G215="",$G215&gt;=BJ$2)),
  $H215 * (1 + Assumptions!$C$7) ^ INT(((YEAR(BJ$2)-YEAR($F215))*12 + MONTH(BJ$2)-MONTH($F215)) / 12),
  0)</f>
        <v/>
      </c>
      <c r="BK215" s="299">
        <f>IF(AND($F215&lt;=BK$2, OR($G215="",$G215&gt;=BK$2)),
  $H215 * (1 + Assumptions!$C$7) ^ INT(((YEAR(BK$2)-YEAR($F215))*12 + MONTH(BK$2)-MONTH($F215)) / 12),
  0)</f>
        <v/>
      </c>
      <c r="BL215" s="299">
        <f>IF(AND($F215&lt;=BL$2, OR($G215="",$G215&gt;=BL$2)),
  $H215 * (1 + Assumptions!$C$7) ^ INT(((YEAR(BL$2)-YEAR($F215))*12 + MONTH(BL$2)-MONTH($F215)) / 12),
  0)</f>
        <v/>
      </c>
      <c r="BM215" s="299">
        <f>IF(AND($F215&lt;=BM$2, OR($G215="",$G215&gt;=BM$2)),
  $H215 * (1 + Assumptions!$C$7) ^ INT(((YEAR(BM$2)-YEAR($F215))*12 + MONTH(BM$2)-MONTH($F215)) / 12),
  0)</f>
        <v/>
      </c>
      <c r="BN215" s="299">
        <f>IF(AND($F215&lt;=BN$2, OR($G215="",$G215&gt;=BN$2)),
  $H215 * (1 + Assumptions!$C$7) ^ INT(((YEAR(BN$2)-YEAR($F215))*12 + MONTH(BN$2)-MONTH($F215)) / 12),
  0)</f>
        <v/>
      </c>
      <c r="BO215" s="299">
        <f>IF(AND($F215&lt;=BO$2, OR($G215="",$G215&gt;=BO$2)),
  $H215 * (1 + Assumptions!$C$7) ^ INT(((YEAR(BO$2)-YEAR($F215))*12 + MONTH(BO$2)-MONTH($F215)) / 12),
  0)</f>
        <v/>
      </c>
      <c r="BP215" s="299">
        <f>IF(AND($F215&lt;=BP$2, OR($G215="",$G215&gt;=BP$2)),
  $H215 * (1 + Assumptions!$C$7) ^ INT(((YEAR(BP$2)-YEAR($F215))*12 + MONTH(BP$2)-MONTH($F215)) / 12),
  0)</f>
        <v/>
      </c>
      <c r="BQ215" s="31" t="n"/>
      <c r="BR215" s="31" t="n"/>
      <c r="BS215" s="31" t="n"/>
      <c r="BT215" s="31" t="n"/>
    </row>
    <row r="216" ht="15.75" customHeight="1" s="349">
      <c r="A216" s="321" t="n">
        <v>211</v>
      </c>
      <c r="B216" s="285" t="inlineStr">
        <is>
          <t>New hire</t>
        </is>
      </c>
      <c r="C216" s="317" t="inlineStr">
        <is>
          <t>R&amp;D</t>
        </is>
      </c>
      <c r="D216" s="317" t="inlineStr">
        <is>
          <t>R&amp;D Engineer</t>
        </is>
      </c>
      <c r="E216" s="297" t="inlineStr">
        <is>
          <t>Planned</t>
        </is>
      </c>
      <c r="F216" s="318">
        <f>IF(Assumptions!$D$82=2,DATE(2028,1,1),DATE(2035,1,1))</f>
        <v/>
      </c>
      <c r="G216" s="318" t="n"/>
      <c r="H216" s="288" t="n">
        <v>8000</v>
      </c>
      <c r="I216" s="299">
        <f>IF(AND($F216&lt;=I$2, OR($G216="",$G216&gt;=I$2)),
  $H216 * (1 + Assumptions!$C$7) ^ INT(((YEAR(I$2)-YEAR($F216))*12 + MONTH(I$2)-MONTH($F216)) / 12),
  0)</f>
        <v/>
      </c>
      <c r="J216" s="299">
        <f>IF(AND($F216&lt;=J$2, OR($G216="",$G216&gt;=J$2)),
  $H216 * (1 + Assumptions!$C$7) ^ INT(((YEAR(J$2)-YEAR($F216))*12 + MONTH(J$2)-MONTH($F216)) / 12),
  0)</f>
        <v/>
      </c>
      <c r="K216" s="299">
        <f>IF(AND($F216&lt;=K$2, OR($G216="",$G216&gt;=K$2)),
  $H216 * (1 + Assumptions!$C$7) ^ INT(((YEAR(K$2)-YEAR($F216))*12 + MONTH(K$2)-MONTH($F216)) / 12),
  0)</f>
        <v/>
      </c>
      <c r="L216" s="299">
        <f>IF(AND($F216&lt;=L$2, OR($G216="",$G216&gt;=L$2)),
  $H216 * (1 + Assumptions!$C$7) ^ INT(((YEAR(L$2)-YEAR($F216))*12 + MONTH(L$2)-MONTH($F216)) / 12),
  0)</f>
        <v/>
      </c>
      <c r="M216" s="299">
        <f>IF(AND($F216&lt;=M$2, OR($G216="",$G216&gt;=M$2)),
  $H216 * (1 + Assumptions!$C$7) ^ INT(((YEAR(M$2)-YEAR($F216))*12 + MONTH(M$2)-MONTH($F216)) / 12),
  0)</f>
        <v/>
      </c>
      <c r="N216" s="299">
        <f>IF(AND($F216&lt;=N$2, OR($G216="",$G216&gt;=N$2)),
  $H216 * (1 + Assumptions!$C$7) ^ INT(((YEAR(N$2)-YEAR($F216))*12 + MONTH(N$2)-MONTH($F216)) / 12),
  0)</f>
        <v/>
      </c>
      <c r="O216" s="299">
        <f>IF(AND($F216&lt;=O$2, OR($G216="",$G216&gt;=O$2)),
  $H216 * (1 + Assumptions!$C$7) ^ INT(((YEAR(O$2)-YEAR($F216))*12 + MONTH(O$2)-MONTH($F216)) / 12),
  0)</f>
        <v/>
      </c>
      <c r="P216" s="299">
        <f>IF(AND($F216&lt;=P$2, OR($G216="",$G216&gt;=P$2)),
  $H216 * (1 + Assumptions!$C$7) ^ INT(((YEAR(P$2)-YEAR($F216))*12 + MONTH(P$2)-MONTH($F216)) / 12),
  0)</f>
        <v/>
      </c>
      <c r="Q216" s="299">
        <f>IF(AND($F216&lt;=Q$2, OR($G216="",$G216&gt;=Q$2)),
  $H216 * (1 + Assumptions!$C$7) ^ INT(((YEAR(Q$2)-YEAR($F216))*12 + MONTH(Q$2)-MONTH($F216)) / 12),
  0)</f>
        <v/>
      </c>
      <c r="R216" s="299">
        <f>IF(AND($F216&lt;=R$2, OR($G216="",$G216&gt;=R$2)),
  $H216 * (1 + Assumptions!$C$7) ^ INT(((YEAR(R$2)-YEAR($F216))*12 + MONTH(R$2)-MONTH($F216)) / 12),
  0)</f>
        <v/>
      </c>
      <c r="S216" s="299">
        <f>IF(AND($F216&lt;=S$2, OR($G216="",$G216&gt;=S$2)),
  $H216 * (1 + Assumptions!$C$7) ^ INT(((YEAR(S$2)-YEAR($F216))*12 + MONTH(S$2)-MONTH($F216)) / 12),
  0)</f>
        <v/>
      </c>
      <c r="T216" s="299">
        <f>IF(AND($F216&lt;=T$2, OR($G216="",$G216&gt;=T$2)),
  $H216 * (1 + Assumptions!$C$7) ^ INT(((YEAR(T$2)-YEAR($F216))*12 + MONTH(T$2)-MONTH($F216)) / 12),
  0)</f>
        <v/>
      </c>
      <c r="U216" s="299">
        <f>IF(AND($F216&lt;=U$2, OR($G216="",$G216&gt;=U$2)),
  $H216 * (1 + Assumptions!$C$7) ^ INT(((YEAR(U$2)-YEAR($F216))*12 + MONTH(U$2)-MONTH($F216)) / 12),
  0)</f>
        <v/>
      </c>
      <c r="V216" s="299">
        <f>IF(AND($F216&lt;=V$2, OR($G216="",$G216&gt;=V$2)),
  $H216 * (1 + Assumptions!$C$7) ^ INT(((YEAR(V$2)-YEAR($F216))*12 + MONTH(V$2)-MONTH($F216)) / 12),
  0)</f>
        <v/>
      </c>
      <c r="W216" s="299">
        <f>IF(AND($F216&lt;=W$2, OR($G216="",$G216&gt;=W$2)),
  $H216 * (1 + Assumptions!$C$7) ^ INT(((YEAR(W$2)-YEAR($F216))*12 + MONTH(W$2)-MONTH($F216)) / 12),
  0)</f>
        <v/>
      </c>
      <c r="X216" s="299">
        <f>IF(AND($F216&lt;=X$2, OR($G216="",$G216&gt;=X$2)),
  $H216 * (1 + Assumptions!$C$7) ^ INT(((YEAR(X$2)-YEAR($F216))*12 + MONTH(X$2)-MONTH($F216)) / 12),
  0)</f>
        <v/>
      </c>
      <c r="Y216" s="299">
        <f>IF(AND($F216&lt;=Y$2, OR($G216="",$G216&gt;=Y$2)),
  $H216 * (1 + Assumptions!$C$7) ^ INT(((YEAR(Y$2)-YEAR($F216))*12 + MONTH(Y$2)-MONTH($F216)) / 12),
  0)</f>
        <v/>
      </c>
      <c r="Z216" s="299">
        <f>IF(AND($F216&lt;=Z$2, OR($G216="",$G216&gt;=Z$2)),
  $H216 * (1 + Assumptions!$C$7) ^ INT(((YEAR(Z$2)-YEAR($F216))*12 + MONTH(Z$2)-MONTH($F216)) / 12),
  0)</f>
        <v/>
      </c>
      <c r="AA216" s="299">
        <f>IF(AND($F216&lt;=AA$2, OR($G216="",$G216&gt;=AA$2)),
  $H216 * (1 + Assumptions!$C$7) ^ INT(((YEAR(AA$2)-YEAR($F216))*12 + MONTH(AA$2)-MONTH($F216)) / 12),
  0)</f>
        <v/>
      </c>
      <c r="AB216" s="299">
        <f>IF(AND($F216&lt;=AB$2, OR($G216="",$G216&gt;=AB$2)),
  $H216 * (1 + Assumptions!$C$7) ^ INT(((YEAR(AB$2)-YEAR($F216))*12 + MONTH(AB$2)-MONTH($F216)) / 12),
  0)</f>
        <v/>
      </c>
      <c r="AC216" s="299">
        <f>IF(AND($F216&lt;=AC$2, OR($G216="",$G216&gt;=AC$2)),
  $H216 * (1 + Assumptions!$C$7) ^ INT(((YEAR(AC$2)-YEAR($F216))*12 + MONTH(AC$2)-MONTH($F216)) / 12),
  0)</f>
        <v/>
      </c>
      <c r="AD216" s="299">
        <f>IF(AND($F216&lt;=AD$2, OR($G216="",$G216&gt;=AD$2)),
  $H216 * (1 + Assumptions!$C$7) ^ INT(((YEAR(AD$2)-YEAR($F216))*12 + MONTH(AD$2)-MONTH($F216)) / 12),
  0)</f>
        <v/>
      </c>
      <c r="AE216" s="299">
        <f>IF(AND($F216&lt;=AE$2, OR($G216="",$G216&gt;=AE$2)),
  $H216 * (1 + Assumptions!$C$7) ^ INT(((YEAR(AE$2)-YEAR($F216))*12 + MONTH(AE$2)-MONTH($F216)) / 12),
  0)</f>
        <v/>
      </c>
      <c r="AF216" s="299">
        <f>IF(AND($F216&lt;=AF$2, OR($G216="",$G216&gt;=AF$2)),
  $H216 * (1 + Assumptions!$C$7) ^ INT(((YEAR(AF$2)-YEAR($F216))*12 + MONTH(AF$2)-MONTH($F216)) / 12),
  0)</f>
        <v/>
      </c>
      <c r="AG216" s="299">
        <f>IF(AND($F216&lt;=AG$2, OR($G216="",$G216&gt;=AG$2)),
  $H216 * (1 + Assumptions!$C$7) ^ INT(((YEAR(AG$2)-YEAR($F216))*12 + MONTH(AG$2)-MONTH($F216)) / 12),
  0)</f>
        <v/>
      </c>
      <c r="AH216" s="299">
        <f>IF(AND($F216&lt;=AH$2, OR($G216="",$G216&gt;=AH$2)),
  $H216 * (1 + Assumptions!$C$7) ^ INT(((YEAR(AH$2)-YEAR($F216))*12 + MONTH(AH$2)-MONTH($F216)) / 12),
  0)</f>
        <v/>
      </c>
      <c r="AI216" s="299">
        <f>IF(AND($F216&lt;=AI$2, OR($G216="",$G216&gt;=AI$2)),
  $H216 * (1 + Assumptions!$C$7) ^ INT(((YEAR(AI$2)-YEAR($F216))*12 + MONTH(AI$2)-MONTH($F216)) / 12),
  0)</f>
        <v/>
      </c>
      <c r="AJ216" s="299">
        <f>IF(AND($F216&lt;=AJ$2, OR($G216="",$G216&gt;=AJ$2)),
  $H216 * (1 + Assumptions!$C$7) ^ INT(((YEAR(AJ$2)-YEAR($F216))*12 + MONTH(AJ$2)-MONTH($F216)) / 12),
  0)</f>
        <v/>
      </c>
      <c r="AK216" s="299">
        <f>IF(AND($F216&lt;=AK$2, OR($G216="",$G216&gt;=AK$2)),
  $H216 * (1 + Assumptions!$C$7) ^ INT(((YEAR(AK$2)-YEAR($F216))*12 + MONTH(AK$2)-MONTH($F216)) / 12),
  0)</f>
        <v/>
      </c>
      <c r="AL216" s="299">
        <f>IF(AND($F216&lt;=AL$2, OR($G216="",$G216&gt;=AL$2)),
  $H216 * (1 + Assumptions!$C$7) ^ INT(((YEAR(AL$2)-YEAR($F216))*12 + MONTH(AL$2)-MONTH($F216)) / 12),
  0)</f>
        <v/>
      </c>
      <c r="AM216" s="299">
        <f>IF(AND($F216&lt;=AM$2, OR($G216="",$G216&gt;=AM$2)),
  $H216 * (1 + Assumptions!$C$7) ^ INT(((YEAR(AM$2)-YEAR($F216))*12 + MONTH(AM$2)-MONTH($F216)) / 12),
  0)</f>
        <v/>
      </c>
      <c r="AN216" s="299">
        <f>IF(AND($F216&lt;=AN$2, OR($G216="",$G216&gt;=AN$2)),
  $H216 * (1 + Assumptions!$C$7) ^ INT(((YEAR(AN$2)-YEAR($F216))*12 + MONTH(AN$2)-MONTH($F216)) / 12),
  0)</f>
        <v/>
      </c>
      <c r="AO216" s="299">
        <f>IF(AND($F216&lt;=AO$2, OR($G216="",$G216&gt;=AO$2)),
  $H216 * (1 + Assumptions!$C$7) ^ INT(((YEAR(AO$2)-YEAR($F216))*12 + MONTH(AO$2)-MONTH($F216)) / 12),
  0)</f>
        <v/>
      </c>
      <c r="AP216" s="299">
        <f>IF(AND($F216&lt;=AP$2, OR($G216="",$G216&gt;=AP$2)),
  $H216 * (1 + Assumptions!$C$7) ^ INT(((YEAR(AP$2)-YEAR($F216))*12 + MONTH(AP$2)-MONTH($F216)) / 12),
  0)</f>
        <v/>
      </c>
      <c r="AQ216" s="299">
        <f>IF(AND($F216&lt;=AQ$2, OR($G216="",$G216&gt;=AQ$2)),
  $H216 * (1 + Assumptions!$C$7) ^ INT(((YEAR(AQ$2)-YEAR($F216))*12 + MONTH(AQ$2)-MONTH($F216)) / 12),
  0)</f>
        <v/>
      </c>
      <c r="AR216" s="299">
        <f>IF(AND($F216&lt;=AR$2, OR($G216="",$G216&gt;=AR$2)),
  $H216 * (1 + Assumptions!$C$7) ^ INT(((YEAR(AR$2)-YEAR($F216))*12 + MONTH(AR$2)-MONTH($F216)) / 12),
  0)</f>
        <v/>
      </c>
      <c r="AS216" s="299">
        <f>IF(AND($F216&lt;=AS$2, OR($G216="",$G216&gt;=AS$2)),
  $H216 * (1 + Assumptions!$C$7) ^ INT(((YEAR(AS$2)-YEAR($F216))*12 + MONTH(AS$2)-MONTH($F216)) / 12),
  0)</f>
        <v/>
      </c>
      <c r="AT216" s="299">
        <f>IF(AND($F216&lt;=AT$2, OR($G216="",$G216&gt;=AT$2)),
  $H216 * (1 + Assumptions!$C$7) ^ INT(((YEAR(AT$2)-YEAR($F216))*12 + MONTH(AT$2)-MONTH($F216)) / 12),
  0)</f>
        <v/>
      </c>
      <c r="AU216" s="299">
        <f>IF(AND($F216&lt;=AU$2, OR($G216="",$G216&gt;=AU$2)),
  $H216 * (1 + Assumptions!$C$7) ^ INT(((YEAR(AU$2)-YEAR($F216))*12 + MONTH(AU$2)-MONTH($F216)) / 12),
  0)</f>
        <v/>
      </c>
      <c r="AV216" s="299">
        <f>IF(AND($F216&lt;=AV$2, OR($G216="",$G216&gt;=AV$2)),
  $H216 * (1 + Assumptions!$C$7) ^ INT(((YEAR(AV$2)-YEAR($F216))*12 + MONTH(AV$2)-MONTH($F216)) / 12),
  0)</f>
        <v/>
      </c>
      <c r="AW216" s="299">
        <f>IF(AND($F216&lt;=AW$2, OR($G216="",$G216&gt;=AW$2)),
  $H216 * (1 + Assumptions!$C$7) ^ INT(((YEAR(AW$2)-YEAR($F216))*12 + MONTH(AW$2)-MONTH($F216)) / 12),
  0)</f>
        <v/>
      </c>
      <c r="AX216" s="299">
        <f>IF(AND($F216&lt;=AX$2, OR($G216="",$G216&gt;=AX$2)),
  $H216 * (1 + Assumptions!$C$7) ^ INT(((YEAR(AX$2)-YEAR($F216))*12 + MONTH(AX$2)-MONTH($F216)) / 12),
  0)</f>
        <v/>
      </c>
      <c r="AY216" s="299">
        <f>IF(AND($F216&lt;=AY$2, OR($G216="",$G216&gt;=AY$2)),
  $H216 * (1 + Assumptions!$C$7) ^ INT(((YEAR(AY$2)-YEAR($F216))*12 + MONTH(AY$2)-MONTH($F216)) / 12),
  0)</f>
        <v/>
      </c>
      <c r="AZ216" s="299">
        <f>IF(AND($F216&lt;=AZ$2, OR($G216="",$G216&gt;=AZ$2)),
  $H216 * (1 + Assumptions!$C$7) ^ INT(((YEAR(AZ$2)-YEAR($F216))*12 + MONTH(AZ$2)-MONTH($F216)) / 12),
  0)</f>
        <v/>
      </c>
      <c r="BA216" s="299">
        <f>IF(AND($F216&lt;=BA$2, OR($G216="",$G216&gt;=BA$2)),
  $H216 * (1 + Assumptions!$C$7) ^ INT(((YEAR(BA$2)-YEAR($F216))*12 + MONTH(BA$2)-MONTH($F216)) / 12),
  0)</f>
        <v/>
      </c>
      <c r="BB216" s="299">
        <f>IF(AND($F216&lt;=BB$2, OR($G216="",$G216&gt;=BB$2)),
  $H216 * (1 + Assumptions!$C$7) ^ INT(((YEAR(BB$2)-YEAR($F216))*12 + MONTH(BB$2)-MONTH($F216)) / 12),
  0)</f>
        <v/>
      </c>
      <c r="BC216" s="299">
        <f>IF(AND($F216&lt;=BC$2, OR($G216="",$G216&gt;=BC$2)),
  $H216 * (1 + Assumptions!$C$7) ^ INT(((YEAR(BC$2)-YEAR($F216))*12 + MONTH(BC$2)-MONTH($F216)) / 12),
  0)</f>
        <v/>
      </c>
      <c r="BD216" s="299">
        <f>IF(AND($F216&lt;=BD$2, OR($G216="",$G216&gt;=BD$2)),
  $H216 * (1 + Assumptions!$C$7) ^ INT(((YEAR(BD$2)-YEAR($F216))*12 + MONTH(BD$2)-MONTH($F216)) / 12),
  0)</f>
        <v/>
      </c>
      <c r="BE216" s="299">
        <f>IF(AND($F216&lt;=BE$2, OR($G216="",$G216&gt;=BE$2)),
  $H216 * (1 + Assumptions!$C$7) ^ INT(((YEAR(BE$2)-YEAR($F216))*12 + MONTH(BE$2)-MONTH($F216)) / 12),
  0)</f>
        <v/>
      </c>
      <c r="BF216" s="299">
        <f>IF(AND($F216&lt;=BF$2, OR($G216="",$G216&gt;=BF$2)),
  $H216 * (1 + Assumptions!$C$7) ^ INT(((YEAR(BF$2)-YEAR($F216))*12 + MONTH(BF$2)-MONTH($F216)) / 12),
  0)</f>
        <v/>
      </c>
      <c r="BG216" s="299">
        <f>IF(AND($F216&lt;=BG$2, OR($G216="",$G216&gt;=BG$2)),
  $H216 * (1 + Assumptions!$C$7) ^ INT(((YEAR(BG$2)-YEAR($F216))*12 + MONTH(BG$2)-MONTH($F216)) / 12),
  0)</f>
        <v/>
      </c>
      <c r="BH216" s="299">
        <f>IF(AND($F216&lt;=BH$2, OR($G216="",$G216&gt;=BH$2)),
  $H216 * (1 + Assumptions!$C$7) ^ INT(((YEAR(BH$2)-YEAR($F216))*12 + MONTH(BH$2)-MONTH($F216)) / 12),
  0)</f>
        <v/>
      </c>
      <c r="BI216" s="299">
        <f>IF(AND($F216&lt;=BI$2, OR($G216="",$G216&gt;=BI$2)),
  $H216 * (1 + Assumptions!$C$7) ^ INT(((YEAR(BI$2)-YEAR($F216))*12 + MONTH(BI$2)-MONTH($F216)) / 12),
  0)</f>
        <v/>
      </c>
      <c r="BJ216" s="299">
        <f>IF(AND($F216&lt;=BJ$2, OR($G216="",$G216&gt;=BJ$2)),
  $H216 * (1 + Assumptions!$C$7) ^ INT(((YEAR(BJ$2)-YEAR($F216))*12 + MONTH(BJ$2)-MONTH($F216)) / 12),
  0)</f>
        <v/>
      </c>
      <c r="BK216" s="299">
        <f>IF(AND($F216&lt;=BK$2, OR($G216="",$G216&gt;=BK$2)),
  $H216 * (1 + Assumptions!$C$7) ^ INT(((YEAR(BK$2)-YEAR($F216))*12 + MONTH(BK$2)-MONTH($F216)) / 12),
  0)</f>
        <v/>
      </c>
      <c r="BL216" s="299">
        <f>IF(AND($F216&lt;=BL$2, OR($G216="",$G216&gt;=BL$2)),
  $H216 * (1 + Assumptions!$C$7) ^ INT(((YEAR(BL$2)-YEAR($F216))*12 + MONTH(BL$2)-MONTH($F216)) / 12),
  0)</f>
        <v/>
      </c>
      <c r="BM216" s="299">
        <f>IF(AND($F216&lt;=BM$2, OR($G216="",$G216&gt;=BM$2)),
  $H216 * (1 + Assumptions!$C$7) ^ INT(((YEAR(BM$2)-YEAR($F216))*12 + MONTH(BM$2)-MONTH($F216)) / 12),
  0)</f>
        <v/>
      </c>
      <c r="BN216" s="299">
        <f>IF(AND($F216&lt;=BN$2, OR($G216="",$G216&gt;=BN$2)),
  $H216 * (1 + Assumptions!$C$7) ^ INT(((YEAR(BN$2)-YEAR($F216))*12 + MONTH(BN$2)-MONTH($F216)) / 12),
  0)</f>
        <v/>
      </c>
      <c r="BO216" s="299">
        <f>IF(AND($F216&lt;=BO$2, OR($G216="",$G216&gt;=BO$2)),
  $H216 * (1 + Assumptions!$C$7) ^ INT(((YEAR(BO$2)-YEAR($F216))*12 + MONTH(BO$2)-MONTH($F216)) / 12),
  0)</f>
        <v/>
      </c>
      <c r="BP216" s="299">
        <f>IF(AND($F216&lt;=BP$2, OR($G216="",$G216&gt;=BP$2)),
  $H216 * (1 + Assumptions!$C$7) ^ INT(((YEAR(BP$2)-YEAR($F216))*12 + MONTH(BP$2)-MONTH($F216)) / 12),
  0)</f>
        <v/>
      </c>
      <c r="BQ216" s="31" t="n"/>
      <c r="BR216" s="31" t="n"/>
      <c r="BS216" s="31" t="n"/>
      <c r="BT216" s="31" t="n"/>
    </row>
    <row r="217" ht="15.75" customHeight="1" s="349">
      <c r="A217" s="321" t="n">
        <v>212</v>
      </c>
      <c r="B217" s="285" t="inlineStr">
        <is>
          <t>New hire</t>
        </is>
      </c>
      <c r="C217" s="317" t="inlineStr">
        <is>
          <t>R&amp;D</t>
        </is>
      </c>
      <c r="D217" s="317" t="inlineStr">
        <is>
          <t>R&amp;D Engineer</t>
        </is>
      </c>
      <c r="E217" s="297" t="inlineStr">
        <is>
          <t>Planned</t>
        </is>
      </c>
      <c r="F217" s="318">
        <f>IF(Assumptions!$D$82=2,DATE(2028,1,1),DATE(2035,1,1))</f>
        <v/>
      </c>
      <c r="G217" s="318" t="n"/>
      <c r="H217" s="288" t="n">
        <v>8000</v>
      </c>
      <c r="I217" s="299">
        <f>IF(AND($F217&lt;=I$2, OR($G217="",$G217&gt;=I$2)),
  $H217 * (1 + Assumptions!$C$7) ^ INT(((YEAR(I$2)-YEAR($F217))*12 + MONTH(I$2)-MONTH($F217)) / 12),
  0)</f>
        <v/>
      </c>
      <c r="J217" s="299">
        <f>IF(AND($F217&lt;=J$2, OR($G217="",$G217&gt;=J$2)),
  $H217 * (1 + Assumptions!$C$7) ^ INT(((YEAR(J$2)-YEAR($F217))*12 + MONTH(J$2)-MONTH($F217)) / 12),
  0)</f>
        <v/>
      </c>
      <c r="K217" s="299">
        <f>IF(AND($F217&lt;=K$2, OR($G217="",$G217&gt;=K$2)),
  $H217 * (1 + Assumptions!$C$7) ^ INT(((YEAR(K$2)-YEAR($F217))*12 + MONTH(K$2)-MONTH($F217)) / 12),
  0)</f>
        <v/>
      </c>
      <c r="L217" s="299">
        <f>IF(AND($F217&lt;=L$2, OR($G217="",$G217&gt;=L$2)),
  $H217 * (1 + Assumptions!$C$7) ^ INT(((YEAR(L$2)-YEAR($F217))*12 + MONTH(L$2)-MONTH($F217)) / 12),
  0)</f>
        <v/>
      </c>
      <c r="M217" s="299">
        <f>IF(AND($F217&lt;=M$2, OR($G217="",$G217&gt;=M$2)),
  $H217 * (1 + Assumptions!$C$7) ^ INT(((YEAR(M$2)-YEAR($F217))*12 + MONTH(M$2)-MONTH($F217)) / 12),
  0)</f>
        <v/>
      </c>
      <c r="N217" s="299">
        <f>IF(AND($F217&lt;=N$2, OR($G217="",$G217&gt;=N$2)),
  $H217 * (1 + Assumptions!$C$7) ^ INT(((YEAR(N$2)-YEAR($F217))*12 + MONTH(N$2)-MONTH($F217)) / 12),
  0)</f>
        <v/>
      </c>
      <c r="O217" s="299">
        <f>IF(AND($F217&lt;=O$2, OR($G217="",$G217&gt;=O$2)),
  $H217 * (1 + Assumptions!$C$7) ^ INT(((YEAR(O$2)-YEAR($F217))*12 + MONTH(O$2)-MONTH($F217)) / 12),
  0)</f>
        <v/>
      </c>
      <c r="P217" s="299">
        <f>IF(AND($F217&lt;=P$2, OR($G217="",$G217&gt;=P$2)),
  $H217 * (1 + Assumptions!$C$7) ^ INT(((YEAR(P$2)-YEAR($F217))*12 + MONTH(P$2)-MONTH($F217)) / 12),
  0)</f>
        <v/>
      </c>
      <c r="Q217" s="299">
        <f>IF(AND($F217&lt;=Q$2, OR($G217="",$G217&gt;=Q$2)),
  $H217 * (1 + Assumptions!$C$7) ^ INT(((YEAR(Q$2)-YEAR($F217))*12 + MONTH(Q$2)-MONTH($F217)) / 12),
  0)</f>
        <v/>
      </c>
      <c r="R217" s="299">
        <f>IF(AND($F217&lt;=R$2, OR($G217="",$G217&gt;=R$2)),
  $H217 * (1 + Assumptions!$C$7) ^ INT(((YEAR(R$2)-YEAR($F217))*12 + MONTH(R$2)-MONTH($F217)) / 12),
  0)</f>
        <v/>
      </c>
      <c r="S217" s="299">
        <f>IF(AND($F217&lt;=S$2, OR($G217="",$G217&gt;=S$2)),
  $H217 * (1 + Assumptions!$C$7) ^ INT(((YEAR(S$2)-YEAR($F217))*12 + MONTH(S$2)-MONTH($F217)) / 12),
  0)</f>
        <v/>
      </c>
      <c r="T217" s="299">
        <f>IF(AND($F217&lt;=T$2, OR($G217="",$G217&gt;=T$2)),
  $H217 * (1 + Assumptions!$C$7) ^ INT(((YEAR(T$2)-YEAR($F217))*12 + MONTH(T$2)-MONTH($F217)) / 12),
  0)</f>
        <v/>
      </c>
      <c r="U217" s="299">
        <f>IF(AND($F217&lt;=U$2, OR($G217="",$G217&gt;=U$2)),
  $H217 * (1 + Assumptions!$C$7) ^ INT(((YEAR(U$2)-YEAR($F217))*12 + MONTH(U$2)-MONTH($F217)) / 12),
  0)</f>
        <v/>
      </c>
      <c r="V217" s="299">
        <f>IF(AND($F217&lt;=V$2, OR($G217="",$G217&gt;=V$2)),
  $H217 * (1 + Assumptions!$C$7) ^ INT(((YEAR(V$2)-YEAR($F217))*12 + MONTH(V$2)-MONTH($F217)) / 12),
  0)</f>
        <v/>
      </c>
      <c r="W217" s="299">
        <f>IF(AND($F217&lt;=W$2, OR($G217="",$G217&gt;=W$2)),
  $H217 * (1 + Assumptions!$C$7) ^ INT(((YEAR(W$2)-YEAR($F217))*12 + MONTH(W$2)-MONTH($F217)) / 12),
  0)</f>
        <v/>
      </c>
      <c r="X217" s="299">
        <f>IF(AND($F217&lt;=X$2, OR($G217="",$G217&gt;=X$2)),
  $H217 * (1 + Assumptions!$C$7) ^ INT(((YEAR(X$2)-YEAR($F217))*12 + MONTH(X$2)-MONTH($F217)) / 12),
  0)</f>
        <v/>
      </c>
      <c r="Y217" s="299">
        <f>IF(AND($F217&lt;=Y$2, OR($G217="",$G217&gt;=Y$2)),
  $H217 * (1 + Assumptions!$C$7) ^ INT(((YEAR(Y$2)-YEAR($F217))*12 + MONTH(Y$2)-MONTH($F217)) / 12),
  0)</f>
        <v/>
      </c>
      <c r="Z217" s="299">
        <f>IF(AND($F217&lt;=Z$2, OR($G217="",$G217&gt;=Z$2)),
  $H217 * (1 + Assumptions!$C$7) ^ INT(((YEAR(Z$2)-YEAR($F217))*12 + MONTH(Z$2)-MONTH($F217)) / 12),
  0)</f>
        <v/>
      </c>
      <c r="AA217" s="299">
        <f>IF(AND($F217&lt;=AA$2, OR($G217="",$G217&gt;=AA$2)),
  $H217 * (1 + Assumptions!$C$7) ^ INT(((YEAR(AA$2)-YEAR($F217))*12 + MONTH(AA$2)-MONTH($F217)) / 12),
  0)</f>
        <v/>
      </c>
      <c r="AB217" s="299">
        <f>IF(AND($F217&lt;=AB$2, OR($G217="",$G217&gt;=AB$2)),
  $H217 * (1 + Assumptions!$C$7) ^ INT(((YEAR(AB$2)-YEAR($F217))*12 + MONTH(AB$2)-MONTH($F217)) / 12),
  0)</f>
        <v/>
      </c>
      <c r="AC217" s="299">
        <f>IF(AND($F217&lt;=AC$2, OR($G217="",$G217&gt;=AC$2)),
  $H217 * (1 + Assumptions!$C$7) ^ INT(((YEAR(AC$2)-YEAR($F217))*12 + MONTH(AC$2)-MONTH($F217)) / 12),
  0)</f>
        <v/>
      </c>
      <c r="AD217" s="299">
        <f>IF(AND($F217&lt;=AD$2, OR($G217="",$G217&gt;=AD$2)),
  $H217 * (1 + Assumptions!$C$7) ^ INT(((YEAR(AD$2)-YEAR($F217))*12 + MONTH(AD$2)-MONTH($F217)) / 12),
  0)</f>
        <v/>
      </c>
      <c r="AE217" s="299">
        <f>IF(AND($F217&lt;=AE$2, OR($G217="",$G217&gt;=AE$2)),
  $H217 * (1 + Assumptions!$C$7) ^ INT(((YEAR(AE$2)-YEAR($F217))*12 + MONTH(AE$2)-MONTH($F217)) / 12),
  0)</f>
        <v/>
      </c>
      <c r="AF217" s="299">
        <f>IF(AND($F217&lt;=AF$2, OR($G217="",$G217&gt;=AF$2)),
  $H217 * (1 + Assumptions!$C$7) ^ INT(((YEAR(AF$2)-YEAR($F217))*12 + MONTH(AF$2)-MONTH($F217)) / 12),
  0)</f>
        <v/>
      </c>
      <c r="AG217" s="299">
        <f>IF(AND($F217&lt;=AG$2, OR($G217="",$G217&gt;=AG$2)),
  $H217 * (1 + Assumptions!$C$7) ^ INT(((YEAR(AG$2)-YEAR($F217))*12 + MONTH(AG$2)-MONTH($F217)) / 12),
  0)</f>
        <v/>
      </c>
      <c r="AH217" s="299">
        <f>IF(AND($F217&lt;=AH$2, OR($G217="",$G217&gt;=AH$2)),
  $H217 * (1 + Assumptions!$C$7) ^ INT(((YEAR(AH$2)-YEAR($F217))*12 + MONTH(AH$2)-MONTH($F217)) / 12),
  0)</f>
        <v/>
      </c>
      <c r="AI217" s="299">
        <f>IF(AND($F217&lt;=AI$2, OR($G217="",$G217&gt;=AI$2)),
  $H217 * (1 + Assumptions!$C$7) ^ INT(((YEAR(AI$2)-YEAR($F217))*12 + MONTH(AI$2)-MONTH($F217)) / 12),
  0)</f>
        <v/>
      </c>
      <c r="AJ217" s="299">
        <f>IF(AND($F217&lt;=AJ$2, OR($G217="",$G217&gt;=AJ$2)),
  $H217 * (1 + Assumptions!$C$7) ^ INT(((YEAR(AJ$2)-YEAR($F217))*12 + MONTH(AJ$2)-MONTH($F217)) / 12),
  0)</f>
        <v/>
      </c>
      <c r="AK217" s="299">
        <f>IF(AND($F217&lt;=AK$2, OR($G217="",$G217&gt;=AK$2)),
  $H217 * (1 + Assumptions!$C$7) ^ INT(((YEAR(AK$2)-YEAR($F217))*12 + MONTH(AK$2)-MONTH($F217)) / 12),
  0)</f>
        <v/>
      </c>
      <c r="AL217" s="299">
        <f>IF(AND($F217&lt;=AL$2, OR($G217="",$G217&gt;=AL$2)),
  $H217 * (1 + Assumptions!$C$7) ^ INT(((YEAR(AL$2)-YEAR($F217))*12 + MONTH(AL$2)-MONTH($F217)) / 12),
  0)</f>
        <v/>
      </c>
      <c r="AM217" s="299">
        <f>IF(AND($F217&lt;=AM$2, OR($G217="",$G217&gt;=AM$2)),
  $H217 * (1 + Assumptions!$C$7) ^ INT(((YEAR(AM$2)-YEAR($F217))*12 + MONTH(AM$2)-MONTH($F217)) / 12),
  0)</f>
        <v/>
      </c>
      <c r="AN217" s="299">
        <f>IF(AND($F217&lt;=AN$2, OR($G217="",$G217&gt;=AN$2)),
  $H217 * (1 + Assumptions!$C$7) ^ INT(((YEAR(AN$2)-YEAR($F217))*12 + MONTH(AN$2)-MONTH($F217)) / 12),
  0)</f>
        <v/>
      </c>
      <c r="AO217" s="299">
        <f>IF(AND($F217&lt;=AO$2, OR($G217="",$G217&gt;=AO$2)),
  $H217 * (1 + Assumptions!$C$7) ^ INT(((YEAR(AO$2)-YEAR($F217))*12 + MONTH(AO$2)-MONTH($F217)) / 12),
  0)</f>
        <v/>
      </c>
      <c r="AP217" s="299">
        <f>IF(AND($F217&lt;=AP$2, OR($G217="",$G217&gt;=AP$2)),
  $H217 * (1 + Assumptions!$C$7) ^ INT(((YEAR(AP$2)-YEAR($F217))*12 + MONTH(AP$2)-MONTH($F217)) / 12),
  0)</f>
        <v/>
      </c>
      <c r="AQ217" s="299">
        <f>IF(AND($F217&lt;=AQ$2, OR($G217="",$G217&gt;=AQ$2)),
  $H217 * (1 + Assumptions!$C$7) ^ INT(((YEAR(AQ$2)-YEAR($F217))*12 + MONTH(AQ$2)-MONTH($F217)) / 12),
  0)</f>
        <v/>
      </c>
      <c r="AR217" s="299">
        <f>IF(AND($F217&lt;=AR$2, OR($G217="",$G217&gt;=AR$2)),
  $H217 * (1 + Assumptions!$C$7) ^ INT(((YEAR(AR$2)-YEAR($F217))*12 + MONTH(AR$2)-MONTH($F217)) / 12),
  0)</f>
        <v/>
      </c>
      <c r="AS217" s="299">
        <f>IF(AND($F217&lt;=AS$2, OR($G217="",$G217&gt;=AS$2)),
  $H217 * (1 + Assumptions!$C$7) ^ INT(((YEAR(AS$2)-YEAR($F217))*12 + MONTH(AS$2)-MONTH($F217)) / 12),
  0)</f>
        <v/>
      </c>
      <c r="AT217" s="299">
        <f>IF(AND($F217&lt;=AT$2, OR($G217="",$G217&gt;=AT$2)),
  $H217 * (1 + Assumptions!$C$7) ^ INT(((YEAR(AT$2)-YEAR($F217))*12 + MONTH(AT$2)-MONTH($F217)) / 12),
  0)</f>
        <v/>
      </c>
      <c r="AU217" s="299">
        <f>IF(AND($F217&lt;=AU$2, OR($G217="",$G217&gt;=AU$2)),
  $H217 * (1 + Assumptions!$C$7) ^ INT(((YEAR(AU$2)-YEAR($F217))*12 + MONTH(AU$2)-MONTH($F217)) / 12),
  0)</f>
        <v/>
      </c>
      <c r="AV217" s="299">
        <f>IF(AND($F217&lt;=AV$2, OR($G217="",$G217&gt;=AV$2)),
  $H217 * (1 + Assumptions!$C$7) ^ INT(((YEAR(AV$2)-YEAR($F217))*12 + MONTH(AV$2)-MONTH($F217)) / 12),
  0)</f>
        <v/>
      </c>
      <c r="AW217" s="299">
        <f>IF(AND($F217&lt;=AW$2, OR($G217="",$G217&gt;=AW$2)),
  $H217 * (1 + Assumptions!$C$7) ^ INT(((YEAR(AW$2)-YEAR($F217))*12 + MONTH(AW$2)-MONTH($F217)) / 12),
  0)</f>
        <v/>
      </c>
      <c r="AX217" s="299">
        <f>IF(AND($F217&lt;=AX$2, OR($G217="",$G217&gt;=AX$2)),
  $H217 * (1 + Assumptions!$C$7) ^ INT(((YEAR(AX$2)-YEAR($F217))*12 + MONTH(AX$2)-MONTH($F217)) / 12),
  0)</f>
        <v/>
      </c>
      <c r="AY217" s="299">
        <f>IF(AND($F217&lt;=AY$2, OR($G217="",$G217&gt;=AY$2)),
  $H217 * (1 + Assumptions!$C$7) ^ INT(((YEAR(AY$2)-YEAR($F217))*12 + MONTH(AY$2)-MONTH($F217)) / 12),
  0)</f>
        <v/>
      </c>
      <c r="AZ217" s="299">
        <f>IF(AND($F217&lt;=AZ$2, OR($G217="",$G217&gt;=AZ$2)),
  $H217 * (1 + Assumptions!$C$7) ^ INT(((YEAR(AZ$2)-YEAR($F217))*12 + MONTH(AZ$2)-MONTH($F217)) / 12),
  0)</f>
        <v/>
      </c>
      <c r="BA217" s="299">
        <f>IF(AND($F217&lt;=BA$2, OR($G217="",$G217&gt;=BA$2)),
  $H217 * (1 + Assumptions!$C$7) ^ INT(((YEAR(BA$2)-YEAR($F217))*12 + MONTH(BA$2)-MONTH($F217)) / 12),
  0)</f>
        <v/>
      </c>
      <c r="BB217" s="299">
        <f>IF(AND($F217&lt;=BB$2, OR($G217="",$G217&gt;=BB$2)),
  $H217 * (1 + Assumptions!$C$7) ^ INT(((YEAR(BB$2)-YEAR($F217))*12 + MONTH(BB$2)-MONTH($F217)) / 12),
  0)</f>
        <v/>
      </c>
      <c r="BC217" s="299">
        <f>IF(AND($F217&lt;=BC$2, OR($G217="",$G217&gt;=BC$2)),
  $H217 * (1 + Assumptions!$C$7) ^ INT(((YEAR(BC$2)-YEAR($F217))*12 + MONTH(BC$2)-MONTH($F217)) / 12),
  0)</f>
        <v/>
      </c>
      <c r="BD217" s="299">
        <f>IF(AND($F217&lt;=BD$2, OR($G217="",$G217&gt;=BD$2)),
  $H217 * (1 + Assumptions!$C$7) ^ INT(((YEAR(BD$2)-YEAR($F217))*12 + MONTH(BD$2)-MONTH($F217)) / 12),
  0)</f>
        <v/>
      </c>
      <c r="BE217" s="299">
        <f>IF(AND($F217&lt;=BE$2, OR($G217="",$G217&gt;=BE$2)),
  $H217 * (1 + Assumptions!$C$7) ^ INT(((YEAR(BE$2)-YEAR($F217))*12 + MONTH(BE$2)-MONTH($F217)) / 12),
  0)</f>
        <v/>
      </c>
      <c r="BF217" s="299">
        <f>IF(AND($F217&lt;=BF$2, OR($G217="",$G217&gt;=BF$2)),
  $H217 * (1 + Assumptions!$C$7) ^ INT(((YEAR(BF$2)-YEAR($F217))*12 + MONTH(BF$2)-MONTH($F217)) / 12),
  0)</f>
        <v/>
      </c>
      <c r="BG217" s="299">
        <f>IF(AND($F217&lt;=BG$2, OR($G217="",$G217&gt;=BG$2)),
  $H217 * (1 + Assumptions!$C$7) ^ INT(((YEAR(BG$2)-YEAR($F217))*12 + MONTH(BG$2)-MONTH($F217)) / 12),
  0)</f>
        <v/>
      </c>
      <c r="BH217" s="299">
        <f>IF(AND($F217&lt;=BH$2, OR($G217="",$G217&gt;=BH$2)),
  $H217 * (1 + Assumptions!$C$7) ^ INT(((YEAR(BH$2)-YEAR($F217))*12 + MONTH(BH$2)-MONTH($F217)) / 12),
  0)</f>
        <v/>
      </c>
      <c r="BI217" s="299">
        <f>IF(AND($F217&lt;=BI$2, OR($G217="",$G217&gt;=BI$2)),
  $H217 * (1 + Assumptions!$C$7) ^ INT(((YEAR(BI$2)-YEAR($F217))*12 + MONTH(BI$2)-MONTH($F217)) / 12),
  0)</f>
        <v/>
      </c>
      <c r="BJ217" s="299">
        <f>IF(AND($F217&lt;=BJ$2, OR($G217="",$G217&gt;=BJ$2)),
  $H217 * (1 + Assumptions!$C$7) ^ INT(((YEAR(BJ$2)-YEAR($F217))*12 + MONTH(BJ$2)-MONTH($F217)) / 12),
  0)</f>
        <v/>
      </c>
      <c r="BK217" s="299">
        <f>IF(AND($F217&lt;=BK$2, OR($G217="",$G217&gt;=BK$2)),
  $H217 * (1 + Assumptions!$C$7) ^ INT(((YEAR(BK$2)-YEAR($F217))*12 + MONTH(BK$2)-MONTH($F217)) / 12),
  0)</f>
        <v/>
      </c>
      <c r="BL217" s="299">
        <f>IF(AND($F217&lt;=BL$2, OR($G217="",$G217&gt;=BL$2)),
  $H217 * (1 + Assumptions!$C$7) ^ INT(((YEAR(BL$2)-YEAR($F217))*12 + MONTH(BL$2)-MONTH($F217)) / 12),
  0)</f>
        <v/>
      </c>
      <c r="BM217" s="299">
        <f>IF(AND($F217&lt;=BM$2, OR($G217="",$G217&gt;=BM$2)),
  $H217 * (1 + Assumptions!$C$7) ^ INT(((YEAR(BM$2)-YEAR($F217))*12 + MONTH(BM$2)-MONTH($F217)) / 12),
  0)</f>
        <v/>
      </c>
      <c r="BN217" s="299">
        <f>IF(AND($F217&lt;=BN$2, OR($G217="",$G217&gt;=BN$2)),
  $H217 * (1 + Assumptions!$C$7) ^ INT(((YEAR(BN$2)-YEAR($F217))*12 + MONTH(BN$2)-MONTH($F217)) / 12),
  0)</f>
        <v/>
      </c>
      <c r="BO217" s="299">
        <f>IF(AND($F217&lt;=BO$2, OR($G217="",$G217&gt;=BO$2)),
  $H217 * (1 + Assumptions!$C$7) ^ INT(((YEAR(BO$2)-YEAR($F217))*12 + MONTH(BO$2)-MONTH($F217)) / 12),
  0)</f>
        <v/>
      </c>
      <c r="BP217" s="299">
        <f>IF(AND($F217&lt;=BP$2, OR($G217="",$G217&gt;=BP$2)),
  $H217 * (1 + Assumptions!$C$7) ^ INT(((YEAR(BP$2)-YEAR($F217))*12 + MONTH(BP$2)-MONTH($F217)) / 12),
  0)</f>
        <v/>
      </c>
      <c r="BQ217" s="31" t="n"/>
      <c r="BR217" s="31" t="n"/>
      <c r="BS217" s="31" t="n"/>
      <c r="BT217" s="31" t="n"/>
    </row>
    <row r="218" ht="15.75" customHeight="1" s="349">
      <c r="A218" s="321" t="n">
        <v>213</v>
      </c>
      <c r="B218" s="285" t="inlineStr">
        <is>
          <t>New hire</t>
        </is>
      </c>
      <c r="C218" s="317" t="inlineStr">
        <is>
          <t>R&amp;D</t>
        </is>
      </c>
      <c r="D218" s="317" t="inlineStr">
        <is>
          <t>R&amp;D Engineer</t>
        </is>
      </c>
      <c r="E218" s="297" t="inlineStr">
        <is>
          <t>Planned</t>
        </is>
      </c>
      <c r="F218" s="318">
        <f>IF(Assumptions!$D$82=2,DATE(2028,1,1),DATE(2035,1,1))</f>
        <v/>
      </c>
      <c r="G218" s="318" t="n"/>
      <c r="H218" s="288" t="n">
        <v>8000</v>
      </c>
      <c r="I218" s="299">
        <f>IF(AND($F218&lt;=I$2, OR($G218="",$G218&gt;=I$2)),
  $H218 * (1 + Assumptions!$C$7) ^ INT(((YEAR(I$2)-YEAR($F218))*12 + MONTH(I$2)-MONTH($F218)) / 12),
  0)</f>
        <v/>
      </c>
      <c r="J218" s="299">
        <f>IF(AND($F218&lt;=J$2, OR($G218="",$G218&gt;=J$2)),
  $H218 * (1 + Assumptions!$C$7) ^ INT(((YEAR(J$2)-YEAR($F218))*12 + MONTH(J$2)-MONTH($F218)) / 12),
  0)</f>
        <v/>
      </c>
      <c r="K218" s="299">
        <f>IF(AND($F218&lt;=K$2, OR($G218="",$G218&gt;=K$2)),
  $H218 * (1 + Assumptions!$C$7) ^ INT(((YEAR(K$2)-YEAR($F218))*12 + MONTH(K$2)-MONTH($F218)) / 12),
  0)</f>
        <v/>
      </c>
      <c r="L218" s="299">
        <f>IF(AND($F218&lt;=L$2, OR($G218="",$G218&gt;=L$2)),
  $H218 * (1 + Assumptions!$C$7) ^ INT(((YEAR(L$2)-YEAR($F218))*12 + MONTH(L$2)-MONTH($F218)) / 12),
  0)</f>
        <v/>
      </c>
      <c r="M218" s="299">
        <f>IF(AND($F218&lt;=M$2, OR($G218="",$G218&gt;=M$2)),
  $H218 * (1 + Assumptions!$C$7) ^ INT(((YEAR(M$2)-YEAR($F218))*12 + MONTH(M$2)-MONTH($F218)) / 12),
  0)</f>
        <v/>
      </c>
      <c r="N218" s="299">
        <f>IF(AND($F218&lt;=N$2, OR($G218="",$G218&gt;=N$2)),
  $H218 * (1 + Assumptions!$C$7) ^ INT(((YEAR(N$2)-YEAR($F218))*12 + MONTH(N$2)-MONTH($F218)) / 12),
  0)</f>
        <v/>
      </c>
      <c r="O218" s="299">
        <f>IF(AND($F218&lt;=O$2, OR($G218="",$G218&gt;=O$2)),
  $H218 * (1 + Assumptions!$C$7) ^ INT(((YEAR(O$2)-YEAR($F218))*12 + MONTH(O$2)-MONTH($F218)) / 12),
  0)</f>
        <v/>
      </c>
      <c r="P218" s="299">
        <f>IF(AND($F218&lt;=P$2, OR($G218="",$G218&gt;=P$2)),
  $H218 * (1 + Assumptions!$C$7) ^ INT(((YEAR(P$2)-YEAR($F218))*12 + MONTH(P$2)-MONTH($F218)) / 12),
  0)</f>
        <v/>
      </c>
      <c r="Q218" s="299">
        <f>IF(AND($F218&lt;=Q$2, OR($G218="",$G218&gt;=Q$2)),
  $H218 * (1 + Assumptions!$C$7) ^ INT(((YEAR(Q$2)-YEAR($F218))*12 + MONTH(Q$2)-MONTH($F218)) / 12),
  0)</f>
        <v/>
      </c>
      <c r="R218" s="299">
        <f>IF(AND($F218&lt;=R$2, OR($G218="",$G218&gt;=R$2)),
  $H218 * (1 + Assumptions!$C$7) ^ INT(((YEAR(R$2)-YEAR($F218))*12 + MONTH(R$2)-MONTH($F218)) / 12),
  0)</f>
        <v/>
      </c>
      <c r="S218" s="299">
        <f>IF(AND($F218&lt;=S$2, OR($G218="",$G218&gt;=S$2)),
  $H218 * (1 + Assumptions!$C$7) ^ INT(((YEAR(S$2)-YEAR($F218))*12 + MONTH(S$2)-MONTH($F218)) / 12),
  0)</f>
        <v/>
      </c>
      <c r="T218" s="299">
        <f>IF(AND($F218&lt;=T$2, OR($G218="",$G218&gt;=T$2)),
  $H218 * (1 + Assumptions!$C$7) ^ INT(((YEAR(T$2)-YEAR($F218))*12 + MONTH(T$2)-MONTH($F218)) / 12),
  0)</f>
        <v/>
      </c>
      <c r="U218" s="299">
        <f>IF(AND($F218&lt;=U$2, OR($G218="",$G218&gt;=U$2)),
  $H218 * (1 + Assumptions!$C$7) ^ INT(((YEAR(U$2)-YEAR($F218))*12 + MONTH(U$2)-MONTH($F218)) / 12),
  0)</f>
        <v/>
      </c>
      <c r="V218" s="299">
        <f>IF(AND($F218&lt;=V$2, OR($G218="",$G218&gt;=V$2)),
  $H218 * (1 + Assumptions!$C$7) ^ INT(((YEAR(V$2)-YEAR($F218))*12 + MONTH(V$2)-MONTH($F218)) / 12),
  0)</f>
        <v/>
      </c>
      <c r="W218" s="299">
        <f>IF(AND($F218&lt;=W$2, OR($G218="",$G218&gt;=W$2)),
  $H218 * (1 + Assumptions!$C$7) ^ INT(((YEAR(W$2)-YEAR($F218))*12 + MONTH(W$2)-MONTH($F218)) / 12),
  0)</f>
        <v/>
      </c>
      <c r="X218" s="299">
        <f>IF(AND($F218&lt;=X$2, OR($G218="",$G218&gt;=X$2)),
  $H218 * (1 + Assumptions!$C$7) ^ INT(((YEAR(X$2)-YEAR($F218))*12 + MONTH(X$2)-MONTH($F218)) / 12),
  0)</f>
        <v/>
      </c>
      <c r="Y218" s="299">
        <f>IF(AND($F218&lt;=Y$2, OR($G218="",$G218&gt;=Y$2)),
  $H218 * (1 + Assumptions!$C$7) ^ INT(((YEAR(Y$2)-YEAR($F218))*12 + MONTH(Y$2)-MONTH($F218)) / 12),
  0)</f>
        <v/>
      </c>
      <c r="Z218" s="299">
        <f>IF(AND($F218&lt;=Z$2, OR($G218="",$G218&gt;=Z$2)),
  $H218 * (1 + Assumptions!$C$7) ^ INT(((YEAR(Z$2)-YEAR($F218))*12 + MONTH(Z$2)-MONTH($F218)) / 12),
  0)</f>
        <v/>
      </c>
      <c r="AA218" s="299">
        <f>IF(AND($F218&lt;=AA$2, OR($G218="",$G218&gt;=AA$2)),
  $H218 * (1 + Assumptions!$C$7) ^ INT(((YEAR(AA$2)-YEAR($F218))*12 + MONTH(AA$2)-MONTH($F218)) / 12),
  0)</f>
        <v/>
      </c>
      <c r="AB218" s="299">
        <f>IF(AND($F218&lt;=AB$2, OR($G218="",$G218&gt;=AB$2)),
  $H218 * (1 + Assumptions!$C$7) ^ INT(((YEAR(AB$2)-YEAR($F218))*12 + MONTH(AB$2)-MONTH($F218)) / 12),
  0)</f>
        <v/>
      </c>
      <c r="AC218" s="299">
        <f>IF(AND($F218&lt;=AC$2, OR($G218="",$G218&gt;=AC$2)),
  $H218 * (1 + Assumptions!$C$7) ^ INT(((YEAR(AC$2)-YEAR($F218))*12 + MONTH(AC$2)-MONTH($F218)) / 12),
  0)</f>
        <v/>
      </c>
      <c r="AD218" s="299">
        <f>IF(AND($F218&lt;=AD$2, OR($G218="",$G218&gt;=AD$2)),
  $H218 * (1 + Assumptions!$C$7) ^ INT(((YEAR(AD$2)-YEAR($F218))*12 + MONTH(AD$2)-MONTH($F218)) / 12),
  0)</f>
        <v/>
      </c>
      <c r="AE218" s="299">
        <f>IF(AND($F218&lt;=AE$2, OR($G218="",$G218&gt;=AE$2)),
  $H218 * (1 + Assumptions!$C$7) ^ INT(((YEAR(AE$2)-YEAR($F218))*12 + MONTH(AE$2)-MONTH($F218)) / 12),
  0)</f>
        <v/>
      </c>
      <c r="AF218" s="299">
        <f>IF(AND($F218&lt;=AF$2, OR($G218="",$G218&gt;=AF$2)),
  $H218 * (1 + Assumptions!$C$7) ^ INT(((YEAR(AF$2)-YEAR($F218))*12 + MONTH(AF$2)-MONTH($F218)) / 12),
  0)</f>
        <v/>
      </c>
      <c r="AG218" s="299">
        <f>IF(AND($F218&lt;=AG$2, OR($G218="",$G218&gt;=AG$2)),
  $H218 * (1 + Assumptions!$C$7) ^ INT(((YEAR(AG$2)-YEAR($F218))*12 + MONTH(AG$2)-MONTH($F218)) / 12),
  0)</f>
        <v/>
      </c>
      <c r="AH218" s="299">
        <f>IF(AND($F218&lt;=AH$2, OR($G218="",$G218&gt;=AH$2)),
  $H218 * (1 + Assumptions!$C$7) ^ INT(((YEAR(AH$2)-YEAR($F218))*12 + MONTH(AH$2)-MONTH($F218)) / 12),
  0)</f>
        <v/>
      </c>
      <c r="AI218" s="299">
        <f>IF(AND($F218&lt;=AI$2, OR($G218="",$G218&gt;=AI$2)),
  $H218 * (1 + Assumptions!$C$7) ^ INT(((YEAR(AI$2)-YEAR($F218))*12 + MONTH(AI$2)-MONTH($F218)) / 12),
  0)</f>
        <v/>
      </c>
      <c r="AJ218" s="299">
        <f>IF(AND($F218&lt;=AJ$2, OR($G218="",$G218&gt;=AJ$2)),
  $H218 * (1 + Assumptions!$C$7) ^ INT(((YEAR(AJ$2)-YEAR($F218))*12 + MONTH(AJ$2)-MONTH($F218)) / 12),
  0)</f>
        <v/>
      </c>
      <c r="AK218" s="299">
        <f>IF(AND($F218&lt;=AK$2, OR($G218="",$G218&gt;=AK$2)),
  $H218 * (1 + Assumptions!$C$7) ^ INT(((YEAR(AK$2)-YEAR($F218))*12 + MONTH(AK$2)-MONTH($F218)) / 12),
  0)</f>
        <v/>
      </c>
      <c r="AL218" s="299">
        <f>IF(AND($F218&lt;=AL$2, OR($G218="",$G218&gt;=AL$2)),
  $H218 * (1 + Assumptions!$C$7) ^ INT(((YEAR(AL$2)-YEAR($F218))*12 + MONTH(AL$2)-MONTH($F218)) / 12),
  0)</f>
        <v/>
      </c>
      <c r="AM218" s="299">
        <f>IF(AND($F218&lt;=AM$2, OR($G218="",$G218&gt;=AM$2)),
  $H218 * (1 + Assumptions!$C$7) ^ INT(((YEAR(AM$2)-YEAR($F218))*12 + MONTH(AM$2)-MONTH($F218)) / 12),
  0)</f>
        <v/>
      </c>
      <c r="AN218" s="299">
        <f>IF(AND($F218&lt;=AN$2, OR($G218="",$G218&gt;=AN$2)),
  $H218 * (1 + Assumptions!$C$7) ^ INT(((YEAR(AN$2)-YEAR($F218))*12 + MONTH(AN$2)-MONTH($F218)) / 12),
  0)</f>
        <v/>
      </c>
      <c r="AO218" s="299">
        <f>IF(AND($F218&lt;=AO$2, OR($G218="",$G218&gt;=AO$2)),
  $H218 * (1 + Assumptions!$C$7) ^ INT(((YEAR(AO$2)-YEAR($F218))*12 + MONTH(AO$2)-MONTH($F218)) / 12),
  0)</f>
        <v/>
      </c>
      <c r="AP218" s="299">
        <f>IF(AND($F218&lt;=AP$2, OR($G218="",$G218&gt;=AP$2)),
  $H218 * (1 + Assumptions!$C$7) ^ INT(((YEAR(AP$2)-YEAR($F218))*12 + MONTH(AP$2)-MONTH($F218)) / 12),
  0)</f>
        <v/>
      </c>
      <c r="AQ218" s="299">
        <f>IF(AND($F218&lt;=AQ$2, OR($G218="",$G218&gt;=AQ$2)),
  $H218 * (1 + Assumptions!$C$7) ^ INT(((YEAR(AQ$2)-YEAR($F218))*12 + MONTH(AQ$2)-MONTH($F218)) / 12),
  0)</f>
        <v/>
      </c>
      <c r="AR218" s="299">
        <f>IF(AND($F218&lt;=AR$2, OR($G218="",$G218&gt;=AR$2)),
  $H218 * (1 + Assumptions!$C$7) ^ INT(((YEAR(AR$2)-YEAR($F218))*12 + MONTH(AR$2)-MONTH($F218)) / 12),
  0)</f>
        <v/>
      </c>
      <c r="AS218" s="299">
        <f>IF(AND($F218&lt;=AS$2, OR($G218="",$G218&gt;=AS$2)),
  $H218 * (1 + Assumptions!$C$7) ^ INT(((YEAR(AS$2)-YEAR($F218))*12 + MONTH(AS$2)-MONTH($F218)) / 12),
  0)</f>
        <v/>
      </c>
      <c r="AT218" s="299">
        <f>IF(AND($F218&lt;=AT$2, OR($G218="",$G218&gt;=AT$2)),
  $H218 * (1 + Assumptions!$C$7) ^ INT(((YEAR(AT$2)-YEAR($F218))*12 + MONTH(AT$2)-MONTH($F218)) / 12),
  0)</f>
        <v/>
      </c>
      <c r="AU218" s="299">
        <f>IF(AND($F218&lt;=AU$2, OR($G218="",$G218&gt;=AU$2)),
  $H218 * (1 + Assumptions!$C$7) ^ INT(((YEAR(AU$2)-YEAR($F218))*12 + MONTH(AU$2)-MONTH($F218)) / 12),
  0)</f>
        <v/>
      </c>
      <c r="AV218" s="299">
        <f>IF(AND($F218&lt;=AV$2, OR($G218="",$G218&gt;=AV$2)),
  $H218 * (1 + Assumptions!$C$7) ^ INT(((YEAR(AV$2)-YEAR($F218))*12 + MONTH(AV$2)-MONTH($F218)) / 12),
  0)</f>
        <v/>
      </c>
      <c r="AW218" s="299">
        <f>IF(AND($F218&lt;=AW$2, OR($G218="",$G218&gt;=AW$2)),
  $H218 * (1 + Assumptions!$C$7) ^ INT(((YEAR(AW$2)-YEAR($F218))*12 + MONTH(AW$2)-MONTH($F218)) / 12),
  0)</f>
        <v/>
      </c>
      <c r="AX218" s="299">
        <f>IF(AND($F218&lt;=AX$2, OR($G218="",$G218&gt;=AX$2)),
  $H218 * (1 + Assumptions!$C$7) ^ INT(((YEAR(AX$2)-YEAR($F218))*12 + MONTH(AX$2)-MONTH($F218)) / 12),
  0)</f>
        <v/>
      </c>
      <c r="AY218" s="299">
        <f>IF(AND($F218&lt;=AY$2, OR($G218="",$G218&gt;=AY$2)),
  $H218 * (1 + Assumptions!$C$7) ^ INT(((YEAR(AY$2)-YEAR($F218))*12 + MONTH(AY$2)-MONTH($F218)) / 12),
  0)</f>
        <v/>
      </c>
      <c r="AZ218" s="299">
        <f>IF(AND($F218&lt;=AZ$2, OR($G218="",$G218&gt;=AZ$2)),
  $H218 * (1 + Assumptions!$C$7) ^ INT(((YEAR(AZ$2)-YEAR($F218))*12 + MONTH(AZ$2)-MONTH($F218)) / 12),
  0)</f>
        <v/>
      </c>
      <c r="BA218" s="299">
        <f>IF(AND($F218&lt;=BA$2, OR($G218="",$G218&gt;=BA$2)),
  $H218 * (1 + Assumptions!$C$7) ^ INT(((YEAR(BA$2)-YEAR($F218))*12 + MONTH(BA$2)-MONTH($F218)) / 12),
  0)</f>
        <v/>
      </c>
      <c r="BB218" s="299">
        <f>IF(AND($F218&lt;=BB$2, OR($G218="",$G218&gt;=BB$2)),
  $H218 * (1 + Assumptions!$C$7) ^ INT(((YEAR(BB$2)-YEAR($F218))*12 + MONTH(BB$2)-MONTH($F218)) / 12),
  0)</f>
        <v/>
      </c>
      <c r="BC218" s="299">
        <f>IF(AND($F218&lt;=BC$2, OR($G218="",$G218&gt;=BC$2)),
  $H218 * (1 + Assumptions!$C$7) ^ INT(((YEAR(BC$2)-YEAR($F218))*12 + MONTH(BC$2)-MONTH($F218)) / 12),
  0)</f>
        <v/>
      </c>
      <c r="BD218" s="299">
        <f>IF(AND($F218&lt;=BD$2, OR($G218="",$G218&gt;=BD$2)),
  $H218 * (1 + Assumptions!$C$7) ^ INT(((YEAR(BD$2)-YEAR($F218))*12 + MONTH(BD$2)-MONTH($F218)) / 12),
  0)</f>
        <v/>
      </c>
      <c r="BE218" s="299">
        <f>IF(AND($F218&lt;=BE$2, OR($G218="",$G218&gt;=BE$2)),
  $H218 * (1 + Assumptions!$C$7) ^ INT(((YEAR(BE$2)-YEAR($F218))*12 + MONTH(BE$2)-MONTH($F218)) / 12),
  0)</f>
        <v/>
      </c>
      <c r="BF218" s="299">
        <f>IF(AND($F218&lt;=BF$2, OR($G218="",$G218&gt;=BF$2)),
  $H218 * (1 + Assumptions!$C$7) ^ INT(((YEAR(BF$2)-YEAR($F218))*12 + MONTH(BF$2)-MONTH($F218)) / 12),
  0)</f>
        <v/>
      </c>
      <c r="BG218" s="299">
        <f>IF(AND($F218&lt;=BG$2, OR($G218="",$G218&gt;=BG$2)),
  $H218 * (1 + Assumptions!$C$7) ^ INT(((YEAR(BG$2)-YEAR($F218))*12 + MONTH(BG$2)-MONTH($F218)) / 12),
  0)</f>
        <v/>
      </c>
      <c r="BH218" s="299">
        <f>IF(AND($F218&lt;=BH$2, OR($G218="",$G218&gt;=BH$2)),
  $H218 * (1 + Assumptions!$C$7) ^ INT(((YEAR(BH$2)-YEAR($F218))*12 + MONTH(BH$2)-MONTH($F218)) / 12),
  0)</f>
        <v/>
      </c>
      <c r="BI218" s="299">
        <f>IF(AND($F218&lt;=BI$2, OR($G218="",$G218&gt;=BI$2)),
  $H218 * (1 + Assumptions!$C$7) ^ INT(((YEAR(BI$2)-YEAR($F218))*12 + MONTH(BI$2)-MONTH($F218)) / 12),
  0)</f>
        <v/>
      </c>
      <c r="BJ218" s="299">
        <f>IF(AND($F218&lt;=BJ$2, OR($G218="",$G218&gt;=BJ$2)),
  $H218 * (1 + Assumptions!$C$7) ^ INT(((YEAR(BJ$2)-YEAR($F218))*12 + MONTH(BJ$2)-MONTH($F218)) / 12),
  0)</f>
        <v/>
      </c>
      <c r="BK218" s="299">
        <f>IF(AND($F218&lt;=BK$2, OR($G218="",$G218&gt;=BK$2)),
  $H218 * (1 + Assumptions!$C$7) ^ INT(((YEAR(BK$2)-YEAR($F218))*12 + MONTH(BK$2)-MONTH($F218)) / 12),
  0)</f>
        <v/>
      </c>
      <c r="BL218" s="299">
        <f>IF(AND($F218&lt;=BL$2, OR($G218="",$G218&gt;=BL$2)),
  $H218 * (1 + Assumptions!$C$7) ^ INT(((YEAR(BL$2)-YEAR($F218))*12 + MONTH(BL$2)-MONTH($F218)) / 12),
  0)</f>
        <v/>
      </c>
      <c r="BM218" s="299">
        <f>IF(AND($F218&lt;=BM$2, OR($G218="",$G218&gt;=BM$2)),
  $H218 * (1 + Assumptions!$C$7) ^ INT(((YEAR(BM$2)-YEAR($F218))*12 + MONTH(BM$2)-MONTH($F218)) / 12),
  0)</f>
        <v/>
      </c>
      <c r="BN218" s="299">
        <f>IF(AND($F218&lt;=BN$2, OR($G218="",$G218&gt;=BN$2)),
  $H218 * (1 + Assumptions!$C$7) ^ INT(((YEAR(BN$2)-YEAR($F218))*12 + MONTH(BN$2)-MONTH($F218)) / 12),
  0)</f>
        <v/>
      </c>
      <c r="BO218" s="299">
        <f>IF(AND($F218&lt;=BO$2, OR($G218="",$G218&gt;=BO$2)),
  $H218 * (1 + Assumptions!$C$7) ^ INT(((YEAR(BO$2)-YEAR($F218))*12 + MONTH(BO$2)-MONTH($F218)) / 12),
  0)</f>
        <v/>
      </c>
      <c r="BP218" s="299">
        <f>IF(AND($F218&lt;=BP$2, OR($G218="",$G218&gt;=BP$2)),
  $H218 * (1 + Assumptions!$C$7) ^ INT(((YEAR(BP$2)-YEAR($F218))*12 + MONTH(BP$2)-MONTH($F218)) / 12),
  0)</f>
        <v/>
      </c>
      <c r="BQ218" s="31" t="n"/>
      <c r="BR218" s="31" t="n"/>
      <c r="BS218" s="31" t="n"/>
      <c r="BT218" s="31" t="n"/>
    </row>
    <row r="219" ht="15.75" customHeight="1" s="349">
      <c r="A219" s="321" t="n">
        <v>214</v>
      </c>
      <c r="B219" s="285" t="inlineStr">
        <is>
          <t>New hire</t>
        </is>
      </c>
      <c r="C219" s="317" t="inlineStr">
        <is>
          <t>R&amp;D</t>
        </is>
      </c>
      <c r="D219" s="317" t="inlineStr">
        <is>
          <t>R&amp;D Engineer</t>
        </is>
      </c>
      <c r="E219" s="297" t="inlineStr">
        <is>
          <t>Planned</t>
        </is>
      </c>
      <c r="F219" s="318">
        <f>IF(Assumptions!$D$82=2,DATE(2028,1,1),DATE(2035,1,1))</f>
        <v/>
      </c>
      <c r="G219" s="318" t="n"/>
      <c r="H219" s="288" t="n">
        <v>8000</v>
      </c>
      <c r="I219" s="299">
        <f>IF(AND($F219&lt;=I$2, OR($G219="",$G219&gt;=I$2)),
  $H219 * (1 + Assumptions!$C$7) ^ INT(((YEAR(I$2)-YEAR($F219))*12 + MONTH(I$2)-MONTH($F219)) / 12),
  0)</f>
        <v/>
      </c>
      <c r="J219" s="299">
        <f>IF(AND($F219&lt;=J$2, OR($G219="",$G219&gt;=J$2)),
  $H219 * (1 + Assumptions!$C$7) ^ INT(((YEAR(J$2)-YEAR($F219))*12 + MONTH(J$2)-MONTH($F219)) / 12),
  0)</f>
        <v/>
      </c>
      <c r="K219" s="299">
        <f>IF(AND($F219&lt;=K$2, OR($G219="",$G219&gt;=K$2)),
  $H219 * (1 + Assumptions!$C$7) ^ INT(((YEAR(K$2)-YEAR($F219))*12 + MONTH(K$2)-MONTH($F219)) / 12),
  0)</f>
        <v/>
      </c>
      <c r="L219" s="299">
        <f>IF(AND($F219&lt;=L$2, OR($G219="",$G219&gt;=L$2)),
  $H219 * (1 + Assumptions!$C$7) ^ INT(((YEAR(L$2)-YEAR($F219))*12 + MONTH(L$2)-MONTH($F219)) / 12),
  0)</f>
        <v/>
      </c>
      <c r="M219" s="299">
        <f>IF(AND($F219&lt;=M$2, OR($G219="",$G219&gt;=M$2)),
  $H219 * (1 + Assumptions!$C$7) ^ INT(((YEAR(M$2)-YEAR($F219))*12 + MONTH(M$2)-MONTH($F219)) / 12),
  0)</f>
        <v/>
      </c>
      <c r="N219" s="299">
        <f>IF(AND($F219&lt;=N$2, OR($G219="",$G219&gt;=N$2)),
  $H219 * (1 + Assumptions!$C$7) ^ INT(((YEAR(N$2)-YEAR($F219))*12 + MONTH(N$2)-MONTH($F219)) / 12),
  0)</f>
        <v/>
      </c>
      <c r="O219" s="299">
        <f>IF(AND($F219&lt;=O$2, OR($G219="",$G219&gt;=O$2)),
  $H219 * (1 + Assumptions!$C$7) ^ INT(((YEAR(O$2)-YEAR($F219))*12 + MONTH(O$2)-MONTH($F219)) / 12),
  0)</f>
        <v/>
      </c>
      <c r="P219" s="299">
        <f>IF(AND($F219&lt;=P$2, OR($G219="",$G219&gt;=P$2)),
  $H219 * (1 + Assumptions!$C$7) ^ INT(((YEAR(P$2)-YEAR($F219))*12 + MONTH(P$2)-MONTH($F219)) / 12),
  0)</f>
        <v/>
      </c>
      <c r="Q219" s="299">
        <f>IF(AND($F219&lt;=Q$2, OR($G219="",$G219&gt;=Q$2)),
  $H219 * (1 + Assumptions!$C$7) ^ INT(((YEAR(Q$2)-YEAR($F219))*12 + MONTH(Q$2)-MONTH($F219)) / 12),
  0)</f>
        <v/>
      </c>
      <c r="R219" s="299">
        <f>IF(AND($F219&lt;=R$2, OR($G219="",$G219&gt;=R$2)),
  $H219 * (1 + Assumptions!$C$7) ^ INT(((YEAR(R$2)-YEAR($F219))*12 + MONTH(R$2)-MONTH($F219)) / 12),
  0)</f>
        <v/>
      </c>
      <c r="S219" s="299">
        <f>IF(AND($F219&lt;=S$2, OR($G219="",$G219&gt;=S$2)),
  $H219 * (1 + Assumptions!$C$7) ^ INT(((YEAR(S$2)-YEAR($F219))*12 + MONTH(S$2)-MONTH($F219)) / 12),
  0)</f>
        <v/>
      </c>
      <c r="T219" s="299">
        <f>IF(AND($F219&lt;=T$2, OR($G219="",$G219&gt;=T$2)),
  $H219 * (1 + Assumptions!$C$7) ^ INT(((YEAR(T$2)-YEAR($F219))*12 + MONTH(T$2)-MONTH($F219)) / 12),
  0)</f>
        <v/>
      </c>
      <c r="U219" s="299">
        <f>IF(AND($F219&lt;=U$2, OR($G219="",$G219&gt;=U$2)),
  $H219 * (1 + Assumptions!$C$7) ^ INT(((YEAR(U$2)-YEAR($F219))*12 + MONTH(U$2)-MONTH($F219)) / 12),
  0)</f>
        <v/>
      </c>
      <c r="V219" s="299">
        <f>IF(AND($F219&lt;=V$2, OR($G219="",$G219&gt;=V$2)),
  $H219 * (1 + Assumptions!$C$7) ^ INT(((YEAR(V$2)-YEAR($F219))*12 + MONTH(V$2)-MONTH($F219)) / 12),
  0)</f>
        <v/>
      </c>
      <c r="W219" s="299">
        <f>IF(AND($F219&lt;=W$2, OR($G219="",$G219&gt;=W$2)),
  $H219 * (1 + Assumptions!$C$7) ^ INT(((YEAR(W$2)-YEAR($F219))*12 + MONTH(W$2)-MONTH($F219)) / 12),
  0)</f>
        <v/>
      </c>
      <c r="X219" s="299">
        <f>IF(AND($F219&lt;=X$2, OR($G219="",$G219&gt;=X$2)),
  $H219 * (1 + Assumptions!$C$7) ^ INT(((YEAR(X$2)-YEAR($F219))*12 + MONTH(X$2)-MONTH($F219)) / 12),
  0)</f>
        <v/>
      </c>
      <c r="Y219" s="299">
        <f>IF(AND($F219&lt;=Y$2, OR($G219="",$G219&gt;=Y$2)),
  $H219 * (1 + Assumptions!$C$7) ^ INT(((YEAR(Y$2)-YEAR($F219))*12 + MONTH(Y$2)-MONTH($F219)) / 12),
  0)</f>
        <v/>
      </c>
      <c r="Z219" s="299">
        <f>IF(AND($F219&lt;=Z$2, OR($G219="",$G219&gt;=Z$2)),
  $H219 * (1 + Assumptions!$C$7) ^ INT(((YEAR(Z$2)-YEAR($F219))*12 + MONTH(Z$2)-MONTH($F219)) / 12),
  0)</f>
        <v/>
      </c>
      <c r="AA219" s="299">
        <f>IF(AND($F219&lt;=AA$2, OR($G219="",$G219&gt;=AA$2)),
  $H219 * (1 + Assumptions!$C$7) ^ INT(((YEAR(AA$2)-YEAR($F219))*12 + MONTH(AA$2)-MONTH($F219)) / 12),
  0)</f>
        <v/>
      </c>
      <c r="AB219" s="299">
        <f>IF(AND($F219&lt;=AB$2, OR($G219="",$G219&gt;=AB$2)),
  $H219 * (1 + Assumptions!$C$7) ^ INT(((YEAR(AB$2)-YEAR($F219))*12 + MONTH(AB$2)-MONTH($F219)) / 12),
  0)</f>
        <v/>
      </c>
      <c r="AC219" s="299">
        <f>IF(AND($F219&lt;=AC$2, OR($G219="",$G219&gt;=AC$2)),
  $H219 * (1 + Assumptions!$C$7) ^ INT(((YEAR(AC$2)-YEAR($F219))*12 + MONTH(AC$2)-MONTH($F219)) / 12),
  0)</f>
        <v/>
      </c>
      <c r="AD219" s="299">
        <f>IF(AND($F219&lt;=AD$2, OR($G219="",$G219&gt;=AD$2)),
  $H219 * (1 + Assumptions!$C$7) ^ INT(((YEAR(AD$2)-YEAR($F219))*12 + MONTH(AD$2)-MONTH($F219)) / 12),
  0)</f>
        <v/>
      </c>
      <c r="AE219" s="299">
        <f>IF(AND($F219&lt;=AE$2, OR($G219="",$G219&gt;=AE$2)),
  $H219 * (1 + Assumptions!$C$7) ^ INT(((YEAR(AE$2)-YEAR($F219))*12 + MONTH(AE$2)-MONTH($F219)) / 12),
  0)</f>
        <v/>
      </c>
      <c r="AF219" s="299">
        <f>IF(AND($F219&lt;=AF$2, OR($G219="",$G219&gt;=AF$2)),
  $H219 * (1 + Assumptions!$C$7) ^ INT(((YEAR(AF$2)-YEAR($F219))*12 + MONTH(AF$2)-MONTH($F219)) / 12),
  0)</f>
        <v/>
      </c>
      <c r="AG219" s="299">
        <f>IF(AND($F219&lt;=AG$2, OR($G219="",$G219&gt;=AG$2)),
  $H219 * (1 + Assumptions!$C$7) ^ INT(((YEAR(AG$2)-YEAR($F219))*12 + MONTH(AG$2)-MONTH($F219)) / 12),
  0)</f>
        <v/>
      </c>
      <c r="AH219" s="299">
        <f>IF(AND($F219&lt;=AH$2, OR($G219="",$G219&gt;=AH$2)),
  $H219 * (1 + Assumptions!$C$7) ^ INT(((YEAR(AH$2)-YEAR($F219))*12 + MONTH(AH$2)-MONTH($F219)) / 12),
  0)</f>
        <v/>
      </c>
      <c r="AI219" s="299">
        <f>IF(AND($F219&lt;=AI$2, OR($G219="",$G219&gt;=AI$2)),
  $H219 * (1 + Assumptions!$C$7) ^ INT(((YEAR(AI$2)-YEAR($F219))*12 + MONTH(AI$2)-MONTH($F219)) / 12),
  0)</f>
        <v/>
      </c>
      <c r="AJ219" s="299">
        <f>IF(AND($F219&lt;=AJ$2, OR($G219="",$G219&gt;=AJ$2)),
  $H219 * (1 + Assumptions!$C$7) ^ INT(((YEAR(AJ$2)-YEAR($F219))*12 + MONTH(AJ$2)-MONTH($F219)) / 12),
  0)</f>
        <v/>
      </c>
      <c r="AK219" s="299">
        <f>IF(AND($F219&lt;=AK$2, OR($G219="",$G219&gt;=AK$2)),
  $H219 * (1 + Assumptions!$C$7) ^ INT(((YEAR(AK$2)-YEAR($F219))*12 + MONTH(AK$2)-MONTH($F219)) / 12),
  0)</f>
        <v/>
      </c>
      <c r="AL219" s="299">
        <f>IF(AND($F219&lt;=AL$2, OR($G219="",$G219&gt;=AL$2)),
  $H219 * (1 + Assumptions!$C$7) ^ INT(((YEAR(AL$2)-YEAR($F219))*12 + MONTH(AL$2)-MONTH($F219)) / 12),
  0)</f>
        <v/>
      </c>
      <c r="AM219" s="299">
        <f>IF(AND($F219&lt;=AM$2, OR($G219="",$G219&gt;=AM$2)),
  $H219 * (1 + Assumptions!$C$7) ^ INT(((YEAR(AM$2)-YEAR($F219))*12 + MONTH(AM$2)-MONTH($F219)) / 12),
  0)</f>
        <v/>
      </c>
      <c r="AN219" s="299">
        <f>IF(AND($F219&lt;=AN$2, OR($G219="",$G219&gt;=AN$2)),
  $H219 * (1 + Assumptions!$C$7) ^ INT(((YEAR(AN$2)-YEAR($F219))*12 + MONTH(AN$2)-MONTH($F219)) / 12),
  0)</f>
        <v/>
      </c>
      <c r="AO219" s="299">
        <f>IF(AND($F219&lt;=AO$2, OR($G219="",$G219&gt;=AO$2)),
  $H219 * (1 + Assumptions!$C$7) ^ INT(((YEAR(AO$2)-YEAR($F219))*12 + MONTH(AO$2)-MONTH($F219)) / 12),
  0)</f>
        <v/>
      </c>
      <c r="AP219" s="299">
        <f>IF(AND($F219&lt;=AP$2, OR($G219="",$G219&gt;=AP$2)),
  $H219 * (1 + Assumptions!$C$7) ^ INT(((YEAR(AP$2)-YEAR($F219))*12 + MONTH(AP$2)-MONTH($F219)) / 12),
  0)</f>
        <v/>
      </c>
      <c r="AQ219" s="299">
        <f>IF(AND($F219&lt;=AQ$2, OR($G219="",$G219&gt;=AQ$2)),
  $H219 * (1 + Assumptions!$C$7) ^ INT(((YEAR(AQ$2)-YEAR($F219))*12 + MONTH(AQ$2)-MONTH($F219)) / 12),
  0)</f>
        <v/>
      </c>
      <c r="AR219" s="299">
        <f>IF(AND($F219&lt;=AR$2, OR($G219="",$G219&gt;=AR$2)),
  $H219 * (1 + Assumptions!$C$7) ^ INT(((YEAR(AR$2)-YEAR($F219))*12 + MONTH(AR$2)-MONTH($F219)) / 12),
  0)</f>
        <v/>
      </c>
      <c r="AS219" s="299">
        <f>IF(AND($F219&lt;=AS$2, OR($G219="",$G219&gt;=AS$2)),
  $H219 * (1 + Assumptions!$C$7) ^ INT(((YEAR(AS$2)-YEAR($F219))*12 + MONTH(AS$2)-MONTH($F219)) / 12),
  0)</f>
        <v/>
      </c>
      <c r="AT219" s="299">
        <f>IF(AND($F219&lt;=AT$2, OR($G219="",$G219&gt;=AT$2)),
  $H219 * (1 + Assumptions!$C$7) ^ INT(((YEAR(AT$2)-YEAR($F219))*12 + MONTH(AT$2)-MONTH($F219)) / 12),
  0)</f>
        <v/>
      </c>
      <c r="AU219" s="299">
        <f>IF(AND($F219&lt;=AU$2, OR($G219="",$G219&gt;=AU$2)),
  $H219 * (1 + Assumptions!$C$7) ^ INT(((YEAR(AU$2)-YEAR($F219))*12 + MONTH(AU$2)-MONTH($F219)) / 12),
  0)</f>
        <v/>
      </c>
      <c r="AV219" s="299">
        <f>IF(AND($F219&lt;=AV$2, OR($G219="",$G219&gt;=AV$2)),
  $H219 * (1 + Assumptions!$C$7) ^ INT(((YEAR(AV$2)-YEAR($F219))*12 + MONTH(AV$2)-MONTH($F219)) / 12),
  0)</f>
        <v/>
      </c>
      <c r="AW219" s="299">
        <f>IF(AND($F219&lt;=AW$2, OR($G219="",$G219&gt;=AW$2)),
  $H219 * (1 + Assumptions!$C$7) ^ INT(((YEAR(AW$2)-YEAR($F219))*12 + MONTH(AW$2)-MONTH($F219)) / 12),
  0)</f>
        <v/>
      </c>
      <c r="AX219" s="299">
        <f>IF(AND($F219&lt;=AX$2, OR($G219="",$G219&gt;=AX$2)),
  $H219 * (1 + Assumptions!$C$7) ^ INT(((YEAR(AX$2)-YEAR($F219))*12 + MONTH(AX$2)-MONTH($F219)) / 12),
  0)</f>
        <v/>
      </c>
      <c r="AY219" s="299">
        <f>IF(AND($F219&lt;=AY$2, OR($G219="",$G219&gt;=AY$2)),
  $H219 * (1 + Assumptions!$C$7) ^ INT(((YEAR(AY$2)-YEAR($F219))*12 + MONTH(AY$2)-MONTH($F219)) / 12),
  0)</f>
        <v/>
      </c>
      <c r="AZ219" s="299">
        <f>IF(AND($F219&lt;=AZ$2, OR($G219="",$G219&gt;=AZ$2)),
  $H219 * (1 + Assumptions!$C$7) ^ INT(((YEAR(AZ$2)-YEAR($F219))*12 + MONTH(AZ$2)-MONTH($F219)) / 12),
  0)</f>
        <v/>
      </c>
      <c r="BA219" s="299">
        <f>IF(AND($F219&lt;=BA$2, OR($G219="",$G219&gt;=BA$2)),
  $H219 * (1 + Assumptions!$C$7) ^ INT(((YEAR(BA$2)-YEAR($F219))*12 + MONTH(BA$2)-MONTH($F219)) / 12),
  0)</f>
        <v/>
      </c>
      <c r="BB219" s="299">
        <f>IF(AND($F219&lt;=BB$2, OR($G219="",$G219&gt;=BB$2)),
  $H219 * (1 + Assumptions!$C$7) ^ INT(((YEAR(BB$2)-YEAR($F219))*12 + MONTH(BB$2)-MONTH($F219)) / 12),
  0)</f>
        <v/>
      </c>
      <c r="BC219" s="299">
        <f>IF(AND($F219&lt;=BC$2, OR($G219="",$G219&gt;=BC$2)),
  $H219 * (1 + Assumptions!$C$7) ^ INT(((YEAR(BC$2)-YEAR($F219))*12 + MONTH(BC$2)-MONTH($F219)) / 12),
  0)</f>
        <v/>
      </c>
      <c r="BD219" s="299">
        <f>IF(AND($F219&lt;=BD$2, OR($G219="",$G219&gt;=BD$2)),
  $H219 * (1 + Assumptions!$C$7) ^ INT(((YEAR(BD$2)-YEAR($F219))*12 + MONTH(BD$2)-MONTH($F219)) / 12),
  0)</f>
        <v/>
      </c>
      <c r="BE219" s="299">
        <f>IF(AND($F219&lt;=BE$2, OR($G219="",$G219&gt;=BE$2)),
  $H219 * (1 + Assumptions!$C$7) ^ INT(((YEAR(BE$2)-YEAR($F219))*12 + MONTH(BE$2)-MONTH($F219)) / 12),
  0)</f>
        <v/>
      </c>
      <c r="BF219" s="299">
        <f>IF(AND($F219&lt;=BF$2, OR($G219="",$G219&gt;=BF$2)),
  $H219 * (1 + Assumptions!$C$7) ^ INT(((YEAR(BF$2)-YEAR($F219))*12 + MONTH(BF$2)-MONTH($F219)) / 12),
  0)</f>
        <v/>
      </c>
      <c r="BG219" s="299">
        <f>IF(AND($F219&lt;=BG$2, OR($G219="",$G219&gt;=BG$2)),
  $H219 * (1 + Assumptions!$C$7) ^ INT(((YEAR(BG$2)-YEAR($F219))*12 + MONTH(BG$2)-MONTH($F219)) / 12),
  0)</f>
        <v/>
      </c>
      <c r="BH219" s="299">
        <f>IF(AND($F219&lt;=BH$2, OR($G219="",$G219&gt;=BH$2)),
  $H219 * (1 + Assumptions!$C$7) ^ INT(((YEAR(BH$2)-YEAR($F219))*12 + MONTH(BH$2)-MONTH($F219)) / 12),
  0)</f>
        <v/>
      </c>
      <c r="BI219" s="299">
        <f>IF(AND($F219&lt;=BI$2, OR($G219="",$G219&gt;=BI$2)),
  $H219 * (1 + Assumptions!$C$7) ^ INT(((YEAR(BI$2)-YEAR($F219))*12 + MONTH(BI$2)-MONTH($F219)) / 12),
  0)</f>
        <v/>
      </c>
      <c r="BJ219" s="299">
        <f>IF(AND($F219&lt;=BJ$2, OR($G219="",$G219&gt;=BJ$2)),
  $H219 * (1 + Assumptions!$C$7) ^ INT(((YEAR(BJ$2)-YEAR($F219))*12 + MONTH(BJ$2)-MONTH($F219)) / 12),
  0)</f>
        <v/>
      </c>
      <c r="BK219" s="299">
        <f>IF(AND($F219&lt;=BK$2, OR($G219="",$G219&gt;=BK$2)),
  $H219 * (1 + Assumptions!$C$7) ^ INT(((YEAR(BK$2)-YEAR($F219))*12 + MONTH(BK$2)-MONTH($F219)) / 12),
  0)</f>
        <v/>
      </c>
      <c r="BL219" s="299">
        <f>IF(AND($F219&lt;=BL$2, OR($G219="",$G219&gt;=BL$2)),
  $H219 * (1 + Assumptions!$C$7) ^ INT(((YEAR(BL$2)-YEAR($F219))*12 + MONTH(BL$2)-MONTH($F219)) / 12),
  0)</f>
        <v/>
      </c>
      <c r="BM219" s="299">
        <f>IF(AND($F219&lt;=BM$2, OR($G219="",$G219&gt;=BM$2)),
  $H219 * (1 + Assumptions!$C$7) ^ INT(((YEAR(BM$2)-YEAR($F219))*12 + MONTH(BM$2)-MONTH($F219)) / 12),
  0)</f>
        <v/>
      </c>
      <c r="BN219" s="299">
        <f>IF(AND($F219&lt;=BN$2, OR($G219="",$G219&gt;=BN$2)),
  $H219 * (1 + Assumptions!$C$7) ^ INT(((YEAR(BN$2)-YEAR($F219))*12 + MONTH(BN$2)-MONTH($F219)) / 12),
  0)</f>
        <v/>
      </c>
      <c r="BO219" s="299">
        <f>IF(AND($F219&lt;=BO$2, OR($G219="",$G219&gt;=BO$2)),
  $H219 * (1 + Assumptions!$C$7) ^ INT(((YEAR(BO$2)-YEAR($F219))*12 + MONTH(BO$2)-MONTH($F219)) / 12),
  0)</f>
        <v/>
      </c>
      <c r="BP219" s="299">
        <f>IF(AND($F219&lt;=BP$2, OR($G219="",$G219&gt;=BP$2)),
  $H219 * (1 + Assumptions!$C$7) ^ INT(((YEAR(BP$2)-YEAR($F219))*12 + MONTH(BP$2)-MONTH($F219)) / 12),
  0)</f>
        <v/>
      </c>
      <c r="BQ219" s="31" t="n"/>
      <c r="BR219" s="31" t="n"/>
      <c r="BS219" s="31" t="n"/>
      <c r="BT219" s="31" t="n"/>
    </row>
    <row r="220" ht="15.75" customHeight="1" s="349">
      <c r="A220" s="321" t="n">
        <v>215</v>
      </c>
      <c r="B220" s="285" t="inlineStr">
        <is>
          <t>New hire</t>
        </is>
      </c>
      <c r="C220" s="317" t="inlineStr">
        <is>
          <t>R&amp;D</t>
        </is>
      </c>
      <c r="D220" s="317" t="inlineStr">
        <is>
          <t>R&amp;D Engineer</t>
        </is>
      </c>
      <c r="E220" s="297" t="inlineStr">
        <is>
          <t>Planned</t>
        </is>
      </c>
      <c r="F220" s="318">
        <f>IF(Assumptions!$D$82=2,DATE(2028,1,1),DATE(2035,1,1))</f>
        <v/>
      </c>
      <c r="G220" s="318" t="n"/>
      <c r="H220" s="288" t="n">
        <v>8000</v>
      </c>
      <c r="I220" s="299">
        <f>IF(AND($F220&lt;=I$2, OR($G220="",$G220&gt;=I$2)),
  $H220 * (1 + Assumptions!$C$7) ^ INT(((YEAR(I$2)-YEAR($F220))*12 + MONTH(I$2)-MONTH($F220)) / 12),
  0)</f>
        <v/>
      </c>
      <c r="J220" s="299">
        <f>IF(AND($F220&lt;=J$2, OR($G220="",$G220&gt;=J$2)),
  $H220 * (1 + Assumptions!$C$7) ^ INT(((YEAR(J$2)-YEAR($F220))*12 + MONTH(J$2)-MONTH($F220)) / 12),
  0)</f>
        <v/>
      </c>
      <c r="K220" s="299">
        <f>IF(AND($F220&lt;=K$2, OR($G220="",$G220&gt;=K$2)),
  $H220 * (1 + Assumptions!$C$7) ^ INT(((YEAR(K$2)-YEAR($F220))*12 + MONTH(K$2)-MONTH($F220)) / 12),
  0)</f>
        <v/>
      </c>
      <c r="L220" s="299">
        <f>IF(AND($F220&lt;=L$2, OR($G220="",$G220&gt;=L$2)),
  $H220 * (1 + Assumptions!$C$7) ^ INT(((YEAR(L$2)-YEAR($F220))*12 + MONTH(L$2)-MONTH($F220)) / 12),
  0)</f>
        <v/>
      </c>
      <c r="M220" s="299">
        <f>IF(AND($F220&lt;=M$2, OR($G220="",$G220&gt;=M$2)),
  $H220 * (1 + Assumptions!$C$7) ^ INT(((YEAR(M$2)-YEAR($F220))*12 + MONTH(M$2)-MONTH($F220)) / 12),
  0)</f>
        <v/>
      </c>
      <c r="N220" s="299">
        <f>IF(AND($F220&lt;=N$2, OR($G220="",$G220&gt;=N$2)),
  $H220 * (1 + Assumptions!$C$7) ^ INT(((YEAR(N$2)-YEAR($F220))*12 + MONTH(N$2)-MONTH($F220)) / 12),
  0)</f>
        <v/>
      </c>
      <c r="O220" s="299">
        <f>IF(AND($F220&lt;=O$2, OR($G220="",$G220&gt;=O$2)),
  $H220 * (1 + Assumptions!$C$7) ^ INT(((YEAR(O$2)-YEAR($F220))*12 + MONTH(O$2)-MONTH($F220)) / 12),
  0)</f>
        <v/>
      </c>
      <c r="P220" s="299">
        <f>IF(AND($F220&lt;=P$2, OR($G220="",$G220&gt;=P$2)),
  $H220 * (1 + Assumptions!$C$7) ^ INT(((YEAR(P$2)-YEAR($F220))*12 + MONTH(P$2)-MONTH($F220)) / 12),
  0)</f>
        <v/>
      </c>
      <c r="Q220" s="299">
        <f>IF(AND($F220&lt;=Q$2, OR($G220="",$G220&gt;=Q$2)),
  $H220 * (1 + Assumptions!$C$7) ^ INT(((YEAR(Q$2)-YEAR($F220))*12 + MONTH(Q$2)-MONTH($F220)) / 12),
  0)</f>
        <v/>
      </c>
      <c r="R220" s="299">
        <f>IF(AND($F220&lt;=R$2, OR($G220="",$G220&gt;=R$2)),
  $H220 * (1 + Assumptions!$C$7) ^ INT(((YEAR(R$2)-YEAR($F220))*12 + MONTH(R$2)-MONTH($F220)) / 12),
  0)</f>
        <v/>
      </c>
      <c r="S220" s="299">
        <f>IF(AND($F220&lt;=S$2, OR($G220="",$G220&gt;=S$2)),
  $H220 * (1 + Assumptions!$C$7) ^ INT(((YEAR(S$2)-YEAR($F220))*12 + MONTH(S$2)-MONTH($F220)) / 12),
  0)</f>
        <v/>
      </c>
      <c r="T220" s="299">
        <f>IF(AND($F220&lt;=T$2, OR($G220="",$G220&gt;=T$2)),
  $H220 * (1 + Assumptions!$C$7) ^ INT(((YEAR(T$2)-YEAR($F220))*12 + MONTH(T$2)-MONTH($F220)) / 12),
  0)</f>
        <v/>
      </c>
      <c r="U220" s="299">
        <f>IF(AND($F220&lt;=U$2, OR($G220="",$G220&gt;=U$2)),
  $H220 * (1 + Assumptions!$C$7) ^ INT(((YEAR(U$2)-YEAR($F220))*12 + MONTH(U$2)-MONTH($F220)) / 12),
  0)</f>
        <v/>
      </c>
      <c r="V220" s="299">
        <f>IF(AND($F220&lt;=V$2, OR($G220="",$G220&gt;=V$2)),
  $H220 * (1 + Assumptions!$C$7) ^ INT(((YEAR(V$2)-YEAR($F220))*12 + MONTH(V$2)-MONTH($F220)) / 12),
  0)</f>
        <v/>
      </c>
      <c r="W220" s="299">
        <f>IF(AND($F220&lt;=W$2, OR($G220="",$G220&gt;=W$2)),
  $H220 * (1 + Assumptions!$C$7) ^ INT(((YEAR(W$2)-YEAR($F220))*12 + MONTH(W$2)-MONTH($F220)) / 12),
  0)</f>
        <v/>
      </c>
      <c r="X220" s="299">
        <f>IF(AND($F220&lt;=X$2, OR($G220="",$G220&gt;=X$2)),
  $H220 * (1 + Assumptions!$C$7) ^ INT(((YEAR(X$2)-YEAR($F220))*12 + MONTH(X$2)-MONTH($F220)) / 12),
  0)</f>
        <v/>
      </c>
      <c r="Y220" s="299">
        <f>IF(AND($F220&lt;=Y$2, OR($G220="",$G220&gt;=Y$2)),
  $H220 * (1 + Assumptions!$C$7) ^ INT(((YEAR(Y$2)-YEAR($F220))*12 + MONTH(Y$2)-MONTH($F220)) / 12),
  0)</f>
        <v/>
      </c>
      <c r="Z220" s="299">
        <f>IF(AND($F220&lt;=Z$2, OR($G220="",$G220&gt;=Z$2)),
  $H220 * (1 + Assumptions!$C$7) ^ INT(((YEAR(Z$2)-YEAR($F220))*12 + MONTH(Z$2)-MONTH($F220)) / 12),
  0)</f>
        <v/>
      </c>
      <c r="AA220" s="299">
        <f>IF(AND($F220&lt;=AA$2, OR($G220="",$G220&gt;=AA$2)),
  $H220 * (1 + Assumptions!$C$7) ^ INT(((YEAR(AA$2)-YEAR($F220))*12 + MONTH(AA$2)-MONTH($F220)) / 12),
  0)</f>
        <v/>
      </c>
      <c r="AB220" s="299">
        <f>IF(AND($F220&lt;=AB$2, OR($G220="",$G220&gt;=AB$2)),
  $H220 * (1 + Assumptions!$C$7) ^ INT(((YEAR(AB$2)-YEAR($F220))*12 + MONTH(AB$2)-MONTH($F220)) / 12),
  0)</f>
        <v/>
      </c>
      <c r="AC220" s="299">
        <f>IF(AND($F220&lt;=AC$2, OR($G220="",$G220&gt;=AC$2)),
  $H220 * (1 + Assumptions!$C$7) ^ INT(((YEAR(AC$2)-YEAR($F220))*12 + MONTH(AC$2)-MONTH($F220)) / 12),
  0)</f>
        <v/>
      </c>
      <c r="AD220" s="299">
        <f>IF(AND($F220&lt;=AD$2, OR($G220="",$G220&gt;=AD$2)),
  $H220 * (1 + Assumptions!$C$7) ^ INT(((YEAR(AD$2)-YEAR($F220))*12 + MONTH(AD$2)-MONTH($F220)) / 12),
  0)</f>
        <v/>
      </c>
      <c r="AE220" s="299">
        <f>IF(AND($F220&lt;=AE$2, OR($G220="",$G220&gt;=AE$2)),
  $H220 * (1 + Assumptions!$C$7) ^ INT(((YEAR(AE$2)-YEAR($F220))*12 + MONTH(AE$2)-MONTH($F220)) / 12),
  0)</f>
        <v/>
      </c>
      <c r="AF220" s="299">
        <f>IF(AND($F220&lt;=AF$2, OR($G220="",$G220&gt;=AF$2)),
  $H220 * (1 + Assumptions!$C$7) ^ INT(((YEAR(AF$2)-YEAR($F220))*12 + MONTH(AF$2)-MONTH($F220)) / 12),
  0)</f>
        <v/>
      </c>
      <c r="AG220" s="299">
        <f>IF(AND($F220&lt;=AG$2, OR($G220="",$G220&gt;=AG$2)),
  $H220 * (1 + Assumptions!$C$7) ^ INT(((YEAR(AG$2)-YEAR($F220))*12 + MONTH(AG$2)-MONTH($F220)) / 12),
  0)</f>
        <v/>
      </c>
      <c r="AH220" s="299">
        <f>IF(AND($F220&lt;=AH$2, OR($G220="",$G220&gt;=AH$2)),
  $H220 * (1 + Assumptions!$C$7) ^ INT(((YEAR(AH$2)-YEAR($F220))*12 + MONTH(AH$2)-MONTH($F220)) / 12),
  0)</f>
        <v/>
      </c>
      <c r="AI220" s="299">
        <f>IF(AND($F220&lt;=AI$2, OR($G220="",$G220&gt;=AI$2)),
  $H220 * (1 + Assumptions!$C$7) ^ INT(((YEAR(AI$2)-YEAR($F220))*12 + MONTH(AI$2)-MONTH($F220)) / 12),
  0)</f>
        <v/>
      </c>
      <c r="AJ220" s="299">
        <f>IF(AND($F220&lt;=AJ$2, OR($G220="",$G220&gt;=AJ$2)),
  $H220 * (1 + Assumptions!$C$7) ^ INT(((YEAR(AJ$2)-YEAR($F220))*12 + MONTH(AJ$2)-MONTH($F220)) / 12),
  0)</f>
        <v/>
      </c>
      <c r="AK220" s="299">
        <f>IF(AND($F220&lt;=AK$2, OR($G220="",$G220&gt;=AK$2)),
  $H220 * (1 + Assumptions!$C$7) ^ INT(((YEAR(AK$2)-YEAR($F220))*12 + MONTH(AK$2)-MONTH($F220)) / 12),
  0)</f>
        <v/>
      </c>
      <c r="AL220" s="299">
        <f>IF(AND($F220&lt;=AL$2, OR($G220="",$G220&gt;=AL$2)),
  $H220 * (1 + Assumptions!$C$7) ^ INT(((YEAR(AL$2)-YEAR($F220))*12 + MONTH(AL$2)-MONTH($F220)) / 12),
  0)</f>
        <v/>
      </c>
      <c r="AM220" s="299">
        <f>IF(AND($F220&lt;=AM$2, OR($G220="",$G220&gt;=AM$2)),
  $H220 * (1 + Assumptions!$C$7) ^ INT(((YEAR(AM$2)-YEAR($F220))*12 + MONTH(AM$2)-MONTH($F220)) / 12),
  0)</f>
        <v/>
      </c>
      <c r="AN220" s="299">
        <f>IF(AND($F220&lt;=AN$2, OR($G220="",$G220&gt;=AN$2)),
  $H220 * (1 + Assumptions!$C$7) ^ INT(((YEAR(AN$2)-YEAR($F220))*12 + MONTH(AN$2)-MONTH($F220)) / 12),
  0)</f>
        <v/>
      </c>
      <c r="AO220" s="299">
        <f>IF(AND($F220&lt;=AO$2, OR($G220="",$G220&gt;=AO$2)),
  $H220 * (1 + Assumptions!$C$7) ^ INT(((YEAR(AO$2)-YEAR($F220))*12 + MONTH(AO$2)-MONTH($F220)) / 12),
  0)</f>
        <v/>
      </c>
      <c r="AP220" s="299">
        <f>IF(AND($F220&lt;=AP$2, OR($G220="",$G220&gt;=AP$2)),
  $H220 * (1 + Assumptions!$C$7) ^ INT(((YEAR(AP$2)-YEAR($F220))*12 + MONTH(AP$2)-MONTH($F220)) / 12),
  0)</f>
        <v/>
      </c>
      <c r="AQ220" s="299">
        <f>IF(AND($F220&lt;=AQ$2, OR($G220="",$G220&gt;=AQ$2)),
  $H220 * (1 + Assumptions!$C$7) ^ INT(((YEAR(AQ$2)-YEAR($F220))*12 + MONTH(AQ$2)-MONTH($F220)) / 12),
  0)</f>
        <v/>
      </c>
      <c r="AR220" s="299">
        <f>IF(AND($F220&lt;=AR$2, OR($G220="",$G220&gt;=AR$2)),
  $H220 * (1 + Assumptions!$C$7) ^ INT(((YEAR(AR$2)-YEAR($F220))*12 + MONTH(AR$2)-MONTH($F220)) / 12),
  0)</f>
        <v/>
      </c>
      <c r="AS220" s="299">
        <f>IF(AND($F220&lt;=AS$2, OR($G220="",$G220&gt;=AS$2)),
  $H220 * (1 + Assumptions!$C$7) ^ INT(((YEAR(AS$2)-YEAR($F220))*12 + MONTH(AS$2)-MONTH($F220)) / 12),
  0)</f>
        <v/>
      </c>
      <c r="AT220" s="299">
        <f>IF(AND($F220&lt;=AT$2, OR($G220="",$G220&gt;=AT$2)),
  $H220 * (1 + Assumptions!$C$7) ^ INT(((YEAR(AT$2)-YEAR($F220))*12 + MONTH(AT$2)-MONTH($F220)) / 12),
  0)</f>
        <v/>
      </c>
      <c r="AU220" s="299">
        <f>IF(AND($F220&lt;=AU$2, OR($G220="",$G220&gt;=AU$2)),
  $H220 * (1 + Assumptions!$C$7) ^ INT(((YEAR(AU$2)-YEAR($F220))*12 + MONTH(AU$2)-MONTH($F220)) / 12),
  0)</f>
        <v/>
      </c>
      <c r="AV220" s="299">
        <f>IF(AND($F220&lt;=AV$2, OR($G220="",$G220&gt;=AV$2)),
  $H220 * (1 + Assumptions!$C$7) ^ INT(((YEAR(AV$2)-YEAR($F220))*12 + MONTH(AV$2)-MONTH($F220)) / 12),
  0)</f>
        <v/>
      </c>
      <c r="AW220" s="299">
        <f>IF(AND($F220&lt;=AW$2, OR($G220="",$G220&gt;=AW$2)),
  $H220 * (1 + Assumptions!$C$7) ^ INT(((YEAR(AW$2)-YEAR($F220))*12 + MONTH(AW$2)-MONTH($F220)) / 12),
  0)</f>
        <v/>
      </c>
      <c r="AX220" s="299">
        <f>IF(AND($F220&lt;=AX$2, OR($G220="",$G220&gt;=AX$2)),
  $H220 * (1 + Assumptions!$C$7) ^ INT(((YEAR(AX$2)-YEAR($F220))*12 + MONTH(AX$2)-MONTH($F220)) / 12),
  0)</f>
        <v/>
      </c>
      <c r="AY220" s="299">
        <f>IF(AND($F220&lt;=AY$2, OR($G220="",$G220&gt;=AY$2)),
  $H220 * (1 + Assumptions!$C$7) ^ INT(((YEAR(AY$2)-YEAR($F220))*12 + MONTH(AY$2)-MONTH($F220)) / 12),
  0)</f>
        <v/>
      </c>
      <c r="AZ220" s="299">
        <f>IF(AND($F220&lt;=AZ$2, OR($G220="",$G220&gt;=AZ$2)),
  $H220 * (1 + Assumptions!$C$7) ^ INT(((YEAR(AZ$2)-YEAR($F220))*12 + MONTH(AZ$2)-MONTH($F220)) / 12),
  0)</f>
        <v/>
      </c>
      <c r="BA220" s="299">
        <f>IF(AND($F220&lt;=BA$2, OR($G220="",$G220&gt;=BA$2)),
  $H220 * (1 + Assumptions!$C$7) ^ INT(((YEAR(BA$2)-YEAR($F220))*12 + MONTH(BA$2)-MONTH($F220)) / 12),
  0)</f>
        <v/>
      </c>
      <c r="BB220" s="299">
        <f>IF(AND($F220&lt;=BB$2, OR($G220="",$G220&gt;=BB$2)),
  $H220 * (1 + Assumptions!$C$7) ^ INT(((YEAR(BB$2)-YEAR($F220))*12 + MONTH(BB$2)-MONTH($F220)) / 12),
  0)</f>
        <v/>
      </c>
      <c r="BC220" s="299">
        <f>IF(AND($F220&lt;=BC$2, OR($G220="",$G220&gt;=BC$2)),
  $H220 * (1 + Assumptions!$C$7) ^ INT(((YEAR(BC$2)-YEAR($F220))*12 + MONTH(BC$2)-MONTH($F220)) / 12),
  0)</f>
        <v/>
      </c>
      <c r="BD220" s="299">
        <f>IF(AND($F220&lt;=BD$2, OR($G220="",$G220&gt;=BD$2)),
  $H220 * (1 + Assumptions!$C$7) ^ INT(((YEAR(BD$2)-YEAR($F220))*12 + MONTH(BD$2)-MONTH($F220)) / 12),
  0)</f>
        <v/>
      </c>
      <c r="BE220" s="299">
        <f>IF(AND($F220&lt;=BE$2, OR($G220="",$G220&gt;=BE$2)),
  $H220 * (1 + Assumptions!$C$7) ^ INT(((YEAR(BE$2)-YEAR($F220))*12 + MONTH(BE$2)-MONTH($F220)) / 12),
  0)</f>
        <v/>
      </c>
      <c r="BF220" s="299">
        <f>IF(AND($F220&lt;=BF$2, OR($G220="",$G220&gt;=BF$2)),
  $H220 * (1 + Assumptions!$C$7) ^ INT(((YEAR(BF$2)-YEAR($F220))*12 + MONTH(BF$2)-MONTH($F220)) / 12),
  0)</f>
        <v/>
      </c>
      <c r="BG220" s="299">
        <f>IF(AND($F220&lt;=BG$2, OR($G220="",$G220&gt;=BG$2)),
  $H220 * (1 + Assumptions!$C$7) ^ INT(((YEAR(BG$2)-YEAR($F220))*12 + MONTH(BG$2)-MONTH($F220)) / 12),
  0)</f>
        <v/>
      </c>
      <c r="BH220" s="299">
        <f>IF(AND($F220&lt;=BH$2, OR($G220="",$G220&gt;=BH$2)),
  $H220 * (1 + Assumptions!$C$7) ^ INT(((YEAR(BH$2)-YEAR($F220))*12 + MONTH(BH$2)-MONTH($F220)) / 12),
  0)</f>
        <v/>
      </c>
      <c r="BI220" s="299">
        <f>IF(AND($F220&lt;=BI$2, OR($G220="",$G220&gt;=BI$2)),
  $H220 * (1 + Assumptions!$C$7) ^ INT(((YEAR(BI$2)-YEAR($F220))*12 + MONTH(BI$2)-MONTH($F220)) / 12),
  0)</f>
        <v/>
      </c>
      <c r="BJ220" s="299">
        <f>IF(AND($F220&lt;=BJ$2, OR($G220="",$G220&gt;=BJ$2)),
  $H220 * (1 + Assumptions!$C$7) ^ INT(((YEAR(BJ$2)-YEAR($F220))*12 + MONTH(BJ$2)-MONTH($F220)) / 12),
  0)</f>
        <v/>
      </c>
      <c r="BK220" s="299">
        <f>IF(AND($F220&lt;=BK$2, OR($G220="",$G220&gt;=BK$2)),
  $H220 * (1 + Assumptions!$C$7) ^ INT(((YEAR(BK$2)-YEAR($F220))*12 + MONTH(BK$2)-MONTH($F220)) / 12),
  0)</f>
        <v/>
      </c>
      <c r="BL220" s="299">
        <f>IF(AND($F220&lt;=BL$2, OR($G220="",$G220&gt;=BL$2)),
  $H220 * (1 + Assumptions!$C$7) ^ INT(((YEAR(BL$2)-YEAR($F220))*12 + MONTH(BL$2)-MONTH($F220)) / 12),
  0)</f>
        <v/>
      </c>
      <c r="BM220" s="299">
        <f>IF(AND($F220&lt;=BM$2, OR($G220="",$G220&gt;=BM$2)),
  $H220 * (1 + Assumptions!$C$7) ^ INT(((YEAR(BM$2)-YEAR($F220))*12 + MONTH(BM$2)-MONTH($F220)) / 12),
  0)</f>
        <v/>
      </c>
      <c r="BN220" s="299">
        <f>IF(AND($F220&lt;=BN$2, OR($G220="",$G220&gt;=BN$2)),
  $H220 * (1 + Assumptions!$C$7) ^ INT(((YEAR(BN$2)-YEAR($F220))*12 + MONTH(BN$2)-MONTH($F220)) / 12),
  0)</f>
        <v/>
      </c>
      <c r="BO220" s="299">
        <f>IF(AND($F220&lt;=BO$2, OR($G220="",$G220&gt;=BO$2)),
  $H220 * (1 + Assumptions!$C$7) ^ INT(((YEAR(BO$2)-YEAR($F220))*12 + MONTH(BO$2)-MONTH($F220)) / 12),
  0)</f>
        <v/>
      </c>
      <c r="BP220" s="299">
        <f>IF(AND($F220&lt;=BP$2, OR($G220="",$G220&gt;=BP$2)),
  $H220 * (1 + Assumptions!$C$7) ^ INT(((YEAR(BP$2)-YEAR($F220))*12 + MONTH(BP$2)-MONTH($F220)) / 12),
  0)</f>
        <v/>
      </c>
      <c r="BQ220" s="31" t="n"/>
      <c r="BR220" s="31" t="n"/>
      <c r="BS220" s="31" t="n"/>
      <c r="BT220" s="31" t="n"/>
    </row>
    <row r="221" ht="15.75" customHeight="1" s="349">
      <c r="A221" s="321" t="n">
        <v>216</v>
      </c>
      <c r="B221" s="285" t="inlineStr">
        <is>
          <t>New hire</t>
        </is>
      </c>
      <c r="C221" s="317" t="inlineStr">
        <is>
          <t>R&amp;D</t>
        </is>
      </c>
      <c r="D221" s="317" t="inlineStr">
        <is>
          <t>R&amp;D Engineer</t>
        </is>
      </c>
      <c r="E221" s="297" t="inlineStr">
        <is>
          <t>Planned</t>
        </is>
      </c>
      <c r="F221" s="318">
        <f>IF(Assumptions!$D$82=2,DATE(2029,1,1),DATE(2035,1,1))</f>
        <v/>
      </c>
      <c r="G221" s="318" t="n"/>
      <c r="H221" s="288" t="n">
        <v>8000</v>
      </c>
      <c r="I221" s="299">
        <f>IF(AND($F221&lt;=I$2, OR($G221="",$G221&gt;=I$2)),
  $H221 * (1 + Assumptions!$C$7) ^ INT(((YEAR(I$2)-YEAR($F221))*12 + MONTH(I$2)-MONTH($F221)) / 12),
  0)</f>
        <v/>
      </c>
      <c r="J221" s="299">
        <f>IF(AND($F221&lt;=J$2, OR($G221="",$G221&gt;=J$2)),
  $H221 * (1 + Assumptions!$C$7) ^ INT(((YEAR(J$2)-YEAR($F221))*12 + MONTH(J$2)-MONTH($F221)) / 12),
  0)</f>
        <v/>
      </c>
      <c r="K221" s="299">
        <f>IF(AND($F221&lt;=K$2, OR($G221="",$G221&gt;=K$2)),
  $H221 * (1 + Assumptions!$C$7) ^ INT(((YEAR(K$2)-YEAR($F221))*12 + MONTH(K$2)-MONTH($F221)) / 12),
  0)</f>
        <v/>
      </c>
      <c r="L221" s="299">
        <f>IF(AND($F221&lt;=L$2, OR($G221="",$G221&gt;=L$2)),
  $H221 * (1 + Assumptions!$C$7) ^ INT(((YEAR(L$2)-YEAR($F221))*12 + MONTH(L$2)-MONTH($F221)) / 12),
  0)</f>
        <v/>
      </c>
      <c r="M221" s="299">
        <f>IF(AND($F221&lt;=M$2, OR($G221="",$G221&gt;=M$2)),
  $H221 * (1 + Assumptions!$C$7) ^ INT(((YEAR(M$2)-YEAR($F221))*12 + MONTH(M$2)-MONTH($F221)) / 12),
  0)</f>
        <v/>
      </c>
      <c r="N221" s="299">
        <f>IF(AND($F221&lt;=N$2, OR($G221="",$G221&gt;=N$2)),
  $H221 * (1 + Assumptions!$C$7) ^ INT(((YEAR(N$2)-YEAR($F221))*12 + MONTH(N$2)-MONTH($F221)) / 12),
  0)</f>
        <v/>
      </c>
      <c r="O221" s="299">
        <f>IF(AND($F221&lt;=O$2, OR($G221="",$G221&gt;=O$2)),
  $H221 * (1 + Assumptions!$C$7) ^ INT(((YEAR(O$2)-YEAR($F221))*12 + MONTH(O$2)-MONTH($F221)) / 12),
  0)</f>
        <v/>
      </c>
      <c r="P221" s="299">
        <f>IF(AND($F221&lt;=P$2, OR($G221="",$G221&gt;=P$2)),
  $H221 * (1 + Assumptions!$C$7) ^ INT(((YEAR(P$2)-YEAR($F221))*12 + MONTH(P$2)-MONTH($F221)) / 12),
  0)</f>
        <v/>
      </c>
      <c r="Q221" s="299">
        <f>IF(AND($F221&lt;=Q$2, OR($G221="",$G221&gt;=Q$2)),
  $H221 * (1 + Assumptions!$C$7) ^ INT(((YEAR(Q$2)-YEAR($F221))*12 + MONTH(Q$2)-MONTH($F221)) / 12),
  0)</f>
        <v/>
      </c>
      <c r="R221" s="299">
        <f>IF(AND($F221&lt;=R$2, OR($G221="",$G221&gt;=R$2)),
  $H221 * (1 + Assumptions!$C$7) ^ INT(((YEAR(R$2)-YEAR($F221))*12 + MONTH(R$2)-MONTH($F221)) / 12),
  0)</f>
        <v/>
      </c>
      <c r="S221" s="299">
        <f>IF(AND($F221&lt;=S$2, OR($G221="",$G221&gt;=S$2)),
  $H221 * (1 + Assumptions!$C$7) ^ INT(((YEAR(S$2)-YEAR($F221))*12 + MONTH(S$2)-MONTH($F221)) / 12),
  0)</f>
        <v/>
      </c>
      <c r="T221" s="299">
        <f>IF(AND($F221&lt;=T$2, OR($G221="",$G221&gt;=T$2)),
  $H221 * (1 + Assumptions!$C$7) ^ INT(((YEAR(T$2)-YEAR($F221))*12 + MONTH(T$2)-MONTH($F221)) / 12),
  0)</f>
        <v/>
      </c>
      <c r="U221" s="299">
        <f>IF(AND($F221&lt;=U$2, OR($G221="",$G221&gt;=U$2)),
  $H221 * (1 + Assumptions!$C$7) ^ INT(((YEAR(U$2)-YEAR($F221))*12 + MONTH(U$2)-MONTH($F221)) / 12),
  0)</f>
        <v/>
      </c>
      <c r="V221" s="299">
        <f>IF(AND($F221&lt;=V$2, OR($G221="",$G221&gt;=V$2)),
  $H221 * (1 + Assumptions!$C$7) ^ INT(((YEAR(V$2)-YEAR($F221))*12 + MONTH(V$2)-MONTH($F221)) / 12),
  0)</f>
        <v/>
      </c>
      <c r="W221" s="299">
        <f>IF(AND($F221&lt;=W$2, OR($G221="",$G221&gt;=W$2)),
  $H221 * (1 + Assumptions!$C$7) ^ INT(((YEAR(W$2)-YEAR($F221))*12 + MONTH(W$2)-MONTH($F221)) / 12),
  0)</f>
        <v/>
      </c>
      <c r="X221" s="299">
        <f>IF(AND($F221&lt;=X$2, OR($G221="",$G221&gt;=X$2)),
  $H221 * (1 + Assumptions!$C$7) ^ INT(((YEAR(X$2)-YEAR($F221))*12 + MONTH(X$2)-MONTH($F221)) / 12),
  0)</f>
        <v/>
      </c>
      <c r="Y221" s="299">
        <f>IF(AND($F221&lt;=Y$2, OR($G221="",$G221&gt;=Y$2)),
  $H221 * (1 + Assumptions!$C$7) ^ INT(((YEAR(Y$2)-YEAR($F221))*12 + MONTH(Y$2)-MONTH($F221)) / 12),
  0)</f>
        <v/>
      </c>
      <c r="Z221" s="299">
        <f>IF(AND($F221&lt;=Z$2, OR($G221="",$G221&gt;=Z$2)),
  $H221 * (1 + Assumptions!$C$7) ^ INT(((YEAR(Z$2)-YEAR($F221))*12 + MONTH(Z$2)-MONTH($F221)) / 12),
  0)</f>
        <v/>
      </c>
      <c r="AA221" s="299">
        <f>IF(AND($F221&lt;=AA$2, OR($G221="",$G221&gt;=AA$2)),
  $H221 * (1 + Assumptions!$C$7) ^ INT(((YEAR(AA$2)-YEAR($F221))*12 + MONTH(AA$2)-MONTH($F221)) / 12),
  0)</f>
        <v/>
      </c>
      <c r="AB221" s="299">
        <f>IF(AND($F221&lt;=AB$2, OR($G221="",$G221&gt;=AB$2)),
  $H221 * (1 + Assumptions!$C$7) ^ INT(((YEAR(AB$2)-YEAR($F221))*12 + MONTH(AB$2)-MONTH($F221)) / 12),
  0)</f>
        <v/>
      </c>
      <c r="AC221" s="299">
        <f>IF(AND($F221&lt;=AC$2, OR($G221="",$G221&gt;=AC$2)),
  $H221 * (1 + Assumptions!$C$7) ^ INT(((YEAR(AC$2)-YEAR($F221))*12 + MONTH(AC$2)-MONTH($F221)) / 12),
  0)</f>
        <v/>
      </c>
      <c r="AD221" s="299">
        <f>IF(AND($F221&lt;=AD$2, OR($G221="",$G221&gt;=AD$2)),
  $H221 * (1 + Assumptions!$C$7) ^ INT(((YEAR(AD$2)-YEAR($F221))*12 + MONTH(AD$2)-MONTH($F221)) / 12),
  0)</f>
        <v/>
      </c>
      <c r="AE221" s="299">
        <f>IF(AND($F221&lt;=AE$2, OR($G221="",$G221&gt;=AE$2)),
  $H221 * (1 + Assumptions!$C$7) ^ INT(((YEAR(AE$2)-YEAR($F221))*12 + MONTH(AE$2)-MONTH($F221)) / 12),
  0)</f>
        <v/>
      </c>
      <c r="AF221" s="299">
        <f>IF(AND($F221&lt;=AF$2, OR($G221="",$G221&gt;=AF$2)),
  $H221 * (1 + Assumptions!$C$7) ^ INT(((YEAR(AF$2)-YEAR($F221))*12 + MONTH(AF$2)-MONTH($F221)) / 12),
  0)</f>
        <v/>
      </c>
      <c r="AG221" s="299">
        <f>IF(AND($F221&lt;=AG$2, OR($G221="",$G221&gt;=AG$2)),
  $H221 * (1 + Assumptions!$C$7) ^ INT(((YEAR(AG$2)-YEAR($F221))*12 + MONTH(AG$2)-MONTH($F221)) / 12),
  0)</f>
        <v/>
      </c>
      <c r="AH221" s="299">
        <f>IF(AND($F221&lt;=AH$2, OR($G221="",$G221&gt;=AH$2)),
  $H221 * (1 + Assumptions!$C$7) ^ INT(((YEAR(AH$2)-YEAR($F221))*12 + MONTH(AH$2)-MONTH($F221)) / 12),
  0)</f>
        <v/>
      </c>
      <c r="AI221" s="299">
        <f>IF(AND($F221&lt;=AI$2, OR($G221="",$G221&gt;=AI$2)),
  $H221 * (1 + Assumptions!$C$7) ^ INT(((YEAR(AI$2)-YEAR($F221))*12 + MONTH(AI$2)-MONTH($F221)) / 12),
  0)</f>
        <v/>
      </c>
      <c r="AJ221" s="299">
        <f>IF(AND($F221&lt;=AJ$2, OR($G221="",$G221&gt;=AJ$2)),
  $H221 * (1 + Assumptions!$C$7) ^ INT(((YEAR(AJ$2)-YEAR($F221))*12 + MONTH(AJ$2)-MONTH($F221)) / 12),
  0)</f>
        <v/>
      </c>
      <c r="AK221" s="299">
        <f>IF(AND($F221&lt;=AK$2, OR($G221="",$G221&gt;=AK$2)),
  $H221 * (1 + Assumptions!$C$7) ^ INT(((YEAR(AK$2)-YEAR($F221))*12 + MONTH(AK$2)-MONTH($F221)) / 12),
  0)</f>
        <v/>
      </c>
      <c r="AL221" s="299">
        <f>IF(AND($F221&lt;=AL$2, OR($G221="",$G221&gt;=AL$2)),
  $H221 * (1 + Assumptions!$C$7) ^ INT(((YEAR(AL$2)-YEAR($F221))*12 + MONTH(AL$2)-MONTH($F221)) / 12),
  0)</f>
        <v/>
      </c>
      <c r="AM221" s="299">
        <f>IF(AND($F221&lt;=AM$2, OR($G221="",$G221&gt;=AM$2)),
  $H221 * (1 + Assumptions!$C$7) ^ INT(((YEAR(AM$2)-YEAR($F221))*12 + MONTH(AM$2)-MONTH($F221)) / 12),
  0)</f>
        <v/>
      </c>
      <c r="AN221" s="299">
        <f>IF(AND($F221&lt;=AN$2, OR($G221="",$G221&gt;=AN$2)),
  $H221 * (1 + Assumptions!$C$7) ^ INT(((YEAR(AN$2)-YEAR($F221))*12 + MONTH(AN$2)-MONTH($F221)) / 12),
  0)</f>
        <v/>
      </c>
      <c r="AO221" s="299">
        <f>IF(AND($F221&lt;=AO$2, OR($G221="",$G221&gt;=AO$2)),
  $H221 * (1 + Assumptions!$C$7) ^ INT(((YEAR(AO$2)-YEAR($F221))*12 + MONTH(AO$2)-MONTH($F221)) / 12),
  0)</f>
        <v/>
      </c>
      <c r="AP221" s="299">
        <f>IF(AND($F221&lt;=AP$2, OR($G221="",$G221&gt;=AP$2)),
  $H221 * (1 + Assumptions!$C$7) ^ INT(((YEAR(AP$2)-YEAR($F221))*12 + MONTH(AP$2)-MONTH($F221)) / 12),
  0)</f>
        <v/>
      </c>
      <c r="AQ221" s="299">
        <f>IF(AND($F221&lt;=AQ$2, OR($G221="",$G221&gt;=AQ$2)),
  $H221 * (1 + Assumptions!$C$7) ^ INT(((YEAR(AQ$2)-YEAR($F221))*12 + MONTH(AQ$2)-MONTH($F221)) / 12),
  0)</f>
        <v/>
      </c>
      <c r="AR221" s="299">
        <f>IF(AND($F221&lt;=AR$2, OR($G221="",$G221&gt;=AR$2)),
  $H221 * (1 + Assumptions!$C$7) ^ INT(((YEAR(AR$2)-YEAR($F221))*12 + MONTH(AR$2)-MONTH($F221)) / 12),
  0)</f>
        <v/>
      </c>
      <c r="AS221" s="299">
        <f>IF(AND($F221&lt;=AS$2, OR($G221="",$G221&gt;=AS$2)),
  $H221 * (1 + Assumptions!$C$7) ^ INT(((YEAR(AS$2)-YEAR($F221))*12 + MONTH(AS$2)-MONTH($F221)) / 12),
  0)</f>
        <v/>
      </c>
      <c r="AT221" s="299">
        <f>IF(AND($F221&lt;=AT$2, OR($G221="",$G221&gt;=AT$2)),
  $H221 * (1 + Assumptions!$C$7) ^ INT(((YEAR(AT$2)-YEAR($F221))*12 + MONTH(AT$2)-MONTH($F221)) / 12),
  0)</f>
        <v/>
      </c>
      <c r="AU221" s="299">
        <f>IF(AND($F221&lt;=AU$2, OR($G221="",$G221&gt;=AU$2)),
  $H221 * (1 + Assumptions!$C$7) ^ INT(((YEAR(AU$2)-YEAR($F221))*12 + MONTH(AU$2)-MONTH($F221)) / 12),
  0)</f>
        <v/>
      </c>
      <c r="AV221" s="299">
        <f>IF(AND($F221&lt;=AV$2, OR($G221="",$G221&gt;=AV$2)),
  $H221 * (1 + Assumptions!$C$7) ^ INT(((YEAR(AV$2)-YEAR($F221))*12 + MONTH(AV$2)-MONTH($F221)) / 12),
  0)</f>
        <v/>
      </c>
      <c r="AW221" s="299">
        <f>IF(AND($F221&lt;=AW$2, OR($G221="",$G221&gt;=AW$2)),
  $H221 * (1 + Assumptions!$C$7) ^ INT(((YEAR(AW$2)-YEAR($F221))*12 + MONTH(AW$2)-MONTH($F221)) / 12),
  0)</f>
        <v/>
      </c>
      <c r="AX221" s="299">
        <f>IF(AND($F221&lt;=AX$2, OR($G221="",$G221&gt;=AX$2)),
  $H221 * (1 + Assumptions!$C$7) ^ INT(((YEAR(AX$2)-YEAR($F221))*12 + MONTH(AX$2)-MONTH($F221)) / 12),
  0)</f>
        <v/>
      </c>
      <c r="AY221" s="299">
        <f>IF(AND($F221&lt;=AY$2, OR($G221="",$G221&gt;=AY$2)),
  $H221 * (1 + Assumptions!$C$7) ^ INT(((YEAR(AY$2)-YEAR($F221))*12 + MONTH(AY$2)-MONTH($F221)) / 12),
  0)</f>
        <v/>
      </c>
      <c r="AZ221" s="299">
        <f>IF(AND($F221&lt;=AZ$2, OR($G221="",$G221&gt;=AZ$2)),
  $H221 * (1 + Assumptions!$C$7) ^ INT(((YEAR(AZ$2)-YEAR($F221))*12 + MONTH(AZ$2)-MONTH($F221)) / 12),
  0)</f>
        <v/>
      </c>
      <c r="BA221" s="299">
        <f>IF(AND($F221&lt;=BA$2, OR($G221="",$G221&gt;=BA$2)),
  $H221 * (1 + Assumptions!$C$7) ^ INT(((YEAR(BA$2)-YEAR($F221))*12 + MONTH(BA$2)-MONTH($F221)) / 12),
  0)</f>
        <v/>
      </c>
      <c r="BB221" s="299">
        <f>IF(AND($F221&lt;=BB$2, OR($G221="",$G221&gt;=BB$2)),
  $H221 * (1 + Assumptions!$C$7) ^ INT(((YEAR(BB$2)-YEAR($F221))*12 + MONTH(BB$2)-MONTH($F221)) / 12),
  0)</f>
        <v/>
      </c>
      <c r="BC221" s="299">
        <f>IF(AND($F221&lt;=BC$2, OR($G221="",$G221&gt;=BC$2)),
  $H221 * (1 + Assumptions!$C$7) ^ INT(((YEAR(BC$2)-YEAR($F221))*12 + MONTH(BC$2)-MONTH($F221)) / 12),
  0)</f>
        <v/>
      </c>
      <c r="BD221" s="299">
        <f>IF(AND($F221&lt;=BD$2, OR($G221="",$G221&gt;=BD$2)),
  $H221 * (1 + Assumptions!$C$7) ^ INT(((YEAR(BD$2)-YEAR($F221))*12 + MONTH(BD$2)-MONTH($F221)) / 12),
  0)</f>
        <v/>
      </c>
      <c r="BE221" s="299">
        <f>IF(AND($F221&lt;=BE$2, OR($G221="",$G221&gt;=BE$2)),
  $H221 * (1 + Assumptions!$C$7) ^ INT(((YEAR(BE$2)-YEAR($F221))*12 + MONTH(BE$2)-MONTH($F221)) / 12),
  0)</f>
        <v/>
      </c>
      <c r="BF221" s="299">
        <f>IF(AND($F221&lt;=BF$2, OR($G221="",$G221&gt;=BF$2)),
  $H221 * (1 + Assumptions!$C$7) ^ INT(((YEAR(BF$2)-YEAR($F221))*12 + MONTH(BF$2)-MONTH($F221)) / 12),
  0)</f>
        <v/>
      </c>
      <c r="BG221" s="299">
        <f>IF(AND($F221&lt;=BG$2, OR($G221="",$G221&gt;=BG$2)),
  $H221 * (1 + Assumptions!$C$7) ^ INT(((YEAR(BG$2)-YEAR($F221))*12 + MONTH(BG$2)-MONTH($F221)) / 12),
  0)</f>
        <v/>
      </c>
      <c r="BH221" s="299">
        <f>IF(AND($F221&lt;=BH$2, OR($G221="",$G221&gt;=BH$2)),
  $H221 * (1 + Assumptions!$C$7) ^ INT(((YEAR(BH$2)-YEAR($F221))*12 + MONTH(BH$2)-MONTH($F221)) / 12),
  0)</f>
        <v/>
      </c>
      <c r="BI221" s="299">
        <f>IF(AND($F221&lt;=BI$2, OR($G221="",$G221&gt;=BI$2)),
  $H221 * (1 + Assumptions!$C$7) ^ INT(((YEAR(BI$2)-YEAR($F221))*12 + MONTH(BI$2)-MONTH($F221)) / 12),
  0)</f>
        <v/>
      </c>
      <c r="BJ221" s="299">
        <f>IF(AND($F221&lt;=BJ$2, OR($G221="",$G221&gt;=BJ$2)),
  $H221 * (1 + Assumptions!$C$7) ^ INT(((YEAR(BJ$2)-YEAR($F221))*12 + MONTH(BJ$2)-MONTH($F221)) / 12),
  0)</f>
        <v/>
      </c>
      <c r="BK221" s="299">
        <f>IF(AND($F221&lt;=BK$2, OR($G221="",$G221&gt;=BK$2)),
  $H221 * (1 + Assumptions!$C$7) ^ INT(((YEAR(BK$2)-YEAR($F221))*12 + MONTH(BK$2)-MONTH($F221)) / 12),
  0)</f>
        <v/>
      </c>
      <c r="BL221" s="299">
        <f>IF(AND($F221&lt;=BL$2, OR($G221="",$G221&gt;=BL$2)),
  $H221 * (1 + Assumptions!$C$7) ^ INT(((YEAR(BL$2)-YEAR($F221))*12 + MONTH(BL$2)-MONTH($F221)) / 12),
  0)</f>
        <v/>
      </c>
      <c r="BM221" s="299">
        <f>IF(AND($F221&lt;=BM$2, OR($G221="",$G221&gt;=BM$2)),
  $H221 * (1 + Assumptions!$C$7) ^ INT(((YEAR(BM$2)-YEAR($F221))*12 + MONTH(BM$2)-MONTH($F221)) / 12),
  0)</f>
        <v/>
      </c>
      <c r="BN221" s="299">
        <f>IF(AND($F221&lt;=BN$2, OR($G221="",$G221&gt;=BN$2)),
  $H221 * (1 + Assumptions!$C$7) ^ INT(((YEAR(BN$2)-YEAR($F221))*12 + MONTH(BN$2)-MONTH($F221)) / 12),
  0)</f>
        <v/>
      </c>
      <c r="BO221" s="299">
        <f>IF(AND($F221&lt;=BO$2, OR($G221="",$G221&gt;=BO$2)),
  $H221 * (1 + Assumptions!$C$7) ^ INT(((YEAR(BO$2)-YEAR($F221))*12 + MONTH(BO$2)-MONTH($F221)) / 12),
  0)</f>
        <v/>
      </c>
      <c r="BP221" s="299">
        <f>IF(AND($F221&lt;=BP$2, OR($G221="",$G221&gt;=BP$2)),
  $H221 * (1 + Assumptions!$C$7) ^ INT(((YEAR(BP$2)-YEAR($F221))*12 + MONTH(BP$2)-MONTH($F221)) / 12),
  0)</f>
        <v/>
      </c>
      <c r="BQ221" s="31" t="n"/>
      <c r="BR221" s="31" t="n"/>
      <c r="BS221" s="31" t="n"/>
      <c r="BT221" s="31" t="n"/>
    </row>
    <row r="222" ht="15.75" customHeight="1" s="349">
      <c r="A222" s="321" t="n">
        <v>217</v>
      </c>
      <c r="B222" s="285" t="inlineStr">
        <is>
          <t>New hire</t>
        </is>
      </c>
      <c r="C222" s="317" t="inlineStr">
        <is>
          <t>R&amp;D</t>
        </is>
      </c>
      <c r="D222" s="317" t="inlineStr">
        <is>
          <t>R&amp;D Engineer</t>
        </is>
      </c>
      <c r="E222" s="297" t="inlineStr">
        <is>
          <t>Planned</t>
        </is>
      </c>
      <c r="F222" s="318">
        <f>IF(Assumptions!$D$82=2,DATE(2029,1,1),DATE(2035,1,1))</f>
        <v/>
      </c>
      <c r="G222" s="318" t="n"/>
      <c r="H222" s="288" t="n">
        <v>8000</v>
      </c>
      <c r="I222" s="299">
        <f>IF(AND($F222&lt;=I$2, OR($G222="",$G222&gt;=I$2)),
  $H222 * (1 + Assumptions!$C$7) ^ INT(((YEAR(I$2)-YEAR($F222))*12 + MONTH(I$2)-MONTH($F222)) / 12),
  0)</f>
        <v/>
      </c>
      <c r="J222" s="299">
        <f>IF(AND($F222&lt;=J$2, OR($G222="",$G222&gt;=J$2)),
  $H222 * (1 + Assumptions!$C$7) ^ INT(((YEAR(J$2)-YEAR($F222))*12 + MONTH(J$2)-MONTH($F222)) / 12),
  0)</f>
        <v/>
      </c>
      <c r="K222" s="299">
        <f>IF(AND($F222&lt;=K$2, OR($G222="",$G222&gt;=K$2)),
  $H222 * (1 + Assumptions!$C$7) ^ INT(((YEAR(K$2)-YEAR($F222))*12 + MONTH(K$2)-MONTH($F222)) / 12),
  0)</f>
        <v/>
      </c>
      <c r="L222" s="299">
        <f>IF(AND($F222&lt;=L$2, OR($G222="",$G222&gt;=L$2)),
  $H222 * (1 + Assumptions!$C$7) ^ INT(((YEAR(L$2)-YEAR($F222))*12 + MONTH(L$2)-MONTH($F222)) / 12),
  0)</f>
        <v/>
      </c>
      <c r="M222" s="299">
        <f>IF(AND($F222&lt;=M$2, OR($G222="",$G222&gt;=M$2)),
  $H222 * (1 + Assumptions!$C$7) ^ INT(((YEAR(M$2)-YEAR($F222))*12 + MONTH(M$2)-MONTH($F222)) / 12),
  0)</f>
        <v/>
      </c>
      <c r="N222" s="299">
        <f>IF(AND($F222&lt;=N$2, OR($G222="",$G222&gt;=N$2)),
  $H222 * (1 + Assumptions!$C$7) ^ INT(((YEAR(N$2)-YEAR($F222))*12 + MONTH(N$2)-MONTH($F222)) / 12),
  0)</f>
        <v/>
      </c>
      <c r="O222" s="299">
        <f>IF(AND($F222&lt;=O$2, OR($G222="",$G222&gt;=O$2)),
  $H222 * (1 + Assumptions!$C$7) ^ INT(((YEAR(O$2)-YEAR($F222))*12 + MONTH(O$2)-MONTH($F222)) / 12),
  0)</f>
        <v/>
      </c>
      <c r="P222" s="299">
        <f>IF(AND($F222&lt;=P$2, OR($G222="",$G222&gt;=P$2)),
  $H222 * (1 + Assumptions!$C$7) ^ INT(((YEAR(P$2)-YEAR($F222))*12 + MONTH(P$2)-MONTH($F222)) / 12),
  0)</f>
        <v/>
      </c>
      <c r="Q222" s="299">
        <f>IF(AND($F222&lt;=Q$2, OR($G222="",$G222&gt;=Q$2)),
  $H222 * (1 + Assumptions!$C$7) ^ INT(((YEAR(Q$2)-YEAR($F222))*12 + MONTH(Q$2)-MONTH($F222)) / 12),
  0)</f>
        <v/>
      </c>
      <c r="R222" s="299">
        <f>IF(AND($F222&lt;=R$2, OR($G222="",$G222&gt;=R$2)),
  $H222 * (1 + Assumptions!$C$7) ^ INT(((YEAR(R$2)-YEAR($F222))*12 + MONTH(R$2)-MONTH($F222)) / 12),
  0)</f>
        <v/>
      </c>
      <c r="S222" s="299">
        <f>IF(AND($F222&lt;=S$2, OR($G222="",$G222&gt;=S$2)),
  $H222 * (1 + Assumptions!$C$7) ^ INT(((YEAR(S$2)-YEAR($F222))*12 + MONTH(S$2)-MONTH($F222)) / 12),
  0)</f>
        <v/>
      </c>
      <c r="T222" s="299">
        <f>IF(AND($F222&lt;=T$2, OR($G222="",$G222&gt;=T$2)),
  $H222 * (1 + Assumptions!$C$7) ^ INT(((YEAR(T$2)-YEAR($F222))*12 + MONTH(T$2)-MONTH($F222)) / 12),
  0)</f>
        <v/>
      </c>
      <c r="U222" s="299">
        <f>IF(AND($F222&lt;=U$2, OR($G222="",$G222&gt;=U$2)),
  $H222 * (1 + Assumptions!$C$7) ^ INT(((YEAR(U$2)-YEAR($F222))*12 + MONTH(U$2)-MONTH($F222)) / 12),
  0)</f>
        <v/>
      </c>
      <c r="V222" s="299">
        <f>IF(AND($F222&lt;=V$2, OR($G222="",$G222&gt;=V$2)),
  $H222 * (1 + Assumptions!$C$7) ^ INT(((YEAR(V$2)-YEAR($F222))*12 + MONTH(V$2)-MONTH($F222)) / 12),
  0)</f>
        <v/>
      </c>
      <c r="W222" s="299">
        <f>IF(AND($F222&lt;=W$2, OR($G222="",$G222&gt;=W$2)),
  $H222 * (1 + Assumptions!$C$7) ^ INT(((YEAR(W$2)-YEAR($F222))*12 + MONTH(W$2)-MONTH($F222)) / 12),
  0)</f>
        <v/>
      </c>
      <c r="X222" s="299">
        <f>IF(AND($F222&lt;=X$2, OR($G222="",$G222&gt;=X$2)),
  $H222 * (1 + Assumptions!$C$7) ^ INT(((YEAR(X$2)-YEAR($F222))*12 + MONTH(X$2)-MONTH($F222)) / 12),
  0)</f>
        <v/>
      </c>
      <c r="Y222" s="299">
        <f>IF(AND($F222&lt;=Y$2, OR($G222="",$G222&gt;=Y$2)),
  $H222 * (1 + Assumptions!$C$7) ^ INT(((YEAR(Y$2)-YEAR($F222))*12 + MONTH(Y$2)-MONTH($F222)) / 12),
  0)</f>
        <v/>
      </c>
      <c r="Z222" s="299">
        <f>IF(AND($F222&lt;=Z$2, OR($G222="",$G222&gt;=Z$2)),
  $H222 * (1 + Assumptions!$C$7) ^ INT(((YEAR(Z$2)-YEAR($F222))*12 + MONTH(Z$2)-MONTH($F222)) / 12),
  0)</f>
        <v/>
      </c>
      <c r="AA222" s="299">
        <f>IF(AND($F222&lt;=AA$2, OR($G222="",$G222&gt;=AA$2)),
  $H222 * (1 + Assumptions!$C$7) ^ INT(((YEAR(AA$2)-YEAR($F222))*12 + MONTH(AA$2)-MONTH($F222)) / 12),
  0)</f>
        <v/>
      </c>
      <c r="AB222" s="299">
        <f>IF(AND($F222&lt;=AB$2, OR($G222="",$G222&gt;=AB$2)),
  $H222 * (1 + Assumptions!$C$7) ^ INT(((YEAR(AB$2)-YEAR($F222))*12 + MONTH(AB$2)-MONTH($F222)) / 12),
  0)</f>
        <v/>
      </c>
      <c r="AC222" s="299">
        <f>IF(AND($F222&lt;=AC$2, OR($G222="",$G222&gt;=AC$2)),
  $H222 * (1 + Assumptions!$C$7) ^ INT(((YEAR(AC$2)-YEAR($F222))*12 + MONTH(AC$2)-MONTH($F222)) / 12),
  0)</f>
        <v/>
      </c>
      <c r="AD222" s="299">
        <f>IF(AND($F222&lt;=AD$2, OR($G222="",$G222&gt;=AD$2)),
  $H222 * (1 + Assumptions!$C$7) ^ INT(((YEAR(AD$2)-YEAR($F222))*12 + MONTH(AD$2)-MONTH($F222)) / 12),
  0)</f>
        <v/>
      </c>
      <c r="AE222" s="299">
        <f>IF(AND($F222&lt;=AE$2, OR($G222="",$G222&gt;=AE$2)),
  $H222 * (1 + Assumptions!$C$7) ^ INT(((YEAR(AE$2)-YEAR($F222))*12 + MONTH(AE$2)-MONTH($F222)) / 12),
  0)</f>
        <v/>
      </c>
      <c r="AF222" s="299">
        <f>IF(AND($F222&lt;=AF$2, OR($G222="",$G222&gt;=AF$2)),
  $H222 * (1 + Assumptions!$C$7) ^ INT(((YEAR(AF$2)-YEAR($F222))*12 + MONTH(AF$2)-MONTH($F222)) / 12),
  0)</f>
        <v/>
      </c>
      <c r="AG222" s="299">
        <f>IF(AND($F222&lt;=AG$2, OR($G222="",$G222&gt;=AG$2)),
  $H222 * (1 + Assumptions!$C$7) ^ INT(((YEAR(AG$2)-YEAR($F222))*12 + MONTH(AG$2)-MONTH($F222)) / 12),
  0)</f>
        <v/>
      </c>
      <c r="AH222" s="299">
        <f>IF(AND($F222&lt;=AH$2, OR($G222="",$G222&gt;=AH$2)),
  $H222 * (1 + Assumptions!$C$7) ^ INT(((YEAR(AH$2)-YEAR($F222))*12 + MONTH(AH$2)-MONTH($F222)) / 12),
  0)</f>
        <v/>
      </c>
      <c r="AI222" s="299">
        <f>IF(AND($F222&lt;=AI$2, OR($G222="",$G222&gt;=AI$2)),
  $H222 * (1 + Assumptions!$C$7) ^ INT(((YEAR(AI$2)-YEAR($F222))*12 + MONTH(AI$2)-MONTH($F222)) / 12),
  0)</f>
        <v/>
      </c>
      <c r="AJ222" s="299">
        <f>IF(AND($F222&lt;=AJ$2, OR($G222="",$G222&gt;=AJ$2)),
  $H222 * (1 + Assumptions!$C$7) ^ INT(((YEAR(AJ$2)-YEAR($F222))*12 + MONTH(AJ$2)-MONTH($F222)) / 12),
  0)</f>
        <v/>
      </c>
      <c r="AK222" s="299">
        <f>IF(AND($F222&lt;=AK$2, OR($G222="",$G222&gt;=AK$2)),
  $H222 * (1 + Assumptions!$C$7) ^ INT(((YEAR(AK$2)-YEAR($F222))*12 + MONTH(AK$2)-MONTH($F222)) / 12),
  0)</f>
        <v/>
      </c>
      <c r="AL222" s="299">
        <f>IF(AND($F222&lt;=AL$2, OR($G222="",$G222&gt;=AL$2)),
  $H222 * (1 + Assumptions!$C$7) ^ INT(((YEAR(AL$2)-YEAR($F222))*12 + MONTH(AL$2)-MONTH($F222)) / 12),
  0)</f>
        <v/>
      </c>
      <c r="AM222" s="299">
        <f>IF(AND($F222&lt;=AM$2, OR($G222="",$G222&gt;=AM$2)),
  $H222 * (1 + Assumptions!$C$7) ^ INT(((YEAR(AM$2)-YEAR($F222))*12 + MONTH(AM$2)-MONTH($F222)) / 12),
  0)</f>
        <v/>
      </c>
      <c r="AN222" s="299">
        <f>IF(AND($F222&lt;=AN$2, OR($G222="",$G222&gt;=AN$2)),
  $H222 * (1 + Assumptions!$C$7) ^ INT(((YEAR(AN$2)-YEAR($F222))*12 + MONTH(AN$2)-MONTH($F222)) / 12),
  0)</f>
        <v/>
      </c>
      <c r="AO222" s="299">
        <f>IF(AND($F222&lt;=AO$2, OR($G222="",$G222&gt;=AO$2)),
  $H222 * (1 + Assumptions!$C$7) ^ INT(((YEAR(AO$2)-YEAR($F222))*12 + MONTH(AO$2)-MONTH($F222)) / 12),
  0)</f>
        <v/>
      </c>
      <c r="AP222" s="299">
        <f>IF(AND($F222&lt;=AP$2, OR($G222="",$G222&gt;=AP$2)),
  $H222 * (1 + Assumptions!$C$7) ^ INT(((YEAR(AP$2)-YEAR($F222))*12 + MONTH(AP$2)-MONTH($F222)) / 12),
  0)</f>
        <v/>
      </c>
      <c r="AQ222" s="299">
        <f>IF(AND($F222&lt;=AQ$2, OR($G222="",$G222&gt;=AQ$2)),
  $H222 * (1 + Assumptions!$C$7) ^ INT(((YEAR(AQ$2)-YEAR($F222))*12 + MONTH(AQ$2)-MONTH($F222)) / 12),
  0)</f>
        <v/>
      </c>
      <c r="AR222" s="299">
        <f>IF(AND($F222&lt;=AR$2, OR($G222="",$G222&gt;=AR$2)),
  $H222 * (1 + Assumptions!$C$7) ^ INT(((YEAR(AR$2)-YEAR($F222))*12 + MONTH(AR$2)-MONTH($F222)) / 12),
  0)</f>
        <v/>
      </c>
      <c r="AS222" s="299">
        <f>IF(AND($F222&lt;=AS$2, OR($G222="",$G222&gt;=AS$2)),
  $H222 * (1 + Assumptions!$C$7) ^ INT(((YEAR(AS$2)-YEAR($F222))*12 + MONTH(AS$2)-MONTH($F222)) / 12),
  0)</f>
        <v/>
      </c>
      <c r="AT222" s="299">
        <f>IF(AND($F222&lt;=AT$2, OR($G222="",$G222&gt;=AT$2)),
  $H222 * (1 + Assumptions!$C$7) ^ INT(((YEAR(AT$2)-YEAR($F222))*12 + MONTH(AT$2)-MONTH($F222)) / 12),
  0)</f>
        <v/>
      </c>
      <c r="AU222" s="299">
        <f>IF(AND($F222&lt;=AU$2, OR($G222="",$G222&gt;=AU$2)),
  $H222 * (1 + Assumptions!$C$7) ^ INT(((YEAR(AU$2)-YEAR($F222))*12 + MONTH(AU$2)-MONTH($F222)) / 12),
  0)</f>
        <v/>
      </c>
      <c r="AV222" s="299">
        <f>IF(AND($F222&lt;=AV$2, OR($G222="",$G222&gt;=AV$2)),
  $H222 * (1 + Assumptions!$C$7) ^ INT(((YEAR(AV$2)-YEAR($F222))*12 + MONTH(AV$2)-MONTH($F222)) / 12),
  0)</f>
        <v/>
      </c>
      <c r="AW222" s="299">
        <f>IF(AND($F222&lt;=AW$2, OR($G222="",$G222&gt;=AW$2)),
  $H222 * (1 + Assumptions!$C$7) ^ INT(((YEAR(AW$2)-YEAR($F222))*12 + MONTH(AW$2)-MONTH($F222)) / 12),
  0)</f>
        <v/>
      </c>
      <c r="AX222" s="299">
        <f>IF(AND($F222&lt;=AX$2, OR($G222="",$G222&gt;=AX$2)),
  $H222 * (1 + Assumptions!$C$7) ^ INT(((YEAR(AX$2)-YEAR($F222))*12 + MONTH(AX$2)-MONTH($F222)) / 12),
  0)</f>
        <v/>
      </c>
      <c r="AY222" s="299">
        <f>IF(AND($F222&lt;=AY$2, OR($G222="",$G222&gt;=AY$2)),
  $H222 * (1 + Assumptions!$C$7) ^ INT(((YEAR(AY$2)-YEAR($F222))*12 + MONTH(AY$2)-MONTH($F222)) / 12),
  0)</f>
        <v/>
      </c>
      <c r="AZ222" s="299">
        <f>IF(AND($F222&lt;=AZ$2, OR($G222="",$G222&gt;=AZ$2)),
  $H222 * (1 + Assumptions!$C$7) ^ INT(((YEAR(AZ$2)-YEAR($F222))*12 + MONTH(AZ$2)-MONTH($F222)) / 12),
  0)</f>
        <v/>
      </c>
      <c r="BA222" s="299">
        <f>IF(AND($F222&lt;=BA$2, OR($G222="",$G222&gt;=BA$2)),
  $H222 * (1 + Assumptions!$C$7) ^ INT(((YEAR(BA$2)-YEAR($F222))*12 + MONTH(BA$2)-MONTH($F222)) / 12),
  0)</f>
        <v/>
      </c>
      <c r="BB222" s="299">
        <f>IF(AND($F222&lt;=BB$2, OR($G222="",$G222&gt;=BB$2)),
  $H222 * (1 + Assumptions!$C$7) ^ INT(((YEAR(BB$2)-YEAR($F222))*12 + MONTH(BB$2)-MONTH($F222)) / 12),
  0)</f>
        <v/>
      </c>
      <c r="BC222" s="299">
        <f>IF(AND($F222&lt;=BC$2, OR($G222="",$G222&gt;=BC$2)),
  $H222 * (1 + Assumptions!$C$7) ^ INT(((YEAR(BC$2)-YEAR($F222))*12 + MONTH(BC$2)-MONTH($F222)) / 12),
  0)</f>
        <v/>
      </c>
      <c r="BD222" s="299">
        <f>IF(AND($F222&lt;=BD$2, OR($G222="",$G222&gt;=BD$2)),
  $H222 * (1 + Assumptions!$C$7) ^ INT(((YEAR(BD$2)-YEAR($F222))*12 + MONTH(BD$2)-MONTH($F222)) / 12),
  0)</f>
        <v/>
      </c>
      <c r="BE222" s="299">
        <f>IF(AND($F222&lt;=BE$2, OR($G222="",$G222&gt;=BE$2)),
  $H222 * (1 + Assumptions!$C$7) ^ INT(((YEAR(BE$2)-YEAR($F222))*12 + MONTH(BE$2)-MONTH($F222)) / 12),
  0)</f>
        <v/>
      </c>
      <c r="BF222" s="299">
        <f>IF(AND($F222&lt;=BF$2, OR($G222="",$G222&gt;=BF$2)),
  $H222 * (1 + Assumptions!$C$7) ^ INT(((YEAR(BF$2)-YEAR($F222))*12 + MONTH(BF$2)-MONTH($F222)) / 12),
  0)</f>
        <v/>
      </c>
      <c r="BG222" s="299">
        <f>IF(AND($F222&lt;=BG$2, OR($G222="",$G222&gt;=BG$2)),
  $H222 * (1 + Assumptions!$C$7) ^ INT(((YEAR(BG$2)-YEAR($F222))*12 + MONTH(BG$2)-MONTH($F222)) / 12),
  0)</f>
        <v/>
      </c>
      <c r="BH222" s="299">
        <f>IF(AND($F222&lt;=BH$2, OR($G222="",$G222&gt;=BH$2)),
  $H222 * (1 + Assumptions!$C$7) ^ INT(((YEAR(BH$2)-YEAR($F222))*12 + MONTH(BH$2)-MONTH($F222)) / 12),
  0)</f>
        <v/>
      </c>
      <c r="BI222" s="299">
        <f>IF(AND($F222&lt;=BI$2, OR($G222="",$G222&gt;=BI$2)),
  $H222 * (1 + Assumptions!$C$7) ^ INT(((YEAR(BI$2)-YEAR($F222))*12 + MONTH(BI$2)-MONTH($F222)) / 12),
  0)</f>
        <v/>
      </c>
      <c r="BJ222" s="299">
        <f>IF(AND($F222&lt;=BJ$2, OR($G222="",$G222&gt;=BJ$2)),
  $H222 * (1 + Assumptions!$C$7) ^ INT(((YEAR(BJ$2)-YEAR($F222))*12 + MONTH(BJ$2)-MONTH($F222)) / 12),
  0)</f>
        <v/>
      </c>
      <c r="BK222" s="299">
        <f>IF(AND($F222&lt;=BK$2, OR($G222="",$G222&gt;=BK$2)),
  $H222 * (1 + Assumptions!$C$7) ^ INT(((YEAR(BK$2)-YEAR($F222))*12 + MONTH(BK$2)-MONTH($F222)) / 12),
  0)</f>
        <v/>
      </c>
      <c r="BL222" s="299">
        <f>IF(AND($F222&lt;=BL$2, OR($G222="",$G222&gt;=BL$2)),
  $H222 * (1 + Assumptions!$C$7) ^ INT(((YEAR(BL$2)-YEAR($F222))*12 + MONTH(BL$2)-MONTH($F222)) / 12),
  0)</f>
        <v/>
      </c>
      <c r="BM222" s="299">
        <f>IF(AND($F222&lt;=BM$2, OR($G222="",$G222&gt;=BM$2)),
  $H222 * (1 + Assumptions!$C$7) ^ INT(((YEAR(BM$2)-YEAR($F222))*12 + MONTH(BM$2)-MONTH($F222)) / 12),
  0)</f>
        <v/>
      </c>
      <c r="BN222" s="299">
        <f>IF(AND($F222&lt;=BN$2, OR($G222="",$G222&gt;=BN$2)),
  $H222 * (1 + Assumptions!$C$7) ^ INT(((YEAR(BN$2)-YEAR($F222))*12 + MONTH(BN$2)-MONTH($F222)) / 12),
  0)</f>
        <v/>
      </c>
      <c r="BO222" s="299">
        <f>IF(AND($F222&lt;=BO$2, OR($G222="",$G222&gt;=BO$2)),
  $H222 * (1 + Assumptions!$C$7) ^ INT(((YEAR(BO$2)-YEAR($F222))*12 + MONTH(BO$2)-MONTH($F222)) / 12),
  0)</f>
        <v/>
      </c>
      <c r="BP222" s="299">
        <f>IF(AND($F222&lt;=BP$2, OR($G222="",$G222&gt;=BP$2)),
  $H222 * (1 + Assumptions!$C$7) ^ INT(((YEAR(BP$2)-YEAR($F222))*12 + MONTH(BP$2)-MONTH($F222)) / 12),
  0)</f>
        <v/>
      </c>
      <c r="BQ222" s="31" t="n"/>
      <c r="BR222" s="31" t="n"/>
      <c r="BS222" s="31" t="n"/>
      <c r="BT222" s="31" t="n"/>
    </row>
    <row r="223" ht="15.75" customHeight="1" s="349">
      <c r="A223" s="321" t="n">
        <v>218</v>
      </c>
      <c r="B223" s="285" t="inlineStr">
        <is>
          <t>New hire</t>
        </is>
      </c>
      <c r="C223" s="317" t="inlineStr">
        <is>
          <t>R&amp;D</t>
        </is>
      </c>
      <c r="D223" s="317" t="inlineStr">
        <is>
          <t>R&amp;D Engineer</t>
        </is>
      </c>
      <c r="E223" s="297" t="inlineStr">
        <is>
          <t>Planned</t>
        </is>
      </c>
      <c r="F223" s="318">
        <f>IF(Assumptions!$D$82=2,DATE(2029,1,1),DATE(2035,1,1))</f>
        <v/>
      </c>
      <c r="G223" s="318" t="n"/>
      <c r="H223" s="288" t="n">
        <v>8000</v>
      </c>
      <c r="I223" s="299">
        <f>IF(AND($F223&lt;=I$2, OR($G223="",$G223&gt;=I$2)),
  $H223 * (1 + Assumptions!$C$7) ^ INT(((YEAR(I$2)-YEAR($F223))*12 + MONTH(I$2)-MONTH($F223)) / 12),
  0)</f>
        <v/>
      </c>
      <c r="J223" s="299">
        <f>IF(AND($F223&lt;=J$2, OR($G223="",$G223&gt;=J$2)),
  $H223 * (1 + Assumptions!$C$7) ^ INT(((YEAR(J$2)-YEAR($F223))*12 + MONTH(J$2)-MONTH($F223)) / 12),
  0)</f>
        <v/>
      </c>
      <c r="K223" s="299">
        <f>IF(AND($F223&lt;=K$2, OR($G223="",$G223&gt;=K$2)),
  $H223 * (1 + Assumptions!$C$7) ^ INT(((YEAR(K$2)-YEAR($F223))*12 + MONTH(K$2)-MONTH($F223)) / 12),
  0)</f>
        <v/>
      </c>
      <c r="L223" s="299">
        <f>IF(AND($F223&lt;=L$2, OR($G223="",$G223&gt;=L$2)),
  $H223 * (1 + Assumptions!$C$7) ^ INT(((YEAR(L$2)-YEAR($F223))*12 + MONTH(L$2)-MONTH($F223)) / 12),
  0)</f>
        <v/>
      </c>
      <c r="M223" s="299">
        <f>IF(AND($F223&lt;=M$2, OR($G223="",$G223&gt;=M$2)),
  $H223 * (1 + Assumptions!$C$7) ^ INT(((YEAR(M$2)-YEAR($F223))*12 + MONTH(M$2)-MONTH($F223)) / 12),
  0)</f>
        <v/>
      </c>
      <c r="N223" s="299">
        <f>IF(AND($F223&lt;=N$2, OR($G223="",$G223&gt;=N$2)),
  $H223 * (1 + Assumptions!$C$7) ^ INT(((YEAR(N$2)-YEAR($F223))*12 + MONTH(N$2)-MONTH($F223)) / 12),
  0)</f>
        <v/>
      </c>
      <c r="O223" s="299">
        <f>IF(AND($F223&lt;=O$2, OR($G223="",$G223&gt;=O$2)),
  $H223 * (1 + Assumptions!$C$7) ^ INT(((YEAR(O$2)-YEAR($F223))*12 + MONTH(O$2)-MONTH($F223)) / 12),
  0)</f>
        <v/>
      </c>
      <c r="P223" s="299">
        <f>IF(AND($F223&lt;=P$2, OR($G223="",$G223&gt;=P$2)),
  $H223 * (1 + Assumptions!$C$7) ^ INT(((YEAR(P$2)-YEAR($F223))*12 + MONTH(P$2)-MONTH($F223)) / 12),
  0)</f>
        <v/>
      </c>
      <c r="Q223" s="299">
        <f>IF(AND($F223&lt;=Q$2, OR($G223="",$G223&gt;=Q$2)),
  $H223 * (1 + Assumptions!$C$7) ^ INT(((YEAR(Q$2)-YEAR($F223))*12 + MONTH(Q$2)-MONTH($F223)) / 12),
  0)</f>
        <v/>
      </c>
      <c r="R223" s="299">
        <f>IF(AND($F223&lt;=R$2, OR($G223="",$G223&gt;=R$2)),
  $H223 * (1 + Assumptions!$C$7) ^ INT(((YEAR(R$2)-YEAR($F223))*12 + MONTH(R$2)-MONTH($F223)) / 12),
  0)</f>
        <v/>
      </c>
      <c r="S223" s="299">
        <f>IF(AND($F223&lt;=S$2, OR($G223="",$G223&gt;=S$2)),
  $H223 * (1 + Assumptions!$C$7) ^ INT(((YEAR(S$2)-YEAR($F223))*12 + MONTH(S$2)-MONTH($F223)) / 12),
  0)</f>
        <v/>
      </c>
      <c r="T223" s="299">
        <f>IF(AND($F223&lt;=T$2, OR($G223="",$G223&gt;=T$2)),
  $H223 * (1 + Assumptions!$C$7) ^ INT(((YEAR(T$2)-YEAR($F223))*12 + MONTH(T$2)-MONTH($F223)) / 12),
  0)</f>
        <v/>
      </c>
      <c r="U223" s="299">
        <f>IF(AND($F223&lt;=U$2, OR($G223="",$G223&gt;=U$2)),
  $H223 * (1 + Assumptions!$C$7) ^ INT(((YEAR(U$2)-YEAR($F223))*12 + MONTH(U$2)-MONTH($F223)) / 12),
  0)</f>
        <v/>
      </c>
      <c r="V223" s="299">
        <f>IF(AND($F223&lt;=V$2, OR($G223="",$G223&gt;=V$2)),
  $H223 * (1 + Assumptions!$C$7) ^ INT(((YEAR(V$2)-YEAR($F223))*12 + MONTH(V$2)-MONTH($F223)) / 12),
  0)</f>
        <v/>
      </c>
      <c r="W223" s="299">
        <f>IF(AND($F223&lt;=W$2, OR($G223="",$G223&gt;=W$2)),
  $H223 * (1 + Assumptions!$C$7) ^ INT(((YEAR(W$2)-YEAR($F223))*12 + MONTH(W$2)-MONTH($F223)) / 12),
  0)</f>
        <v/>
      </c>
      <c r="X223" s="299">
        <f>IF(AND($F223&lt;=X$2, OR($G223="",$G223&gt;=X$2)),
  $H223 * (1 + Assumptions!$C$7) ^ INT(((YEAR(X$2)-YEAR($F223))*12 + MONTH(X$2)-MONTH($F223)) / 12),
  0)</f>
        <v/>
      </c>
      <c r="Y223" s="299">
        <f>IF(AND($F223&lt;=Y$2, OR($G223="",$G223&gt;=Y$2)),
  $H223 * (1 + Assumptions!$C$7) ^ INT(((YEAR(Y$2)-YEAR($F223))*12 + MONTH(Y$2)-MONTH($F223)) / 12),
  0)</f>
        <v/>
      </c>
      <c r="Z223" s="299">
        <f>IF(AND($F223&lt;=Z$2, OR($G223="",$G223&gt;=Z$2)),
  $H223 * (1 + Assumptions!$C$7) ^ INT(((YEAR(Z$2)-YEAR($F223))*12 + MONTH(Z$2)-MONTH($F223)) / 12),
  0)</f>
        <v/>
      </c>
      <c r="AA223" s="299">
        <f>IF(AND($F223&lt;=AA$2, OR($G223="",$G223&gt;=AA$2)),
  $H223 * (1 + Assumptions!$C$7) ^ INT(((YEAR(AA$2)-YEAR($F223))*12 + MONTH(AA$2)-MONTH($F223)) / 12),
  0)</f>
        <v/>
      </c>
      <c r="AB223" s="299">
        <f>IF(AND($F223&lt;=AB$2, OR($G223="",$G223&gt;=AB$2)),
  $H223 * (1 + Assumptions!$C$7) ^ INT(((YEAR(AB$2)-YEAR($F223))*12 + MONTH(AB$2)-MONTH($F223)) / 12),
  0)</f>
        <v/>
      </c>
      <c r="AC223" s="299">
        <f>IF(AND($F223&lt;=AC$2, OR($G223="",$G223&gt;=AC$2)),
  $H223 * (1 + Assumptions!$C$7) ^ INT(((YEAR(AC$2)-YEAR($F223))*12 + MONTH(AC$2)-MONTH($F223)) / 12),
  0)</f>
        <v/>
      </c>
      <c r="AD223" s="299">
        <f>IF(AND($F223&lt;=AD$2, OR($G223="",$G223&gt;=AD$2)),
  $H223 * (1 + Assumptions!$C$7) ^ INT(((YEAR(AD$2)-YEAR($F223))*12 + MONTH(AD$2)-MONTH($F223)) / 12),
  0)</f>
        <v/>
      </c>
      <c r="AE223" s="299">
        <f>IF(AND($F223&lt;=AE$2, OR($G223="",$G223&gt;=AE$2)),
  $H223 * (1 + Assumptions!$C$7) ^ INT(((YEAR(AE$2)-YEAR($F223))*12 + MONTH(AE$2)-MONTH($F223)) / 12),
  0)</f>
        <v/>
      </c>
      <c r="AF223" s="299">
        <f>IF(AND($F223&lt;=AF$2, OR($G223="",$G223&gt;=AF$2)),
  $H223 * (1 + Assumptions!$C$7) ^ INT(((YEAR(AF$2)-YEAR($F223))*12 + MONTH(AF$2)-MONTH($F223)) / 12),
  0)</f>
        <v/>
      </c>
      <c r="AG223" s="299">
        <f>IF(AND($F223&lt;=AG$2, OR($G223="",$G223&gt;=AG$2)),
  $H223 * (1 + Assumptions!$C$7) ^ INT(((YEAR(AG$2)-YEAR($F223))*12 + MONTH(AG$2)-MONTH($F223)) / 12),
  0)</f>
        <v/>
      </c>
      <c r="AH223" s="299">
        <f>IF(AND($F223&lt;=AH$2, OR($G223="",$G223&gt;=AH$2)),
  $H223 * (1 + Assumptions!$C$7) ^ INT(((YEAR(AH$2)-YEAR($F223))*12 + MONTH(AH$2)-MONTH($F223)) / 12),
  0)</f>
        <v/>
      </c>
      <c r="AI223" s="299">
        <f>IF(AND($F223&lt;=AI$2, OR($G223="",$G223&gt;=AI$2)),
  $H223 * (1 + Assumptions!$C$7) ^ INT(((YEAR(AI$2)-YEAR($F223))*12 + MONTH(AI$2)-MONTH($F223)) / 12),
  0)</f>
        <v/>
      </c>
      <c r="AJ223" s="299">
        <f>IF(AND($F223&lt;=AJ$2, OR($G223="",$G223&gt;=AJ$2)),
  $H223 * (1 + Assumptions!$C$7) ^ INT(((YEAR(AJ$2)-YEAR($F223))*12 + MONTH(AJ$2)-MONTH($F223)) / 12),
  0)</f>
        <v/>
      </c>
      <c r="AK223" s="299">
        <f>IF(AND($F223&lt;=AK$2, OR($G223="",$G223&gt;=AK$2)),
  $H223 * (1 + Assumptions!$C$7) ^ INT(((YEAR(AK$2)-YEAR($F223))*12 + MONTH(AK$2)-MONTH($F223)) / 12),
  0)</f>
        <v/>
      </c>
      <c r="AL223" s="299">
        <f>IF(AND($F223&lt;=AL$2, OR($G223="",$G223&gt;=AL$2)),
  $H223 * (1 + Assumptions!$C$7) ^ INT(((YEAR(AL$2)-YEAR($F223))*12 + MONTH(AL$2)-MONTH($F223)) / 12),
  0)</f>
        <v/>
      </c>
      <c r="AM223" s="299">
        <f>IF(AND($F223&lt;=AM$2, OR($G223="",$G223&gt;=AM$2)),
  $H223 * (1 + Assumptions!$C$7) ^ INT(((YEAR(AM$2)-YEAR($F223))*12 + MONTH(AM$2)-MONTH($F223)) / 12),
  0)</f>
        <v/>
      </c>
      <c r="AN223" s="299">
        <f>IF(AND($F223&lt;=AN$2, OR($G223="",$G223&gt;=AN$2)),
  $H223 * (1 + Assumptions!$C$7) ^ INT(((YEAR(AN$2)-YEAR($F223))*12 + MONTH(AN$2)-MONTH($F223)) / 12),
  0)</f>
        <v/>
      </c>
      <c r="AO223" s="299">
        <f>IF(AND($F223&lt;=AO$2, OR($G223="",$G223&gt;=AO$2)),
  $H223 * (1 + Assumptions!$C$7) ^ INT(((YEAR(AO$2)-YEAR($F223))*12 + MONTH(AO$2)-MONTH($F223)) / 12),
  0)</f>
        <v/>
      </c>
      <c r="AP223" s="299">
        <f>IF(AND($F223&lt;=AP$2, OR($G223="",$G223&gt;=AP$2)),
  $H223 * (1 + Assumptions!$C$7) ^ INT(((YEAR(AP$2)-YEAR($F223))*12 + MONTH(AP$2)-MONTH($F223)) / 12),
  0)</f>
        <v/>
      </c>
      <c r="AQ223" s="299">
        <f>IF(AND($F223&lt;=AQ$2, OR($G223="",$G223&gt;=AQ$2)),
  $H223 * (1 + Assumptions!$C$7) ^ INT(((YEAR(AQ$2)-YEAR($F223))*12 + MONTH(AQ$2)-MONTH($F223)) / 12),
  0)</f>
        <v/>
      </c>
      <c r="AR223" s="299">
        <f>IF(AND($F223&lt;=AR$2, OR($G223="",$G223&gt;=AR$2)),
  $H223 * (1 + Assumptions!$C$7) ^ INT(((YEAR(AR$2)-YEAR($F223))*12 + MONTH(AR$2)-MONTH($F223)) / 12),
  0)</f>
        <v/>
      </c>
      <c r="AS223" s="299">
        <f>IF(AND($F223&lt;=AS$2, OR($G223="",$G223&gt;=AS$2)),
  $H223 * (1 + Assumptions!$C$7) ^ INT(((YEAR(AS$2)-YEAR($F223))*12 + MONTH(AS$2)-MONTH($F223)) / 12),
  0)</f>
        <v/>
      </c>
      <c r="AT223" s="299">
        <f>IF(AND($F223&lt;=AT$2, OR($G223="",$G223&gt;=AT$2)),
  $H223 * (1 + Assumptions!$C$7) ^ INT(((YEAR(AT$2)-YEAR($F223))*12 + MONTH(AT$2)-MONTH($F223)) / 12),
  0)</f>
        <v/>
      </c>
      <c r="AU223" s="299">
        <f>IF(AND($F223&lt;=AU$2, OR($G223="",$G223&gt;=AU$2)),
  $H223 * (1 + Assumptions!$C$7) ^ INT(((YEAR(AU$2)-YEAR($F223))*12 + MONTH(AU$2)-MONTH($F223)) / 12),
  0)</f>
        <v/>
      </c>
      <c r="AV223" s="299">
        <f>IF(AND($F223&lt;=AV$2, OR($G223="",$G223&gt;=AV$2)),
  $H223 * (1 + Assumptions!$C$7) ^ INT(((YEAR(AV$2)-YEAR($F223))*12 + MONTH(AV$2)-MONTH($F223)) / 12),
  0)</f>
        <v/>
      </c>
      <c r="AW223" s="299">
        <f>IF(AND($F223&lt;=AW$2, OR($G223="",$G223&gt;=AW$2)),
  $H223 * (1 + Assumptions!$C$7) ^ INT(((YEAR(AW$2)-YEAR($F223))*12 + MONTH(AW$2)-MONTH($F223)) / 12),
  0)</f>
        <v/>
      </c>
      <c r="AX223" s="299">
        <f>IF(AND($F223&lt;=AX$2, OR($G223="",$G223&gt;=AX$2)),
  $H223 * (1 + Assumptions!$C$7) ^ INT(((YEAR(AX$2)-YEAR($F223))*12 + MONTH(AX$2)-MONTH($F223)) / 12),
  0)</f>
        <v/>
      </c>
      <c r="AY223" s="299">
        <f>IF(AND($F223&lt;=AY$2, OR($G223="",$G223&gt;=AY$2)),
  $H223 * (1 + Assumptions!$C$7) ^ INT(((YEAR(AY$2)-YEAR($F223))*12 + MONTH(AY$2)-MONTH($F223)) / 12),
  0)</f>
        <v/>
      </c>
      <c r="AZ223" s="299">
        <f>IF(AND($F223&lt;=AZ$2, OR($G223="",$G223&gt;=AZ$2)),
  $H223 * (1 + Assumptions!$C$7) ^ INT(((YEAR(AZ$2)-YEAR($F223))*12 + MONTH(AZ$2)-MONTH($F223)) / 12),
  0)</f>
        <v/>
      </c>
      <c r="BA223" s="299">
        <f>IF(AND($F223&lt;=BA$2, OR($G223="",$G223&gt;=BA$2)),
  $H223 * (1 + Assumptions!$C$7) ^ INT(((YEAR(BA$2)-YEAR($F223))*12 + MONTH(BA$2)-MONTH($F223)) / 12),
  0)</f>
        <v/>
      </c>
      <c r="BB223" s="299">
        <f>IF(AND($F223&lt;=BB$2, OR($G223="",$G223&gt;=BB$2)),
  $H223 * (1 + Assumptions!$C$7) ^ INT(((YEAR(BB$2)-YEAR($F223))*12 + MONTH(BB$2)-MONTH($F223)) / 12),
  0)</f>
        <v/>
      </c>
      <c r="BC223" s="299">
        <f>IF(AND($F223&lt;=BC$2, OR($G223="",$G223&gt;=BC$2)),
  $H223 * (1 + Assumptions!$C$7) ^ INT(((YEAR(BC$2)-YEAR($F223))*12 + MONTH(BC$2)-MONTH($F223)) / 12),
  0)</f>
        <v/>
      </c>
      <c r="BD223" s="299">
        <f>IF(AND($F223&lt;=BD$2, OR($G223="",$G223&gt;=BD$2)),
  $H223 * (1 + Assumptions!$C$7) ^ INT(((YEAR(BD$2)-YEAR($F223))*12 + MONTH(BD$2)-MONTH($F223)) / 12),
  0)</f>
        <v/>
      </c>
      <c r="BE223" s="299">
        <f>IF(AND($F223&lt;=BE$2, OR($G223="",$G223&gt;=BE$2)),
  $H223 * (1 + Assumptions!$C$7) ^ INT(((YEAR(BE$2)-YEAR($F223))*12 + MONTH(BE$2)-MONTH($F223)) / 12),
  0)</f>
        <v/>
      </c>
      <c r="BF223" s="299">
        <f>IF(AND($F223&lt;=BF$2, OR($G223="",$G223&gt;=BF$2)),
  $H223 * (1 + Assumptions!$C$7) ^ INT(((YEAR(BF$2)-YEAR($F223))*12 + MONTH(BF$2)-MONTH($F223)) / 12),
  0)</f>
        <v/>
      </c>
      <c r="BG223" s="299">
        <f>IF(AND($F223&lt;=BG$2, OR($G223="",$G223&gt;=BG$2)),
  $H223 * (1 + Assumptions!$C$7) ^ INT(((YEAR(BG$2)-YEAR($F223))*12 + MONTH(BG$2)-MONTH($F223)) / 12),
  0)</f>
        <v/>
      </c>
      <c r="BH223" s="299">
        <f>IF(AND($F223&lt;=BH$2, OR($G223="",$G223&gt;=BH$2)),
  $H223 * (1 + Assumptions!$C$7) ^ INT(((YEAR(BH$2)-YEAR($F223))*12 + MONTH(BH$2)-MONTH($F223)) / 12),
  0)</f>
        <v/>
      </c>
      <c r="BI223" s="299">
        <f>IF(AND($F223&lt;=BI$2, OR($G223="",$G223&gt;=BI$2)),
  $H223 * (1 + Assumptions!$C$7) ^ INT(((YEAR(BI$2)-YEAR($F223))*12 + MONTH(BI$2)-MONTH($F223)) / 12),
  0)</f>
        <v/>
      </c>
      <c r="BJ223" s="299">
        <f>IF(AND($F223&lt;=BJ$2, OR($G223="",$G223&gt;=BJ$2)),
  $H223 * (1 + Assumptions!$C$7) ^ INT(((YEAR(BJ$2)-YEAR($F223))*12 + MONTH(BJ$2)-MONTH($F223)) / 12),
  0)</f>
        <v/>
      </c>
      <c r="BK223" s="299">
        <f>IF(AND($F223&lt;=BK$2, OR($G223="",$G223&gt;=BK$2)),
  $H223 * (1 + Assumptions!$C$7) ^ INT(((YEAR(BK$2)-YEAR($F223))*12 + MONTH(BK$2)-MONTH($F223)) / 12),
  0)</f>
        <v/>
      </c>
      <c r="BL223" s="299">
        <f>IF(AND($F223&lt;=BL$2, OR($G223="",$G223&gt;=BL$2)),
  $H223 * (1 + Assumptions!$C$7) ^ INT(((YEAR(BL$2)-YEAR($F223))*12 + MONTH(BL$2)-MONTH($F223)) / 12),
  0)</f>
        <v/>
      </c>
      <c r="BM223" s="299">
        <f>IF(AND($F223&lt;=BM$2, OR($G223="",$G223&gt;=BM$2)),
  $H223 * (1 + Assumptions!$C$7) ^ INT(((YEAR(BM$2)-YEAR($F223))*12 + MONTH(BM$2)-MONTH($F223)) / 12),
  0)</f>
        <v/>
      </c>
      <c r="BN223" s="299">
        <f>IF(AND($F223&lt;=BN$2, OR($G223="",$G223&gt;=BN$2)),
  $H223 * (1 + Assumptions!$C$7) ^ INT(((YEAR(BN$2)-YEAR($F223))*12 + MONTH(BN$2)-MONTH($F223)) / 12),
  0)</f>
        <v/>
      </c>
      <c r="BO223" s="299">
        <f>IF(AND($F223&lt;=BO$2, OR($G223="",$G223&gt;=BO$2)),
  $H223 * (1 + Assumptions!$C$7) ^ INT(((YEAR(BO$2)-YEAR($F223))*12 + MONTH(BO$2)-MONTH($F223)) / 12),
  0)</f>
        <v/>
      </c>
      <c r="BP223" s="299">
        <f>IF(AND($F223&lt;=BP$2, OR($G223="",$G223&gt;=BP$2)),
  $H223 * (1 + Assumptions!$C$7) ^ INT(((YEAR(BP$2)-YEAR($F223))*12 + MONTH(BP$2)-MONTH($F223)) / 12),
  0)</f>
        <v/>
      </c>
      <c r="BQ223" s="31" t="n"/>
      <c r="BR223" s="31" t="n"/>
      <c r="BS223" s="31" t="n"/>
      <c r="BT223" s="31" t="n"/>
    </row>
    <row r="224" ht="15.75" customHeight="1" s="349">
      <c r="A224" s="321" t="n">
        <v>219</v>
      </c>
      <c r="B224" s="285" t="inlineStr">
        <is>
          <t>New hire</t>
        </is>
      </c>
      <c r="C224" s="317" t="inlineStr">
        <is>
          <t>R&amp;D</t>
        </is>
      </c>
      <c r="D224" s="317" t="inlineStr">
        <is>
          <t>R&amp;D Engineer</t>
        </is>
      </c>
      <c r="E224" s="297" t="inlineStr">
        <is>
          <t>Planned</t>
        </is>
      </c>
      <c r="F224" s="318">
        <f>IF(Assumptions!$D$82=2,DATE(2029,1,1),DATE(2035,1,1))</f>
        <v/>
      </c>
      <c r="G224" s="318" t="n"/>
      <c r="H224" s="288" t="n">
        <v>8000</v>
      </c>
      <c r="I224" s="299">
        <f>IF(AND($F224&lt;=I$2, OR($G224="",$G224&gt;=I$2)),
  $H224 * (1 + Assumptions!$C$7) ^ INT(((YEAR(I$2)-YEAR($F224))*12 + MONTH(I$2)-MONTH($F224)) / 12),
  0)</f>
        <v/>
      </c>
      <c r="J224" s="299">
        <f>IF(AND($F224&lt;=J$2, OR($G224="",$G224&gt;=J$2)),
  $H224 * (1 + Assumptions!$C$7) ^ INT(((YEAR(J$2)-YEAR($F224))*12 + MONTH(J$2)-MONTH($F224)) / 12),
  0)</f>
        <v/>
      </c>
      <c r="K224" s="299">
        <f>IF(AND($F224&lt;=K$2, OR($G224="",$G224&gt;=K$2)),
  $H224 * (1 + Assumptions!$C$7) ^ INT(((YEAR(K$2)-YEAR($F224))*12 + MONTH(K$2)-MONTH($F224)) / 12),
  0)</f>
        <v/>
      </c>
      <c r="L224" s="299">
        <f>IF(AND($F224&lt;=L$2, OR($G224="",$G224&gt;=L$2)),
  $H224 * (1 + Assumptions!$C$7) ^ INT(((YEAR(L$2)-YEAR($F224))*12 + MONTH(L$2)-MONTH($F224)) / 12),
  0)</f>
        <v/>
      </c>
      <c r="M224" s="299">
        <f>IF(AND($F224&lt;=M$2, OR($G224="",$G224&gt;=M$2)),
  $H224 * (1 + Assumptions!$C$7) ^ INT(((YEAR(M$2)-YEAR($F224))*12 + MONTH(M$2)-MONTH($F224)) / 12),
  0)</f>
        <v/>
      </c>
      <c r="N224" s="299">
        <f>IF(AND($F224&lt;=N$2, OR($G224="",$G224&gt;=N$2)),
  $H224 * (1 + Assumptions!$C$7) ^ INT(((YEAR(N$2)-YEAR($F224))*12 + MONTH(N$2)-MONTH($F224)) / 12),
  0)</f>
        <v/>
      </c>
      <c r="O224" s="299">
        <f>IF(AND($F224&lt;=O$2, OR($G224="",$G224&gt;=O$2)),
  $H224 * (1 + Assumptions!$C$7) ^ INT(((YEAR(O$2)-YEAR($F224))*12 + MONTH(O$2)-MONTH($F224)) / 12),
  0)</f>
        <v/>
      </c>
      <c r="P224" s="299">
        <f>IF(AND($F224&lt;=P$2, OR($G224="",$G224&gt;=P$2)),
  $H224 * (1 + Assumptions!$C$7) ^ INT(((YEAR(P$2)-YEAR($F224))*12 + MONTH(P$2)-MONTH($F224)) / 12),
  0)</f>
        <v/>
      </c>
      <c r="Q224" s="299">
        <f>IF(AND($F224&lt;=Q$2, OR($G224="",$G224&gt;=Q$2)),
  $H224 * (1 + Assumptions!$C$7) ^ INT(((YEAR(Q$2)-YEAR($F224))*12 + MONTH(Q$2)-MONTH($F224)) / 12),
  0)</f>
        <v/>
      </c>
      <c r="R224" s="299">
        <f>IF(AND($F224&lt;=R$2, OR($G224="",$G224&gt;=R$2)),
  $H224 * (1 + Assumptions!$C$7) ^ INT(((YEAR(R$2)-YEAR($F224))*12 + MONTH(R$2)-MONTH($F224)) / 12),
  0)</f>
        <v/>
      </c>
      <c r="S224" s="299">
        <f>IF(AND($F224&lt;=S$2, OR($G224="",$G224&gt;=S$2)),
  $H224 * (1 + Assumptions!$C$7) ^ INT(((YEAR(S$2)-YEAR($F224))*12 + MONTH(S$2)-MONTH($F224)) / 12),
  0)</f>
        <v/>
      </c>
      <c r="T224" s="299">
        <f>IF(AND($F224&lt;=T$2, OR($G224="",$G224&gt;=T$2)),
  $H224 * (1 + Assumptions!$C$7) ^ INT(((YEAR(T$2)-YEAR($F224))*12 + MONTH(T$2)-MONTH($F224)) / 12),
  0)</f>
        <v/>
      </c>
      <c r="U224" s="299">
        <f>IF(AND($F224&lt;=U$2, OR($G224="",$G224&gt;=U$2)),
  $H224 * (1 + Assumptions!$C$7) ^ INT(((YEAR(U$2)-YEAR($F224))*12 + MONTH(U$2)-MONTH($F224)) / 12),
  0)</f>
        <v/>
      </c>
      <c r="V224" s="299">
        <f>IF(AND($F224&lt;=V$2, OR($G224="",$G224&gt;=V$2)),
  $H224 * (1 + Assumptions!$C$7) ^ INT(((YEAR(V$2)-YEAR($F224))*12 + MONTH(V$2)-MONTH($F224)) / 12),
  0)</f>
        <v/>
      </c>
      <c r="W224" s="299">
        <f>IF(AND($F224&lt;=W$2, OR($G224="",$G224&gt;=W$2)),
  $H224 * (1 + Assumptions!$C$7) ^ INT(((YEAR(W$2)-YEAR($F224))*12 + MONTH(W$2)-MONTH($F224)) / 12),
  0)</f>
        <v/>
      </c>
      <c r="X224" s="299">
        <f>IF(AND($F224&lt;=X$2, OR($G224="",$G224&gt;=X$2)),
  $H224 * (1 + Assumptions!$C$7) ^ INT(((YEAR(X$2)-YEAR($F224))*12 + MONTH(X$2)-MONTH($F224)) / 12),
  0)</f>
        <v/>
      </c>
      <c r="Y224" s="299">
        <f>IF(AND($F224&lt;=Y$2, OR($G224="",$G224&gt;=Y$2)),
  $H224 * (1 + Assumptions!$C$7) ^ INT(((YEAR(Y$2)-YEAR($F224))*12 + MONTH(Y$2)-MONTH($F224)) / 12),
  0)</f>
        <v/>
      </c>
      <c r="Z224" s="299">
        <f>IF(AND($F224&lt;=Z$2, OR($G224="",$G224&gt;=Z$2)),
  $H224 * (1 + Assumptions!$C$7) ^ INT(((YEAR(Z$2)-YEAR($F224))*12 + MONTH(Z$2)-MONTH($F224)) / 12),
  0)</f>
        <v/>
      </c>
      <c r="AA224" s="299">
        <f>IF(AND($F224&lt;=AA$2, OR($G224="",$G224&gt;=AA$2)),
  $H224 * (1 + Assumptions!$C$7) ^ INT(((YEAR(AA$2)-YEAR($F224))*12 + MONTH(AA$2)-MONTH($F224)) / 12),
  0)</f>
        <v/>
      </c>
      <c r="AB224" s="299">
        <f>IF(AND($F224&lt;=AB$2, OR($G224="",$G224&gt;=AB$2)),
  $H224 * (1 + Assumptions!$C$7) ^ INT(((YEAR(AB$2)-YEAR($F224))*12 + MONTH(AB$2)-MONTH($F224)) / 12),
  0)</f>
        <v/>
      </c>
      <c r="AC224" s="299">
        <f>IF(AND($F224&lt;=AC$2, OR($G224="",$G224&gt;=AC$2)),
  $H224 * (1 + Assumptions!$C$7) ^ INT(((YEAR(AC$2)-YEAR($F224))*12 + MONTH(AC$2)-MONTH($F224)) / 12),
  0)</f>
        <v/>
      </c>
      <c r="AD224" s="299">
        <f>IF(AND($F224&lt;=AD$2, OR($G224="",$G224&gt;=AD$2)),
  $H224 * (1 + Assumptions!$C$7) ^ INT(((YEAR(AD$2)-YEAR($F224))*12 + MONTH(AD$2)-MONTH($F224)) / 12),
  0)</f>
        <v/>
      </c>
      <c r="AE224" s="299">
        <f>IF(AND($F224&lt;=AE$2, OR($G224="",$G224&gt;=AE$2)),
  $H224 * (1 + Assumptions!$C$7) ^ INT(((YEAR(AE$2)-YEAR($F224))*12 + MONTH(AE$2)-MONTH($F224)) / 12),
  0)</f>
        <v/>
      </c>
      <c r="AF224" s="299">
        <f>IF(AND($F224&lt;=AF$2, OR($G224="",$G224&gt;=AF$2)),
  $H224 * (1 + Assumptions!$C$7) ^ INT(((YEAR(AF$2)-YEAR($F224))*12 + MONTH(AF$2)-MONTH($F224)) / 12),
  0)</f>
        <v/>
      </c>
      <c r="AG224" s="299">
        <f>IF(AND($F224&lt;=AG$2, OR($G224="",$G224&gt;=AG$2)),
  $H224 * (1 + Assumptions!$C$7) ^ INT(((YEAR(AG$2)-YEAR($F224))*12 + MONTH(AG$2)-MONTH($F224)) / 12),
  0)</f>
        <v/>
      </c>
      <c r="AH224" s="299">
        <f>IF(AND($F224&lt;=AH$2, OR($G224="",$G224&gt;=AH$2)),
  $H224 * (1 + Assumptions!$C$7) ^ INT(((YEAR(AH$2)-YEAR($F224))*12 + MONTH(AH$2)-MONTH($F224)) / 12),
  0)</f>
        <v/>
      </c>
      <c r="AI224" s="299">
        <f>IF(AND($F224&lt;=AI$2, OR($G224="",$G224&gt;=AI$2)),
  $H224 * (1 + Assumptions!$C$7) ^ INT(((YEAR(AI$2)-YEAR($F224))*12 + MONTH(AI$2)-MONTH($F224)) / 12),
  0)</f>
        <v/>
      </c>
      <c r="AJ224" s="299">
        <f>IF(AND($F224&lt;=AJ$2, OR($G224="",$G224&gt;=AJ$2)),
  $H224 * (1 + Assumptions!$C$7) ^ INT(((YEAR(AJ$2)-YEAR($F224))*12 + MONTH(AJ$2)-MONTH($F224)) / 12),
  0)</f>
        <v/>
      </c>
      <c r="AK224" s="299">
        <f>IF(AND($F224&lt;=AK$2, OR($G224="",$G224&gt;=AK$2)),
  $H224 * (1 + Assumptions!$C$7) ^ INT(((YEAR(AK$2)-YEAR($F224))*12 + MONTH(AK$2)-MONTH($F224)) / 12),
  0)</f>
        <v/>
      </c>
      <c r="AL224" s="299">
        <f>IF(AND($F224&lt;=AL$2, OR($G224="",$G224&gt;=AL$2)),
  $H224 * (1 + Assumptions!$C$7) ^ INT(((YEAR(AL$2)-YEAR($F224))*12 + MONTH(AL$2)-MONTH($F224)) / 12),
  0)</f>
        <v/>
      </c>
      <c r="AM224" s="299">
        <f>IF(AND($F224&lt;=AM$2, OR($G224="",$G224&gt;=AM$2)),
  $H224 * (1 + Assumptions!$C$7) ^ INT(((YEAR(AM$2)-YEAR($F224))*12 + MONTH(AM$2)-MONTH($F224)) / 12),
  0)</f>
        <v/>
      </c>
      <c r="AN224" s="299">
        <f>IF(AND($F224&lt;=AN$2, OR($G224="",$G224&gt;=AN$2)),
  $H224 * (1 + Assumptions!$C$7) ^ INT(((YEAR(AN$2)-YEAR($F224))*12 + MONTH(AN$2)-MONTH($F224)) / 12),
  0)</f>
        <v/>
      </c>
      <c r="AO224" s="299">
        <f>IF(AND($F224&lt;=AO$2, OR($G224="",$G224&gt;=AO$2)),
  $H224 * (1 + Assumptions!$C$7) ^ INT(((YEAR(AO$2)-YEAR($F224))*12 + MONTH(AO$2)-MONTH($F224)) / 12),
  0)</f>
        <v/>
      </c>
      <c r="AP224" s="299">
        <f>IF(AND($F224&lt;=AP$2, OR($G224="",$G224&gt;=AP$2)),
  $H224 * (1 + Assumptions!$C$7) ^ INT(((YEAR(AP$2)-YEAR($F224))*12 + MONTH(AP$2)-MONTH($F224)) / 12),
  0)</f>
        <v/>
      </c>
      <c r="AQ224" s="299">
        <f>IF(AND($F224&lt;=AQ$2, OR($G224="",$G224&gt;=AQ$2)),
  $H224 * (1 + Assumptions!$C$7) ^ INT(((YEAR(AQ$2)-YEAR($F224))*12 + MONTH(AQ$2)-MONTH($F224)) / 12),
  0)</f>
        <v/>
      </c>
      <c r="AR224" s="299">
        <f>IF(AND($F224&lt;=AR$2, OR($G224="",$G224&gt;=AR$2)),
  $H224 * (1 + Assumptions!$C$7) ^ INT(((YEAR(AR$2)-YEAR($F224))*12 + MONTH(AR$2)-MONTH($F224)) / 12),
  0)</f>
        <v/>
      </c>
      <c r="AS224" s="299">
        <f>IF(AND($F224&lt;=AS$2, OR($G224="",$G224&gt;=AS$2)),
  $H224 * (1 + Assumptions!$C$7) ^ INT(((YEAR(AS$2)-YEAR($F224))*12 + MONTH(AS$2)-MONTH($F224)) / 12),
  0)</f>
        <v/>
      </c>
      <c r="AT224" s="299">
        <f>IF(AND($F224&lt;=AT$2, OR($G224="",$G224&gt;=AT$2)),
  $H224 * (1 + Assumptions!$C$7) ^ INT(((YEAR(AT$2)-YEAR($F224))*12 + MONTH(AT$2)-MONTH($F224)) / 12),
  0)</f>
        <v/>
      </c>
      <c r="AU224" s="299">
        <f>IF(AND($F224&lt;=AU$2, OR($G224="",$G224&gt;=AU$2)),
  $H224 * (1 + Assumptions!$C$7) ^ INT(((YEAR(AU$2)-YEAR($F224))*12 + MONTH(AU$2)-MONTH($F224)) / 12),
  0)</f>
        <v/>
      </c>
      <c r="AV224" s="299">
        <f>IF(AND($F224&lt;=AV$2, OR($G224="",$G224&gt;=AV$2)),
  $H224 * (1 + Assumptions!$C$7) ^ INT(((YEAR(AV$2)-YEAR($F224))*12 + MONTH(AV$2)-MONTH($F224)) / 12),
  0)</f>
        <v/>
      </c>
      <c r="AW224" s="299">
        <f>IF(AND($F224&lt;=AW$2, OR($G224="",$G224&gt;=AW$2)),
  $H224 * (1 + Assumptions!$C$7) ^ INT(((YEAR(AW$2)-YEAR($F224))*12 + MONTH(AW$2)-MONTH($F224)) / 12),
  0)</f>
        <v/>
      </c>
      <c r="AX224" s="299">
        <f>IF(AND($F224&lt;=AX$2, OR($G224="",$G224&gt;=AX$2)),
  $H224 * (1 + Assumptions!$C$7) ^ INT(((YEAR(AX$2)-YEAR($F224))*12 + MONTH(AX$2)-MONTH($F224)) / 12),
  0)</f>
        <v/>
      </c>
      <c r="AY224" s="299">
        <f>IF(AND($F224&lt;=AY$2, OR($G224="",$G224&gt;=AY$2)),
  $H224 * (1 + Assumptions!$C$7) ^ INT(((YEAR(AY$2)-YEAR($F224))*12 + MONTH(AY$2)-MONTH($F224)) / 12),
  0)</f>
        <v/>
      </c>
      <c r="AZ224" s="299">
        <f>IF(AND($F224&lt;=AZ$2, OR($G224="",$G224&gt;=AZ$2)),
  $H224 * (1 + Assumptions!$C$7) ^ INT(((YEAR(AZ$2)-YEAR($F224))*12 + MONTH(AZ$2)-MONTH($F224)) / 12),
  0)</f>
        <v/>
      </c>
      <c r="BA224" s="299">
        <f>IF(AND($F224&lt;=BA$2, OR($G224="",$G224&gt;=BA$2)),
  $H224 * (1 + Assumptions!$C$7) ^ INT(((YEAR(BA$2)-YEAR($F224))*12 + MONTH(BA$2)-MONTH($F224)) / 12),
  0)</f>
        <v/>
      </c>
      <c r="BB224" s="299">
        <f>IF(AND($F224&lt;=BB$2, OR($G224="",$G224&gt;=BB$2)),
  $H224 * (1 + Assumptions!$C$7) ^ INT(((YEAR(BB$2)-YEAR($F224))*12 + MONTH(BB$2)-MONTH($F224)) / 12),
  0)</f>
        <v/>
      </c>
      <c r="BC224" s="299">
        <f>IF(AND($F224&lt;=BC$2, OR($G224="",$G224&gt;=BC$2)),
  $H224 * (1 + Assumptions!$C$7) ^ INT(((YEAR(BC$2)-YEAR($F224))*12 + MONTH(BC$2)-MONTH($F224)) / 12),
  0)</f>
        <v/>
      </c>
      <c r="BD224" s="299">
        <f>IF(AND($F224&lt;=BD$2, OR($G224="",$G224&gt;=BD$2)),
  $H224 * (1 + Assumptions!$C$7) ^ INT(((YEAR(BD$2)-YEAR($F224))*12 + MONTH(BD$2)-MONTH($F224)) / 12),
  0)</f>
        <v/>
      </c>
      <c r="BE224" s="299">
        <f>IF(AND($F224&lt;=BE$2, OR($G224="",$G224&gt;=BE$2)),
  $H224 * (1 + Assumptions!$C$7) ^ INT(((YEAR(BE$2)-YEAR($F224))*12 + MONTH(BE$2)-MONTH($F224)) / 12),
  0)</f>
        <v/>
      </c>
      <c r="BF224" s="299">
        <f>IF(AND($F224&lt;=BF$2, OR($G224="",$G224&gt;=BF$2)),
  $H224 * (1 + Assumptions!$C$7) ^ INT(((YEAR(BF$2)-YEAR($F224))*12 + MONTH(BF$2)-MONTH($F224)) / 12),
  0)</f>
        <v/>
      </c>
      <c r="BG224" s="299">
        <f>IF(AND($F224&lt;=BG$2, OR($G224="",$G224&gt;=BG$2)),
  $H224 * (1 + Assumptions!$C$7) ^ INT(((YEAR(BG$2)-YEAR($F224))*12 + MONTH(BG$2)-MONTH($F224)) / 12),
  0)</f>
        <v/>
      </c>
      <c r="BH224" s="299">
        <f>IF(AND($F224&lt;=BH$2, OR($G224="",$G224&gt;=BH$2)),
  $H224 * (1 + Assumptions!$C$7) ^ INT(((YEAR(BH$2)-YEAR($F224))*12 + MONTH(BH$2)-MONTH($F224)) / 12),
  0)</f>
        <v/>
      </c>
      <c r="BI224" s="299">
        <f>IF(AND($F224&lt;=BI$2, OR($G224="",$G224&gt;=BI$2)),
  $H224 * (1 + Assumptions!$C$7) ^ INT(((YEAR(BI$2)-YEAR($F224))*12 + MONTH(BI$2)-MONTH($F224)) / 12),
  0)</f>
        <v/>
      </c>
      <c r="BJ224" s="299">
        <f>IF(AND($F224&lt;=BJ$2, OR($G224="",$G224&gt;=BJ$2)),
  $H224 * (1 + Assumptions!$C$7) ^ INT(((YEAR(BJ$2)-YEAR($F224))*12 + MONTH(BJ$2)-MONTH($F224)) / 12),
  0)</f>
        <v/>
      </c>
      <c r="BK224" s="299">
        <f>IF(AND($F224&lt;=BK$2, OR($G224="",$G224&gt;=BK$2)),
  $H224 * (1 + Assumptions!$C$7) ^ INT(((YEAR(BK$2)-YEAR($F224))*12 + MONTH(BK$2)-MONTH($F224)) / 12),
  0)</f>
        <v/>
      </c>
      <c r="BL224" s="299">
        <f>IF(AND($F224&lt;=BL$2, OR($G224="",$G224&gt;=BL$2)),
  $H224 * (1 + Assumptions!$C$7) ^ INT(((YEAR(BL$2)-YEAR($F224))*12 + MONTH(BL$2)-MONTH($F224)) / 12),
  0)</f>
        <v/>
      </c>
      <c r="BM224" s="299">
        <f>IF(AND($F224&lt;=BM$2, OR($G224="",$G224&gt;=BM$2)),
  $H224 * (1 + Assumptions!$C$7) ^ INT(((YEAR(BM$2)-YEAR($F224))*12 + MONTH(BM$2)-MONTH($F224)) / 12),
  0)</f>
        <v/>
      </c>
      <c r="BN224" s="299">
        <f>IF(AND($F224&lt;=BN$2, OR($G224="",$G224&gt;=BN$2)),
  $H224 * (1 + Assumptions!$C$7) ^ INT(((YEAR(BN$2)-YEAR($F224))*12 + MONTH(BN$2)-MONTH($F224)) / 12),
  0)</f>
        <v/>
      </c>
      <c r="BO224" s="299">
        <f>IF(AND($F224&lt;=BO$2, OR($G224="",$G224&gt;=BO$2)),
  $H224 * (1 + Assumptions!$C$7) ^ INT(((YEAR(BO$2)-YEAR($F224))*12 + MONTH(BO$2)-MONTH($F224)) / 12),
  0)</f>
        <v/>
      </c>
      <c r="BP224" s="299">
        <f>IF(AND($F224&lt;=BP$2, OR($G224="",$G224&gt;=BP$2)),
  $H224 * (1 + Assumptions!$C$7) ^ INT(((YEAR(BP$2)-YEAR($F224))*12 + MONTH(BP$2)-MONTH($F224)) / 12),
  0)</f>
        <v/>
      </c>
      <c r="BQ224" s="31" t="n"/>
      <c r="BR224" s="31" t="n"/>
      <c r="BS224" s="31" t="n"/>
      <c r="BT224" s="31" t="n"/>
    </row>
    <row r="225" ht="15.75" customHeight="1" s="349">
      <c r="A225" s="321" t="n">
        <v>220</v>
      </c>
      <c r="B225" s="285" t="inlineStr">
        <is>
          <t>New hire</t>
        </is>
      </c>
      <c r="C225" s="317" t="inlineStr">
        <is>
          <t>R&amp;D</t>
        </is>
      </c>
      <c r="D225" s="317" t="inlineStr">
        <is>
          <t>R&amp;D Engineer</t>
        </is>
      </c>
      <c r="E225" s="297" t="inlineStr">
        <is>
          <t>Planned</t>
        </is>
      </c>
      <c r="F225" s="318">
        <f>IF(Assumptions!$D$82=2,DATE(2029,1,1),DATE(2035,1,1))</f>
        <v/>
      </c>
      <c r="G225" s="318" t="n"/>
      <c r="H225" s="288" t="n">
        <v>8000</v>
      </c>
      <c r="I225" s="299">
        <f>IF(AND($F225&lt;=I$2, OR($G225="",$G225&gt;=I$2)),
  $H225 * (1 + Assumptions!$C$7) ^ INT(((YEAR(I$2)-YEAR($F225))*12 + MONTH(I$2)-MONTH($F225)) / 12),
  0)</f>
        <v/>
      </c>
      <c r="J225" s="299">
        <f>IF(AND($F225&lt;=J$2, OR($G225="",$G225&gt;=J$2)),
  $H225 * (1 + Assumptions!$C$7) ^ INT(((YEAR(J$2)-YEAR($F225))*12 + MONTH(J$2)-MONTH($F225)) / 12),
  0)</f>
        <v/>
      </c>
      <c r="K225" s="299">
        <f>IF(AND($F225&lt;=K$2, OR($G225="",$G225&gt;=K$2)),
  $H225 * (1 + Assumptions!$C$7) ^ INT(((YEAR(K$2)-YEAR($F225))*12 + MONTH(K$2)-MONTH($F225)) / 12),
  0)</f>
        <v/>
      </c>
      <c r="L225" s="299">
        <f>IF(AND($F225&lt;=L$2, OR($G225="",$G225&gt;=L$2)),
  $H225 * (1 + Assumptions!$C$7) ^ INT(((YEAR(L$2)-YEAR($F225))*12 + MONTH(L$2)-MONTH($F225)) / 12),
  0)</f>
        <v/>
      </c>
      <c r="M225" s="299">
        <f>IF(AND($F225&lt;=M$2, OR($G225="",$G225&gt;=M$2)),
  $H225 * (1 + Assumptions!$C$7) ^ INT(((YEAR(M$2)-YEAR($F225))*12 + MONTH(M$2)-MONTH($F225)) / 12),
  0)</f>
        <v/>
      </c>
      <c r="N225" s="299">
        <f>IF(AND($F225&lt;=N$2, OR($G225="",$G225&gt;=N$2)),
  $H225 * (1 + Assumptions!$C$7) ^ INT(((YEAR(N$2)-YEAR($F225))*12 + MONTH(N$2)-MONTH($F225)) / 12),
  0)</f>
        <v/>
      </c>
      <c r="O225" s="299">
        <f>IF(AND($F225&lt;=O$2, OR($G225="",$G225&gt;=O$2)),
  $H225 * (1 + Assumptions!$C$7) ^ INT(((YEAR(O$2)-YEAR($F225))*12 + MONTH(O$2)-MONTH($F225)) / 12),
  0)</f>
        <v/>
      </c>
      <c r="P225" s="299">
        <f>IF(AND($F225&lt;=P$2, OR($G225="",$G225&gt;=P$2)),
  $H225 * (1 + Assumptions!$C$7) ^ INT(((YEAR(P$2)-YEAR($F225))*12 + MONTH(P$2)-MONTH($F225)) / 12),
  0)</f>
        <v/>
      </c>
      <c r="Q225" s="299">
        <f>IF(AND($F225&lt;=Q$2, OR($G225="",$G225&gt;=Q$2)),
  $H225 * (1 + Assumptions!$C$7) ^ INT(((YEAR(Q$2)-YEAR($F225))*12 + MONTH(Q$2)-MONTH($F225)) / 12),
  0)</f>
        <v/>
      </c>
      <c r="R225" s="299">
        <f>IF(AND($F225&lt;=R$2, OR($G225="",$G225&gt;=R$2)),
  $H225 * (1 + Assumptions!$C$7) ^ INT(((YEAR(R$2)-YEAR($F225))*12 + MONTH(R$2)-MONTH($F225)) / 12),
  0)</f>
        <v/>
      </c>
      <c r="S225" s="299">
        <f>IF(AND($F225&lt;=S$2, OR($G225="",$G225&gt;=S$2)),
  $H225 * (1 + Assumptions!$C$7) ^ INT(((YEAR(S$2)-YEAR($F225))*12 + MONTH(S$2)-MONTH($F225)) / 12),
  0)</f>
        <v/>
      </c>
      <c r="T225" s="299">
        <f>IF(AND($F225&lt;=T$2, OR($G225="",$G225&gt;=T$2)),
  $H225 * (1 + Assumptions!$C$7) ^ INT(((YEAR(T$2)-YEAR($F225))*12 + MONTH(T$2)-MONTH($F225)) / 12),
  0)</f>
        <v/>
      </c>
      <c r="U225" s="299">
        <f>IF(AND($F225&lt;=U$2, OR($G225="",$G225&gt;=U$2)),
  $H225 * (1 + Assumptions!$C$7) ^ INT(((YEAR(U$2)-YEAR($F225))*12 + MONTH(U$2)-MONTH($F225)) / 12),
  0)</f>
        <v/>
      </c>
      <c r="V225" s="299">
        <f>IF(AND($F225&lt;=V$2, OR($G225="",$G225&gt;=V$2)),
  $H225 * (1 + Assumptions!$C$7) ^ INT(((YEAR(V$2)-YEAR($F225))*12 + MONTH(V$2)-MONTH($F225)) / 12),
  0)</f>
        <v/>
      </c>
      <c r="W225" s="299">
        <f>IF(AND($F225&lt;=W$2, OR($G225="",$G225&gt;=W$2)),
  $H225 * (1 + Assumptions!$C$7) ^ INT(((YEAR(W$2)-YEAR($F225))*12 + MONTH(W$2)-MONTH($F225)) / 12),
  0)</f>
        <v/>
      </c>
      <c r="X225" s="299">
        <f>IF(AND($F225&lt;=X$2, OR($G225="",$G225&gt;=X$2)),
  $H225 * (1 + Assumptions!$C$7) ^ INT(((YEAR(X$2)-YEAR($F225))*12 + MONTH(X$2)-MONTH($F225)) / 12),
  0)</f>
        <v/>
      </c>
      <c r="Y225" s="299">
        <f>IF(AND($F225&lt;=Y$2, OR($G225="",$G225&gt;=Y$2)),
  $H225 * (1 + Assumptions!$C$7) ^ INT(((YEAR(Y$2)-YEAR($F225))*12 + MONTH(Y$2)-MONTH($F225)) / 12),
  0)</f>
        <v/>
      </c>
      <c r="Z225" s="299">
        <f>IF(AND($F225&lt;=Z$2, OR($G225="",$G225&gt;=Z$2)),
  $H225 * (1 + Assumptions!$C$7) ^ INT(((YEAR(Z$2)-YEAR($F225))*12 + MONTH(Z$2)-MONTH($F225)) / 12),
  0)</f>
        <v/>
      </c>
      <c r="AA225" s="299">
        <f>IF(AND($F225&lt;=AA$2, OR($G225="",$G225&gt;=AA$2)),
  $H225 * (1 + Assumptions!$C$7) ^ INT(((YEAR(AA$2)-YEAR($F225))*12 + MONTH(AA$2)-MONTH($F225)) / 12),
  0)</f>
        <v/>
      </c>
      <c r="AB225" s="299">
        <f>IF(AND($F225&lt;=AB$2, OR($G225="",$G225&gt;=AB$2)),
  $H225 * (1 + Assumptions!$C$7) ^ INT(((YEAR(AB$2)-YEAR($F225))*12 + MONTH(AB$2)-MONTH($F225)) / 12),
  0)</f>
        <v/>
      </c>
      <c r="AC225" s="299">
        <f>IF(AND($F225&lt;=AC$2, OR($G225="",$G225&gt;=AC$2)),
  $H225 * (1 + Assumptions!$C$7) ^ INT(((YEAR(AC$2)-YEAR($F225))*12 + MONTH(AC$2)-MONTH($F225)) / 12),
  0)</f>
        <v/>
      </c>
      <c r="AD225" s="299">
        <f>IF(AND($F225&lt;=AD$2, OR($G225="",$G225&gt;=AD$2)),
  $H225 * (1 + Assumptions!$C$7) ^ INT(((YEAR(AD$2)-YEAR($F225))*12 + MONTH(AD$2)-MONTH($F225)) / 12),
  0)</f>
        <v/>
      </c>
      <c r="AE225" s="299">
        <f>IF(AND($F225&lt;=AE$2, OR($G225="",$G225&gt;=AE$2)),
  $H225 * (1 + Assumptions!$C$7) ^ INT(((YEAR(AE$2)-YEAR($F225))*12 + MONTH(AE$2)-MONTH($F225)) / 12),
  0)</f>
        <v/>
      </c>
      <c r="AF225" s="299">
        <f>IF(AND($F225&lt;=AF$2, OR($G225="",$G225&gt;=AF$2)),
  $H225 * (1 + Assumptions!$C$7) ^ INT(((YEAR(AF$2)-YEAR($F225))*12 + MONTH(AF$2)-MONTH($F225)) / 12),
  0)</f>
        <v/>
      </c>
      <c r="AG225" s="299">
        <f>IF(AND($F225&lt;=AG$2, OR($G225="",$G225&gt;=AG$2)),
  $H225 * (1 + Assumptions!$C$7) ^ INT(((YEAR(AG$2)-YEAR($F225))*12 + MONTH(AG$2)-MONTH($F225)) / 12),
  0)</f>
        <v/>
      </c>
      <c r="AH225" s="299">
        <f>IF(AND($F225&lt;=AH$2, OR($G225="",$G225&gt;=AH$2)),
  $H225 * (1 + Assumptions!$C$7) ^ INT(((YEAR(AH$2)-YEAR($F225))*12 + MONTH(AH$2)-MONTH($F225)) / 12),
  0)</f>
        <v/>
      </c>
      <c r="AI225" s="299">
        <f>IF(AND($F225&lt;=AI$2, OR($G225="",$G225&gt;=AI$2)),
  $H225 * (1 + Assumptions!$C$7) ^ INT(((YEAR(AI$2)-YEAR($F225))*12 + MONTH(AI$2)-MONTH($F225)) / 12),
  0)</f>
        <v/>
      </c>
      <c r="AJ225" s="299">
        <f>IF(AND($F225&lt;=AJ$2, OR($G225="",$G225&gt;=AJ$2)),
  $H225 * (1 + Assumptions!$C$7) ^ INT(((YEAR(AJ$2)-YEAR($F225))*12 + MONTH(AJ$2)-MONTH($F225)) / 12),
  0)</f>
        <v/>
      </c>
      <c r="AK225" s="299">
        <f>IF(AND($F225&lt;=AK$2, OR($G225="",$G225&gt;=AK$2)),
  $H225 * (1 + Assumptions!$C$7) ^ INT(((YEAR(AK$2)-YEAR($F225))*12 + MONTH(AK$2)-MONTH($F225)) / 12),
  0)</f>
        <v/>
      </c>
      <c r="AL225" s="299">
        <f>IF(AND($F225&lt;=AL$2, OR($G225="",$G225&gt;=AL$2)),
  $H225 * (1 + Assumptions!$C$7) ^ INT(((YEAR(AL$2)-YEAR($F225))*12 + MONTH(AL$2)-MONTH($F225)) / 12),
  0)</f>
        <v/>
      </c>
      <c r="AM225" s="299">
        <f>IF(AND($F225&lt;=AM$2, OR($G225="",$G225&gt;=AM$2)),
  $H225 * (1 + Assumptions!$C$7) ^ INT(((YEAR(AM$2)-YEAR($F225))*12 + MONTH(AM$2)-MONTH($F225)) / 12),
  0)</f>
        <v/>
      </c>
      <c r="AN225" s="299">
        <f>IF(AND($F225&lt;=AN$2, OR($G225="",$G225&gt;=AN$2)),
  $H225 * (1 + Assumptions!$C$7) ^ INT(((YEAR(AN$2)-YEAR($F225))*12 + MONTH(AN$2)-MONTH($F225)) / 12),
  0)</f>
        <v/>
      </c>
      <c r="AO225" s="299">
        <f>IF(AND($F225&lt;=AO$2, OR($G225="",$G225&gt;=AO$2)),
  $H225 * (1 + Assumptions!$C$7) ^ INT(((YEAR(AO$2)-YEAR($F225))*12 + MONTH(AO$2)-MONTH($F225)) / 12),
  0)</f>
        <v/>
      </c>
      <c r="AP225" s="299">
        <f>IF(AND($F225&lt;=AP$2, OR($G225="",$G225&gt;=AP$2)),
  $H225 * (1 + Assumptions!$C$7) ^ INT(((YEAR(AP$2)-YEAR($F225))*12 + MONTH(AP$2)-MONTH($F225)) / 12),
  0)</f>
        <v/>
      </c>
      <c r="AQ225" s="299">
        <f>IF(AND($F225&lt;=AQ$2, OR($G225="",$G225&gt;=AQ$2)),
  $H225 * (1 + Assumptions!$C$7) ^ INT(((YEAR(AQ$2)-YEAR($F225))*12 + MONTH(AQ$2)-MONTH($F225)) / 12),
  0)</f>
        <v/>
      </c>
      <c r="AR225" s="299">
        <f>IF(AND($F225&lt;=AR$2, OR($G225="",$G225&gt;=AR$2)),
  $H225 * (1 + Assumptions!$C$7) ^ INT(((YEAR(AR$2)-YEAR($F225))*12 + MONTH(AR$2)-MONTH($F225)) / 12),
  0)</f>
        <v/>
      </c>
      <c r="AS225" s="299">
        <f>IF(AND($F225&lt;=AS$2, OR($G225="",$G225&gt;=AS$2)),
  $H225 * (1 + Assumptions!$C$7) ^ INT(((YEAR(AS$2)-YEAR($F225))*12 + MONTH(AS$2)-MONTH($F225)) / 12),
  0)</f>
        <v/>
      </c>
      <c r="AT225" s="299">
        <f>IF(AND($F225&lt;=AT$2, OR($G225="",$G225&gt;=AT$2)),
  $H225 * (1 + Assumptions!$C$7) ^ INT(((YEAR(AT$2)-YEAR($F225))*12 + MONTH(AT$2)-MONTH($F225)) / 12),
  0)</f>
        <v/>
      </c>
      <c r="AU225" s="299">
        <f>IF(AND($F225&lt;=AU$2, OR($G225="",$G225&gt;=AU$2)),
  $H225 * (1 + Assumptions!$C$7) ^ INT(((YEAR(AU$2)-YEAR($F225))*12 + MONTH(AU$2)-MONTH($F225)) / 12),
  0)</f>
        <v/>
      </c>
      <c r="AV225" s="299">
        <f>IF(AND($F225&lt;=AV$2, OR($G225="",$G225&gt;=AV$2)),
  $H225 * (1 + Assumptions!$C$7) ^ INT(((YEAR(AV$2)-YEAR($F225))*12 + MONTH(AV$2)-MONTH($F225)) / 12),
  0)</f>
        <v/>
      </c>
      <c r="AW225" s="299">
        <f>IF(AND($F225&lt;=AW$2, OR($G225="",$G225&gt;=AW$2)),
  $H225 * (1 + Assumptions!$C$7) ^ INT(((YEAR(AW$2)-YEAR($F225))*12 + MONTH(AW$2)-MONTH($F225)) / 12),
  0)</f>
        <v/>
      </c>
      <c r="AX225" s="299">
        <f>IF(AND($F225&lt;=AX$2, OR($G225="",$G225&gt;=AX$2)),
  $H225 * (1 + Assumptions!$C$7) ^ INT(((YEAR(AX$2)-YEAR($F225))*12 + MONTH(AX$2)-MONTH($F225)) / 12),
  0)</f>
        <v/>
      </c>
      <c r="AY225" s="299">
        <f>IF(AND($F225&lt;=AY$2, OR($G225="",$G225&gt;=AY$2)),
  $H225 * (1 + Assumptions!$C$7) ^ INT(((YEAR(AY$2)-YEAR($F225))*12 + MONTH(AY$2)-MONTH($F225)) / 12),
  0)</f>
        <v/>
      </c>
      <c r="AZ225" s="299">
        <f>IF(AND($F225&lt;=AZ$2, OR($G225="",$G225&gt;=AZ$2)),
  $H225 * (1 + Assumptions!$C$7) ^ INT(((YEAR(AZ$2)-YEAR($F225))*12 + MONTH(AZ$2)-MONTH($F225)) / 12),
  0)</f>
        <v/>
      </c>
      <c r="BA225" s="299">
        <f>IF(AND($F225&lt;=BA$2, OR($G225="",$G225&gt;=BA$2)),
  $H225 * (1 + Assumptions!$C$7) ^ INT(((YEAR(BA$2)-YEAR($F225))*12 + MONTH(BA$2)-MONTH($F225)) / 12),
  0)</f>
        <v/>
      </c>
      <c r="BB225" s="299">
        <f>IF(AND($F225&lt;=BB$2, OR($G225="",$G225&gt;=BB$2)),
  $H225 * (1 + Assumptions!$C$7) ^ INT(((YEAR(BB$2)-YEAR($F225))*12 + MONTH(BB$2)-MONTH($F225)) / 12),
  0)</f>
        <v/>
      </c>
      <c r="BC225" s="299">
        <f>IF(AND($F225&lt;=BC$2, OR($G225="",$G225&gt;=BC$2)),
  $H225 * (1 + Assumptions!$C$7) ^ INT(((YEAR(BC$2)-YEAR($F225))*12 + MONTH(BC$2)-MONTH($F225)) / 12),
  0)</f>
        <v/>
      </c>
      <c r="BD225" s="299">
        <f>IF(AND($F225&lt;=BD$2, OR($G225="",$G225&gt;=BD$2)),
  $H225 * (1 + Assumptions!$C$7) ^ INT(((YEAR(BD$2)-YEAR($F225))*12 + MONTH(BD$2)-MONTH($F225)) / 12),
  0)</f>
        <v/>
      </c>
      <c r="BE225" s="299">
        <f>IF(AND($F225&lt;=BE$2, OR($G225="",$G225&gt;=BE$2)),
  $H225 * (1 + Assumptions!$C$7) ^ INT(((YEAR(BE$2)-YEAR($F225))*12 + MONTH(BE$2)-MONTH($F225)) / 12),
  0)</f>
        <v/>
      </c>
      <c r="BF225" s="299">
        <f>IF(AND($F225&lt;=BF$2, OR($G225="",$G225&gt;=BF$2)),
  $H225 * (1 + Assumptions!$C$7) ^ INT(((YEAR(BF$2)-YEAR($F225))*12 + MONTH(BF$2)-MONTH($F225)) / 12),
  0)</f>
        <v/>
      </c>
      <c r="BG225" s="299">
        <f>IF(AND($F225&lt;=BG$2, OR($G225="",$G225&gt;=BG$2)),
  $H225 * (1 + Assumptions!$C$7) ^ INT(((YEAR(BG$2)-YEAR($F225))*12 + MONTH(BG$2)-MONTH($F225)) / 12),
  0)</f>
        <v/>
      </c>
      <c r="BH225" s="299">
        <f>IF(AND($F225&lt;=BH$2, OR($G225="",$G225&gt;=BH$2)),
  $H225 * (1 + Assumptions!$C$7) ^ INT(((YEAR(BH$2)-YEAR($F225))*12 + MONTH(BH$2)-MONTH($F225)) / 12),
  0)</f>
        <v/>
      </c>
      <c r="BI225" s="299">
        <f>IF(AND($F225&lt;=BI$2, OR($G225="",$G225&gt;=BI$2)),
  $H225 * (1 + Assumptions!$C$7) ^ INT(((YEAR(BI$2)-YEAR($F225))*12 + MONTH(BI$2)-MONTH($F225)) / 12),
  0)</f>
        <v/>
      </c>
      <c r="BJ225" s="299">
        <f>IF(AND($F225&lt;=BJ$2, OR($G225="",$G225&gt;=BJ$2)),
  $H225 * (1 + Assumptions!$C$7) ^ INT(((YEAR(BJ$2)-YEAR($F225))*12 + MONTH(BJ$2)-MONTH($F225)) / 12),
  0)</f>
        <v/>
      </c>
      <c r="BK225" s="299">
        <f>IF(AND($F225&lt;=BK$2, OR($G225="",$G225&gt;=BK$2)),
  $H225 * (1 + Assumptions!$C$7) ^ INT(((YEAR(BK$2)-YEAR($F225))*12 + MONTH(BK$2)-MONTH($F225)) / 12),
  0)</f>
        <v/>
      </c>
      <c r="BL225" s="299">
        <f>IF(AND($F225&lt;=BL$2, OR($G225="",$G225&gt;=BL$2)),
  $H225 * (1 + Assumptions!$C$7) ^ INT(((YEAR(BL$2)-YEAR($F225))*12 + MONTH(BL$2)-MONTH($F225)) / 12),
  0)</f>
        <v/>
      </c>
      <c r="BM225" s="299">
        <f>IF(AND($F225&lt;=BM$2, OR($G225="",$G225&gt;=BM$2)),
  $H225 * (1 + Assumptions!$C$7) ^ INT(((YEAR(BM$2)-YEAR($F225))*12 + MONTH(BM$2)-MONTH($F225)) / 12),
  0)</f>
        <v/>
      </c>
      <c r="BN225" s="299">
        <f>IF(AND($F225&lt;=BN$2, OR($G225="",$G225&gt;=BN$2)),
  $H225 * (1 + Assumptions!$C$7) ^ INT(((YEAR(BN$2)-YEAR($F225))*12 + MONTH(BN$2)-MONTH($F225)) / 12),
  0)</f>
        <v/>
      </c>
      <c r="BO225" s="299">
        <f>IF(AND($F225&lt;=BO$2, OR($G225="",$G225&gt;=BO$2)),
  $H225 * (1 + Assumptions!$C$7) ^ INT(((YEAR(BO$2)-YEAR($F225))*12 + MONTH(BO$2)-MONTH($F225)) / 12),
  0)</f>
        <v/>
      </c>
      <c r="BP225" s="299">
        <f>IF(AND($F225&lt;=BP$2, OR($G225="",$G225&gt;=BP$2)),
  $H225 * (1 + Assumptions!$C$7) ^ INT(((YEAR(BP$2)-YEAR($F225))*12 + MONTH(BP$2)-MONTH($F225)) / 12),
  0)</f>
        <v/>
      </c>
      <c r="BQ225" s="31" t="n"/>
      <c r="BR225" s="31" t="n"/>
      <c r="BS225" s="31" t="n"/>
      <c r="BT225" s="31" t="n"/>
    </row>
    <row r="226" ht="15.75" customHeight="1" s="349">
      <c r="A226" s="321" t="n">
        <v>221</v>
      </c>
      <c r="B226" s="285" t="inlineStr">
        <is>
          <t>New hire</t>
        </is>
      </c>
      <c r="C226" s="317" t="inlineStr">
        <is>
          <t>R&amp;D</t>
        </is>
      </c>
      <c r="D226" s="317" t="inlineStr">
        <is>
          <t>R&amp;D Engineer</t>
        </is>
      </c>
      <c r="E226" s="297" t="inlineStr">
        <is>
          <t>Planned</t>
        </is>
      </c>
      <c r="F226" s="318">
        <f>IF(Assumptions!$D$82=2,DATE(2029,1,1),DATE(2035,1,1))</f>
        <v/>
      </c>
      <c r="G226" s="318" t="n"/>
      <c r="H226" s="288" t="n">
        <v>8000</v>
      </c>
      <c r="I226" s="299">
        <f>IF(AND($F226&lt;=I$2, OR($G226="",$G226&gt;=I$2)),
  $H226 * (1 + Assumptions!$C$7) ^ INT(((YEAR(I$2)-YEAR($F226))*12 + MONTH(I$2)-MONTH($F226)) / 12),
  0)</f>
        <v/>
      </c>
      <c r="J226" s="299">
        <f>IF(AND($F226&lt;=J$2, OR($G226="",$G226&gt;=J$2)),
  $H226 * (1 + Assumptions!$C$7) ^ INT(((YEAR(J$2)-YEAR($F226))*12 + MONTH(J$2)-MONTH($F226)) / 12),
  0)</f>
        <v/>
      </c>
      <c r="K226" s="299">
        <f>IF(AND($F226&lt;=K$2, OR($G226="",$G226&gt;=K$2)),
  $H226 * (1 + Assumptions!$C$7) ^ INT(((YEAR(K$2)-YEAR($F226))*12 + MONTH(K$2)-MONTH($F226)) / 12),
  0)</f>
        <v/>
      </c>
      <c r="L226" s="299">
        <f>IF(AND($F226&lt;=L$2, OR($G226="",$G226&gt;=L$2)),
  $H226 * (1 + Assumptions!$C$7) ^ INT(((YEAR(L$2)-YEAR($F226))*12 + MONTH(L$2)-MONTH($F226)) / 12),
  0)</f>
        <v/>
      </c>
      <c r="M226" s="299">
        <f>IF(AND($F226&lt;=M$2, OR($G226="",$G226&gt;=M$2)),
  $H226 * (1 + Assumptions!$C$7) ^ INT(((YEAR(M$2)-YEAR($F226))*12 + MONTH(M$2)-MONTH($F226)) / 12),
  0)</f>
        <v/>
      </c>
      <c r="N226" s="299">
        <f>IF(AND($F226&lt;=N$2, OR($G226="",$G226&gt;=N$2)),
  $H226 * (1 + Assumptions!$C$7) ^ INT(((YEAR(N$2)-YEAR($F226))*12 + MONTH(N$2)-MONTH($F226)) / 12),
  0)</f>
        <v/>
      </c>
      <c r="O226" s="299">
        <f>IF(AND($F226&lt;=O$2, OR($G226="",$G226&gt;=O$2)),
  $H226 * (1 + Assumptions!$C$7) ^ INT(((YEAR(O$2)-YEAR($F226))*12 + MONTH(O$2)-MONTH($F226)) / 12),
  0)</f>
        <v/>
      </c>
      <c r="P226" s="299">
        <f>IF(AND($F226&lt;=P$2, OR($G226="",$G226&gt;=P$2)),
  $H226 * (1 + Assumptions!$C$7) ^ INT(((YEAR(P$2)-YEAR($F226))*12 + MONTH(P$2)-MONTH($F226)) / 12),
  0)</f>
        <v/>
      </c>
      <c r="Q226" s="299">
        <f>IF(AND($F226&lt;=Q$2, OR($G226="",$G226&gt;=Q$2)),
  $H226 * (1 + Assumptions!$C$7) ^ INT(((YEAR(Q$2)-YEAR($F226))*12 + MONTH(Q$2)-MONTH($F226)) / 12),
  0)</f>
        <v/>
      </c>
      <c r="R226" s="299">
        <f>IF(AND($F226&lt;=R$2, OR($G226="",$G226&gt;=R$2)),
  $H226 * (1 + Assumptions!$C$7) ^ INT(((YEAR(R$2)-YEAR($F226))*12 + MONTH(R$2)-MONTH($F226)) / 12),
  0)</f>
        <v/>
      </c>
      <c r="S226" s="299">
        <f>IF(AND($F226&lt;=S$2, OR($G226="",$G226&gt;=S$2)),
  $H226 * (1 + Assumptions!$C$7) ^ INT(((YEAR(S$2)-YEAR($F226))*12 + MONTH(S$2)-MONTH($F226)) / 12),
  0)</f>
        <v/>
      </c>
      <c r="T226" s="299">
        <f>IF(AND($F226&lt;=T$2, OR($G226="",$G226&gt;=T$2)),
  $H226 * (1 + Assumptions!$C$7) ^ INT(((YEAR(T$2)-YEAR($F226))*12 + MONTH(T$2)-MONTH($F226)) / 12),
  0)</f>
        <v/>
      </c>
      <c r="U226" s="299">
        <f>IF(AND($F226&lt;=U$2, OR($G226="",$G226&gt;=U$2)),
  $H226 * (1 + Assumptions!$C$7) ^ INT(((YEAR(U$2)-YEAR($F226))*12 + MONTH(U$2)-MONTH($F226)) / 12),
  0)</f>
        <v/>
      </c>
      <c r="V226" s="299">
        <f>IF(AND($F226&lt;=V$2, OR($G226="",$G226&gt;=V$2)),
  $H226 * (1 + Assumptions!$C$7) ^ INT(((YEAR(V$2)-YEAR($F226))*12 + MONTH(V$2)-MONTH($F226)) / 12),
  0)</f>
        <v/>
      </c>
      <c r="W226" s="299">
        <f>IF(AND($F226&lt;=W$2, OR($G226="",$G226&gt;=W$2)),
  $H226 * (1 + Assumptions!$C$7) ^ INT(((YEAR(W$2)-YEAR($F226))*12 + MONTH(W$2)-MONTH($F226)) / 12),
  0)</f>
        <v/>
      </c>
      <c r="X226" s="299">
        <f>IF(AND($F226&lt;=X$2, OR($G226="",$G226&gt;=X$2)),
  $H226 * (1 + Assumptions!$C$7) ^ INT(((YEAR(X$2)-YEAR($F226))*12 + MONTH(X$2)-MONTH($F226)) / 12),
  0)</f>
        <v/>
      </c>
      <c r="Y226" s="299">
        <f>IF(AND($F226&lt;=Y$2, OR($G226="",$G226&gt;=Y$2)),
  $H226 * (1 + Assumptions!$C$7) ^ INT(((YEAR(Y$2)-YEAR($F226))*12 + MONTH(Y$2)-MONTH($F226)) / 12),
  0)</f>
        <v/>
      </c>
      <c r="Z226" s="299">
        <f>IF(AND($F226&lt;=Z$2, OR($G226="",$G226&gt;=Z$2)),
  $H226 * (1 + Assumptions!$C$7) ^ INT(((YEAR(Z$2)-YEAR($F226))*12 + MONTH(Z$2)-MONTH($F226)) / 12),
  0)</f>
        <v/>
      </c>
      <c r="AA226" s="299">
        <f>IF(AND($F226&lt;=AA$2, OR($G226="",$G226&gt;=AA$2)),
  $H226 * (1 + Assumptions!$C$7) ^ INT(((YEAR(AA$2)-YEAR($F226))*12 + MONTH(AA$2)-MONTH($F226)) / 12),
  0)</f>
        <v/>
      </c>
      <c r="AB226" s="299">
        <f>IF(AND($F226&lt;=AB$2, OR($G226="",$G226&gt;=AB$2)),
  $H226 * (1 + Assumptions!$C$7) ^ INT(((YEAR(AB$2)-YEAR($F226))*12 + MONTH(AB$2)-MONTH($F226)) / 12),
  0)</f>
        <v/>
      </c>
      <c r="AC226" s="299">
        <f>IF(AND($F226&lt;=AC$2, OR($G226="",$G226&gt;=AC$2)),
  $H226 * (1 + Assumptions!$C$7) ^ INT(((YEAR(AC$2)-YEAR($F226))*12 + MONTH(AC$2)-MONTH($F226)) / 12),
  0)</f>
        <v/>
      </c>
      <c r="AD226" s="299">
        <f>IF(AND($F226&lt;=AD$2, OR($G226="",$G226&gt;=AD$2)),
  $H226 * (1 + Assumptions!$C$7) ^ INT(((YEAR(AD$2)-YEAR($F226))*12 + MONTH(AD$2)-MONTH($F226)) / 12),
  0)</f>
        <v/>
      </c>
      <c r="AE226" s="299">
        <f>IF(AND($F226&lt;=AE$2, OR($G226="",$G226&gt;=AE$2)),
  $H226 * (1 + Assumptions!$C$7) ^ INT(((YEAR(AE$2)-YEAR($F226))*12 + MONTH(AE$2)-MONTH($F226)) / 12),
  0)</f>
        <v/>
      </c>
      <c r="AF226" s="299">
        <f>IF(AND($F226&lt;=AF$2, OR($G226="",$G226&gt;=AF$2)),
  $H226 * (1 + Assumptions!$C$7) ^ INT(((YEAR(AF$2)-YEAR($F226))*12 + MONTH(AF$2)-MONTH($F226)) / 12),
  0)</f>
        <v/>
      </c>
      <c r="AG226" s="299">
        <f>IF(AND($F226&lt;=AG$2, OR($G226="",$G226&gt;=AG$2)),
  $H226 * (1 + Assumptions!$C$7) ^ INT(((YEAR(AG$2)-YEAR($F226))*12 + MONTH(AG$2)-MONTH($F226)) / 12),
  0)</f>
        <v/>
      </c>
      <c r="AH226" s="299">
        <f>IF(AND($F226&lt;=AH$2, OR($G226="",$G226&gt;=AH$2)),
  $H226 * (1 + Assumptions!$C$7) ^ INT(((YEAR(AH$2)-YEAR($F226))*12 + MONTH(AH$2)-MONTH($F226)) / 12),
  0)</f>
        <v/>
      </c>
      <c r="AI226" s="299">
        <f>IF(AND($F226&lt;=AI$2, OR($G226="",$G226&gt;=AI$2)),
  $H226 * (1 + Assumptions!$C$7) ^ INT(((YEAR(AI$2)-YEAR($F226))*12 + MONTH(AI$2)-MONTH($F226)) / 12),
  0)</f>
        <v/>
      </c>
      <c r="AJ226" s="299">
        <f>IF(AND($F226&lt;=AJ$2, OR($G226="",$G226&gt;=AJ$2)),
  $H226 * (1 + Assumptions!$C$7) ^ INT(((YEAR(AJ$2)-YEAR($F226))*12 + MONTH(AJ$2)-MONTH($F226)) / 12),
  0)</f>
        <v/>
      </c>
      <c r="AK226" s="299">
        <f>IF(AND($F226&lt;=AK$2, OR($G226="",$G226&gt;=AK$2)),
  $H226 * (1 + Assumptions!$C$7) ^ INT(((YEAR(AK$2)-YEAR($F226))*12 + MONTH(AK$2)-MONTH($F226)) / 12),
  0)</f>
        <v/>
      </c>
      <c r="AL226" s="299">
        <f>IF(AND($F226&lt;=AL$2, OR($G226="",$G226&gt;=AL$2)),
  $H226 * (1 + Assumptions!$C$7) ^ INT(((YEAR(AL$2)-YEAR($F226))*12 + MONTH(AL$2)-MONTH($F226)) / 12),
  0)</f>
        <v/>
      </c>
      <c r="AM226" s="299">
        <f>IF(AND($F226&lt;=AM$2, OR($G226="",$G226&gt;=AM$2)),
  $H226 * (1 + Assumptions!$C$7) ^ INT(((YEAR(AM$2)-YEAR($F226))*12 + MONTH(AM$2)-MONTH($F226)) / 12),
  0)</f>
        <v/>
      </c>
      <c r="AN226" s="299">
        <f>IF(AND($F226&lt;=AN$2, OR($G226="",$G226&gt;=AN$2)),
  $H226 * (1 + Assumptions!$C$7) ^ INT(((YEAR(AN$2)-YEAR($F226))*12 + MONTH(AN$2)-MONTH($F226)) / 12),
  0)</f>
        <v/>
      </c>
      <c r="AO226" s="299">
        <f>IF(AND($F226&lt;=AO$2, OR($G226="",$G226&gt;=AO$2)),
  $H226 * (1 + Assumptions!$C$7) ^ INT(((YEAR(AO$2)-YEAR($F226))*12 + MONTH(AO$2)-MONTH($F226)) / 12),
  0)</f>
        <v/>
      </c>
      <c r="AP226" s="299">
        <f>IF(AND($F226&lt;=AP$2, OR($G226="",$G226&gt;=AP$2)),
  $H226 * (1 + Assumptions!$C$7) ^ INT(((YEAR(AP$2)-YEAR($F226))*12 + MONTH(AP$2)-MONTH($F226)) / 12),
  0)</f>
        <v/>
      </c>
      <c r="AQ226" s="299">
        <f>IF(AND($F226&lt;=AQ$2, OR($G226="",$G226&gt;=AQ$2)),
  $H226 * (1 + Assumptions!$C$7) ^ INT(((YEAR(AQ$2)-YEAR($F226))*12 + MONTH(AQ$2)-MONTH($F226)) / 12),
  0)</f>
        <v/>
      </c>
      <c r="AR226" s="299">
        <f>IF(AND($F226&lt;=AR$2, OR($G226="",$G226&gt;=AR$2)),
  $H226 * (1 + Assumptions!$C$7) ^ INT(((YEAR(AR$2)-YEAR($F226))*12 + MONTH(AR$2)-MONTH($F226)) / 12),
  0)</f>
        <v/>
      </c>
      <c r="AS226" s="299">
        <f>IF(AND($F226&lt;=AS$2, OR($G226="",$G226&gt;=AS$2)),
  $H226 * (1 + Assumptions!$C$7) ^ INT(((YEAR(AS$2)-YEAR($F226))*12 + MONTH(AS$2)-MONTH($F226)) / 12),
  0)</f>
        <v/>
      </c>
      <c r="AT226" s="299">
        <f>IF(AND($F226&lt;=AT$2, OR($G226="",$G226&gt;=AT$2)),
  $H226 * (1 + Assumptions!$C$7) ^ INT(((YEAR(AT$2)-YEAR($F226))*12 + MONTH(AT$2)-MONTH($F226)) / 12),
  0)</f>
        <v/>
      </c>
      <c r="AU226" s="299">
        <f>IF(AND($F226&lt;=AU$2, OR($G226="",$G226&gt;=AU$2)),
  $H226 * (1 + Assumptions!$C$7) ^ INT(((YEAR(AU$2)-YEAR($F226))*12 + MONTH(AU$2)-MONTH($F226)) / 12),
  0)</f>
        <v/>
      </c>
      <c r="AV226" s="299">
        <f>IF(AND($F226&lt;=AV$2, OR($G226="",$G226&gt;=AV$2)),
  $H226 * (1 + Assumptions!$C$7) ^ INT(((YEAR(AV$2)-YEAR($F226))*12 + MONTH(AV$2)-MONTH($F226)) / 12),
  0)</f>
        <v/>
      </c>
      <c r="AW226" s="299">
        <f>IF(AND($F226&lt;=AW$2, OR($G226="",$G226&gt;=AW$2)),
  $H226 * (1 + Assumptions!$C$7) ^ INT(((YEAR(AW$2)-YEAR($F226))*12 + MONTH(AW$2)-MONTH($F226)) / 12),
  0)</f>
        <v/>
      </c>
      <c r="AX226" s="299">
        <f>IF(AND($F226&lt;=AX$2, OR($G226="",$G226&gt;=AX$2)),
  $H226 * (1 + Assumptions!$C$7) ^ INT(((YEAR(AX$2)-YEAR($F226))*12 + MONTH(AX$2)-MONTH($F226)) / 12),
  0)</f>
        <v/>
      </c>
      <c r="AY226" s="299">
        <f>IF(AND($F226&lt;=AY$2, OR($G226="",$G226&gt;=AY$2)),
  $H226 * (1 + Assumptions!$C$7) ^ INT(((YEAR(AY$2)-YEAR($F226))*12 + MONTH(AY$2)-MONTH($F226)) / 12),
  0)</f>
        <v/>
      </c>
      <c r="AZ226" s="299">
        <f>IF(AND($F226&lt;=AZ$2, OR($G226="",$G226&gt;=AZ$2)),
  $H226 * (1 + Assumptions!$C$7) ^ INT(((YEAR(AZ$2)-YEAR($F226))*12 + MONTH(AZ$2)-MONTH($F226)) / 12),
  0)</f>
        <v/>
      </c>
      <c r="BA226" s="299">
        <f>IF(AND($F226&lt;=BA$2, OR($G226="",$G226&gt;=BA$2)),
  $H226 * (1 + Assumptions!$C$7) ^ INT(((YEAR(BA$2)-YEAR($F226))*12 + MONTH(BA$2)-MONTH($F226)) / 12),
  0)</f>
        <v/>
      </c>
      <c r="BB226" s="299">
        <f>IF(AND($F226&lt;=BB$2, OR($G226="",$G226&gt;=BB$2)),
  $H226 * (1 + Assumptions!$C$7) ^ INT(((YEAR(BB$2)-YEAR($F226))*12 + MONTH(BB$2)-MONTH($F226)) / 12),
  0)</f>
        <v/>
      </c>
      <c r="BC226" s="299">
        <f>IF(AND($F226&lt;=BC$2, OR($G226="",$G226&gt;=BC$2)),
  $H226 * (1 + Assumptions!$C$7) ^ INT(((YEAR(BC$2)-YEAR($F226))*12 + MONTH(BC$2)-MONTH($F226)) / 12),
  0)</f>
        <v/>
      </c>
      <c r="BD226" s="299">
        <f>IF(AND($F226&lt;=BD$2, OR($G226="",$G226&gt;=BD$2)),
  $H226 * (1 + Assumptions!$C$7) ^ INT(((YEAR(BD$2)-YEAR($F226))*12 + MONTH(BD$2)-MONTH($F226)) / 12),
  0)</f>
        <v/>
      </c>
      <c r="BE226" s="299">
        <f>IF(AND($F226&lt;=BE$2, OR($G226="",$G226&gt;=BE$2)),
  $H226 * (1 + Assumptions!$C$7) ^ INT(((YEAR(BE$2)-YEAR($F226))*12 + MONTH(BE$2)-MONTH($F226)) / 12),
  0)</f>
        <v/>
      </c>
      <c r="BF226" s="299">
        <f>IF(AND($F226&lt;=BF$2, OR($G226="",$G226&gt;=BF$2)),
  $H226 * (1 + Assumptions!$C$7) ^ INT(((YEAR(BF$2)-YEAR($F226))*12 + MONTH(BF$2)-MONTH($F226)) / 12),
  0)</f>
        <v/>
      </c>
      <c r="BG226" s="299">
        <f>IF(AND($F226&lt;=BG$2, OR($G226="",$G226&gt;=BG$2)),
  $H226 * (1 + Assumptions!$C$7) ^ INT(((YEAR(BG$2)-YEAR($F226))*12 + MONTH(BG$2)-MONTH($F226)) / 12),
  0)</f>
        <v/>
      </c>
      <c r="BH226" s="299">
        <f>IF(AND($F226&lt;=BH$2, OR($G226="",$G226&gt;=BH$2)),
  $H226 * (1 + Assumptions!$C$7) ^ INT(((YEAR(BH$2)-YEAR($F226))*12 + MONTH(BH$2)-MONTH($F226)) / 12),
  0)</f>
        <v/>
      </c>
      <c r="BI226" s="299">
        <f>IF(AND($F226&lt;=BI$2, OR($G226="",$G226&gt;=BI$2)),
  $H226 * (1 + Assumptions!$C$7) ^ INT(((YEAR(BI$2)-YEAR($F226))*12 + MONTH(BI$2)-MONTH($F226)) / 12),
  0)</f>
        <v/>
      </c>
      <c r="BJ226" s="299">
        <f>IF(AND($F226&lt;=BJ$2, OR($G226="",$G226&gt;=BJ$2)),
  $H226 * (1 + Assumptions!$C$7) ^ INT(((YEAR(BJ$2)-YEAR($F226))*12 + MONTH(BJ$2)-MONTH($F226)) / 12),
  0)</f>
        <v/>
      </c>
      <c r="BK226" s="299">
        <f>IF(AND($F226&lt;=BK$2, OR($G226="",$G226&gt;=BK$2)),
  $H226 * (1 + Assumptions!$C$7) ^ INT(((YEAR(BK$2)-YEAR($F226))*12 + MONTH(BK$2)-MONTH($F226)) / 12),
  0)</f>
        <v/>
      </c>
      <c r="BL226" s="299">
        <f>IF(AND($F226&lt;=BL$2, OR($G226="",$G226&gt;=BL$2)),
  $H226 * (1 + Assumptions!$C$7) ^ INT(((YEAR(BL$2)-YEAR($F226))*12 + MONTH(BL$2)-MONTH($F226)) / 12),
  0)</f>
        <v/>
      </c>
      <c r="BM226" s="299">
        <f>IF(AND($F226&lt;=BM$2, OR($G226="",$G226&gt;=BM$2)),
  $H226 * (1 + Assumptions!$C$7) ^ INT(((YEAR(BM$2)-YEAR($F226))*12 + MONTH(BM$2)-MONTH($F226)) / 12),
  0)</f>
        <v/>
      </c>
      <c r="BN226" s="299">
        <f>IF(AND($F226&lt;=BN$2, OR($G226="",$G226&gt;=BN$2)),
  $H226 * (1 + Assumptions!$C$7) ^ INT(((YEAR(BN$2)-YEAR($F226))*12 + MONTH(BN$2)-MONTH($F226)) / 12),
  0)</f>
        <v/>
      </c>
      <c r="BO226" s="299">
        <f>IF(AND($F226&lt;=BO$2, OR($G226="",$G226&gt;=BO$2)),
  $H226 * (1 + Assumptions!$C$7) ^ INT(((YEAR(BO$2)-YEAR($F226))*12 + MONTH(BO$2)-MONTH($F226)) / 12),
  0)</f>
        <v/>
      </c>
      <c r="BP226" s="299">
        <f>IF(AND($F226&lt;=BP$2, OR($G226="",$G226&gt;=BP$2)),
  $H226 * (1 + Assumptions!$C$7) ^ INT(((YEAR(BP$2)-YEAR($F226))*12 + MONTH(BP$2)-MONTH($F226)) / 12),
  0)</f>
        <v/>
      </c>
      <c r="BQ226" s="31" t="n"/>
      <c r="BR226" s="31" t="n"/>
      <c r="BS226" s="31" t="n"/>
      <c r="BT226" s="31" t="n"/>
    </row>
    <row r="227" ht="15.75" customHeight="1" s="349">
      <c r="A227" s="321" t="n">
        <v>222</v>
      </c>
      <c r="B227" s="285" t="inlineStr">
        <is>
          <t>New hire</t>
        </is>
      </c>
      <c r="C227" s="317" t="inlineStr">
        <is>
          <t>R&amp;D</t>
        </is>
      </c>
      <c r="D227" s="317" t="inlineStr">
        <is>
          <t>R&amp;D Engineer</t>
        </is>
      </c>
      <c r="E227" s="297" t="inlineStr">
        <is>
          <t>Planned</t>
        </is>
      </c>
      <c r="F227" s="318">
        <f>IF(Assumptions!$D$82=2,DATE(2029,1,1),DATE(2035,1,1))</f>
        <v/>
      </c>
      <c r="G227" s="318" t="n"/>
      <c r="H227" s="288" t="n">
        <v>8000</v>
      </c>
      <c r="I227" s="299">
        <f>IF(AND($F227&lt;=I$2, OR($G227="",$G227&gt;=I$2)),
  $H227 * (1 + Assumptions!$C$7) ^ INT(((YEAR(I$2)-YEAR($F227))*12 + MONTH(I$2)-MONTH($F227)) / 12),
  0)</f>
        <v/>
      </c>
      <c r="J227" s="299">
        <f>IF(AND($F227&lt;=J$2, OR($G227="",$G227&gt;=J$2)),
  $H227 * (1 + Assumptions!$C$7) ^ INT(((YEAR(J$2)-YEAR($F227))*12 + MONTH(J$2)-MONTH($F227)) / 12),
  0)</f>
        <v/>
      </c>
      <c r="K227" s="299">
        <f>IF(AND($F227&lt;=K$2, OR($G227="",$G227&gt;=K$2)),
  $H227 * (1 + Assumptions!$C$7) ^ INT(((YEAR(K$2)-YEAR($F227))*12 + MONTH(K$2)-MONTH($F227)) / 12),
  0)</f>
        <v/>
      </c>
      <c r="L227" s="299">
        <f>IF(AND($F227&lt;=L$2, OR($G227="",$G227&gt;=L$2)),
  $H227 * (1 + Assumptions!$C$7) ^ INT(((YEAR(L$2)-YEAR($F227))*12 + MONTH(L$2)-MONTH($F227)) / 12),
  0)</f>
        <v/>
      </c>
      <c r="M227" s="299">
        <f>IF(AND($F227&lt;=M$2, OR($G227="",$G227&gt;=M$2)),
  $H227 * (1 + Assumptions!$C$7) ^ INT(((YEAR(M$2)-YEAR($F227))*12 + MONTH(M$2)-MONTH($F227)) / 12),
  0)</f>
        <v/>
      </c>
      <c r="N227" s="299">
        <f>IF(AND($F227&lt;=N$2, OR($G227="",$G227&gt;=N$2)),
  $H227 * (1 + Assumptions!$C$7) ^ INT(((YEAR(N$2)-YEAR($F227))*12 + MONTH(N$2)-MONTH($F227)) / 12),
  0)</f>
        <v/>
      </c>
      <c r="O227" s="299">
        <f>IF(AND($F227&lt;=O$2, OR($G227="",$G227&gt;=O$2)),
  $H227 * (1 + Assumptions!$C$7) ^ INT(((YEAR(O$2)-YEAR($F227))*12 + MONTH(O$2)-MONTH($F227)) / 12),
  0)</f>
        <v/>
      </c>
      <c r="P227" s="299">
        <f>IF(AND($F227&lt;=P$2, OR($G227="",$G227&gt;=P$2)),
  $H227 * (1 + Assumptions!$C$7) ^ INT(((YEAR(P$2)-YEAR($F227))*12 + MONTH(P$2)-MONTH($F227)) / 12),
  0)</f>
        <v/>
      </c>
      <c r="Q227" s="299">
        <f>IF(AND($F227&lt;=Q$2, OR($G227="",$G227&gt;=Q$2)),
  $H227 * (1 + Assumptions!$C$7) ^ INT(((YEAR(Q$2)-YEAR($F227))*12 + MONTH(Q$2)-MONTH($F227)) / 12),
  0)</f>
        <v/>
      </c>
      <c r="R227" s="299">
        <f>IF(AND($F227&lt;=R$2, OR($G227="",$G227&gt;=R$2)),
  $H227 * (1 + Assumptions!$C$7) ^ INT(((YEAR(R$2)-YEAR($F227))*12 + MONTH(R$2)-MONTH($F227)) / 12),
  0)</f>
        <v/>
      </c>
      <c r="S227" s="299">
        <f>IF(AND($F227&lt;=S$2, OR($G227="",$G227&gt;=S$2)),
  $H227 * (1 + Assumptions!$C$7) ^ INT(((YEAR(S$2)-YEAR($F227))*12 + MONTH(S$2)-MONTH($F227)) / 12),
  0)</f>
        <v/>
      </c>
      <c r="T227" s="299">
        <f>IF(AND($F227&lt;=T$2, OR($G227="",$G227&gt;=T$2)),
  $H227 * (1 + Assumptions!$C$7) ^ INT(((YEAR(T$2)-YEAR($F227))*12 + MONTH(T$2)-MONTH($F227)) / 12),
  0)</f>
        <v/>
      </c>
      <c r="U227" s="299">
        <f>IF(AND($F227&lt;=U$2, OR($G227="",$G227&gt;=U$2)),
  $H227 * (1 + Assumptions!$C$7) ^ INT(((YEAR(U$2)-YEAR($F227))*12 + MONTH(U$2)-MONTH($F227)) / 12),
  0)</f>
        <v/>
      </c>
      <c r="V227" s="299">
        <f>IF(AND($F227&lt;=V$2, OR($G227="",$G227&gt;=V$2)),
  $H227 * (1 + Assumptions!$C$7) ^ INT(((YEAR(V$2)-YEAR($F227))*12 + MONTH(V$2)-MONTH($F227)) / 12),
  0)</f>
        <v/>
      </c>
      <c r="W227" s="299">
        <f>IF(AND($F227&lt;=W$2, OR($G227="",$G227&gt;=W$2)),
  $H227 * (1 + Assumptions!$C$7) ^ INT(((YEAR(W$2)-YEAR($F227))*12 + MONTH(W$2)-MONTH($F227)) / 12),
  0)</f>
        <v/>
      </c>
      <c r="X227" s="299">
        <f>IF(AND($F227&lt;=X$2, OR($G227="",$G227&gt;=X$2)),
  $H227 * (1 + Assumptions!$C$7) ^ INT(((YEAR(X$2)-YEAR($F227))*12 + MONTH(X$2)-MONTH($F227)) / 12),
  0)</f>
        <v/>
      </c>
      <c r="Y227" s="299">
        <f>IF(AND($F227&lt;=Y$2, OR($G227="",$G227&gt;=Y$2)),
  $H227 * (1 + Assumptions!$C$7) ^ INT(((YEAR(Y$2)-YEAR($F227))*12 + MONTH(Y$2)-MONTH($F227)) / 12),
  0)</f>
        <v/>
      </c>
      <c r="Z227" s="299">
        <f>IF(AND($F227&lt;=Z$2, OR($G227="",$G227&gt;=Z$2)),
  $H227 * (1 + Assumptions!$C$7) ^ INT(((YEAR(Z$2)-YEAR($F227))*12 + MONTH(Z$2)-MONTH($F227)) / 12),
  0)</f>
        <v/>
      </c>
      <c r="AA227" s="299">
        <f>IF(AND($F227&lt;=AA$2, OR($G227="",$G227&gt;=AA$2)),
  $H227 * (1 + Assumptions!$C$7) ^ INT(((YEAR(AA$2)-YEAR($F227))*12 + MONTH(AA$2)-MONTH($F227)) / 12),
  0)</f>
        <v/>
      </c>
      <c r="AB227" s="299">
        <f>IF(AND($F227&lt;=AB$2, OR($G227="",$G227&gt;=AB$2)),
  $H227 * (1 + Assumptions!$C$7) ^ INT(((YEAR(AB$2)-YEAR($F227))*12 + MONTH(AB$2)-MONTH($F227)) / 12),
  0)</f>
        <v/>
      </c>
      <c r="AC227" s="299">
        <f>IF(AND($F227&lt;=AC$2, OR($G227="",$G227&gt;=AC$2)),
  $H227 * (1 + Assumptions!$C$7) ^ INT(((YEAR(AC$2)-YEAR($F227))*12 + MONTH(AC$2)-MONTH($F227)) / 12),
  0)</f>
        <v/>
      </c>
      <c r="AD227" s="299">
        <f>IF(AND($F227&lt;=AD$2, OR($G227="",$G227&gt;=AD$2)),
  $H227 * (1 + Assumptions!$C$7) ^ INT(((YEAR(AD$2)-YEAR($F227))*12 + MONTH(AD$2)-MONTH($F227)) / 12),
  0)</f>
        <v/>
      </c>
      <c r="AE227" s="299">
        <f>IF(AND($F227&lt;=AE$2, OR($G227="",$G227&gt;=AE$2)),
  $H227 * (1 + Assumptions!$C$7) ^ INT(((YEAR(AE$2)-YEAR($F227))*12 + MONTH(AE$2)-MONTH($F227)) / 12),
  0)</f>
        <v/>
      </c>
      <c r="AF227" s="299">
        <f>IF(AND($F227&lt;=AF$2, OR($G227="",$G227&gt;=AF$2)),
  $H227 * (1 + Assumptions!$C$7) ^ INT(((YEAR(AF$2)-YEAR($F227))*12 + MONTH(AF$2)-MONTH($F227)) / 12),
  0)</f>
        <v/>
      </c>
      <c r="AG227" s="299">
        <f>IF(AND($F227&lt;=AG$2, OR($G227="",$G227&gt;=AG$2)),
  $H227 * (1 + Assumptions!$C$7) ^ INT(((YEAR(AG$2)-YEAR($F227))*12 + MONTH(AG$2)-MONTH($F227)) / 12),
  0)</f>
        <v/>
      </c>
      <c r="AH227" s="299">
        <f>IF(AND($F227&lt;=AH$2, OR($G227="",$G227&gt;=AH$2)),
  $H227 * (1 + Assumptions!$C$7) ^ INT(((YEAR(AH$2)-YEAR($F227))*12 + MONTH(AH$2)-MONTH($F227)) / 12),
  0)</f>
        <v/>
      </c>
      <c r="AI227" s="299">
        <f>IF(AND($F227&lt;=AI$2, OR($G227="",$G227&gt;=AI$2)),
  $H227 * (1 + Assumptions!$C$7) ^ INT(((YEAR(AI$2)-YEAR($F227))*12 + MONTH(AI$2)-MONTH($F227)) / 12),
  0)</f>
        <v/>
      </c>
      <c r="AJ227" s="299">
        <f>IF(AND($F227&lt;=AJ$2, OR($G227="",$G227&gt;=AJ$2)),
  $H227 * (1 + Assumptions!$C$7) ^ INT(((YEAR(AJ$2)-YEAR($F227))*12 + MONTH(AJ$2)-MONTH($F227)) / 12),
  0)</f>
        <v/>
      </c>
      <c r="AK227" s="299">
        <f>IF(AND($F227&lt;=AK$2, OR($G227="",$G227&gt;=AK$2)),
  $H227 * (1 + Assumptions!$C$7) ^ INT(((YEAR(AK$2)-YEAR($F227))*12 + MONTH(AK$2)-MONTH($F227)) / 12),
  0)</f>
        <v/>
      </c>
      <c r="AL227" s="299">
        <f>IF(AND($F227&lt;=AL$2, OR($G227="",$G227&gt;=AL$2)),
  $H227 * (1 + Assumptions!$C$7) ^ INT(((YEAR(AL$2)-YEAR($F227))*12 + MONTH(AL$2)-MONTH($F227)) / 12),
  0)</f>
        <v/>
      </c>
      <c r="AM227" s="299">
        <f>IF(AND($F227&lt;=AM$2, OR($G227="",$G227&gt;=AM$2)),
  $H227 * (1 + Assumptions!$C$7) ^ INT(((YEAR(AM$2)-YEAR($F227))*12 + MONTH(AM$2)-MONTH($F227)) / 12),
  0)</f>
        <v/>
      </c>
      <c r="AN227" s="299">
        <f>IF(AND($F227&lt;=AN$2, OR($G227="",$G227&gt;=AN$2)),
  $H227 * (1 + Assumptions!$C$7) ^ INT(((YEAR(AN$2)-YEAR($F227))*12 + MONTH(AN$2)-MONTH($F227)) / 12),
  0)</f>
        <v/>
      </c>
      <c r="AO227" s="299">
        <f>IF(AND($F227&lt;=AO$2, OR($G227="",$G227&gt;=AO$2)),
  $H227 * (1 + Assumptions!$C$7) ^ INT(((YEAR(AO$2)-YEAR($F227))*12 + MONTH(AO$2)-MONTH($F227)) / 12),
  0)</f>
        <v/>
      </c>
      <c r="AP227" s="299">
        <f>IF(AND($F227&lt;=AP$2, OR($G227="",$G227&gt;=AP$2)),
  $H227 * (1 + Assumptions!$C$7) ^ INT(((YEAR(AP$2)-YEAR($F227))*12 + MONTH(AP$2)-MONTH($F227)) / 12),
  0)</f>
        <v/>
      </c>
      <c r="AQ227" s="299">
        <f>IF(AND($F227&lt;=AQ$2, OR($G227="",$G227&gt;=AQ$2)),
  $H227 * (1 + Assumptions!$C$7) ^ INT(((YEAR(AQ$2)-YEAR($F227))*12 + MONTH(AQ$2)-MONTH($F227)) / 12),
  0)</f>
        <v/>
      </c>
      <c r="AR227" s="299">
        <f>IF(AND($F227&lt;=AR$2, OR($G227="",$G227&gt;=AR$2)),
  $H227 * (1 + Assumptions!$C$7) ^ INT(((YEAR(AR$2)-YEAR($F227))*12 + MONTH(AR$2)-MONTH($F227)) / 12),
  0)</f>
        <v/>
      </c>
      <c r="AS227" s="299">
        <f>IF(AND($F227&lt;=AS$2, OR($G227="",$G227&gt;=AS$2)),
  $H227 * (1 + Assumptions!$C$7) ^ INT(((YEAR(AS$2)-YEAR($F227))*12 + MONTH(AS$2)-MONTH($F227)) / 12),
  0)</f>
        <v/>
      </c>
      <c r="AT227" s="299">
        <f>IF(AND($F227&lt;=AT$2, OR($G227="",$G227&gt;=AT$2)),
  $H227 * (1 + Assumptions!$C$7) ^ INT(((YEAR(AT$2)-YEAR($F227))*12 + MONTH(AT$2)-MONTH($F227)) / 12),
  0)</f>
        <v/>
      </c>
      <c r="AU227" s="299">
        <f>IF(AND($F227&lt;=AU$2, OR($G227="",$G227&gt;=AU$2)),
  $H227 * (1 + Assumptions!$C$7) ^ INT(((YEAR(AU$2)-YEAR($F227))*12 + MONTH(AU$2)-MONTH($F227)) / 12),
  0)</f>
        <v/>
      </c>
      <c r="AV227" s="299">
        <f>IF(AND($F227&lt;=AV$2, OR($G227="",$G227&gt;=AV$2)),
  $H227 * (1 + Assumptions!$C$7) ^ INT(((YEAR(AV$2)-YEAR($F227))*12 + MONTH(AV$2)-MONTH($F227)) / 12),
  0)</f>
        <v/>
      </c>
      <c r="AW227" s="299">
        <f>IF(AND($F227&lt;=AW$2, OR($G227="",$G227&gt;=AW$2)),
  $H227 * (1 + Assumptions!$C$7) ^ INT(((YEAR(AW$2)-YEAR($F227))*12 + MONTH(AW$2)-MONTH($F227)) / 12),
  0)</f>
        <v/>
      </c>
      <c r="AX227" s="299">
        <f>IF(AND($F227&lt;=AX$2, OR($G227="",$G227&gt;=AX$2)),
  $H227 * (1 + Assumptions!$C$7) ^ INT(((YEAR(AX$2)-YEAR($F227))*12 + MONTH(AX$2)-MONTH($F227)) / 12),
  0)</f>
        <v/>
      </c>
      <c r="AY227" s="299">
        <f>IF(AND($F227&lt;=AY$2, OR($G227="",$G227&gt;=AY$2)),
  $H227 * (1 + Assumptions!$C$7) ^ INT(((YEAR(AY$2)-YEAR($F227))*12 + MONTH(AY$2)-MONTH($F227)) / 12),
  0)</f>
        <v/>
      </c>
      <c r="AZ227" s="299">
        <f>IF(AND($F227&lt;=AZ$2, OR($G227="",$G227&gt;=AZ$2)),
  $H227 * (1 + Assumptions!$C$7) ^ INT(((YEAR(AZ$2)-YEAR($F227))*12 + MONTH(AZ$2)-MONTH($F227)) / 12),
  0)</f>
        <v/>
      </c>
      <c r="BA227" s="299">
        <f>IF(AND($F227&lt;=BA$2, OR($G227="",$G227&gt;=BA$2)),
  $H227 * (1 + Assumptions!$C$7) ^ INT(((YEAR(BA$2)-YEAR($F227))*12 + MONTH(BA$2)-MONTH($F227)) / 12),
  0)</f>
        <v/>
      </c>
      <c r="BB227" s="299">
        <f>IF(AND($F227&lt;=BB$2, OR($G227="",$G227&gt;=BB$2)),
  $H227 * (1 + Assumptions!$C$7) ^ INT(((YEAR(BB$2)-YEAR($F227))*12 + MONTH(BB$2)-MONTH($F227)) / 12),
  0)</f>
        <v/>
      </c>
      <c r="BC227" s="299">
        <f>IF(AND($F227&lt;=BC$2, OR($G227="",$G227&gt;=BC$2)),
  $H227 * (1 + Assumptions!$C$7) ^ INT(((YEAR(BC$2)-YEAR($F227))*12 + MONTH(BC$2)-MONTH($F227)) / 12),
  0)</f>
        <v/>
      </c>
      <c r="BD227" s="299">
        <f>IF(AND($F227&lt;=BD$2, OR($G227="",$G227&gt;=BD$2)),
  $H227 * (1 + Assumptions!$C$7) ^ INT(((YEAR(BD$2)-YEAR($F227))*12 + MONTH(BD$2)-MONTH($F227)) / 12),
  0)</f>
        <v/>
      </c>
      <c r="BE227" s="299">
        <f>IF(AND($F227&lt;=BE$2, OR($G227="",$G227&gt;=BE$2)),
  $H227 * (1 + Assumptions!$C$7) ^ INT(((YEAR(BE$2)-YEAR($F227))*12 + MONTH(BE$2)-MONTH($F227)) / 12),
  0)</f>
        <v/>
      </c>
      <c r="BF227" s="299">
        <f>IF(AND($F227&lt;=BF$2, OR($G227="",$G227&gt;=BF$2)),
  $H227 * (1 + Assumptions!$C$7) ^ INT(((YEAR(BF$2)-YEAR($F227))*12 + MONTH(BF$2)-MONTH($F227)) / 12),
  0)</f>
        <v/>
      </c>
      <c r="BG227" s="299">
        <f>IF(AND($F227&lt;=BG$2, OR($G227="",$G227&gt;=BG$2)),
  $H227 * (1 + Assumptions!$C$7) ^ INT(((YEAR(BG$2)-YEAR($F227))*12 + MONTH(BG$2)-MONTH($F227)) / 12),
  0)</f>
        <v/>
      </c>
      <c r="BH227" s="299">
        <f>IF(AND($F227&lt;=BH$2, OR($G227="",$G227&gt;=BH$2)),
  $H227 * (1 + Assumptions!$C$7) ^ INT(((YEAR(BH$2)-YEAR($F227))*12 + MONTH(BH$2)-MONTH($F227)) / 12),
  0)</f>
        <v/>
      </c>
      <c r="BI227" s="299">
        <f>IF(AND($F227&lt;=BI$2, OR($G227="",$G227&gt;=BI$2)),
  $H227 * (1 + Assumptions!$C$7) ^ INT(((YEAR(BI$2)-YEAR($F227))*12 + MONTH(BI$2)-MONTH($F227)) / 12),
  0)</f>
        <v/>
      </c>
      <c r="BJ227" s="299">
        <f>IF(AND($F227&lt;=BJ$2, OR($G227="",$G227&gt;=BJ$2)),
  $H227 * (1 + Assumptions!$C$7) ^ INT(((YEAR(BJ$2)-YEAR($F227))*12 + MONTH(BJ$2)-MONTH($F227)) / 12),
  0)</f>
        <v/>
      </c>
      <c r="BK227" s="299">
        <f>IF(AND($F227&lt;=BK$2, OR($G227="",$G227&gt;=BK$2)),
  $H227 * (1 + Assumptions!$C$7) ^ INT(((YEAR(BK$2)-YEAR($F227))*12 + MONTH(BK$2)-MONTH($F227)) / 12),
  0)</f>
        <v/>
      </c>
      <c r="BL227" s="299">
        <f>IF(AND($F227&lt;=BL$2, OR($G227="",$G227&gt;=BL$2)),
  $H227 * (1 + Assumptions!$C$7) ^ INT(((YEAR(BL$2)-YEAR($F227))*12 + MONTH(BL$2)-MONTH($F227)) / 12),
  0)</f>
        <v/>
      </c>
      <c r="BM227" s="299">
        <f>IF(AND($F227&lt;=BM$2, OR($G227="",$G227&gt;=BM$2)),
  $H227 * (1 + Assumptions!$C$7) ^ INT(((YEAR(BM$2)-YEAR($F227))*12 + MONTH(BM$2)-MONTH($F227)) / 12),
  0)</f>
        <v/>
      </c>
      <c r="BN227" s="299">
        <f>IF(AND($F227&lt;=BN$2, OR($G227="",$G227&gt;=BN$2)),
  $H227 * (1 + Assumptions!$C$7) ^ INT(((YEAR(BN$2)-YEAR($F227))*12 + MONTH(BN$2)-MONTH($F227)) / 12),
  0)</f>
        <v/>
      </c>
      <c r="BO227" s="299">
        <f>IF(AND($F227&lt;=BO$2, OR($G227="",$G227&gt;=BO$2)),
  $H227 * (1 + Assumptions!$C$7) ^ INT(((YEAR(BO$2)-YEAR($F227))*12 + MONTH(BO$2)-MONTH($F227)) / 12),
  0)</f>
        <v/>
      </c>
      <c r="BP227" s="299">
        <f>IF(AND($F227&lt;=BP$2, OR($G227="",$G227&gt;=BP$2)),
  $H227 * (1 + Assumptions!$C$7) ^ INT(((YEAR(BP$2)-YEAR($F227))*12 + MONTH(BP$2)-MONTH($F227)) / 12),
  0)</f>
        <v/>
      </c>
      <c r="BQ227" s="31" t="n"/>
      <c r="BR227" s="31" t="n"/>
      <c r="BS227" s="31" t="n"/>
      <c r="BT227" s="31" t="n"/>
    </row>
    <row r="228" ht="15.75" customHeight="1" s="349">
      <c r="A228" s="321" t="n">
        <v>223</v>
      </c>
      <c r="B228" s="285" t="inlineStr">
        <is>
          <t>New hire</t>
        </is>
      </c>
      <c r="C228" s="317" t="inlineStr">
        <is>
          <t>R&amp;D</t>
        </is>
      </c>
      <c r="D228" s="317" t="inlineStr">
        <is>
          <t>R&amp;D Engineer</t>
        </is>
      </c>
      <c r="E228" s="297" t="inlineStr">
        <is>
          <t>Planned</t>
        </is>
      </c>
      <c r="F228" s="318">
        <f>IF(Assumptions!$D$82=2,DATE(2029,1,1),DATE(2035,1,1))</f>
        <v/>
      </c>
      <c r="G228" s="318" t="n"/>
      <c r="H228" s="288" t="n">
        <v>8000</v>
      </c>
      <c r="I228" s="299">
        <f>IF(AND($F228&lt;=I$2, OR($G228="",$G228&gt;=I$2)),
  $H228 * (1 + Assumptions!$C$7) ^ INT(((YEAR(I$2)-YEAR($F228))*12 + MONTH(I$2)-MONTH($F228)) / 12),
  0)</f>
        <v/>
      </c>
      <c r="J228" s="299">
        <f>IF(AND($F228&lt;=J$2, OR($G228="",$G228&gt;=J$2)),
  $H228 * (1 + Assumptions!$C$7) ^ INT(((YEAR(J$2)-YEAR($F228))*12 + MONTH(J$2)-MONTH($F228)) / 12),
  0)</f>
        <v/>
      </c>
      <c r="K228" s="299">
        <f>IF(AND($F228&lt;=K$2, OR($G228="",$G228&gt;=K$2)),
  $H228 * (1 + Assumptions!$C$7) ^ INT(((YEAR(K$2)-YEAR($F228))*12 + MONTH(K$2)-MONTH($F228)) / 12),
  0)</f>
        <v/>
      </c>
      <c r="L228" s="299">
        <f>IF(AND($F228&lt;=L$2, OR($G228="",$G228&gt;=L$2)),
  $H228 * (1 + Assumptions!$C$7) ^ INT(((YEAR(L$2)-YEAR($F228))*12 + MONTH(L$2)-MONTH($F228)) / 12),
  0)</f>
        <v/>
      </c>
      <c r="M228" s="299">
        <f>IF(AND($F228&lt;=M$2, OR($G228="",$G228&gt;=M$2)),
  $H228 * (1 + Assumptions!$C$7) ^ INT(((YEAR(M$2)-YEAR($F228))*12 + MONTH(M$2)-MONTH($F228)) / 12),
  0)</f>
        <v/>
      </c>
      <c r="N228" s="299">
        <f>IF(AND($F228&lt;=N$2, OR($G228="",$G228&gt;=N$2)),
  $H228 * (1 + Assumptions!$C$7) ^ INT(((YEAR(N$2)-YEAR($F228))*12 + MONTH(N$2)-MONTH($F228)) / 12),
  0)</f>
        <v/>
      </c>
      <c r="O228" s="299">
        <f>IF(AND($F228&lt;=O$2, OR($G228="",$G228&gt;=O$2)),
  $H228 * (1 + Assumptions!$C$7) ^ INT(((YEAR(O$2)-YEAR($F228))*12 + MONTH(O$2)-MONTH($F228)) / 12),
  0)</f>
        <v/>
      </c>
      <c r="P228" s="299">
        <f>IF(AND($F228&lt;=P$2, OR($G228="",$G228&gt;=P$2)),
  $H228 * (1 + Assumptions!$C$7) ^ INT(((YEAR(P$2)-YEAR($F228))*12 + MONTH(P$2)-MONTH($F228)) / 12),
  0)</f>
        <v/>
      </c>
      <c r="Q228" s="299">
        <f>IF(AND($F228&lt;=Q$2, OR($G228="",$G228&gt;=Q$2)),
  $H228 * (1 + Assumptions!$C$7) ^ INT(((YEAR(Q$2)-YEAR($F228))*12 + MONTH(Q$2)-MONTH($F228)) / 12),
  0)</f>
        <v/>
      </c>
      <c r="R228" s="299">
        <f>IF(AND($F228&lt;=R$2, OR($G228="",$G228&gt;=R$2)),
  $H228 * (1 + Assumptions!$C$7) ^ INT(((YEAR(R$2)-YEAR($F228))*12 + MONTH(R$2)-MONTH($F228)) / 12),
  0)</f>
        <v/>
      </c>
      <c r="S228" s="299">
        <f>IF(AND($F228&lt;=S$2, OR($G228="",$G228&gt;=S$2)),
  $H228 * (1 + Assumptions!$C$7) ^ INT(((YEAR(S$2)-YEAR($F228))*12 + MONTH(S$2)-MONTH($F228)) / 12),
  0)</f>
        <v/>
      </c>
      <c r="T228" s="299">
        <f>IF(AND($F228&lt;=T$2, OR($G228="",$G228&gt;=T$2)),
  $H228 * (1 + Assumptions!$C$7) ^ INT(((YEAR(T$2)-YEAR($F228))*12 + MONTH(T$2)-MONTH($F228)) / 12),
  0)</f>
        <v/>
      </c>
      <c r="U228" s="299">
        <f>IF(AND($F228&lt;=U$2, OR($G228="",$G228&gt;=U$2)),
  $H228 * (1 + Assumptions!$C$7) ^ INT(((YEAR(U$2)-YEAR($F228))*12 + MONTH(U$2)-MONTH($F228)) / 12),
  0)</f>
        <v/>
      </c>
      <c r="V228" s="299">
        <f>IF(AND($F228&lt;=V$2, OR($G228="",$G228&gt;=V$2)),
  $H228 * (1 + Assumptions!$C$7) ^ INT(((YEAR(V$2)-YEAR($F228))*12 + MONTH(V$2)-MONTH($F228)) / 12),
  0)</f>
        <v/>
      </c>
      <c r="W228" s="299">
        <f>IF(AND($F228&lt;=W$2, OR($G228="",$G228&gt;=W$2)),
  $H228 * (1 + Assumptions!$C$7) ^ INT(((YEAR(W$2)-YEAR($F228))*12 + MONTH(W$2)-MONTH($F228)) / 12),
  0)</f>
        <v/>
      </c>
      <c r="X228" s="299">
        <f>IF(AND($F228&lt;=X$2, OR($G228="",$G228&gt;=X$2)),
  $H228 * (1 + Assumptions!$C$7) ^ INT(((YEAR(X$2)-YEAR($F228))*12 + MONTH(X$2)-MONTH($F228)) / 12),
  0)</f>
        <v/>
      </c>
      <c r="Y228" s="299">
        <f>IF(AND($F228&lt;=Y$2, OR($G228="",$G228&gt;=Y$2)),
  $H228 * (1 + Assumptions!$C$7) ^ INT(((YEAR(Y$2)-YEAR($F228))*12 + MONTH(Y$2)-MONTH($F228)) / 12),
  0)</f>
        <v/>
      </c>
      <c r="Z228" s="299">
        <f>IF(AND($F228&lt;=Z$2, OR($G228="",$G228&gt;=Z$2)),
  $H228 * (1 + Assumptions!$C$7) ^ INT(((YEAR(Z$2)-YEAR($F228))*12 + MONTH(Z$2)-MONTH($F228)) / 12),
  0)</f>
        <v/>
      </c>
      <c r="AA228" s="299">
        <f>IF(AND($F228&lt;=AA$2, OR($G228="",$G228&gt;=AA$2)),
  $H228 * (1 + Assumptions!$C$7) ^ INT(((YEAR(AA$2)-YEAR($F228))*12 + MONTH(AA$2)-MONTH($F228)) / 12),
  0)</f>
        <v/>
      </c>
      <c r="AB228" s="299">
        <f>IF(AND($F228&lt;=AB$2, OR($G228="",$G228&gt;=AB$2)),
  $H228 * (1 + Assumptions!$C$7) ^ INT(((YEAR(AB$2)-YEAR($F228))*12 + MONTH(AB$2)-MONTH($F228)) / 12),
  0)</f>
        <v/>
      </c>
      <c r="AC228" s="299">
        <f>IF(AND($F228&lt;=AC$2, OR($G228="",$G228&gt;=AC$2)),
  $H228 * (1 + Assumptions!$C$7) ^ INT(((YEAR(AC$2)-YEAR($F228))*12 + MONTH(AC$2)-MONTH($F228)) / 12),
  0)</f>
        <v/>
      </c>
      <c r="AD228" s="299">
        <f>IF(AND($F228&lt;=AD$2, OR($G228="",$G228&gt;=AD$2)),
  $H228 * (1 + Assumptions!$C$7) ^ INT(((YEAR(AD$2)-YEAR($F228))*12 + MONTH(AD$2)-MONTH($F228)) / 12),
  0)</f>
        <v/>
      </c>
      <c r="AE228" s="299">
        <f>IF(AND($F228&lt;=AE$2, OR($G228="",$G228&gt;=AE$2)),
  $H228 * (1 + Assumptions!$C$7) ^ INT(((YEAR(AE$2)-YEAR($F228))*12 + MONTH(AE$2)-MONTH($F228)) / 12),
  0)</f>
        <v/>
      </c>
      <c r="AF228" s="299">
        <f>IF(AND($F228&lt;=AF$2, OR($G228="",$G228&gt;=AF$2)),
  $H228 * (1 + Assumptions!$C$7) ^ INT(((YEAR(AF$2)-YEAR($F228))*12 + MONTH(AF$2)-MONTH($F228)) / 12),
  0)</f>
        <v/>
      </c>
      <c r="AG228" s="299">
        <f>IF(AND($F228&lt;=AG$2, OR($G228="",$G228&gt;=AG$2)),
  $H228 * (1 + Assumptions!$C$7) ^ INT(((YEAR(AG$2)-YEAR($F228))*12 + MONTH(AG$2)-MONTH($F228)) / 12),
  0)</f>
        <v/>
      </c>
      <c r="AH228" s="299">
        <f>IF(AND($F228&lt;=AH$2, OR($G228="",$G228&gt;=AH$2)),
  $H228 * (1 + Assumptions!$C$7) ^ INT(((YEAR(AH$2)-YEAR($F228))*12 + MONTH(AH$2)-MONTH($F228)) / 12),
  0)</f>
        <v/>
      </c>
      <c r="AI228" s="299">
        <f>IF(AND($F228&lt;=AI$2, OR($G228="",$G228&gt;=AI$2)),
  $H228 * (1 + Assumptions!$C$7) ^ INT(((YEAR(AI$2)-YEAR($F228))*12 + MONTH(AI$2)-MONTH($F228)) / 12),
  0)</f>
        <v/>
      </c>
      <c r="AJ228" s="299">
        <f>IF(AND($F228&lt;=AJ$2, OR($G228="",$G228&gt;=AJ$2)),
  $H228 * (1 + Assumptions!$C$7) ^ INT(((YEAR(AJ$2)-YEAR($F228))*12 + MONTH(AJ$2)-MONTH($F228)) / 12),
  0)</f>
        <v/>
      </c>
      <c r="AK228" s="299">
        <f>IF(AND($F228&lt;=AK$2, OR($G228="",$G228&gt;=AK$2)),
  $H228 * (1 + Assumptions!$C$7) ^ INT(((YEAR(AK$2)-YEAR($F228))*12 + MONTH(AK$2)-MONTH($F228)) / 12),
  0)</f>
        <v/>
      </c>
      <c r="AL228" s="299">
        <f>IF(AND($F228&lt;=AL$2, OR($G228="",$G228&gt;=AL$2)),
  $H228 * (1 + Assumptions!$C$7) ^ INT(((YEAR(AL$2)-YEAR($F228))*12 + MONTH(AL$2)-MONTH($F228)) / 12),
  0)</f>
        <v/>
      </c>
      <c r="AM228" s="299">
        <f>IF(AND($F228&lt;=AM$2, OR($G228="",$G228&gt;=AM$2)),
  $H228 * (1 + Assumptions!$C$7) ^ INT(((YEAR(AM$2)-YEAR($F228))*12 + MONTH(AM$2)-MONTH($F228)) / 12),
  0)</f>
        <v/>
      </c>
      <c r="AN228" s="299">
        <f>IF(AND($F228&lt;=AN$2, OR($G228="",$G228&gt;=AN$2)),
  $H228 * (1 + Assumptions!$C$7) ^ INT(((YEAR(AN$2)-YEAR($F228))*12 + MONTH(AN$2)-MONTH($F228)) / 12),
  0)</f>
        <v/>
      </c>
      <c r="AO228" s="299">
        <f>IF(AND($F228&lt;=AO$2, OR($G228="",$G228&gt;=AO$2)),
  $H228 * (1 + Assumptions!$C$7) ^ INT(((YEAR(AO$2)-YEAR($F228))*12 + MONTH(AO$2)-MONTH($F228)) / 12),
  0)</f>
        <v/>
      </c>
      <c r="AP228" s="299">
        <f>IF(AND($F228&lt;=AP$2, OR($G228="",$G228&gt;=AP$2)),
  $H228 * (1 + Assumptions!$C$7) ^ INT(((YEAR(AP$2)-YEAR($F228))*12 + MONTH(AP$2)-MONTH($F228)) / 12),
  0)</f>
        <v/>
      </c>
      <c r="AQ228" s="299">
        <f>IF(AND($F228&lt;=AQ$2, OR($G228="",$G228&gt;=AQ$2)),
  $H228 * (1 + Assumptions!$C$7) ^ INT(((YEAR(AQ$2)-YEAR($F228))*12 + MONTH(AQ$2)-MONTH($F228)) / 12),
  0)</f>
        <v/>
      </c>
      <c r="AR228" s="299">
        <f>IF(AND($F228&lt;=AR$2, OR($G228="",$G228&gt;=AR$2)),
  $H228 * (1 + Assumptions!$C$7) ^ INT(((YEAR(AR$2)-YEAR($F228))*12 + MONTH(AR$2)-MONTH($F228)) / 12),
  0)</f>
        <v/>
      </c>
      <c r="AS228" s="299">
        <f>IF(AND($F228&lt;=AS$2, OR($G228="",$G228&gt;=AS$2)),
  $H228 * (1 + Assumptions!$C$7) ^ INT(((YEAR(AS$2)-YEAR($F228))*12 + MONTH(AS$2)-MONTH($F228)) / 12),
  0)</f>
        <v/>
      </c>
      <c r="AT228" s="299">
        <f>IF(AND($F228&lt;=AT$2, OR($G228="",$G228&gt;=AT$2)),
  $H228 * (1 + Assumptions!$C$7) ^ INT(((YEAR(AT$2)-YEAR($F228))*12 + MONTH(AT$2)-MONTH($F228)) / 12),
  0)</f>
        <v/>
      </c>
      <c r="AU228" s="299">
        <f>IF(AND($F228&lt;=AU$2, OR($G228="",$G228&gt;=AU$2)),
  $H228 * (1 + Assumptions!$C$7) ^ INT(((YEAR(AU$2)-YEAR($F228))*12 + MONTH(AU$2)-MONTH($F228)) / 12),
  0)</f>
        <v/>
      </c>
      <c r="AV228" s="299">
        <f>IF(AND($F228&lt;=AV$2, OR($G228="",$G228&gt;=AV$2)),
  $H228 * (1 + Assumptions!$C$7) ^ INT(((YEAR(AV$2)-YEAR($F228))*12 + MONTH(AV$2)-MONTH($F228)) / 12),
  0)</f>
        <v/>
      </c>
      <c r="AW228" s="299">
        <f>IF(AND($F228&lt;=AW$2, OR($G228="",$G228&gt;=AW$2)),
  $H228 * (1 + Assumptions!$C$7) ^ INT(((YEAR(AW$2)-YEAR($F228))*12 + MONTH(AW$2)-MONTH($F228)) / 12),
  0)</f>
        <v/>
      </c>
      <c r="AX228" s="299">
        <f>IF(AND($F228&lt;=AX$2, OR($G228="",$G228&gt;=AX$2)),
  $H228 * (1 + Assumptions!$C$7) ^ INT(((YEAR(AX$2)-YEAR($F228))*12 + MONTH(AX$2)-MONTH($F228)) / 12),
  0)</f>
        <v/>
      </c>
      <c r="AY228" s="299">
        <f>IF(AND($F228&lt;=AY$2, OR($G228="",$G228&gt;=AY$2)),
  $H228 * (1 + Assumptions!$C$7) ^ INT(((YEAR(AY$2)-YEAR($F228))*12 + MONTH(AY$2)-MONTH($F228)) / 12),
  0)</f>
        <v/>
      </c>
      <c r="AZ228" s="299">
        <f>IF(AND($F228&lt;=AZ$2, OR($G228="",$G228&gt;=AZ$2)),
  $H228 * (1 + Assumptions!$C$7) ^ INT(((YEAR(AZ$2)-YEAR($F228))*12 + MONTH(AZ$2)-MONTH($F228)) / 12),
  0)</f>
        <v/>
      </c>
      <c r="BA228" s="299">
        <f>IF(AND($F228&lt;=BA$2, OR($G228="",$G228&gt;=BA$2)),
  $H228 * (1 + Assumptions!$C$7) ^ INT(((YEAR(BA$2)-YEAR($F228))*12 + MONTH(BA$2)-MONTH($F228)) / 12),
  0)</f>
        <v/>
      </c>
      <c r="BB228" s="299">
        <f>IF(AND($F228&lt;=BB$2, OR($G228="",$G228&gt;=BB$2)),
  $H228 * (1 + Assumptions!$C$7) ^ INT(((YEAR(BB$2)-YEAR($F228))*12 + MONTH(BB$2)-MONTH($F228)) / 12),
  0)</f>
        <v/>
      </c>
      <c r="BC228" s="299">
        <f>IF(AND($F228&lt;=BC$2, OR($G228="",$G228&gt;=BC$2)),
  $H228 * (1 + Assumptions!$C$7) ^ INT(((YEAR(BC$2)-YEAR($F228))*12 + MONTH(BC$2)-MONTH($F228)) / 12),
  0)</f>
        <v/>
      </c>
      <c r="BD228" s="299">
        <f>IF(AND($F228&lt;=BD$2, OR($G228="",$G228&gt;=BD$2)),
  $H228 * (1 + Assumptions!$C$7) ^ INT(((YEAR(BD$2)-YEAR($F228))*12 + MONTH(BD$2)-MONTH($F228)) / 12),
  0)</f>
        <v/>
      </c>
      <c r="BE228" s="299">
        <f>IF(AND($F228&lt;=BE$2, OR($G228="",$G228&gt;=BE$2)),
  $H228 * (1 + Assumptions!$C$7) ^ INT(((YEAR(BE$2)-YEAR($F228))*12 + MONTH(BE$2)-MONTH($F228)) / 12),
  0)</f>
        <v/>
      </c>
      <c r="BF228" s="299">
        <f>IF(AND($F228&lt;=BF$2, OR($G228="",$G228&gt;=BF$2)),
  $H228 * (1 + Assumptions!$C$7) ^ INT(((YEAR(BF$2)-YEAR($F228))*12 + MONTH(BF$2)-MONTH($F228)) / 12),
  0)</f>
        <v/>
      </c>
      <c r="BG228" s="299">
        <f>IF(AND($F228&lt;=BG$2, OR($G228="",$G228&gt;=BG$2)),
  $H228 * (1 + Assumptions!$C$7) ^ INT(((YEAR(BG$2)-YEAR($F228))*12 + MONTH(BG$2)-MONTH($F228)) / 12),
  0)</f>
        <v/>
      </c>
      <c r="BH228" s="299">
        <f>IF(AND($F228&lt;=BH$2, OR($G228="",$G228&gt;=BH$2)),
  $H228 * (1 + Assumptions!$C$7) ^ INT(((YEAR(BH$2)-YEAR($F228))*12 + MONTH(BH$2)-MONTH($F228)) / 12),
  0)</f>
        <v/>
      </c>
      <c r="BI228" s="299">
        <f>IF(AND($F228&lt;=BI$2, OR($G228="",$G228&gt;=BI$2)),
  $H228 * (1 + Assumptions!$C$7) ^ INT(((YEAR(BI$2)-YEAR($F228))*12 + MONTH(BI$2)-MONTH($F228)) / 12),
  0)</f>
        <v/>
      </c>
      <c r="BJ228" s="299">
        <f>IF(AND($F228&lt;=BJ$2, OR($G228="",$G228&gt;=BJ$2)),
  $H228 * (1 + Assumptions!$C$7) ^ INT(((YEAR(BJ$2)-YEAR($F228))*12 + MONTH(BJ$2)-MONTH($F228)) / 12),
  0)</f>
        <v/>
      </c>
      <c r="BK228" s="299">
        <f>IF(AND($F228&lt;=BK$2, OR($G228="",$G228&gt;=BK$2)),
  $H228 * (1 + Assumptions!$C$7) ^ INT(((YEAR(BK$2)-YEAR($F228))*12 + MONTH(BK$2)-MONTH($F228)) / 12),
  0)</f>
        <v/>
      </c>
      <c r="BL228" s="299">
        <f>IF(AND($F228&lt;=BL$2, OR($G228="",$G228&gt;=BL$2)),
  $H228 * (1 + Assumptions!$C$7) ^ INT(((YEAR(BL$2)-YEAR($F228))*12 + MONTH(BL$2)-MONTH($F228)) / 12),
  0)</f>
        <v/>
      </c>
      <c r="BM228" s="299">
        <f>IF(AND($F228&lt;=BM$2, OR($G228="",$G228&gt;=BM$2)),
  $H228 * (1 + Assumptions!$C$7) ^ INT(((YEAR(BM$2)-YEAR($F228))*12 + MONTH(BM$2)-MONTH($F228)) / 12),
  0)</f>
        <v/>
      </c>
      <c r="BN228" s="299">
        <f>IF(AND($F228&lt;=BN$2, OR($G228="",$G228&gt;=BN$2)),
  $H228 * (1 + Assumptions!$C$7) ^ INT(((YEAR(BN$2)-YEAR($F228))*12 + MONTH(BN$2)-MONTH($F228)) / 12),
  0)</f>
        <v/>
      </c>
      <c r="BO228" s="299">
        <f>IF(AND($F228&lt;=BO$2, OR($G228="",$G228&gt;=BO$2)),
  $H228 * (1 + Assumptions!$C$7) ^ INT(((YEAR(BO$2)-YEAR($F228))*12 + MONTH(BO$2)-MONTH($F228)) / 12),
  0)</f>
        <v/>
      </c>
      <c r="BP228" s="299">
        <f>IF(AND($F228&lt;=BP$2, OR($G228="",$G228&gt;=BP$2)),
  $H228 * (1 + Assumptions!$C$7) ^ INT(((YEAR(BP$2)-YEAR($F228))*12 + MONTH(BP$2)-MONTH($F228)) / 12),
  0)</f>
        <v/>
      </c>
      <c r="BQ228" s="31" t="n"/>
      <c r="BR228" s="31" t="n"/>
      <c r="BS228" s="31" t="n"/>
      <c r="BT228" s="31" t="n"/>
    </row>
    <row r="229" ht="15.75" customHeight="1" s="349">
      <c r="A229" s="321" t="n">
        <v>224</v>
      </c>
      <c r="B229" s="285" t="inlineStr">
        <is>
          <t>New hire</t>
        </is>
      </c>
      <c r="C229" s="317" t="inlineStr">
        <is>
          <t>R&amp;D</t>
        </is>
      </c>
      <c r="D229" s="317" t="inlineStr">
        <is>
          <t>R&amp;D Engineer</t>
        </is>
      </c>
      <c r="E229" s="297" t="inlineStr">
        <is>
          <t>Planned</t>
        </is>
      </c>
      <c r="F229" s="318">
        <f>IF(Assumptions!$D$82=2,DATE(2029,1,1),DATE(2035,1,1))</f>
        <v/>
      </c>
      <c r="G229" s="318" t="n"/>
      <c r="H229" s="288" t="n">
        <v>8000</v>
      </c>
      <c r="I229" s="299">
        <f>IF(AND($F229&lt;=I$2, OR($G229="",$G229&gt;=I$2)),
  $H229 * (1 + Assumptions!$C$7) ^ INT(((YEAR(I$2)-YEAR($F229))*12 + MONTH(I$2)-MONTH($F229)) / 12),
  0)</f>
        <v/>
      </c>
      <c r="J229" s="299">
        <f>IF(AND($F229&lt;=J$2, OR($G229="",$G229&gt;=J$2)),
  $H229 * (1 + Assumptions!$C$7) ^ INT(((YEAR(J$2)-YEAR($F229))*12 + MONTH(J$2)-MONTH($F229)) / 12),
  0)</f>
        <v/>
      </c>
      <c r="K229" s="299">
        <f>IF(AND($F229&lt;=K$2, OR($G229="",$G229&gt;=K$2)),
  $H229 * (1 + Assumptions!$C$7) ^ INT(((YEAR(K$2)-YEAR($F229))*12 + MONTH(K$2)-MONTH($F229)) / 12),
  0)</f>
        <v/>
      </c>
      <c r="L229" s="299">
        <f>IF(AND($F229&lt;=L$2, OR($G229="",$G229&gt;=L$2)),
  $H229 * (1 + Assumptions!$C$7) ^ INT(((YEAR(L$2)-YEAR($F229))*12 + MONTH(L$2)-MONTH($F229)) / 12),
  0)</f>
        <v/>
      </c>
      <c r="M229" s="299">
        <f>IF(AND($F229&lt;=M$2, OR($G229="",$G229&gt;=M$2)),
  $H229 * (1 + Assumptions!$C$7) ^ INT(((YEAR(M$2)-YEAR($F229))*12 + MONTH(M$2)-MONTH($F229)) / 12),
  0)</f>
        <v/>
      </c>
      <c r="N229" s="299">
        <f>IF(AND($F229&lt;=N$2, OR($G229="",$G229&gt;=N$2)),
  $H229 * (1 + Assumptions!$C$7) ^ INT(((YEAR(N$2)-YEAR($F229))*12 + MONTH(N$2)-MONTH($F229)) / 12),
  0)</f>
        <v/>
      </c>
      <c r="O229" s="299">
        <f>IF(AND($F229&lt;=O$2, OR($G229="",$G229&gt;=O$2)),
  $H229 * (1 + Assumptions!$C$7) ^ INT(((YEAR(O$2)-YEAR($F229))*12 + MONTH(O$2)-MONTH($F229)) / 12),
  0)</f>
        <v/>
      </c>
      <c r="P229" s="299">
        <f>IF(AND($F229&lt;=P$2, OR($G229="",$G229&gt;=P$2)),
  $H229 * (1 + Assumptions!$C$7) ^ INT(((YEAR(P$2)-YEAR($F229))*12 + MONTH(P$2)-MONTH($F229)) / 12),
  0)</f>
        <v/>
      </c>
      <c r="Q229" s="299">
        <f>IF(AND($F229&lt;=Q$2, OR($G229="",$G229&gt;=Q$2)),
  $H229 * (1 + Assumptions!$C$7) ^ INT(((YEAR(Q$2)-YEAR($F229))*12 + MONTH(Q$2)-MONTH($F229)) / 12),
  0)</f>
        <v/>
      </c>
      <c r="R229" s="299">
        <f>IF(AND($F229&lt;=R$2, OR($G229="",$G229&gt;=R$2)),
  $H229 * (1 + Assumptions!$C$7) ^ INT(((YEAR(R$2)-YEAR($F229))*12 + MONTH(R$2)-MONTH($F229)) / 12),
  0)</f>
        <v/>
      </c>
      <c r="S229" s="299">
        <f>IF(AND($F229&lt;=S$2, OR($G229="",$G229&gt;=S$2)),
  $H229 * (1 + Assumptions!$C$7) ^ INT(((YEAR(S$2)-YEAR($F229))*12 + MONTH(S$2)-MONTH($F229)) / 12),
  0)</f>
        <v/>
      </c>
      <c r="T229" s="299">
        <f>IF(AND($F229&lt;=T$2, OR($G229="",$G229&gt;=T$2)),
  $H229 * (1 + Assumptions!$C$7) ^ INT(((YEAR(T$2)-YEAR($F229))*12 + MONTH(T$2)-MONTH($F229)) / 12),
  0)</f>
        <v/>
      </c>
      <c r="U229" s="299">
        <f>IF(AND($F229&lt;=U$2, OR($G229="",$G229&gt;=U$2)),
  $H229 * (1 + Assumptions!$C$7) ^ INT(((YEAR(U$2)-YEAR($F229))*12 + MONTH(U$2)-MONTH($F229)) / 12),
  0)</f>
        <v/>
      </c>
      <c r="V229" s="299">
        <f>IF(AND($F229&lt;=V$2, OR($G229="",$G229&gt;=V$2)),
  $H229 * (1 + Assumptions!$C$7) ^ INT(((YEAR(V$2)-YEAR($F229))*12 + MONTH(V$2)-MONTH($F229)) / 12),
  0)</f>
        <v/>
      </c>
      <c r="W229" s="299">
        <f>IF(AND($F229&lt;=W$2, OR($G229="",$G229&gt;=W$2)),
  $H229 * (1 + Assumptions!$C$7) ^ INT(((YEAR(W$2)-YEAR($F229))*12 + MONTH(W$2)-MONTH($F229)) / 12),
  0)</f>
        <v/>
      </c>
      <c r="X229" s="299">
        <f>IF(AND($F229&lt;=X$2, OR($G229="",$G229&gt;=X$2)),
  $H229 * (1 + Assumptions!$C$7) ^ INT(((YEAR(X$2)-YEAR($F229))*12 + MONTH(X$2)-MONTH($F229)) / 12),
  0)</f>
        <v/>
      </c>
      <c r="Y229" s="299">
        <f>IF(AND($F229&lt;=Y$2, OR($G229="",$G229&gt;=Y$2)),
  $H229 * (1 + Assumptions!$C$7) ^ INT(((YEAR(Y$2)-YEAR($F229))*12 + MONTH(Y$2)-MONTH($F229)) / 12),
  0)</f>
        <v/>
      </c>
      <c r="Z229" s="299">
        <f>IF(AND($F229&lt;=Z$2, OR($G229="",$G229&gt;=Z$2)),
  $H229 * (1 + Assumptions!$C$7) ^ INT(((YEAR(Z$2)-YEAR($F229))*12 + MONTH(Z$2)-MONTH($F229)) / 12),
  0)</f>
        <v/>
      </c>
      <c r="AA229" s="299">
        <f>IF(AND($F229&lt;=AA$2, OR($G229="",$G229&gt;=AA$2)),
  $H229 * (1 + Assumptions!$C$7) ^ INT(((YEAR(AA$2)-YEAR($F229))*12 + MONTH(AA$2)-MONTH($F229)) / 12),
  0)</f>
        <v/>
      </c>
      <c r="AB229" s="299">
        <f>IF(AND($F229&lt;=AB$2, OR($G229="",$G229&gt;=AB$2)),
  $H229 * (1 + Assumptions!$C$7) ^ INT(((YEAR(AB$2)-YEAR($F229))*12 + MONTH(AB$2)-MONTH($F229)) / 12),
  0)</f>
        <v/>
      </c>
      <c r="AC229" s="299">
        <f>IF(AND($F229&lt;=AC$2, OR($G229="",$G229&gt;=AC$2)),
  $H229 * (1 + Assumptions!$C$7) ^ INT(((YEAR(AC$2)-YEAR($F229))*12 + MONTH(AC$2)-MONTH($F229)) / 12),
  0)</f>
        <v/>
      </c>
      <c r="AD229" s="299">
        <f>IF(AND($F229&lt;=AD$2, OR($G229="",$G229&gt;=AD$2)),
  $H229 * (1 + Assumptions!$C$7) ^ INT(((YEAR(AD$2)-YEAR($F229))*12 + MONTH(AD$2)-MONTH($F229)) / 12),
  0)</f>
        <v/>
      </c>
      <c r="AE229" s="299">
        <f>IF(AND($F229&lt;=AE$2, OR($G229="",$G229&gt;=AE$2)),
  $H229 * (1 + Assumptions!$C$7) ^ INT(((YEAR(AE$2)-YEAR($F229))*12 + MONTH(AE$2)-MONTH($F229)) / 12),
  0)</f>
        <v/>
      </c>
      <c r="AF229" s="299">
        <f>IF(AND($F229&lt;=AF$2, OR($G229="",$G229&gt;=AF$2)),
  $H229 * (1 + Assumptions!$C$7) ^ INT(((YEAR(AF$2)-YEAR($F229))*12 + MONTH(AF$2)-MONTH($F229)) / 12),
  0)</f>
        <v/>
      </c>
      <c r="AG229" s="299">
        <f>IF(AND($F229&lt;=AG$2, OR($G229="",$G229&gt;=AG$2)),
  $H229 * (1 + Assumptions!$C$7) ^ INT(((YEAR(AG$2)-YEAR($F229))*12 + MONTH(AG$2)-MONTH($F229)) / 12),
  0)</f>
        <v/>
      </c>
      <c r="AH229" s="299">
        <f>IF(AND($F229&lt;=AH$2, OR($G229="",$G229&gt;=AH$2)),
  $H229 * (1 + Assumptions!$C$7) ^ INT(((YEAR(AH$2)-YEAR($F229))*12 + MONTH(AH$2)-MONTH($F229)) / 12),
  0)</f>
        <v/>
      </c>
      <c r="AI229" s="299">
        <f>IF(AND($F229&lt;=AI$2, OR($G229="",$G229&gt;=AI$2)),
  $H229 * (1 + Assumptions!$C$7) ^ INT(((YEAR(AI$2)-YEAR($F229))*12 + MONTH(AI$2)-MONTH($F229)) / 12),
  0)</f>
        <v/>
      </c>
      <c r="AJ229" s="299">
        <f>IF(AND($F229&lt;=AJ$2, OR($G229="",$G229&gt;=AJ$2)),
  $H229 * (1 + Assumptions!$C$7) ^ INT(((YEAR(AJ$2)-YEAR($F229))*12 + MONTH(AJ$2)-MONTH($F229)) / 12),
  0)</f>
        <v/>
      </c>
      <c r="AK229" s="299">
        <f>IF(AND($F229&lt;=AK$2, OR($G229="",$G229&gt;=AK$2)),
  $H229 * (1 + Assumptions!$C$7) ^ INT(((YEAR(AK$2)-YEAR($F229))*12 + MONTH(AK$2)-MONTH($F229)) / 12),
  0)</f>
        <v/>
      </c>
      <c r="AL229" s="299">
        <f>IF(AND($F229&lt;=AL$2, OR($G229="",$G229&gt;=AL$2)),
  $H229 * (1 + Assumptions!$C$7) ^ INT(((YEAR(AL$2)-YEAR($F229))*12 + MONTH(AL$2)-MONTH($F229)) / 12),
  0)</f>
        <v/>
      </c>
      <c r="AM229" s="299">
        <f>IF(AND($F229&lt;=AM$2, OR($G229="",$G229&gt;=AM$2)),
  $H229 * (1 + Assumptions!$C$7) ^ INT(((YEAR(AM$2)-YEAR($F229))*12 + MONTH(AM$2)-MONTH($F229)) / 12),
  0)</f>
        <v/>
      </c>
      <c r="AN229" s="299">
        <f>IF(AND($F229&lt;=AN$2, OR($G229="",$G229&gt;=AN$2)),
  $H229 * (1 + Assumptions!$C$7) ^ INT(((YEAR(AN$2)-YEAR($F229))*12 + MONTH(AN$2)-MONTH($F229)) / 12),
  0)</f>
        <v/>
      </c>
      <c r="AO229" s="299">
        <f>IF(AND($F229&lt;=AO$2, OR($G229="",$G229&gt;=AO$2)),
  $H229 * (1 + Assumptions!$C$7) ^ INT(((YEAR(AO$2)-YEAR($F229))*12 + MONTH(AO$2)-MONTH($F229)) / 12),
  0)</f>
        <v/>
      </c>
      <c r="AP229" s="299">
        <f>IF(AND($F229&lt;=AP$2, OR($G229="",$G229&gt;=AP$2)),
  $H229 * (1 + Assumptions!$C$7) ^ INT(((YEAR(AP$2)-YEAR($F229))*12 + MONTH(AP$2)-MONTH($F229)) / 12),
  0)</f>
        <v/>
      </c>
      <c r="AQ229" s="299">
        <f>IF(AND($F229&lt;=AQ$2, OR($G229="",$G229&gt;=AQ$2)),
  $H229 * (1 + Assumptions!$C$7) ^ INT(((YEAR(AQ$2)-YEAR($F229))*12 + MONTH(AQ$2)-MONTH($F229)) / 12),
  0)</f>
        <v/>
      </c>
      <c r="AR229" s="299">
        <f>IF(AND($F229&lt;=AR$2, OR($G229="",$G229&gt;=AR$2)),
  $H229 * (1 + Assumptions!$C$7) ^ INT(((YEAR(AR$2)-YEAR($F229))*12 + MONTH(AR$2)-MONTH($F229)) / 12),
  0)</f>
        <v/>
      </c>
      <c r="AS229" s="299">
        <f>IF(AND($F229&lt;=AS$2, OR($G229="",$G229&gt;=AS$2)),
  $H229 * (1 + Assumptions!$C$7) ^ INT(((YEAR(AS$2)-YEAR($F229))*12 + MONTH(AS$2)-MONTH($F229)) / 12),
  0)</f>
        <v/>
      </c>
      <c r="AT229" s="299">
        <f>IF(AND($F229&lt;=AT$2, OR($G229="",$G229&gt;=AT$2)),
  $H229 * (1 + Assumptions!$C$7) ^ INT(((YEAR(AT$2)-YEAR($F229))*12 + MONTH(AT$2)-MONTH($F229)) / 12),
  0)</f>
        <v/>
      </c>
      <c r="AU229" s="299">
        <f>IF(AND($F229&lt;=AU$2, OR($G229="",$G229&gt;=AU$2)),
  $H229 * (1 + Assumptions!$C$7) ^ INT(((YEAR(AU$2)-YEAR($F229))*12 + MONTH(AU$2)-MONTH($F229)) / 12),
  0)</f>
        <v/>
      </c>
      <c r="AV229" s="299">
        <f>IF(AND($F229&lt;=AV$2, OR($G229="",$G229&gt;=AV$2)),
  $H229 * (1 + Assumptions!$C$7) ^ INT(((YEAR(AV$2)-YEAR($F229))*12 + MONTH(AV$2)-MONTH($F229)) / 12),
  0)</f>
        <v/>
      </c>
      <c r="AW229" s="299">
        <f>IF(AND($F229&lt;=AW$2, OR($G229="",$G229&gt;=AW$2)),
  $H229 * (1 + Assumptions!$C$7) ^ INT(((YEAR(AW$2)-YEAR($F229))*12 + MONTH(AW$2)-MONTH($F229)) / 12),
  0)</f>
        <v/>
      </c>
      <c r="AX229" s="299">
        <f>IF(AND($F229&lt;=AX$2, OR($G229="",$G229&gt;=AX$2)),
  $H229 * (1 + Assumptions!$C$7) ^ INT(((YEAR(AX$2)-YEAR($F229))*12 + MONTH(AX$2)-MONTH($F229)) / 12),
  0)</f>
        <v/>
      </c>
      <c r="AY229" s="299">
        <f>IF(AND($F229&lt;=AY$2, OR($G229="",$G229&gt;=AY$2)),
  $H229 * (1 + Assumptions!$C$7) ^ INT(((YEAR(AY$2)-YEAR($F229))*12 + MONTH(AY$2)-MONTH($F229)) / 12),
  0)</f>
        <v/>
      </c>
      <c r="AZ229" s="299">
        <f>IF(AND($F229&lt;=AZ$2, OR($G229="",$G229&gt;=AZ$2)),
  $H229 * (1 + Assumptions!$C$7) ^ INT(((YEAR(AZ$2)-YEAR($F229))*12 + MONTH(AZ$2)-MONTH($F229)) / 12),
  0)</f>
        <v/>
      </c>
      <c r="BA229" s="299">
        <f>IF(AND($F229&lt;=BA$2, OR($G229="",$G229&gt;=BA$2)),
  $H229 * (1 + Assumptions!$C$7) ^ INT(((YEAR(BA$2)-YEAR($F229))*12 + MONTH(BA$2)-MONTH($F229)) / 12),
  0)</f>
        <v/>
      </c>
      <c r="BB229" s="299">
        <f>IF(AND($F229&lt;=BB$2, OR($G229="",$G229&gt;=BB$2)),
  $H229 * (1 + Assumptions!$C$7) ^ INT(((YEAR(BB$2)-YEAR($F229))*12 + MONTH(BB$2)-MONTH($F229)) / 12),
  0)</f>
        <v/>
      </c>
      <c r="BC229" s="299">
        <f>IF(AND($F229&lt;=BC$2, OR($G229="",$G229&gt;=BC$2)),
  $H229 * (1 + Assumptions!$C$7) ^ INT(((YEAR(BC$2)-YEAR($F229))*12 + MONTH(BC$2)-MONTH($F229)) / 12),
  0)</f>
        <v/>
      </c>
      <c r="BD229" s="299">
        <f>IF(AND($F229&lt;=BD$2, OR($G229="",$G229&gt;=BD$2)),
  $H229 * (1 + Assumptions!$C$7) ^ INT(((YEAR(BD$2)-YEAR($F229))*12 + MONTH(BD$2)-MONTH($F229)) / 12),
  0)</f>
        <v/>
      </c>
      <c r="BE229" s="299">
        <f>IF(AND($F229&lt;=BE$2, OR($G229="",$G229&gt;=BE$2)),
  $H229 * (1 + Assumptions!$C$7) ^ INT(((YEAR(BE$2)-YEAR($F229))*12 + MONTH(BE$2)-MONTH($F229)) / 12),
  0)</f>
        <v/>
      </c>
      <c r="BF229" s="299">
        <f>IF(AND($F229&lt;=BF$2, OR($G229="",$G229&gt;=BF$2)),
  $H229 * (1 + Assumptions!$C$7) ^ INT(((YEAR(BF$2)-YEAR($F229))*12 + MONTH(BF$2)-MONTH($F229)) / 12),
  0)</f>
        <v/>
      </c>
      <c r="BG229" s="299">
        <f>IF(AND($F229&lt;=BG$2, OR($G229="",$G229&gt;=BG$2)),
  $H229 * (1 + Assumptions!$C$7) ^ INT(((YEAR(BG$2)-YEAR($F229))*12 + MONTH(BG$2)-MONTH($F229)) / 12),
  0)</f>
        <v/>
      </c>
      <c r="BH229" s="299">
        <f>IF(AND($F229&lt;=BH$2, OR($G229="",$G229&gt;=BH$2)),
  $H229 * (1 + Assumptions!$C$7) ^ INT(((YEAR(BH$2)-YEAR($F229))*12 + MONTH(BH$2)-MONTH($F229)) / 12),
  0)</f>
        <v/>
      </c>
      <c r="BI229" s="299">
        <f>IF(AND($F229&lt;=BI$2, OR($G229="",$G229&gt;=BI$2)),
  $H229 * (1 + Assumptions!$C$7) ^ INT(((YEAR(BI$2)-YEAR($F229))*12 + MONTH(BI$2)-MONTH($F229)) / 12),
  0)</f>
        <v/>
      </c>
      <c r="BJ229" s="299">
        <f>IF(AND($F229&lt;=BJ$2, OR($G229="",$G229&gt;=BJ$2)),
  $H229 * (1 + Assumptions!$C$7) ^ INT(((YEAR(BJ$2)-YEAR($F229))*12 + MONTH(BJ$2)-MONTH($F229)) / 12),
  0)</f>
        <v/>
      </c>
      <c r="BK229" s="299">
        <f>IF(AND($F229&lt;=BK$2, OR($G229="",$G229&gt;=BK$2)),
  $H229 * (1 + Assumptions!$C$7) ^ INT(((YEAR(BK$2)-YEAR($F229))*12 + MONTH(BK$2)-MONTH($F229)) / 12),
  0)</f>
        <v/>
      </c>
      <c r="BL229" s="299">
        <f>IF(AND($F229&lt;=BL$2, OR($G229="",$G229&gt;=BL$2)),
  $H229 * (1 + Assumptions!$C$7) ^ INT(((YEAR(BL$2)-YEAR($F229))*12 + MONTH(BL$2)-MONTH($F229)) / 12),
  0)</f>
        <v/>
      </c>
      <c r="BM229" s="299">
        <f>IF(AND($F229&lt;=BM$2, OR($G229="",$G229&gt;=BM$2)),
  $H229 * (1 + Assumptions!$C$7) ^ INT(((YEAR(BM$2)-YEAR($F229))*12 + MONTH(BM$2)-MONTH($F229)) / 12),
  0)</f>
        <v/>
      </c>
      <c r="BN229" s="299">
        <f>IF(AND($F229&lt;=BN$2, OR($G229="",$G229&gt;=BN$2)),
  $H229 * (1 + Assumptions!$C$7) ^ INT(((YEAR(BN$2)-YEAR($F229))*12 + MONTH(BN$2)-MONTH($F229)) / 12),
  0)</f>
        <v/>
      </c>
      <c r="BO229" s="299">
        <f>IF(AND($F229&lt;=BO$2, OR($G229="",$G229&gt;=BO$2)),
  $H229 * (1 + Assumptions!$C$7) ^ INT(((YEAR(BO$2)-YEAR($F229))*12 + MONTH(BO$2)-MONTH($F229)) / 12),
  0)</f>
        <v/>
      </c>
      <c r="BP229" s="299">
        <f>IF(AND($F229&lt;=BP$2, OR($G229="",$G229&gt;=BP$2)),
  $H229 * (1 + Assumptions!$C$7) ^ INT(((YEAR(BP$2)-YEAR($F229))*12 + MONTH(BP$2)-MONTH($F229)) / 12),
  0)</f>
        <v/>
      </c>
      <c r="BQ229" s="31" t="n"/>
      <c r="BR229" s="31" t="n"/>
      <c r="BS229" s="31" t="n"/>
      <c r="BT229" s="31" t="n"/>
    </row>
    <row r="230" ht="15.75" customHeight="1" s="349">
      <c r="A230" s="321" t="n">
        <v>225</v>
      </c>
      <c r="B230" s="285" t="inlineStr">
        <is>
          <t>New hire</t>
        </is>
      </c>
      <c r="C230" s="317" t="inlineStr">
        <is>
          <t>R&amp;D</t>
        </is>
      </c>
      <c r="D230" s="317" t="inlineStr">
        <is>
          <t>R&amp;D Engineer</t>
        </is>
      </c>
      <c r="E230" s="297" t="inlineStr">
        <is>
          <t>Planned</t>
        </is>
      </c>
      <c r="F230" s="318">
        <f>IF(Assumptions!$D$82=2,DATE(2029,1,1),DATE(2035,1,1))</f>
        <v/>
      </c>
      <c r="G230" s="318" t="n"/>
      <c r="H230" s="288" t="n">
        <v>8000</v>
      </c>
      <c r="I230" s="299">
        <f>IF(AND($F230&lt;=I$2, OR($G230="",$G230&gt;=I$2)),
  $H230 * (1 + Assumptions!$C$7) ^ INT(((YEAR(I$2)-YEAR($F230))*12 + MONTH(I$2)-MONTH($F230)) / 12),
  0)</f>
        <v/>
      </c>
      <c r="J230" s="299">
        <f>IF(AND($F230&lt;=J$2, OR($G230="",$G230&gt;=J$2)),
  $H230 * (1 + Assumptions!$C$7) ^ INT(((YEAR(J$2)-YEAR($F230))*12 + MONTH(J$2)-MONTH($F230)) / 12),
  0)</f>
        <v/>
      </c>
      <c r="K230" s="299">
        <f>IF(AND($F230&lt;=K$2, OR($G230="",$G230&gt;=K$2)),
  $H230 * (1 + Assumptions!$C$7) ^ INT(((YEAR(K$2)-YEAR($F230))*12 + MONTH(K$2)-MONTH($F230)) / 12),
  0)</f>
        <v/>
      </c>
      <c r="L230" s="299">
        <f>IF(AND($F230&lt;=L$2, OR($G230="",$G230&gt;=L$2)),
  $H230 * (1 + Assumptions!$C$7) ^ INT(((YEAR(L$2)-YEAR($F230))*12 + MONTH(L$2)-MONTH($F230)) / 12),
  0)</f>
        <v/>
      </c>
      <c r="M230" s="299">
        <f>IF(AND($F230&lt;=M$2, OR($G230="",$G230&gt;=M$2)),
  $H230 * (1 + Assumptions!$C$7) ^ INT(((YEAR(M$2)-YEAR($F230))*12 + MONTH(M$2)-MONTH($F230)) / 12),
  0)</f>
        <v/>
      </c>
      <c r="N230" s="299">
        <f>IF(AND($F230&lt;=N$2, OR($G230="",$G230&gt;=N$2)),
  $H230 * (1 + Assumptions!$C$7) ^ INT(((YEAR(N$2)-YEAR($F230))*12 + MONTH(N$2)-MONTH($F230)) / 12),
  0)</f>
        <v/>
      </c>
      <c r="O230" s="299">
        <f>IF(AND($F230&lt;=O$2, OR($G230="",$G230&gt;=O$2)),
  $H230 * (1 + Assumptions!$C$7) ^ INT(((YEAR(O$2)-YEAR($F230))*12 + MONTH(O$2)-MONTH($F230)) / 12),
  0)</f>
        <v/>
      </c>
      <c r="P230" s="299">
        <f>IF(AND($F230&lt;=P$2, OR($G230="",$G230&gt;=P$2)),
  $H230 * (1 + Assumptions!$C$7) ^ INT(((YEAR(P$2)-YEAR($F230))*12 + MONTH(P$2)-MONTH($F230)) / 12),
  0)</f>
        <v/>
      </c>
      <c r="Q230" s="299">
        <f>IF(AND($F230&lt;=Q$2, OR($G230="",$G230&gt;=Q$2)),
  $H230 * (1 + Assumptions!$C$7) ^ INT(((YEAR(Q$2)-YEAR($F230))*12 + MONTH(Q$2)-MONTH($F230)) / 12),
  0)</f>
        <v/>
      </c>
      <c r="R230" s="299">
        <f>IF(AND($F230&lt;=R$2, OR($G230="",$G230&gt;=R$2)),
  $H230 * (1 + Assumptions!$C$7) ^ INT(((YEAR(R$2)-YEAR($F230))*12 + MONTH(R$2)-MONTH($F230)) / 12),
  0)</f>
        <v/>
      </c>
      <c r="S230" s="299">
        <f>IF(AND($F230&lt;=S$2, OR($G230="",$G230&gt;=S$2)),
  $H230 * (1 + Assumptions!$C$7) ^ INT(((YEAR(S$2)-YEAR($F230))*12 + MONTH(S$2)-MONTH($F230)) / 12),
  0)</f>
        <v/>
      </c>
      <c r="T230" s="299">
        <f>IF(AND($F230&lt;=T$2, OR($G230="",$G230&gt;=T$2)),
  $H230 * (1 + Assumptions!$C$7) ^ INT(((YEAR(T$2)-YEAR($F230))*12 + MONTH(T$2)-MONTH($F230)) / 12),
  0)</f>
        <v/>
      </c>
      <c r="U230" s="299">
        <f>IF(AND($F230&lt;=U$2, OR($G230="",$G230&gt;=U$2)),
  $H230 * (1 + Assumptions!$C$7) ^ INT(((YEAR(U$2)-YEAR($F230))*12 + MONTH(U$2)-MONTH($F230)) / 12),
  0)</f>
        <v/>
      </c>
      <c r="V230" s="299">
        <f>IF(AND($F230&lt;=V$2, OR($G230="",$G230&gt;=V$2)),
  $H230 * (1 + Assumptions!$C$7) ^ INT(((YEAR(V$2)-YEAR($F230))*12 + MONTH(V$2)-MONTH($F230)) / 12),
  0)</f>
        <v/>
      </c>
      <c r="W230" s="299">
        <f>IF(AND($F230&lt;=W$2, OR($G230="",$G230&gt;=W$2)),
  $H230 * (1 + Assumptions!$C$7) ^ INT(((YEAR(W$2)-YEAR($F230))*12 + MONTH(W$2)-MONTH($F230)) / 12),
  0)</f>
        <v/>
      </c>
      <c r="X230" s="299">
        <f>IF(AND($F230&lt;=X$2, OR($G230="",$G230&gt;=X$2)),
  $H230 * (1 + Assumptions!$C$7) ^ INT(((YEAR(X$2)-YEAR($F230))*12 + MONTH(X$2)-MONTH($F230)) / 12),
  0)</f>
        <v/>
      </c>
      <c r="Y230" s="299">
        <f>IF(AND($F230&lt;=Y$2, OR($G230="",$G230&gt;=Y$2)),
  $H230 * (1 + Assumptions!$C$7) ^ INT(((YEAR(Y$2)-YEAR($F230))*12 + MONTH(Y$2)-MONTH($F230)) / 12),
  0)</f>
        <v/>
      </c>
      <c r="Z230" s="299">
        <f>IF(AND($F230&lt;=Z$2, OR($G230="",$G230&gt;=Z$2)),
  $H230 * (1 + Assumptions!$C$7) ^ INT(((YEAR(Z$2)-YEAR($F230))*12 + MONTH(Z$2)-MONTH($F230)) / 12),
  0)</f>
        <v/>
      </c>
      <c r="AA230" s="299">
        <f>IF(AND($F230&lt;=AA$2, OR($G230="",$G230&gt;=AA$2)),
  $H230 * (1 + Assumptions!$C$7) ^ INT(((YEAR(AA$2)-YEAR($F230))*12 + MONTH(AA$2)-MONTH($F230)) / 12),
  0)</f>
        <v/>
      </c>
      <c r="AB230" s="299">
        <f>IF(AND($F230&lt;=AB$2, OR($G230="",$G230&gt;=AB$2)),
  $H230 * (1 + Assumptions!$C$7) ^ INT(((YEAR(AB$2)-YEAR($F230))*12 + MONTH(AB$2)-MONTH($F230)) / 12),
  0)</f>
        <v/>
      </c>
      <c r="AC230" s="299">
        <f>IF(AND($F230&lt;=AC$2, OR($G230="",$G230&gt;=AC$2)),
  $H230 * (1 + Assumptions!$C$7) ^ INT(((YEAR(AC$2)-YEAR($F230))*12 + MONTH(AC$2)-MONTH($F230)) / 12),
  0)</f>
        <v/>
      </c>
      <c r="AD230" s="299">
        <f>IF(AND($F230&lt;=AD$2, OR($G230="",$G230&gt;=AD$2)),
  $H230 * (1 + Assumptions!$C$7) ^ INT(((YEAR(AD$2)-YEAR($F230))*12 + MONTH(AD$2)-MONTH($F230)) / 12),
  0)</f>
        <v/>
      </c>
      <c r="AE230" s="299">
        <f>IF(AND($F230&lt;=AE$2, OR($G230="",$G230&gt;=AE$2)),
  $H230 * (1 + Assumptions!$C$7) ^ INT(((YEAR(AE$2)-YEAR($F230))*12 + MONTH(AE$2)-MONTH($F230)) / 12),
  0)</f>
        <v/>
      </c>
      <c r="AF230" s="299">
        <f>IF(AND($F230&lt;=AF$2, OR($G230="",$G230&gt;=AF$2)),
  $H230 * (1 + Assumptions!$C$7) ^ INT(((YEAR(AF$2)-YEAR($F230))*12 + MONTH(AF$2)-MONTH($F230)) / 12),
  0)</f>
        <v/>
      </c>
      <c r="AG230" s="299">
        <f>IF(AND($F230&lt;=AG$2, OR($G230="",$G230&gt;=AG$2)),
  $H230 * (1 + Assumptions!$C$7) ^ INT(((YEAR(AG$2)-YEAR($F230))*12 + MONTH(AG$2)-MONTH($F230)) / 12),
  0)</f>
        <v/>
      </c>
      <c r="AH230" s="299">
        <f>IF(AND($F230&lt;=AH$2, OR($G230="",$G230&gt;=AH$2)),
  $H230 * (1 + Assumptions!$C$7) ^ INT(((YEAR(AH$2)-YEAR($F230))*12 + MONTH(AH$2)-MONTH($F230)) / 12),
  0)</f>
        <v/>
      </c>
      <c r="AI230" s="299">
        <f>IF(AND($F230&lt;=AI$2, OR($G230="",$G230&gt;=AI$2)),
  $H230 * (1 + Assumptions!$C$7) ^ INT(((YEAR(AI$2)-YEAR($F230))*12 + MONTH(AI$2)-MONTH($F230)) / 12),
  0)</f>
        <v/>
      </c>
      <c r="AJ230" s="299">
        <f>IF(AND($F230&lt;=AJ$2, OR($G230="",$G230&gt;=AJ$2)),
  $H230 * (1 + Assumptions!$C$7) ^ INT(((YEAR(AJ$2)-YEAR($F230))*12 + MONTH(AJ$2)-MONTH($F230)) / 12),
  0)</f>
        <v/>
      </c>
      <c r="AK230" s="299">
        <f>IF(AND($F230&lt;=AK$2, OR($G230="",$G230&gt;=AK$2)),
  $H230 * (1 + Assumptions!$C$7) ^ INT(((YEAR(AK$2)-YEAR($F230))*12 + MONTH(AK$2)-MONTH($F230)) / 12),
  0)</f>
        <v/>
      </c>
      <c r="AL230" s="299">
        <f>IF(AND($F230&lt;=AL$2, OR($G230="",$G230&gt;=AL$2)),
  $H230 * (1 + Assumptions!$C$7) ^ INT(((YEAR(AL$2)-YEAR($F230))*12 + MONTH(AL$2)-MONTH($F230)) / 12),
  0)</f>
        <v/>
      </c>
      <c r="AM230" s="299">
        <f>IF(AND($F230&lt;=AM$2, OR($G230="",$G230&gt;=AM$2)),
  $H230 * (1 + Assumptions!$C$7) ^ INT(((YEAR(AM$2)-YEAR($F230))*12 + MONTH(AM$2)-MONTH($F230)) / 12),
  0)</f>
        <v/>
      </c>
      <c r="AN230" s="299">
        <f>IF(AND($F230&lt;=AN$2, OR($G230="",$G230&gt;=AN$2)),
  $H230 * (1 + Assumptions!$C$7) ^ INT(((YEAR(AN$2)-YEAR($F230))*12 + MONTH(AN$2)-MONTH($F230)) / 12),
  0)</f>
        <v/>
      </c>
      <c r="AO230" s="299">
        <f>IF(AND($F230&lt;=AO$2, OR($G230="",$G230&gt;=AO$2)),
  $H230 * (1 + Assumptions!$C$7) ^ INT(((YEAR(AO$2)-YEAR($F230))*12 + MONTH(AO$2)-MONTH($F230)) / 12),
  0)</f>
        <v/>
      </c>
      <c r="AP230" s="299">
        <f>IF(AND($F230&lt;=AP$2, OR($G230="",$G230&gt;=AP$2)),
  $H230 * (1 + Assumptions!$C$7) ^ INT(((YEAR(AP$2)-YEAR($F230))*12 + MONTH(AP$2)-MONTH($F230)) / 12),
  0)</f>
        <v/>
      </c>
      <c r="AQ230" s="299">
        <f>IF(AND($F230&lt;=AQ$2, OR($G230="",$G230&gt;=AQ$2)),
  $H230 * (1 + Assumptions!$C$7) ^ INT(((YEAR(AQ$2)-YEAR($F230))*12 + MONTH(AQ$2)-MONTH($F230)) / 12),
  0)</f>
        <v/>
      </c>
      <c r="AR230" s="299">
        <f>IF(AND($F230&lt;=AR$2, OR($G230="",$G230&gt;=AR$2)),
  $H230 * (1 + Assumptions!$C$7) ^ INT(((YEAR(AR$2)-YEAR($F230))*12 + MONTH(AR$2)-MONTH($F230)) / 12),
  0)</f>
        <v/>
      </c>
      <c r="AS230" s="299">
        <f>IF(AND($F230&lt;=AS$2, OR($G230="",$G230&gt;=AS$2)),
  $H230 * (1 + Assumptions!$C$7) ^ INT(((YEAR(AS$2)-YEAR($F230))*12 + MONTH(AS$2)-MONTH($F230)) / 12),
  0)</f>
        <v/>
      </c>
      <c r="AT230" s="299">
        <f>IF(AND($F230&lt;=AT$2, OR($G230="",$G230&gt;=AT$2)),
  $H230 * (1 + Assumptions!$C$7) ^ INT(((YEAR(AT$2)-YEAR($F230))*12 + MONTH(AT$2)-MONTH($F230)) / 12),
  0)</f>
        <v/>
      </c>
      <c r="AU230" s="299">
        <f>IF(AND($F230&lt;=AU$2, OR($G230="",$G230&gt;=AU$2)),
  $H230 * (1 + Assumptions!$C$7) ^ INT(((YEAR(AU$2)-YEAR($F230))*12 + MONTH(AU$2)-MONTH($F230)) / 12),
  0)</f>
        <v/>
      </c>
      <c r="AV230" s="299">
        <f>IF(AND($F230&lt;=AV$2, OR($G230="",$G230&gt;=AV$2)),
  $H230 * (1 + Assumptions!$C$7) ^ INT(((YEAR(AV$2)-YEAR($F230))*12 + MONTH(AV$2)-MONTH($F230)) / 12),
  0)</f>
        <v/>
      </c>
      <c r="AW230" s="299">
        <f>IF(AND($F230&lt;=AW$2, OR($G230="",$G230&gt;=AW$2)),
  $H230 * (1 + Assumptions!$C$7) ^ INT(((YEAR(AW$2)-YEAR($F230))*12 + MONTH(AW$2)-MONTH($F230)) / 12),
  0)</f>
        <v/>
      </c>
      <c r="AX230" s="299">
        <f>IF(AND($F230&lt;=AX$2, OR($G230="",$G230&gt;=AX$2)),
  $H230 * (1 + Assumptions!$C$7) ^ INT(((YEAR(AX$2)-YEAR($F230))*12 + MONTH(AX$2)-MONTH($F230)) / 12),
  0)</f>
        <v/>
      </c>
      <c r="AY230" s="299">
        <f>IF(AND($F230&lt;=AY$2, OR($G230="",$G230&gt;=AY$2)),
  $H230 * (1 + Assumptions!$C$7) ^ INT(((YEAR(AY$2)-YEAR($F230))*12 + MONTH(AY$2)-MONTH($F230)) / 12),
  0)</f>
        <v/>
      </c>
      <c r="AZ230" s="299">
        <f>IF(AND($F230&lt;=AZ$2, OR($G230="",$G230&gt;=AZ$2)),
  $H230 * (1 + Assumptions!$C$7) ^ INT(((YEAR(AZ$2)-YEAR($F230))*12 + MONTH(AZ$2)-MONTH($F230)) / 12),
  0)</f>
        <v/>
      </c>
      <c r="BA230" s="299">
        <f>IF(AND($F230&lt;=BA$2, OR($G230="",$G230&gt;=BA$2)),
  $H230 * (1 + Assumptions!$C$7) ^ INT(((YEAR(BA$2)-YEAR($F230))*12 + MONTH(BA$2)-MONTH($F230)) / 12),
  0)</f>
        <v/>
      </c>
      <c r="BB230" s="299">
        <f>IF(AND($F230&lt;=BB$2, OR($G230="",$G230&gt;=BB$2)),
  $H230 * (1 + Assumptions!$C$7) ^ INT(((YEAR(BB$2)-YEAR($F230))*12 + MONTH(BB$2)-MONTH($F230)) / 12),
  0)</f>
        <v/>
      </c>
      <c r="BC230" s="299">
        <f>IF(AND($F230&lt;=BC$2, OR($G230="",$G230&gt;=BC$2)),
  $H230 * (1 + Assumptions!$C$7) ^ INT(((YEAR(BC$2)-YEAR($F230))*12 + MONTH(BC$2)-MONTH($F230)) / 12),
  0)</f>
        <v/>
      </c>
      <c r="BD230" s="299">
        <f>IF(AND($F230&lt;=BD$2, OR($G230="",$G230&gt;=BD$2)),
  $H230 * (1 + Assumptions!$C$7) ^ INT(((YEAR(BD$2)-YEAR($F230))*12 + MONTH(BD$2)-MONTH($F230)) / 12),
  0)</f>
        <v/>
      </c>
      <c r="BE230" s="299">
        <f>IF(AND($F230&lt;=BE$2, OR($G230="",$G230&gt;=BE$2)),
  $H230 * (1 + Assumptions!$C$7) ^ INT(((YEAR(BE$2)-YEAR($F230))*12 + MONTH(BE$2)-MONTH($F230)) / 12),
  0)</f>
        <v/>
      </c>
      <c r="BF230" s="299">
        <f>IF(AND($F230&lt;=BF$2, OR($G230="",$G230&gt;=BF$2)),
  $H230 * (1 + Assumptions!$C$7) ^ INT(((YEAR(BF$2)-YEAR($F230))*12 + MONTH(BF$2)-MONTH($F230)) / 12),
  0)</f>
        <v/>
      </c>
      <c r="BG230" s="299">
        <f>IF(AND($F230&lt;=BG$2, OR($G230="",$G230&gt;=BG$2)),
  $H230 * (1 + Assumptions!$C$7) ^ INT(((YEAR(BG$2)-YEAR($F230))*12 + MONTH(BG$2)-MONTH($F230)) / 12),
  0)</f>
        <v/>
      </c>
      <c r="BH230" s="299">
        <f>IF(AND($F230&lt;=BH$2, OR($G230="",$G230&gt;=BH$2)),
  $H230 * (1 + Assumptions!$C$7) ^ INT(((YEAR(BH$2)-YEAR($F230))*12 + MONTH(BH$2)-MONTH($F230)) / 12),
  0)</f>
        <v/>
      </c>
      <c r="BI230" s="299">
        <f>IF(AND($F230&lt;=BI$2, OR($G230="",$G230&gt;=BI$2)),
  $H230 * (1 + Assumptions!$C$7) ^ INT(((YEAR(BI$2)-YEAR($F230))*12 + MONTH(BI$2)-MONTH($F230)) / 12),
  0)</f>
        <v/>
      </c>
      <c r="BJ230" s="299">
        <f>IF(AND($F230&lt;=BJ$2, OR($G230="",$G230&gt;=BJ$2)),
  $H230 * (1 + Assumptions!$C$7) ^ INT(((YEAR(BJ$2)-YEAR($F230))*12 + MONTH(BJ$2)-MONTH($F230)) / 12),
  0)</f>
        <v/>
      </c>
      <c r="BK230" s="299">
        <f>IF(AND($F230&lt;=BK$2, OR($G230="",$G230&gt;=BK$2)),
  $H230 * (1 + Assumptions!$C$7) ^ INT(((YEAR(BK$2)-YEAR($F230))*12 + MONTH(BK$2)-MONTH($F230)) / 12),
  0)</f>
        <v/>
      </c>
      <c r="BL230" s="299">
        <f>IF(AND($F230&lt;=BL$2, OR($G230="",$G230&gt;=BL$2)),
  $H230 * (1 + Assumptions!$C$7) ^ INT(((YEAR(BL$2)-YEAR($F230))*12 + MONTH(BL$2)-MONTH($F230)) / 12),
  0)</f>
        <v/>
      </c>
      <c r="BM230" s="299">
        <f>IF(AND($F230&lt;=BM$2, OR($G230="",$G230&gt;=BM$2)),
  $H230 * (1 + Assumptions!$C$7) ^ INT(((YEAR(BM$2)-YEAR($F230))*12 + MONTH(BM$2)-MONTH($F230)) / 12),
  0)</f>
        <v/>
      </c>
      <c r="BN230" s="299">
        <f>IF(AND($F230&lt;=BN$2, OR($G230="",$G230&gt;=BN$2)),
  $H230 * (1 + Assumptions!$C$7) ^ INT(((YEAR(BN$2)-YEAR($F230))*12 + MONTH(BN$2)-MONTH($F230)) / 12),
  0)</f>
        <v/>
      </c>
      <c r="BO230" s="299">
        <f>IF(AND($F230&lt;=BO$2, OR($G230="",$G230&gt;=BO$2)),
  $H230 * (1 + Assumptions!$C$7) ^ INT(((YEAR(BO$2)-YEAR($F230))*12 + MONTH(BO$2)-MONTH($F230)) / 12),
  0)</f>
        <v/>
      </c>
      <c r="BP230" s="299">
        <f>IF(AND($F230&lt;=BP$2, OR($G230="",$G230&gt;=BP$2)),
  $H230 * (1 + Assumptions!$C$7) ^ INT(((YEAR(BP$2)-YEAR($F230))*12 + MONTH(BP$2)-MONTH($F230)) / 12),
  0)</f>
        <v/>
      </c>
      <c r="BQ230" s="31" t="n"/>
      <c r="BR230" s="31" t="n"/>
      <c r="BS230" s="31" t="n"/>
      <c r="BT230" s="31" t="n"/>
    </row>
    <row r="231" ht="15.75" customHeight="1" s="349">
      <c r="A231" s="321" t="n">
        <v>226</v>
      </c>
      <c r="B231" s="285" t="inlineStr">
        <is>
          <t>New hire</t>
        </is>
      </c>
      <c r="C231" s="317" t="inlineStr">
        <is>
          <t>R&amp;D</t>
        </is>
      </c>
      <c r="D231" s="317" t="inlineStr">
        <is>
          <t>R&amp;D Engineer</t>
        </is>
      </c>
      <c r="E231" s="297" t="inlineStr">
        <is>
          <t>Planned</t>
        </is>
      </c>
      <c r="F231" s="318">
        <f>IF(Assumptions!$D$82=2,DATE(2029,1,1),DATE(2035,1,1))</f>
        <v/>
      </c>
      <c r="G231" s="318" t="n"/>
      <c r="H231" s="288" t="n">
        <v>8000</v>
      </c>
      <c r="I231" s="299">
        <f>IF(AND($F231&lt;=I$2, OR($G231="",$G231&gt;=I$2)),
  $H231 * (1 + Assumptions!$C$7) ^ INT(((YEAR(I$2)-YEAR($F231))*12 + MONTH(I$2)-MONTH($F231)) / 12),
  0)</f>
        <v/>
      </c>
      <c r="J231" s="299">
        <f>IF(AND($F231&lt;=J$2, OR($G231="",$G231&gt;=J$2)),
  $H231 * (1 + Assumptions!$C$7) ^ INT(((YEAR(J$2)-YEAR($F231))*12 + MONTH(J$2)-MONTH($F231)) / 12),
  0)</f>
        <v/>
      </c>
      <c r="K231" s="299">
        <f>IF(AND($F231&lt;=K$2, OR($G231="",$G231&gt;=K$2)),
  $H231 * (1 + Assumptions!$C$7) ^ INT(((YEAR(K$2)-YEAR($F231))*12 + MONTH(K$2)-MONTH($F231)) / 12),
  0)</f>
        <v/>
      </c>
      <c r="L231" s="299">
        <f>IF(AND($F231&lt;=L$2, OR($G231="",$G231&gt;=L$2)),
  $H231 * (1 + Assumptions!$C$7) ^ INT(((YEAR(L$2)-YEAR($F231))*12 + MONTH(L$2)-MONTH($F231)) / 12),
  0)</f>
        <v/>
      </c>
      <c r="M231" s="299">
        <f>IF(AND($F231&lt;=M$2, OR($G231="",$G231&gt;=M$2)),
  $H231 * (1 + Assumptions!$C$7) ^ INT(((YEAR(M$2)-YEAR($F231))*12 + MONTH(M$2)-MONTH($F231)) / 12),
  0)</f>
        <v/>
      </c>
      <c r="N231" s="299">
        <f>IF(AND($F231&lt;=N$2, OR($G231="",$G231&gt;=N$2)),
  $H231 * (1 + Assumptions!$C$7) ^ INT(((YEAR(N$2)-YEAR($F231))*12 + MONTH(N$2)-MONTH($F231)) / 12),
  0)</f>
        <v/>
      </c>
      <c r="O231" s="299">
        <f>IF(AND($F231&lt;=O$2, OR($G231="",$G231&gt;=O$2)),
  $H231 * (1 + Assumptions!$C$7) ^ INT(((YEAR(O$2)-YEAR($F231))*12 + MONTH(O$2)-MONTH($F231)) / 12),
  0)</f>
        <v/>
      </c>
      <c r="P231" s="299">
        <f>IF(AND($F231&lt;=P$2, OR($G231="",$G231&gt;=P$2)),
  $H231 * (1 + Assumptions!$C$7) ^ INT(((YEAR(P$2)-YEAR($F231))*12 + MONTH(P$2)-MONTH($F231)) / 12),
  0)</f>
        <v/>
      </c>
      <c r="Q231" s="299">
        <f>IF(AND($F231&lt;=Q$2, OR($G231="",$G231&gt;=Q$2)),
  $H231 * (1 + Assumptions!$C$7) ^ INT(((YEAR(Q$2)-YEAR($F231))*12 + MONTH(Q$2)-MONTH($F231)) / 12),
  0)</f>
        <v/>
      </c>
      <c r="R231" s="299">
        <f>IF(AND($F231&lt;=R$2, OR($G231="",$G231&gt;=R$2)),
  $H231 * (1 + Assumptions!$C$7) ^ INT(((YEAR(R$2)-YEAR($F231))*12 + MONTH(R$2)-MONTH($F231)) / 12),
  0)</f>
        <v/>
      </c>
      <c r="S231" s="299">
        <f>IF(AND($F231&lt;=S$2, OR($G231="",$G231&gt;=S$2)),
  $H231 * (1 + Assumptions!$C$7) ^ INT(((YEAR(S$2)-YEAR($F231))*12 + MONTH(S$2)-MONTH($F231)) / 12),
  0)</f>
        <v/>
      </c>
      <c r="T231" s="299">
        <f>IF(AND($F231&lt;=T$2, OR($G231="",$G231&gt;=T$2)),
  $H231 * (1 + Assumptions!$C$7) ^ INT(((YEAR(T$2)-YEAR($F231))*12 + MONTH(T$2)-MONTH($F231)) / 12),
  0)</f>
        <v/>
      </c>
      <c r="U231" s="299">
        <f>IF(AND($F231&lt;=U$2, OR($G231="",$G231&gt;=U$2)),
  $H231 * (1 + Assumptions!$C$7) ^ INT(((YEAR(U$2)-YEAR($F231))*12 + MONTH(U$2)-MONTH($F231)) / 12),
  0)</f>
        <v/>
      </c>
      <c r="V231" s="299">
        <f>IF(AND($F231&lt;=V$2, OR($G231="",$G231&gt;=V$2)),
  $H231 * (1 + Assumptions!$C$7) ^ INT(((YEAR(V$2)-YEAR($F231))*12 + MONTH(V$2)-MONTH($F231)) / 12),
  0)</f>
        <v/>
      </c>
      <c r="W231" s="299">
        <f>IF(AND($F231&lt;=W$2, OR($G231="",$G231&gt;=W$2)),
  $H231 * (1 + Assumptions!$C$7) ^ INT(((YEAR(W$2)-YEAR($F231))*12 + MONTH(W$2)-MONTH($F231)) / 12),
  0)</f>
        <v/>
      </c>
      <c r="X231" s="299">
        <f>IF(AND($F231&lt;=X$2, OR($G231="",$G231&gt;=X$2)),
  $H231 * (1 + Assumptions!$C$7) ^ INT(((YEAR(X$2)-YEAR($F231))*12 + MONTH(X$2)-MONTH($F231)) / 12),
  0)</f>
        <v/>
      </c>
      <c r="Y231" s="299">
        <f>IF(AND($F231&lt;=Y$2, OR($G231="",$G231&gt;=Y$2)),
  $H231 * (1 + Assumptions!$C$7) ^ INT(((YEAR(Y$2)-YEAR($F231))*12 + MONTH(Y$2)-MONTH($F231)) / 12),
  0)</f>
        <v/>
      </c>
      <c r="Z231" s="299">
        <f>IF(AND($F231&lt;=Z$2, OR($G231="",$G231&gt;=Z$2)),
  $H231 * (1 + Assumptions!$C$7) ^ INT(((YEAR(Z$2)-YEAR($F231))*12 + MONTH(Z$2)-MONTH($F231)) / 12),
  0)</f>
        <v/>
      </c>
      <c r="AA231" s="299">
        <f>IF(AND($F231&lt;=AA$2, OR($G231="",$G231&gt;=AA$2)),
  $H231 * (1 + Assumptions!$C$7) ^ INT(((YEAR(AA$2)-YEAR($F231))*12 + MONTH(AA$2)-MONTH($F231)) / 12),
  0)</f>
        <v/>
      </c>
      <c r="AB231" s="299">
        <f>IF(AND($F231&lt;=AB$2, OR($G231="",$G231&gt;=AB$2)),
  $H231 * (1 + Assumptions!$C$7) ^ INT(((YEAR(AB$2)-YEAR($F231))*12 + MONTH(AB$2)-MONTH($F231)) / 12),
  0)</f>
        <v/>
      </c>
      <c r="AC231" s="299">
        <f>IF(AND($F231&lt;=AC$2, OR($G231="",$G231&gt;=AC$2)),
  $H231 * (1 + Assumptions!$C$7) ^ INT(((YEAR(AC$2)-YEAR($F231))*12 + MONTH(AC$2)-MONTH($F231)) / 12),
  0)</f>
        <v/>
      </c>
      <c r="AD231" s="299">
        <f>IF(AND($F231&lt;=AD$2, OR($G231="",$G231&gt;=AD$2)),
  $H231 * (1 + Assumptions!$C$7) ^ INT(((YEAR(AD$2)-YEAR($F231))*12 + MONTH(AD$2)-MONTH($F231)) / 12),
  0)</f>
        <v/>
      </c>
      <c r="AE231" s="299">
        <f>IF(AND($F231&lt;=AE$2, OR($G231="",$G231&gt;=AE$2)),
  $H231 * (1 + Assumptions!$C$7) ^ INT(((YEAR(AE$2)-YEAR($F231))*12 + MONTH(AE$2)-MONTH($F231)) / 12),
  0)</f>
        <v/>
      </c>
      <c r="AF231" s="299">
        <f>IF(AND($F231&lt;=AF$2, OR($G231="",$G231&gt;=AF$2)),
  $H231 * (1 + Assumptions!$C$7) ^ INT(((YEAR(AF$2)-YEAR($F231))*12 + MONTH(AF$2)-MONTH($F231)) / 12),
  0)</f>
        <v/>
      </c>
      <c r="AG231" s="299">
        <f>IF(AND($F231&lt;=AG$2, OR($G231="",$G231&gt;=AG$2)),
  $H231 * (1 + Assumptions!$C$7) ^ INT(((YEAR(AG$2)-YEAR($F231))*12 + MONTH(AG$2)-MONTH($F231)) / 12),
  0)</f>
        <v/>
      </c>
      <c r="AH231" s="299">
        <f>IF(AND($F231&lt;=AH$2, OR($G231="",$G231&gt;=AH$2)),
  $H231 * (1 + Assumptions!$C$7) ^ INT(((YEAR(AH$2)-YEAR($F231))*12 + MONTH(AH$2)-MONTH($F231)) / 12),
  0)</f>
        <v/>
      </c>
      <c r="AI231" s="299">
        <f>IF(AND($F231&lt;=AI$2, OR($G231="",$G231&gt;=AI$2)),
  $H231 * (1 + Assumptions!$C$7) ^ INT(((YEAR(AI$2)-YEAR($F231))*12 + MONTH(AI$2)-MONTH($F231)) / 12),
  0)</f>
        <v/>
      </c>
      <c r="AJ231" s="299">
        <f>IF(AND($F231&lt;=AJ$2, OR($G231="",$G231&gt;=AJ$2)),
  $H231 * (1 + Assumptions!$C$7) ^ INT(((YEAR(AJ$2)-YEAR($F231))*12 + MONTH(AJ$2)-MONTH($F231)) / 12),
  0)</f>
        <v/>
      </c>
      <c r="AK231" s="299">
        <f>IF(AND($F231&lt;=AK$2, OR($G231="",$G231&gt;=AK$2)),
  $H231 * (1 + Assumptions!$C$7) ^ INT(((YEAR(AK$2)-YEAR($F231))*12 + MONTH(AK$2)-MONTH($F231)) / 12),
  0)</f>
        <v/>
      </c>
      <c r="AL231" s="299">
        <f>IF(AND($F231&lt;=AL$2, OR($G231="",$G231&gt;=AL$2)),
  $H231 * (1 + Assumptions!$C$7) ^ INT(((YEAR(AL$2)-YEAR($F231))*12 + MONTH(AL$2)-MONTH($F231)) / 12),
  0)</f>
        <v/>
      </c>
      <c r="AM231" s="299">
        <f>IF(AND($F231&lt;=AM$2, OR($G231="",$G231&gt;=AM$2)),
  $H231 * (1 + Assumptions!$C$7) ^ INT(((YEAR(AM$2)-YEAR($F231))*12 + MONTH(AM$2)-MONTH($F231)) / 12),
  0)</f>
        <v/>
      </c>
      <c r="AN231" s="299">
        <f>IF(AND($F231&lt;=AN$2, OR($G231="",$G231&gt;=AN$2)),
  $H231 * (1 + Assumptions!$C$7) ^ INT(((YEAR(AN$2)-YEAR($F231))*12 + MONTH(AN$2)-MONTH($F231)) / 12),
  0)</f>
        <v/>
      </c>
      <c r="AO231" s="299">
        <f>IF(AND($F231&lt;=AO$2, OR($G231="",$G231&gt;=AO$2)),
  $H231 * (1 + Assumptions!$C$7) ^ INT(((YEAR(AO$2)-YEAR($F231))*12 + MONTH(AO$2)-MONTH($F231)) / 12),
  0)</f>
        <v/>
      </c>
      <c r="AP231" s="299">
        <f>IF(AND($F231&lt;=AP$2, OR($G231="",$G231&gt;=AP$2)),
  $H231 * (1 + Assumptions!$C$7) ^ INT(((YEAR(AP$2)-YEAR($F231))*12 + MONTH(AP$2)-MONTH($F231)) / 12),
  0)</f>
        <v/>
      </c>
      <c r="AQ231" s="299">
        <f>IF(AND($F231&lt;=AQ$2, OR($G231="",$G231&gt;=AQ$2)),
  $H231 * (1 + Assumptions!$C$7) ^ INT(((YEAR(AQ$2)-YEAR($F231))*12 + MONTH(AQ$2)-MONTH($F231)) / 12),
  0)</f>
        <v/>
      </c>
      <c r="AR231" s="299">
        <f>IF(AND($F231&lt;=AR$2, OR($G231="",$G231&gt;=AR$2)),
  $H231 * (1 + Assumptions!$C$7) ^ INT(((YEAR(AR$2)-YEAR($F231))*12 + MONTH(AR$2)-MONTH($F231)) / 12),
  0)</f>
        <v/>
      </c>
      <c r="AS231" s="299">
        <f>IF(AND($F231&lt;=AS$2, OR($G231="",$G231&gt;=AS$2)),
  $H231 * (1 + Assumptions!$C$7) ^ INT(((YEAR(AS$2)-YEAR($F231))*12 + MONTH(AS$2)-MONTH($F231)) / 12),
  0)</f>
        <v/>
      </c>
      <c r="AT231" s="299">
        <f>IF(AND($F231&lt;=AT$2, OR($G231="",$G231&gt;=AT$2)),
  $H231 * (1 + Assumptions!$C$7) ^ INT(((YEAR(AT$2)-YEAR($F231))*12 + MONTH(AT$2)-MONTH($F231)) / 12),
  0)</f>
        <v/>
      </c>
      <c r="AU231" s="299">
        <f>IF(AND($F231&lt;=AU$2, OR($G231="",$G231&gt;=AU$2)),
  $H231 * (1 + Assumptions!$C$7) ^ INT(((YEAR(AU$2)-YEAR($F231))*12 + MONTH(AU$2)-MONTH($F231)) / 12),
  0)</f>
        <v/>
      </c>
      <c r="AV231" s="299">
        <f>IF(AND($F231&lt;=AV$2, OR($G231="",$G231&gt;=AV$2)),
  $H231 * (1 + Assumptions!$C$7) ^ INT(((YEAR(AV$2)-YEAR($F231))*12 + MONTH(AV$2)-MONTH($F231)) / 12),
  0)</f>
        <v/>
      </c>
      <c r="AW231" s="299">
        <f>IF(AND($F231&lt;=AW$2, OR($G231="",$G231&gt;=AW$2)),
  $H231 * (1 + Assumptions!$C$7) ^ INT(((YEAR(AW$2)-YEAR($F231))*12 + MONTH(AW$2)-MONTH($F231)) / 12),
  0)</f>
        <v/>
      </c>
      <c r="AX231" s="299">
        <f>IF(AND($F231&lt;=AX$2, OR($G231="",$G231&gt;=AX$2)),
  $H231 * (1 + Assumptions!$C$7) ^ INT(((YEAR(AX$2)-YEAR($F231))*12 + MONTH(AX$2)-MONTH($F231)) / 12),
  0)</f>
        <v/>
      </c>
      <c r="AY231" s="299">
        <f>IF(AND($F231&lt;=AY$2, OR($G231="",$G231&gt;=AY$2)),
  $H231 * (1 + Assumptions!$C$7) ^ INT(((YEAR(AY$2)-YEAR($F231))*12 + MONTH(AY$2)-MONTH($F231)) / 12),
  0)</f>
        <v/>
      </c>
      <c r="AZ231" s="299">
        <f>IF(AND($F231&lt;=AZ$2, OR($G231="",$G231&gt;=AZ$2)),
  $H231 * (1 + Assumptions!$C$7) ^ INT(((YEAR(AZ$2)-YEAR($F231))*12 + MONTH(AZ$2)-MONTH($F231)) / 12),
  0)</f>
        <v/>
      </c>
      <c r="BA231" s="299">
        <f>IF(AND($F231&lt;=BA$2, OR($G231="",$G231&gt;=BA$2)),
  $H231 * (1 + Assumptions!$C$7) ^ INT(((YEAR(BA$2)-YEAR($F231))*12 + MONTH(BA$2)-MONTH($F231)) / 12),
  0)</f>
        <v/>
      </c>
      <c r="BB231" s="299">
        <f>IF(AND($F231&lt;=BB$2, OR($G231="",$G231&gt;=BB$2)),
  $H231 * (1 + Assumptions!$C$7) ^ INT(((YEAR(BB$2)-YEAR($F231))*12 + MONTH(BB$2)-MONTH($F231)) / 12),
  0)</f>
        <v/>
      </c>
      <c r="BC231" s="299">
        <f>IF(AND($F231&lt;=BC$2, OR($G231="",$G231&gt;=BC$2)),
  $H231 * (1 + Assumptions!$C$7) ^ INT(((YEAR(BC$2)-YEAR($F231))*12 + MONTH(BC$2)-MONTH($F231)) / 12),
  0)</f>
        <v/>
      </c>
      <c r="BD231" s="299">
        <f>IF(AND($F231&lt;=BD$2, OR($G231="",$G231&gt;=BD$2)),
  $H231 * (1 + Assumptions!$C$7) ^ INT(((YEAR(BD$2)-YEAR($F231))*12 + MONTH(BD$2)-MONTH($F231)) / 12),
  0)</f>
        <v/>
      </c>
      <c r="BE231" s="299">
        <f>IF(AND($F231&lt;=BE$2, OR($G231="",$G231&gt;=BE$2)),
  $H231 * (1 + Assumptions!$C$7) ^ INT(((YEAR(BE$2)-YEAR($F231))*12 + MONTH(BE$2)-MONTH($F231)) / 12),
  0)</f>
        <v/>
      </c>
      <c r="BF231" s="299">
        <f>IF(AND($F231&lt;=BF$2, OR($G231="",$G231&gt;=BF$2)),
  $H231 * (1 + Assumptions!$C$7) ^ INT(((YEAR(BF$2)-YEAR($F231))*12 + MONTH(BF$2)-MONTH($F231)) / 12),
  0)</f>
        <v/>
      </c>
      <c r="BG231" s="299">
        <f>IF(AND($F231&lt;=BG$2, OR($G231="",$G231&gt;=BG$2)),
  $H231 * (1 + Assumptions!$C$7) ^ INT(((YEAR(BG$2)-YEAR($F231))*12 + MONTH(BG$2)-MONTH($F231)) / 12),
  0)</f>
        <v/>
      </c>
      <c r="BH231" s="299">
        <f>IF(AND($F231&lt;=BH$2, OR($G231="",$G231&gt;=BH$2)),
  $H231 * (1 + Assumptions!$C$7) ^ INT(((YEAR(BH$2)-YEAR($F231))*12 + MONTH(BH$2)-MONTH($F231)) / 12),
  0)</f>
        <v/>
      </c>
      <c r="BI231" s="299">
        <f>IF(AND($F231&lt;=BI$2, OR($G231="",$G231&gt;=BI$2)),
  $H231 * (1 + Assumptions!$C$7) ^ INT(((YEAR(BI$2)-YEAR($F231))*12 + MONTH(BI$2)-MONTH($F231)) / 12),
  0)</f>
        <v/>
      </c>
      <c r="BJ231" s="299">
        <f>IF(AND($F231&lt;=BJ$2, OR($G231="",$G231&gt;=BJ$2)),
  $H231 * (1 + Assumptions!$C$7) ^ INT(((YEAR(BJ$2)-YEAR($F231))*12 + MONTH(BJ$2)-MONTH($F231)) / 12),
  0)</f>
        <v/>
      </c>
      <c r="BK231" s="299">
        <f>IF(AND($F231&lt;=BK$2, OR($G231="",$G231&gt;=BK$2)),
  $H231 * (1 + Assumptions!$C$7) ^ INT(((YEAR(BK$2)-YEAR($F231))*12 + MONTH(BK$2)-MONTH($F231)) / 12),
  0)</f>
        <v/>
      </c>
      <c r="BL231" s="299">
        <f>IF(AND($F231&lt;=BL$2, OR($G231="",$G231&gt;=BL$2)),
  $H231 * (1 + Assumptions!$C$7) ^ INT(((YEAR(BL$2)-YEAR($F231))*12 + MONTH(BL$2)-MONTH($F231)) / 12),
  0)</f>
        <v/>
      </c>
      <c r="BM231" s="299">
        <f>IF(AND($F231&lt;=BM$2, OR($G231="",$G231&gt;=BM$2)),
  $H231 * (1 + Assumptions!$C$7) ^ INT(((YEAR(BM$2)-YEAR($F231))*12 + MONTH(BM$2)-MONTH($F231)) / 12),
  0)</f>
        <v/>
      </c>
      <c r="BN231" s="299">
        <f>IF(AND($F231&lt;=BN$2, OR($G231="",$G231&gt;=BN$2)),
  $H231 * (1 + Assumptions!$C$7) ^ INT(((YEAR(BN$2)-YEAR($F231))*12 + MONTH(BN$2)-MONTH($F231)) / 12),
  0)</f>
        <v/>
      </c>
      <c r="BO231" s="299">
        <f>IF(AND($F231&lt;=BO$2, OR($G231="",$G231&gt;=BO$2)),
  $H231 * (1 + Assumptions!$C$7) ^ INT(((YEAR(BO$2)-YEAR($F231))*12 + MONTH(BO$2)-MONTH($F231)) / 12),
  0)</f>
        <v/>
      </c>
      <c r="BP231" s="299">
        <f>IF(AND($F231&lt;=BP$2, OR($G231="",$G231&gt;=BP$2)),
  $H231 * (1 + Assumptions!$C$7) ^ INT(((YEAR(BP$2)-YEAR($F231))*12 + MONTH(BP$2)-MONTH($F231)) / 12),
  0)</f>
        <v/>
      </c>
      <c r="BQ231" s="31" t="n"/>
      <c r="BR231" s="31" t="n"/>
      <c r="BS231" s="31" t="n"/>
      <c r="BT231" s="31" t="n"/>
    </row>
    <row r="232" ht="15.75" customHeight="1" s="349">
      <c r="A232" s="321" t="n">
        <v>227</v>
      </c>
      <c r="B232" s="285" t="inlineStr">
        <is>
          <t>New hire</t>
        </is>
      </c>
      <c r="C232" s="317" t="inlineStr">
        <is>
          <t>R&amp;D</t>
        </is>
      </c>
      <c r="D232" s="317" t="inlineStr">
        <is>
          <t>R&amp;D Engineer</t>
        </is>
      </c>
      <c r="E232" s="297" t="inlineStr">
        <is>
          <t>Planned</t>
        </is>
      </c>
      <c r="F232" s="318">
        <f>IF(Assumptions!$D$82=2,DATE(2029,1,1),DATE(2035,1,1))</f>
        <v/>
      </c>
      <c r="G232" s="318" t="n"/>
      <c r="H232" s="288" t="n">
        <v>8000</v>
      </c>
      <c r="I232" s="299">
        <f>IF(AND($F232&lt;=I$2, OR($G232="",$G232&gt;=I$2)),
  $H232 * (1 + Assumptions!$C$7) ^ INT(((YEAR(I$2)-YEAR($F232))*12 + MONTH(I$2)-MONTH($F232)) / 12),
  0)</f>
        <v/>
      </c>
      <c r="J232" s="299">
        <f>IF(AND($F232&lt;=J$2, OR($G232="",$G232&gt;=J$2)),
  $H232 * (1 + Assumptions!$C$7) ^ INT(((YEAR(J$2)-YEAR($F232))*12 + MONTH(J$2)-MONTH($F232)) / 12),
  0)</f>
        <v/>
      </c>
      <c r="K232" s="299">
        <f>IF(AND($F232&lt;=K$2, OR($G232="",$G232&gt;=K$2)),
  $H232 * (1 + Assumptions!$C$7) ^ INT(((YEAR(K$2)-YEAR($F232))*12 + MONTH(K$2)-MONTH($F232)) / 12),
  0)</f>
        <v/>
      </c>
      <c r="L232" s="299">
        <f>IF(AND($F232&lt;=L$2, OR($G232="",$G232&gt;=L$2)),
  $H232 * (1 + Assumptions!$C$7) ^ INT(((YEAR(L$2)-YEAR($F232))*12 + MONTH(L$2)-MONTH($F232)) / 12),
  0)</f>
        <v/>
      </c>
      <c r="M232" s="299">
        <f>IF(AND($F232&lt;=M$2, OR($G232="",$G232&gt;=M$2)),
  $H232 * (1 + Assumptions!$C$7) ^ INT(((YEAR(M$2)-YEAR($F232))*12 + MONTH(M$2)-MONTH($F232)) / 12),
  0)</f>
        <v/>
      </c>
      <c r="N232" s="299">
        <f>IF(AND($F232&lt;=N$2, OR($G232="",$G232&gt;=N$2)),
  $H232 * (1 + Assumptions!$C$7) ^ INT(((YEAR(N$2)-YEAR($F232))*12 + MONTH(N$2)-MONTH($F232)) / 12),
  0)</f>
        <v/>
      </c>
      <c r="O232" s="299">
        <f>IF(AND($F232&lt;=O$2, OR($G232="",$G232&gt;=O$2)),
  $H232 * (1 + Assumptions!$C$7) ^ INT(((YEAR(O$2)-YEAR($F232))*12 + MONTH(O$2)-MONTH($F232)) / 12),
  0)</f>
        <v/>
      </c>
      <c r="P232" s="299">
        <f>IF(AND($F232&lt;=P$2, OR($G232="",$G232&gt;=P$2)),
  $H232 * (1 + Assumptions!$C$7) ^ INT(((YEAR(P$2)-YEAR($F232))*12 + MONTH(P$2)-MONTH($F232)) / 12),
  0)</f>
        <v/>
      </c>
      <c r="Q232" s="299">
        <f>IF(AND($F232&lt;=Q$2, OR($G232="",$G232&gt;=Q$2)),
  $H232 * (1 + Assumptions!$C$7) ^ INT(((YEAR(Q$2)-YEAR($F232))*12 + MONTH(Q$2)-MONTH($F232)) / 12),
  0)</f>
        <v/>
      </c>
      <c r="R232" s="299">
        <f>IF(AND($F232&lt;=R$2, OR($G232="",$G232&gt;=R$2)),
  $H232 * (1 + Assumptions!$C$7) ^ INT(((YEAR(R$2)-YEAR($F232))*12 + MONTH(R$2)-MONTH($F232)) / 12),
  0)</f>
        <v/>
      </c>
      <c r="S232" s="299">
        <f>IF(AND($F232&lt;=S$2, OR($G232="",$G232&gt;=S$2)),
  $H232 * (1 + Assumptions!$C$7) ^ INT(((YEAR(S$2)-YEAR($F232))*12 + MONTH(S$2)-MONTH($F232)) / 12),
  0)</f>
        <v/>
      </c>
      <c r="T232" s="299">
        <f>IF(AND($F232&lt;=T$2, OR($G232="",$G232&gt;=T$2)),
  $H232 * (1 + Assumptions!$C$7) ^ INT(((YEAR(T$2)-YEAR($F232))*12 + MONTH(T$2)-MONTH($F232)) / 12),
  0)</f>
        <v/>
      </c>
      <c r="U232" s="299">
        <f>IF(AND($F232&lt;=U$2, OR($G232="",$G232&gt;=U$2)),
  $H232 * (1 + Assumptions!$C$7) ^ INT(((YEAR(U$2)-YEAR($F232))*12 + MONTH(U$2)-MONTH($F232)) / 12),
  0)</f>
        <v/>
      </c>
      <c r="V232" s="299">
        <f>IF(AND($F232&lt;=V$2, OR($G232="",$G232&gt;=V$2)),
  $H232 * (1 + Assumptions!$C$7) ^ INT(((YEAR(V$2)-YEAR($F232))*12 + MONTH(V$2)-MONTH($F232)) / 12),
  0)</f>
        <v/>
      </c>
      <c r="W232" s="299">
        <f>IF(AND($F232&lt;=W$2, OR($G232="",$G232&gt;=W$2)),
  $H232 * (1 + Assumptions!$C$7) ^ INT(((YEAR(W$2)-YEAR($F232))*12 + MONTH(W$2)-MONTH($F232)) / 12),
  0)</f>
        <v/>
      </c>
      <c r="X232" s="299">
        <f>IF(AND($F232&lt;=X$2, OR($G232="",$G232&gt;=X$2)),
  $H232 * (1 + Assumptions!$C$7) ^ INT(((YEAR(X$2)-YEAR($F232))*12 + MONTH(X$2)-MONTH($F232)) / 12),
  0)</f>
        <v/>
      </c>
      <c r="Y232" s="299">
        <f>IF(AND($F232&lt;=Y$2, OR($G232="",$G232&gt;=Y$2)),
  $H232 * (1 + Assumptions!$C$7) ^ INT(((YEAR(Y$2)-YEAR($F232))*12 + MONTH(Y$2)-MONTH($F232)) / 12),
  0)</f>
        <v/>
      </c>
      <c r="Z232" s="299">
        <f>IF(AND($F232&lt;=Z$2, OR($G232="",$G232&gt;=Z$2)),
  $H232 * (1 + Assumptions!$C$7) ^ INT(((YEAR(Z$2)-YEAR($F232))*12 + MONTH(Z$2)-MONTH($F232)) / 12),
  0)</f>
        <v/>
      </c>
      <c r="AA232" s="299">
        <f>IF(AND($F232&lt;=AA$2, OR($G232="",$G232&gt;=AA$2)),
  $H232 * (1 + Assumptions!$C$7) ^ INT(((YEAR(AA$2)-YEAR($F232))*12 + MONTH(AA$2)-MONTH($F232)) / 12),
  0)</f>
        <v/>
      </c>
      <c r="AB232" s="299">
        <f>IF(AND($F232&lt;=AB$2, OR($G232="",$G232&gt;=AB$2)),
  $H232 * (1 + Assumptions!$C$7) ^ INT(((YEAR(AB$2)-YEAR($F232))*12 + MONTH(AB$2)-MONTH($F232)) / 12),
  0)</f>
        <v/>
      </c>
      <c r="AC232" s="299">
        <f>IF(AND($F232&lt;=AC$2, OR($G232="",$G232&gt;=AC$2)),
  $H232 * (1 + Assumptions!$C$7) ^ INT(((YEAR(AC$2)-YEAR($F232))*12 + MONTH(AC$2)-MONTH($F232)) / 12),
  0)</f>
        <v/>
      </c>
      <c r="AD232" s="299">
        <f>IF(AND($F232&lt;=AD$2, OR($G232="",$G232&gt;=AD$2)),
  $H232 * (1 + Assumptions!$C$7) ^ INT(((YEAR(AD$2)-YEAR($F232))*12 + MONTH(AD$2)-MONTH($F232)) / 12),
  0)</f>
        <v/>
      </c>
      <c r="AE232" s="299">
        <f>IF(AND($F232&lt;=AE$2, OR($G232="",$G232&gt;=AE$2)),
  $H232 * (1 + Assumptions!$C$7) ^ INT(((YEAR(AE$2)-YEAR($F232))*12 + MONTH(AE$2)-MONTH($F232)) / 12),
  0)</f>
        <v/>
      </c>
      <c r="AF232" s="299">
        <f>IF(AND($F232&lt;=AF$2, OR($G232="",$G232&gt;=AF$2)),
  $H232 * (1 + Assumptions!$C$7) ^ INT(((YEAR(AF$2)-YEAR($F232))*12 + MONTH(AF$2)-MONTH($F232)) / 12),
  0)</f>
        <v/>
      </c>
      <c r="AG232" s="299">
        <f>IF(AND($F232&lt;=AG$2, OR($G232="",$G232&gt;=AG$2)),
  $H232 * (1 + Assumptions!$C$7) ^ INT(((YEAR(AG$2)-YEAR($F232))*12 + MONTH(AG$2)-MONTH($F232)) / 12),
  0)</f>
        <v/>
      </c>
      <c r="AH232" s="299">
        <f>IF(AND($F232&lt;=AH$2, OR($G232="",$G232&gt;=AH$2)),
  $H232 * (1 + Assumptions!$C$7) ^ INT(((YEAR(AH$2)-YEAR($F232))*12 + MONTH(AH$2)-MONTH($F232)) / 12),
  0)</f>
        <v/>
      </c>
      <c r="AI232" s="299">
        <f>IF(AND($F232&lt;=AI$2, OR($G232="",$G232&gt;=AI$2)),
  $H232 * (1 + Assumptions!$C$7) ^ INT(((YEAR(AI$2)-YEAR($F232))*12 + MONTH(AI$2)-MONTH($F232)) / 12),
  0)</f>
        <v/>
      </c>
      <c r="AJ232" s="299">
        <f>IF(AND($F232&lt;=AJ$2, OR($G232="",$G232&gt;=AJ$2)),
  $H232 * (1 + Assumptions!$C$7) ^ INT(((YEAR(AJ$2)-YEAR($F232))*12 + MONTH(AJ$2)-MONTH($F232)) / 12),
  0)</f>
        <v/>
      </c>
      <c r="AK232" s="299">
        <f>IF(AND($F232&lt;=AK$2, OR($G232="",$G232&gt;=AK$2)),
  $H232 * (1 + Assumptions!$C$7) ^ INT(((YEAR(AK$2)-YEAR($F232))*12 + MONTH(AK$2)-MONTH($F232)) / 12),
  0)</f>
        <v/>
      </c>
      <c r="AL232" s="299">
        <f>IF(AND($F232&lt;=AL$2, OR($G232="",$G232&gt;=AL$2)),
  $H232 * (1 + Assumptions!$C$7) ^ INT(((YEAR(AL$2)-YEAR($F232))*12 + MONTH(AL$2)-MONTH($F232)) / 12),
  0)</f>
        <v/>
      </c>
      <c r="AM232" s="299">
        <f>IF(AND($F232&lt;=AM$2, OR($G232="",$G232&gt;=AM$2)),
  $H232 * (1 + Assumptions!$C$7) ^ INT(((YEAR(AM$2)-YEAR($F232))*12 + MONTH(AM$2)-MONTH($F232)) / 12),
  0)</f>
        <v/>
      </c>
      <c r="AN232" s="299">
        <f>IF(AND($F232&lt;=AN$2, OR($G232="",$G232&gt;=AN$2)),
  $H232 * (1 + Assumptions!$C$7) ^ INT(((YEAR(AN$2)-YEAR($F232))*12 + MONTH(AN$2)-MONTH($F232)) / 12),
  0)</f>
        <v/>
      </c>
      <c r="AO232" s="299">
        <f>IF(AND($F232&lt;=AO$2, OR($G232="",$G232&gt;=AO$2)),
  $H232 * (1 + Assumptions!$C$7) ^ INT(((YEAR(AO$2)-YEAR($F232))*12 + MONTH(AO$2)-MONTH($F232)) / 12),
  0)</f>
        <v/>
      </c>
      <c r="AP232" s="299">
        <f>IF(AND($F232&lt;=AP$2, OR($G232="",$G232&gt;=AP$2)),
  $H232 * (1 + Assumptions!$C$7) ^ INT(((YEAR(AP$2)-YEAR($F232))*12 + MONTH(AP$2)-MONTH($F232)) / 12),
  0)</f>
        <v/>
      </c>
      <c r="AQ232" s="299">
        <f>IF(AND($F232&lt;=AQ$2, OR($G232="",$G232&gt;=AQ$2)),
  $H232 * (1 + Assumptions!$C$7) ^ INT(((YEAR(AQ$2)-YEAR($F232))*12 + MONTH(AQ$2)-MONTH($F232)) / 12),
  0)</f>
        <v/>
      </c>
      <c r="AR232" s="299">
        <f>IF(AND($F232&lt;=AR$2, OR($G232="",$G232&gt;=AR$2)),
  $H232 * (1 + Assumptions!$C$7) ^ INT(((YEAR(AR$2)-YEAR($F232))*12 + MONTH(AR$2)-MONTH($F232)) / 12),
  0)</f>
        <v/>
      </c>
      <c r="AS232" s="299">
        <f>IF(AND($F232&lt;=AS$2, OR($G232="",$G232&gt;=AS$2)),
  $H232 * (1 + Assumptions!$C$7) ^ INT(((YEAR(AS$2)-YEAR($F232))*12 + MONTH(AS$2)-MONTH($F232)) / 12),
  0)</f>
        <v/>
      </c>
      <c r="AT232" s="299">
        <f>IF(AND($F232&lt;=AT$2, OR($G232="",$G232&gt;=AT$2)),
  $H232 * (1 + Assumptions!$C$7) ^ INT(((YEAR(AT$2)-YEAR($F232))*12 + MONTH(AT$2)-MONTH($F232)) / 12),
  0)</f>
        <v/>
      </c>
      <c r="AU232" s="299">
        <f>IF(AND($F232&lt;=AU$2, OR($G232="",$G232&gt;=AU$2)),
  $H232 * (1 + Assumptions!$C$7) ^ INT(((YEAR(AU$2)-YEAR($F232))*12 + MONTH(AU$2)-MONTH($F232)) / 12),
  0)</f>
        <v/>
      </c>
      <c r="AV232" s="299">
        <f>IF(AND($F232&lt;=AV$2, OR($G232="",$G232&gt;=AV$2)),
  $H232 * (1 + Assumptions!$C$7) ^ INT(((YEAR(AV$2)-YEAR($F232))*12 + MONTH(AV$2)-MONTH($F232)) / 12),
  0)</f>
        <v/>
      </c>
      <c r="AW232" s="299">
        <f>IF(AND($F232&lt;=AW$2, OR($G232="",$G232&gt;=AW$2)),
  $H232 * (1 + Assumptions!$C$7) ^ INT(((YEAR(AW$2)-YEAR($F232))*12 + MONTH(AW$2)-MONTH($F232)) / 12),
  0)</f>
        <v/>
      </c>
      <c r="AX232" s="299">
        <f>IF(AND($F232&lt;=AX$2, OR($G232="",$G232&gt;=AX$2)),
  $H232 * (1 + Assumptions!$C$7) ^ INT(((YEAR(AX$2)-YEAR($F232))*12 + MONTH(AX$2)-MONTH($F232)) / 12),
  0)</f>
        <v/>
      </c>
      <c r="AY232" s="299">
        <f>IF(AND($F232&lt;=AY$2, OR($G232="",$G232&gt;=AY$2)),
  $H232 * (1 + Assumptions!$C$7) ^ INT(((YEAR(AY$2)-YEAR($F232))*12 + MONTH(AY$2)-MONTH($F232)) / 12),
  0)</f>
        <v/>
      </c>
      <c r="AZ232" s="299">
        <f>IF(AND($F232&lt;=AZ$2, OR($G232="",$G232&gt;=AZ$2)),
  $H232 * (1 + Assumptions!$C$7) ^ INT(((YEAR(AZ$2)-YEAR($F232))*12 + MONTH(AZ$2)-MONTH($F232)) / 12),
  0)</f>
        <v/>
      </c>
      <c r="BA232" s="299">
        <f>IF(AND($F232&lt;=BA$2, OR($G232="",$G232&gt;=BA$2)),
  $H232 * (1 + Assumptions!$C$7) ^ INT(((YEAR(BA$2)-YEAR($F232))*12 + MONTH(BA$2)-MONTH($F232)) / 12),
  0)</f>
        <v/>
      </c>
      <c r="BB232" s="299">
        <f>IF(AND($F232&lt;=BB$2, OR($G232="",$G232&gt;=BB$2)),
  $H232 * (1 + Assumptions!$C$7) ^ INT(((YEAR(BB$2)-YEAR($F232))*12 + MONTH(BB$2)-MONTH($F232)) / 12),
  0)</f>
        <v/>
      </c>
      <c r="BC232" s="299">
        <f>IF(AND($F232&lt;=BC$2, OR($G232="",$G232&gt;=BC$2)),
  $H232 * (1 + Assumptions!$C$7) ^ INT(((YEAR(BC$2)-YEAR($F232))*12 + MONTH(BC$2)-MONTH($F232)) / 12),
  0)</f>
        <v/>
      </c>
      <c r="BD232" s="299">
        <f>IF(AND($F232&lt;=BD$2, OR($G232="",$G232&gt;=BD$2)),
  $H232 * (1 + Assumptions!$C$7) ^ INT(((YEAR(BD$2)-YEAR($F232))*12 + MONTH(BD$2)-MONTH($F232)) / 12),
  0)</f>
        <v/>
      </c>
      <c r="BE232" s="299">
        <f>IF(AND($F232&lt;=BE$2, OR($G232="",$G232&gt;=BE$2)),
  $H232 * (1 + Assumptions!$C$7) ^ INT(((YEAR(BE$2)-YEAR($F232))*12 + MONTH(BE$2)-MONTH($F232)) / 12),
  0)</f>
        <v/>
      </c>
      <c r="BF232" s="299">
        <f>IF(AND($F232&lt;=BF$2, OR($G232="",$G232&gt;=BF$2)),
  $H232 * (1 + Assumptions!$C$7) ^ INT(((YEAR(BF$2)-YEAR($F232))*12 + MONTH(BF$2)-MONTH($F232)) / 12),
  0)</f>
        <v/>
      </c>
      <c r="BG232" s="299">
        <f>IF(AND($F232&lt;=BG$2, OR($G232="",$G232&gt;=BG$2)),
  $H232 * (1 + Assumptions!$C$7) ^ INT(((YEAR(BG$2)-YEAR($F232))*12 + MONTH(BG$2)-MONTH($F232)) / 12),
  0)</f>
        <v/>
      </c>
      <c r="BH232" s="299">
        <f>IF(AND($F232&lt;=BH$2, OR($G232="",$G232&gt;=BH$2)),
  $H232 * (1 + Assumptions!$C$7) ^ INT(((YEAR(BH$2)-YEAR($F232))*12 + MONTH(BH$2)-MONTH($F232)) / 12),
  0)</f>
        <v/>
      </c>
      <c r="BI232" s="299">
        <f>IF(AND($F232&lt;=BI$2, OR($G232="",$G232&gt;=BI$2)),
  $H232 * (1 + Assumptions!$C$7) ^ INT(((YEAR(BI$2)-YEAR($F232))*12 + MONTH(BI$2)-MONTH($F232)) / 12),
  0)</f>
        <v/>
      </c>
      <c r="BJ232" s="299">
        <f>IF(AND($F232&lt;=BJ$2, OR($G232="",$G232&gt;=BJ$2)),
  $H232 * (1 + Assumptions!$C$7) ^ INT(((YEAR(BJ$2)-YEAR($F232))*12 + MONTH(BJ$2)-MONTH($F232)) / 12),
  0)</f>
        <v/>
      </c>
      <c r="BK232" s="299">
        <f>IF(AND($F232&lt;=BK$2, OR($G232="",$G232&gt;=BK$2)),
  $H232 * (1 + Assumptions!$C$7) ^ INT(((YEAR(BK$2)-YEAR($F232))*12 + MONTH(BK$2)-MONTH($F232)) / 12),
  0)</f>
        <v/>
      </c>
      <c r="BL232" s="299">
        <f>IF(AND($F232&lt;=BL$2, OR($G232="",$G232&gt;=BL$2)),
  $H232 * (1 + Assumptions!$C$7) ^ INT(((YEAR(BL$2)-YEAR($F232))*12 + MONTH(BL$2)-MONTH($F232)) / 12),
  0)</f>
        <v/>
      </c>
      <c r="BM232" s="299">
        <f>IF(AND($F232&lt;=BM$2, OR($G232="",$G232&gt;=BM$2)),
  $H232 * (1 + Assumptions!$C$7) ^ INT(((YEAR(BM$2)-YEAR($F232))*12 + MONTH(BM$2)-MONTH($F232)) / 12),
  0)</f>
        <v/>
      </c>
      <c r="BN232" s="299">
        <f>IF(AND($F232&lt;=BN$2, OR($G232="",$G232&gt;=BN$2)),
  $H232 * (1 + Assumptions!$C$7) ^ INT(((YEAR(BN$2)-YEAR($F232))*12 + MONTH(BN$2)-MONTH($F232)) / 12),
  0)</f>
        <v/>
      </c>
      <c r="BO232" s="299">
        <f>IF(AND($F232&lt;=BO$2, OR($G232="",$G232&gt;=BO$2)),
  $H232 * (1 + Assumptions!$C$7) ^ INT(((YEAR(BO$2)-YEAR($F232))*12 + MONTH(BO$2)-MONTH($F232)) / 12),
  0)</f>
        <v/>
      </c>
      <c r="BP232" s="299">
        <f>IF(AND($F232&lt;=BP$2, OR($G232="",$G232&gt;=BP$2)),
  $H232 * (1 + Assumptions!$C$7) ^ INT(((YEAR(BP$2)-YEAR($F232))*12 + MONTH(BP$2)-MONTH($F232)) / 12),
  0)</f>
        <v/>
      </c>
      <c r="BQ232" s="31" t="n"/>
      <c r="BR232" s="31" t="n"/>
      <c r="BS232" s="31" t="n"/>
      <c r="BT232" s="31" t="n"/>
    </row>
    <row r="233" ht="15.75" customHeight="1" s="349">
      <c r="A233" s="321" t="n">
        <v>228</v>
      </c>
      <c r="B233" s="285" t="inlineStr">
        <is>
          <t>New hire</t>
        </is>
      </c>
      <c r="C233" s="317" t="inlineStr">
        <is>
          <t>R&amp;D</t>
        </is>
      </c>
      <c r="D233" s="317" t="inlineStr">
        <is>
          <t>R&amp;D Engineer</t>
        </is>
      </c>
      <c r="E233" s="297" t="inlineStr">
        <is>
          <t>Planned</t>
        </is>
      </c>
      <c r="F233" s="318">
        <f>IF(Assumptions!$D$82=2,DATE(2029,1,1),DATE(2035,1,1))</f>
        <v/>
      </c>
      <c r="G233" s="318" t="n"/>
      <c r="H233" s="288" t="n">
        <v>8000</v>
      </c>
      <c r="I233" s="299">
        <f>IF(AND($F233&lt;=I$2, OR($G233="",$G233&gt;=I$2)),
  $H233 * (1 + Assumptions!$C$7) ^ INT(((YEAR(I$2)-YEAR($F233))*12 + MONTH(I$2)-MONTH($F233)) / 12),
  0)</f>
        <v/>
      </c>
      <c r="J233" s="299">
        <f>IF(AND($F233&lt;=J$2, OR($G233="",$G233&gt;=J$2)),
  $H233 * (1 + Assumptions!$C$7) ^ INT(((YEAR(J$2)-YEAR($F233))*12 + MONTH(J$2)-MONTH($F233)) / 12),
  0)</f>
        <v/>
      </c>
      <c r="K233" s="299">
        <f>IF(AND($F233&lt;=K$2, OR($G233="",$G233&gt;=K$2)),
  $H233 * (1 + Assumptions!$C$7) ^ INT(((YEAR(K$2)-YEAR($F233))*12 + MONTH(K$2)-MONTH($F233)) / 12),
  0)</f>
        <v/>
      </c>
      <c r="L233" s="299">
        <f>IF(AND($F233&lt;=L$2, OR($G233="",$G233&gt;=L$2)),
  $H233 * (1 + Assumptions!$C$7) ^ INT(((YEAR(L$2)-YEAR($F233))*12 + MONTH(L$2)-MONTH($F233)) / 12),
  0)</f>
        <v/>
      </c>
      <c r="M233" s="299">
        <f>IF(AND($F233&lt;=M$2, OR($G233="",$G233&gt;=M$2)),
  $H233 * (1 + Assumptions!$C$7) ^ INT(((YEAR(M$2)-YEAR($F233))*12 + MONTH(M$2)-MONTH($F233)) / 12),
  0)</f>
        <v/>
      </c>
      <c r="N233" s="299">
        <f>IF(AND($F233&lt;=N$2, OR($G233="",$G233&gt;=N$2)),
  $H233 * (1 + Assumptions!$C$7) ^ INT(((YEAR(N$2)-YEAR($F233))*12 + MONTH(N$2)-MONTH($F233)) / 12),
  0)</f>
        <v/>
      </c>
      <c r="O233" s="299">
        <f>IF(AND($F233&lt;=O$2, OR($G233="",$G233&gt;=O$2)),
  $H233 * (1 + Assumptions!$C$7) ^ INT(((YEAR(O$2)-YEAR($F233))*12 + MONTH(O$2)-MONTH($F233)) / 12),
  0)</f>
        <v/>
      </c>
      <c r="P233" s="299">
        <f>IF(AND($F233&lt;=P$2, OR($G233="",$G233&gt;=P$2)),
  $H233 * (1 + Assumptions!$C$7) ^ INT(((YEAR(P$2)-YEAR($F233))*12 + MONTH(P$2)-MONTH($F233)) / 12),
  0)</f>
        <v/>
      </c>
      <c r="Q233" s="299">
        <f>IF(AND($F233&lt;=Q$2, OR($G233="",$G233&gt;=Q$2)),
  $H233 * (1 + Assumptions!$C$7) ^ INT(((YEAR(Q$2)-YEAR($F233))*12 + MONTH(Q$2)-MONTH($F233)) / 12),
  0)</f>
        <v/>
      </c>
      <c r="R233" s="299">
        <f>IF(AND($F233&lt;=R$2, OR($G233="",$G233&gt;=R$2)),
  $H233 * (1 + Assumptions!$C$7) ^ INT(((YEAR(R$2)-YEAR($F233))*12 + MONTH(R$2)-MONTH($F233)) / 12),
  0)</f>
        <v/>
      </c>
      <c r="S233" s="299">
        <f>IF(AND($F233&lt;=S$2, OR($G233="",$G233&gt;=S$2)),
  $H233 * (1 + Assumptions!$C$7) ^ INT(((YEAR(S$2)-YEAR($F233))*12 + MONTH(S$2)-MONTH($F233)) / 12),
  0)</f>
        <v/>
      </c>
      <c r="T233" s="299">
        <f>IF(AND($F233&lt;=T$2, OR($G233="",$G233&gt;=T$2)),
  $H233 * (1 + Assumptions!$C$7) ^ INT(((YEAR(T$2)-YEAR($F233))*12 + MONTH(T$2)-MONTH($F233)) / 12),
  0)</f>
        <v/>
      </c>
      <c r="U233" s="299">
        <f>IF(AND($F233&lt;=U$2, OR($G233="",$G233&gt;=U$2)),
  $H233 * (1 + Assumptions!$C$7) ^ INT(((YEAR(U$2)-YEAR($F233))*12 + MONTH(U$2)-MONTH($F233)) / 12),
  0)</f>
        <v/>
      </c>
      <c r="V233" s="299">
        <f>IF(AND($F233&lt;=V$2, OR($G233="",$G233&gt;=V$2)),
  $H233 * (1 + Assumptions!$C$7) ^ INT(((YEAR(V$2)-YEAR($F233))*12 + MONTH(V$2)-MONTH($F233)) / 12),
  0)</f>
        <v/>
      </c>
      <c r="W233" s="299">
        <f>IF(AND($F233&lt;=W$2, OR($G233="",$G233&gt;=W$2)),
  $H233 * (1 + Assumptions!$C$7) ^ INT(((YEAR(W$2)-YEAR($F233))*12 + MONTH(W$2)-MONTH($F233)) / 12),
  0)</f>
        <v/>
      </c>
      <c r="X233" s="299">
        <f>IF(AND($F233&lt;=X$2, OR($G233="",$G233&gt;=X$2)),
  $H233 * (1 + Assumptions!$C$7) ^ INT(((YEAR(X$2)-YEAR($F233))*12 + MONTH(X$2)-MONTH($F233)) / 12),
  0)</f>
        <v/>
      </c>
      <c r="Y233" s="299">
        <f>IF(AND($F233&lt;=Y$2, OR($G233="",$G233&gt;=Y$2)),
  $H233 * (1 + Assumptions!$C$7) ^ INT(((YEAR(Y$2)-YEAR($F233))*12 + MONTH(Y$2)-MONTH($F233)) / 12),
  0)</f>
        <v/>
      </c>
      <c r="Z233" s="299">
        <f>IF(AND($F233&lt;=Z$2, OR($G233="",$G233&gt;=Z$2)),
  $H233 * (1 + Assumptions!$C$7) ^ INT(((YEAR(Z$2)-YEAR($F233))*12 + MONTH(Z$2)-MONTH($F233)) / 12),
  0)</f>
        <v/>
      </c>
      <c r="AA233" s="299">
        <f>IF(AND($F233&lt;=AA$2, OR($G233="",$G233&gt;=AA$2)),
  $H233 * (1 + Assumptions!$C$7) ^ INT(((YEAR(AA$2)-YEAR($F233))*12 + MONTH(AA$2)-MONTH($F233)) / 12),
  0)</f>
        <v/>
      </c>
      <c r="AB233" s="299">
        <f>IF(AND($F233&lt;=AB$2, OR($G233="",$G233&gt;=AB$2)),
  $H233 * (1 + Assumptions!$C$7) ^ INT(((YEAR(AB$2)-YEAR($F233))*12 + MONTH(AB$2)-MONTH($F233)) / 12),
  0)</f>
        <v/>
      </c>
      <c r="AC233" s="299">
        <f>IF(AND($F233&lt;=AC$2, OR($G233="",$G233&gt;=AC$2)),
  $H233 * (1 + Assumptions!$C$7) ^ INT(((YEAR(AC$2)-YEAR($F233))*12 + MONTH(AC$2)-MONTH($F233)) / 12),
  0)</f>
        <v/>
      </c>
      <c r="AD233" s="299">
        <f>IF(AND($F233&lt;=AD$2, OR($G233="",$G233&gt;=AD$2)),
  $H233 * (1 + Assumptions!$C$7) ^ INT(((YEAR(AD$2)-YEAR($F233))*12 + MONTH(AD$2)-MONTH($F233)) / 12),
  0)</f>
        <v/>
      </c>
      <c r="AE233" s="299">
        <f>IF(AND($F233&lt;=AE$2, OR($G233="",$G233&gt;=AE$2)),
  $H233 * (1 + Assumptions!$C$7) ^ INT(((YEAR(AE$2)-YEAR($F233))*12 + MONTH(AE$2)-MONTH($F233)) / 12),
  0)</f>
        <v/>
      </c>
      <c r="AF233" s="299">
        <f>IF(AND($F233&lt;=AF$2, OR($G233="",$G233&gt;=AF$2)),
  $H233 * (1 + Assumptions!$C$7) ^ INT(((YEAR(AF$2)-YEAR($F233))*12 + MONTH(AF$2)-MONTH($F233)) / 12),
  0)</f>
        <v/>
      </c>
      <c r="AG233" s="299">
        <f>IF(AND($F233&lt;=AG$2, OR($G233="",$G233&gt;=AG$2)),
  $H233 * (1 + Assumptions!$C$7) ^ INT(((YEAR(AG$2)-YEAR($F233))*12 + MONTH(AG$2)-MONTH($F233)) / 12),
  0)</f>
        <v/>
      </c>
      <c r="AH233" s="299">
        <f>IF(AND($F233&lt;=AH$2, OR($G233="",$G233&gt;=AH$2)),
  $H233 * (1 + Assumptions!$C$7) ^ INT(((YEAR(AH$2)-YEAR($F233))*12 + MONTH(AH$2)-MONTH($F233)) / 12),
  0)</f>
        <v/>
      </c>
      <c r="AI233" s="299">
        <f>IF(AND($F233&lt;=AI$2, OR($G233="",$G233&gt;=AI$2)),
  $H233 * (1 + Assumptions!$C$7) ^ INT(((YEAR(AI$2)-YEAR($F233))*12 + MONTH(AI$2)-MONTH($F233)) / 12),
  0)</f>
        <v/>
      </c>
      <c r="AJ233" s="299">
        <f>IF(AND($F233&lt;=AJ$2, OR($G233="",$G233&gt;=AJ$2)),
  $H233 * (1 + Assumptions!$C$7) ^ INT(((YEAR(AJ$2)-YEAR($F233))*12 + MONTH(AJ$2)-MONTH($F233)) / 12),
  0)</f>
        <v/>
      </c>
      <c r="AK233" s="299">
        <f>IF(AND($F233&lt;=AK$2, OR($G233="",$G233&gt;=AK$2)),
  $H233 * (1 + Assumptions!$C$7) ^ INT(((YEAR(AK$2)-YEAR($F233))*12 + MONTH(AK$2)-MONTH($F233)) / 12),
  0)</f>
        <v/>
      </c>
      <c r="AL233" s="299">
        <f>IF(AND($F233&lt;=AL$2, OR($G233="",$G233&gt;=AL$2)),
  $H233 * (1 + Assumptions!$C$7) ^ INT(((YEAR(AL$2)-YEAR($F233))*12 + MONTH(AL$2)-MONTH($F233)) / 12),
  0)</f>
        <v/>
      </c>
      <c r="AM233" s="299">
        <f>IF(AND($F233&lt;=AM$2, OR($G233="",$G233&gt;=AM$2)),
  $H233 * (1 + Assumptions!$C$7) ^ INT(((YEAR(AM$2)-YEAR($F233))*12 + MONTH(AM$2)-MONTH($F233)) / 12),
  0)</f>
        <v/>
      </c>
      <c r="AN233" s="299">
        <f>IF(AND($F233&lt;=AN$2, OR($G233="",$G233&gt;=AN$2)),
  $H233 * (1 + Assumptions!$C$7) ^ INT(((YEAR(AN$2)-YEAR($F233))*12 + MONTH(AN$2)-MONTH($F233)) / 12),
  0)</f>
        <v/>
      </c>
      <c r="AO233" s="299">
        <f>IF(AND($F233&lt;=AO$2, OR($G233="",$G233&gt;=AO$2)),
  $H233 * (1 + Assumptions!$C$7) ^ INT(((YEAR(AO$2)-YEAR($F233))*12 + MONTH(AO$2)-MONTH($F233)) / 12),
  0)</f>
        <v/>
      </c>
      <c r="AP233" s="299">
        <f>IF(AND($F233&lt;=AP$2, OR($G233="",$G233&gt;=AP$2)),
  $H233 * (1 + Assumptions!$C$7) ^ INT(((YEAR(AP$2)-YEAR($F233))*12 + MONTH(AP$2)-MONTH($F233)) / 12),
  0)</f>
        <v/>
      </c>
      <c r="AQ233" s="299">
        <f>IF(AND($F233&lt;=AQ$2, OR($G233="",$G233&gt;=AQ$2)),
  $H233 * (1 + Assumptions!$C$7) ^ INT(((YEAR(AQ$2)-YEAR($F233))*12 + MONTH(AQ$2)-MONTH($F233)) / 12),
  0)</f>
        <v/>
      </c>
      <c r="AR233" s="299">
        <f>IF(AND($F233&lt;=AR$2, OR($G233="",$G233&gt;=AR$2)),
  $H233 * (1 + Assumptions!$C$7) ^ INT(((YEAR(AR$2)-YEAR($F233))*12 + MONTH(AR$2)-MONTH($F233)) / 12),
  0)</f>
        <v/>
      </c>
      <c r="AS233" s="299">
        <f>IF(AND($F233&lt;=AS$2, OR($G233="",$G233&gt;=AS$2)),
  $H233 * (1 + Assumptions!$C$7) ^ INT(((YEAR(AS$2)-YEAR($F233))*12 + MONTH(AS$2)-MONTH($F233)) / 12),
  0)</f>
        <v/>
      </c>
      <c r="AT233" s="299">
        <f>IF(AND($F233&lt;=AT$2, OR($G233="",$G233&gt;=AT$2)),
  $H233 * (1 + Assumptions!$C$7) ^ INT(((YEAR(AT$2)-YEAR($F233))*12 + MONTH(AT$2)-MONTH($F233)) / 12),
  0)</f>
        <v/>
      </c>
      <c r="AU233" s="299">
        <f>IF(AND($F233&lt;=AU$2, OR($G233="",$G233&gt;=AU$2)),
  $H233 * (1 + Assumptions!$C$7) ^ INT(((YEAR(AU$2)-YEAR($F233))*12 + MONTH(AU$2)-MONTH($F233)) / 12),
  0)</f>
        <v/>
      </c>
      <c r="AV233" s="299">
        <f>IF(AND($F233&lt;=AV$2, OR($G233="",$G233&gt;=AV$2)),
  $H233 * (1 + Assumptions!$C$7) ^ INT(((YEAR(AV$2)-YEAR($F233))*12 + MONTH(AV$2)-MONTH($F233)) / 12),
  0)</f>
        <v/>
      </c>
      <c r="AW233" s="299">
        <f>IF(AND($F233&lt;=AW$2, OR($G233="",$G233&gt;=AW$2)),
  $H233 * (1 + Assumptions!$C$7) ^ INT(((YEAR(AW$2)-YEAR($F233))*12 + MONTH(AW$2)-MONTH($F233)) / 12),
  0)</f>
        <v/>
      </c>
      <c r="AX233" s="299">
        <f>IF(AND($F233&lt;=AX$2, OR($G233="",$G233&gt;=AX$2)),
  $H233 * (1 + Assumptions!$C$7) ^ INT(((YEAR(AX$2)-YEAR($F233))*12 + MONTH(AX$2)-MONTH($F233)) / 12),
  0)</f>
        <v/>
      </c>
      <c r="AY233" s="299">
        <f>IF(AND($F233&lt;=AY$2, OR($G233="",$G233&gt;=AY$2)),
  $H233 * (1 + Assumptions!$C$7) ^ INT(((YEAR(AY$2)-YEAR($F233))*12 + MONTH(AY$2)-MONTH($F233)) / 12),
  0)</f>
        <v/>
      </c>
      <c r="AZ233" s="299">
        <f>IF(AND($F233&lt;=AZ$2, OR($G233="",$G233&gt;=AZ$2)),
  $H233 * (1 + Assumptions!$C$7) ^ INT(((YEAR(AZ$2)-YEAR($F233))*12 + MONTH(AZ$2)-MONTH($F233)) / 12),
  0)</f>
        <v/>
      </c>
      <c r="BA233" s="299">
        <f>IF(AND($F233&lt;=BA$2, OR($G233="",$G233&gt;=BA$2)),
  $H233 * (1 + Assumptions!$C$7) ^ INT(((YEAR(BA$2)-YEAR($F233))*12 + MONTH(BA$2)-MONTH($F233)) / 12),
  0)</f>
        <v/>
      </c>
      <c r="BB233" s="299">
        <f>IF(AND($F233&lt;=BB$2, OR($G233="",$G233&gt;=BB$2)),
  $H233 * (1 + Assumptions!$C$7) ^ INT(((YEAR(BB$2)-YEAR($F233))*12 + MONTH(BB$2)-MONTH($F233)) / 12),
  0)</f>
        <v/>
      </c>
      <c r="BC233" s="299">
        <f>IF(AND($F233&lt;=BC$2, OR($G233="",$G233&gt;=BC$2)),
  $H233 * (1 + Assumptions!$C$7) ^ INT(((YEAR(BC$2)-YEAR($F233))*12 + MONTH(BC$2)-MONTH($F233)) / 12),
  0)</f>
        <v/>
      </c>
      <c r="BD233" s="299">
        <f>IF(AND($F233&lt;=BD$2, OR($G233="",$G233&gt;=BD$2)),
  $H233 * (1 + Assumptions!$C$7) ^ INT(((YEAR(BD$2)-YEAR($F233))*12 + MONTH(BD$2)-MONTH($F233)) / 12),
  0)</f>
        <v/>
      </c>
      <c r="BE233" s="299">
        <f>IF(AND($F233&lt;=BE$2, OR($G233="",$G233&gt;=BE$2)),
  $H233 * (1 + Assumptions!$C$7) ^ INT(((YEAR(BE$2)-YEAR($F233))*12 + MONTH(BE$2)-MONTH($F233)) / 12),
  0)</f>
        <v/>
      </c>
      <c r="BF233" s="299">
        <f>IF(AND($F233&lt;=BF$2, OR($G233="",$G233&gt;=BF$2)),
  $H233 * (1 + Assumptions!$C$7) ^ INT(((YEAR(BF$2)-YEAR($F233))*12 + MONTH(BF$2)-MONTH($F233)) / 12),
  0)</f>
        <v/>
      </c>
      <c r="BG233" s="299">
        <f>IF(AND($F233&lt;=BG$2, OR($G233="",$G233&gt;=BG$2)),
  $H233 * (1 + Assumptions!$C$7) ^ INT(((YEAR(BG$2)-YEAR($F233))*12 + MONTH(BG$2)-MONTH($F233)) / 12),
  0)</f>
        <v/>
      </c>
      <c r="BH233" s="299">
        <f>IF(AND($F233&lt;=BH$2, OR($G233="",$G233&gt;=BH$2)),
  $H233 * (1 + Assumptions!$C$7) ^ INT(((YEAR(BH$2)-YEAR($F233))*12 + MONTH(BH$2)-MONTH($F233)) / 12),
  0)</f>
        <v/>
      </c>
      <c r="BI233" s="299">
        <f>IF(AND($F233&lt;=BI$2, OR($G233="",$G233&gt;=BI$2)),
  $H233 * (1 + Assumptions!$C$7) ^ INT(((YEAR(BI$2)-YEAR($F233))*12 + MONTH(BI$2)-MONTH($F233)) / 12),
  0)</f>
        <v/>
      </c>
      <c r="BJ233" s="299">
        <f>IF(AND($F233&lt;=BJ$2, OR($G233="",$G233&gt;=BJ$2)),
  $H233 * (1 + Assumptions!$C$7) ^ INT(((YEAR(BJ$2)-YEAR($F233))*12 + MONTH(BJ$2)-MONTH($F233)) / 12),
  0)</f>
        <v/>
      </c>
      <c r="BK233" s="299">
        <f>IF(AND($F233&lt;=BK$2, OR($G233="",$G233&gt;=BK$2)),
  $H233 * (1 + Assumptions!$C$7) ^ INT(((YEAR(BK$2)-YEAR($F233))*12 + MONTH(BK$2)-MONTH($F233)) / 12),
  0)</f>
        <v/>
      </c>
      <c r="BL233" s="299">
        <f>IF(AND($F233&lt;=BL$2, OR($G233="",$G233&gt;=BL$2)),
  $H233 * (1 + Assumptions!$C$7) ^ INT(((YEAR(BL$2)-YEAR($F233))*12 + MONTH(BL$2)-MONTH($F233)) / 12),
  0)</f>
        <v/>
      </c>
      <c r="BM233" s="299">
        <f>IF(AND($F233&lt;=BM$2, OR($G233="",$G233&gt;=BM$2)),
  $H233 * (1 + Assumptions!$C$7) ^ INT(((YEAR(BM$2)-YEAR($F233))*12 + MONTH(BM$2)-MONTH($F233)) / 12),
  0)</f>
        <v/>
      </c>
      <c r="BN233" s="299">
        <f>IF(AND($F233&lt;=BN$2, OR($G233="",$G233&gt;=BN$2)),
  $H233 * (1 + Assumptions!$C$7) ^ INT(((YEAR(BN$2)-YEAR($F233))*12 + MONTH(BN$2)-MONTH($F233)) / 12),
  0)</f>
        <v/>
      </c>
      <c r="BO233" s="299">
        <f>IF(AND($F233&lt;=BO$2, OR($G233="",$G233&gt;=BO$2)),
  $H233 * (1 + Assumptions!$C$7) ^ INT(((YEAR(BO$2)-YEAR($F233))*12 + MONTH(BO$2)-MONTH($F233)) / 12),
  0)</f>
        <v/>
      </c>
      <c r="BP233" s="299">
        <f>IF(AND($F233&lt;=BP$2, OR($G233="",$G233&gt;=BP$2)),
  $H233 * (1 + Assumptions!$C$7) ^ INT(((YEAR(BP$2)-YEAR($F233))*12 + MONTH(BP$2)-MONTH($F233)) / 12),
  0)</f>
        <v/>
      </c>
      <c r="BQ233" s="31" t="n"/>
      <c r="BR233" s="31" t="n"/>
      <c r="BS233" s="31" t="n"/>
      <c r="BT233" s="31" t="n"/>
    </row>
    <row r="234" ht="15.75" customHeight="1" s="349">
      <c r="A234" s="321" t="n">
        <v>229</v>
      </c>
      <c r="B234" s="285" t="inlineStr">
        <is>
          <t>New hire</t>
        </is>
      </c>
      <c r="C234" s="317" t="inlineStr">
        <is>
          <t>R&amp;D</t>
        </is>
      </c>
      <c r="D234" s="317" t="inlineStr">
        <is>
          <t>R&amp;D Engineer</t>
        </is>
      </c>
      <c r="E234" s="297" t="inlineStr">
        <is>
          <t>Planned</t>
        </is>
      </c>
      <c r="F234" s="318">
        <f>IF(Assumptions!$D$82=2,DATE(2029,1,1),DATE(2035,1,1))</f>
        <v/>
      </c>
      <c r="G234" s="318" t="n"/>
      <c r="H234" s="288" t="n">
        <v>8000</v>
      </c>
      <c r="I234" s="299">
        <f>IF(AND($F234&lt;=I$2, OR($G234="",$G234&gt;=I$2)),
  $H234 * (1 + Assumptions!$C$7) ^ INT(((YEAR(I$2)-YEAR($F234))*12 + MONTH(I$2)-MONTH($F234)) / 12),
  0)</f>
        <v/>
      </c>
      <c r="J234" s="299">
        <f>IF(AND($F234&lt;=J$2, OR($G234="",$G234&gt;=J$2)),
  $H234 * (1 + Assumptions!$C$7) ^ INT(((YEAR(J$2)-YEAR($F234))*12 + MONTH(J$2)-MONTH($F234)) / 12),
  0)</f>
        <v/>
      </c>
      <c r="K234" s="299">
        <f>IF(AND($F234&lt;=K$2, OR($G234="",$G234&gt;=K$2)),
  $H234 * (1 + Assumptions!$C$7) ^ INT(((YEAR(K$2)-YEAR($F234))*12 + MONTH(K$2)-MONTH($F234)) / 12),
  0)</f>
        <v/>
      </c>
      <c r="L234" s="299">
        <f>IF(AND($F234&lt;=L$2, OR($G234="",$G234&gt;=L$2)),
  $H234 * (1 + Assumptions!$C$7) ^ INT(((YEAR(L$2)-YEAR($F234))*12 + MONTH(L$2)-MONTH($F234)) / 12),
  0)</f>
        <v/>
      </c>
      <c r="M234" s="299">
        <f>IF(AND($F234&lt;=M$2, OR($G234="",$G234&gt;=M$2)),
  $H234 * (1 + Assumptions!$C$7) ^ INT(((YEAR(M$2)-YEAR($F234))*12 + MONTH(M$2)-MONTH($F234)) / 12),
  0)</f>
        <v/>
      </c>
      <c r="N234" s="299">
        <f>IF(AND($F234&lt;=N$2, OR($G234="",$G234&gt;=N$2)),
  $H234 * (1 + Assumptions!$C$7) ^ INT(((YEAR(N$2)-YEAR($F234))*12 + MONTH(N$2)-MONTH($F234)) / 12),
  0)</f>
        <v/>
      </c>
      <c r="O234" s="299">
        <f>IF(AND($F234&lt;=O$2, OR($G234="",$G234&gt;=O$2)),
  $H234 * (1 + Assumptions!$C$7) ^ INT(((YEAR(O$2)-YEAR($F234))*12 + MONTH(O$2)-MONTH($F234)) / 12),
  0)</f>
        <v/>
      </c>
      <c r="P234" s="299">
        <f>IF(AND($F234&lt;=P$2, OR($G234="",$G234&gt;=P$2)),
  $H234 * (1 + Assumptions!$C$7) ^ INT(((YEAR(P$2)-YEAR($F234))*12 + MONTH(P$2)-MONTH($F234)) / 12),
  0)</f>
        <v/>
      </c>
      <c r="Q234" s="299">
        <f>IF(AND($F234&lt;=Q$2, OR($G234="",$G234&gt;=Q$2)),
  $H234 * (1 + Assumptions!$C$7) ^ INT(((YEAR(Q$2)-YEAR($F234))*12 + MONTH(Q$2)-MONTH($F234)) / 12),
  0)</f>
        <v/>
      </c>
      <c r="R234" s="299">
        <f>IF(AND($F234&lt;=R$2, OR($G234="",$G234&gt;=R$2)),
  $H234 * (1 + Assumptions!$C$7) ^ INT(((YEAR(R$2)-YEAR($F234))*12 + MONTH(R$2)-MONTH($F234)) / 12),
  0)</f>
        <v/>
      </c>
      <c r="S234" s="299">
        <f>IF(AND($F234&lt;=S$2, OR($G234="",$G234&gt;=S$2)),
  $H234 * (1 + Assumptions!$C$7) ^ INT(((YEAR(S$2)-YEAR($F234))*12 + MONTH(S$2)-MONTH($F234)) / 12),
  0)</f>
        <v/>
      </c>
      <c r="T234" s="299">
        <f>IF(AND($F234&lt;=T$2, OR($G234="",$G234&gt;=T$2)),
  $H234 * (1 + Assumptions!$C$7) ^ INT(((YEAR(T$2)-YEAR($F234))*12 + MONTH(T$2)-MONTH($F234)) / 12),
  0)</f>
        <v/>
      </c>
      <c r="U234" s="299">
        <f>IF(AND($F234&lt;=U$2, OR($G234="",$G234&gt;=U$2)),
  $H234 * (1 + Assumptions!$C$7) ^ INT(((YEAR(U$2)-YEAR($F234))*12 + MONTH(U$2)-MONTH($F234)) / 12),
  0)</f>
        <v/>
      </c>
      <c r="V234" s="299">
        <f>IF(AND($F234&lt;=V$2, OR($G234="",$G234&gt;=V$2)),
  $H234 * (1 + Assumptions!$C$7) ^ INT(((YEAR(V$2)-YEAR($F234))*12 + MONTH(V$2)-MONTH($F234)) / 12),
  0)</f>
        <v/>
      </c>
      <c r="W234" s="299">
        <f>IF(AND($F234&lt;=W$2, OR($G234="",$G234&gt;=W$2)),
  $H234 * (1 + Assumptions!$C$7) ^ INT(((YEAR(W$2)-YEAR($F234))*12 + MONTH(W$2)-MONTH($F234)) / 12),
  0)</f>
        <v/>
      </c>
      <c r="X234" s="299">
        <f>IF(AND($F234&lt;=X$2, OR($G234="",$G234&gt;=X$2)),
  $H234 * (1 + Assumptions!$C$7) ^ INT(((YEAR(X$2)-YEAR($F234))*12 + MONTH(X$2)-MONTH($F234)) / 12),
  0)</f>
        <v/>
      </c>
      <c r="Y234" s="299">
        <f>IF(AND($F234&lt;=Y$2, OR($G234="",$G234&gt;=Y$2)),
  $H234 * (1 + Assumptions!$C$7) ^ INT(((YEAR(Y$2)-YEAR($F234))*12 + MONTH(Y$2)-MONTH($F234)) / 12),
  0)</f>
        <v/>
      </c>
      <c r="Z234" s="299">
        <f>IF(AND($F234&lt;=Z$2, OR($G234="",$G234&gt;=Z$2)),
  $H234 * (1 + Assumptions!$C$7) ^ INT(((YEAR(Z$2)-YEAR($F234))*12 + MONTH(Z$2)-MONTH($F234)) / 12),
  0)</f>
        <v/>
      </c>
      <c r="AA234" s="299">
        <f>IF(AND($F234&lt;=AA$2, OR($G234="",$G234&gt;=AA$2)),
  $H234 * (1 + Assumptions!$C$7) ^ INT(((YEAR(AA$2)-YEAR($F234))*12 + MONTH(AA$2)-MONTH($F234)) / 12),
  0)</f>
        <v/>
      </c>
      <c r="AB234" s="299">
        <f>IF(AND($F234&lt;=AB$2, OR($G234="",$G234&gt;=AB$2)),
  $H234 * (1 + Assumptions!$C$7) ^ INT(((YEAR(AB$2)-YEAR($F234))*12 + MONTH(AB$2)-MONTH($F234)) / 12),
  0)</f>
        <v/>
      </c>
      <c r="AC234" s="299">
        <f>IF(AND($F234&lt;=AC$2, OR($G234="",$G234&gt;=AC$2)),
  $H234 * (1 + Assumptions!$C$7) ^ INT(((YEAR(AC$2)-YEAR($F234))*12 + MONTH(AC$2)-MONTH($F234)) / 12),
  0)</f>
        <v/>
      </c>
      <c r="AD234" s="299">
        <f>IF(AND($F234&lt;=AD$2, OR($G234="",$G234&gt;=AD$2)),
  $H234 * (1 + Assumptions!$C$7) ^ INT(((YEAR(AD$2)-YEAR($F234))*12 + MONTH(AD$2)-MONTH($F234)) / 12),
  0)</f>
        <v/>
      </c>
      <c r="AE234" s="299">
        <f>IF(AND($F234&lt;=AE$2, OR($G234="",$G234&gt;=AE$2)),
  $H234 * (1 + Assumptions!$C$7) ^ INT(((YEAR(AE$2)-YEAR($F234))*12 + MONTH(AE$2)-MONTH($F234)) / 12),
  0)</f>
        <v/>
      </c>
      <c r="AF234" s="299">
        <f>IF(AND($F234&lt;=AF$2, OR($G234="",$G234&gt;=AF$2)),
  $H234 * (1 + Assumptions!$C$7) ^ INT(((YEAR(AF$2)-YEAR($F234))*12 + MONTH(AF$2)-MONTH($F234)) / 12),
  0)</f>
        <v/>
      </c>
      <c r="AG234" s="299">
        <f>IF(AND($F234&lt;=AG$2, OR($G234="",$G234&gt;=AG$2)),
  $H234 * (1 + Assumptions!$C$7) ^ INT(((YEAR(AG$2)-YEAR($F234))*12 + MONTH(AG$2)-MONTH($F234)) / 12),
  0)</f>
        <v/>
      </c>
      <c r="AH234" s="299">
        <f>IF(AND($F234&lt;=AH$2, OR($G234="",$G234&gt;=AH$2)),
  $H234 * (1 + Assumptions!$C$7) ^ INT(((YEAR(AH$2)-YEAR($F234))*12 + MONTH(AH$2)-MONTH($F234)) / 12),
  0)</f>
        <v/>
      </c>
      <c r="AI234" s="299">
        <f>IF(AND($F234&lt;=AI$2, OR($G234="",$G234&gt;=AI$2)),
  $H234 * (1 + Assumptions!$C$7) ^ INT(((YEAR(AI$2)-YEAR($F234))*12 + MONTH(AI$2)-MONTH($F234)) / 12),
  0)</f>
        <v/>
      </c>
      <c r="AJ234" s="299">
        <f>IF(AND($F234&lt;=AJ$2, OR($G234="",$G234&gt;=AJ$2)),
  $H234 * (1 + Assumptions!$C$7) ^ INT(((YEAR(AJ$2)-YEAR($F234))*12 + MONTH(AJ$2)-MONTH($F234)) / 12),
  0)</f>
        <v/>
      </c>
      <c r="AK234" s="299">
        <f>IF(AND($F234&lt;=AK$2, OR($G234="",$G234&gt;=AK$2)),
  $H234 * (1 + Assumptions!$C$7) ^ INT(((YEAR(AK$2)-YEAR($F234))*12 + MONTH(AK$2)-MONTH($F234)) / 12),
  0)</f>
        <v/>
      </c>
      <c r="AL234" s="299">
        <f>IF(AND($F234&lt;=AL$2, OR($G234="",$G234&gt;=AL$2)),
  $H234 * (1 + Assumptions!$C$7) ^ INT(((YEAR(AL$2)-YEAR($F234))*12 + MONTH(AL$2)-MONTH($F234)) / 12),
  0)</f>
        <v/>
      </c>
      <c r="AM234" s="299">
        <f>IF(AND($F234&lt;=AM$2, OR($G234="",$G234&gt;=AM$2)),
  $H234 * (1 + Assumptions!$C$7) ^ INT(((YEAR(AM$2)-YEAR($F234))*12 + MONTH(AM$2)-MONTH($F234)) / 12),
  0)</f>
        <v/>
      </c>
      <c r="AN234" s="299">
        <f>IF(AND($F234&lt;=AN$2, OR($G234="",$G234&gt;=AN$2)),
  $H234 * (1 + Assumptions!$C$7) ^ INT(((YEAR(AN$2)-YEAR($F234))*12 + MONTH(AN$2)-MONTH($F234)) / 12),
  0)</f>
        <v/>
      </c>
      <c r="AO234" s="299">
        <f>IF(AND($F234&lt;=AO$2, OR($G234="",$G234&gt;=AO$2)),
  $H234 * (1 + Assumptions!$C$7) ^ INT(((YEAR(AO$2)-YEAR($F234))*12 + MONTH(AO$2)-MONTH($F234)) / 12),
  0)</f>
        <v/>
      </c>
      <c r="AP234" s="299">
        <f>IF(AND($F234&lt;=AP$2, OR($G234="",$G234&gt;=AP$2)),
  $H234 * (1 + Assumptions!$C$7) ^ INT(((YEAR(AP$2)-YEAR($F234))*12 + MONTH(AP$2)-MONTH($F234)) / 12),
  0)</f>
        <v/>
      </c>
      <c r="AQ234" s="299">
        <f>IF(AND($F234&lt;=AQ$2, OR($G234="",$G234&gt;=AQ$2)),
  $H234 * (1 + Assumptions!$C$7) ^ INT(((YEAR(AQ$2)-YEAR($F234))*12 + MONTH(AQ$2)-MONTH($F234)) / 12),
  0)</f>
        <v/>
      </c>
      <c r="AR234" s="299">
        <f>IF(AND($F234&lt;=AR$2, OR($G234="",$G234&gt;=AR$2)),
  $H234 * (1 + Assumptions!$C$7) ^ INT(((YEAR(AR$2)-YEAR($F234))*12 + MONTH(AR$2)-MONTH($F234)) / 12),
  0)</f>
        <v/>
      </c>
      <c r="AS234" s="299">
        <f>IF(AND($F234&lt;=AS$2, OR($G234="",$G234&gt;=AS$2)),
  $H234 * (1 + Assumptions!$C$7) ^ INT(((YEAR(AS$2)-YEAR($F234))*12 + MONTH(AS$2)-MONTH($F234)) / 12),
  0)</f>
        <v/>
      </c>
      <c r="AT234" s="299">
        <f>IF(AND($F234&lt;=AT$2, OR($G234="",$G234&gt;=AT$2)),
  $H234 * (1 + Assumptions!$C$7) ^ INT(((YEAR(AT$2)-YEAR($F234))*12 + MONTH(AT$2)-MONTH($F234)) / 12),
  0)</f>
        <v/>
      </c>
      <c r="AU234" s="299">
        <f>IF(AND($F234&lt;=AU$2, OR($G234="",$G234&gt;=AU$2)),
  $H234 * (1 + Assumptions!$C$7) ^ INT(((YEAR(AU$2)-YEAR($F234))*12 + MONTH(AU$2)-MONTH($F234)) / 12),
  0)</f>
        <v/>
      </c>
      <c r="AV234" s="299">
        <f>IF(AND($F234&lt;=AV$2, OR($G234="",$G234&gt;=AV$2)),
  $H234 * (1 + Assumptions!$C$7) ^ INT(((YEAR(AV$2)-YEAR($F234))*12 + MONTH(AV$2)-MONTH($F234)) / 12),
  0)</f>
        <v/>
      </c>
      <c r="AW234" s="299">
        <f>IF(AND($F234&lt;=AW$2, OR($G234="",$G234&gt;=AW$2)),
  $H234 * (1 + Assumptions!$C$7) ^ INT(((YEAR(AW$2)-YEAR($F234))*12 + MONTH(AW$2)-MONTH($F234)) / 12),
  0)</f>
        <v/>
      </c>
      <c r="AX234" s="299">
        <f>IF(AND($F234&lt;=AX$2, OR($G234="",$G234&gt;=AX$2)),
  $H234 * (1 + Assumptions!$C$7) ^ INT(((YEAR(AX$2)-YEAR($F234))*12 + MONTH(AX$2)-MONTH($F234)) / 12),
  0)</f>
        <v/>
      </c>
      <c r="AY234" s="299">
        <f>IF(AND($F234&lt;=AY$2, OR($G234="",$G234&gt;=AY$2)),
  $H234 * (1 + Assumptions!$C$7) ^ INT(((YEAR(AY$2)-YEAR($F234))*12 + MONTH(AY$2)-MONTH($F234)) / 12),
  0)</f>
        <v/>
      </c>
      <c r="AZ234" s="299">
        <f>IF(AND($F234&lt;=AZ$2, OR($G234="",$G234&gt;=AZ$2)),
  $H234 * (1 + Assumptions!$C$7) ^ INT(((YEAR(AZ$2)-YEAR($F234))*12 + MONTH(AZ$2)-MONTH($F234)) / 12),
  0)</f>
        <v/>
      </c>
      <c r="BA234" s="299">
        <f>IF(AND($F234&lt;=BA$2, OR($G234="",$G234&gt;=BA$2)),
  $H234 * (1 + Assumptions!$C$7) ^ INT(((YEAR(BA$2)-YEAR($F234))*12 + MONTH(BA$2)-MONTH($F234)) / 12),
  0)</f>
        <v/>
      </c>
      <c r="BB234" s="299">
        <f>IF(AND($F234&lt;=BB$2, OR($G234="",$G234&gt;=BB$2)),
  $H234 * (1 + Assumptions!$C$7) ^ INT(((YEAR(BB$2)-YEAR($F234))*12 + MONTH(BB$2)-MONTH($F234)) / 12),
  0)</f>
        <v/>
      </c>
      <c r="BC234" s="299">
        <f>IF(AND($F234&lt;=BC$2, OR($G234="",$G234&gt;=BC$2)),
  $H234 * (1 + Assumptions!$C$7) ^ INT(((YEAR(BC$2)-YEAR($F234))*12 + MONTH(BC$2)-MONTH($F234)) / 12),
  0)</f>
        <v/>
      </c>
      <c r="BD234" s="299">
        <f>IF(AND($F234&lt;=BD$2, OR($G234="",$G234&gt;=BD$2)),
  $H234 * (1 + Assumptions!$C$7) ^ INT(((YEAR(BD$2)-YEAR($F234))*12 + MONTH(BD$2)-MONTH($F234)) / 12),
  0)</f>
        <v/>
      </c>
      <c r="BE234" s="299">
        <f>IF(AND($F234&lt;=BE$2, OR($G234="",$G234&gt;=BE$2)),
  $H234 * (1 + Assumptions!$C$7) ^ INT(((YEAR(BE$2)-YEAR($F234))*12 + MONTH(BE$2)-MONTH($F234)) / 12),
  0)</f>
        <v/>
      </c>
      <c r="BF234" s="299">
        <f>IF(AND($F234&lt;=BF$2, OR($G234="",$G234&gt;=BF$2)),
  $H234 * (1 + Assumptions!$C$7) ^ INT(((YEAR(BF$2)-YEAR($F234))*12 + MONTH(BF$2)-MONTH($F234)) / 12),
  0)</f>
        <v/>
      </c>
      <c r="BG234" s="299">
        <f>IF(AND($F234&lt;=BG$2, OR($G234="",$G234&gt;=BG$2)),
  $H234 * (1 + Assumptions!$C$7) ^ INT(((YEAR(BG$2)-YEAR($F234))*12 + MONTH(BG$2)-MONTH($F234)) / 12),
  0)</f>
        <v/>
      </c>
      <c r="BH234" s="299">
        <f>IF(AND($F234&lt;=BH$2, OR($G234="",$G234&gt;=BH$2)),
  $H234 * (1 + Assumptions!$C$7) ^ INT(((YEAR(BH$2)-YEAR($F234))*12 + MONTH(BH$2)-MONTH($F234)) / 12),
  0)</f>
        <v/>
      </c>
      <c r="BI234" s="299">
        <f>IF(AND($F234&lt;=BI$2, OR($G234="",$G234&gt;=BI$2)),
  $H234 * (1 + Assumptions!$C$7) ^ INT(((YEAR(BI$2)-YEAR($F234))*12 + MONTH(BI$2)-MONTH($F234)) / 12),
  0)</f>
        <v/>
      </c>
      <c r="BJ234" s="299">
        <f>IF(AND($F234&lt;=BJ$2, OR($G234="",$G234&gt;=BJ$2)),
  $H234 * (1 + Assumptions!$C$7) ^ INT(((YEAR(BJ$2)-YEAR($F234))*12 + MONTH(BJ$2)-MONTH($F234)) / 12),
  0)</f>
        <v/>
      </c>
      <c r="BK234" s="299">
        <f>IF(AND($F234&lt;=BK$2, OR($G234="",$G234&gt;=BK$2)),
  $H234 * (1 + Assumptions!$C$7) ^ INT(((YEAR(BK$2)-YEAR($F234))*12 + MONTH(BK$2)-MONTH($F234)) / 12),
  0)</f>
        <v/>
      </c>
      <c r="BL234" s="299">
        <f>IF(AND($F234&lt;=BL$2, OR($G234="",$G234&gt;=BL$2)),
  $H234 * (1 + Assumptions!$C$7) ^ INT(((YEAR(BL$2)-YEAR($F234))*12 + MONTH(BL$2)-MONTH($F234)) / 12),
  0)</f>
        <v/>
      </c>
      <c r="BM234" s="299">
        <f>IF(AND($F234&lt;=BM$2, OR($G234="",$G234&gt;=BM$2)),
  $H234 * (1 + Assumptions!$C$7) ^ INT(((YEAR(BM$2)-YEAR($F234))*12 + MONTH(BM$2)-MONTH($F234)) / 12),
  0)</f>
        <v/>
      </c>
      <c r="BN234" s="299">
        <f>IF(AND($F234&lt;=BN$2, OR($G234="",$G234&gt;=BN$2)),
  $H234 * (1 + Assumptions!$C$7) ^ INT(((YEAR(BN$2)-YEAR($F234))*12 + MONTH(BN$2)-MONTH($F234)) / 12),
  0)</f>
        <v/>
      </c>
      <c r="BO234" s="299">
        <f>IF(AND($F234&lt;=BO$2, OR($G234="",$G234&gt;=BO$2)),
  $H234 * (1 + Assumptions!$C$7) ^ INT(((YEAR(BO$2)-YEAR($F234))*12 + MONTH(BO$2)-MONTH($F234)) / 12),
  0)</f>
        <v/>
      </c>
      <c r="BP234" s="299">
        <f>IF(AND($F234&lt;=BP$2, OR($G234="",$G234&gt;=BP$2)),
  $H234 * (1 + Assumptions!$C$7) ^ INT(((YEAR(BP$2)-YEAR($F234))*12 + MONTH(BP$2)-MONTH($F234)) / 12),
  0)</f>
        <v/>
      </c>
      <c r="BQ234" s="31" t="n"/>
      <c r="BR234" s="31" t="n"/>
      <c r="BS234" s="31" t="n"/>
      <c r="BT234" s="31" t="n"/>
    </row>
    <row r="235" ht="15.75" customHeight="1" s="349">
      <c r="A235" s="321" t="n">
        <v>230</v>
      </c>
      <c r="B235" s="285" t="inlineStr">
        <is>
          <t>New hire</t>
        </is>
      </c>
      <c r="C235" s="317" t="inlineStr">
        <is>
          <t>R&amp;D</t>
        </is>
      </c>
      <c r="D235" s="317" t="inlineStr">
        <is>
          <t>R&amp;D Engineer</t>
        </is>
      </c>
      <c r="E235" s="297" t="inlineStr">
        <is>
          <t>Planned</t>
        </is>
      </c>
      <c r="F235" s="318">
        <f>IF(Assumptions!$D$82=2,DATE(2029,1,1),DATE(2035,1,1))</f>
        <v/>
      </c>
      <c r="G235" s="318" t="n"/>
      <c r="H235" s="288" t="n">
        <v>8000</v>
      </c>
      <c r="I235" s="299">
        <f>IF(AND($F235&lt;=I$2, OR($G235="",$G235&gt;=I$2)),
  $H235 * (1 + Assumptions!$C$7) ^ INT(((YEAR(I$2)-YEAR($F235))*12 + MONTH(I$2)-MONTH($F235)) / 12),
  0)</f>
        <v/>
      </c>
      <c r="J235" s="299">
        <f>IF(AND($F235&lt;=J$2, OR($G235="",$G235&gt;=J$2)),
  $H235 * (1 + Assumptions!$C$7) ^ INT(((YEAR(J$2)-YEAR($F235))*12 + MONTH(J$2)-MONTH($F235)) / 12),
  0)</f>
        <v/>
      </c>
      <c r="K235" s="299">
        <f>IF(AND($F235&lt;=K$2, OR($G235="",$G235&gt;=K$2)),
  $H235 * (1 + Assumptions!$C$7) ^ INT(((YEAR(K$2)-YEAR($F235))*12 + MONTH(K$2)-MONTH($F235)) / 12),
  0)</f>
        <v/>
      </c>
      <c r="L235" s="299">
        <f>IF(AND($F235&lt;=L$2, OR($G235="",$G235&gt;=L$2)),
  $H235 * (1 + Assumptions!$C$7) ^ INT(((YEAR(L$2)-YEAR($F235))*12 + MONTH(L$2)-MONTH($F235)) / 12),
  0)</f>
        <v/>
      </c>
      <c r="M235" s="299">
        <f>IF(AND($F235&lt;=M$2, OR($G235="",$G235&gt;=M$2)),
  $H235 * (1 + Assumptions!$C$7) ^ INT(((YEAR(M$2)-YEAR($F235))*12 + MONTH(M$2)-MONTH($F235)) / 12),
  0)</f>
        <v/>
      </c>
      <c r="N235" s="299">
        <f>IF(AND($F235&lt;=N$2, OR($G235="",$G235&gt;=N$2)),
  $H235 * (1 + Assumptions!$C$7) ^ INT(((YEAR(N$2)-YEAR($F235))*12 + MONTH(N$2)-MONTH($F235)) / 12),
  0)</f>
        <v/>
      </c>
      <c r="O235" s="299">
        <f>IF(AND($F235&lt;=O$2, OR($G235="",$G235&gt;=O$2)),
  $H235 * (1 + Assumptions!$C$7) ^ INT(((YEAR(O$2)-YEAR($F235))*12 + MONTH(O$2)-MONTH($F235)) / 12),
  0)</f>
        <v/>
      </c>
      <c r="P235" s="299">
        <f>IF(AND($F235&lt;=P$2, OR($G235="",$G235&gt;=P$2)),
  $H235 * (1 + Assumptions!$C$7) ^ INT(((YEAR(P$2)-YEAR($F235))*12 + MONTH(P$2)-MONTH($F235)) / 12),
  0)</f>
        <v/>
      </c>
      <c r="Q235" s="299">
        <f>IF(AND($F235&lt;=Q$2, OR($G235="",$G235&gt;=Q$2)),
  $H235 * (1 + Assumptions!$C$7) ^ INT(((YEAR(Q$2)-YEAR($F235))*12 + MONTH(Q$2)-MONTH($F235)) / 12),
  0)</f>
        <v/>
      </c>
      <c r="R235" s="299">
        <f>IF(AND($F235&lt;=R$2, OR($G235="",$G235&gt;=R$2)),
  $H235 * (1 + Assumptions!$C$7) ^ INT(((YEAR(R$2)-YEAR($F235))*12 + MONTH(R$2)-MONTH($F235)) / 12),
  0)</f>
        <v/>
      </c>
      <c r="S235" s="299">
        <f>IF(AND($F235&lt;=S$2, OR($G235="",$G235&gt;=S$2)),
  $H235 * (1 + Assumptions!$C$7) ^ INT(((YEAR(S$2)-YEAR($F235))*12 + MONTH(S$2)-MONTH($F235)) / 12),
  0)</f>
        <v/>
      </c>
      <c r="T235" s="299">
        <f>IF(AND($F235&lt;=T$2, OR($G235="",$G235&gt;=T$2)),
  $H235 * (1 + Assumptions!$C$7) ^ INT(((YEAR(T$2)-YEAR($F235))*12 + MONTH(T$2)-MONTH($F235)) / 12),
  0)</f>
        <v/>
      </c>
      <c r="U235" s="299">
        <f>IF(AND($F235&lt;=U$2, OR($G235="",$G235&gt;=U$2)),
  $H235 * (1 + Assumptions!$C$7) ^ INT(((YEAR(U$2)-YEAR($F235))*12 + MONTH(U$2)-MONTH($F235)) / 12),
  0)</f>
        <v/>
      </c>
      <c r="V235" s="299">
        <f>IF(AND($F235&lt;=V$2, OR($G235="",$G235&gt;=V$2)),
  $H235 * (1 + Assumptions!$C$7) ^ INT(((YEAR(V$2)-YEAR($F235))*12 + MONTH(V$2)-MONTH($F235)) / 12),
  0)</f>
        <v/>
      </c>
      <c r="W235" s="299">
        <f>IF(AND($F235&lt;=W$2, OR($G235="",$G235&gt;=W$2)),
  $H235 * (1 + Assumptions!$C$7) ^ INT(((YEAR(W$2)-YEAR($F235))*12 + MONTH(W$2)-MONTH($F235)) / 12),
  0)</f>
        <v/>
      </c>
      <c r="X235" s="299">
        <f>IF(AND($F235&lt;=X$2, OR($G235="",$G235&gt;=X$2)),
  $H235 * (1 + Assumptions!$C$7) ^ INT(((YEAR(X$2)-YEAR($F235))*12 + MONTH(X$2)-MONTH($F235)) / 12),
  0)</f>
        <v/>
      </c>
      <c r="Y235" s="299">
        <f>IF(AND($F235&lt;=Y$2, OR($G235="",$G235&gt;=Y$2)),
  $H235 * (1 + Assumptions!$C$7) ^ INT(((YEAR(Y$2)-YEAR($F235))*12 + MONTH(Y$2)-MONTH($F235)) / 12),
  0)</f>
        <v/>
      </c>
      <c r="Z235" s="299">
        <f>IF(AND($F235&lt;=Z$2, OR($G235="",$G235&gt;=Z$2)),
  $H235 * (1 + Assumptions!$C$7) ^ INT(((YEAR(Z$2)-YEAR($F235))*12 + MONTH(Z$2)-MONTH($F235)) / 12),
  0)</f>
        <v/>
      </c>
      <c r="AA235" s="299">
        <f>IF(AND($F235&lt;=AA$2, OR($G235="",$G235&gt;=AA$2)),
  $H235 * (1 + Assumptions!$C$7) ^ INT(((YEAR(AA$2)-YEAR($F235))*12 + MONTH(AA$2)-MONTH($F235)) / 12),
  0)</f>
        <v/>
      </c>
      <c r="AB235" s="299">
        <f>IF(AND($F235&lt;=AB$2, OR($G235="",$G235&gt;=AB$2)),
  $H235 * (1 + Assumptions!$C$7) ^ INT(((YEAR(AB$2)-YEAR($F235))*12 + MONTH(AB$2)-MONTH($F235)) / 12),
  0)</f>
        <v/>
      </c>
      <c r="AC235" s="299">
        <f>IF(AND($F235&lt;=AC$2, OR($G235="",$G235&gt;=AC$2)),
  $H235 * (1 + Assumptions!$C$7) ^ INT(((YEAR(AC$2)-YEAR($F235))*12 + MONTH(AC$2)-MONTH($F235)) / 12),
  0)</f>
        <v/>
      </c>
      <c r="AD235" s="299">
        <f>IF(AND($F235&lt;=AD$2, OR($G235="",$G235&gt;=AD$2)),
  $H235 * (1 + Assumptions!$C$7) ^ INT(((YEAR(AD$2)-YEAR($F235))*12 + MONTH(AD$2)-MONTH($F235)) / 12),
  0)</f>
        <v/>
      </c>
      <c r="AE235" s="299">
        <f>IF(AND($F235&lt;=AE$2, OR($G235="",$G235&gt;=AE$2)),
  $H235 * (1 + Assumptions!$C$7) ^ INT(((YEAR(AE$2)-YEAR($F235))*12 + MONTH(AE$2)-MONTH($F235)) / 12),
  0)</f>
        <v/>
      </c>
      <c r="AF235" s="299">
        <f>IF(AND($F235&lt;=AF$2, OR($G235="",$G235&gt;=AF$2)),
  $H235 * (1 + Assumptions!$C$7) ^ INT(((YEAR(AF$2)-YEAR($F235))*12 + MONTH(AF$2)-MONTH($F235)) / 12),
  0)</f>
        <v/>
      </c>
      <c r="AG235" s="299">
        <f>IF(AND($F235&lt;=AG$2, OR($G235="",$G235&gt;=AG$2)),
  $H235 * (1 + Assumptions!$C$7) ^ INT(((YEAR(AG$2)-YEAR($F235))*12 + MONTH(AG$2)-MONTH($F235)) / 12),
  0)</f>
        <v/>
      </c>
      <c r="AH235" s="299">
        <f>IF(AND($F235&lt;=AH$2, OR($G235="",$G235&gt;=AH$2)),
  $H235 * (1 + Assumptions!$C$7) ^ INT(((YEAR(AH$2)-YEAR($F235))*12 + MONTH(AH$2)-MONTH($F235)) / 12),
  0)</f>
        <v/>
      </c>
      <c r="AI235" s="299">
        <f>IF(AND($F235&lt;=AI$2, OR($G235="",$G235&gt;=AI$2)),
  $H235 * (1 + Assumptions!$C$7) ^ INT(((YEAR(AI$2)-YEAR($F235))*12 + MONTH(AI$2)-MONTH($F235)) / 12),
  0)</f>
        <v/>
      </c>
      <c r="AJ235" s="299">
        <f>IF(AND($F235&lt;=AJ$2, OR($G235="",$G235&gt;=AJ$2)),
  $H235 * (1 + Assumptions!$C$7) ^ INT(((YEAR(AJ$2)-YEAR($F235))*12 + MONTH(AJ$2)-MONTH($F235)) / 12),
  0)</f>
        <v/>
      </c>
      <c r="AK235" s="299">
        <f>IF(AND($F235&lt;=AK$2, OR($G235="",$G235&gt;=AK$2)),
  $H235 * (1 + Assumptions!$C$7) ^ INT(((YEAR(AK$2)-YEAR($F235))*12 + MONTH(AK$2)-MONTH($F235)) / 12),
  0)</f>
        <v/>
      </c>
      <c r="AL235" s="299">
        <f>IF(AND($F235&lt;=AL$2, OR($G235="",$G235&gt;=AL$2)),
  $H235 * (1 + Assumptions!$C$7) ^ INT(((YEAR(AL$2)-YEAR($F235))*12 + MONTH(AL$2)-MONTH($F235)) / 12),
  0)</f>
        <v/>
      </c>
      <c r="AM235" s="299">
        <f>IF(AND($F235&lt;=AM$2, OR($G235="",$G235&gt;=AM$2)),
  $H235 * (1 + Assumptions!$C$7) ^ INT(((YEAR(AM$2)-YEAR($F235))*12 + MONTH(AM$2)-MONTH($F235)) / 12),
  0)</f>
        <v/>
      </c>
      <c r="AN235" s="299">
        <f>IF(AND($F235&lt;=AN$2, OR($G235="",$G235&gt;=AN$2)),
  $H235 * (1 + Assumptions!$C$7) ^ INT(((YEAR(AN$2)-YEAR($F235))*12 + MONTH(AN$2)-MONTH($F235)) / 12),
  0)</f>
        <v/>
      </c>
      <c r="AO235" s="299">
        <f>IF(AND($F235&lt;=AO$2, OR($G235="",$G235&gt;=AO$2)),
  $H235 * (1 + Assumptions!$C$7) ^ INT(((YEAR(AO$2)-YEAR($F235))*12 + MONTH(AO$2)-MONTH($F235)) / 12),
  0)</f>
        <v/>
      </c>
      <c r="AP235" s="299">
        <f>IF(AND($F235&lt;=AP$2, OR($G235="",$G235&gt;=AP$2)),
  $H235 * (1 + Assumptions!$C$7) ^ INT(((YEAR(AP$2)-YEAR($F235))*12 + MONTH(AP$2)-MONTH($F235)) / 12),
  0)</f>
        <v/>
      </c>
      <c r="AQ235" s="299">
        <f>IF(AND($F235&lt;=AQ$2, OR($G235="",$G235&gt;=AQ$2)),
  $H235 * (1 + Assumptions!$C$7) ^ INT(((YEAR(AQ$2)-YEAR($F235))*12 + MONTH(AQ$2)-MONTH($F235)) / 12),
  0)</f>
        <v/>
      </c>
      <c r="AR235" s="299">
        <f>IF(AND($F235&lt;=AR$2, OR($G235="",$G235&gt;=AR$2)),
  $H235 * (1 + Assumptions!$C$7) ^ INT(((YEAR(AR$2)-YEAR($F235))*12 + MONTH(AR$2)-MONTH($F235)) / 12),
  0)</f>
        <v/>
      </c>
      <c r="AS235" s="299">
        <f>IF(AND($F235&lt;=AS$2, OR($G235="",$G235&gt;=AS$2)),
  $H235 * (1 + Assumptions!$C$7) ^ INT(((YEAR(AS$2)-YEAR($F235))*12 + MONTH(AS$2)-MONTH($F235)) / 12),
  0)</f>
        <v/>
      </c>
      <c r="AT235" s="299">
        <f>IF(AND($F235&lt;=AT$2, OR($G235="",$G235&gt;=AT$2)),
  $H235 * (1 + Assumptions!$C$7) ^ INT(((YEAR(AT$2)-YEAR($F235))*12 + MONTH(AT$2)-MONTH($F235)) / 12),
  0)</f>
        <v/>
      </c>
      <c r="AU235" s="299">
        <f>IF(AND($F235&lt;=AU$2, OR($G235="",$G235&gt;=AU$2)),
  $H235 * (1 + Assumptions!$C$7) ^ INT(((YEAR(AU$2)-YEAR($F235))*12 + MONTH(AU$2)-MONTH($F235)) / 12),
  0)</f>
        <v/>
      </c>
      <c r="AV235" s="299">
        <f>IF(AND($F235&lt;=AV$2, OR($G235="",$G235&gt;=AV$2)),
  $H235 * (1 + Assumptions!$C$7) ^ INT(((YEAR(AV$2)-YEAR($F235))*12 + MONTH(AV$2)-MONTH($F235)) / 12),
  0)</f>
        <v/>
      </c>
      <c r="AW235" s="299">
        <f>IF(AND($F235&lt;=AW$2, OR($G235="",$G235&gt;=AW$2)),
  $H235 * (1 + Assumptions!$C$7) ^ INT(((YEAR(AW$2)-YEAR($F235))*12 + MONTH(AW$2)-MONTH($F235)) / 12),
  0)</f>
        <v/>
      </c>
      <c r="AX235" s="299">
        <f>IF(AND($F235&lt;=AX$2, OR($G235="",$G235&gt;=AX$2)),
  $H235 * (1 + Assumptions!$C$7) ^ INT(((YEAR(AX$2)-YEAR($F235))*12 + MONTH(AX$2)-MONTH($F235)) / 12),
  0)</f>
        <v/>
      </c>
      <c r="AY235" s="299">
        <f>IF(AND($F235&lt;=AY$2, OR($G235="",$G235&gt;=AY$2)),
  $H235 * (1 + Assumptions!$C$7) ^ INT(((YEAR(AY$2)-YEAR($F235))*12 + MONTH(AY$2)-MONTH($F235)) / 12),
  0)</f>
        <v/>
      </c>
      <c r="AZ235" s="299">
        <f>IF(AND($F235&lt;=AZ$2, OR($G235="",$G235&gt;=AZ$2)),
  $H235 * (1 + Assumptions!$C$7) ^ INT(((YEAR(AZ$2)-YEAR($F235))*12 + MONTH(AZ$2)-MONTH($F235)) / 12),
  0)</f>
        <v/>
      </c>
      <c r="BA235" s="299">
        <f>IF(AND($F235&lt;=BA$2, OR($G235="",$G235&gt;=BA$2)),
  $H235 * (1 + Assumptions!$C$7) ^ INT(((YEAR(BA$2)-YEAR($F235))*12 + MONTH(BA$2)-MONTH($F235)) / 12),
  0)</f>
        <v/>
      </c>
      <c r="BB235" s="299">
        <f>IF(AND($F235&lt;=BB$2, OR($G235="",$G235&gt;=BB$2)),
  $H235 * (1 + Assumptions!$C$7) ^ INT(((YEAR(BB$2)-YEAR($F235))*12 + MONTH(BB$2)-MONTH($F235)) / 12),
  0)</f>
        <v/>
      </c>
      <c r="BC235" s="299">
        <f>IF(AND($F235&lt;=BC$2, OR($G235="",$G235&gt;=BC$2)),
  $H235 * (1 + Assumptions!$C$7) ^ INT(((YEAR(BC$2)-YEAR($F235))*12 + MONTH(BC$2)-MONTH($F235)) / 12),
  0)</f>
        <v/>
      </c>
      <c r="BD235" s="299">
        <f>IF(AND($F235&lt;=BD$2, OR($G235="",$G235&gt;=BD$2)),
  $H235 * (1 + Assumptions!$C$7) ^ INT(((YEAR(BD$2)-YEAR($F235))*12 + MONTH(BD$2)-MONTH($F235)) / 12),
  0)</f>
        <v/>
      </c>
      <c r="BE235" s="299">
        <f>IF(AND($F235&lt;=BE$2, OR($G235="",$G235&gt;=BE$2)),
  $H235 * (1 + Assumptions!$C$7) ^ INT(((YEAR(BE$2)-YEAR($F235))*12 + MONTH(BE$2)-MONTH($F235)) / 12),
  0)</f>
        <v/>
      </c>
      <c r="BF235" s="299">
        <f>IF(AND($F235&lt;=BF$2, OR($G235="",$G235&gt;=BF$2)),
  $H235 * (1 + Assumptions!$C$7) ^ INT(((YEAR(BF$2)-YEAR($F235))*12 + MONTH(BF$2)-MONTH($F235)) / 12),
  0)</f>
        <v/>
      </c>
      <c r="BG235" s="299">
        <f>IF(AND($F235&lt;=BG$2, OR($G235="",$G235&gt;=BG$2)),
  $H235 * (1 + Assumptions!$C$7) ^ INT(((YEAR(BG$2)-YEAR($F235))*12 + MONTH(BG$2)-MONTH($F235)) / 12),
  0)</f>
        <v/>
      </c>
      <c r="BH235" s="299">
        <f>IF(AND($F235&lt;=BH$2, OR($G235="",$G235&gt;=BH$2)),
  $H235 * (1 + Assumptions!$C$7) ^ INT(((YEAR(BH$2)-YEAR($F235))*12 + MONTH(BH$2)-MONTH($F235)) / 12),
  0)</f>
        <v/>
      </c>
      <c r="BI235" s="299">
        <f>IF(AND($F235&lt;=BI$2, OR($G235="",$G235&gt;=BI$2)),
  $H235 * (1 + Assumptions!$C$7) ^ INT(((YEAR(BI$2)-YEAR($F235))*12 + MONTH(BI$2)-MONTH($F235)) / 12),
  0)</f>
        <v/>
      </c>
      <c r="BJ235" s="299">
        <f>IF(AND($F235&lt;=BJ$2, OR($G235="",$G235&gt;=BJ$2)),
  $H235 * (1 + Assumptions!$C$7) ^ INT(((YEAR(BJ$2)-YEAR($F235))*12 + MONTH(BJ$2)-MONTH($F235)) / 12),
  0)</f>
        <v/>
      </c>
      <c r="BK235" s="299">
        <f>IF(AND($F235&lt;=BK$2, OR($G235="",$G235&gt;=BK$2)),
  $H235 * (1 + Assumptions!$C$7) ^ INT(((YEAR(BK$2)-YEAR($F235))*12 + MONTH(BK$2)-MONTH($F235)) / 12),
  0)</f>
        <v/>
      </c>
      <c r="BL235" s="299">
        <f>IF(AND($F235&lt;=BL$2, OR($G235="",$G235&gt;=BL$2)),
  $H235 * (1 + Assumptions!$C$7) ^ INT(((YEAR(BL$2)-YEAR($F235))*12 + MONTH(BL$2)-MONTH($F235)) / 12),
  0)</f>
        <v/>
      </c>
      <c r="BM235" s="299">
        <f>IF(AND($F235&lt;=BM$2, OR($G235="",$G235&gt;=BM$2)),
  $H235 * (1 + Assumptions!$C$7) ^ INT(((YEAR(BM$2)-YEAR($F235))*12 + MONTH(BM$2)-MONTH($F235)) / 12),
  0)</f>
        <v/>
      </c>
      <c r="BN235" s="299">
        <f>IF(AND($F235&lt;=BN$2, OR($G235="",$G235&gt;=BN$2)),
  $H235 * (1 + Assumptions!$C$7) ^ INT(((YEAR(BN$2)-YEAR($F235))*12 + MONTH(BN$2)-MONTH($F235)) / 12),
  0)</f>
        <v/>
      </c>
      <c r="BO235" s="299">
        <f>IF(AND($F235&lt;=BO$2, OR($G235="",$G235&gt;=BO$2)),
  $H235 * (1 + Assumptions!$C$7) ^ INT(((YEAR(BO$2)-YEAR($F235))*12 + MONTH(BO$2)-MONTH($F235)) / 12),
  0)</f>
        <v/>
      </c>
      <c r="BP235" s="299">
        <f>IF(AND($F235&lt;=BP$2, OR($G235="",$G235&gt;=BP$2)),
  $H235 * (1 + Assumptions!$C$7) ^ INT(((YEAR(BP$2)-YEAR($F235))*12 + MONTH(BP$2)-MONTH($F235)) / 12),
  0)</f>
        <v/>
      </c>
      <c r="BQ235" s="31" t="n"/>
      <c r="BR235" s="31" t="n"/>
      <c r="BS235" s="31" t="n"/>
      <c r="BT235" s="31" t="n"/>
    </row>
    <row r="236" ht="15.75" customHeight="1" s="349">
      <c r="A236" s="321" t="n">
        <v>231</v>
      </c>
      <c r="B236" s="285" t="inlineStr">
        <is>
          <t>New hire</t>
        </is>
      </c>
      <c r="C236" s="317" t="inlineStr">
        <is>
          <t>R&amp;D</t>
        </is>
      </c>
      <c r="D236" s="317" t="inlineStr">
        <is>
          <t>R&amp;D Engineer</t>
        </is>
      </c>
      <c r="E236" s="297" t="inlineStr">
        <is>
          <t>Planned</t>
        </is>
      </c>
      <c r="F236" s="318">
        <f>IF(Assumptions!$D$82=2,DATE(2029,1,1),DATE(2035,1,1))</f>
        <v/>
      </c>
      <c r="G236" s="318" t="n"/>
      <c r="H236" s="288" t="n">
        <v>8000</v>
      </c>
      <c r="I236" s="299">
        <f>IF(AND($F236&lt;=I$2, OR($G236="",$G236&gt;=I$2)),
  $H236 * (1 + Assumptions!$C$7) ^ INT(((YEAR(I$2)-YEAR($F236))*12 + MONTH(I$2)-MONTH($F236)) / 12),
  0)</f>
        <v/>
      </c>
      <c r="J236" s="299">
        <f>IF(AND($F236&lt;=J$2, OR($G236="",$G236&gt;=J$2)),
  $H236 * (1 + Assumptions!$C$7) ^ INT(((YEAR(J$2)-YEAR($F236))*12 + MONTH(J$2)-MONTH($F236)) / 12),
  0)</f>
        <v/>
      </c>
      <c r="K236" s="299">
        <f>IF(AND($F236&lt;=K$2, OR($G236="",$G236&gt;=K$2)),
  $H236 * (1 + Assumptions!$C$7) ^ INT(((YEAR(K$2)-YEAR($F236))*12 + MONTH(K$2)-MONTH($F236)) / 12),
  0)</f>
        <v/>
      </c>
      <c r="L236" s="299">
        <f>IF(AND($F236&lt;=L$2, OR($G236="",$G236&gt;=L$2)),
  $H236 * (1 + Assumptions!$C$7) ^ INT(((YEAR(L$2)-YEAR($F236))*12 + MONTH(L$2)-MONTH($F236)) / 12),
  0)</f>
        <v/>
      </c>
      <c r="M236" s="299">
        <f>IF(AND($F236&lt;=M$2, OR($G236="",$G236&gt;=M$2)),
  $H236 * (1 + Assumptions!$C$7) ^ INT(((YEAR(M$2)-YEAR($F236))*12 + MONTH(M$2)-MONTH($F236)) / 12),
  0)</f>
        <v/>
      </c>
      <c r="N236" s="299">
        <f>IF(AND($F236&lt;=N$2, OR($G236="",$G236&gt;=N$2)),
  $H236 * (1 + Assumptions!$C$7) ^ INT(((YEAR(N$2)-YEAR($F236))*12 + MONTH(N$2)-MONTH($F236)) / 12),
  0)</f>
        <v/>
      </c>
      <c r="O236" s="299">
        <f>IF(AND($F236&lt;=O$2, OR($G236="",$G236&gt;=O$2)),
  $H236 * (1 + Assumptions!$C$7) ^ INT(((YEAR(O$2)-YEAR($F236))*12 + MONTH(O$2)-MONTH($F236)) / 12),
  0)</f>
        <v/>
      </c>
      <c r="P236" s="299">
        <f>IF(AND($F236&lt;=P$2, OR($G236="",$G236&gt;=P$2)),
  $H236 * (1 + Assumptions!$C$7) ^ INT(((YEAR(P$2)-YEAR($F236))*12 + MONTH(P$2)-MONTH($F236)) / 12),
  0)</f>
        <v/>
      </c>
      <c r="Q236" s="299">
        <f>IF(AND($F236&lt;=Q$2, OR($G236="",$G236&gt;=Q$2)),
  $H236 * (1 + Assumptions!$C$7) ^ INT(((YEAR(Q$2)-YEAR($F236))*12 + MONTH(Q$2)-MONTH($F236)) / 12),
  0)</f>
        <v/>
      </c>
      <c r="R236" s="299">
        <f>IF(AND($F236&lt;=R$2, OR($G236="",$G236&gt;=R$2)),
  $H236 * (1 + Assumptions!$C$7) ^ INT(((YEAR(R$2)-YEAR($F236))*12 + MONTH(R$2)-MONTH($F236)) / 12),
  0)</f>
        <v/>
      </c>
      <c r="S236" s="299">
        <f>IF(AND($F236&lt;=S$2, OR($G236="",$G236&gt;=S$2)),
  $H236 * (1 + Assumptions!$C$7) ^ INT(((YEAR(S$2)-YEAR($F236))*12 + MONTH(S$2)-MONTH($F236)) / 12),
  0)</f>
        <v/>
      </c>
      <c r="T236" s="299">
        <f>IF(AND($F236&lt;=T$2, OR($G236="",$G236&gt;=T$2)),
  $H236 * (1 + Assumptions!$C$7) ^ INT(((YEAR(T$2)-YEAR($F236))*12 + MONTH(T$2)-MONTH($F236)) / 12),
  0)</f>
        <v/>
      </c>
      <c r="U236" s="299">
        <f>IF(AND($F236&lt;=U$2, OR($G236="",$G236&gt;=U$2)),
  $H236 * (1 + Assumptions!$C$7) ^ INT(((YEAR(U$2)-YEAR($F236))*12 + MONTH(U$2)-MONTH($F236)) / 12),
  0)</f>
        <v/>
      </c>
      <c r="V236" s="299">
        <f>IF(AND($F236&lt;=V$2, OR($G236="",$G236&gt;=V$2)),
  $H236 * (1 + Assumptions!$C$7) ^ INT(((YEAR(V$2)-YEAR($F236))*12 + MONTH(V$2)-MONTH($F236)) / 12),
  0)</f>
        <v/>
      </c>
      <c r="W236" s="299">
        <f>IF(AND($F236&lt;=W$2, OR($G236="",$G236&gt;=W$2)),
  $H236 * (1 + Assumptions!$C$7) ^ INT(((YEAR(W$2)-YEAR($F236))*12 + MONTH(W$2)-MONTH($F236)) / 12),
  0)</f>
        <v/>
      </c>
      <c r="X236" s="299">
        <f>IF(AND($F236&lt;=X$2, OR($G236="",$G236&gt;=X$2)),
  $H236 * (1 + Assumptions!$C$7) ^ INT(((YEAR(X$2)-YEAR($F236))*12 + MONTH(X$2)-MONTH($F236)) / 12),
  0)</f>
        <v/>
      </c>
      <c r="Y236" s="299">
        <f>IF(AND($F236&lt;=Y$2, OR($G236="",$G236&gt;=Y$2)),
  $H236 * (1 + Assumptions!$C$7) ^ INT(((YEAR(Y$2)-YEAR($F236))*12 + MONTH(Y$2)-MONTH($F236)) / 12),
  0)</f>
        <v/>
      </c>
      <c r="Z236" s="299">
        <f>IF(AND($F236&lt;=Z$2, OR($G236="",$G236&gt;=Z$2)),
  $H236 * (1 + Assumptions!$C$7) ^ INT(((YEAR(Z$2)-YEAR($F236))*12 + MONTH(Z$2)-MONTH($F236)) / 12),
  0)</f>
        <v/>
      </c>
      <c r="AA236" s="299">
        <f>IF(AND($F236&lt;=AA$2, OR($G236="",$G236&gt;=AA$2)),
  $H236 * (1 + Assumptions!$C$7) ^ INT(((YEAR(AA$2)-YEAR($F236))*12 + MONTH(AA$2)-MONTH($F236)) / 12),
  0)</f>
        <v/>
      </c>
      <c r="AB236" s="299">
        <f>IF(AND($F236&lt;=AB$2, OR($G236="",$G236&gt;=AB$2)),
  $H236 * (1 + Assumptions!$C$7) ^ INT(((YEAR(AB$2)-YEAR($F236))*12 + MONTH(AB$2)-MONTH($F236)) / 12),
  0)</f>
        <v/>
      </c>
      <c r="AC236" s="299">
        <f>IF(AND($F236&lt;=AC$2, OR($G236="",$G236&gt;=AC$2)),
  $H236 * (1 + Assumptions!$C$7) ^ INT(((YEAR(AC$2)-YEAR($F236))*12 + MONTH(AC$2)-MONTH($F236)) / 12),
  0)</f>
        <v/>
      </c>
      <c r="AD236" s="299">
        <f>IF(AND($F236&lt;=AD$2, OR($G236="",$G236&gt;=AD$2)),
  $H236 * (1 + Assumptions!$C$7) ^ INT(((YEAR(AD$2)-YEAR($F236))*12 + MONTH(AD$2)-MONTH($F236)) / 12),
  0)</f>
        <v/>
      </c>
      <c r="AE236" s="299">
        <f>IF(AND($F236&lt;=AE$2, OR($G236="",$G236&gt;=AE$2)),
  $H236 * (1 + Assumptions!$C$7) ^ INT(((YEAR(AE$2)-YEAR($F236))*12 + MONTH(AE$2)-MONTH($F236)) / 12),
  0)</f>
        <v/>
      </c>
      <c r="AF236" s="299">
        <f>IF(AND($F236&lt;=AF$2, OR($G236="",$G236&gt;=AF$2)),
  $H236 * (1 + Assumptions!$C$7) ^ INT(((YEAR(AF$2)-YEAR($F236))*12 + MONTH(AF$2)-MONTH($F236)) / 12),
  0)</f>
        <v/>
      </c>
      <c r="AG236" s="299">
        <f>IF(AND($F236&lt;=AG$2, OR($G236="",$G236&gt;=AG$2)),
  $H236 * (1 + Assumptions!$C$7) ^ INT(((YEAR(AG$2)-YEAR($F236))*12 + MONTH(AG$2)-MONTH($F236)) / 12),
  0)</f>
        <v/>
      </c>
      <c r="AH236" s="299">
        <f>IF(AND($F236&lt;=AH$2, OR($G236="",$G236&gt;=AH$2)),
  $H236 * (1 + Assumptions!$C$7) ^ INT(((YEAR(AH$2)-YEAR($F236))*12 + MONTH(AH$2)-MONTH($F236)) / 12),
  0)</f>
        <v/>
      </c>
      <c r="AI236" s="299">
        <f>IF(AND($F236&lt;=AI$2, OR($G236="",$G236&gt;=AI$2)),
  $H236 * (1 + Assumptions!$C$7) ^ INT(((YEAR(AI$2)-YEAR($F236))*12 + MONTH(AI$2)-MONTH($F236)) / 12),
  0)</f>
        <v/>
      </c>
      <c r="AJ236" s="299">
        <f>IF(AND($F236&lt;=AJ$2, OR($G236="",$G236&gt;=AJ$2)),
  $H236 * (1 + Assumptions!$C$7) ^ INT(((YEAR(AJ$2)-YEAR($F236))*12 + MONTH(AJ$2)-MONTH($F236)) / 12),
  0)</f>
        <v/>
      </c>
      <c r="AK236" s="299">
        <f>IF(AND($F236&lt;=AK$2, OR($G236="",$G236&gt;=AK$2)),
  $H236 * (1 + Assumptions!$C$7) ^ INT(((YEAR(AK$2)-YEAR($F236))*12 + MONTH(AK$2)-MONTH($F236)) / 12),
  0)</f>
        <v/>
      </c>
      <c r="AL236" s="299">
        <f>IF(AND($F236&lt;=AL$2, OR($G236="",$G236&gt;=AL$2)),
  $H236 * (1 + Assumptions!$C$7) ^ INT(((YEAR(AL$2)-YEAR($F236))*12 + MONTH(AL$2)-MONTH($F236)) / 12),
  0)</f>
        <v/>
      </c>
      <c r="AM236" s="299">
        <f>IF(AND($F236&lt;=AM$2, OR($G236="",$G236&gt;=AM$2)),
  $H236 * (1 + Assumptions!$C$7) ^ INT(((YEAR(AM$2)-YEAR($F236))*12 + MONTH(AM$2)-MONTH($F236)) / 12),
  0)</f>
        <v/>
      </c>
      <c r="AN236" s="299">
        <f>IF(AND($F236&lt;=AN$2, OR($G236="",$G236&gt;=AN$2)),
  $H236 * (1 + Assumptions!$C$7) ^ INT(((YEAR(AN$2)-YEAR($F236))*12 + MONTH(AN$2)-MONTH($F236)) / 12),
  0)</f>
        <v/>
      </c>
      <c r="AO236" s="299">
        <f>IF(AND($F236&lt;=AO$2, OR($G236="",$G236&gt;=AO$2)),
  $H236 * (1 + Assumptions!$C$7) ^ INT(((YEAR(AO$2)-YEAR($F236))*12 + MONTH(AO$2)-MONTH($F236)) / 12),
  0)</f>
        <v/>
      </c>
      <c r="AP236" s="299">
        <f>IF(AND($F236&lt;=AP$2, OR($G236="",$G236&gt;=AP$2)),
  $H236 * (1 + Assumptions!$C$7) ^ INT(((YEAR(AP$2)-YEAR($F236))*12 + MONTH(AP$2)-MONTH($F236)) / 12),
  0)</f>
        <v/>
      </c>
      <c r="AQ236" s="299">
        <f>IF(AND($F236&lt;=AQ$2, OR($G236="",$G236&gt;=AQ$2)),
  $H236 * (1 + Assumptions!$C$7) ^ INT(((YEAR(AQ$2)-YEAR($F236))*12 + MONTH(AQ$2)-MONTH($F236)) / 12),
  0)</f>
        <v/>
      </c>
      <c r="AR236" s="299">
        <f>IF(AND($F236&lt;=AR$2, OR($G236="",$G236&gt;=AR$2)),
  $H236 * (1 + Assumptions!$C$7) ^ INT(((YEAR(AR$2)-YEAR($F236))*12 + MONTH(AR$2)-MONTH($F236)) / 12),
  0)</f>
        <v/>
      </c>
      <c r="AS236" s="299">
        <f>IF(AND($F236&lt;=AS$2, OR($G236="",$G236&gt;=AS$2)),
  $H236 * (1 + Assumptions!$C$7) ^ INT(((YEAR(AS$2)-YEAR($F236))*12 + MONTH(AS$2)-MONTH($F236)) / 12),
  0)</f>
        <v/>
      </c>
      <c r="AT236" s="299">
        <f>IF(AND($F236&lt;=AT$2, OR($G236="",$G236&gt;=AT$2)),
  $H236 * (1 + Assumptions!$C$7) ^ INT(((YEAR(AT$2)-YEAR($F236))*12 + MONTH(AT$2)-MONTH($F236)) / 12),
  0)</f>
        <v/>
      </c>
      <c r="AU236" s="299">
        <f>IF(AND($F236&lt;=AU$2, OR($G236="",$G236&gt;=AU$2)),
  $H236 * (1 + Assumptions!$C$7) ^ INT(((YEAR(AU$2)-YEAR($F236))*12 + MONTH(AU$2)-MONTH($F236)) / 12),
  0)</f>
        <v/>
      </c>
      <c r="AV236" s="299">
        <f>IF(AND($F236&lt;=AV$2, OR($G236="",$G236&gt;=AV$2)),
  $H236 * (1 + Assumptions!$C$7) ^ INT(((YEAR(AV$2)-YEAR($F236))*12 + MONTH(AV$2)-MONTH($F236)) / 12),
  0)</f>
        <v/>
      </c>
      <c r="AW236" s="299">
        <f>IF(AND($F236&lt;=AW$2, OR($G236="",$G236&gt;=AW$2)),
  $H236 * (1 + Assumptions!$C$7) ^ INT(((YEAR(AW$2)-YEAR($F236))*12 + MONTH(AW$2)-MONTH($F236)) / 12),
  0)</f>
        <v/>
      </c>
      <c r="AX236" s="299">
        <f>IF(AND($F236&lt;=AX$2, OR($G236="",$G236&gt;=AX$2)),
  $H236 * (1 + Assumptions!$C$7) ^ INT(((YEAR(AX$2)-YEAR($F236))*12 + MONTH(AX$2)-MONTH($F236)) / 12),
  0)</f>
        <v/>
      </c>
      <c r="AY236" s="299">
        <f>IF(AND($F236&lt;=AY$2, OR($G236="",$G236&gt;=AY$2)),
  $H236 * (1 + Assumptions!$C$7) ^ INT(((YEAR(AY$2)-YEAR($F236))*12 + MONTH(AY$2)-MONTH($F236)) / 12),
  0)</f>
        <v/>
      </c>
      <c r="AZ236" s="299">
        <f>IF(AND($F236&lt;=AZ$2, OR($G236="",$G236&gt;=AZ$2)),
  $H236 * (1 + Assumptions!$C$7) ^ INT(((YEAR(AZ$2)-YEAR($F236))*12 + MONTH(AZ$2)-MONTH($F236)) / 12),
  0)</f>
        <v/>
      </c>
      <c r="BA236" s="299">
        <f>IF(AND($F236&lt;=BA$2, OR($G236="",$G236&gt;=BA$2)),
  $H236 * (1 + Assumptions!$C$7) ^ INT(((YEAR(BA$2)-YEAR($F236))*12 + MONTH(BA$2)-MONTH($F236)) / 12),
  0)</f>
        <v/>
      </c>
      <c r="BB236" s="299">
        <f>IF(AND($F236&lt;=BB$2, OR($G236="",$G236&gt;=BB$2)),
  $H236 * (1 + Assumptions!$C$7) ^ INT(((YEAR(BB$2)-YEAR($F236))*12 + MONTH(BB$2)-MONTH($F236)) / 12),
  0)</f>
        <v/>
      </c>
      <c r="BC236" s="299">
        <f>IF(AND($F236&lt;=BC$2, OR($G236="",$G236&gt;=BC$2)),
  $H236 * (1 + Assumptions!$C$7) ^ INT(((YEAR(BC$2)-YEAR($F236))*12 + MONTH(BC$2)-MONTH($F236)) / 12),
  0)</f>
        <v/>
      </c>
      <c r="BD236" s="299">
        <f>IF(AND($F236&lt;=BD$2, OR($G236="",$G236&gt;=BD$2)),
  $H236 * (1 + Assumptions!$C$7) ^ INT(((YEAR(BD$2)-YEAR($F236))*12 + MONTH(BD$2)-MONTH($F236)) / 12),
  0)</f>
        <v/>
      </c>
      <c r="BE236" s="299">
        <f>IF(AND($F236&lt;=BE$2, OR($G236="",$G236&gt;=BE$2)),
  $H236 * (1 + Assumptions!$C$7) ^ INT(((YEAR(BE$2)-YEAR($F236))*12 + MONTH(BE$2)-MONTH($F236)) / 12),
  0)</f>
        <v/>
      </c>
      <c r="BF236" s="299">
        <f>IF(AND($F236&lt;=BF$2, OR($G236="",$G236&gt;=BF$2)),
  $H236 * (1 + Assumptions!$C$7) ^ INT(((YEAR(BF$2)-YEAR($F236))*12 + MONTH(BF$2)-MONTH($F236)) / 12),
  0)</f>
        <v/>
      </c>
      <c r="BG236" s="299">
        <f>IF(AND($F236&lt;=BG$2, OR($G236="",$G236&gt;=BG$2)),
  $H236 * (1 + Assumptions!$C$7) ^ INT(((YEAR(BG$2)-YEAR($F236))*12 + MONTH(BG$2)-MONTH($F236)) / 12),
  0)</f>
        <v/>
      </c>
      <c r="BH236" s="299">
        <f>IF(AND($F236&lt;=BH$2, OR($G236="",$G236&gt;=BH$2)),
  $H236 * (1 + Assumptions!$C$7) ^ INT(((YEAR(BH$2)-YEAR($F236))*12 + MONTH(BH$2)-MONTH($F236)) / 12),
  0)</f>
        <v/>
      </c>
      <c r="BI236" s="299">
        <f>IF(AND($F236&lt;=BI$2, OR($G236="",$G236&gt;=BI$2)),
  $H236 * (1 + Assumptions!$C$7) ^ INT(((YEAR(BI$2)-YEAR($F236))*12 + MONTH(BI$2)-MONTH($F236)) / 12),
  0)</f>
        <v/>
      </c>
      <c r="BJ236" s="299">
        <f>IF(AND($F236&lt;=BJ$2, OR($G236="",$G236&gt;=BJ$2)),
  $H236 * (1 + Assumptions!$C$7) ^ INT(((YEAR(BJ$2)-YEAR($F236))*12 + MONTH(BJ$2)-MONTH($F236)) / 12),
  0)</f>
        <v/>
      </c>
      <c r="BK236" s="299">
        <f>IF(AND($F236&lt;=BK$2, OR($G236="",$G236&gt;=BK$2)),
  $H236 * (1 + Assumptions!$C$7) ^ INT(((YEAR(BK$2)-YEAR($F236))*12 + MONTH(BK$2)-MONTH($F236)) / 12),
  0)</f>
        <v/>
      </c>
      <c r="BL236" s="299">
        <f>IF(AND($F236&lt;=BL$2, OR($G236="",$G236&gt;=BL$2)),
  $H236 * (1 + Assumptions!$C$7) ^ INT(((YEAR(BL$2)-YEAR($F236))*12 + MONTH(BL$2)-MONTH($F236)) / 12),
  0)</f>
        <v/>
      </c>
      <c r="BM236" s="299">
        <f>IF(AND($F236&lt;=BM$2, OR($G236="",$G236&gt;=BM$2)),
  $H236 * (1 + Assumptions!$C$7) ^ INT(((YEAR(BM$2)-YEAR($F236))*12 + MONTH(BM$2)-MONTH($F236)) / 12),
  0)</f>
        <v/>
      </c>
      <c r="BN236" s="299">
        <f>IF(AND($F236&lt;=BN$2, OR($G236="",$G236&gt;=BN$2)),
  $H236 * (1 + Assumptions!$C$7) ^ INT(((YEAR(BN$2)-YEAR($F236))*12 + MONTH(BN$2)-MONTH($F236)) / 12),
  0)</f>
        <v/>
      </c>
      <c r="BO236" s="299">
        <f>IF(AND($F236&lt;=BO$2, OR($G236="",$G236&gt;=BO$2)),
  $H236 * (1 + Assumptions!$C$7) ^ INT(((YEAR(BO$2)-YEAR($F236))*12 + MONTH(BO$2)-MONTH($F236)) / 12),
  0)</f>
        <v/>
      </c>
      <c r="BP236" s="299">
        <f>IF(AND($F236&lt;=BP$2, OR($G236="",$G236&gt;=BP$2)),
  $H236 * (1 + Assumptions!$C$7) ^ INT(((YEAR(BP$2)-YEAR($F236))*12 + MONTH(BP$2)-MONTH($F236)) / 12),
  0)</f>
        <v/>
      </c>
      <c r="BQ236" s="31" t="n"/>
      <c r="BR236" s="31" t="n"/>
      <c r="BS236" s="31" t="n"/>
      <c r="BT236" s="31" t="n"/>
    </row>
    <row r="237" ht="15.75" customHeight="1" s="349">
      <c r="A237" s="321" t="n">
        <v>232</v>
      </c>
      <c r="B237" s="285" t="inlineStr">
        <is>
          <t>New hire</t>
        </is>
      </c>
      <c r="C237" s="317" t="inlineStr">
        <is>
          <t>R&amp;D</t>
        </is>
      </c>
      <c r="D237" s="317" t="inlineStr">
        <is>
          <t>R&amp;D Engineer</t>
        </is>
      </c>
      <c r="E237" s="297" t="inlineStr">
        <is>
          <t>Planned</t>
        </is>
      </c>
      <c r="F237" s="318">
        <f>IF(Assumptions!$D$82=2,DATE(2029,1,1),DATE(2035,1,1))</f>
        <v/>
      </c>
      <c r="G237" s="318" t="n"/>
      <c r="H237" s="288" t="n">
        <v>8000</v>
      </c>
      <c r="I237" s="299">
        <f>IF(AND($F237&lt;=I$2, OR($G237="",$G237&gt;=I$2)),
  $H237 * (1 + Assumptions!$C$7) ^ INT(((YEAR(I$2)-YEAR($F237))*12 + MONTH(I$2)-MONTH($F237)) / 12),
  0)</f>
        <v/>
      </c>
      <c r="J237" s="299">
        <f>IF(AND($F237&lt;=J$2, OR($G237="",$G237&gt;=J$2)),
  $H237 * (1 + Assumptions!$C$7) ^ INT(((YEAR(J$2)-YEAR($F237))*12 + MONTH(J$2)-MONTH($F237)) / 12),
  0)</f>
        <v/>
      </c>
      <c r="K237" s="299">
        <f>IF(AND($F237&lt;=K$2, OR($G237="",$G237&gt;=K$2)),
  $H237 * (1 + Assumptions!$C$7) ^ INT(((YEAR(K$2)-YEAR($F237))*12 + MONTH(K$2)-MONTH($F237)) / 12),
  0)</f>
        <v/>
      </c>
      <c r="L237" s="299">
        <f>IF(AND($F237&lt;=L$2, OR($G237="",$G237&gt;=L$2)),
  $H237 * (1 + Assumptions!$C$7) ^ INT(((YEAR(L$2)-YEAR($F237))*12 + MONTH(L$2)-MONTH($F237)) / 12),
  0)</f>
        <v/>
      </c>
      <c r="M237" s="299">
        <f>IF(AND($F237&lt;=M$2, OR($G237="",$G237&gt;=M$2)),
  $H237 * (1 + Assumptions!$C$7) ^ INT(((YEAR(M$2)-YEAR($F237))*12 + MONTH(M$2)-MONTH($F237)) / 12),
  0)</f>
        <v/>
      </c>
      <c r="N237" s="299">
        <f>IF(AND($F237&lt;=N$2, OR($G237="",$G237&gt;=N$2)),
  $H237 * (1 + Assumptions!$C$7) ^ INT(((YEAR(N$2)-YEAR($F237))*12 + MONTH(N$2)-MONTH($F237)) / 12),
  0)</f>
        <v/>
      </c>
      <c r="O237" s="299">
        <f>IF(AND($F237&lt;=O$2, OR($G237="",$G237&gt;=O$2)),
  $H237 * (1 + Assumptions!$C$7) ^ INT(((YEAR(O$2)-YEAR($F237))*12 + MONTH(O$2)-MONTH($F237)) / 12),
  0)</f>
        <v/>
      </c>
      <c r="P237" s="299">
        <f>IF(AND($F237&lt;=P$2, OR($G237="",$G237&gt;=P$2)),
  $H237 * (1 + Assumptions!$C$7) ^ INT(((YEAR(P$2)-YEAR($F237))*12 + MONTH(P$2)-MONTH($F237)) / 12),
  0)</f>
        <v/>
      </c>
      <c r="Q237" s="299">
        <f>IF(AND($F237&lt;=Q$2, OR($G237="",$G237&gt;=Q$2)),
  $H237 * (1 + Assumptions!$C$7) ^ INT(((YEAR(Q$2)-YEAR($F237))*12 + MONTH(Q$2)-MONTH($F237)) / 12),
  0)</f>
        <v/>
      </c>
      <c r="R237" s="299">
        <f>IF(AND($F237&lt;=R$2, OR($G237="",$G237&gt;=R$2)),
  $H237 * (1 + Assumptions!$C$7) ^ INT(((YEAR(R$2)-YEAR($F237))*12 + MONTH(R$2)-MONTH($F237)) / 12),
  0)</f>
        <v/>
      </c>
      <c r="S237" s="299">
        <f>IF(AND($F237&lt;=S$2, OR($G237="",$G237&gt;=S$2)),
  $H237 * (1 + Assumptions!$C$7) ^ INT(((YEAR(S$2)-YEAR($F237))*12 + MONTH(S$2)-MONTH($F237)) / 12),
  0)</f>
        <v/>
      </c>
      <c r="T237" s="299">
        <f>IF(AND($F237&lt;=T$2, OR($G237="",$G237&gt;=T$2)),
  $H237 * (1 + Assumptions!$C$7) ^ INT(((YEAR(T$2)-YEAR($F237))*12 + MONTH(T$2)-MONTH($F237)) / 12),
  0)</f>
        <v/>
      </c>
      <c r="U237" s="299">
        <f>IF(AND($F237&lt;=U$2, OR($G237="",$G237&gt;=U$2)),
  $H237 * (1 + Assumptions!$C$7) ^ INT(((YEAR(U$2)-YEAR($F237))*12 + MONTH(U$2)-MONTH($F237)) / 12),
  0)</f>
        <v/>
      </c>
      <c r="V237" s="299">
        <f>IF(AND($F237&lt;=V$2, OR($G237="",$G237&gt;=V$2)),
  $H237 * (1 + Assumptions!$C$7) ^ INT(((YEAR(V$2)-YEAR($F237))*12 + MONTH(V$2)-MONTH($F237)) / 12),
  0)</f>
        <v/>
      </c>
      <c r="W237" s="299">
        <f>IF(AND($F237&lt;=W$2, OR($G237="",$G237&gt;=W$2)),
  $H237 * (1 + Assumptions!$C$7) ^ INT(((YEAR(W$2)-YEAR($F237))*12 + MONTH(W$2)-MONTH($F237)) / 12),
  0)</f>
        <v/>
      </c>
      <c r="X237" s="299">
        <f>IF(AND($F237&lt;=X$2, OR($G237="",$G237&gt;=X$2)),
  $H237 * (1 + Assumptions!$C$7) ^ INT(((YEAR(X$2)-YEAR($F237))*12 + MONTH(X$2)-MONTH($F237)) / 12),
  0)</f>
        <v/>
      </c>
      <c r="Y237" s="299">
        <f>IF(AND($F237&lt;=Y$2, OR($G237="",$G237&gt;=Y$2)),
  $H237 * (1 + Assumptions!$C$7) ^ INT(((YEAR(Y$2)-YEAR($F237))*12 + MONTH(Y$2)-MONTH($F237)) / 12),
  0)</f>
        <v/>
      </c>
      <c r="Z237" s="299">
        <f>IF(AND($F237&lt;=Z$2, OR($G237="",$G237&gt;=Z$2)),
  $H237 * (1 + Assumptions!$C$7) ^ INT(((YEAR(Z$2)-YEAR($F237))*12 + MONTH(Z$2)-MONTH($F237)) / 12),
  0)</f>
        <v/>
      </c>
      <c r="AA237" s="299">
        <f>IF(AND($F237&lt;=AA$2, OR($G237="",$G237&gt;=AA$2)),
  $H237 * (1 + Assumptions!$C$7) ^ INT(((YEAR(AA$2)-YEAR($F237))*12 + MONTH(AA$2)-MONTH($F237)) / 12),
  0)</f>
        <v/>
      </c>
      <c r="AB237" s="299">
        <f>IF(AND($F237&lt;=AB$2, OR($G237="",$G237&gt;=AB$2)),
  $H237 * (1 + Assumptions!$C$7) ^ INT(((YEAR(AB$2)-YEAR($F237))*12 + MONTH(AB$2)-MONTH($F237)) / 12),
  0)</f>
        <v/>
      </c>
      <c r="AC237" s="299">
        <f>IF(AND($F237&lt;=AC$2, OR($G237="",$G237&gt;=AC$2)),
  $H237 * (1 + Assumptions!$C$7) ^ INT(((YEAR(AC$2)-YEAR($F237))*12 + MONTH(AC$2)-MONTH($F237)) / 12),
  0)</f>
        <v/>
      </c>
      <c r="AD237" s="299">
        <f>IF(AND($F237&lt;=AD$2, OR($G237="",$G237&gt;=AD$2)),
  $H237 * (1 + Assumptions!$C$7) ^ INT(((YEAR(AD$2)-YEAR($F237))*12 + MONTH(AD$2)-MONTH($F237)) / 12),
  0)</f>
        <v/>
      </c>
      <c r="AE237" s="299">
        <f>IF(AND($F237&lt;=AE$2, OR($G237="",$G237&gt;=AE$2)),
  $H237 * (1 + Assumptions!$C$7) ^ INT(((YEAR(AE$2)-YEAR($F237))*12 + MONTH(AE$2)-MONTH($F237)) / 12),
  0)</f>
        <v/>
      </c>
      <c r="AF237" s="299">
        <f>IF(AND($F237&lt;=AF$2, OR($G237="",$G237&gt;=AF$2)),
  $H237 * (1 + Assumptions!$C$7) ^ INT(((YEAR(AF$2)-YEAR($F237))*12 + MONTH(AF$2)-MONTH($F237)) / 12),
  0)</f>
        <v/>
      </c>
      <c r="AG237" s="299">
        <f>IF(AND($F237&lt;=AG$2, OR($G237="",$G237&gt;=AG$2)),
  $H237 * (1 + Assumptions!$C$7) ^ INT(((YEAR(AG$2)-YEAR($F237))*12 + MONTH(AG$2)-MONTH($F237)) / 12),
  0)</f>
        <v/>
      </c>
      <c r="AH237" s="299">
        <f>IF(AND($F237&lt;=AH$2, OR($G237="",$G237&gt;=AH$2)),
  $H237 * (1 + Assumptions!$C$7) ^ INT(((YEAR(AH$2)-YEAR($F237))*12 + MONTH(AH$2)-MONTH($F237)) / 12),
  0)</f>
        <v/>
      </c>
      <c r="AI237" s="299">
        <f>IF(AND($F237&lt;=AI$2, OR($G237="",$G237&gt;=AI$2)),
  $H237 * (1 + Assumptions!$C$7) ^ INT(((YEAR(AI$2)-YEAR($F237))*12 + MONTH(AI$2)-MONTH($F237)) / 12),
  0)</f>
        <v/>
      </c>
      <c r="AJ237" s="299">
        <f>IF(AND($F237&lt;=AJ$2, OR($G237="",$G237&gt;=AJ$2)),
  $H237 * (1 + Assumptions!$C$7) ^ INT(((YEAR(AJ$2)-YEAR($F237))*12 + MONTH(AJ$2)-MONTH($F237)) / 12),
  0)</f>
        <v/>
      </c>
      <c r="AK237" s="299">
        <f>IF(AND($F237&lt;=AK$2, OR($G237="",$G237&gt;=AK$2)),
  $H237 * (1 + Assumptions!$C$7) ^ INT(((YEAR(AK$2)-YEAR($F237))*12 + MONTH(AK$2)-MONTH($F237)) / 12),
  0)</f>
        <v/>
      </c>
      <c r="AL237" s="299">
        <f>IF(AND($F237&lt;=AL$2, OR($G237="",$G237&gt;=AL$2)),
  $H237 * (1 + Assumptions!$C$7) ^ INT(((YEAR(AL$2)-YEAR($F237))*12 + MONTH(AL$2)-MONTH($F237)) / 12),
  0)</f>
        <v/>
      </c>
      <c r="AM237" s="299">
        <f>IF(AND($F237&lt;=AM$2, OR($G237="",$G237&gt;=AM$2)),
  $H237 * (1 + Assumptions!$C$7) ^ INT(((YEAR(AM$2)-YEAR($F237))*12 + MONTH(AM$2)-MONTH($F237)) / 12),
  0)</f>
        <v/>
      </c>
      <c r="AN237" s="299">
        <f>IF(AND($F237&lt;=AN$2, OR($G237="",$G237&gt;=AN$2)),
  $H237 * (1 + Assumptions!$C$7) ^ INT(((YEAR(AN$2)-YEAR($F237))*12 + MONTH(AN$2)-MONTH($F237)) / 12),
  0)</f>
        <v/>
      </c>
      <c r="AO237" s="299">
        <f>IF(AND($F237&lt;=AO$2, OR($G237="",$G237&gt;=AO$2)),
  $H237 * (1 + Assumptions!$C$7) ^ INT(((YEAR(AO$2)-YEAR($F237))*12 + MONTH(AO$2)-MONTH($F237)) / 12),
  0)</f>
        <v/>
      </c>
      <c r="AP237" s="299">
        <f>IF(AND($F237&lt;=AP$2, OR($G237="",$G237&gt;=AP$2)),
  $H237 * (1 + Assumptions!$C$7) ^ INT(((YEAR(AP$2)-YEAR($F237))*12 + MONTH(AP$2)-MONTH($F237)) / 12),
  0)</f>
        <v/>
      </c>
      <c r="AQ237" s="299">
        <f>IF(AND($F237&lt;=AQ$2, OR($G237="",$G237&gt;=AQ$2)),
  $H237 * (1 + Assumptions!$C$7) ^ INT(((YEAR(AQ$2)-YEAR($F237))*12 + MONTH(AQ$2)-MONTH($F237)) / 12),
  0)</f>
        <v/>
      </c>
      <c r="AR237" s="299">
        <f>IF(AND($F237&lt;=AR$2, OR($G237="",$G237&gt;=AR$2)),
  $H237 * (1 + Assumptions!$C$7) ^ INT(((YEAR(AR$2)-YEAR($F237))*12 + MONTH(AR$2)-MONTH($F237)) / 12),
  0)</f>
        <v/>
      </c>
      <c r="AS237" s="299">
        <f>IF(AND($F237&lt;=AS$2, OR($G237="",$G237&gt;=AS$2)),
  $H237 * (1 + Assumptions!$C$7) ^ INT(((YEAR(AS$2)-YEAR($F237))*12 + MONTH(AS$2)-MONTH($F237)) / 12),
  0)</f>
        <v/>
      </c>
      <c r="AT237" s="299">
        <f>IF(AND($F237&lt;=AT$2, OR($G237="",$G237&gt;=AT$2)),
  $H237 * (1 + Assumptions!$C$7) ^ INT(((YEAR(AT$2)-YEAR($F237))*12 + MONTH(AT$2)-MONTH($F237)) / 12),
  0)</f>
        <v/>
      </c>
      <c r="AU237" s="299">
        <f>IF(AND($F237&lt;=AU$2, OR($G237="",$G237&gt;=AU$2)),
  $H237 * (1 + Assumptions!$C$7) ^ INT(((YEAR(AU$2)-YEAR($F237))*12 + MONTH(AU$2)-MONTH($F237)) / 12),
  0)</f>
        <v/>
      </c>
      <c r="AV237" s="299">
        <f>IF(AND($F237&lt;=AV$2, OR($G237="",$G237&gt;=AV$2)),
  $H237 * (1 + Assumptions!$C$7) ^ INT(((YEAR(AV$2)-YEAR($F237))*12 + MONTH(AV$2)-MONTH($F237)) / 12),
  0)</f>
        <v/>
      </c>
      <c r="AW237" s="299">
        <f>IF(AND($F237&lt;=AW$2, OR($G237="",$G237&gt;=AW$2)),
  $H237 * (1 + Assumptions!$C$7) ^ INT(((YEAR(AW$2)-YEAR($F237))*12 + MONTH(AW$2)-MONTH($F237)) / 12),
  0)</f>
        <v/>
      </c>
      <c r="AX237" s="299">
        <f>IF(AND($F237&lt;=AX$2, OR($G237="",$G237&gt;=AX$2)),
  $H237 * (1 + Assumptions!$C$7) ^ INT(((YEAR(AX$2)-YEAR($F237))*12 + MONTH(AX$2)-MONTH($F237)) / 12),
  0)</f>
        <v/>
      </c>
      <c r="AY237" s="299">
        <f>IF(AND($F237&lt;=AY$2, OR($G237="",$G237&gt;=AY$2)),
  $H237 * (1 + Assumptions!$C$7) ^ INT(((YEAR(AY$2)-YEAR($F237))*12 + MONTH(AY$2)-MONTH($F237)) / 12),
  0)</f>
        <v/>
      </c>
      <c r="AZ237" s="299">
        <f>IF(AND($F237&lt;=AZ$2, OR($G237="",$G237&gt;=AZ$2)),
  $H237 * (1 + Assumptions!$C$7) ^ INT(((YEAR(AZ$2)-YEAR($F237))*12 + MONTH(AZ$2)-MONTH($F237)) / 12),
  0)</f>
        <v/>
      </c>
      <c r="BA237" s="299">
        <f>IF(AND($F237&lt;=BA$2, OR($G237="",$G237&gt;=BA$2)),
  $H237 * (1 + Assumptions!$C$7) ^ INT(((YEAR(BA$2)-YEAR($F237))*12 + MONTH(BA$2)-MONTH($F237)) / 12),
  0)</f>
        <v/>
      </c>
      <c r="BB237" s="299">
        <f>IF(AND($F237&lt;=BB$2, OR($G237="",$G237&gt;=BB$2)),
  $H237 * (1 + Assumptions!$C$7) ^ INT(((YEAR(BB$2)-YEAR($F237))*12 + MONTH(BB$2)-MONTH($F237)) / 12),
  0)</f>
        <v/>
      </c>
      <c r="BC237" s="299">
        <f>IF(AND($F237&lt;=BC$2, OR($G237="",$G237&gt;=BC$2)),
  $H237 * (1 + Assumptions!$C$7) ^ INT(((YEAR(BC$2)-YEAR($F237))*12 + MONTH(BC$2)-MONTH($F237)) / 12),
  0)</f>
        <v/>
      </c>
      <c r="BD237" s="299">
        <f>IF(AND($F237&lt;=BD$2, OR($G237="",$G237&gt;=BD$2)),
  $H237 * (1 + Assumptions!$C$7) ^ INT(((YEAR(BD$2)-YEAR($F237))*12 + MONTH(BD$2)-MONTH($F237)) / 12),
  0)</f>
        <v/>
      </c>
      <c r="BE237" s="299">
        <f>IF(AND($F237&lt;=BE$2, OR($G237="",$G237&gt;=BE$2)),
  $H237 * (1 + Assumptions!$C$7) ^ INT(((YEAR(BE$2)-YEAR($F237))*12 + MONTH(BE$2)-MONTH($F237)) / 12),
  0)</f>
        <v/>
      </c>
      <c r="BF237" s="299">
        <f>IF(AND($F237&lt;=BF$2, OR($G237="",$G237&gt;=BF$2)),
  $H237 * (1 + Assumptions!$C$7) ^ INT(((YEAR(BF$2)-YEAR($F237))*12 + MONTH(BF$2)-MONTH($F237)) / 12),
  0)</f>
        <v/>
      </c>
      <c r="BG237" s="299">
        <f>IF(AND($F237&lt;=BG$2, OR($G237="",$G237&gt;=BG$2)),
  $H237 * (1 + Assumptions!$C$7) ^ INT(((YEAR(BG$2)-YEAR($F237))*12 + MONTH(BG$2)-MONTH($F237)) / 12),
  0)</f>
        <v/>
      </c>
      <c r="BH237" s="299">
        <f>IF(AND($F237&lt;=BH$2, OR($G237="",$G237&gt;=BH$2)),
  $H237 * (1 + Assumptions!$C$7) ^ INT(((YEAR(BH$2)-YEAR($F237))*12 + MONTH(BH$2)-MONTH($F237)) / 12),
  0)</f>
        <v/>
      </c>
      <c r="BI237" s="299">
        <f>IF(AND($F237&lt;=BI$2, OR($G237="",$G237&gt;=BI$2)),
  $H237 * (1 + Assumptions!$C$7) ^ INT(((YEAR(BI$2)-YEAR($F237))*12 + MONTH(BI$2)-MONTH($F237)) / 12),
  0)</f>
        <v/>
      </c>
      <c r="BJ237" s="299">
        <f>IF(AND($F237&lt;=BJ$2, OR($G237="",$G237&gt;=BJ$2)),
  $H237 * (1 + Assumptions!$C$7) ^ INT(((YEAR(BJ$2)-YEAR($F237))*12 + MONTH(BJ$2)-MONTH($F237)) / 12),
  0)</f>
        <v/>
      </c>
      <c r="BK237" s="299">
        <f>IF(AND($F237&lt;=BK$2, OR($G237="",$G237&gt;=BK$2)),
  $H237 * (1 + Assumptions!$C$7) ^ INT(((YEAR(BK$2)-YEAR($F237))*12 + MONTH(BK$2)-MONTH($F237)) / 12),
  0)</f>
        <v/>
      </c>
      <c r="BL237" s="299">
        <f>IF(AND($F237&lt;=BL$2, OR($G237="",$G237&gt;=BL$2)),
  $H237 * (1 + Assumptions!$C$7) ^ INT(((YEAR(BL$2)-YEAR($F237))*12 + MONTH(BL$2)-MONTH($F237)) / 12),
  0)</f>
        <v/>
      </c>
      <c r="BM237" s="299">
        <f>IF(AND($F237&lt;=BM$2, OR($G237="",$G237&gt;=BM$2)),
  $H237 * (1 + Assumptions!$C$7) ^ INT(((YEAR(BM$2)-YEAR($F237))*12 + MONTH(BM$2)-MONTH($F237)) / 12),
  0)</f>
        <v/>
      </c>
      <c r="BN237" s="299">
        <f>IF(AND($F237&lt;=BN$2, OR($G237="",$G237&gt;=BN$2)),
  $H237 * (1 + Assumptions!$C$7) ^ INT(((YEAR(BN$2)-YEAR($F237))*12 + MONTH(BN$2)-MONTH($F237)) / 12),
  0)</f>
        <v/>
      </c>
      <c r="BO237" s="299">
        <f>IF(AND($F237&lt;=BO$2, OR($G237="",$G237&gt;=BO$2)),
  $H237 * (1 + Assumptions!$C$7) ^ INT(((YEAR(BO$2)-YEAR($F237))*12 + MONTH(BO$2)-MONTH($F237)) / 12),
  0)</f>
        <v/>
      </c>
      <c r="BP237" s="299">
        <f>IF(AND($F237&lt;=BP$2, OR($G237="",$G237&gt;=BP$2)),
  $H237 * (1 + Assumptions!$C$7) ^ INT(((YEAR(BP$2)-YEAR($F237))*12 + MONTH(BP$2)-MONTH($F237)) / 12),
  0)</f>
        <v/>
      </c>
      <c r="BQ237" s="31" t="n"/>
      <c r="BR237" s="31" t="n"/>
      <c r="BS237" s="31" t="n"/>
      <c r="BT237" s="31" t="n"/>
    </row>
    <row r="238" ht="15.75" customHeight="1" s="349">
      <c r="A238" s="321" t="n">
        <v>233</v>
      </c>
      <c r="B238" s="285" t="inlineStr">
        <is>
          <t>New hire</t>
        </is>
      </c>
      <c r="C238" s="317" t="inlineStr">
        <is>
          <t>R&amp;D</t>
        </is>
      </c>
      <c r="D238" s="317" t="inlineStr">
        <is>
          <t>R&amp;D Engineer</t>
        </is>
      </c>
      <c r="E238" s="297" t="inlineStr">
        <is>
          <t>Planned</t>
        </is>
      </c>
      <c r="F238" s="318">
        <f>IF(Assumptions!$D$82=2,DATE(2029,1,1),DATE(2035,1,1))</f>
        <v/>
      </c>
      <c r="G238" s="318" t="n"/>
      <c r="H238" s="288" t="n">
        <v>8000</v>
      </c>
      <c r="I238" s="299">
        <f>IF(AND($F238&lt;=I$2, OR($G238="",$G238&gt;=I$2)),
  $H238 * (1 + Assumptions!$C$7) ^ INT(((YEAR(I$2)-YEAR($F238))*12 + MONTH(I$2)-MONTH($F238)) / 12),
  0)</f>
        <v/>
      </c>
      <c r="J238" s="299">
        <f>IF(AND($F238&lt;=J$2, OR($G238="",$G238&gt;=J$2)),
  $H238 * (1 + Assumptions!$C$7) ^ INT(((YEAR(J$2)-YEAR($F238))*12 + MONTH(J$2)-MONTH($F238)) / 12),
  0)</f>
        <v/>
      </c>
      <c r="K238" s="299">
        <f>IF(AND($F238&lt;=K$2, OR($G238="",$G238&gt;=K$2)),
  $H238 * (1 + Assumptions!$C$7) ^ INT(((YEAR(K$2)-YEAR($F238))*12 + MONTH(K$2)-MONTH($F238)) / 12),
  0)</f>
        <v/>
      </c>
      <c r="L238" s="299">
        <f>IF(AND($F238&lt;=L$2, OR($G238="",$G238&gt;=L$2)),
  $H238 * (1 + Assumptions!$C$7) ^ INT(((YEAR(L$2)-YEAR($F238))*12 + MONTH(L$2)-MONTH($F238)) / 12),
  0)</f>
        <v/>
      </c>
      <c r="M238" s="299">
        <f>IF(AND($F238&lt;=M$2, OR($G238="",$G238&gt;=M$2)),
  $H238 * (1 + Assumptions!$C$7) ^ INT(((YEAR(M$2)-YEAR($F238))*12 + MONTH(M$2)-MONTH($F238)) / 12),
  0)</f>
        <v/>
      </c>
      <c r="N238" s="299">
        <f>IF(AND($F238&lt;=N$2, OR($G238="",$G238&gt;=N$2)),
  $H238 * (1 + Assumptions!$C$7) ^ INT(((YEAR(N$2)-YEAR($F238))*12 + MONTH(N$2)-MONTH($F238)) / 12),
  0)</f>
        <v/>
      </c>
      <c r="O238" s="299">
        <f>IF(AND($F238&lt;=O$2, OR($G238="",$G238&gt;=O$2)),
  $H238 * (1 + Assumptions!$C$7) ^ INT(((YEAR(O$2)-YEAR($F238))*12 + MONTH(O$2)-MONTH($F238)) / 12),
  0)</f>
        <v/>
      </c>
      <c r="P238" s="299">
        <f>IF(AND($F238&lt;=P$2, OR($G238="",$G238&gt;=P$2)),
  $H238 * (1 + Assumptions!$C$7) ^ INT(((YEAR(P$2)-YEAR($F238))*12 + MONTH(P$2)-MONTH($F238)) / 12),
  0)</f>
        <v/>
      </c>
      <c r="Q238" s="299">
        <f>IF(AND($F238&lt;=Q$2, OR($G238="",$G238&gt;=Q$2)),
  $H238 * (1 + Assumptions!$C$7) ^ INT(((YEAR(Q$2)-YEAR($F238))*12 + MONTH(Q$2)-MONTH($F238)) / 12),
  0)</f>
        <v/>
      </c>
      <c r="R238" s="299">
        <f>IF(AND($F238&lt;=R$2, OR($G238="",$G238&gt;=R$2)),
  $H238 * (1 + Assumptions!$C$7) ^ INT(((YEAR(R$2)-YEAR($F238))*12 + MONTH(R$2)-MONTH($F238)) / 12),
  0)</f>
        <v/>
      </c>
      <c r="S238" s="299">
        <f>IF(AND($F238&lt;=S$2, OR($G238="",$G238&gt;=S$2)),
  $H238 * (1 + Assumptions!$C$7) ^ INT(((YEAR(S$2)-YEAR($F238))*12 + MONTH(S$2)-MONTH($F238)) / 12),
  0)</f>
        <v/>
      </c>
      <c r="T238" s="299">
        <f>IF(AND($F238&lt;=T$2, OR($G238="",$G238&gt;=T$2)),
  $H238 * (1 + Assumptions!$C$7) ^ INT(((YEAR(T$2)-YEAR($F238))*12 + MONTH(T$2)-MONTH($F238)) / 12),
  0)</f>
        <v/>
      </c>
      <c r="U238" s="299">
        <f>IF(AND($F238&lt;=U$2, OR($G238="",$G238&gt;=U$2)),
  $H238 * (1 + Assumptions!$C$7) ^ INT(((YEAR(U$2)-YEAR($F238))*12 + MONTH(U$2)-MONTH($F238)) / 12),
  0)</f>
        <v/>
      </c>
      <c r="V238" s="299">
        <f>IF(AND($F238&lt;=V$2, OR($G238="",$G238&gt;=V$2)),
  $H238 * (1 + Assumptions!$C$7) ^ INT(((YEAR(V$2)-YEAR($F238))*12 + MONTH(V$2)-MONTH($F238)) / 12),
  0)</f>
        <v/>
      </c>
      <c r="W238" s="299">
        <f>IF(AND($F238&lt;=W$2, OR($G238="",$G238&gt;=W$2)),
  $H238 * (1 + Assumptions!$C$7) ^ INT(((YEAR(W$2)-YEAR($F238))*12 + MONTH(W$2)-MONTH($F238)) / 12),
  0)</f>
        <v/>
      </c>
      <c r="X238" s="299">
        <f>IF(AND($F238&lt;=X$2, OR($G238="",$G238&gt;=X$2)),
  $H238 * (1 + Assumptions!$C$7) ^ INT(((YEAR(X$2)-YEAR($F238))*12 + MONTH(X$2)-MONTH($F238)) / 12),
  0)</f>
        <v/>
      </c>
      <c r="Y238" s="299">
        <f>IF(AND($F238&lt;=Y$2, OR($G238="",$G238&gt;=Y$2)),
  $H238 * (1 + Assumptions!$C$7) ^ INT(((YEAR(Y$2)-YEAR($F238))*12 + MONTH(Y$2)-MONTH($F238)) / 12),
  0)</f>
        <v/>
      </c>
      <c r="Z238" s="299">
        <f>IF(AND($F238&lt;=Z$2, OR($G238="",$G238&gt;=Z$2)),
  $H238 * (1 + Assumptions!$C$7) ^ INT(((YEAR(Z$2)-YEAR($F238))*12 + MONTH(Z$2)-MONTH($F238)) / 12),
  0)</f>
        <v/>
      </c>
      <c r="AA238" s="299">
        <f>IF(AND($F238&lt;=AA$2, OR($G238="",$G238&gt;=AA$2)),
  $H238 * (1 + Assumptions!$C$7) ^ INT(((YEAR(AA$2)-YEAR($F238))*12 + MONTH(AA$2)-MONTH($F238)) / 12),
  0)</f>
        <v/>
      </c>
      <c r="AB238" s="299">
        <f>IF(AND($F238&lt;=AB$2, OR($G238="",$G238&gt;=AB$2)),
  $H238 * (1 + Assumptions!$C$7) ^ INT(((YEAR(AB$2)-YEAR($F238))*12 + MONTH(AB$2)-MONTH($F238)) / 12),
  0)</f>
        <v/>
      </c>
      <c r="AC238" s="299">
        <f>IF(AND($F238&lt;=AC$2, OR($G238="",$G238&gt;=AC$2)),
  $H238 * (1 + Assumptions!$C$7) ^ INT(((YEAR(AC$2)-YEAR($F238))*12 + MONTH(AC$2)-MONTH($F238)) / 12),
  0)</f>
        <v/>
      </c>
      <c r="AD238" s="299">
        <f>IF(AND($F238&lt;=AD$2, OR($G238="",$G238&gt;=AD$2)),
  $H238 * (1 + Assumptions!$C$7) ^ INT(((YEAR(AD$2)-YEAR($F238))*12 + MONTH(AD$2)-MONTH($F238)) / 12),
  0)</f>
        <v/>
      </c>
      <c r="AE238" s="299">
        <f>IF(AND($F238&lt;=AE$2, OR($G238="",$G238&gt;=AE$2)),
  $H238 * (1 + Assumptions!$C$7) ^ INT(((YEAR(AE$2)-YEAR($F238))*12 + MONTH(AE$2)-MONTH($F238)) / 12),
  0)</f>
        <v/>
      </c>
      <c r="AF238" s="299">
        <f>IF(AND($F238&lt;=AF$2, OR($G238="",$G238&gt;=AF$2)),
  $H238 * (1 + Assumptions!$C$7) ^ INT(((YEAR(AF$2)-YEAR($F238))*12 + MONTH(AF$2)-MONTH($F238)) / 12),
  0)</f>
        <v/>
      </c>
      <c r="AG238" s="299">
        <f>IF(AND($F238&lt;=AG$2, OR($G238="",$G238&gt;=AG$2)),
  $H238 * (1 + Assumptions!$C$7) ^ INT(((YEAR(AG$2)-YEAR($F238))*12 + MONTH(AG$2)-MONTH($F238)) / 12),
  0)</f>
        <v/>
      </c>
      <c r="AH238" s="299">
        <f>IF(AND($F238&lt;=AH$2, OR($G238="",$G238&gt;=AH$2)),
  $H238 * (1 + Assumptions!$C$7) ^ INT(((YEAR(AH$2)-YEAR($F238))*12 + MONTH(AH$2)-MONTH($F238)) / 12),
  0)</f>
        <v/>
      </c>
      <c r="AI238" s="299">
        <f>IF(AND($F238&lt;=AI$2, OR($G238="",$G238&gt;=AI$2)),
  $H238 * (1 + Assumptions!$C$7) ^ INT(((YEAR(AI$2)-YEAR($F238))*12 + MONTH(AI$2)-MONTH($F238)) / 12),
  0)</f>
        <v/>
      </c>
      <c r="AJ238" s="299">
        <f>IF(AND($F238&lt;=AJ$2, OR($G238="",$G238&gt;=AJ$2)),
  $H238 * (1 + Assumptions!$C$7) ^ INT(((YEAR(AJ$2)-YEAR($F238))*12 + MONTH(AJ$2)-MONTH($F238)) / 12),
  0)</f>
        <v/>
      </c>
      <c r="AK238" s="299">
        <f>IF(AND($F238&lt;=AK$2, OR($G238="",$G238&gt;=AK$2)),
  $H238 * (1 + Assumptions!$C$7) ^ INT(((YEAR(AK$2)-YEAR($F238))*12 + MONTH(AK$2)-MONTH($F238)) / 12),
  0)</f>
        <v/>
      </c>
      <c r="AL238" s="299">
        <f>IF(AND($F238&lt;=AL$2, OR($G238="",$G238&gt;=AL$2)),
  $H238 * (1 + Assumptions!$C$7) ^ INT(((YEAR(AL$2)-YEAR($F238))*12 + MONTH(AL$2)-MONTH($F238)) / 12),
  0)</f>
        <v/>
      </c>
      <c r="AM238" s="299">
        <f>IF(AND($F238&lt;=AM$2, OR($G238="",$G238&gt;=AM$2)),
  $H238 * (1 + Assumptions!$C$7) ^ INT(((YEAR(AM$2)-YEAR($F238))*12 + MONTH(AM$2)-MONTH($F238)) / 12),
  0)</f>
        <v/>
      </c>
      <c r="AN238" s="299">
        <f>IF(AND($F238&lt;=AN$2, OR($G238="",$G238&gt;=AN$2)),
  $H238 * (1 + Assumptions!$C$7) ^ INT(((YEAR(AN$2)-YEAR($F238))*12 + MONTH(AN$2)-MONTH($F238)) / 12),
  0)</f>
        <v/>
      </c>
      <c r="AO238" s="299">
        <f>IF(AND($F238&lt;=AO$2, OR($G238="",$G238&gt;=AO$2)),
  $H238 * (1 + Assumptions!$C$7) ^ INT(((YEAR(AO$2)-YEAR($F238))*12 + MONTH(AO$2)-MONTH($F238)) / 12),
  0)</f>
        <v/>
      </c>
      <c r="AP238" s="299">
        <f>IF(AND($F238&lt;=AP$2, OR($G238="",$G238&gt;=AP$2)),
  $H238 * (1 + Assumptions!$C$7) ^ INT(((YEAR(AP$2)-YEAR($F238))*12 + MONTH(AP$2)-MONTH($F238)) / 12),
  0)</f>
        <v/>
      </c>
      <c r="AQ238" s="299">
        <f>IF(AND($F238&lt;=AQ$2, OR($G238="",$G238&gt;=AQ$2)),
  $H238 * (1 + Assumptions!$C$7) ^ INT(((YEAR(AQ$2)-YEAR($F238))*12 + MONTH(AQ$2)-MONTH($F238)) / 12),
  0)</f>
        <v/>
      </c>
      <c r="AR238" s="299">
        <f>IF(AND($F238&lt;=AR$2, OR($G238="",$G238&gt;=AR$2)),
  $H238 * (1 + Assumptions!$C$7) ^ INT(((YEAR(AR$2)-YEAR($F238))*12 + MONTH(AR$2)-MONTH($F238)) / 12),
  0)</f>
        <v/>
      </c>
      <c r="AS238" s="299">
        <f>IF(AND($F238&lt;=AS$2, OR($G238="",$G238&gt;=AS$2)),
  $H238 * (1 + Assumptions!$C$7) ^ INT(((YEAR(AS$2)-YEAR($F238))*12 + MONTH(AS$2)-MONTH($F238)) / 12),
  0)</f>
        <v/>
      </c>
      <c r="AT238" s="299">
        <f>IF(AND($F238&lt;=AT$2, OR($G238="",$G238&gt;=AT$2)),
  $H238 * (1 + Assumptions!$C$7) ^ INT(((YEAR(AT$2)-YEAR($F238))*12 + MONTH(AT$2)-MONTH($F238)) / 12),
  0)</f>
        <v/>
      </c>
      <c r="AU238" s="299">
        <f>IF(AND($F238&lt;=AU$2, OR($G238="",$G238&gt;=AU$2)),
  $H238 * (1 + Assumptions!$C$7) ^ INT(((YEAR(AU$2)-YEAR($F238))*12 + MONTH(AU$2)-MONTH($F238)) / 12),
  0)</f>
        <v/>
      </c>
      <c r="AV238" s="299">
        <f>IF(AND($F238&lt;=AV$2, OR($G238="",$G238&gt;=AV$2)),
  $H238 * (1 + Assumptions!$C$7) ^ INT(((YEAR(AV$2)-YEAR($F238))*12 + MONTH(AV$2)-MONTH($F238)) / 12),
  0)</f>
        <v/>
      </c>
      <c r="AW238" s="299">
        <f>IF(AND($F238&lt;=AW$2, OR($G238="",$G238&gt;=AW$2)),
  $H238 * (1 + Assumptions!$C$7) ^ INT(((YEAR(AW$2)-YEAR($F238))*12 + MONTH(AW$2)-MONTH($F238)) / 12),
  0)</f>
        <v/>
      </c>
      <c r="AX238" s="299">
        <f>IF(AND($F238&lt;=AX$2, OR($G238="",$G238&gt;=AX$2)),
  $H238 * (1 + Assumptions!$C$7) ^ INT(((YEAR(AX$2)-YEAR($F238))*12 + MONTH(AX$2)-MONTH($F238)) / 12),
  0)</f>
        <v/>
      </c>
      <c r="AY238" s="299">
        <f>IF(AND($F238&lt;=AY$2, OR($G238="",$G238&gt;=AY$2)),
  $H238 * (1 + Assumptions!$C$7) ^ INT(((YEAR(AY$2)-YEAR($F238))*12 + MONTH(AY$2)-MONTH($F238)) / 12),
  0)</f>
        <v/>
      </c>
      <c r="AZ238" s="299">
        <f>IF(AND($F238&lt;=AZ$2, OR($G238="",$G238&gt;=AZ$2)),
  $H238 * (1 + Assumptions!$C$7) ^ INT(((YEAR(AZ$2)-YEAR($F238))*12 + MONTH(AZ$2)-MONTH($F238)) / 12),
  0)</f>
        <v/>
      </c>
      <c r="BA238" s="299">
        <f>IF(AND($F238&lt;=BA$2, OR($G238="",$G238&gt;=BA$2)),
  $H238 * (1 + Assumptions!$C$7) ^ INT(((YEAR(BA$2)-YEAR($F238))*12 + MONTH(BA$2)-MONTH($F238)) / 12),
  0)</f>
        <v/>
      </c>
      <c r="BB238" s="299">
        <f>IF(AND($F238&lt;=BB$2, OR($G238="",$G238&gt;=BB$2)),
  $H238 * (1 + Assumptions!$C$7) ^ INT(((YEAR(BB$2)-YEAR($F238))*12 + MONTH(BB$2)-MONTH($F238)) / 12),
  0)</f>
        <v/>
      </c>
      <c r="BC238" s="299">
        <f>IF(AND($F238&lt;=BC$2, OR($G238="",$G238&gt;=BC$2)),
  $H238 * (1 + Assumptions!$C$7) ^ INT(((YEAR(BC$2)-YEAR($F238))*12 + MONTH(BC$2)-MONTH($F238)) / 12),
  0)</f>
        <v/>
      </c>
      <c r="BD238" s="299">
        <f>IF(AND($F238&lt;=BD$2, OR($G238="",$G238&gt;=BD$2)),
  $H238 * (1 + Assumptions!$C$7) ^ INT(((YEAR(BD$2)-YEAR($F238))*12 + MONTH(BD$2)-MONTH($F238)) / 12),
  0)</f>
        <v/>
      </c>
      <c r="BE238" s="299">
        <f>IF(AND($F238&lt;=BE$2, OR($G238="",$G238&gt;=BE$2)),
  $H238 * (1 + Assumptions!$C$7) ^ INT(((YEAR(BE$2)-YEAR($F238))*12 + MONTH(BE$2)-MONTH($F238)) / 12),
  0)</f>
        <v/>
      </c>
      <c r="BF238" s="299">
        <f>IF(AND($F238&lt;=BF$2, OR($G238="",$G238&gt;=BF$2)),
  $H238 * (1 + Assumptions!$C$7) ^ INT(((YEAR(BF$2)-YEAR($F238))*12 + MONTH(BF$2)-MONTH($F238)) / 12),
  0)</f>
        <v/>
      </c>
      <c r="BG238" s="299">
        <f>IF(AND($F238&lt;=BG$2, OR($G238="",$G238&gt;=BG$2)),
  $H238 * (1 + Assumptions!$C$7) ^ INT(((YEAR(BG$2)-YEAR($F238))*12 + MONTH(BG$2)-MONTH($F238)) / 12),
  0)</f>
        <v/>
      </c>
      <c r="BH238" s="299">
        <f>IF(AND($F238&lt;=BH$2, OR($G238="",$G238&gt;=BH$2)),
  $H238 * (1 + Assumptions!$C$7) ^ INT(((YEAR(BH$2)-YEAR($F238))*12 + MONTH(BH$2)-MONTH($F238)) / 12),
  0)</f>
        <v/>
      </c>
      <c r="BI238" s="299">
        <f>IF(AND($F238&lt;=BI$2, OR($G238="",$G238&gt;=BI$2)),
  $H238 * (1 + Assumptions!$C$7) ^ INT(((YEAR(BI$2)-YEAR($F238))*12 + MONTH(BI$2)-MONTH($F238)) / 12),
  0)</f>
        <v/>
      </c>
      <c r="BJ238" s="299">
        <f>IF(AND($F238&lt;=BJ$2, OR($G238="",$G238&gt;=BJ$2)),
  $H238 * (1 + Assumptions!$C$7) ^ INT(((YEAR(BJ$2)-YEAR($F238))*12 + MONTH(BJ$2)-MONTH($F238)) / 12),
  0)</f>
        <v/>
      </c>
      <c r="BK238" s="299">
        <f>IF(AND($F238&lt;=BK$2, OR($G238="",$G238&gt;=BK$2)),
  $H238 * (1 + Assumptions!$C$7) ^ INT(((YEAR(BK$2)-YEAR($F238))*12 + MONTH(BK$2)-MONTH($F238)) / 12),
  0)</f>
        <v/>
      </c>
      <c r="BL238" s="299">
        <f>IF(AND($F238&lt;=BL$2, OR($G238="",$G238&gt;=BL$2)),
  $H238 * (1 + Assumptions!$C$7) ^ INT(((YEAR(BL$2)-YEAR($F238))*12 + MONTH(BL$2)-MONTH($F238)) / 12),
  0)</f>
        <v/>
      </c>
      <c r="BM238" s="299">
        <f>IF(AND($F238&lt;=BM$2, OR($G238="",$G238&gt;=BM$2)),
  $H238 * (1 + Assumptions!$C$7) ^ INT(((YEAR(BM$2)-YEAR($F238))*12 + MONTH(BM$2)-MONTH($F238)) / 12),
  0)</f>
        <v/>
      </c>
      <c r="BN238" s="299">
        <f>IF(AND($F238&lt;=BN$2, OR($G238="",$G238&gt;=BN$2)),
  $H238 * (1 + Assumptions!$C$7) ^ INT(((YEAR(BN$2)-YEAR($F238))*12 + MONTH(BN$2)-MONTH($F238)) / 12),
  0)</f>
        <v/>
      </c>
      <c r="BO238" s="299">
        <f>IF(AND($F238&lt;=BO$2, OR($G238="",$G238&gt;=BO$2)),
  $H238 * (1 + Assumptions!$C$7) ^ INT(((YEAR(BO$2)-YEAR($F238))*12 + MONTH(BO$2)-MONTH($F238)) / 12),
  0)</f>
        <v/>
      </c>
      <c r="BP238" s="299">
        <f>IF(AND($F238&lt;=BP$2, OR($G238="",$G238&gt;=BP$2)),
  $H238 * (1 + Assumptions!$C$7) ^ INT(((YEAR(BP$2)-YEAR($F238))*12 + MONTH(BP$2)-MONTH($F238)) / 12),
  0)</f>
        <v/>
      </c>
      <c r="BQ238" s="31" t="n"/>
      <c r="BR238" s="31" t="n"/>
      <c r="BS238" s="31" t="n"/>
      <c r="BT238" s="31" t="n"/>
    </row>
    <row r="239" ht="15.75" customHeight="1" s="349">
      <c r="A239" s="321" t="n">
        <v>234</v>
      </c>
      <c r="B239" s="285" t="inlineStr">
        <is>
          <t>New hire</t>
        </is>
      </c>
      <c r="C239" s="317" t="inlineStr">
        <is>
          <t>R&amp;D</t>
        </is>
      </c>
      <c r="D239" s="317" t="inlineStr">
        <is>
          <t>R&amp;D Engineer</t>
        </is>
      </c>
      <c r="E239" s="297" t="inlineStr">
        <is>
          <t>Planned</t>
        </is>
      </c>
      <c r="F239" s="318">
        <f>IF(Assumptions!$D$82=2,DATE(2029,1,1),DATE(2035,1,1))</f>
        <v/>
      </c>
      <c r="G239" s="318" t="n"/>
      <c r="H239" s="288" t="n">
        <v>8000</v>
      </c>
      <c r="I239" s="299">
        <f>IF(AND($F239&lt;=I$2, OR($G239="",$G239&gt;=I$2)),
  $H239 * (1 + Assumptions!$C$7) ^ INT(((YEAR(I$2)-YEAR($F239))*12 + MONTH(I$2)-MONTH($F239)) / 12),
  0)</f>
        <v/>
      </c>
      <c r="J239" s="299">
        <f>IF(AND($F239&lt;=J$2, OR($G239="",$G239&gt;=J$2)),
  $H239 * (1 + Assumptions!$C$7) ^ INT(((YEAR(J$2)-YEAR($F239))*12 + MONTH(J$2)-MONTH($F239)) / 12),
  0)</f>
        <v/>
      </c>
      <c r="K239" s="299">
        <f>IF(AND($F239&lt;=K$2, OR($G239="",$G239&gt;=K$2)),
  $H239 * (1 + Assumptions!$C$7) ^ INT(((YEAR(K$2)-YEAR($F239))*12 + MONTH(K$2)-MONTH($F239)) / 12),
  0)</f>
        <v/>
      </c>
      <c r="L239" s="299">
        <f>IF(AND($F239&lt;=L$2, OR($G239="",$G239&gt;=L$2)),
  $H239 * (1 + Assumptions!$C$7) ^ INT(((YEAR(L$2)-YEAR($F239))*12 + MONTH(L$2)-MONTH($F239)) / 12),
  0)</f>
        <v/>
      </c>
      <c r="M239" s="299">
        <f>IF(AND($F239&lt;=M$2, OR($G239="",$G239&gt;=M$2)),
  $H239 * (1 + Assumptions!$C$7) ^ INT(((YEAR(M$2)-YEAR($F239))*12 + MONTH(M$2)-MONTH($F239)) / 12),
  0)</f>
        <v/>
      </c>
      <c r="N239" s="299">
        <f>IF(AND($F239&lt;=N$2, OR($G239="",$G239&gt;=N$2)),
  $H239 * (1 + Assumptions!$C$7) ^ INT(((YEAR(N$2)-YEAR($F239))*12 + MONTH(N$2)-MONTH($F239)) / 12),
  0)</f>
        <v/>
      </c>
      <c r="O239" s="299">
        <f>IF(AND($F239&lt;=O$2, OR($G239="",$G239&gt;=O$2)),
  $H239 * (1 + Assumptions!$C$7) ^ INT(((YEAR(O$2)-YEAR($F239))*12 + MONTH(O$2)-MONTH($F239)) / 12),
  0)</f>
        <v/>
      </c>
      <c r="P239" s="299">
        <f>IF(AND($F239&lt;=P$2, OR($G239="",$G239&gt;=P$2)),
  $H239 * (1 + Assumptions!$C$7) ^ INT(((YEAR(P$2)-YEAR($F239))*12 + MONTH(P$2)-MONTH($F239)) / 12),
  0)</f>
        <v/>
      </c>
      <c r="Q239" s="299">
        <f>IF(AND($F239&lt;=Q$2, OR($G239="",$G239&gt;=Q$2)),
  $H239 * (1 + Assumptions!$C$7) ^ INT(((YEAR(Q$2)-YEAR($F239))*12 + MONTH(Q$2)-MONTH($F239)) / 12),
  0)</f>
        <v/>
      </c>
      <c r="R239" s="299">
        <f>IF(AND($F239&lt;=R$2, OR($G239="",$G239&gt;=R$2)),
  $H239 * (1 + Assumptions!$C$7) ^ INT(((YEAR(R$2)-YEAR($F239))*12 + MONTH(R$2)-MONTH($F239)) / 12),
  0)</f>
        <v/>
      </c>
      <c r="S239" s="299">
        <f>IF(AND($F239&lt;=S$2, OR($G239="",$G239&gt;=S$2)),
  $H239 * (1 + Assumptions!$C$7) ^ INT(((YEAR(S$2)-YEAR($F239))*12 + MONTH(S$2)-MONTH($F239)) / 12),
  0)</f>
        <v/>
      </c>
      <c r="T239" s="299">
        <f>IF(AND($F239&lt;=T$2, OR($G239="",$G239&gt;=T$2)),
  $H239 * (1 + Assumptions!$C$7) ^ INT(((YEAR(T$2)-YEAR($F239))*12 + MONTH(T$2)-MONTH($F239)) / 12),
  0)</f>
        <v/>
      </c>
      <c r="U239" s="299">
        <f>IF(AND($F239&lt;=U$2, OR($G239="",$G239&gt;=U$2)),
  $H239 * (1 + Assumptions!$C$7) ^ INT(((YEAR(U$2)-YEAR($F239))*12 + MONTH(U$2)-MONTH($F239)) / 12),
  0)</f>
        <v/>
      </c>
      <c r="V239" s="299">
        <f>IF(AND($F239&lt;=V$2, OR($G239="",$G239&gt;=V$2)),
  $H239 * (1 + Assumptions!$C$7) ^ INT(((YEAR(V$2)-YEAR($F239))*12 + MONTH(V$2)-MONTH($F239)) / 12),
  0)</f>
        <v/>
      </c>
      <c r="W239" s="299">
        <f>IF(AND($F239&lt;=W$2, OR($G239="",$G239&gt;=W$2)),
  $H239 * (1 + Assumptions!$C$7) ^ INT(((YEAR(W$2)-YEAR($F239))*12 + MONTH(W$2)-MONTH($F239)) / 12),
  0)</f>
        <v/>
      </c>
      <c r="X239" s="299">
        <f>IF(AND($F239&lt;=X$2, OR($G239="",$G239&gt;=X$2)),
  $H239 * (1 + Assumptions!$C$7) ^ INT(((YEAR(X$2)-YEAR($F239))*12 + MONTH(X$2)-MONTH($F239)) / 12),
  0)</f>
        <v/>
      </c>
      <c r="Y239" s="299">
        <f>IF(AND($F239&lt;=Y$2, OR($G239="",$G239&gt;=Y$2)),
  $H239 * (1 + Assumptions!$C$7) ^ INT(((YEAR(Y$2)-YEAR($F239))*12 + MONTH(Y$2)-MONTH($F239)) / 12),
  0)</f>
        <v/>
      </c>
      <c r="Z239" s="299">
        <f>IF(AND($F239&lt;=Z$2, OR($G239="",$G239&gt;=Z$2)),
  $H239 * (1 + Assumptions!$C$7) ^ INT(((YEAR(Z$2)-YEAR($F239))*12 + MONTH(Z$2)-MONTH($F239)) / 12),
  0)</f>
        <v/>
      </c>
      <c r="AA239" s="299">
        <f>IF(AND($F239&lt;=AA$2, OR($G239="",$G239&gt;=AA$2)),
  $H239 * (1 + Assumptions!$C$7) ^ INT(((YEAR(AA$2)-YEAR($F239))*12 + MONTH(AA$2)-MONTH($F239)) / 12),
  0)</f>
        <v/>
      </c>
      <c r="AB239" s="299">
        <f>IF(AND($F239&lt;=AB$2, OR($G239="",$G239&gt;=AB$2)),
  $H239 * (1 + Assumptions!$C$7) ^ INT(((YEAR(AB$2)-YEAR($F239))*12 + MONTH(AB$2)-MONTH($F239)) / 12),
  0)</f>
        <v/>
      </c>
      <c r="AC239" s="299">
        <f>IF(AND($F239&lt;=AC$2, OR($G239="",$G239&gt;=AC$2)),
  $H239 * (1 + Assumptions!$C$7) ^ INT(((YEAR(AC$2)-YEAR($F239))*12 + MONTH(AC$2)-MONTH($F239)) / 12),
  0)</f>
        <v/>
      </c>
      <c r="AD239" s="299">
        <f>IF(AND($F239&lt;=AD$2, OR($G239="",$G239&gt;=AD$2)),
  $H239 * (1 + Assumptions!$C$7) ^ INT(((YEAR(AD$2)-YEAR($F239))*12 + MONTH(AD$2)-MONTH($F239)) / 12),
  0)</f>
        <v/>
      </c>
      <c r="AE239" s="299">
        <f>IF(AND($F239&lt;=AE$2, OR($G239="",$G239&gt;=AE$2)),
  $H239 * (1 + Assumptions!$C$7) ^ INT(((YEAR(AE$2)-YEAR($F239))*12 + MONTH(AE$2)-MONTH($F239)) / 12),
  0)</f>
        <v/>
      </c>
      <c r="AF239" s="299">
        <f>IF(AND($F239&lt;=AF$2, OR($G239="",$G239&gt;=AF$2)),
  $H239 * (1 + Assumptions!$C$7) ^ INT(((YEAR(AF$2)-YEAR($F239))*12 + MONTH(AF$2)-MONTH($F239)) / 12),
  0)</f>
        <v/>
      </c>
      <c r="AG239" s="299">
        <f>IF(AND($F239&lt;=AG$2, OR($G239="",$G239&gt;=AG$2)),
  $H239 * (1 + Assumptions!$C$7) ^ INT(((YEAR(AG$2)-YEAR($F239))*12 + MONTH(AG$2)-MONTH($F239)) / 12),
  0)</f>
        <v/>
      </c>
      <c r="AH239" s="299">
        <f>IF(AND($F239&lt;=AH$2, OR($G239="",$G239&gt;=AH$2)),
  $H239 * (1 + Assumptions!$C$7) ^ INT(((YEAR(AH$2)-YEAR($F239))*12 + MONTH(AH$2)-MONTH($F239)) / 12),
  0)</f>
        <v/>
      </c>
      <c r="AI239" s="299">
        <f>IF(AND($F239&lt;=AI$2, OR($G239="",$G239&gt;=AI$2)),
  $H239 * (1 + Assumptions!$C$7) ^ INT(((YEAR(AI$2)-YEAR($F239))*12 + MONTH(AI$2)-MONTH($F239)) / 12),
  0)</f>
        <v/>
      </c>
      <c r="AJ239" s="299">
        <f>IF(AND($F239&lt;=AJ$2, OR($G239="",$G239&gt;=AJ$2)),
  $H239 * (1 + Assumptions!$C$7) ^ INT(((YEAR(AJ$2)-YEAR($F239))*12 + MONTH(AJ$2)-MONTH($F239)) / 12),
  0)</f>
        <v/>
      </c>
      <c r="AK239" s="299">
        <f>IF(AND($F239&lt;=AK$2, OR($G239="",$G239&gt;=AK$2)),
  $H239 * (1 + Assumptions!$C$7) ^ INT(((YEAR(AK$2)-YEAR($F239))*12 + MONTH(AK$2)-MONTH($F239)) / 12),
  0)</f>
        <v/>
      </c>
      <c r="AL239" s="299">
        <f>IF(AND($F239&lt;=AL$2, OR($G239="",$G239&gt;=AL$2)),
  $H239 * (1 + Assumptions!$C$7) ^ INT(((YEAR(AL$2)-YEAR($F239))*12 + MONTH(AL$2)-MONTH($F239)) / 12),
  0)</f>
        <v/>
      </c>
      <c r="AM239" s="299">
        <f>IF(AND($F239&lt;=AM$2, OR($G239="",$G239&gt;=AM$2)),
  $H239 * (1 + Assumptions!$C$7) ^ INT(((YEAR(AM$2)-YEAR($F239))*12 + MONTH(AM$2)-MONTH($F239)) / 12),
  0)</f>
        <v/>
      </c>
      <c r="AN239" s="299">
        <f>IF(AND($F239&lt;=AN$2, OR($G239="",$G239&gt;=AN$2)),
  $H239 * (1 + Assumptions!$C$7) ^ INT(((YEAR(AN$2)-YEAR($F239))*12 + MONTH(AN$2)-MONTH($F239)) / 12),
  0)</f>
        <v/>
      </c>
      <c r="AO239" s="299">
        <f>IF(AND($F239&lt;=AO$2, OR($G239="",$G239&gt;=AO$2)),
  $H239 * (1 + Assumptions!$C$7) ^ INT(((YEAR(AO$2)-YEAR($F239))*12 + MONTH(AO$2)-MONTH($F239)) / 12),
  0)</f>
        <v/>
      </c>
      <c r="AP239" s="299">
        <f>IF(AND($F239&lt;=AP$2, OR($G239="",$G239&gt;=AP$2)),
  $H239 * (1 + Assumptions!$C$7) ^ INT(((YEAR(AP$2)-YEAR($F239))*12 + MONTH(AP$2)-MONTH($F239)) / 12),
  0)</f>
        <v/>
      </c>
      <c r="AQ239" s="299">
        <f>IF(AND($F239&lt;=AQ$2, OR($G239="",$G239&gt;=AQ$2)),
  $H239 * (1 + Assumptions!$C$7) ^ INT(((YEAR(AQ$2)-YEAR($F239))*12 + MONTH(AQ$2)-MONTH($F239)) / 12),
  0)</f>
        <v/>
      </c>
      <c r="AR239" s="299">
        <f>IF(AND($F239&lt;=AR$2, OR($G239="",$G239&gt;=AR$2)),
  $H239 * (1 + Assumptions!$C$7) ^ INT(((YEAR(AR$2)-YEAR($F239))*12 + MONTH(AR$2)-MONTH($F239)) / 12),
  0)</f>
        <v/>
      </c>
      <c r="AS239" s="299">
        <f>IF(AND($F239&lt;=AS$2, OR($G239="",$G239&gt;=AS$2)),
  $H239 * (1 + Assumptions!$C$7) ^ INT(((YEAR(AS$2)-YEAR($F239))*12 + MONTH(AS$2)-MONTH($F239)) / 12),
  0)</f>
        <v/>
      </c>
      <c r="AT239" s="299">
        <f>IF(AND($F239&lt;=AT$2, OR($G239="",$G239&gt;=AT$2)),
  $H239 * (1 + Assumptions!$C$7) ^ INT(((YEAR(AT$2)-YEAR($F239))*12 + MONTH(AT$2)-MONTH($F239)) / 12),
  0)</f>
        <v/>
      </c>
      <c r="AU239" s="299">
        <f>IF(AND($F239&lt;=AU$2, OR($G239="",$G239&gt;=AU$2)),
  $H239 * (1 + Assumptions!$C$7) ^ INT(((YEAR(AU$2)-YEAR($F239))*12 + MONTH(AU$2)-MONTH($F239)) / 12),
  0)</f>
        <v/>
      </c>
      <c r="AV239" s="299">
        <f>IF(AND($F239&lt;=AV$2, OR($G239="",$G239&gt;=AV$2)),
  $H239 * (1 + Assumptions!$C$7) ^ INT(((YEAR(AV$2)-YEAR($F239))*12 + MONTH(AV$2)-MONTH($F239)) / 12),
  0)</f>
        <v/>
      </c>
      <c r="AW239" s="299">
        <f>IF(AND($F239&lt;=AW$2, OR($G239="",$G239&gt;=AW$2)),
  $H239 * (1 + Assumptions!$C$7) ^ INT(((YEAR(AW$2)-YEAR($F239))*12 + MONTH(AW$2)-MONTH($F239)) / 12),
  0)</f>
        <v/>
      </c>
      <c r="AX239" s="299">
        <f>IF(AND($F239&lt;=AX$2, OR($G239="",$G239&gt;=AX$2)),
  $H239 * (1 + Assumptions!$C$7) ^ INT(((YEAR(AX$2)-YEAR($F239))*12 + MONTH(AX$2)-MONTH($F239)) / 12),
  0)</f>
        <v/>
      </c>
      <c r="AY239" s="299">
        <f>IF(AND($F239&lt;=AY$2, OR($G239="",$G239&gt;=AY$2)),
  $H239 * (1 + Assumptions!$C$7) ^ INT(((YEAR(AY$2)-YEAR($F239))*12 + MONTH(AY$2)-MONTH($F239)) / 12),
  0)</f>
        <v/>
      </c>
      <c r="AZ239" s="299">
        <f>IF(AND($F239&lt;=AZ$2, OR($G239="",$G239&gt;=AZ$2)),
  $H239 * (1 + Assumptions!$C$7) ^ INT(((YEAR(AZ$2)-YEAR($F239))*12 + MONTH(AZ$2)-MONTH($F239)) / 12),
  0)</f>
        <v/>
      </c>
      <c r="BA239" s="299">
        <f>IF(AND($F239&lt;=BA$2, OR($G239="",$G239&gt;=BA$2)),
  $H239 * (1 + Assumptions!$C$7) ^ INT(((YEAR(BA$2)-YEAR($F239))*12 + MONTH(BA$2)-MONTH($F239)) / 12),
  0)</f>
        <v/>
      </c>
      <c r="BB239" s="299">
        <f>IF(AND($F239&lt;=BB$2, OR($G239="",$G239&gt;=BB$2)),
  $H239 * (1 + Assumptions!$C$7) ^ INT(((YEAR(BB$2)-YEAR($F239))*12 + MONTH(BB$2)-MONTH($F239)) / 12),
  0)</f>
        <v/>
      </c>
      <c r="BC239" s="299">
        <f>IF(AND($F239&lt;=BC$2, OR($G239="",$G239&gt;=BC$2)),
  $H239 * (1 + Assumptions!$C$7) ^ INT(((YEAR(BC$2)-YEAR($F239))*12 + MONTH(BC$2)-MONTH($F239)) / 12),
  0)</f>
        <v/>
      </c>
      <c r="BD239" s="299">
        <f>IF(AND($F239&lt;=BD$2, OR($G239="",$G239&gt;=BD$2)),
  $H239 * (1 + Assumptions!$C$7) ^ INT(((YEAR(BD$2)-YEAR($F239))*12 + MONTH(BD$2)-MONTH($F239)) / 12),
  0)</f>
        <v/>
      </c>
      <c r="BE239" s="299">
        <f>IF(AND($F239&lt;=BE$2, OR($G239="",$G239&gt;=BE$2)),
  $H239 * (1 + Assumptions!$C$7) ^ INT(((YEAR(BE$2)-YEAR($F239))*12 + MONTH(BE$2)-MONTH($F239)) / 12),
  0)</f>
        <v/>
      </c>
      <c r="BF239" s="299">
        <f>IF(AND($F239&lt;=BF$2, OR($G239="",$G239&gt;=BF$2)),
  $H239 * (1 + Assumptions!$C$7) ^ INT(((YEAR(BF$2)-YEAR($F239))*12 + MONTH(BF$2)-MONTH($F239)) / 12),
  0)</f>
        <v/>
      </c>
      <c r="BG239" s="299">
        <f>IF(AND($F239&lt;=BG$2, OR($G239="",$G239&gt;=BG$2)),
  $H239 * (1 + Assumptions!$C$7) ^ INT(((YEAR(BG$2)-YEAR($F239))*12 + MONTH(BG$2)-MONTH($F239)) / 12),
  0)</f>
        <v/>
      </c>
      <c r="BH239" s="299">
        <f>IF(AND($F239&lt;=BH$2, OR($G239="",$G239&gt;=BH$2)),
  $H239 * (1 + Assumptions!$C$7) ^ INT(((YEAR(BH$2)-YEAR($F239))*12 + MONTH(BH$2)-MONTH($F239)) / 12),
  0)</f>
        <v/>
      </c>
      <c r="BI239" s="299">
        <f>IF(AND($F239&lt;=BI$2, OR($G239="",$G239&gt;=BI$2)),
  $H239 * (1 + Assumptions!$C$7) ^ INT(((YEAR(BI$2)-YEAR($F239))*12 + MONTH(BI$2)-MONTH($F239)) / 12),
  0)</f>
        <v/>
      </c>
      <c r="BJ239" s="299">
        <f>IF(AND($F239&lt;=BJ$2, OR($G239="",$G239&gt;=BJ$2)),
  $H239 * (1 + Assumptions!$C$7) ^ INT(((YEAR(BJ$2)-YEAR($F239))*12 + MONTH(BJ$2)-MONTH($F239)) / 12),
  0)</f>
        <v/>
      </c>
      <c r="BK239" s="299">
        <f>IF(AND($F239&lt;=BK$2, OR($G239="",$G239&gt;=BK$2)),
  $H239 * (1 + Assumptions!$C$7) ^ INT(((YEAR(BK$2)-YEAR($F239))*12 + MONTH(BK$2)-MONTH($F239)) / 12),
  0)</f>
        <v/>
      </c>
      <c r="BL239" s="299">
        <f>IF(AND($F239&lt;=BL$2, OR($G239="",$G239&gt;=BL$2)),
  $H239 * (1 + Assumptions!$C$7) ^ INT(((YEAR(BL$2)-YEAR($F239))*12 + MONTH(BL$2)-MONTH($F239)) / 12),
  0)</f>
        <v/>
      </c>
      <c r="BM239" s="299">
        <f>IF(AND($F239&lt;=BM$2, OR($G239="",$G239&gt;=BM$2)),
  $H239 * (1 + Assumptions!$C$7) ^ INT(((YEAR(BM$2)-YEAR($F239))*12 + MONTH(BM$2)-MONTH($F239)) / 12),
  0)</f>
        <v/>
      </c>
      <c r="BN239" s="299">
        <f>IF(AND($F239&lt;=BN$2, OR($G239="",$G239&gt;=BN$2)),
  $H239 * (1 + Assumptions!$C$7) ^ INT(((YEAR(BN$2)-YEAR($F239))*12 + MONTH(BN$2)-MONTH($F239)) / 12),
  0)</f>
        <v/>
      </c>
      <c r="BO239" s="299">
        <f>IF(AND($F239&lt;=BO$2, OR($G239="",$G239&gt;=BO$2)),
  $H239 * (1 + Assumptions!$C$7) ^ INT(((YEAR(BO$2)-YEAR($F239))*12 + MONTH(BO$2)-MONTH($F239)) / 12),
  0)</f>
        <v/>
      </c>
      <c r="BP239" s="299">
        <f>IF(AND($F239&lt;=BP$2, OR($G239="",$G239&gt;=BP$2)),
  $H239 * (1 + Assumptions!$C$7) ^ INT(((YEAR(BP$2)-YEAR($F239))*12 + MONTH(BP$2)-MONTH($F239)) / 12),
  0)</f>
        <v/>
      </c>
      <c r="BQ239" s="31" t="n"/>
      <c r="BR239" s="31" t="n"/>
      <c r="BS239" s="31" t="n"/>
      <c r="BT239" s="31" t="n"/>
    </row>
    <row r="240" ht="15.75" customHeight="1" s="349">
      <c r="A240" s="321" t="n">
        <v>235</v>
      </c>
      <c r="B240" s="285" t="inlineStr">
        <is>
          <t>New hire</t>
        </is>
      </c>
      <c r="C240" s="317" t="inlineStr">
        <is>
          <t>R&amp;D</t>
        </is>
      </c>
      <c r="D240" s="317" t="inlineStr">
        <is>
          <t>R&amp;D Engineer</t>
        </is>
      </c>
      <c r="E240" s="297" t="inlineStr">
        <is>
          <t>Planned</t>
        </is>
      </c>
      <c r="F240" s="318">
        <f>IF(Assumptions!$D$82=2,DATE(2029,1,1),DATE(2035,1,1))</f>
        <v/>
      </c>
      <c r="G240" s="318" t="n"/>
      <c r="H240" s="288" t="n">
        <v>8000</v>
      </c>
      <c r="I240" s="299">
        <f>IF(AND($F240&lt;=I$2, OR($G240="",$G240&gt;=I$2)),
  $H240 * (1 + Assumptions!$C$7) ^ INT(((YEAR(I$2)-YEAR($F240))*12 + MONTH(I$2)-MONTH($F240)) / 12),
  0)</f>
        <v/>
      </c>
      <c r="J240" s="299">
        <f>IF(AND($F240&lt;=J$2, OR($G240="",$G240&gt;=J$2)),
  $H240 * (1 + Assumptions!$C$7) ^ INT(((YEAR(J$2)-YEAR($F240))*12 + MONTH(J$2)-MONTH($F240)) / 12),
  0)</f>
        <v/>
      </c>
      <c r="K240" s="299">
        <f>IF(AND($F240&lt;=K$2, OR($G240="",$G240&gt;=K$2)),
  $H240 * (1 + Assumptions!$C$7) ^ INT(((YEAR(K$2)-YEAR($F240))*12 + MONTH(K$2)-MONTH($F240)) / 12),
  0)</f>
        <v/>
      </c>
      <c r="L240" s="299">
        <f>IF(AND($F240&lt;=L$2, OR($G240="",$G240&gt;=L$2)),
  $H240 * (1 + Assumptions!$C$7) ^ INT(((YEAR(L$2)-YEAR($F240))*12 + MONTH(L$2)-MONTH($F240)) / 12),
  0)</f>
        <v/>
      </c>
      <c r="M240" s="299">
        <f>IF(AND($F240&lt;=M$2, OR($G240="",$G240&gt;=M$2)),
  $H240 * (1 + Assumptions!$C$7) ^ INT(((YEAR(M$2)-YEAR($F240))*12 + MONTH(M$2)-MONTH($F240)) / 12),
  0)</f>
        <v/>
      </c>
      <c r="N240" s="299">
        <f>IF(AND($F240&lt;=N$2, OR($G240="",$G240&gt;=N$2)),
  $H240 * (1 + Assumptions!$C$7) ^ INT(((YEAR(N$2)-YEAR($F240))*12 + MONTH(N$2)-MONTH($F240)) / 12),
  0)</f>
        <v/>
      </c>
      <c r="O240" s="299">
        <f>IF(AND($F240&lt;=O$2, OR($G240="",$G240&gt;=O$2)),
  $H240 * (1 + Assumptions!$C$7) ^ INT(((YEAR(O$2)-YEAR($F240))*12 + MONTH(O$2)-MONTH($F240)) / 12),
  0)</f>
        <v/>
      </c>
      <c r="P240" s="299">
        <f>IF(AND($F240&lt;=P$2, OR($G240="",$G240&gt;=P$2)),
  $H240 * (1 + Assumptions!$C$7) ^ INT(((YEAR(P$2)-YEAR($F240))*12 + MONTH(P$2)-MONTH($F240)) / 12),
  0)</f>
        <v/>
      </c>
      <c r="Q240" s="299">
        <f>IF(AND($F240&lt;=Q$2, OR($G240="",$G240&gt;=Q$2)),
  $H240 * (1 + Assumptions!$C$7) ^ INT(((YEAR(Q$2)-YEAR($F240))*12 + MONTH(Q$2)-MONTH($F240)) / 12),
  0)</f>
        <v/>
      </c>
      <c r="R240" s="299">
        <f>IF(AND($F240&lt;=R$2, OR($G240="",$G240&gt;=R$2)),
  $H240 * (1 + Assumptions!$C$7) ^ INT(((YEAR(R$2)-YEAR($F240))*12 + MONTH(R$2)-MONTH($F240)) / 12),
  0)</f>
        <v/>
      </c>
      <c r="S240" s="299">
        <f>IF(AND($F240&lt;=S$2, OR($G240="",$G240&gt;=S$2)),
  $H240 * (1 + Assumptions!$C$7) ^ INT(((YEAR(S$2)-YEAR($F240))*12 + MONTH(S$2)-MONTH($F240)) / 12),
  0)</f>
        <v/>
      </c>
      <c r="T240" s="299">
        <f>IF(AND($F240&lt;=T$2, OR($G240="",$G240&gt;=T$2)),
  $H240 * (1 + Assumptions!$C$7) ^ INT(((YEAR(T$2)-YEAR($F240))*12 + MONTH(T$2)-MONTH($F240)) / 12),
  0)</f>
        <v/>
      </c>
      <c r="U240" s="299">
        <f>IF(AND($F240&lt;=U$2, OR($G240="",$G240&gt;=U$2)),
  $H240 * (1 + Assumptions!$C$7) ^ INT(((YEAR(U$2)-YEAR($F240))*12 + MONTH(U$2)-MONTH($F240)) / 12),
  0)</f>
        <v/>
      </c>
      <c r="V240" s="299">
        <f>IF(AND($F240&lt;=V$2, OR($G240="",$G240&gt;=V$2)),
  $H240 * (1 + Assumptions!$C$7) ^ INT(((YEAR(V$2)-YEAR($F240))*12 + MONTH(V$2)-MONTH($F240)) / 12),
  0)</f>
        <v/>
      </c>
      <c r="W240" s="299">
        <f>IF(AND($F240&lt;=W$2, OR($G240="",$G240&gt;=W$2)),
  $H240 * (1 + Assumptions!$C$7) ^ INT(((YEAR(W$2)-YEAR($F240))*12 + MONTH(W$2)-MONTH($F240)) / 12),
  0)</f>
        <v/>
      </c>
      <c r="X240" s="299">
        <f>IF(AND($F240&lt;=X$2, OR($G240="",$G240&gt;=X$2)),
  $H240 * (1 + Assumptions!$C$7) ^ INT(((YEAR(X$2)-YEAR($F240))*12 + MONTH(X$2)-MONTH($F240)) / 12),
  0)</f>
        <v/>
      </c>
      <c r="Y240" s="299">
        <f>IF(AND($F240&lt;=Y$2, OR($G240="",$G240&gt;=Y$2)),
  $H240 * (1 + Assumptions!$C$7) ^ INT(((YEAR(Y$2)-YEAR($F240))*12 + MONTH(Y$2)-MONTH($F240)) / 12),
  0)</f>
        <v/>
      </c>
      <c r="Z240" s="299">
        <f>IF(AND($F240&lt;=Z$2, OR($G240="",$G240&gt;=Z$2)),
  $H240 * (1 + Assumptions!$C$7) ^ INT(((YEAR(Z$2)-YEAR($F240))*12 + MONTH(Z$2)-MONTH($F240)) / 12),
  0)</f>
        <v/>
      </c>
      <c r="AA240" s="299">
        <f>IF(AND($F240&lt;=AA$2, OR($G240="",$G240&gt;=AA$2)),
  $H240 * (1 + Assumptions!$C$7) ^ INT(((YEAR(AA$2)-YEAR($F240))*12 + MONTH(AA$2)-MONTH($F240)) / 12),
  0)</f>
        <v/>
      </c>
      <c r="AB240" s="299">
        <f>IF(AND($F240&lt;=AB$2, OR($G240="",$G240&gt;=AB$2)),
  $H240 * (1 + Assumptions!$C$7) ^ INT(((YEAR(AB$2)-YEAR($F240))*12 + MONTH(AB$2)-MONTH($F240)) / 12),
  0)</f>
        <v/>
      </c>
      <c r="AC240" s="299">
        <f>IF(AND($F240&lt;=AC$2, OR($G240="",$G240&gt;=AC$2)),
  $H240 * (1 + Assumptions!$C$7) ^ INT(((YEAR(AC$2)-YEAR($F240))*12 + MONTH(AC$2)-MONTH($F240)) / 12),
  0)</f>
        <v/>
      </c>
      <c r="AD240" s="299">
        <f>IF(AND($F240&lt;=AD$2, OR($G240="",$G240&gt;=AD$2)),
  $H240 * (1 + Assumptions!$C$7) ^ INT(((YEAR(AD$2)-YEAR($F240))*12 + MONTH(AD$2)-MONTH($F240)) / 12),
  0)</f>
        <v/>
      </c>
      <c r="AE240" s="299">
        <f>IF(AND($F240&lt;=AE$2, OR($G240="",$G240&gt;=AE$2)),
  $H240 * (1 + Assumptions!$C$7) ^ INT(((YEAR(AE$2)-YEAR($F240))*12 + MONTH(AE$2)-MONTH($F240)) / 12),
  0)</f>
        <v/>
      </c>
      <c r="AF240" s="299">
        <f>IF(AND($F240&lt;=AF$2, OR($G240="",$G240&gt;=AF$2)),
  $H240 * (1 + Assumptions!$C$7) ^ INT(((YEAR(AF$2)-YEAR($F240))*12 + MONTH(AF$2)-MONTH($F240)) / 12),
  0)</f>
        <v/>
      </c>
      <c r="AG240" s="299">
        <f>IF(AND($F240&lt;=AG$2, OR($G240="",$G240&gt;=AG$2)),
  $H240 * (1 + Assumptions!$C$7) ^ INT(((YEAR(AG$2)-YEAR($F240))*12 + MONTH(AG$2)-MONTH($F240)) / 12),
  0)</f>
        <v/>
      </c>
      <c r="AH240" s="299">
        <f>IF(AND($F240&lt;=AH$2, OR($G240="",$G240&gt;=AH$2)),
  $H240 * (1 + Assumptions!$C$7) ^ INT(((YEAR(AH$2)-YEAR($F240))*12 + MONTH(AH$2)-MONTH($F240)) / 12),
  0)</f>
        <v/>
      </c>
      <c r="AI240" s="299">
        <f>IF(AND($F240&lt;=AI$2, OR($G240="",$G240&gt;=AI$2)),
  $H240 * (1 + Assumptions!$C$7) ^ INT(((YEAR(AI$2)-YEAR($F240))*12 + MONTH(AI$2)-MONTH($F240)) / 12),
  0)</f>
        <v/>
      </c>
      <c r="AJ240" s="299">
        <f>IF(AND($F240&lt;=AJ$2, OR($G240="",$G240&gt;=AJ$2)),
  $H240 * (1 + Assumptions!$C$7) ^ INT(((YEAR(AJ$2)-YEAR($F240))*12 + MONTH(AJ$2)-MONTH($F240)) / 12),
  0)</f>
        <v/>
      </c>
      <c r="AK240" s="299">
        <f>IF(AND($F240&lt;=AK$2, OR($G240="",$G240&gt;=AK$2)),
  $H240 * (1 + Assumptions!$C$7) ^ INT(((YEAR(AK$2)-YEAR($F240))*12 + MONTH(AK$2)-MONTH($F240)) / 12),
  0)</f>
        <v/>
      </c>
      <c r="AL240" s="299">
        <f>IF(AND($F240&lt;=AL$2, OR($G240="",$G240&gt;=AL$2)),
  $H240 * (1 + Assumptions!$C$7) ^ INT(((YEAR(AL$2)-YEAR($F240))*12 + MONTH(AL$2)-MONTH($F240)) / 12),
  0)</f>
        <v/>
      </c>
      <c r="AM240" s="299">
        <f>IF(AND($F240&lt;=AM$2, OR($G240="",$G240&gt;=AM$2)),
  $H240 * (1 + Assumptions!$C$7) ^ INT(((YEAR(AM$2)-YEAR($F240))*12 + MONTH(AM$2)-MONTH($F240)) / 12),
  0)</f>
        <v/>
      </c>
      <c r="AN240" s="299">
        <f>IF(AND($F240&lt;=AN$2, OR($G240="",$G240&gt;=AN$2)),
  $H240 * (1 + Assumptions!$C$7) ^ INT(((YEAR(AN$2)-YEAR($F240))*12 + MONTH(AN$2)-MONTH($F240)) / 12),
  0)</f>
        <v/>
      </c>
      <c r="AO240" s="299">
        <f>IF(AND($F240&lt;=AO$2, OR($G240="",$G240&gt;=AO$2)),
  $H240 * (1 + Assumptions!$C$7) ^ INT(((YEAR(AO$2)-YEAR($F240))*12 + MONTH(AO$2)-MONTH($F240)) / 12),
  0)</f>
        <v/>
      </c>
      <c r="AP240" s="299">
        <f>IF(AND($F240&lt;=AP$2, OR($G240="",$G240&gt;=AP$2)),
  $H240 * (1 + Assumptions!$C$7) ^ INT(((YEAR(AP$2)-YEAR($F240))*12 + MONTH(AP$2)-MONTH($F240)) / 12),
  0)</f>
        <v/>
      </c>
      <c r="AQ240" s="299">
        <f>IF(AND($F240&lt;=AQ$2, OR($G240="",$G240&gt;=AQ$2)),
  $H240 * (1 + Assumptions!$C$7) ^ INT(((YEAR(AQ$2)-YEAR($F240))*12 + MONTH(AQ$2)-MONTH($F240)) / 12),
  0)</f>
        <v/>
      </c>
      <c r="AR240" s="299">
        <f>IF(AND($F240&lt;=AR$2, OR($G240="",$G240&gt;=AR$2)),
  $H240 * (1 + Assumptions!$C$7) ^ INT(((YEAR(AR$2)-YEAR($F240))*12 + MONTH(AR$2)-MONTH($F240)) / 12),
  0)</f>
        <v/>
      </c>
      <c r="AS240" s="299">
        <f>IF(AND($F240&lt;=AS$2, OR($G240="",$G240&gt;=AS$2)),
  $H240 * (1 + Assumptions!$C$7) ^ INT(((YEAR(AS$2)-YEAR($F240))*12 + MONTH(AS$2)-MONTH($F240)) / 12),
  0)</f>
        <v/>
      </c>
      <c r="AT240" s="299">
        <f>IF(AND($F240&lt;=AT$2, OR($G240="",$G240&gt;=AT$2)),
  $H240 * (1 + Assumptions!$C$7) ^ INT(((YEAR(AT$2)-YEAR($F240))*12 + MONTH(AT$2)-MONTH($F240)) / 12),
  0)</f>
        <v/>
      </c>
      <c r="AU240" s="299">
        <f>IF(AND($F240&lt;=AU$2, OR($G240="",$G240&gt;=AU$2)),
  $H240 * (1 + Assumptions!$C$7) ^ INT(((YEAR(AU$2)-YEAR($F240))*12 + MONTH(AU$2)-MONTH($F240)) / 12),
  0)</f>
        <v/>
      </c>
      <c r="AV240" s="299">
        <f>IF(AND($F240&lt;=AV$2, OR($G240="",$G240&gt;=AV$2)),
  $H240 * (1 + Assumptions!$C$7) ^ INT(((YEAR(AV$2)-YEAR($F240))*12 + MONTH(AV$2)-MONTH($F240)) / 12),
  0)</f>
        <v/>
      </c>
      <c r="AW240" s="299">
        <f>IF(AND($F240&lt;=AW$2, OR($G240="",$G240&gt;=AW$2)),
  $H240 * (1 + Assumptions!$C$7) ^ INT(((YEAR(AW$2)-YEAR($F240))*12 + MONTH(AW$2)-MONTH($F240)) / 12),
  0)</f>
        <v/>
      </c>
      <c r="AX240" s="299">
        <f>IF(AND($F240&lt;=AX$2, OR($G240="",$G240&gt;=AX$2)),
  $H240 * (1 + Assumptions!$C$7) ^ INT(((YEAR(AX$2)-YEAR($F240))*12 + MONTH(AX$2)-MONTH($F240)) / 12),
  0)</f>
        <v/>
      </c>
      <c r="AY240" s="299">
        <f>IF(AND($F240&lt;=AY$2, OR($G240="",$G240&gt;=AY$2)),
  $H240 * (1 + Assumptions!$C$7) ^ INT(((YEAR(AY$2)-YEAR($F240))*12 + MONTH(AY$2)-MONTH($F240)) / 12),
  0)</f>
        <v/>
      </c>
      <c r="AZ240" s="299">
        <f>IF(AND($F240&lt;=AZ$2, OR($G240="",$G240&gt;=AZ$2)),
  $H240 * (1 + Assumptions!$C$7) ^ INT(((YEAR(AZ$2)-YEAR($F240))*12 + MONTH(AZ$2)-MONTH($F240)) / 12),
  0)</f>
        <v/>
      </c>
      <c r="BA240" s="299">
        <f>IF(AND($F240&lt;=BA$2, OR($G240="",$G240&gt;=BA$2)),
  $H240 * (1 + Assumptions!$C$7) ^ INT(((YEAR(BA$2)-YEAR($F240))*12 + MONTH(BA$2)-MONTH($F240)) / 12),
  0)</f>
        <v/>
      </c>
      <c r="BB240" s="299">
        <f>IF(AND($F240&lt;=BB$2, OR($G240="",$G240&gt;=BB$2)),
  $H240 * (1 + Assumptions!$C$7) ^ INT(((YEAR(BB$2)-YEAR($F240))*12 + MONTH(BB$2)-MONTH($F240)) / 12),
  0)</f>
        <v/>
      </c>
      <c r="BC240" s="299">
        <f>IF(AND($F240&lt;=BC$2, OR($G240="",$G240&gt;=BC$2)),
  $H240 * (1 + Assumptions!$C$7) ^ INT(((YEAR(BC$2)-YEAR($F240))*12 + MONTH(BC$2)-MONTH($F240)) / 12),
  0)</f>
        <v/>
      </c>
      <c r="BD240" s="299">
        <f>IF(AND($F240&lt;=BD$2, OR($G240="",$G240&gt;=BD$2)),
  $H240 * (1 + Assumptions!$C$7) ^ INT(((YEAR(BD$2)-YEAR($F240))*12 + MONTH(BD$2)-MONTH($F240)) / 12),
  0)</f>
        <v/>
      </c>
      <c r="BE240" s="299">
        <f>IF(AND($F240&lt;=BE$2, OR($G240="",$G240&gt;=BE$2)),
  $H240 * (1 + Assumptions!$C$7) ^ INT(((YEAR(BE$2)-YEAR($F240))*12 + MONTH(BE$2)-MONTH($F240)) / 12),
  0)</f>
        <v/>
      </c>
      <c r="BF240" s="299">
        <f>IF(AND($F240&lt;=BF$2, OR($G240="",$G240&gt;=BF$2)),
  $H240 * (1 + Assumptions!$C$7) ^ INT(((YEAR(BF$2)-YEAR($F240))*12 + MONTH(BF$2)-MONTH($F240)) / 12),
  0)</f>
        <v/>
      </c>
      <c r="BG240" s="299">
        <f>IF(AND($F240&lt;=BG$2, OR($G240="",$G240&gt;=BG$2)),
  $H240 * (1 + Assumptions!$C$7) ^ INT(((YEAR(BG$2)-YEAR($F240))*12 + MONTH(BG$2)-MONTH($F240)) / 12),
  0)</f>
        <v/>
      </c>
      <c r="BH240" s="299">
        <f>IF(AND($F240&lt;=BH$2, OR($G240="",$G240&gt;=BH$2)),
  $H240 * (1 + Assumptions!$C$7) ^ INT(((YEAR(BH$2)-YEAR($F240))*12 + MONTH(BH$2)-MONTH($F240)) / 12),
  0)</f>
        <v/>
      </c>
      <c r="BI240" s="299">
        <f>IF(AND($F240&lt;=BI$2, OR($G240="",$G240&gt;=BI$2)),
  $H240 * (1 + Assumptions!$C$7) ^ INT(((YEAR(BI$2)-YEAR($F240))*12 + MONTH(BI$2)-MONTH($F240)) / 12),
  0)</f>
        <v/>
      </c>
      <c r="BJ240" s="299">
        <f>IF(AND($F240&lt;=BJ$2, OR($G240="",$G240&gt;=BJ$2)),
  $H240 * (1 + Assumptions!$C$7) ^ INT(((YEAR(BJ$2)-YEAR($F240))*12 + MONTH(BJ$2)-MONTH($F240)) / 12),
  0)</f>
        <v/>
      </c>
      <c r="BK240" s="299">
        <f>IF(AND($F240&lt;=BK$2, OR($G240="",$G240&gt;=BK$2)),
  $H240 * (1 + Assumptions!$C$7) ^ INT(((YEAR(BK$2)-YEAR($F240))*12 + MONTH(BK$2)-MONTH($F240)) / 12),
  0)</f>
        <v/>
      </c>
      <c r="BL240" s="299">
        <f>IF(AND($F240&lt;=BL$2, OR($G240="",$G240&gt;=BL$2)),
  $H240 * (1 + Assumptions!$C$7) ^ INT(((YEAR(BL$2)-YEAR($F240))*12 + MONTH(BL$2)-MONTH($F240)) / 12),
  0)</f>
        <v/>
      </c>
      <c r="BM240" s="299">
        <f>IF(AND($F240&lt;=BM$2, OR($G240="",$G240&gt;=BM$2)),
  $H240 * (1 + Assumptions!$C$7) ^ INT(((YEAR(BM$2)-YEAR($F240))*12 + MONTH(BM$2)-MONTH($F240)) / 12),
  0)</f>
        <v/>
      </c>
      <c r="BN240" s="299">
        <f>IF(AND($F240&lt;=BN$2, OR($G240="",$G240&gt;=BN$2)),
  $H240 * (1 + Assumptions!$C$7) ^ INT(((YEAR(BN$2)-YEAR($F240))*12 + MONTH(BN$2)-MONTH($F240)) / 12),
  0)</f>
        <v/>
      </c>
      <c r="BO240" s="299">
        <f>IF(AND($F240&lt;=BO$2, OR($G240="",$G240&gt;=BO$2)),
  $H240 * (1 + Assumptions!$C$7) ^ INT(((YEAR(BO$2)-YEAR($F240))*12 + MONTH(BO$2)-MONTH($F240)) / 12),
  0)</f>
        <v/>
      </c>
      <c r="BP240" s="299">
        <f>IF(AND($F240&lt;=BP$2, OR($G240="",$G240&gt;=BP$2)),
  $H240 * (1 + Assumptions!$C$7) ^ INT(((YEAR(BP$2)-YEAR($F240))*12 + MONTH(BP$2)-MONTH($F240)) / 12),
  0)</f>
        <v/>
      </c>
      <c r="BQ240" s="31" t="n"/>
      <c r="BR240" s="31" t="n"/>
      <c r="BS240" s="31" t="n"/>
      <c r="BT240" s="31" t="n"/>
    </row>
    <row r="241" ht="15.75" customHeight="1" s="349">
      <c r="A241" s="321" t="n">
        <v>236</v>
      </c>
      <c r="B241" s="285" t="inlineStr">
        <is>
          <t>New hire</t>
        </is>
      </c>
      <c r="C241" s="317" t="inlineStr">
        <is>
          <t>R&amp;D</t>
        </is>
      </c>
      <c r="D241" s="317" t="inlineStr">
        <is>
          <t>R&amp;D Engineer</t>
        </is>
      </c>
      <c r="E241" s="297" t="inlineStr">
        <is>
          <t>Planned</t>
        </is>
      </c>
      <c r="F241" s="318">
        <f>IF(Assumptions!$D$82=2,DATE(2029,1,1),DATE(2035,1,1))</f>
        <v/>
      </c>
      <c r="G241" s="318" t="n"/>
      <c r="H241" s="288" t="n">
        <v>8000</v>
      </c>
      <c r="I241" s="299">
        <f>IF(AND($F241&lt;=I$2, OR($G241="",$G241&gt;=I$2)),
  $H241 * (1 + Assumptions!$C$7) ^ INT(((YEAR(I$2)-YEAR($F241))*12 + MONTH(I$2)-MONTH($F241)) / 12),
  0)</f>
        <v/>
      </c>
      <c r="J241" s="299">
        <f>IF(AND($F241&lt;=J$2, OR($G241="",$G241&gt;=J$2)),
  $H241 * (1 + Assumptions!$C$7) ^ INT(((YEAR(J$2)-YEAR($F241))*12 + MONTH(J$2)-MONTH($F241)) / 12),
  0)</f>
        <v/>
      </c>
      <c r="K241" s="299">
        <f>IF(AND($F241&lt;=K$2, OR($G241="",$G241&gt;=K$2)),
  $H241 * (1 + Assumptions!$C$7) ^ INT(((YEAR(K$2)-YEAR($F241))*12 + MONTH(K$2)-MONTH($F241)) / 12),
  0)</f>
        <v/>
      </c>
      <c r="L241" s="299">
        <f>IF(AND($F241&lt;=L$2, OR($G241="",$G241&gt;=L$2)),
  $H241 * (1 + Assumptions!$C$7) ^ INT(((YEAR(L$2)-YEAR($F241))*12 + MONTH(L$2)-MONTH($F241)) / 12),
  0)</f>
        <v/>
      </c>
      <c r="M241" s="299">
        <f>IF(AND($F241&lt;=M$2, OR($G241="",$G241&gt;=M$2)),
  $H241 * (1 + Assumptions!$C$7) ^ INT(((YEAR(M$2)-YEAR($F241))*12 + MONTH(M$2)-MONTH($F241)) / 12),
  0)</f>
        <v/>
      </c>
      <c r="N241" s="299">
        <f>IF(AND($F241&lt;=N$2, OR($G241="",$G241&gt;=N$2)),
  $H241 * (1 + Assumptions!$C$7) ^ INT(((YEAR(N$2)-YEAR($F241))*12 + MONTH(N$2)-MONTH($F241)) / 12),
  0)</f>
        <v/>
      </c>
      <c r="O241" s="299">
        <f>IF(AND($F241&lt;=O$2, OR($G241="",$G241&gt;=O$2)),
  $H241 * (1 + Assumptions!$C$7) ^ INT(((YEAR(O$2)-YEAR($F241))*12 + MONTH(O$2)-MONTH($F241)) / 12),
  0)</f>
        <v/>
      </c>
      <c r="P241" s="299">
        <f>IF(AND($F241&lt;=P$2, OR($G241="",$G241&gt;=P$2)),
  $H241 * (1 + Assumptions!$C$7) ^ INT(((YEAR(P$2)-YEAR($F241))*12 + MONTH(P$2)-MONTH($F241)) / 12),
  0)</f>
        <v/>
      </c>
      <c r="Q241" s="299">
        <f>IF(AND($F241&lt;=Q$2, OR($G241="",$G241&gt;=Q$2)),
  $H241 * (1 + Assumptions!$C$7) ^ INT(((YEAR(Q$2)-YEAR($F241))*12 + MONTH(Q$2)-MONTH($F241)) / 12),
  0)</f>
        <v/>
      </c>
      <c r="R241" s="299">
        <f>IF(AND($F241&lt;=R$2, OR($G241="",$G241&gt;=R$2)),
  $H241 * (1 + Assumptions!$C$7) ^ INT(((YEAR(R$2)-YEAR($F241))*12 + MONTH(R$2)-MONTH($F241)) / 12),
  0)</f>
        <v/>
      </c>
      <c r="S241" s="299">
        <f>IF(AND($F241&lt;=S$2, OR($G241="",$G241&gt;=S$2)),
  $H241 * (1 + Assumptions!$C$7) ^ INT(((YEAR(S$2)-YEAR($F241))*12 + MONTH(S$2)-MONTH($F241)) / 12),
  0)</f>
        <v/>
      </c>
      <c r="T241" s="299">
        <f>IF(AND($F241&lt;=T$2, OR($G241="",$G241&gt;=T$2)),
  $H241 * (1 + Assumptions!$C$7) ^ INT(((YEAR(T$2)-YEAR($F241))*12 + MONTH(T$2)-MONTH($F241)) / 12),
  0)</f>
        <v/>
      </c>
      <c r="U241" s="299">
        <f>IF(AND($F241&lt;=U$2, OR($G241="",$G241&gt;=U$2)),
  $H241 * (1 + Assumptions!$C$7) ^ INT(((YEAR(U$2)-YEAR($F241))*12 + MONTH(U$2)-MONTH($F241)) / 12),
  0)</f>
        <v/>
      </c>
      <c r="V241" s="299">
        <f>IF(AND($F241&lt;=V$2, OR($G241="",$G241&gt;=V$2)),
  $H241 * (1 + Assumptions!$C$7) ^ INT(((YEAR(V$2)-YEAR($F241))*12 + MONTH(V$2)-MONTH($F241)) / 12),
  0)</f>
        <v/>
      </c>
      <c r="W241" s="299">
        <f>IF(AND($F241&lt;=W$2, OR($G241="",$G241&gt;=W$2)),
  $H241 * (1 + Assumptions!$C$7) ^ INT(((YEAR(W$2)-YEAR($F241))*12 + MONTH(W$2)-MONTH($F241)) / 12),
  0)</f>
        <v/>
      </c>
      <c r="X241" s="299">
        <f>IF(AND($F241&lt;=X$2, OR($G241="",$G241&gt;=X$2)),
  $H241 * (1 + Assumptions!$C$7) ^ INT(((YEAR(X$2)-YEAR($F241))*12 + MONTH(X$2)-MONTH($F241)) / 12),
  0)</f>
        <v/>
      </c>
      <c r="Y241" s="299">
        <f>IF(AND($F241&lt;=Y$2, OR($G241="",$G241&gt;=Y$2)),
  $H241 * (1 + Assumptions!$C$7) ^ INT(((YEAR(Y$2)-YEAR($F241))*12 + MONTH(Y$2)-MONTH($F241)) / 12),
  0)</f>
        <v/>
      </c>
      <c r="Z241" s="299">
        <f>IF(AND($F241&lt;=Z$2, OR($G241="",$G241&gt;=Z$2)),
  $H241 * (1 + Assumptions!$C$7) ^ INT(((YEAR(Z$2)-YEAR($F241))*12 + MONTH(Z$2)-MONTH($F241)) / 12),
  0)</f>
        <v/>
      </c>
      <c r="AA241" s="299">
        <f>IF(AND($F241&lt;=AA$2, OR($G241="",$G241&gt;=AA$2)),
  $H241 * (1 + Assumptions!$C$7) ^ INT(((YEAR(AA$2)-YEAR($F241))*12 + MONTH(AA$2)-MONTH($F241)) / 12),
  0)</f>
        <v/>
      </c>
      <c r="AB241" s="299">
        <f>IF(AND($F241&lt;=AB$2, OR($G241="",$G241&gt;=AB$2)),
  $H241 * (1 + Assumptions!$C$7) ^ INT(((YEAR(AB$2)-YEAR($F241))*12 + MONTH(AB$2)-MONTH($F241)) / 12),
  0)</f>
        <v/>
      </c>
      <c r="AC241" s="299">
        <f>IF(AND($F241&lt;=AC$2, OR($G241="",$G241&gt;=AC$2)),
  $H241 * (1 + Assumptions!$C$7) ^ INT(((YEAR(AC$2)-YEAR($F241))*12 + MONTH(AC$2)-MONTH($F241)) / 12),
  0)</f>
        <v/>
      </c>
      <c r="AD241" s="299">
        <f>IF(AND($F241&lt;=AD$2, OR($G241="",$G241&gt;=AD$2)),
  $H241 * (1 + Assumptions!$C$7) ^ INT(((YEAR(AD$2)-YEAR($F241))*12 + MONTH(AD$2)-MONTH($F241)) / 12),
  0)</f>
        <v/>
      </c>
      <c r="AE241" s="299">
        <f>IF(AND($F241&lt;=AE$2, OR($G241="",$G241&gt;=AE$2)),
  $H241 * (1 + Assumptions!$C$7) ^ INT(((YEAR(AE$2)-YEAR($F241))*12 + MONTH(AE$2)-MONTH($F241)) / 12),
  0)</f>
        <v/>
      </c>
      <c r="AF241" s="299">
        <f>IF(AND($F241&lt;=AF$2, OR($G241="",$G241&gt;=AF$2)),
  $H241 * (1 + Assumptions!$C$7) ^ INT(((YEAR(AF$2)-YEAR($F241))*12 + MONTH(AF$2)-MONTH($F241)) / 12),
  0)</f>
        <v/>
      </c>
      <c r="AG241" s="299">
        <f>IF(AND($F241&lt;=AG$2, OR($G241="",$G241&gt;=AG$2)),
  $H241 * (1 + Assumptions!$C$7) ^ INT(((YEAR(AG$2)-YEAR($F241))*12 + MONTH(AG$2)-MONTH($F241)) / 12),
  0)</f>
        <v/>
      </c>
      <c r="AH241" s="299">
        <f>IF(AND($F241&lt;=AH$2, OR($G241="",$G241&gt;=AH$2)),
  $H241 * (1 + Assumptions!$C$7) ^ INT(((YEAR(AH$2)-YEAR($F241))*12 + MONTH(AH$2)-MONTH($F241)) / 12),
  0)</f>
        <v/>
      </c>
      <c r="AI241" s="299">
        <f>IF(AND($F241&lt;=AI$2, OR($G241="",$G241&gt;=AI$2)),
  $H241 * (1 + Assumptions!$C$7) ^ INT(((YEAR(AI$2)-YEAR($F241))*12 + MONTH(AI$2)-MONTH($F241)) / 12),
  0)</f>
        <v/>
      </c>
      <c r="AJ241" s="299">
        <f>IF(AND($F241&lt;=AJ$2, OR($G241="",$G241&gt;=AJ$2)),
  $H241 * (1 + Assumptions!$C$7) ^ INT(((YEAR(AJ$2)-YEAR($F241))*12 + MONTH(AJ$2)-MONTH($F241)) / 12),
  0)</f>
        <v/>
      </c>
      <c r="AK241" s="299">
        <f>IF(AND($F241&lt;=AK$2, OR($G241="",$G241&gt;=AK$2)),
  $H241 * (1 + Assumptions!$C$7) ^ INT(((YEAR(AK$2)-YEAR($F241))*12 + MONTH(AK$2)-MONTH($F241)) / 12),
  0)</f>
        <v/>
      </c>
      <c r="AL241" s="299">
        <f>IF(AND($F241&lt;=AL$2, OR($G241="",$G241&gt;=AL$2)),
  $H241 * (1 + Assumptions!$C$7) ^ INT(((YEAR(AL$2)-YEAR($F241))*12 + MONTH(AL$2)-MONTH($F241)) / 12),
  0)</f>
        <v/>
      </c>
      <c r="AM241" s="299">
        <f>IF(AND($F241&lt;=AM$2, OR($G241="",$G241&gt;=AM$2)),
  $H241 * (1 + Assumptions!$C$7) ^ INT(((YEAR(AM$2)-YEAR($F241))*12 + MONTH(AM$2)-MONTH($F241)) / 12),
  0)</f>
        <v/>
      </c>
      <c r="AN241" s="299">
        <f>IF(AND($F241&lt;=AN$2, OR($G241="",$G241&gt;=AN$2)),
  $H241 * (1 + Assumptions!$C$7) ^ INT(((YEAR(AN$2)-YEAR($F241))*12 + MONTH(AN$2)-MONTH($F241)) / 12),
  0)</f>
        <v/>
      </c>
      <c r="AO241" s="299">
        <f>IF(AND($F241&lt;=AO$2, OR($G241="",$G241&gt;=AO$2)),
  $H241 * (1 + Assumptions!$C$7) ^ INT(((YEAR(AO$2)-YEAR($F241))*12 + MONTH(AO$2)-MONTH($F241)) / 12),
  0)</f>
        <v/>
      </c>
      <c r="AP241" s="299">
        <f>IF(AND($F241&lt;=AP$2, OR($G241="",$G241&gt;=AP$2)),
  $H241 * (1 + Assumptions!$C$7) ^ INT(((YEAR(AP$2)-YEAR($F241))*12 + MONTH(AP$2)-MONTH($F241)) / 12),
  0)</f>
        <v/>
      </c>
      <c r="AQ241" s="299">
        <f>IF(AND($F241&lt;=AQ$2, OR($G241="",$G241&gt;=AQ$2)),
  $H241 * (1 + Assumptions!$C$7) ^ INT(((YEAR(AQ$2)-YEAR($F241))*12 + MONTH(AQ$2)-MONTH($F241)) / 12),
  0)</f>
        <v/>
      </c>
      <c r="AR241" s="299">
        <f>IF(AND($F241&lt;=AR$2, OR($G241="",$G241&gt;=AR$2)),
  $H241 * (1 + Assumptions!$C$7) ^ INT(((YEAR(AR$2)-YEAR($F241))*12 + MONTH(AR$2)-MONTH($F241)) / 12),
  0)</f>
        <v/>
      </c>
      <c r="AS241" s="299">
        <f>IF(AND($F241&lt;=AS$2, OR($G241="",$G241&gt;=AS$2)),
  $H241 * (1 + Assumptions!$C$7) ^ INT(((YEAR(AS$2)-YEAR($F241))*12 + MONTH(AS$2)-MONTH($F241)) / 12),
  0)</f>
        <v/>
      </c>
      <c r="AT241" s="299">
        <f>IF(AND($F241&lt;=AT$2, OR($G241="",$G241&gt;=AT$2)),
  $H241 * (1 + Assumptions!$C$7) ^ INT(((YEAR(AT$2)-YEAR($F241))*12 + MONTH(AT$2)-MONTH($F241)) / 12),
  0)</f>
        <v/>
      </c>
      <c r="AU241" s="299">
        <f>IF(AND($F241&lt;=AU$2, OR($G241="",$G241&gt;=AU$2)),
  $H241 * (1 + Assumptions!$C$7) ^ INT(((YEAR(AU$2)-YEAR($F241))*12 + MONTH(AU$2)-MONTH($F241)) / 12),
  0)</f>
        <v/>
      </c>
      <c r="AV241" s="299">
        <f>IF(AND($F241&lt;=AV$2, OR($G241="",$G241&gt;=AV$2)),
  $H241 * (1 + Assumptions!$C$7) ^ INT(((YEAR(AV$2)-YEAR($F241))*12 + MONTH(AV$2)-MONTH($F241)) / 12),
  0)</f>
        <v/>
      </c>
      <c r="AW241" s="299">
        <f>IF(AND($F241&lt;=AW$2, OR($G241="",$G241&gt;=AW$2)),
  $H241 * (1 + Assumptions!$C$7) ^ INT(((YEAR(AW$2)-YEAR($F241))*12 + MONTH(AW$2)-MONTH($F241)) / 12),
  0)</f>
        <v/>
      </c>
      <c r="AX241" s="299">
        <f>IF(AND($F241&lt;=AX$2, OR($G241="",$G241&gt;=AX$2)),
  $H241 * (1 + Assumptions!$C$7) ^ INT(((YEAR(AX$2)-YEAR($F241))*12 + MONTH(AX$2)-MONTH($F241)) / 12),
  0)</f>
        <v/>
      </c>
      <c r="AY241" s="299">
        <f>IF(AND($F241&lt;=AY$2, OR($G241="",$G241&gt;=AY$2)),
  $H241 * (1 + Assumptions!$C$7) ^ INT(((YEAR(AY$2)-YEAR($F241))*12 + MONTH(AY$2)-MONTH($F241)) / 12),
  0)</f>
        <v/>
      </c>
      <c r="AZ241" s="299">
        <f>IF(AND($F241&lt;=AZ$2, OR($G241="",$G241&gt;=AZ$2)),
  $H241 * (1 + Assumptions!$C$7) ^ INT(((YEAR(AZ$2)-YEAR($F241))*12 + MONTH(AZ$2)-MONTH($F241)) / 12),
  0)</f>
        <v/>
      </c>
      <c r="BA241" s="299">
        <f>IF(AND($F241&lt;=BA$2, OR($G241="",$G241&gt;=BA$2)),
  $H241 * (1 + Assumptions!$C$7) ^ INT(((YEAR(BA$2)-YEAR($F241))*12 + MONTH(BA$2)-MONTH($F241)) / 12),
  0)</f>
        <v/>
      </c>
      <c r="BB241" s="299">
        <f>IF(AND($F241&lt;=BB$2, OR($G241="",$G241&gt;=BB$2)),
  $H241 * (1 + Assumptions!$C$7) ^ INT(((YEAR(BB$2)-YEAR($F241))*12 + MONTH(BB$2)-MONTH($F241)) / 12),
  0)</f>
        <v/>
      </c>
      <c r="BC241" s="299">
        <f>IF(AND($F241&lt;=BC$2, OR($G241="",$G241&gt;=BC$2)),
  $H241 * (1 + Assumptions!$C$7) ^ INT(((YEAR(BC$2)-YEAR($F241))*12 + MONTH(BC$2)-MONTH($F241)) / 12),
  0)</f>
        <v/>
      </c>
      <c r="BD241" s="299">
        <f>IF(AND($F241&lt;=BD$2, OR($G241="",$G241&gt;=BD$2)),
  $H241 * (1 + Assumptions!$C$7) ^ INT(((YEAR(BD$2)-YEAR($F241))*12 + MONTH(BD$2)-MONTH($F241)) / 12),
  0)</f>
        <v/>
      </c>
      <c r="BE241" s="299">
        <f>IF(AND($F241&lt;=BE$2, OR($G241="",$G241&gt;=BE$2)),
  $H241 * (1 + Assumptions!$C$7) ^ INT(((YEAR(BE$2)-YEAR($F241))*12 + MONTH(BE$2)-MONTH($F241)) / 12),
  0)</f>
        <v/>
      </c>
      <c r="BF241" s="299">
        <f>IF(AND($F241&lt;=BF$2, OR($G241="",$G241&gt;=BF$2)),
  $H241 * (1 + Assumptions!$C$7) ^ INT(((YEAR(BF$2)-YEAR($F241))*12 + MONTH(BF$2)-MONTH($F241)) / 12),
  0)</f>
        <v/>
      </c>
      <c r="BG241" s="299">
        <f>IF(AND($F241&lt;=BG$2, OR($G241="",$G241&gt;=BG$2)),
  $H241 * (1 + Assumptions!$C$7) ^ INT(((YEAR(BG$2)-YEAR($F241))*12 + MONTH(BG$2)-MONTH($F241)) / 12),
  0)</f>
        <v/>
      </c>
      <c r="BH241" s="299">
        <f>IF(AND($F241&lt;=BH$2, OR($G241="",$G241&gt;=BH$2)),
  $H241 * (1 + Assumptions!$C$7) ^ INT(((YEAR(BH$2)-YEAR($F241))*12 + MONTH(BH$2)-MONTH($F241)) / 12),
  0)</f>
        <v/>
      </c>
      <c r="BI241" s="299">
        <f>IF(AND($F241&lt;=BI$2, OR($G241="",$G241&gt;=BI$2)),
  $H241 * (1 + Assumptions!$C$7) ^ INT(((YEAR(BI$2)-YEAR($F241))*12 + MONTH(BI$2)-MONTH($F241)) / 12),
  0)</f>
        <v/>
      </c>
      <c r="BJ241" s="299">
        <f>IF(AND($F241&lt;=BJ$2, OR($G241="",$G241&gt;=BJ$2)),
  $H241 * (1 + Assumptions!$C$7) ^ INT(((YEAR(BJ$2)-YEAR($F241))*12 + MONTH(BJ$2)-MONTH($F241)) / 12),
  0)</f>
        <v/>
      </c>
      <c r="BK241" s="299">
        <f>IF(AND($F241&lt;=BK$2, OR($G241="",$G241&gt;=BK$2)),
  $H241 * (1 + Assumptions!$C$7) ^ INT(((YEAR(BK$2)-YEAR($F241))*12 + MONTH(BK$2)-MONTH($F241)) / 12),
  0)</f>
        <v/>
      </c>
      <c r="BL241" s="299">
        <f>IF(AND($F241&lt;=BL$2, OR($G241="",$G241&gt;=BL$2)),
  $H241 * (1 + Assumptions!$C$7) ^ INT(((YEAR(BL$2)-YEAR($F241))*12 + MONTH(BL$2)-MONTH($F241)) / 12),
  0)</f>
        <v/>
      </c>
      <c r="BM241" s="299">
        <f>IF(AND($F241&lt;=BM$2, OR($G241="",$G241&gt;=BM$2)),
  $H241 * (1 + Assumptions!$C$7) ^ INT(((YEAR(BM$2)-YEAR($F241))*12 + MONTH(BM$2)-MONTH($F241)) / 12),
  0)</f>
        <v/>
      </c>
      <c r="BN241" s="299">
        <f>IF(AND($F241&lt;=BN$2, OR($G241="",$G241&gt;=BN$2)),
  $H241 * (1 + Assumptions!$C$7) ^ INT(((YEAR(BN$2)-YEAR($F241))*12 + MONTH(BN$2)-MONTH($F241)) / 12),
  0)</f>
        <v/>
      </c>
      <c r="BO241" s="299">
        <f>IF(AND($F241&lt;=BO$2, OR($G241="",$G241&gt;=BO$2)),
  $H241 * (1 + Assumptions!$C$7) ^ INT(((YEAR(BO$2)-YEAR($F241))*12 + MONTH(BO$2)-MONTH($F241)) / 12),
  0)</f>
        <v/>
      </c>
      <c r="BP241" s="299">
        <f>IF(AND($F241&lt;=BP$2, OR($G241="",$G241&gt;=BP$2)),
  $H241 * (1 + Assumptions!$C$7) ^ INT(((YEAR(BP$2)-YEAR($F241))*12 + MONTH(BP$2)-MONTH($F241)) / 12),
  0)</f>
        <v/>
      </c>
      <c r="BQ241" s="31" t="n"/>
      <c r="BR241" s="31" t="n"/>
      <c r="BS241" s="31" t="n"/>
      <c r="BT241" s="31" t="n"/>
    </row>
    <row r="242" ht="15.75" customHeight="1" s="349">
      <c r="A242" s="321" t="n">
        <v>237</v>
      </c>
      <c r="B242" s="285" t="inlineStr">
        <is>
          <t>New hire</t>
        </is>
      </c>
      <c r="C242" s="317" t="inlineStr">
        <is>
          <t>R&amp;D</t>
        </is>
      </c>
      <c r="D242" s="317" t="inlineStr">
        <is>
          <t>R&amp;D Engineer</t>
        </is>
      </c>
      <c r="E242" s="297" t="inlineStr">
        <is>
          <t>Planned</t>
        </is>
      </c>
      <c r="F242" s="318">
        <f>IF(Assumptions!$D$82=2,DATE(2029,1,1),DATE(2035,1,1))</f>
        <v/>
      </c>
      <c r="G242" s="318" t="n"/>
      <c r="H242" s="288" t="n">
        <v>8000</v>
      </c>
      <c r="I242" s="299">
        <f>IF(AND($F242&lt;=I$2, OR($G242="",$G242&gt;=I$2)),
  $H242 * (1 + Assumptions!$C$7) ^ INT(((YEAR(I$2)-YEAR($F242))*12 + MONTH(I$2)-MONTH($F242)) / 12),
  0)</f>
        <v/>
      </c>
      <c r="J242" s="299">
        <f>IF(AND($F242&lt;=J$2, OR($G242="",$G242&gt;=J$2)),
  $H242 * (1 + Assumptions!$C$7) ^ INT(((YEAR(J$2)-YEAR($F242))*12 + MONTH(J$2)-MONTH($F242)) / 12),
  0)</f>
        <v/>
      </c>
      <c r="K242" s="299">
        <f>IF(AND($F242&lt;=K$2, OR($G242="",$G242&gt;=K$2)),
  $H242 * (1 + Assumptions!$C$7) ^ INT(((YEAR(K$2)-YEAR($F242))*12 + MONTH(K$2)-MONTH($F242)) / 12),
  0)</f>
        <v/>
      </c>
      <c r="L242" s="299">
        <f>IF(AND($F242&lt;=L$2, OR($G242="",$G242&gt;=L$2)),
  $H242 * (1 + Assumptions!$C$7) ^ INT(((YEAR(L$2)-YEAR($F242))*12 + MONTH(L$2)-MONTH($F242)) / 12),
  0)</f>
        <v/>
      </c>
      <c r="M242" s="299">
        <f>IF(AND($F242&lt;=M$2, OR($G242="",$G242&gt;=M$2)),
  $H242 * (1 + Assumptions!$C$7) ^ INT(((YEAR(M$2)-YEAR($F242))*12 + MONTH(M$2)-MONTH($F242)) / 12),
  0)</f>
        <v/>
      </c>
      <c r="N242" s="299">
        <f>IF(AND($F242&lt;=N$2, OR($G242="",$G242&gt;=N$2)),
  $H242 * (1 + Assumptions!$C$7) ^ INT(((YEAR(N$2)-YEAR($F242))*12 + MONTH(N$2)-MONTH($F242)) / 12),
  0)</f>
        <v/>
      </c>
      <c r="O242" s="299">
        <f>IF(AND($F242&lt;=O$2, OR($G242="",$G242&gt;=O$2)),
  $H242 * (1 + Assumptions!$C$7) ^ INT(((YEAR(O$2)-YEAR($F242))*12 + MONTH(O$2)-MONTH($F242)) / 12),
  0)</f>
        <v/>
      </c>
      <c r="P242" s="299">
        <f>IF(AND($F242&lt;=P$2, OR($G242="",$G242&gt;=P$2)),
  $H242 * (1 + Assumptions!$C$7) ^ INT(((YEAR(P$2)-YEAR($F242))*12 + MONTH(P$2)-MONTH($F242)) / 12),
  0)</f>
        <v/>
      </c>
      <c r="Q242" s="299">
        <f>IF(AND($F242&lt;=Q$2, OR($G242="",$G242&gt;=Q$2)),
  $H242 * (1 + Assumptions!$C$7) ^ INT(((YEAR(Q$2)-YEAR($F242))*12 + MONTH(Q$2)-MONTH($F242)) / 12),
  0)</f>
        <v/>
      </c>
      <c r="R242" s="299">
        <f>IF(AND($F242&lt;=R$2, OR($G242="",$G242&gt;=R$2)),
  $H242 * (1 + Assumptions!$C$7) ^ INT(((YEAR(R$2)-YEAR($F242))*12 + MONTH(R$2)-MONTH($F242)) / 12),
  0)</f>
        <v/>
      </c>
      <c r="S242" s="299">
        <f>IF(AND($F242&lt;=S$2, OR($G242="",$G242&gt;=S$2)),
  $H242 * (1 + Assumptions!$C$7) ^ INT(((YEAR(S$2)-YEAR($F242))*12 + MONTH(S$2)-MONTH($F242)) / 12),
  0)</f>
        <v/>
      </c>
      <c r="T242" s="299">
        <f>IF(AND($F242&lt;=T$2, OR($G242="",$G242&gt;=T$2)),
  $H242 * (1 + Assumptions!$C$7) ^ INT(((YEAR(T$2)-YEAR($F242))*12 + MONTH(T$2)-MONTH($F242)) / 12),
  0)</f>
        <v/>
      </c>
      <c r="U242" s="299">
        <f>IF(AND($F242&lt;=U$2, OR($G242="",$G242&gt;=U$2)),
  $H242 * (1 + Assumptions!$C$7) ^ INT(((YEAR(U$2)-YEAR($F242))*12 + MONTH(U$2)-MONTH($F242)) / 12),
  0)</f>
        <v/>
      </c>
      <c r="V242" s="299">
        <f>IF(AND($F242&lt;=V$2, OR($G242="",$G242&gt;=V$2)),
  $H242 * (1 + Assumptions!$C$7) ^ INT(((YEAR(V$2)-YEAR($F242))*12 + MONTH(V$2)-MONTH($F242)) / 12),
  0)</f>
        <v/>
      </c>
      <c r="W242" s="299">
        <f>IF(AND($F242&lt;=W$2, OR($G242="",$G242&gt;=W$2)),
  $H242 * (1 + Assumptions!$C$7) ^ INT(((YEAR(W$2)-YEAR($F242))*12 + MONTH(W$2)-MONTH($F242)) / 12),
  0)</f>
        <v/>
      </c>
      <c r="X242" s="299">
        <f>IF(AND($F242&lt;=X$2, OR($G242="",$G242&gt;=X$2)),
  $H242 * (1 + Assumptions!$C$7) ^ INT(((YEAR(X$2)-YEAR($F242))*12 + MONTH(X$2)-MONTH($F242)) / 12),
  0)</f>
        <v/>
      </c>
      <c r="Y242" s="299">
        <f>IF(AND($F242&lt;=Y$2, OR($G242="",$G242&gt;=Y$2)),
  $H242 * (1 + Assumptions!$C$7) ^ INT(((YEAR(Y$2)-YEAR($F242))*12 + MONTH(Y$2)-MONTH($F242)) / 12),
  0)</f>
        <v/>
      </c>
      <c r="Z242" s="299">
        <f>IF(AND($F242&lt;=Z$2, OR($G242="",$G242&gt;=Z$2)),
  $H242 * (1 + Assumptions!$C$7) ^ INT(((YEAR(Z$2)-YEAR($F242))*12 + MONTH(Z$2)-MONTH($F242)) / 12),
  0)</f>
        <v/>
      </c>
      <c r="AA242" s="299">
        <f>IF(AND($F242&lt;=AA$2, OR($G242="",$G242&gt;=AA$2)),
  $H242 * (1 + Assumptions!$C$7) ^ INT(((YEAR(AA$2)-YEAR($F242))*12 + MONTH(AA$2)-MONTH($F242)) / 12),
  0)</f>
        <v/>
      </c>
      <c r="AB242" s="299">
        <f>IF(AND($F242&lt;=AB$2, OR($G242="",$G242&gt;=AB$2)),
  $H242 * (1 + Assumptions!$C$7) ^ INT(((YEAR(AB$2)-YEAR($F242))*12 + MONTH(AB$2)-MONTH($F242)) / 12),
  0)</f>
        <v/>
      </c>
      <c r="AC242" s="299">
        <f>IF(AND($F242&lt;=AC$2, OR($G242="",$G242&gt;=AC$2)),
  $H242 * (1 + Assumptions!$C$7) ^ INT(((YEAR(AC$2)-YEAR($F242))*12 + MONTH(AC$2)-MONTH($F242)) / 12),
  0)</f>
        <v/>
      </c>
      <c r="AD242" s="299">
        <f>IF(AND($F242&lt;=AD$2, OR($G242="",$G242&gt;=AD$2)),
  $H242 * (1 + Assumptions!$C$7) ^ INT(((YEAR(AD$2)-YEAR($F242))*12 + MONTH(AD$2)-MONTH($F242)) / 12),
  0)</f>
        <v/>
      </c>
      <c r="AE242" s="299">
        <f>IF(AND($F242&lt;=AE$2, OR($G242="",$G242&gt;=AE$2)),
  $H242 * (1 + Assumptions!$C$7) ^ INT(((YEAR(AE$2)-YEAR($F242))*12 + MONTH(AE$2)-MONTH($F242)) / 12),
  0)</f>
        <v/>
      </c>
      <c r="AF242" s="299">
        <f>IF(AND($F242&lt;=AF$2, OR($G242="",$G242&gt;=AF$2)),
  $H242 * (1 + Assumptions!$C$7) ^ INT(((YEAR(AF$2)-YEAR($F242))*12 + MONTH(AF$2)-MONTH($F242)) / 12),
  0)</f>
        <v/>
      </c>
      <c r="AG242" s="299">
        <f>IF(AND($F242&lt;=AG$2, OR($G242="",$G242&gt;=AG$2)),
  $H242 * (1 + Assumptions!$C$7) ^ INT(((YEAR(AG$2)-YEAR($F242))*12 + MONTH(AG$2)-MONTH($F242)) / 12),
  0)</f>
        <v/>
      </c>
      <c r="AH242" s="299">
        <f>IF(AND($F242&lt;=AH$2, OR($G242="",$G242&gt;=AH$2)),
  $H242 * (1 + Assumptions!$C$7) ^ INT(((YEAR(AH$2)-YEAR($F242))*12 + MONTH(AH$2)-MONTH($F242)) / 12),
  0)</f>
        <v/>
      </c>
      <c r="AI242" s="299">
        <f>IF(AND($F242&lt;=AI$2, OR($G242="",$G242&gt;=AI$2)),
  $H242 * (1 + Assumptions!$C$7) ^ INT(((YEAR(AI$2)-YEAR($F242))*12 + MONTH(AI$2)-MONTH($F242)) / 12),
  0)</f>
        <v/>
      </c>
      <c r="AJ242" s="299">
        <f>IF(AND($F242&lt;=AJ$2, OR($G242="",$G242&gt;=AJ$2)),
  $H242 * (1 + Assumptions!$C$7) ^ INT(((YEAR(AJ$2)-YEAR($F242))*12 + MONTH(AJ$2)-MONTH($F242)) / 12),
  0)</f>
        <v/>
      </c>
      <c r="AK242" s="299">
        <f>IF(AND($F242&lt;=AK$2, OR($G242="",$G242&gt;=AK$2)),
  $H242 * (1 + Assumptions!$C$7) ^ INT(((YEAR(AK$2)-YEAR($F242))*12 + MONTH(AK$2)-MONTH($F242)) / 12),
  0)</f>
        <v/>
      </c>
      <c r="AL242" s="299">
        <f>IF(AND($F242&lt;=AL$2, OR($G242="",$G242&gt;=AL$2)),
  $H242 * (1 + Assumptions!$C$7) ^ INT(((YEAR(AL$2)-YEAR($F242))*12 + MONTH(AL$2)-MONTH($F242)) / 12),
  0)</f>
        <v/>
      </c>
      <c r="AM242" s="299">
        <f>IF(AND($F242&lt;=AM$2, OR($G242="",$G242&gt;=AM$2)),
  $H242 * (1 + Assumptions!$C$7) ^ INT(((YEAR(AM$2)-YEAR($F242))*12 + MONTH(AM$2)-MONTH($F242)) / 12),
  0)</f>
        <v/>
      </c>
      <c r="AN242" s="299">
        <f>IF(AND($F242&lt;=AN$2, OR($G242="",$G242&gt;=AN$2)),
  $H242 * (1 + Assumptions!$C$7) ^ INT(((YEAR(AN$2)-YEAR($F242))*12 + MONTH(AN$2)-MONTH($F242)) / 12),
  0)</f>
        <v/>
      </c>
      <c r="AO242" s="299">
        <f>IF(AND($F242&lt;=AO$2, OR($G242="",$G242&gt;=AO$2)),
  $H242 * (1 + Assumptions!$C$7) ^ INT(((YEAR(AO$2)-YEAR($F242))*12 + MONTH(AO$2)-MONTH($F242)) / 12),
  0)</f>
        <v/>
      </c>
      <c r="AP242" s="299">
        <f>IF(AND($F242&lt;=AP$2, OR($G242="",$G242&gt;=AP$2)),
  $H242 * (1 + Assumptions!$C$7) ^ INT(((YEAR(AP$2)-YEAR($F242))*12 + MONTH(AP$2)-MONTH($F242)) / 12),
  0)</f>
        <v/>
      </c>
      <c r="AQ242" s="299">
        <f>IF(AND($F242&lt;=AQ$2, OR($G242="",$G242&gt;=AQ$2)),
  $H242 * (1 + Assumptions!$C$7) ^ INT(((YEAR(AQ$2)-YEAR($F242))*12 + MONTH(AQ$2)-MONTH($F242)) / 12),
  0)</f>
        <v/>
      </c>
      <c r="AR242" s="299">
        <f>IF(AND($F242&lt;=AR$2, OR($G242="",$G242&gt;=AR$2)),
  $H242 * (1 + Assumptions!$C$7) ^ INT(((YEAR(AR$2)-YEAR($F242))*12 + MONTH(AR$2)-MONTH($F242)) / 12),
  0)</f>
        <v/>
      </c>
      <c r="AS242" s="299">
        <f>IF(AND($F242&lt;=AS$2, OR($G242="",$G242&gt;=AS$2)),
  $H242 * (1 + Assumptions!$C$7) ^ INT(((YEAR(AS$2)-YEAR($F242))*12 + MONTH(AS$2)-MONTH($F242)) / 12),
  0)</f>
        <v/>
      </c>
      <c r="AT242" s="299">
        <f>IF(AND($F242&lt;=AT$2, OR($G242="",$G242&gt;=AT$2)),
  $H242 * (1 + Assumptions!$C$7) ^ INT(((YEAR(AT$2)-YEAR($F242))*12 + MONTH(AT$2)-MONTH($F242)) / 12),
  0)</f>
        <v/>
      </c>
      <c r="AU242" s="299">
        <f>IF(AND($F242&lt;=AU$2, OR($G242="",$G242&gt;=AU$2)),
  $H242 * (1 + Assumptions!$C$7) ^ INT(((YEAR(AU$2)-YEAR($F242))*12 + MONTH(AU$2)-MONTH($F242)) / 12),
  0)</f>
        <v/>
      </c>
      <c r="AV242" s="299">
        <f>IF(AND($F242&lt;=AV$2, OR($G242="",$G242&gt;=AV$2)),
  $H242 * (1 + Assumptions!$C$7) ^ INT(((YEAR(AV$2)-YEAR($F242))*12 + MONTH(AV$2)-MONTH($F242)) / 12),
  0)</f>
        <v/>
      </c>
      <c r="AW242" s="299">
        <f>IF(AND($F242&lt;=AW$2, OR($G242="",$G242&gt;=AW$2)),
  $H242 * (1 + Assumptions!$C$7) ^ INT(((YEAR(AW$2)-YEAR($F242))*12 + MONTH(AW$2)-MONTH($F242)) / 12),
  0)</f>
        <v/>
      </c>
      <c r="AX242" s="299">
        <f>IF(AND($F242&lt;=AX$2, OR($G242="",$G242&gt;=AX$2)),
  $H242 * (1 + Assumptions!$C$7) ^ INT(((YEAR(AX$2)-YEAR($F242))*12 + MONTH(AX$2)-MONTH($F242)) / 12),
  0)</f>
        <v/>
      </c>
      <c r="AY242" s="299">
        <f>IF(AND($F242&lt;=AY$2, OR($G242="",$G242&gt;=AY$2)),
  $H242 * (1 + Assumptions!$C$7) ^ INT(((YEAR(AY$2)-YEAR($F242))*12 + MONTH(AY$2)-MONTH($F242)) / 12),
  0)</f>
        <v/>
      </c>
      <c r="AZ242" s="299">
        <f>IF(AND($F242&lt;=AZ$2, OR($G242="",$G242&gt;=AZ$2)),
  $H242 * (1 + Assumptions!$C$7) ^ INT(((YEAR(AZ$2)-YEAR($F242))*12 + MONTH(AZ$2)-MONTH($F242)) / 12),
  0)</f>
        <v/>
      </c>
      <c r="BA242" s="299">
        <f>IF(AND($F242&lt;=BA$2, OR($G242="",$G242&gt;=BA$2)),
  $H242 * (1 + Assumptions!$C$7) ^ INT(((YEAR(BA$2)-YEAR($F242))*12 + MONTH(BA$2)-MONTH($F242)) / 12),
  0)</f>
        <v/>
      </c>
      <c r="BB242" s="299">
        <f>IF(AND($F242&lt;=BB$2, OR($G242="",$G242&gt;=BB$2)),
  $H242 * (1 + Assumptions!$C$7) ^ INT(((YEAR(BB$2)-YEAR($F242))*12 + MONTH(BB$2)-MONTH($F242)) / 12),
  0)</f>
        <v/>
      </c>
      <c r="BC242" s="299">
        <f>IF(AND($F242&lt;=BC$2, OR($G242="",$G242&gt;=BC$2)),
  $H242 * (1 + Assumptions!$C$7) ^ INT(((YEAR(BC$2)-YEAR($F242))*12 + MONTH(BC$2)-MONTH($F242)) / 12),
  0)</f>
        <v/>
      </c>
      <c r="BD242" s="299">
        <f>IF(AND($F242&lt;=BD$2, OR($G242="",$G242&gt;=BD$2)),
  $H242 * (1 + Assumptions!$C$7) ^ INT(((YEAR(BD$2)-YEAR($F242))*12 + MONTH(BD$2)-MONTH($F242)) / 12),
  0)</f>
        <v/>
      </c>
      <c r="BE242" s="299">
        <f>IF(AND($F242&lt;=BE$2, OR($G242="",$G242&gt;=BE$2)),
  $H242 * (1 + Assumptions!$C$7) ^ INT(((YEAR(BE$2)-YEAR($F242))*12 + MONTH(BE$2)-MONTH($F242)) / 12),
  0)</f>
        <v/>
      </c>
      <c r="BF242" s="299">
        <f>IF(AND($F242&lt;=BF$2, OR($G242="",$G242&gt;=BF$2)),
  $H242 * (1 + Assumptions!$C$7) ^ INT(((YEAR(BF$2)-YEAR($F242))*12 + MONTH(BF$2)-MONTH($F242)) / 12),
  0)</f>
        <v/>
      </c>
      <c r="BG242" s="299">
        <f>IF(AND($F242&lt;=BG$2, OR($G242="",$G242&gt;=BG$2)),
  $H242 * (1 + Assumptions!$C$7) ^ INT(((YEAR(BG$2)-YEAR($F242))*12 + MONTH(BG$2)-MONTH($F242)) / 12),
  0)</f>
        <v/>
      </c>
      <c r="BH242" s="299">
        <f>IF(AND($F242&lt;=BH$2, OR($G242="",$G242&gt;=BH$2)),
  $H242 * (1 + Assumptions!$C$7) ^ INT(((YEAR(BH$2)-YEAR($F242))*12 + MONTH(BH$2)-MONTH($F242)) / 12),
  0)</f>
        <v/>
      </c>
      <c r="BI242" s="299">
        <f>IF(AND($F242&lt;=BI$2, OR($G242="",$G242&gt;=BI$2)),
  $H242 * (1 + Assumptions!$C$7) ^ INT(((YEAR(BI$2)-YEAR($F242))*12 + MONTH(BI$2)-MONTH($F242)) / 12),
  0)</f>
        <v/>
      </c>
      <c r="BJ242" s="299">
        <f>IF(AND($F242&lt;=BJ$2, OR($G242="",$G242&gt;=BJ$2)),
  $H242 * (1 + Assumptions!$C$7) ^ INT(((YEAR(BJ$2)-YEAR($F242))*12 + MONTH(BJ$2)-MONTH($F242)) / 12),
  0)</f>
        <v/>
      </c>
      <c r="BK242" s="299">
        <f>IF(AND($F242&lt;=BK$2, OR($G242="",$G242&gt;=BK$2)),
  $H242 * (1 + Assumptions!$C$7) ^ INT(((YEAR(BK$2)-YEAR($F242))*12 + MONTH(BK$2)-MONTH($F242)) / 12),
  0)</f>
        <v/>
      </c>
      <c r="BL242" s="299">
        <f>IF(AND($F242&lt;=BL$2, OR($G242="",$G242&gt;=BL$2)),
  $H242 * (1 + Assumptions!$C$7) ^ INT(((YEAR(BL$2)-YEAR($F242))*12 + MONTH(BL$2)-MONTH($F242)) / 12),
  0)</f>
        <v/>
      </c>
      <c r="BM242" s="299">
        <f>IF(AND($F242&lt;=BM$2, OR($G242="",$G242&gt;=BM$2)),
  $H242 * (1 + Assumptions!$C$7) ^ INT(((YEAR(BM$2)-YEAR($F242))*12 + MONTH(BM$2)-MONTH($F242)) / 12),
  0)</f>
        <v/>
      </c>
      <c r="BN242" s="299">
        <f>IF(AND($F242&lt;=BN$2, OR($G242="",$G242&gt;=BN$2)),
  $H242 * (1 + Assumptions!$C$7) ^ INT(((YEAR(BN$2)-YEAR($F242))*12 + MONTH(BN$2)-MONTH($F242)) / 12),
  0)</f>
        <v/>
      </c>
      <c r="BO242" s="299">
        <f>IF(AND($F242&lt;=BO$2, OR($G242="",$G242&gt;=BO$2)),
  $H242 * (1 + Assumptions!$C$7) ^ INT(((YEAR(BO$2)-YEAR($F242))*12 + MONTH(BO$2)-MONTH($F242)) / 12),
  0)</f>
        <v/>
      </c>
      <c r="BP242" s="299">
        <f>IF(AND($F242&lt;=BP$2, OR($G242="",$G242&gt;=BP$2)),
  $H242 * (1 + Assumptions!$C$7) ^ INT(((YEAR(BP$2)-YEAR($F242))*12 + MONTH(BP$2)-MONTH($F242)) / 12),
  0)</f>
        <v/>
      </c>
      <c r="BQ242" s="31" t="n"/>
      <c r="BR242" s="31" t="n"/>
      <c r="BS242" s="31" t="n"/>
      <c r="BT242" s="31" t="n"/>
    </row>
    <row r="243" ht="15.75" customHeight="1" s="349">
      <c r="A243" s="321" t="n">
        <v>238</v>
      </c>
      <c r="B243" s="285" t="inlineStr">
        <is>
          <t>New hire</t>
        </is>
      </c>
      <c r="C243" s="317" t="inlineStr">
        <is>
          <t>R&amp;D</t>
        </is>
      </c>
      <c r="D243" s="317" t="inlineStr">
        <is>
          <t>R&amp;D Engineer</t>
        </is>
      </c>
      <c r="E243" s="297" t="inlineStr">
        <is>
          <t>Planned</t>
        </is>
      </c>
      <c r="F243" s="318">
        <f>IF(Assumptions!$D$82=2,DATE(2029,1,1),DATE(2035,1,1))</f>
        <v/>
      </c>
      <c r="G243" s="318" t="n"/>
      <c r="H243" s="288" t="n">
        <v>8000</v>
      </c>
      <c r="I243" s="299">
        <f>IF(AND($F243&lt;=I$2, OR($G243="",$G243&gt;=I$2)),
  $H243 * (1 + Assumptions!$C$7) ^ INT(((YEAR(I$2)-YEAR($F243))*12 + MONTH(I$2)-MONTH($F243)) / 12),
  0)</f>
        <v/>
      </c>
      <c r="J243" s="299">
        <f>IF(AND($F243&lt;=J$2, OR($G243="",$G243&gt;=J$2)),
  $H243 * (1 + Assumptions!$C$7) ^ INT(((YEAR(J$2)-YEAR($F243))*12 + MONTH(J$2)-MONTH($F243)) / 12),
  0)</f>
        <v/>
      </c>
      <c r="K243" s="299">
        <f>IF(AND($F243&lt;=K$2, OR($G243="",$G243&gt;=K$2)),
  $H243 * (1 + Assumptions!$C$7) ^ INT(((YEAR(K$2)-YEAR($F243))*12 + MONTH(K$2)-MONTH($F243)) / 12),
  0)</f>
        <v/>
      </c>
      <c r="L243" s="299">
        <f>IF(AND($F243&lt;=L$2, OR($G243="",$G243&gt;=L$2)),
  $H243 * (1 + Assumptions!$C$7) ^ INT(((YEAR(L$2)-YEAR($F243))*12 + MONTH(L$2)-MONTH($F243)) / 12),
  0)</f>
        <v/>
      </c>
      <c r="M243" s="299">
        <f>IF(AND($F243&lt;=M$2, OR($G243="",$G243&gt;=M$2)),
  $H243 * (1 + Assumptions!$C$7) ^ INT(((YEAR(M$2)-YEAR($F243))*12 + MONTH(M$2)-MONTH($F243)) / 12),
  0)</f>
        <v/>
      </c>
      <c r="N243" s="299">
        <f>IF(AND($F243&lt;=N$2, OR($G243="",$G243&gt;=N$2)),
  $H243 * (1 + Assumptions!$C$7) ^ INT(((YEAR(N$2)-YEAR($F243))*12 + MONTH(N$2)-MONTH($F243)) / 12),
  0)</f>
        <v/>
      </c>
      <c r="O243" s="299">
        <f>IF(AND($F243&lt;=O$2, OR($G243="",$G243&gt;=O$2)),
  $H243 * (1 + Assumptions!$C$7) ^ INT(((YEAR(O$2)-YEAR($F243))*12 + MONTH(O$2)-MONTH($F243)) / 12),
  0)</f>
        <v/>
      </c>
      <c r="P243" s="299">
        <f>IF(AND($F243&lt;=P$2, OR($G243="",$G243&gt;=P$2)),
  $H243 * (1 + Assumptions!$C$7) ^ INT(((YEAR(P$2)-YEAR($F243))*12 + MONTH(P$2)-MONTH($F243)) / 12),
  0)</f>
        <v/>
      </c>
      <c r="Q243" s="299">
        <f>IF(AND($F243&lt;=Q$2, OR($G243="",$G243&gt;=Q$2)),
  $H243 * (1 + Assumptions!$C$7) ^ INT(((YEAR(Q$2)-YEAR($F243))*12 + MONTH(Q$2)-MONTH($F243)) / 12),
  0)</f>
        <v/>
      </c>
      <c r="R243" s="299">
        <f>IF(AND($F243&lt;=R$2, OR($G243="",$G243&gt;=R$2)),
  $H243 * (1 + Assumptions!$C$7) ^ INT(((YEAR(R$2)-YEAR($F243))*12 + MONTH(R$2)-MONTH($F243)) / 12),
  0)</f>
        <v/>
      </c>
      <c r="S243" s="299">
        <f>IF(AND($F243&lt;=S$2, OR($G243="",$G243&gt;=S$2)),
  $H243 * (1 + Assumptions!$C$7) ^ INT(((YEAR(S$2)-YEAR($F243))*12 + MONTH(S$2)-MONTH($F243)) / 12),
  0)</f>
        <v/>
      </c>
      <c r="T243" s="299">
        <f>IF(AND($F243&lt;=T$2, OR($G243="",$G243&gt;=T$2)),
  $H243 * (1 + Assumptions!$C$7) ^ INT(((YEAR(T$2)-YEAR($F243))*12 + MONTH(T$2)-MONTH($F243)) / 12),
  0)</f>
        <v/>
      </c>
      <c r="U243" s="299">
        <f>IF(AND($F243&lt;=U$2, OR($G243="",$G243&gt;=U$2)),
  $H243 * (1 + Assumptions!$C$7) ^ INT(((YEAR(U$2)-YEAR($F243))*12 + MONTH(U$2)-MONTH($F243)) / 12),
  0)</f>
        <v/>
      </c>
      <c r="V243" s="299">
        <f>IF(AND($F243&lt;=V$2, OR($G243="",$G243&gt;=V$2)),
  $H243 * (1 + Assumptions!$C$7) ^ INT(((YEAR(V$2)-YEAR($F243))*12 + MONTH(V$2)-MONTH($F243)) / 12),
  0)</f>
        <v/>
      </c>
      <c r="W243" s="299">
        <f>IF(AND($F243&lt;=W$2, OR($G243="",$G243&gt;=W$2)),
  $H243 * (1 + Assumptions!$C$7) ^ INT(((YEAR(W$2)-YEAR($F243))*12 + MONTH(W$2)-MONTH($F243)) / 12),
  0)</f>
        <v/>
      </c>
      <c r="X243" s="299">
        <f>IF(AND($F243&lt;=X$2, OR($G243="",$G243&gt;=X$2)),
  $H243 * (1 + Assumptions!$C$7) ^ INT(((YEAR(X$2)-YEAR($F243))*12 + MONTH(X$2)-MONTH($F243)) / 12),
  0)</f>
        <v/>
      </c>
      <c r="Y243" s="299">
        <f>IF(AND($F243&lt;=Y$2, OR($G243="",$G243&gt;=Y$2)),
  $H243 * (1 + Assumptions!$C$7) ^ INT(((YEAR(Y$2)-YEAR($F243))*12 + MONTH(Y$2)-MONTH($F243)) / 12),
  0)</f>
        <v/>
      </c>
      <c r="Z243" s="299">
        <f>IF(AND($F243&lt;=Z$2, OR($G243="",$G243&gt;=Z$2)),
  $H243 * (1 + Assumptions!$C$7) ^ INT(((YEAR(Z$2)-YEAR($F243))*12 + MONTH(Z$2)-MONTH($F243)) / 12),
  0)</f>
        <v/>
      </c>
      <c r="AA243" s="299">
        <f>IF(AND($F243&lt;=AA$2, OR($G243="",$G243&gt;=AA$2)),
  $H243 * (1 + Assumptions!$C$7) ^ INT(((YEAR(AA$2)-YEAR($F243))*12 + MONTH(AA$2)-MONTH($F243)) / 12),
  0)</f>
        <v/>
      </c>
      <c r="AB243" s="299">
        <f>IF(AND($F243&lt;=AB$2, OR($G243="",$G243&gt;=AB$2)),
  $H243 * (1 + Assumptions!$C$7) ^ INT(((YEAR(AB$2)-YEAR($F243))*12 + MONTH(AB$2)-MONTH($F243)) / 12),
  0)</f>
        <v/>
      </c>
      <c r="AC243" s="299">
        <f>IF(AND($F243&lt;=AC$2, OR($G243="",$G243&gt;=AC$2)),
  $H243 * (1 + Assumptions!$C$7) ^ INT(((YEAR(AC$2)-YEAR($F243))*12 + MONTH(AC$2)-MONTH($F243)) / 12),
  0)</f>
        <v/>
      </c>
      <c r="AD243" s="299">
        <f>IF(AND($F243&lt;=AD$2, OR($G243="",$G243&gt;=AD$2)),
  $H243 * (1 + Assumptions!$C$7) ^ INT(((YEAR(AD$2)-YEAR($F243))*12 + MONTH(AD$2)-MONTH($F243)) / 12),
  0)</f>
        <v/>
      </c>
      <c r="AE243" s="299">
        <f>IF(AND($F243&lt;=AE$2, OR($G243="",$G243&gt;=AE$2)),
  $H243 * (1 + Assumptions!$C$7) ^ INT(((YEAR(AE$2)-YEAR($F243))*12 + MONTH(AE$2)-MONTH($F243)) / 12),
  0)</f>
        <v/>
      </c>
      <c r="AF243" s="299">
        <f>IF(AND($F243&lt;=AF$2, OR($G243="",$G243&gt;=AF$2)),
  $H243 * (1 + Assumptions!$C$7) ^ INT(((YEAR(AF$2)-YEAR($F243))*12 + MONTH(AF$2)-MONTH($F243)) / 12),
  0)</f>
        <v/>
      </c>
      <c r="AG243" s="299">
        <f>IF(AND($F243&lt;=AG$2, OR($G243="",$G243&gt;=AG$2)),
  $H243 * (1 + Assumptions!$C$7) ^ INT(((YEAR(AG$2)-YEAR($F243))*12 + MONTH(AG$2)-MONTH($F243)) / 12),
  0)</f>
        <v/>
      </c>
      <c r="AH243" s="299">
        <f>IF(AND($F243&lt;=AH$2, OR($G243="",$G243&gt;=AH$2)),
  $H243 * (1 + Assumptions!$C$7) ^ INT(((YEAR(AH$2)-YEAR($F243))*12 + MONTH(AH$2)-MONTH($F243)) / 12),
  0)</f>
        <v/>
      </c>
      <c r="AI243" s="299">
        <f>IF(AND($F243&lt;=AI$2, OR($G243="",$G243&gt;=AI$2)),
  $H243 * (1 + Assumptions!$C$7) ^ INT(((YEAR(AI$2)-YEAR($F243))*12 + MONTH(AI$2)-MONTH($F243)) / 12),
  0)</f>
        <v/>
      </c>
      <c r="AJ243" s="299">
        <f>IF(AND($F243&lt;=AJ$2, OR($G243="",$G243&gt;=AJ$2)),
  $H243 * (1 + Assumptions!$C$7) ^ INT(((YEAR(AJ$2)-YEAR($F243))*12 + MONTH(AJ$2)-MONTH($F243)) / 12),
  0)</f>
        <v/>
      </c>
      <c r="AK243" s="299">
        <f>IF(AND($F243&lt;=AK$2, OR($G243="",$G243&gt;=AK$2)),
  $H243 * (1 + Assumptions!$C$7) ^ INT(((YEAR(AK$2)-YEAR($F243))*12 + MONTH(AK$2)-MONTH($F243)) / 12),
  0)</f>
        <v/>
      </c>
      <c r="AL243" s="299">
        <f>IF(AND($F243&lt;=AL$2, OR($G243="",$G243&gt;=AL$2)),
  $H243 * (1 + Assumptions!$C$7) ^ INT(((YEAR(AL$2)-YEAR($F243))*12 + MONTH(AL$2)-MONTH($F243)) / 12),
  0)</f>
        <v/>
      </c>
      <c r="AM243" s="299">
        <f>IF(AND($F243&lt;=AM$2, OR($G243="",$G243&gt;=AM$2)),
  $H243 * (1 + Assumptions!$C$7) ^ INT(((YEAR(AM$2)-YEAR($F243))*12 + MONTH(AM$2)-MONTH($F243)) / 12),
  0)</f>
        <v/>
      </c>
      <c r="AN243" s="299">
        <f>IF(AND($F243&lt;=AN$2, OR($G243="",$G243&gt;=AN$2)),
  $H243 * (1 + Assumptions!$C$7) ^ INT(((YEAR(AN$2)-YEAR($F243))*12 + MONTH(AN$2)-MONTH($F243)) / 12),
  0)</f>
        <v/>
      </c>
      <c r="AO243" s="299">
        <f>IF(AND($F243&lt;=AO$2, OR($G243="",$G243&gt;=AO$2)),
  $H243 * (1 + Assumptions!$C$7) ^ INT(((YEAR(AO$2)-YEAR($F243))*12 + MONTH(AO$2)-MONTH($F243)) / 12),
  0)</f>
        <v/>
      </c>
      <c r="AP243" s="299">
        <f>IF(AND($F243&lt;=AP$2, OR($G243="",$G243&gt;=AP$2)),
  $H243 * (1 + Assumptions!$C$7) ^ INT(((YEAR(AP$2)-YEAR($F243))*12 + MONTH(AP$2)-MONTH($F243)) / 12),
  0)</f>
        <v/>
      </c>
      <c r="AQ243" s="299">
        <f>IF(AND($F243&lt;=AQ$2, OR($G243="",$G243&gt;=AQ$2)),
  $H243 * (1 + Assumptions!$C$7) ^ INT(((YEAR(AQ$2)-YEAR($F243))*12 + MONTH(AQ$2)-MONTH($F243)) / 12),
  0)</f>
        <v/>
      </c>
      <c r="AR243" s="299">
        <f>IF(AND($F243&lt;=AR$2, OR($G243="",$G243&gt;=AR$2)),
  $H243 * (1 + Assumptions!$C$7) ^ INT(((YEAR(AR$2)-YEAR($F243))*12 + MONTH(AR$2)-MONTH($F243)) / 12),
  0)</f>
        <v/>
      </c>
      <c r="AS243" s="299">
        <f>IF(AND($F243&lt;=AS$2, OR($G243="",$G243&gt;=AS$2)),
  $H243 * (1 + Assumptions!$C$7) ^ INT(((YEAR(AS$2)-YEAR($F243))*12 + MONTH(AS$2)-MONTH($F243)) / 12),
  0)</f>
        <v/>
      </c>
      <c r="AT243" s="299">
        <f>IF(AND($F243&lt;=AT$2, OR($G243="",$G243&gt;=AT$2)),
  $H243 * (1 + Assumptions!$C$7) ^ INT(((YEAR(AT$2)-YEAR($F243))*12 + MONTH(AT$2)-MONTH($F243)) / 12),
  0)</f>
        <v/>
      </c>
      <c r="AU243" s="299">
        <f>IF(AND($F243&lt;=AU$2, OR($G243="",$G243&gt;=AU$2)),
  $H243 * (1 + Assumptions!$C$7) ^ INT(((YEAR(AU$2)-YEAR($F243))*12 + MONTH(AU$2)-MONTH($F243)) / 12),
  0)</f>
        <v/>
      </c>
      <c r="AV243" s="299">
        <f>IF(AND($F243&lt;=AV$2, OR($G243="",$G243&gt;=AV$2)),
  $H243 * (1 + Assumptions!$C$7) ^ INT(((YEAR(AV$2)-YEAR($F243))*12 + MONTH(AV$2)-MONTH($F243)) / 12),
  0)</f>
        <v/>
      </c>
      <c r="AW243" s="299">
        <f>IF(AND($F243&lt;=AW$2, OR($G243="",$G243&gt;=AW$2)),
  $H243 * (1 + Assumptions!$C$7) ^ INT(((YEAR(AW$2)-YEAR($F243))*12 + MONTH(AW$2)-MONTH($F243)) / 12),
  0)</f>
        <v/>
      </c>
      <c r="AX243" s="299">
        <f>IF(AND($F243&lt;=AX$2, OR($G243="",$G243&gt;=AX$2)),
  $H243 * (1 + Assumptions!$C$7) ^ INT(((YEAR(AX$2)-YEAR($F243))*12 + MONTH(AX$2)-MONTH($F243)) / 12),
  0)</f>
        <v/>
      </c>
      <c r="AY243" s="299">
        <f>IF(AND($F243&lt;=AY$2, OR($G243="",$G243&gt;=AY$2)),
  $H243 * (1 + Assumptions!$C$7) ^ INT(((YEAR(AY$2)-YEAR($F243))*12 + MONTH(AY$2)-MONTH($F243)) / 12),
  0)</f>
        <v/>
      </c>
      <c r="AZ243" s="299">
        <f>IF(AND($F243&lt;=AZ$2, OR($G243="",$G243&gt;=AZ$2)),
  $H243 * (1 + Assumptions!$C$7) ^ INT(((YEAR(AZ$2)-YEAR($F243))*12 + MONTH(AZ$2)-MONTH($F243)) / 12),
  0)</f>
        <v/>
      </c>
      <c r="BA243" s="299">
        <f>IF(AND($F243&lt;=BA$2, OR($G243="",$G243&gt;=BA$2)),
  $H243 * (1 + Assumptions!$C$7) ^ INT(((YEAR(BA$2)-YEAR($F243))*12 + MONTH(BA$2)-MONTH($F243)) / 12),
  0)</f>
        <v/>
      </c>
      <c r="BB243" s="299">
        <f>IF(AND($F243&lt;=BB$2, OR($G243="",$G243&gt;=BB$2)),
  $H243 * (1 + Assumptions!$C$7) ^ INT(((YEAR(BB$2)-YEAR($F243))*12 + MONTH(BB$2)-MONTH($F243)) / 12),
  0)</f>
        <v/>
      </c>
      <c r="BC243" s="299">
        <f>IF(AND($F243&lt;=BC$2, OR($G243="",$G243&gt;=BC$2)),
  $H243 * (1 + Assumptions!$C$7) ^ INT(((YEAR(BC$2)-YEAR($F243))*12 + MONTH(BC$2)-MONTH($F243)) / 12),
  0)</f>
        <v/>
      </c>
      <c r="BD243" s="299">
        <f>IF(AND($F243&lt;=BD$2, OR($G243="",$G243&gt;=BD$2)),
  $H243 * (1 + Assumptions!$C$7) ^ INT(((YEAR(BD$2)-YEAR($F243))*12 + MONTH(BD$2)-MONTH($F243)) / 12),
  0)</f>
        <v/>
      </c>
      <c r="BE243" s="299">
        <f>IF(AND($F243&lt;=BE$2, OR($G243="",$G243&gt;=BE$2)),
  $H243 * (1 + Assumptions!$C$7) ^ INT(((YEAR(BE$2)-YEAR($F243))*12 + MONTH(BE$2)-MONTH($F243)) / 12),
  0)</f>
        <v/>
      </c>
      <c r="BF243" s="299">
        <f>IF(AND($F243&lt;=BF$2, OR($G243="",$G243&gt;=BF$2)),
  $H243 * (1 + Assumptions!$C$7) ^ INT(((YEAR(BF$2)-YEAR($F243))*12 + MONTH(BF$2)-MONTH($F243)) / 12),
  0)</f>
        <v/>
      </c>
      <c r="BG243" s="299">
        <f>IF(AND($F243&lt;=BG$2, OR($G243="",$G243&gt;=BG$2)),
  $H243 * (1 + Assumptions!$C$7) ^ INT(((YEAR(BG$2)-YEAR($F243))*12 + MONTH(BG$2)-MONTH($F243)) / 12),
  0)</f>
        <v/>
      </c>
      <c r="BH243" s="299">
        <f>IF(AND($F243&lt;=BH$2, OR($G243="",$G243&gt;=BH$2)),
  $H243 * (1 + Assumptions!$C$7) ^ INT(((YEAR(BH$2)-YEAR($F243))*12 + MONTH(BH$2)-MONTH($F243)) / 12),
  0)</f>
        <v/>
      </c>
      <c r="BI243" s="299">
        <f>IF(AND($F243&lt;=BI$2, OR($G243="",$G243&gt;=BI$2)),
  $H243 * (1 + Assumptions!$C$7) ^ INT(((YEAR(BI$2)-YEAR($F243))*12 + MONTH(BI$2)-MONTH($F243)) / 12),
  0)</f>
        <v/>
      </c>
      <c r="BJ243" s="299">
        <f>IF(AND($F243&lt;=BJ$2, OR($G243="",$G243&gt;=BJ$2)),
  $H243 * (1 + Assumptions!$C$7) ^ INT(((YEAR(BJ$2)-YEAR($F243))*12 + MONTH(BJ$2)-MONTH($F243)) / 12),
  0)</f>
        <v/>
      </c>
      <c r="BK243" s="299">
        <f>IF(AND($F243&lt;=BK$2, OR($G243="",$G243&gt;=BK$2)),
  $H243 * (1 + Assumptions!$C$7) ^ INT(((YEAR(BK$2)-YEAR($F243))*12 + MONTH(BK$2)-MONTH($F243)) / 12),
  0)</f>
        <v/>
      </c>
      <c r="BL243" s="299">
        <f>IF(AND($F243&lt;=BL$2, OR($G243="",$G243&gt;=BL$2)),
  $H243 * (1 + Assumptions!$C$7) ^ INT(((YEAR(BL$2)-YEAR($F243))*12 + MONTH(BL$2)-MONTH($F243)) / 12),
  0)</f>
        <v/>
      </c>
      <c r="BM243" s="299">
        <f>IF(AND($F243&lt;=BM$2, OR($G243="",$G243&gt;=BM$2)),
  $H243 * (1 + Assumptions!$C$7) ^ INT(((YEAR(BM$2)-YEAR($F243))*12 + MONTH(BM$2)-MONTH($F243)) / 12),
  0)</f>
        <v/>
      </c>
      <c r="BN243" s="299">
        <f>IF(AND($F243&lt;=BN$2, OR($G243="",$G243&gt;=BN$2)),
  $H243 * (1 + Assumptions!$C$7) ^ INT(((YEAR(BN$2)-YEAR($F243))*12 + MONTH(BN$2)-MONTH($F243)) / 12),
  0)</f>
        <v/>
      </c>
      <c r="BO243" s="299">
        <f>IF(AND($F243&lt;=BO$2, OR($G243="",$G243&gt;=BO$2)),
  $H243 * (1 + Assumptions!$C$7) ^ INT(((YEAR(BO$2)-YEAR($F243))*12 + MONTH(BO$2)-MONTH($F243)) / 12),
  0)</f>
        <v/>
      </c>
      <c r="BP243" s="299">
        <f>IF(AND($F243&lt;=BP$2, OR($G243="",$G243&gt;=BP$2)),
  $H243 * (1 + Assumptions!$C$7) ^ INT(((YEAR(BP$2)-YEAR($F243))*12 + MONTH(BP$2)-MONTH($F243)) / 12),
  0)</f>
        <v/>
      </c>
      <c r="BQ243" s="31" t="n"/>
      <c r="BR243" s="31" t="n"/>
      <c r="BS243" s="31" t="n"/>
      <c r="BT243" s="31" t="n"/>
    </row>
    <row r="244" ht="15.75" customHeight="1" s="349">
      <c r="A244" s="321" t="n">
        <v>239</v>
      </c>
      <c r="B244" s="285" t="inlineStr">
        <is>
          <t>New hire</t>
        </is>
      </c>
      <c r="C244" s="317" t="inlineStr">
        <is>
          <t>R&amp;D</t>
        </is>
      </c>
      <c r="D244" s="317" t="inlineStr">
        <is>
          <t>R&amp;D Engineer</t>
        </is>
      </c>
      <c r="E244" s="297" t="inlineStr">
        <is>
          <t>Planned</t>
        </is>
      </c>
      <c r="F244" s="318">
        <f>IF(Assumptions!$D$82=2,DATE(2029,1,1),DATE(2035,1,1))</f>
        <v/>
      </c>
      <c r="G244" s="318" t="n"/>
      <c r="H244" s="288" t="n">
        <v>8000</v>
      </c>
      <c r="I244" s="299">
        <f>IF(AND($F244&lt;=I$2, OR($G244="",$G244&gt;=I$2)),
  $H244 * (1 + Assumptions!$C$7) ^ INT(((YEAR(I$2)-YEAR($F244))*12 + MONTH(I$2)-MONTH($F244)) / 12),
  0)</f>
        <v/>
      </c>
      <c r="J244" s="299">
        <f>IF(AND($F244&lt;=J$2, OR($G244="",$G244&gt;=J$2)),
  $H244 * (1 + Assumptions!$C$7) ^ INT(((YEAR(J$2)-YEAR($F244))*12 + MONTH(J$2)-MONTH($F244)) / 12),
  0)</f>
        <v/>
      </c>
      <c r="K244" s="299">
        <f>IF(AND($F244&lt;=K$2, OR($G244="",$G244&gt;=K$2)),
  $H244 * (1 + Assumptions!$C$7) ^ INT(((YEAR(K$2)-YEAR($F244))*12 + MONTH(K$2)-MONTH($F244)) / 12),
  0)</f>
        <v/>
      </c>
      <c r="L244" s="299">
        <f>IF(AND($F244&lt;=L$2, OR($G244="",$G244&gt;=L$2)),
  $H244 * (1 + Assumptions!$C$7) ^ INT(((YEAR(L$2)-YEAR($F244))*12 + MONTH(L$2)-MONTH($F244)) / 12),
  0)</f>
        <v/>
      </c>
      <c r="M244" s="299">
        <f>IF(AND($F244&lt;=M$2, OR($G244="",$G244&gt;=M$2)),
  $H244 * (1 + Assumptions!$C$7) ^ INT(((YEAR(M$2)-YEAR($F244))*12 + MONTH(M$2)-MONTH($F244)) / 12),
  0)</f>
        <v/>
      </c>
      <c r="N244" s="299">
        <f>IF(AND($F244&lt;=N$2, OR($G244="",$G244&gt;=N$2)),
  $H244 * (1 + Assumptions!$C$7) ^ INT(((YEAR(N$2)-YEAR($F244))*12 + MONTH(N$2)-MONTH($F244)) / 12),
  0)</f>
        <v/>
      </c>
      <c r="O244" s="299">
        <f>IF(AND($F244&lt;=O$2, OR($G244="",$G244&gt;=O$2)),
  $H244 * (1 + Assumptions!$C$7) ^ INT(((YEAR(O$2)-YEAR($F244))*12 + MONTH(O$2)-MONTH($F244)) / 12),
  0)</f>
        <v/>
      </c>
      <c r="P244" s="299">
        <f>IF(AND($F244&lt;=P$2, OR($G244="",$G244&gt;=P$2)),
  $H244 * (1 + Assumptions!$C$7) ^ INT(((YEAR(P$2)-YEAR($F244))*12 + MONTH(P$2)-MONTH($F244)) / 12),
  0)</f>
        <v/>
      </c>
      <c r="Q244" s="299">
        <f>IF(AND($F244&lt;=Q$2, OR($G244="",$G244&gt;=Q$2)),
  $H244 * (1 + Assumptions!$C$7) ^ INT(((YEAR(Q$2)-YEAR($F244))*12 + MONTH(Q$2)-MONTH($F244)) / 12),
  0)</f>
        <v/>
      </c>
      <c r="R244" s="299">
        <f>IF(AND($F244&lt;=R$2, OR($G244="",$G244&gt;=R$2)),
  $H244 * (1 + Assumptions!$C$7) ^ INT(((YEAR(R$2)-YEAR($F244))*12 + MONTH(R$2)-MONTH($F244)) / 12),
  0)</f>
        <v/>
      </c>
      <c r="S244" s="299">
        <f>IF(AND($F244&lt;=S$2, OR($G244="",$G244&gt;=S$2)),
  $H244 * (1 + Assumptions!$C$7) ^ INT(((YEAR(S$2)-YEAR($F244))*12 + MONTH(S$2)-MONTH($F244)) / 12),
  0)</f>
        <v/>
      </c>
      <c r="T244" s="299">
        <f>IF(AND($F244&lt;=T$2, OR($G244="",$G244&gt;=T$2)),
  $H244 * (1 + Assumptions!$C$7) ^ INT(((YEAR(T$2)-YEAR($F244))*12 + MONTH(T$2)-MONTH($F244)) / 12),
  0)</f>
        <v/>
      </c>
      <c r="U244" s="299">
        <f>IF(AND($F244&lt;=U$2, OR($G244="",$G244&gt;=U$2)),
  $H244 * (1 + Assumptions!$C$7) ^ INT(((YEAR(U$2)-YEAR($F244))*12 + MONTH(U$2)-MONTH($F244)) / 12),
  0)</f>
        <v/>
      </c>
      <c r="V244" s="299">
        <f>IF(AND($F244&lt;=V$2, OR($G244="",$G244&gt;=V$2)),
  $H244 * (1 + Assumptions!$C$7) ^ INT(((YEAR(V$2)-YEAR($F244))*12 + MONTH(V$2)-MONTH($F244)) / 12),
  0)</f>
        <v/>
      </c>
      <c r="W244" s="299">
        <f>IF(AND($F244&lt;=W$2, OR($G244="",$G244&gt;=W$2)),
  $H244 * (1 + Assumptions!$C$7) ^ INT(((YEAR(W$2)-YEAR($F244))*12 + MONTH(W$2)-MONTH($F244)) / 12),
  0)</f>
        <v/>
      </c>
      <c r="X244" s="299">
        <f>IF(AND($F244&lt;=X$2, OR($G244="",$G244&gt;=X$2)),
  $H244 * (1 + Assumptions!$C$7) ^ INT(((YEAR(X$2)-YEAR($F244))*12 + MONTH(X$2)-MONTH($F244)) / 12),
  0)</f>
        <v/>
      </c>
      <c r="Y244" s="299">
        <f>IF(AND($F244&lt;=Y$2, OR($G244="",$G244&gt;=Y$2)),
  $H244 * (1 + Assumptions!$C$7) ^ INT(((YEAR(Y$2)-YEAR($F244))*12 + MONTH(Y$2)-MONTH($F244)) / 12),
  0)</f>
        <v/>
      </c>
      <c r="Z244" s="299">
        <f>IF(AND($F244&lt;=Z$2, OR($G244="",$G244&gt;=Z$2)),
  $H244 * (1 + Assumptions!$C$7) ^ INT(((YEAR(Z$2)-YEAR($F244))*12 + MONTH(Z$2)-MONTH($F244)) / 12),
  0)</f>
        <v/>
      </c>
      <c r="AA244" s="299">
        <f>IF(AND($F244&lt;=AA$2, OR($G244="",$G244&gt;=AA$2)),
  $H244 * (1 + Assumptions!$C$7) ^ INT(((YEAR(AA$2)-YEAR($F244))*12 + MONTH(AA$2)-MONTH($F244)) / 12),
  0)</f>
        <v/>
      </c>
      <c r="AB244" s="299">
        <f>IF(AND($F244&lt;=AB$2, OR($G244="",$G244&gt;=AB$2)),
  $H244 * (1 + Assumptions!$C$7) ^ INT(((YEAR(AB$2)-YEAR($F244))*12 + MONTH(AB$2)-MONTH($F244)) / 12),
  0)</f>
        <v/>
      </c>
      <c r="AC244" s="299">
        <f>IF(AND($F244&lt;=AC$2, OR($G244="",$G244&gt;=AC$2)),
  $H244 * (1 + Assumptions!$C$7) ^ INT(((YEAR(AC$2)-YEAR($F244))*12 + MONTH(AC$2)-MONTH($F244)) / 12),
  0)</f>
        <v/>
      </c>
      <c r="AD244" s="299">
        <f>IF(AND($F244&lt;=AD$2, OR($G244="",$G244&gt;=AD$2)),
  $H244 * (1 + Assumptions!$C$7) ^ INT(((YEAR(AD$2)-YEAR($F244))*12 + MONTH(AD$2)-MONTH($F244)) / 12),
  0)</f>
        <v/>
      </c>
      <c r="AE244" s="299">
        <f>IF(AND($F244&lt;=AE$2, OR($G244="",$G244&gt;=AE$2)),
  $H244 * (1 + Assumptions!$C$7) ^ INT(((YEAR(AE$2)-YEAR($F244))*12 + MONTH(AE$2)-MONTH($F244)) / 12),
  0)</f>
        <v/>
      </c>
      <c r="AF244" s="299">
        <f>IF(AND($F244&lt;=AF$2, OR($G244="",$G244&gt;=AF$2)),
  $H244 * (1 + Assumptions!$C$7) ^ INT(((YEAR(AF$2)-YEAR($F244))*12 + MONTH(AF$2)-MONTH($F244)) / 12),
  0)</f>
        <v/>
      </c>
      <c r="AG244" s="299">
        <f>IF(AND($F244&lt;=AG$2, OR($G244="",$G244&gt;=AG$2)),
  $H244 * (1 + Assumptions!$C$7) ^ INT(((YEAR(AG$2)-YEAR($F244))*12 + MONTH(AG$2)-MONTH($F244)) / 12),
  0)</f>
        <v/>
      </c>
      <c r="AH244" s="299">
        <f>IF(AND($F244&lt;=AH$2, OR($G244="",$G244&gt;=AH$2)),
  $H244 * (1 + Assumptions!$C$7) ^ INT(((YEAR(AH$2)-YEAR($F244))*12 + MONTH(AH$2)-MONTH($F244)) / 12),
  0)</f>
        <v/>
      </c>
      <c r="AI244" s="299">
        <f>IF(AND($F244&lt;=AI$2, OR($G244="",$G244&gt;=AI$2)),
  $H244 * (1 + Assumptions!$C$7) ^ INT(((YEAR(AI$2)-YEAR($F244))*12 + MONTH(AI$2)-MONTH($F244)) / 12),
  0)</f>
        <v/>
      </c>
      <c r="AJ244" s="299">
        <f>IF(AND($F244&lt;=AJ$2, OR($G244="",$G244&gt;=AJ$2)),
  $H244 * (1 + Assumptions!$C$7) ^ INT(((YEAR(AJ$2)-YEAR($F244))*12 + MONTH(AJ$2)-MONTH($F244)) / 12),
  0)</f>
        <v/>
      </c>
      <c r="AK244" s="299">
        <f>IF(AND($F244&lt;=AK$2, OR($G244="",$G244&gt;=AK$2)),
  $H244 * (1 + Assumptions!$C$7) ^ INT(((YEAR(AK$2)-YEAR($F244))*12 + MONTH(AK$2)-MONTH($F244)) / 12),
  0)</f>
        <v/>
      </c>
      <c r="AL244" s="299">
        <f>IF(AND($F244&lt;=AL$2, OR($G244="",$G244&gt;=AL$2)),
  $H244 * (1 + Assumptions!$C$7) ^ INT(((YEAR(AL$2)-YEAR($F244))*12 + MONTH(AL$2)-MONTH($F244)) / 12),
  0)</f>
        <v/>
      </c>
      <c r="AM244" s="299">
        <f>IF(AND($F244&lt;=AM$2, OR($G244="",$G244&gt;=AM$2)),
  $H244 * (1 + Assumptions!$C$7) ^ INT(((YEAR(AM$2)-YEAR($F244))*12 + MONTH(AM$2)-MONTH($F244)) / 12),
  0)</f>
        <v/>
      </c>
      <c r="AN244" s="299">
        <f>IF(AND($F244&lt;=AN$2, OR($G244="",$G244&gt;=AN$2)),
  $H244 * (1 + Assumptions!$C$7) ^ INT(((YEAR(AN$2)-YEAR($F244))*12 + MONTH(AN$2)-MONTH($F244)) / 12),
  0)</f>
        <v/>
      </c>
      <c r="AO244" s="299">
        <f>IF(AND($F244&lt;=AO$2, OR($G244="",$G244&gt;=AO$2)),
  $H244 * (1 + Assumptions!$C$7) ^ INT(((YEAR(AO$2)-YEAR($F244))*12 + MONTH(AO$2)-MONTH($F244)) / 12),
  0)</f>
        <v/>
      </c>
      <c r="AP244" s="299">
        <f>IF(AND($F244&lt;=AP$2, OR($G244="",$G244&gt;=AP$2)),
  $H244 * (1 + Assumptions!$C$7) ^ INT(((YEAR(AP$2)-YEAR($F244))*12 + MONTH(AP$2)-MONTH($F244)) / 12),
  0)</f>
        <v/>
      </c>
      <c r="AQ244" s="299">
        <f>IF(AND($F244&lt;=AQ$2, OR($G244="",$G244&gt;=AQ$2)),
  $H244 * (1 + Assumptions!$C$7) ^ INT(((YEAR(AQ$2)-YEAR($F244))*12 + MONTH(AQ$2)-MONTH($F244)) / 12),
  0)</f>
        <v/>
      </c>
      <c r="AR244" s="299">
        <f>IF(AND($F244&lt;=AR$2, OR($G244="",$G244&gt;=AR$2)),
  $H244 * (1 + Assumptions!$C$7) ^ INT(((YEAR(AR$2)-YEAR($F244))*12 + MONTH(AR$2)-MONTH($F244)) / 12),
  0)</f>
        <v/>
      </c>
      <c r="AS244" s="299">
        <f>IF(AND($F244&lt;=AS$2, OR($G244="",$G244&gt;=AS$2)),
  $H244 * (1 + Assumptions!$C$7) ^ INT(((YEAR(AS$2)-YEAR($F244))*12 + MONTH(AS$2)-MONTH($F244)) / 12),
  0)</f>
        <v/>
      </c>
      <c r="AT244" s="299">
        <f>IF(AND($F244&lt;=AT$2, OR($G244="",$G244&gt;=AT$2)),
  $H244 * (1 + Assumptions!$C$7) ^ INT(((YEAR(AT$2)-YEAR($F244))*12 + MONTH(AT$2)-MONTH($F244)) / 12),
  0)</f>
        <v/>
      </c>
      <c r="AU244" s="299">
        <f>IF(AND($F244&lt;=AU$2, OR($G244="",$G244&gt;=AU$2)),
  $H244 * (1 + Assumptions!$C$7) ^ INT(((YEAR(AU$2)-YEAR($F244))*12 + MONTH(AU$2)-MONTH($F244)) / 12),
  0)</f>
        <v/>
      </c>
      <c r="AV244" s="299">
        <f>IF(AND($F244&lt;=AV$2, OR($G244="",$G244&gt;=AV$2)),
  $H244 * (1 + Assumptions!$C$7) ^ INT(((YEAR(AV$2)-YEAR($F244))*12 + MONTH(AV$2)-MONTH($F244)) / 12),
  0)</f>
        <v/>
      </c>
      <c r="AW244" s="299">
        <f>IF(AND($F244&lt;=AW$2, OR($G244="",$G244&gt;=AW$2)),
  $H244 * (1 + Assumptions!$C$7) ^ INT(((YEAR(AW$2)-YEAR($F244))*12 + MONTH(AW$2)-MONTH($F244)) / 12),
  0)</f>
        <v/>
      </c>
      <c r="AX244" s="299">
        <f>IF(AND($F244&lt;=AX$2, OR($G244="",$G244&gt;=AX$2)),
  $H244 * (1 + Assumptions!$C$7) ^ INT(((YEAR(AX$2)-YEAR($F244))*12 + MONTH(AX$2)-MONTH($F244)) / 12),
  0)</f>
        <v/>
      </c>
      <c r="AY244" s="299">
        <f>IF(AND($F244&lt;=AY$2, OR($G244="",$G244&gt;=AY$2)),
  $H244 * (1 + Assumptions!$C$7) ^ INT(((YEAR(AY$2)-YEAR($F244))*12 + MONTH(AY$2)-MONTH($F244)) / 12),
  0)</f>
        <v/>
      </c>
      <c r="AZ244" s="299">
        <f>IF(AND($F244&lt;=AZ$2, OR($G244="",$G244&gt;=AZ$2)),
  $H244 * (1 + Assumptions!$C$7) ^ INT(((YEAR(AZ$2)-YEAR($F244))*12 + MONTH(AZ$2)-MONTH($F244)) / 12),
  0)</f>
        <v/>
      </c>
      <c r="BA244" s="299">
        <f>IF(AND($F244&lt;=BA$2, OR($G244="",$G244&gt;=BA$2)),
  $H244 * (1 + Assumptions!$C$7) ^ INT(((YEAR(BA$2)-YEAR($F244))*12 + MONTH(BA$2)-MONTH($F244)) / 12),
  0)</f>
        <v/>
      </c>
      <c r="BB244" s="299">
        <f>IF(AND($F244&lt;=BB$2, OR($G244="",$G244&gt;=BB$2)),
  $H244 * (1 + Assumptions!$C$7) ^ INT(((YEAR(BB$2)-YEAR($F244))*12 + MONTH(BB$2)-MONTH($F244)) / 12),
  0)</f>
        <v/>
      </c>
      <c r="BC244" s="299">
        <f>IF(AND($F244&lt;=BC$2, OR($G244="",$G244&gt;=BC$2)),
  $H244 * (1 + Assumptions!$C$7) ^ INT(((YEAR(BC$2)-YEAR($F244))*12 + MONTH(BC$2)-MONTH($F244)) / 12),
  0)</f>
        <v/>
      </c>
      <c r="BD244" s="299">
        <f>IF(AND($F244&lt;=BD$2, OR($G244="",$G244&gt;=BD$2)),
  $H244 * (1 + Assumptions!$C$7) ^ INT(((YEAR(BD$2)-YEAR($F244))*12 + MONTH(BD$2)-MONTH($F244)) / 12),
  0)</f>
        <v/>
      </c>
      <c r="BE244" s="299">
        <f>IF(AND($F244&lt;=BE$2, OR($G244="",$G244&gt;=BE$2)),
  $H244 * (1 + Assumptions!$C$7) ^ INT(((YEAR(BE$2)-YEAR($F244))*12 + MONTH(BE$2)-MONTH($F244)) / 12),
  0)</f>
        <v/>
      </c>
      <c r="BF244" s="299">
        <f>IF(AND($F244&lt;=BF$2, OR($G244="",$G244&gt;=BF$2)),
  $H244 * (1 + Assumptions!$C$7) ^ INT(((YEAR(BF$2)-YEAR($F244))*12 + MONTH(BF$2)-MONTH($F244)) / 12),
  0)</f>
        <v/>
      </c>
      <c r="BG244" s="299">
        <f>IF(AND($F244&lt;=BG$2, OR($G244="",$G244&gt;=BG$2)),
  $H244 * (1 + Assumptions!$C$7) ^ INT(((YEAR(BG$2)-YEAR($F244))*12 + MONTH(BG$2)-MONTH($F244)) / 12),
  0)</f>
        <v/>
      </c>
      <c r="BH244" s="299">
        <f>IF(AND($F244&lt;=BH$2, OR($G244="",$G244&gt;=BH$2)),
  $H244 * (1 + Assumptions!$C$7) ^ INT(((YEAR(BH$2)-YEAR($F244))*12 + MONTH(BH$2)-MONTH($F244)) / 12),
  0)</f>
        <v/>
      </c>
      <c r="BI244" s="299">
        <f>IF(AND($F244&lt;=BI$2, OR($G244="",$G244&gt;=BI$2)),
  $H244 * (1 + Assumptions!$C$7) ^ INT(((YEAR(BI$2)-YEAR($F244))*12 + MONTH(BI$2)-MONTH($F244)) / 12),
  0)</f>
        <v/>
      </c>
      <c r="BJ244" s="299">
        <f>IF(AND($F244&lt;=BJ$2, OR($G244="",$G244&gt;=BJ$2)),
  $H244 * (1 + Assumptions!$C$7) ^ INT(((YEAR(BJ$2)-YEAR($F244))*12 + MONTH(BJ$2)-MONTH($F244)) / 12),
  0)</f>
        <v/>
      </c>
      <c r="BK244" s="299">
        <f>IF(AND($F244&lt;=BK$2, OR($G244="",$G244&gt;=BK$2)),
  $H244 * (1 + Assumptions!$C$7) ^ INT(((YEAR(BK$2)-YEAR($F244))*12 + MONTH(BK$2)-MONTH($F244)) / 12),
  0)</f>
        <v/>
      </c>
      <c r="BL244" s="299">
        <f>IF(AND($F244&lt;=BL$2, OR($G244="",$G244&gt;=BL$2)),
  $H244 * (1 + Assumptions!$C$7) ^ INT(((YEAR(BL$2)-YEAR($F244))*12 + MONTH(BL$2)-MONTH($F244)) / 12),
  0)</f>
        <v/>
      </c>
      <c r="BM244" s="299">
        <f>IF(AND($F244&lt;=BM$2, OR($G244="",$G244&gt;=BM$2)),
  $H244 * (1 + Assumptions!$C$7) ^ INT(((YEAR(BM$2)-YEAR($F244))*12 + MONTH(BM$2)-MONTH($F244)) / 12),
  0)</f>
        <v/>
      </c>
      <c r="BN244" s="299">
        <f>IF(AND($F244&lt;=BN$2, OR($G244="",$G244&gt;=BN$2)),
  $H244 * (1 + Assumptions!$C$7) ^ INT(((YEAR(BN$2)-YEAR($F244))*12 + MONTH(BN$2)-MONTH($F244)) / 12),
  0)</f>
        <v/>
      </c>
      <c r="BO244" s="299">
        <f>IF(AND($F244&lt;=BO$2, OR($G244="",$G244&gt;=BO$2)),
  $H244 * (1 + Assumptions!$C$7) ^ INT(((YEAR(BO$2)-YEAR($F244))*12 + MONTH(BO$2)-MONTH($F244)) / 12),
  0)</f>
        <v/>
      </c>
      <c r="BP244" s="299">
        <f>IF(AND($F244&lt;=BP$2, OR($G244="",$G244&gt;=BP$2)),
  $H244 * (1 + Assumptions!$C$7) ^ INT(((YEAR(BP$2)-YEAR($F244))*12 + MONTH(BP$2)-MONTH($F244)) / 12),
  0)</f>
        <v/>
      </c>
      <c r="BQ244" s="31" t="n"/>
      <c r="BR244" s="31" t="n"/>
      <c r="BS244" s="31" t="n"/>
      <c r="BT244" s="31" t="n"/>
    </row>
    <row r="245" ht="15.75" customHeight="1" s="349">
      <c r="A245" s="321" t="n">
        <v>240</v>
      </c>
      <c r="B245" s="285" t="inlineStr">
        <is>
          <t>New hire</t>
        </is>
      </c>
      <c r="C245" s="317" t="inlineStr">
        <is>
          <t>R&amp;D</t>
        </is>
      </c>
      <c r="D245" s="317" t="inlineStr">
        <is>
          <t>R&amp;D Engineer</t>
        </is>
      </c>
      <c r="E245" s="297" t="inlineStr">
        <is>
          <t>Planned</t>
        </is>
      </c>
      <c r="F245" s="318">
        <f>IF(Assumptions!$D$82=2,DATE(2029,1,1),DATE(2035,1,1))</f>
        <v/>
      </c>
      <c r="G245" s="318" t="n"/>
      <c r="H245" s="288" t="n">
        <v>8000</v>
      </c>
      <c r="I245" s="299">
        <f>IF(AND($F245&lt;=I$2, OR($G245="",$G245&gt;=I$2)),
  $H245 * (1 + Assumptions!$C$7) ^ INT(((YEAR(I$2)-YEAR($F245))*12 + MONTH(I$2)-MONTH($F245)) / 12),
  0)</f>
        <v/>
      </c>
      <c r="J245" s="299">
        <f>IF(AND($F245&lt;=J$2, OR($G245="",$G245&gt;=J$2)),
  $H245 * (1 + Assumptions!$C$7) ^ INT(((YEAR(J$2)-YEAR($F245))*12 + MONTH(J$2)-MONTH($F245)) / 12),
  0)</f>
        <v/>
      </c>
      <c r="K245" s="299">
        <f>IF(AND($F245&lt;=K$2, OR($G245="",$G245&gt;=K$2)),
  $H245 * (1 + Assumptions!$C$7) ^ INT(((YEAR(K$2)-YEAR($F245))*12 + MONTH(K$2)-MONTH($F245)) / 12),
  0)</f>
        <v/>
      </c>
      <c r="L245" s="299">
        <f>IF(AND($F245&lt;=L$2, OR($G245="",$G245&gt;=L$2)),
  $H245 * (1 + Assumptions!$C$7) ^ INT(((YEAR(L$2)-YEAR($F245))*12 + MONTH(L$2)-MONTH($F245)) / 12),
  0)</f>
        <v/>
      </c>
      <c r="M245" s="299">
        <f>IF(AND($F245&lt;=M$2, OR($G245="",$G245&gt;=M$2)),
  $H245 * (1 + Assumptions!$C$7) ^ INT(((YEAR(M$2)-YEAR($F245))*12 + MONTH(M$2)-MONTH($F245)) / 12),
  0)</f>
        <v/>
      </c>
      <c r="N245" s="299">
        <f>IF(AND($F245&lt;=N$2, OR($G245="",$G245&gt;=N$2)),
  $H245 * (1 + Assumptions!$C$7) ^ INT(((YEAR(N$2)-YEAR($F245))*12 + MONTH(N$2)-MONTH($F245)) / 12),
  0)</f>
        <v/>
      </c>
      <c r="O245" s="299">
        <f>IF(AND($F245&lt;=O$2, OR($G245="",$G245&gt;=O$2)),
  $H245 * (1 + Assumptions!$C$7) ^ INT(((YEAR(O$2)-YEAR($F245))*12 + MONTH(O$2)-MONTH($F245)) / 12),
  0)</f>
        <v/>
      </c>
      <c r="P245" s="299">
        <f>IF(AND($F245&lt;=P$2, OR($G245="",$G245&gt;=P$2)),
  $H245 * (1 + Assumptions!$C$7) ^ INT(((YEAR(P$2)-YEAR($F245))*12 + MONTH(P$2)-MONTH($F245)) / 12),
  0)</f>
        <v/>
      </c>
      <c r="Q245" s="299">
        <f>IF(AND($F245&lt;=Q$2, OR($G245="",$G245&gt;=Q$2)),
  $H245 * (1 + Assumptions!$C$7) ^ INT(((YEAR(Q$2)-YEAR($F245))*12 + MONTH(Q$2)-MONTH($F245)) / 12),
  0)</f>
        <v/>
      </c>
      <c r="R245" s="299">
        <f>IF(AND($F245&lt;=R$2, OR($G245="",$G245&gt;=R$2)),
  $H245 * (1 + Assumptions!$C$7) ^ INT(((YEAR(R$2)-YEAR($F245))*12 + MONTH(R$2)-MONTH($F245)) / 12),
  0)</f>
        <v/>
      </c>
      <c r="S245" s="299">
        <f>IF(AND($F245&lt;=S$2, OR($G245="",$G245&gt;=S$2)),
  $H245 * (1 + Assumptions!$C$7) ^ INT(((YEAR(S$2)-YEAR($F245))*12 + MONTH(S$2)-MONTH($F245)) / 12),
  0)</f>
        <v/>
      </c>
      <c r="T245" s="299">
        <f>IF(AND($F245&lt;=T$2, OR($G245="",$G245&gt;=T$2)),
  $H245 * (1 + Assumptions!$C$7) ^ INT(((YEAR(T$2)-YEAR($F245))*12 + MONTH(T$2)-MONTH($F245)) / 12),
  0)</f>
        <v/>
      </c>
      <c r="U245" s="299">
        <f>IF(AND($F245&lt;=U$2, OR($G245="",$G245&gt;=U$2)),
  $H245 * (1 + Assumptions!$C$7) ^ INT(((YEAR(U$2)-YEAR($F245))*12 + MONTH(U$2)-MONTH($F245)) / 12),
  0)</f>
        <v/>
      </c>
      <c r="V245" s="299">
        <f>IF(AND($F245&lt;=V$2, OR($G245="",$G245&gt;=V$2)),
  $H245 * (1 + Assumptions!$C$7) ^ INT(((YEAR(V$2)-YEAR($F245))*12 + MONTH(V$2)-MONTH($F245)) / 12),
  0)</f>
        <v/>
      </c>
      <c r="W245" s="299">
        <f>IF(AND($F245&lt;=W$2, OR($G245="",$G245&gt;=W$2)),
  $H245 * (1 + Assumptions!$C$7) ^ INT(((YEAR(W$2)-YEAR($F245))*12 + MONTH(W$2)-MONTH($F245)) / 12),
  0)</f>
        <v/>
      </c>
      <c r="X245" s="299">
        <f>IF(AND($F245&lt;=X$2, OR($G245="",$G245&gt;=X$2)),
  $H245 * (1 + Assumptions!$C$7) ^ INT(((YEAR(X$2)-YEAR($F245))*12 + MONTH(X$2)-MONTH($F245)) / 12),
  0)</f>
        <v/>
      </c>
      <c r="Y245" s="299">
        <f>IF(AND($F245&lt;=Y$2, OR($G245="",$G245&gt;=Y$2)),
  $H245 * (1 + Assumptions!$C$7) ^ INT(((YEAR(Y$2)-YEAR($F245))*12 + MONTH(Y$2)-MONTH($F245)) / 12),
  0)</f>
        <v/>
      </c>
      <c r="Z245" s="299">
        <f>IF(AND($F245&lt;=Z$2, OR($G245="",$G245&gt;=Z$2)),
  $H245 * (1 + Assumptions!$C$7) ^ INT(((YEAR(Z$2)-YEAR($F245))*12 + MONTH(Z$2)-MONTH($F245)) / 12),
  0)</f>
        <v/>
      </c>
      <c r="AA245" s="299">
        <f>IF(AND($F245&lt;=AA$2, OR($G245="",$G245&gt;=AA$2)),
  $H245 * (1 + Assumptions!$C$7) ^ INT(((YEAR(AA$2)-YEAR($F245))*12 + MONTH(AA$2)-MONTH($F245)) / 12),
  0)</f>
        <v/>
      </c>
      <c r="AB245" s="299">
        <f>IF(AND($F245&lt;=AB$2, OR($G245="",$G245&gt;=AB$2)),
  $H245 * (1 + Assumptions!$C$7) ^ INT(((YEAR(AB$2)-YEAR($F245))*12 + MONTH(AB$2)-MONTH($F245)) / 12),
  0)</f>
        <v/>
      </c>
      <c r="AC245" s="299">
        <f>IF(AND($F245&lt;=AC$2, OR($G245="",$G245&gt;=AC$2)),
  $H245 * (1 + Assumptions!$C$7) ^ INT(((YEAR(AC$2)-YEAR($F245))*12 + MONTH(AC$2)-MONTH($F245)) / 12),
  0)</f>
        <v/>
      </c>
      <c r="AD245" s="299">
        <f>IF(AND($F245&lt;=AD$2, OR($G245="",$G245&gt;=AD$2)),
  $H245 * (1 + Assumptions!$C$7) ^ INT(((YEAR(AD$2)-YEAR($F245))*12 + MONTH(AD$2)-MONTH($F245)) / 12),
  0)</f>
        <v/>
      </c>
      <c r="AE245" s="299">
        <f>IF(AND($F245&lt;=AE$2, OR($G245="",$G245&gt;=AE$2)),
  $H245 * (1 + Assumptions!$C$7) ^ INT(((YEAR(AE$2)-YEAR($F245))*12 + MONTH(AE$2)-MONTH($F245)) / 12),
  0)</f>
        <v/>
      </c>
      <c r="AF245" s="299">
        <f>IF(AND($F245&lt;=AF$2, OR($G245="",$G245&gt;=AF$2)),
  $H245 * (1 + Assumptions!$C$7) ^ INT(((YEAR(AF$2)-YEAR($F245))*12 + MONTH(AF$2)-MONTH($F245)) / 12),
  0)</f>
        <v/>
      </c>
      <c r="AG245" s="299">
        <f>IF(AND($F245&lt;=AG$2, OR($G245="",$G245&gt;=AG$2)),
  $H245 * (1 + Assumptions!$C$7) ^ INT(((YEAR(AG$2)-YEAR($F245))*12 + MONTH(AG$2)-MONTH($F245)) / 12),
  0)</f>
        <v/>
      </c>
      <c r="AH245" s="299">
        <f>IF(AND($F245&lt;=AH$2, OR($G245="",$G245&gt;=AH$2)),
  $H245 * (1 + Assumptions!$C$7) ^ INT(((YEAR(AH$2)-YEAR($F245))*12 + MONTH(AH$2)-MONTH($F245)) / 12),
  0)</f>
        <v/>
      </c>
      <c r="AI245" s="299">
        <f>IF(AND($F245&lt;=AI$2, OR($G245="",$G245&gt;=AI$2)),
  $H245 * (1 + Assumptions!$C$7) ^ INT(((YEAR(AI$2)-YEAR($F245))*12 + MONTH(AI$2)-MONTH($F245)) / 12),
  0)</f>
        <v/>
      </c>
      <c r="AJ245" s="299">
        <f>IF(AND($F245&lt;=AJ$2, OR($G245="",$G245&gt;=AJ$2)),
  $H245 * (1 + Assumptions!$C$7) ^ INT(((YEAR(AJ$2)-YEAR($F245))*12 + MONTH(AJ$2)-MONTH($F245)) / 12),
  0)</f>
        <v/>
      </c>
      <c r="AK245" s="299">
        <f>IF(AND($F245&lt;=AK$2, OR($G245="",$G245&gt;=AK$2)),
  $H245 * (1 + Assumptions!$C$7) ^ INT(((YEAR(AK$2)-YEAR($F245))*12 + MONTH(AK$2)-MONTH($F245)) / 12),
  0)</f>
        <v/>
      </c>
      <c r="AL245" s="299">
        <f>IF(AND($F245&lt;=AL$2, OR($G245="",$G245&gt;=AL$2)),
  $H245 * (1 + Assumptions!$C$7) ^ INT(((YEAR(AL$2)-YEAR($F245))*12 + MONTH(AL$2)-MONTH($F245)) / 12),
  0)</f>
        <v/>
      </c>
      <c r="AM245" s="299">
        <f>IF(AND($F245&lt;=AM$2, OR($G245="",$G245&gt;=AM$2)),
  $H245 * (1 + Assumptions!$C$7) ^ INT(((YEAR(AM$2)-YEAR($F245))*12 + MONTH(AM$2)-MONTH($F245)) / 12),
  0)</f>
        <v/>
      </c>
      <c r="AN245" s="299">
        <f>IF(AND($F245&lt;=AN$2, OR($G245="",$G245&gt;=AN$2)),
  $H245 * (1 + Assumptions!$C$7) ^ INT(((YEAR(AN$2)-YEAR($F245))*12 + MONTH(AN$2)-MONTH($F245)) / 12),
  0)</f>
        <v/>
      </c>
      <c r="AO245" s="299">
        <f>IF(AND($F245&lt;=AO$2, OR($G245="",$G245&gt;=AO$2)),
  $H245 * (1 + Assumptions!$C$7) ^ INT(((YEAR(AO$2)-YEAR($F245))*12 + MONTH(AO$2)-MONTH($F245)) / 12),
  0)</f>
        <v/>
      </c>
      <c r="AP245" s="299">
        <f>IF(AND($F245&lt;=AP$2, OR($G245="",$G245&gt;=AP$2)),
  $H245 * (1 + Assumptions!$C$7) ^ INT(((YEAR(AP$2)-YEAR($F245))*12 + MONTH(AP$2)-MONTH($F245)) / 12),
  0)</f>
        <v/>
      </c>
      <c r="AQ245" s="299">
        <f>IF(AND($F245&lt;=AQ$2, OR($G245="",$G245&gt;=AQ$2)),
  $H245 * (1 + Assumptions!$C$7) ^ INT(((YEAR(AQ$2)-YEAR($F245))*12 + MONTH(AQ$2)-MONTH($F245)) / 12),
  0)</f>
        <v/>
      </c>
      <c r="AR245" s="299">
        <f>IF(AND($F245&lt;=AR$2, OR($G245="",$G245&gt;=AR$2)),
  $H245 * (1 + Assumptions!$C$7) ^ INT(((YEAR(AR$2)-YEAR($F245))*12 + MONTH(AR$2)-MONTH($F245)) / 12),
  0)</f>
        <v/>
      </c>
      <c r="AS245" s="299">
        <f>IF(AND($F245&lt;=AS$2, OR($G245="",$G245&gt;=AS$2)),
  $H245 * (1 + Assumptions!$C$7) ^ INT(((YEAR(AS$2)-YEAR($F245))*12 + MONTH(AS$2)-MONTH($F245)) / 12),
  0)</f>
        <v/>
      </c>
      <c r="AT245" s="299">
        <f>IF(AND($F245&lt;=AT$2, OR($G245="",$G245&gt;=AT$2)),
  $H245 * (1 + Assumptions!$C$7) ^ INT(((YEAR(AT$2)-YEAR($F245))*12 + MONTH(AT$2)-MONTH($F245)) / 12),
  0)</f>
        <v/>
      </c>
      <c r="AU245" s="299">
        <f>IF(AND($F245&lt;=AU$2, OR($G245="",$G245&gt;=AU$2)),
  $H245 * (1 + Assumptions!$C$7) ^ INT(((YEAR(AU$2)-YEAR($F245))*12 + MONTH(AU$2)-MONTH($F245)) / 12),
  0)</f>
        <v/>
      </c>
      <c r="AV245" s="299">
        <f>IF(AND($F245&lt;=AV$2, OR($G245="",$G245&gt;=AV$2)),
  $H245 * (1 + Assumptions!$C$7) ^ INT(((YEAR(AV$2)-YEAR($F245))*12 + MONTH(AV$2)-MONTH($F245)) / 12),
  0)</f>
        <v/>
      </c>
      <c r="AW245" s="299">
        <f>IF(AND($F245&lt;=AW$2, OR($G245="",$G245&gt;=AW$2)),
  $H245 * (1 + Assumptions!$C$7) ^ INT(((YEAR(AW$2)-YEAR($F245))*12 + MONTH(AW$2)-MONTH($F245)) / 12),
  0)</f>
        <v/>
      </c>
      <c r="AX245" s="299">
        <f>IF(AND($F245&lt;=AX$2, OR($G245="",$G245&gt;=AX$2)),
  $H245 * (1 + Assumptions!$C$7) ^ INT(((YEAR(AX$2)-YEAR($F245))*12 + MONTH(AX$2)-MONTH($F245)) / 12),
  0)</f>
        <v/>
      </c>
      <c r="AY245" s="299">
        <f>IF(AND($F245&lt;=AY$2, OR($G245="",$G245&gt;=AY$2)),
  $H245 * (1 + Assumptions!$C$7) ^ INT(((YEAR(AY$2)-YEAR($F245))*12 + MONTH(AY$2)-MONTH($F245)) / 12),
  0)</f>
        <v/>
      </c>
      <c r="AZ245" s="299">
        <f>IF(AND($F245&lt;=AZ$2, OR($G245="",$G245&gt;=AZ$2)),
  $H245 * (1 + Assumptions!$C$7) ^ INT(((YEAR(AZ$2)-YEAR($F245))*12 + MONTH(AZ$2)-MONTH($F245)) / 12),
  0)</f>
        <v/>
      </c>
      <c r="BA245" s="299">
        <f>IF(AND($F245&lt;=BA$2, OR($G245="",$G245&gt;=BA$2)),
  $H245 * (1 + Assumptions!$C$7) ^ INT(((YEAR(BA$2)-YEAR($F245))*12 + MONTH(BA$2)-MONTH($F245)) / 12),
  0)</f>
        <v/>
      </c>
      <c r="BB245" s="299">
        <f>IF(AND($F245&lt;=BB$2, OR($G245="",$G245&gt;=BB$2)),
  $H245 * (1 + Assumptions!$C$7) ^ INT(((YEAR(BB$2)-YEAR($F245))*12 + MONTH(BB$2)-MONTH($F245)) / 12),
  0)</f>
        <v/>
      </c>
      <c r="BC245" s="299">
        <f>IF(AND($F245&lt;=BC$2, OR($G245="",$G245&gt;=BC$2)),
  $H245 * (1 + Assumptions!$C$7) ^ INT(((YEAR(BC$2)-YEAR($F245))*12 + MONTH(BC$2)-MONTH($F245)) / 12),
  0)</f>
        <v/>
      </c>
      <c r="BD245" s="299">
        <f>IF(AND($F245&lt;=BD$2, OR($G245="",$G245&gt;=BD$2)),
  $H245 * (1 + Assumptions!$C$7) ^ INT(((YEAR(BD$2)-YEAR($F245))*12 + MONTH(BD$2)-MONTH($F245)) / 12),
  0)</f>
        <v/>
      </c>
      <c r="BE245" s="299">
        <f>IF(AND($F245&lt;=BE$2, OR($G245="",$G245&gt;=BE$2)),
  $H245 * (1 + Assumptions!$C$7) ^ INT(((YEAR(BE$2)-YEAR($F245))*12 + MONTH(BE$2)-MONTH($F245)) / 12),
  0)</f>
        <v/>
      </c>
      <c r="BF245" s="299">
        <f>IF(AND($F245&lt;=BF$2, OR($G245="",$G245&gt;=BF$2)),
  $H245 * (1 + Assumptions!$C$7) ^ INT(((YEAR(BF$2)-YEAR($F245))*12 + MONTH(BF$2)-MONTH($F245)) / 12),
  0)</f>
        <v/>
      </c>
      <c r="BG245" s="299">
        <f>IF(AND($F245&lt;=BG$2, OR($G245="",$G245&gt;=BG$2)),
  $H245 * (1 + Assumptions!$C$7) ^ INT(((YEAR(BG$2)-YEAR($F245))*12 + MONTH(BG$2)-MONTH($F245)) / 12),
  0)</f>
        <v/>
      </c>
      <c r="BH245" s="299">
        <f>IF(AND($F245&lt;=BH$2, OR($G245="",$G245&gt;=BH$2)),
  $H245 * (1 + Assumptions!$C$7) ^ INT(((YEAR(BH$2)-YEAR($F245))*12 + MONTH(BH$2)-MONTH($F245)) / 12),
  0)</f>
        <v/>
      </c>
      <c r="BI245" s="299">
        <f>IF(AND($F245&lt;=BI$2, OR($G245="",$G245&gt;=BI$2)),
  $H245 * (1 + Assumptions!$C$7) ^ INT(((YEAR(BI$2)-YEAR($F245))*12 + MONTH(BI$2)-MONTH($F245)) / 12),
  0)</f>
        <v/>
      </c>
      <c r="BJ245" s="299">
        <f>IF(AND($F245&lt;=BJ$2, OR($G245="",$G245&gt;=BJ$2)),
  $H245 * (1 + Assumptions!$C$7) ^ INT(((YEAR(BJ$2)-YEAR($F245))*12 + MONTH(BJ$2)-MONTH($F245)) / 12),
  0)</f>
        <v/>
      </c>
      <c r="BK245" s="299">
        <f>IF(AND($F245&lt;=BK$2, OR($G245="",$G245&gt;=BK$2)),
  $H245 * (1 + Assumptions!$C$7) ^ INT(((YEAR(BK$2)-YEAR($F245))*12 + MONTH(BK$2)-MONTH($F245)) / 12),
  0)</f>
        <v/>
      </c>
      <c r="BL245" s="299">
        <f>IF(AND($F245&lt;=BL$2, OR($G245="",$G245&gt;=BL$2)),
  $H245 * (1 + Assumptions!$C$7) ^ INT(((YEAR(BL$2)-YEAR($F245))*12 + MONTH(BL$2)-MONTH($F245)) / 12),
  0)</f>
        <v/>
      </c>
      <c r="BM245" s="299">
        <f>IF(AND($F245&lt;=BM$2, OR($G245="",$G245&gt;=BM$2)),
  $H245 * (1 + Assumptions!$C$7) ^ INT(((YEAR(BM$2)-YEAR($F245))*12 + MONTH(BM$2)-MONTH($F245)) / 12),
  0)</f>
        <v/>
      </c>
      <c r="BN245" s="299">
        <f>IF(AND($F245&lt;=BN$2, OR($G245="",$G245&gt;=BN$2)),
  $H245 * (1 + Assumptions!$C$7) ^ INT(((YEAR(BN$2)-YEAR($F245))*12 + MONTH(BN$2)-MONTH($F245)) / 12),
  0)</f>
        <v/>
      </c>
      <c r="BO245" s="299">
        <f>IF(AND($F245&lt;=BO$2, OR($G245="",$G245&gt;=BO$2)),
  $H245 * (1 + Assumptions!$C$7) ^ INT(((YEAR(BO$2)-YEAR($F245))*12 + MONTH(BO$2)-MONTH($F245)) / 12),
  0)</f>
        <v/>
      </c>
      <c r="BP245" s="299">
        <f>IF(AND($F245&lt;=BP$2, OR($G245="",$G245&gt;=BP$2)),
  $H245 * (1 + Assumptions!$C$7) ^ INT(((YEAR(BP$2)-YEAR($F245))*12 + MONTH(BP$2)-MONTH($F245)) / 12),
  0)</f>
        <v/>
      </c>
      <c r="BQ245" s="31" t="n"/>
      <c r="BR245" s="31" t="n"/>
      <c r="BS245" s="31" t="n"/>
      <c r="BT245" s="31" t="n"/>
    </row>
    <row r="246" ht="15.75" customHeight="1" s="349">
      <c r="A246" s="22" t="n"/>
      <c r="B246" s="22" t="n"/>
      <c r="C246" s="22" t="n"/>
      <c r="D246" s="22" t="n"/>
      <c r="E246" s="22" t="n"/>
      <c r="F246" s="22"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c r="AA246" s="22" t="n"/>
      <c r="AB246" s="22" t="n"/>
      <c r="AC246" s="22" t="n"/>
      <c r="AD246" s="22" t="n"/>
      <c r="AE246" s="22" t="n"/>
      <c r="AF246" s="22" t="n"/>
      <c r="AG246" s="22" t="n"/>
      <c r="AH246" s="22" t="n"/>
      <c r="AI246" s="22" t="n"/>
      <c r="AJ246" s="22" t="n"/>
      <c r="AK246" s="22" t="n"/>
      <c r="AL246" s="22" t="n"/>
      <c r="AM246" s="22" t="n"/>
      <c r="AN246" s="22" t="n"/>
      <c r="AO246" s="22" t="n"/>
      <c r="AP246" s="22" t="n"/>
      <c r="AQ246" s="22" t="n"/>
      <c r="AR246" s="22" t="n"/>
      <c r="AS246" s="22" t="n"/>
      <c r="AT246" s="22" t="n"/>
      <c r="AU246" s="22" t="n"/>
      <c r="AV246" s="22" t="n"/>
      <c r="AW246" s="22" t="n"/>
      <c r="AX246" s="22" t="n"/>
      <c r="AY246" s="22" t="n"/>
      <c r="AZ246" s="22" t="n"/>
      <c r="BA246" s="22" t="n"/>
      <c r="BB246" s="22" t="n"/>
      <c r="BC246" s="22" t="n"/>
      <c r="BD246" s="22" t="n"/>
      <c r="BE246" s="22" t="n"/>
      <c r="BF246" s="22" t="n"/>
      <c r="BG246" s="22" t="n"/>
      <c r="BH246" s="22" t="n"/>
      <c r="BI246" s="22" t="n"/>
      <c r="BJ246" s="22" t="n"/>
      <c r="BK246" s="22" t="n"/>
      <c r="BL246" s="22" t="n"/>
      <c r="BM246" s="22" t="n"/>
      <c r="BN246" s="22" t="n"/>
      <c r="BO246" s="22" t="n"/>
      <c r="BP246" s="22" t="n"/>
      <c r="BQ246" s="31" t="n"/>
      <c r="BR246" s="31" t="n"/>
      <c r="BS246" s="31" t="n"/>
      <c r="BT246" s="31" t="n"/>
    </row>
    <row r="247" ht="15.75" customHeight="1" s="349">
      <c r="A247" s="326" t="n"/>
      <c r="B247" s="327" t="inlineStr">
        <is>
          <t xml:space="preserve">How to use this section: </t>
        </is>
      </c>
      <c r="C247" s="22" t="n"/>
      <c r="D247" s="22" t="n"/>
      <c r="E247" s="22" t="n"/>
      <c r="F247" s="22"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c r="AA247" s="22" t="n"/>
      <c r="AB247" s="22" t="n"/>
      <c r="AC247" s="22" t="n"/>
      <c r="AD247" s="22" t="n"/>
      <c r="AE247" s="22" t="n"/>
      <c r="AF247" s="22" t="n"/>
      <c r="AG247" s="22" t="n"/>
      <c r="AH247" s="22" t="n"/>
      <c r="AI247" s="22" t="n"/>
      <c r="AJ247" s="22" t="n"/>
      <c r="AK247" s="22" t="n"/>
      <c r="AL247" s="22" t="n"/>
      <c r="AM247" s="22" t="n"/>
      <c r="AN247" s="22" t="n"/>
      <c r="AO247" s="22" t="n"/>
      <c r="AP247" s="22" t="n"/>
      <c r="AQ247" s="22" t="n"/>
      <c r="AR247" s="22" t="n"/>
      <c r="AS247" s="22" t="n"/>
      <c r="AT247" s="22" t="n"/>
      <c r="AU247" s="22" t="n"/>
      <c r="AV247" s="22" t="n"/>
      <c r="AW247" s="22" t="n"/>
      <c r="AX247" s="22" t="n"/>
      <c r="AY247" s="22" t="n"/>
      <c r="AZ247" s="22" t="n"/>
      <c r="BA247" s="22" t="n"/>
      <c r="BB247" s="22" t="n"/>
      <c r="BC247" s="22" t="n"/>
      <c r="BD247" s="22" t="n"/>
      <c r="BE247" s="22" t="n"/>
      <c r="BF247" s="22" t="n"/>
      <c r="BG247" s="22" t="n"/>
      <c r="BH247" s="22" t="n"/>
      <c r="BI247" s="22" t="n"/>
      <c r="BJ247" s="22" t="n"/>
      <c r="BK247" s="22" t="n"/>
      <c r="BL247" s="22" t="n"/>
      <c r="BM247" s="22" t="n"/>
      <c r="BN247" s="22" t="n"/>
      <c r="BO247" s="22" t="n"/>
      <c r="BP247" s="22" t="n"/>
      <c r="BQ247" s="31" t="n"/>
      <c r="BR247" s="350" t="n"/>
      <c r="BS247" s="31" t="n"/>
      <c r="BT247" s="31" t="n"/>
    </row>
    <row r="248" ht="15.75" customHeight="1" s="349">
      <c r="A248" s="22" t="n"/>
      <c r="B248" s="351" t="inlineStr">
        <is>
          <t xml:space="preserve">When adding an employee, follow the structure above, filling in columns A through H. Then drag the formula from the row above in column H down, and accross. Additionally, add a new employee above row 38, as the formulas below will not capture the new employee. </t>
        </is>
      </c>
      <c r="C248" s="352" t="n"/>
      <c r="D248" s="352" t="n"/>
      <c r="E248" s="352" t="n"/>
      <c r="F248" s="352" t="n"/>
      <c r="G248" s="352" t="n"/>
      <c r="H248" s="353" t="n"/>
      <c r="I248" s="22" t="n"/>
      <c r="J248" s="22" t="n"/>
      <c r="K248" s="22" t="n"/>
      <c r="L248" s="22" t="n"/>
      <c r="M248" s="22" t="n"/>
      <c r="N248" s="22" t="n"/>
      <c r="O248" s="22" t="n"/>
      <c r="P248" s="22" t="n"/>
      <c r="Q248" s="22" t="n"/>
      <c r="R248" s="22" t="n"/>
      <c r="S248" s="22" t="n"/>
      <c r="T248" s="22" t="n"/>
      <c r="U248" s="22" t="n"/>
      <c r="V248" s="22" t="n"/>
      <c r="W248" s="22" t="n"/>
      <c r="X248" s="22" t="n"/>
      <c r="Y248" s="22" t="n"/>
      <c r="Z248" s="22" t="n"/>
      <c r="AA248" s="22" t="n"/>
      <c r="AB248" s="22" t="n"/>
      <c r="AC248" s="22" t="n"/>
      <c r="AD248" s="22" t="n"/>
      <c r="AE248" s="22" t="n"/>
      <c r="AF248" s="22" t="n"/>
      <c r="AG248" s="22" t="n"/>
      <c r="AH248" s="22" t="n"/>
      <c r="AI248" s="22" t="n"/>
      <c r="AJ248" s="22" t="n"/>
      <c r="AK248" s="22" t="n"/>
      <c r="AL248" s="22" t="n"/>
      <c r="AM248" s="22" t="n"/>
      <c r="AN248" s="22" t="n"/>
      <c r="AO248" s="22" t="n"/>
      <c r="AP248" s="22" t="n"/>
      <c r="AQ248" s="22" t="n"/>
      <c r="AR248" s="22" t="n"/>
      <c r="AS248" s="22" t="n"/>
      <c r="AT248" s="22" t="n"/>
      <c r="AU248" s="22" t="n"/>
      <c r="AV248" s="22" t="n"/>
      <c r="AW248" s="22" t="n"/>
      <c r="AX248" s="22" t="n"/>
      <c r="AY248" s="22" t="n"/>
      <c r="AZ248" s="22" t="n"/>
      <c r="BA248" s="22" t="n"/>
      <c r="BB248" s="22" t="n"/>
      <c r="BC248" s="22" t="n"/>
      <c r="BD248" s="22" t="n"/>
      <c r="BE248" s="22" t="n"/>
      <c r="BF248" s="22" t="n"/>
      <c r="BG248" s="22" t="n"/>
      <c r="BH248" s="22" t="n"/>
      <c r="BI248" s="22" t="n"/>
      <c r="BJ248" s="22" t="n"/>
      <c r="BK248" s="22" t="n"/>
      <c r="BL248" s="22" t="n"/>
      <c r="BM248" s="22" t="n"/>
      <c r="BN248" s="22" t="n"/>
      <c r="BO248" s="22" t="n"/>
      <c r="BP248" s="22" t="n"/>
      <c r="BQ248" s="31" t="n"/>
      <c r="BR248" s="350" t="n"/>
      <c r="BS248" s="31" t="n"/>
      <c r="BT248" s="31" t="n"/>
    </row>
    <row r="249" ht="15.75" customHeight="1" s="349">
      <c r="A249" s="22" t="n"/>
      <c r="B249" s="22" t="n"/>
      <c r="C249" s="22" t="n"/>
      <c r="D249" s="22" t="n"/>
      <c r="E249" s="22" t="n"/>
      <c r="F249" s="22"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c r="AA249" s="22" t="n"/>
      <c r="AB249" s="22" t="n"/>
      <c r="AC249" s="22" t="n"/>
      <c r="AD249" s="22" t="n"/>
      <c r="AE249" s="22" t="n"/>
      <c r="AF249" s="22" t="n"/>
      <c r="AG249" s="22" t="n"/>
      <c r="AH249" s="22" t="n"/>
      <c r="AI249" s="22" t="n"/>
      <c r="AJ249" s="22" t="n"/>
      <c r="AK249" s="22" t="n"/>
      <c r="AL249" s="22" t="n"/>
      <c r="AM249" s="22" t="n"/>
      <c r="AN249" s="22" t="n"/>
      <c r="AO249" s="22" t="n"/>
      <c r="AP249" s="22" t="n"/>
      <c r="AQ249" s="22" t="n"/>
      <c r="AR249" s="22" t="n"/>
      <c r="AS249" s="22" t="n"/>
      <c r="AT249" s="22" t="n"/>
      <c r="AU249" s="22" t="n"/>
      <c r="AV249" s="22" t="n"/>
      <c r="AW249" s="22" t="n"/>
      <c r="AX249" s="22" t="n"/>
      <c r="AY249" s="22" t="n"/>
      <c r="AZ249" s="22" t="n"/>
      <c r="BA249" s="22" t="n"/>
      <c r="BB249" s="22" t="n"/>
      <c r="BC249" s="22" t="n"/>
      <c r="BD249" s="22" t="n"/>
      <c r="BE249" s="22" t="n"/>
      <c r="BF249" s="22" t="n"/>
      <c r="BG249" s="22" t="n"/>
      <c r="BH249" s="22" t="n"/>
      <c r="BI249" s="22" t="n"/>
      <c r="BJ249" s="22" t="n"/>
      <c r="BK249" s="22" t="n"/>
      <c r="BL249" s="22" t="n"/>
      <c r="BM249" s="22" t="n"/>
      <c r="BN249" s="22" t="n"/>
      <c r="BO249" s="22" t="n"/>
      <c r="BP249" s="22" t="n"/>
      <c r="BQ249" s="31" t="n"/>
      <c r="BR249" s="350" t="n"/>
      <c r="BS249" s="31" t="n"/>
      <c r="BT249" s="31" t="n"/>
    </row>
    <row r="250" ht="15.75" customHeight="1" s="349">
      <c r="A250" s="2" t="n"/>
      <c r="B250" s="26" t="inlineStr">
        <is>
          <t>SUMMARY BY DEPARTMENT</t>
        </is>
      </c>
      <c r="BE250" s="11" t="n"/>
      <c r="BF250" s="11" t="n"/>
      <c r="BG250" s="11" t="n"/>
      <c r="BH250" s="11" t="n"/>
      <c r="BI250" s="11" t="n"/>
      <c r="BJ250" s="11" t="n"/>
      <c r="BK250" s="11" t="n"/>
      <c r="BL250" s="11" t="n"/>
      <c r="BM250" s="11" t="n"/>
      <c r="BN250" s="11" t="n"/>
      <c r="BO250" s="11" t="n"/>
      <c r="BP250" s="11" t="n"/>
      <c r="BQ250" s="78" t="n"/>
      <c r="BR250" s="315" t="n"/>
      <c r="BS250" s="78" t="n"/>
      <c r="BT250" s="78" t="n"/>
    </row>
    <row r="251" ht="15.75" customHeight="1" s="349">
      <c r="A251" s="331" t="n"/>
      <c r="B251" s="332" t="inlineStr">
        <is>
          <t>R&amp;D</t>
        </is>
      </c>
      <c r="C251" s="331" t="n"/>
      <c r="D251" s="331" t="n"/>
      <c r="E251" s="331" t="n"/>
      <c r="F251" s="331" t="n"/>
      <c r="G251" s="331" t="n"/>
      <c r="H251" s="331" t="n"/>
      <c r="I251" s="333">
        <f>SUMIF($C$2:$C$245,"R&amp;D",I2:I245)</f>
        <v/>
      </c>
      <c r="J251" s="333">
        <f>SUMIF($C$2:$C$245,"R&amp;D",J2:J245)</f>
        <v/>
      </c>
      <c r="K251" s="333">
        <f>SUMIF($C$2:$C$245,"R&amp;D",K2:K245)</f>
        <v/>
      </c>
      <c r="L251" s="333">
        <f>SUMIF($C$2:$C$245,"R&amp;D",L2:L245)</f>
        <v/>
      </c>
      <c r="M251" s="333">
        <f>SUMIF($C$2:$C$245,"R&amp;D",M2:M245)</f>
        <v/>
      </c>
      <c r="N251" s="333">
        <f>SUMIF($C$2:$C$245,"R&amp;D",N2:N245)</f>
        <v/>
      </c>
      <c r="O251" s="333">
        <f>SUMIF($C$2:$C$245,"R&amp;D",O2:O245)</f>
        <v/>
      </c>
      <c r="P251" s="333">
        <f>SUMIF($C$2:$C$245,"R&amp;D",P2:P245)</f>
        <v/>
      </c>
      <c r="Q251" s="333">
        <f>SUMIF($C$3:$C$245,"R&amp;D",Q3:Q245)</f>
        <v/>
      </c>
      <c r="R251" s="333">
        <f>SUMIF($C$3:$C$245,"R&amp;D",R3:R245)</f>
        <v/>
      </c>
      <c r="S251" s="333">
        <f>SUMIF($C$3:$C$245,"R&amp;D",S3:S245)</f>
        <v/>
      </c>
      <c r="T251" s="333">
        <f>SUMIF($C$3:$C$245,"R&amp;D",T3:T245)</f>
        <v/>
      </c>
      <c r="U251" s="333">
        <f>SUMIF($C$3:$C$245,"R&amp;D",U3:U245)</f>
        <v/>
      </c>
      <c r="V251" s="333">
        <f>SUMIF($C$3:$C$245,"R&amp;D",V3:V245)</f>
        <v/>
      </c>
      <c r="W251" s="333">
        <f>SUMIF($C$3:$C$245,"R&amp;D",W3:W245)</f>
        <v/>
      </c>
      <c r="X251" s="333">
        <f>SUMIF($C$3:$C$245,"R&amp;D",X3:X245)</f>
        <v/>
      </c>
      <c r="Y251" s="333">
        <f>SUMIF($C$3:$C$245,"R&amp;D",Y3:Y245)</f>
        <v/>
      </c>
      <c r="Z251" s="333">
        <f>SUMIF($C$3:$C$245,"R&amp;D",Z3:Z245)</f>
        <v/>
      </c>
      <c r="AA251" s="333">
        <f>SUMIF($C$3:$C$245,"R&amp;D",AA3:AA245)</f>
        <v/>
      </c>
      <c r="AB251" s="333">
        <f>SUMIF($C$3:$C$245,"R&amp;D",AB3:AB245)</f>
        <v/>
      </c>
      <c r="AC251" s="333">
        <f>SUMIF($C$3:$C$245,"R&amp;D",AC3:AC245)</f>
        <v/>
      </c>
      <c r="AD251" s="333">
        <f>SUMIF($C$3:$C$245,"R&amp;D",AD3:AD245)</f>
        <v/>
      </c>
      <c r="AE251" s="333">
        <f>SUMIF($C$3:$C$245,"R&amp;D",AE3:AE245)</f>
        <v/>
      </c>
      <c r="AF251" s="333">
        <f>SUMIF($C$3:$C$245,"R&amp;D",AF3:AF245)</f>
        <v/>
      </c>
      <c r="AG251" s="333">
        <f>SUMIF($C$3:$C$245,"R&amp;D",AG3:AG245)</f>
        <v/>
      </c>
      <c r="AH251" s="333">
        <f>SUMIF($C$3:$C$245,"R&amp;D",AH3:AH245)</f>
        <v/>
      </c>
      <c r="AI251" s="333">
        <f>SUMIF($C$3:$C$245,"R&amp;D",AI3:AI245)</f>
        <v/>
      </c>
      <c r="AJ251" s="333">
        <f>SUMIF($C$3:$C$245,"R&amp;D",AJ3:AJ245)</f>
        <v/>
      </c>
      <c r="AK251" s="333">
        <f>SUMIF($C$3:$C$245,"R&amp;D",AK3:AK245)</f>
        <v/>
      </c>
      <c r="AL251" s="333">
        <f>SUMIF($C$3:$C$245,"R&amp;D",AL3:AL245)</f>
        <v/>
      </c>
      <c r="AM251" s="333">
        <f>SUMIF($C$3:$C$245,"R&amp;D",AM3:AM245)</f>
        <v/>
      </c>
      <c r="AN251" s="333">
        <f>SUMIF($C$3:$C$245,"R&amp;D",AN3:AN245)</f>
        <v/>
      </c>
      <c r="AO251" s="333">
        <f>SUMIF($C$3:$C$245,"R&amp;D",AO3:AO245)</f>
        <v/>
      </c>
      <c r="AP251" s="333">
        <f>SUMIF($C$3:$C$245,"R&amp;D",AP3:AP245)</f>
        <v/>
      </c>
      <c r="AQ251" s="333">
        <f>SUMIF($C$3:$C$245,"R&amp;D",AQ3:AQ245)</f>
        <v/>
      </c>
      <c r="AR251" s="333">
        <f>SUMIF($C$3:$C$245,"R&amp;D",AR3:AR245)</f>
        <v/>
      </c>
      <c r="AS251" s="333">
        <f>SUMIF($C$3:$C$245,"R&amp;D",AS3:AS245)</f>
        <v/>
      </c>
      <c r="AT251" s="333">
        <f>SUMIF($C$3:$C$245,"R&amp;D",AT3:AT245)</f>
        <v/>
      </c>
      <c r="AU251" s="333">
        <f>SUMIF($C$3:$C$245,"R&amp;D",AU3:AU245)</f>
        <v/>
      </c>
      <c r="AV251" s="333">
        <f>SUMIF($C$3:$C$245,"R&amp;D",AV3:AV245)</f>
        <v/>
      </c>
      <c r="AW251" s="333">
        <f>SUMIF($C$3:$C$245,"R&amp;D",AW3:AW245)</f>
        <v/>
      </c>
      <c r="AX251" s="333">
        <f>SUMIF($C$3:$C$245,"R&amp;D",AX3:AX245)</f>
        <v/>
      </c>
      <c r="AY251" s="333">
        <f>SUMIF($C$3:$C$245,"R&amp;D",AY3:AY245)</f>
        <v/>
      </c>
      <c r="AZ251" s="333">
        <f>SUMIF($C$3:$C$245,"R&amp;D",AZ3:AZ245)</f>
        <v/>
      </c>
      <c r="BA251" s="333">
        <f>SUMIF($C$3:$C$245,"R&amp;D",BA3:BA245)</f>
        <v/>
      </c>
      <c r="BB251" s="333">
        <f>SUMIF($C$3:$C$245,"R&amp;D",BB3:BB245)</f>
        <v/>
      </c>
      <c r="BC251" s="333">
        <f>SUMIF($C$3:$C$245,"R&amp;D",BC3:BC245)</f>
        <v/>
      </c>
      <c r="BD251" s="333">
        <f>SUMIF($C$3:$C$245,"R&amp;D",BD3:BD245)</f>
        <v/>
      </c>
      <c r="BE251" s="333">
        <f>SUMIF($C$3:$C$245,"R&amp;D",BE3:BE245)</f>
        <v/>
      </c>
      <c r="BF251" s="333">
        <f>SUMIF($C$3:$C$245,"R&amp;D",BF3:BF245)</f>
        <v/>
      </c>
      <c r="BG251" s="333">
        <f>SUMIF($C$3:$C$245,"R&amp;D",BG3:BG245)</f>
        <v/>
      </c>
      <c r="BH251" s="333">
        <f>SUMIF($C$3:$C$245,"R&amp;D",BH3:BH245)</f>
        <v/>
      </c>
      <c r="BI251" s="333">
        <f>SUMIF($C$3:$C$245,"R&amp;D",BI3:BI245)</f>
        <v/>
      </c>
      <c r="BJ251" s="333">
        <f>SUMIF($C$3:$C$245,"R&amp;D",BJ3:BJ245)</f>
        <v/>
      </c>
      <c r="BK251" s="333">
        <f>SUMIF($C$3:$C$245,"R&amp;D",BK3:BK245)</f>
        <v/>
      </c>
      <c r="BL251" s="333">
        <f>SUMIF($C$3:$C$245,"R&amp;D",BL3:BL245)</f>
        <v/>
      </c>
      <c r="BM251" s="333">
        <f>SUMIF($C$3:$C$245,"R&amp;D",BM3:BM245)</f>
        <v/>
      </c>
      <c r="BN251" s="333">
        <f>SUMIF($C$3:$C$245,"R&amp;D",BN3:BN245)</f>
        <v/>
      </c>
      <c r="BO251" s="333">
        <f>SUMIF($C$3:$C$245,"R&amp;D",BO3:BO245)</f>
        <v/>
      </c>
      <c r="BP251" s="333">
        <f>SUMIF($C$3:$C$245,"R&amp;D",BP3:BP245)</f>
        <v/>
      </c>
      <c r="BQ251" s="333" t="n"/>
      <c r="BR251" s="334" t="inlineStr">
        <is>
          <t>adds up everyone tagged R&amp;D that month</t>
        </is>
      </c>
      <c r="BS251" s="335" t="n"/>
      <c r="BT251" s="335" t="n"/>
    </row>
    <row r="252" ht="15.75" customHeight="1" s="349">
      <c r="A252" s="331" t="n"/>
      <c r="B252" s="332" t="inlineStr">
        <is>
          <t>S&amp;M</t>
        </is>
      </c>
      <c r="C252" s="331" t="n"/>
      <c r="D252" s="331" t="n"/>
      <c r="E252" s="331" t="n"/>
      <c r="F252" s="331" t="n"/>
      <c r="G252" s="331" t="n"/>
      <c r="H252" s="331" t="n"/>
      <c r="I252" s="333">
        <f>SUMIF($C$3:$C$245,"S&amp;M",I3:I245)</f>
        <v/>
      </c>
      <c r="J252" s="333">
        <f>SUMIF($C$3:$C$245,"S&amp;M",J3:J245)</f>
        <v/>
      </c>
      <c r="K252" s="333">
        <f>SUMIF($C$3:$C$245,"S&amp;M",K3:K245)</f>
        <v/>
      </c>
      <c r="L252" s="333">
        <f>SUMIF($C$3:$C$245,"S&amp;M",L3:L245)</f>
        <v/>
      </c>
      <c r="M252" s="333">
        <f>SUMIF($C$3:$C$245,"S&amp;M",M3:M245)</f>
        <v/>
      </c>
      <c r="N252" s="333">
        <f>SUMIF($C$3:$C$245,"S&amp;M",N3:N245)</f>
        <v/>
      </c>
      <c r="O252" s="333">
        <f>SUMIF($C$3:$C$245,"S&amp;M",O3:O245)</f>
        <v/>
      </c>
      <c r="P252" s="333">
        <f>SUMIF($C$3:$C$245,"S&amp;M",P3:P245)</f>
        <v/>
      </c>
      <c r="Q252" s="333">
        <f>SUMIF($C$3:$C$245,"S&amp;M",Q3:Q245)</f>
        <v/>
      </c>
      <c r="R252" s="333">
        <f>SUMIF($C$3:$C$245,"S&amp;M",R3:R245)</f>
        <v/>
      </c>
      <c r="S252" s="333">
        <f>SUMIF($C$3:$C$245,"S&amp;M",S3:S245)</f>
        <v/>
      </c>
      <c r="T252" s="333">
        <f>SUMIF($C$3:$C$245,"S&amp;M",T3:T245)</f>
        <v/>
      </c>
      <c r="U252" s="333">
        <f>SUMIF($C$3:$C$245,"S&amp;M",U3:U245)</f>
        <v/>
      </c>
      <c r="V252" s="333">
        <f>SUMIF($C$3:$C$245,"S&amp;M",V3:V245)</f>
        <v/>
      </c>
      <c r="W252" s="333">
        <f>SUMIF($C$3:$C$245,"S&amp;M",W3:W245)</f>
        <v/>
      </c>
      <c r="X252" s="333">
        <f>SUMIF($C$3:$C$245,"S&amp;M",X3:X245)</f>
        <v/>
      </c>
      <c r="Y252" s="333">
        <f>SUMIF($C$3:$C$245,"S&amp;M",Y3:Y245)</f>
        <v/>
      </c>
      <c r="Z252" s="333">
        <f>SUMIF($C$3:$C$245,"S&amp;M",Z3:Z245)</f>
        <v/>
      </c>
      <c r="AA252" s="333">
        <f>SUMIF($C$3:$C$245,"S&amp;M",AA3:AA245)</f>
        <v/>
      </c>
      <c r="AB252" s="333">
        <f>SUMIF($C$3:$C$245,"S&amp;M",AB3:AB245)</f>
        <v/>
      </c>
      <c r="AC252" s="333">
        <f>SUMIF($C$3:$C$245,"S&amp;M",AC3:AC245)</f>
        <v/>
      </c>
      <c r="AD252" s="333">
        <f>SUMIF($C$3:$C$245,"S&amp;M",AD3:AD245)</f>
        <v/>
      </c>
      <c r="AE252" s="333">
        <f>SUMIF($C$3:$C$245,"S&amp;M",AE3:AE245)</f>
        <v/>
      </c>
      <c r="AF252" s="333">
        <f>SUMIF($C$3:$C$245,"S&amp;M",AF3:AF245)</f>
        <v/>
      </c>
      <c r="AG252" s="333">
        <f>SUMIF($C$3:$C$245,"S&amp;M",AG3:AG245)</f>
        <v/>
      </c>
      <c r="AH252" s="333">
        <f>SUMIF($C$3:$C$245,"S&amp;M",AH3:AH245)</f>
        <v/>
      </c>
      <c r="AI252" s="333">
        <f>SUMIF($C$3:$C$245,"S&amp;M",AI3:AI245)</f>
        <v/>
      </c>
      <c r="AJ252" s="333">
        <f>SUMIF($C$3:$C$245,"S&amp;M",AJ3:AJ245)</f>
        <v/>
      </c>
      <c r="AK252" s="333">
        <f>SUMIF($C$3:$C$245,"S&amp;M",AK3:AK245)</f>
        <v/>
      </c>
      <c r="AL252" s="333">
        <f>SUMIF($C$3:$C$245,"S&amp;M",AL3:AL245)</f>
        <v/>
      </c>
      <c r="AM252" s="333">
        <f>SUMIF($C$3:$C$245,"S&amp;M",AM3:AM245)</f>
        <v/>
      </c>
      <c r="AN252" s="333">
        <f>SUMIF($C$3:$C$245,"S&amp;M",AN3:AN245)</f>
        <v/>
      </c>
      <c r="AO252" s="333">
        <f>SUMIF($C$3:$C$245,"S&amp;M",AO3:AO245)</f>
        <v/>
      </c>
      <c r="AP252" s="333">
        <f>SUMIF($C$3:$C$245,"S&amp;M",AP3:AP245)</f>
        <v/>
      </c>
      <c r="AQ252" s="333">
        <f>SUMIF($C$3:$C$245,"S&amp;M",AQ3:AQ245)</f>
        <v/>
      </c>
      <c r="AR252" s="333">
        <f>SUMIF($C$3:$C$245,"S&amp;M",AR3:AR245)</f>
        <v/>
      </c>
      <c r="AS252" s="333">
        <f>SUMIF($C$3:$C$245,"S&amp;M",AS3:AS245)</f>
        <v/>
      </c>
      <c r="AT252" s="333">
        <f>SUMIF($C$3:$C$245,"S&amp;M",AT3:AT245)</f>
        <v/>
      </c>
      <c r="AU252" s="333">
        <f>SUMIF($C$3:$C$245,"S&amp;M",AU3:AU245)</f>
        <v/>
      </c>
      <c r="AV252" s="333">
        <f>SUMIF($C$3:$C$245,"S&amp;M",AV3:AV245)</f>
        <v/>
      </c>
      <c r="AW252" s="333">
        <f>SUMIF($C$3:$C$245,"S&amp;M",AW3:AW245)</f>
        <v/>
      </c>
      <c r="AX252" s="333">
        <f>SUMIF($C$3:$C$245,"S&amp;M",AX3:AX245)</f>
        <v/>
      </c>
      <c r="AY252" s="333">
        <f>SUMIF($C$3:$C$245,"S&amp;M",AY3:AY245)</f>
        <v/>
      </c>
      <c r="AZ252" s="333">
        <f>SUMIF($C$3:$C$245,"S&amp;M",AZ3:AZ245)</f>
        <v/>
      </c>
      <c r="BA252" s="333">
        <f>SUMIF($C$3:$C$245,"S&amp;M",BA3:BA245)</f>
        <v/>
      </c>
      <c r="BB252" s="333">
        <f>SUMIF($C$3:$C$245,"S&amp;M",BB3:BB245)</f>
        <v/>
      </c>
      <c r="BC252" s="333">
        <f>SUMIF($C$3:$C$245,"S&amp;M",BC3:BC245)</f>
        <v/>
      </c>
      <c r="BD252" s="333">
        <f>SUMIF($C$3:$C$245,"S&amp;M",BD3:BD245)</f>
        <v/>
      </c>
      <c r="BE252" s="333">
        <f>SUMIF($C$3:$C$245,"S&amp;M",BE3:BE245)</f>
        <v/>
      </c>
      <c r="BF252" s="333">
        <f>SUMIF($C$3:$C$245,"S&amp;M",BF3:BF245)</f>
        <v/>
      </c>
      <c r="BG252" s="333">
        <f>SUMIF($C$3:$C$245,"S&amp;M",BG3:BG245)</f>
        <v/>
      </c>
      <c r="BH252" s="333">
        <f>SUMIF($C$3:$C$245,"S&amp;M",BH3:BH245)</f>
        <v/>
      </c>
      <c r="BI252" s="333">
        <f>SUMIF($C$3:$C$245,"S&amp;M",BI3:BI245)</f>
        <v/>
      </c>
      <c r="BJ252" s="333">
        <f>SUMIF($C$3:$C$245,"S&amp;M",BJ3:BJ245)</f>
        <v/>
      </c>
      <c r="BK252" s="333">
        <f>SUMIF($C$3:$C$245,"S&amp;M",BK3:BK245)</f>
        <v/>
      </c>
      <c r="BL252" s="333">
        <f>SUMIF($C$3:$C$245,"S&amp;M",BL3:BL245)</f>
        <v/>
      </c>
      <c r="BM252" s="333">
        <f>SUMIF($C$3:$C$245,"S&amp;M",BM3:BM245)</f>
        <v/>
      </c>
      <c r="BN252" s="333">
        <f>SUMIF($C$3:$C$245,"S&amp;M",BN3:BN245)</f>
        <v/>
      </c>
      <c r="BO252" s="333">
        <f>SUMIF($C$3:$C$245,"S&amp;M",BO3:BO245)</f>
        <v/>
      </c>
      <c r="BP252" s="333">
        <f>SUMIF($C$3:$C$245,"S&amp;M",BP3:BP245)</f>
        <v/>
      </c>
      <c r="BQ252" s="333" t="n"/>
      <c r="BR252" s="334" t="inlineStr">
        <is>
          <t>adds up everyone tagged S&amp;M that month</t>
        </is>
      </c>
      <c r="BS252" s="335" t="n"/>
      <c r="BT252" s="335" t="n"/>
    </row>
    <row r="253" ht="15.75" customHeight="1" s="349">
      <c r="A253" s="331" t="n"/>
      <c r="B253" s="336" t="inlineStr">
        <is>
          <t>G&amp;A</t>
        </is>
      </c>
      <c r="C253" s="331" t="n"/>
      <c r="D253" s="331" t="n"/>
      <c r="E253" s="331" t="n"/>
      <c r="F253" s="331" t="n"/>
      <c r="G253" s="331" t="n"/>
      <c r="H253" s="331" t="n"/>
      <c r="I253" s="337">
        <f>SUMIF($C$3:$C$245,"G&amp;A",I3:I245)</f>
        <v/>
      </c>
      <c r="J253" s="337">
        <f>SUMIF($C$3:$C$245,"G&amp;A",J3:J245)</f>
        <v/>
      </c>
      <c r="K253" s="337">
        <f>SUMIF($C$3:$C$245,"G&amp;A",K3:K245)</f>
        <v/>
      </c>
      <c r="L253" s="337">
        <f>SUMIF($C$3:$C$245,"G&amp;A",L3:L245)</f>
        <v/>
      </c>
      <c r="M253" s="337">
        <f>SUMIF($C$3:$C$245,"G&amp;A",M3:M245)</f>
        <v/>
      </c>
      <c r="N253" s="337">
        <f>SUMIF($C$3:$C$245,"G&amp;A",N3:N245)</f>
        <v/>
      </c>
      <c r="O253" s="337">
        <f>SUMIF($C$3:$C$245,"G&amp;A",O3:O245)</f>
        <v/>
      </c>
      <c r="P253" s="337">
        <f>SUMIF($C$3:$C$245,"G&amp;A",P3:P245)</f>
        <v/>
      </c>
      <c r="Q253" s="337">
        <f>SUMIF($C$3:$C$245,"G&amp;A",Q3:Q245)</f>
        <v/>
      </c>
      <c r="R253" s="337">
        <f>SUMIF($C$3:$C$245,"G&amp;A",R3:R245)</f>
        <v/>
      </c>
      <c r="S253" s="337">
        <f>SUMIF($C$3:$C$245,"G&amp;A",S3:S245)</f>
        <v/>
      </c>
      <c r="T253" s="337">
        <f>SUMIF($C$3:$C$245,"G&amp;A",T3:T245)</f>
        <v/>
      </c>
      <c r="U253" s="337">
        <f>SUMIF($C$3:$C$245,"G&amp;A",U3:U245)</f>
        <v/>
      </c>
      <c r="V253" s="337">
        <f>SUMIF($C$3:$C$245,"G&amp;A",V3:V245)</f>
        <v/>
      </c>
      <c r="W253" s="337">
        <f>SUMIF($C$3:$C$245,"G&amp;A",W3:W245)</f>
        <v/>
      </c>
      <c r="X253" s="337">
        <f>SUMIF($C$3:$C$245,"G&amp;A",X3:X245)</f>
        <v/>
      </c>
      <c r="Y253" s="337">
        <f>SUMIF($C$3:$C$245,"G&amp;A",Y3:Y245)</f>
        <v/>
      </c>
      <c r="Z253" s="337">
        <f>SUMIF($C$3:$C$245,"G&amp;A",Z3:Z245)</f>
        <v/>
      </c>
      <c r="AA253" s="337">
        <f>SUMIF($C$3:$C$245,"G&amp;A",AA3:AA245)</f>
        <v/>
      </c>
      <c r="AB253" s="337">
        <f>SUMIF($C$3:$C$245,"G&amp;A",AB3:AB245)</f>
        <v/>
      </c>
      <c r="AC253" s="337">
        <f>SUMIF($C$3:$C$245,"G&amp;A",AC3:AC245)</f>
        <v/>
      </c>
      <c r="AD253" s="337">
        <f>SUMIF($C$3:$C$245,"G&amp;A",AD3:AD245)</f>
        <v/>
      </c>
      <c r="AE253" s="337">
        <f>SUMIF($C$3:$C$245,"G&amp;A",AE3:AE245)</f>
        <v/>
      </c>
      <c r="AF253" s="337">
        <f>SUMIF($C$3:$C$245,"G&amp;A",AF3:AF245)</f>
        <v/>
      </c>
      <c r="AG253" s="337">
        <f>SUMIF($C$3:$C$245,"G&amp;A",AG3:AG245)</f>
        <v/>
      </c>
      <c r="AH253" s="337">
        <f>SUMIF($C$3:$C$245,"G&amp;A",AH3:AH245)</f>
        <v/>
      </c>
      <c r="AI253" s="337">
        <f>SUMIF($C$3:$C$245,"G&amp;A",AI3:AI245)</f>
        <v/>
      </c>
      <c r="AJ253" s="337">
        <f>SUMIF($C$3:$C$245,"G&amp;A",AJ3:AJ245)</f>
        <v/>
      </c>
      <c r="AK253" s="337">
        <f>SUMIF($C$3:$C$245,"G&amp;A",AK3:AK245)</f>
        <v/>
      </c>
      <c r="AL253" s="337">
        <f>SUMIF($C$3:$C$245,"G&amp;A",AL3:AL245)</f>
        <v/>
      </c>
      <c r="AM253" s="337">
        <f>SUMIF($C$3:$C$245,"G&amp;A",AM3:AM245)</f>
        <v/>
      </c>
      <c r="AN253" s="337">
        <f>SUMIF($C$3:$C$245,"G&amp;A",AN3:AN245)</f>
        <v/>
      </c>
      <c r="AO253" s="337">
        <f>SUMIF($C$3:$C$245,"G&amp;A",AO3:AO245)</f>
        <v/>
      </c>
      <c r="AP253" s="337">
        <f>SUMIF($C$3:$C$245,"G&amp;A",AP3:AP245)</f>
        <v/>
      </c>
      <c r="AQ253" s="337">
        <f>SUMIF($C$3:$C$245,"G&amp;A",AQ3:AQ245)</f>
        <v/>
      </c>
      <c r="AR253" s="337">
        <f>SUMIF($C$3:$C$245,"G&amp;A",AR3:AR245)</f>
        <v/>
      </c>
      <c r="AS253" s="337">
        <f>SUMIF($C$3:$C$245,"G&amp;A",AS3:AS245)</f>
        <v/>
      </c>
      <c r="AT253" s="337">
        <f>SUMIF($C$3:$C$245,"G&amp;A",AT3:AT245)</f>
        <v/>
      </c>
      <c r="AU253" s="337">
        <f>SUMIF($C$3:$C$245,"G&amp;A",AU3:AU245)</f>
        <v/>
      </c>
      <c r="AV253" s="337">
        <f>SUMIF($C$3:$C$245,"G&amp;A",AV3:AV245)</f>
        <v/>
      </c>
      <c r="AW253" s="337">
        <f>SUMIF($C$3:$C$245,"G&amp;A",AW3:AW245)</f>
        <v/>
      </c>
      <c r="AX253" s="337">
        <f>SUMIF($C$3:$C$245,"G&amp;A",AX3:AX245)</f>
        <v/>
      </c>
      <c r="AY253" s="337">
        <f>SUMIF($C$3:$C$245,"G&amp;A",AY3:AY245)</f>
        <v/>
      </c>
      <c r="AZ253" s="337">
        <f>SUMIF($C$3:$C$245,"G&amp;A",AZ3:AZ245)</f>
        <v/>
      </c>
      <c r="BA253" s="337">
        <f>SUMIF($C$3:$C$245,"G&amp;A",BA3:BA245)</f>
        <v/>
      </c>
      <c r="BB253" s="337">
        <f>SUMIF($C$3:$C$245,"G&amp;A",BB3:BB245)</f>
        <v/>
      </c>
      <c r="BC253" s="337">
        <f>SUMIF($C$3:$C$245,"G&amp;A",BC3:BC245)</f>
        <v/>
      </c>
      <c r="BD253" s="337">
        <f>SUMIF($C$3:$C$245,"G&amp;A",BD3:BD245)</f>
        <v/>
      </c>
      <c r="BE253" s="337">
        <f>SUMIF($C$3:$C$245,"G&amp;A",BE3:BE245)</f>
        <v/>
      </c>
      <c r="BF253" s="337">
        <f>SUMIF($C$3:$C$245,"G&amp;A",BF3:BF245)</f>
        <v/>
      </c>
      <c r="BG253" s="337">
        <f>SUMIF($C$3:$C$245,"G&amp;A",BG3:BG245)</f>
        <v/>
      </c>
      <c r="BH253" s="337">
        <f>SUMIF($C$3:$C$245,"G&amp;A",BH3:BH245)</f>
        <v/>
      </c>
      <c r="BI253" s="337">
        <f>SUMIF($C$3:$C$245,"G&amp;A",BI3:BI245)</f>
        <v/>
      </c>
      <c r="BJ253" s="337">
        <f>SUMIF($C$3:$C$245,"G&amp;A",BJ3:BJ245)</f>
        <v/>
      </c>
      <c r="BK253" s="337">
        <f>SUMIF($C$3:$C$245,"G&amp;A",BK3:BK245)</f>
        <v/>
      </c>
      <c r="BL253" s="337">
        <f>SUMIF($C$3:$C$245,"G&amp;A",BL3:BL245)</f>
        <v/>
      </c>
      <c r="BM253" s="337">
        <f>SUMIF($C$3:$C$245,"G&amp;A",BM3:BM245)</f>
        <v/>
      </c>
      <c r="BN253" s="337">
        <f>SUMIF($C$3:$C$245,"G&amp;A",BN3:BN245)</f>
        <v/>
      </c>
      <c r="BO253" s="337">
        <f>SUMIF($C$3:$C$245,"G&amp;A",BO3:BO245)</f>
        <v/>
      </c>
      <c r="BP253" s="337">
        <f>SUMIF($C$3:$C$245,"G&amp;A",BP3:BP245)</f>
        <v/>
      </c>
      <c r="BQ253" s="337" t="n"/>
      <c r="BR253" s="334" t="inlineStr">
        <is>
          <t>adds up everyone tagged G&amp;A that month</t>
        </is>
      </c>
      <c r="BS253" s="335" t="n"/>
      <c r="BT253" s="335" t="n"/>
    </row>
    <row r="254" ht="15.75" customHeight="1" s="349">
      <c r="A254" s="338" t="n"/>
      <c r="B254" s="339" t="inlineStr">
        <is>
          <t>TOTAL</t>
        </is>
      </c>
      <c r="C254" s="339" t="n"/>
      <c r="D254" s="339" t="n"/>
      <c r="E254" s="339" t="n"/>
      <c r="F254" s="339" t="n"/>
      <c r="G254" s="339" t="n"/>
      <c r="H254" s="339" t="n"/>
      <c r="I254" s="340">
        <f>SUM(I251:I253)</f>
        <v/>
      </c>
      <c r="J254" s="340">
        <f>SUM(J251:J253)</f>
        <v/>
      </c>
      <c r="K254" s="340">
        <f>SUM(K251:K253)</f>
        <v/>
      </c>
      <c r="L254" s="340">
        <f>SUM(L251:L253)</f>
        <v/>
      </c>
      <c r="M254" s="340">
        <f>SUM(M251:M253)</f>
        <v/>
      </c>
      <c r="N254" s="340">
        <f>SUM(N251:N253)</f>
        <v/>
      </c>
      <c r="O254" s="340">
        <f>SUM(O251:O253)</f>
        <v/>
      </c>
      <c r="P254" s="340">
        <f>SUM(P251:P253)</f>
        <v/>
      </c>
      <c r="Q254" s="340">
        <f>SUM(Q251:Q253)</f>
        <v/>
      </c>
      <c r="R254" s="340">
        <f>SUM(R251:R253)</f>
        <v/>
      </c>
      <c r="S254" s="340">
        <f>SUM(S251:S253)</f>
        <v/>
      </c>
      <c r="T254" s="340">
        <f>SUM(T251:T253)</f>
        <v/>
      </c>
      <c r="U254" s="340">
        <f>SUM(U251:U253)</f>
        <v/>
      </c>
      <c r="V254" s="340">
        <f>SUM(V251:V253)</f>
        <v/>
      </c>
      <c r="W254" s="340">
        <f>SUM(W251:W253)</f>
        <v/>
      </c>
      <c r="X254" s="340">
        <f>SUM(X251:X253)</f>
        <v/>
      </c>
      <c r="Y254" s="340">
        <f>SUM(Y251:Y253)</f>
        <v/>
      </c>
      <c r="Z254" s="340">
        <f>SUM(Z251:Z253)</f>
        <v/>
      </c>
      <c r="AA254" s="340">
        <f>SUM(AA251:AA253)</f>
        <v/>
      </c>
      <c r="AB254" s="340">
        <f>SUM(AB251:AB253)</f>
        <v/>
      </c>
      <c r="AC254" s="340">
        <f>SUM(AC251:AC253)</f>
        <v/>
      </c>
      <c r="AD254" s="340">
        <f>SUM(AD251:AD253)</f>
        <v/>
      </c>
      <c r="AE254" s="340">
        <f>SUM(AE251:AE253)</f>
        <v/>
      </c>
      <c r="AF254" s="340">
        <f>SUM(AF251:AF253)</f>
        <v/>
      </c>
      <c r="AG254" s="340">
        <f>SUM(AG251:AG253)</f>
        <v/>
      </c>
      <c r="AH254" s="340">
        <f>SUM(AH251:AH253)</f>
        <v/>
      </c>
      <c r="AI254" s="340">
        <f>SUM(AI251:AI253)</f>
        <v/>
      </c>
      <c r="AJ254" s="340">
        <f>SUM(AJ251:AJ253)</f>
        <v/>
      </c>
      <c r="AK254" s="340">
        <f>SUM(AK251:AK253)</f>
        <v/>
      </c>
      <c r="AL254" s="340">
        <f>SUM(AL251:AL253)</f>
        <v/>
      </c>
      <c r="AM254" s="340">
        <f>SUM(AM251:AM253)</f>
        <v/>
      </c>
      <c r="AN254" s="340">
        <f>SUM(AN251:AN253)</f>
        <v/>
      </c>
      <c r="AO254" s="340">
        <f>SUM(AO251:AO253)</f>
        <v/>
      </c>
      <c r="AP254" s="340">
        <f>SUM(AP251:AP253)</f>
        <v/>
      </c>
      <c r="AQ254" s="340">
        <f>SUM(AQ251:AQ253)</f>
        <v/>
      </c>
      <c r="AR254" s="340">
        <f>SUM(AR251:AR253)</f>
        <v/>
      </c>
      <c r="AS254" s="340">
        <f>SUM(AS251:AS253)</f>
        <v/>
      </c>
      <c r="AT254" s="340">
        <f>SUM(AT251:AT253)</f>
        <v/>
      </c>
      <c r="AU254" s="340">
        <f>SUM(AU251:AU253)</f>
        <v/>
      </c>
      <c r="AV254" s="340">
        <f>SUM(AV251:AV253)</f>
        <v/>
      </c>
      <c r="AW254" s="340">
        <f>SUM(AW251:AW253)</f>
        <v/>
      </c>
      <c r="AX254" s="340">
        <f>SUM(AX251:AX253)</f>
        <v/>
      </c>
      <c r="AY254" s="340">
        <f>SUM(AY251:AY253)</f>
        <v/>
      </c>
      <c r="AZ254" s="340">
        <f>SUM(AZ251:AZ253)</f>
        <v/>
      </c>
      <c r="BA254" s="340">
        <f>SUM(BA251:BA253)</f>
        <v/>
      </c>
      <c r="BB254" s="340">
        <f>SUM(BB251:BB253)</f>
        <v/>
      </c>
      <c r="BC254" s="340">
        <f>SUM(BC251:BC253)</f>
        <v/>
      </c>
      <c r="BD254" s="340">
        <f>SUM(BD251:BD253)</f>
        <v/>
      </c>
      <c r="BE254" s="340">
        <f>SUM(BE251:BE253)</f>
        <v/>
      </c>
      <c r="BF254" s="340">
        <f>SUM(BF251:BF253)</f>
        <v/>
      </c>
      <c r="BG254" s="340">
        <f>SUM(BG251:BG253)</f>
        <v/>
      </c>
      <c r="BH254" s="340">
        <f>SUM(BH251:BH253)</f>
        <v/>
      </c>
      <c r="BI254" s="340">
        <f>SUM(BI251:BI253)</f>
        <v/>
      </c>
      <c r="BJ254" s="340">
        <f>SUM(BJ251:BJ253)</f>
        <v/>
      </c>
      <c r="BK254" s="340">
        <f>SUM(BK251:BK253)</f>
        <v/>
      </c>
      <c r="BL254" s="340">
        <f>SUM(BL251:BL253)</f>
        <v/>
      </c>
      <c r="BM254" s="340">
        <f>SUM(BM251:BM253)</f>
        <v/>
      </c>
      <c r="BN254" s="340">
        <f>SUM(BN251:BN253)</f>
        <v/>
      </c>
      <c r="BO254" s="340">
        <f>SUM(BO251:BO253)</f>
        <v/>
      </c>
      <c r="BP254" s="340">
        <f>SUM(BP251:BP253)</f>
        <v/>
      </c>
      <c r="BQ254" s="340" t="n"/>
      <c r="BR254" s="315" t="inlineStr">
        <is>
          <t>total employer cost for the month</t>
        </is>
      </c>
      <c r="BS254" s="341" t="n"/>
      <c r="BT254" s="341" t="n"/>
    </row>
    <row r="255" ht="15.75" customHeight="1" s="349">
      <c r="A255" s="22" t="n"/>
      <c r="B255" s="22" t="n"/>
      <c r="C255" s="22" t="n"/>
      <c r="D255" s="22" t="n"/>
      <c r="E255" s="22" t="n"/>
      <c r="F255" s="22"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c r="AA255" s="22" t="n"/>
      <c r="AB255" s="22" t="n"/>
      <c r="AC255" s="22" t="n"/>
      <c r="AD255" s="22" t="n"/>
      <c r="AE255" s="22" t="n"/>
      <c r="AF255" s="22" t="n"/>
      <c r="AG255" s="22" t="n"/>
      <c r="AH255" s="22" t="n"/>
      <c r="AI255" s="22" t="n"/>
      <c r="AJ255" s="22" t="n"/>
      <c r="AK255" s="22" t="n"/>
      <c r="AL255" s="22" t="n"/>
      <c r="AM255" s="22" t="n"/>
      <c r="AN255" s="22" t="n"/>
      <c r="AO255" s="22" t="n"/>
      <c r="AP255" s="22" t="n"/>
      <c r="AQ255" s="22" t="n"/>
      <c r="AR255" s="22" t="n"/>
      <c r="AS255" s="22" t="n"/>
      <c r="AT255" s="22" t="n"/>
      <c r="AU255" s="22" t="n"/>
      <c r="AV255" s="22" t="n"/>
      <c r="AW255" s="22" t="n"/>
      <c r="AX255" s="22" t="n"/>
      <c r="AY255" s="22" t="n"/>
      <c r="AZ255" s="22" t="n"/>
      <c r="BA255" s="22" t="n"/>
      <c r="BB255" s="22" t="n"/>
      <c r="BC255" s="22" t="n"/>
      <c r="BD255" s="22" t="n"/>
      <c r="BE255" s="22" t="n"/>
      <c r="BF255" s="22" t="n"/>
      <c r="BG255" s="22" t="n"/>
      <c r="BH255" s="22" t="n"/>
      <c r="BI255" s="22" t="n"/>
      <c r="BJ255" s="22" t="n"/>
      <c r="BK255" s="22" t="n"/>
      <c r="BL255" s="22" t="n"/>
      <c r="BM255" s="22" t="n"/>
      <c r="BN255" s="22" t="n"/>
      <c r="BO255" s="22" t="n"/>
      <c r="BP255" s="22" t="n"/>
      <c r="BQ255" s="31" t="n"/>
      <c r="BR255" s="350" t="n"/>
      <c r="BS255" s="31" t="n"/>
      <c r="BT255" s="31" t="n"/>
    </row>
    <row r="256" ht="15.75" customHeight="1" s="349">
      <c r="A256" s="2" t="n"/>
      <c r="B256" s="26" t="inlineStr">
        <is>
          <t>HEADCOUNT BY DEPARTMENT</t>
        </is>
      </c>
      <c r="BE256" s="11" t="n"/>
      <c r="BF256" s="11" t="n"/>
      <c r="BG256" s="11" t="n"/>
      <c r="BH256" s="11" t="n"/>
      <c r="BI256" s="11" t="n"/>
      <c r="BJ256" s="11" t="n"/>
      <c r="BK256" s="11" t="n"/>
      <c r="BL256" s="11" t="n"/>
      <c r="BM256" s="11" t="n"/>
      <c r="BN256" s="11" t="n"/>
      <c r="BO256" s="11" t="n"/>
      <c r="BP256" s="11" t="n"/>
      <c r="BQ256" s="78" t="n"/>
      <c r="BR256" s="315" t="n"/>
      <c r="BS256" s="78" t="n"/>
      <c r="BT256" s="78" t="n"/>
    </row>
    <row r="257" ht="15.75" customHeight="1" s="349">
      <c r="A257" s="342" t="n"/>
      <c r="B257" s="343" t="inlineStr">
        <is>
          <t>R&amp;D</t>
        </is>
      </c>
      <c r="C257" s="342" t="n"/>
      <c r="D257" s="342" t="n"/>
      <c r="E257" s="342" t="n"/>
      <c r="F257" s="342" t="n"/>
      <c r="G257" s="342" t="n"/>
      <c r="H257" s="342" t="n"/>
      <c r="I257" s="344">
        <f>COUNTIFS($C$3:$C$245,"R&amp;D",I3:I245,"&gt;0")</f>
        <v/>
      </c>
      <c r="J257" s="344">
        <f>COUNTIFS($C$3:$C$245,"R&amp;D",J3:J245,"&gt;0")</f>
        <v/>
      </c>
      <c r="K257" s="344">
        <f>COUNTIFS($C$3:$C$245,"R&amp;D",K3:K245,"&gt;0")</f>
        <v/>
      </c>
      <c r="L257" s="344">
        <f>COUNTIFS($C$3:$C$245,"R&amp;D",L3:L245,"&gt;0")</f>
        <v/>
      </c>
      <c r="M257" s="344">
        <f>COUNTIFS($C$3:$C$245,"R&amp;D",M3:M245,"&gt;0")</f>
        <v/>
      </c>
      <c r="N257" s="344">
        <f>COUNTIFS($C$3:$C$245,"R&amp;D",N3:N245,"&gt;0")</f>
        <v/>
      </c>
      <c r="O257" s="344">
        <f>COUNTIFS($C$3:$C$245,"R&amp;D",O3:O245,"&gt;0")</f>
        <v/>
      </c>
      <c r="P257" s="344">
        <f>COUNTIFS($C$3:$C$245,"R&amp;D",P3:P245,"&gt;0")</f>
        <v/>
      </c>
      <c r="Q257" s="344">
        <f>COUNTIFS($C$3:$C$245,"R&amp;D",Q3:Q245,"&gt;0")</f>
        <v/>
      </c>
      <c r="R257" s="344">
        <f>COUNTIFS($C$3:$C$245,"R&amp;D",R3:R245,"&gt;0")</f>
        <v/>
      </c>
      <c r="S257" s="344">
        <f>COUNTIFS($C$3:$C$245,"R&amp;D",S3:S245,"&gt;0")</f>
        <v/>
      </c>
      <c r="T257" s="344">
        <f>COUNTIFS($C$3:$C$245,"R&amp;D",T3:T245,"&gt;0")</f>
        <v/>
      </c>
      <c r="U257" s="344">
        <f>COUNTIFS($C$3:$C$245,"R&amp;D",U3:U245,"&gt;0")</f>
        <v/>
      </c>
      <c r="V257" s="344">
        <f>COUNTIFS($C$3:$C$245,"R&amp;D",V3:V245,"&gt;0")</f>
        <v/>
      </c>
      <c r="W257" s="344">
        <f>COUNTIFS($C$3:$C$245,"R&amp;D",W3:W245,"&gt;0")</f>
        <v/>
      </c>
      <c r="X257" s="344">
        <f>COUNTIFS($C$3:$C$245,"R&amp;D",X3:X245,"&gt;0")</f>
        <v/>
      </c>
      <c r="Y257" s="344">
        <f>COUNTIFS($C$3:$C$245,"R&amp;D",Y3:Y245,"&gt;0")</f>
        <v/>
      </c>
      <c r="Z257" s="344">
        <f>COUNTIFS($C$3:$C$245,"R&amp;D",Z3:Z245,"&gt;0")</f>
        <v/>
      </c>
      <c r="AA257" s="344">
        <f>COUNTIFS($C$3:$C$245,"R&amp;D",AA3:AA245,"&gt;0")</f>
        <v/>
      </c>
      <c r="AB257" s="344">
        <f>COUNTIFS($C$3:$C$245,"R&amp;D",AB3:AB245,"&gt;0")</f>
        <v/>
      </c>
      <c r="AC257" s="344">
        <f>COUNTIFS($C$3:$C$245,"R&amp;D",AC3:AC245,"&gt;0")</f>
        <v/>
      </c>
      <c r="AD257" s="344">
        <f>COUNTIFS($C$3:$C$245,"R&amp;D",AD3:AD245,"&gt;0")</f>
        <v/>
      </c>
      <c r="AE257" s="344">
        <f>COUNTIFS($C$3:$C$245,"R&amp;D",AE3:AE245,"&gt;0")</f>
        <v/>
      </c>
      <c r="AF257" s="344">
        <f>COUNTIFS($C$3:$C$245,"R&amp;D",AF3:AF245,"&gt;0")</f>
        <v/>
      </c>
      <c r="AG257" s="344">
        <f>COUNTIFS($C$3:$C$245,"R&amp;D",AG3:AG245,"&gt;0")</f>
        <v/>
      </c>
      <c r="AH257" s="344">
        <f>COUNTIFS($C$3:$C$245,"R&amp;D",AH3:AH245,"&gt;0")</f>
        <v/>
      </c>
      <c r="AI257" s="344">
        <f>COUNTIFS($C$3:$C$245,"R&amp;D",AI3:AI245,"&gt;0")</f>
        <v/>
      </c>
      <c r="AJ257" s="344">
        <f>COUNTIFS($C$3:$C$245,"R&amp;D",AJ3:AJ245,"&gt;0")</f>
        <v/>
      </c>
      <c r="AK257" s="344">
        <f>COUNTIFS($C$3:$C$245,"R&amp;D",AK3:AK245,"&gt;0")</f>
        <v/>
      </c>
      <c r="AL257" s="344">
        <f>COUNTIFS($C$3:$C$245,"R&amp;D",AL3:AL245,"&gt;0")</f>
        <v/>
      </c>
      <c r="AM257" s="344">
        <f>COUNTIFS($C$3:$C$245,"R&amp;D",AM3:AM245,"&gt;0")</f>
        <v/>
      </c>
      <c r="AN257" s="344">
        <f>COUNTIFS($C$3:$C$245,"R&amp;D",AN3:AN245,"&gt;0")</f>
        <v/>
      </c>
      <c r="AO257" s="344">
        <f>COUNTIFS($C$3:$C$245,"R&amp;D",AO3:AO245,"&gt;0")</f>
        <v/>
      </c>
      <c r="AP257" s="344">
        <f>COUNTIFS($C$3:$C$245,"R&amp;D",AP3:AP245,"&gt;0")</f>
        <v/>
      </c>
      <c r="AQ257" s="344">
        <f>COUNTIFS($C$3:$C$245,"R&amp;D",AQ3:AQ245,"&gt;0")</f>
        <v/>
      </c>
      <c r="AR257" s="344">
        <f>COUNTIFS($C$3:$C$245,"R&amp;D",AR3:AR245,"&gt;0")</f>
        <v/>
      </c>
      <c r="AS257" s="344">
        <f>COUNTIFS($C$3:$C$245,"R&amp;D",AS3:AS245,"&gt;0")</f>
        <v/>
      </c>
      <c r="AT257" s="344">
        <f>COUNTIFS($C$3:$C$245,"R&amp;D",AT3:AT245,"&gt;0")</f>
        <v/>
      </c>
      <c r="AU257" s="344">
        <f>COUNTIFS($C$3:$C$245,"R&amp;D",AU3:AU245,"&gt;0")</f>
        <v/>
      </c>
      <c r="AV257" s="344">
        <f>COUNTIFS($C$3:$C$245,"R&amp;D",AV3:AV245,"&gt;0")</f>
        <v/>
      </c>
      <c r="AW257" s="344">
        <f>COUNTIFS($C$3:$C$245,"R&amp;D",AW3:AW245,"&gt;0")</f>
        <v/>
      </c>
      <c r="AX257" s="344">
        <f>COUNTIFS($C$3:$C$245,"R&amp;D",AX3:AX245,"&gt;0")</f>
        <v/>
      </c>
      <c r="AY257" s="344">
        <f>COUNTIFS($C$3:$C$245,"R&amp;D",AY3:AY245,"&gt;0")</f>
        <v/>
      </c>
      <c r="AZ257" s="344">
        <f>COUNTIFS($C$3:$C$245,"R&amp;D",AZ3:AZ245,"&gt;0")</f>
        <v/>
      </c>
      <c r="BA257" s="344">
        <f>COUNTIFS($C$3:$C$245,"R&amp;D",BA3:BA245,"&gt;0")</f>
        <v/>
      </c>
      <c r="BB257" s="344">
        <f>COUNTIFS($C$3:$C$245,"R&amp;D",BB3:BB245,"&gt;0")</f>
        <v/>
      </c>
      <c r="BC257" s="344">
        <f>COUNTIFS($C$3:$C$245,"R&amp;D",BC3:BC245,"&gt;0")</f>
        <v/>
      </c>
      <c r="BD257" s="344">
        <f>COUNTIFS($C$3:$C$245,"R&amp;D",BD3:BD245,"&gt;0")</f>
        <v/>
      </c>
      <c r="BE257" s="344">
        <f>COUNTIFS($C$3:$C$245,"R&amp;D",BE3:BE245,"&gt;0")</f>
        <v/>
      </c>
      <c r="BF257" s="344">
        <f>COUNTIFS($C$3:$C$245,"R&amp;D",BF3:BF245,"&gt;0")</f>
        <v/>
      </c>
      <c r="BG257" s="344">
        <f>COUNTIFS($C$3:$C$245,"R&amp;D",BG3:BG245,"&gt;0")</f>
        <v/>
      </c>
      <c r="BH257" s="344">
        <f>COUNTIFS($C$3:$C$245,"R&amp;D",BH3:BH245,"&gt;0")</f>
        <v/>
      </c>
      <c r="BI257" s="344">
        <f>COUNTIFS($C$3:$C$245,"R&amp;D",BI3:BI245,"&gt;0")</f>
        <v/>
      </c>
      <c r="BJ257" s="344">
        <f>COUNTIFS($C$3:$C$245,"R&amp;D",BJ3:BJ245,"&gt;0")</f>
        <v/>
      </c>
      <c r="BK257" s="344">
        <f>COUNTIFS($C$3:$C$245,"R&amp;D",BK3:BK245,"&gt;0")</f>
        <v/>
      </c>
      <c r="BL257" s="344">
        <f>COUNTIFS($C$3:$C$245,"R&amp;D",BL3:BL245,"&gt;0")</f>
        <v/>
      </c>
      <c r="BM257" s="344">
        <f>COUNTIFS($C$3:$C$245,"R&amp;D",BM3:BM245,"&gt;0")</f>
        <v/>
      </c>
      <c r="BN257" s="344">
        <f>COUNTIFS($C$3:$C$245,"R&amp;D",BN3:BN245,"&gt;0")</f>
        <v/>
      </c>
      <c r="BO257" s="344">
        <f>COUNTIFS($C$3:$C$245,"R&amp;D",BO3:BO245,"&gt;0")</f>
        <v/>
      </c>
      <c r="BP257" s="344">
        <f>COUNTIFS($C$3:$C$245,"R&amp;D",BP3:BP245,"&gt;0")</f>
        <v/>
      </c>
      <c r="BQ257" s="344" t="n"/>
      <c r="BR257" s="334" t="inlineStr">
        <is>
          <t>counts the R&amp;D people being paid that month</t>
        </is>
      </c>
      <c r="BS257" s="345" t="n"/>
      <c r="BT257" s="345" t="n"/>
    </row>
    <row r="258" ht="15.75" customHeight="1" s="349">
      <c r="A258" s="342" t="n"/>
      <c r="B258" s="343" t="inlineStr">
        <is>
          <t>S&amp;M</t>
        </is>
      </c>
      <c r="C258" s="342" t="n"/>
      <c r="D258" s="342" t="n"/>
      <c r="E258" s="342" t="n"/>
      <c r="F258" s="342" t="n"/>
      <c r="G258" s="342" t="n"/>
      <c r="H258" s="342" t="n"/>
      <c r="I258" s="344">
        <f>COUNTIFS($C$3:$C$245,"S&amp;M",I3:I245,"&gt;0")</f>
        <v/>
      </c>
      <c r="J258" s="344">
        <f>COUNTIFS($C$3:$C$245,"S&amp;M",J3:J245,"&gt;0")</f>
        <v/>
      </c>
      <c r="K258" s="344">
        <f>COUNTIFS($C$3:$C$245,"S&amp;M",K3:K245,"&gt;0")</f>
        <v/>
      </c>
      <c r="L258" s="344">
        <f>COUNTIFS($C$3:$C$245,"S&amp;M",L3:L245,"&gt;0")</f>
        <v/>
      </c>
      <c r="M258" s="344">
        <f>COUNTIFS($C$3:$C$245,"S&amp;M",M3:M245,"&gt;0")</f>
        <v/>
      </c>
      <c r="N258" s="344">
        <f>COUNTIFS($C$3:$C$245,"S&amp;M",N3:N245,"&gt;0")</f>
        <v/>
      </c>
      <c r="O258" s="344">
        <f>COUNTIFS($C$3:$C$245,"S&amp;M",O3:O245,"&gt;0")</f>
        <v/>
      </c>
      <c r="P258" s="344">
        <f>COUNTIFS($C$3:$C$245,"S&amp;M",P3:P245,"&gt;0")</f>
        <v/>
      </c>
      <c r="Q258" s="344">
        <f>COUNTIFS($C$3:$C$245,"S&amp;M",Q3:Q245,"&gt;0")</f>
        <v/>
      </c>
      <c r="R258" s="344">
        <f>COUNTIFS($C$3:$C$245,"S&amp;M",R3:R245,"&gt;0")</f>
        <v/>
      </c>
      <c r="S258" s="344">
        <f>COUNTIFS($C$3:$C$245,"S&amp;M",S3:S245,"&gt;0")</f>
        <v/>
      </c>
      <c r="T258" s="344">
        <f>COUNTIFS($C$3:$C$245,"S&amp;M",T3:T245,"&gt;0")</f>
        <v/>
      </c>
      <c r="U258" s="344">
        <f>COUNTIFS($C$3:$C$245,"S&amp;M",U3:U245,"&gt;0")</f>
        <v/>
      </c>
      <c r="V258" s="344">
        <f>COUNTIFS($C$3:$C$245,"S&amp;M",V3:V245,"&gt;0")</f>
        <v/>
      </c>
      <c r="W258" s="344">
        <f>COUNTIFS($C$3:$C$245,"S&amp;M",W3:W245,"&gt;0")</f>
        <v/>
      </c>
      <c r="X258" s="344">
        <f>COUNTIFS($C$3:$C$245,"S&amp;M",X3:X245,"&gt;0")</f>
        <v/>
      </c>
      <c r="Y258" s="344">
        <f>COUNTIFS($C$3:$C$245,"S&amp;M",Y3:Y245,"&gt;0")</f>
        <v/>
      </c>
      <c r="Z258" s="344">
        <f>COUNTIFS($C$3:$C$245,"S&amp;M",Z3:Z245,"&gt;0")</f>
        <v/>
      </c>
      <c r="AA258" s="344">
        <f>COUNTIFS($C$3:$C$245,"S&amp;M",AA3:AA245,"&gt;0")</f>
        <v/>
      </c>
      <c r="AB258" s="344">
        <f>COUNTIFS($C$3:$C$245,"S&amp;M",AB3:AB245,"&gt;0")</f>
        <v/>
      </c>
      <c r="AC258" s="344">
        <f>COUNTIFS($C$3:$C$245,"S&amp;M",AC3:AC245,"&gt;0")</f>
        <v/>
      </c>
      <c r="AD258" s="344">
        <f>COUNTIFS($C$3:$C$245,"S&amp;M",AD3:AD245,"&gt;0")</f>
        <v/>
      </c>
      <c r="AE258" s="344">
        <f>COUNTIFS($C$3:$C$245,"S&amp;M",AE3:AE245,"&gt;0")</f>
        <v/>
      </c>
      <c r="AF258" s="344">
        <f>COUNTIFS($C$3:$C$245,"S&amp;M",AF3:AF245,"&gt;0")</f>
        <v/>
      </c>
      <c r="AG258" s="344">
        <f>COUNTIFS($C$3:$C$245,"S&amp;M",AG3:AG245,"&gt;0")</f>
        <v/>
      </c>
      <c r="AH258" s="344">
        <f>COUNTIFS($C$3:$C$245,"S&amp;M",AH3:AH245,"&gt;0")</f>
        <v/>
      </c>
      <c r="AI258" s="344">
        <f>COUNTIFS($C$3:$C$245,"S&amp;M",AI3:AI245,"&gt;0")</f>
        <v/>
      </c>
      <c r="AJ258" s="344">
        <f>COUNTIFS($C$3:$C$245,"S&amp;M",AJ3:AJ245,"&gt;0")</f>
        <v/>
      </c>
      <c r="AK258" s="344">
        <f>COUNTIFS($C$3:$C$245,"S&amp;M",AK3:AK245,"&gt;0")</f>
        <v/>
      </c>
      <c r="AL258" s="344">
        <f>COUNTIFS($C$3:$C$245,"S&amp;M",AL3:AL245,"&gt;0")</f>
        <v/>
      </c>
      <c r="AM258" s="344">
        <f>COUNTIFS($C$3:$C$245,"S&amp;M",AM3:AM245,"&gt;0")</f>
        <v/>
      </c>
      <c r="AN258" s="344">
        <f>COUNTIFS($C$3:$C$245,"S&amp;M",AN3:AN245,"&gt;0")</f>
        <v/>
      </c>
      <c r="AO258" s="344">
        <f>COUNTIFS($C$3:$C$245,"S&amp;M",AO3:AO245,"&gt;0")</f>
        <v/>
      </c>
      <c r="AP258" s="344">
        <f>COUNTIFS($C$3:$C$245,"S&amp;M",AP3:AP245,"&gt;0")</f>
        <v/>
      </c>
      <c r="AQ258" s="344">
        <f>COUNTIFS($C$3:$C$245,"S&amp;M",AQ3:AQ245,"&gt;0")</f>
        <v/>
      </c>
      <c r="AR258" s="344">
        <f>COUNTIFS($C$3:$C$245,"S&amp;M",AR3:AR245,"&gt;0")</f>
        <v/>
      </c>
      <c r="AS258" s="344">
        <f>COUNTIFS($C$3:$C$245,"S&amp;M",AS3:AS245,"&gt;0")</f>
        <v/>
      </c>
      <c r="AT258" s="344">
        <f>COUNTIFS($C$3:$C$245,"S&amp;M",AT3:AT245,"&gt;0")</f>
        <v/>
      </c>
      <c r="AU258" s="344">
        <f>COUNTIFS($C$3:$C$245,"S&amp;M",AU3:AU245,"&gt;0")</f>
        <v/>
      </c>
      <c r="AV258" s="344">
        <f>COUNTIFS($C$3:$C$245,"S&amp;M",AV3:AV245,"&gt;0")</f>
        <v/>
      </c>
      <c r="AW258" s="344">
        <f>COUNTIFS($C$3:$C$245,"S&amp;M",AW3:AW245,"&gt;0")</f>
        <v/>
      </c>
      <c r="AX258" s="344">
        <f>COUNTIFS($C$3:$C$245,"S&amp;M",AX3:AX245,"&gt;0")</f>
        <v/>
      </c>
      <c r="AY258" s="344">
        <f>COUNTIFS($C$3:$C$245,"S&amp;M",AY3:AY245,"&gt;0")</f>
        <v/>
      </c>
      <c r="AZ258" s="344">
        <f>COUNTIFS($C$3:$C$245,"S&amp;M",AZ3:AZ245,"&gt;0")</f>
        <v/>
      </c>
      <c r="BA258" s="344">
        <f>COUNTIFS($C$3:$C$245,"S&amp;M",BA3:BA245,"&gt;0")</f>
        <v/>
      </c>
      <c r="BB258" s="344">
        <f>COUNTIFS($C$3:$C$245,"S&amp;M",BB3:BB245,"&gt;0")</f>
        <v/>
      </c>
      <c r="BC258" s="344">
        <f>COUNTIFS($C$3:$C$245,"S&amp;M",BC3:BC245,"&gt;0")</f>
        <v/>
      </c>
      <c r="BD258" s="344">
        <f>COUNTIFS($C$3:$C$245,"S&amp;M",BD3:BD245,"&gt;0")</f>
        <v/>
      </c>
      <c r="BE258" s="344">
        <f>COUNTIFS($C$3:$C$245,"S&amp;M",BE3:BE245,"&gt;0")</f>
        <v/>
      </c>
      <c r="BF258" s="344">
        <f>COUNTIFS($C$3:$C$245,"S&amp;M",BF3:BF245,"&gt;0")</f>
        <v/>
      </c>
      <c r="BG258" s="344">
        <f>COUNTIFS($C$3:$C$245,"S&amp;M",BG3:BG245,"&gt;0")</f>
        <v/>
      </c>
      <c r="BH258" s="344">
        <f>COUNTIFS($C$3:$C$245,"S&amp;M",BH3:BH245,"&gt;0")</f>
        <v/>
      </c>
      <c r="BI258" s="344">
        <f>COUNTIFS($C$3:$C$245,"S&amp;M",BI3:BI245,"&gt;0")</f>
        <v/>
      </c>
      <c r="BJ258" s="344">
        <f>COUNTIFS($C$3:$C$245,"S&amp;M",BJ3:BJ245,"&gt;0")</f>
        <v/>
      </c>
      <c r="BK258" s="344">
        <f>COUNTIFS($C$3:$C$245,"S&amp;M",BK3:BK245,"&gt;0")</f>
        <v/>
      </c>
      <c r="BL258" s="344">
        <f>COUNTIFS($C$3:$C$245,"S&amp;M",BL3:BL245,"&gt;0")</f>
        <v/>
      </c>
      <c r="BM258" s="344">
        <f>COUNTIFS($C$3:$C$245,"S&amp;M",BM3:BM245,"&gt;0")</f>
        <v/>
      </c>
      <c r="BN258" s="344">
        <f>COUNTIFS($C$3:$C$245,"S&amp;M",BN3:BN245,"&gt;0")</f>
        <v/>
      </c>
      <c r="BO258" s="344">
        <f>COUNTIFS($C$3:$C$245,"S&amp;M",BO3:BO245,"&gt;0")</f>
        <v/>
      </c>
      <c r="BP258" s="344">
        <f>COUNTIFS($C$3:$C$245,"S&amp;M",BP3:BP245,"&gt;0")</f>
        <v/>
      </c>
      <c r="BQ258" s="344" t="n"/>
      <c r="BR258" s="334" t="inlineStr">
        <is>
          <t>counts the S&amp;M people being paid that month</t>
        </is>
      </c>
      <c r="BS258" s="345" t="n"/>
      <c r="BT258" s="345" t="n"/>
    </row>
    <row r="259" ht="15.75" customHeight="1" s="349">
      <c r="A259" s="342" t="n"/>
      <c r="B259" s="343" t="inlineStr">
        <is>
          <t>G&amp;A</t>
        </is>
      </c>
      <c r="C259" s="342" t="n"/>
      <c r="D259" s="342" t="n"/>
      <c r="E259" s="342" t="n"/>
      <c r="F259" s="342" t="n"/>
      <c r="G259" s="342" t="n"/>
      <c r="H259" s="342" t="n"/>
      <c r="I259" s="344">
        <f>COUNTIFS($C$3:$C$245,"G&amp;A",I3:I245,"&gt;0")</f>
        <v/>
      </c>
      <c r="J259" s="344">
        <f>COUNTIFS($C$3:$C$245,"G&amp;A",J3:J245,"&gt;0")</f>
        <v/>
      </c>
      <c r="K259" s="344">
        <f>COUNTIFS($C$3:$C$245,"G&amp;A",K3:K245,"&gt;0")</f>
        <v/>
      </c>
      <c r="L259" s="344">
        <f>COUNTIFS($C$3:$C$245,"G&amp;A",L3:L245,"&gt;0")</f>
        <v/>
      </c>
      <c r="M259" s="344">
        <f>COUNTIFS($C$3:$C$245,"G&amp;A",M3:M245,"&gt;0")</f>
        <v/>
      </c>
      <c r="N259" s="344">
        <f>COUNTIFS($C$3:$C$245,"G&amp;A",N3:N245,"&gt;0")</f>
        <v/>
      </c>
      <c r="O259" s="344">
        <f>COUNTIFS($C$3:$C$245,"G&amp;A",O3:O245,"&gt;0")</f>
        <v/>
      </c>
      <c r="P259" s="344">
        <f>COUNTIFS($C$3:$C$245,"G&amp;A",P3:P245,"&gt;0")</f>
        <v/>
      </c>
      <c r="Q259" s="344">
        <f>COUNTIFS($C$3:$C$245,"G&amp;A",Q3:Q245,"&gt;0")</f>
        <v/>
      </c>
      <c r="R259" s="344">
        <f>COUNTIFS($C$3:$C$245,"G&amp;A",R3:R245,"&gt;0")</f>
        <v/>
      </c>
      <c r="S259" s="344">
        <f>COUNTIFS($C$3:$C$245,"G&amp;A",S3:S245,"&gt;0")</f>
        <v/>
      </c>
      <c r="T259" s="344">
        <f>COUNTIFS($C$3:$C$245,"G&amp;A",T3:T245,"&gt;0")</f>
        <v/>
      </c>
      <c r="U259" s="344">
        <f>COUNTIFS($C$3:$C$245,"G&amp;A",U3:U245,"&gt;0")</f>
        <v/>
      </c>
      <c r="V259" s="344">
        <f>COUNTIFS($C$3:$C$245,"G&amp;A",V3:V245,"&gt;0")</f>
        <v/>
      </c>
      <c r="W259" s="344">
        <f>COUNTIFS($C$3:$C$245,"G&amp;A",W3:W245,"&gt;0")</f>
        <v/>
      </c>
      <c r="X259" s="344">
        <f>COUNTIFS($C$3:$C$245,"G&amp;A",X3:X245,"&gt;0")</f>
        <v/>
      </c>
      <c r="Y259" s="344">
        <f>COUNTIFS($C$3:$C$245,"G&amp;A",Y3:Y245,"&gt;0")</f>
        <v/>
      </c>
      <c r="Z259" s="344">
        <f>COUNTIFS($C$3:$C$245,"G&amp;A",Z3:Z245,"&gt;0")</f>
        <v/>
      </c>
      <c r="AA259" s="344">
        <f>COUNTIFS($C$3:$C$245,"G&amp;A",AA3:AA245,"&gt;0")</f>
        <v/>
      </c>
      <c r="AB259" s="344">
        <f>COUNTIFS($C$3:$C$245,"G&amp;A",AB3:AB245,"&gt;0")</f>
        <v/>
      </c>
      <c r="AC259" s="344">
        <f>COUNTIFS($C$3:$C$245,"G&amp;A",AC3:AC245,"&gt;0")</f>
        <v/>
      </c>
      <c r="AD259" s="344">
        <f>COUNTIFS($C$3:$C$245,"G&amp;A",AD3:AD245,"&gt;0")</f>
        <v/>
      </c>
      <c r="AE259" s="344">
        <f>COUNTIFS($C$3:$C$245,"G&amp;A",AE3:AE245,"&gt;0")</f>
        <v/>
      </c>
      <c r="AF259" s="344">
        <f>COUNTIFS($C$3:$C$245,"G&amp;A",AF3:AF245,"&gt;0")</f>
        <v/>
      </c>
      <c r="AG259" s="344">
        <f>COUNTIFS($C$3:$C$245,"G&amp;A",AG3:AG245,"&gt;0")</f>
        <v/>
      </c>
      <c r="AH259" s="344">
        <f>COUNTIFS($C$3:$C$245,"G&amp;A",AH3:AH245,"&gt;0")</f>
        <v/>
      </c>
      <c r="AI259" s="344">
        <f>COUNTIFS($C$3:$C$245,"G&amp;A",AI3:AI245,"&gt;0")</f>
        <v/>
      </c>
      <c r="AJ259" s="344">
        <f>COUNTIFS($C$3:$C$245,"G&amp;A",AJ3:AJ245,"&gt;0")</f>
        <v/>
      </c>
      <c r="AK259" s="344">
        <f>COUNTIFS($C$3:$C$245,"G&amp;A",AK3:AK245,"&gt;0")</f>
        <v/>
      </c>
      <c r="AL259" s="344">
        <f>COUNTIFS($C$3:$C$245,"G&amp;A",AL3:AL245,"&gt;0")</f>
        <v/>
      </c>
      <c r="AM259" s="344">
        <f>COUNTIFS($C$3:$C$245,"G&amp;A",AM3:AM245,"&gt;0")</f>
        <v/>
      </c>
      <c r="AN259" s="344">
        <f>COUNTIFS($C$3:$C$245,"G&amp;A",AN3:AN245,"&gt;0")</f>
        <v/>
      </c>
      <c r="AO259" s="344">
        <f>COUNTIFS($C$3:$C$245,"G&amp;A",AO3:AO245,"&gt;0")</f>
        <v/>
      </c>
      <c r="AP259" s="344">
        <f>COUNTIFS($C$3:$C$245,"G&amp;A",AP3:AP245,"&gt;0")</f>
        <v/>
      </c>
      <c r="AQ259" s="344">
        <f>COUNTIFS($C$3:$C$245,"G&amp;A",AQ3:AQ245,"&gt;0")</f>
        <v/>
      </c>
      <c r="AR259" s="344">
        <f>COUNTIFS($C$3:$C$245,"G&amp;A",AR3:AR245,"&gt;0")</f>
        <v/>
      </c>
      <c r="AS259" s="344">
        <f>COUNTIFS($C$3:$C$245,"G&amp;A",AS3:AS245,"&gt;0")</f>
        <v/>
      </c>
      <c r="AT259" s="344">
        <f>COUNTIFS($C$3:$C$245,"G&amp;A",AT3:AT245,"&gt;0")</f>
        <v/>
      </c>
      <c r="AU259" s="344">
        <f>COUNTIFS($C$3:$C$245,"G&amp;A",AU3:AU245,"&gt;0")</f>
        <v/>
      </c>
      <c r="AV259" s="344">
        <f>COUNTIFS($C$3:$C$245,"G&amp;A",AV3:AV245,"&gt;0")</f>
        <v/>
      </c>
      <c r="AW259" s="344">
        <f>COUNTIFS($C$3:$C$245,"G&amp;A",AW3:AW245,"&gt;0")</f>
        <v/>
      </c>
      <c r="AX259" s="344">
        <f>COUNTIFS($C$3:$C$245,"G&amp;A",AX3:AX245,"&gt;0")</f>
        <v/>
      </c>
      <c r="AY259" s="344">
        <f>COUNTIFS($C$3:$C$245,"G&amp;A",AY3:AY245,"&gt;0")</f>
        <v/>
      </c>
      <c r="AZ259" s="344">
        <f>COUNTIFS($C$3:$C$245,"G&amp;A",AZ3:AZ245,"&gt;0")</f>
        <v/>
      </c>
      <c r="BA259" s="344">
        <f>COUNTIFS($C$3:$C$245,"G&amp;A",BA3:BA245,"&gt;0")</f>
        <v/>
      </c>
      <c r="BB259" s="344">
        <f>COUNTIFS($C$3:$C$245,"G&amp;A",BB3:BB245,"&gt;0")</f>
        <v/>
      </c>
      <c r="BC259" s="344">
        <f>COUNTIFS($C$3:$C$245,"G&amp;A",BC3:BC245,"&gt;0")</f>
        <v/>
      </c>
      <c r="BD259" s="344">
        <f>COUNTIFS($C$3:$C$245,"G&amp;A",BD3:BD245,"&gt;0")</f>
        <v/>
      </c>
      <c r="BE259" s="344">
        <f>COUNTIFS($C$3:$C$245,"G&amp;A",BE3:BE245,"&gt;0")</f>
        <v/>
      </c>
      <c r="BF259" s="344">
        <f>COUNTIFS($C$3:$C$245,"G&amp;A",BF3:BF245,"&gt;0")</f>
        <v/>
      </c>
      <c r="BG259" s="344">
        <f>COUNTIFS($C$3:$C$245,"G&amp;A",BG3:BG245,"&gt;0")</f>
        <v/>
      </c>
      <c r="BH259" s="344">
        <f>COUNTIFS($C$3:$C$245,"G&amp;A",BH3:BH245,"&gt;0")</f>
        <v/>
      </c>
      <c r="BI259" s="344">
        <f>COUNTIFS($C$3:$C$245,"G&amp;A",BI3:BI245,"&gt;0")</f>
        <v/>
      </c>
      <c r="BJ259" s="344">
        <f>COUNTIFS($C$3:$C$245,"G&amp;A",BJ3:BJ245,"&gt;0")</f>
        <v/>
      </c>
      <c r="BK259" s="344">
        <f>COUNTIFS($C$3:$C$245,"G&amp;A",BK3:BK245,"&gt;0")</f>
        <v/>
      </c>
      <c r="BL259" s="344">
        <f>COUNTIFS($C$3:$C$245,"G&amp;A",BL3:BL245,"&gt;0")</f>
        <v/>
      </c>
      <c r="BM259" s="344">
        <f>COUNTIFS($C$3:$C$245,"G&amp;A",BM3:BM245,"&gt;0")</f>
        <v/>
      </c>
      <c r="BN259" s="344">
        <f>COUNTIFS($C$3:$C$245,"G&amp;A",BN3:BN245,"&gt;0")</f>
        <v/>
      </c>
      <c r="BO259" s="344">
        <f>COUNTIFS($C$3:$C$245,"G&amp;A",BO3:BO245,"&gt;0")</f>
        <v/>
      </c>
      <c r="BP259" s="344">
        <f>COUNTIFS($C$3:$C$245,"G&amp;A",BP3:BP245,"&gt;0")</f>
        <v/>
      </c>
      <c r="BQ259" s="344" t="n"/>
      <c r="BR259" s="334" t="inlineStr">
        <is>
          <t>counts the G&amp;A people being paid that month</t>
        </is>
      </c>
      <c r="BS259" s="345" t="n"/>
      <c r="BT259" s="345" t="n"/>
    </row>
    <row r="260" ht="15.75" customHeight="1" s="349">
      <c r="A260" s="338" t="n"/>
      <c r="B260" s="346" t="inlineStr">
        <is>
          <t>TOTAL HEADCOUNT</t>
        </is>
      </c>
      <c r="C260" s="346" t="n"/>
      <c r="D260" s="346" t="n"/>
      <c r="E260" s="346" t="n"/>
      <c r="F260" s="346" t="n"/>
      <c r="G260" s="346" t="n"/>
      <c r="H260" s="346" t="n"/>
      <c r="I260" s="347">
        <f>SUM(I257:I259)</f>
        <v/>
      </c>
      <c r="J260" s="347">
        <f>SUM(J257:J259)</f>
        <v/>
      </c>
      <c r="K260" s="347">
        <f>SUM(K257:K259)</f>
        <v/>
      </c>
      <c r="L260" s="347">
        <f>SUM(L257:L259)</f>
        <v/>
      </c>
      <c r="M260" s="347">
        <f>SUM(M257:M259)</f>
        <v/>
      </c>
      <c r="N260" s="347">
        <f>SUM(N257:N259)</f>
        <v/>
      </c>
      <c r="O260" s="347">
        <f>SUM(O257:O259)</f>
        <v/>
      </c>
      <c r="P260" s="347">
        <f>SUM(P257:P259)</f>
        <v/>
      </c>
      <c r="Q260" s="347">
        <f>SUM(Q257:Q259)</f>
        <v/>
      </c>
      <c r="R260" s="347">
        <f>SUM(R257:R259)</f>
        <v/>
      </c>
      <c r="S260" s="347">
        <f>SUM(S257:S259)</f>
        <v/>
      </c>
      <c r="T260" s="347">
        <f>SUM(T257:T259)</f>
        <v/>
      </c>
      <c r="U260" s="347">
        <f>SUM(U257:U259)</f>
        <v/>
      </c>
      <c r="V260" s="347">
        <f>SUM(V257:V259)</f>
        <v/>
      </c>
      <c r="W260" s="347">
        <f>SUM(W257:W259)</f>
        <v/>
      </c>
      <c r="X260" s="347">
        <f>SUM(X257:X259)</f>
        <v/>
      </c>
      <c r="Y260" s="347">
        <f>SUM(Y257:Y259)</f>
        <v/>
      </c>
      <c r="Z260" s="347">
        <f>SUM(Z257:Z259)</f>
        <v/>
      </c>
      <c r="AA260" s="347">
        <f>SUM(AA257:AA259)</f>
        <v/>
      </c>
      <c r="AB260" s="347">
        <f>SUM(AB257:AB259)</f>
        <v/>
      </c>
      <c r="AC260" s="347">
        <f>SUM(AC257:AC259)</f>
        <v/>
      </c>
      <c r="AD260" s="347">
        <f>SUM(AD257:AD259)</f>
        <v/>
      </c>
      <c r="AE260" s="347">
        <f>SUM(AE257:AE259)</f>
        <v/>
      </c>
      <c r="AF260" s="347">
        <f>SUM(AF257:AF259)</f>
        <v/>
      </c>
      <c r="AG260" s="347">
        <f>SUM(AG257:AG259)</f>
        <v/>
      </c>
      <c r="AH260" s="347">
        <f>SUM(AH257:AH259)</f>
        <v/>
      </c>
      <c r="AI260" s="347">
        <f>SUM(AI257:AI259)</f>
        <v/>
      </c>
      <c r="AJ260" s="347">
        <f>SUM(AJ257:AJ259)</f>
        <v/>
      </c>
      <c r="AK260" s="347">
        <f>SUM(AK257:AK259)</f>
        <v/>
      </c>
      <c r="AL260" s="347">
        <f>SUM(AL257:AL259)</f>
        <v/>
      </c>
      <c r="AM260" s="347">
        <f>SUM(AM257:AM259)</f>
        <v/>
      </c>
      <c r="AN260" s="347">
        <f>SUM(AN257:AN259)</f>
        <v/>
      </c>
      <c r="AO260" s="347">
        <f>SUM(AO257:AO259)</f>
        <v/>
      </c>
      <c r="AP260" s="347">
        <f>SUM(AP257:AP259)</f>
        <v/>
      </c>
      <c r="AQ260" s="347">
        <f>SUM(AQ257:AQ259)</f>
        <v/>
      </c>
      <c r="AR260" s="347">
        <f>SUM(AR257:AR259)</f>
        <v/>
      </c>
      <c r="AS260" s="347">
        <f>SUM(AS257:AS259)</f>
        <v/>
      </c>
      <c r="AT260" s="347">
        <f>SUM(AT257:AT259)</f>
        <v/>
      </c>
      <c r="AU260" s="347">
        <f>SUM(AU257:AU259)</f>
        <v/>
      </c>
      <c r="AV260" s="347">
        <f>SUM(AV257:AV259)</f>
        <v/>
      </c>
      <c r="AW260" s="347">
        <f>SUM(AW257:AW259)</f>
        <v/>
      </c>
      <c r="AX260" s="347">
        <f>SUM(AX257:AX259)</f>
        <v/>
      </c>
      <c r="AY260" s="347">
        <f>SUM(AY257:AY259)</f>
        <v/>
      </c>
      <c r="AZ260" s="347">
        <f>SUM(AZ257:AZ259)</f>
        <v/>
      </c>
      <c r="BA260" s="347">
        <f>SUM(BA257:BA259)</f>
        <v/>
      </c>
      <c r="BB260" s="347">
        <f>SUM(BB257:BB259)</f>
        <v/>
      </c>
      <c r="BC260" s="347">
        <f>SUM(BC257:BC259)</f>
        <v/>
      </c>
      <c r="BD260" s="347">
        <f>SUM(BD257:BD259)</f>
        <v/>
      </c>
      <c r="BE260" s="347">
        <f>SUM(BE257:BE259)</f>
        <v/>
      </c>
      <c r="BF260" s="347">
        <f>SUM(BF257:BF259)</f>
        <v/>
      </c>
      <c r="BG260" s="347">
        <f>SUM(BG257:BG259)</f>
        <v/>
      </c>
      <c r="BH260" s="347">
        <f>SUM(BH257:BH259)</f>
        <v/>
      </c>
      <c r="BI260" s="347">
        <f>SUM(BI257:BI259)</f>
        <v/>
      </c>
      <c r="BJ260" s="347">
        <f>SUM(BJ257:BJ259)</f>
        <v/>
      </c>
      <c r="BK260" s="347">
        <f>SUM(BK257:BK259)</f>
        <v/>
      </c>
      <c r="BL260" s="347">
        <f>SUM(BL257:BL259)</f>
        <v/>
      </c>
      <c r="BM260" s="347">
        <f>SUM(BM257:BM259)</f>
        <v/>
      </c>
      <c r="BN260" s="347">
        <f>SUM(BN257:BN259)</f>
        <v/>
      </c>
      <c r="BO260" s="347">
        <f>SUM(BO257:BO259)</f>
        <v/>
      </c>
      <c r="BP260" s="347">
        <f>SUM(BP257:BP259)</f>
        <v/>
      </c>
      <c r="BQ260" s="348" t="n"/>
      <c r="BR260" s="315" t="inlineStr">
        <is>
          <t>total heads on the payroll that month</t>
        </is>
      </c>
      <c r="BS260" s="78" t="n"/>
      <c r="BT260" s="78" t="n"/>
    </row>
    <row r="261" ht="15.75" customHeight="1" s="349">
      <c r="A261" s="22" t="n"/>
      <c r="B261" s="22" t="n"/>
      <c r="C261" s="22" t="n"/>
      <c r="D261" s="22" t="n"/>
      <c r="E261" s="22" t="n"/>
      <c r="F261" s="22"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c r="AA261" s="22" t="n"/>
      <c r="AB261" s="22" t="n"/>
      <c r="AC261" s="22" t="n"/>
      <c r="AD261" s="22" t="n"/>
      <c r="AE261" s="22" t="n"/>
      <c r="AF261" s="22" t="n"/>
      <c r="AG261" s="22" t="n"/>
      <c r="AH261" s="22" t="n"/>
      <c r="AI261" s="22" t="n"/>
      <c r="AJ261" s="22" t="n"/>
      <c r="AK261" s="22" t="n"/>
      <c r="AL261" s="22" t="n"/>
      <c r="AM261" s="22" t="n"/>
      <c r="AN261" s="22" t="n"/>
      <c r="AO261" s="22" t="n"/>
      <c r="AP261" s="22" t="n"/>
      <c r="AQ261" s="22" t="n"/>
      <c r="AR261" s="22" t="n"/>
      <c r="AS261" s="22" t="n"/>
      <c r="AT261" s="22" t="n"/>
      <c r="AU261" s="22" t="n"/>
      <c r="AV261" s="22" t="n"/>
      <c r="AW261" s="22" t="n"/>
      <c r="AX261" s="22" t="n"/>
      <c r="AY261" s="22" t="n"/>
      <c r="AZ261" s="22" t="n"/>
      <c r="BA261" s="22" t="n"/>
      <c r="BB261" s="22" t="n"/>
      <c r="BC261" s="22" t="n"/>
      <c r="BD261" s="22" t="n"/>
      <c r="BE261" s="22" t="n"/>
      <c r="BF261" s="22" t="n"/>
      <c r="BG261" s="22" t="n"/>
      <c r="BH261" s="22" t="n"/>
      <c r="BI261" s="22" t="n"/>
      <c r="BJ261" s="22" t="n"/>
      <c r="BK261" s="22" t="n"/>
      <c r="BL261" s="22" t="n"/>
      <c r="BM261" s="22" t="n"/>
      <c r="BN261" s="22" t="n"/>
      <c r="BO261" s="22" t="n"/>
      <c r="BP261" s="22" t="n"/>
      <c r="BQ261" s="31" t="n"/>
      <c r="BR261" s="31" t="n"/>
      <c r="BS261" s="31" t="n"/>
      <c r="BT261" s="31" t="n"/>
    </row>
    <row r="262" ht="15.75" customHeight="1" s="349">
      <c r="A262" s="22" t="n"/>
      <c r="B262" s="22" t="n"/>
      <c r="C262" s="22" t="n"/>
      <c r="D262" s="22" t="n"/>
      <c r="E262" s="22" t="n"/>
      <c r="F262" s="22"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c r="AA262" s="22" t="n"/>
      <c r="AB262" s="22" t="n"/>
      <c r="AC262" s="22" t="n"/>
      <c r="AD262" s="22" t="n"/>
      <c r="AE262" s="22" t="n"/>
      <c r="AF262" s="22" t="n"/>
      <c r="AG262" s="22" t="n"/>
      <c r="AH262" s="22" t="n"/>
      <c r="AI262" s="22" t="n"/>
      <c r="AJ262" s="22" t="n"/>
      <c r="AK262" s="22" t="n"/>
      <c r="AL262" s="22" t="n"/>
      <c r="AM262" s="22" t="n"/>
      <c r="AN262" s="22" t="n"/>
      <c r="AO262" s="22" t="n"/>
      <c r="AP262" s="22" t="n"/>
      <c r="AQ262" s="22" t="n"/>
      <c r="AR262" s="22" t="n"/>
      <c r="AS262" s="22" t="n"/>
      <c r="AT262" s="22" t="n"/>
      <c r="AU262" s="22" t="n"/>
      <c r="AV262" s="22" t="n"/>
      <c r="AW262" s="22" t="n"/>
      <c r="AX262" s="22" t="n"/>
      <c r="AY262" s="22" t="n"/>
      <c r="AZ262" s="22" t="n"/>
      <c r="BA262" s="22" t="n"/>
      <c r="BB262" s="22" t="n"/>
      <c r="BC262" s="22" t="n"/>
      <c r="BD262" s="22" t="n"/>
      <c r="BE262" s="22" t="n"/>
      <c r="BF262" s="22" t="n"/>
      <c r="BG262" s="22" t="n"/>
      <c r="BH262" s="22" t="n"/>
      <c r="BI262" s="22" t="n"/>
      <c r="BJ262" s="22" t="n"/>
      <c r="BK262" s="22" t="n"/>
      <c r="BL262" s="22" t="n"/>
      <c r="BM262" s="22" t="n"/>
      <c r="BN262" s="22" t="n"/>
      <c r="BO262" s="22" t="n"/>
      <c r="BP262" s="22" t="n"/>
      <c r="BQ262" s="31" t="n"/>
      <c r="BR262" s="31" t="n"/>
      <c r="BS262" s="31" t="n"/>
      <c r="BT262" s="31" t="n"/>
    </row>
    <row r="263" ht="15.75" customHeight="1" s="349">
      <c r="A263" s="22" t="n"/>
      <c r="B263" s="307" t="n"/>
      <c r="C263" s="307" t="n"/>
      <c r="D263" s="307" t="n"/>
      <c r="E263" s="307" t="n"/>
      <c r="F263" s="307" t="n"/>
      <c r="G263" s="307" t="n"/>
      <c r="H263" s="307" t="n"/>
      <c r="I263" s="307" t="n"/>
      <c r="J263" s="307" t="n"/>
      <c r="K263" s="307" t="n"/>
      <c r="L263" s="307" t="n"/>
      <c r="M263" s="307" t="n"/>
      <c r="N263" s="22" t="n"/>
      <c r="O263" s="22" t="n"/>
      <c r="P263" s="22" t="n"/>
      <c r="Q263" s="22" t="n"/>
      <c r="R263" s="22" t="n"/>
      <c r="S263" s="22" t="n"/>
      <c r="T263" s="22" t="n"/>
      <c r="U263" s="22" t="n"/>
      <c r="V263" s="22" t="n"/>
      <c r="W263" s="22" t="n"/>
      <c r="X263" s="22" t="n"/>
      <c r="Y263" s="22" t="n"/>
      <c r="Z263" s="22" t="n"/>
      <c r="AA263" s="22" t="n"/>
      <c r="AB263" s="22" t="n"/>
      <c r="AC263" s="22" t="n"/>
      <c r="AD263" s="22" t="n"/>
      <c r="AE263" s="22" t="n"/>
      <c r="AF263" s="22" t="n"/>
      <c r="AG263" s="22" t="n"/>
      <c r="AH263" s="22" t="n"/>
      <c r="AI263" s="22" t="n"/>
      <c r="AJ263" s="22" t="n"/>
      <c r="AK263" s="22" t="n"/>
      <c r="AL263" s="22" t="n"/>
      <c r="AM263" s="22" t="n"/>
      <c r="AN263" s="22" t="n"/>
      <c r="AO263" s="22" t="n"/>
      <c r="AP263" s="22" t="n"/>
      <c r="AQ263" s="22" t="n"/>
      <c r="AR263" s="22" t="n"/>
      <c r="AS263" s="22" t="n"/>
      <c r="AT263" s="22" t="n"/>
      <c r="AU263" s="22" t="n"/>
      <c r="AV263" s="22" t="n"/>
      <c r="AW263" s="22" t="n"/>
      <c r="AX263" s="22" t="n"/>
      <c r="AY263" s="22" t="n"/>
      <c r="AZ263" s="22" t="n"/>
      <c r="BA263" s="22" t="n"/>
      <c r="BB263" s="22" t="n"/>
      <c r="BC263" s="22" t="n"/>
      <c r="BD263" s="22" t="n"/>
      <c r="BE263" s="22" t="n"/>
      <c r="BF263" s="22" t="n"/>
      <c r="BG263" s="22" t="n"/>
      <c r="BH263" s="22" t="n"/>
      <c r="BI263" s="22" t="n"/>
      <c r="BJ263" s="22" t="n"/>
      <c r="BK263" s="22" t="n"/>
      <c r="BL263" s="22" t="n"/>
      <c r="BM263" s="22" t="n"/>
      <c r="BN263" s="22" t="n"/>
      <c r="BO263" s="22" t="n"/>
      <c r="BP263" s="22" t="n"/>
      <c r="BQ263" s="31" t="n"/>
      <c r="BR263" s="31" t="n"/>
      <c r="BS263" s="31" t="n"/>
      <c r="BT263" s="31" t="n"/>
    </row>
    <row r="264" ht="15.75" customHeight="1" s="349">
      <c r="A264" s="22" t="n"/>
      <c r="B264" s="22" t="n"/>
      <c r="C264" s="22" t="n"/>
      <c r="D264" s="22" t="n"/>
      <c r="E264" s="22" t="n"/>
      <c r="F264" s="22"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c r="AA264" s="22" t="n"/>
      <c r="AB264" s="22" t="n"/>
      <c r="AC264" s="22" t="n"/>
      <c r="AD264" s="22" t="n"/>
      <c r="AE264" s="22" t="n"/>
      <c r="AF264" s="22" t="n"/>
      <c r="AG264" s="22" t="n"/>
      <c r="AH264" s="22" t="n"/>
      <c r="AI264" s="22" t="n"/>
      <c r="AJ264" s="22" t="n"/>
      <c r="AK264" s="22" t="n"/>
      <c r="AL264" s="22" t="n"/>
      <c r="AM264" s="22" t="n"/>
      <c r="AN264" s="22" t="n"/>
      <c r="AO264" s="22" t="n"/>
      <c r="AP264" s="22" t="n"/>
      <c r="AQ264" s="22" t="n"/>
      <c r="AR264" s="22" t="n"/>
      <c r="AS264" s="22" t="n"/>
      <c r="AT264" s="22" t="n"/>
      <c r="AU264" s="22" t="n"/>
      <c r="AV264" s="22" t="n"/>
      <c r="AW264" s="22" t="n"/>
      <c r="AX264" s="22" t="n"/>
      <c r="AY264" s="22" t="n"/>
      <c r="AZ264" s="22" t="n"/>
      <c r="BA264" s="22" t="n"/>
      <c r="BB264" s="22" t="n"/>
      <c r="BC264" s="22" t="n"/>
      <c r="BD264" s="22" t="n"/>
      <c r="BE264" s="22" t="n"/>
      <c r="BF264" s="22" t="n"/>
      <c r="BG264" s="22" t="n"/>
      <c r="BH264" s="22" t="n"/>
      <c r="BI264" s="22" t="n"/>
      <c r="BJ264" s="22" t="n"/>
      <c r="BK264" s="22" t="n"/>
      <c r="BL264" s="22" t="n"/>
      <c r="BM264" s="22" t="n"/>
      <c r="BN264" s="22" t="n"/>
      <c r="BO264" s="22" t="n"/>
      <c r="BP264" s="22" t="n"/>
      <c r="BQ264" s="31" t="n"/>
      <c r="BR264" s="31" t="n"/>
      <c r="BS264" s="31" t="n"/>
      <c r="BT264" s="31" t="n"/>
    </row>
    <row r="265" ht="15.75" customHeight="1" s="349">
      <c r="A265" s="22" t="n"/>
      <c r="B265" s="22" t="n"/>
      <c r="C265" s="22" t="n"/>
      <c r="D265" s="22" t="n"/>
      <c r="E265" s="22" t="n"/>
      <c r="F265" s="22"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c r="AA265" s="22" t="n"/>
      <c r="AB265" s="22" t="n"/>
      <c r="AC265" s="22" t="n"/>
      <c r="AD265" s="22" t="n"/>
      <c r="AE265" s="22" t="n"/>
      <c r="AF265" s="22" t="n"/>
      <c r="AG265" s="22" t="n"/>
      <c r="AH265" s="22" t="n"/>
      <c r="AI265" s="22" t="n"/>
      <c r="AJ265" s="22" t="n"/>
      <c r="AK265" s="22" t="n"/>
      <c r="AL265" s="22" t="n"/>
      <c r="AM265" s="22" t="n"/>
      <c r="AN265" s="22" t="n"/>
      <c r="AO265" s="22" t="n"/>
      <c r="AP265" s="22" t="n"/>
      <c r="AQ265" s="22" t="n"/>
      <c r="AR265" s="22" t="n"/>
      <c r="AS265" s="22" t="n"/>
      <c r="AT265" s="22" t="n"/>
      <c r="AU265" s="22" t="n"/>
      <c r="AV265" s="22" t="n"/>
      <c r="AW265" s="22" t="n"/>
      <c r="AX265" s="22" t="n"/>
      <c r="AY265" s="22" t="n"/>
      <c r="AZ265" s="22" t="n"/>
      <c r="BA265" s="22" t="n"/>
      <c r="BB265" s="22" t="n"/>
      <c r="BC265" s="22" t="n"/>
      <c r="BD265" s="22" t="n"/>
      <c r="BE265" s="22" t="n"/>
      <c r="BF265" s="22" t="n"/>
      <c r="BG265" s="22" t="n"/>
      <c r="BH265" s="22" t="n"/>
      <c r="BI265" s="22" t="n"/>
      <c r="BJ265" s="22" t="n"/>
      <c r="BK265" s="22" t="n"/>
      <c r="BL265" s="22" t="n"/>
      <c r="BM265" s="22" t="n"/>
      <c r="BN265" s="22" t="n"/>
      <c r="BO265" s="22" t="n"/>
      <c r="BP265" s="22" t="n"/>
      <c r="BQ265" s="31" t="n"/>
      <c r="BR265" s="31" t="n"/>
      <c r="BS265" s="31" t="n"/>
      <c r="BT265" s="31" t="n"/>
    </row>
    <row r="266" ht="15.75" customHeight="1" s="349">
      <c r="A266" s="22" t="n"/>
      <c r="B266" s="22" t="n"/>
      <c r="C266" s="22" t="n"/>
      <c r="D266" s="22" t="n"/>
      <c r="E266" s="22" t="n"/>
      <c r="F266" s="22"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c r="AA266" s="22" t="n"/>
      <c r="AB266" s="22" t="n"/>
      <c r="AC266" s="22" t="n"/>
      <c r="AD266" s="22" t="n"/>
      <c r="AE266" s="22" t="n"/>
      <c r="AF266" s="22" t="n"/>
      <c r="AG266" s="22" t="n"/>
      <c r="AH266" s="22" t="n"/>
      <c r="AI266" s="22" t="n"/>
      <c r="AJ266" s="22" t="n"/>
      <c r="AK266" s="22" t="n"/>
      <c r="AL266" s="22" t="n"/>
      <c r="AM266" s="22" t="n"/>
      <c r="AN266" s="22" t="n"/>
      <c r="AO266" s="22" t="n"/>
      <c r="AP266" s="22" t="n"/>
      <c r="AQ266" s="22" t="n"/>
      <c r="AR266" s="22" t="n"/>
      <c r="AS266" s="22" t="n"/>
      <c r="AT266" s="22" t="n"/>
      <c r="AU266" s="22" t="n"/>
      <c r="AV266" s="22" t="n"/>
      <c r="AW266" s="22" t="n"/>
      <c r="AX266" s="22" t="n"/>
      <c r="AY266" s="22" t="n"/>
      <c r="AZ266" s="22" t="n"/>
      <c r="BA266" s="22" t="n"/>
      <c r="BB266" s="22" t="n"/>
      <c r="BC266" s="22" t="n"/>
      <c r="BD266" s="22" t="n"/>
      <c r="BE266" s="22" t="n"/>
      <c r="BF266" s="22" t="n"/>
      <c r="BG266" s="22" t="n"/>
      <c r="BH266" s="22" t="n"/>
      <c r="BI266" s="22" t="n"/>
      <c r="BJ266" s="22" t="n"/>
      <c r="BK266" s="22" t="n"/>
      <c r="BL266" s="22" t="n"/>
      <c r="BM266" s="22" t="n"/>
      <c r="BN266" s="22" t="n"/>
      <c r="BO266" s="22" t="n"/>
      <c r="BP266" s="22" t="n"/>
      <c r="BQ266" s="31" t="n"/>
      <c r="BR266" s="31" t="n"/>
      <c r="BS266" s="31" t="n"/>
      <c r="BT266" s="31" t="n"/>
    </row>
    <row r="267" ht="15.75" customHeight="1" s="349">
      <c r="A267" s="22" t="n"/>
      <c r="B267" s="22" t="n"/>
      <c r="C267" s="22" t="n"/>
      <c r="D267" s="22" t="n"/>
      <c r="E267" s="22" t="n"/>
      <c r="F267" s="22"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c r="AA267" s="22" t="n"/>
      <c r="AB267" s="22" t="n"/>
      <c r="AC267" s="22" t="n"/>
      <c r="AD267" s="22" t="n"/>
      <c r="AE267" s="22" t="n"/>
      <c r="AF267" s="22" t="n"/>
      <c r="AG267" s="22" t="n"/>
      <c r="AH267" s="22" t="n"/>
      <c r="AI267" s="22" t="n"/>
      <c r="AJ267" s="22" t="n"/>
      <c r="AK267" s="22" t="n"/>
      <c r="AL267" s="22" t="n"/>
      <c r="AM267" s="22" t="n"/>
      <c r="AN267" s="22" t="n"/>
      <c r="AO267" s="22" t="n"/>
      <c r="AP267" s="22" t="n"/>
      <c r="AQ267" s="22" t="n"/>
      <c r="AR267" s="22" t="n"/>
      <c r="AS267" s="22" t="n"/>
      <c r="AT267" s="22" t="n"/>
      <c r="AU267" s="22" t="n"/>
      <c r="AV267" s="22" t="n"/>
      <c r="AW267" s="22" t="n"/>
      <c r="AX267" s="22" t="n"/>
      <c r="AY267" s="22" t="n"/>
      <c r="AZ267" s="22" t="n"/>
      <c r="BA267" s="22" t="n"/>
      <c r="BB267" s="22" t="n"/>
      <c r="BC267" s="22" t="n"/>
      <c r="BD267" s="22" t="n"/>
      <c r="BE267" s="22" t="n"/>
      <c r="BF267" s="22" t="n"/>
      <c r="BG267" s="22" t="n"/>
      <c r="BH267" s="22" t="n"/>
      <c r="BI267" s="22" t="n"/>
      <c r="BJ267" s="22" t="n"/>
      <c r="BK267" s="22" t="n"/>
      <c r="BL267" s="22" t="n"/>
      <c r="BM267" s="22" t="n"/>
      <c r="BN267" s="22" t="n"/>
      <c r="BO267" s="22" t="n"/>
      <c r="BP267" s="22" t="n"/>
      <c r="BQ267" s="31" t="n"/>
      <c r="BR267" s="31" t="n"/>
      <c r="BS267" s="31" t="n"/>
      <c r="BT267" s="31" t="n"/>
    </row>
    <row r="268" ht="15.75" customHeight="1" s="349">
      <c r="A268" s="22" t="n"/>
      <c r="B268" s="22" t="n"/>
      <c r="C268" s="22" t="n"/>
      <c r="D268" s="22" t="n"/>
      <c r="E268" s="22" t="n"/>
      <c r="F268" s="22"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c r="AA268" s="22" t="n"/>
      <c r="AB268" s="22" t="n"/>
      <c r="AC268" s="22" t="n"/>
      <c r="AD268" s="22" t="n"/>
      <c r="AE268" s="22" t="n"/>
      <c r="AF268" s="22" t="n"/>
      <c r="AG268" s="22" t="n"/>
      <c r="AH268" s="22" t="n"/>
      <c r="AI268" s="22" t="n"/>
      <c r="AJ268" s="22" t="n"/>
      <c r="AK268" s="22" t="n"/>
      <c r="AL268" s="22" t="n"/>
      <c r="AM268" s="22" t="n"/>
      <c r="AN268" s="22" t="n"/>
      <c r="AO268" s="22" t="n"/>
      <c r="AP268" s="22" t="n"/>
      <c r="AQ268" s="22" t="n"/>
      <c r="AR268" s="22" t="n"/>
      <c r="AS268" s="22" t="n"/>
      <c r="AT268" s="22" t="n"/>
      <c r="AU268" s="22" t="n"/>
      <c r="AV268" s="22" t="n"/>
      <c r="AW268" s="22" t="n"/>
      <c r="AX268" s="22" t="n"/>
      <c r="AY268" s="22" t="n"/>
      <c r="AZ268" s="22" t="n"/>
      <c r="BA268" s="22" t="n"/>
      <c r="BB268" s="22" t="n"/>
      <c r="BC268" s="22" t="n"/>
      <c r="BD268" s="22" t="n"/>
      <c r="BE268" s="22" t="n"/>
      <c r="BF268" s="22" t="n"/>
      <c r="BG268" s="22" t="n"/>
      <c r="BH268" s="22" t="n"/>
      <c r="BI268" s="22" t="n"/>
      <c r="BJ268" s="22" t="n"/>
      <c r="BK268" s="22" t="n"/>
      <c r="BL268" s="22" t="n"/>
      <c r="BM268" s="22" t="n"/>
      <c r="BN268" s="22" t="n"/>
      <c r="BO268" s="22" t="n"/>
      <c r="BP268" s="22" t="n"/>
      <c r="BQ268" s="31" t="n"/>
      <c r="BR268" s="31" t="n"/>
      <c r="BS268" s="31" t="n"/>
      <c r="BT268" s="31" t="n"/>
    </row>
    <row r="269" ht="15.75" customHeight="1" s="349">
      <c r="A269" s="22" t="n"/>
      <c r="B269" s="22" t="n"/>
      <c r="C269" s="22" t="n"/>
      <c r="D269" s="22" t="n"/>
      <c r="E269" s="22" t="n"/>
      <c r="F269" s="22"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c r="AA269" s="22" t="n"/>
      <c r="AB269" s="22" t="n"/>
      <c r="AC269" s="22" t="n"/>
      <c r="AD269" s="22" t="n"/>
      <c r="AE269" s="22" t="n"/>
      <c r="AF269" s="22" t="n"/>
      <c r="AG269" s="22" t="n"/>
      <c r="AH269" s="22" t="n"/>
      <c r="AI269" s="22" t="n"/>
      <c r="AJ269" s="22" t="n"/>
      <c r="AK269" s="22" t="n"/>
      <c r="AL269" s="22" t="n"/>
      <c r="AM269" s="22" t="n"/>
      <c r="AN269" s="22" t="n"/>
      <c r="AO269" s="22" t="n"/>
      <c r="AP269" s="22" t="n"/>
      <c r="AQ269" s="22" t="n"/>
      <c r="AR269" s="22" t="n"/>
      <c r="AS269" s="22" t="n"/>
      <c r="AT269" s="22" t="n"/>
      <c r="AU269" s="22" t="n"/>
      <c r="AV269" s="22" t="n"/>
      <c r="AW269" s="22" t="n"/>
      <c r="AX269" s="22" t="n"/>
      <c r="AY269" s="22" t="n"/>
      <c r="AZ269" s="22" t="n"/>
      <c r="BA269" s="22" t="n"/>
      <c r="BB269" s="22" t="n"/>
      <c r="BC269" s="22" t="n"/>
      <c r="BD269" s="22" t="n"/>
      <c r="BE269" s="22" t="n"/>
      <c r="BF269" s="22" t="n"/>
      <c r="BG269" s="22" t="n"/>
      <c r="BH269" s="22" t="n"/>
      <c r="BI269" s="22" t="n"/>
      <c r="BJ269" s="22" t="n"/>
      <c r="BK269" s="22" t="n"/>
      <c r="BL269" s="22" t="n"/>
      <c r="BM269" s="22" t="n"/>
      <c r="BN269" s="22" t="n"/>
      <c r="BO269" s="22" t="n"/>
      <c r="BP269" s="22" t="n"/>
      <c r="BQ269" s="31" t="n"/>
      <c r="BR269" s="31" t="n"/>
      <c r="BS269" s="31" t="n"/>
      <c r="BT269" s="31" t="n"/>
    </row>
    <row r="270" ht="15.75" customHeight="1" s="349">
      <c r="A270" s="22" t="n"/>
      <c r="B270" s="22" t="n"/>
      <c r="C270" s="22" t="n"/>
      <c r="D270" s="22" t="n"/>
      <c r="E270" s="22" t="n"/>
      <c r="F270" s="22"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c r="AA270" s="22" t="n"/>
      <c r="AB270" s="22" t="n"/>
      <c r="AC270" s="22" t="n"/>
      <c r="AD270" s="22" t="n"/>
      <c r="AE270" s="22" t="n"/>
      <c r="AF270" s="22" t="n"/>
      <c r="AG270" s="22" t="n"/>
      <c r="AH270" s="22" t="n"/>
      <c r="AI270" s="22" t="n"/>
      <c r="AJ270" s="22" t="n"/>
      <c r="AK270" s="22" t="n"/>
      <c r="AL270" s="22" t="n"/>
      <c r="AM270" s="22" t="n"/>
      <c r="AN270" s="22" t="n"/>
      <c r="AO270" s="22" t="n"/>
      <c r="AP270" s="22" t="n"/>
      <c r="AQ270" s="22" t="n"/>
      <c r="AR270" s="22" t="n"/>
      <c r="AS270" s="22" t="n"/>
      <c r="AT270" s="22" t="n"/>
      <c r="AU270" s="22" t="n"/>
      <c r="AV270" s="22" t="n"/>
      <c r="AW270" s="22" t="n"/>
      <c r="AX270" s="22" t="n"/>
      <c r="AY270" s="22" t="n"/>
      <c r="AZ270" s="22" t="n"/>
      <c r="BA270" s="22" t="n"/>
      <c r="BB270" s="22" t="n"/>
      <c r="BC270" s="22" t="n"/>
      <c r="BD270" s="22" t="n"/>
      <c r="BE270" s="22" t="n"/>
      <c r="BF270" s="22" t="n"/>
      <c r="BG270" s="22" t="n"/>
      <c r="BH270" s="22" t="n"/>
      <c r="BI270" s="22" t="n"/>
      <c r="BJ270" s="22" t="n"/>
      <c r="BK270" s="22" t="n"/>
      <c r="BL270" s="22" t="n"/>
      <c r="BM270" s="22" t="n"/>
      <c r="BN270" s="22" t="n"/>
      <c r="BO270" s="22" t="n"/>
      <c r="BP270" s="22" t="n"/>
      <c r="BQ270" s="31" t="n"/>
      <c r="BR270" s="31" t="n"/>
      <c r="BS270" s="31" t="n"/>
      <c r="BT270" s="31" t="n"/>
    </row>
    <row r="271" ht="15.75" customHeight="1" s="349">
      <c r="A271" s="22" t="n"/>
      <c r="B271" s="22" t="n"/>
      <c r="C271" s="22" t="n"/>
      <c r="D271" s="22" t="n"/>
      <c r="E271" s="22" t="n"/>
      <c r="F271" s="22"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c r="AA271" s="22" t="n"/>
      <c r="AB271" s="22" t="n"/>
      <c r="AC271" s="22" t="n"/>
      <c r="AD271" s="22" t="n"/>
      <c r="AE271" s="22" t="n"/>
      <c r="AF271" s="22" t="n"/>
      <c r="AG271" s="22" t="n"/>
      <c r="AH271" s="22" t="n"/>
      <c r="AI271" s="22" t="n"/>
      <c r="AJ271" s="22" t="n"/>
      <c r="AK271" s="22" t="n"/>
      <c r="AL271" s="22" t="n"/>
      <c r="AM271" s="22" t="n"/>
      <c r="AN271" s="22" t="n"/>
      <c r="AO271" s="22" t="n"/>
      <c r="AP271" s="22" t="n"/>
      <c r="AQ271" s="22" t="n"/>
      <c r="AR271" s="22" t="n"/>
      <c r="AS271" s="22" t="n"/>
      <c r="AT271" s="22" t="n"/>
      <c r="AU271" s="22" t="n"/>
      <c r="AV271" s="22" t="n"/>
      <c r="AW271" s="22" t="n"/>
      <c r="AX271" s="22" t="n"/>
      <c r="AY271" s="22" t="n"/>
      <c r="AZ271" s="22" t="n"/>
      <c r="BA271" s="22" t="n"/>
      <c r="BB271" s="22" t="n"/>
      <c r="BC271" s="22" t="n"/>
      <c r="BD271" s="22" t="n"/>
      <c r="BE271" s="22" t="n"/>
      <c r="BF271" s="22" t="n"/>
      <c r="BG271" s="22" t="n"/>
      <c r="BH271" s="22" t="n"/>
      <c r="BI271" s="22" t="n"/>
      <c r="BJ271" s="22" t="n"/>
      <c r="BK271" s="22" t="n"/>
      <c r="BL271" s="22" t="n"/>
      <c r="BM271" s="22" t="n"/>
      <c r="BN271" s="22" t="n"/>
      <c r="BO271" s="22" t="n"/>
      <c r="BP271" s="22" t="n"/>
      <c r="BQ271" s="31" t="n"/>
      <c r="BR271" s="31" t="n"/>
      <c r="BS271" s="31" t="n"/>
      <c r="BT271" s="31" t="n"/>
    </row>
    <row r="272" ht="15.75" customHeight="1" s="349">
      <c r="A272" s="22" t="n"/>
      <c r="B272" s="22" t="n"/>
      <c r="C272" s="22" t="n"/>
      <c r="D272" s="22" t="n"/>
      <c r="E272" s="22" t="n"/>
      <c r="F272" s="22"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c r="AA272" s="22" t="n"/>
      <c r="AB272" s="22" t="n"/>
      <c r="AC272" s="22" t="n"/>
      <c r="AD272" s="22" t="n"/>
      <c r="AE272" s="22" t="n"/>
      <c r="AF272" s="22" t="n"/>
      <c r="AG272" s="22" t="n"/>
      <c r="AH272" s="22" t="n"/>
      <c r="AI272" s="22" t="n"/>
      <c r="AJ272" s="22" t="n"/>
      <c r="AK272" s="22" t="n"/>
      <c r="AL272" s="22" t="n"/>
      <c r="AM272" s="22" t="n"/>
      <c r="AN272" s="22" t="n"/>
      <c r="AO272" s="22" t="n"/>
      <c r="AP272" s="22" t="n"/>
      <c r="AQ272" s="22" t="n"/>
      <c r="AR272" s="22" t="n"/>
      <c r="AS272" s="22" t="n"/>
      <c r="AT272" s="22" t="n"/>
      <c r="AU272" s="22" t="n"/>
      <c r="AV272" s="22" t="n"/>
      <c r="AW272" s="22" t="n"/>
      <c r="AX272" s="22" t="n"/>
      <c r="AY272" s="22" t="n"/>
      <c r="AZ272" s="22" t="n"/>
      <c r="BA272" s="22" t="n"/>
      <c r="BB272" s="22" t="n"/>
      <c r="BC272" s="22" t="n"/>
      <c r="BD272" s="22" t="n"/>
      <c r="BE272" s="22" t="n"/>
      <c r="BF272" s="22" t="n"/>
      <c r="BG272" s="22" t="n"/>
      <c r="BH272" s="22" t="n"/>
      <c r="BI272" s="22" t="n"/>
      <c r="BJ272" s="22" t="n"/>
      <c r="BK272" s="22" t="n"/>
      <c r="BL272" s="22" t="n"/>
      <c r="BM272" s="22" t="n"/>
      <c r="BN272" s="22" t="n"/>
      <c r="BO272" s="22" t="n"/>
      <c r="BP272" s="22" t="n"/>
      <c r="BQ272" s="31" t="n"/>
      <c r="BR272" s="31" t="n"/>
      <c r="BS272" s="31" t="n"/>
      <c r="BT272" s="31" t="n"/>
    </row>
    <row r="273" ht="15.75" customHeight="1" s="349">
      <c r="A273" s="22" t="n"/>
      <c r="B273" s="22" t="n"/>
      <c r="C273" s="22" t="n"/>
      <c r="D273" s="22" t="n"/>
      <c r="E273" s="22" t="n"/>
      <c r="F273" s="22"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c r="AA273" s="22" t="n"/>
      <c r="AB273" s="22" t="n"/>
      <c r="AC273" s="22" t="n"/>
      <c r="AD273" s="22" t="n"/>
      <c r="AE273" s="22" t="n"/>
      <c r="AF273" s="22" t="n"/>
      <c r="AG273" s="22" t="n"/>
      <c r="AH273" s="22" t="n"/>
      <c r="AI273" s="22" t="n"/>
      <c r="AJ273" s="22" t="n"/>
      <c r="AK273" s="22" t="n"/>
      <c r="AL273" s="22" t="n"/>
      <c r="AM273" s="22" t="n"/>
      <c r="AN273" s="22" t="n"/>
      <c r="AO273" s="22" t="n"/>
      <c r="AP273" s="22" t="n"/>
      <c r="AQ273" s="22" t="n"/>
      <c r="AR273" s="22" t="n"/>
      <c r="AS273" s="22" t="n"/>
      <c r="AT273" s="22" t="n"/>
      <c r="AU273" s="22" t="n"/>
      <c r="AV273" s="22" t="n"/>
      <c r="AW273" s="22" t="n"/>
      <c r="AX273" s="22" t="n"/>
      <c r="AY273" s="22" t="n"/>
      <c r="AZ273" s="22" t="n"/>
      <c r="BA273" s="22" t="n"/>
      <c r="BB273" s="22" t="n"/>
      <c r="BC273" s="22" t="n"/>
      <c r="BD273" s="22" t="n"/>
      <c r="BE273" s="22" t="n"/>
      <c r="BF273" s="22" t="n"/>
      <c r="BG273" s="22" t="n"/>
      <c r="BH273" s="22" t="n"/>
      <c r="BI273" s="22" t="n"/>
      <c r="BJ273" s="22" t="n"/>
      <c r="BK273" s="22" t="n"/>
      <c r="BL273" s="22" t="n"/>
      <c r="BM273" s="22" t="n"/>
      <c r="BN273" s="22" t="n"/>
      <c r="BO273" s="22" t="n"/>
      <c r="BP273" s="22" t="n"/>
      <c r="BQ273" s="31" t="n"/>
      <c r="BR273" s="31" t="n"/>
      <c r="BS273" s="31" t="n"/>
      <c r="BT273" s="31" t="n"/>
    </row>
    <row r="274" ht="15.75" customHeight="1" s="349">
      <c r="A274" s="22" t="n"/>
      <c r="B274" s="22" t="n"/>
      <c r="C274" s="22" t="n"/>
      <c r="D274" s="22" t="n"/>
      <c r="E274" s="22" t="n"/>
      <c r="F274" s="22"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c r="AA274" s="22" t="n"/>
      <c r="AB274" s="22" t="n"/>
      <c r="AC274" s="22" t="n"/>
      <c r="AD274" s="22" t="n"/>
      <c r="AE274" s="22" t="n"/>
      <c r="AF274" s="22" t="n"/>
      <c r="AG274" s="22" t="n"/>
      <c r="AH274" s="22" t="n"/>
      <c r="AI274" s="22" t="n"/>
      <c r="AJ274" s="22" t="n"/>
      <c r="AK274" s="22" t="n"/>
      <c r="AL274" s="22" t="n"/>
      <c r="AM274" s="22" t="n"/>
      <c r="AN274" s="22" t="n"/>
      <c r="AO274" s="22" t="n"/>
      <c r="AP274" s="22" t="n"/>
      <c r="AQ274" s="22" t="n"/>
      <c r="AR274" s="22" t="n"/>
      <c r="AS274" s="22" t="n"/>
      <c r="AT274" s="22" t="n"/>
      <c r="AU274" s="22" t="n"/>
      <c r="AV274" s="22" t="n"/>
      <c r="AW274" s="22" t="n"/>
      <c r="AX274" s="22" t="n"/>
      <c r="AY274" s="22" t="n"/>
      <c r="AZ274" s="22" t="n"/>
      <c r="BA274" s="22" t="n"/>
      <c r="BB274" s="22" t="n"/>
      <c r="BC274" s="22" t="n"/>
      <c r="BD274" s="22" t="n"/>
      <c r="BE274" s="22" t="n"/>
      <c r="BF274" s="22" t="n"/>
      <c r="BG274" s="22" t="n"/>
      <c r="BH274" s="22" t="n"/>
      <c r="BI274" s="22" t="n"/>
      <c r="BJ274" s="22" t="n"/>
      <c r="BK274" s="22" t="n"/>
      <c r="BL274" s="22" t="n"/>
      <c r="BM274" s="22" t="n"/>
      <c r="BN274" s="22" t="n"/>
      <c r="BO274" s="22" t="n"/>
      <c r="BP274" s="22" t="n"/>
      <c r="BQ274" s="31" t="n"/>
      <c r="BR274" s="31" t="n"/>
      <c r="BS274" s="31" t="n"/>
      <c r="BT274" s="31" t="n"/>
    </row>
    <row r="275" ht="15.75" customHeight="1" s="349">
      <c r="A275" s="22" t="n"/>
      <c r="B275" s="22" t="n"/>
      <c r="C275" s="22" t="n"/>
      <c r="D275" s="22" t="n"/>
      <c r="E275" s="22" t="n"/>
      <c r="F275" s="22"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c r="AA275" s="22" t="n"/>
      <c r="AB275" s="22" t="n"/>
      <c r="AC275" s="22" t="n"/>
      <c r="AD275" s="22" t="n"/>
      <c r="AE275" s="22" t="n"/>
      <c r="AF275" s="22" t="n"/>
      <c r="AG275" s="22" t="n"/>
      <c r="AH275" s="22" t="n"/>
      <c r="AI275" s="22" t="n"/>
      <c r="AJ275" s="22" t="n"/>
      <c r="AK275" s="22" t="n"/>
      <c r="AL275" s="22" t="n"/>
      <c r="AM275" s="22" t="n"/>
      <c r="AN275" s="22" t="n"/>
      <c r="AO275" s="22" t="n"/>
      <c r="AP275" s="22" t="n"/>
      <c r="AQ275" s="22" t="n"/>
      <c r="AR275" s="22" t="n"/>
      <c r="AS275" s="22" t="n"/>
      <c r="AT275" s="22" t="n"/>
      <c r="AU275" s="22" t="n"/>
      <c r="AV275" s="22" t="n"/>
      <c r="AW275" s="22" t="n"/>
      <c r="AX275" s="22" t="n"/>
      <c r="AY275" s="22" t="n"/>
      <c r="AZ275" s="22" t="n"/>
      <c r="BA275" s="22" t="n"/>
      <c r="BB275" s="22" t="n"/>
      <c r="BC275" s="22" t="n"/>
      <c r="BD275" s="22" t="n"/>
      <c r="BE275" s="22" t="n"/>
      <c r="BF275" s="22" t="n"/>
      <c r="BG275" s="22" t="n"/>
      <c r="BH275" s="22" t="n"/>
      <c r="BI275" s="22" t="n"/>
      <c r="BJ275" s="22" t="n"/>
      <c r="BK275" s="22" t="n"/>
      <c r="BL275" s="22" t="n"/>
      <c r="BM275" s="22" t="n"/>
      <c r="BN275" s="22" t="n"/>
      <c r="BO275" s="22" t="n"/>
      <c r="BP275" s="22" t="n"/>
      <c r="BQ275" s="31" t="n"/>
      <c r="BR275" s="31" t="n"/>
      <c r="BS275" s="31" t="n"/>
      <c r="BT275" s="31" t="n"/>
    </row>
    <row r="276" ht="15.75" customHeight="1" s="349">
      <c r="A276" s="22" t="n"/>
      <c r="B276" s="22" t="n"/>
      <c r="C276" s="22" t="n"/>
      <c r="D276" s="22" t="n"/>
      <c r="E276" s="22" t="n"/>
      <c r="F276" s="22"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c r="AA276" s="22" t="n"/>
      <c r="AB276" s="22" t="n"/>
      <c r="AC276" s="22" t="n"/>
      <c r="AD276" s="22" t="n"/>
      <c r="AE276" s="22" t="n"/>
      <c r="AF276" s="22" t="n"/>
      <c r="AG276" s="22" t="n"/>
      <c r="AH276" s="22" t="n"/>
      <c r="AI276" s="22" t="n"/>
      <c r="AJ276" s="22" t="n"/>
      <c r="AK276" s="22" t="n"/>
      <c r="AL276" s="22" t="n"/>
      <c r="AM276" s="22" t="n"/>
      <c r="AN276" s="22" t="n"/>
      <c r="AO276" s="22" t="n"/>
      <c r="AP276" s="22" t="n"/>
      <c r="AQ276" s="22" t="n"/>
      <c r="AR276" s="22" t="n"/>
      <c r="AS276" s="22" t="n"/>
      <c r="AT276" s="22" t="n"/>
      <c r="AU276" s="22" t="n"/>
      <c r="AV276" s="22" t="n"/>
      <c r="AW276" s="22" t="n"/>
      <c r="AX276" s="22" t="n"/>
      <c r="AY276" s="22" t="n"/>
      <c r="AZ276" s="22" t="n"/>
      <c r="BA276" s="22" t="n"/>
      <c r="BB276" s="22" t="n"/>
      <c r="BC276" s="22" t="n"/>
      <c r="BD276" s="22" t="n"/>
      <c r="BE276" s="22" t="n"/>
      <c r="BF276" s="22" t="n"/>
      <c r="BG276" s="22" t="n"/>
      <c r="BH276" s="22" t="n"/>
      <c r="BI276" s="22" t="n"/>
      <c r="BJ276" s="22" t="n"/>
      <c r="BK276" s="22" t="n"/>
      <c r="BL276" s="22" t="n"/>
      <c r="BM276" s="22" t="n"/>
      <c r="BN276" s="22" t="n"/>
      <c r="BO276" s="22" t="n"/>
      <c r="BP276" s="22" t="n"/>
      <c r="BQ276" s="31" t="n"/>
      <c r="BR276" s="31" t="n"/>
      <c r="BS276" s="31" t="n"/>
      <c r="BT276" s="31" t="n"/>
    </row>
    <row r="277" ht="15.75" customHeight="1" s="349">
      <c r="A277" s="22" t="n"/>
      <c r="B277" s="22" t="n"/>
      <c r="C277" s="22" t="n"/>
      <c r="D277" s="22" t="n"/>
      <c r="E277" s="22" t="n"/>
      <c r="F277" s="22"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c r="AA277" s="22" t="n"/>
      <c r="AB277" s="22" t="n"/>
      <c r="AC277" s="22" t="n"/>
      <c r="AD277" s="22" t="n"/>
      <c r="AE277" s="22" t="n"/>
      <c r="AF277" s="22" t="n"/>
      <c r="AG277" s="22" t="n"/>
      <c r="AH277" s="22" t="n"/>
      <c r="AI277" s="22" t="n"/>
      <c r="AJ277" s="22" t="n"/>
      <c r="AK277" s="22" t="n"/>
      <c r="AL277" s="22" t="n"/>
      <c r="AM277" s="22" t="n"/>
      <c r="AN277" s="22" t="n"/>
      <c r="AO277" s="22" t="n"/>
      <c r="AP277" s="22" t="n"/>
      <c r="AQ277" s="22" t="n"/>
      <c r="AR277" s="22" t="n"/>
      <c r="AS277" s="22" t="n"/>
      <c r="AT277" s="22" t="n"/>
      <c r="AU277" s="22" t="n"/>
      <c r="AV277" s="22" t="n"/>
      <c r="AW277" s="22" t="n"/>
      <c r="AX277" s="22" t="n"/>
      <c r="AY277" s="22" t="n"/>
      <c r="AZ277" s="22" t="n"/>
      <c r="BA277" s="22" t="n"/>
      <c r="BB277" s="22" t="n"/>
      <c r="BC277" s="22" t="n"/>
      <c r="BD277" s="22" t="n"/>
      <c r="BE277" s="22" t="n"/>
      <c r="BF277" s="22" t="n"/>
      <c r="BG277" s="22" t="n"/>
      <c r="BH277" s="22" t="n"/>
      <c r="BI277" s="22" t="n"/>
      <c r="BJ277" s="22" t="n"/>
      <c r="BK277" s="22" t="n"/>
      <c r="BL277" s="22" t="n"/>
      <c r="BM277" s="22" t="n"/>
      <c r="BN277" s="22" t="n"/>
      <c r="BO277" s="22" t="n"/>
      <c r="BP277" s="22" t="n"/>
      <c r="BQ277" s="31" t="n"/>
      <c r="BR277" s="31" t="n"/>
      <c r="BS277" s="31" t="n"/>
      <c r="BT277" s="31" t="n"/>
    </row>
    <row r="278" ht="15.75" customHeight="1" s="349">
      <c r="A278" s="22" t="n"/>
      <c r="B278" s="22" t="n"/>
      <c r="C278" s="22" t="n"/>
      <c r="D278" s="22" t="n"/>
      <c r="E278" s="22" t="n"/>
      <c r="F278" s="22"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c r="AA278" s="22" t="n"/>
      <c r="AB278" s="22" t="n"/>
      <c r="AC278" s="22" t="n"/>
      <c r="AD278" s="22" t="n"/>
      <c r="AE278" s="22" t="n"/>
      <c r="AF278" s="22" t="n"/>
      <c r="AG278" s="22" t="n"/>
      <c r="AH278" s="22" t="n"/>
      <c r="AI278" s="22" t="n"/>
      <c r="AJ278" s="22" t="n"/>
      <c r="AK278" s="22" t="n"/>
      <c r="AL278" s="22" t="n"/>
      <c r="AM278" s="22" t="n"/>
      <c r="AN278" s="22" t="n"/>
      <c r="AO278" s="22" t="n"/>
      <c r="AP278" s="22" t="n"/>
      <c r="AQ278" s="22" t="n"/>
      <c r="AR278" s="22" t="n"/>
      <c r="AS278" s="22" t="n"/>
      <c r="AT278" s="22" t="n"/>
      <c r="AU278" s="22" t="n"/>
      <c r="AV278" s="22" t="n"/>
      <c r="AW278" s="22" t="n"/>
      <c r="AX278" s="22" t="n"/>
      <c r="AY278" s="22" t="n"/>
      <c r="AZ278" s="22" t="n"/>
      <c r="BA278" s="22" t="n"/>
      <c r="BB278" s="22" t="n"/>
      <c r="BC278" s="22" t="n"/>
      <c r="BD278" s="22" t="n"/>
      <c r="BE278" s="22" t="n"/>
      <c r="BF278" s="22" t="n"/>
      <c r="BG278" s="22" t="n"/>
      <c r="BH278" s="22" t="n"/>
      <c r="BI278" s="22" t="n"/>
      <c r="BJ278" s="22" t="n"/>
      <c r="BK278" s="22" t="n"/>
      <c r="BL278" s="22" t="n"/>
      <c r="BM278" s="22" t="n"/>
      <c r="BN278" s="22" t="n"/>
      <c r="BO278" s="22" t="n"/>
      <c r="BP278" s="22" t="n"/>
      <c r="BQ278" s="31" t="n"/>
      <c r="BR278" s="31" t="n"/>
      <c r="BS278" s="31" t="n"/>
      <c r="BT278" s="31" t="n"/>
    </row>
    <row r="279" ht="15.75" customHeight="1" s="349">
      <c r="A279" s="22" t="n"/>
      <c r="B279" s="22" t="n"/>
      <c r="C279" s="22" t="n"/>
      <c r="D279" s="22" t="n"/>
      <c r="E279" s="22" t="n"/>
      <c r="F279" s="22"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c r="AA279" s="22" t="n"/>
      <c r="AB279" s="22" t="n"/>
      <c r="AC279" s="22" t="n"/>
      <c r="AD279" s="22" t="n"/>
      <c r="AE279" s="22" t="n"/>
      <c r="AF279" s="22" t="n"/>
      <c r="AG279" s="22" t="n"/>
      <c r="AH279" s="22" t="n"/>
      <c r="AI279" s="22" t="n"/>
      <c r="AJ279" s="22" t="n"/>
      <c r="AK279" s="22" t="n"/>
      <c r="AL279" s="22" t="n"/>
      <c r="AM279" s="22" t="n"/>
      <c r="AN279" s="22" t="n"/>
      <c r="AO279" s="22" t="n"/>
      <c r="AP279" s="22" t="n"/>
      <c r="AQ279" s="22" t="n"/>
      <c r="AR279" s="22" t="n"/>
      <c r="AS279" s="22" t="n"/>
      <c r="AT279" s="22" t="n"/>
      <c r="AU279" s="22" t="n"/>
      <c r="AV279" s="22" t="n"/>
      <c r="AW279" s="22" t="n"/>
      <c r="AX279" s="22" t="n"/>
      <c r="AY279" s="22" t="n"/>
      <c r="AZ279" s="22" t="n"/>
      <c r="BA279" s="22" t="n"/>
      <c r="BB279" s="22" t="n"/>
      <c r="BC279" s="22" t="n"/>
      <c r="BD279" s="22" t="n"/>
      <c r="BE279" s="22" t="n"/>
      <c r="BF279" s="22" t="n"/>
      <c r="BG279" s="22" t="n"/>
      <c r="BH279" s="22" t="n"/>
      <c r="BI279" s="22" t="n"/>
      <c r="BJ279" s="22" t="n"/>
      <c r="BK279" s="22" t="n"/>
      <c r="BL279" s="22" t="n"/>
      <c r="BM279" s="22" t="n"/>
      <c r="BN279" s="22" t="n"/>
      <c r="BO279" s="22" t="n"/>
      <c r="BP279" s="22" t="n"/>
      <c r="BQ279" s="31" t="n"/>
      <c r="BR279" s="31" t="n"/>
      <c r="BS279" s="31" t="n"/>
      <c r="BT279" s="31" t="n"/>
    </row>
    <row r="280" ht="15.75" customHeight="1" s="349">
      <c r="A280" s="22" t="n"/>
      <c r="B280" s="22" t="n"/>
      <c r="C280" s="22" t="n"/>
      <c r="D280" s="22" t="n"/>
      <c r="E280" s="22" t="n"/>
      <c r="F280" s="22"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c r="AA280" s="22" t="n"/>
      <c r="AB280" s="22" t="n"/>
      <c r="AC280" s="22" t="n"/>
      <c r="AD280" s="22" t="n"/>
      <c r="AE280" s="22" t="n"/>
      <c r="AF280" s="22" t="n"/>
      <c r="AG280" s="22" t="n"/>
      <c r="AH280" s="22" t="n"/>
      <c r="AI280" s="22" t="n"/>
      <c r="AJ280" s="22" t="n"/>
      <c r="AK280" s="22" t="n"/>
      <c r="AL280" s="22" t="n"/>
      <c r="AM280" s="22" t="n"/>
      <c r="AN280" s="22" t="n"/>
      <c r="AO280" s="22" t="n"/>
      <c r="AP280" s="22" t="n"/>
      <c r="AQ280" s="22" t="n"/>
      <c r="AR280" s="22" t="n"/>
      <c r="AS280" s="22" t="n"/>
      <c r="AT280" s="22" t="n"/>
      <c r="AU280" s="22" t="n"/>
      <c r="AV280" s="22" t="n"/>
      <c r="AW280" s="22" t="n"/>
      <c r="AX280" s="22" t="n"/>
      <c r="AY280" s="22" t="n"/>
      <c r="AZ280" s="22" t="n"/>
      <c r="BA280" s="22" t="n"/>
      <c r="BB280" s="22" t="n"/>
      <c r="BC280" s="22" t="n"/>
      <c r="BD280" s="22" t="n"/>
      <c r="BE280" s="22" t="n"/>
      <c r="BF280" s="22" t="n"/>
      <c r="BG280" s="22" t="n"/>
      <c r="BH280" s="22" t="n"/>
      <c r="BI280" s="22" t="n"/>
      <c r="BJ280" s="22" t="n"/>
      <c r="BK280" s="22" t="n"/>
      <c r="BL280" s="22" t="n"/>
      <c r="BM280" s="22" t="n"/>
      <c r="BN280" s="22" t="n"/>
      <c r="BO280" s="22" t="n"/>
      <c r="BP280" s="22" t="n"/>
      <c r="BQ280" s="31" t="n"/>
      <c r="BR280" s="31" t="n"/>
      <c r="BS280" s="31" t="n"/>
      <c r="BT280" s="31" t="n"/>
    </row>
    <row r="281" ht="15.75" customHeight="1" s="349">
      <c r="A281" s="22" t="n"/>
      <c r="B281" s="22" t="n"/>
      <c r="C281" s="22" t="n"/>
      <c r="D281" s="22" t="n"/>
      <c r="E281" s="22" t="n"/>
      <c r="F281" s="22"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c r="AA281" s="22" t="n"/>
      <c r="AB281" s="22" t="n"/>
      <c r="AC281" s="22" t="n"/>
      <c r="AD281" s="22" t="n"/>
      <c r="AE281" s="22" t="n"/>
      <c r="AF281" s="22" t="n"/>
      <c r="AG281" s="22" t="n"/>
      <c r="AH281" s="22" t="n"/>
      <c r="AI281" s="22" t="n"/>
      <c r="AJ281" s="22" t="n"/>
      <c r="AK281" s="22" t="n"/>
      <c r="AL281" s="22" t="n"/>
      <c r="AM281" s="22" t="n"/>
      <c r="AN281" s="22" t="n"/>
      <c r="AO281" s="22" t="n"/>
      <c r="AP281" s="22" t="n"/>
      <c r="AQ281" s="22" t="n"/>
      <c r="AR281" s="22" t="n"/>
      <c r="AS281" s="22" t="n"/>
      <c r="AT281" s="22" t="n"/>
      <c r="AU281" s="22" t="n"/>
      <c r="AV281" s="22" t="n"/>
      <c r="AW281" s="22" t="n"/>
      <c r="AX281" s="22" t="n"/>
      <c r="AY281" s="22" t="n"/>
      <c r="AZ281" s="22" t="n"/>
      <c r="BA281" s="22" t="n"/>
      <c r="BB281" s="22" t="n"/>
      <c r="BC281" s="22" t="n"/>
      <c r="BD281" s="22" t="n"/>
      <c r="BE281" s="22" t="n"/>
      <c r="BF281" s="22" t="n"/>
      <c r="BG281" s="22" t="n"/>
      <c r="BH281" s="22" t="n"/>
      <c r="BI281" s="22" t="n"/>
      <c r="BJ281" s="22" t="n"/>
      <c r="BK281" s="22" t="n"/>
      <c r="BL281" s="22" t="n"/>
      <c r="BM281" s="22" t="n"/>
      <c r="BN281" s="22" t="n"/>
      <c r="BO281" s="22" t="n"/>
      <c r="BP281" s="22" t="n"/>
      <c r="BQ281" s="31" t="n"/>
      <c r="BR281" s="31" t="n"/>
      <c r="BS281" s="31" t="n"/>
      <c r="BT281" s="31" t="n"/>
    </row>
    <row r="282" ht="15.75" customHeight="1" s="349">
      <c r="A282" s="22" t="n"/>
      <c r="B282" s="22" t="n"/>
      <c r="C282" s="22" t="n"/>
      <c r="D282" s="22" t="n"/>
      <c r="E282" s="22" t="n"/>
      <c r="F282" s="22"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c r="AA282" s="22" t="n"/>
      <c r="AB282" s="22" t="n"/>
      <c r="AC282" s="22" t="n"/>
      <c r="AD282" s="22" t="n"/>
      <c r="AE282" s="22" t="n"/>
      <c r="AF282" s="22" t="n"/>
      <c r="AG282" s="22" t="n"/>
      <c r="AH282" s="22" t="n"/>
      <c r="AI282" s="22" t="n"/>
      <c r="AJ282" s="22" t="n"/>
      <c r="AK282" s="22" t="n"/>
      <c r="AL282" s="22" t="n"/>
      <c r="AM282" s="22" t="n"/>
      <c r="AN282" s="22" t="n"/>
      <c r="AO282" s="22" t="n"/>
      <c r="AP282" s="22" t="n"/>
      <c r="AQ282" s="22" t="n"/>
      <c r="AR282" s="22" t="n"/>
      <c r="AS282" s="22" t="n"/>
      <c r="AT282" s="22" t="n"/>
      <c r="AU282" s="22" t="n"/>
      <c r="AV282" s="22" t="n"/>
      <c r="AW282" s="22" t="n"/>
      <c r="AX282" s="22" t="n"/>
      <c r="AY282" s="22" t="n"/>
      <c r="AZ282" s="22" t="n"/>
      <c r="BA282" s="22" t="n"/>
      <c r="BB282" s="22" t="n"/>
      <c r="BC282" s="22" t="n"/>
      <c r="BD282" s="22" t="n"/>
      <c r="BE282" s="22" t="n"/>
      <c r="BF282" s="22" t="n"/>
      <c r="BG282" s="22" t="n"/>
      <c r="BH282" s="22" t="n"/>
      <c r="BI282" s="22" t="n"/>
      <c r="BJ282" s="22" t="n"/>
      <c r="BK282" s="22" t="n"/>
      <c r="BL282" s="22" t="n"/>
      <c r="BM282" s="22" t="n"/>
      <c r="BN282" s="22" t="n"/>
      <c r="BO282" s="22" t="n"/>
      <c r="BP282" s="22" t="n"/>
      <c r="BQ282" s="31" t="n"/>
      <c r="BR282" s="31" t="n"/>
      <c r="BS282" s="31" t="n"/>
      <c r="BT282" s="31" t="n"/>
    </row>
    <row r="283" ht="15.75" customHeight="1" s="349">
      <c r="A283" s="22" t="n"/>
      <c r="B283" s="22" t="n"/>
      <c r="C283" s="22" t="n"/>
      <c r="D283" s="22" t="n"/>
      <c r="E283" s="22" t="n"/>
      <c r="F283" s="22"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c r="AA283" s="22" t="n"/>
      <c r="AB283" s="22" t="n"/>
      <c r="AC283" s="22" t="n"/>
      <c r="AD283" s="22" t="n"/>
      <c r="AE283" s="22" t="n"/>
      <c r="AF283" s="22" t="n"/>
      <c r="AG283" s="22" t="n"/>
      <c r="AH283" s="22" t="n"/>
      <c r="AI283" s="22" t="n"/>
      <c r="AJ283" s="22" t="n"/>
      <c r="AK283" s="22" t="n"/>
      <c r="AL283" s="22" t="n"/>
      <c r="AM283" s="22" t="n"/>
      <c r="AN283" s="22" t="n"/>
      <c r="AO283" s="22" t="n"/>
      <c r="AP283" s="22" t="n"/>
      <c r="AQ283" s="22" t="n"/>
      <c r="AR283" s="22" t="n"/>
      <c r="AS283" s="22" t="n"/>
      <c r="AT283" s="22" t="n"/>
      <c r="AU283" s="22" t="n"/>
      <c r="AV283" s="22" t="n"/>
      <c r="AW283" s="22" t="n"/>
      <c r="AX283" s="22" t="n"/>
      <c r="AY283" s="22" t="n"/>
      <c r="AZ283" s="22" t="n"/>
      <c r="BA283" s="22" t="n"/>
      <c r="BB283" s="22" t="n"/>
      <c r="BC283" s="22" t="n"/>
      <c r="BD283" s="22" t="n"/>
      <c r="BE283" s="22" t="n"/>
      <c r="BF283" s="22" t="n"/>
      <c r="BG283" s="22" t="n"/>
      <c r="BH283" s="22" t="n"/>
      <c r="BI283" s="22" t="n"/>
      <c r="BJ283" s="22" t="n"/>
      <c r="BK283" s="22" t="n"/>
      <c r="BL283" s="22" t="n"/>
      <c r="BM283" s="22" t="n"/>
      <c r="BN283" s="22" t="n"/>
      <c r="BO283" s="22" t="n"/>
      <c r="BP283" s="22" t="n"/>
      <c r="BQ283" s="31" t="n"/>
      <c r="BR283" s="31" t="n"/>
      <c r="BS283" s="31" t="n"/>
      <c r="BT283" s="31" t="n"/>
    </row>
    <row r="284" ht="15.75" customHeight="1" s="349">
      <c r="A284" s="22" t="n"/>
      <c r="B284" s="22" t="n"/>
      <c r="C284" s="22" t="n"/>
      <c r="D284" s="22" t="n"/>
      <c r="E284" s="22" t="n"/>
      <c r="F284" s="22"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c r="AA284" s="22" t="n"/>
      <c r="AB284" s="22" t="n"/>
      <c r="AC284" s="22" t="n"/>
      <c r="AD284" s="22" t="n"/>
      <c r="AE284" s="22" t="n"/>
      <c r="AF284" s="22" t="n"/>
      <c r="AG284" s="22" t="n"/>
      <c r="AH284" s="22" t="n"/>
      <c r="AI284" s="22" t="n"/>
      <c r="AJ284" s="22" t="n"/>
      <c r="AK284" s="22" t="n"/>
      <c r="AL284" s="22" t="n"/>
      <c r="AM284" s="22" t="n"/>
      <c r="AN284" s="22" t="n"/>
      <c r="AO284" s="22" t="n"/>
      <c r="AP284" s="22" t="n"/>
      <c r="AQ284" s="22" t="n"/>
      <c r="AR284" s="22" t="n"/>
      <c r="AS284" s="22" t="n"/>
      <c r="AT284" s="22" t="n"/>
      <c r="AU284" s="22" t="n"/>
      <c r="AV284" s="22" t="n"/>
      <c r="AW284" s="22" t="n"/>
      <c r="AX284" s="22" t="n"/>
      <c r="AY284" s="22" t="n"/>
      <c r="AZ284" s="22" t="n"/>
      <c r="BA284" s="22" t="n"/>
      <c r="BB284" s="22" t="n"/>
      <c r="BC284" s="22" t="n"/>
      <c r="BD284" s="22" t="n"/>
      <c r="BE284" s="22" t="n"/>
      <c r="BF284" s="22" t="n"/>
      <c r="BG284" s="22" t="n"/>
      <c r="BH284" s="22" t="n"/>
      <c r="BI284" s="22" t="n"/>
      <c r="BJ284" s="22" t="n"/>
      <c r="BK284" s="22" t="n"/>
      <c r="BL284" s="22" t="n"/>
      <c r="BM284" s="22" t="n"/>
      <c r="BN284" s="22" t="n"/>
      <c r="BO284" s="22" t="n"/>
      <c r="BP284" s="22" t="n"/>
      <c r="BQ284" s="31" t="n"/>
      <c r="BR284" s="31" t="n"/>
      <c r="BS284" s="31" t="n"/>
      <c r="BT284" s="31" t="n"/>
    </row>
    <row r="285" ht="15.75" customHeight="1" s="349">
      <c r="A285" s="22" t="n"/>
      <c r="B285" s="22" t="n"/>
      <c r="C285" s="22" t="n"/>
      <c r="D285" s="22" t="n"/>
      <c r="E285" s="22" t="n"/>
      <c r="F285" s="22"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c r="AA285" s="22" t="n"/>
      <c r="AB285" s="22" t="n"/>
      <c r="AC285" s="22" t="n"/>
      <c r="AD285" s="22" t="n"/>
      <c r="AE285" s="22" t="n"/>
      <c r="AF285" s="22" t="n"/>
      <c r="AG285" s="22" t="n"/>
      <c r="AH285" s="22" t="n"/>
      <c r="AI285" s="22" t="n"/>
      <c r="AJ285" s="22" t="n"/>
      <c r="AK285" s="22" t="n"/>
      <c r="AL285" s="22" t="n"/>
      <c r="AM285" s="22" t="n"/>
      <c r="AN285" s="22" t="n"/>
      <c r="AO285" s="22" t="n"/>
      <c r="AP285" s="22" t="n"/>
      <c r="AQ285" s="22" t="n"/>
      <c r="AR285" s="22" t="n"/>
      <c r="AS285" s="22" t="n"/>
      <c r="AT285" s="22" t="n"/>
      <c r="AU285" s="22" t="n"/>
      <c r="AV285" s="22" t="n"/>
      <c r="AW285" s="22" t="n"/>
      <c r="AX285" s="22" t="n"/>
      <c r="AY285" s="22" t="n"/>
      <c r="AZ285" s="22" t="n"/>
      <c r="BA285" s="22" t="n"/>
      <c r="BB285" s="22" t="n"/>
      <c r="BC285" s="22" t="n"/>
      <c r="BD285" s="22" t="n"/>
      <c r="BE285" s="22" t="n"/>
      <c r="BF285" s="22" t="n"/>
      <c r="BG285" s="22" t="n"/>
      <c r="BH285" s="22" t="n"/>
      <c r="BI285" s="22" t="n"/>
      <c r="BJ285" s="22" t="n"/>
      <c r="BK285" s="22" t="n"/>
      <c r="BL285" s="22" t="n"/>
      <c r="BM285" s="22" t="n"/>
      <c r="BN285" s="22" t="n"/>
      <c r="BO285" s="22" t="n"/>
      <c r="BP285" s="22" t="n"/>
      <c r="BQ285" s="31" t="n"/>
      <c r="BR285" s="31" t="n"/>
      <c r="BS285" s="31" t="n"/>
      <c r="BT285" s="31" t="n"/>
    </row>
    <row r="286" ht="15.75" customHeight="1" s="349">
      <c r="A286" s="22" t="n"/>
      <c r="B286" s="22" t="n"/>
      <c r="C286" s="22" t="n"/>
      <c r="D286" s="22" t="n"/>
      <c r="E286" s="22" t="n"/>
      <c r="F286" s="22"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c r="AA286" s="22" t="n"/>
      <c r="AB286" s="22" t="n"/>
      <c r="AC286" s="22" t="n"/>
      <c r="AD286" s="22" t="n"/>
      <c r="AE286" s="22" t="n"/>
      <c r="AF286" s="22" t="n"/>
      <c r="AG286" s="22" t="n"/>
      <c r="AH286" s="22" t="n"/>
      <c r="AI286" s="22" t="n"/>
      <c r="AJ286" s="22" t="n"/>
      <c r="AK286" s="22" t="n"/>
      <c r="AL286" s="22" t="n"/>
      <c r="AM286" s="22" t="n"/>
      <c r="AN286" s="22" t="n"/>
      <c r="AO286" s="22" t="n"/>
      <c r="AP286" s="22" t="n"/>
      <c r="AQ286" s="22" t="n"/>
      <c r="AR286" s="22" t="n"/>
      <c r="AS286" s="22" t="n"/>
      <c r="AT286" s="22" t="n"/>
      <c r="AU286" s="22" t="n"/>
      <c r="AV286" s="22" t="n"/>
      <c r="AW286" s="22" t="n"/>
      <c r="AX286" s="22" t="n"/>
      <c r="AY286" s="22" t="n"/>
      <c r="AZ286" s="22" t="n"/>
      <c r="BA286" s="22" t="n"/>
      <c r="BB286" s="22" t="n"/>
      <c r="BC286" s="22" t="n"/>
      <c r="BD286" s="22" t="n"/>
      <c r="BE286" s="22" t="n"/>
      <c r="BF286" s="22" t="n"/>
      <c r="BG286" s="22" t="n"/>
      <c r="BH286" s="22" t="n"/>
      <c r="BI286" s="22" t="n"/>
      <c r="BJ286" s="22" t="n"/>
      <c r="BK286" s="22" t="n"/>
      <c r="BL286" s="22" t="n"/>
      <c r="BM286" s="22" t="n"/>
      <c r="BN286" s="22" t="n"/>
      <c r="BO286" s="22" t="n"/>
      <c r="BP286" s="22" t="n"/>
      <c r="BQ286" s="31" t="n"/>
      <c r="BR286" s="31" t="n"/>
      <c r="BS286" s="31" t="n"/>
      <c r="BT286" s="31" t="n"/>
    </row>
    <row r="287" ht="15.75" customHeight="1" s="349">
      <c r="A287" s="22" t="n"/>
      <c r="B287" s="22" t="n"/>
      <c r="C287" s="22" t="n"/>
      <c r="D287" s="22" t="n"/>
      <c r="E287" s="22" t="n"/>
      <c r="F287" s="22"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c r="AA287" s="22" t="n"/>
      <c r="AB287" s="22" t="n"/>
      <c r="AC287" s="22" t="n"/>
      <c r="AD287" s="22" t="n"/>
      <c r="AE287" s="22" t="n"/>
      <c r="AF287" s="22" t="n"/>
      <c r="AG287" s="22" t="n"/>
      <c r="AH287" s="22" t="n"/>
      <c r="AI287" s="22" t="n"/>
      <c r="AJ287" s="22" t="n"/>
      <c r="AK287" s="22" t="n"/>
      <c r="AL287" s="22" t="n"/>
      <c r="AM287" s="22" t="n"/>
      <c r="AN287" s="22" t="n"/>
      <c r="AO287" s="22" t="n"/>
      <c r="AP287" s="22" t="n"/>
      <c r="AQ287" s="22" t="n"/>
      <c r="AR287" s="22" t="n"/>
      <c r="AS287" s="22" t="n"/>
      <c r="AT287" s="22" t="n"/>
      <c r="AU287" s="22" t="n"/>
      <c r="AV287" s="22" t="n"/>
      <c r="AW287" s="22" t="n"/>
      <c r="AX287" s="22" t="n"/>
      <c r="AY287" s="22" t="n"/>
      <c r="AZ287" s="22" t="n"/>
      <c r="BA287" s="22" t="n"/>
      <c r="BB287" s="22" t="n"/>
      <c r="BC287" s="22" t="n"/>
      <c r="BD287" s="22" t="n"/>
      <c r="BE287" s="22" t="n"/>
      <c r="BF287" s="22" t="n"/>
      <c r="BG287" s="22" t="n"/>
      <c r="BH287" s="22" t="n"/>
      <c r="BI287" s="22" t="n"/>
      <c r="BJ287" s="22" t="n"/>
      <c r="BK287" s="22" t="n"/>
      <c r="BL287" s="22" t="n"/>
      <c r="BM287" s="22" t="n"/>
      <c r="BN287" s="22" t="n"/>
      <c r="BO287" s="22" t="n"/>
      <c r="BP287" s="22" t="n"/>
      <c r="BQ287" s="31" t="n"/>
      <c r="BR287" s="31" t="n"/>
      <c r="BS287" s="31" t="n"/>
      <c r="BT287" s="31" t="n"/>
    </row>
    <row r="288" ht="15.75" customHeight="1" s="349">
      <c r="A288" s="22" t="n"/>
      <c r="B288" s="22" t="n"/>
      <c r="C288" s="22" t="n"/>
      <c r="D288" s="22" t="n"/>
      <c r="E288" s="22" t="n"/>
      <c r="F288" s="22"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c r="AA288" s="22" t="n"/>
      <c r="AB288" s="22" t="n"/>
      <c r="AC288" s="22" t="n"/>
      <c r="AD288" s="22" t="n"/>
      <c r="AE288" s="22" t="n"/>
      <c r="AF288" s="22" t="n"/>
      <c r="AG288" s="22" t="n"/>
      <c r="AH288" s="22" t="n"/>
      <c r="AI288" s="22" t="n"/>
      <c r="AJ288" s="22" t="n"/>
      <c r="AK288" s="22" t="n"/>
      <c r="AL288" s="22" t="n"/>
      <c r="AM288" s="22" t="n"/>
      <c r="AN288" s="22" t="n"/>
      <c r="AO288" s="22" t="n"/>
      <c r="AP288" s="22" t="n"/>
      <c r="AQ288" s="22" t="n"/>
      <c r="AR288" s="22" t="n"/>
      <c r="AS288" s="22" t="n"/>
      <c r="AT288" s="22" t="n"/>
      <c r="AU288" s="22" t="n"/>
      <c r="AV288" s="22" t="n"/>
      <c r="AW288" s="22" t="n"/>
      <c r="AX288" s="22" t="n"/>
      <c r="AY288" s="22" t="n"/>
      <c r="AZ288" s="22" t="n"/>
      <c r="BA288" s="22" t="n"/>
      <c r="BB288" s="22" t="n"/>
      <c r="BC288" s="22" t="n"/>
      <c r="BD288" s="22" t="n"/>
      <c r="BE288" s="22" t="n"/>
      <c r="BF288" s="22" t="n"/>
      <c r="BG288" s="22" t="n"/>
      <c r="BH288" s="22" t="n"/>
      <c r="BI288" s="22" t="n"/>
      <c r="BJ288" s="22" t="n"/>
      <c r="BK288" s="22" t="n"/>
      <c r="BL288" s="22" t="n"/>
      <c r="BM288" s="22" t="n"/>
      <c r="BN288" s="22" t="n"/>
      <c r="BO288" s="22" t="n"/>
      <c r="BP288" s="22" t="n"/>
      <c r="BQ288" s="31" t="n"/>
      <c r="BR288" s="31" t="n"/>
      <c r="BS288" s="31" t="n"/>
      <c r="BT288" s="31" t="n"/>
    </row>
    <row r="289" ht="15.75" customHeight="1" s="349">
      <c r="A289" s="22" t="n"/>
      <c r="B289" s="22" t="n"/>
      <c r="C289" s="22" t="n"/>
      <c r="D289" s="22" t="n"/>
      <c r="E289" s="22" t="n"/>
      <c r="F289" s="22"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c r="AA289" s="22" t="n"/>
      <c r="AB289" s="22" t="n"/>
      <c r="AC289" s="22" t="n"/>
      <c r="AD289" s="22" t="n"/>
      <c r="AE289" s="22" t="n"/>
      <c r="AF289" s="22" t="n"/>
      <c r="AG289" s="22" t="n"/>
      <c r="AH289" s="22" t="n"/>
      <c r="AI289" s="22" t="n"/>
      <c r="AJ289" s="22" t="n"/>
      <c r="AK289" s="22" t="n"/>
      <c r="AL289" s="22" t="n"/>
      <c r="AM289" s="22" t="n"/>
      <c r="AN289" s="22" t="n"/>
      <c r="AO289" s="22" t="n"/>
      <c r="AP289" s="22" t="n"/>
      <c r="AQ289" s="22" t="n"/>
      <c r="AR289" s="22" t="n"/>
      <c r="AS289" s="22" t="n"/>
      <c r="AT289" s="22" t="n"/>
      <c r="AU289" s="22" t="n"/>
      <c r="AV289" s="22" t="n"/>
      <c r="AW289" s="22" t="n"/>
      <c r="AX289" s="22" t="n"/>
      <c r="AY289" s="22" t="n"/>
      <c r="AZ289" s="22" t="n"/>
      <c r="BA289" s="22" t="n"/>
      <c r="BB289" s="22" t="n"/>
      <c r="BC289" s="22" t="n"/>
      <c r="BD289" s="22" t="n"/>
      <c r="BE289" s="22" t="n"/>
      <c r="BF289" s="22" t="n"/>
      <c r="BG289" s="22" t="n"/>
      <c r="BH289" s="22" t="n"/>
      <c r="BI289" s="22" t="n"/>
      <c r="BJ289" s="22" t="n"/>
      <c r="BK289" s="22" t="n"/>
      <c r="BL289" s="22" t="n"/>
      <c r="BM289" s="22" t="n"/>
      <c r="BN289" s="22" t="n"/>
      <c r="BO289" s="22" t="n"/>
      <c r="BP289" s="22" t="n"/>
      <c r="BQ289" s="31" t="n"/>
      <c r="BR289" s="31" t="n"/>
      <c r="BS289" s="31" t="n"/>
      <c r="BT289" s="31" t="n"/>
    </row>
    <row r="290" ht="15.75" customHeight="1" s="349">
      <c r="A290" s="22" t="n"/>
      <c r="B290" s="22" t="n"/>
      <c r="C290" s="22" t="n"/>
      <c r="D290" s="22" t="n"/>
      <c r="E290" s="22" t="n"/>
      <c r="F290" s="22"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c r="AA290" s="22" t="n"/>
      <c r="AB290" s="22" t="n"/>
      <c r="AC290" s="22" t="n"/>
      <c r="AD290" s="22" t="n"/>
      <c r="AE290" s="22" t="n"/>
      <c r="AF290" s="22" t="n"/>
      <c r="AG290" s="22" t="n"/>
      <c r="AH290" s="22" t="n"/>
      <c r="AI290" s="22" t="n"/>
      <c r="AJ290" s="22" t="n"/>
      <c r="AK290" s="22" t="n"/>
      <c r="AL290" s="22" t="n"/>
      <c r="AM290" s="22" t="n"/>
      <c r="AN290" s="22" t="n"/>
      <c r="AO290" s="22" t="n"/>
      <c r="AP290" s="22" t="n"/>
      <c r="AQ290" s="22" t="n"/>
      <c r="AR290" s="22" t="n"/>
      <c r="AS290" s="22" t="n"/>
      <c r="AT290" s="22" t="n"/>
      <c r="AU290" s="22" t="n"/>
      <c r="AV290" s="22" t="n"/>
      <c r="AW290" s="22" t="n"/>
      <c r="AX290" s="22" t="n"/>
      <c r="AY290" s="22" t="n"/>
      <c r="AZ290" s="22" t="n"/>
      <c r="BA290" s="22" t="n"/>
      <c r="BB290" s="22" t="n"/>
      <c r="BC290" s="22" t="n"/>
      <c r="BD290" s="22" t="n"/>
      <c r="BE290" s="22" t="n"/>
      <c r="BF290" s="22" t="n"/>
      <c r="BG290" s="22" t="n"/>
      <c r="BH290" s="22" t="n"/>
      <c r="BI290" s="22" t="n"/>
      <c r="BJ290" s="22" t="n"/>
      <c r="BK290" s="22" t="n"/>
      <c r="BL290" s="22" t="n"/>
      <c r="BM290" s="22" t="n"/>
      <c r="BN290" s="22" t="n"/>
      <c r="BO290" s="22" t="n"/>
      <c r="BP290" s="22" t="n"/>
      <c r="BQ290" s="31" t="n"/>
      <c r="BR290" s="31" t="n"/>
      <c r="BS290" s="31" t="n"/>
      <c r="BT290" s="31" t="n"/>
    </row>
    <row r="291" ht="15.75" customHeight="1" s="349">
      <c r="A291" s="22" t="n"/>
      <c r="B291" s="22" t="n"/>
      <c r="C291" s="22" t="n"/>
      <c r="D291" s="22" t="n"/>
      <c r="E291" s="22" t="n"/>
      <c r="F291" s="22"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c r="AA291" s="22" t="n"/>
      <c r="AB291" s="22" t="n"/>
      <c r="AC291" s="22" t="n"/>
      <c r="AD291" s="22" t="n"/>
      <c r="AE291" s="22" t="n"/>
      <c r="AF291" s="22" t="n"/>
      <c r="AG291" s="22" t="n"/>
      <c r="AH291" s="22" t="n"/>
      <c r="AI291" s="22" t="n"/>
      <c r="AJ291" s="22" t="n"/>
      <c r="AK291" s="22" t="n"/>
      <c r="AL291" s="22" t="n"/>
      <c r="AM291" s="22" t="n"/>
      <c r="AN291" s="22" t="n"/>
      <c r="AO291" s="22" t="n"/>
      <c r="AP291" s="22" t="n"/>
      <c r="AQ291" s="22" t="n"/>
      <c r="AR291" s="22" t="n"/>
      <c r="AS291" s="22" t="n"/>
      <c r="AT291" s="22" t="n"/>
      <c r="AU291" s="22" t="n"/>
      <c r="AV291" s="22" t="n"/>
      <c r="AW291" s="22" t="n"/>
      <c r="AX291" s="22" t="n"/>
      <c r="AY291" s="22" t="n"/>
      <c r="AZ291" s="22" t="n"/>
      <c r="BA291" s="22" t="n"/>
      <c r="BB291" s="22" t="n"/>
      <c r="BC291" s="22" t="n"/>
      <c r="BD291" s="22" t="n"/>
      <c r="BE291" s="22" t="n"/>
      <c r="BF291" s="22" t="n"/>
      <c r="BG291" s="22" t="n"/>
      <c r="BH291" s="22" t="n"/>
      <c r="BI291" s="22" t="n"/>
      <c r="BJ291" s="22" t="n"/>
      <c r="BK291" s="22" t="n"/>
      <c r="BL291" s="22" t="n"/>
      <c r="BM291" s="22" t="n"/>
      <c r="BN291" s="22" t="n"/>
      <c r="BO291" s="22" t="n"/>
      <c r="BP291" s="22" t="n"/>
      <c r="BQ291" s="31" t="n"/>
      <c r="BR291" s="31" t="n"/>
      <c r="BS291" s="31" t="n"/>
      <c r="BT291" s="31" t="n"/>
    </row>
    <row r="292" ht="15.75" customHeight="1" s="349">
      <c r="A292" s="22" t="n"/>
      <c r="B292" s="22" t="n"/>
      <c r="C292" s="22" t="n"/>
      <c r="D292" s="22" t="n"/>
      <c r="E292" s="22" t="n"/>
      <c r="F292" s="22"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c r="AA292" s="22" t="n"/>
      <c r="AB292" s="22" t="n"/>
      <c r="AC292" s="22" t="n"/>
      <c r="AD292" s="22" t="n"/>
      <c r="AE292" s="22" t="n"/>
      <c r="AF292" s="22" t="n"/>
      <c r="AG292" s="22" t="n"/>
      <c r="AH292" s="22" t="n"/>
      <c r="AI292" s="22" t="n"/>
      <c r="AJ292" s="22" t="n"/>
      <c r="AK292" s="22" t="n"/>
      <c r="AL292" s="22" t="n"/>
      <c r="AM292" s="22" t="n"/>
      <c r="AN292" s="22" t="n"/>
      <c r="AO292" s="22" t="n"/>
      <c r="AP292" s="22" t="n"/>
      <c r="AQ292" s="22" t="n"/>
      <c r="AR292" s="22" t="n"/>
      <c r="AS292" s="22" t="n"/>
      <c r="AT292" s="22" t="n"/>
      <c r="AU292" s="22" t="n"/>
      <c r="AV292" s="22" t="n"/>
      <c r="AW292" s="22" t="n"/>
      <c r="AX292" s="22" t="n"/>
      <c r="AY292" s="22" t="n"/>
      <c r="AZ292" s="22" t="n"/>
      <c r="BA292" s="22" t="n"/>
      <c r="BB292" s="22" t="n"/>
      <c r="BC292" s="22" t="n"/>
      <c r="BD292" s="22" t="n"/>
      <c r="BE292" s="22" t="n"/>
      <c r="BF292" s="22" t="n"/>
      <c r="BG292" s="22" t="n"/>
      <c r="BH292" s="22" t="n"/>
      <c r="BI292" s="22" t="n"/>
      <c r="BJ292" s="22" t="n"/>
      <c r="BK292" s="22" t="n"/>
      <c r="BL292" s="22" t="n"/>
      <c r="BM292" s="22" t="n"/>
      <c r="BN292" s="22" t="n"/>
      <c r="BO292" s="22" t="n"/>
      <c r="BP292" s="22" t="n"/>
      <c r="BQ292" s="31" t="n"/>
      <c r="BR292" s="31" t="n"/>
      <c r="BS292" s="31" t="n"/>
      <c r="BT292" s="31" t="n"/>
    </row>
    <row r="293" ht="15.75" customHeight="1" s="349">
      <c r="A293" s="22" t="n"/>
      <c r="B293" s="22" t="n"/>
      <c r="C293" s="22" t="n"/>
      <c r="D293" s="22" t="n"/>
      <c r="E293" s="22" t="n"/>
      <c r="F293" s="22"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c r="AA293" s="22" t="n"/>
      <c r="AB293" s="22" t="n"/>
      <c r="AC293" s="22" t="n"/>
      <c r="AD293" s="22" t="n"/>
      <c r="AE293" s="22" t="n"/>
      <c r="AF293" s="22" t="n"/>
      <c r="AG293" s="22" t="n"/>
      <c r="AH293" s="22" t="n"/>
      <c r="AI293" s="22" t="n"/>
      <c r="AJ293" s="22" t="n"/>
      <c r="AK293" s="22" t="n"/>
      <c r="AL293" s="22" t="n"/>
      <c r="AM293" s="22" t="n"/>
      <c r="AN293" s="22" t="n"/>
      <c r="AO293" s="22" t="n"/>
      <c r="AP293" s="22" t="n"/>
      <c r="AQ293" s="22" t="n"/>
      <c r="AR293" s="22" t="n"/>
      <c r="AS293" s="22" t="n"/>
      <c r="AT293" s="22" t="n"/>
      <c r="AU293" s="22" t="n"/>
      <c r="AV293" s="22" t="n"/>
      <c r="AW293" s="22" t="n"/>
      <c r="AX293" s="22" t="n"/>
      <c r="AY293" s="22" t="n"/>
      <c r="AZ293" s="22" t="n"/>
      <c r="BA293" s="22" t="n"/>
      <c r="BB293" s="22" t="n"/>
      <c r="BC293" s="22" t="n"/>
      <c r="BD293" s="22" t="n"/>
      <c r="BE293" s="22" t="n"/>
      <c r="BF293" s="22" t="n"/>
      <c r="BG293" s="22" t="n"/>
      <c r="BH293" s="22" t="n"/>
      <c r="BI293" s="22" t="n"/>
      <c r="BJ293" s="22" t="n"/>
      <c r="BK293" s="22" t="n"/>
      <c r="BL293" s="22" t="n"/>
      <c r="BM293" s="22" t="n"/>
      <c r="BN293" s="22" t="n"/>
      <c r="BO293" s="22" t="n"/>
      <c r="BP293" s="22" t="n"/>
      <c r="BQ293" s="31" t="n"/>
      <c r="BR293" s="31" t="n"/>
      <c r="BS293" s="31" t="n"/>
      <c r="BT293" s="31" t="n"/>
    </row>
    <row r="294" ht="15.75" customHeight="1" s="349">
      <c r="A294" s="22" t="n"/>
      <c r="B294" s="22" t="n"/>
      <c r="C294" s="22" t="n"/>
      <c r="D294" s="22" t="n"/>
      <c r="E294" s="22" t="n"/>
      <c r="F294" s="22"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c r="AA294" s="22" t="n"/>
      <c r="AB294" s="22" t="n"/>
      <c r="AC294" s="22" t="n"/>
      <c r="AD294" s="22" t="n"/>
      <c r="AE294" s="22" t="n"/>
      <c r="AF294" s="22" t="n"/>
      <c r="AG294" s="22" t="n"/>
      <c r="AH294" s="22" t="n"/>
      <c r="AI294" s="22" t="n"/>
      <c r="AJ294" s="22" t="n"/>
      <c r="AK294" s="22" t="n"/>
      <c r="AL294" s="22" t="n"/>
      <c r="AM294" s="22" t="n"/>
      <c r="AN294" s="22" t="n"/>
      <c r="AO294" s="22" t="n"/>
      <c r="AP294" s="22" t="n"/>
      <c r="AQ294" s="22" t="n"/>
      <c r="AR294" s="22" t="n"/>
      <c r="AS294" s="22" t="n"/>
      <c r="AT294" s="22" t="n"/>
      <c r="AU294" s="22" t="n"/>
      <c r="AV294" s="22" t="n"/>
      <c r="AW294" s="22" t="n"/>
      <c r="AX294" s="22" t="n"/>
      <c r="AY294" s="22" t="n"/>
      <c r="AZ294" s="22" t="n"/>
      <c r="BA294" s="22" t="n"/>
      <c r="BB294" s="22" t="n"/>
      <c r="BC294" s="22" t="n"/>
      <c r="BD294" s="22" t="n"/>
      <c r="BE294" s="22" t="n"/>
      <c r="BF294" s="22" t="n"/>
      <c r="BG294" s="22" t="n"/>
      <c r="BH294" s="22" t="n"/>
      <c r="BI294" s="22" t="n"/>
      <c r="BJ294" s="22" t="n"/>
      <c r="BK294" s="22" t="n"/>
      <c r="BL294" s="22" t="n"/>
      <c r="BM294" s="22" t="n"/>
      <c r="BN294" s="22" t="n"/>
      <c r="BO294" s="22" t="n"/>
      <c r="BP294" s="22" t="n"/>
      <c r="BQ294" s="31" t="n"/>
      <c r="BR294" s="31" t="n"/>
      <c r="BS294" s="31" t="n"/>
      <c r="BT294" s="31" t="n"/>
    </row>
    <row r="295" ht="15.75" customHeight="1" s="349">
      <c r="A295" s="22" t="n"/>
      <c r="B295" s="22" t="n"/>
      <c r="C295" s="22" t="n"/>
      <c r="D295" s="22" t="n"/>
      <c r="E295" s="22" t="n"/>
      <c r="F295" s="22"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c r="AA295" s="22" t="n"/>
      <c r="AB295" s="22" t="n"/>
      <c r="AC295" s="22" t="n"/>
      <c r="AD295" s="22" t="n"/>
      <c r="AE295" s="22" t="n"/>
      <c r="AF295" s="22" t="n"/>
      <c r="AG295" s="22" t="n"/>
      <c r="AH295" s="22" t="n"/>
      <c r="AI295" s="22" t="n"/>
      <c r="AJ295" s="22" t="n"/>
      <c r="AK295" s="22" t="n"/>
      <c r="AL295" s="22" t="n"/>
      <c r="AM295" s="22" t="n"/>
      <c r="AN295" s="22" t="n"/>
      <c r="AO295" s="22" t="n"/>
      <c r="AP295" s="22" t="n"/>
      <c r="AQ295" s="22" t="n"/>
      <c r="AR295" s="22" t="n"/>
      <c r="AS295" s="22" t="n"/>
      <c r="AT295" s="22" t="n"/>
      <c r="AU295" s="22" t="n"/>
      <c r="AV295" s="22" t="n"/>
      <c r="AW295" s="22" t="n"/>
      <c r="AX295" s="22" t="n"/>
      <c r="AY295" s="22" t="n"/>
      <c r="AZ295" s="22" t="n"/>
      <c r="BA295" s="22" t="n"/>
      <c r="BB295" s="22" t="n"/>
      <c r="BC295" s="22" t="n"/>
      <c r="BD295" s="22" t="n"/>
      <c r="BE295" s="22" t="n"/>
      <c r="BF295" s="22" t="n"/>
      <c r="BG295" s="22" t="n"/>
      <c r="BH295" s="22" t="n"/>
      <c r="BI295" s="22" t="n"/>
      <c r="BJ295" s="22" t="n"/>
      <c r="BK295" s="22" t="n"/>
      <c r="BL295" s="22" t="n"/>
      <c r="BM295" s="22" t="n"/>
      <c r="BN295" s="22" t="n"/>
      <c r="BO295" s="22" t="n"/>
      <c r="BP295" s="22" t="n"/>
      <c r="BQ295" s="31" t="n"/>
      <c r="BR295" s="31" t="n"/>
      <c r="BS295" s="31" t="n"/>
      <c r="BT295" s="31" t="n"/>
    </row>
    <row r="296" ht="15.75" customHeight="1" s="349">
      <c r="A296" s="22" t="n"/>
      <c r="B296" s="22" t="n"/>
      <c r="C296" s="22" t="n"/>
      <c r="D296" s="22" t="n"/>
      <c r="E296" s="22" t="n"/>
      <c r="F296" s="22"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c r="AA296" s="22" t="n"/>
      <c r="AB296" s="22" t="n"/>
      <c r="AC296" s="22" t="n"/>
      <c r="AD296" s="22" t="n"/>
      <c r="AE296" s="22" t="n"/>
      <c r="AF296" s="22" t="n"/>
      <c r="AG296" s="22" t="n"/>
      <c r="AH296" s="22" t="n"/>
      <c r="AI296" s="22" t="n"/>
      <c r="AJ296" s="22" t="n"/>
      <c r="AK296" s="22" t="n"/>
      <c r="AL296" s="22" t="n"/>
      <c r="AM296" s="22" t="n"/>
      <c r="AN296" s="22" t="n"/>
      <c r="AO296" s="22" t="n"/>
      <c r="AP296" s="22" t="n"/>
      <c r="AQ296" s="22" t="n"/>
      <c r="AR296" s="22" t="n"/>
      <c r="AS296" s="22" t="n"/>
      <c r="AT296" s="22" t="n"/>
      <c r="AU296" s="22" t="n"/>
      <c r="AV296" s="22" t="n"/>
      <c r="AW296" s="22" t="n"/>
      <c r="AX296" s="22" t="n"/>
      <c r="AY296" s="22" t="n"/>
      <c r="AZ296" s="22" t="n"/>
      <c r="BA296" s="22" t="n"/>
      <c r="BB296" s="22" t="n"/>
      <c r="BC296" s="22" t="n"/>
      <c r="BD296" s="22" t="n"/>
      <c r="BE296" s="22" t="n"/>
      <c r="BF296" s="22" t="n"/>
      <c r="BG296" s="22" t="n"/>
      <c r="BH296" s="22" t="n"/>
      <c r="BI296" s="22" t="n"/>
      <c r="BJ296" s="22" t="n"/>
      <c r="BK296" s="22" t="n"/>
      <c r="BL296" s="22" t="n"/>
      <c r="BM296" s="22" t="n"/>
      <c r="BN296" s="22" t="n"/>
      <c r="BO296" s="22" t="n"/>
      <c r="BP296" s="22" t="n"/>
      <c r="BQ296" s="31" t="n"/>
      <c r="BR296" s="31" t="n"/>
      <c r="BS296" s="31" t="n"/>
      <c r="BT296" s="31" t="n"/>
    </row>
    <row r="297" ht="15.75" customHeight="1" s="349">
      <c r="A297" s="22" t="n"/>
      <c r="B297" s="22" t="n"/>
      <c r="C297" s="22" t="n"/>
      <c r="D297" s="22" t="n"/>
      <c r="E297" s="22" t="n"/>
      <c r="F297" s="22"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c r="AA297" s="22" t="n"/>
      <c r="AB297" s="22" t="n"/>
      <c r="AC297" s="22" t="n"/>
      <c r="AD297" s="22" t="n"/>
      <c r="AE297" s="22" t="n"/>
      <c r="AF297" s="22" t="n"/>
      <c r="AG297" s="22" t="n"/>
      <c r="AH297" s="22" t="n"/>
      <c r="AI297" s="22" t="n"/>
      <c r="AJ297" s="22" t="n"/>
      <c r="AK297" s="22" t="n"/>
      <c r="AL297" s="22" t="n"/>
      <c r="AM297" s="22" t="n"/>
      <c r="AN297" s="22" t="n"/>
      <c r="AO297" s="22" t="n"/>
      <c r="AP297" s="22" t="n"/>
      <c r="AQ297" s="22" t="n"/>
      <c r="AR297" s="22" t="n"/>
      <c r="AS297" s="22" t="n"/>
      <c r="AT297" s="22" t="n"/>
      <c r="AU297" s="22" t="n"/>
      <c r="AV297" s="22" t="n"/>
      <c r="AW297" s="22" t="n"/>
      <c r="AX297" s="22" t="n"/>
      <c r="AY297" s="22" t="n"/>
      <c r="AZ297" s="22" t="n"/>
      <c r="BA297" s="22" t="n"/>
      <c r="BB297" s="22" t="n"/>
      <c r="BC297" s="22" t="n"/>
      <c r="BD297" s="22" t="n"/>
      <c r="BE297" s="22" t="n"/>
      <c r="BF297" s="22" t="n"/>
      <c r="BG297" s="22" t="n"/>
      <c r="BH297" s="22" t="n"/>
      <c r="BI297" s="22" t="n"/>
      <c r="BJ297" s="22" t="n"/>
      <c r="BK297" s="22" t="n"/>
      <c r="BL297" s="22" t="n"/>
      <c r="BM297" s="22" t="n"/>
      <c r="BN297" s="22" t="n"/>
      <c r="BO297" s="22" t="n"/>
      <c r="BP297" s="22" t="n"/>
      <c r="BQ297" s="31" t="n"/>
      <c r="BR297" s="31" t="n"/>
      <c r="BS297" s="31" t="n"/>
      <c r="BT297" s="31" t="n"/>
    </row>
    <row r="298" ht="15.75" customHeight="1" s="349">
      <c r="A298" s="22" t="n"/>
      <c r="B298" s="22" t="n"/>
      <c r="C298" s="22" t="n"/>
      <c r="D298" s="22" t="n"/>
      <c r="E298" s="22" t="n"/>
      <c r="F298" s="22"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c r="AA298" s="22" t="n"/>
      <c r="AB298" s="22" t="n"/>
      <c r="AC298" s="22" t="n"/>
      <c r="AD298" s="22" t="n"/>
      <c r="AE298" s="22" t="n"/>
      <c r="AF298" s="22" t="n"/>
      <c r="AG298" s="22" t="n"/>
      <c r="AH298" s="22" t="n"/>
      <c r="AI298" s="22" t="n"/>
      <c r="AJ298" s="22" t="n"/>
      <c r="AK298" s="22" t="n"/>
      <c r="AL298" s="22" t="n"/>
      <c r="AM298" s="22" t="n"/>
      <c r="AN298" s="22" t="n"/>
      <c r="AO298" s="22" t="n"/>
      <c r="AP298" s="22" t="n"/>
      <c r="AQ298" s="22" t="n"/>
      <c r="AR298" s="22" t="n"/>
      <c r="AS298" s="22" t="n"/>
      <c r="AT298" s="22" t="n"/>
      <c r="AU298" s="22" t="n"/>
      <c r="AV298" s="22" t="n"/>
      <c r="AW298" s="22" t="n"/>
      <c r="AX298" s="22" t="n"/>
      <c r="AY298" s="22" t="n"/>
      <c r="AZ298" s="22" t="n"/>
      <c r="BA298" s="22" t="n"/>
      <c r="BB298" s="22" t="n"/>
      <c r="BC298" s="22" t="n"/>
      <c r="BD298" s="22" t="n"/>
      <c r="BE298" s="22" t="n"/>
      <c r="BF298" s="22" t="n"/>
      <c r="BG298" s="22" t="n"/>
      <c r="BH298" s="22" t="n"/>
      <c r="BI298" s="22" t="n"/>
      <c r="BJ298" s="22" t="n"/>
      <c r="BK298" s="22" t="n"/>
      <c r="BL298" s="22" t="n"/>
      <c r="BM298" s="22" t="n"/>
      <c r="BN298" s="22" t="n"/>
      <c r="BO298" s="22" t="n"/>
      <c r="BP298" s="22" t="n"/>
      <c r="BQ298" s="31" t="n"/>
      <c r="BR298" s="31" t="n"/>
      <c r="BS298" s="31" t="n"/>
      <c r="BT298" s="31" t="n"/>
    </row>
    <row r="299" ht="15.75" customHeight="1" s="349">
      <c r="A299" s="22" t="n"/>
      <c r="B299" s="22" t="n"/>
      <c r="C299" s="22" t="n"/>
      <c r="D299" s="22" t="n"/>
      <c r="E299" s="22" t="n"/>
      <c r="F299" s="22"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c r="AA299" s="22" t="n"/>
      <c r="AB299" s="22" t="n"/>
      <c r="AC299" s="22" t="n"/>
      <c r="AD299" s="22" t="n"/>
      <c r="AE299" s="22" t="n"/>
      <c r="AF299" s="22" t="n"/>
      <c r="AG299" s="22" t="n"/>
      <c r="AH299" s="22" t="n"/>
      <c r="AI299" s="22" t="n"/>
      <c r="AJ299" s="22" t="n"/>
      <c r="AK299" s="22" t="n"/>
      <c r="AL299" s="22" t="n"/>
      <c r="AM299" s="22" t="n"/>
      <c r="AN299" s="22" t="n"/>
      <c r="AO299" s="22" t="n"/>
      <c r="AP299" s="22" t="n"/>
      <c r="AQ299" s="22" t="n"/>
      <c r="AR299" s="22" t="n"/>
      <c r="AS299" s="22" t="n"/>
      <c r="AT299" s="22" t="n"/>
      <c r="AU299" s="22" t="n"/>
      <c r="AV299" s="22" t="n"/>
      <c r="AW299" s="22" t="n"/>
      <c r="AX299" s="22" t="n"/>
      <c r="AY299" s="22" t="n"/>
      <c r="AZ299" s="22" t="n"/>
      <c r="BA299" s="22" t="n"/>
      <c r="BB299" s="22" t="n"/>
      <c r="BC299" s="22" t="n"/>
      <c r="BD299" s="22" t="n"/>
      <c r="BE299" s="22" t="n"/>
      <c r="BF299" s="22" t="n"/>
      <c r="BG299" s="22" t="n"/>
      <c r="BH299" s="22" t="n"/>
      <c r="BI299" s="22" t="n"/>
      <c r="BJ299" s="22" t="n"/>
      <c r="BK299" s="22" t="n"/>
      <c r="BL299" s="22" t="n"/>
      <c r="BM299" s="22" t="n"/>
      <c r="BN299" s="22" t="n"/>
      <c r="BO299" s="22" t="n"/>
      <c r="BP299" s="22" t="n"/>
      <c r="BQ299" s="31" t="n"/>
      <c r="BR299" s="31" t="n"/>
      <c r="BS299" s="31" t="n"/>
      <c r="BT299" s="31" t="n"/>
    </row>
    <row r="300" ht="15.75" customHeight="1" s="349">
      <c r="A300" s="22" t="n"/>
      <c r="B300" s="22" t="n"/>
      <c r="C300" s="22" t="n"/>
      <c r="D300" s="22" t="n"/>
      <c r="E300" s="22" t="n"/>
      <c r="F300" s="22"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c r="AA300" s="22" t="n"/>
      <c r="AB300" s="22" t="n"/>
      <c r="AC300" s="22" t="n"/>
      <c r="AD300" s="22" t="n"/>
      <c r="AE300" s="22" t="n"/>
      <c r="AF300" s="22" t="n"/>
      <c r="AG300" s="22" t="n"/>
      <c r="AH300" s="22" t="n"/>
      <c r="AI300" s="22" t="n"/>
      <c r="AJ300" s="22" t="n"/>
      <c r="AK300" s="22" t="n"/>
      <c r="AL300" s="22" t="n"/>
      <c r="AM300" s="22" t="n"/>
      <c r="AN300" s="22" t="n"/>
      <c r="AO300" s="22" t="n"/>
      <c r="AP300" s="22" t="n"/>
      <c r="AQ300" s="22" t="n"/>
      <c r="AR300" s="22" t="n"/>
      <c r="AS300" s="22" t="n"/>
      <c r="AT300" s="22" t="n"/>
      <c r="AU300" s="22" t="n"/>
      <c r="AV300" s="22" t="n"/>
      <c r="AW300" s="22" t="n"/>
      <c r="AX300" s="22" t="n"/>
      <c r="AY300" s="22" t="n"/>
      <c r="AZ300" s="22" t="n"/>
      <c r="BA300" s="22" t="n"/>
      <c r="BB300" s="22" t="n"/>
      <c r="BC300" s="22" t="n"/>
      <c r="BD300" s="22" t="n"/>
      <c r="BE300" s="22" t="n"/>
      <c r="BF300" s="22" t="n"/>
      <c r="BG300" s="22" t="n"/>
      <c r="BH300" s="22" t="n"/>
      <c r="BI300" s="22" t="n"/>
      <c r="BJ300" s="22" t="n"/>
      <c r="BK300" s="22" t="n"/>
      <c r="BL300" s="22" t="n"/>
      <c r="BM300" s="22" t="n"/>
      <c r="BN300" s="22" t="n"/>
      <c r="BO300" s="22" t="n"/>
      <c r="BP300" s="22" t="n"/>
      <c r="BQ300" s="31" t="n"/>
      <c r="BR300" s="31" t="n"/>
      <c r="BS300" s="31" t="n"/>
      <c r="BT300" s="31" t="n"/>
    </row>
    <row r="301" ht="15.75" customHeight="1" s="349">
      <c r="A301" s="22" t="n"/>
      <c r="B301" s="22" t="n"/>
      <c r="C301" s="22" t="n"/>
      <c r="D301" s="22" t="n"/>
      <c r="E301" s="22" t="n"/>
      <c r="F301" s="22"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c r="AA301" s="22" t="n"/>
      <c r="AB301" s="22" t="n"/>
      <c r="AC301" s="22" t="n"/>
      <c r="AD301" s="22" t="n"/>
      <c r="AE301" s="22" t="n"/>
      <c r="AF301" s="22" t="n"/>
      <c r="AG301" s="22" t="n"/>
      <c r="AH301" s="22" t="n"/>
      <c r="AI301" s="22" t="n"/>
      <c r="AJ301" s="22" t="n"/>
      <c r="AK301" s="22" t="n"/>
      <c r="AL301" s="22" t="n"/>
      <c r="AM301" s="22" t="n"/>
      <c r="AN301" s="22" t="n"/>
      <c r="AO301" s="22" t="n"/>
      <c r="AP301" s="22" t="n"/>
      <c r="AQ301" s="22" t="n"/>
      <c r="AR301" s="22" t="n"/>
      <c r="AS301" s="22" t="n"/>
      <c r="AT301" s="22" t="n"/>
      <c r="AU301" s="22" t="n"/>
      <c r="AV301" s="22" t="n"/>
      <c r="AW301" s="22" t="n"/>
      <c r="AX301" s="22" t="n"/>
      <c r="AY301" s="22" t="n"/>
      <c r="AZ301" s="22" t="n"/>
      <c r="BA301" s="22" t="n"/>
      <c r="BB301" s="22" t="n"/>
      <c r="BC301" s="22" t="n"/>
      <c r="BD301" s="22" t="n"/>
      <c r="BE301" s="22" t="n"/>
      <c r="BF301" s="22" t="n"/>
      <c r="BG301" s="22" t="n"/>
      <c r="BH301" s="22" t="n"/>
      <c r="BI301" s="22" t="n"/>
      <c r="BJ301" s="22" t="n"/>
      <c r="BK301" s="22" t="n"/>
      <c r="BL301" s="22" t="n"/>
      <c r="BM301" s="22" t="n"/>
      <c r="BN301" s="22" t="n"/>
      <c r="BO301" s="22" t="n"/>
      <c r="BP301" s="22" t="n"/>
      <c r="BQ301" s="31" t="n"/>
      <c r="BR301" s="31" t="n"/>
      <c r="BS301" s="31" t="n"/>
      <c r="BT301" s="31" t="n"/>
    </row>
    <row r="302" ht="15.75" customHeight="1" s="349">
      <c r="A302" s="22" t="n"/>
      <c r="B302" s="22" t="n"/>
      <c r="C302" s="22" t="n"/>
      <c r="D302" s="22" t="n"/>
      <c r="E302" s="22" t="n"/>
      <c r="F302" s="22"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c r="AA302" s="22" t="n"/>
      <c r="AB302" s="22" t="n"/>
      <c r="AC302" s="22" t="n"/>
      <c r="AD302" s="22" t="n"/>
      <c r="AE302" s="22" t="n"/>
      <c r="AF302" s="22" t="n"/>
      <c r="AG302" s="22" t="n"/>
      <c r="AH302" s="22" t="n"/>
      <c r="AI302" s="22" t="n"/>
      <c r="AJ302" s="22" t="n"/>
      <c r="AK302" s="22" t="n"/>
      <c r="AL302" s="22" t="n"/>
      <c r="AM302" s="22" t="n"/>
      <c r="AN302" s="22" t="n"/>
      <c r="AO302" s="22" t="n"/>
      <c r="AP302" s="22" t="n"/>
      <c r="AQ302" s="22" t="n"/>
      <c r="AR302" s="22" t="n"/>
      <c r="AS302" s="22" t="n"/>
      <c r="AT302" s="22" t="n"/>
      <c r="AU302" s="22" t="n"/>
      <c r="AV302" s="22" t="n"/>
      <c r="AW302" s="22" t="n"/>
      <c r="AX302" s="22" t="n"/>
      <c r="AY302" s="22" t="n"/>
      <c r="AZ302" s="22" t="n"/>
      <c r="BA302" s="22" t="n"/>
      <c r="BB302" s="22" t="n"/>
      <c r="BC302" s="22" t="n"/>
      <c r="BD302" s="22" t="n"/>
      <c r="BE302" s="22" t="n"/>
      <c r="BF302" s="22" t="n"/>
      <c r="BG302" s="22" t="n"/>
      <c r="BH302" s="22" t="n"/>
      <c r="BI302" s="22" t="n"/>
      <c r="BJ302" s="22" t="n"/>
      <c r="BK302" s="22" t="n"/>
      <c r="BL302" s="22" t="n"/>
      <c r="BM302" s="22" t="n"/>
      <c r="BN302" s="22" t="n"/>
      <c r="BO302" s="22" t="n"/>
      <c r="BP302" s="22" t="n"/>
      <c r="BQ302" s="31" t="n"/>
      <c r="BR302" s="31" t="n"/>
      <c r="BS302" s="31" t="n"/>
      <c r="BT302" s="31" t="n"/>
    </row>
    <row r="303" ht="15.75" customHeight="1" s="349">
      <c r="A303" s="22" t="n"/>
      <c r="B303" s="22" t="n"/>
      <c r="C303" s="22" t="n"/>
      <c r="D303" s="22" t="n"/>
      <c r="E303" s="22" t="n"/>
      <c r="F303" s="22"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c r="AA303" s="22" t="n"/>
      <c r="AB303" s="22" t="n"/>
      <c r="AC303" s="22" t="n"/>
      <c r="AD303" s="22" t="n"/>
      <c r="AE303" s="22" t="n"/>
      <c r="AF303" s="22" t="n"/>
      <c r="AG303" s="22" t="n"/>
      <c r="AH303" s="22" t="n"/>
      <c r="AI303" s="22" t="n"/>
      <c r="AJ303" s="22" t="n"/>
      <c r="AK303" s="22" t="n"/>
      <c r="AL303" s="22" t="n"/>
      <c r="AM303" s="22" t="n"/>
      <c r="AN303" s="22" t="n"/>
      <c r="AO303" s="22" t="n"/>
      <c r="AP303" s="22" t="n"/>
      <c r="AQ303" s="22" t="n"/>
      <c r="AR303" s="22" t="n"/>
      <c r="AS303" s="22" t="n"/>
      <c r="AT303" s="22" t="n"/>
      <c r="AU303" s="22" t="n"/>
      <c r="AV303" s="22" t="n"/>
      <c r="AW303" s="22" t="n"/>
      <c r="AX303" s="22" t="n"/>
      <c r="AY303" s="22" t="n"/>
      <c r="AZ303" s="22" t="n"/>
      <c r="BA303" s="22" t="n"/>
      <c r="BB303" s="22" t="n"/>
      <c r="BC303" s="22" t="n"/>
      <c r="BD303" s="22" t="n"/>
      <c r="BE303" s="22" t="n"/>
      <c r="BF303" s="22" t="n"/>
      <c r="BG303" s="22" t="n"/>
      <c r="BH303" s="22" t="n"/>
      <c r="BI303" s="22" t="n"/>
      <c r="BJ303" s="22" t="n"/>
      <c r="BK303" s="22" t="n"/>
      <c r="BL303" s="22" t="n"/>
      <c r="BM303" s="22" t="n"/>
      <c r="BN303" s="22" t="n"/>
      <c r="BO303" s="22" t="n"/>
      <c r="BP303" s="22" t="n"/>
      <c r="BQ303" s="31" t="n"/>
      <c r="BR303" s="31" t="n"/>
      <c r="BS303" s="31" t="n"/>
      <c r="BT303" s="31" t="n"/>
    </row>
    <row r="304" ht="15.75" customHeight="1" s="349">
      <c r="A304" s="22" t="n"/>
      <c r="B304" s="22" t="n"/>
      <c r="C304" s="22" t="n"/>
      <c r="D304" s="22" t="n"/>
      <c r="E304" s="22" t="n"/>
      <c r="F304" s="22"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c r="AA304" s="22" t="n"/>
      <c r="AB304" s="22" t="n"/>
      <c r="AC304" s="22" t="n"/>
      <c r="AD304" s="22" t="n"/>
      <c r="AE304" s="22" t="n"/>
      <c r="AF304" s="22" t="n"/>
      <c r="AG304" s="22" t="n"/>
      <c r="AH304" s="22" t="n"/>
      <c r="AI304" s="22" t="n"/>
      <c r="AJ304" s="22" t="n"/>
      <c r="AK304" s="22" t="n"/>
      <c r="AL304" s="22" t="n"/>
      <c r="AM304" s="22" t="n"/>
      <c r="AN304" s="22" t="n"/>
      <c r="AO304" s="22" t="n"/>
      <c r="AP304" s="22" t="n"/>
      <c r="AQ304" s="22" t="n"/>
      <c r="AR304" s="22" t="n"/>
      <c r="AS304" s="22" t="n"/>
      <c r="AT304" s="22" t="n"/>
      <c r="AU304" s="22" t="n"/>
      <c r="AV304" s="22" t="n"/>
      <c r="AW304" s="22" t="n"/>
      <c r="AX304" s="22" t="n"/>
      <c r="AY304" s="22" t="n"/>
      <c r="AZ304" s="22" t="n"/>
      <c r="BA304" s="22" t="n"/>
      <c r="BB304" s="22" t="n"/>
      <c r="BC304" s="22" t="n"/>
      <c r="BD304" s="22" t="n"/>
      <c r="BE304" s="22" t="n"/>
      <c r="BF304" s="22" t="n"/>
      <c r="BG304" s="22" t="n"/>
      <c r="BH304" s="22" t="n"/>
      <c r="BI304" s="22" t="n"/>
      <c r="BJ304" s="22" t="n"/>
      <c r="BK304" s="22" t="n"/>
      <c r="BL304" s="22" t="n"/>
      <c r="BM304" s="22" t="n"/>
      <c r="BN304" s="22" t="n"/>
      <c r="BO304" s="22" t="n"/>
      <c r="BP304" s="22" t="n"/>
      <c r="BQ304" s="31" t="n"/>
      <c r="BR304" s="31" t="n"/>
      <c r="BS304" s="31" t="n"/>
      <c r="BT304" s="31" t="n"/>
    </row>
    <row r="305" ht="15.75" customHeight="1" s="349">
      <c r="A305" s="22" t="n"/>
      <c r="B305" s="22" t="n"/>
      <c r="C305" s="22" t="n"/>
      <c r="D305" s="22" t="n"/>
      <c r="E305" s="22" t="n"/>
      <c r="F305" s="22"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c r="AA305" s="22" t="n"/>
      <c r="AB305" s="22" t="n"/>
      <c r="AC305" s="22" t="n"/>
      <c r="AD305" s="22" t="n"/>
      <c r="AE305" s="22" t="n"/>
      <c r="AF305" s="22" t="n"/>
      <c r="AG305" s="22" t="n"/>
      <c r="AH305" s="22" t="n"/>
      <c r="AI305" s="22" t="n"/>
      <c r="AJ305" s="22" t="n"/>
      <c r="AK305" s="22" t="n"/>
      <c r="AL305" s="22" t="n"/>
      <c r="AM305" s="22" t="n"/>
      <c r="AN305" s="22" t="n"/>
      <c r="AO305" s="22" t="n"/>
      <c r="AP305" s="22" t="n"/>
      <c r="AQ305" s="22" t="n"/>
      <c r="AR305" s="22" t="n"/>
      <c r="AS305" s="22" t="n"/>
      <c r="AT305" s="22" t="n"/>
      <c r="AU305" s="22" t="n"/>
      <c r="AV305" s="22" t="n"/>
      <c r="AW305" s="22" t="n"/>
      <c r="AX305" s="22" t="n"/>
      <c r="AY305" s="22" t="n"/>
      <c r="AZ305" s="22" t="n"/>
      <c r="BA305" s="22" t="n"/>
      <c r="BB305" s="22" t="n"/>
      <c r="BC305" s="22" t="n"/>
      <c r="BD305" s="22" t="n"/>
      <c r="BE305" s="22" t="n"/>
      <c r="BF305" s="22" t="n"/>
      <c r="BG305" s="22" t="n"/>
      <c r="BH305" s="22" t="n"/>
      <c r="BI305" s="22" t="n"/>
      <c r="BJ305" s="22" t="n"/>
      <c r="BK305" s="22" t="n"/>
      <c r="BL305" s="22" t="n"/>
      <c r="BM305" s="22" t="n"/>
      <c r="BN305" s="22" t="n"/>
      <c r="BO305" s="22" t="n"/>
      <c r="BP305" s="22" t="n"/>
      <c r="BQ305" s="31" t="n"/>
      <c r="BR305" s="31" t="n"/>
      <c r="BS305" s="31" t="n"/>
      <c r="BT305" s="31" t="n"/>
    </row>
    <row r="306" ht="15.75" customHeight="1" s="349">
      <c r="A306" s="22" t="n"/>
      <c r="B306" s="22" t="n"/>
      <c r="C306" s="22" t="n"/>
      <c r="D306" s="22" t="n"/>
      <c r="E306" s="22" t="n"/>
      <c r="F306" s="22"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c r="AA306" s="22" t="n"/>
      <c r="AB306" s="22" t="n"/>
      <c r="AC306" s="22" t="n"/>
      <c r="AD306" s="22" t="n"/>
      <c r="AE306" s="22" t="n"/>
      <c r="AF306" s="22" t="n"/>
      <c r="AG306" s="22" t="n"/>
      <c r="AH306" s="22" t="n"/>
      <c r="AI306" s="22" t="n"/>
      <c r="AJ306" s="22" t="n"/>
      <c r="AK306" s="22" t="n"/>
      <c r="AL306" s="22" t="n"/>
      <c r="AM306" s="22" t="n"/>
      <c r="AN306" s="22" t="n"/>
      <c r="AO306" s="22" t="n"/>
      <c r="AP306" s="22" t="n"/>
      <c r="AQ306" s="22" t="n"/>
      <c r="AR306" s="22" t="n"/>
      <c r="AS306" s="22" t="n"/>
      <c r="AT306" s="22" t="n"/>
      <c r="AU306" s="22" t="n"/>
      <c r="AV306" s="22" t="n"/>
      <c r="AW306" s="22" t="n"/>
      <c r="AX306" s="22" t="n"/>
      <c r="AY306" s="22" t="n"/>
      <c r="AZ306" s="22" t="n"/>
      <c r="BA306" s="22" t="n"/>
      <c r="BB306" s="22" t="n"/>
      <c r="BC306" s="22" t="n"/>
      <c r="BD306" s="22" t="n"/>
      <c r="BE306" s="22" t="n"/>
      <c r="BF306" s="22" t="n"/>
      <c r="BG306" s="22" t="n"/>
      <c r="BH306" s="22" t="n"/>
      <c r="BI306" s="22" t="n"/>
      <c r="BJ306" s="22" t="n"/>
      <c r="BK306" s="22" t="n"/>
      <c r="BL306" s="22" t="n"/>
      <c r="BM306" s="22" t="n"/>
      <c r="BN306" s="22" t="n"/>
      <c r="BO306" s="22" t="n"/>
      <c r="BP306" s="22" t="n"/>
      <c r="BQ306" s="31" t="n"/>
      <c r="BR306" s="31" t="n"/>
      <c r="BS306" s="31" t="n"/>
      <c r="BT306" s="31" t="n"/>
    </row>
    <row r="307" ht="15.75" customHeight="1" s="349">
      <c r="A307" s="22" t="n"/>
      <c r="B307" s="22" t="n"/>
      <c r="C307" s="22" t="n"/>
      <c r="D307" s="22" t="n"/>
      <c r="E307" s="22" t="n"/>
      <c r="F307" s="22"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c r="AA307" s="22" t="n"/>
      <c r="AB307" s="22" t="n"/>
      <c r="AC307" s="22" t="n"/>
      <c r="AD307" s="22" t="n"/>
      <c r="AE307" s="22" t="n"/>
      <c r="AF307" s="22" t="n"/>
      <c r="AG307" s="22" t="n"/>
      <c r="AH307" s="22" t="n"/>
      <c r="AI307" s="22" t="n"/>
      <c r="AJ307" s="22" t="n"/>
      <c r="AK307" s="22" t="n"/>
      <c r="AL307" s="22" t="n"/>
      <c r="AM307" s="22" t="n"/>
      <c r="AN307" s="22" t="n"/>
      <c r="AO307" s="22" t="n"/>
      <c r="AP307" s="22" t="n"/>
      <c r="AQ307" s="22" t="n"/>
      <c r="AR307" s="22" t="n"/>
      <c r="AS307" s="22" t="n"/>
      <c r="AT307" s="22" t="n"/>
      <c r="AU307" s="22" t="n"/>
      <c r="AV307" s="22" t="n"/>
      <c r="AW307" s="22" t="n"/>
      <c r="AX307" s="22" t="n"/>
      <c r="AY307" s="22" t="n"/>
      <c r="AZ307" s="22" t="n"/>
      <c r="BA307" s="22" t="n"/>
      <c r="BB307" s="22" t="n"/>
      <c r="BC307" s="22" t="n"/>
      <c r="BD307" s="22" t="n"/>
      <c r="BE307" s="22" t="n"/>
      <c r="BF307" s="22" t="n"/>
      <c r="BG307" s="22" t="n"/>
      <c r="BH307" s="22" t="n"/>
      <c r="BI307" s="22" t="n"/>
      <c r="BJ307" s="22" t="n"/>
      <c r="BK307" s="22" t="n"/>
      <c r="BL307" s="22" t="n"/>
      <c r="BM307" s="22" t="n"/>
      <c r="BN307" s="22" t="n"/>
      <c r="BO307" s="22" t="n"/>
      <c r="BP307" s="22" t="n"/>
      <c r="BQ307" s="31" t="n"/>
      <c r="BR307" s="31" t="n"/>
      <c r="BS307" s="31" t="n"/>
      <c r="BT307" s="31" t="n"/>
    </row>
    <row r="308" ht="15.75" customHeight="1" s="349">
      <c r="A308" s="22" t="n"/>
      <c r="B308" s="22" t="n"/>
      <c r="C308" s="22" t="n"/>
      <c r="D308" s="22" t="n"/>
      <c r="E308" s="22" t="n"/>
      <c r="F308" s="22"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c r="AA308" s="22" t="n"/>
      <c r="AB308" s="22" t="n"/>
      <c r="AC308" s="22" t="n"/>
      <c r="AD308" s="22" t="n"/>
      <c r="AE308" s="22" t="n"/>
      <c r="AF308" s="22" t="n"/>
      <c r="AG308" s="22" t="n"/>
      <c r="AH308" s="22" t="n"/>
      <c r="AI308" s="22" t="n"/>
      <c r="AJ308" s="22" t="n"/>
      <c r="AK308" s="22" t="n"/>
      <c r="AL308" s="22" t="n"/>
      <c r="AM308" s="22" t="n"/>
      <c r="AN308" s="22" t="n"/>
      <c r="AO308" s="22" t="n"/>
      <c r="AP308" s="22" t="n"/>
      <c r="AQ308" s="22" t="n"/>
      <c r="AR308" s="22" t="n"/>
      <c r="AS308" s="22" t="n"/>
      <c r="AT308" s="22" t="n"/>
      <c r="AU308" s="22" t="n"/>
      <c r="AV308" s="22" t="n"/>
      <c r="AW308" s="22" t="n"/>
      <c r="AX308" s="22" t="n"/>
      <c r="AY308" s="22" t="n"/>
      <c r="AZ308" s="22" t="n"/>
      <c r="BA308" s="22" t="n"/>
      <c r="BB308" s="22" t="n"/>
      <c r="BC308" s="22" t="n"/>
      <c r="BD308" s="22" t="n"/>
      <c r="BE308" s="22" t="n"/>
      <c r="BF308" s="22" t="n"/>
      <c r="BG308" s="22" t="n"/>
      <c r="BH308" s="22" t="n"/>
      <c r="BI308" s="22" t="n"/>
      <c r="BJ308" s="22" t="n"/>
      <c r="BK308" s="22" t="n"/>
      <c r="BL308" s="22" t="n"/>
      <c r="BM308" s="22" t="n"/>
      <c r="BN308" s="22" t="n"/>
      <c r="BO308" s="22" t="n"/>
      <c r="BP308" s="22" t="n"/>
      <c r="BQ308" s="31" t="n"/>
      <c r="BR308" s="31" t="n"/>
      <c r="BS308" s="31" t="n"/>
      <c r="BT308" s="31" t="n"/>
    </row>
    <row r="309" ht="15.75" customHeight="1" s="349">
      <c r="A309" s="22" t="n"/>
      <c r="B309" s="22" t="n"/>
      <c r="C309" s="22" t="n"/>
      <c r="D309" s="22" t="n"/>
      <c r="E309" s="22" t="n"/>
      <c r="F309" s="22"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c r="AA309" s="22" t="n"/>
      <c r="AB309" s="22" t="n"/>
      <c r="AC309" s="22" t="n"/>
      <c r="AD309" s="22" t="n"/>
      <c r="AE309" s="22" t="n"/>
      <c r="AF309" s="22" t="n"/>
      <c r="AG309" s="22" t="n"/>
      <c r="AH309" s="22" t="n"/>
      <c r="AI309" s="22" t="n"/>
      <c r="AJ309" s="22" t="n"/>
      <c r="AK309" s="22" t="n"/>
      <c r="AL309" s="22" t="n"/>
      <c r="AM309" s="22" t="n"/>
      <c r="AN309" s="22" t="n"/>
      <c r="AO309" s="22" t="n"/>
      <c r="AP309" s="22" t="n"/>
      <c r="AQ309" s="22" t="n"/>
      <c r="AR309" s="22" t="n"/>
      <c r="AS309" s="22" t="n"/>
      <c r="AT309" s="22" t="n"/>
      <c r="AU309" s="22" t="n"/>
      <c r="AV309" s="22" t="n"/>
      <c r="AW309" s="22" t="n"/>
      <c r="AX309" s="22" t="n"/>
      <c r="AY309" s="22" t="n"/>
      <c r="AZ309" s="22" t="n"/>
      <c r="BA309" s="22" t="n"/>
      <c r="BB309" s="22" t="n"/>
      <c r="BC309" s="22" t="n"/>
      <c r="BD309" s="22" t="n"/>
      <c r="BE309" s="22" t="n"/>
      <c r="BF309" s="22" t="n"/>
      <c r="BG309" s="22" t="n"/>
      <c r="BH309" s="22" t="n"/>
      <c r="BI309" s="22" t="n"/>
      <c r="BJ309" s="22" t="n"/>
      <c r="BK309" s="22" t="n"/>
      <c r="BL309" s="22" t="n"/>
      <c r="BM309" s="22" t="n"/>
      <c r="BN309" s="22" t="n"/>
      <c r="BO309" s="22" t="n"/>
      <c r="BP309" s="22" t="n"/>
      <c r="BQ309" s="31" t="n"/>
      <c r="BR309" s="31" t="n"/>
      <c r="BS309" s="31" t="n"/>
      <c r="BT309" s="31" t="n"/>
    </row>
    <row r="310" ht="15.75" customHeight="1" s="349">
      <c r="A310" s="22" t="n"/>
      <c r="B310" s="22" t="n"/>
      <c r="C310" s="22" t="n"/>
      <c r="D310" s="22" t="n"/>
      <c r="E310" s="22" t="n"/>
      <c r="F310" s="22"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c r="AA310" s="22" t="n"/>
      <c r="AB310" s="22" t="n"/>
      <c r="AC310" s="22" t="n"/>
      <c r="AD310" s="22" t="n"/>
      <c r="AE310" s="22" t="n"/>
      <c r="AF310" s="22" t="n"/>
      <c r="AG310" s="22" t="n"/>
      <c r="AH310" s="22" t="n"/>
      <c r="AI310" s="22" t="n"/>
      <c r="AJ310" s="22" t="n"/>
      <c r="AK310" s="22" t="n"/>
      <c r="AL310" s="22" t="n"/>
      <c r="AM310" s="22" t="n"/>
      <c r="AN310" s="22" t="n"/>
      <c r="AO310" s="22" t="n"/>
      <c r="AP310" s="22" t="n"/>
      <c r="AQ310" s="22" t="n"/>
      <c r="AR310" s="22" t="n"/>
      <c r="AS310" s="22" t="n"/>
      <c r="AT310" s="22" t="n"/>
      <c r="AU310" s="22" t="n"/>
      <c r="AV310" s="22" t="n"/>
      <c r="AW310" s="22" t="n"/>
      <c r="AX310" s="22" t="n"/>
      <c r="AY310" s="22" t="n"/>
      <c r="AZ310" s="22" t="n"/>
      <c r="BA310" s="22" t="n"/>
      <c r="BB310" s="22" t="n"/>
      <c r="BC310" s="22" t="n"/>
      <c r="BD310" s="22" t="n"/>
      <c r="BE310" s="22" t="n"/>
      <c r="BF310" s="22" t="n"/>
      <c r="BG310" s="22" t="n"/>
      <c r="BH310" s="22" t="n"/>
      <c r="BI310" s="22" t="n"/>
      <c r="BJ310" s="22" t="n"/>
      <c r="BK310" s="22" t="n"/>
      <c r="BL310" s="22" t="n"/>
      <c r="BM310" s="22" t="n"/>
      <c r="BN310" s="22" t="n"/>
      <c r="BO310" s="22" t="n"/>
      <c r="BP310" s="22" t="n"/>
      <c r="BQ310" s="31" t="n"/>
      <c r="BR310" s="31" t="n"/>
      <c r="BS310" s="31" t="n"/>
      <c r="BT310" s="31" t="n"/>
    </row>
    <row r="311" ht="15.75" customHeight="1" s="349">
      <c r="A311" s="22" t="n"/>
      <c r="B311" s="22" t="n"/>
      <c r="C311" s="22" t="n"/>
      <c r="D311" s="22" t="n"/>
      <c r="E311" s="22" t="n"/>
      <c r="F311" s="22"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c r="AA311" s="22" t="n"/>
      <c r="AB311" s="22" t="n"/>
      <c r="AC311" s="22" t="n"/>
      <c r="AD311" s="22" t="n"/>
      <c r="AE311" s="22" t="n"/>
      <c r="AF311" s="22" t="n"/>
      <c r="AG311" s="22" t="n"/>
      <c r="AH311" s="22" t="n"/>
      <c r="AI311" s="22" t="n"/>
      <c r="AJ311" s="22" t="n"/>
      <c r="AK311" s="22" t="n"/>
      <c r="AL311" s="22" t="n"/>
      <c r="AM311" s="22" t="n"/>
      <c r="AN311" s="22" t="n"/>
      <c r="AO311" s="22" t="n"/>
      <c r="AP311" s="22" t="n"/>
      <c r="AQ311" s="22" t="n"/>
      <c r="AR311" s="22" t="n"/>
      <c r="AS311" s="22" t="n"/>
      <c r="AT311" s="22" t="n"/>
      <c r="AU311" s="22" t="n"/>
      <c r="AV311" s="22" t="n"/>
      <c r="AW311" s="22" t="n"/>
      <c r="AX311" s="22" t="n"/>
      <c r="AY311" s="22" t="n"/>
      <c r="AZ311" s="22" t="n"/>
      <c r="BA311" s="22" t="n"/>
      <c r="BB311" s="22" t="n"/>
      <c r="BC311" s="22" t="n"/>
      <c r="BD311" s="22" t="n"/>
      <c r="BE311" s="22" t="n"/>
      <c r="BF311" s="22" t="n"/>
      <c r="BG311" s="22" t="n"/>
      <c r="BH311" s="22" t="n"/>
      <c r="BI311" s="22" t="n"/>
      <c r="BJ311" s="22" t="n"/>
      <c r="BK311" s="22" t="n"/>
      <c r="BL311" s="22" t="n"/>
      <c r="BM311" s="22" t="n"/>
      <c r="BN311" s="22" t="n"/>
      <c r="BO311" s="22" t="n"/>
      <c r="BP311" s="22" t="n"/>
      <c r="BQ311" s="31" t="n"/>
      <c r="BR311" s="31" t="n"/>
      <c r="BS311" s="31" t="n"/>
      <c r="BT311" s="31" t="n"/>
    </row>
    <row r="312" ht="15.75" customHeight="1" s="349">
      <c r="A312" s="22" t="n"/>
      <c r="B312" s="22" t="n"/>
      <c r="C312" s="22" t="n"/>
      <c r="D312" s="22" t="n"/>
      <c r="E312" s="22" t="n"/>
      <c r="F312" s="22"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c r="AA312" s="22" t="n"/>
      <c r="AB312" s="22" t="n"/>
      <c r="AC312" s="22" t="n"/>
      <c r="AD312" s="22" t="n"/>
      <c r="AE312" s="22" t="n"/>
      <c r="AF312" s="22" t="n"/>
      <c r="AG312" s="22" t="n"/>
      <c r="AH312" s="22" t="n"/>
      <c r="AI312" s="22" t="n"/>
      <c r="AJ312" s="22" t="n"/>
      <c r="AK312" s="22" t="n"/>
      <c r="AL312" s="22" t="n"/>
      <c r="AM312" s="22" t="n"/>
      <c r="AN312" s="22" t="n"/>
      <c r="AO312" s="22" t="n"/>
      <c r="AP312" s="22" t="n"/>
      <c r="AQ312" s="22" t="n"/>
      <c r="AR312" s="22" t="n"/>
      <c r="AS312" s="22" t="n"/>
      <c r="AT312" s="22" t="n"/>
      <c r="AU312" s="22" t="n"/>
      <c r="AV312" s="22" t="n"/>
      <c r="AW312" s="22" t="n"/>
      <c r="AX312" s="22" t="n"/>
      <c r="AY312" s="22" t="n"/>
      <c r="AZ312" s="22" t="n"/>
      <c r="BA312" s="22" t="n"/>
      <c r="BB312" s="22" t="n"/>
      <c r="BC312" s="22" t="n"/>
      <c r="BD312" s="22" t="n"/>
      <c r="BE312" s="22" t="n"/>
      <c r="BF312" s="22" t="n"/>
      <c r="BG312" s="22" t="n"/>
      <c r="BH312" s="22" t="n"/>
      <c r="BI312" s="22" t="n"/>
      <c r="BJ312" s="22" t="n"/>
      <c r="BK312" s="22" t="n"/>
      <c r="BL312" s="22" t="n"/>
      <c r="BM312" s="22" t="n"/>
      <c r="BN312" s="22" t="n"/>
      <c r="BO312" s="22" t="n"/>
      <c r="BP312" s="22" t="n"/>
      <c r="BQ312" s="31" t="n"/>
      <c r="BR312" s="31" t="n"/>
      <c r="BS312" s="31" t="n"/>
      <c r="BT312" s="31" t="n"/>
    </row>
    <row r="313" ht="15.75" customHeight="1" s="349">
      <c r="A313" s="22" t="n"/>
      <c r="B313" s="22" t="n"/>
      <c r="C313" s="22" t="n"/>
      <c r="D313" s="22" t="n"/>
      <c r="E313" s="22" t="n"/>
      <c r="F313" s="22"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c r="AA313" s="22" t="n"/>
      <c r="AB313" s="22" t="n"/>
      <c r="AC313" s="22" t="n"/>
      <c r="AD313" s="22" t="n"/>
      <c r="AE313" s="22" t="n"/>
      <c r="AF313" s="22" t="n"/>
      <c r="AG313" s="22" t="n"/>
      <c r="AH313" s="22" t="n"/>
      <c r="AI313" s="22" t="n"/>
      <c r="AJ313" s="22" t="n"/>
      <c r="AK313" s="22" t="n"/>
      <c r="AL313" s="22" t="n"/>
      <c r="AM313" s="22" t="n"/>
      <c r="AN313" s="22" t="n"/>
      <c r="AO313" s="22" t="n"/>
      <c r="AP313" s="22" t="n"/>
      <c r="AQ313" s="22" t="n"/>
      <c r="AR313" s="22" t="n"/>
      <c r="AS313" s="22" t="n"/>
      <c r="AT313" s="22" t="n"/>
      <c r="AU313" s="22" t="n"/>
      <c r="AV313" s="22" t="n"/>
      <c r="AW313" s="22" t="n"/>
      <c r="AX313" s="22" t="n"/>
      <c r="AY313" s="22" t="n"/>
      <c r="AZ313" s="22" t="n"/>
      <c r="BA313" s="22" t="n"/>
      <c r="BB313" s="22" t="n"/>
      <c r="BC313" s="22" t="n"/>
      <c r="BD313" s="22" t="n"/>
      <c r="BE313" s="22" t="n"/>
      <c r="BF313" s="22" t="n"/>
      <c r="BG313" s="22" t="n"/>
      <c r="BH313" s="22" t="n"/>
      <c r="BI313" s="22" t="n"/>
      <c r="BJ313" s="22" t="n"/>
      <c r="BK313" s="22" t="n"/>
      <c r="BL313" s="22" t="n"/>
      <c r="BM313" s="22" t="n"/>
      <c r="BN313" s="22" t="n"/>
      <c r="BO313" s="22" t="n"/>
      <c r="BP313" s="22" t="n"/>
      <c r="BQ313" s="31" t="n"/>
      <c r="BR313" s="31" t="n"/>
      <c r="BS313" s="31" t="n"/>
      <c r="BT313" s="31" t="n"/>
    </row>
    <row r="314" ht="15.75" customHeight="1" s="349">
      <c r="A314" s="22" t="n"/>
      <c r="B314" s="22" t="n"/>
      <c r="C314" s="22" t="n"/>
      <c r="D314" s="22" t="n"/>
      <c r="E314" s="22" t="n"/>
      <c r="F314" s="22"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c r="AA314" s="22" t="n"/>
      <c r="AB314" s="22" t="n"/>
      <c r="AC314" s="22" t="n"/>
      <c r="AD314" s="22" t="n"/>
      <c r="AE314" s="22" t="n"/>
      <c r="AF314" s="22" t="n"/>
      <c r="AG314" s="22" t="n"/>
      <c r="AH314" s="22" t="n"/>
      <c r="AI314" s="22" t="n"/>
      <c r="AJ314" s="22" t="n"/>
      <c r="AK314" s="22" t="n"/>
      <c r="AL314" s="22" t="n"/>
      <c r="AM314" s="22" t="n"/>
      <c r="AN314" s="22" t="n"/>
      <c r="AO314" s="22" t="n"/>
      <c r="AP314" s="22" t="n"/>
      <c r="AQ314" s="22" t="n"/>
      <c r="AR314" s="22" t="n"/>
      <c r="AS314" s="22" t="n"/>
      <c r="AT314" s="22" t="n"/>
      <c r="AU314" s="22" t="n"/>
      <c r="AV314" s="22" t="n"/>
      <c r="AW314" s="22" t="n"/>
      <c r="AX314" s="22" t="n"/>
      <c r="AY314" s="22" t="n"/>
      <c r="AZ314" s="22" t="n"/>
      <c r="BA314" s="22" t="n"/>
      <c r="BB314" s="22" t="n"/>
      <c r="BC314" s="22" t="n"/>
      <c r="BD314" s="22" t="n"/>
      <c r="BE314" s="22" t="n"/>
      <c r="BF314" s="22" t="n"/>
      <c r="BG314" s="22" t="n"/>
      <c r="BH314" s="22" t="n"/>
      <c r="BI314" s="22" t="n"/>
      <c r="BJ314" s="22" t="n"/>
      <c r="BK314" s="22" t="n"/>
      <c r="BL314" s="22" t="n"/>
      <c r="BM314" s="22" t="n"/>
      <c r="BN314" s="22" t="n"/>
      <c r="BO314" s="22" t="n"/>
      <c r="BP314" s="22" t="n"/>
      <c r="BQ314" s="31" t="n"/>
      <c r="BR314" s="31" t="n"/>
      <c r="BS314" s="31" t="n"/>
      <c r="BT314" s="31" t="n"/>
    </row>
    <row r="315" ht="15.75" customHeight="1" s="349">
      <c r="A315" s="22" t="n"/>
      <c r="B315" s="22" t="n"/>
      <c r="C315" s="22" t="n"/>
      <c r="D315" s="22" t="n"/>
      <c r="E315" s="22" t="n"/>
      <c r="F315" s="22"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c r="AA315" s="22" t="n"/>
      <c r="AB315" s="22" t="n"/>
      <c r="AC315" s="22" t="n"/>
      <c r="AD315" s="22" t="n"/>
      <c r="AE315" s="22" t="n"/>
      <c r="AF315" s="22" t="n"/>
      <c r="AG315" s="22" t="n"/>
      <c r="AH315" s="22" t="n"/>
      <c r="AI315" s="22" t="n"/>
      <c r="AJ315" s="22" t="n"/>
      <c r="AK315" s="22" t="n"/>
      <c r="AL315" s="22" t="n"/>
      <c r="AM315" s="22" t="n"/>
      <c r="AN315" s="22" t="n"/>
      <c r="AO315" s="22" t="n"/>
      <c r="AP315" s="22" t="n"/>
      <c r="AQ315" s="22" t="n"/>
      <c r="AR315" s="22" t="n"/>
      <c r="AS315" s="22" t="n"/>
      <c r="AT315" s="22" t="n"/>
      <c r="AU315" s="22" t="n"/>
      <c r="AV315" s="22" t="n"/>
      <c r="AW315" s="22" t="n"/>
      <c r="AX315" s="22" t="n"/>
      <c r="AY315" s="22" t="n"/>
      <c r="AZ315" s="22" t="n"/>
      <c r="BA315" s="22" t="n"/>
      <c r="BB315" s="22" t="n"/>
      <c r="BC315" s="22" t="n"/>
      <c r="BD315" s="22" t="n"/>
      <c r="BE315" s="22" t="n"/>
      <c r="BF315" s="22" t="n"/>
      <c r="BG315" s="22" t="n"/>
      <c r="BH315" s="22" t="n"/>
      <c r="BI315" s="22" t="n"/>
      <c r="BJ315" s="22" t="n"/>
      <c r="BK315" s="22" t="n"/>
      <c r="BL315" s="22" t="n"/>
      <c r="BM315" s="22" t="n"/>
      <c r="BN315" s="22" t="n"/>
      <c r="BO315" s="22" t="n"/>
      <c r="BP315" s="22" t="n"/>
      <c r="BQ315" s="31" t="n"/>
      <c r="BR315" s="31" t="n"/>
      <c r="BS315" s="31" t="n"/>
      <c r="BT315" s="31" t="n"/>
    </row>
    <row r="316" ht="15.75" customHeight="1" s="349">
      <c r="A316" s="22" t="n"/>
      <c r="B316" s="22" t="n"/>
      <c r="C316" s="22" t="n"/>
      <c r="D316" s="22" t="n"/>
      <c r="E316" s="22" t="n"/>
      <c r="F316" s="22"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c r="AA316" s="22" t="n"/>
      <c r="AB316" s="22" t="n"/>
      <c r="AC316" s="22" t="n"/>
      <c r="AD316" s="22" t="n"/>
      <c r="AE316" s="22" t="n"/>
      <c r="AF316" s="22" t="n"/>
      <c r="AG316" s="22" t="n"/>
      <c r="AH316" s="22" t="n"/>
      <c r="AI316" s="22" t="n"/>
      <c r="AJ316" s="22" t="n"/>
      <c r="AK316" s="22" t="n"/>
      <c r="AL316" s="22" t="n"/>
      <c r="AM316" s="22" t="n"/>
      <c r="AN316" s="22" t="n"/>
      <c r="AO316" s="22" t="n"/>
      <c r="AP316" s="22" t="n"/>
      <c r="AQ316" s="22" t="n"/>
      <c r="AR316" s="22" t="n"/>
      <c r="AS316" s="22" t="n"/>
      <c r="AT316" s="22" t="n"/>
      <c r="AU316" s="22" t="n"/>
      <c r="AV316" s="22" t="n"/>
      <c r="AW316" s="22" t="n"/>
      <c r="AX316" s="22" t="n"/>
      <c r="AY316" s="22" t="n"/>
      <c r="AZ316" s="22" t="n"/>
      <c r="BA316" s="22" t="n"/>
      <c r="BB316" s="22" t="n"/>
      <c r="BC316" s="22" t="n"/>
      <c r="BD316" s="22" t="n"/>
      <c r="BE316" s="22" t="n"/>
      <c r="BF316" s="22" t="n"/>
      <c r="BG316" s="22" t="n"/>
      <c r="BH316" s="22" t="n"/>
      <c r="BI316" s="22" t="n"/>
      <c r="BJ316" s="22" t="n"/>
      <c r="BK316" s="22" t="n"/>
      <c r="BL316" s="22" t="n"/>
      <c r="BM316" s="22" t="n"/>
      <c r="BN316" s="22" t="n"/>
      <c r="BO316" s="22" t="n"/>
      <c r="BP316" s="22" t="n"/>
      <c r="BQ316" s="31" t="n"/>
      <c r="BR316" s="31" t="n"/>
      <c r="BS316" s="31" t="n"/>
      <c r="BT316" s="31" t="n"/>
    </row>
    <row r="317" ht="15.75" customHeight="1" s="349">
      <c r="A317" s="22" t="n"/>
      <c r="B317" s="22" t="n"/>
      <c r="C317" s="22" t="n"/>
      <c r="D317" s="22" t="n"/>
      <c r="E317" s="22" t="n"/>
      <c r="F317" s="22"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c r="AA317" s="22" t="n"/>
      <c r="AB317" s="22" t="n"/>
      <c r="AC317" s="22" t="n"/>
      <c r="AD317" s="22" t="n"/>
      <c r="AE317" s="22" t="n"/>
      <c r="AF317" s="22" t="n"/>
      <c r="AG317" s="22" t="n"/>
      <c r="AH317" s="22" t="n"/>
      <c r="AI317" s="22" t="n"/>
      <c r="AJ317" s="22" t="n"/>
      <c r="AK317" s="22" t="n"/>
      <c r="AL317" s="22" t="n"/>
      <c r="AM317" s="22" t="n"/>
      <c r="AN317" s="22" t="n"/>
      <c r="AO317" s="22" t="n"/>
      <c r="AP317" s="22" t="n"/>
      <c r="AQ317" s="22" t="n"/>
      <c r="AR317" s="22" t="n"/>
      <c r="AS317" s="22" t="n"/>
      <c r="AT317" s="22" t="n"/>
      <c r="AU317" s="22" t="n"/>
      <c r="AV317" s="22" t="n"/>
      <c r="AW317" s="22" t="n"/>
      <c r="AX317" s="22" t="n"/>
      <c r="AY317" s="22" t="n"/>
      <c r="AZ317" s="22" t="n"/>
      <c r="BA317" s="22" t="n"/>
      <c r="BB317" s="22" t="n"/>
      <c r="BC317" s="22" t="n"/>
      <c r="BD317" s="22" t="n"/>
      <c r="BE317" s="22" t="n"/>
      <c r="BF317" s="22" t="n"/>
      <c r="BG317" s="22" t="n"/>
      <c r="BH317" s="22" t="n"/>
      <c r="BI317" s="22" t="n"/>
      <c r="BJ317" s="22" t="n"/>
      <c r="BK317" s="22" t="n"/>
      <c r="BL317" s="22" t="n"/>
      <c r="BM317" s="22" t="n"/>
      <c r="BN317" s="22" t="n"/>
      <c r="BO317" s="22" t="n"/>
      <c r="BP317" s="22" t="n"/>
      <c r="BQ317" s="31" t="n"/>
      <c r="BR317" s="31" t="n"/>
      <c r="BS317" s="31" t="n"/>
      <c r="BT317" s="31" t="n"/>
    </row>
    <row r="318" ht="15.75" customHeight="1" s="349">
      <c r="A318" s="22" t="n"/>
      <c r="B318" s="22" t="n"/>
      <c r="C318" s="22" t="n"/>
      <c r="D318" s="22" t="n"/>
      <c r="E318" s="22" t="n"/>
      <c r="F318" s="22"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c r="AA318" s="22" t="n"/>
      <c r="AB318" s="22" t="n"/>
      <c r="AC318" s="22" t="n"/>
      <c r="AD318" s="22" t="n"/>
      <c r="AE318" s="22" t="n"/>
      <c r="AF318" s="22" t="n"/>
      <c r="AG318" s="22" t="n"/>
      <c r="AH318" s="22" t="n"/>
      <c r="AI318" s="22" t="n"/>
      <c r="AJ318" s="22" t="n"/>
      <c r="AK318" s="22" t="n"/>
      <c r="AL318" s="22" t="n"/>
      <c r="AM318" s="22" t="n"/>
      <c r="AN318" s="22" t="n"/>
      <c r="AO318" s="22" t="n"/>
      <c r="AP318" s="22" t="n"/>
      <c r="AQ318" s="22" t="n"/>
      <c r="AR318" s="22" t="n"/>
      <c r="AS318" s="22" t="n"/>
      <c r="AT318" s="22" t="n"/>
      <c r="AU318" s="22" t="n"/>
      <c r="AV318" s="22" t="n"/>
      <c r="AW318" s="22" t="n"/>
      <c r="AX318" s="22" t="n"/>
      <c r="AY318" s="22" t="n"/>
      <c r="AZ318" s="22" t="n"/>
      <c r="BA318" s="22" t="n"/>
      <c r="BB318" s="22" t="n"/>
      <c r="BC318" s="22" t="n"/>
      <c r="BD318" s="22" t="n"/>
      <c r="BE318" s="22" t="n"/>
      <c r="BF318" s="22" t="n"/>
      <c r="BG318" s="22" t="n"/>
      <c r="BH318" s="22" t="n"/>
      <c r="BI318" s="22" t="n"/>
      <c r="BJ318" s="22" t="n"/>
      <c r="BK318" s="22" t="n"/>
      <c r="BL318" s="22" t="n"/>
      <c r="BM318" s="22" t="n"/>
      <c r="BN318" s="22" t="n"/>
      <c r="BO318" s="22" t="n"/>
      <c r="BP318" s="22" t="n"/>
      <c r="BQ318" s="31" t="n"/>
      <c r="BR318" s="31" t="n"/>
      <c r="BS318" s="31" t="n"/>
      <c r="BT318" s="31" t="n"/>
    </row>
    <row r="319" ht="15.75" customHeight="1" s="349">
      <c r="A319" s="22" t="n"/>
      <c r="B319" s="22" t="n"/>
      <c r="C319" s="22" t="n"/>
      <c r="D319" s="22" t="n"/>
      <c r="E319" s="22" t="n"/>
      <c r="F319" s="22"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c r="AA319" s="22" t="n"/>
      <c r="AB319" s="22" t="n"/>
      <c r="AC319" s="22" t="n"/>
      <c r="AD319" s="22" t="n"/>
      <c r="AE319" s="22" t="n"/>
      <c r="AF319" s="22" t="n"/>
      <c r="AG319" s="22" t="n"/>
      <c r="AH319" s="22" t="n"/>
      <c r="AI319" s="22" t="n"/>
      <c r="AJ319" s="22" t="n"/>
      <c r="AK319" s="22" t="n"/>
      <c r="AL319" s="22" t="n"/>
      <c r="AM319" s="22" t="n"/>
      <c r="AN319" s="22" t="n"/>
      <c r="AO319" s="22" t="n"/>
      <c r="AP319" s="22" t="n"/>
      <c r="AQ319" s="22" t="n"/>
      <c r="AR319" s="22" t="n"/>
      <c r="AS319" s="22" t="n"/>
      <c r="AT319" s="22" t="n"/>
      <c r="AU319" s="22" t="n"/>
      <c r="AV319" s="22" t="n"/>
      <c r="AW319" s="22" t="n"/>
      <c r="AX319" s="22" t="n"/>
      <c r="AY319" s="22" t="n"/>
      <c r="AZ319" s="22" t="n"/>
      <c r="BA319" s="22" t="n"/>
      <c r="BB319" s="22" t="n"/>
      <c r="BC319" s="22" t="n"/>
      <c r="BD319" s="22" t="n"/>
      <c r="BE319" s="22" t="n"/>
      <c r="BF319" s="22" t="n"/>
      <c r="BG319" s="22" t="n"/>
      <c r="BH319" s="22" t="n"/>
      <c r="BI319" s="22" t="n"/>
      <c r="BJ319" s="22" t="n"/>
      <c r="BK319" s="22" t="n"/>
      <c r="BL319" s="22" t="n"/>
      <c r="BM319" s="22" t="n"/>
      <c r="BN319" s="22" t="n"/>
      <c r="BO319" s="22" t="n"/>
      <c r="BP319" s="22" t="n"/>
      <c r="BQ319" s="31" t="n"/>
      <c r="BR319" s="31" t="n"/>
      <c r="BS319" s="31" t="n"/>
      <c r="BT319" s="31" t="n"/>
    </row>
    <row r="320" ht="15.75" customHeight="1" s="349">
      <c r="A320" s="22" t="n"/>
      <c r="B320" s="22" t="n"/>
      <c r="C320" s="22" t="n"/>
      <c r="D320" s="22" t="n"/>
      <c r="E320" s="22" t="n"/>
      <c r="F320" s="22"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c r="AA320" s="22" t="n"/>
      <c r="AB320" s="22" t="n"/>
      <c r="AC320" s="22" t="n"/>
      <c r="AD320" s="22" t="n"/>
      <c r="AE320" s="22" t="n"/>
      <c r="AF320" s="22" t="n"/>
      <c r="AG320" s="22" t="n"/>
      <c r="AH320" s="22" t="n"/>
      <c r="AI320" s="22" t="n"/>
      <c r="AJ320" s="22" t="n"/>
      <c r="AK320" s="22" t="n"/>
      <c r="AL320" s="22" t="n"/>
      <c r="AM320" s="22" t="n"/>
      <c r="AN320" s="22" t="n"/>
      <c r="AO320" s="22" t="n"/>
      <c r="AP320" s="22" t="n"/>
      <c r="AQ320" s="22" t="n"/>
      <c r="AR320" s="22" t="n"/>
      <c r="AS320" s="22" t="n"/>
      <c r="AT320" s="22" t="n"/>
      <c r="AU320" s="22" t="n"/>
      <c r="AV320" s="22" t="n"/>
      <c r="AW320" s="22" t="n"/>
      <c r="AX320" s="22" t="n"/>
      <c r="AY320" s="22" t="n"/>
      <c r="AZ320" s="22" t="n"/>
      <c r="BA320" s="22" t="n"/>
      <c r="BB320" s="22" t="n"/>
      <c r="BC320" s="22" t="n"/>
      <c r="BD320" s="22" t="n"/>
      <c r="BE320" s="22" t="n"/>
      <c r="BF320" s="22" t="n"/>
      <c r="BG320" s="22" t="n"/>
      <c r="BH320" s="22" t="n"/>
      <c r="BI320" s="22" t="n"/>
      <c r="BJ320" s="22" t="n"/>
      <c r="BK320" s="22" t="n"/>
      <c r="BL320" s="22" t="n"/>
      <c r="BM320" s="22" t="n"/>
      <c r="BN320" s="22" t="n"/>
      <c r="BO320" s="22" t="n"/>
      <c r="BP320" s="22" t="n"/>
      <c r="BQ320" s="31" t="n"/>
      <c r="BR320" s="31" t="n"/>
      <c r="BS320" s="31" t="n"/>
      <c r="BT320" s="31" t="n"/>
    </row>
    <row r="321" ht="15.75" customHeight="1" s="349">
      <c r="A321" s="22" t="n"/>
      <c r="B321" s="22" t="n"/>
      <c r="C321" s="22" t="n"/>
      <c r="D321" s="22" t="n"/>
      <c r="E321" s="22" t="n"/>
      <c r="F321" s="22"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c r="AA321" s="22" t="n"/>
      <c r="AB321" s="22" t="n"/>
      <c r="AC321" s="22" t="n"/>
      <c r="AD321" s="22" t="n"/>
      <c r="AE321" s="22" t="n"/>
      <c r="AF321" s="22" t="n"/>
      <c r="AG321" s="22" t="n"/>
      <c r="AH321" s="22" t="n"/>
      <c r="AI321" s="22" t="n"/>
      <c r="AJ321" s="22" t="n"/>
      <c r="AK321" s="22" t="n"/>
      <c r="AL321" s="22" t="n"/>
      <c r="AM321" s="22" t="n"/>
      <c r="AN321" s="22" t="n"/>
      <c r="AO321" s="22" t="n"/>
      <c r="AP321" s="22" t="n"/>
      <c r="AQ321" s="22" t="n"/>
      <c r="AR321" s="22" t="n"/>
      <c r="AS321" s="22" t="n"/>
      <c r="AT321" s="22" t="n"/>
      <c r="AU321" s="22" t="n"/>
      <c r="AV321" s="22" t="n"/>
      <c r="AW321" s="22" t="n"/>
      <c r="AX321" s="22" t="n"/>
      <c r="AY321" s="22" t="n"/>
      <c r="AZ321" s="22" t="n"/>
      <c r="BA321" s="22" t="n"/>
      <c r="BB321" s="22" t="n"/>
      <c r="BC321" s="22" t="n"/>
      <c r="BD321" s="22" t="n"/>
      <c r="BE321" s="22" t="n"/>
      <c r="BF321" s="22" t="n"/>
      <c r="BG321" s="22" t="n"/>
      <c r="BH321" s="22" t="n"/>
      <c r="BI321" s="22" t="n"/>
      <c r="BJ321" s="22" t="n"/>
      <c r="BK321" s="22" t="n"/>
      <c r="BL321" s="22" t="n"/>
      <c r="BM321" s="22" t="n"/>
      <c r="BN321" s="22" t="n"/>
      <c r="BO321" s="22" t="n"/>
      <c r="BP321" s="22" t="n"/>
      <c r="BQ321" s="31" t="n"/>
      <c r="BR321" s="31" t="n"/>
      <c r="BS321" s="31" t="n"/>
      <c r="BT321" s="31" t="n"/>
    </row>
    <row r="322" ht="15.75" customHeight="1" s="349">
      <c r="A322" s="22" t="n"/>
      <c r="B322" s="22" t="n"/>
      <c r="C322" s="22" t="n"/>
      <c r="D322" s="22" t="n"/>
      <c r="E322" s="22" t="n"/>
      <c r="F322" s="22"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c r="AA322" s="22" t="n"/>
      <c r="AB322" s="22" t="n"/>
      <c r="AC322" s="22" t="n"/>
      <c r="AD322" s="22" t="n"/>
      <c r="AE322" s="22" t="n"/>
      <c r="AF322" s="22" t="n"/>
      <c r="AG322" s="22" t="n"/>
      <c r="AH322" s="22" t="n"/>
      <c r="AI322" s="22" t="n"/>
      <c r="AJ322" s="22" t="n"/>
      <c r="AK322" s="22" t="n"/>
      <c r="AL322" s="22" t="n"/>
      <c r="AM322" s="22" t="n"/>
      <c r="AN322" s="22" t="n"/>
      <c r="AO322" s="22" t="n"/>
      <c r="AP322" s="22" t="n"/>
      <c r="AQ322" s="22" t="n"/>
      <c r="AR322" s="22" t="n"/>
      <c r="AS322" s="22" t="n"/>
      <c r="AT322" s="22" t="n"/>
      <c r="AU322" s="22" t="n"/>
      <c r="AV322" s="22" t="n"/>
      <c r="AW322" s="22" t="n"/>
      <c r="AX322" s="22" t="n"/>
      <c r="AY322" s="22" t="n"/>
      <c r="AZ322" s="22" t="n"/>
      <c r="BA322" s="22" t="n"/>
      <c r="BB322" s="22" t="n"/>
      <c r="BC322" s="22" t="n"/>
      <c r="BD322" s="22" t="n"/>
      <c r="BE322" s="22" t="n"/>
      <c r="BF322" s="22" t="n"/>
      <c r="BG322" s="22" t="n"/>
      <c r="BH322" s="22" t="n"/>
      <c r="BI322" s="22" t="n"/>
      <c r="BJ322" s="22" t="n"/>
      <c r="BK322" s="22" t="n"/>
      <c r="BL322" s="22" t="n"/>
      <c r="BM322" s="22" t="n"/>
      <c r="BN322" s="22" t="n"/>
      <c r="BO322" s="22" t="n"/>
      <c r="BP322" s="22" t="n"/>
      <c r="BQ322" s="31" t="n"/>
      <c r="BR322" s="31" t="n"/>
      <c r="BS322" s="31" t="n"/>
      <c r="BT322" s="31" t="n"/>
    </row>
    <row r="323" ht="15.75" customHeight="1" s="349">
      <c r="A323" s="22" t="n"/>
      <c r="B323" s="22" t="n"/>
      <c r="C323" s="22" t="n"/>
      <c r="D323" s="22" t="n"/>
      <c r="E323" s="22" t="n"/>
      <c r="F323" s="22"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c r="AA323" s="22" t="n"/>
      <c r="AB323" s="22" t="n"/>
      <c r="AC323" s="22" t="n"/>
      <c r="AD323" s="22" t="n"/>
      <c r="AE323" s="22" t="n"/>
      <c r="AF323" s="22" t="n"/>
      <c r="AG323" s="22" t="n"/>
      <c r="AH323" s="22" t="n"/>
      <c r="AI323" s="22" t="n"/>
      <c r="AJ323" s="22" t="n"/>
      <c r="AK323" s="22" t="n"/>
      <c r="AL323" s="22" t="n"/>
      <c r="AM323" s="22" t="n"/>
      <c r="AN323" s="22" t="n"/>
      <c r="AO323" s="22" t="n"/>
      <c r="AP323" s="22" t="n"/>
      <c r="AQ323" s="22" t="n"/>
      <c r="AR323" s="22" t="n"/>
      <c r="AS323" s="22" t="n"/>
      <c r="AT323" s="22" t="n"/>
      <c r="AU323" s="22" t="n"/>
      <c r="AV323" s="22" t="n"/>
      <c r="AW323" s="22" t="n"/>
      <c r="AX323" s="22" t="n"/>
      <c r="AY323" s="22" t="n"/>
      <c r="AZ323" s="22" t="n"/>
      <c r="BA323" s="22" t="n"/>
      <c r="BB323" s="22" t="n"/>
      <c r="BC323" s="22" t="n"/>
      <c r="BD323" s="22" t="n"/>
      <c r="BE323" s="22" t="n"/>
      <c r="BF323" s="22" t="n"/>
      <c r="BG323" s="22" t="n"/>
      <c r="BH323" s="22" t="n"/>
      <c r="BI323" s="22" t="n"/>
      <c r="BJ323" s="22" t="n"/>
      <c r="BK323" s="22" t="n"/>
      <c r="BL323" s="22" t="n"/>
      <c r="BM323" s="22" t="n"/>
      <c r="BN323" s="22" t="n"/>
      <c r="BO323" s="22" t="n"/>
      <c r="BP323" s="22" t="n"/>
      <c r="BQ323" s="31" t="n"/>
      <c r="BR323" s="31" t="n"/>
      <c r="BS323" s="31" t="n"/>
      <c r="BT323" s="31" t="n"/>
    </row>
    <row r="324" ht="15.75" customHeight="1" s="349">
      <c r="A324" s="22" t="n"/>
      <c r="B324" s="22" t="n"/>
      <c r="C324" s="22" t="n"/>
      <c r="D324" s="22" t="n"/>
      <c r="E324" s="22" t="n"/>
      <c r="F324" s="22"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c r="AA324" s="22" t="n"/>
      <c r="AB324" s="22" t="n"/>
      <c r="AC324" s="22" t="n"/>
      <c r="AD324" s="22" t="n"/>
      <c r="AE324" s="22" t="n"/>
      <c r="AF324" s="22" t="n"/>
      <c r="AG324" s="22" t="n"/>
      <c r="AH324" s="22" t="n"/>
      <c r="AI324" s="22" t="n"/>
      <c r="AJ324" s="22" t="n"/>
      <c r="AK324" s="22" t="n"/>
      <c r="AL324" s="22" t="n"/>
      <c r="AM324" s="22" t="n"/>
      <c r="AN324" s="22" t="n"/>
      <c r="AO324" s="22" t="n"/>
      <c r="AP324" s="22" t="n"/>
      <c r="AQ324" s="22" t="n"/>
      <c r="AR324" s="22" t="n"/>
      <c r="AS324" s="22" t="n"/>
      <c r="AT324" s="22" t="n"/>
      <c r="AU324" s="22" t="n"/>
      <c r="AV324" s="22" t="n"/>
      <c r="AW324" s="22" t="n"/>
      <c r="AX324" s="22" t="n"/>
      <c r="AY324" s="22" t="n"/>
      <c r="AZ324" s="22" t="n"/>
      <c r="BA324" s="22" t="n"/>
      <c r="BB324" s="22" t="n"/>
      <c r="BC324" s="22" t="n"/>
      <c r="BD324" s="22" t="n"/>
      <c r="BE324" s="22" t="n"/>
      <c r="BF324" s="22" t="n"/>
      <c r="BG324" s="22" t="n"/>
      <c r="BH324" s="22" t="n"/>
      <c r="BI324" s="22" t="n"/>
      <c r="BJ324" s="22" t="n"/>
      <c r="BK324" s="22" t="n"/>
      <c r="BL324" s="22" t="n"/>
      <c r="BM324" s="22" t="n"/>
      <c r="BN324" s="22" t="n"/>
      <c r="BO324" s="22" t="n"/>
      <c r="BP324" s="22" t="n"/>
      <c r="BQ324" s="31" t="n"/>
      <c r="BR324" s="31" t="n"/>
      <c r="BS324" s="31" t="n"/>
      <c r="BT324" s="31" t="n"/>
    </row>
    <row r="325" ht="15.75" customHeight="1" s="349">
      <c r="A325" s="22" t="n"/>
      <c r="B325" s="22" t="n"/>
      <c r="C325" s="22" t="n"/>
      <c r="D325" s="22" t="n"/>
      <c r="E325" s="22" t="n"/>
      <c r="F325" s="22"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c r="AA325" s="22" t="n"/>
      <c r="AB325" s="22" t="n"/>
      <c r="AC325" s="22" t="n"/>
      <c r="AD325" s="22" t="n"/>
      <c r="AE325" s="22" t="n"/>
      <c r="AF325" s="22" t="n"/>
      <c r="AG325" s="22" t="n"/>
      <c r="AH325" s="22" t="n"/>
      <c r="AI325" s="22" t="n"/>
      <c r="AJ325" s="22" t="n"/>
      <c r="AK325" s="22" t="n"/>
      <c r="AL325" s="22" t="n"/>
      <c r="AM325" s="22" t="n"/>
      <c r="AN325" s="22" t="n"/>
      <c r="AO325" s="22" t="n"/>
      <c r="AP325" s="22" t="n"/>
      <c r="AQ325" s="22" t="n"/>
      <c r="AR325" s="22" t="n"/>
      <c r="AS325" s="22" t="n"/>
      <c r="AT325" s="22" t="n"/>
      <c r="AU325" s="22" t="n"/>
      <c r="AV325" s="22" t="n"/>
      <c r="AW325" s="22" t="n"/>
      <c r="AX325" s="22" t="n"/>
      <c r="AY325" s="22" t="n"/>
      <c r="AZ325" s="22" t="n"/>
      <c r="BA325" s="22" t="n"/>
      <c r="BB325" s="22" t="n"/>
      <c r="BC325" s="22" t="n"/>
      <c r="BD325" s="22" t="n"/>
      <c r="BE325" s="22" t="n"/>
      <c r="BF325" s="22" t="n"/>
      <c r="BG325" s="22" t="n"/>
      <c r="BH325" s="22" t="n"/>
      <c r="BI325" s="22" t="n"/>
      <c r="BJ325" s="22" t="n"/>
      <c r="BK325" s="22" t="n"/>
      <c r="BL325" s="22" t="n"/>
      <c r="BM325" s="22" t="n"/>
      <c r="BN325" s="22" t="n"/>
      <c r="BO325" s="22" t="n"/>
      <c r="BP325" s="22" t="n"/>
      <c r="BQ325" s="31" t="n"/>
      <c r="BR325" s="31" t="n"/>
      <c r="BS325" s="31" t="n"/>
      <c r="BT325" s="31" t="n"/>
    </row>
    <row r="326" ht="15.75" customHeight="1" s="349">
      <c r="A326" s="22" t="n"/>
      <c r="B326" s="22" t="n"/>
      <c r="C326" s="22" t="n"/>
      <c r="D326" s="22" t="n"/>
      <c r="E326" s="22" t="n"/>
      <c r="F326" s="22"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c r="AA326" s="22" t="n"/>
      <c r="AB326" s="22" t="n"/>
      <c r="AC326" s="22" t="n"/>
      <c r="AD326" s="22" t="n"/>
      <c r="AE326" s="22" t="n"/>
      <c r="AF326" s="22" t="n"/>
      <c r="AG326" s="22" t="n"/>
      <c r="AH326" s="22" t="n"/>
      <c r="AI326" s="22" t="n"/>
      <c r="AJ326" s="22" t="n"/>
      <c r="AK326" s="22" t="n"/>
      <c r="AL326" s="22" t="n"/>
      <c r="AM326" s="22" t="n"/>
      <c r="AN326" s="22" t="n"/>
      <c r="AO326" s="22" t="n"/>
      <c r="AP326" s="22" t="n"/>
      <c r="AQ326" s="22" t="n"/>
      <c r="AR326" s="22" t="n"/>
      <c r="AS326" s="22" t="n"/>
      <c r="AT326" s="22" t="n"/>
      <c r="AU326" s="22" t="n"/>
      <c r="AV326" s="22" t="n"/>
      <c r="AW326" s="22" t="n"/>
      <c r="AX326" s="22" t="n"/>
      <c r="AY326" s="22" t="n"/>
      <c r="AZ326" s="22" t="n"/>
      <c r="BA326" s="22" t="n"/>
      <c r="BB326" s="22" t="n"/>
      <c r="BC326" s="22" t="n"/>
      <c r="BD326" s="22" t="n"/>
      <c r="BE326" s="22" t="n"/>
      <c r="BF326" s="22" t="n"/>
      <c r="BG326" s="22" t="n"/>
      <c r="BH326" s="22" t="n"/>
      <c r="BI326" s="22" t="n"/>
      <c r="BJ326" s="22" t="n"/>
      <c r="BK326" s="22" t="n"/>
      <c r="BL326" s="22" t="n"/>
      <c r="BM326" s="22" t="n"/>
      <c r="BN326" s="22" t="n"/>
      <c r="BO326" s="22" t="n"/>
      <c r="BP326" s="22" t="n"/>
      <c r="BQ326" s="31" t="n"/>
      <c r="BR326" s="31" t="n"/>
      <c r="BS326" s="31" t="n"/>
      <c r="BT326" s="31" t="n"/>
    </row>
    <row r="327" ht="15.75" customHeight="1" s="349">
      <c r="A327" s="22" t="n"/>
      <c r="B327" s="22" t="n"/>
      <c r="C327" s="22" t="n"/>
      <c r="D327" s="22" t="n"/>
      <c r="E327" s="22" t="n"/>
      <c r="F327" s="22"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c r="AA327" s="22" t="n"/>
      <c r="AB327" s="22" t="n"/>
      <c r="AC327" s="22" t="n"/>
      <c r="AD327" s="22" t="n"/>
      <c r="AE327" s="22" t="n"/>
      <c r="AF327" s="22" t="n"/>
      <c r="AG327" s="22" t="n"/>
      <c r="AH327" s="22" t="n"/>
      <c r="AI327" s="22" t="n"/>
      <c r="AJ327" s="22" t="n"/>
      <c r="AK327" s="22" t="n"/>
      <c r="AL327" s="22" t="n"/>
      <c r="AM327" s="22" t="n"/>
      <c r="AN327" s="22" t="n"/>
      <c r="AO327" s="22" t="n"/>
      <c r="AP327" s="22" t="n"/>
      <c r="AQ327" s="22" t="n"/>
      <c r="AR327" s="22" t="n"/>
      <c r="AS327" s="22" t="n"/>
      <c r="AT327" s="22" t="n"/>
      <c r="AU327" s="22" t="n"/>
      <c r="AV327" s="22" t="n"/>
      <c r="AW327" s="22" t="n"/>
      <c r="AX327" s="22" t="n"/>
      <c r="AY327" s="22" t="n"/>
      <c r="AZ327" s="22" t="n"/>
      <c r="BA327" s="22" t="n"/>
      <c r="BB327" s="22" t="n"/>
      <c r="BC327" s="22" t="n"/>
      <c r="BD327" s="22" t="n"/>
      <c r="BE327" s="22" t="n"/>
      <c r="BF327" s="22" t="n"/>
      <c r="BG327" s="22" t="n"/>
      <c r="BH327" s="22" t="n"/>
      <c r="BI327" s="22" t="n"/>
      <c r="BJ327" s="22" t="n"/>
      <c r="BK327" s="22" t="n"/>
      <c r="BL327" s="22" t="n"/>
      <c r="BM327" s="22" t="n"/>
      <c r="BN327" s="22" t="n"/>
      <c r="BO327" s="22" t="n"/>
      <c r="BP327" s="22" t="n"/>
      <c r="BQ327" s="31" t="n"/>
      <c r="BR327" s="31" t="n"/>
      <c r="BS327" s="31" t="n"/>
      <c r="BT327" s="31" t="n"/>
    </row>
    <row r="328" ht="15.75" customHeight="1" s="349">
      <c r="A328" s="22" t="n"/>
      <c r="B328" s="22" t="n"/>
      <c r="C328" s="22" t="n"/>
      <c r="D328" s="22" t="n"/>
      <c r="E328" s="22" t="n"/>
      <c r="F328" s="22"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c r="AA328" s="22" t="n"/>
      <c r="AB328" s="22" t="n"/>
      <c r="AC328" s="22" t="n"/>
      <c r="AD328" s="22" t="n"/>
      <c r="AE328" s="22" t="n"/>
      <c r="AF328" s="22" t="n"/>
      <c r="AG328" s="22" t="n"/>
      <c r="AH328" s="22" t="n"/>
      <c r="AI328" s="22" t="n"/>
      <c r="AJ328" s="22" t="n"/>
      <c r="AK328" s="22" t="n"/>
      <c r="AL328" s="22" t="n"/>
      <c r="AM328" s="22" t="n"/>
      <c r="AN328" s="22" t="n"/>
      <c r="AO328" s="22" t="n"/>
      <c r="AP328" s="22" t="n"/>
      <c r="AQ328" s="22" t="n"/>
      <c r="AR328" s="22" t="n"/>
      <c r="AS328" s="22" t="n"/>
      <c r="AT328" s="22" t="n"/>
      <c r="AU328" s="22" t="n"/>
      <c r="AV328" s="22" t="n"/>
      <c r="AW328" s="22" t="n"/>
      <c r="AX328" s="22" t="n"/>
      <c r="AY328" s="22" t="n"/>
      <c r="AZ328" s="22" t="n"/>
      <c r="BA328" s="22" t="n"/>
      <c r="BB328" s="22" t="n"/>
      <c r="BC328" s="22" t="n"/>
      <c r="BD328" s="22" t="n"/>
      <c r="BE328" s="22" t="n"/>
      <c r="BF328" s="22" t="n"/>
      <c r="BG328" s="22" t="n"/>
      <c r="BH328" s="22" t="n"/>
      <c r="BI328" s="22" t="n"/>
      <c r="BJ328" s="22" t="n"/>
      <c r="BK328" s="22" t="n"/>
      <c r="BL328" s="22" t="n"/>
      <c r="BM328" s="22" t="n"/>
      <c r="BN328" s="22" t="n"/>
      <c r="BO328" s="22" t="n"/>
      <c r="BP328" s="22" t="n"/>
      <c r="BQ328" s="31" t="n"/>
      <c r="BR328" s="31" t="n"/>
      <c r="BS328" s="31" t="n"/>
      <c r="BT328" s="31" t="n"/>
    </row>
    <row r="329" ht="15.75" customHeight="1" s="349">
      <c r="A329" s="22" t="n"/>
      <c r="B329" s="22" t="n"/>
      <c r="C329" s="22" t="n"/>
      <c r="D329" s="22" t="n"/>
      <c r="E329" s="22" t="n"/>
      <c r="F329" s="22"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c r="AA329" s="22" t="n"/>
      <c r="AB329" s="22" t="n"/>
      <c r="AC329" s="22" t="n"/>
      <c r="AD329" s="22" t="n"/>
      <c r="AE329" s="22" t="n"/>
      <c r="AF329" s="22" t="n"/>
      <c r="AG329" s="22" t="n"/>
      <c r="AH329" s="22" t="n"/>
      <c r="AI329" s="22" t="n"/>
      <c r="AJ329" s="22" t="n"/>
      <c r="AK329" s="22" t="n"/>
      <c r="AL329" s="22" t="n"/>
      <c r="AM329" s="22" t="n"/>
      <c r="AN329" s="22" t="n"/>
      <c r="AO329" s="22" t="n"/>
      <c r="AP329" s="22" t="n"/>
      <c r="AQ329" s="22" t="n"/>
      <c r="AR329" s="22" t="n"/>
      <c r="AS329" s="22" t="n"/>
      <c r="AT329" s="22" t="n"/>
      <c r="AU329" s="22" t="n"/>
      <c r="AV329" s="22" t="n"/>
      <c r="AW329" s="22" t="n"/>
      <c r="AX329" s="22" t="n"/>
      <c r="AY329" s="22" t="n"/>
      <c r="AZ329" s="22" t="n"/>
      <c r="BA329" s="22" t="n"/>
      <c r="BB329" s="22" t="n"/>
      <c r="BC329" s="22" t="n"/>
      <c r="BD329" s="22" t="n"/>
      <c r="BE329" s="22" t="n"/>
      <c r="BF329" s="22" t="n"/>
      <c r="BG329" s="22" t="n"/>
      <c r="BH329" s="22" t="n"/>
      <c r="BI329" s="22" t="n"/>
      <c r="BJ329" s="22" t="n"/>
      <c r="BK329" s="22" t="n"/>
      <c r="BL329" s="22" t="n"/>
      <c r="BM329" s="22" t="n"/>
      <c r="BN329" s="22" t="n"/>
      <c r="BO329" s="22" t="n"/>
      <c r="BP329" s="22" t="n"/>
      <c r="BQ329" s="31" t="n"/>
      <c r="BR329" s="31" t="n"/>
      <c r="BS329" s="31" t="n"/>
      <c r="BT329" s="31" t="n"/>
    </row>
    <row r="330" ht="15.75" customHeight="1" s="349">
      <c r="A330" s="22" t="n"/>
      <c r="B330" s="22" t="n"/>
      <c r="C330" s="22" t="n"/>
      <c r="D330" s="22" t="n"/>
      <c r="E330" s="22" t="n"/>
      <c r="F330" s="22"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c r="AA330" s="22" t="n"/>
      <c r="AB330" s="22" t="n"/>
      <c r="AC330" s="22" t="n"/>
      <c r="AD330" s="22" t="n"/>
      <c r="AE330" s="22" t="n"/>
      <c r="AF330" s="22" t="n"/>
      <c r="AG330" s="22" t="n"/>
      <c r="AH330" s="22" t="n"/>
      <c r="AI330" s="22" t="n"/>
      <c r="AJ330" s="22" t="n"/>
      <c r="AK330" s="22" t="n"/>
      <c r="AL330" s="22" t="n"/>
      <c r="AM330" s="22" t="n"/>
      <c r="AN330" s="22" t="n"/>
      <c r="AO330" s="22" t="n"/>
      <c r="AP330" s="22" t="n"/>
      <c r="AQ330" s="22" t="n"/>
      <c r="AR330" s="22" t="n"/>
      <c r="AS330" s="22" t="n"/>
      <c r="AT330" s="22" t="n"/>
      <c r="AU330" s="22" t="n"/>
      <c r="AV330" s="22" t="n"/>
      <c r="AW330" s="22" t="n"/>
      <c r="AX330" s="22" t="n"/>
      <c r="AY330" s="22" t="n"/>
      <c r="AZ330" s="22" t="n"/>
      <c r="BA330" s="22" t="n"/>
      <c r="BB330" s="22" t="n"/>
      <c r="BC330" s="22" t="n"/>
      <c r="BD330" s="22" t="n"/>
      <c r="BE330" s="22" t="n"/>
      <c r="BF330" s="22" t="n"/>
      <c r="BG330" s="22" t="n"/>
      <c r="BH330" s="22" t="n"/>
      <c r="BI330" s="22" t="n"/>
      <c r="BJ330" s="22" t="n"/>
      <c r="BK330" s="22" t="n"/>
      <c r="BL330" s="22" t="n"/>
      <c r="BM330" s="22" t="n"/>
      <c r="BN330" s="22" t="n"/>
      <c r="BO330" s="22" t="n"/>
      <c r="BP330" s="22" t="n"/>
      <c r="BQ330" s="31" t="n"/>
      <c r="BR330" s="31" t="n"/>
      <c r="BS330" s="31" t="n"/>
      <c r="BT330" s="31" t="n"/>
    </row>
    <row r="331" ht="15.75" customHeight="1" s="349">
      <c r="A331" s="22" t="n"/>
      <c r="B331" s="22" t="n"/>
      <c r="C331" s="22" t="n"/>
      <c r="D331" s="22" t="n"/>
      <c r="E331" s="22" t="n"/>
      <c r="F331" s="22"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c r="AA331" s="22" t="n"/>
      <c r="AB331" s="22" t="n"/>
      <c r="AC331" s="22" t="n"/>
      <c r="AD331" s="22" t="n"/>
      <c r="AE331" s="22" t="n"/>
      <c r="AF331" s="22" t="n"/>
      <c r="AG331" s="22" t="n"/>
      <c r="AH331" s="22" t="n"/>
      <c r="AI331" s="22" t="n"/>
      <c r="AJ331" s="22" t="n"/>
      <c r="AK331" s="22" t="n"/>
      <c r="AL331" s="22" t="n"/>
      <c r="AM331" s="22" t="n"/>
      <c r="AN331" s="22" t="n"/>
      <c r="AO331" s="22" t="n"/>
      <c r="AP331" s="22" t="n"/>
      <c r="AQ331" s="22" t="n"/>
      <c r="AR331" s="22" t="n"/>
      <c r="AS331" s="22" t="n"/>
      <c r="AT331" s="22" t="n"/>
      <c r="AU331" s="22" t="n"/>
      <c r="AV331" s="22" t="n"/>
      <c r="AW331" s="22" t="n"/>
      <c r="AX331" s="22" t="n"/>
      <c r="AY331" s="22" t="n"/>
      <c r="AZ331" s="22" t="n"/>
      <c r="BA331" s="22" t="n"/>
      <c r="BB331" s="22" t="n"/>
      <c r="BC331" s="22" t="n"/>
      <c r="BD331" s="22" t="n"/>
      <c r="BE331" s="22" t="n"/>
      <c r="BF331" s="22" t="n"/>
      <c r="BG331" s="22" t="n"/>
      <c r="BH331" s="22" t="n"/>
      <c r="BI331" s="22" t="n"/>
      <c r="BJ331" s="22" t="n"/>
      <c r="BK331" s="22" t="n"/>
      <c r="BL331" s="22" t="n"/>
      <c r="BM331" s="22" t="n"/>
      <c r="BN331" s="22" t="n"/>
      <c r="BO331" s="22" t="n"/>
      <c r="BP331" s="22" t="n"/>
      <c r="BQ331" s="31" t="n"/>
      <c r="BR331" s="31" t="n"/>
      <c r="BS331" s="31" t="n"/>
      <c r="BT331" s="31" t="n"/>
    </row>
    <row r="332" ht="15.75" customHeight="1" s="349">
      <c r="A332" s="22" t="n"/>
      <c r="B332" s="22" t="n"/>
      <c r="C332" s="22" t="n"/>
      <c r="D332" s="22" t="n"/>
      <c r="E332" s="22" t="n"/>
      <c r="F332" s="22"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c r="AA332" s="22" t="n"/>
      <c r="AB332" s="22" t="n"/>
      <c r="AC332" s="22" t="n"/>
      <c r="AD332" s="22" t="n"/>
      <c r="AE332" s="22" t="n"/>
      <c r="AF332" s="22" t="n"/>
      <c r="AG332" s="22" t="n"/>
      <c r="AH332" s="22" t="n"/>
      <c r="AI332" s="22" t="n"/>
      <c r="AJ332" s="22" t="n"/>
      <c r="AK332" s="22" t="n"/>
      <c r="AL332" s="22" t="n"/>
      <c r="AM332" s="22" t="n"/>
      <c r="AN332" s="22" t="n"/>
      <c r="AO332" s="22" t="n"/>
      <c r="AP332" s="22" t="n"/>
      <c r="AQ332" s="22" t="n"/>
      <c r="AR332" s="22" t="n"/>
      <c r="AS332" s="22" t="n"/>
      <c r="AT332" s="22" t="n"/>
      <c r="AU332" s="22" t="n"/>
      <c r="AV332" s="22" t="n"/>
      <c r="AW332" s="22" t="n"/>
      <c r="AX332" s="22" t="n"/>
      <c r="AY332" s="22" t="n"/>
      <c r="AZ332" s="22" t="n"/>
      <c r="BA332" s="22" t="n"/>
      <c r="BB332" s="22" t="n"/>
      <c r="BC332" s="22" t="n"/>
      <c r="BD332" s="22" t="n"/>
      <c r="BE332" s="22" t="n"/>
      <c r="BF332" s="22" t="n"/>
      <c r="BG332" s="22" t="n"/>
      <c r="BH332" s="22" t="n"/>
      <c r="BI332" s="22" t="n"/>
      <c r="BJ332" s="22" t="n"/>
      <c r="BK332" s="22" t="n"/>
      <c r="BL332" s="22" t="n"/>
      <c r="BM332" s="22" t="n"/>
      <c r="BN332" s="22" t="n"/>
      <c r="BO332" s="22" t="n"/>
      <c r="BP332" s="22" t="n"/>
      <c r="BQ332" s="31" t="n"/>
      <c r="BR332" s="31" t="n"/>
      <c r="BS332" s="31" t="n"/>
      <c r="BT332" s="31" t="n"/>
    </row>
    <row r="333" ht="15.75" customHeight="1" s="349">
      <c r="A333" s="22" t="n"/>
      <c r="B333" s="22" t="n"/>
      <c r="C333" s="22" t="n"/>
      <c r="D333" s="22" t="n"/>
      <c r="E333" s="22" t="n"/>
      <c r="F333" s="22"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c r="AA333" s="22" t="n"/>
      <c r="AB333" s="22" t="n"/>
      <c r="AC333" s="22" t="n"/>
      <c r="AD333" s="22" t="n"/>
      <c r="AE333" s="22" t="n"/>
      <c r="AF333" s="22" t="n"/>
      <c r="AG333" s="22" t="n"/>
      <c r="AH333" s="22" t="n"/>
      <c r="AI333" s="22" t="n"/>
      <c r="AJ333" s="22" t="n"/>
      <c r="AK333" s="22" t="n"/>
      <c r="AL333" s="22" t="n"/>
      <c r="AM333" s="22" t="n"/>
      <c r="AN333" s="22" t="n"/>
      <c r="AO333" s="22" t="n"/>
      <c r="AP333" s="22" t="n"/>
      <c r="AQ333" s="22" t="n"/>
      <c r="AR333" s="22" t="n"/>
      <c r="AS333" s="22" t="n"/>
      <c r="AT333" s="22" t="n"/>
      <c r="AU333" s="22" t="n"/>
      <c r="AV333" s="22" t="n"/>
      <c r="AW333" s="22" t="n"/>
      <c r="AX333" s="22" t="n"/>
      <c r="AY333" s="22" t="n"/>
      <c r="AZ333" s="22" t="n"/>
      <c r="BA333" s="22" t="n"/>
      <c r="BB333" s="22" t="n"/>
      <c r="BC333" s="22" t="n"/>
      <c r="BD333" s="22" t="n"/>
      <c r="BE333" s="22" t="n"/>
      <c r="BF333" s="22" t="n"/>
      <c r="BG333" s="22" t="n"/>
      <c r="BH333" s="22" t="n"/>
      <c r="BI333" s="22" t="n"/>
      <c r="BJ333" s="22" t="n"/>
      <c r="BK333" s="22" t="n"/>
      <c r="BL333" s="22" t="n"/>
      <c r="BM333" s="22" t="n"/>
      <c r="BN333" s="22" t="n"/>
      <c r="BO333" s="22" t="n"/>
      <c r="BP333" s="22" t="n"/>
      <c r="BQ333" s="31" t="n"/>
      <c r="BR333" s="31" t="n"/>
      <c r="BS333" s="31" t="n"/>
      <c r="BT333" s="31" t="n"/>
    </row>
    <row r="334" ht="15.75" customHeight="1" s="349">
      <c r="A334" s="22" t="n"/>
      <c r="B334" s="22" t="n"/>
      <c r="C334" s="22" t="n"/>
      <c r="D334" s="22" t="n"/>
      <c r="E334" s="22" t="n"/>
      <c r="F334" s="22"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c r="AA334" s="22" t="n"/>
      <c r="AB334" s="22" t="n"/>
      <c r="AC334" s="22" t="n"/>
      <c r="AD334" s="22" t="n"/>
      <c r="AE334" s="22" t="n"/>
      <c r="AF334" s="22" t="n"/>
      <c r="AG334" s="22" t="n"/>
      <c r="AH334" s="22" t="n"/>
      <c r="AI334" s="22" t="n"/>
      <c r="AJ334" s="22" t="n"/>
      <c r="AK334" s="22" t="n"/>
      <c r="AL334" s="22" t="n"/>
      <c r="AM334" s="22" t="n"/>
      <c r="AN334" s="22" t="n"/>
      <c r="AO334" s="22" t="n"/>
      <c r="AP334" s="22" t="n"/>
      <c r="AQ334" s="22" t="n"/>
      <c r="AR334" s="22" t="n"/>
      <c r="AS334" s="22" t="n"/>
      <c r="AT334" s="22" t="n"/>
      <c r="AU334" s="22" t="n"/>
      <c r="AV334" s="22" t="n"/>
      <c r="AW334" s="22" t="n"/>
      <c r="AX334" s="22" t="n"/>
      <c r="AY334" s="22" t="n"/>
      <c r="AZ334" s="22" t="n"/>
      <c r="BA334" s="22" t="n"/>
      <c r="BB334" s="22" t="n"/>
      <c r="BC334" s="22" t="n"/>
      <c r="BD334" s="22" t="n"/>
      <c r="BE334" s="22" t="n"/>
      <c r="BF334" s="22" t="n"/>
      <c r="BG334" s="22" t="n"/>
      <c r="BH334" s="22" t="n"/>
      <c r="BI334" s="22" t="n"/>
      <c r="BJ334" s="22" t="n"/>
      <c r="BK334" s="22" t="n"/>
      <c r="BL334" s="22" t="n"/>
      <c r="BM334" s="22" t="n"/>
      <c r="BN334" s="22" t="n"/>
      <c r="BO334" s="22" t="n"/>
      <c r="BP334" s="22" t="n"/>
      <c r="BQ334" s="31" t="n"/>
      <c r="BR334" s="31" t="n"/>
      <c r="BS334" s="31" t="n"/>
      <c r="BT334" s="31" t="n"/>
    </row>
    <row r="335" ht="15.75" customHeight="1" s="349">
      <c r="A335" s="22" t="n"/>
      <c r="B335" s="22" t="n"/>
      <c r="C335" s="22" t="n"/>
      <c r="D335" s="22" t="n"/>
      <c r="E335" s="22" t="n"/>
      <c r="F335" s="22"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c r="AA335" s="22" t="n"/>
      <c r="AB335" s="22" t="n"/>
      <c r="AC335" s="22" t="n"/>
      <c r="AD335" s="22" t="n"/>
      <c r="AE335" s="22" t="n"/>
      <c r="AF335" s="22" t="n"/>
      <c r="AG335" s="22" t="n"/>
      <c r="AH335" s="22" t="n"/>
      <c r="AI335" s="22" t="n"/>
      <c r="AJ335" s="22" t="n"/>
      <c r="AK335" s="22" t="n"/>
      <c r="AL335" s="22" t="n"/>
      <c r="AM335" s="22" t="n"/>
      <c r="AN335" s="22" t="n"/>
      <c r="AO335" s="22" t="n"/>
      <c r="AP335" s="22" t="n"/>
      <c r="AQ335" s="22" t="n"/>
      <c r="AR335" s="22" t="n"/>
      <c r="AS335" s="22" t="n"/>
      <c r="AT335" s="22" t="n"/>
      <c r="AU335" s="22" t="n"/>
      <c r="AV335" s="22" t="n"/>
      <c r="AW335" s="22" t="n"/>
      <c r="AX335" s="22" t="n"/>
      <c r="AY335" s="22" t="n"/>
      <c r="AZ335" s="22" t="n"/>
      <c r="BA335" s="22" t="n"/>
      <c r="BB335" s="22" t="n"/>
      <c r="BC335" s="22" t="n"/>
      <c r="BD335" s="22" t="n"/>
      <c r="BE335" s="22" t="n"/>
      <c r="BF335" s="22" t="n"/>
      <c r="BG335" s="22" t="n"/>
      <c r="BH335" s="22" t="n"/>
      <c r="BI335" s="22" t="n"/>
      <c r="BJ335" s="22" t="n"/>
      <c r="BK335" s="22" t="n"/>
      <c r="BL335" s="22" t="n"/>
      <c r="BM335" s="22" t="n"/>
      <c r="BN335" s="22" t="n"/>
      <c r="BO335" s="22" t="n"/>
      <c r="BP335" s="22" t="n"/>
      <c r="BQ335" s="31" t="n"/>
      <c r="BR335" s="31" t="n"/>
      <c r="BS335" s="31" t="n"/>
      <c r="BT335" s="31" t="n"/>
    </row>
    <row r="336" ht="15.75" customHeight="1" s="349">
      <c r="A336" s="22" t="n"/>
      <c r="B336" s="22" t="n"/>
      <c r="C336" s="22" t="n"/>
      <c r="D336" s="22" t="n"/>
      <c r="E336" s="22" t="n"/>
      <c r="F336" s="22"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c r="AA336" s="22" t="n"/>
      <c r="AB336" s="22" t="n"/>
      <c r="AC336" s="22" t="n"/>
      <c r="AD336" s="22" t="n"/>
      <c r="AE336" s="22" t="n"/>
      <c r="AF336" s="22" t="n"/>
      <c r="AG336" s="22" t="n"/>
      <c r="AH336" s="22" t="n"/>
      <c r="AI336" s="22" t="n"/>
      <c r="AJ336" s="22" t="n"/>
      <c r="AK336" s="22" t="n"/>
      <c r="AL336" s="22" t="n"/>
      <c r="AM336" s="22" t="n"/>
      <c r="AN336" s="22" t="n"/>
      <c r="AO336" s="22" t="n"/>
      <c r="AP336" s="22" t="n"/>
      <c r="AQ336" s="22" t="n"/>
      <c r="AR336" s="22" t="n"/>
      <c r="AS336" s="22" t="n"/>
      <c r="AT336" s="22" t="n"/>
      <c r="AU336" s="22" t="n"/>
      <c r="AV336" s="22" t="n"/>
      <c r="AW336" s="22" t="n"/>
      <c r="AX336" s="22" t="n"/>
      <c r="AY336" s="22" t="n"/>
      <c r="AZ336" s="22" t="n"/>
      <c r="BA336" s="22" t="n"/>
      <c r="BB336" s="22" t="n"/>
      <c r="BC336" s="22" t="n"/>
      <c r="BD336" s="22" t="n"/>
      <c r="BE336" s="22" t="n"/>
      <c r="BF336" s="22" t="n"/>
      <c r="BG336" s="22" t="n"/>
      <c r="BH336" s="22" t="n"/>
      <c r="BI336" s="22" t="n"/>
      <c r="BJ336" s="22" t="n"/>
      <c r="BK336" s="22" t="n"/>
      <c r="BL336" s="22" t="n"/>
      <c r="BM336" s="22" t="n"/>
      <c r="BN336" s="22" t="n"/>
      <c r="BO336" s="22" t="n"/>
      <c r="BP336" s="22" t="n"/>
      <c r="BQ336" s="31" t="n"/>
      <c r="BR336" s="31" t="n"/>
      <c r="BS336" s="31" t="n"/>
      <c r="BT336" s="31" t="n"/>
    </row>
    <row r="337" ht="15.75" customHeight="1" s="349">
      <c r="A337" s="22" t="n"/>
      <c r="B337" s="22" t="n"/>
      <c r="C337" s="22" t="n"/>
      <c r="D337" s="22" t="n"/>
      <c r="E337" s="22" t="n"/>
      <c r="F337" s="22"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c r="AA337" s="22" t="n"/>
      <c r="AB337" s="22" t="n"/>
      <c r="AC337" s="22" t="n"/>
      <c r="AD337" s="22" t="n"/>
      <c r="AE337" s="22" t="n"/>
      <c r="AF337" s="22" t="n"/>
      <c r="AG337" s="22" t="n"/>
      <c r="AH337" s="22" t="n"/>
      <c r="AI337" s="22" t="n"/>
      <c r="AJ337" s="22" t="n"/>
      <c r="AK337" s="22" t="n"/>
      <c r="AL337" s="22" t="n"/>
      <c r="AM337" s="22" t="n"/>
      <c r="AN337" s="22" t="n"/>
      <c r="AO337" s="22" t="n"/>
      <c r="AP337" s="22" t="n"/>
      <c r="AQ337" s="22" t="n"/>
      <c r="AR337" s="22" t="n"/>
      <c r="AS337" s="22" t="n"/>
      <c r="AT337" s="22" t="n"/>
      <c r="AU337" s="22" t="n"/>
      <c r="AV337" s="22" t="n"/>
      <c r="AW337" s="22" t="n"/>
      <c r="AX337" s="22" t="n"/>
      <c r="AY337" s="22" t="n"/>
      <c r="AZ337" s="22" t="n"/>
      <c r="BA337" s="22" t="n"/>
      <c r="BB337" s="22" t="n"/>
      <c r="BC337" s="22" t="n"/>
      <c r="BD337" s="22" t="n"/>
      <c r="BE337" s="22" t="n"/>
      <c r="BF337" s="22" t="n"/>
      <c r="BG337" s="22" t="n"/>
      <c r="BH337" s="22" t="n"/>
      <c r="BI337" s="22" t="n"/>
      <c r="BJ337" s="22" t="n"/>
      <c r="BK337" s="22" t="n"/>
      <c r="BL337" s="22" t="n"/>
      <c r="BM337" s="22" t="n"/>
      <c r="BN337" s="22" t="n"/>
      <c r="BO337" s="22" t="n"/>
      <c r="BP337" s="22" t="n"/>
      <c r="BQ337" s="31" t="n"/>
      <c r="BR337" s="31" t="n"/>
      <c r="BS337" s="31" t="n"/>
      <c r="BT337" s="31" t="n"/>
    </row>
    <row r="338" ht="15.75" customHeight="1" s="349">
      <c r="A338" s="22" t="n"/>
      <c r="B338" s="22" t="n"/>
      <c r="C338" s="22" t="n"/>
      <c r="D338" s="22" t="n"/>
      <c r="E338" s="22" t="n"/>
      <c r="F338" s="22"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c r="AA338" s="22" t="n"/>
      <c r="AB338" s="22" t="n"/>
      <c r="AC338" s="22" t="n"/>
      <c r="AD338" s="22" t="n"/>
      <c r="AE338" s="22" t="n"/>
      <c r="AF338" s="22" t="n"/>
      <c r="AG338" s="22" t="n"/>
      <c r="AH338" s="22" t="n"/>
      <c r="AI338" s="22" t="n"/>
      <c r="AJ338" s="22" t="n"/>
      <c r="AK338" s="22" t="n"/>
      <c r="AL338" s="22" t="n"/>
      <c r="AM338" s="22" t="n"/>
      <c r="AN338" s="22" t="n"/>
      <c r="AO338" s="22" t="n"/>
      <c r="AP338" s="22" t="n"/>
      <c r="AQ338" s="22" t="n"/>
      <c r="AR338" s="22" t="n"/>
      <c r="AS338" s="22" t="n"/>
      <c r="AT338" s="22" t="n"/>
      <c r="AU338" s="22" t="n"/>
      <c r="AV338" s="22" t="n"/>
      <c r="AW338" s="22" t="n"/>
      <c r="AX338" s="22" t="n"/>
      <c r="AY338" s="22" t="n"/>
      <c r="AZ338" s="22" t="n"/>
      <c r="BA338" s="22" t="n"/>
      <c r="BB338" s="22" t="n"/>
      <c r="BC338" s="22" t="n"/>
      <c r="BD338" s="22" t="n"/>
      <c r="BE338" s="22" t="n"/>
      <c r="BF338" s="22" t="n"/>
      <c r="BG338" s="22" t="n"/>
      <c r="BH338" s="22" t="n"/>
      <c r="BI338" s="22" t="n"/>
      <c r="BJ338" s="22" t="n"/>
      <c r="BK338" s="22" t="n"/>
      <c r="BL338" s="22" t="n"/>
      <c r="BM338" s="22" t="n"/>
      <c r="BN338" s="22" t="n"/>
      <c r="BO338" s="22" t="n"/>
      <c r="BP338" s="22" t="n"/>
      <c r="BQ338" s="31" t="n"/>
      <c r="BR338" s="31" t="n"/>
      <c r="BS338" s="31" t="n"/>
      <c r="BT338" s="31" t="n"/>
    </row>
    <row r="339" ht="15.75" customHeight="1" s="349">
      <c r="A339" s="22" t="n"/>
      <c r="B339" s="22" t="n"/>
      <c r="C339" s="22" t="n"/>
      <c r="D339" s="22" t="n"/>
      <c r="E339" s="22" t="n"/>
      <c r="F339" s="22"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c r="AA339" s="22" t="n"/>
      <c r="AB339" s="22" t="n"/>
      <c r="AC339" s="22" t="n"/>
      <c r="AD339" s="22" t="n"/>
      <c r="AE339" s="22" t="n"/>
      <c r="AF339" s="22" t="n"/>
      <c r="AG339" s="22" t="n"/>
      <c r="AH339" s="22" t="n"/>
      <c r="AI339" s="22" t="n"/>
      <c r="AJ339" s="22" t="n"/>
      <c r="AK339" s="22" t="n"/>
      <c r="AL339" s="22" t="n"/>
      <c r="AM339" s="22" t="n"/>
      <c r="AN339" s="22" t="n"/>
      <c r="AO339" s="22" t="n"/>
      <c r="AP339" s="22" t="n"/>
      <c r="AQ339" s="22" t="n"/>
      <c r="AR339" s="22" t="n"/>
      <c r="AS339" s="22" t="n"/>
      <c r="AT339" s="22" t="n"/>
      <c r="AU339" s="22" t="n"/>
      <c r="AV339" s="22" t="n"/>
      <c r="AW339" s="22" t="n"/>
      <c r="AX339" s="22" t="n"/>
      <c r="AY339" s="22" t="n"/>
      <c r="AZ339" s="22" t="n"/>
      <c r="BA339" s="22" t="n"/>
      <c r="BB339" s="22" t="n"/>
      <c r="BC339" s="22" t="n"/>
      <c r="BD339" s="22" t="n"/>
      <c r="BE339" s="22" t="n"/>
      <c r="BF339" s="22" t="n"/>
      <c r="BG339" s="22" t="n"/>
      <c r="BH339" s="22" t="n"/>
      <c r="BI339" s="22" t="n"/>
      <c r="BJ339" s="22" t="n"/>
      <c r="BK339" s="22" t="n"/>
      <c r="BL339" s="22" t="n"/>
      <c r="BM339" s="22" t="n"/>
      <c r="BN339" s="22" t="n"/>
      <c r="BO339" s="22" t="n"/>
      <c r="BP339" s="22" t="n"/>
      <c r="BQ339" s="31" t="n"/>
      <c r="BR339" s="31" t="n"/>
      <c r="BS339" s="31" t="n"/>
      <c r="BT339" s="31" t="n"/>
    </row>
    <row r="340" ht="15.75" customHeight="1" s="349">
      <c r="A340" s="22" t="n"/>
      <c r="B340" s="22" t="n"/>
      <c r="C340" s="22" t="n"/>
      <c r="D340" s="22" t="n"/>
      <c r="E340" s="22" t="n"/>
      <c r="F340" s="22"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c r="AA340" s="22" t="n"/>
      <c r="AB340" s="22" t="n"/>
      <c r="AC340" s="22" t="n"/>
      <c r="AD340" s="22" t="n"/>
      <c r="AE340" s="22" t="n"/>
      <c r="AF340" s="22" t="n"/>
      <c r="AG340" s="22" t="n"/>
      <c r="AH340" s="22" t="n"/>
      <c r="AI340" s="22" t="n"/>
      <c r="AJ340" s="22" t="n"/>
      <c r="AK340" s="22" t="n"/>
      <c r="AL340" s="22" t="n"/>
      <c r="AM340" s="22" t="n"/>
      <c r="AN340" s="22" t="n"/>
      <c r="AO340" s="22" t="n"/>
      <c r="AP340" s="22" t="n"/>
      <c r="AQ340" s="22" t="n"/>
      <c r="AR340" s="22" t="n"/>
      <c r="AS340" s="22" t="n"/>
      <c r="AT340" s="22" t="n"/>
      <c r="AU340" s="22" t="n"/>
      <c r="AV340" s="22" t="n"/>
      <c r="AW340" s="22" t="n"/>
      <c r="AX340" s="22" t="n"/>
      <c r="AY340" s="22" t="n"/>
      <c r="AZ340" s="22" t="n"/>
      <c r="BA340" s="22" t="n"/>
      <c r="BB340" s="22" t="n"/>
      <c r="BC340" s="22" t="n"/>
      <c r="BD340" s="22" t="n"/>
      <c r="BE340" s="22" t="n"/>
      <c r="BF340" s="22" t="n"/>
      <c r="BG340" s="22" t="n"/>
      <c r="BH340" s="22" t="n"/>
      <c r="BI340" s="22" t="n"/>
      <c r="BJ340" s="22" t="n"/>
      <c r="BK340" s="22" t="n"/>
      <c r="BL340" s="22" t="n"/>
      <c r="BM340" s="22" t="n"/>
      <c r="BN340" s="22" t="n"/>
      <c r="BO340" s="22" t="n"/>
      <c r="BP340" s="22" t="n"/>
      <c r="BQ340" s="31" t="n"/>
      <c r="BR340" s="31" t="n"/>
      <c r="BS340" s="31" t="n"/>
      <c r="BT340" s="31" t="n"/>
    </row>
    <row r="341" ht="15.75" customHeight="1" s="349">
      <c r="A341" s="22" t="n"/>
      <c r="B341" s="22" t="n"/>
      <c r="C341" s="22" t="n"/>
      <c r="D341" s="22" t="n"/>
      <c r="E341" s="22" t="n"/>
      <c r="F341" s="22"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c r="AA341" s="22" t="n"/>
      <c r="AB341" s="22" t="n"/>
      <c r="AC341" s="22" t="n"/>
      <c r="AD341" s="22" t="n"/>
      <c r="AE341" s="22" t="n"/>
      <c r="AF341" s="22" t="n"/>
      <c r="AG341" s="22" t="n"/>
      <c r="AH341" s="22" t="n"/>
      <c r="AI341" s="22" t="n"/>
      <c r="AJ341" s="22" t="n"/>
      <c r="AK341" s="22" t="n"/>
      <c r="AL341" s="22" t="n"/>
      <c r="AM341" s="22" t="n"/>
      <c r="AN341" s="22" t="n"/>
      <c r="AO341" s="22" t="n"/>
      <c r="AP341" s="22" t="n"/>
      <c r="AQ341" s="22" t="n"/>
      <c r="AR341" s="22" t="n"/>
      <c r="AS341" s="22" t="n"/>
      <c r="AT341" s="22" t="n"/>
      <c r="AU341" s="22" t="n"/>
      <c r="AV341" s="22" t="n"/>
      <c r="AW341" s="22" t="n"/>
      <c r="AX341" s="22" t="n"/>
      <c r="AY341" s="22" t="n"/>
      <c r="AZ341" s="22" t="n"/>
      <c r="BA341" s="22" t="n"/>
      <c r="BB341" s="22" t="n"/>
      <c r="BC341" s="22" t="n"/>
      <c r="BD341" s="22" t="n"/>
      <c r="BE341" s="22" t="n"/>
      <c r="BF341" s="22" t="n"/>
      <c r="BG341" s="22" t="n"/>
      <c r="BH341" s="22" t="n"/>
      <c r="BI341" s="22" t="n"/>
      <c r="BJ341" s="22" t="n"/>
      <c r="BK341" s="22" t="n"/>
      <c r="BL341" s="22" t="n"/>
      <c r="BM341" s="22" t="n"/>
      <c r="BN341" s="22" t="n"/>
      <c r="BO341" s="22" t="n"/>
      <c r="BP341" s="22" t="n"/>
      <c r="BQ341" s="31" t="n"/>
      <c r="BR341" s="31" t="n"/>
      <c r="BS341" s="31" t="n"/>
      <c r="BT341" s="31" t="n"/>
    </row>
    <row r="342" ht="15.75" customHeight="1" s="349">
      <c r="A342" s="22" t="n"/>
      <c r="B342" s="22" t="n"/>
      <c r="C342" s="22" t="n"/>
      <c r="D342" s="22" t="n"/>
      <c r="E342" s="22" t="n"/>
      <c r="F342" s="22"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c r="AA342" s="22" t="n"/>
      <c r="AB342" s="22" t="n"/>
      <c r="AC342" s="22" t="n"/>
      <c r="AD342" s="22" t="n"/>
      <c r="AE342" s="22" t="n"/>
      <c r="AF342" s="22" t="n"/>
      <c r="AG342" s="22" t="n"/>
      <c r="AH342" s="22" t="n"/>
      <c r="AI342" s="22" t="n"/>
      <c r="AJ342" s="22" t="n"/>
      <c r="AK342" s="22" t="n"/>
      <c r="AL342" s="22" t="n"/>
      <c r="AM342" s="22" t="n"/>
      <c r="AN342" s="22" t="n"/>
      <c r="AO342" s="22" t="n"/>
      <c r="AP342" s="22" t="n"/>
      <c r="AQ342" s="22" t="n"/>
      <c r="AR342" s="22" t="n"/>
      <c r="AS342" s="22" t="n"/>
      <c r="AT342" s="22" t="n"/>
      <c r="AU342" s="22" t="n"/>
      <c r="AV342" s="22" t="n"/>
      <c r="AW342" s="22" t="n"/>
      <c r="AX342" s="22" t="n"/>
      <c r="AY342" s="22" t="n"/>
      <c r="AZ342" s="22" t="n"/>
      <c r="BA342" s="22" t="n"/>
      <c r="BB342" s="22" t="n"/>
      <c r="BC342" s="22" t="n"/>
      <c r="BD342" s="22" t="n"/>
      <c r="BE342" s="22" t="n"/>
      <c r="BF342" s="22" t="n"/>
      <c r="BG342" s="22" t="n"/>
      <c r="BH342" s="22" t="n"/>
      <c r="BI342" s="22" t="n"/>
      <c r="BJ342" s="22" t="n"/>
      <c r="BK342" s="22" t="n"/>
      <c r="BL342" s="22" t="n"/>
      <c r="BM342" s="22" t="n"/>
      <c r="BN342" s="22" t="n"/>
      <c r="BO342" s="22" t="n"/>
      <c r="BP342" s="22" t="n"/>
      <c r="BQ342" s="31" t="n"/>
      <c r="BR342" s="31" t="n"/>
      <c r="BS342" s="31" t="n"/>
      <c r="BT342" s="31" t="n"/>
    </row>
    <row r="343" ht="15.75" customHeight="1" s="349">
      <c r="A343" s="22" t="n"/>
      <c r="B343" s="22" t="n"/>
      <c r="C343" s="22" t="n"/>
      <c r="D343" s="22" t="n"/>
      <c r="E343" s="22" t="n"/>
      <c r="F343" s="22"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c r="AA343" s="22" t="n"/>
      <c r="AB343" s="22" t="n"/>
      <c r="AC343" s="22" t="n"/>
      <c r="AD343" s="22" t="n"/>
      <c r="AE343" s="22" t="n"/>
      <c r="AF343" s="22" t="n"/>
      <c r="AG343" s="22" t="n"/>
      <c r="AH343" s="22" t="n"/>
      <c r="AI343" s="22" t="n"/>
      <c r="AJ343" s="22" t="n"/>
      <c r="AK343" s="22" t="n"/>
      <c r="AL343" s="22" t="n"/>
      <c r="AM343" s="22" t="n"/>
      <c r="AN343" s="22" t="n"/>
      <c r="AO343" s="22" t="n"/>
      <c r="AP343" s="22" t="n"/>
      <c r="AQ343" s="22" t="n"/>
      <c r="AR343" s="22" t="n"/>
      <c r="AS343" s="22" t="n"/>
      <c r="AT343" s="22" t="n"/>
      <c r="AU343" s="22" t="n"/>
      <c r="AV343" s="22" t="n"/>
      <c r="AW343" s="22" t="n"/>
      <c r="AX343" s="22" t="n"/>
      <c r="AY343" s="22" t="n"/>
      <c r="AZ343" s="22" t="n"/>
      <c r="BA343" s="22" t="n"/>
      <c r="BB343" s="22" t="n"/>
      <c r="BC343" s="22" t="n"/>
      <c r="BD343" s="22" t="n"/>
      <c r="BE343" s="22" t="n"/>
      <c r="BF343" s="22" t="n"/>
      <c r="BG343" s="22" t="n"/>
      <c r="BH343" s="22" t="n"/>
      <c r="BI343" s="22" t="n"/>
      <c r="BJ343" s="22" t="n"/>
      <c r="BK343" s="22" t="n"/>
      <c r="BL343" s="22" t="n"/>
      <c r="BM343" s="22" t="n"/>
      <c r="BN343" s="22" t="n"/>
      <c r="BO343" s="22" t="n"/>
      <c r="BP343" s="22" t="n"/>
      <c r="BQ343" s="31" t="n"/>
      <c r="BR343" s="31" t="n"/>
      <c r="BS343" s="31" t="n"/>
      <c r="BT343" s="31" t="n"/>
    </row>
    <row r="344" ht="15.75" customHeight="1" s="349">
      <c r="A344" s="22" t="n"/>
      <c r="B344" s="22" t="n"/>
      <c r="C344" s="22" t="n"/>
      <c r="D344" s="22" t="n"/>
      <c r="E344" s="22" t="n"/>
      <c r="F344" s="22"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c r="AA344" s="22" t="n"/>
      <c r="AB344" s="22" t="n"/>
      <c r="AC344" s="22" t="n"/>
      <c r="AD344" s="22" t="n"/>
      <c r="AE344" s="22" t="n"/>
      <c r="AF344" s="22" t="n"/>
      <c r="AG344" s="22" t="n"/>
      <c r="AH344" s="22" t="n"/>
      <c r="AI344" s="22" t="n"/>
      <c r="AJ344" s="22" t="n"/>
      <c r="AK344" s="22" t="n"/>
      <c r="AL344" s="22" t="n"/>
      <c r="AM344" s="22" t="n"/>
      <c r="AN344" s="22" t="n"/>
      <c r="AO344" s="22" t="n"/>
      <c r="AP344" s="22" t="n"/>
      <c r="AQ344" s="22" t="n"/>
      <c r="AR344" s="22" t="n"/>
      <c r="AS344" s="22" t="n"/>
      <c r="AT344" s="22" t="n"/>
      <c r="AU344" s="22" t="n"/>
      <c r="AV344" s="22" t="n"/>
      <c r="AW344" s="22" t="n"/>
      <c r="AX344" s="22" t="n"/>
      <c r="AY344" s="22" t="n"/>
      <c r="AZ344" s="22" t="n"/>
      <c r="BA344" s="22" t="n"/>
      <c r="BB344" s="22" t="n"/>
      <c r="BC344" s="22" t="n"/>
      <c r="BD344" s="22" t="n"/>
      <c r="BE344" s="22" t="n"/>
      <c r="BF344" s="22" t="n"/>
      <c r="BG344" s="22" t="n"/>
      <c r="BH344" s="22" t="n"/>
      <c r="BI344" s="22" t="n"/>
      <c r="BJ344" s="22" t="n"/>
      <c r="BK344" s="22" t="n"/>
      <c r="BL344" s="22" t="n"/>
      <c r="BM344" s="22" t="n"/>
      <c r="BN344" s="22" t="n"/>
      <c r="BO344" s="22" t="n"/>
      <c r="BP344" s="22" t="n"/>
      <c r="BQ344" s="31" t="n"/>
      <c r="BR344" s="31" t="n"/>
      <c r="BS344" s="31" t="n"/>
      <c r="BT344" s="31" t="n"/>
    </row>
    <row r="345" ht="15.75" customHeight="1" s="349">
      <c r="A345" s="22" t="n"/>
      <c r="B345" s="22" t="n"/>
      <c r="C345" s="22" t="n"/>
      <c r="D345" s="22" t="n"/>
      <c r="E345" s="22" t="n"/>
      <c r="F345" s="22"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c r="AA345" s="22" t="n"/>
      <c r="AB345" s="22" t="n"/>
      <c r="AC345" s="22" t="n"/>
      <c r="AD345" s="22" t="n"/>
      <c r="AE345" s="22" t="n"/>
      <c r="AF345" s="22" t="n"/>
      <c r="AG345" s="22" t="n"/>
      <c r="AH345" s="22" t="n"/>
      <c r="AI345" s="22" t="n"/>
      <c r="AJ345" s="22" t="n"/>
      <c r="AK345" s="22" t="n"/>
      <c r="AL345" s="22" t="n"/>
      <c r="AM345" s="22" t="n"/>
      <c r="AN345" s="22" t="n"/>
      <c r="AO345" s="22" t="n"/>
      <c r="AP345" s="22" t="n"/>
      <c r="AQ345" s="22" t="n"/>
      <c r="AR345" s="22" t="n"/>
      <c r="AS345" s="22" t="n"/>
      <c r="AT345" s="22" t="n"/>
      <c r="AU345" s="22" t="n"/>
      <c r="AV345" s="22" t="n"/>
      <c r="AW345" s="22" t="n"/>
      <c r="AX345" s="22" t="n"/>
      <c r="AY345" s="22" t="n"/>
      <c r="AZ345" s="22" t="n"/>
      <c r="BA345" s="22" t="n"/>
      <c r="BB345" s="22" t="n"/>
      <c r="BC345" s="22" t="n"/>
      <c r="BD345" s="22" t="n"/>
      <c r="BE345" s="22" t="n"/>
      <c r="BF345" s="22" t="n"/>
      <c r="BG345" s="22" t="n"/>
      <c r="BH345" s="22" t="n"/>
      <c r="BI345" s="22" t="n"/>
      <c r="BJ345" s="22" t="n"/>
      <c r="BK345" s="22" t="n"/>
      <c r="BL345" s="22" t="n"/>
      <c r="BM345" s="22" t="n"/>
      <c r="BN345" s="22" t="n"/>
      <c r="BO345" s="22" t="n"/>
      <c r="BP345" s="22" t="n"/>
      <c r="BQ345" s="31" t="n"/>
      <c r="BR345" s="31" t="n"/>
      <c r="BS345" s="31" t="n"/>
      <c r="BT345" s="31" t="n"/>
    </row>
    <row r="346" ht="15.75" customHeight="1" s="349">
      <c r="A346" s="22" t="n"/>
      <c r="B346" s="22" t="n"/>
      <c r="C346" s="22" t="n"/>
      <c r="D346" s="22" t="n"/>
      <c r="E346" s="22" t="n"/>
      <c r="F346" s="22"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c r="AA346" s="22" t="n"/>
      <c r="AB346" s="22" t="n"/>
      <c r="AC346" s="22" t="n"/>
      <c r="AD346" s="22" t="n"/>
      <c r="AE346" s="22" t="n"/>
      <c r="AF346" s="22" t="n"/>
      <c r="AG346" s="22" t="n"/>
      <c r="AH346" s="22" t="n"/>
      <c r="AI346" s="22" t="n"/>
      <c r="AJ346" s="22" t="n"/>
      <c r="AK346" s="22" t="n"/>
      <c r="AL346" s="22" t="n"/>
      <c r="AM346" s="22" t="n"/>
      <c r="AN346" s="22" t="n"/>
      <c r="AO346" s="22" t="n"/>
      <c r="AP346" s="22" t="n"/>
      <c r="AQ346" s="22" t="n"/>
      <c r="AR346" s="22" t="n"/>
      <c r="AS346" s="22" t="n"/>
      <c r="AT346" s="22" t="n"/>
      <c r="AU346" s="22" t="n"/>
      <c r="AV346" s="22" t="n"/>
      <c r="AW346" s="22" t="n"/>
      <c r="AX346" s="22" t="n"/>
      <c r="AY346" s="22" t="n"/>
      <c r="AZ346" s="22" t="n"/>
      <c r="BA346" s="22" t="n"/>
      <c r="BB346" s="22" t="n"/>
      <c r="BC346" s="22" t="n"/>
      <c r="BD346" s="22" t="n"/>
      <c r="BE346" s="22" t="n"/>
      <c r="BF346" s="22" t="n"/>
      <c r="BG346" s="22" t="n"/>
      <c r="BH346" s="22" t="n"/>
      <c r="BI346" s="22" t="n"/>
      <c r="BJ346" s="22" t="n"/>
      <c r="BK346" s="22" t="n"/>
      <c r="BL346" s="22" t="n"/>
      <c r="BM346" s="22" t="n"/>
      <c r="BN346" s="22" t="n"/>
      <c r="BO346" s="22" t="n"/>
      <c r="BP346" s="22" t="n"/>
      <c r="BQ346" s="31" t="n"/>
      <c r="BR346" s="31" t="n"/>
      <c r="BS346" s="31" t="n"/>
      <c r="BT346" s="31" t="n"/>
    </row>
    <row r="347" ht="15.75" customHeight="1" s="349">
      <c r="A347" s="22" t="n"/>
      <c r="B347" s="22" t="n"/>
      <c r="C347" s="22" t="n"/>
      <c r="D347" s="22" t="n"/>
      <c r="E347" s="22" t="n"/>
      <c r="F347" s="22"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c r="AA347" s="22" t="n"/>
      <c r="AB347" s="22" t="n"/>
      <c r="AC347" s="22" t="n"/>
      <c r="AD347" s="22" t="n"/>
      <c r="AE347" s="22" t="n"/>
      <c r="AF347" s="22" t="n"/>
      <c r="AG347" s="22" t="n"/>
      <c r="AH347" s="22" t="n"/>
      <c r="AI347" s="22" t="n"/>
      <c r="AJ347" s="22" t="n"/>
      <c r="AK347" s="22" t="n"/>
      <c r="AL347" s="22" t="n"/>
      <c r="AM347" s="22" t="n"/>
      <c r="AN347" s="22" t="n"/>
      <c r="AO347" s="22" t="n"/>
      <c r="AP347" s="22" t="n"/>
      <c r="AQ347" s="22" t="n"/>
      <c r="AR347" s="22" t="n"/>
      <c r="AS347" s="22" t="n"/>
      <c r="AT347" s="22" t="n"/>
      <c r="AU347" s="22" t="n"/>
      <c r="AV347" s="22" t="n"/>
      <c r="AW347" s="22" t="n"/>
      <c r="AX347" s="22" t="n"/>
      <c r="AY347" s="22" t="n"/>
      <c r="AZ347" s="22" t="n"/>
      <c r="BA347" s="22" t="n"/>
      <c r="BB347" s="22" t="n"/>
      <c r="BC347" s="22" t="n"/>
      <c r="BD347" s="22" t="n"/>
      <c r="BE347" s="22" t="n"/>
      <c r="BF347" s="22" t="n"/>
      <c r="BG347" s="22" t="n"/>
      <c r="BH347" s="22" t="n"/>
      <c r="BI347" s="22" t="n"/>
      <c r="BJ347" s="22" t="n"/>
      <c r="BK347" s="22" t="n"/>
      <c r="BL347" s="22" t="n"/>
      <c r="BM347" s="22" t="n"/>
      <c r="BN347" s="22" t="n"/>
      <c r="BO347" s="22" t="n"/>
      <c r="BP347" s="22" t="n"/>
      <c r="BQ347" s="31" t="n"/>
      <c r="BR347" s="31" t="n"/>
      <c r="BS347" s="31" t="n"/>
      <c r="BT347" s="31" t="n"/>
    </row>
    <row r="348" ht="15.75" customHeight="1" s="349">
      <c r="A348" s="22" t="n"/>
      <c r="B348" s="22" t="n"/>
      <c r="C348" s="22" t="n"/>
      <c r="D348" s="22" t="n"/>
      <c r="E348" s="22" t="n"/>
      <c r="F348" s="22"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c r="AA348" s="22" t="n"/>
      <c r="AB348" s="22" t="n"/>
      <c r="AC348" s="22" t="n"/>
      <c r="AD348" s="22" t="n"/>
      <c r="AE348" s="22" t="n"/>
      <c r="AF348" s="22" t="n"/>
      <c r="AG348" s="22" t="n"/>
      <c r="AH348" s="22" t="n"/>
      <c r="AI348" s="22" t="n"/>
      <c r="AJ348" s="22" t="n"/>
      <c r="AK348" s="22" t="n"/>
      <c r="AL348" s="22" t="n"/>
      <c r="AM348" s="22" t="n"/>
      <c r="AN348" s="22" t="n"/>
      <c r="AO348" s="22" t="n"/>
      <c r="AP348" s="22" t="n"/>
      <c r="AQ348" s="22" t="n"/>
      <c r="AR348" s="22" t="n"/>
      <c r="AS348" s="22" t="n"/>
      <c r="AT348" s="22" t="n"/>
      <c r="AU348" s="22" t="n"/>
      <c r="AV348" s="22" t="n"/>
      <c r="AW348" s="22" t="n"/>
      <c r="AX348" s="22" t="n"/>
      <c r="AY348" s="22" t="n"/>
      <c r="AZ348" s="22" t="n"/>
      <c r="BA348" s="22" t="n"/>
      <c r="BB348" s="22" t="n"/>
      <c r="BC348" s="22" t="n"/>
      <c r="BD348" s="22" t="n"/>
      <c r="BE348" s="22" t="n"/>
      <c r="BF348" s="22" t="n"/>
      <c r="BG348" s="22" t="n"/>
      <c r="BH348" s="22" t="n"/>
      <c r="BI348" s="22" t="n"/>
      <c r="BJ348" s="22" t="n"/>
      <c r="BK348" s="22" t="n"/>
      <c r="BL348" s="22" t="n"/>
      <c r="BM348" s="22" t="n"/>
      <c r="BN348" s="22" t="n"/>
      <c r="BO348" s="22" t="n"/>
      <c r="BP348" s="22" t="n"/>
      <c r="BQ348" s="31" t="n"/>
      <c r="BR348" s="31" t="n"/>
      <c r="BS348" s="31" t="n"/>
      <c r="BT348" s="31" t="n"/>
    </row>
    <row r="349" ht="15.75" customHeight="1" s="349">
      <c r="A349" s="22" t="n"/>
      <c r="B349" s="22" t="n"/>
      <c r="C349" s="22" t="n"/>
      <c r="D349" s="22" t="n"/>
      <c r="E349" s="22" t="n"/>
      <c r="F349" s="22"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c r="AA349" s="22" t="n"/>
      <c r="AB349" s="22" t="n"/>
      <c r="AC349" s="22" t="n"/>
      <c r="AD349" s="22" t="n"/>
      <c r="AE349" s="22" t="n"/>
      <c r="AF349" s="22" t="n"/>
      <c r="AG349" s="22" t="n"/>
      <c r="AH349" s="22" t="n"/>
      <c r="AI349" s="22" t="n"/>
      <c r="AJ349" s="22" t="n"/>
      <c r="AK349" s="22" t="n"/>
      <c r="AL349" s="22" t="n"/>
      <c r="AM349" s="22" t="n"/>
      <c r="AN349" s="22" t="n"/>
      <c r="AO349" s="22" t="n"/>
      <c r="AP349" s="22" t="n"/>
      <c r="AQ349" s="22" t="n"/>
      <c r="AR349" s="22" t="n"/>
      <c r="AS349" s="22" t="n"/>
      <c r="AT349" s="22" t="n"/>
      <c r="AU349" s="22" t="n"/>
      <c r="AV349" s="22" t="n"/>
      <c r="AW349" s="22" t="n"/>
      <c r="AX349" s="22" t="n"/>
      <c r="AY349" s="22" t="n"/>
      <c r="AZ349" s="22" t="n"/>
      <c r="BA349" s="22" t="n"/>
      <c r="BB349" s="22" t="n"/>
      <c r="BC349" s="22" t="n"/>
      <c r="BD349" s="22" t="n"/>
      <c r="BE349" s="22" t="n"/>
      <c r="BF349" s="22" t="n"/>
      <c r="BG349" s="22" t="n"/>
      <c r="BH349" s="22" t="n"/>
      <c r="BI349" s="22" t="n"/>
      <c r="BJ349" s="22" t="n"/>
      <c r="BK349" s="22" t="n"/>
      <c r="BL349" s="22" t="n"/>
      <c r="BM349" s="22" t="n"/>
      <c r="BN349" s="22" t="n"/>
      <c r="BO349" s="22" t="n"/>
      <c r="BP349" s="22" t="n"/>
      <c r="BQ349" s="31" t="n"/>
      <c r="BR349" s="31" t="n"/>
      <c r="BS349" s="31" t="n"/>
      <c r="BT349" s="31" t="n"/>
    </row>
    <row r="350" ht="15.75" customHeight="1" s="349">
      <c r="A350" s="22" t="n"/>
      <c r="B350" s="22" t="n"/>
      <c r="C350" s="22" t="n"/>
      <c r="D350" s="22" t="n"/>
      <c r="E350" s="22" t="n"/>
      <c r="F350" s="22"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c r="AA350" s="22" t="n"/>
      <c r="AB350" s="22" t="n"/>
      <c r="AC350" s="22" t="n"/>
      <c r="AD350" s="22" t="n"/>
      <c r="AE350" s="22" t="n"/>
      <c r="AF350" s="22" t="n"/>
      <c r="AG350" s="22" t="n"/>
      <c r="AH350" s="22" t="n"/>
      <c r="AI350" s="22" t="n"/>
      <c r="AJ350" s="22" t="n"/>
      <c r="AK350" s="22" t="n"/>
      <c r="AL350" s="22" t="n"/>
      <c r="AM350" s="22" t="n"/>
      <c r="AN350" s="22" t="n"/>
      <c r="AO350" s="22" t="n"/>
      <c r="AP350" s="22" t="n"/>
      <c r="AQ350" s="22" t="n"/>
      <c r="AR350" s="22" t="n"/>
      <c r="AS350" s="22" t="n"/>
      <c r="AT350" s="22" t="n"/>
      <c r="AU350" s="22" t="n"/>
      <c r="AV350" s="22" t="n"/>
      <c r="AW350" s="22" t="n"/>
      <c r="AX350" s="22" t="n"/>
      <c r="AY350" s="22" t="n"/>
      <c r="AZ350" s="22" t="n"/>
      <c r="BA350" s="22" t="n"/>
      <c r="BB350" s="22" t="n"/>
      <c r="BC350" s="22" t="n"/>
      <c r="BD350" s="22" t="n"/>
      <c r="BE350" s="22" t="n"/>
      <c r="BF350" s="22" t="n"/>
      <c r="BG350" s="22" t="n"/>
      <c r="BH350" s="22" t="n"/>
      <c r="BI350" s="22" t="n"/>
      <c r="BJ350" s="22" t="n"/>
      <c r="BK350" s="22" t="n"/>
      <c r="BL350" s="22" t="n"/>
      <c r="BM350" s="22" t="n"/>
      <c r="BN350" s="22" t="n"/>
      <c r="BO350" s="22" t="n"/>
      <c r="BP350" s="22" t="n"/>
      <c r="BQ350" s="31" t="n"/>
      <c r="BR350" s="31" t="n"/>
      <c r="BS350" s="31" t="n"/>
      <c r="BT350" s="31" t="n"/>
    </row>
    <row r="351" ht="15.75" customHeight="1" s="349">
      <c r="A351" s="22" t="n"/>
      <c r="B351" s="22" t="n"/>
      <c r="C351" s="22" t="n"/>
      <c r="D351" s="22" t="n"/>
      <c r="E351" s="22" t="n"/>
      <c r="F351" s="22"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c r="AA351" s="22" t="n"/>
      <c r="AB351" s="22" t="n"/>
      <c r="AC351" s="22" t="n"/>
      <c r="AD351" s="22" t="n"/>
      <c r="AE351" s="22" t="n"/>
      <c r="AF351" s="22" t="n"/>
      <c r="AG351" s="22" t="n"/>
      <c r="AH351" s="22" t="n"/>
      <c r="AI351" s="22" t="n"/>
      <c r="AJ351" s="22" t="n"/>
      <c r="AK351" s="22" t="n"/>
      <c r="AL351" s="22" t="n"/>
      <c r="AM351" s="22" t="n"/>
      <c r="AN351" s="22" t="n"/>
      <c r="AO351" s="22" t="n"/>
      <c r="AP351" s="22" t="n"/>
      <c r="AQ351" s="22" t="n"/>
      <c r="AR351" s="22" t="n"/>
      <c r="AS351" s="22" t="n"/>
      <c r="AT351" s="22" t="n"/>
      <c r="AU351" s="22" t="n"/>
      <c r="AV351" s="22" t="n"/>
      <c r="AW351" s="22" t="n"/>
      <c r="AX351" s="22" t="n"/>
      <c r="AY351" s="22" t="n"/>
      <c r="AZ351" s="22" t="n"/>
      <c r="BA351" s="22" t="n"/>
      <c r="BB351" s="22" t="n"/>
      <c r="BC351" s="22" t="n"/>
      <c r="BD351" s="22" t="n"/>
      <c r="BE351" s="22" t="n"/>
      <c r="BF351" s="22" t="n"/>
      <c r="BG351" s="22" t="n"/>
      <c r="BH351" s="22" t="n"/>
      <c r="BI351" s="22" t="n"/>
      <c r="BJ351" s="22" t="n"/>
      <c r="BK351" s="22" t="n"/>
      <c r="BL351" s="22" t="n"/>
      <c r="BM351" s="22" t="n"/>
      <c r="BN351" s="22" t="n"/>
      <c r="BO351" s="22" t="n"/>
      <c r="BP351" s="22" t="n"/>
      <c r="BQ351" s="31" t="n"/>
      <c r="BR351" s="31" t="n"/>
      <c r="BS351" s="31" t="n"/>
      <c r="BT351" s="31" t="n"/>
    </row>
    <row r="352" ht="15.75" customHeight="1" s="349">
      <c r="A352" s="22" t="n"/>
      <c r="B352" s="22" t="n"/>
      <c r="C352" s="22" t="n"/>
      <c r="D352" s="22" t="n"/>
      <c r="E352" s="22" t="n"/>
      <c r="F352" s="22"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c r="AA352" s="22" t="n"/>
      <c r="AB352" s="22" t="n"/>
      <c r="AC352" s="22" t="n"/>
      <c r="AD352" s="22" t="n"/>
      <c r="AE352" s="22" t="n"/>
      <c r="AF352" s="22" t="n"/>
      <c r="AG352" s="22" t="n"/>
      <c r="AH352" s="22" t="n"/>
      <c r="AI352" s="22" t="n"/>
      <c r="AJ352" s="22" t="n"/>
      <c r="AK352" s="22" t="n"/>
      <c r="AL352" s="22" t="n"/>
      <c r="AM352" s="22" t="n"/>
      <c r="AN352" s="22" t="n"/>
      <c r="AO352" s="22" t="n"/>
      <c r="AP352" s="22" t="n"/>
      <c r="AQ352" s="22" t="n"/>
      <c r="AR352" s="22" t="n"/>
      <c r="AS352" s="22" t="n"/>
      <c r="AT352" s="22" t="n"/>
      <c r="AU352" s="22" t="n"/>
      <c r="AV352" s="22" t="n"/>
      <c r="AW352" s="22" t="n"/>
      <c r="AX352" s="22" t="n"/>
      <c r="AY352" s="22" t="n"/>
      <c r="AZ352" s="22" t="n"/>
      <c r="BA352" s="22" t="n"/>
      <c r="BB352" s="22" t="n"/>
      <c r="BC352" s="22" t="n"/>
      <c r="BD352" s="22" t="n"/>
      <c r="BE352" s="22" t="n"/>
      <c r="BF352" s="22" t="n"/>
      <c r="BG352" s="22" t="n"/>
      <c r="BH352" s="22" t="n"/>
      <c r="BI352" s="22" t="n"/>
      <c r="BJ352" s="22" t="n"/>
      <c r="BK352" s="22" t="n"/>
      <c r="BL352" s="22" t="n"/>
      <c r="BM352" s="22" t="n"/>
      <c r="BN352" s="22" t="n"/>
      <c r="BO352" s="22" t="n"/>
      <c r="BP352" s="22" t="n"/>
      <c r="BQ352" s="31" t="n"/>
      <c r="BR352" s="31" t="n"/>
      <c r="BS352" s="31" t="n"/>
      <c r="BT352" s="31" t="n"/>
    </row>
    <row r="353" ht="15.75" customHeight="1" s="349">
      <c r="A353" s="22" t="n"/>
      <c r="B353" s="22" t="n"/>
      <c r="C353" s="22" t="n"/>
      <c r="D353" s="22" t="n"/>
      <c r="E353" s="22" t="n"/>
      <c r="F353" s="22"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c r="AA353" s="22" t="n"/>
      <c r="AB353" s="22" t="n"/>
      <c r="AC353" s="22" t="n"/>
      <c r="AD353" s="22" t="n"/>
      <c r="AE353" s="22" t="n"/>
      <c r="AF353" s="22" t="n"/>
      <c r="AG353" s="22" t="n"/>
      <c r="AH353" s="22" t="n"/>
      <c r="AI353" s="22" t="n"/>
      <c r="AJ353" s="22" t="n"/>
      <c r="AK353" s="22" t="n"/>
      <c r="AL353" s="22" t="n"/>
      <c r="AM353" s="22" t="n"/>
      <c r="AN353" s="22" t="n"/>
      <c r="AO353" s="22" t="n"/>
      <c r="AP353" s="22" t="n"/>
      <c r="AQ353" s="22" t="n"/>
      <c r="AR353" s="22" t="n"/>
      <c r="AS353" s="22" t="n"/>
      <c r="AT353" s="22" t="n"/>
      <c r="AU353" s="22" t="n"/>
      <c r="AV353" s="22" t="n"/>
      <c r="AW353" s="22" t="n"/>
      <c r="AX353" s="22" t="n"/>
      <c r="AY353" s="22" t="n"/>
      <c r="AZ353" s="22" t="n"/>
      <c r="BA353" s="22" t="n"/>
      <c r="BB353" s="22" t="n"/>
      <c r="BC353" s="22" t="n"/>
      <c r="BD353" s="22" t="n"/>
      <c r="BE353" s="22" t="n"/>
      <c r="BF353" s="22" t="n"/>
      <c r="BG353" s="22" t="n"/>
      <c r="BH353" s="22" t="n"/>
      <c r="BI353" s="22" t="n"/>
      <c r="BJ353" s="22" t="n"/>
      <c r="BK353" s="22" t="n"/>
      <c r="BL353" s="22" t="n"/>
      <c r="BM353" s="22" t="n"/>
      <c r="BN353" s="22" t="n"/>
      <c r="BO353" s="22" t="n"/>
      <c r="BP353" s="22" t="n"/>
      <c r="BQ353" s="31" t="n"/>
      <c r="BR353" s="31" t="n"/>
      <c r="BS353" s="31" t="n"/>
      <c r="BT353" s="31" t="n"/>
    </row>
    <row r="354" ht="15.75" customHeight="1" s="349">
      <c r="A354" s="22" t="n"/>
      <c r="B354" s="22" t="n"/>
      <c r="C354" s="22" t="n"/>
      <c r="D354" s="22" t="n"/>
      <c r="E354" s="22" t="n"/>
      <c r="F354" s="22"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c r="AA354" s="22" t="n"/>
      <c r="AB354" s="22" t="n"/>
      <c r="AC354" s="22" t="n"/>
      <c r="AD354" s="22" t="n"/>
      <c r="AE354" s="22" t="n"/>
      <c r="AF354" s="22" t="n"/>
      <c r="AG354" s="22" t="n"/>
      <c r="AH354" s="22" t="n"/>
      <c r="AI354" s="22" t="n"/>
      <c r="AJ354" s="22" t="n"/>
      <c r="AK354" s="22" t="n"/>
      <c r="AL354" s="22" t="n"/>
      <c r="AM354" s="22" t="n"/>
      <c r="AN354" s="22" t="n"/>
      <c r="AO354" s="22" t="n"/>
      <c r="AP354" s="22" t="n"/>
      <c r="AQ354" s="22" t="n"/>
      <c r="AR354" s="22" t="n"/>
      <c r="AS354" s="22" t="n"/>
      <c r="AT354" s="22" t="n"/>
      <c r="AU354" s="22" t="n"/>
      <c r="AV354" s="22" t="n"/>
      <c r="AW354" s="22" t="n"/>
      <c r="AX354" s="22" t="n"/>
      <c r="AY354" s="22" t="n"/>
      <c r="AZ354" s="22" t="n"/>
      <c r="BA354" s="22" t="n"/>
      <c r="BB354" s="22" t="n"/>
      <c r="BC354" s="22" t="n"/>
      <c r="BD354" s="22" t="n"/>
      <c r="BE354" s="22" t="n"/>
      <c r="BF354" s="22" t="n"/>
      <c r="BG354" s="22" t="n"/>
      <c r="BH354" s="22" t="n"/>
      <c r="BI354" s="22" t="n"/>
      <c r="BJ354" s="22" t="n"/>
      <c r="BK354" s="22" t="n"/>
      <c r="BL354" s="22" t="n"/>
      <c r="BM354" s="22" t="n"/>
      <c r="BN354" s="22" t="n"/>
      <c r="BO354" s="22" t="n"/>
      <c r="BP354" s="22" t="n"/>
      <c r="BQ354" s="31" t="n"/>
      <c r="BR354" s="31" t="n"/>
      <c r="BS354" s="31" t="n"/>
      <c r="BT354" s="31" t="n"/>
    </row>
    <row r="355" ht="15.75" customHeight="1" s="349">
      <c r="A355" s="22" t="n"/>
      <c r="B355" s="22" t="n"/>
      <c r="C355" s="22" t="n"/>
      <c r="D355" s="22" t="n"/>
      <c r="E355" s="22" t="n"/>
      <c r="F355" s="22"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c r="AA355" s="22" t="n"/>
      <c r="AB355" s="22" t="n"/>
      <c r="AC355" s="22" t="n"/>
      <c r="AD355" s="22" t="n"/>
      <c r="AE355" s="22" t="n"/>
      <c r="AF355" s="22" t="n"/>
      <c r="AG355" s="22" t="n"/>
      <c r="AH355" s="22" t="n"/>
      <c r="AI355" s="22" t="n"/>
      <c r="AJ355" s="22" t="n"/>
      <c r="AK355" s="22" t="n"/>
      <c r="AL355" s="22" t="n"/>
      <c r="AM355" s="22" t="n"/>
      <c r="AN355" s="22" t="n"/>
      <c r="AO355" s="22" t="n"/>
      <c r="AP355" s="22" t="n"/>
      <c r="AQ355" s="22" t="n"/>
      <c r="AR355" s="22" t="n"/>
      <c r="AS355" s="22" t="n"/>
      <c r="AT355" s="22" t="n"/>
      <c r="AU355" s="22" t="n"/>
      <c r="AV355" s="22" t="n"/>
      <c r="AW355" s="22" t="n"/>
      <c r="AX355" s="22" t="n"/>
      <c r="AY355" s="22" t="n"/>
      <c r="AZ355" s="22" t="n"/>
      <c r="BA355" s="22" t="n"/>
      <c r="BB355" s="22" t="n"/>
      <c r="BC355" s="22" t="n"/>
      <c r="BD355" s="22" t="n"/>
      <c r="BE355" s="22" t="n"/>
      <c r="BF355" s="22" t="n"/>
      <c r="BG355" s="22" t="n"/>
      <c r="BH355" s="22" t="n"/>
      <c r="BI355" s="22" t="n"/>
      <c r="BJ355" s="22" t="n"/>
      <c r="BK355" s="22" t="n"/>
      <c r="BL355" s="22" t="n"/>
      <c r="BM355" s="22" t="n"/>
      <c r="BN355" s="22" t="n"/>
      <c r="BO355" s="22" t="n"/>
      <c r="BP355" s="22" t="n"/>
      <c r="BQ355" s="31" t="n"/>
      <c r="BR355" s="31" t="n"/>
      <c r="BS355" s="31" t="n"/>
      <c r="BT355" s="31" t="n"/>
    </row>
    <row r="356" ht="15.75" customHeight="1" s="349">
      <c r="A356" s="22" t="n"/>
      <c r="B356" s="22" t="n"/>
      <c r="C356" s="22" t="n"/>
      <c r="D356" s="22" t="n"/>
      <c r="E356" s="22" t="n"/>
      <c r="F356" s="22"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c r="AA356" s="22" t="n"/>
      <c r="AB356" s="22" t="n"/>
      <c r="AC356" s="22" t="n"/>
      <c r="AD356" s="22" t="n"/>
      <c r="AE356" s="22" t="n"/>
      <c r="AF356" s="22" t="n"/>
      <c r="AG356" s="22" t="n"/>
      <c r="AH356" s="22" t="n"/>
      <c r="AI356" s="22" t="n"/>
      <c r="AJ356" s="22" t="n"/>
      <c r="AK356" s="22" t="n"/>
      <c r="AL356" s="22" t="n"/>
      <c r="AM356" s="22" t="n"/>
      <c r="AN356" s="22" t="n"/>
      <c r="AO356" s="22" t="n"/>
      <c r="AP356" s="22" t="n"/>
      <c r="AQ356" s="22" t="n"/>
      <c r="AR356" s="22" t="n"/>
      <c r="AS356" s="22" t="n"/>
      <c r="AT356" s="22" t="n"/>
      <c r="AU356" s="22" t="n"/>
      <c r="AV356" s="22" t="n"/>
      <c r="AW356" s="22" t="n"/>
      <c r="AX356" s="22" t="n"/>
      <c r="AY356" s="22" t="n"/>
      <c r="AZ356" s="22" t="n"/>
      <c r="BA356" s="22" t="n"/>
      <c r="BB356" s="22" t="n"/>
      <c r="BC356" s="22" t="n"/>
      <c r="BD356" s="22" t="n"/>
      <c r="BE356" s="22" t="n"/>
      <c r="BF356" s="22" t="n"/>
      <c r="BG356" s="22" t="n"/>
      <c r="BH356" s="22" t="n"/>
      <c r="BI356" s="22" t="n"/>
      <c r="BJ356" s="22" t="n"/>
      <c r="BK356" s="22" t="n"/>
      <c r="BL356" s="22" t="n"/>
      <c r="BM356" s="22" t="n"/>
      <c r="BN356" s="22" t="n"/>
      <c r="BO356" s="22" t="n"/>
      <c r="BP356" s="22" t="n"/>
      <c r="BQ356" s="31" t="n"/>
      <c r="BR356" s="31" t="n"/>
      <c r="BS356" s="31" t="n"/>
      <c r="BT356" s="31" t="n"/>
    </row>
    <row r="357" ht="15.75" customHeight="1" s="349">
      <c r="A357" s="22" t="n"/>
      <c r="B357" s="22" t="n"/>
      <c r="C357" s="22" t="n"/>
      <c r="D357" s="22" t="n"/>
      <c r="E357" s="22" t="n"/>
      <c r="F357" s="22"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c r="AA357" s="22" t="n"/>
      <c r="AB357" s="22" t="n"/>
      <c r="AC357" s="22" t="n"/>
      <c r="AD357" s="22" t="n"/>
      <c r="AE357" s="22" t="n"/>
      <c r="AF357" s="22" t="n"/>
      <c r="AG357" s="22" t="n"/>
      <c r="AH357" s="22" t="n"/>
      <c r="AI357" s="22" t="n"/>
      <c r="AJ357" s="22" t="n"/>
      <c r="AK357" s="22" t="n"/>
      <c r="AL357" s="22" t="n"/>
      <c r="AM357" s="22" t="n"/>
      <c r="AN357" s="22" t="n"/>
      <c r="AO357" s="22" t="n"/>
      <c r="AP357" s="22" t="n"/>
      <c r="AQ357" s="22" t="n"/>
      <c r="AR357" s="22" t="n"/>
      <c r="AS357" s="22" t="n"/>
      <c r="AT357" s="22" t="n"/>
      <c r="AU357" s="22" t="n"/>
      <c r="AV357" s="22" t="n"/>
      <c r="AW357" s="22" t="n"/>
      <c r="AX357" s="22" t="n"/>
      <c r="AY357" s="22" t="n"/>
      <c r="AZ357" s="22" t="n"/>
      <c r="BA357" s="22" t="n"/>
      <c r="BB357" s="22" t="n"/>
      <c r="BC357" s="22" t="n"/>
      <c r="BD357" s="22" t="n"/>
      <c r="BE357" s="22" t="n"/>
      <c r="BF357" s="22" t="n"/>
      <c r="BG357" s="22" t="n"/>
      <c r="BH357" s="22" t="n"/>
      <c r="BI357" s="22" t="n"/>
      <c r="BJ357" s="22" t="n"/>
      <c r="BK357" s="22" t="n"/>
      <c r="BL357" s="22" t="n"/>
      <c r="BM357" s="22" t="n"/>
      <c r="BN357" s="22" t="n"/>
      <c r="BO357" s="22" t="n"/>
      <c r="BP357" s="22" t="n"/>
      <c r="BQ357" s="31" t="n"/>
      <c r="BR357" s="31" t="n"/>
      <c r="BS357" s="31" t="n"/>
      <c r="BT357" s="31" t="n"/>
    </row>
    <row r="358" ht="15.75" customHeight="1" s="349">
      <c r="A358" s="22" t="n"/>
      <c r="B358" s="22" t="n"/>
      <c r="C358" s="22" t="n"/>
      <c r="D358" s="22" t="n"/>
      <c r="E358" s="22" t="n"/>
      <c r="F358" s="22"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c r="AA358" s="22" t="n"/>
      <c r="AB358" s="22" t="n"/>
      <c r="AC358" s="22" t="n"/>
      <c r="AD358" s="22" t="n"/>
      <c r="AE358" s="22" t="n"/>
      <c r="AF358" s="22" t="n"/>
      <c r="AG358" s="22" t="n"/>
      <c r="AH358" s="22" t="n"/>
      <c r="AI358" s="22" t="n"/>
      <c r="AJ358" s="22" t="n"/>
      <c r="AK358" s="22" t="n"/>
      <c r="AL358" s="22" t="n"/>
      <c r="AM358" s="22" t="n"/>
      <c r="AN358" s="22" t="n"/>
      <c r="AO358" s="22" t="n"/>
      <c r="AP358" s="22" t="n"/>
      <c r="AQ358" s="22" t="n"/>
      <c r="AR358" s="22" t="n"/>
      <c r="AS358" s="22" t="n"/>
      <c r="AT358" s="22" t="n"/>
      <c r="AU358" s="22" t="n"/>
      <c r="AV358" s="22" t="n"/>
      <c r="AW358" s="22" t="n"/>
      <c r="AX358" s="22" t="n"/>
      <c r="AY358" s="22" t="n"/>
      <c r="AZ358" s="22" t="n"/>
      <c r="BA358" s="22" t="n"/>
      <c r="BB358" s="22" t="n"/>
      <c r="BC358" s="22" t="n"/>
      <c r="BD358" s="22" t="n"/>
      <c r="BE358" s="22" t="n"/>
      <c r="BF358" s="22" t="n"/>
      <c r="BG358" s="22" t="n"/>
      <c r="BH358" s="22" t="n"/>
      <c r="BI358" s="22" t="n"/>
      <c r="BJ358" s="22" t="n"/>
      <c r="BK358" s="22" t="n"/>
      <c r="BL358" s="22" t="n"/>
      <c r="BM358" s="22" t="n"/>
      <c r="BN358" s="22" t="n"/>
      <c r="BO358" s="22" t="n"/>
      <c r="BP358" s="22" t="n"/>
      <c r="BQ358" s="31" t="n"/>
      <c r="BR358" s="31" t="n"/>
      <c r="BS358" s="31" t="n"/>
      <c r="BT358" s="31" t="n"/>
    </row>
    <row r="359" ht="15.75" customHeight="1" s="349">
      <c r="A359" s="22" t="n"/>
      <c r="B359" s="22" t="n"/>
      <c r="C359" s="22" t="n"/>
      <c r="D359" s="22" t="n"/>
      <c r="E359" s="22" t="n"/>
      <c r="F359" s="22"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c r="AA359" s="22" t="n"/>
      <c r="AB359" s="22" t="n"/>
      <c r="AC359" s="22" t="n"/>
      <c r="AD359" s="22" t="n"/>
      <c r="AE359" s="22" t="n"/>
      <c r="AF359" s="22" t="n"/>
      <c r="AG359" s="22" t="n"/>
      <c r="AH359" s="22" t="n"/>
      <c r="AI359" s="22" t="n"/>
      <c r="AJ359" s="22" t="n"/>
      <c r="AK359" s="22" t="n"/>
      <c r="AL359" s="22" t="n"/>
      <c r="AM359" s="22" t="n"/>
      <c r="AN359" s="22" t="n"/>
      <c r="AO359" s="22" t="n"/>
      <c r="AP359" s="22" t="n"/>
      <c r="AQ359" s="22" t="n"/>
      <c r="AR359" s="22" t="n"/>
      <c r="AS359" s="22" t="n"/>
      <c r="AT359" s="22" t="n"/>
      <c r="AU359" s="22" t="n"/>
      <c r="AV359" s="22" t="n"/>
      <c r="AW359" s="22" t="n"/>
      <c r="AX359" s="22" t="n"/>
      <c r="AY359" s="22" t="n"/>
      <c r="AZ359" s="22" t="n"/>
      <c r="BA359" s="22" t="n"/>
      <c r="BB359" s="22" t="n"/>
      <c r="BC359" s="22" t="n"/>
      <c r="BD359" s="22" t="n"/>
      <c r="BE359" s="22" t="n"/>
      <c r="BF359" s="22" t="n"/>
      <c r="BG359" s="22" t="n"/>
      <c r="BH359" s="22" t="n"/>
      <c r="BI359" s="22" t="n"/>
      <c r="BJ359" s="22" t="n"/>
      <c r="BK359" s="22" t="n"/>
      <c r="BL359" s="22" t="n"/>
      <c r="BM359" s="22" t="n"/>
      <c r="BN359" s="22" t="n"/>
      <c r="BO359" s="22" t="n"/>
      <c r="BP359" s="22" t="n"/>
      <c r="BQ359" s="31" t="n"/>
      <c r="BR359" s="31" t="n"/>
      <c r="BS359" s="31" t="n"/>
      <c r="BT359" s="31" t="n"/>
    </row>
    <row r="360" ht="15.75" customHeight="1" s="349">
      <c r="A360" s="22" t="n"/>
      <c r="B360" s="22" t="n"/>
      <c r="C360" s="22" t="n"/>
      <c r="D360" s="22" t="n"/>
      <c r="E360" s="22" t="n"/>
      <c r="F360" s="22"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c r="AA360" s="22" t="n"/>
      <c r="AB360" s="22" t="n"/>
      <c r="AC360" s="22" t="n"/>
      <c r="AD360" s="22" t="n"/>
      <c r="AE360" s="22" t="n"/>
      <c r="AF360" s="22" t="n"/>
      <c r="AG360" s="22" t="n"/>
      <c r="AH360" s="22" t="n"/>
      <c r="AI360" s="22" t="n"/>
      <c r="AJ360" s="22" t="n"/>
      <c r="AK360" s="22" t="n"/>
      <c r="AL360" s="22" t="n"/>
      <c r="AM360" s="22" t="n"/>
      <c r="AN360" s="22" t="n"/>
      <c r="AO360" s="22" t="n"/>
      <c r="AP360" s="22" t="n"/>
      <c r="AQ360" s="22" t="n"/>
      <c r="AR360" s="22" t="n"/>
      <c r="AS360" s="22" t="n"/>
      <c r="AT360" s="22" t="n"/>
      <c r="AU360" s="22" t="n"/>
      <c r="AV360" s="22" t="n"/>
      <c r="AW360" s="22" t="n"/>
      <c r="AX360" s="22" t="n"/>
      <c r="AY360" s="22" t="n"/>
      <c r="AZ360" s="22" t="n"/>
      <c r="BA360" s="22" t="n"/>
      <c r="BB360" s="22" t="n"/>
      <c r="BC360" s="22" t="n"/>
      <c r="BD360" s="22" t="n"/>
      <c r="BE360" s="22" t="n"/>
      <c r="BF360" s="22" t="n"/>
      <c r="BG360" s="22" t="n"/>
      <c r="BH360" s="22" t="n"/>
      <c r="BI360" s="22" t="n"/>
      <c r="BJ360" s="22" t="n"/>
      <c r="BK360" s="22" t="n"/>
      <c r="BL360" s="22" t="n"/>
      <c r="BM360" s="22" t="n"/>
      <c r="BN360" s="22" t="n"/>
      <c r="BO360" s="22" t="n"/>
      <c r="BP360" s="22" t="n"/>
      <c r="BQ360" s="31" t="n"/>
      <c r="BR360" s="31" t="n"/>
      <c r="BS360" s="31" t="n"/>
      <c r="BT360" s="31" t="n"/>
    </row>
    <row r="361" ht="15.75" customHeight="1" s="349">
      <c r="A361" s="22" t="n"/>
      <c r="B361" s="22" t="n"/>
      <c r="C361" s="22" t="n"/>
      <c r="D361" s="22" t="n"/>
      <c r="E361" s="22" t="n"/>
      <c r="F361" s="22"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c r="AA361" s="22" t="n"/>
      <c r="AB361" s="22" t="n"/>
      <c r="AC361" s="22" t="n"/>
      <c r="AD361" s="22" t="n"/>
      <c r="AE361" s="22" t="n"/>
      <c r="AF361" s="22" t="n"/>
      <c r="AG361" s="22" t="n"/>
      <c r="AH361" s="22" t="n"/>
      <c r="AI361" s="22" t="n"/>
      <c r="AJ361" s="22" t="n"/>
      <c r="AK361" s="22" t="n"/>
      <c r="AL361" s="22" t="n"/>
      <c r="AM361" s="22" t="n"/>
      <c r="AN361" s="22" t="n"/>
      <c r="AO361" s="22" t="n"/>
      <c r="AP361" s="22" t="n"/>
      <c r="AQ361" s="22" t="n"/>
      <c r="AR361" s="22" t="n"/>
      <c r="AS361" s="22" t="n"/>
      <c r="AT361" s="22" t="n"/>
      <c r="AU361" s="22" t="n"/>
      <c r="AV361" s="22" t="n"/>
      <c r="AW361" s="22" t="n"/>
      <c r="AX361" s="22" t="n"/>
      <c r="AY361" s="22" t="n"/>
      <c r="AZ361" s="22" t="n"/>
      <c r="BA361" s="22" t="n"/>
      <c r="BB361" s="22" t="n"/>
      <c r="BC361" s="22" t="n"/>
      <c r="BD361" s="22" t="n"/>
      <c r="BE361" s="22" t="n"/>
      <c r="BF361" s="22" t="n"/>
      <c r="BG361" s="22" t="n"/>
      <c r="BH361" s="22" t="n"/>
      <c r="BI361" s="22" t="n"/>
      <c r="BJ361" s="22" t="n"/>
      <c r="BK361" s="22" t="n"/>
      <c r="BL361" s="22" t="n"/>
      <c r="BM361" s="22" t="n"/>
      <c r="BN361" s="22" t="n"/>
      <c r="BO361" s="22" t="n"/>
      <c r="BP361" s="22" t="n"/>
      <c r="BQ361" s="31" t="n"/>
      <c r="BR361" s="31" t="n"/>
      <c r="BS361" s="31" t="n"/>
      <c r="BT361" s="31" t="n"/>
    </row>
    <row r="362" ht="15.75" customHeight="1" s="349">
      <c r="A362" s="22" t="n"/>
      <c r="B362" s="22" t="n"/>
      <c r="C362" s="22" t="n"/>
      <c r="D362" s="22" t="n"/>
      <c r="E362" s="22" t="n"/>
      <c r="F362" s="22"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c r="AA362" s="22" t="n"/>
      <c r="AB362" s="22" t="n"/>
      <c r="AC362" s="22" t="n"/>
      <c r="AD362" s="22" t="n"/>
      <c r="AE362" s="22" t="n"/>
      <c r="AF362" s="22" t="n"/>
      <c r="AG362" s="22" t="n"/>
      <c r="AH362" s="22" t="n"/>
      <c r="AI362" s="22" t="n"/>
      <c r="AJ362" s="22" t="n"/>
      <c r="AK362" s="22" t="n"/>
      <c r="AL362" s="22" t="n"/>
      <c r="AM362" s="22" t="n"/>
      <c r="AN362" s="22" t="n"/>
      <c r="AO362" s="22" t="n"/>
      <c r="AP362" s="22" t="n"/>
      <c r="AQ362" s="22" t="n"/>
      <c r="AR362" s="22" t="n"/>
      <c r="AS362" s="22" t="n"/>
      <c r="AT362" s="22" t="n"/>
      <c r="AU362" s="22" t="n"/>
      <c r="AV362" s="22" t="n"/>
      <c r="AW362" s="22" t="n"/>
      <c r="AX362" s="22" t="n"/>
      <c r="AY362" s="22" t="n"/>
      <c r="AZ362" s="22" t="n"/>
      <c r="BA362" s="22" t="n"/>
      <c r="BB362" s="22" t="n"/>
      <c r="BC362" s="22" t="n"/>
      <c r="BD362" s="22" t="n"/>
      <c r="BE362" s="22" t="n"/>
      <c r="BF362" s="22" t="n"/>
      <c r="BG362" s="22" t="n"/>
      <c r="BH362" s="22" t="n"/>
      <c r="BI362" s="22" t="n"/>
      <c r="BJ362" s="22" t="n"/>
      <c r="BK362" s="22" t="n"/>
      <c r="BL362" s="22" t="n"/>
      <c r="BM362" s="22" t="n"/>
      <c r="BN362" s="22" t="n"/>
      <c r="BO362" s="22" t="n"/>
      <c r="BP362" s="22" t="n"/>
      <c r="BQ362" s="31" t="n"/>
      <c r="BR362" s="31" t="n"/>
      <c r="BS362" s="31" t="n"/>
      <c r="BT362" s="31" t="n"/>
    </row>
    <row r="363" ht="15.75" customHeight="1" s="349">
      <c r="A363" s="22" t="n"/>
      <c r="B363" s="22" t="n"/>
      <c r="C363" s="22" t="n"/>
      <c r="D363" s="22" t="n"/>
      <c r="E363" s="22" t="n"/>
      <c r="F363" s="22"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c r="AA363" s="22" t="n"/>
      <c r="AB363" s="22" t="n"/>
      <c r="AC363" s="22" t="n"/>
      <c r="AD363" s="22" t="n"/>
      <c r="AE363" s="22" t="n"/>
      <c r="AF363" s="22" t="n"/>
      <c r="AG363" s="22" t="n"/>
      <c r="AH363" s="22" t="n"/>
      <c r="AI363" s="22" t="n"/>
      <c r="AJ363" s="22" t="n"/>
      <c r="AK363" s="22" t="n"/>
      <c r="AL363" s="22" t="n"/>
      <c r="AM363" s="22" t="n"/>
      <c r="AN363" s="22" t="n"/>
      <c r="AO363" s="22" t="n"/>
      <c r="AP363" s="22" t="n"/>
      <c r="AQ363" s="22" t="n"/>
      <c r="AR363" s="22" t="n"/>
      <c r="AS363" s="22" t="n"/>
      <c r="AT363" s="22" t="n"/>
      <c r="AU363" s="22" t="n"/>
      <c r="AV363" s="22" t="n"/>
      <c r="AW363" s="22" t="n"/>
      <c r="AX363" s="22" t="n"/>
      <c r="AY363" s="22" t="n"/>
      <c r="AZ363" s="22" t="n"/>
      <c r="BA363" s="22" t="n"/>
      <c r="BB363" s="22" t="n"/>
      <c r="BC363" s="22" t="n"/>
      <c r="BD363" s="22" t="n"/>
      <c r="BE363" s="22" t="n"/>
      <c r="BF363" s="22" t="n"/>
      <c r="BG363" s="22" t="n"/>
      <c r="BH363" s="22" t="n"/>
      <c r="BI363" s="22" t="n"/>
      <c r="BJ363" s="22" t="n"/>
      <c r="BK363" s="22" t="n"/>
      <c r="BL363" s="22" t="n"/>
      <c r="BM363" s="22" t="n"/>
      <c r="BN363" s="22" t="n"/>
      <c r="BO363" s="22" t="n"/>
      <c r="BP363" s="22" t="n"/>
      <c r="BQ363" s="31" t="n"/>
      <c r="BR363" s="31" t="n"/>
      <c r="BS363" s="31" t="n"/>
      <c r="BT363" s="31" t="n"/>
    </row>
    <row r="364" ht="15.75" customHeight="1" s="349">
      <c r="A364" s="22" t="n"/>
      <c r="B364" s="22" t="n"/>
      <c r="C364" s="22" t="n"/>
      <c r="D364" s="22" t="n"/>
      <c r="E364" s="22" t="n"/>
      <c r="F364" s="22"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c r="AA364" s="22" t="n"/>
      <c r="AB364" s="22" t="n"/>
      <c r="AC364" s="22" t="n"/>
      <c r="AD364" s="22" t="n"/>
      <c r="AE364" s="22" t="n"/>
      <c r="AF364" s="22" t="n"/>
      <c r="AG364" s="22" t="n"/>
      <c r="AH364" s="22" t="n"/>
      <c r="AI364" s="22" t="n"/>
      <c r="AJ364" s="22" t="n"/>
      <c r="AK364" s="22" t="n"/>
      <c r="AL364" s="22" t="n"/>
      <c r="AM364" s="22" t="n"/>
      <c r="AN364" s="22" t="n"/>
      <c r="AO364" s="22" t="n"/>
      <c r="AP364" s="22" t="n"/>
      <c r="AQ364" s="22" t="n"/>
      <c r="AR364" s="22" t="n"/>
      <c r="AS364" s="22" t="n"/>
      <c r="AT364" s="22" t="n"/>
      <c r="AU364" s="22" t="n"/>
      <c r="AV364" s="22" t="n"/>
      <c r="AW364" s="22" t="n"/>
      <c r="AX364" s="22" t="n"/>
      <c r="AY364" s="22" t="n"/>
      <c r="AZ364" s="22" t="n"/>
      <c r="BA364" s="22" t="n"/>
      <c r="BB364" s="22" t="n"/>
      <c r="BC364" s="22" t="n"/>
      <c r="BD364" s="22" t="n"/>
      <c r="BE364" s="22" t="n"/>
      <c r="BF364" s="22" t="n"/>
      <c r="BG364" s="22" t="n"/>
      <c r="BH364" s="22" t="n"/>
      <c r="BI364" s="22" t="n"/>
      <c r="BJ364" s="22" t="n"/>
      <c r="BK364" s="22" t="n"/>
      <c r="BL364" s="22" t="n"/>
      <c r="BM364" s="22" t="n"/>
      <c r="BN364" s="22" t="n"/>
      <c r="BO364" s="22" t="n"/>
      <c r="BP364" s="22" t="n"/>
      <c r="BQ364" s="31" t="n"/>
      <c r="BR364" s="31" t="n"/>
      <c r="BS364" s="31" t="n"/>
      <c r="BT364" s="31" t="n"/>
    </row>
    <row r="365" ht="15.75" customHeight="1" s="349">
      <c r="A365" s="22" t="n"/>
      <c r="B365" s="22" t="n"/>
      <c r="C365" s="22" t="n"/>
      <c r="D365" s="22" t="n"/>
      <c r="E365" s="22" t="n"/>
      <c r="F365" s="22"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c r="AA365" s="22" t="n"/>
      <c r="AB365" s="22" t="n"/>
      <c r="AC365" s="22" t="n"/>
      <c r="AD365" s="22" t="n"/>
      <c r="AE365" s="22" t="n"/>
      <c r="AF365" s="22" t="n"/>
      <c r="AG365" s="22" t="n"/>
      <c r="AH365" s="22" t="n"/>
      <c r="AI365" s="22" t="n"/>
      <c r="AJ365" s="22" t="n"/>
      <c r="AK365" s="22" t="n"/>
      <c r="AL365" s="22" t="n"/>
      <c r="AM365" s="22" t="n"/>
      <c r="AN365" s="22" t="n"/>
      <c r="AO365" s="22" t="n"/>
      <c r="AP365" s="22" t="n"/>
      <c r="AQ365" s="22" t="n"/>
      <c r="AR365" s="22" t="n"/>
      <c r="AS365" s="22" t="n"/>
      <c r="AT365" s="22" t="n"/>
      <c r="AU365" s="22" t="n"/>
      <c r="AV365" s="22" t="n"/>
      <c r="AW365" s="22" t="n"/>
      <c r="AX365" s="22" t="n"/>
      <c r="AY365" s="22" t="n"/>
      <c r="AZ365" s="22" t="n"/>
      <c r="BA365" s="22" t="n"/>
      <c r="BB365" s="22" t="n"/>
      <c r="BC365" s="22" t="n"/>
      <c r="BD365" s="22" t="n"/>
      <c r="BE365" s="22" t="n"/>
      <c r="BF365" s="22" t="n"/>
      <c r="BG365" s="22" t="n"/>
      <c r="BH365" s="22" t="n"/>
      <c r="BI365" s="22" t="n"/>
      <c r="BJ365" s="22" t="n"/>
      <c r="BK365" s="22" t="n"/>
      <c r="BL365" s="22" t="n"/>
      <c r="BM365" s="22" t="n"/>
      <c r="BN365" s="22" t="n"/>
      <c r="BO365" s="22" t="n"/>
      <c r="BP365" s="22" t="n"/>
      <c r="BQ365" s="31" t="n"/>
      <c r="BR365" s="31" t="n"/>
      <c r="BS365" s="31" t="n"/>
      <c r="BT365" s="31" t="n"/>
    </row>
    <row r="366" ht="15.75" customHeight="1" s="349">
      <c r="A366" s="22" t="n"/>
      <c r="B366" s="22" t="n"/>
      <c r="C366" s="22" t="n"/>
      <c r="D366" s="22" t="n"/>
      <c r="E366" s="22" t="n"/>
      <c r="F366" s="22"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c r="AA366" s="22" t="n"/>
      <c r="AB366" s="22" t="n"/>
      <c r="AC366" s="22" t="n"/>
      <c r="AD366" s="22" t="n"/>
      <c r="AE366" s="22" t="n"/>
      <c r="AF366" s="22" t="n"/>
      <c r="AG366" s="22" t="n"/>
      <c r="AH366" s="22" t="n"/>
      <c r="AI366" s="22" t="n"/>
      <c r="AJ366" s="22" t="n"/>
      <c r="AK366" s="22" t="n"/>
      <c r="AL366" s="22" t="n"/>
      <c r="AM366" s="22" t="n"/>
      <c r="AN366" s="22" t="n"/>
      <c r="AO366" s="22" t="n"/>
      <c r="AP366" s="22" t="n"/>
      <c r="AQ366" s="22" t="n"/>
      <c r="AR366" s="22" t="n"/>
      <c r="AS366" s="22" t="n"/>
      <c r="AT366" s="22" t="n"/>
      <c r="AU366" s="22" t="n"/>
      <c r="AV366" s="22" t="n"/>
      <c r="AW366" s="22" t="n"/>
      <c r="AX366" s="22" t="n"/>
      <c r="AY366" s="22" t="n"/>
      <c r="AZ366" s="22" t="n"/>
      <c r="BA366" s="22" t="n"/>
      <c r="BB366" s="22" t="n"/>
      <c r="BC366" s="22" t="n"/>
      <c r="BD366" s="22" t="n"/>
      <c r="BE366" s="22" t="n"/>
      <c r="BF366" s="22" t="n"/>
      <c r="BG366" s="22" t="n"/>
      <c r="BH366" s="22" t="n"/>
      <c r="BI366" s="22" t="n"/>
      <c r="BJ366" s="22" t="n"/>
      <c r="BK366" s="22" t="n"/>
      <c r="BL366" s="22" t="n"/>
      <c r="BM366" s="22" t="n"/>
      <c r="BN366" s="22" t="n"/>
      <c r="BO366" s="22" t="n"/>
      <c r="BP366" s="22" t="n"/>
      <c r="BQ366" s="31" t="n"/>
      <c r="BR366" s="31" t="n"/>
      <c r="BS366" s="31" t="n"/>
      <c r="BT366" s="31" t="n"/>
    </row>
    <row r="367" ht="15.75" customHeight="1" s="349">
      <c r="A367" s="22" t="n"/>
      <c r="B367" s="22" t="n"/>
      <c r="C367" s="22" t="n"/>
      <c r="D367" s="22" t="n"/>
      <c r="E367" s="22" t="n"/>
      <c r="F367" s="22"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c r="AA367" s="22" t="n"/>
      <c r="AB367" s="22" t="n"/>
      <c r="AC367" s="22" t="n"/>
      <c r="AD367" s="22" t="n"/>
      <c r="AE367" s="22" t="n"/>
      <c r="AF367" s="22" t="n"/>
      <c r="AG367" s="22" t="n"/>
      <c r="AH367" s="22" t="n"/>
      <c r="AI367" s="22" t="n"/>
      <c r="AJ367" s="22" t="n"/>
      <c r="AK367" s="22" t="n"/>
      <c r="AL367" s="22" t="n"/>
      <c r="AM367" s="22" t="n"/>
      <c r="AN367" s="22" t="n"/>
      <c r="AO367" s="22" t="n"/>
      <c r="AP367" s="22" t="n"/>
      <c r="AQ367" s="22" t="n"/>
      <c r="AR367" s="22" t="n"/>
      <c r="AS367" s="22" t="n"/>
      <c r="AT367" s="22" t="n"/>
      <c r="AU367" s="22" t="n"/>
      <c r="AV367" s="22" t="n"/>
      <c r="AW367" s="22" t="n"/>
      <c r="AX367" s="22" t="n"/>
      <c r="AY367" s="22" t="n"/>
      <c r="AZ367" s="22" t="n"/>
      <c r="BA367" s="22" t="n"/>
      <c r="BB367" s="22" t="n"/>
      <c r="BC367" s="22" t="n"/>
      <c r="BD367" s="22" t="n"/>
      <c r="BE367" s="22" t="n"/>
      <c r="BF367" s="22" t="n"/>
      <c r="BG367" s="22" t="n"/>
      <c r="BH367" s="22" t="n"/>
      <c r="BI367" s="22" t="n"/>
      <c r="BJ367" s="22" t="n"/>
      <c r="BK367" s="22" t="n"/>
      <c r="BL367" s="22" t="n"/>
      <c r="BM367" s="22" t="n"/>
      <c r="BN367" s="22" t="n"/>
      <c r="BO367" s="22" t="n"/>
      <c r="BP367" s="22" t="n"/>
      <c r="BQ367" s="31" t="n"/>
      <c r="BR367" s="31" t="n"/>
      <c r="BS367" s="31" t="n"/>
      <c r="BT367" s="31" t="n"/>
    </row>
    <row r="368" ht="15.75" customHeight="1" s="349">
      <c r="A368" s="22" t="n"/>
      <c r="B368" s="22" t="n"/>
      <c r="C368" s="22" t="n"/>
      <c r="D368" s="22" t="n"/>
      <c r="E368" s="22" t="n"/>
      <c r="F368" s="22"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c r="AA368" s="22" t="n"/>
      <c r="AB368" s="22" t="n"/>
      <c r="AC368" s="22" t="n"/>
      <c r="AD368" s="22" t="n"/>
      <c r="AE368" s="22" t="n"/>
      <c r="AF368" s="22" t="n"/>
      <c r="AG368" s="22" t="n"/>
      <c r="AH368" s="22" t="n"/>
      <c r="AI368" s="22" t="n"/>
      <c r="AJ368" s="22" t="n"/>
      <c r="AK368" s="22" t="n"/>
      <c r="AL368" s="22" t="n"/>
      <c r="AM368" s="22" t="n"/>
      <c r="AN368" s="22" t="n"/>
      <c r="AO368" s="22" t="n"/>
      <c r="AP368" s="22" t="n"/>
      <c r="AQ368" s="22" t="n"/>
      <c r="AR368" s="22" t="n"/>
      <c r="AS368" s="22" t="n"/>
      <c r="AT368" s="22" t="n"/>
      <c r="AU368" s="22" t="n"/>
      <c r="AV368" s="22" t="n"/>
      <c r="AW368" s="22" t="n"/>
      <c r="AX368" s="22" t="n"/>
      <c r="AY368" s="22" t="n"/>
      <c r="AZ368" s="22" t="n"/>
      <c r="BA368" s="22" t="n"/>
      <c r="BB368" s="22" t="n"/>
      <c r="BC368" s="22" t="n"/>
      <c r="BD368" s="22" t="n"/>
      <c r="BE368" s="22" t="n"/>
      <c r="BF368" s="22" t="n"/>
      <c r="BG368" s="22" t="n"/>
      <c r="BH368" s="22" t="n"/>
      <c r="BI368" s="22" t="n"/>
      <c r="BJ368" s="22" t="n"/>
      <c r="BK368" s="22" t="n"/>
      <c r="BL368" s="22" t="n"/>
      <c r="BM368" s="22" t="n"/>
      <c r="BN368" s="22" t="n"/>
      <c r="BO368" s="22" t="n"/>
      <c r="BP368" s="22" t="n"/>
      <c r="BQ368" s="31" t="n"/>
      <c r="BR368" s="31" t="n"/>
      <c r="BS368" s="31" t="n"/>
      <c r="BT368" s="31" t="n"/>
    </row>
    <row r="369" ht="15.75" customHeight="1" s="349">
      <c r="A369" s="22" t="n"/>
      <c r="B369" s="22" t="n"/>
      <c r="C369" s="22" t="n"/>
      <c r="D369" s="22" t="n"/>
      <c r="E369" s="22" t="n"/>
      <c r="F369" s="22"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c r="AA369" s="22" t="n"/>
      <c r="AB369" s="22" t="n"/>
      <c r="AC369" s="22" t="n"/>
      <c r="AD369" s="22" t="n"/>
      <c r="AE369" s="22" t="n"/>
      <c r="AF369" s="22" t="n"/>
      <c r="AG369" s="22" t="n"/>
      <c r="AH369" s="22" t="n"/>
      <c r="AI369" s="22" t="n"/>
      <c r="AJ369" s="22" t="n"/>
      <c r="AK369" s="22" t="n"/>
      <c r="AL369" s="22" t="n"/>
      <c r="AM369" s="22" t="n"/>
      <c r="AN369" s="22" t="n"/>
      <c r="AO369" s="22" t="n"/>
      <c r="AP369" s="22" t="n"/>
      <c r="AQ369" s="22" t="n"/>
      <c r="AR369" s="22" t="n"/>
      <c r="AS369" s="22" t="n"/>
      <c r="AT369" s="22" t="n"/>
      <c r="AU369" s="22" t="n"/>
      <c r="AV369" s="22" t="n"/>
      <c r="AW369" s="22" t="n"/>
      <c r="AX369" s="22" t="n"/>
      <c r="AY369" s="22" t="n"/>
      <c r="AZ369" s="22" t="n"/>
      <c r="BA369" s="22" t="n"/>
      <c r="BB369" s="22" t="n"/>
      <c r="BC369" s="22" t="n"/>
      <c r="BD369" s="22" t="n"/>
      <c r="BE369" s="22" t="n"/>
      <c r="BF369" s="22" t="n"/>
      <c r="BG369" s="22" t="n"/>
      <c r="BH369" s="22" t="n"/>
      <c r="BI369" s="22" t="n"/>
      <c r="BJ369" s="22" t="n"/>
      <c r="BK369" s="22" t="n"/>
      <c r="BL369" s="22" t="n"/>
      <c r="BM369" s="22" t="n"/>
      <c r="BN369" s="22" t="n"/>
      <c r="BO369" s="22" t="n"/>
      <c r="BP369" s="22" t="n"/>
      <c r="BQ369" s="31" t="n"/>
      <c r="BR369" s="31" t="n"/>
      <c r="BS369" s="31" t="n"/>
      <c r="BT369" s="31" t="n"/>
    </row>
    <row r="370" ht="15.75" customHeight="1" s="349">
      <c r="A370" s="22" t="n"/>
      <c r="B370" s="22" t="n"/>
      <c r="C370" s="22" t="n"/>
      <c r="D370" s="22" t="n"/>
      <c r="E370" s="22" t="n"/>
      <c r="F370" s="22"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c r="AA370" s="22" t="n"/>
      <c r="AB370" s="22" t="n"/>
      <c r="AC370" s="22" t="n"/>
      <c r="AD370" s="22" t="n"/>
      <c r="AE370" s="22" t="n"/>
      <c r="AF370" s="22" t="n"/>
      <c r="AG370" s="22" t="n"/>
      <c r="AH370" s="22" t="n"/>
      <c r="AI370" s="22" t="n"/>
      <c r="AJ370" s="22" t="n"/>
      <c r="AK370" s="22" t="n"/>
      <c r="AL370" s="22" t="n"/>
      <c r="AM370" s="22" t="n"/>
      <c r="AN370" s="22" t="n"/>
      <c r="AO370" s="22" t="n"/>
      <c r="AP370" s="22" t="n"/>
      <c r="AQ370" s="22" t="n"/>
      <c r="AR370" s="22" t="n"/>
      <c r="AS370" s="22" t="n"/>
      <c r="AT370" s="22" t="n"/>
      <c r="AU370" s="22" t="n"/>
      <c r="AV370" s="22" t="n"/>
      <c r="AW370" s="22" t="n"/>
      <c r="AX370" s="22" t="n"/>
      <c r="AY370" s="22" t="n"/>
      <c r="AZ370" s="22" t="n"/>
      <c r="BA370" s="22" t="n"/>
      <c r="BB370" s="22" t="n"/>
      <c r="BC370" s="22" t="n"/>
      <c r="BD370" s="22" t="n"/>
      <c r="BE370" s="22" t="n"/>
      <c r="BF370" s="22" t="n"/>
      <c r="BG370" s="22" t="n"/>
      <c r="BH370" s="22" t="n"/>
      <c r="BI370" s="22" t="n"/>
      <c r="BJ370" s="22" t="n"/>
      <c r="BK370" s="22" t="n"/>
      <c r="BL370" s="22" t="n"/>
      <c r="BM370" s="22" t="n"/>
      <c r="BN370" s="22" t="n"/>
      <c r="BO370" s="22" t="n"/>
      <c r="BP370" s="22" t="n"/>
      <c r="BQ370" s="31" t="n"/>
      <c r="BR370" s="31" t="n"/>
      <c r="BS370" s="31" t="n"/>
      <c r="BT370" s="31" t="n"/>
    </row>
    <row r="371" ht="15.75" customHeight="1" s="349">
      <c r="A371" s="22" t="n"/>
      <c r="B371" s="22" t="n"/>
      <c r="C371" s="22" t="n"/>
      <c r="D371" s="22" t="n"/>
      <c r="E371" s="22" t="n"/>
      <c r="F371" s="22"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c r="AA371" s="22" t="n"/>
      <c r="AB371" s="22" t="n"/>
      <c r="AC371" s="22" t="n"/>
      <c r="AD371" s="22" t="n"/>
      <c r="AE371" s="22" t="n"/>
      <c r="AF371" s="22" t="n"/>
      <c r="AG371" s="22" t="n"/>
      <c r="AH371" s="22" t="n"/>
      <c r="AI371" s="22" t="n"/>
      <c r="AJ371" s="22" t="n"/>
      <c r="AK371" s="22" t="n"/>
      <c r="AL371" s="22" t="n"/>
      <c r="AM371" s="22" t="n"/>
      <c r="AN371" s="22" t="n"/>
      <c r="AO371" s="22" t="n"/>
      <c r="AP371" s="22" t="n"/>
      <c r="AQ371" s="22" t="n"/>
      <c r="AR371" s="22" t="n"/>
      <c r="AS371" s="22" t="n"/>
      <c r="AT371" s="22" t="n"/>
      <c r="AU371" s="22" t="n"/>
      <c r="AV371" s="22" t="n"/>
      <c r="AW371" s="22" t="n"/>
      <c r="AX371" s="22" t="n"/>
      <c r="AY371" s="22" t="n"/>
      <c r="AZ371" s="22" t="n"/>
      <c r="BA371" s="22" t="n"/>
      <c r="BB371" s="22" t="n"/>
      <c r="BC371" s="22" t="n"/>
      <c r="BD371" s="22" t="n"/>
      <c r="BE371" s="22" t="n"/>
      <c r="BF371" s="22" t="n"/>
      <c r="BG371" s="22" t="n"/>
      <c r="BH371" s="22" t="n"/>
      <c r="BI371" s="22" t="n"/>
      <c r="BJ371" s="22" t="n"/>
      <c r="BK371" s="22" t="n"/>
      <c r="BL371" s="22" t="n"/>
      <c r="BM371" s="22" t="n"/>
      <c r="BN371" s="22" t="n"/>
      <c r="BO371" s="22" t="n"/>
      <c r="BP371" s="22" t="n"/>
      <c r="BQ371" s="31" t="n"/>
      <c r="BR371" s="31" t="n"/>
      <c r="BS371" s="31" t="n"/>
      <c r="BT371" s="31" t="n"/>
    </row>
    <row r="372" ht="15.75" customHeight="1" s="349">
      <c r="A372" s="22" t="n"/>
      <c r="B372" s="22" t="n"/>
      <c r="C372" s="22" t="n"/>
      <c r="D372" s="22" t="n"/>
      <c r="E372" s="22" t="n"/>
      <c r="F372" s="22"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c r="AA372" s="22" t="n"/>
      <c r="AB372" s="22" t="n"/>
      <c r="AC372" s="22" t="n"/>
      <c r="AD372" s="22" t="n"/>
      <c r="AE372" s="22" t="n"/>
      <c r="AF372" s="22" t="n"/>
      <c r="AG372" s="22" t="n"/>
      <c r="AH372" s="22" t="n"/>
      <c r="AI372" s="22" t="n"/>
      <c r="AJ372" s="22" t="n"/>
      <c r="AK372" s="22" t="n"/>
      <c r="AL372" s="22" t="n"/>
      <c r="AM372" s="22" t="n"/>
      <c r="AN372" s="22" t="n"/>
      <c r="AO372" s="22" t="n"/>
      <c r="AP372" s="22" t="n"/>
      <c r="AQ372" s="22" t="n"/>
      <c r="AR372" s="22" t="n"/>
      <c r="AS372" s="22" t="n"/>
      <c r="AT372" s="22" t="n"/>
      <c r="AU372" s="22" t="n"/>
      <c r="AV372" s="22" t="n"/>
      <c r="AW372" s="22" t="n"/>
      <c r="AX372" s="22" t="n"/>
      <c r="AY372" s="22" t="n"/>
      <c r="AZ372" s="22" t="n"/>
      <c r="BA372" s="22" t="n"/>
      <c r="BB372" s="22" t="n"/>
      <c r="BC372" s="22" t="n"/>
      <c r="BD372" s="22" t="n"/>
      <c r="BE372" s="22" t="n"/>
      <c r="BF372" s="22" t="n"/>
      <c r="BG372" s="22" t="n"/>
      <c r="BH372" s="22" t="n"/>
      <c r="BI372" s="22" t="n"/>
      <c r="BJ372" s="22" t="n"/>
      <c r="BK372" s="22" t="n"/>
      <c r="BL372" s="22" t="n"/>
      <c r="BM372" s="22" t="n"/>
      <c r="BN372" s="22" t="n"/>
      <c r="BO372" s="22" t="n"/>
      <c r="BP372" s="22" t="n"/>
      <c r="BQ372" s="31" t="n"/>
      <c r="BR372" s="31" t="n"/>
      <c r="BS372" s="31" t="n"/>
      <c r="BT372" s="31" t="n"/>
    </row>
    <row r="373" ht="15.75" customHeight="1" s="349">
      <c r="A373" s="22" t="n"/>
      <c r="B373" s="22" t="n"/>
      <c r="C373" s="22" t="n"/>
      <c r="D373" s="22" t="n"/>
      <c r="E373" s="22" t="n"/>
      <c r="F373" s="22"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c r="AA373" s="22" t="n"/>
      <c r="AB373" s="22" t="n"/>
      <c r="AC373" s="22" t="n"/>
      <c r="AD373" s="22" t="n"/>
      <c r="AE373" s="22" t="n"/>
      <c r="AF373" s="22" t="n"/>
      <c r="AG373" s="22" t="n"/>
      <c r="AH373" s="22" t="n"/>
      <c r="AI373" s="22" t="n"/>
      <c r="AJ373" s="22" t="n"/>
      <c r="AK373" s="22" t="n"/>
      <c r="AL373" s="22" t="n"/>
      <c r="AM373" s="22" t="n"/>
      <c r="AN373" s="22" t="n"/>
      <c r="AO373" s="22" t="n"/>
      <c r="AP373" s="22" t="n"/>
      <c r="AQ373" s="22" t="n"/>
      <c r="AR373" s="22" t="n"/>
      <c r="AS373" s="22" t="n"/>
      <c r="AT373" s="22" t="n"/>
      <c r="AU373" s="22" t="n"/>
      <c r="AV373" s="22" t="n"/>
      <c r="AW373" s="22" t="n"/>
      <c r="AX373" s="22" t="n"/>
      <c r="AY373" s="22" t="n"/>
      <c r="AZ373" s="22" t="n"/>
      <c r="BA373" s="22" t="n"/>
      <c r="BB373" s="22" t="n"/>
      <c r="BC373" s="22" t="n"/>
      <c r="BD373" s="22" t="n"/>
      <c r="BE373" s="22" t="n"/>
      <c r="BF373" s="22" t="n"/>
      <c r="BG373" s="22" t="n"/>
      <c r="BH373" s="22" t="n"/>
      <c r="BI373" s="22" t="n"/>
      <c r="BJ373" s="22" t="n"/>
      <c r="BK373" s="22" t="n"/>
      <c r="BL373" s="22" t="n"/>
      <c r="BM373" s="22" t="n"/>
      <c r="BN373" s="22" t="n"/>
      <c r="BO373" s="22" t="n"/>
      <c r="BP373" s="22" t="n"/>
      <c r="BQ373" s="31" t="n"/>
      <c r="BR373" s="31" t="n"/>
      <c r="BS373" s="31" t="n"/>
      <c r="BT373" s="31" t="n"/>
    </row>
    <row r="374" ht="15.75" customHeight="1" s="349">
      <c r="A374" s="22" t="n"/>
      <c r="B374" s="22" t="n"/>
      <c r="C374" s="22" t="n"/>
      <c r="D374" s="22" t="n"/>
      <c r="E374" s="22" t="n"/>
      <c r="F374" s="22"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c r="AA374" s="22" t="n"/>
      <c r="AB374" s="22" t="n"/>
      <c r="AC374" s="22" t="n"/>
      <c r="AD374" s="22" t="n"/>
      <c r="AE374" s="22" t="n"/>
      <c r="AF374" s="22" t="n"/>
      <c r="AG374" s="22" t="n"/>
      <c r="AH374" s="22" t="n"/>
      <c r="AI374" s="22" t="n"/>
      <c r="AJ374" s="22" t="n"/>
      <c r="AK374" s="22" t="n"/>
      <c r="AL374" s="22" t="n"/>
      <c r="AM374" s="22" t="n"/>
      <c r="AN374" s="22" t="n"/>
      <c r="AO374" s="22" t="n"/>
      <c r="AP374" s="22" t="n"/>
      <c r="AQ374" s="22" t="n"/>
      <c r="AR374" s="22" t="n"/>
      <c r="AS374" s="22" t="n"/>
      <c r="AT374" s="22" t="n"/>
      <c r="AU374" s="22" t="n"/>
      <c r="AV374" s="22" t="n"/>
      <c r="AW374" s="22" t="n"/>
      <c r="AX374" s="22" t="n"/>
      <c r="AY374" s="22" t="n"/>
      <c r="AZ374" s="22" t="n"/>
      <c r="BA374" s="22" t="n"/>
      <c r="BB374" s="22" t="n"/>
      <c r="BC374" s="22" t="n"/>
      <c r="BD374" s="22" t="n"/>
      <c r="BE374" s="22" t="n"/>
      <c r="BF374" s="22" t="n"/>
      <c r="BG374" s="22" t="n"/>
      <c r="BH374" s="22" t="n"/>
      <c r="BI374" s="22" t="n"/>
      <c r="BJ374" s="22" t="n"/>
      <c r="BK374" s="22" t="n"/>
      <c r="BL374" s="22" t="n"/>
      <c r="BM374" s="22" t="n"/>
      <c r="BN374" s="22" t="n"/>
      <c r="BO374" s="22" t="n"/>
      <c r="BP374" s="22" t="n"/>
      <c r="BQ374" s="31" t="n"/>
      <c r="BR374" s="31" t="n"/>
      <c r="BS374" s="31" t="n"/>
      <c r="BT374" s="31" t="n"/>
    </row>
    <row r="375" ht="15.75" customHeight="1" s="349">
      <c r="A375" s="22" t="n"/>
      <c r="B375" s="22" t="n"/>
      <c r="C375" s="22" t="n"/>
      <c r="D375" s="22" t="n"/>
      <c r="E375" s="22" t="n"/>
      <c r="F375" s="22"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c r="AA375" s="22" t="n"/>
      <c r="AB375" s="22" t="n"/>
      <c r="AC375" s="22" t="n"/>
      <c r="AD375" s="22" t="n"/>
      <c r="AE375" s="22" t="n"/>
      <c r="AF375" s="22" t="n"/>
      <c r="AG375" s="22" t="n"/>
      <c r="AH375" s="22" t="n"/>
      <c r="AI375" s="22" t="n"/>
      <c r="AJ375" s="22" t="n"/>
      <c r="AK375" s="22" t="n"/>
      <c r="AL375" s="22" t="n"/>
      <c r="AM375" s="22" t="n"/>
      <c r="AN375" s="22" t="n"/>
      <c r="AO375" s="22" t="n"/>
      <c r="AP375" s="22" t="n"/>
      <c r="AQ375" s="22" t="n"/>
      <c r="AR375" s="22" t="n"/>
      <c r="AS375" s="22" t="n"/>
      <c r="AT375" s="22" t="n"/>
      <c r="AU375" s="22" t="n"/>
      <c r="AV375" s="22" t="n"/>
      <c r="AW375" s="22" t="n"/>
      <c r="AX375" s="22" t="n"/>
      <c r="AY375" s="22" t="n"/>
      <c r="AZ375" s="22" t="n"/>
      <c r="BA375" s="22" t="n"/>
      <c r="BB375" s="22" t="n"/>
      <c r="BC375" s="22" t="n"/>
      <c r="BD375" s="22" t="n"/>
      <c r="BE375" s="22" t="n"/>
      <c r="BF375" s="22" t="n"/>
      <c r="BG375" s="22" t="n"/>
      <c r="BH375" s="22" t="n"/>
      <c r="BI375" s="22" t="n"/>
      <c r="BJ375" s="22" t="n"/>
      <c r="BK375" s="22" t="n"/>
      <c r="BL375" s="22" t="n"/>
      <c r="BM375" s="22" t="n"/>
      <c r="BN375" s="22" t="n"/>
      <c r="BO375" s="22" t="n"/>
      <c r="BP375" s="22" t="n"/>
      <c r="BQ375" s="31" t="n"/>
      <c r="BR375" s="31" t="n"/>
      <c r="BS375" s="31" t="n"/>
      <c r="BT375" s="31" t="n"/>
    </row>
    <row r="376" ht="15.75" customHeight="1" s="349">
      <c r="A376" s="22" t="n"/>
      <c r="B376" s="22" t="n"/>
      <c r="C376" s="22" t="n"/>
      <c r="D376" s="22" t="n"/>
      <c r="E376" s="22" t="n"/>
      <c r="F376" s="22"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c r="AA376" s="22" t="n"/>
      <c r="AB376" s="22" t="n"/>
      <c r="AC376" s="22" t="n"/>
      <c r="AD376" s="22" t="n"/>
      <c r="AE376" s="22" t="n"/>
      <c r="AF376" s="22" t="n"/>
      <c r="AG376" s="22" t="n"/>
      <c r="AH376" s="22" t="n"/>
      <c r="AI376" s="22" t="n"/>
      <c r="AJ376" s="22" t="n"/>
      <c r="AK376" s="22" t="n"/>
      <c r="AL376" s="22" t="n"/>
      <c r="AM376" s="22" t="n"/>
      <c r="AN376" s="22" t="n"/>
      <c r="AO376" s="22" t="n"/>
      <c r="AP376" s="22" t="n"/>
      <c r="AQ376" s="22" t="n"/>
      <c r="AR376" s="22" t="n"/>
      <c r="AS376" s="22" t="n"/>
      <c r="AT376" s="22" t="n"/>
      <c r="AU376" s="22" t="n"/>
      <c r="AV376" s="22" t="n"/>
      <c r="AW376" s="22" t="n"/>
      <c r="AX376" s="22" t="n"/>
      <c r="AY376" s="22" t="n"/>
      <c r="AZ376" s="22" t="n"/>
      <c r="BA376" s="22" t="n"/>
      <c r="BB376" s="22" t="n"/>
      <c r="BC376" s="22" t="n"/>
      <c r="BD376" s="22" t="n"/>
      <c r="BE376" s="22" t="n"/>
      <c r="BF376" s="22" t="n"/>
      <c r="BG376" s="22" t="n"/>
      <c r="BH376" s="22" t="n"/>
      <c r="BI376" s="22" t="n"/>
      <c r="BJ376" s="22" t="n"/>
      <c r="BK376" s="22" t="n"/>
      <c r="BL376" s="22" t="n"/>
      <c r="BM376" s="22" t="n"/>
      <c r="BN376" s="22" t="n"/>
      <c r="BO376" s="22" t="n"/>
      <c r="BP376" s="22" t="n"/>
      <c r="BQ376" s="31" t="n"/>
      <c r="BR376" s="31" t="n"/>
      <c r="BS376" s="31" t="n"/>
      <c r="BT376" s="31" t="n"/>
    </row>
    <row r="377" ht="15.75" customHeight="1" s="349">
      <c r="A377" s="22" t="n"/>
      <c r="B377" s="22" t="n"/>
      <c r="C377" s="22" t="n"/>
      <c r="D377" s="22" t="n"/>
      <c r="E377" s="22" t="n"/>
      <c r="F377" s="22"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c r="AA377" s="22" t="n"/>
      <c r="AB377" s="22" t="n"/>
      <c r="AC377" s="22" t="n"/>
      <c r="AD377" s="22" t="n"/>
      <c r="AE377" s="22" t="n"/>
      <c r="AF377" s="22" t="n"/>
      <c r="AG377" s="22" t="n"/>
      <c r="AH377" s="22" t="n"/>
      <c r="AI377" s="22" t="n"/>
      <c r="AJ377" s="22" t="n"/>
      <c r="AK377" s="22" t="n"/>
      <c r="AL377" s="22" t="n"/>
      <c r="AM377" s="22" t="n"/>
      <c r="AN377" s="22" t="n"/>
      <c r="AO377" s="22" t="n"/>
      <c r="AP377" s="22" t="n"/>
      <c r="AQ377" s="22" t="n"/>
      <c r="AR377" s="22" t="n"/>
      <c r="AS377" s="22" t="n"/>
      <c r="AT377" s="22" t="n"/>
      <c r="AU377" s="22" t="n"/>
      <c r="AV377" s="22" t="n"/>
      <c r="AW377" s="22" t="n"/>
      <c r="AX377" s="22" t="n"/>
      <c r="AY377" s="22" t="n"/>
      <c r="AZ377" s="22" t="n"/>
      <c r="BA377" s="22" t="n"/>
      <c r="BB377" s="22" t="n"/>
      <c r="BC377" s="22" t="n"/>
      <c r="BD377" s="22" t="n"/>
      <c r="BE377" s="22" t="n"/>
      <c r="BF377" s="22" t="n"/>
      <c r="BG377" s="22" t="n"/>
      <c r="BH377" s="22" t="n"/>
      <c r="BI377" s="22" t="n"/>
      <c r="BJ377" s="22" t="n"/>
      <c r="BK377" s="22" t="n"/>
      <c r="BL377" s="22" t="n"/>
      <c r="BM377" s="22" t="n"/>
      <c r="BN377" s="22" t="n"/>
      <c r="BO377" s="22" t="n"/>
      <c r="BP377" s="22" t="n"/>
      <c r="BQ377" s="31" t="n"/>
      <c r="BR377" s="31" t="n"/>
      <c r="BS377" s="31" t="n"/>
      <c r="BT377" s="31" t="n"/>
    </row>
    <row r="378" ht="15.75" customHeight="1" s="349">
      <c r="A378" s="22" t="n"/>
      <c r="B378" s="22" t="n"/>
      <c r="C378" s="22" t="n"/>
      <c r="D378" s="22" t="n"/>
      <c r="E378" s="22" t="n"/>
      <c r="F378" s="22"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c r="AA378" s="22" t="n"/>
      <c r="AB378" s="22" t="n"/>
      <c r="AC378" s="22" t="n"/>
      <c r="AD378" s="22" t="n"/>
      <c r="AE378" s="22" t="n"/>
      <c r="AF378" s="22" t="n"/>
      <c r="AG378" s="22" t="n"/>
      <c r="AH378" s="22" t="n"/>
      <c r="AI378" s="22" t="n"/>
      <c r="AJ378" s="22" t="n"/>
      <c r="AK378" s="22" t="n"/>
      <c r="AL378" s="22" t="n"/>
      <c r="AM378" s="22" t="n"/>
      <c r="AN378" s="22" t="n"/>
      <c r="AO378" s="22" t="n"/>
      <c r="AP378" s="22" t="n"/>
      <c r="AQ378" s="22" t="n"/>
      <c r="AR378" s="22" t="n"/>
      <c r="AS378" s="22" t="n"/>
      <c r="AT378" s="22" t="n"/>
      <c r="AU378" s="22" t="n"/>
      <c r="AV378" s="22" t="n"/>
      <c r="AW378" s="22" t="n"/>
      <c r="AX378" s="22" t="n"/>
      <c r="AY378" s="22" t="n"/>
      <c r="AZ378" s="22" t="n"/>
      <c r="BA378" s="22" t="n"/>
      <c r="BB378" s="22" t="n"/>
      <c r="BC378" s="22" t="n"/>
      <c r="BD378" s="22" t="n"/>
      <c r="BE378" s="22" t="n"/>
      <c r="BF378" s="22" t="n"/>
      <c r="BG378" s="22" t="n"/>
      <c r="BH378" s="22" t="n"/>
      <c r="BI378" s="22" t="n"/>
      <c r="BJ378" s="22" t="n"/>
      <c r="BK378" s="22" t="n"/>
      <c r="BL378" s="22" t="n"/>
      <c r="BM378" s="22" t="n"/>
      <c r="BN378" s="22" t="n"/>
      <c r="BO378" s="22" t="n"/>
      <c r="BP378" s="22" t="n"/>
      <c r="BQ378" s="31" t="n"/>
      <c r="BR378" s="31" t="n"/>
      <c r="BS378" s="31" t="n"/>
      <c r="BT378" s="31" t="n"/>
    </row>
    <row r="379" ht="15.75" customHeight="1" s="349">
      <c r="A379" s="22" t="n"/>
      <c r="B379" s="22" t="n"/>
      <c r="C379" s="22" t="n"/>
      <c r="D379" s="22" t="n"/>
      <c r="E379" s="22" t="n"/>
      <c r="F379" s="22"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c r="AA379" s="22" t="n"/>
      <c r="AB379" s="22" t="n"/>
      <c r="AC379" s="22" t="n"/>
      <c r="AD379" s="22" t="n"/>
      <c r="AE379" s="22" t="n"/>
      <c r="AF379" s="22" t="n"/>
      <c r="AG379" s="22" t="n"/>
      <c r="AH379" s="22" t="n"/>
      <c r="AI379" s="22" t="n"/>
      <c r="AJ379" s="22" t="n"/>
      <c r="AK379" s="22" t="n"/>
      <c r="AL379" s="22" t="n"/>
      <c r="AM379" s="22" t="n"/>
      <c r="AN379" s="22" t="n"/>
      <c r="AO379" s="22" t="n"/>
      <c r="AP379" s="22" t="n"/>
      <c r="AQ379" s="22" t="n"/>
      <c r="AR379" s="22" t="n"/>
      <c r="AS379" s="22" t="n"/>
      <c r="AT379" s="22" t="n"/>
      <c r="AU379" s="22" t="n"/>
      <c r="AV379" s="22" t="n"/>
      <c r="AW379" s="22" t="n"/>
      <c r="AX379" s="22" t="n"/>
      <c r="AY379" s="22" t="n"/>
      <c r="AZ379" s="22" t="n"/>
      <c r="BA379" s="22" t="n"/>
      <c r="BB379" s="22" t="n"/>
      <c r="BC379" s="22" t="n"/>
      <c r="BD379" s="22" t="n"/>
      <c r="BE379" s="22" t="n"/>
      <c r="BF379" s="22" t="n"/>
      <c r="BG379" s="22" t="n"/>
      <c r="BH379" s="22" t="n"/>
      <c r="BI379" s="22" t="n"/>
      <c r="BJ379" s="22" t="n"/>
      <c r="BK379" s="22" t="n"/>
      <c r="BL379" s="22" t="n"/>
      <c r="BM379" s="22" t="n"/>
      <c r="BN379" s="22" t="n"/>
      <c r="BO379" s="22" t="n"/>
      <c r="BP379" s="22" t="n"/>
      <c r="BQ379" s="31" t="n"/>
      <c r="BR379" s="31" t="n"/>
      <c r="BS379" s="31" t="n"/>
      <c r="BT379" s="31" t="n"/>
    </row>
    <row r="380" ht="15.75" customHeight="1" s="349">
      <c r="A380" s="22" t="n"/>
      <c r="B380" s="22" t="n"/>
      <c r="C380" s="22" t="n"/>
      <c r="D380" s="22" t="n"/>
      <c r="E380" s="22" t="n"/>
      <c r="F380" s="22"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c r="AA380" s="22" t="n"/>
      <c r="AB380" s="22" t="n"/>
      <c r="AC380" s="22" t="n"/>
      <c r="AD380" s="22" t="n"/>
      <c r="AE380" s="22" t="n"/>
      <c r="AF380" s="22" t="n"/>
      <c r="AG380" s="22" t="n"/>
      <c r="AH380" s="22" t="n"/>
      <c r="AI380" s="22" t="n"/>
      <c r="AJ380" s="22" t="n"/>
      <c r="AK380" s="22" t="n"/>
      <c r="AL380" s="22" t="n"/>
      <c r="AM380" s="22" t="n"/>
      <c r="AN380" s="22" t="n"/>
      <c r="AO380" s="22" t="n"/>
      <c r="AP380" s="22" t="n"/>
      <c r="AQ380" s="22" t="n"/>
      <c r="AR380" s="22" t="n"/>
      <c r="AS380" s="22" t="n"/>
      <c r="AT380" s="22" t="n"/>
      <c r="AU380" s="22" t="n"/>
      <c r="AV380" s="22" t="n"/>
      <c r="AW380" s="22" t="n"/>
      <c r="AX380" s="22" t="n"/>
      <c r="AY380" s="22" t="n"/>
      <c r="AZ380" s="22" t="n"/>
      <c r="BA380" s="22" t="n"/>
      <c r="BB380" s="22" t="n"/>
      <c r="BC380" s="22" t="n"/>
      <c r="BD380" s="22" t="n"/>
      <c r="BE380" s="22" t="n"/>
      <c r="BF380" s="22" t="n"/>
      <c r="BG380" s="22" t="n"/>
      <c r="BH380" s="22" t="n"/>
      <c r="BI380" s="22" t="n"/>
      <c r="BJ380" s="22" t="n"/>
      <c r="BK380" s="22" t="n"/>
      <c r="BL380" s="22" t="n"/>
      <c r="BM380" s="22" t="n"/>
      <c r="BN380" s="22" t="n"/>
      <c r="BO380" s="22" t="n"/>
      <c r="BP380" s="22" t="n"/>
      <c r="BQ380" s="31" t="n"/>
      <c r="BR380" s="31" t="n"/>
      <c r="BS380" s="31" t="n"/>
      <c r="BT380" s="31" t="n"/>
    </row>
    <row r="381" ht="15.75" customHeight="1" s="349">
      <c r="A381" s="22" t="n"/>
      <c r="B381" s="22" t="n"/>
      <c r="C381" s="22" t="n"/>
      <c r="D381" s="22" t="n"/>
      <c r="E381" s="22" t="n"/>
      <c r="F381" s="22"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c r="AA381" s="22" t="n"/>
      <c r="AB381" s="22" t="n"/>
      <c r="AC381" s="22" t="n"/>
      <c r="AD381" s="22" t="n"/>
      <c r="AE381" s="22" t="n"/>
      <c r="AF381" s="22" t="n"/>
      <c r="AG381" s="22" t="n"/>
      <c r="AH381" s="22" t="n"/>
      <c r="AI381" s="22" t="n"/>
      <c r="AJ381" s="22" t="n"/>
      <c r="AK381" s="22" t="n"/>
      <c r="AL381" s="22" t="n"/>
      <c r="AM381" s="22" t="n"/>
      <c r="AN381" s="22" t="n"/>
      <c r="AO381" s="22" t="n"/>
      <c r="AP381" s="22" t="n"/>
      <c r="AQ381" s="22" t="n"/>
      <c r="AR381" s="22" t="n"/>
      <c r="AS381" s="22" t="n"/>
      <c r="AT381" s="22" t="n"/>
      <c r="AU381" s="22" t="n"/>
      <c r="AV381" s="22" t="n"/>
      <c r="AW381" s="22" t="n"/>
      <c r="AX381" s="22" t="n"/>
      <c r="AY381" s="22" t="n"/>
      <c r="AZ381" s="22" t="n"/>
      <c r="BA381" s="22" t="n"/>
      <c r="BB381" s="22" t="n"/>
      <c r="BC381" s="22" t="n"/>
      <c r="BD381" s="22" t="n"/>
      <c r="BE381" s="22" t="n"/>
      <c r="BF381" s="22" t="n"/>
      <c r="BG381" s="22" t="n"/>
      <c r="BH381" s="22" t="n"/>
      <c r="BI381" s="22" t="n"/>
      <c r="BJ381" s="22" t="n"/>
      <c r="BK381" s="22" t="n"/>
      <c r="BL381" s="22" t="n"/>
      <c r="BM381" s="22" t="n"/>
      <c r="BN381" s="22" t="n"/>
      <c r="BO381" s="22" t="n"/>
      <c r="BP381" s="22" t="n"/>
      <c r="BQ381" s="31" t="n"/>
      <c r="BR381" s="31" t="n"/>
      <c r="BS381" s="31" t="n"/>
      <c r="BT381" s="31" t="n"/>
    </row>
    <row r="382" ht="15.75" customHeight="1" s="349">
      <c r="A382" s="22" t="n"/>
      <c r="B382" s="22" t="n"/>
      <c r="C382" s="22" t="n"/>
      <c r="D382" s="22" t="n"/>
      <c r="E382" s="22" t="n"/>
      <c r="F382" s="22"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c r="AA382" s="22" t="n"/>
      <c r="AB382" s="22" t="n"/>
      <c r="AC382" s="22" t="n"/>
      <c r="AD382" s="22" t="n"/>
      <c r="AE382" s="22" t="n"/>
      <c r="AF382" s="22" t="n"/>
      <c r="AG382" s="22" t="n"/>
      <c r="AH382" s="22" t="n"/>
      <c r="AI382" s="22" t="n"/>
      <c r="AJ382" s="22" t="n"/>
      <c r="AK382" s="22" t="n"/>
      <c r="AL382" s="22" t="n"/>
      <c r="AM382" s="22" t="n"/>
      <c r="AN382" s="22" t="n"/>
      <c r="AO382" s="22" t="n"/>
      <c r="AP382" s="22" t="n"/>
      <c r="AQ382" s="22" t="n"/>
      <c r="AR382" s="22" t="n"/>
      <c r="AS382" s="22" t="n"/>
      <c r="AT382" s="22" t="n"/>
      <c r="AU382" s="22" t="n"/>
      <c r="AV382" s="22" t="n"/>
      <c r="AW382" s="22" t="n"/>
      <c r="AX382" s="22" t="n"/>
      <c r="AY382" s="22" t="n"/>
      <c r="AZ382" s="22" t="n"/>
      <c r="BA382" s="22" t="n"/>
      <c r="BB382" s="22" t="n"/>
      <c r="BC382" s="22" t="n"/>
      <c r="BD382" s="22" t="n"/>
      <c r="BE382" s="22" t="n"/>
      <c r="BF382" s="22" t="n"/>
      <c r="BG382" s="22" t="n"/>
      <c r="BH382" s="22" t="n"/>
      <c r="BI382" s="22" t="n"/>
      <c r="BJ382" s="22" t="n"/>
      <c r="BK382" s="22" t="n"/>
      <c r="BL382" s="22" t="n"/>
      <c r="BM382" s="22" t="n"/>
      <c r="BN382" s="22" t="n"/>
      <c r="BO382" s="22" t="n"/>
      <c r="BP382" s="22" t="n"/>
      <c r="BQ382" s="31" t="n"/>
      <c r="BR382" s="31" t="n"/>
      <c r="BS382" s="31" t="n"/>
      <c r="BT382" s="31" t="n"/>
    </row>
    <row r="383" ht="15.75" customHeight="1" s="349">
      <c r="A383" s="22" t="n"/>
      <c r="B383" s="22" t="n"/>
      <c r="C383" s="22" t="n"/>
      <c r="D383" s="22" t="n"/>
      <c r="E383" s="22" t="n"/>
      <c r="F383" s="22"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c r="AA383" s="22" t="n"/>
      <c r="AB383" s="22" t="n"/>
      <c r="AC383" s="22" t="n"/>
      <c r="AD383" s="22" t="n"/>
      <c r="AE383" s="22" t="n"/>
      <c r="AF383" s="22" t="n"/>
      <c r="AG383" s="22" t="n"/>
      <c r="AH383" s="22" t="n"/>
      <c r="AI383" s="22" t="n"/>
      <c r="AJ383" s="22" t="n"/>
      <c r="AK383" s="22" t="n"/>
      <c r="AL383" s="22" t="n"/>
      <c r="AM383" s="22" t="n"/>
      <c r="AN383" s="22" t="n"/>
      <c r="AO383" s="22" t="n"/>
      <c r="AP383" s="22" t="n"/>
      <c r="AQ383" s="22" t="n"/>
      <c r="AR383" s="22" t="n"/>
      <c r="AS383" s="22" t="n"/>
      <c r="AT383" s="22" t="n"/>
      <c r="AU383" s="22" t="n"/>
      <c r="AV383" s="22" t="n"/>
      <c r="AW383" s="22" t="n"/>
      <c r="AX383" s="22" t="n"/>
      <c r="AY383" s="22" t="n"/>
      <c r="AZ383" s="22" t="n"/>
      <c r="BA383" s="22" t="n"/>
      <c r="BB383" s="22" t="n"/>
      <c r="BC383" s="22" t="n"/>
      <c r="BD383" s="22" t="n"/>
      <c r="BE383" s="22" t="n"/>
      <c r="BF383" s="22" t="n"/>
      <c r="BG383" s="22" t="n"/>
      <c r="BH383" s="22" t="n"/>
      <c r="BI383" s="22" t="n"/>
      <c r="BJ383" s="22" t="n"/>
      <c r="BK383" s="22" t="n"/>
      <c r="BL383" s="22" t="n"/>
      <c r="BM383" s="22" t="n"/>
      <c r="BN383" s="22" t="n"/>
      <c r="BO383" s="22" t="n"/>
      <c r="BP383" s="22" t="n"/>
      <c r="BQ383" s="31" t="n"/>
      <c r="BR383" s="31" t="n"/>
      <c r="BS383" s="31" t="n"/>
      <c r="BT383" s="31" t="n"/>
    </row>
    <row r="384" ht="15.75" customHeight="1" s="349">
      <c r="A384" s="22" t="n"/>
      <c r="B384" s="22" t="n"/>
      <c r="C384" s="22" t="n"/>
      <c r="D384" s="22" t="n"/>
      <c r="E384" s="22" t="n"/>
      <c r="F384" s="22"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c r="AA384" s="22" t="n"/>
      <c r="AB384" s="22" t="n"/>
      <c r="AC384" s="22" t="n"/>
      <c r="AD384" s="22" t="n"/>
      <c r="AE384" s="22" t="n"/>
      <c r="AF384" s="22" t="n"/>
      <c r="AG384" s="22" t="n"/>
      <c r="AH384" s="22" t="n"/>
      <c r="AI384" s="22" t="n"/>
      <c r="AJ384" s="22" t="n"/>
      <c r="AK384" s="22" t="n"/>
      <c r="AL384" s="22" t="n"/>
      <c r="AM384" s="22" t="n"/>
      <c r="AN384" s="22" t="n"/>
      <c r="AO384" s="22" t="n"/>
      <c r="AP384" s="22" t="n"/>
      <c r="AQ384" s="22" t="n"/>
      <c r="AR384" s="22" t="n"/>
      <c r="AS384" s="22" t="n"/>
      <c r="AT384" s="22" t="n"/>
      <c r="AU384" s="22" t="n"/>
      <c r="AV384" s="22" t="n"/>
      <c r="AW384" s="22" t="n"/>
      <c r="AX384" s="22" t="n"/>
      <c r="AY384" s="22" t="n"/>
      <c r="AZ384" s="22" t="n"/>
      <c r="BA384" s="22" t="n"/>
      <c r="BB384" s="22" t="n"/>
      <c r="BC384" s="22" t="n"/>
      <c r="BD384" s="22" t="n"/>
      <c r="BE384" s="22" t="n"/>
      <c r="BF384" s="22" t="n"/>
      <c r="BG384" s="22" t="n"/>
      <c r="BH384" s="22" t="n"/>
      <c r="BI384" s="22" t="n"/>
      <c r="BJ384" s="22" t="n"/>
      <c r="BK384" s="22" t="n"/>
      <c r="BL384" s="22" t="n"/>
      <c r="BM384" s="22" t="n"/>
      <c r="BN384" s="22" t="n"/>
      <c r="BO384" s="22" t="n"/>
      <c r="BP384" s="22" t="n"/>
      <c r="BQ384" s="31" t="n"/>
      <c r="BR384" s="31" t="n"/>
      <c r="BS384" s="31" t="n"/>
      <c r="BT384" s="31" t="n"/>
    </row>
    <row r="385" ht="15.75" customHeight="1" s="349">
      <c r="A385" s="22" t="n"/>
      <c r="B385" s="22" t="n"/>
      <c r="C385" s="22" t="n"/>
      <c r="D385" s="22" t="n"/>
      <c r="E385" s="22" t="n"/>
      <c r="F385" s="22"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c r="AA385" s="22" t="n"/>
      <c r="AB385" s="22" t="n"/>
      <c r="AC385" s="22" t="n"/>
      <c r="AD385" s="22" t="n"/>
      <c r="AE385" s="22" t="n"/>
      <c r="AF385" s="22" t="n"/>
      <c r="AG385" s="22" t="n"/>
      <c r="AH385" s="22" t="n"/>
      <c r="AI385" s="22" t="n"/>
      <c r="AJ385" s="22" t="n"/>
      <c r="AK385" s="22" t="n"/>
      <c r="AL385" s="22" t="n"/>
      <c r="AM385" s="22" t="n"/>
      <c r="AN385" s="22" t="n"/>
      <c r="AO385" s="22" t="n"/>
      <c r="AP385" s="22" t="n"/>
      <c r="AQ385" s="22" t="n"/>
      <c r="AR385" s="22" t="n"/>
      <c r="AS385" s="22" t="n"/>
      <c r="AT385" s="22" t="n"/>
      <c r="AU385" s="22" t="n"/>
      <c r="AV385" s="22" t="n"/>
      <c r="AW385" s="22" t="n"/>
      <c r="AX385" s="22" t="n"/>
      <c r="AY385" s="22" t="n"/>
      <c r="AZ385" s="22" t="n"/>
      <c r="BA385" s="22" t="n"/>
      <c r="BB385" s="22" t="n"/>
      <c r="BC385" s="22" t="n"/>
      <c r="BD385" s="22" t="n"/>
      <c r="BE385" s="22" t="n"/>
      <c r="BF385" s="22" t="n"/>
      <c r="BG385" s="22" t="n"/>
      <c r="BH385" s="22" t="n"/>
      <c r="BI385" s="22" t="n"/>
      <c r="BJ385" s="22" t="n"/>
      <c r="BK385" s="22" t="n"/>
      <c r="BL385" s="22" t="n"/>
      <c r="BM385" s="22" t="n"/>
      <c r="BN385" s="22" t="n"/>
      <c r="BO385" s="22" t="n"/>
      <c r="BP385" s="22" t="n"/>
      <c r="BQ385" s="31" t="n"/>
      <c r="BR385" s="31" t="n"/>
      <c r="BS385" s="31" t="n"/>
      <c r="BT385" s="31" t="n"/>
    </row>
    <row r="386" ht="15.75" customHeight="1" s="349">
      <c r="A386" s="22" t="n"/>
      <c r="B386" s="22" t="n"/>
      <c r="C386" s="22" t="n"/>
      <c r="D386" s="22" t="n"/>
      <c r="E386" s="22" t="n"/>
      <c r="F386" s="22"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c r="AA386" s="22" t="n"/>
      <c r="AB386" s="22" t="n"/>
      <c r="AC386" s="22" t="n"/>
      <c r="AD386" s="22" t="n"/>
      <c r="AE386" s="22" t="n"/>
      <c r="AF386" s="22" t="n"/>
      <c r="AG386" s="22" t="n"/>
      <c r="AH386" s="22" t="n"/>
      <c r="AI386" s="22" t="n"/>
      <c r="AJ386" s="22" t="n"/>
      <c r="AK386" s="22" t="n"/>
      <c r="AL386" s="22" t="n"/>
      <c r="AM386" s="22" t="n"/>
      <c r="AN386" s="22" t="n"/>
      <c r="AO386" s="22" t="n"/>
      <c r="AP386" s="22" t="n"/>
      <c r="AQ386" s="22" t="n"/>
      <c r="AR386" s="22" t="n"/>
      <c r="AS386" s="22" t="n"/>
      <c r="AT386" s="22" t="n"/>
      <c r="AU386" s="22" t="n"/>
      <c r="AV386" s="22" t="n"/>
      <c r="AW386" s="22" t="n"/>
      <c r="AX386" s="22" t="n"/>
      <c r="AY386" s="22" t="n"/>
      <c r="AZ386" s="22" t="n"/>
      <c r="BA386" s="22" t="n"/>
      <c r="BB386" s="22" t="n"/>
      <c r="BC386" s="22" t="n"/>
      <c r="BD386" s="22" t="n"/>
      <c r="BE386" s="22" t="n"/>
      <c r="BF386" s="22" t="n"/>
      <c r="BG386" s="22" t="n"/>
      <c r="BH386" s="22" t="n"/>
      <c r="BI386" s="22" t="n"/>
      <c r="BJ386" s="22" t="n"/>
      <c r="BK386" s="22" t="n"/>
      <c r="BL386" s="22" t="n"/>
      <c r="BM386" s="22" t="n"/>
      <c r="BN386" s="22" t="n"/>
      <c r="BO386" s="22" t="n"/>
      <c r="BP386" s="22" t="n"/>
      <c r="BQ386" s="31" t="n"/>
      <c r="BR386" s="31" t="n"/>
      <c r="BS386" s="31" t="n"/>
      <c r="BT386" s="31" t="n"/>
    </row>
    <row r="387" ht="15.75" customHeight="1" s="349">
      <c r="A387" s="22" t="n"/>
      <c r="B387" s="22" t="n"/>
      <c r="C387" s="22" t="n"/>
      <c r="D387" s="22" t="n"/>
      <c r="E387" s="22" t="n"/>
      <c r="F387" s="22"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c r="AA387" s="22" t="n"/>
      <c r="AB387" s="22" t="n"/>
      <c r="AC387" s="22" t="n"/>
      <c r="AD387" s="22" t="n"/>
      <c r="AE387" s="22" t="n"/>
      <c r="AF387" s="22" t="n"/>
      <c r="AG387" s="22" t="n"/>
      <c r="AH387" s="22" t="n"/>
      <c r="AI387" s="22" t="n"/>
      <c r="AJ387" s="22" t="n"/>
      <c r="AK387" s="22" t="n"/>
      <c r="AL387" s="22" t="n"/>
      <c r="AM387" s="22" t="n"/>
      <c r="AN387" s="22" t="n"/>
      <c r="AO387" s="22" t="n"/>
      <c r="AP387" s="22" t="n"/>
      <c r="AQ387" s="22" t="n"/>
      <c r="AR387" s="22" t="n"/>
      <c r="AS387" s="22" t="n"/>
      <c r="AT387" s="22" t="n"/>
      <c r="AU387" s="22" t="n"/>
      <c r="AV387" s="22" t="n"/>
      <c r="AW387" s="22" t="n"/>
      <c r="AX387" s="22" t="n"/>
      <c r="AY387" s="22" t="n"/>
      <c r="AZ387" s="22" t="n"/>
      <c r="BA387" s="22" t="n"/>
      <c r="BB387" s="22" t="n"/>
      <c r="BC387" s="22" t="n"/>
      <c r="BD387" s="22" t="n"/>
      <c r="BE387" s="22" t="n"/>
      <c r="BF387" s="22" t="n"/>
      <c r="BG387" s="22" t="n"/>
      <c r="BH387" s="22" t="n"/>
      <c r="BI387" s="22" t="n"/>
      <c r="BJ387" s="22" t="n"/>
      <c r="BK387" s="22" t="n"/>
      <c r="BL387" s="22" t="n"/>
      <c r="BM387" s="22" t="n"/>
      <c r="BN387" s="22" t="n"/>
      <c r="BO387" s="22" t="n"/>
      <c r="BP387" s="22" t="n"/>
      <c r="BQ387" s="31" t="n"/>
      <c r="BR387" s="31" t="n"/>
      <c r="BS387" s="31" t="n"/>
      <c r="BT387" s="31" t="n"/>
    </row>
    <row r="388" ht="15.75" customHeight="1" s="349">
      <c r="A388" s="22" t="n"/>
      <c r="B388" s="22" t="n"/>
      <c r="C388" s="22" t="n"/>
      <c r="D388" s="22" t="n"/>
      <c r="E388" s="22" t="n"/>
      <c r="F388" s="22"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c r="AA388" s="22" t="n"/>
      <c r="AB388" s="22" t="n"/>
      <c r="AC388" s="22" t="n"/>
      <c r="AD388" s="22" t="n"/>
      <c r="AE388" s="22" t="n"/>
      <c r="AF388" s="22" t="n"/>
      <c r="AG388" s="22" t="n"/>
      <c r="AH388" s="22" t="n"/>
      <c r="AI388" s="22" t="n"/>
      <c r="AJ388" s="22" t="n"/>
      <c r="AK388" s="22" t="n"/>
      <c r="AL388" s="22" t="n"/>
      <c r="AM388" s="22" t="n"/>
      <c r="AN388" s="22" t="n"/>
      <c r="AO388" s="22" t="n"/>
      <c r="AP388" s="22" t="n"/>
      <c r="AQ388" s="22" t="n"/>
      <c r="AR388" s="22" t="n"/>
      <c r="AS388" s="22" t="n"/>
      <c r="AT388" s="22" t="n"/>
      <c r="AU388" s="22" t="n"/>
      <c r="AV388" s="22" t="n"/>
      <c r="AW388" s="22" t="n"/>
      <c r="AX388" s="22" t="n"/>
      <c r="AY388" s="22" t="n"/>
      <c r="AZ388" s="22" t="n"/>
      <c r="BA388" s="22" t="n"/>
      <c r="BB388" s="22" t="n"/>
      <c r="BC388" s="22" t="n"/>
      <c r="BD388" s="22" t="n"/>
      <c r="BE388" s="22" t="n"/>
      <c r="BF388" s="22" t="n"/>
      <c r="BG388" s="22" t="n"/>
      <c r="BH388" s="22" t="n"/>
      <c r="BI388" s="22" t="n"/>
      <c r="BJ388" s="22" t="n"/>
      <c r="BK388" s="22" t="n"/>
      <c r="BL388" s="22" t="n"/>
      <c r="BM388" s="22" t="n"/>
      <c r="BN388" s="22" t="n"/>
      <c r="BO388" s="22" t="n"/>
      <c r="BP388" s="22" t="n"/>
      <c r="BQ388" s="31" t="n"/>
      <c r="BR388" s="31" t="n"/>
      <c r="BS388" s="31" t="n"/>
      <c r="BT388" s="31" t="n"/>
    </row>
    <row r="389" ht="15.75" customHeight="1" s="349">
      <c r="A389" s="22" t="n"/>
      <c r="B389" s="22" t="n"/>
      <c r="C389" s="22" t="n"/>
      <c r="D389" s="22" t="n"/>
      <c r="E389" s="22" t="n"/>
      <c r="F389" s="22"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c r="AA389" s="22" t="n"/>
      <c r="AB389" s="22" t="n"/>
      <c r="AC389" s="22" t="n"/>
      <c r="AD389" s="22" t="n"/>
      <c r="AE389" s="22" t="n"/>
      <c r="AF389" s="22" t="n"/>
      <c r="AG389" s="22" t="n"/>
      <c r="AH389" s="22" t="n"/>
      <c r="AI389" s="22" t="n"/>
      <c r="AJ389" s="22" t="n"/>
      <c r="AK389" s="22" t="n"/>
      <c r="AL389" s="22" t="n"/>
      <c r="AM389" s="22" t="n"/>
      <c r="AN389" s="22" t="n"/>
      <c r="AO389" s="22" t="n"/>
      <c r="AP389" s="22" t="n"/>
      <c r="AQ389" s="22" t="n"/>
      <c r="AR389" s="22" t="n"/>
      <c r="AS389" s="22" t="n"/>
      <c r="AT389" s="22" t="n"/>
      <c r="AU389" s="22" t="n"/>
      <c r="AV389" s="22" t="n"/>
      <c r="AW389" s="22" t="n"/>
      <c r="AX389" s="22" t="n"/>
      <c r="AY389" s="22" t="n"/>
      <c r="AZ389" s="22" t="n"/>
      <c r="BA389" s="22" t="n"/>
      <c r="BB389" s="22" t="n"/>
      <c r="BC389" s="22" t="n"/>
      <c r="BD389" s="22" t="n"/>
      <c r="BE389" s="22" t="n"/>
      <c r="BF389" s="22" t="n"/>
      <c r="BG389" s="22" t="n"/>
      <c r="BH389" s="22" t="n"/>
      <c r="BI389" s="22" t="n"/>
      <c r="BJ389" s="22" t="n"/>
      <c r="BK389" s="22" t="n"/>
      <c r="BL389" s="22" t="n"/>
      <c r="BM389" s="22" t="n"/>
      <c r="BN389" s="22" t="n"/>
      <c r="BO389" s="22" t="n"/>
      <c r="BP389" s="22" t="n"/>
      <c r="BQ389" s="31" t="n"/>
      <c r="BR389" s="31" t="n"/>
      <c r="BS389" s="31" t="n"/>
      <c r="BT389" s="31" t="n"/>
    </row>
    <row r="390" ht="15.75" customHeight="1" s="349">
      <c r="A390" s="22" t="n"/>
      <c r="B390" s="22" t="n"/>
      <c r="C390" s="22" t="n"/>
      <c r="D390" s="22" t="n"/>
      <c r="E390" s="22" t="n"/>
      <c r="F390" s="22"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c r="AA390" s="22" t="n"/>
      <c r="AB390" s="22" t="n"/>
      <c r="AC390" s="22" t="n"/>
      <c r="AD390" s="22" t="n"/>
      <c r="AE390" s="22" t="n"/>
      <c r="AF390" s="22" t="n"/>
      <c r="AG390" s="22" t="n"/>
      <c r="AH390" s="22" t="n"/>
      <c r="AI390" s="22" t="n"/>
      <c r="AJ390" s="22" t="n"/>
      <c r="AK390" s="22" t="n"/>
      <c r="AL390" s="22" t="n"/>
      <c r="AM390" s="22" t="n"/>
      <c r="AN390" s="22" t="n"/>
      <c r="AO390" s="22" t="n"/>
      <c r="AP390" s="22" t="n"/>
      <c r="AQ390" s="22" t="n"/>
      <c r="AR390" s="22" t="n"/>
      <c r="AS390" s="22" t="n"/>
      <c r="AT390" s="22" t="n"/>
      <c r="AU390" s="22" t="n"/>
      <c r="AV390" s="22" t="n"/>
      <c r="AW390" s="22" t="n"/>
      <c r="AX390" s="22" t="n"/>
      <c r="AY390" s="22" t="n"/>
      <c r="AZ390" s="22" t="n"/>
      <c r="BA390" s="22" t="n"/>
      <c r="BB390" s="22" t="n"/>
      <c r="BC390" s="22" t="n"/>
      <c r="BD390" s="22" t="n"/>
      <c r="BE390" s="22" t="n"/>
      <c r="BF390" s="22" t="n"/>
      <c r="BG390" s="22" t="n"/>
      <c r="BH390" s="22" t="n"/>
      <c r="BI390" s="22" t="n"/>
      <c r="BJ390" s="22" t="n"/>
      <c r="BK390" s="22" t="n"/>
      <c r="BL390" s="22" t="n"/>
      <c r="BM390" s="22" t="n"/>
      <c r="BN390" s="22" t="n"/>
      <c r="BO390" s="22" t="n"/>
      <c r="BP390" s="22" t="n"/>
      <c r="BQ390" s="31" t="n"/>
      <c r="BR390" s="31" t="n"/>
      <c r="BS390" s="31" t="n"/>
      <c r="BT390" s="31" t="n"/>
    </row>
    <row r="391" ht="15.75" customHeight="1" s="349">
      <c r="A391" s="22" t="n"/>
      <c r="B391" s="22" t="n"/>
      <c r="C391" s="22" t="n"/>
      <c r="D391" s="22" t="n"/>
      <c r="E391" s="22" t="n"/>
      <c r="F391" s="22"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c r="AA391" s="22" t="n"/>
      <c r="AB391" s="22" t="n"/>
      <c r="AC391" s="22" t="n"/>
      <c r="AD391" s="22" t="n"/>
      <c r="AE391" s="22" t="n"/>
      <c r="AF391" s="22" t="n"/>
      <c r="AG391" s="22" t="n"/>
      <c r="AH391" s="22" t="n"/>
      <c r="AI391" s="22" t="n"/>
      <c r="AJ391" s="22" t="n"/>
      <c r="AK391" s="22" t="n"/>
      <c r="AL391" s="22" t="n"/>
      <c r="AM391" s="22" t="n"/>
      <c r="AN391" s="22" t="n"/>
      <c r="AO391" s="22" t="n"/>
      <c r="AP391" s="22" t="n"/>
      <c r="AQ391" s="22" t="n"/>
      <c r="AR391" s="22" t="n"/>
      <c r="AS391" s="22" t="n"/>
      <c r="AT391" s="22" t="n"/>
      <c r="AU391" s="22" t="n"/>
      <c r="AV391" s="22" t="n"/>
      <c r="AW391" s="22" t="n"/>
      <c r="AX391" s="22" t="n"/>
      <c r="AY391" s="22" t="n"/>
      <c r="AZ391" s="22" t="n"/>
      <c r="BA391" s="22" t="n"/>
      <c r="BB391" s="22" t="n"/>
      <c r="BC391" s="22" t="n"/>
      <c r="BD391" s="22" t="n"/>
      <c r="BE391" s="22" t="n"/>
      <c r="BF391" s="22" t="n"/>
      <c r="BG391" s="22" t="n"/>
      <c r="BH391" s="22" t="n"/>
      <c r="BI391" s="22" t="n"/>
      <c r="BJ391" s="22" t="n"/>
      <c r="BK391" s="22" t="n"/>
      <c r="BL391" s="22" t="n"/>
      <c r="BM391" s="22" t="n"/>
      <c r="BN391" s="22" t="n"/>
      <c r="BO391" s="22" t="n"/>
      <c r="BP391" s="22" t="n"/>
      <c r="BQ391" s="31" t="n"/>
      <c r="BR391" s="31" t="n"/>
      <c r="BS391" s="31" t="n"/>
      <c r="BT391" s="31" t="n"/>
    </row>
    <row r="392" ht="15.75" customHeight="1" s="349">
      <c r="A392" s="22" t="n"/>
      <c r="B392" s="22" t="n"/>
      <c r="C392" s="22" t="n"/>
      <c r="D392" s="22" t="n"/>
      <c r="E392" s="22" t="n"/>
      <c r="F392" s="22"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c r="AA392" s="22" t="n"/>
      <c r="AB392" s="22" t="n"/>
      <c r="AC392" s="22" t="n"/>
      <c r="AD392" s="22" t="n"/>
      <c r="AE392" s="22" t="n"/>
      <c r="AF392" s="22" t="n"/>
      <c r="AG392" s="22" t="n"/>
      <c r="AH392" s="22" t="n"/>
      <c r="AI392" s="22" t="n"/>
      <c r="AJ392" s="22" t="n"/>
      <c r="AK392" s="22" t="n"/>
      <c r="AL392" s="22" t="n"/>
      <c r="AM392" s="22" t="n"/>
      <c r="AN392" s="22" t="n"/>
      <c r="AO392" s="22" t="n"/>
      <c r="AP392" s="22" t="n"/>
      <c r="AQ392" s="22" t="n"/>
      <c r="AR392" s="22" t="n"/>
      <c r="AS392" s="22" t="n"/>
      <c r="AT392" s="22" t="n"/>
      <c r="AU392" s="22" t="n"/>
      <c r="AV392" s="22" t="n"/>
      <c r="AW392" s="22" t="n"/>
      <c r="AX392" s="22" t="n"/>
      <c r="AY392" s="22" t="n"/>
      <c r="AZ392" s="22" t="n"/>
      <c r="BA392" s="22" t="n"/>
      <c r="BB392" s="22" t="n"/>
      <c r="BC392" s="22" t="n"/>
      <c r="BD392" s="22" t="n"/>
      <c r="BE392" s="22" t="n"/>
      <c r="BF392" s="22" t="n"/>
      <c r="BG392" s="22" t="n"/>
      <c r="BH392" s="22" t="n"/>
      <c r="BI392" s="22" t="n"/>
      <c r="BJ392" s="22" t="n"/>
      <c r="BK392" s="22" t="n"/>
      <c r="BL392" s="22" t="n"/>
      <c r="BM392" s="22" t="n"/>
      <c r="BN392" s="22" t="n"/>
      <c r="BO392" s="22" t="n"/>
      <c r="BP392" s="22" t="n"/>
      <c r="BQ392" s="31" t="n"/>
      <c r="BR392" s="31" t="n"/>
      <c r="BS392" s="31" t="n"/>
      <c r="BT392" s="31" t="n"/>
    </row>
    <row r="393" ht="15.75" customHeight="1" s="349">
      <c r="A393" s="22" t="n"/>
      <c r="B393" s="22" t="n"/>
      <c r="C393" s="22" t="n"/>
      <c r="D393" s="22" t="n"/>
      <c r="E393" s="22" t="n"/>
      <c r="F393" s="22"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c r="AA393" s="22" t="n"/>
      <c r="AB393" s="22" t="n"/>
      <c r="AC393" s="22" t="n"/>
      <c r="AD393" s="22" t="n"/>
      <c r="AE393" s="22" t="n"/>
      <c r="AF393" s="22" t="n"/>
      <c r="AG393" s="22" t="n"/>
      <c r="AH393" s="22" t="n"/>
      <c r="AI393" s="22" t="n"/>
      <c r="AJ393" s="22" t="n"/>
      <c r="AK393" s="22" t="n"/>
      <c r="AL393" s="22" t="n"/>
      <c r="AM393" s="22" t="n"/>
      <c r="AN393" s="22" t="n"/>
      <c r="AO393" s="22" t="n"/>
      <c r="AP393" s="22" t="n"/>
      <c r="AQ393" s="22" t="n"/>
      <c r="AR393" s="22" t="n"/>
      <c r="AS393" s="22" t="n"/>
      <c r="AT393" s="22" t="n"/>
      <c r="AU393" s="22" t="n"/>
      <c r="AV393" s="22" t="n"/>
      <c r="AW393" s="22" t="n"/>
      <c r="AX393" s="22" t="n"/>
      <c r="AY393" s="22" t="n"/>
      <c r="AZ393" s="22" t="n"/>
      <c r="BA393" s="22" t="n"/>
      <c r="BB393" s="22" t="n"/>
      <c r="BC393" s="22" t="n"/>
      <c r="BD393" s="22" t="n"/>
      <c r="BE393" s="22" t="n"/>
      <c r="BF393" s="22" t="n"/>
      <c r="BG393" s="22" t="n"/>
      <c r="BH393" s="22" t="n"/>
      <c r="BI393" s="22" t="n"/>
      <c r="BJ393" s="22" t="n"/>
      <c r="BK393" s="22" t="n"/>
      <c r="BL393" s="22" t="n"/>
      <c r="BM393" s="22" t="n"/>
      <c r="BN393" s="22" t="n"/>
      <c r="BO393" s="22" t="n"/>
      <c r="BP393" s="22" t="n"/>
      <c r="BQ393" s="31" t="n"/>
      <c r="BR393" s="31" t="n"/>
      <c r="BS393" s="31" t="n"/>
      <c r="BT393" s="31" t="n"/>
    </row>
    <row r="394" ht="15.75" customHeight="1" s="349">
      <c r="A394" s="22" t="n"/>
      <c r="B394" s="22" t="n"/>
      <c r="C394" s="22" t="n"/>
      <c r="D394" s="22" t="n"/>
      <c r="E394" s="22" t="n"/>
      <c r="F394" s="22"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c r="AA394" s="22" t="n"/>
      <c r="AB394" s="22" t="n"/>
      <c r="AC394" s="22" t="n"/>
      <c r="AD394" s="22" t="n"/>
      <c r="AE394" s="22" t="n"/>
      <c r="AF394" s="22" t="n"/>
      <c r="AG394" s="22" t="n"/>
      <c r="AH394" s="22" t="n"/>
      <c r="AI394" s="22" t="n"/>
      <c r="AJ394" s="22" t="n"/>
      <c r="AK394" s="22" t="n"/>
      <c r="AL394" s="22" t="n"/>
      <c r="AM394" s="22" t="n"/>
      <c r="AN394" s="22" t="n"/>
      <c r="AO394" s="22" t="n"/>
      <c r="AP394" s="22" t="n"/>
      <c r="AQ394" s="22" t="n"/>
      <c r="AR394" s="22" t="n"/>
      <c r="AS394" s="22" t="n"/>
      <c r="AT394" s="22" t="n"/>
      <c r="AU394" s="22" t="n"/>
      <c r="AV394" s="22" t="n"/>
      <c r="AW394" s="22" t="n"/>
      <c r="AX394" s="22" t="n"/>
      <c r="AY394" s="22" t="n"/>
      <c r="AZ394" s="22" t="n"/>
      <c r="BA394" s="22" t="n"/>
      <c r="BB394" s="22" t="n"/>
      <c r="BC394" s="22" t="n"/>
      <c r="BD394" s="22" t="n"/>
      <c r="BE394" s="22" t="n"/>
      <c r="BF394" s="22" t="n"/>
      <c r="BG394" s="22" t="n"/>
      <c r="BH394" s="22" t="n"/>
      <c r="BI394" s="22" t="n"/>
      <c r="BJ394" s="22" t="n"/>
      <c r="BK394" s="22" t="n"/>
      <c r="BL394" s="22" t="n"/>
      <c r="BM394" s="22" t="n"/>
      <c r="BN394" s="22" t="n"/>
      <c r="BO394" s="22" t="n"/>
      <c r="BP394" s="22" t="n"/>
      <c r="BQ394" s="31" t="n"/>
      <c r="BR394" s="31" t="n"/>
      <c r="BS394" s="31" t="n"/>
      <c r="BT394" s="31" t="n"/>
    </row>
    <row r="395" ht="15.75" customHeight="1" s="349">
      <c r="A395" s="22" t="n"/>
      <c r="B395" s="22" t="n"/>
      <c r="C395" s="22" t="n"/>
      <c r="D395" s="22" t="n"/>
      <c r="E395" s="22" t="n"/>
      <c r="F395" s="22"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c r="AA395" s="22" t="n"/>
      <c r="AB395" s="22" t="n"/>
      <c r="AC395" s="22" t="n"/>
      <c r="AD395" s="22" t="n"/>
      <c r="AE395" s="22" t="n"/>
      <c r="AF395" s="22" t="n"/>
      <c r="AG395" s="22" t="n"/>
      <c r="AH395" s="22" t="n"/>
      <c r="AI395" s="22" t="n"/>
      <c r="AJ395" s="22" t="n"/>
      <c r="AK395" s="22" t="n"/>
      <c r="AL395" s="22" t="n"/>
      <c r="AM395" s="22" t="n"/>
      <c r="AN395" s="22" t="n"/>
      <c r="AO395" s="22" t="n"/>
      <c r="AP395" s="22" t="n"/>
      <c r="AQ395" s="22" t="n"/>
      <c r="AR395" s="22" t="n"/>
      <c r="AS395" s="22" t="n"/>
      <c r="AT395" s="22" t="n"/>
      <c r="AU395" s="22" t="n"/>
      <c r="AV395" s="22" t="n"/>
      <c r="AW395" s="22" t="n"/>
      <c r="AX395" s="22" t="n"/>
      <c r="AY395" s="22" t="n"/>
      <c r="AZ395" s="22" t="n"/>
      <c r="BA395" s="22" t="n"/>
      <c r="BB395" s="22" t="n"/>
      <c r="BC395" s="22" t="n"/>
      <c r="BD395" s="22" t="n"/>
      <c r="BE395" s="22" t="n"/>
      <c r="BF395" s="22" t="n"/>
      <c r="BG395" s="22" t="n"/>
      <c r="BH395" s="22" t="n"/>
      <c r="BI395" s="22" t="n"/>
      <c r="BJ395" s="22" t="n"/>
      <c r="BK395" s="22" t="n"/>
      <c r="BL395" s="22" t="n"/>
      <c r="BM395" s="22" t="n"/>
      <c r="BN395" s="22" t="n"/>
      <c r="BO395" s="22" t="n"/>
      <c r="BP395" s="22" t="n"/>
      <c r="BQ395" s="31" t="n"/>
      <c r="BR395" s="31" t="n"/>
      <c r="BS395" s="31" t="n"/>
      <c r="BT395" s="31" t="n"/>
    </row>
    <row r="396" ht="15.75" customHeight="1" s="349">
      <c r="A396" s="22" t="n"/>
      <c r="B396" s="22" t="n"/>
      <c r="C396" s="22" t="n"/>
      <c r="D396" s="22" t="n"/>
      <c r="E396" s="22" t="n"/>
      <c r="F396" s="22"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c r="AA396" s="22" t="n"/>
      <c r="AB396" s="22" t="n"/>
      <c r="AC396" s="22" t="n"/>
      <c r="AD396" s="22" t="n"/>
      <c r="AE396" s="22" t="n"/>
      <c r="AF396" s="22" t="n"/>
      <c r="AG396" s="22" t="n"/>
      <c r="AH396" s="22" t="n"/>
      <c r="AI396" s="22" t="n"/>
      <c r="AJ396" s="22" t="n"/>
      <c r="AK396" s="22" t="n"/>
      <c r="AL396" s="22" t="n"/>
      <c r="AM396" s="22" t="n"/>
      <c r="AN396" s="22" t="n"/>
      <c r="AO396" s="22" t="n"/>
      <c r="AP396" s="22" t="n"/>
      <c r="AQ396" s="22" t="n"/>
      <c r="AR396" s="22" t="n"/>
      <c r="AS396" s="22" t="n"/>
      <c r="AT396" s="22" t="n"/>
      <c r="AU396" s="22" t="n"/>
      <c r="AV396" s="22" t="n"/>
      <c r="AW396" s="22" t="n"/>
      <c r="AX396" s="22" t="n"/>
      <c r="AY396" s="22" t="n"/>
      <c r="AZ396" s="22" t="n"/>
      <c r="BA396" s="22" t="n"/>
      <c r="BB396" s="22" t="n"/>
      <c r="BC396" s="22" t="n"/>
      <c r="BD396" s="22" t="n"/>
      <c r="BE396" s="22" t="n"/>
      <c r="BF396" s="22" t="n"/>
      <c r="BG396" s="22" t="n"/>
      <c r="BH396" s="22" t="n"/>
      <c r="BI396" s="22" t="n"/>
      <c r="BJ396" s="22" t="n"/>
      <c r="BK396" s="22" t="n"/>
      <c r="BL396" s="22" t="n"/>
      <c r="BM396" s="22" t="n"/>
      <c r="BN396" s="22" t="n"/>
      <c r="BO396" s="22" t="n"/>
      <c r="BP396" s="22" t="n"/>
      <c r="BQ396" s="31" t="n"/>
      <c r="BR396" s="31" t="n"/>
      <c r="BS396" s="31" t="n"/>
      <c r="BT396" s="31" t="n"/>
    </row>
    <row r="397" ht="15.75" customHeight="1" s="349">
      <c r="A397" s="22" t="n"/>
      <c r="B397" s="22" t="n"/>
      <c r="C397" s="22" t="n"/>
      <c r="D397" s="22" t="n"/>
      <c r="E397" s="22" t="n"/>
      <c r="F397" s="22"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c r="AA397" s="22" t="n"/>
      <c r="AB397" s="22" t="n"/>
      <c r="AC397" s="22" t="n"/>
      <c r="AD397" s="22" t="n"/>
      <c r="AE397" s="22" t="n"/>
      <c r="AF397" s="22" t="n"/>
      <c r="AG397" s="22" t="n"/>
      <c r="AH397" s="22" t="n"/>
      <c r="AI397" s="22" t="n"/>
      <c r="AJ397" s="22" t="n"/>
      <c r="AK397" s="22" t="n"/>
      <c r="AL397" s="22" t="n"/>
      <c r="AM397" s="22" t="n"/>
      <c r="AN397" s="22" t="n"/>
      <c r="AO397" s="22" t="n"/>
      <c r="AP397" s="22" t="n"/>
      <c r="AQ397" s="22" t="n"/>
      <c r="AR397" s="22" t="n"/>
      <c r="AS397" s="22" t="n"/>
      <c r="AT397" s="22" t="n"/>
      <c r="AU397" s="22" t="n"/>
      <c r="AV397" s="22" t="n"/>
      <c r="AW397" s="22" t="n"/>
      <c r="AX397" s="22" t="n"/>
      <c r="AY397" s="22" t="n"/>
      <c r="AZ397" s="22" t="n"/>
      <c r="BA397" s="22" t="n"/>
      <c r="BB397" s="22" t="n"/>
      <c r="BC397" s="22" t="n"/>
      <c r="BD397" s="22" t="n"/>
      <c r="BE397" s="22" t="n"/>
      <c r="BF397" s="22" t="n"/>
      <c r="BG397" s="22" t="n"/>
      <c r="BH397" s="22" t="n"/>
      <c r="BI397" s="22" t="n"/>
      <c r="BJ397" s="22" t="n"/>
      <c r="BK397" s="22" t="n"/>
      <c r="BL397" s="22" t="n"/>
      <c r="BM397" s="22" t="n"/>
      <c r="BN397" s="22" t="n"/>
      <c r="BO397" s="22" t="n"/>
      <c r="BP397" s="22" t="n"/>
      <c r="BQ397" s="31" t="n"/>
      <c r="BR397" s="31" t="n"/>
      <c r="BS397" s="31" t="n"/>
      <c r="BT397" s="31" t="n"/>
    </row>
    <row r="398" ht="15.75" customHeight="1" s="349">
      <c r="A398" s="22" t="n"/>
      <c r="B398" s="22" t="n"/>
      <c r="C398" s="22" t="n"/>
      <c r="D398" s="22" t="n"/>
      <c r="E398" s="22" t="n"/>
      <c r="F398" s="22"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c r="AA398" s="22" t="n"/>
      <c r="AB398" s="22" t="n"/>
      <c r="AC398" s="22" t="n"/>
      <c r="AD398" s="22" t="n"/>
      <c r="AE398" s="22" t="n"/>
      <c r="AF398" s="22" t="n"/>
      <c r="AG398" s="22" t="n"/>
      <c r="AH398" s="22" t="n"/>
      <c r="AI398" s="22" t="n"/>
      <c r="AJ398" s="22" t="n"/>
      <c r="AK398" s="22" t="n"/>
      <c r="AL398" s="22" t="n"/>
      <c r="AM398" s="22" t="n"/>
      <c r="AN398" s="22" t="n"/>
      <c r="AO398" s="22" t="n"/>
      <c r="AP398" s="22" t="n"/>
      <c r="AQ398" s="22" t="n"/>
      <c r="AR398" s="22" t="n"/>
      <c r="AS398" s="22" t="n"/>
      <c r="AT398" s="22" t="n"/>
      <c r="AU398" s="22" t="n"/>
      <c r="AV398" s="22" t="n"/>
      <c r="AW398" s="22" t="n"/>
      <c r="AX398" s="22" t="n"/>
      <c r="AY398" s="22" t="n"/>
      <c r="AZ398" s="22" t="n"/>
      <c r="BA398" s="22" t="n"/>
      <c r="BB398" s="22" t="n"/>
      <c r="BC398" s="22" t="n"/>
      <c r="BD398" s="22" t="n"/>
      <c r="BE398" s="22" t="n"/>
      <c r="BF398" s="22" t="n"/>
      <c r="BG398" s="22" t="n"/>
      <c r="BH398" s="22" t="n"/>
      <c r="BI398" s="22" t="n"/>
      <c r="BJ398" s="22" t="n"/>
      <c r="BK398" s="22" t="n"/>
      <c r="BL398" s="22" t="n"/>
      <c r="BM398" s="22" t="n"/>
      <c r="BN398" s="22" t="n"/>
      <c r="BO398" s="22" t="n"/>
      <c r="BP398" s="22" t="n"/>
      <c r="BQ398" s="31" t="n"/>
      <c r="BR398" s="31" t="n"/>
      <c r="BS398" s="31" t="n"/>
      <c r="BT398" s="31" t="n"/>
    </row>
    <row r="399" ht="15.75" customHeight="1" s="349">
      <c r="A399" s="22" t="n"/>
      <c r="B399" s="22" t="n"/>
      <c r="C399" s="22" t="n"/>
      <c r="D399" s="22" t="n"/>
      <c r="E399" s="22" t="n"/>
      <c r="F399" s="22"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c r="AA399" s="22" t="n"/>
      <c r="AB399" s="22" t="n"/>
      <c r="AC399" s="22" t="n"/>
      <c r="AD399" s="22" t="n"/>
      <c r="AE399" s="22" t="n"/>
      <c r="AF399" s="22" t="n"/>
      <c r="AG399" s="22" t="n"/>
      <c r="AH399" s="22" t="n"/>
      <c r="AI399" s="22" t="n"/>
      <c r="AJ399" s="22" t="n"/>
      <c r="AK399" s="22" t="n"/>
      <c r="AL399" s="22" t="n"/>
      <c r="AM399" s="22" t="n"/>
      <c r="AN399" s="22" t="n"/>
      <c r="AO399" s="22" t="n"/>
      <c r="AP399" s="22" t="n"/>
      <c r="AQ399" s="22" t="n"/>
      <c r="AR399" s="22" t="n"/>
      <c r="AS399" s="22" t="n"/>
      <c r="AT399" s="22" t="n"/>
      <c r="AU399" s="22" t="n"/>
      <c r="AV399" s="22" t="n"/>
      <c r="AW399" s="22" t="n"/>
      <c r="AX399" s="22" t="n"/>
      <c r="AY399" s="22" t="n"/>
      <c r="AZ399" s="22" t="n"/>
      <c r="BA399" s="22" t="n"/>
      <c r="BB399" s="22" t="n"/>
      <c r="BC399" s="22" t="n"/>
      <c r="BD399" s="22" t="n"/>
      <c r="BE399" s="22" t="n"/>
      <c r="BF399" s="22" t="n"/>
      <c r="BG399" s="22" t="n"/>
      <c r="BH399" s="22" t="n"/>
      <c r="BI399" s="22" t="n"/>
      <c r="BJ399" s="22" t="n"/>
      <c r="BK399" s="22" t="n"/>
      <c r="BL399" s="22" t="n"/>
      <c r="BM399" s="22" t="n"/>
      <c r="BN399" s="22" t="n"/>
      <c r="BO399" s="22" t="n"/>
      <c r="BP399" s="22" t="n"/>
      <c r="BQ399" s="31" t="n"/>
      <c r="BR399" s="31" t="n"/>
      <c r="BS399" s="31" t="n"/>
      <c r="BT399" s="31" t="n"/>
    </row>
    <row r="400" ht="15.75" customHeight="1" s="349">
      <c r="A400" s="22" t="n"/>
      <c r="B400" s="22" t="n"/>
      <c r="C400" s="22" t="n"/>
      <c r="D400" s="22" t="n"/>
      <c r="E400" s="22" t="n"/>
      <c r="F400" s="22"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c r="AA400" s="22" t="n"/>
      <c r="AB400" s="22" t="n"/>
      <c r="AC400" s="22" t="n"/>
      <c r="AD400" s="22" t="n"/>
      <c r="AE400" s="22" t="n"/>
      <c r="AF400" s="22" t="n"/>
      <c r="AG400" s="22" t="n"/>
      <c r="AH400" s="22" t="n"/>
      <c r="AI400" s="22" t="n"/>
      <c r="AJ400" s="22" t="n"/>
      <c r="AK400" s="22" t="n"/>
      <c r="AL400" s="22" t="n"/>
      <c r="AM400" s="22" t="n"/>
      <c r="AN400" s="22" t="n"/>
      <c r="AO400" s="22" t="n"/>
      <c r="AP400" s="22" t="n"/>
      <c r="AQ400" s="22" t="n"/>
      <c r="AR400" s="22" t="n"/>
      <c r="AS400" s="22" t="n"/>
      <c r="AT400" s="22" t="n"/>
      <c r="AU400" s="22" t="n"/>
      <c r="AV400" s="22" t="n"/>
      <c r="AW400" s="22" t="n"/>
      <c r="AX400" s="22" t="n"/>
      <c r="AY400" s="22" t="n"/>
      <c r="AZ400" s="22" t="n"/>
      <c r="BA400" s="22" t="n"/>
      <c r="BB400" s="22" t="n"/>
      <c r="BC400" s="22" t="n"/>
      <c r="BD400" s="22" t="n"/>
      <c r="BE400" s="22" t="n"/>
      <c r="BF400" s="22" t="n"/>
      <c r="BG400" s="22" t="n"/>
      <c r="BH400" s="22" t="n"/>
      <c r="BI400" s="22" t="n"/>
      <c r="BJ400" s="22" t="n"/>
      <c r="BK400" s="22" t="n"/>
      <c r="BL400" s="22" t="n"/>
      <c r="BM400" s="22" t="n"/>
      <c r="BN400" s="22" t="n"/>
      <c r="BO400" s="22" t="n"/>
      <c r="BP400" s="22" t="n"/>
      <c r="BQ400" s="31" t="n"/>
      <c r="BR400" s="31" t="n"/>
      <c r="BS400" s="31" t="n"/>
      <c r="BT400" s="31" t="n"/>
    </row>
    <row r="401" ht="15.75" customHeight="1" s="349">
      <c r="A401" s="22" t="n"/>
      <c r="B401" s="22" t="n"/>
      <c r="C401" s="22" t="n"/>
      <c r="D401" s="22" t="n"/>
      <c r="E401" s="22" t="n"/>
      <c r="F401" s="22"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c r="AA401" s="22" t="n"/>
      <c r="AB401" s="22" t="n"/>
      <c r="AC401" s="22" t="n"/>
      <c r="AD401" s="22" t="n"/>
      <c r="AE401" s="22" t="n"/>
      <c r="AF401" s="22" t="n"/>
      <c r="AG401" s="22" t="n"/>
      <c r="AH401" s="22" t="n"/>
      <c r="AI401" s="22" t="n"/>
      <c r="AJ401" s="22" t="n"/>
      <c r="AK401" s="22" t="n"/>
      <c r="AL401" s="22" t="n"/>
      <c r="AM401" s="22" t="n"/>
      <c r="AN401" s="22" t="n"/>
      <c r="AO401" s="22" t="n"/>
      <c r="AP401" s="22" t="n"/>
      <c r="AQ401" s="22" t="n"/>
      <c r="AR401" s="22" t="n"/>
      <c r="AS401" s="22" t="n"/>
      <c r="AT401" s="22" t="n"/>
      <c r="AU401" s="22" t="n"/>
      <c r="AV401" s="22" t="n"/>
      <c r="AW401" s="22" t="n"/>
      <c r="AX401" s="22" t="n"/>
      <c r="AY401" s="22" t="n"/>
      <c r="AZ401" s="22" t="n"/>
      <c r="BA401" s="22" t="n"/>
      <c r="BB401" s="22" t="n"/>
      <c r="BC401" s="22" t="n"/>
      <c r="BD401" s="22" t="n"/>
      <c r="BE401" s="22" t="n"/>
      <c r="BF401" s="22" t="n"/>
      <c r="BG401" s="22" t="n"/>
      <c r="BH401" s="22" t="n"/>
      <c r="BI401" s="22" t="n"/>
      <c r="BJ401" s="22" t="n"/>
      <c r="BK401" s="22" t="n"/>
      <c r="BL401" s="22" t="n"/>
      <c r="BM401" s="22" t="n"/>
      <c r="BN401" s="22" t="n"/>
      <c r="BO401" s="22" t="n"/>
      <c r="BP401" s="22" t="n"/>
      <c r="BQ401" s="31" t="n"/>
      <c r="BR401" s="31" t="n"/>
      <c r="BS401" s="31" t="n"/>
      <c r="BT401" s="31" t="n"/>
    </row>
    <row r="402" ht="15.75" customHeight="1" s="349">
      <c r="A402" s="22" t="n"/>
      <c r="B402" s="22" t="n"/>
      <c r="C402" s="22" t="n"/>
      <c r="D402" s="22" t="n"/>
      <c r="E402" s="22" t="n"/>
      <c r="F402" s="22"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c r="AA402" s="22" t="n"/>
      <c r="AB402" s="22" t="n"/>
      <c r="AC402" s="22" t="n"/>
      <c r="AD402" s="22" t="n"/>
      <c r="AE402" s="22" t="n"/>
      <c r="AF402" s="22" t="n"/>
      <c r="AG402" s="22" t="n"/>
      <c r="AH402" s="22" t="n"/>
      <c r="AI402" s="22" t="n"/>
      <c r="AJ402" s="22" t="n"/>
      <c r="AK402" s="22" t="n"/>
      <c r="AL402" s="22" t="n"/>
      <c r="AM402" s="22" t="n"/>
      <c r="AN402" s="22" t="n"/>
      <c r="AO402" s="22" t="n"/>
      <c r="AP402" s="22" t="n"/>
      <c r="AQ402" s="22" t="n"/>
      <c r="AR402" s="22" t="n"/>
      <c r="AS402" s="22" t="n"/>
      <c r="AT402" s="22" t="n"/>
      <c r="AU402" s="22" t="n"/>
      <c r="AV402" s="22" t="n"/>
      <c r="AW402" s="22" t="n"/>
      <c r="AX402" s="22" t="n"/>
      <c r="AY402" s="22" t="n"/>
      <c r="AZ402" s="22" t="n"/>
      <c r="BA402" s="22" t="n"/>
      <c r="BB402" s="22" t="n"/>
      <c r="BC402" s="22" t="n"/>
      <c r="BD402" s="22" t="n"/>
      <c r="BE402" s="22" t="n"/>
      <c r="BF402" s="22" t="n"/>
      <c r="BG402" s="22" t="n"/>
      <c r="BH402" s="22" t="n"/>
      <c r="BI402" s="22" t="n"/>
      <c r="BJ402" s="22" t="n"/>
      <c r="BK402" s="22" t="n"/>
      <c r="BL402" s="22" t="n"/>
      <c r="BM402" s="22" t="n"/>
      <c r="BN402" s="22" t="n"/>
      <c r="BO402" s="22" t="n"/>
      <c r="BP402" s="22" t="n"/>
      <c r="BQ402" s="31" t="n"/>
      <c r="BR402" s="31" t="n"/>
      <c r="BS402" s="31" t="n"/>
      <c r="BT402" s="31" t="n"/>
    </row>
    <row r="403" ht="15.75" customHeight="1" s="349">
      <c r="A403" s="22" t="n"/>
      <c r="B403" s="22" t="n"/>
      <c r="C403" s="22" t="n"/>
      <c r="D403" s="22" t="n"/>
      <c r="E403" s="22" t="n"/>
      <c r="F403" s="22"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c r="AA403" s="22" t="n"/>
      <c r="AB403" s="22" t="n"/>
      <c r="AC403" s="22" t="n"/>
      <c r="AD403" s="22" t="n"/>
      <c r="AE403" s="22" t="n"/>
      <c r="AF403" s="22" t="n"/>
      <c r="AG403" s="22" t="n"/>
      <c r="AH403" s="22" t="n"/>
      <c r="AI403" s="22" t="n"/>
      <c r="AJ403" s="22" t="n"/>
      <c r="AK403" s="22" t="n"/>
      <c r="AL403" s="22" t="n"/>
      <c r="AM403" s="22" t="n"/>
      <c r="AN403" s="22" t="n"/>
      <c r="AO403" s="22" t="n"/>
      <c r="AP403" s="22" t="n"/>
      <c r="AQ403" s="22" t="n"/>
      <c r="AR403" s="22" t="n"/>
      <c r="AS403" s="22" t="n"/>
      <c r="AT403" s="22" t="n"/>
      <c r="AU403" s="22" t="n"/>
      <c r="AV403" s="22" t="n"/>
      <c r="AW403" s="22" t="n"/>
      <c r="AX403" s="22" t="n"/>
      <c r="AY403" s="22" t="n"/>
      <c r="AZ403" s="22" t="n"/>
      <c r="BA403" s="22" t="n"/>
      <c r="BB403" s="22" t="n"/>
      <c r="BC403" s="22" t="n"/>
      <c r="BD403" s="22" t="n"/>
      <c r="BE403" s="22" t="n"/>
      <c r="BF403" s="22" t="n"/>
      <c r="BG403" s="22" t="n"/>
      <c r="BH403" s="22" t="n"/>
      <c r="BI403" s="22" t="n"/>
      <c r="BJ403" s="22" t="n"/>
      <c r="BK403" s="22" t="n"/>
      <c r="BL403" s="22" t="n"/>
      <c r="BM403" s="22" t="n"/>
      <c r="BN403" s="22" t="n"/>
      <c r="BO403" s="22" t="n"/>
      <c r="BP403" s="22" t="n"/>
      <c r="BQ403" s="31" t="n"/>
      <c r="BR403" s="31" t="n"/>
      <c r="BS403" s="31" t="n"/>
      <c r="BT403" s="31" t="n"/>
    </row>
    <row r="404" ht="15.75" customHeight="1" s="349">
      <c r="A404" s="22" t="n"/>
      <c r="B404" s="22" t="n"/>
      <c r="C404" s="22" t="n"/>
      <c r="D404" s="22" t="n"/>
      <c r="E404" s="22" t="n"/>
      <c r="F404" s="22"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c r="AA404" s="22" t="n"/>
      <c r="AB404" s="22" t="n"/>
      <c r="AC404" s="22" t="n"/>
      <c r="AD404" s="22" t="n"/>
      <c r="AE404" s="22" t="n"/>
      <c r="AF404" s="22" t="n"/>
      <c r="AG404" s="22" t="n"/>
      <c r="AH404" s="22" t="n"/>
      <c r="AI404" s="22" t="n"/>
      <c r="AJ404" s="22" t="n"/>
      <c r="AK404" s="22" t="n"/>
      <c r="AL404" s="22" t="n"/>
      <c r="AM404" s="22" t="n"/>
      <c r="AN404" s="22" t="n"/>
      <c r="AO404" s="22" t="n"/>
      <c r="AP404" s="22" t="n"/>
      <c r="AQ404" s="22" t="n"/>
      <c r="AR404" s="22" t="n"/>
      <c r="AS404" s="22" t="n"/>
      <c r="AT404" s="22" t="n"/>
      <c r="AU404" s="22" t="n"/>
      <c r="AV404" s="22" t="n"/>
      <c r="AW404" s="22" t="n"/>
      <c r="AX404" s="22" t="n"/>
      <c r="AY404" s="22" t="n"/>
      <c r="AZ404" s="22" t="n"/>
      <c r="BA404" s="22" t="n"/>
      <c r="BB404" s="22" t="n"/>
      <c r="BC404" s="22" t="n"/>
      <c r="BD404" s="22" t="n"/>
      <c r="BE404" s="22" t="n"/>
      <c r="BF404" s="22" t="n"/>
      <c r="BG404" s="22" t="n"/>
      <c r="BH404" s="22" t="n"/>
      <c r="BI404" s="22" t="n"/>
      <c r="BJ404" s="22" t="n"/>
      <c r="BK404" s="22" t="n"/>
      <c r="BL404" s="22" t="n"/>
      <c r="BM404" s="22" t="n"/>
      <c r="BN404" s="22" t="n"/>
      <c r="BO404" s="22" t="n"/>
      <c r="BP404" s="22" t="n"/>
      <c r="BQ404" s="31" t="n"/>
      <c r="BR404" s="31" t="n"/>
      <c r="BS404" s="31" t="n"/>
      <c r="BT404" s="31" t="n"/>
    </row>
    <row r="405" ht="15.75" customHeight="1" s="349">
      <c r="A405" s="22" t="n"/>
      <c r="B405" s="22" t="n"/>
      <c r="C405" s="22" t="n"/>
      <c r="D405" s="22" t="n"/>
      <c r="E405" s="22" t="n"/>
      <c r="F405" s="22"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c r="AA405" s="22" t="n"/>
      <c r="AB405" s="22" t="n"/>
      <c r="AC405" s="22" t="n"/>
      <c r="AD405" s="22" t="n"/>
      <c r="AE405" s="22" t="n"/>
      <c r="AF405" s="22" t="n"/>
      <c r="AG405" s="22" t="n"/>
      <c r="AH405" s="22" t="n"/>
      <c r="AI405" s="22" t="n"/>
      <c r="AJ405" s="22" t="n"/>
      <c r="AK405" s="22" t="n"/>
      <c r="AL405" s="22" t="n"/>
      <c r="AM405" s="22" t="n"/>
      <c r="AN405" s="22" t="n"/>
      <c r="AO405" s="22" t="n"/>
      <c r="AP405" s="22" t="n"/>
      <c r="AQ405" s="22" t="n"/>
      <c r="AR405" s="22" t="n"/>
      <c r="AS405" s="22" t="n"/>
      <c r="AT405" s="22" t="n"/>
      <c r="AU405" s="22" t="n"/>
      <c r="AV405" s="22" t="n"/>
      <c r="AW405" s="22" t="n"/>
      <c r="AX405" s="22" t="n"/>
      <c r="AY405" s="22" t="n"/>
      <c r="AZ405" s="22" t="n"/>
      <c r="BA405" s="22" t="n"/>
      <c r="BB405" s="22" t="n"/>
      <c r="BC405" s="22" t="n"/>
      <c r="BD405" s="22" t="n"/>
      <c r="BE405" s="22" t="n"/>
      <c r="BF405" s="22" t="n"/>
      <c r="BG405" s="22" t="n"/>
      <c r="BH405" s="22" t="n"/>
      <c r="BI405" s="22" t="n"/>
      <c r="BJ405" s="22" t="n"/>
      <c r="BK405" s="22" t="n"/>
      <c r="BL405" s="22" t="n"/>
      <c r="BM405" s="22" t="n"/>
      <c r="BN405" s="22" t="n"/>
      <c r="BO405" s="22" t="n"/>
      <c r="BP405" s="22" t="n"/>
      <c r="BQ405" s="31" t="n"/>
      <c r="BR405" s="31" t="n"/>
      <c r="BS405" s="31" t="n"/>
      <c r="BT405" s="31" t="n"/>
    </row>
    <row r="406" ht="15.75" customHeight="1" s="349">
      <c r="A406" s="22" t="n"/>
      <c r="B406" s="22" t="n"/>
      <c r="C406" s="22" t="n"/>
      <c r="D406" s="22" t="n"/>
      <c r="E406" s="22" t="n"/>
      <c r="F406" s="22"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c r="AA406" s="22" t="n"/>
      <c r="AB406" s="22" t="n"/>
      <c r="AC406" s="22" t="n"/>
      <c r="AD406" s="22" t="n"/>
      <c r="AE406" s="22" t="n"/>
      <c r="AF406" s="22" t="n"/>
      <c r="AG406" s="22" t="n"/>
      <c r="AH406" s="22" t="n"/>
      <c r="AI406" s="22" t="n"/>
      <c r="AJ406" s="22" t="n"/>
      <c r="AK406" s="22" t="n"/>
      <c r="AL406" s="22" t="n"/>
      <c r="AM406" s="22" t="n"/>
      <c r="AN406" s="22" t="n"/>
      <c r="AO406" s="22" t="n"/>
      <c r="AP406" s="22" t="n"/>
      <c r="AQ406" s="22" t="n"/>
      <c r="AR406" s="22" t="n"/>
      <c r="AS406" s="22" t="n"/>
      <c r="AT406" s="22" t="n"/>
      <c r="AU406" s="22" t="n"/>
      <c r="AV406" s="22" t="n"/>
      <c r="AW406" s="22" t="n"/>
      <c r="AX406" s="22" t="n"/>
      <c r="AY406" s="22" t="n"/>
      <c r="AZ406" s="22" t="n"/>
      <c r="BA406" s="22" t="n"/>
      <c r="BB406" s="22" t="n"/>
      <c r="BC406" s="22" t="n"/>
      <c r="BD406" s="22" t="n"/>
      <c r="BE406" s="22" t="n"/>
      <c r="BF406" s="22" t="n"/>
      <c r="BG406" s="22" t="n"/>
      <c r="BH406" s="22" t="n"/>
      <c r="BI406" s="22" t="n"/>
      <c r="BJ406" s="22" t="n"/>
      <c r="BK406" s="22" t="n"/>
      <c r="BL406" s="22" t="n"/>
      <c r="BM406" s="22" t="n"/>
      <c r="BN406" s="22" t="n"/>
      <c r="BO406" s="22" t="n"/>
      <c r="BP406" s="22" t="n"/>
      <c r="BQ406" s="31" t="n"/>
      <c r="BR406" s="31" t="n"/>
      <c r="BS406" s="31" t="n"/>
      <c r="BT406" s="31" t="n"/>
    </row>
    <row r="407" ht="15.75" customHeight="1" s="349">
      <c r="A407" s="22" t="n"/>
      <c r="B407" s="22" t="n"/>
      <c r="C407" s="22" t="n"/>
      <c r="D407" s="22" t="n"/>
      <c r="E407" s="22" t="n"/>
      <c r="F407" s="22"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c r="AA407" s="22" t="n"/>
      <c r="AB407" s="22" t="n"/>
      <c r="AC407" s="22" t="n"/>
      <c r="AD407" s="22" t="n"/>
      <c r="AE407" s="22" t="n"/>
      <c r="AF407" s="22" t="n"/>
      <c r="AG407" s="22" t="n"/>
      <c r="AH407" s="22" t="n"/>
      <c r="AI407" s="22" t="n"/>
      <c r="AJ407" s="22" t="n"/>
      <c r="AK407" s="22" t="n"/>
      <c r="AL407" s="22" t="n"/>
      <c r="AM407" s="22" t="n"/>
      <c r="AN407" s="22" t="n"/>
      <c r="AO407" s="22" t="n"/>
      <c r="AP407" s="22" t="n"/>
      <c r="AQ407" s="22" t="n"/>
      <c r="AR407" s="22" t="n"/>
      <c r="AS407" s="22" t="n"/>
      <c r="AT407" s="22" t="n"/>
      <c r="AU407" s="22" t="n"/>
      <c r="AV407" s="22" t="n"/>
      <c r="AW407" s="22" t="n"/>
      <c r="AX407" s="22" t="n"/>
      <c r="AY407" s="22" t="n"/>
      <c r="AZ407" s="22" t="n"/>
      <c r="BA407" s="22" t="n"/>
      <c r="BB407" s="22" t="n"/>
      <c r="BC407" s="22" t="n"/>
      <c r="BD407" s="22" t="n"/>
      <c r="BE407" s="22" t="n"/>
      <c r="BF407" s="22" t="n"/>
      <c r="BG407" s="22" t="n"/>
      <c r="BH407" s="22" t="n"/>
      <c r="BI407" s="22" t="n"/>
      <c r="BJ407" s="22" t="n"/>
      <c r="BK407" s="22" t="n"/>
      <c r="BL407" s="22" t="n"/>
      <c r="BM407" s="22" t="n"/>
      <c r="BN407" s="22" t="n"/>
      <c r="BO407" s="22" t="n"/>
      <c r="BP407" s="22" t="n"/>
      <c r="BQ407" s="31" t="n"/>
      <c r="BR407" s="31" t="n"/>
      <c r="BS407" s="31" t="n"/>
      <c r="BT407" s="31" t="n"/>
    </row>
    <row r="408" ht="15.75" customHeight="1" s="349">
      <c r="A408" s="22" t="n"/>
      <c r="B408" s="22" t="n"/>
      <c r="C408" s="22" t="n"/>
      <c r="D408" s="22" t="n"/>
      <c r="E408" s="22" t="n"/>
      <c r="F408" s="22"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c r="AA408" s="22" t="n"/>
      <c r="AB408" s="22" t="n"/>
      <c r="AC408" s="22" t="n"/>
      <c r="AD408" s="22" t="n"/>
      <c r="AE408" s="22" t="n"/>
      <c r="AF408" s="22" t="n"/>
      <c r="AG408" s="22" t="n"/>
      <c r="AH408" s="22" t="n"/>
      <c r="AI408" s="22" t="n"/>
      <c r="AJ408" s="22" t="n"/>
      <c r="AK408" s="22" t="n"/>
      <c r="AL408" s="22" t="n"/>
      <c r="AM408" s="22" t="n"/>
      <c r="AN408" s="22" t="n"/>
      <c r="AO408" s="22" t="n"/>
      <c r="AP408" s="22" t="n"/>
      <c r="AQ408" s="22" t="n"/>
      <c r="AR408" s="22" t="n"/>
      <c r="AS408" s="22" t="n"/>
      <c r="AT408" s="22" t="n"/>
      <c r="AU408" s="22" t="n"/>
      <c r="AV408" s="22" t="n"/>
      <c r="AW408" s="22" t="n"/>
      <c r="AX408" s="22" t="n"/>
      <c r="AY408" s="22" t="n"/>
      <c r="AZ408" s="22" t="n"/>
      <c r="BA408" s="22" t="n"/>
      <c r="BB408" s="22" t="n"/>
      <c r="BC408" s="22" t="n"/>
      <c r="BD408" s="22" t="n"/>
      <c r="BE408" s="22" t="n"/>
      <c r="BF408" s="22" t="n"/>
      <c r="BG408" s="22" t="n"/>
      <c r="BH408" s="22" t="n"/>
      <c r="BI408" s="22" t="n"/>
      <c r="BJ408" s="22" t="n"/>
      <c r="BK408" s="22" t="n"/>
      <c r="BL408" s="22" t="n"/>
      <c r="BM408" s="22" t="n"/>
      <c r="BN408" s="22" t="n"/>
      <c r="BO408" s="22" t="n"/>
      <c r="BP408" s="22" t="n"/>
      <c r="BQ408" s="31" t="n"/>
      <c r="BR408" s="31" t="n"/>
      <c r="BS408" s="31" t="n"/>
      <c r="BT408" s="31" t="n"/>
    </row>
    <row r="409" ht="15.75" customHeight="1" s="349">
      <c r="A409" s="22" t="n"/>
      <c r="B409" s="22" t="n"/>
      <c r="C409" s="22" t="n"/>
      <c r="D409" s="22" t="n"/>
      <c r="E409" s="22" t="n"/>
      <c r="F409" s="22"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c r="AA409" s="22" t="n"/>
      <c r="AB409" s="22" t="n"/>
      <c r="AC409" s="22" t="n"/>
      <c r="AD409" s="22" t="n"/>
      <c r="AE409" s="22" t="n"/>
      <c r="AF409" s="22" t="n"/>
      <c r="AG409" s="22" t="n"/>
      <c r="AH409" s="22" t="n"/>
      <c r="AI409" s="22" t="n"/>
      <c r="AJ409" s="22" t="n"/>
      <c r="AK409" s="22" t="n"/>
      <c r="AL409" s="22" t="n"/>
      <c r="AM409" s="22" t="n"/>
      <c r="AN409" s="22" t="n"/>
      <c r="AO409" s="22" t="n"/>
      <c r="AP409" s="22" t="n"/>
      <c r="AQ409" s="22" t="n"/>
      <c r="AR409" s="22" t="n"/>
      <c r="AS409" s="22" t="n"/>
      <c r="AT409" s="22" t="n"/>
      <c r="AU409" s="22" t="n"/>
      <c r="AV409" s="22" t="n"/>
      <c r="AW409" s="22" t="n"/>
      <c r="AX409" s="22" t="n"/>
      <c r="AY409" s="22" t="n"/>
      <c r="AZ409" s="22" t="n"/>
      <c r="BA409" s="22" t="n"/>
      <c r="BB409" s="22" t="n"/>
      <c r="BC409" s="22" t="n"/>
      <c r="BD409" s="22" t="n"/>
      <c r="BE409" s="22" t="n"/>
      <c r="BF409" s="22" t="n"/>
      <c r="BG409" s="22" t="n"/>
      <c r="BH409" s="22" t="n"/>
      <c r="BI409" s="22" t="n"/>
      <c r="BJ409" s="22" t="n"/>
      <c r="BK409" s="22" t="n"/>
      <c r="BL409" s="22" t="n"/>
      <c r="BM409" s="22" t="n"/>
      <c r="BN409" s="22" t="n"/>
      <c r="BO409" s="22" t="n"/>
      <c r="BP409" s="22" t="n"/>
      <c r="BQ409" s="31" t="n"/>
      <c r="BR409" s="31" t="n"/>
      <c r="BS409" s="31" t="n"/>
      <c r="BT409" s="31" t="n"/>
    </row>
    <row r="410" ht="15.75" customHeight="1" s="349">
      <c r="A410" s="22" t="n"/>
      <c r="B410" s="22" t="n"/>
      <c r="C410" s="22" t="n"/>
      <c r="D410" s="22" t="n"/>
      <c r="E410" s="22" t="n"/>
      <c r="F410" s="22"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c r="AA410" s="22" t="n"/>
      <c r="AB410" s="22" t="n"/>
      <c r="AC410" s="22" t="n"/>
      <c r="AD410" s="22" t="n"/>
      <c r="AE410" s="22" t="n"/>
      <c r="AF410" s="22" t="n"/>
      <c r="AG410" s="22" t="n"/>
      <c r="AH410" s="22" t="n"/>
      <c r="AI410" s="22" t="n"/>
      <c r="AJ410" s="22" t="n"/>
      <c r="AK410" s="22" t="n"/>
      <c r="AL410" s="22" t="n"/>
      <c r="AM410" s="22" t="n"/>
      <c r="AN410" s="22" t="n"/>
      <c r="AO410" s="22" t="n"/>
      <c r="AP410" s="22" t="n"/>
      <c r="AQ410" s="22" t="n"/>
      <c r="AR410" s="22" t="n"/>
      <c r="AS410" s="22" t="n"/>
      <c r="AT410" s="22" t="n"/>
      <c r="AU410" s="22" t="n"/>
      <c r="AV410" s="22" t="n"/>
      <c r="AW410" s="22" t="n"/>
      <c r="AX410" s="22" t="n"/>
      <c r="AY410" s="22" t="n"/>
      <c r="AZ410" s="22" t="n"/>
      <c r="BA410" s="22" t="n"/>
      <c r="BB410" s="22" t="n"/>
      <c r="BC410" s="22" t="n"/>
      <c r="BD410" s="22" t="n"/>
      <c r="BE410" s="22" t="n"/>
      <c r="BF410" s="22" t="n"/>
      <c r="BG410" s="22" t="n"/>
      <c r="BH410" s="22" t="n"/>
      <c r="BI410" s="22" t="n"/>
      <c r="BJ410" s="22" t="n"/>
      <c r="BK410" s="22" t="n"/>
      <c r="BL410" s="22" t="n"/>
      <c r="BM410" s="22" t="n"/>
      <c r="BN410" s="22" t="n"/>
      <c r="BO410" s="22" t="n"/>
      <c r="BP410" s="22" t="n"/>
      <c r="BQ410" s="31" t="n"/>
      <c r="BR410" s="31" t="n"/>
      <c r="BS410" s="31" t="n"/>
      <c r="BT410" s="31" t="n"/>
    </row>
    <row r="411" ht="15.75" customHeight="1" s="349">
      <c r="A411" s="22" t="n"/>
      <c r="B411" s="22" t="n"/>
      <c r="C411" s="22" t="n"/>
      <c r="D411" s="22" t="n"/>
      <c r="E411" s="22" t="n"/>
      <c r="F411" s="22"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c r="AA411" s="22" t="n"/>
      <c r="AB411" s="22" t="n"/>
      <c r="AC411" s="22" t="n"/>
      <c r="AD411" s="22" t="n"/>
      <c r="AE411" s="22" t="n"/>
      <c r="AF411" s="22" t="n"/>
      <c r="AG411" s="22" t="n"/>
      <c r="AH411" s="22" t="n"/>
      <c r="AI411" s="22" t="n"/>
      <c r="AJ411" s="22" t="n"/>
      <c r="AK411" s="22" t="n"/>
      <c r="AL411" s="22" t="n"/>
      <c r="AM411" s="22" t="n"/>
      <c r="AN411" s="22" t="n"/>
      <c r="AO411" s="22" t="n"/>
      <c r="AP411" s="22" t="n"/>
      <c r="AQ411" s="22" t="n"/>
      <c r="AR411" s="22" t="n"/>
      <c r="AS411" s="22" t="n"/>
      <c r="AT411" s="22" t="n"/>
      <c r="AU411" s="22" t="n"/>
      <c r="AV411" s="22" t="n"/>
      <c r="AW411" s="22" t="n"/>
      <c r="AX411" s="22" t="n"/>
      <c r="AY411" s="22" t="n"/>
      <c r="AZ411" s="22" t="n"/>
      <c r="BA411" s="22" t="n"/>
      <c r="BB411" s="22" t="n"/>
      <c r="BC411" s="22" t="n"/>
      <c r="BD411" s="22" t="n"/>
      <c r="BE411" s="22" t="n"/>
      <c r="BF411" s="22" t="n"/>
      <c r="BG411" s="22" t="n"/>
      <c r="BH411" s="22" t="n"/>
      <c r="BI411" s="22" t="n"/>
      <c r="BJ411" s="22" t="n"/>
      <c r="BK411" s="22" t="n"/>
      <c r="BL411" s="22" t="n"/>
      <c r="BM411" s="22" t="n"/>
      <c r="BN411" s="22" t="n"/>
      <c r="BO411" s="22" t="n"/>
      <c r="BP411" s="22" t="n"/>
      <c r="BQ411" s="31" t="n"/>
      <c r="BR411" s="31" t="n"/>
      <c r="BS411" s="31" t="n"/>
      <c r="BT411" s="31" t="n"/>
    </row>
    <row r="412" ht="15.75" customHeight="1" s="349">
      <c r="A412" s="22" t="n"/>
      <c r="B412" s="22" t="n"/>
      <c r="C412" s="22" t="n"/>
      <c r="D412" s="22" t="n"/>
      <c r="E412" s="22" t="n"/>
      <c r="F412" s="22"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c r="AA412" s="22" t="n"/>
      <c r="AB412" s="22" t="n"/>
      <c r="AC412" s="22" t="n"/>
      <c r="AD412" s="22" t="n"/>
      <c r="AE412" s="22" t="n"/>
      <c r="AF412" s="22" t="n"/>
      <c r="AG412" s="22" t="n"/>
      <c r="AH412" s="22" t="n"/>
      <c r="AI412" s="22" t="n"/>
      <c r="AJ412" s="22" t="n"/>
      <c r="AK412" s="22" t="n"/>
      <c r="AL412" s="22" t="n"/>
      <c r="AM412" s="22" t="n"/>
      <c r="AN412" s="22" t="n"/>
      <c r="AO412" s="22" t="n"/>
      <c r="AP412" s="22" t="n"/>
      <c r="AQ412" s="22" t="n"/>
      <c r="AR412" s="22" t="n"/>
      <c r="AS412" s="22" t="n"/>
      <c r="AT412" s="22" t="n"/>
      <c r="AU412" s="22" t="n"/>
      <c r="AV412" s="22" t="n"/>
      <c r="AW412" s="22" t="n"/>
      <c r="AX412" s="22" t="n"/>
      <c r="AY412" s="22" t="n"/>
      <c r="AZ412" s="22" t="n"/>
      <c r="BA412" s="22" t="n"/>
      <c r="BB412" s="22" t="n"/>
      <c r="BC412" s="22" t="n"/>
      <c r="BD412" s="22" t="n"/>
      <c r="BE412" s="22" t="n"/>
      <c r="BF412" s="22" t="n"/>
      <c r="BG412" s="22" t="n"/>
      <c r="BH412" s="22" t="n"/>
      <c r="BI412" s="22" t="n"/>
      <c r="BJ412" s="22" t="n"/>
      <c r="BK412" s="22" t="n"/>
      <c r="BL412" s="22" t="n"/>
      <c r="BM412" s="22" t="n"/>
      <c r="BN412" s="22" t="n"/>
      <c r="BO412" s="22" t="n"/>
      <c r="BP412" s="22" t="n"/>
      <c r="BQ412" s="31" t="n"/>
      <c r="BR412" s="31" t="n"/>
      <c r="BS412" s="31" t="n"/>
      <c r="BT412" s="31" t="n"/>
    </row>
    <row r="413" ht="15.75" customHeight="1" s="349">
      <c r="A413" s="22" t="n"/>
      <c r="B413" s="22" t="n"/>
      <c r="C413" s="22" t="n"/>
      <c r="D413" s="22" t="n"/>
      <c r="E413" s="22" t="n"/>
      <c r="F413" s="22"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c r="AA413" s="22" t="n"/>
      <c r="AB413" s="22" t="n"/>
      <c r="AC413" s="22" t="n"/>
      <c r="AD413" s="22" t="n"/>
      <c r="AE413" s="22" t="n"/>
      <c r="AF413" s="22" t="n"/>
      <c r="AG413" s="22" t="n"/>
      <c r="AH413" s="22" t="n"/>
      <c r="AI413" s="22" t="n"/>
      <c r="AJ413" s="22" t="n"/>
      <c r="AK413" s="22" t="n"/>
      <c r="AL413" s="22" t="n"/>
      <c r="AM413" s="22" t="n"/>
      <c r="AN413" s="22" t="n"/>
      <c r="AO413" s="22" t="n"/>
      <c r="AP413" s="22" t="n"/>
      <c r="AQ413" s="22" t="n"/>
      <c r="AR413" s="22" t="n"/>
      <c r="AS413" s="22" t="n"/>
      <c r="AT413" s="22" t="n"/>
      <c r="AU413" s="22" t="n"/>
      <c r="AV413" s="22" t="n"/>
      <c r="AW413" s="22" t="n"/>
      <c r="AX413" s="22" t="n"/>
      <c r="AY413" s="22" t="n"/>
      <c r="AZ413" s="22" t="n"/>
      <c r="BA413" s="22" t="n"/>
      <c r="BB413" s="22" t="n"/>
      <c r="BC413" s="22" t="n"/>
      <c r="BD413" s="22" t="n"/>
      <c r="BE413" s="22" t="n"/>
      <c r="BF413" s="22" t="n"/>
      <c r="BG413" s="22" t="n"/>
      <c r="BH413" s="22" t="n"/>
      <c r="BI413" s="22" t="n"/>
      <c r="BJ413" s="22" t="n"/>
      <c r="BK413" s="22" t="n"/>
      <c r="BL413" s="22" t="n"/>
      <c r="BM413" s="22" t="n"/>
      <c r="BN413" s="22" t="n"/>
      <c r="BO413" s="22" t="n"/>
      <c r="BP413" s="22" t="n"/>
      <c r="BQ413" s="31" t="n"/>
      <c r="BR413" s="31" t="n"/>
      <c r="BS413" s="31" t="n"/>
      <c r="BT413" s="31" t="n"/>
    </row>
    <row r="414" ht="15.75" customHeight="1" s="349">
      <c r="A414" s="22" t="n"/>
      <c r="B414" s="22" t="n"/>
      <c r="C414" s="22" t="n"/>
      <c r="D414" s="22" t="n"/>
      <c r="E414" s="22" t="n"/>
      <c r="F414" s="22"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c r="AA414" s="22" t="n"/>
      <c r="AB414" s="22" t="n"/>
      <c r="AC414" s="22" t="n"/>
      <c r="AD414" s="22" t="n"/>
      <c r="AE414" s="22" t="n"/>
      <c r="AF414" s="22" t="n"/>
      <c r="AG414" s="22" t="n"/>
      <c r="AH414" s="22" t="n"/>
      <c r="AI414" s="22" t="n"/>
      <c r="AJ414" s="22" t="n"/>
      <c r="AK414" s="22" t="n"/>
      <c r="AL414" s="22" t="n"/>
      <c r="AM414" s="22" t="n"/>
      <c r="AN414" s="22" t="n"/>
      <c r="AO414" s="22" t="n"/>
      <c r="AP414" s="22" t="n"/>
      <c r="AQ414" s="22" t="n"/>
      <c r="AR414" s="22" t="n"/>
      <c r="AS414" s="22" t="n"/>
      <c r="AT414" s="22" t="n"/>
      <c r="AU414" s="22" t="n"/>
      <c r="AV414" s="22" t="n"/>
      <c r="AW414" s="22" t="n"/>
      <c r="AX414" s="22" t="n"/>
      <c r="AY414" s="22" t="n"/>
      <c r="AZ414" s="22" t="n"/>
      <c r="BA414" s="22" t="n"/>
      <c r="BB414" s="22" t="n"/>
      <c r="BC414" s="22" t="n"/>
      <c r="BD414" s="22" t="n"/>
      <c r="BE414" s="22" t="n"/>
      <c r="BF414" s="22" t="n"/>
      <c r="BG414" s="22" t="n"/>
      <c r="BH414" s="22" t="n"/>
      <c r="BI414" s="22" t="n"/>
      <c r="BJ414" s="22" t="n"/>
      <c r="BK414" s="22" t="n"/>
      <c r="BL414" s="22" t="n"/>
      <c r="BM414" s="22" t="n"/>
      <c r="BN414" s="22" t="n"/>
      <c r="BO414" s="22" t="n"/>
      <c r="BP414" s="22" t="n"/>
      <c r="BQ414" s="31" t="n"/>
      <c r="BR414" s="31" t="n"/>
      <c r="BS414" s="31" t="n"/>
      <c r="BT414" s="31" t="n"/>
    </row>
    <row r="415" ht="15.75" customHeight="1" s="349">
      <c r="A415" s="22" t="n"/>
      <c r="B415" s="22" t="n"/>
      <c r="C415" s="22" t="n"/>
      <c r="D415" s="22" t="n"/>
      <c r="E415" s="22" t="n"/>
      <c r="F415" s="22"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c r="AA415" s="22" t="n"/>
      <c r="AB415" s="22" t="n"/>
      <c r="AC415" s="22" t="n"/>
      <c r="AD415" s="22" t="n"/>
      <c r="AE415" s="22" t="n"/>
      <c r="AF415" s="22" t="n"/>
      <c r="AG415" s="22" t="n"/>
      <c r="AH415" s="22" t="n"/>
      <c r="AI415" s="22" t="n"/>
      <c r="AJ415" s="22" t="n"/>
      <c r="AK415" s="22" t="n"/>
      <c r="AL415" s="22" t="n"/>
      <c r="AM415" s="22" t="n"/>
      <c r="AN415" s="22" t="n"/>
      <c r="AO415" s="22" t="n"/>
      <c r="AP415" s="22" t="n"/>
      <c r="AQ415" s="22" t="n"/>
      <c r="AR415" s="22" t="n"/>
      <c r="AS415" s="22" t="n"/>
      <c r="AT415" s="22" t="n"/>
      <c r="AU415" s="22" t="n"/>
      <c r="AV415" s="22" t="n"/>
      <c r="AW415" s="22" t="n"/>
      <c r="AX415" s="22" t="n"/>
      <c r="AY415" s="22" t="n"/>
      <c r="AZ415" s="22" t="n"/>
      <c r="BA415" s="22" t="n"/>
      <c r="BB415" s="22" t="n"/>
      <c r="BC415" s="22" t="n"/>
      <c r="BD415" s="22" t="n"/>
      <c r="BE415" s="22" t="n"/>
      <c r="BF415" s="22" t="n"/>
      <c r="BG415" s="22" t="n"/>
      <c r="BH415" s="22" t="n"/>
      <c r="BI415" s="22" t="n"/>
      <c r="BJ415" s="22" t="n"/>
      <c r="BK415" s="22" t="n"/>
      <c r="BL415" s="22" t="n"/>
      <c r="BM415" s="22" t="n"/>
      <c r="BN415" s="22" t="n"/>
      <c r="BO415" s="22" t="n"/>
      <c r="BP415" s="22" t="n"/>
      <c r="BQ415" s="31" t="n"/>
      <c r="BR415" s="31" t="n"/>
      <c r="BS415" s="31" t="n"/>
      <c r="BT415" s="31" t="n"/>
    </row>
    <row r="416" ht="15.75" customHeight="1" s="349">
      <c r="A416" s="22" t="n"/>
      <c r="B416" s="22" t="n"/>
      <c r="C416" s="22" t="n"/>
      <c r="D416" s="22" t="n"/>
      <c r="E416" s="22" t="n"/>
      <c r="F416" s="22"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c r="AA416" s="22" t="n"/>
      <c r="AB416" s="22" t="n"/>
      <c r="AC416" s="22" t="n"/>
      <c r="AD416" s="22" t="n"/>
      <c r="AE416" s="22" t="n"/>
      <c r="AF416" s="22" t="n"/>
      <c r="AG416" s="22" t="n"/>
      <c r="AH416" s="22" t="n"/>
      <c r="AI416" s="22" t="n"/>
      <c r="AJ416" s="22" t="n"/>
      <c r="AK416" s="22" t="n"/>
      <c r="AL416" s="22" t="n"/>
      <c r="AM416" s="22" t="n"/>
      <c r="AN416" s="22" t="n"/>
      <c r="AO416" s="22" t="n"/>
      <c r="AP416" s="22" t="n"/>
      <c r="AQ416" s="22" t="n"/>
      <c r="AR416" s="22" t="n"/>
      <c r="AS416" s="22" t="n"/>
      <c r="AT416" s="22" t="n"/>
      <c r="AU416" s="22" t="n"/>
      <c r="AV416" s="22" t="n"/>
      <c r="AW416" s="22" t="n"/>
      <c r="AX416" s="22" t="n"/>
      <c r="AY416" s="22" t="n"/>
      <c r="AZ416" s="22" t="n"/>
      <c r="BA416" s="22" t="n"/>
      <c r="BB416" s="22" t="n"/>
      <c r="BC416" s="22" t="n"/>
      <c r="BD416" s="22" t="n"/>
      <c r="BE416" s="22" t="n"/>
      <c r="BF416" s="22" t="n"/>
      <c r="BG416" s="22" t="n"/>
      <c r="BH416" s="22" t="n"/>
      <c r="BI416" s="22" t="n"/>
      <c r="BJ416" s="22" t="n"/>
      <c r="BK416" s="22" t="n"/>
      <c r="BL416" s="22" t="n"/>
      <c r="BM416" s="22" t="n"/>
      <c r="BN416" s="22" t="n"/>
      <c r="BO416" s="22" t="n"/>
      <c r="BP416" s="22" t="n"/>
      <c r="BQ416" s="31" t="n"/>
      <c r="BR416" s="31" t="n"/>
      <c r="BS416" s="31" t="n"/>
      <c r="BT416" s="31" t="n"/>
    </row>
    <row r="417" ht="15.75" customHeight="1" s="349">
      <c r="A417" s="22" t="n"/>
      <c r="B417" s="22" t="n"/>
      <c r="C417" s="22" t="n"/>
      <c r="D417" s="22" t="n"/>
      <c r="E417" s="22" t="n"/>
      <c r="F417" s="22"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c r="AA417" s="22" t="n"/>
      <c r="AB417" s="22" t="n"/>
      <c r="AC417" s="22" t="n"/>
      <c r="AD417" s="22" t="n"/>
      <c r="AE417" s="22" t="n"/>
      <c r="AF417" s="22" t="n"/>
      <c r="AG417" s="22" t="n"/>
      <c r="AH417" s="22" t="n"/>
      <c r="AI417" s="22" t="n"/>
      <c r="AJ417" s="22" t="n"/>
      <c r="AK417" s="22" t="n"/>
      <c r="AL417" s="22" t="n"/>
      <c r="AM417" s="22" t="n"/>
      <c r="AN417" s="22" t="n"/>
      <c r="AO417" s="22" t="n"/>
      <c r="AP417" s="22" t="n"/>
      <c r="AQ417" s="22" t="n"/>
      <c r="AR417" s="22" t="n"/>
      <c r="AS417" s="22" t="n"/>
      <c r="AT417" s="22" t="n"/>
      <c r="AU417" s="22" t="n"/>
      <c r="AV417" s="22" t="n"/>
      <c r="AW417" s="22" t="n"/>
      <c r="AX417" s="22" t="n"/>
      <c r="AY417" s="22" t="n"/>
      <c r="AZ417" s="22" t="n"/>
      <c r="BA417" s="22" t="n"/>
      <c r="BB417" s="22" t="n"/>
      <c r="BC417" s="22" t="n"/>
      <c r="BD417" s="22" t="n"/>
      <c r="BE417" s="22" t="n"/>
      <c r="BF417" s="22" t="n"/>
      <c r="BG417" s="22" t="n"/>
      <c r="BH417" s="22" t="n"/>
      <c r="BI417" s="22" t="n"/>
      <c r="BJ417" s="22" t="n"/>
      <c r="BK417" s="22" t="n"/>
      <c r="BL417" s="22" t="n"/>
      <c r="BM417" s="22" t="n"/>
      <c r="BN417" s="22" t="n"/>
      <c r="BO417" s="22" t="n"/>
      <c r="BP417" s="22" t="n"/>
      <c r="BQ417" s="31" t="n"/>
      <c r="BR417" s="31" t="n"/>
      <c r="BS417" s="31" t="n"/>
      <c r="BT417" s="31" t="n"/>
    </row>
    <row r="418" ht="15.75" customHeight="1" s="349">
      <c r="A418" s="22" t="n"/>
      <c r="B418" s="22" t="n"/>
      <c r="C418" s="22" t="n"/>
      <c r="D418" s="22" t="n"/>
      <c r="E418" s="22" t="n"/>
      <c r="F418" s="22"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c r="AA418" s="22" t="n"/>
      <c r="AB418" s="22" t="n"/>
      <c r="AC418" s="22" t="n"/>
      <c r="AD418" s="22" t="n"/>
      <c r="AE418" s="22" t="n"/>
      <c r="AF418" s="22" t="n"/>
      <c r="AG418" s="22" t="n"/>
      <c r="AH418" s="22" t="n"/>
      <c r="AI418" s="22" t="n"/>
      <c r="AJ418" s="22" t="n"/>
      <c r="AK418" s="22" t="n"/>
      <c r="AL418" s="22" t="n"/>
      <c r="AM418" s="22" t="n"/>
      <c r="AN418" s="22" t="n"/>
      <c r="AO418" s="22" t="n"/>
      <c r="AP418" s="22" t="n"/>
      <c r="AQ418" s="22" t="n"/>
      <c r="AR418" s="22" t="n"/>
      <c r="AS418" s="22" t="n"/>
      <c r="AT418" s="22" t="n"/>
      <c r="AU418" s="22" t="n"/>
      <c r="AV418" s="22" t="n"/>
      <c r="AW418" s="22" t="n"/>
      <c r="AX418" s="22" t="n"/>
      <c r="AY418" s="22" t="n"/>
      <c r="AZ418" s="22" t="n"/>
      <c r="BA418" s="22" t="n"/>
      <c r="BB418" s="22" t="n"/>
      <c r="BC418" s="22" t="n"/>
      <c r="BD418" s="22" t="n"/>
      <c r="BE418" s="22" t="n"/>
      <c r="BF418" s="22" t="n"/>
      <c r="BG418" s="22" t="n"/>
      <c r="BH418" s="22" t="n"/>
      <c r="BI418" s="22" t="n"/>
      <c r="BJ418" s="22" t="n"/>
      <c r="BK418" s="22" t="n"/>
      <c r="BL418" s="22" t="n"/>
      <c r="BM418" s="22" t="n"/>
      <c r="BN418" s="22" t="n"/>
      <c r="BO418" s="22" t="n"/>
      <c r="BP418" s="22" t="n"/>
      <c r="BQ418" s="31" t="n"/>
      <c r="BR418" s="31" t="n"/>
      <c r="BS418" s="31" t="n"/>
      <c r="BT418" s="31" t="n"/>
    </row>
    <row r="419" ht="15.75" customHeight="1" s="349">
      <c r="A419" s="22" t="n"/>
      <c r="B419" s="22" t="n"/>
      <c r="C419" s="22" t="n"/>
      <c r="D419" s="22" t="n"/>
      <c r="E419" s="22" t="n"/>
      <c r="F419" s="22"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c r="AA419" s="22" t="n"/>
      <c r="AB419" s="22" t="n"/>
      <c r="AC419" s="22" t="n"/>
      <c r="AD419" s="22" t="n"/>
      <c r="AE419" s="22" t="n"/>
      <c r="AF419" s="22" t="n"/>
      <c r="AG419" s="22" t="n"/>
      <c r="AH419" s="22" t="n"/>
      <c r="AI419" s="22" t="n"/>
      <c r="AJ419" s="22" t="n"/>
      <c r="AK419" s="22" t="n"/>
      <c r="AL419" s="22" t="n"/>
      <c r="AM419" s="22" t="n"/>
      <c r="AN419" s="22" t="n"/>
      <c r="AO419" s="22" t="n"/>
      <c r="AP419" s="22" t="n"/>
      <c r="AQ419" s="22" t="n"/>
      <c r="AR419" s="22" t="n"/>
      <c r="AS419" s="22" t="n"/>
      <c r="AT419" s="22" t="n"/>
      <c r="AU419" s="22" t="n"/>
      <c r="AV419" s="22" t="n"/>
      <c r="AW419" s="22" t="n"/>
      <c r="AX419" s="22" t="n"/>
      <c r="AY419" s="22" t="n"/>
      <c r="AZ419" s="22" t="n"/>
      <c r="BA419" s="22" t="n"/>
      <c r="BB419" s="22" t="n"/>
      <c r="BC419" s="22" t="n"/>
      <c r="BD419" s="22" t="n"/>
      <c r="BE419" s="22" t="n"/>
      <c r="BF419" s="22" t="n"/>
      <c r="BG419" s="22" t="n"/>
      <c r="BH419" s="22" t="n"/>
      <c r="BI419" s="22" t="n"/>
      <c r="BJ419" s="22" t="n"/>
      <c r="BK419" s="22" t="n"/>
      <c r="BL419" s="22" t="n"/>
      <c r="BM419" s="22" t="n"/>
      <c r="BN419" s="22" t="n"/>
      <c r="BO419" s="22" t="n"/>
      <c r="BP419" s="22" t="n"/>
      <c r="BQ419" s="31" t="n"/>
      <c r="BR419" s="31" t="n"/>
      <c r="BS419" s="31" t="n"/>
      <c r="BT419" s="31" t="n"/>
    </row>
    <row r="420" ht="15.75" customHeight="1" s="349">
      <c r="A420" s="22" t="n"/>
      <c r="B420" s="22" t="n"/>
      <c r="C420" s="22" t="n"/>
      <c r="D420" s="22" t="n"/>
      <c r="E420" s="22" t="n"/>
      <c r="F420" s="22"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c r="AA420" s="22" t="n"/>
      <c r="AB420" s="22" t="n"/>
      <c r="AC420" s="22" t="n"/>
      <c r="AD420" s="22" t="n"/>
      <c r="AE420" s="22" t="n"/>
      <c r="AF420" s="22" t="n"/>
      <c r="AG420" s="22" t="n"/>
      <c r="AH420" s="22" t="n"/>
      <c r="AI420" s="22" t="n"/>
      <c r="AJ420" s="22" t="n"/>
      <c r="AK420" s="22" t="n"/>
      <c r="AL420" s="22" t="n"/>
      <c r="AM420" s="22" t="n"/>
      <c r="AN420" s="22" t="n"/>
      <c r="AO420" s="22" t="n"/>
      <c r="AP420" s="22" t="n"/>
      <c r="AQ420" s="22" t="n"/>
      <c r="AR420" s="22" t="n"/>
      <c r="AS420" s="22" t="n"/>
      <c r="AT420" s="22" t="n"/>
      <c r="AU420" s="22" t="n"/>
      <c r="AV420" s="22" t="n"/>
      <c r="AW420" s="22" t="n"/>
      <c r="AX420" s="22" t="n"/>
      <c r="AY420" s="22" t="n"/>
      <c r="AZ420" s="22" t="n"/>
      <c r="BA420" s="22" t="n"/>
      <c r="BB420" s="22" t="n"/>
      <c r="BC420" s="22" t="n"/>
      <c r="BD420" s="22" t="n"/>
      <c r="BE420" s="22" t="n"/>
      <c r="BF420" s="22" t="n"/>
      <c r="BG420" s="22" t="n"/>
      <c r="BH420" s="22" t="n"/>
      <c r="BI420" s="22" t="n"/>
      <c r="BJ420" s="22" t="n"/>
      <c r="BK420" s="22" t="n"/>
      <c r="BL420" s="22" t="n"/>
      <c r="BM420" s="22" t="n"/>
      <c r="BN420" s="22" t="n"/>
      <c r="BO420" s="22" t="n"/>
      <c r="BP420" s="22" t="n"/>
      <c r="BQ420" s="31" t="n"/>
      <c r="BR420" s="31" t="n"/>
      <c r="BS420" s="31" t="n"/>
      <c r="BT420" s="31" t="n"/>
    </row>
    <row r="421" ht="15.75" customHeight="1" s="349">
      <c r="A421" s="22" t="n"/>
      <c r="B421" s="22" t="n"/>
      <c r="C421" s="22" t="n"/>
      <c r="D421" s="22" t="n"/>
      <c r="E421" s="22" t="n"/>
      <c r="F421" s="22"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c r="AA421" s="22" t="n"/>
      <c r="AB421" s="22" t="n"/>
      <c r="AC421" s="22" t="n"/>
      <c r="AD421" s="22" t="n"/>
      <c r="AE421" s="22" t="n"/>
      <c r="AF421" s="22" t="n"/>
      <c r="AG421" s="22" t="n"/>
      <c r="AH421" s="22" t="n"/>
      <c r="AI421" s="22" t="n"/>
      <c r="AJ421" s="22" t="n"/>
      <c r="AK421" s="22" t="n"/>
      <c r="AL421" s="22" t="n"/>
      <c r="AM421" s="22" t="n"/>
      <c r="AN421" s="22" t="n"/>
      <c r="AO421" s="22" t="n"/>
      <c r="AP421" s="22" t="n"/>
      <c r="AQ421" s="22" t="n"/>
      <c r="AR421" s="22" t="n"/>
      <c r="AS421" s="22" t="n"/>
      <c r="AT421" s="22" t="n"/>
      <c r="AU421" s="22" t="n"/>
      <c r="AV421" s="22" t="n"/>
      <c r="AW421" s="22" t="n"/>
      <c r="AX421" s="22" t="n"/>
      <c r="AY421" s="22" t="n"/>
      <c r="AZ421" s="22" t="n"/>
      <c r="BA421" s="22" t="n"/>
      <c r="BB421" s="22" t="n"/>
      <c r="BC421" s="22" t="n"/>
      <c r="BD421" s="22" t="n"/>
      <c r="BE421" s="22" t="n"/>
      <c r="BF421" s="22" t="n"/>
      <c r="BG421" s="22" t="n"/>
      <c r="BH421" s="22" t="n"/>
      <c r="BI421" s="22" t="n"/>
      <c r="BJ421" s="22" t="n"/>
      <c r="BK421" s="22" t="n"/>
      <c r="BL421" s="22" t="n"/>
      <c r="BM421" s="22" t="n"/>
      <c r="BN421" s="22" t="n"/>
      <c r="BO421" s="22" t="n"/>
      <c r="BP421" s="22" t="n"/>
      <c r="BQ421" s="31" t="n"/>
      <c r="BR421" s="31" t="n"/>
      <c r="BS421" s="31" t="n"/>
      <c r="BT421" s="31" t="n"/>
    </row>
    <row r="422" ht="15.75" customHeight="1" s="349">
      <c r="A422" s="22" t="n"/>
      <c r="B422" s="22" t="n"/>
      <c r="C422" s="22" t="n"/>
      <c r="D422" s="22" t="n"/>
      <c r="E422" s="22" t="n"/>
      <c r="F422" s="22"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c r="AA422" s="22" t="n"/>
      <c r="AB422" s="22" t="n"/>
      <c r="AC422" s="22" t="n"/>
      <c r="AD422" s="22" t="n"/>
      <c r="AE422" s="22" t="n"/>
      <c r="AF422" s="22" t="n"/>
      <c r="AG422" s="22" t="n"/>
      <c r="AH422" s="22" t="n"/>
      <c r="AI422" s="22" t="n"/>
      <c r="AJ422" s="22" t="n"/>
      <c r="AK422" s="22" t="n"/>
      <c r="AL422" s="22" t="n"/>
      <c r="AM422" s="22" t="n"/>
      <c r="AN422" s="22" t="n"/>
      <c r="AO422" s="22" t="n"/>
      <c r="AP422" s="22" t="n"/>
      <c r="AQ422" s="22" t="n"/>
      <c r="AR422" s="22" t="n"/>
      <c r="AS422" s="22" t="n"/>
      <c r="AT422" s="22" t="n"/>
      <c r="AU422" s="22" t="n"/>
      <c r="AV422" s="22" t="n"/>
      <c r="AW422" s="22" t="n"/>
      <c r="AX422" s="22" t="n"/>
      <c r="AY422" s="22" t="n"/>
      <c r="AZ422" s="22" t="n"/>
      <c r="BA422" s="22" t="n"/>
      <c r="BB422" s="22" t="n"/>
      <c r="BC422" s="22" t="n"/>
      <c r="BD422" s="22" t="n"/>
      <c r="BE422" s="22" t="n"/>
      <c r="BF422" s="22" t="n"/>
      <c r="BG422" s="22" t="n"/>
      <c r="BH422" s="22" t="n"/>
      <c r="BI422" s="22" t="n"/>
      <c r="BJ422" s="22" t="n"/>
      <c r="BK422" s="22" t="n"/>
      <c r="BL422" s="22" t="n"/>
      <c r="BM422" s="22" t="n"/>
      <c r="BN422" s="22" t="n"/>
      <c r="BO422" s="22" t="n"/>
      <c r="BP422" s="22" t="n"/>
      <c r="BQ422" s="31" t="n"/>
      <c r="BR422" s="31" t="n"/>
      <c r="BS422" s="31" t="n"/>
      <c r="BT422" s="31" t="n"/>
    </row>
    <row r="423" ht="15.75" customHeight="1" s="349">
      <c r="A423" s="22" t="n"/>
      <c r="B423" s="22" t="n"/>
      <c r="C423" s="22" t="n"/>
      <c r="D423" s="22" t="n"/>
      <c r="E423" s="22" t="n"/>
      <c r="F423" s="22"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c r="AA423" s="22" t="n"/>
      <c r="AB423" s="22" t="n"/>
      <c r="AC423" s="22" t="n"/>
      <c r="AD423" s="22" t="n"/>
      <c r="AE423" s="22" t="n"/>
      <c r="AF423" s="22" t="n"/>
      <c r="AG423" s="22" t="n"/>
      <c r="AH423" s="22" t="n"/>
      <c r="AI423" s="22" t="n"/>
      <c r="AJ423" s="22" t="n"/>
      <c r="AK423" s="22" t="n"/>
      <c r="AL423" s="22" t="n"/>
      <c r="AM423" s="22" t="n"/>
      <c r="AN423" s="22" t="n"/>
      <c r="AO423" s="22" t="n"/>
      <c r="AP423" s="22" t="n"/>
      <c r="AQ423" s="22" t="n"/>
      <c r="AR423" s="22" t="n"/>
      <c r="AS423" s="22" t="n"/>
      <c r="AT423" s="22" t="n"/>
      <c r="AU423" s="22" t="n"/>
      <c r="AV423" s="22" t="n"/>
      <c r="AW423" s="22" t="n"/>
      <c r="AX423" s="22" t="n"/>
      <c r="AY423" s="22" t="n"/>
      <c r="AZ423" s="22" t="n"/>
      <c r="BA423" s="22" t="n"/>
      <c r="BB423" s="22" t="n"/>
      <c r="BC423" s="22" t="n"/>
      <c r="BD423" s="22" t="n"/>
      <c r="BE423" s="22" t="n"/>
      <c r="BF423" s="22" t="n"/>
      <c r="BG423" s="22" t="n"/>
      <c r="BH423" s="22" t="n"/>
      <c r="BI423" s="22" t="n"/>
      <c r="BJ423" s="22" t="n"/>
      <c r="BK423" s="22" t="n"/>
      <c r="BL423" s="22" t="n"/>
      <c r="BM423" s="22" t="n"/>
      <c r="BN423" s="22" t="n"/>
      <c r="BO423" s="22" t="n"/>
      <c r="BP423" s="22" t="n"/>
      <c r="BQ423" s="31" t="n"/>
      <c r="BR423" s="31" t="n"/>
      <c r="BS423" s="31" t="n"/>
      <c r="BT423" s="31" t="n"/>
    </row>
    <row r="424" ht="15.75" customHeight="1" s="349">
      <c r="A424" s="22" t="n"/>
      <c r="B424" s="22" t="n"/>
      <c r="C424" s="22" t="n"/>
      <c r="D424" s="22" t="n"/>
      <c r="E424" s="22" t="n"/>
      <c r="F424" s="22"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c r="AA424" s="22" t="n"/>
      <c r="AB424" s="22" t="n"/>
      <c r="AC424" s="22" t="n"/>
      <c r="AD424" s="22" t="n"/>
      <c r="AE424" s="22" t="n"/>
      <c r="AF424" s="22" t="n"/>
      <c r="AG424" s="22" t="n"/>
      <c r="AH424" s="22" t="n"/>
      <c r="AI424" s="22" t="n"/>
      <c r="AJ424" s="22" t="n"/>
      <c r="AK424" s="22" t="n"/>
      <c r="AL424" s="22" t="n"/>
      <c r="AM424" s="22" t="n"/>
      <c r="AN424" s="22" t="n"/>
      <c r="AO424" s="22" t="n"/>
      <c r="AP424" s="22" t="n"/>
      <c r="AQ424" s="22" t="n"/>
      <c r="AR424" s="22" t="n"/>
      <c r="AS424" s="22" t="n"/>
      <c r="AT424" s="22" t="n"/>
      <c r="AU424" s="22" t="n"/>
      <c r="AV424" s="22" t="n"/>
      <c r="AW424" s="22" t="n"/>
      <c r="AX424" s="22" t="n"/>
      <c r="AY424" s="22" t="n"/>
      <c r="AZ424" s="22" t="n"/>
      <c r="BA424" s="22" t="n"/>
      <c r="BB424" s="22" t="n"/>
      <c r="BC424" s="22" t="n"/>
      <c r="BD424" s="22" t="n"/>
      <c r="BE424" s="22" t="n"/>
      <c r="BF424" s="22" t="n"/>
      <c r="BG424" s="22" t="n"/>
      <c r="BH424" s="22" t="n"/>
      <c r="BI424" s="22" t="n"/>
      <c r="BJ424" s="22" t="n"/>
      <c r="BK424" s="22" t="n"/>
      <c r="BL424" s="22" t="n"/>
      <c r="BM424" s="22" t="n"/>
      <c r="BN424" s="22" t="n"/>
      <c r="BO424" s="22" t="n"/>
      <c r="BP424" s="22" t="n"/>
      <c r="BQ424" s="31" t="n"/>
      <c r="BR424" s="31" t="n"/>
      <c r="BS424" s="31" t="n"/>
      <c r="BT424" s="31" t="n"/>
    </row>
    <row r="425" ht="15.75" customHeight="1" s="349">
      <c r="A425" s="22" t="n"/>
      <c r="B425" s="22" t="n"/>
      <c r="C425" s="22" t="n"/>
      <c r="D425" s="22" t="n"/>
      <c r="E425" s="22" t="n"/>
      <c r="F425" s="22"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c r="AA425" s="22" t="n"/>
      <c r="AB425" s="22" t="n"/>
      <c r="AC425" s="22" t="n"/>
      <c r="AD425" s="22" t="n"/>
      <c r="AE425" s="22" t="n"/>
      <c r="AF425" s="22" t="n"/>
      <c r="AG425" s="22" t="n"/>
      <c r="AH425" s="22" t="n"/>
      <c r="AI425" s="22" t="n"/>
      <c r="AJ425" s="22" t="n"/>
      <c r="AK425" s="22" t="n"/>
      <c r="AL425" s="22" t="n"/>
      <c r="AM425" s="22" t="n"/>
      <c r="AN425" s="22" t="n"/>
      <c r="AO425" s="22" t="n"/>
      <c r="AP425" s="22" t="n"/>
      <c r="AQ425" s="22" t="n"/>
      <c r="AR425" s="22" t="n"/>
      <c r="AS425" s="22" t="n"/>
      <c r="AT425" s="22" t="n"/>
      <c r="AU425" s="22" t="n"/>
      <c r="AV425" s="22" t="n"/>
      <c r="AW425" s="22" t="n"/>
      <c r="AX425" s="22" t="n"/>
      <c r="AY425" s="22" t="n"/>
      <c r="AZ425" s="22" t="n"/>
      <c r="BA425" s="22" t="n"/>
      <c r="BB425" s="22" t="n"/>
      <c r="BC425" s="22" t="n"/>
      <c r="BD425" s="22" t="n"/>
      <c r="BE425" s="22" t="n"/>
      <c r="BF425" s="22" t="n"/>
      <c r="BG425" s="22" t="n"/>
      <c r="BH425" s="22" t="n"/>
      <c r="BI425" s="22" t="n"/>
      <c r="BJ425" s="22" t="n"/>
      <c r="BK425" s="22" t="n"/>
      <c r="BL425" s="22" t="n"/>
      <c r="BM425" s="22" t="n"/>
      <c r="BN425" s="22" t="n"/>
      <c r="BO425" s="22" t="n"/>
      <c r="BP425" s="22" t="n"/>
      <c r="BQ425" s="31" t="n"/>
      <c r="BR425" s="31" t="n"/>
      <c r="BS425" s="31" t="n"/>
      <c r="BT425" s="31" t="n"/>
    </row>
    <row r="426" ht="15.75" customHeight="1" s="349">
      <c r="A426" s="22" t="n"/>
      <c r="B426" s="22" t="n"/>
      <c r="C426" s="22" t="n"/>
      <c r="D426" s="22" t="n"/>
      <c r="E426" s="22" t="n"/>
      <c r="F426" s="22"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c r="AA426" s="22" t="n"/>
      <c r="AB426" s="22" t="n"/>
      <c r="AC426" s="22" t="n"/>
      <c r="AD426" s="22" t="n"/>
      <c r="AE426" s="22" t="n"/>
      <c r="AF426" s="22" t="n"/>
      <c r="AG426" s="22" t="n"/>
      <c r="AH426" s="22" t="n"/>
      <c r="AI426" s="22" t="n"/>
      <c r="AJ426" s="22" t="n"/>
      <c r="AK426" s="22" t="n"/>
      <c r="AL426" s="22" t="n"/>
      <c r="AM426" s="22" t="n"/>
      <c r="AN426" s="22" t="n"/>
      <c r="AO426" s="22" t="n"/>
      <c r="AP426" s="22" t="n"/>
      <c r="AQ426" s="22" t="n"/>
      <c r="AR426" s="22" t="n"/>
      <c r="AS426" s="22" t="n"/>
      <c r="AT426" s="22" t="n"/>
      <c r="AU426" s="22" t="n"/>
      <c r="AV426" s="22" t="n"/>
      <c r="AW426" s="22" t="n"/>
      <c r="AX426" s="22" t="n"/>
      <c r="AY426" s="22" t="n"/>
      <c r="AZ426" s="22" t="n"/>
      <c r="BA426" s="22" t="n"/>
      <c r="BB426" s="22" t="n"/>
      <c r="BC426" s="22" t="n"/>
      <c r="BD426" s="22" t="n"/>
      <c r="BE426" s="22" t="n"/>
      <c r="BF426" s="22" t="n"/>
      <c r="BG426" s="22" t="n"/>
      <c r="BH426" s="22" t="n"/>
      <c r="BI426" s="22" t="n"/>
      <c r="BJ426" s="22" t="n"/>
      <c r="BK426" s="22" t="n"/>
      <c r="BL426" s="22" t="n"/>
      <c r="BM426" s="22" t="n"/>
      <c r="BN426" s="22" t="n"/>
      <c r="BO426" s="22" t="n"/>
      <c r="BP426" s="22" t="n"/>
      <c r="BQ426" s="31" t="n"/>
      <c r="BR426" s="31" t="n"/>
      <c r="BS426" s="31" t="n"/>
      <c r="BT426" s="31" t="n"/>
    </row>
    <row r="427" ht="15.75" customHeight="1" s="349">
      <c r="A427" s="22" t="n"/>
      <c r="B427" s="22" t="n"/>
      <c r="C427" s="22" t="n"/>
      <c r="D427" s="22" t="n"/>
      <c r="E427" s="22" t="n"/>
      <c r="F427" s="22"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c r="AA427" s="22" t="n"/>
      <c r="AB427" s="22" t="n"/>
      <c r="AC427" s="22" t="n"/>
      <c r="AD427" s="22" t="n"/>
      <c r="AE427" s="22" t="n"/>
      <c r="AF427" s="22" t="n"/>
      <c r="AG427" s="22" t="n"/>
      <c r="AH427" s="22" t="n"/>
      <c r="AI427" s="22" t="n"/>
      <c r="AJ427" s="22" t="n"/>
      <c r="AK427" s="22" t="n"/>
      <c r="AL427" s="22" t="n"/>
      <c r="AM427" s="22" t="n"/>
      <c r="AN427" s="22" t="n"/>
      <c r="AO427" s="22" t="n"/>
      <c r="AP427" s="22" t="n"/>
      <c r="AQ427" s="22" t="n"/>
      <c r="AR427" s="22" t="n"/>
      <c r="AS427" s="22" t="n"/>
      <c r="AT427" s="22" t="n"/>
      <c r="AU427" s="22" t="n"/>
      <c r="AV427" s="22" t="n"/>
      <c r="AW427" s="22" t="n"/>
      <c r="AX427" s="22" t="n"/>
      <c r="AY427" s="22" t="n"/>
      <c r="AZ427" s="22" t="n"/>
      <c r="BA427" s="22" t="n"/>
      <c r="BB427" s="22" t="n"/>
      <c r="BC427" s="22" t="n"/>
      <c r="BD427" s="22" t="n"/>
      <c r="BE427" s="22" t="n"/>
      <c r="BF427" s="22" t="n"/>
      <c r="BG427" s="22" t="n"/>
      <c r="BH427" s="22" t="n"/>
      <c r="BI427" s="22" t="n"/>
      <c r="BJ427" s="22" t="n"/>
      <c r="BK427" s="22" t="n"/>
      <c r="BL427" s="22" t="n"/>
      <c r="BM427" s="22" t="n"/>
      <c r="BN427" s="22" t="n"/>
      <c r="BO427" s="22" t="n"/>
      <c r="BP427" s="22" t="n"/>
      <c r="BQ427" s="31" t="n"/>
      <c r="BR427" s="31" t="n"/>
      <c r="BS427" s="31" t="n"/>
      <c r="BT427" s="31" t="n"/>
    </row>
    <row r="428" ht="15.75" customHeight="1" s="349">
      <c r="A428" s="22" t="n"/>
      <c r="B428" s="22" t="n"/>
      <c r="C428" s="22" t="n"/>
      <c r="D428" s="22" t="n"/>
      <c r="E428" s="22" t="n"/>
      <c r="F428" s="22"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c r="AA428" s="22" t="n"/>
      <c r="AB428" s="22" t="n"/>
      <c r="AC428" s="22" t="n"/>
      <c r="AD428" s="22" t="n"/>
      <c r="AE428" s="22" t="n"/>
      <c r="AF428" s="22" t="n"/>
      <c r="AG428" s="22" t="n"/>
      <c r="AH428" s="22" t="n"/>
      <c r="AI428" s="22" t="n"/>
      <c r="AJ428" s="22" t="n"/>
      <c r="AK428" s="22" t="n"/>
      <c r="AL428" s="22" t="n"/>
      <c r="AM428" s="22" t="n"/>
      <c r="AN428" s="22" t="n"/>
      <c r="AO428" s="22" t="n"/>
      <c r="AP428" s="22" t="n"/>
      <c r="AQ428" s="22" t="n"/>
      <c r="AR428" s="22" t="n"/>
      <c r="AS428" s="22" t="n"/>
      <c r="AT428" s="22" t="n"/>
      <c r="AU428" s="22" t="n"/>
      <c r="AV428" s="22" t="n"/>
      <c r="AW428" s="22" t="n"/>
      <c r="AX428" s="22" t="n"/>
      <c r="AY428" s="22" t="n"/>
      <c r="AZ428" s="22" t="n"/>
      <c r="BA428" s="22" t="n"/>
      <c r="BB428" s="22" t="n"/>
      <c r="BC428" s="22" t="n"/>
      <c r="BD428" s="22" t="n"/>
      <c r="BE428" s="22" t="n"/>
      <c r="BF428" s="22" t="n"/>
      <c r="BG428" s="22" t="n"/>
      <c r="BH428" s="22" t="n"/>
      <c r="BI428" s="22" t="n"/>
      <c r="BJ428" s="22" t="n"/>
      <c r="BK428" s="22" t="n"/>
      <c r="BL428" s="22" t="n"/>
      <c r="BM428" s="22" t="n"/>
      <c r="BN428" s="22" t="n"/>
      <c r="BO428" s="22" t="n"/>
      <c r="BP428" s="22" t="n"/>
      <c r="BQ428" s="31" t="n"/>
      <c r="BR428" s="31" t="n"/>
      <c r="BS428" s="31" t="n"/>
      <c r="BT428" s="31" t="n"/>
    </row>
    <row r="429" ht="15.75" customHeight="1" s="349">
      <c r="A429" s="22" t="n"/>
      <c r="B429" s="22" t="n"/>
      <c r="C429" s="22" t="n"/>
      <c r="D429" s="22" t="n"/>
      <c r="E429" s="22" t="n"/>
      <c r="F429" s="22"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c r="AA429" s="22" t="n"/>
      <c r="AB429" s="22" t="n"/>
      <c r="AC429" s="22" t="n"/>
      <c r="AD429" s="22" t="n"/>
      <c r="AE429" s="22" t="n"/>
      <c r="AF429" s="22" t="n"/>
      <c r="AG429" s="22" t="n"/>
      <c r="AH429" s="22" t="n"/>
      <c r="AI429" s="22" t="n"/>
      <c r="AJ429" s="22" t="n"/>
      <c r="AK429" s="22" t="n"/>
      <c r="AL429" s="22" t="n"/>
      <c r="AM429" s="22" t="n"/>
      <c r="AN429" s="22" t="n"/>
      <c r="AO429" s="22" t="n"/>
      <c r="AP429" s="22" t="n"/>
      <c r="AQ429" s="22" t="n"/>
      <c r="AR429" s="22" t="n"/>
      <c r="AS429" s="22" t="n"/>
      <c r="AT429" s="22" t="n"/>
      <c r="AU429" s="22" t="n"/>
      <c r="AV429" s="22" t="n"/>
      <c r="AW429" s="22" t="n"/>
      <c r="AX429" s="22" t="n"/>
      <c r="AY429" s="22" t="n"/>
      <c r="AZ429" s="22" t="n"/>
      <c r="BA429" s="22" t="n"/>
      <c r="BB429" s="22" t="n"/>
      <c r="BC429" s="22" t="n"/>
      <c r="BD429" s="22" t="n"/>
      <c r="BE429" s="22" t="n"/>
      <c r="BF429" s="22" t="n"/>
      <c r="BG429" s="22" t="n"/>
      <c r="BH429" s="22" t="n"/>
      <c r="BI429" s="22" t="n"/>
      <c r="BJ429" s="22" t="n"/>
      <c r="BK429" s="22" t="n"/>
      <c r="BL429" s="22" t="n"/>
      <c r="BM429" s="22" t="n"/>
      <c r="BN429" s="22" t="n"/>
      <c r="BO429" s="22" t="n"/>
      <c r="BP429" s="22" t="n"/>
      <c r="BQ429" s="31" t="n"/>
      <c r="BR429" s="31" t="n"/>
      <c r="BS429" s="31" t="n"/>
      <c r="BT429" s="31" t="n"/>
    </row>
    <row r="430" ht="15.75" customHeight="1" s="349">
      <c r="A430" s="22" t="n"/>
      <c r="B430" s="22" t="n"/>
      <c r="C430" s="22" t="n"/>
      <c r="D430" s="22" t="n"/>
      <c r="E430" s="22" t="n"/>
      <c r="F430" s="22"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c r="AA430" s="22" t="n"/>
      <c r="AB430" s="22" t="n"/>
      <c r="AC430" s="22" t="n"/>
      <c r="AD430" s="22" t="n"/>
      <c r="AE430" s="22" t="n"/>
      <c r="AF430" s="22" t="n"/>
      <c r="AG430" s="22" t="n"/>
      <c r="AH430" s="22" t="n"/>
      <c r="AI430" s="22" t="n"/>
      <c r="AJ430" s="22" t="n"/>
      <c r="AK430" s="22" t="n"/>
      <c r="AL430" s="22" t="n"/>
      <c r="AM430" s="22" t="n"/>
      <c r="AN430" s="22" t="n"/>
      <c r="AO430" s="22" t="n"/>
      <c r="AP430" s="22" t="n"/>
      <c r="AQ430" s="22" t="n"/>
      <c r="AR430" s="22" t="n"/>
      <c r="AS430" s="22" t="n"/>
      <c r="AT430" s="22" t="n"/>
      <c r="AU430" s="22" t="n"/>
      <c r="AV430" s="22" t="n"/>
      <c r="AW430" s="22" t="n"/>
      <c r="AX430" s="22" t="n"/>
      <c r="AY430" s="22" t="n"/>
      <c r="AZ430" s="22" t="n"/>
      <c r="BA430" s="22" t="n"/>
      <c r="BB430" s="22" t="n"/>
      <c r="BC430" s="22" t="n"/>
      <c r="BD430" s="22" t="n"/>
      <c r="BE430" s="22" t="n"/>
      <c r="BF430" s="22" t="n"/>
      <c r="BG430" s="22" t="n"/>
      <c r="BH430" s="22" t="n"/>
      <c r="BI430" s="22" t="n"/>
      <c r="BJ430" s="22" t="n"/>
      <c r="BK430" s="22" t="n"/>
      <c r="BL430" s="22" t="n"/>
      <c r="BM430" s="22" t="n"/>
      <c r="BN430" s="22" t="n"/>
      <c r="BO430" s="22" t="n"/>
      <c r="BP430" s="22" t="n"/>
      <c r="BQ430" s="31" t="n"/>
      <c r="BR430" s="31" t="n"/>
      <c r="BS430" s="31" t="n"/>
      <c r="BT430" s="31" t="n"/>
    </row>
    <row r="431" ht="15.75" customHeight="1" s="349">
      <c r="A431" s="22" t="n"/>
      <c r="B431" s="22" t="n"/>
      <c r="C431" s="22" t="n"/>
      <c r="D431" s="22" t="n"/>
      <c r="E431" s="22" t="n"/>
      <c r="F431" s="22"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c r="AA431" s="22" t="n"/>
      <c r="AB431" s="22" t="n"/>
      <c r="AC431" s="22" t="n"/>
      <c r="AD431" s="22" t="n"/>
      <c r="AE431" s="22" t="n"/>
      <c r="AF431" s="22" t="n"/>
      <c r="AG431" s="22" t="n"/>
      <c r="AH431" s="22" t="n"/>
      <c r="AI431" s="22" t="n"/>
      <c r="AJ431" s="22" t="n"/>
      <c r="AK431" s="22" t="n"/>
      <c r="AL431" s="22" t="n"/>
      <c r="AM431" s="22" t="n"/>
      <c r="AN431" s="22" t="n"/>
      <c r="AO431" s="22" t="n"/>
      <c r="AP431" s="22" t="n"/>
      <c r="AQ431" s="22" t="n"/>
      <c r="AR431" s="22" t="n"/>
      <c r="AS431" s="22" t="n"/>
      <c r="AT431" s="22" t="n"/>
      <c r="AU431" s="22" t="n"/>
      <c r="AV431" s="22" t="n"/>
      <c r="AW431" s="22" t="n"/>
      <c r="AX431" s="22" t="n"/>
      <c r="AY431" s="22" t="n"/>
      <c r="AZ431" s="22" t="n"/>
      <c r="BA431" s="22" t="n"/>
      <c r="BB431" s="22" t="n"/>
      <c r="BC431" s="22" t="n"/>
      <c r="BD431" s="22" t="n"/>
      <c r="BE431" s="22" t="n"/>
      <c r="BF431" s="22" t="n"/>
      <c r="BG431" s="22" t="n"/>
      <c r="BH431" s="22" t="n"/>
      <c r="BI431" s="22" t="n"/>
      <c r="BJ431" s="22" t="n"/>
      <c r="BK431" s="22" t="n"/>
      <c r="BL431" s="22" t="n"/>
      <c r="BM431" s="22" t="n"/>
      <c r="BN431" s="22" t="n"/>
      <c r="BO431" s="22" t="n"/>
      <c r="BP431" s="22" t="n"/>
      <c r="BQ431" s="31" t="n"/>
      <c r="BR431" s="31" t="n"/>
      <c r="BS431" s="31" t="n"/>
      <c r="BT431" s="31" t="n"/>
    </row>
    <row r="432" ht="15.75" customHeight="1" s="349">
      <c r="A432" s="22" t="n"/>
      <c r="B432" s="22" t="n"/>
      <c r="C432" s="22" t="n"/>
      <c r="D432" s="22" t="n"/>
      <c r="E432" s="22" t="n"/>
      <c r="F432" s="22"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c r="AA432" s="22" t="n"/>
      <c r="AB432" s="22" t="n"/>
      <c r="AC432" s="22" t="n"/>
      <c r="AD432" s="22" t="n"/>
      <c r="AE432" s="22" t="n"/>
      <c r="AF432" s="22" t="n"/>
      <c r="AG432" s="22" t="n"/>
      <c r="AH432" s="22" t="n"/>
      <c r="AI432" s="22" t="n"/>
      <c r="AJ432" s="22" t="n"/>
      <c r="AK432" s="22" t="n"/>
      <c r="AL432" s="22" t="n"/>
      <c r="AM432" s="22" t="n"/>
      <c r="AN432" s="22" t="n"/>
      <c r="AO432" s="22" t="n"/>
      <c r="AP432" s="22" t="n"/>
      <c r="AQ432" s="22" t="n"/>
      <c r="AR432" s="22" t="n"/>
      <c r="AS432" s="22" t="n"/>
      <c r="AT432" s="22" t="n"/>
      <c r="AU432" s="22" t="n"/>
      <c r="AV432" s="22" t="n"/>
      <c r="AW432" s="22" t="n"/>
      <c r="AX432" s="22" t="n"/>
      <c r="AY432" s="22" t="n"/>
      <c r="AZ432" s="22" t="n"/>
      <c r="BA432" s="22" t="n"/>
      <c r="BB432" s="22" t="n"/>
      <c r="BC432" s="22" t="n"/>
      <c r="BD432" s="22" t="n"/>
      <c r="BE432" s="22" t="n"/>
      <c r="BF432" s="22" t="n"/>
      <c r="BG432" s="22" t="n"/>
      <c r="BH432" s="22" t="n"/>
      <c r="BI432" s="22" t="n"/>
      <c r="BJ432" s="22" t="n"/>
      <c r="BK432" s="22" t="n"/>
      <c r="BL432" s="22" t="n"/>
      <c r="BM432" s="22" t="n"/>
      <c r="BN432" s="22" t="n"/>
      <c r="BO432" s="22" t="n"/>
      <c r="BP432" s="22" t="n"/>
      <c r="BQ432" s="31" t="n"/>
      <c r="BR432" s="31" t="n"/>
      <c r="BS432" s="31" t="n"/>
      <c r="BT432" s="31" t="n"/>
    </row>
    <row r="433" ht="15.75" customHeight="1" s="349">
      <c r="A433" s="22" t="n"/>
      <c r="B433" s="22" t="n"/>
      <c r="C433" s="22" t="n"/>
      <c r="D433" s="22" t="n"/>
      <c r="E433" s="22" t="n"/>
      <c r="F433" s="22"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c r="AA433" s="22" t="n"/>
      <c r="AB433" s="22" t="n"/>
      <c r="AC433" s="22" t="n"/>
      <c r="AD433" s="22" t="n"/>
      <c r="AE433" s="22" t="n"/>
      <c r="AF433" s="22" t="n"/>
      <c r="AG433" s="22" t="n"/>
      <c r="AH433" s="22" t="n"/>
      <c r="AI433" s="22" t="n"/>
      <c r="AJ433" s="22" t="n"/>
      <c r="AK433" s="22" t="n"/>
      <c r="AL433" s="22" t="n"/>
      <c r="AM433" s="22" t="n"/>
      <c r="AN433" s="22" t="n"/>
      <c r="AO433" s="22" t="n"/>
      <c r="AP433" s="22" t="n"/>
      <c r="AQ433" s="22" t="n"/>
      <c r="AR433" s="22" t="n"/>
      <c r="AS433" s="22" t="n"/>
      <c r="AT433" s="22" t="n"/>
      <c r="AU433" s="22" t="n"/>
      <c r="AV433" s="22" t="n"/>
      <c r="AW433" s="22" t="n"/>
      <c r="AX433" s="22" t="n"/>
      <c r="AY433" s="22" t="n"/>
      <c r="AZ433" s="22" t="n"/>
      <c r="BA433" s="22" t="n"/>
      <c r="BB433" s="22" t="n"/>
      <c r="BC433" s="22" t="n"/>
      <c r="BD433" s="22" t="n"/>
      <c r="BE433" s="22" t="n"/>
      <c r="BF433" s="22" t="n"/>
      <c r="BG433" s="22" t="n"/>
      <c r="BH433" s="22" t="n"/>
      <c r="BI433" s="22" t="n"/>
      <c r="BJ433" s="22" t="n"/>
      <c r="BK433" s="22" t="n"/>
      <c r="BL433" s="22" t="n"/>
      <c r="BM433" s="22" t="n"/>
      <c r="BN433" s="22" t="n"/>
      <c r="BO433" s="22" t="n"/>
      <c r="BP433" s="22" t="n"/>
      <c r="BQ433" s="31" t="n"/>
      <c r="BR433" s="31" t="n"/>
      <c r="BS433" s="31" t="n"/>
      <c r="BT433" s="31" t="n"/>
    </row>
    <row r="434" ht="15.75" customHeight="1" s="349">
      <c r="A434" s="22" t="n"/>
      <c r="B434" s="22" t="n"/>
      <c r="C434" s="22" t="n"/>
      <c r="D434" s="22" t="n"/>
      <c r="E434" s="22" t="n"/>
      <c r="F434" s="22"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c r="AA434" s="22" t="n"/>
      <c r="AB434" s="22" t="n"/>
      <c r="AC434" s="22" t="n"/>
      <c r="AD434" s="22" t="n"/>
      <c r="AE434" s="22" t="n"/>
      <c r="AF434" s="22" t="n"/>
      <c r="AG434" s="22" t="n"/>
      <c r="AH434" s="22" t="n"/>
      <c r="AI434" s="22" t="n"/>
      <c r="AJ434" s="22" t="n"/>
      <c r="AK434" s="22" t="n"/>
      <c r="AL434" s="22" t="n"/>
      <c r="AM434" s="22" t="n"/>
      <c r="AN434" s="22" t="n"/>
      <c r="AO434" s="22" t="n"/>
      <c r="AP434" s="22" t="n"/>
      <c r="AQ434" s="22" t="n"/>
      <c r="AR434" s="22" t="n"/>
      <c r="AS434" s="22" t="n"/>
      <c r="AT434" s="22" t="n"/>
      <c r="AU434" s="22" t="n"/>
      <c r="AV434" s="22" t="n"/>
      <c r="AW434" s="22" t="n"/>
      <c r="AX434" s="22" t="n"/>
      <c r="AY434" s="22" t="n"/>
      <c r="AZ434" s="22" t="n"/>
      <c r="BA434" s="22" t="n"/>
      <c r="BB434" s="22" t="n"/>
      <c r="BC434" s="22" t="n"/>
      <c r="BD434" s="22" t="n"/>
      <c r="BE434" s="22" t="n"/>
      <c r="BF434" s="22" t="n"/>
      <c r="BG434" s="22" t="n"/>
      <c r="BH434" s="22" t="n"/>
      <c r="BI434" s="22" t="n"/>
      <c r="BJ434" s="22" t="n"/>
      <c r="BK434" s="22" t="n"/>
      <c r="BL434" s="22" t="n"/>
      <c r="BM434" s="22" t="n"/>
      <c r="BN434" s="22" t="n"/>
      <c r="BO434" s="22" t="n"/>
      <c r="BP434" s="22" t="n"/>
      <c r="BQ434" s="31" t="n"/>
      <c r="BR434" s="31" t="n"/>
      <c r="BS434" s="31" t="n"/>
      <c r="BT434" s="31" t="n"/>
    </row>
    <row r="435" ht="15.75" customHeight="1" s="349">
      <c r="A435" s="22" t="n"/>
      <c r="B435" s="22" t="n"/>
      <c r="C435" s="22" t="n"/>
      <c r="D435" s="22" t="n"/>
      <c r="E435" s="22" t="n"/>
      <c r="F435" s="22"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c r="AA435" s="22" t="n"/>
      <c r="AB435" s="22" t="n"/>
      <c r="AC435" s="22" t="n"/>
      <c r="AD435" s="22" t="n"/>
      <c r="AE435" s="22" t="n"/>
      <c r="AF435" s="22" t="n"/>
      <c r="AG435" s="22" t="n"/>
      <c r="AH435" s="22" t="n"/>
      <c r="AI435" s="22" t="n"/>
      <c r="AJ435" s="22" t="n"/>
      <c r="AK435" s="22" t="n"/>
      <c r="AL435" s="22" t="n"/>
      <c r="AM435" s="22" t="n"/>
      <c r="AN435" s="22" t="n"/>
      <c r="AO435" s="22" t="n"/>
      <c r="AP435" s="22" t="n"/>
      <c r="AQ435" s="22" t="n"/>
      <c r="AR435" s="22" t="n"/>
      <c r="AS435" s="22" t="n"/>
      <c r="AT435" s="22" t="n"/>
      <c r="AU435" s="22" t="n"/>
      <c r="AV435" s="22" t="n"/>
      <c r="AW435" s="22" t="n"/>
      <c r="AX435" s="22" t="n"/>
      <c r="AY435" s="22" t="n"/>
      <c r="AZ435" s="22" t="n"/>
      <c r="BA435" s="22" t="n"/>
      <c r="BB435" s="22" t="n"/>
      <c r="BC435" s="22" t="n"/>
      <c r="BD435" s="22" t="n"/>
      <c r="BE435" s="22" t="n"/>
      <c r="BF435" s="22" t="n"/>
      <c r="BG435" s="22" t="n"/>
      <c r="BH435" s="22" t="n"/>
      <c r="BI435" s="22" t="n"/>
      <c r="BJ435" s="22" t="n"/>
      <c r="BK435" s="22" t="n"/>
      <c r="BL435" s="22" t="n"/>
      <c r="BM435" s="22" t="n"/>
      <c r="BN435" s="22" t="n"/>
      <c r="BO435" s="22" t="n"/>
      <c r="BP435" s="22" t="n"/>
      <c r="BQ435" s="31" t="n"/>
      <c r="BR435" s="31" t="n"/>
      <c r="BS435" s="31" t="n"/>
      <c r="BT435" s="31" t="n"/>
    </row>
    <row r="436" ht="15.75" customHeight="1" s="349">
      <c r="A436" s="22" t="n"/>
      <c r="B436" s="22" t="n"/>
      <c r="C436" s="22" t="n"/>
      <c r="D436" s="22" t="n"/>
      <c r="E436" s="22" t="n"/>
      <c r="F436" s="22"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c r="AA436" s="22" t="n"/>
      <c r="AB436" s="22" t="n"/>
      <c r="AC436" s="22" t="n"/>
      <c r="AD436" s="22" t="n"/>
      <c r="AE436" s="22" t="n"/>
      <c r="AF436" s="22" t="n"/>
      <c r="AG436" s="22" t="n"/>
      <c r="AH436" s="22" t="n"/>
      <c r="AI436" s="22" t="n"/>
      <c r="AJ436" s="22" t="n"/>
      <c r="AK436" s="22" t="n"/>
      <c r="AL436" s="22" t="n"/>
      <c r="AM436" s="22" t="n"/>
      <c r="AN436" s="22" t="n"/>
      <c r="AO436" s="22" t="n"/>
      <c r="AP436" s="22" t="n"/>
      <c r="AQ436" s="22" t="n"/>
      <c r="AR436" s="22" t="n"/>
      <c r="AS436" s="22" t="n"/>
      <c r="AT436" s="22" t="n"/>
      <c r="AU436" s="22" t="n"/>
      <c r="AV436" s="22" t="n"/>
      <c r="AW436" s="22" t="n"/>
      <c r="AX436" s="22" t="n"/>
      <c r="AY436" s="22" t="n"/>
      <c r="AZ436" s="22" t="n"/>
      <c r="BA436" s="22" t="n"/>
      <c r="BB436" s="22" t="n"/>
      <c r="BC436" s="22" t="n"/>
      <c r="BD436" s="22" t="n"/>
      <c r="BE436" s="22" t="n"/>
      <c r="BF436" s="22" t="n"/>
      <c r="BG436" s="22" t="n"/>
      <c r="BH436" s="22" t="n"/>
      <c r="BI436" s="22" t="n"/>
      <c r="BJ436" s="22" t="n"/>
      <c r="BK436" s="22" t="n"/>
      <c r="BL436" s="22" t="n"/>
      <c r="BM436" s="22" t="n"/>
      <c r="BN436" s="22" t="n"/>
      <c r="BO436" s="22" t="n"/>
      <c r="BP436" s="22" t="n"/>
      <c r="BQ436" s="31" t="n"/>
      <c r="BR436" s="31" t="n"/>
      <c r="BS436" s="31" t="n"/>
      <c r="BT436" s="31" t="n"/>
    </row>
    <row r="437" ht="15.75" customHeight="1" s="349">
      <c r="A437" s="22" t="n"/>
      <c r="B437" s="22" t="n"/>
      <c r="C437" s="22" t="n"/>
      <c r="D437" s="22" t="n"/>
      <c r="E437" s="22" t="n"/>
      <c r="F437" s="22"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c r="AA437" s="22" t="n"/>
      <c r="AB437" s="22" t="n"/>
      <c r="AC437" s="22" t="n"/>
      <c r="AD437" s="22" t="n"/>
      <c r="AE437" s="22" t="n"/>
      <c r="AF437" s="22" t="n"/>
      <c r="AG437" s="22" t="n"/>
      <c r="AH437" s="22" t="n"/>
      <c r="AI437" s="22" t="n"/>
      <c r="AJ437" s="22" t="n"/>
      <c r="AK437" s="22" t="n"/>
      <c r="AL437" s="22" t="n"/>
      <c r="AM437" s="22" t="n"/>
      <c r="AN437" s="22" t="n"/>
      <c r="AO437" s="22" t="n"/>
      <c r="AP437" s="22" t="n"/>
      <c r="AQ437" s="22" t="n"/>
      <c r="AR437" s="22" t="n"/>
      <c r="AS437" s="22" t="n"/>
      <c r="AT437" s="22" t="n"/>
      <c r="AU437" s="22" t="n"/>
      <c r="AV437" s="22" t="n"/>
      <c r="AW437" s="22" t="n"/>
      <c r="AX437" s="22" t="n"/>
      <c r="AY437" s="22" t="n"/>
      <c r="AZ437" s="22" t="n"/>
      <c r="BA437" s="22" t="n"/>
      <c r="BB437" s="22" t="n"/>
      <c r="BC437" s="22" t="n"/>
      <c r="BD437" s="22" t="n"/>
      <c r="BE437" s="22" t="n"/>
      <c r="BF437" s="22" t="n"/>
      <c r="BG437" s="22" t="n"/>
      <c r="BH437" s="22" t="n"/>
      <c r="BI437" s="22" t="n"/>
      <c r="BJ437" s="22" t="n"/>
      <c r="BK437" s="22" t="n"/>
      <c r="BL437" s="22" t="n"/>
      <c r="BM437" s="22" t="n"/>
      <c r="BN437" s="22" t="n"/>
      <c r="BO437" s="22" t="n"/>
      <c r="BP437" s="22" t="n"/>
      <c r="BQ437" s="31" t="n"/>
      <c r="BR437" s="31" t="n"/>
      <c r="BS437" s="31" t="n"/>
      <c r="BT437" s="31" t="n"/>
    </row>
    <row r="438" ht="15.75" customHeight="1" s="349">
      <c r="A438" s="22" t="n"/>
      <c r="B438" s="22" t="n"/>
      <c r="C438" s="22" t="n"/>
      <c r="D438" s="22" t="n"/>
      <c r="E438" s="22" t="n"/>
      <c r="F438" s="22"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c r="AA438" s="22" t="n"/>
      <c r="AB438" s="22" t="n"/>
      <c r="AC438" s="22" t="n"/>
      <c r="AD438" s="22" t="n"/>
      <c r="AE438" s="22" t="n"/>
      <c r="AF438" s="22" t="n"/>
      <c r="AG438" s="22" t="n"/>
      <c r="AH438" s="22" t="n"/>
      <c r="AI438" s="22" t="n"/>
      <c r="AJ438" s="22" t="n"/>
      <c r="AK438" s="22" t="n"/>
      <c r="AL438" s="22" t="n"/>
      <c r="AM438" s="22" t="n"/>
      <c r="AN438" s="22" t="n"/>
      <c r="AO438" s="22" t="n"/>
      <c r="AP438" s="22" t="n"/>
      <c r="AQ438" s="22" t="n"/>
      <c r="AR438" s="22" t="n"/>
      <c r="AS438" s="22" t="n"/>
      <c r="AT438" s="22" t="n"/>
      <c r="AU438" s="22" t="n"/>
      <c r="AV438" s="22" t="n"/>
      <c r="AW438" s="22" t="n"/>
      <c r="AX438" s="22" t="n"/>
      <c r="AY438" s="22" t="n"/>
      <c r="AZ438" s="22" t="n"/>
      <c r="BA438" s="22" t="n"/>
      <c r="BB438" s="22" t="n"/>
      <c r="BC438" s="22" t="n"/>
      <c r="BD438" s="22" t="n"/>
      <c r="BE438" s="22" t="n"/>
      <c r="BF438" s="22" t="n"/>
      <c r="BG438" s="22" t="n"/>
      <c r="BH438" s="22" t="n"/>
      <c r="BI438" s="22" t="n"/>
      <c r="BJ438" s="22" t="n"/>
      <c r="BK438" s="22" t="n"/>
      <c r="BL438" s="22" t="n"/>
      <c r="BM438" s="22" t="n"/>
      <c r="BN438" s="22" t="n"/>
      <c r="BO438" s="22" t="n"/>
      <c r="BP438" s="22" t="n"/>
      <c r="BQ438" s="31" t="n"/>
      <c r="BR438" s="31" t="n"/>
      <c r="BS438" s="31" t="n"/>
      <c r="BT438" s="31" t="n"/>
    </row>
    <row r="439" ht="15.75" customHeight="1" s="349">
      <c r="A439" s="22" t="n"/>
      <c r="B439" s="22" t="n"/>
      <c r="C439" s="22" t="n"/>
      <c r="D439" s="22" t="n"/>
      <c r="E439" s="22" t="n"/>
      <c r="F439" s="22"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c r="AA439" s="22" t="n"/>
      <c r="AB439" s="22" t="n"/>
      <c r="AC439" s="22" t="n"/>
      <c r="AD439" s="22" t="n"/>
      <c r="AE439" s="22" t="n"/>
      <c r="AF439" s="22" t="n"/>
      <c r="AG439" s="22" t="n"/>
      <c r="AH439" s="22" t="n"/>
      <c r="AI439" s="22" t="n"/>
      <c r="AJ439" s="22" t="n"/>
      <c r="AK439" s="22" t="n"/>
      <c r="AL439" s="22" t="n"/>
      <c r="AM439" s="22" t="n"/>
      <c r="AN439" s="22" t="n"/>
      <c r="AO439" s="22" t="n"/>
      <c r="AP439" s="22" t="n"/>
      <c r="AQ439" s="22" t="n"/>
      <c r="AR439" s="22" t="n"/>
      <c r="AS439" s="22" t="n"/>
      <c r="AT439" s="22" t="n"/>
      <c r="AU439" s="22" t="n"/>
      <c r="AV439" s="22" t="n"/>
      <c r="AW439" s="22" t="n"/>
      <c r="AX439" s="22" t="n"/>
      <c r="AY439" s="22" t="n"/>
      <c r="AZ439" s="22" t="n"/>
      <c r="BA439" s="22" t="n"/>
      <c r="BB439" s="22" t="n"/>
      <c r="BC439" s="22" t="n"/>
      <c r="BD439" s="22" t="n"/>
      <c r="BE439" s="22" t="n"/>
      <c r="BF439" s="22" t="n"/>
      <c r="BG439" s="22" t="n"/>
      <c r="BH439" s="22" t="n"/>
      <c r="BI439" s="22" t="n"/>
      <c r="BJ439" s="22" t="n"/>
      <c r="BK439" s="22" t="n"/>
      <c r="BL439" s="22" t="n"/>
      <c r="BM439" s="22" t="n"/>
      <c r="BN439" s="22" t="n"/>
      <c r="BO439" s="22" t="n"/>
      <c r="BP439" s="22" t="n"/>
      <c r="BQ439" s="31" t="n"/>
      <c r="BR439" s="31" t="n"/>
      <c r="BS439" s="31" t="n"/>
      <c r="BT439" s="31" t="n"/>
    </row>
    <row r="440" ht="15.75" customHeight="1" s="349">
      <c r="A440" s="22" t="n"/>
      <c r="B440" s="22" t="n"/>
      <c r="C440" s="22" t="n"/>
      <c r="D440" s="22" t="n"/>
      <c r="E440" s="22" t="n"/>
      <c r="F440" s="22"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c r="AA440" s="22" t="n"/>
      <c r="AB440" s="22" t="n"/>
      <c r="AC440" s="22" t="n"/>
      <c r="AD440" s="22" t="n"/>
      <c r="AE440" s="22" t="n"/>
      <c r="AF440" s="22" t="n"/>
      <c r="AG440" s="22" t="n"/>
      <c r="AH440" s="22" t="n"/>
      <c r="AI440" s="22" t="n"/>
      <c r="AJ440" s="22" t="n"/>
      <c r="AK440" s="22" t="n"/>
      <c r="AL440" s="22" t="n"/>
      <c r="AM440" s="22" t="n"/>
      <c r="AN440" s="22" t="n"/>
      <c r="AO440" s="22" t="n"/>
      <c r="AP440" s="22" t="n"/>
      <c r="AQ440" s="22" t="n"/>
      <c r="AR440" s="22" t="n"/>
      <c r="AS440" s="22" t="n"/>
      <c r="AT440" s="22" t="n"/>
      <c r="AU440" s="22" t="n"/>
      <c r="AV440" s="22" t="n"/>
      <c r="AW440" s="22" t="n"/>
      <c r="AX440" s="22" t="n"/>
      <c r="AY440" s="22" t="n"/>
      <c r="AZ440" s="22" t="n"/>
      <c r="BA440" s="22" t="n"/>
      <c r="BB440" s="22" t="n"/>
      <c r="BC440" s="22" t="n"/>
      <c r="BD440" s="22" t="n"/>
      <c r="BE440" s="22" t="n"/>
      <c r="BF440" s="22" t="n"/>
      <c r="BG440" s="22" t="n"/>
      <c r="BH440" s="22" t="n"/>
      <c r="BI440" s="22" t="n"/>
      <c r="BJ440" s="22" t="n"/>
      <c r="BK440" s="22" t="n"/>
      <c r="BL440" s="22" t="n"/>
      <c r="BM440" s="22" t="n"/>
      <c r="BN440" s="22" t="n"/>
      <c r="BO440" s="22" t="n"/>
      <c r="BP440" s="22" t="n"/>
      <c r="BQ440" s="31" t="n"/>
      <c r="BR440" s="31" t="n"/>
      <c r="BS440" s="31" t="n"/>
      <c r="BT440" s="31" t="n"/>
    </row>
    <row r="441" ht="15.75" customHeight="1" s="349">
      <c r="A441" s="22" t="n"/>
      <c r="B441" s="22" t="n"/>
      <c r="C441" s="22" t="n"/>
      <c r="D441" s="22" t="n"/>
      <c r="E441" s="22" t="n"/>
      <c r="F441" s="22"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c r="AA441" s="22" t="n"/>
      <c r="AB441" s="22" t="n"/>
      <c r="AC441" s="22" t="n"/>
      <c r="AD441" s="22" t="n"/>
      <c r="AE441" s="22" t="n"/>
      <c r="AF441" s="22" t="n"/>
      <c r="AG441" s="22" t="n"/>
      <c r="AH441" s="22" t="n"/>
      <c r="AI441" s="22" t="n"/>
      <c r="AJ441" s="22" t="n"/>
      <c r="AK441" s="22" t="n"/>
      <c r="AL441" s="22" t="n"/>
      <c r="AM441" s="22" t="n"/>
      <c r="AN441" s="22" t="n"/>
      <c r="AO441" s="22" t="n"/>
      <c r="AP441" s="22" t="n"/>
      <c r="AQ441" s="22" t="n"/>
      <c r="AR441" s="22" t="n"/>
      <c r="AS441" s="22" t="n"/>
      <c r="AT441" s="22" t="n"/>
      <c r="AU441" s="22" t="n"/>
      <c r="AV441" s="22" t="n"/>
      <c r="AW441" s="22" t="n"/>
      <c r="AX441" s="22" t="n"/>
      <c r="AY441" s="22" t="n"/>
      <c r="AZ441" s="22" t="n"/>
      <c r="BA441" s="22" t="n"/>
      <c r="BB441" s="22" t="n"/>
      <c r="BC441" s="22" t="n"/>
      <c r="BD441" s="22" t="n"/>
      <c r="BE441" s="22" t="n"/>
      <c r="BF441" s="22" t="n"/>
      <c r="BG441" s="22" t="n"/>
      <c r="BH441" s="22" t="n"/>
      <c r="BI441" s="22" t="n"/>
      <c r="BJ441" s="22" t="n"/>
      <c r="BK441" s="22" t="n"/>
      <c r="BL441" s="22" t="n"/>
      <c r="BM441" s="22" t="n"/>
      <c r="BN441" s="22" t="n"/>
      <c r="BO441" s="22" t="n"/>
      <c r="BP441" s="22" t="n"/>
      <c r="BQ441" s="31" t="n"/>
      <c r="BR441" s="31" t="n"/>
      <c r="BS441" s="31" t="n"/>
      <c r="BT441" s="31" t="n"/>
    </row>
    <row r="442" ht="15.75" customHeight="1" s="349">
      <c r="A442" s="22" t="n"/>
      <c r="B442" s="22" t="n"/>
      <c r="C442" s="22" t="n"/>
      <c r="D442" s="22" t="n"/>
      <c r="E442" s="22" t="n"/>
      <c r="F442" s="22"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c r="AA442" s="22" t="n"/>
      <c r="AB442" s="22" t="n"/>
      <c r="AC442" s="22" t="n"/>
      <c r="AD442" s="22" t="n"/>
      <c r="AE442" s="22" t="n"/>
      <c r="AF442" s="22" t="n"/>
      <c r="AG442" s="22" t="n"/>
      <c r="AH442" s="22" t="n"/>
      <c r="AI442" s="22" t="n"/>
      <c r="AJ442" s="22" t="n"/>
      <c r="AK442" s="22" t="n"/>
      <c r="AL442" s="22" t="n"/>
      <c r="AM442" s="22" t="n"/>
      <c r="AN442" s="22" t="n"/>
      <c r="AO442" s="22" t="n"/>
      <c r="AP442" s="22" t="n"/>
      <c r="AQ442" s="22" t="n"/>
      <c r="AR442" s="22" t="n"/>
      <c r="AS442" s="22" t="n"/>
      <c r="AT442" s="22" t="n"/>
      <c r="AU442" s="22" t="n"/>
      <c r="AV442" s="22" t="n"/>
      <c r="AW442" s="22" t="n"/>
      <c r="AX442" s="22" t="n"/>
      <c r="AY442" s="22" t="n"/>
      <c r="AZ442" s="22" t="n"/>
      <c r="BA442" s="22" t="n"/>
      <c r="BB442" s="22" t="n"/>
      <c r="BC442" s="22" t="n"/>
      <c r="BD442" s="22" t="n"/>
      <c r="BE442" s="22" t="n"/>
      <c r="BF442" s="22" t="n"/>
      <c r="BG442" s="22" t="n"/>
      <c r="BH442" s="22" t="n"/>
      <c r="BI442" s="22" t="n"/>
      <c r="BJ442" s="22" t="n"/>
      <c r="BK442" s="22" t="n"/>
      <c r="BL442" s="22" t="n"/>
      <c r="BM442" s="22" t="n"/>
      <c r="BN442" s="22" t="n"/>
      <c r="BO442" s="22" t="n"/>
      <c r="BP442" s="22" t="n"/>
      <c r="BQ442" s="31" t="n"/>
      <c r="BR442" s="31" t="n"/>
      <c r="BS442" s="31" t="n"/>
      <c r="BT442" s="31" t="n"/>
    </row>
    <row r="443" ht="15.75" customHeight="1" s="349">
      <c r="A443" s="22" t="n"/>
      <c r="B443" s="22" t="n"/>
      <c r="C443" s="22" t="n"/>
      <c r="D443" s="22" t="n"/>
      <c r="E443" s="22" t="n"/>
      <c r="F443" s="22"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c r="AA443" s="22" t="n"/>
      <c r="AB443" s="22" t="n"/>
      <c r="AC443" s="22" t="n"/>
      <c r="AD443" s="22" t="n"/>
      <c r="AE443" s="22" t="n"/>
      <c r="AF443" s="22" t="n"/>
      <c r="AG443" s="22" t="n"/>
      <c r="AH443" s="22" t="n"/>
      <c r="AI443" s="22" t="n"/>
      <c r="AJ443" s="22" t="n"/>
      <c r="AK443" s="22" t="n"/>
      <c r="AL443" s="22" t="n"/>
      <c r="AM443" s="22" t="n"/>
      <c r="AN443" s="22" t="n"/>
      <c r="AO443" s="22" t="n"/>
      <c r="AP443" s="22" t="n"/>
      <c r="AQ443" s="22" t="n"/>
      <c r="AR443" s="22" t="n"/>
      <c r="AS443" s="22" t="n"/>
      <c r="AT443" s="22" t="n"/>
      <c r="AU443" s="22" t="n"/>
      <c r="AV443" s="22" t="n"/>
      <c r="AW443" s="22" t="n"/>
      <c r="AX443" s="22" t="n"/>
      <c r="AY443" s="22" t="n"/>
      <c r="AZ443" s="22" t="n"/>
      <c r="BA443" s="22" t="n"/>
      <c r="BB443" s="22" t="n"/>
      <c r="BC443" s="22" t="n"/>
      <c r="BD443" s="22" t="n"/>
      <c r="BE443" s="22" t="n"/>
      <c r="BF443" s="22" t="n"/>
      <c r="BG443" s="22" t="n"/>
      <c r="BH443" s="22" t="n"/>
      <c r="BI443" s="22" t="n"/>
      <c r="BJ443" s="22" t="n"/>
      <c r="BK443" s="22" t="n"/>
      <c r="BL443" s="22" t="n"/>
      <c r="BM443" s="22" t="n"/>
      <c r="BN443" s="22" t="n"/>
      <c r="BO443" s="22" t="n"/>
      <c r="BP443" s="22" t="n"/>
      <c r="BQ443" s="31" t="n"/>
      <c r="BR443" s="31" t="n"/>
      <c r="BS443" s="31" t="n"/>
      <c r="BT443" s="31" t="n"/>
    </row>
    <row r="444" ht="15.75" customHeight="1" s="349">
      <c r="A444" s="22" t="n"/>
      <c r="B444" s="22" t="n"/>
      <c r="C444" s="22" t="n"/>
      <c r="D444" s="22" t="n"/>
      <c r="E444" s="22" t="n"/>
      <c r="F444" s="22"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c r="AA444" s="22" t="n"/>
      <c r="AB444" s="22" t="n"/>
      <c r="AC444" s="22" t="n"/>
      <c r="AD444" s="22" t="n"/>
      <c r="AE444" s="22" t="n"/>
      <c r="AF444" s="22" t="n"/>
      <c r="AG444" s="22" t="n"/>
      <c r="AH444" s="22" t="n"/>
      <c r="AI444" s="22" t="n"/>
      <c r="AJ444" s="22" t="n"/>
      <c r="AK444" s="22" t="n"/>
      <c r="AL444" s="22" t="n"/>
      <c r="AM444" s="22" t="n"/>
      <c r="AN444" s="22" t="n"/>
      <c r="AO444" s="22" t="n"/>
      <c r="AP444" s="22" t="n"/>
      <c r="AQ444" s="22" t="n"/>
      <c r="AR444" s="22" t="n"/>
      <c r="AS444" s="22" t="n"/>
      <c r="AT444" s="22" t="n"/>
      <c r="AU444" s="22" t="n"/>
      <c r="AV444" s="22" t="n"/>
      <c r="AW444" s="22" t="n"/>
      <c r="AX444" s="22" t="n"/>
      <c r="AY444" s="22" t="n"/>
      <c r="AZ444" s="22" t="n"/>
      <c r="BA444" s="22" t="n"/>
      <c r="BB444" s="22" t="n"/>
      <c r="BC444" s="22" t="n"/>
      <c r="BD444" s="22" t="n"/>
      <c r="BE444" s="22" t="n"/>
      <c r="BF444" s="22" t="n"/>
      <c r="BG444" s="22" t="n"/>
      <c r="BH444" s="22" t="n"/>
      <c r="BI444" s="22" t="n"/>
      <c r="BJ444" s="22" t="n"/>
      <c r="BK444" s="22" t="n"/>
      <c r="BL444" s="22" t="n"/>
      <c r="BM444" s="22" t="n"/>
      <c r="BN444" s="22" t="n"/>
      <c r="BO444" s="22" t="n"/>
      <c r="BP444" s="22" t="n"/>
      <c r="BQ444" s="31" t="n"/>
      <c r="BR444" s="31" t="n"/>
      <c r="BS444" s="31" t="n"/>
      <c r="BT444" s="31" t="n"/>
    </row>
    <row r="445" ht="15.75" customHeight="1" s="349">
      <c r="A445" s="22" t="n"/>
      <c r="B445" s="22" t="n"/>
      <c r="C445" s="22" t="n"/>
      <c r="D445" s="22" t="n"/>
      <c r="E445" s="22" t="n"/>
      <c r="F445" s="22"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c r="AA445" s="22" t="n"/>
      <c r="AB445" s="22" t="n"/>
      <c r="AC445" s="22" t="n"/>
      <c r="AD445" s="22" t="n"/>
      <c r="AE445" s="22" t="n"/>
      <c r="AF445" s="22" t="n"/>
      <c r="AG445" s="22" t="n"/>
      <c r="AH445" s="22" t="n"/>
      <c r="AI445" s="22" t="n"/>
      <c r="AJ445" s="22" t="n"/>
      <c r="AK445" s="22" t="n"/>
      <c r="AL445" s="22" t="n"/>
      <c r="AM445" s="22" t="n"/>
      <c r="AN445" s="22" t="n"/>
      <c r="AO445" s="22" t="n"/>
      <c r="AP445" s="22" t="n"/>
      <c r="AQ445" s="22" t="n"/>
      <c r="AR445" s="22" t="n"/>
      <c r="AS445" s="22" t="n"/>
      <c r="AT445" s="22" t="n"/>
      <c r="AU445" s="22" t="n"/>
      <c r="AV445" s="22" t="n"/>
      <c r="AW445" s="22" t="n"/>
      <c r="AX445" s="22" t="n"/>
      <c r="AY445" s="22" t="n"/>
      <c r="AZ445" s="22" t="n"/>
      <c r="BA445" s="22" t="n"/>
      <c r="BB445" s="22" t="n"/>
      <c r="BC445" s="22" t="n"/>
      <c r="BD445" s="22" t="n"/>
      <c r="BE445" s="22" t="n"/>
      <c r="BF445" s="22" t="n"/>
      <c r="BG445" s="22" t="n"/>
      <c r="BH445" s="22" t="n"/>
      <c r="BI445" s="22" t="n"/>
      <c r="BJ445" s="22" t="n"/>
      <c r="BK445" s="22" t="n"/>
      <c r="BL445" s="22" t="n"/>
      <c r="BM445" s="22" t="n"/>
      <c r="BN445" s="22" t="n"/>
      <c r="BO445" s="22" t="n"/>
      <c r="BP445" s="22" t="n"/>
      <c r="BQ445" s="31" t="n"/>
      <c r="BR445" s="31" t="n"/>
      <c r="BS445" s="31" t="n"/>
      <c r="BT445" s="31" t="n"/>
    </row>
    <row r="446" ht="15.75" customHeight="1" s="349">
      <c r="A446" s="22" t="n"/>
      <c r="B446" s="22" t="n"/>
      <c r="C446" s="22" t="n"/>
      <c r="D446" s="22" t="n"/>
      <c r="E446" s="22" t="n"/>
      <c r="F446" s="22"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c r="AA446" s="22" t="n"/>
      <c r="AB446" s="22" t="n"/>
      <c r="AC446" s="22" t="n"/>
      <c r="AD446" s="22" t="n"/>
      <c r="AE446" s="22" t="n"/>
      <c r="AF446" s="22" t="n"/>
      <c r="AG446" s="22" t="n"/>
      <c r="AH446" s="22" t="n"/>
      <c r="AI446" s="22" t="n"/>
      <c r="AJ446" s="22" t="n"/>
      <c r="AK446" s="22" t="n"/>
      <c r="AL446" s="22" t="n"/>
      <c r="AM446" s="22" t="n"/>
      <c r="AN446" s="22" t="n"/>
      <c r="AO446" s="22" t="n"/>
      <c r="AP446" s="22" t="n"/>
      <c r="AQ446" s="22" t="n"/>
      <c r="AR446" s="22" t="n"/>
      <c r="AS446" s="22" t="n"/>
      <c r="AT446" s="22" t="n"/>
      <c r="AU446" s="22" t="n"/>
      <c r="AV446" s="22" t="n"/>
      <c r="AW446" s="22" t="n"/>
      <c r="AX446" s="22" t="n"/>
      <c r="AY446" s="22" t="n"/>
      <c r="AZ446" s="22" t="n"/>
      <c r="BA446" s="22" t="n"/>
      <c r="BB446" s="22" t="n"/>
      <c r="BC446" s="22" t="n"/>
      <c r="BD446" s="22" t="n"/>
      <c r="BE446" s="22" t="n"/>
      <c r="BF446" s="22" t="n"/>
      <c r="BG446" s="22" t="n"/>
      <c r="BH446" s="22" t="n"/>
      <c r="BI446" s="22" t="n"/>
      <c r="BJ446" s="22" t="n"/>
      <c r="BK446" s="22" t="n"/>
      <c r="BL446" s="22" t="n"/>
      <c r="BM446" s="22" t="n"/>
      <c r="BN446" s="22" t="n"/>
      <c r="BO446" s="22" t="n"/>
      <c r="BP446" s="22" t="n"/>
      <c r="BQ446" s="31" t="n"/>
      <c r="BR446" s="31" t="n"/>
      <c r="BS446" s="31" t="n"/>
      <c r="BT446" s="31" t="n"/>
    </row>
    <row r="447" ht="15.75" customHeight="1" s="349">
      <c r="A447" s="22" t="n"/>
      <c r="B447" s="22" t="n"/>
      <c r="C447" s="22" t="n"/>
      <c r="D447" s="22" t="n"/>
      <c r="E447" s="22" t="n"/>
      <c r="F447" s="22"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c r="AA447" s="22" t="n"/>
      <c r="AB447" s="22" t="n"/>
      <c r="AC447" s="22" t="n"/>
      <c r="AD447" s="22" t="n"/>
      <c r="AE447" s="22" t="n"/>
      <c r="AF447" s="22" t="n"/>
      <c r="AG447" s="22" t="n"/>
      <c r="AH447" s="22" t="n"/>
      <c r="AI447" s="22" t="n"/>
      <c r="AJ447" s="22" t="n"/>
      <c r="AK447" s="22" t="n"/>
      <c r="AL447" s="22" t="n"/>
      <c r="AM447" s="22" t="n"/>
      <c r="AN447" s="22" t="n"/>
      <c r="AO447" s="22" t="n"/>
      <c r="AP447" s="22" t="n"/>
      <c r="AQ447" s="22" t="n"/>
      <c r="AR447" s="22" t="n"/>
      <c r="AS447" s="22" t="n"/>
      <c r="AT447" s="22" t="n"/>
      <c r="AU447" s="22" t="n"/>
      <c r="AV447" s="22" t="n"/>
      <c r="AW447" s="22" t="n"/>
      <c r="AX447" s="22" t="n"/>
      <c r="AY447" s="22" t="n"/>
      <c r="AZ447" s="22" t="n"/>
      <c r="BA447" s="22" t="n"/>
      <c r="BB447" s="22" t="n"/>
      <c r="BC447" s="22" t="n"/>
      <c r="BD447" s="22" t="n"/>
      <c r="BE447" s="22" t="n"/>
      <c r="BF447" s="22" t="n"/>
      <c r="BG447" s="22" t="n"/>
      <c r="BH447" s="22" t="n"/>
      <c r="BI447" s="22" t="n"/>
      <c r="BJ447" s="22" t="n"/>
      <c r="BK447" s="22" t="n"/>
      <c r="BL447" s="22" t="n"/>
      <c r="BM447" s="22" t="n"/>
      <c r="BN447" s="22" t="n"/>
      <c r="BO447" s="22" t="n"/>
      <c r="BP447" s="22" t="n"/>
      <c r="BQ447" s="31" t="n"/>
      <c r="BR447" s="31" t="n"/>
      <c r="BS447" s="31" t="n"/>
      <c r="BT447" s="31" t="n"/>
    </row>
    <row r="448" ht="15.75" customHeight="1" s="349">
      <c r="A448" s="22" t="n"/>
      <c r="B448" s="22" t="n"/>
      <c r="C448" s="22" t="n"/>
      <c r="D448" s="22" t="n"/>
      <c r="E448" s="22" t="n"/>
      <c r="F448" s="22"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c r="AA448" s="22" t="n"/>
      <c r="AB448" s="22" t="n"/>
      <c r="AC448" s="22" t="n"/>
      <c r="AD448" s="22" t="n"/>
      <c r="AE448" s="22" t="n"/>
      <c r="AF448" s="22" t="n"/>
      <c r="AG448" s="22" t="n"/>
      <c r="AH448" s="22" t="n"/>
      <c r="AI448" s="22" t="n"/>
      <c r="AJ448" s="22" t="n"/>
      <c r="AK448" s="22" t="n"/>
      <c r="AL448" s="22" t="n"/>
      <c r="AM448" s="22" t="n"/>
      <c r="AN448" s="22" t="n"/>
      <c r="AO448" s="22" t="n"/>
      <c r="AP448" s="22" t="n"/>
      <c r="AQ448" s="22" t="n"/>
      <c r="AR448" s="22" t="n"/>
      <c r="AS448" s="22" t="n"/>
      <c r="AT448" s="22" t="n"/>
      <c r="AU448" s="22" t="n"/>
      <c r="AV448" s="22" t="n"/>
      <c r="AW448" s="22" t="n"/>
      <c r="AX448" s="22" t="n"/>
      <c r="AY448" s="22" t="n"/>
      <c r="AZ448" s="22" t="n"/>
      <c r="BA448" s="22" t="n"/>
      <c r="BB448" s="22" t="n"/>
      <c r="BC448" s="22" t="n"/>
      <c r="BD448" s="22" t="n"/>
      <c r="BE448" s="22" t="n"/>
      <c r="BF448" s="22" t="n"/>
      <c r="BG448" s="22" t="n"/>
      <c r="BH448" s="22" t="n"/>
      <c r="BI448" s="22" t="n"/>
      <c r="BJ448" s="22" t="n"/>
      <c r="BK448" s="22" t="n"/>
      <c r="BL448" s="22" t="n"/>
      <c r="BM448" s="22" t="n"/>
      <c r="BN448" s="22" t="n"/>
      <c r="BO448" s="22" t="n"/>
      <c r="BP448" s="22" t="n"/>
      <c r="BQ448" s="31" t="n"/>
      <c r="BR448" s="31" t="n"/>
      <c r="BS448" s="31" t="n"/>
      <c r="BT448" s="31" t="n"/>
    </row>
    <row r="449" ht="15.75" customHeight="1" s="349">
      <c r="A449" s="22" t="n"/>
      <c r="B449" s="22" t="n"/>
      <c r="C449" s="22" t="n"/>
      <c r="D449" s="22" t="n"/>
      <c r="E449" s="22" t="n"/>
      <c r="F449" s="22"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c r="AA449" s="22" t="n"/>
      <c r="AB449" s="22" t="n"/>
      <c r="AC449" s="22" t="n"/>
      <c r="AD449" s="22" t="n"/>
      <c r="AE449" s="22" t="n"/>
      <c r="AF449" s="22" t="n"/>
      <c r="AG449" s="22" t="n"/>
      <c r="AH449" s="22" t="n"/>
      <c r="AI449" s="22" t="n"/>
      <c r="AJ449" s="22" t="n"/>
      <c r="AK449" s="22" t="n"/>
      <c r="AL449" s="22" t="n"/>
      <c r="AM449" s="22" t="n"/>
      <c r="AN449" s="22" t="n"/>
      <c r="AO449" s="22" t="n"/>
      <c r="AP449" s="22" t="n"/>
      <c r="AQ449" s="22" t="n"/>
      <c r="AR449" s="22" t="n"/>
      <c r="AS449" s="22" t="n"/>
      <c r="AT449" s="22" t="n"/>
      <c r="AU449" s="22" t="n"/>
      <c r="AV449" s="22" t="n"/>
      <c r="AW449" s="22" t="n"/>
      <c r="AX449" s="22" t="n"/>
      <c r="AY449" s="22" t="n"/>
      <c r="AZ449" s="22" t="n"/>
      <c r="BA449" s="22" t="n"/>
      <c r="BB449" s="22" t="n"/>
      <c r="BC449" s="22" t="n"/>
      <c r="BD449" s="22" t="n"/>
      <c r="BE449" s="22" t="n"/>
      <c r="BF449" s="22" t="n"/>
      <c r="BG449" s="22" t="n"/>
      <c r="BH449" s="22" t="n"/>
      <c r="BI449" s="22" t="n"/>
      <c r="BJ449" s="22" t="n"/>
      <c r="BK449" s="22" t="n"/>
      <c r="BL449" s="22" t="n"/>
      <c r="BM449" s="22" t="n"/>
      <c r="BN449" s="22" t="n"/>
      <c r="BO449" s="22" t="n"/>
      <c r="BP449" s="22" t="n"/>
      <c r="BQ449" s="31" t="n"/>
      <c r="BR449" s="31" t="n"/>
      <c r="BS449" s="31" t="n"/>
      <c r="BT449" s="31" t="n"/>
    </row>
    <row r="450" ht="15.75" customHeight="1" s="349">
      <c r="A450" s="22" t="n"/>
      <c r="B450" s="22" t="n"/>
      <c r="C450" s="22" t="n"/>
      <c r="D450" s="22" t="n"/>
      <c r="E450" s="22" t="n"/>
      <c r="F450" s="22"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c r="AA450" s="22" t="n"/>
      <c r="AB450" s="22" t="n"/>
      <c r="AC450" s="22" t="n"/>
      <c r="AD450" s="22" t="n"/>
      <c r="AE450" s="22" t="n"/>
      <c r="AF450" s="22" t="n"/>
      <c r="AG450" s="22" t="n"/>
      <c r="AH450" s="22" t="n"/>
      <c r="AI450" s="22" t="n"/>
      <c r="AJ450" s="22" t="n"/>
      <c r="AK450" s="22" t="n"/>
      <c r="AL450" s="22" t="n"/>
      <c r="AM450" s="22" t="n"/>
      <c r="AN450" s="22" t="n"/>
      <c r="AO450" s="22" t="n"/>
      <c r="AP450" s="22" t="n"/>
      <c r="AQ450" s="22" t="n"/>
      <c r="AR450" s="22" t="n"/>
      <c r="AS450" s="22" t="n"/>
      <c r="AT450" s="22" t="n"/>
      <c r="AU450" s="22" t="n"/>
      <c r="AV450" s="22" t="n"/>
      <c r="AW450" s="22" t="n"/>
      <c r="AX450" s="22" t="n"/>
      <c r="AY450" s="22" t="n"/>
      <c r="AZ450" s="22" t="n"/>
      <c r="BA450" s="22" t="n"/>
      <c r="BB450" s="22" t="n"/>
      <c r="BC450" s="22" t="n"/>
      <c r="BD450" s="22" t="n"/>
      <c r="BE450" s="22" t="n"/>
      <c r="BF450" s="22" t="n"/>
      <c r="BG450" s="22" t="n"/>
      <c r="BH450" s="22" t="n"/>
      <c r="BI450" s="22" t="n"/>
      <c r="BJ450" s="22" t="n"/>
      <c r="BK450" s="22" t="n"/>
      <c r="BL450" s="22" t="n"/>
      <c r="BM450" s="22" t="n"/>
      <c r="BN450" s="22" t="n"/>
      <c r="BO450" s="22" t="n"/>
      <c r="BP450" s="22" t="n"/>
      <c r="BQ450" s="31" t="n"/>
      <c r="BR450" s="31" t="n"/>
      <c r="BS450" s="31" t="n"/>
      <c r="BT450" s="31" t="n"/>
    </row>
    <row r="451" ht="15.75" customHeight="1" s="349">
      <c r="A451" s="22" t="n"/>
      <c r="B451" s="22" t="n"/>
      <c r="C451" s="22" t="n"/>
      <c r="D451" s="22" t="n"/>
      <c r="E451" s="22" t="n"/>
      <c r="F451" s="22"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c r="AA451" s="22" t="n"/>
      <c r="AB451" s="22" t="n"/>
      <c r="AC451" s="22" t="n"/>
      <c r="AD451" s="22" t="n"/>
      <c r="AE451" s="22" t="n"/>
      <c r="AF451" s="22" t="n"/>
      <c r="AG451" s="22" t="n"/>
      <c r="AH451" s="22" t="n"/>
      <c r="AI451" s="22" t="n"/>
      <c r="AJ451" s="22" t="n"/>
      <c r="AK451" s="22" t="n"/>
      <c r="AL451" s="22" t="n"/>
      <c r="AM451" s="22" t="n"/>
      <c r="AN451" s="22" t="n"/>
      <c r="AO451" s="22" t="n"/>
      <c r="AP451" s="22" t="n"/>
      <c r="AQ451" s="22" t="n"/>
      <c r="AR451" s="22" t="n"/>
      <c r="AS451" s="22" t="n"/>
      <c r="AT451" s="22" t="n"/>
      <c r="AU451" s="22" t="n"/>
      <c r="AV451" s="22" t="n"/>
      <c r="AW451" s="22" t="n"/>
      <c r="AX451" s="22" t="n"/>
      <c r="AY451" s="22" t="n"/>
      <c r="AZ451" s="22" t="n"/>
      <c r="BA451" s="22" t="n"/>
      <c r="BB451" s="22" t="n"/>
      <c r="BC451" s="22" t="n"/>
      <c r="BD451" s="22" t="n"/>
      <c r="BE451" s="22" t="n"/>
      <c r="BF451" s="22" t="n"/>
      <c r="BG451" s="22" t="n"/>
      <c r="BH451" s="22" t="n"/>
      <c r="BI451" s="22" t="n"/>
      <c r="BJ451" s="22" t="n"/>
      <c r="BK451" s="22" t="n"/>
      <c r="BL451" s="22" t="n"/>
      <c r="BM451" s="22" t="n"/>
      <c r="BN451" s="22" t="n"/>
      <c r="BO451" s="22" t="n"/>
      <c r="BP451" s="22" t="n"/>
      <c r="BQ451" s="31" t="n"/>
      <c r="BR451" s="31" t="n"/>
      <c r="BS451" s="31" t="n"/>
      <c r="BT451" s="31" t="n"/>
    </row>
    <row r="452" ht="15.75" customHeight="1" s="349">
      <c r="A452" s="22" t="n"/>
      <c r="B452" s="22" t="n"/>
      <c r="C452" s="22" t="n"/>
      <c r="D452" s="22" t="n"/>
      <c r="E452" s="22" t="n"/>
      <c r="F452" s="22"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c r="AA452" s="22" t="n"/>
      <c r="AB452" s="22" t="n"/>
      <c r="AC452" s="22" t="n"/>
      <c r="AD452" s="22" t="n"/>
      <c r="AE452" s="22" t="n"/>
      <c r="AF452" s="22" t="n"/>
      <c r="AG452" s="22" t="n"/>
      <c r="AH452" s="22" t="n"/>
      <c r="AI452" s="22" t="n"/>
      <c r="AJ452" s="22" t="n"/>
      <c r="AK452" s="22" t="n"/>
      <c r="AL452" s="22" t="n"/>
      <c r="AM452" s="22" t="n"/>
      <c r="AN452" s="22" t="n"/>
      <c r="AO452" s="22" t="n"/>
      <c r="AP452" s="22" t="n"/>
      <c r="AQ452" s="22" t="n"/>
      <c r="AR452" s="22" t="n"/>
      <c r="AS452" s="22" t="n"/>
      <c r="AT452" s="22" t="n"/>
      <c r="AU452" s="22" t="n"/>
      <c r="AV452" s="22" t="n"/>
      <c r="AW452" s="22" t="n"/>
      <c r="AX452" s="22" t="n"/>
      <c r="AY452" s="22" t="n"/>
      <c r="AZ452" s="22" t="n"/>
      <c r="BA452" s="22" t="n"/>
      <c r="BB452" s="22" t="n"/>
      <c r="BC452" s="22" t="n"/>
      <c r="BD452" s="22" t="n"/>
      <c r="BE452" s="22" t="n"/>
      <c r="BF452" s="22" t="n"/>
      <c r="BG452" s="22" t="n"/>
      <c r="BH452" s="22" t="n"/>
      <c r="BI452" s="22" t="n"/>
      <c r="BJ452" s="22" t="n"/>
      <c r="BK452" s="22" t="n"/>
      <c r="BL452" s="22" t="n"/>
      <c r="BM452" s="22" t="n"/>
      <c r="BN452" s="22" t="n"/>
      <c r="BO452" s="22" t="n"/>
      <c r="BP452" s="22" t="n"/>
      <c r="BQ452" s="31" t="n"/>
      <c r="BR452" s="31" t="n"/>
      <c r="BS452" s="31" t="n"/>
      <c r="BT452" s="31" t="n"/>
    </row>
    <row r="453" ht="15.75" customHeight="1" s="349">
      <c r="A453" s="22" t="n"/>
      <c r="B453" s="22" t="n"/>
      <c r="C453" s="22" t="n"/>
      <c r="D453" s="22" t="n"/>
      <c r="E453" s="22" t="n"/>
      <c r="F453" s="22"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c r="AA453" s="22" t="n"/>
      <c r="AB453" s="22" t="n"/>
      <c r="AC453" s="22" t="n"/>
      <c r="AD453" s="22" t="n"/>
      <c r="AE453" s="22" t="n"/>
      <c r="AF453" s="22" t="n"/>
      <c r="AG453" s="22" t="n"/>
      <c r="AH453" s="22" t="n"/>
      <c r="AI453" s="22" t="n"/>
      <c r="AJ453" s="22" t="n"/>
      <c r="AK453" s="22" t="n"/>
      <c r="AL453" s="22" t="n"/>
      <c r="AM453" s="22" t="n"/>
      <c r="AN453" s="22" t="n"/>
      <c r="AO453" s="22" t="n"/>
      <c r="AP453" s="22" t="n"/>
      <c r="AQ453" s="22" t="n"/>
      <c r="AR453" s="22" t="n"/>
      <c r="AS453" s="22" t="n"/>
      <c r="AT453" s="22" t="n"/>
      <c r="AU453" s="22" t="n"/>
      <c r="AV453" s="22" t="n"/>
      <c r="AW453" s="22" t="n"/>
      <c r="AX453" s="22" t="n"/>
      <c r="AY453" s="22" t="n"/>
      <c r="AZ453" s="22" t="n"/>
      <c r="BA453" s="22" t="n"/>
      <c r="BB453" s="22" t="n"/>
      <c r="BC453" s="22" t="n"/>
      <c r="BD453" s="22" t="n"/>
      <c r="BE453" s="22" t="n"/>
      <c r="BF453" s="22" t="n"/>
      <c r="BG453" s="22" t="n"/>
      <c r="BH453" s="22" t="n"/>
      <c r="BI453" s="22" t="n"/>
      <c r="BJ453" s="22" t="n"/>
      <c r="BK453" s="22" t="n"/>
      <c r="BL453" s="22" t="n"/>
      <c r="BM453" s="22" t="n"/>
      <c r="BN453" s="22" t="n"/>
      <c r="BO453" s="22" t="n"/>
      <c r="BP453" s="22" t="n"/>
      <c r="BQ453" s="31" t="n"/>
      <c r="BR453" s="31" t="n"/>
      <c r="BS453" s="31" t="n"/>
      <c r="BT453" s="31" t="n"/>
    </row>
    <row r="454" ht="15.75" customHeight="1" s="349">
      <c r="A454" s="22" t="n"/>
      <c r="B454" s="22" t="n"/>
      <c r="C454" s="22" t="n"/>
      <c r="D454" s="22" t="n"/>
      <c r="E454" s="22" t="n"/>
      <c r="F454" s="22"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c r="AA454" s="22" t="n"/>
      <c r="AB454" s="22" t="n"/>
      <c r="AC454" s="22" t="n"/>
      <c r="AD454" s="22" t="n"/>
      <c r="AE454" s="22" t="n"/>
      <c r="AF454" s="22" t="n"/>
      <c r="AG454" s="22" t="n"/>
      <c r="AH454" s="22" t="n"/>
      <c r="AI454" s="22" t="n"/>
      <c r="AJ454" s="22" t="n"/>
      <c r="AK454" s="22" t="n"/>
      <c r="AL454" s="22" t="n"/>
      <c r="AM454" s="22" t="n"/>
      <c r="AN454" s="22" t="n"/>
      <c r="AO454" s="22" t="n"/>
      <c r="AP454" s="22" t="n"/>
      <c r="AQ454" s="22" t="n"/>
      <c r="AR454" s="22" t="n"/>
      <c r="AS454" s="22" t="n"/>
      <c r="AT454" s="22" t="n"/>
      <c r="AU454" s="22" t="n"/>
      <c r="AV454" s="22" t="n"/>
      <c r="AW454" s="22" t="n"/>
      <c r="AX454" s="22" t="n"/>
      <c r="AY454" s="22" t="n"/>
      <c r="AZ454" s="22" t="n"/>
      <c r="BA454" s="22" t="n"/>
      <c r="BB454" s="22" t="n"/>
      <c r="BC454" s="22" t="n"/>
      <c r="BD454" s="22" t="n"/>
      <c r="BE454" s="22" t="n"/>
      <c r="BF454" s="22" t="n"/>
      <c r="BG454" s="22" t="n"/>
      <c r="BH454" s="22" t="n"/>
      <c r="BI454" s="22" t="n"/>
      <c r="BJ454" s="22" t="n"/>
      <c r="BK454" s="22" t="n"/>
      <c r="BL454" s="22" t="n"/>
      <c r="BM454" s="22" t="n"/>
      <c r="BN454" s="22" t="n"/>
      <c r="BO454" s="22" t="n"/>
      <c r="BP454" s="22" t="n"/>
      <c r="BQ454" s="31" t="n"/>
      <c r="BR454" s="31" t="n"/>
      <c r="BS454" s="31" t="n"/>
      <c r="BT454" s="31" t="n"/>
    </row>
    <row r="455" ht="15.75" customHeight="1" s="349">
      <c r="A455" s="22" t="n"/>
      <c r="B455" s="22" t="n"/>
      <c r="C455" s="22" t="n"/>
      <c r="D455" s="22" t="n"/>
      <c r="E455" s="22" t="n"/>
      <c r="F455" s="22"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c r="AA455" s="22" t="n"/>
      <c r="AB455" s="22" t="n"/>
      <c r="AC455" s="22" t="n"/>
      <c r="AD455" s="22" t="n"/>
      <c r="AE455" s="22" t="n"/>
      <c r="AF455" s="22" t="n"/>
      <c r="AG455" s="22" t="n"/>
      <c r="AH455" s="22" t="n"/>
      <c r="AI455" s="22" t="n"/>
      <c r="AJ455" s="22" t="n"/>
      <c r="AK455" s="22" t="n"/>
      <c r="AL455" s="22" t="n"/>
      <c r="AM455" s="22" t="n"/>
      <c r="AN455" s="22" t="n"/>
      <c r="AO455" s="22" t="n"/>
      <c r="AP455" s="22" t="n"/>
      <c r="AQ455" s="22" t="n"/>
      <c r="AR455" s="22" t="n"/>
      <c r="AS455" s="22" t="n"/>
      <c r="AT455" s="22" t="n"/>
      <c r="AU455" s="22" t="n"/>
      <c r="AV455" s="22" t="n"/>
      <c r="AW455" s="22" t="n"/>
      <c r="AX455" s="22" t="n"/>
      <c r="AY455" s="22" t="n"/>
      <c r="AZ455" s="22" t="n"/>
      <c r="BA455" s="22" t="n"/>
      <c r="BB455" s="22" t="n"/>
      <c r="BC455" s="22" t="n"/>
      <c r="BD455" s="22" t="n"/>
      <c r="BE455" s="22" t="n"/>
      <c r="BF455" s="22" t="n"/>
      <c r="BG455" s="22" t="n"/>
      <c r="BH455" s="22" t="n"/>
      <c r="BI455" s="22" t="n"/>
      <c r="BJ455" s="22" t="n"/>
      <c r="BK455" s="22" t="n"/>
      <c r="BL455" s="22" t="n"/>
      <c r="BM455" s="22" t="n"/>
      <c r="BN455" s="22" t="n"/>
      <c r="BO455" s="22" t="n"/>
      <c r="BP455" s="22" t="n"/>
      <c r="BQ455" s="31" t="n"/>
      <c r="BR455" s="31" t="n"/>
      <c r="BS455" s="31" t="n"/>
      <c r="BT455" s="31" t="n"/>
    </row>
    <row r="456" ht="15.75" customHeight="1" s="349">
      <c r="A456" s="22" t="n"/>
      <c r="B456" s="22" t="n"/>
      <c r="C456" s="22" t="n"/>
      <c r="D456" s="22" t="n"/>
      <c r="E456" s="22" t="n"/>
      <c r="F456" s="22"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c r="AA456" s="22" t="n"/>
      <c r="AB456" s="22" t="n"/>
      <c r="AC456" s="22" t="n"/>
      <c r="AD456" s="22" t="n"/>
      <c r="AE456" s="22" t="n"/>
      <c r="AF456" s="22" t="n"/>
      <c r="AG456" s="22" t="n"/>
      <c r="AH456" s="22" t="n"/>
      <c r="AI456" s="22" t="n"/>
      <c r="AJ456" s="22" t="n"/>
      <c r="AK456" s="22" t="n"/>
      <c r="AL456" s="22" t="n"/>
      <c r="AM456" s="22" t="n"/>
      <c r="AN456" s="22" t="n"/>
      <c r="AO456" s="22" t="n"/>
      <c r="AP456" s="22" t="n"/>
      <c r="AQ456" s="22" t="n"/>
      <c r="AR456" s="22" t="n"/>
      <c r="AS456" s="22" t="n"/>
      <c r="AT456" s="22" t="n"/>
      <c r="AU456" s="22" t="n"/>
      <c r="AV456" s="22" t="n"/>
      <c r="AW456" s="22" t="n"/>
      <c r="AX456" s="22" t="n"/>
      <c r="AY456" s="22" t="n"/>
      <c r="AZ456" s="22" t="n"/>
      <c r="BA456" s="22" t="n"/>
      <c r="BB456" s="22" t="n"/>
      <c r="BC456" s="22" t="n"/>
      <c r="BD456" s="22" t="n"/>
      <c r="BE456" s="22" t="n"/>
      <c r="BF456" s="22" t="n"/>
      <c r="BG456" s="22" t="n"/>
      <c r="BH456" s="22" t="n"/>
      <c r="BI456" s="22" t="n"/>
      <c r="BJ456" s="22" t="n"/>
      <c r="BK456" s="22" t="n"/>
      <c r="BL456" s="22" t="n"/>
      <c r="BM456" s="22" t="n"/>
      <c r="BN456" s="22" t="n"/>
      <c r="BO456" s="22" t="n"/>
      <c r="BP456" s="22" t="n"/>
      <c r="BQ456" s="31" t="n"/>
      <c r="BR456" s="31" t="n"/>
      <c r="BS456" s="31" t="n"/>
      <c r="BT456" s="31" t="n"/>
    </row>
    <row r="457" ht="15.75" customHeight="1" s="349">
      <c r="A457" s="22" t="n"/>
      <c r="B457" s="22" t="n"/>
      <c r="C457" s="22" t="n"/>
      <c r="D457" s="22" t="n"/>
      <c r="E457" s="22" t="n"/>
      <c r="F457" s="22"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c r="AA457" s="22" t="n"/>
      <c r="AB457" s="22" t="n"/>
      <c r="AC457" s="22" t="n"/>
      <c r="AD457" s="22" t="n"/>
      <c r="AE457" s="22" t="n"/>
      <c r="AF457" s="22" t="n"/>
      <c r="AG457" s="22" t="n"/>
      <c r="AH457" s="22" t="n"/>
      <c r="AI457" s="22" t="n"/>
      <c r="AJ457" s="22" t="n"/>
      <c r="AK457" s="22" t="n"/>
      <c r="AL457" s="22" t="n"/>
      <c r="AM457" s="22" t="n"/>
      <c r="AN457" s="22" t="n"/>
      <c r="AO457" s="22" t="n"/>
      <c r="AP457" s="22" t="n"/>
      <c r="AQ457" s="22" t="n"/>
      <c r="AR457" s="22" t="n"/>
      <c r="AS457" s="22" t="n"/>
      <c r="AT457" s="22" t="n"/>
      <c r="AU457" s="22" t="n"/>
      <c r="AV457" s="22" t="n"/>
      <c r="AW457" s="22" t="n"/>
      <c r="AX457" s="22" t="n"/>
      <c r="AY457" s="22" t="n"/>
      <c r="AZ457" s="22" t="n"/>
      <c r="BA457" s="22" t="n"/>
      <c r="BB457" s="22" t="n"/>
      <c r="BC457" s="22" t="n"/>
      <c r="BD457" s="22" t="n"/>
      <c r="BE457" s="22" t="n"/>
      <c r="BF457" s="22" t="n"/>
      <c r="BG457" s="22" t="n"/>
      <c r="BH457" s="22" t="n"/>
      <c r="BI457" s="22" t="n"/>
      <c r="BJ457" s="22" t="n"/>
      <c r="BK457" s="22" t="n"/>
      <c r="BL457" s="22" t="n"/>
      <c r="BM457" s="22" t="n"/>
      <c r="BN457" s="22" t="n"/>
      <c r="BO457" s="22" t="n"/>
      <c r="BP457" s="22" t="n"/>
      <c r="BQ457" s="31" t="n"/>
      <c r="BR457" s="31" t="n"/>
      <c r="BS457" s="31" t="n"/>
      <c r="BT457" s="31" t="n"/>
    </row>
    <row r="458" ht="15.75" customHeight="1" s="349">
      <c r="A458" s="22" t="n"/>
      <c r="B458" s="22" t="n"/>
      <c r="C458" s="22" t="n"/>
      <c r="D458" s="22" t="n"/>
      <c r="E458" s="22" t="n"/>
      <c r="F458" s="22"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c r="AA458" s="22" t="n"/>
      <c r="AB458" s="22" t="n"/>
      <c r="AC458" s="22" t="n"/>
      <c r="AD458" s="22" t="n"/>
      <c r="AE458" s="22" t="n"/>
      <c r="AF458" s="22" t="n"/>
      <c r="AG458" s="22" t="n"/>
      <c r="AH458" s="22" t="n"/>
      <c r="AI458" s="22" t="n"/>
      <c r="AJ458" s="22" t="n"/>
      <c r="AK458" s="22" t="n"/>
      <c r="AL458" s="22" t="n"/>
      <c r="AM458" s="22" t="n"/>
      <c r="AN458" s="22" t="n"/>
      <c r="AO458" s="22" t="n"/>
      <c r="AP458" s="22" t="n"/>
      <c r="AQ458" s="22" t="n"/>
      <c r="AR458" s="22" t="n"/>
      <c r="AS458" s="22" t="n"/>
      <c r="AT458" s="22" t="n"/>
      <c r="AU458" s="22" t="n"/>
      <c r="AV458" s="22" t="n"/>
      <c r="AW458" s="22" t="n"/>
      <c r="AX458" s="22" t="n"/>
      <c r="AY458" s="22" t="n"/>
      <c r="AZ458" s="22" t="n"/>
      <c r="BA458" s="22" t="n"/>
      <c r="BB458" s="22" t="n"/>
      <c r="BC458" s="22" t="n"/>
      <c r="BD458" s="22" t="n"/>
      <c r="BE458" s="22" t="n"/>
      <c r="BF458" s="22" t="n"/>
      <c r="BG458" s="22" t="n"/>
      <c r="BH458" s="22" t="n"/>
      <c r="BI458" s="22" t="n"/>
      <c r="BJ458" s="22" t="n"/>
      <c r="BK458" s="22" t="n"/>
      <c r="BL458" s="22" t="n"/>
      <c r="BM458" s="22" t="n"/>
      <c r="BN458" s="22" t="n"/>
      <c r="BO458" s="22" t="n"/>
      <c r="BP458" s="22" t="n"/>
      <c r="BQ458" s="31" t="n"/>
      <c r="BR458" s="31" t="n"/>
      <c r="BS458" s="31" t="n"/>
      <c r="BT458" s="31" t="n"/>
    </row>
    <row r="459" ht="15.75" customHeight="1" s="349">
      <c r="A459" s="22" t="n"/>
      <c r="B459" s="22" t="n"/>
      <c r="C459" s="22" t="n"/>
      <c r="D459" s="22" t="n"/>
      <c r="E459" s="22" t="n"/>
      <c r="F459" s="22"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c r="AA459" s="22" t="n"/>
      <c r="AB459" s="22" t="n"/>
      <c r="AC459" s="22" t="n"/>
      <c r="AD459" s="22" t="n"/>
      <c r="AE459" s="22" t="n"/>
      <c r="AF459" s="22" t="n"/>
      <c r="AG459" s="22" t="n"/>
      <c r="AH459" s="22" t="n"/>
      <c r="AI459" s="22" t="n"/>
      <c r="AJ459" s="22" t="n"/>
      <c r="AK459" s="22" t="n"/>
      <c r="AL459" s="22" t="n"/>
      <c r="AM459" s="22" t="n"/>
      <c r="AN459" s="22" t="n"/>
      <c r="AO459" s="22" t="n"/>
      <c r="AP459" s="22" t="n"/>
      <c r="AQ459" s="22" t="n"/>
      <c r="AR459" s="22" t="n"/>
      <c r="AS459" s="22" t="n"/>
      <c r="AT459" s="22" t="n"/>
      <c r="AU459" s="22" t="n"/>
      <c r="AV459" s="22" t="n"/>
      <c r="AW459" s="22" t="n"/>
      <c r="AX459" s="22" t="n"/>
      <c r="AY459" s="22" t="n"/>
      <c r="AZ459" s="22" t="n"/>
      <c r="BA459" s="22" t="n"/>
      <c r="BB459" s="22" t="n"/>
      <c r="BC459" s="22" t="n"/>
      <c r="BD459" s="22" t="n"/>
      <c r="BE459" s="22" t="n"/>
      <c r="BF459" s="22" t="n"/>
      <c r="BG459" s="22" t="n"/>
      <c r="BH459" s="22" t="n"/>
      <c r="BI459" s="22" t="n"/>
      <c r="BJ459" s="22" t="n"/>
      <c r="BK459" s="22" t="n"/>
      <c r="BL459" s="22" t="n"/>
      <c r="BM459" s="22" t="n"/>
      <c r="BN459" s="22" t="n"/>
      <c r="BO459" s="22" t="n"/>
      <c r="BP459" s="22" t="n"/>
      <c r="BQ459" s="31" t="n"/>
      <c r="BR459" s="31" t="n"/>
      <c r="BS459" s="31" t="n"/>
      <c r="BT459" s="31" t="n"/>
    </row>
    <row r="460" ht="15.75" customHeight="1" s="349">
      <c r="A460" s="22" t="n"/>
      <c r="B460" s="22" t="n"/>
      <c r="C460" s="22" t="n"/>
      <c r="D460" s="22" t="n"/>
      <c r="E460" s="22" t="n"/>
      <c r="F460" s="22"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c r="AA460" s="22" t="n"/>
      <c r="AB460" s="22" t="n"/>
      <c r="AC460" s="22" t="n"/>
      <c r="AD460" s="22" t="n"/>
      <c r="AE460" s="22" t="n"/>
      <c r="AF460" s="22" t="n"/>
      <c r="AG460" s="22" t="n"/>
      <c r="AH460" s="22" t="n"/>
      <c r="AI460" s="22" t="n"/>
      <c r="AJ460" s="22" t="n"/>
      <c r="AK460" s="22" t="n"/>
      <c r="AL460" s="22" t="n"/>
      <c r="AM460" s="22" t="n"/>
      <c r="AN460" s="22" t="n"/>
      <c r="AO460" s="22" t="n"/>
      <c r="AP460" s="22" t="n"/>
      <c r="AQ460" s="22" t="n"/>
      <c r="AR460" s="22" t="n"/>
      <c r="AS460" s="22" t="n"/>
      <c r="AT460" s="22" t="n"/>
      <c r="AU460" s="22" t="n"/>
      <c r="AV460" s="22" t="n"/>
      <c r="AW460" s="22" t="n"/>
      <c r="AX460" s="22" t="n"/>
      <c r="AY460" s="22" t="n"/>
      <c r="AZ460" s="22" t="n"/>
      <c r="BA460" s="22" t="n"/>
      <c r="BB460" s="22" t="n"/>
      <c r="BC460" s="22" t="n"/>
      <c r="BD460" s="22" t="n"/>
      <c r="BE460" s="22" t="n"/>
      <c r="BF460" s="22" t="n"/>
      <c r="BG460" s="22" t="n"/>
      <c r="BH460" s="22" t="n"/>
      <c r="BI460" s="22" t="n"/>
      <c r="BJ460" s="22" t="n"/>
      <c r="BK460" s="22" t="n"/>
      <c r="BL460" s="22" t="n"/>
      <c r="BM460" s="22" t="n"/>
      <c r="BN460" s="22" t="n"/>
      <c r="BO460" s="22" t="n"/>
      <c r="BP460" s="22" t="n"/>
      <c r="BQ460" s="31" t="n"/>
      <c r="BR460" s="31" t="n"/>
      <c r="BS460" s="31" t="n"/>
      <c r="BT460" s="31" t="n"/>
    </row>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row r="994" ht="15.75" customHeight="1" s="349"/>
    <row r="995" ht="15.75" customHeight="1" s="349"/>
    <row r="996" ht="15.75" customHeight="1" s="349"/>
    <row r="997" ht="15.75" customHeight="1" s="349"/>
    <row r="998" ht="15.75" customHeight="1" s="349"/>
    <row r="999" ht="15.75" customHeight="1" s="349"/>
    <row r="1000" ht="15.75" customHeight="1" s="349"/>
    <row r="1001" ht="15.75" customHeight="1" s="349"/>
    <row r="1002" ht="15.75" customHeight="1" s="349"/>
    <row r="1003" ht="15.75" customHeight="1" s="349"/>
    <row r="1004" ht="15.75" customHeight="1" s="349"/>
    <row r="1005" ht="15.75" customHeight="1" s="349"/>
    <row r="1006" ht="15.75" customHeight="1" s="349"/>
    <row r="1007" ht="15.75" customHeight="1" s="349"/>
    <row r="1008" ht="15.75" customHeight="1" s="349"/>
    <row r="1009" ht="15.75" customHeight="1" s="349"/>
    <row r="1010" ht="15.75" customHeight="1" s="349"/>
    <row r="1011" ht="15.75" customHeight="1" s="349"/>
    <row r="1012" ht="15.75" customHeight="1" s="349"/>
    <row r="1013" ht="15.75" customHeight="1" s="349"/>
  </sheetData>
  <mergeCells count="4">
    <mergeCell ref="B248:H248"/>
    <mergeCell ref="B1:BD1"/>
    <mergeCell ref="B250:BD250"/>
    <mergeCell ref="B256:BD25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R220"/>
  <sheetViews>
    <sheetView showGridLines="0" workbookViewId="0">
      <selection activeCell="A1" sqref="A1"/>
    </sheetView>
  </sheetViews>
  <sheetFormatPr baseColWidth="8" defaultColWidth="14.43" defaultRowHeight="15" customHeight="1"/>
  <cols>
    <col width="2" customWidth="1" style="349" min="1" max="1"/>
    <col width="30" customWidth="1" style="349" min="2" max="2"/>
    <col width="8" customWidth="1" style="349" min="3" max="4"/>
    <col width="9.57" customWidth="1" style="349" min="5" max="5"/>
    <col width="10.71" customWidth="1" style="349" min="6" max="8"/>
    <col width="9" customWidth="1" style="349" min="9" max="12"/>
    <col width="15.71" customWidth="1" style="349" min="13" max="13"/>
    <col width="12.86" customWidth="1" style="349" min="14" max="16"/>
    <col width="9" customWidth="1" style="349" min="17" max="18"/>
    <col width="13.29" customWidth="1" style="349" min="19" max="19"/>
    <col width="14.14" customWidth="1" style="349" min="20" max="20"/>
    <col width="10.71" customWidth="1" style="349" min="21" max="22"/>
    <col width="12.14" customWidth="1" style="349" min="23" max="23"/>
    <col width="16.57" customWidth="1" style="349" min="24" max="24"/>
    <col width="9" customWidth="1" style="349" min="25" max="31"/>
    <col width="8" customWidth="1" style="349" min="32" max="40"/>
  </cols>
  <sheetData>
    <row r="1">
      <c r="A1" s="307" t="n"/>
      <c r="B1" s="307" t="n"/>
      <c r="C1" s="307" t="n"/>
      <c r="D1" s="307" t="n"/>
      <c r="E1" s="307" t="n"/>
      <c r="F1" s="307" t="n"/>
      <c r="G1" s="307" t="n"/>
      <c r="H1" s="307" t="n"/>
      <c r="I1" s="307" t="n"/>
      <c r="J1" s="307" t="n"/>
      <c r="K1" s="307" t="n"/>
      <c r="L1" s="307" t="n"/>
      <c r="M1" s="307" t="n"/>
      <c r="N1" s="307" t="n"/>
      <c r="O1" s="307" t="n"/>
      <c r="P1" s="307" t="n"/>
      <c r="Q1" s="307" t="n"/>
      <c r="R1" s="307" t="n"/>
      <c r="S1" s="307" t="n"/>
      <c r="T1" s="307" t="n"/>
      <c r="U1" s="307" t="n"/>
      <c r="V1" s="307" t="n"/>
      <c r="W1" s="307" t="n"/>
      <c r="X1" s="307" t="n"/>
      <c r="Y1" s="307" t="n"/>
      <c r="Z1" s="307" t="n"/>
      <c r="AA1" s="307" t="n"/>
      <c r="AB1" s="307" t="n"/>
      <c r="AC1" s="307" t="n"/>
      <c r="AD1" s="307" t="n"/>
      <c r="AE1" s="307" t="n"/>
      <c r="AF1" s="307" t="n"/>
      <c r="AG1" s="307" t="n"/>
      <c r="AH1" s="307" t="n"/>
      <c r="AI1" s="307" t="n"/>
      <c r="AJ1" s="307" t="n"/>
      <c r="AK1" s="307" t="n"/>
      <c r="AL1" s="307" t="n"/>
      <c r="AM1" s="307" t="n"/>
      <c r="AN1" s="307" t="n"/>
      <c r="AO1" s="307" t="n"/>
      <c r="AP1" s="307" t="n"/>
      <c r="AQ1" s="307" t="n"/>
      <c r="AR1" s="307" t="n"/>
    </row>
    <row r="2" ht="13.5" customHeight="1" s="349">
      <c r="A2" s="300" t="n"/>
      <c r="B2" s="301" t="inlineStr">
        <is>
          <t>Financials</t>
        </is>
      </c>
      <c r="C2" s="302" t="n">
        <v>2025</v>
      </c>
      <c r="D2" s="302" t="n">
        <v>2026</v>
      </c>
      <c r="E2" s="302" t="n">
        <v>2027</v>
      </c>
      <c r="F2" s="302" t="n">
        <v>2028</v>
      </c>
      <c r="G2" s="302" t="n">
        <v>2029</v>
      </c>
      <c r="H2" s="302" t="n"/>
      <c r="I2" s="302" t="n"/>
      <c r="J2" s="302" t="n"/>
      <c r="K2" s="302" t="n"/>
      <c r="L2" s="302" t="n"/>
      <c r="M2" s="301" t="inlineStr">
        <is>
          <t>Units &amp; Revenues</t>
        </is>
      </c>
      <c r="N2" s="302" t="n">
        <v>2027</v>
      </c>
      <c r="O2" s="302" t="n">
        <v>2028</v>
      </c>
      <c r="P2" s="302" t="n">
        <v>2029</v>
      </c>
      <c r="Q2" s="302" t="n"/>
      <c r="R2" s="302" t="n"/>
      <c r="S2" s="302" t="n"/>
      <c r="T2" s="302" t="n">
        <v>2027</v>
      </c>
      <c r="U2" s="302" t="n">
        <v>2028</v>
      </c>
      <c r="V2" s="302" t="n">
        <v>2029</v>
      </c>
      <c r="W2" s="302" t="n"/>
      <c r="X2" s="302" t="n"/>
      <c r="Y2" s="302" t="n"/>
      <c r="Z2" s="302" t="n"/>
      <c r="AA2" s="302" t="n"/>
      <c r="AB2" s="302" t="n"/>
      <c r="AC2" s="305" t="n"/>
      <c r="AD2" s="305" t="n"/>
      <c r="AE2" s="305" t="n"/>
      <c r="AF2" s="305" t="n"/>
      <c r="AG2" s="305" t="n"/>
      <c r="AH2" s="305" t="n"/>
      <c r="AI2" s="305" t="n"/>
      <c r="AJ2" s="305" t="n"/>
      <c r="AK2" s="305" t="n"/>
      <c r="AL2" s="305" t="n"/>
      <c r="AM2" s="305" t="n"/>
      <c r="AN2" s="305" t="n"/>
      <c r="AO2" s="305" t="n"/>
      <c r="AP2" s="305" t="n"/>
      <c r="AQ2" s="306" t="n"/>
      <c r="AR2" s="300" t="n"/>
    </row>
    <row r="3" ht="15.75" customHeight="1" s="349">
      <c r="A3" s="307" t="n"/>
      <c r="B3" s="307" t="inlineStr">
        <is>
          <t>Revenues (€)</t>
        </is>
      </c>
      <c r="C3" s="233">
        <f>'Financial Statements'!BB11</f>
        <v/>
      </c>
      <c r="D3" s="233">
        <f>'Financial Statements'!BC11</f>
        <v/>
      </c>
      <c r="E3" s="233">
        <f>'Financial Statements'!BD11</f>
        <v/>
      </c>
      <c r="F3" s="233">
        <f>'Financial Statements'!BE11</f>
        <v/>
      </c>
      <c r="G3" s="233">
        <f>'Financial Statements'!BF11</f>
        <v/>
      </c>
      <c r="H3" s="307" t="n"/>
      <c r="I3" s="307" t="n"/>
      <c r="J3" s="307" t="n"/>
      <c r="K3" s="307" t="n"/>
      <c r="L3" s="307" t="n"/>
      <c r="M3" s="307" t="inlineStr">
        <is>
          <t>TTK units sold</t>
        </is>
      </c>
      <c r="N3" s="233">
        <f>'Revenue Forecast'!BD6</f>
        <v/>
      </c>
      <c r="O3" s="233">
        <f>'Revenue Forecast'!BE6</f>
        <v/>
      </c>
      <c r="P3" s="233">
        <f>'Revenue Forecast'!BF6</f>
        <v/>
      </c>
      <c r="Q3" s="307" t="n"/>
      <c r="R3" s="307" t="n"/>
      <c r="S3" s="307" t="inlineStr">
        <is>
          <t>TTK revenues</t>
        </is>
      </c>
      <c r="T3" s="233">
        <f>'Revenue Forecast'!BD9</f>
        <v/>
      </c>
      <c r="U3" s="233">
        <f>'Revenue Forecast'!BE9</f>
        <v/>
      </c>
      <c r="V3" s="233">
        <f>'Revenue Forecast'!BF9</f>
        <v/>
      </c>
      <c r="W3" s="233" t="n"/>
      <c r="X3" s="307" t="n"/>
      <c r="Y3" s="307" t="n"/>
      <c r="Z3" s="307" t="n"/>
      <c r="AA3" s="307" t="n"/>
      <c r="AB3" s="307" t="n"/>
      <c r="AC3" s="307" t="n"/>
      <c r="AD3" s="307" t="n"/>
      <c r="AE3" s="307" t="n"/>
      <c r="AF3" s="307" t="n"/>
      <c r="AG3" s="307" t="n"/>
      <c r="AH3" s="307" t="n"/>
      <c r="AI3" s="307" t="n"/>
      <c r="AJ3" s="307" t="n"/>
      <c r="AK3" s="307" t="n"/>
      <c r="AL3" s="307" t="n"/>
      <c r="AM3" s="307" t="n"/>
      <c r="AN3" s="307" t="n"/>
      <c r="AO3" s="307" t="n"/>
      <c r="AP3" s="307" t="n"/>
      <c r="AQ3" s="307" t="n"/>
      <c r="AR3" s="307" t="n"/>
    </row>
    <row r="4" ht="15.75" customHeight="1" s="349">
      <c r="A4" s="307" t="n"/>
      <c r="B4" s="307" t="inlineStr">
        <is>
          <t>COGS (€)</t>
        </is>
      </c>
      <c r="C4" s="307" t="n"/>
      <c r="D4" s="307" t="n"/>
      <c r="E4" s="233">
        <f>COGS!BD7</f>
        <v/>
      </c>
      <c r="F4" s="233">
        <f>COGS!BE7</f>
        <v/>
      </c>
      <c r="G4" s="307" t="n"/>
      <c r="H4" s="307" t="n"/>
      <c r="I4" s="307" t="n"/>
      <c r="J4" s="307" t="n"/>
      <c r="K4" s="307" t="n"/>
      <c r="L4" s="307" t="n"/>
      <c r="M4" s="307" t="inlineStr">
        <is>
          <t>Combi+ units sold</t>
        </is>
      </c>
      <c r="N4" s="233">
        <f>'Revenue Forecast'!BD12</f>
        <v/>
      </c>
      <c r="O4" s="233">
        <f>'Revenue Forecast'!BE12</f>
        <v/>
      </c>
      <c r="P4" s="233">
        <f>'Revenue Forecast'!BF12</f>
        <v/>
      </c>
      <c r="Q4" s="307" t="n"/>
      <c r="R4" s="307" t="n"/>
      <c r="S4" s="307" t="inlineStr">
        <is>
          <t>Combi+ revenues</t>
        </is>
      </c>
      <c r="T4" s="233">
        <f>'Revenue Forecast'!BD15</f>
        <v/>
      </c>
      <c r="U4" s="233">
        <f>'Revenue Forecast'!BE15</f>
        <v/>
      </c>
      <c r="V4" s="233">
        <f>'Revenue Forecast'!BF15</f>
        <v/>
      </c>
      <c r="W4" s="233" t="n"/>
      <c r="X4" s="307" t="n"/>
      <c r="Y4" s="307" t="n"/>
      <c r="Z4" s="307" t="n"/>
      <c r="AA4" s="307" t="n"/>
      <c r="AB4" s="307" t="n"/>
      <c r="AC4" s="307" t="n"/>
      <c r="AD4" s="307" t="n"/>
      <c r="AE4" s="307" t="n"/>
      <c r="AF4" s="307" t="n"/>
      <c r="AG4" s="307" t="n"/>
      <c r="AH4" s="307" t="n"/>
      <c r="AI4" s="307" t="n"/>
      <c r="AJ4" s="307" t="n"/>
      <c r="AK4" s="307" t="n"/>
      <c r="AL4" s="307" t="n"/>
      <c r="AM4" s="307" t="n"/>
      <c r="AN4" s="307" t="n"/>
      <c r="AO4" s="307" t="n"/>
      <c r="AP4" s="307" t="n"/>
      <c r="AQ4" s="307" t="n"/>
      <c r="AR4" s="307" t="n"/>
    </row>
    <row r="5" ht="15.75" customHeight="1" s="349">
      <c r="A5" s="307" t="n"/>
      <c r="B5" s="307" t="inlineStr">
        <is>
          <t>OPEX (€)</t>
        </is>
      </c>
      <c r="C5" s="307" t="n"/>
      <c r="D5" s="233">
        <f>OPEX!BE36</f>
        <v/>
      </c>
      <c r="E5" s="233">
        <f>OPEX!BF36</f>
        <v/>
      </c>
      <c r="F5" s="233">
        <f>OPEX!BG36</f>
        <v/>
      </c>
      <c r="G5" s="307" t="n"/>
      <c r="H5" s="307" t="n"/>
      <c r="I5" s="307" t="n"/>
      <c r="J5" s="307" t="n"/>
      <c r="K5" s="307" t="n"/>
      <c r="L5" s="307" t="n"/>
      <c r="M5" s="307" t="inlineStr">
        <is>
          <t>TTK revenues (€)</t>
        </is>
      </c>
      <c r="N5" s="233">
        <f>'Revenue Forecast'!BD9</f>
        <v/>
      </c>
      <c r="O5" s="233">
        <f>'Revenue Forecast'!BE9</f>
        <v/>
      </c>
      <c r="P5" s="233">
        <f>'Revenue Forecast'!BF9</f>
        <v/>
      </c>
      <c r="Q5" s="307" t="n"/>
      <c r="R5" s="307" t="n"/>
      <c r="S5" s="307" t="n"/>
      <c r="T5" s="307" t="n"/>
      <c r="U5" s="307" t="n"/>
      <c r="V5" s="307" t="n"/>
      <c r="W5" s="307" t="n"/>
      <c r="X5" s="307" t="n"/>
      <c r="Y5" s="307" t="n"/>
      <c r="Z5" s="307" t="n"/>
      <c r="AA5" s="307" t="n"/>
      <c r="AB5" s="307" t="n"/>
      <c r="AC5" s="307" t="n"/>
      <c r="AD5" s="307" t="n"/>
      <c r="AE5" s="307" t="n"/>
      <c r="AF5" s="307" t="n"/>
      <c r="AG5" s="307" t="n"/>
      <c r="AH5" s="307" t="n"/>
      <c r="AI5" s="307" t="n"/>
      <c r="AJ5" s="307" t="n"/>
      <c r="AK5" s="307" t="n"/>
      <c r="AL5" s="307" t="n"/>
      <c r="AM5" s="307" t="n"/>
      <c r="AN5" s="307" t="n"/>
      <c r="AO5" s="307" t="n"/>
      <c r="AP5" s="307" t="n"/>
      <c r="AQ5" s="307" t="n"/>
      <c r="AR5" s="307" t="n"/>
    </row>
    <row r="6" ht="15.75" customHeight="1" s="349">
      <c r="A6" s="307" t="n"/>
      <c r="B6" s="307" t="n"/>
      <c r="C6" s="307" t="n"/>
      <c r="D6" s="307" t="n"/>
      <c r="E6" s="307" t="n"/>
      <c r="F6" s="307" t="n"/>
      <c r="G6" s="307" t="n"/>
      <c r="H6" s="307" t="n"/>
      <c r="I6" s="307" t="n"/>
      <c r="J6" s="307" t="n"/>
      <c r="K6" s="307" t="n"/>
      <c r="L6" s="307" t="n"/>
      <c r="M6" s="307" t="inlineStr">
        <is>
          <t>Combi+ revenues (€)</t>
        </is>
      </c>
      <c r="N6" s="233">
        <f>'Revenue Forecast'!BD15</f>
        <v/>
      </c>
      <c r="O6" s="233">
        <f>'Revenue Forecast'!BE15</f>
        <v/>
      </c>
      <c r="P6" s="233">
        <f>'Revenue Forecast'!BF15</f>
        <v/>
      </c>
      <c r="Q6" s="307" t="n"/>
      <c r="R6" s="307" t="n"/>
      <c r="S6" s="307" t="inlineStr">
        <is>
          <t>Distribution of funds</t>
        </is>
      </c>
      <c r="T6" s="307" t="n"/>
      <c r="U6" s="307" t="n"/>
      <c r="V6" s="307" t="inlineStr">
        <is>
          <t>Production/Aasembly</t>
        </is>
      </c>
      <c r="W6" s="307" t="inlineStr">
        <is>
          <t>Product development</t>
        </is>
      </c>
      <c r="X6" s="307" t="inlineStr">
        <is>
          <t>Sales &amp; Marketing</t>
        </is>
      </c>
      <c r="Y6" s="307" t="n"/>
      <c r="Z6" s="307" t="n"/>
      <c r="AA6" s="307" t="n"/>
      <c r="AB6" s="307" t="n"/>
      <c r="AC6" s="307" t="n"/>
      <c r="AD6" s="307" t="n"/>
      <c r="AE6" s="307" t="n"/>
      <c r="AF6" s="307" t="n"/>
      <c r="AG6" s="307" t="n"/>
      <c r="AH6" s="307" t="n"/>
      <c r="AI6" s="307" t="n"/>
      <c r="AJ6" s="307" t="n"/>
      <c r="AK6" s="307" t="n"/>
      <c r="AL6" s="307" t="n"/>
      <c r="AM6" s="307" t="n"/>
      <c r="AN6" s="307" t="n"/>
      <c r="AO6" s="307" t="n"/>
      <c r="AP6" s="307" t="n"/>
      <c r="AQ6" s="307" t="n"/>
      <c r="AR6" s="307" t="n"/>
    </row>
    <row r="7" ht="15.75" customHeight="1" s="349">
      <c r="A7" s="307" t="n"/>
      <c r="B7" s="307" t="n"/>
      <c r="C7" s="307" t="n"/>
      <c r="D7" s="307" t="n"/>
      <c r="E7" s="307" t="n"/>
      <c r="F7" s="307" t="n"/>
      <c r="G7" s="307" t="n"/>
      <c r="H7" s="307" t="n"/>
      <c r="I7" s="307" t="n"/>
      <c r="J7" s="307" t="n"/>
      <c r="K7" s="307" t="n"/>
      <c r="L7" s="307" t="n"/>
      <c r="M7" s="307" t="n"/>
      <c r="N7" s="233" t="n"/>
      <c r="O7" s="233" t="n"/>
      <c r="P7" s="233" t="n"/>
      <c r="Q7" s="307" t="n"/>
      <c r="R7" s="307" t="n"/>
      <c r="S7" s="307" t="n"/>
      <c r="T7" s="307" t="n"/>
      <c r="U7" s="307" t="n"/>
      <c r="V7" s="217" t="n">
        <v>0.6</v>
      </c>
      <c r="W7" s="217" t="n">
        <v>0.15</v>
      </c>
      <c r="X7" s="217" t="n">
        <v>0.25</v>
      </c>
      <c r="Y7" s="307" t="n"/>
      <c r="Z7" s="307" t="n"/>
      <c r="AA7" s="307" t="n"/>
      <c r="AB7" s="307" t="n"/>
      <c r="AC7" s="307" t="n"/>
      <c r="AD7" s="307" t="n"/>
      <c r="AE7" s="307" t="n"/>
      <c r="AF7" s="307" t="n"/>
      <c r="AG7" s="307" t="n"/>
      <c r="AH7" s="307" t="n"/>
      <c r="AI7" s="307" t="n"/>
      <c r="AJ7" s="307" t="n"/>
      <c r="AK7" s="307" t="n"/>
      <c r="AL7" s="307" t="n"/>
      <c r="AM7" s="307" t="n"/>
      <c r="AN7" s="307" t="n"/>
      <c r="AO7" s="307" t="n"/>
      <c r="AP7" s="307" t="n"/>
      <c r="AQ7" s="307" t="n"/>
      <c r="AR7" s="307" t="n"/>
    </row>
    <row r="8" ht="15.75" customHeight="1" s="349">
      <c r="A8" s="307" t="n"/>
      <c r="B8" s="307" t="n"/>
      <c r="C8" s="307" t="n"/>
      <c r="D8" s="307" t="n"/>
      <c r="E8" s="307" t="n"/>
      <c r="F8" s="307" t="n"/>
      <c r="G8" s="307" t="n"/>
      <c r="H8" s="307" t="n"/>
      <c r="I8" s="307" t="n"/>
      <c r="J8" s="307" t="n"/>
      <c r="K8" s="307" t="n"/>
      <c r="L8" s="307" t="n"/>
      <c r="M8" s="307" t="n"/>
      <c r="N8" s="233" t="n"/>
      <c r="O8" s="233" t="n"/>
      <c r="P8" s="233" t="n"/>
      <c r="Q8" s="307" t="n"/>
      <c r="R8" s="307" t="n"/>
      <c r="S8" s="307" t="n"/>
      <c r="T8" s="307" t="n"/>
      <c r="U8" s="307" t="n"/>
      <c r="V8" s="307" t="n"/>
      <c r="W8" s="307" t="n"/>
      <c r="X8" s="307" t="n"/>
      <c r="Y8" s="307" t="n"/>
      <c r="Z8" s="307" t="n"/>
      <c r="AA8" s="307" t="n"/>
      <c r="AB8" s="307" t="n"/>
      <c r="AC8" s="307" t="n"/>
      <c r="AD8" s="307" t="n"/>
      <c r="AE8" s="307" t="n"/>
      <c r="AF8" s="307" t="n"/>
      <c r="AG8" s="307" t="n"/>
      <c r="AH8" s="307" t="n"/>
      <c r="AI8" s="307" t="n"/>
      <c r="AJ8" s="307" t="n"/>
      <c r="AK8" s="307" t="n"/>
      <c r="AL8" s="307" t="n"/>
      <c r="AM8" s="307" t="n"/>
      <c r="AN8" s="307" t="n"/>
      <c r="AO8" s="307" t="n"/>
      <c r="AP8" s="307" t="n"/>
      <c r="AQ8" s="307" t="n"/>
      <c r="AR8" s="307" t="n"/>
    </row>
    <row r="9" ht="15.75" customHeight="1" s="349">
      <c r="A9" s="307" t="n"/>
      <c r="B9" s="307" t="n"/>
      <c r="C9" s="307" t="n"/>
      <c r="D9" s="307" t="n"/>
      <c r="E9" s="307" t="n"/>
      <c r="F9" s="307" t="n"/>
      <c r="G9" s="307" t="n"/>
      <c r="H9" s="307" t="n"/>
      <c r="I9" s="307" t="n"/>
      <c r="J9" s="307" t="n"/>
      <c r="K9" s="307" t="n"/>
      <c r="L9" s="307" t="n"/>
      <c r="M9" s="307" t="n"/>
      <c r="N9" s="307" t="n"/>
      <c r="O9" s="307" t="n"/>
      <c r="P9" s="307" t="n"/>
      <c r="Q9" s="307" t="n"/>
      <c r="R9" s="307" t="n"/>
      <c r="S9" s="307" t="n"/>
      <c r="T9" s="307" t="n"/>
      <c r="U9" s="307" t="n"/>
      <c r="V9" s="307" t="n"/>
      <c r="W9" s="307" t="n"/>
      <c r="X9" s="307" t="n"/>
      <c r="Y9" s="307" t="n"/>
      <c r="Z9" s="307" t="n"/>
      <c r="AA9" s="307" t="n"/>
      <c r="AB9" s="307" t="n"/>
      <c r="AC9" s="307" t="n"/>
      <c r="AD9" s="307" t="n"/>
      <c r="AE9" s="307" t="n"/>
      <c r="AF9" s="307" t="n"/>
      <c r="AG9" s="307" t="n"/>
      <c r="AH9" s="307" t="n"/>
      <c r="AI9" s="307" t="n"/>
      <c r="AJ9" s="307" t="n"/>
      <c r="AK9" s="307" t="n"/>
      <c r="AL9" s="307" t="n"/>
      <c r="AM9" s="307" t="n"/>
      <c r="AN9" s="307" t="n"/>
      <c r="AO9" s="307" t="n"/>
      <c r="AP9" s="307" t="n"/>
      <c r="AQ9" s="307" t="n"/>
      <c r="AR9" s="307" t="n"/>
    </row>
    <row r="10" ht="15.75" customHeight="1" s="349">
      <c r="A10" s="307" t="n"/>
      <c r="B10" s="307" t="n"/>
      <c r="C10" s="307" t="n"/>
      <c r="D10" s="307" t="n"/>
      <c r="E10" s="307" t="n"/>
      <c r="F10" s="307" t="n"/>
      <c r="G10" s="307" t="n"/>
      <c r="H10" s="307" t="n"/>
      <c r="I10" s="307" t="n"/>
      <c r="J10" s="307" t="n"/>
      <c r="K10" s="307" t="n"/>
      <c r="L10" s="307" t="n"/>
      <c r="M10" s="307" t="n"/>
      <c r="N10" s="307" t="n"/>
      <c r="O10" s="307" t="n"/>
      <c r="P10" s="307" t="n"/>
      <c r="Q10" s="307" t="n"/>
      <c r="R10" s="307" t="n"/>
      <c r="S10" s="307" t="n"/>
      <c r="T10" s="307" t="n"/>
      <c r="U10" s="307" t="n"/>
      <c r="V10" s="307" t="n"/>
      <c r="W10" s="307" t="n"/>
      <c r="X10" s="307" t="n"/>
      <c r="Y10" s="307" t="n"/>
      <c r="Z10" s="307" t="n"/>
      <c r="AA10" s="307" t="n"/>
      <c r="AB10" s="307" t="n"/>
      <c r="AC10" s="307" t="n"/>
      <c r="AD10" s="307" t="n"/>
      <c r="AE10" s="307" t="n"/>
      <c r="AF10" s="307" t="n"/>
      <c r="AG10" s="307" t="n"/>
      <c r="AH10" s="307" t="n"/>
      <c r="AI10" s="307" t="n"/>
      <c r="AJ10" s="307" t="n"/>
      <c r="AK10" s="307" t="n"/>
      <c r="AL10" s="307" t="n"/>
      <c r="AM10" s="307" t="n"/>
      <c r="AN10" s="307" t="n"/>
      <c r="AO10" s="307" t="n"/>
      <c r="AP10" s="307" t="n"/>
      <c r="AQ10" s="307" t="n"/>
      <c r="AR10" s="307" t="n"/>
    </row>
    <row r="11" ht="15.75" customHeight="1" s="349">
      <c r="A11" s="307" t="n"/>
      <c r="B11" s="307" t="n"/>
      <c r="C11" s="307" t="n"/>
      <c r="D11" s="307" t="n"/>
      <c r="E11" s="307" t="n"/>
      <c r="F11" s="307" t="n"/>
      <c r="G11" s="307" t="n"/>
      <c r="H11" s="307" t="n"/>
      <c r="I11" s="307" t="n"/>
      <c r="J11" s="307" t="n"/>
      <c r="K11" s="307" t="n"/>
      <c r="L11" s="307" t="n"/>
      <c r="M11" s="307" t="n"/>
      <c r="N11" s="307" t="n"/>
      <c r="O11" s="307" t="n"/>
      <c r="P11" s="307" t="n"/>
      <c r="Q11" s="307" t="n"/>
      <c r="R11" s="307" t="n"/>
      <c r="S11" s="307" t="n"/>
      <c r="T11" s="307" t="n"/>
      <c r="U11" s="307" t="n"/>
      <c r="V11" s="307" t="n"/>
      <c r="W11" s="307" t="n"/>
      <c r="X11" s="307" t="n"/>
      <c r="Y11" s="307" t="n"/>
      <c r="Z11" s="307" t="n"/>
      <c r="AA11" s="307" t="n"/>
      <c r="AB11" s="307" t="n"/>
      <c r="AC11" s="307" t="n"/>
      <c r="AD11" s="307" t="n"/>
      <c r="AE11" s="307" t="n"/>
      <c r="AF11" s="307" t="n"/>
      <c r="AG11" s="307" t="n"/>
      <c r="AH11" s="307" t="n"/>
      <c r="AI11" s="307" t="n"/>
      <c r="AJ11" s="307" t="n"/>
      <c r="AK11" s="307" t="n"/>
      <c r="AL11" s="307" t="n"/>
      <c r="AM11" s="307" t="n"/>
      <c r="AN11" s="307" t="n"/>
      <c r="AO11" s="307" t="n"/>
      <c r="AP11" s="307" t="n"/>
      <c r="AQ11" s="307" t="n"/>
      <c r="AR11" s="307" t="n"/>
    </row>
    <row r="12" ht="15.75" customHeight="1" s="349">
      <c r="A12" s="307" t="n"/>
      <c r="B12" s="307" t="n"/>
      <c r="C12" s="307" t="n"/>
      <c r="D12" s="307" t="n"/>
      <c r="E12" s="307" t="n"/>
      <c r="F12" s="307" t="n"/>
      <c r="G12" s="307" t="n"/>
      <c r="H12" s="307" t="n"/>
      <c r="I12" s="307" t="n"/>
      <c r="J12" s="307" t="n"/>
      <c r="K12" s="307" t="n"/>
      <c r="L12" s="307" t="n"/>
      <c r="M12" s="307" t="n"/>
      <c r="N12" s="307" t="n"/>
      <c r="O12" s="307" t="n"/>
      <c r="P12" s="307" t="n"/>
      <c r="Q12" s="307" t="n"/>
      <c r="R12" s="307" t="n"/>
      <c r="S12" s="307" t="n"/>
      <c r="T12" s="307" t="n"/>
      <c r="U12" s="307" t="n"/>
      <c r="V12" s="307" t="n"/>
      <c r="W12" s="307" t="n"/>
      <c r="X12" s="307" t="n"/>
      <c r="Y12" s="307" t="n"/>
      <c r="Z12" s="307" t="n"/>
      <c r="AA12" s="307" t="n"/>
      <c r="AB12" s="307" t="n"/>
      <c r="AC12" s="307" t="n"/>
      <c r="AD12" s="307" t="n"/>
      <c r="AE12" s="307" t="n"/>
      <c r="AF12" s="307" t="n"/>
      <c r="AG12" s="307" t="n"/>
      <c r="AH12" s="307" t="n"/>
      <c r="AI12" s="307" t="n"/>
      <c r="AJ12" s="307" t="n"/>
      <c r="AK12" s="307" t="n"/>
      <c r="AL12" s="307" t="n"/>
      <c r="AM12" s="307" t="n"/>
      <c r="AN12" s="307" t="n"/>
      <c r="AO12" s="307" t="n"/>
      <c r="AP12" s="307" t="n"/>
      <c r="AQ12" s="307" t="n"/>
      <c r="AR12" s="307" t="n"/>
    </row>
    <row r="13" ht="15.75" customHeight="1" s="349">
      <c r="A13" s="307" t="n"/>
      <c r="B13" s="307" t="n"/>
      <c r="C13" s="307" t="n"/>
      <c r="D13" s="307" t="n"/>
      <c r="E13" s="307" t="n"/>
      <c r="F13" s="307" t="n"/>
      <c r="G13" s="307" t="n"/>
      <c r="H13" s="307" t="n"/>
      <c r="I13" s="307" t="n"/>
      <c r="J13" s="307" t="n"/>
      <c r="K13" s="307" t="n"/>
      <c r="L13" s="307" t="n"/>
      <c r="M13" s="307" t="n"/>
      <c r="N13" s="307" t="n"/>
      <c r="O13" s="307" t="n"/>
      <c r="P13" s="307" t="n"/>
      <c r="Q13" s="307" t="n"/>
      <c r="R13" s="307" t="n"/>
      <c r="S13" s="307" t="n"/>
      <c r="T13" s="307" t="n"/>
      <c r="U13" s="307" t="n"/>
      <c r="V13" s="307" t="n"/>
      <c r="W13" s="307" t="n"/>
      <c r="X13" s="307" t="n"/>
      <c r="Y13" s="307" t="n"/>
      <c r="Z13" s="307" t="n"/>
      <c r="AA13" s="307" t="n"/>
      <c r="AB13" s="307" t="n"/>
      <c r="AC13" s="307" t="n"/>
      <c r="AD13" s="307" t="n"/>
      <c r="AE13" s="307" t="n"/>
      <c r="AF13" s="307" t="n"/>
      <c r="AG13" s="307" t="n"/>
      <c r="AH13" s="307" t="n"/>
      <c r="AI13" s="307" t="n"/>
      <c r="AJ13" s="307" t="n"/>
      <c r="AK13" s="307" t="n"/>
      <c r="AL13" s="307" t="n"/>
      <c r="AM13" s="307" t="n"/>
      <c r="AN13" s="307" t="n"/>
      <c r="AO13" s="307" t="n"/>
      <c r="AP13" s="307" t="n"/>
      <c r="AQ13" s="307" t="n"/>
      <c r="AR13" s="307" t="n"/>
    </row>
    <row r="14" ht="15.75" customHeight="1" s="349">
      <c r="A14" s="307" t="n"/>
      <c r="B14" s="307" t="n"/>
      <c r="C14" s="307" t="n"/>
      <c r="D14" s="307" t="n"/>
      <c r="E14" s="307" t="n"/>
      <c r="F14" s="307" t="n"/>
      <c r="G14" s="307" t="n"/>
      <c r="H14" s="307" t="n"/>
      <c r="I14" s="307" t="n"/>
      <c r="J14" s="307" t="n"/>
      <c r="K14" s="307" t="n"/>
      <c r="L14" s="307" t="n"/>
      <c r="M14" s="307" t="n"/>
      <c r="N14" s="307" t="n"/>
      <c r="O14" s="307" t="n"/>
      <c r="P14" s="307" t="n"/>
      <c r="Q14" s="307" t="n"/>
      <c r="R14" s="307" t="n"/>
      <c r="S14" s="307" t="n"/>
      <c r="T14" s="307" t="n"/>
      <c r="U14" s="307" t="n"/>
      <c r="V14" s="307" t="n"/>
      <c r="W14" s="307" t="n"/>
      <c r="X14" s="307" t="n"/>
      <c r="Y14" s="307" t="n"/>
      <c r="Z14" s="307" t="n"/>
      <c r="AA14" s="307" t="n"/>
      <c r="AB14" s="307" t="n"/>
      <c r="AC14" s="307" t="n"/>
      <c r="AD14" s="307" t="n"/>
      <c r="AE14" s="307" t="n"/>
      <c r="AF14" s="307" t="n"/>
      <c r="AG14" s="307" t="n"/>
      <c r="AH14" s="307" t="n"/>
      <c r="AI14" s="307" t="n"/>
      <c r="AJ14" s="307" t="n"/>
      <c r="AK14" s="307" t="n"/>
      <c r="AL14" s="307" t="n"/>
      <c r="AM14" s="307" t="n"/>
      <c r="AN14" s="307" t="n"/>
      <c r="AO14" s="307" t="n"/>
      <c r="AP14" s="307" t="n"/>
      <c r="AQ14" s="307" t="n"/>
      <c r="AR14" s="307" t="n"/>
    </row>
    <row r="15" ht="15.75" customHeight="1" s="349">
      <c r="A15" s="307" t="n"/>
      <c r="B15" s="307" t="n"/>
      <c r="C15" s="307" t="n"/>
      <c r="D15" s="307" t="n"/>
      <c r="E15" s="307" t="n"/>
      <c r="F15" s="307" t="n"/>
      <c r="G15" s="307" t="n"/>
      <c r="H15" s="307" t="n"/>
      <c r="I15" s="307" t="n"/>
      <c r="J15" s="307" t="n"/>
      <c r="K15" s="307" t="n"/>
      <c r="L15" s="307" t="n"/>
      <c r="M15" s="307" t="n"/>
      <c r="N15" s="307" t="n"/>
      <c r="O15" s="307" t="n"/>
      <c r="P15" s="307" t="n"/>
      <c r="Q15" s="307" t="n"/>
      <c r="R15" s="307" t="n"/>
      <c r="S15" s="307" t="n"/>
      <c r="T15" s="307" t="n"/>
      <c r="U15" s="307" t="n"/>
      <c r="V15" s="307" t="n"/>
      <c r="W15" s="307" t="n"/>
      <c r="X15" s="307" t="n"/>
      <c r="Y15" s="307" t="n"/>
      <c r="Z15" s="307" t="n"/>
      <c r="AA15" s="307" t="n"/>
      <c r="AB15" s="307" t="n"/>
      <c r="AC15" s="307" t="n"/>
      <c r="AD15" s="307" t="n"/>
      <c r="AE15" s="307" t="n"/>
      <c r="AF15" s="307" t="n"/>
      <c r="AG15" s="307" t="n"/>
      <c r="AH15" s="307" t="n"/>
      <c r="AI15" s="307" t="n"/>
      <c r="AJ15" s="307" t="n"/>
      <c r="AK15" s="307" t="n"/>
      <c r="AL15" s="307" t="n"/>
      <c r="AM15" s="307" t="n"/>
      <c r="AN15" s="307" t="n"/>
      <c r="AO15" s="307" t="n"/>
      <c r="AP15" s="307" t="n"/>
      <c r="AQ15" s="307" t="n"/>
      <c r="AR15" s="307" t="n"/>
    </row>
    <row r="16" ht="15.75" customHeight="1" s="349">
      <c r="A16" s="307" t="n"/>
      <c r="B16" s="307" t="n"/>
      <c r="C16" s="307" t="n"/>
      <c r="D16" s="307" t="n"/>
      <c r="E16" s="307" t="n"/>
      <c r="F16" s="307" t="n"/>
      <c r="G16" s="307" t="n"/>
      <c r="H16" s="307" t="n"/>
      <c r="I16" s="307" t="n"/>
      <c r="J16" s="307" t="n"/>
      <c r="K16" s="307" t="n"/>
      <c r="L16" s="307" t="n"/>
      <c r="M16" s="307" t="n"/>
      <c r="N16" s="307" t="n"/>
      <c r="O16" s="307" t="n"/>
      <c r="P16" s="307" t="n"/>
      <c r="Q16" s="307" t="n"/>
      <c r="R16" s="307" t="n"/>
      <c r="S16" s="307" t="n"/>
      <c r="T16" s="307" t="n"/>
      <c r="U16" s="307" t="n"/>
      <c r="V16" s="307" t="n"/>
      <c r="W16" s="307" t="n"/>
      <c r="X16" s="307" t="n"/>
      <c r="Y16" s="307" t="n"/>
      <c r="Z16" s="307" t="n"/>
      <c r="AA16" s="307" t="n"/>
      <c r="AB16" s="307" t="n"/>
      <c r="AC16" s="307" t="n"/>
      <c r="AD16" s="307" t="n"/>
      <c r="AE16" s="307" t="n"/>
      <c r="AF16" s="307" t="n"/>
      <c r="AG16" s="307" t="n"/>
      <c r="AH16" s="307" t="n"/>
      <c r="AI16" s="307" t="n"/>
      <c r="AJ16" s="307" t="n"/>
      <c r="AK16" s="307" t="n"/>
      <c r="AL16" s="307" t="n"/>
      <c r="AM16" s="307" t="n"/>
      <c r="AN16" s="307" t="n"/>
      <c r="AO16" s="307" t="n"/>
      <c r="AP16" s="307" t="n"/>
      <c r="AQ16" s="307" t="n"/>
      <c r="AR16" s="307" t="n"/>
    </row>
    <row r="17" ht="15.75" customHeight="1" s="349">
      <c r="A17" s="307" t="n"/>
      <c r="B17" s="307" t="n"/>
      <c r="C17" s="307" t="n"/>
      <c r="D17" s="307" t="n"/>
      <c r="E17" s="307" t="n"/>
      <c r="F17" s="307" t="n"/>
      <c r="G17" s="307" t="n"/>
      <c r="H17" s="307" t="n"/>
      <c r="I17" s="307" t="n"/>
      <c r="J17" s="307" t="n"/>
      <c r="K17" s="307" t="n"/>
      <c r="L17" s="307" t="n"/>
      <c r="M17" s="307" t="n"/>
      <c r="N17" s="307" t="n"/>
      <c r="O17" s="307" t="n"/>
      <c r="P17" s="307" t="n"/>
      <c r="Q17" s="307" t="n"/>
      <c r="R17" s="307" t="n"/>
      <c r="S17" s="307" t="n"/>
      <c r="T17" s="307" t="n"/>
      <c r="U17" s="307" t="n"/>
      <c r="V17" s="307" t="n"/>
      <c r="W17" s="307" t="n"/>
      <c r="X17" s="307" t="n"/>
      <c r="Y17" s="307" t="n"/>
      <c r="Z17" s="307" t="n"/>
      <c r="AA17" s="307" t="n"/>
      <c r="AB17" s="307" t="n"/>
      <c r="AC17" s="307" t="n"/>
      <c r="AD17" s="307" t="n"/>
      <c r="AE17" s="307" t="n"/>
      <c r="AF17" s="307" t="n"/>
      <c r="AG17" s="307" t="n"/>
      <c r="AH17" s="307" t="n"/>
      <c r="AI17" s="307" t="n"/>
      <c r="AJ17" s="307" t="n"/>
      <c r="AK17" s="307" t="n"/>
      <c r="AL17" s="307" t="n"/>
      <c r="AM17" s="307" t="n"/>
      <c r="AN17" s="307" t="n"/>
      <c r="AO17" s="307" t="n"/>
      <c r="AP17" s="307" t="n"/>
      <c r="AQ17" s="307" t="n"/>
      <c r="AR17" s="307" t="n"/>
    </row>
    <row r="18" ht="15.75" customHeight="1" s="349">
      <c r="A18" s="307" t="n"/>
      <c r="B18" s="307" t="n"/>
      <c r="C18" s="307" t="n"/>
      <c r="D18" s="307" t="n"/>
      <c r="E18" s="307" t="n"/>
      <c r="F18" s="307" t="n"/>
      <c r="G18" s="307" t="n"/>
      <c r="H18" s="307" t="n"/>
      <c r="I18" s="307" t="n"/>
      <c r="J18" s="307" t="n"/>
      <c r="K18" s="307" t="n"/>
      <c r="L18" s="307" t="n"/>
      <c r="M18" s="307" t="n"/>
      <c r="N18" s="307" t="n"/>
      <c r="O18" s="307" t="n"/>
      <c r="P18" s="307" t="n"/>
      <c r="Q18" s="307" t="n"/>
      <c r="R18" s="307" t="n"/>
      <c r="S18" s="307" t="n"/>
      <c r="T18" s="307" t="n"/>
      <c r="U18" s="307" t="n"/>
      <c r="V18" s="307" t="n"/>
      <c r="W18" s="307" t="n"/>
      <c r="X18" s="307" t="n"/>
      <c r="Y18" s="307" t="n"/>
      <c r="Z18" s="307" t="n"/>
      <c r="AA18" s="307" t="n"/>
      <c r="AB18" s="307" t="n"/>
      <c r="AC18" s="307" t="n"/>
      <c r="AD18" s="307" t="n"/>
      <c r="AE18" s="307" t="n"/>
      <c r="AF18" s="307" t="n"/>
      <c r="AG18" s="307" t="n"/>
      <c r="AH18" s="307" t="n"/>
      <c r="AI18" s="307" t="n"/>
      <c r="AJ18" s="307" t="n"/>
      <c r="AK18" s="307" t="n"/>
      <c r="AL18" s="307" t="n"/>
      <c r="AM18" s="307" t="n"/>
      <c r="AN18" s="307" t="n"/>
      <c r="AO18" s="307" t="n"/>
      <c r="AP18" s="307" t="n"/>
      <c r="AQ18" s="307" t="n"/>
      <c r="AR18" s="307" t="n"/>
    </row>
    <row r="19" ht="15.75" customHeight="1" s="349">
      <c r="A19" s="307" t="n"/>
      <c r="B19" s="307" t="n"/>
      <c r="C19" s="307" t="n"/>
      <c r="D19" s="307" t="n"/>
      <c r="E19" s="307" t="n"/>
      <c r="F19" s="307" t="n"/>
      <c r="G19" s="307" t="n"/>
      <c r="H19" s="307" t="n"/>
      <c r="I19" s="307" t="n"/>
      <c r="J19" s="307" t="n"/>
      <c r="K19" s="307" t="n"/>
      <c r="L19" s="307" t="n"/>
      <c r="M19" s="307" t="n"/>
      <c r="N19" s="307" t="n"/>
      <c r="O19" s="307" t="n"/>
      <c r="P19" s="307" t="n"/>
      <c r="Q19" s="307" t="n"/>
      <c r="R19" s="307" t="n"/>
      <c r="S19" s="307" t="n"/>
      <c r="T19" s="307" t="n"/>
      <c r="U19" s="307" t="n"/>
      <c r="V19" s="307" t="n"/>
      <c r="W19" s="307" t="n"/>
      <c r="X19" s="307" t="n"/>
      <c r="Y19" s="307" t="n"/>
      <c r="Z19" s="307" t="n"/>
      <c r="AA19" s="307" t="n"/>
      <c r="AB19" s="307" t="n"/>
      <c r="AC19" s="307" t="n"/>
      <c r="AD19" s="307" t="n"/>
      <c r="AE19" s="307" t="n"/>
      <c r="AF19" s="307" t="n"/>
      <c r="AG19" s="307" t="n"/>
      <c r="AH19" s="307" t="n"/>
      <c r="AI19" s="307" t="n"/>
      <c r="AJ19" s="307" t="n"/>
      <c r="AK19" s="307" t="n"/>
      <c r="AL19" s="307" t="n"/>
      <c r="AM19" s="307" t="n"/>
      <c r="AN19" s="307" t="n"/>
      <c r="AO19" s="307" t="n"/>
      <c r="AP19" s="307" t="n"/>
      <c r="AQ19" s="307" t="n"/>
      <c r="AR19" s="307" t="n"/>
    </row>
    <row r="20" ht="15.75" customHeight="1" s="349">
      <c r="A20" s="307" t="n"/>
      <c r="B20" s="307" t="n"/>
      <c r="C20" s="307" t="n"/>
      <c r="D20" s="307" t="n"/>
      <c r="E20" s="307" t="n"/>
      <c r="F20" s="307" t="n"/>
      <c r="G20" s="307" t="n"/>
      <c r="H20" s="307" t="n"/>
      <c r="I20" s="307" t="n"/>
      <c r="J20" s="307" t="n"/>
      <c r="K20" s="307" t="n"/>
      <c r="L20" s="307" t="n"/>
      <c r="M20" s="307" t="n"/>
      <c r="N20" s="307" t="n"/>
      <c r="O20" s="307" t="n"/>
      <c r="P20" s="307" t="n"/>
      <c r="Q20" s="307" t="n"/>
      <c r="R20" s="307" t="n"/>
      <c r="S20" s="307" t="n"/>
      <c r="T20" s="307" t="n"/>
      <c r="U20" s="307" t="n"/>
      <c r="V20" s="307" t="n"/>
      <c r="W20" s="307" t="n"/>
      <c r="X20" s="307" t="n"/>
      <c r="Y20" s="307" t="n"/>
      <c r="Z20" s="307" t="n"/>
      <c r="AA20" s="307" t="n"/>
      <c r="AB20" s="307" t="n"/>
      <c r="AC20" s="307" t="n"/>
      <c r="AD20" s="307" t="n"/>
      <c r="AE20" s="307" t="n"/>
      <c r="AF20" s="307" t="n"/>
      <c r="AG20" s="307" t="n"/>
      <c r="AH20" s="307" t="n"/>
      <c r="AI20" s="307" t="n"/>
      <c r="AJ20" s="307" t="n"/>
      <c r="AK20" s="307" t="n"/>
      <c r="AL20" s="307" t="n"/>
      <c r="AM20" s="307" t="n"/>
      <c r="AN20" s="307" t="n"/>
      <c r="AO20" s="307" t="n"/>
      <c r="AP20" s="307" t="n"/>
      <c r="AQ20" s="307" t="n"/>
      <c r="AR20" s="307" t="n"/>
    </row>
    <row r="21" ht="15.75" customHeight="1" s="349">
      <c r="A21" s="307" t="n"/>
      <c r="B21" s="307" t="n"/>
      <c r="C21" s="307" t="n"/>
      <c r="D21" s="307" t="n"/>
      <c r="E21" s="307" t="n"/>
      <c r="F21" s="307" t="n"/>
      <c r="G21" s="307" t="n"/>
      <c r="H21" s="307" t="n"/>
      <c r="I21" s="307" t="n"/>
      <c r="J21" s="307" t="n"/>
      <c r="K21" s="307" t="n"/>
      <c r="L21" s="307" t="n"/>
      <c r="M21" s="307" t="n"/>
      <c r="N21" s="307" t="n"/>
      <c r="O21" s="307" t="n"/>
      <c r="P21" s="307" t="n"/>
      <c r="Q21" s="307" t="n"/>
      <c r="R21" s="307" t="n"/>
      <c r="S21" s="307" t="n"/>
      <c r="T21" s="307" t="n"/>
      <c r="U21" s="307" t="n"/>
      <c r="V21" s="307" t="n"/>
      <c r="W21" s="307" t="n"/>
      <c r="X21" s="307" t="n"/>
      <c r="Y21" s="307" t="n"/>
      <c r="Z21" s="307" t="n"/>
      <c r="AA21" s="307" t="n"/>
      <c r="AB21" s="307" t="n"/>
      <c r="AC21" s="307" t="n"/>
      <c r="AD21" s="307" t="n"/>
      <c r="AE21" s="307" t="n"/>
      <c r="AF21" s="307" t="n"/>
      <c r="AG21" s="307" t="n"/>
      <c r="AH21" s="307" t="n"/>
      <c r="AI21" s="307" t="n"/>
      <c r="AJ21" s="307" t="n"/>
      <c r="AK21" s="307" t="n"/>
      <c r="AL21" s="307" t="n"/>
      <c r="AM21" s="307" t="n"/>
      <c r="AN21" s="307" t="n"/>
      <c r="AO21" s="307" t="n"/>
      <c r="AP21" s="307" t="n"/>
      <c r="AQ21" s="307" t="n"/>
      <c r="AR21" s="307" t="n"/>
    </row>
    <row r="22" ht="15.75" customHeight="1" s="349">
      <c r="A22" s="307" t="n"/>
      <c r="B22" s="307" t="n"/>
      <c r="C22" s="307" t="n"/>
      <c r="D22" s="307" t="n"/>
      <c r="E22" s="307" t="n"/>
      <c r="F22" s="307" t="n"/>
      <c r="G22" s="307" t="n"/>
      <c r="H22" s="307" t="n"/>
      <c r="I22" s="307" t="n"/>
      <c r="J22" s="307" t="n"/>
      <c r="K22" s="307" t="n"/>
      <c r="L22" s="307" t="n"/>
      <c r="M22" s="307" t="n"/>
      <c r="N22" s="307" t="n"/>
      <c r="O22" s="307" t="n"/>
      <c r="P22" s="307" t="n"/>
      <c r="Q22" s="307" t="n"/>
      <c r="R22" s="307" t="n"/>
      <c r="S22" s="307" t="n"/>
      <c r="T22" s="307" t="n"/>
      <c r="U22" s="307" t="n"/>
      <c r="V22" s="307" t="n"/>
      <c r="W22" s="307" t="n"/>
      <c r="X22" s="307" t="n"/>
      <c r="Y22" s="307" t="n"/>
      <c r="Z22" s="307" t="n"/>
      <c r="AA22" s="307" t="n"/>
      <c r="AB22" s="307" t="n"/>
      <c r="AC22" s="307" t="n"/>
      <c r="AD22" s="307" t="n"/>
      <c r="AE22" s="307" t="n"/>
      <c r="AF22" s="307" t="n"/>
      <c r="AG22" s="307" t="n"/>
      <c r="AH22" s="307" t="n"/>
      <c r="AI22" s="307" t="n"/>
      <c r="AJ22" s="307" t="n"/>
      <c r="AK22" s="307" t="n"/>
      <c r="AL22" s="307" t="n"/>
      <c r="AM22" s="307" t="n"/>
      <c r="AN22" s="307" t="n"/>
      <c r="AO22" s="307" t="n"/>
      <c r="AP22" s="307" t="n"/>
      <c r="AQ22" s="307" t="n"/>
      <c r="AR22" s="307" t="n"/>
    </row>
    <row r="23" ht="15.75" customHeight="1" s="349">
      <c r="A23" s="307" t="n"/>
      <c r="B23" s="307" t="n"/>
      <c r="C23" s="307" t="n"/>
      <c r="D23" s="307" t="n"/>
      <c r="E23" s="307" t="n"/>
      <c r="F23" s="307" t="n"/>
      <c r="G23" s="307" t="n"/>
      <c r="H23" s="307" t="n"/>
      <c r="I23" s="307" t="n"/>
      <c r="J23" s="307" t="n"/>
      <c r="K23" s="307" t="n"/>
      <c r="L23" s="307" t="n"/>
      <c r="M23" s="307" t="n"/>
      <c r="N23" s="307" t="n"/>
      <c r="O23" s="307" t="n"/>
      <c r="P23" s="307" t="n"/>
      <c r="Q23" s="307" t="n"/>
      <c r="R23" s="307" t="n"/>
      <c r="S23" s="307" t="n"/>
      <c r="T23" s="307" t="n"/>
      <c r="U23" s="307" t="n"/>
      <c r="V23" s="307" t="n"/>
      <c r="W23" s="307" t="n"/>
      <c r="X23" s="307" t="n"/>
      <c r="Y23" s="307" t="n"/>
      <c r="Z23" s="307" t="n"/>
      <c r="AA23" s="307" t="n"/>
      <c r="AB23" s="307" t="n"/>
      <c r="AC23" s="307" t="n"/>
      <c r="AD23" s="307" t="n"/>
      <c r="AE23" s="307" t="n"/>
      <c r="AF23" s="307" t="n"/>
      <c r="AG23" s="307" t="n"/>
      <c r="AH23" s="307" t="n"/>
      <c r="AI23" s="307" t="n"/>
      <c r="AJ23" s="307" t="n"/>
      <c r="AK23" s="307" t="n"/>
      <c r="AL23" s="307" t="n"/>
      <c r="AM23" s="307" t="n"/>
      <c r="AN23" s="307" t="n"/>
      <c r="AO23" s="307" t="n"/>
      <c r="AP23" s="307" t="n"/>
      <c r="AQ23" s="307" t="n"/>
      <c r="AR23" s="307" t="n"/>
    </row>
    <row r="24" ht="15.75" customHeight="1" s="349">
      <c r="A24" s="307" t="n"/>
      <c r="B24" s="307" t="n"/>
      <c r="C24" s="307" t="n"/>
      <c r="D24" s="307" t="n"/>
      <c r="E24" s="307" t="n"/>
      <c r="F24" s="307" t="n"/>
      <c r="G24" s="307" t="n"/>
      <c r="H24" s="307" t="n"/>
      <c r="I24" s="307" t="n"/>
      <c r="J24" s="307" t="n"/>
      <c r="K24" s="307" t="n"/>
      <c r="L24" s="307" t="n"/>
      <c r="M24" s="307" t="n"/>
      <c r="N24" s="307" t="n"/>
      <c r="O24" s="307" t="n"/>
      <c r="P24" s="307" t="n"/>
      <c r="Q24" s="307" t="n"/>
      <c r="R24" s="307" t="n"/>
      <c r="S24" s="307" t="n"/>
      <c r="T24" s="307" t="n"/>
      <c r="U24" s="307" t="n"/>
      <c r="V24" s="307" t="n"/>
      <c r="W24" s="307" t="n"/>
      <c r="X24" s="307" t="n"/>
      <c r="Y24" s="307" t="n"/>
      <c r="Z24" s="307" t="n"/>
      <c r="AA24" s="307" t="n"/>
      <c r="AB24" s="307" t="n"/>
      <c r="AC24" s="307" t="n"/>
      <c r="AD24" s="307" t="n"/>
      <c r="AE24" s="307" t="n"/>
      <c r="AF24" s="307" t="n"/>
      <c r="AG24" s="307" t="n"/>
      <c r="AH24" s="307" t="n"/>
      <c r="AI24" s="307" t="n"/>
      <c r="AJ24" s="307" t="n"/>
      <c r="AK24" s="307" t="n"/>
      <c r="AL24" s="307" t="n"/>
      <c r="AM24" s="307" t="n"/>
      <c r="AN24" s="307" t="n"/>
      <c r="AO24" s="307" t="n"/>
      <c r="AP24" s="307" t="n"/>
      <c r="AQ24" s="307" t="n"/>
      <c r="AR24" s="307" t="n"/>
    </row>
    <row r="25" ht="15.75" customHeight="1" s="349">
      <c r="A25" s="307" t="n"/>
      <c r="B25" s="307" t="n"/>
      <c r="C25" s="307" t="n"/>
      <c r="D25" s="307" t="n"/>
      <c r="E25" s="307" t="n"/>
      <c r="F25" s="307" t="n"/>
      <c r="G25" s="307" t="n"/>
      <c r="H25" s="307" t="n"/>
      <c r="I25" s="307" t="n"/>
      <c r="J25" s="307" t="n"/>
      <c r="K25" s="307" t="n"/>
      <c r="L25" s="307" t="n"/>
      <c r="M25" s="307" t="n"/>
      <c r="N25" s="307" t="n"/>
      <c r="O25" s="307" t="n"/>
      <c r="P25" s="307" t="n"/>
      <c r="Q25" s="307" t="n"/>
      <c r="R25" s="307" t="n"/>
      <c r="S25" s="307" t="n"/>
      <c r="T25" s="307" t="n"/>
      <c r="U25" s="307" t="n"/>
      <c r="V25" s="307" t="n"/>
      <c r="W25" s="307" t="n"/>
      <c r="X25" s="307" t="n"/>
      <c r="Y25" s="307" t="n"/>
      <c r="Z25" s="307" t="n"/>
      <c r="AA25" s="307" t="n"/>
      <c r="AB25" s="307" t="n"/>
      <c r="AC25" s="307" t="n"/>
      <c r="AD25" s="307" t="n"/>
      <c r="AE25" s="307" t="n"/>
      <c r="AF25" s="307" t="n"/>
      <c r="AG25" s="307" t="n"/>
      <c r="AH25" s="307" t="n"/>
      <c r="AI25" s="307" t="n"/>
      <c r="AJ25" s="307" t="n"/>
      <c r="AK25" s="307" t="n"/>
      <c r="AL25" s="307" t="n"/>
      <c r="AM25" s="307" t="n"/>
      <c r="AN25" s="307" t="n"/>
      <c r="AO25" s="307" t="n"/>
      <c r="AP25" s="307" t="n"/>
      <c r="AQ25" s="307" t="n"/>
      <c r="AR25" s="307" t="n"/>
    </row>
    <row r="26" ht="15.75" customHeight="1" s="349">
      <c r="A26" s="307" t="n"/>
      <c r="B26" s="307" t="n"/>
      <c r="C26" s="307" t="n"/>
      <c r="D26" s="307" t="n"/>
      <c r="E26" s="307" t="n"/>
      <c r="F26" s="307" t="n"/>
      <c r="G26" s="307" t="n"/>
      <c r="H26" s="307" t="n"/>
      <c r="I26" s="307" t="n"/>
      <c r="J26" s="307" t="n"/>
      <c r="K26" s="307" t="n"/>
      <c r="L26" s="307" t="n"/>
      <c r="M26" s="307" t="n"/>
      <c r="N26" s="307" t="n"/>
      <c r="O26" s="307" t="n"/>
      <c r="P26" s="307" t="n"/>
      <c r="Q26" s="307" t="n"/>
      <c r="R26" s="307" t="n"/>
      <c r="S26" s="307" t="n"/>
      <c r="T26" s="307" t="n"/>
      <c r="U26" s="307" t="n"/>
      <c r="V26" s="307" t="n"/>
      <c r="W26" s="307" t="n"/>
      <c r="X26" s="307" t="n"/>
      <c r="Y26" s="307" t="n"/>
      <c r="Z26" s="307" t="n"/>
      <c r="AA26" s="307" t="n"/>
      <c r="AB26" s="307" t="n"/>
      <c r="AC26" s="307" t="n"/>
      <c r="AD26" s="307" t="n"/>
      <c r="AE26" s="307" t="n"/>
      <c r="AF26" s="307" t="n"/>
      <c r="AG26" s="307" t="n"/>
      <c r="AH26" s="307" t="n"/>
      <c r="AI26" s="307" t="n"/>
      <c r="AJ26" s="307" t="n"/>
      <c r="AK26" s="307" t="n"/>
      <c r="AL26" s="307" t="n"/>
      <c r="AM26" s="307" t="n"/>
      <c r="AN26" s="307" t="n"/>
      <c r="AO26" s="307" t="n"/>
      <c r="AP26" s="307" t="n"/>
      <c r="AQ26" s="307" t="n"/>
      <c r="AR26" s="307" t="n"/>
    </row>
    <row r="27" ht="15.75" customHeight="1" s="349">
      <c r="A27" s="307" t="n"/>
      <c r="B27" s="307" t="n"/>
      <c r="C27" s="307" t="n"/>
      <c r="D27" s="307" t="n"/>
      <c r="E27" s="307" t="n"/>
      <c r="F27" s="307" t="n"/>
      <c r="G27" s="307" t="n"/>
      <c r="H27" s="307" t="n"/>
      <c r="I27" s="307" t="n"/>
      <c r="J27" s="307" t="n"/>
      <c r="K27" s="307" t="n"/>
      <c r="L27" s="307" t="n"/>
      <c r="M27" s="307" t="n"/>
      <c r="N27" s="307" t="n"/>
      <c r="O27" s="307" t="n"/>
      <c r="P27" s="307" t="n"/>
      <c r="Q27" s="307" t="n"/>
      <c r="R27" s="307" t="n"/>
      <c r="S27" s="307" t="n"/>
      <c r="T27" s="307" t="n"/>
      <c r="U27" s="307" t="n"/>
      <c r="V27" s="307" t="n"/>
      <c r="W27" s="307" t="n"/>
      <c r="X27" s="307" t="n"/>
      <c r="Y27" s="307" t="n"/>
      <c r="Z27" s="307" t="n"/>
      <c r="AA27" s="307" t="n"/>
      <c r="AB27" s="307" t="n"/>
      <c r="AC27" s="307" t="n"/>
      <c r="AD27" s="307" t="n"/>
      <c r="AE27" s="307" t="n"/>
      <c r="AF27" s="307" t="n"/>
      <c r="AG27" s="307" t="n"/>
      <c r="AH27" s="307" t="n"/>
      <c r="AI27" s="307" t="n"/>
      <c r="AJ27" s="307" t="n"/>
      <c r="AK27" s="307" t="n"/>
      <c r="AL27" s="307" t="n"/>
      <c r="AM27" s="307" t="n"/>
      <c r="AN27" s="307" t="n"/>
      <c r="AO27" s="307" t="n"/>
      <c r="AP27" s="307" t="n"/>
      <c r="AQ27" s="307" t="n"/>
      <c r="AR27" s="307" t="n"/>
    </row>
    <row r="28" ht="15.75" customHeight="1" s="349">
      <c r="A28" s="307" t="n"/>
      <c r="B28" s="307" t="n"/>
      <c r="C28" s="307" t="n"/>
      <c r="D28" s="307" t="n"/>
      <c r="E28" s="307" t="n"/>
      <c r="F28" s="307" t="n"/>
      <c r="G28" s="307" t="n"/>
      <c r="H28" s="307" t="n"/>
      <c r="I28" s="307" t="n"/>
      <c r="J28" s="307" t="n"/>
      <c r="K28" s="307" t="n"/>
      <c r="L28" s="307" t="n"/>
      <c r="M28" s="307" t="n"/>
      <c r="N28" s="307" t="n"/>
      <c r="O28" s="307" t="n"/>
      <c r="P28" s="307" t="n"/>
      <c r="Q28" s="307" t="n"/>
      <c r="R28" s="307" t="n"/>
      <c r="S28" s="307" t="n"/>
      <c r="T28" s="307" t="n"/>
      <c r="U28" s="307" t="n"/>
      <c r="V28" s="307" t="n"/>
      <c r="W28" s="307" t="n"/>
      <c r="X28" s="307" t="n"/>
      <c r="Y28" s="307" t="n"/>
      <c r="Z28" s="307" t="n"/>
      <c r="AA28" s="307" t="n"/>
      <c r="AB28" s="307" t="n"/>
      <c r="AC28" s="307" t="n"/>
      <c r="AD28" s="307" t="n"/>
      <c r="AE28" s="307" t="n"/>
      <c r="AF28" s="307" t="n"/>
      <c r="AG28" s="307" t="n"/>
      <c r="AH28" s="307" t="n"/>
      <c r="AI28" s="307" t="n"/>
      <c r="AJ28" s="307" t="n"/>
      <c r="AK28" s="307" t="n"/>
      <c r="AL28" s="307" t="n"/>
      <c r="AM28" s="307" t="n"/>
      <c r="AN28" s="307" t="n"/>
      <c r="AO28" s="307" t="n"/>
      <c r="AP28" s="307" t="n"/>
      <c r="AQ28" s="307" t="n"/>
      <c r="AR28" s="307" t="n"/>
    </row>
    <row r="29" ht="15.75" customHeight="1" s="349">
      <c r="A29" s="307" t="n"/>
      <c r="B29" s="307" t="n"/>
      <c r="C29" s="307" t="n"/>
      <c r="D29" s="307" t="n"/>
      <c r="E29" s="307" t="n"/>
      <c r="F29" s="307" t="n"/>
      <c r="G29" s="307" t="n"/>
      <c r="H29" s="307" t="n"/>
      <c r="I29" s="307" t="n"/>
      <c r="J29" s="307" t="n"/>
      <c r="K29" s="307" t="n"/>
      <c r="L29" s="307" t="n"/>
      <c r="M29" s="307" t="n"/>
      <c r="N29" s="307" t="n"/>
      <c r="O29" s="307" t="n"/>
      <c r="P29" s="307" t="n"/>
      <c r="Q29" s="307" t="n"/>
      <c r="R29" s="307" t="n"/>
      <c r="S29" s="307" t="n"/>
      <c r="T29" s="307" t="n"/>
      <c r="U29" s="307" t="n"/>
      <c r="V29" s="307" t="n"/>
      <c r="W29" s="307" t="n"/>
      <c r="X29" s="307" t="n"/>
      <c r="Y29" s="307" t="n"/>
      <c r="Z29" s="307" t="n"/>
      <c r="AA29" s="307" t="n"/>
      <c r="AB29" s="307" t="n"/>
      <c r="AC29" s="307" t="n"/>
      <c r="AD29" s="307" t="n"/>
      <c r="AE29" s="307" t="n"/>
      <c r="AF29" s="307" t="n"/>
      <c r="AG29" s="307" t="n"/>
      <c r="AH29" s="307" t="n"/>
      <c r="AI29" s="307" t="n"/>
      <c r="AJ29" s="307" t="n"/>
      <c r="AK29" s="307" t="n"/>
      <c r="AL29" s="307" t="n"/>
      <c r="AM29" s="307" t="n"/>
      <c r="AN29" s="307" t="n"/>
      <c r="AO29" s="307" t="n"/>
      <c r="AP29" s="307" t="n"/>
      <c r="AQ29" s="307" t="n"/>
      <c r="AR29" s="307" t="n"/>
    </row>
    <row r="30" ht="15.75" customHeight="1" s="349">
      <c r="A30" s="307" t="n"/>
      <c r="B30" s="307" t="n"/>
      <c r="C30" s="307" t="n"/>
      <c r="D30" s="307" t="n"/>
      <c r="E30" s="307" t="n"/>
      <c r="F30" s="307" t="n"/>
      <c r="G30" s="307" t="n"/>
      <c r="H30" s="307" t="n"/>
      <c r="I30" s="307" t="n"/>
      <c r="J30" s="307" t="n"/>
      <c r="K30" s="307" t="n"/>
      <c r="L30" s="307" t="n"/>
      <c r="M30" s="307" t="n"/>
      <c r="N30" s="307" t="n"/>
      <c r="O30" s="307" t="n"/>
      <c r="P30" s="307" t="n"/>
      <c r="Q30" s="307" t="n"/>
      <c r="R30" s="307" t="n"/>
      <c r="S30" s="307" t="n"/>
      <c r="T30" s="307" t="n"/>
      <c r="U30" s="307" t="n"/>
      <c r="V30" s="307" t="n"/>
      <c r="W30" s="307" t="n"/>
      <c r="X30" s="307" t="n"/>
      <c r="Y30" s="307" t="n"/>
      <c r="Z30" s="307" t="n"/>
      <c r="AA30" s="307" t="n"/>
      <c r="AB30" s="307" t="n"/>
      <c r="AC30" s="307" t="n"/>
      <c r="AD30" s="307" t="n"/>
      <c r="AE30" s="307" t="n"/>
      <c r="AF30" s="307" t="n"/>
      <c r="AG30" s="307" t="n"/>
      <c r="AH30" s="307" t="n"/>
      <c r="AI30" s="307" t="n"/>
      <c r="AJ30" s="307" t="n"/>
      <c r="AK30" s="307" t="n"/>
      <c r="AL30" s="307" t="n"/>
      <c r="AM30" s="307" t="n"/>
      <c r="AN30" s="307" t="n"/>
      <c r="AO30" s="307" t="n"/>
      <c r="AP30" s="307" t="n"/>
      <c r="AQ30" s="307" t="n"/>
      <c r="AR30" s="307" t="n"/>
    </row>
    <row r="31" ht="15.75" customHeight="1" s="349">
      <c r="A31" s="307" t="n"/>
      <c r="B31" s="307" t="n"/>
      <c r="C31" s="307" t="n"/>
      <c r="D31" s="307" t="n"/>
      <c r="E31" s="307" t="n"/>
      <c r="F31" s="307" t="n"/>
      <c r="G31" s="307" t="n"/>
      <c r="H31" s="307" t="n"/>
      <c r="I31" s="307" t="n"/>
      <c r="J31" s="307" t="n"/>
      <c r="K31" s="307" t="n"/>
      <c r="L31" s="307" t="n"/>
      <c r="M31" s="307" t="n"/>
      <c r="N31" s="307" t="n"/>
      <c r="O31" s="307" t="n"/>
      <c r="P31" s="307" t="n"/>
      <c r="Q31" s="307" t="n"/>
      <c r="R31" s="307" t="n"/>
      <c r="S31" s="307" t="n"/>
      <c r="T31" s="307" t="n"/>
      <c r="U31" s="307" t="n"/>
      <c r="V31" s="307" t="n"/>
      <c r="W31" s="307" t="n"/>
      <c r="X31" s="307" t="n"/>
      <c r="Y31" s="307" t="n"/>
      <c r="Z31" s="307" t="n"/>
      <c r="AA31" s="307" t="n"/>
      <c r="AB31" s="307" t="n"/>
      <c r="AC31" s="307" t="n"/>
      <c r="AD31" s="307" t="n"/>
      <c r="AE31" s="307" t="n"/>
      <c r="AF31" s="307" t="n"/>
      <c r="AG31" s="307" t="n"/>
      <c r="AH31" s="307" t="n"/>
      <c r="AI31" s="307" t="n"/>
      <c r="AJ31" s="307" t="n"/>
      <c r="AK31" s="307" t="n"/>
      <c r="AL31" s="307" t="n"/>
      <c r="AM31" s="307" t="n"/>
      <c r="AN31" s="307" t="n"/>
      <c r="AO31" s="307" t="n"/>
      <c r="AP31" s="307" t="n"/>
      <c r="AQ31" s="307" t="n"/>
      <c r="AR31" s="307" t="n"/>
    </row>
    <row r="32" ht="15.75" customHeight="1" s="349">
      <c r="A32" s="307" t="n"/>
      <c r="B32" s="307" t="n"/>
      <c r="C32" s="307" t="n"/>
      <c r="D32" s="307" t="n"/>
      <c r="E32" s="307" t="n"/>
      <c r="F32" s="307" t="n"/>
      <c r="G32" s="307" t="n"/>
      <c r="H32" s="307" t="n"/>
      <c r="I32" s="307" t="n"/>
      <c r="J32" s="307" t="n"/>
      <c r="K32" s="307" t="n"/>
      <c r="L32" s="307" t="n"/>
      <c r="M32" s="307" t="n"/>
      <c r="N32" s="307" t="n"/>
      <c r="O32" s="307" t="n"/>
      <c r="P32" s="307" t="n"/>
      <c r="Q32" s="307" t="n"/>
      <c r="R32" s="307" t="n"/>
      <c r="S32" s="307" t="n"/>
      <c r="T32" s="307" t="n"/>
      <c r="U32" s="307" t="n"/>
      <c r="V32" s="307" t="n"/>
      <c r="W32" s="307" t="n"/>
      <c r="X32" s="307" t="n"/>
      <c r="Y32" s="307" t="n"/>
      <c r="Z32" s="307" t="n"/>
      <c r="AA32" s="307" t="n"/>
      <c r="AB32" s="307" t="n"/>
      <c r="AC32" s="307" t="n"/>
      <c r="AD32" s="307" t="n"/>
      <c r="AE32" s="307" t="n"/>
      <c r="AF32" s="307" t="n"/>
      <c r="AG32" s="307" t="n"/>
      <c r="AH32" s="307" t="n"/>
      <c r="AI32" s="307" t="n"/>
      <c r="AJ32" s="307" t="n"/>
      <c r="AK32" s="307" t="n"/>
      <c r="AL32" s="307" t="n"/>
      <c r="AM32" s="307" t="n"/>
      <c r="AN32" s="307" t="n"/>
      <c r="AO32" s="307" t="n"/>
      <c r="AP32" s="307" t="n"/>
      <c r="AQ32" s="307" t="n"/>
      <c r="AR32" s="307" t="n"/>
    </row>
    <row r="33" ht="15.75" customHeight="1" s="349">
      <c r="A33" s="307" t="n"/>
      <c r="B33" s="307" t="n"/>
      <c r="C33" s="307" t="n"/>
      <c r="D33" s="307" t="n"/>
      <c r="E33" s="307" t="n"/>
      <c r="F33" s="307" t="n"/>
      <c r="G33" s="307" t="n"/>
      <c r="H33" s="307" t="n"/>
      <c r="I33" s="307" t="n"/>
      <c r="J33" s="307" t="n"/>
      <c r="K33" s="307" t="n"/>
      <c r="L33" s="307" t="n"/>
      <c r="M33" s="307" t="n"/>
      <c r="N33" s="307" t="n"/>
      <c r="O33" s="307" t="n"/>
      <c r="P33" s="307" t="n"/>
      <c r="Q33" s="307" t="n"/>
      <c r="R33" s="307" t="n"/>
      <c r="S33" s="307" t="n"/>
      <c r="T33" s="307" t="n"/>
      <c r="U33" s="307" t="n"/>
      <c r="V33" s="307" t="n"/>
      <c r="W33" s="307" t="n"/>
      <c r="X33" s="307" t="n"/>
      <c r="Y33" s="307" t="n"/>
      <c r="Z33" s="307" t="n"/>
      <c r="AA33" s="307" t="n"/>
      <c r="AB33" s="307" t="n"/>
      <c r="AC33" s="307" t="n"/>
      <c r="AD33" s="307" t="n"/>
      <c r="AE33" s="307" t="n"/>
      <c r="AF33" s="307" t="n"/>
      <c r="AG33" s="307" t="n"/>
      <c r="AH33" s="307" t="n"/>
      <c r="AI33" s="307" t="n"/>
      <c r="AJ33" s="307" t="n"/>
      <c r="AK33" s="307" t="n"/>
      <c r="AL33" s="307" t="n"/>
      <c r="AM33" s="307" t="n"/>
      <c r="AN33" s="307" t="n"/>
      <c r="AO33" s="307" t="n"/>
      <c r="AP33" s="307" t="n"/>
      <c r="AQ33" s="307" t="n"/>
      <c r="AR33" s="307" t="n"/>
    </row>
    <row r="34" ht="15.75" customHeight="1" s="349">
      <c r="A34" s="307" t="n"/>
      <c r="B34" s="307" t="n"/>
      <c r="C34" s="307" t="n"/>
      <c r="D34" s="307" t="n"/>
      <c r="E34" s="307" t="n"/>
      <c r="F34" s="307" t="n"/>
      <c r="G34" s="307" t="n"/>
      <c r="H34" s="307" t="n"/>
      <c r="I34" s="307" t="n"/>
      <c r="J34" s="307" t="n"/>
      <c r="K34" s="307" t="n"/>
      <c r="L34" s="307" t="n"/>
      <c r="M34" s="307" t="n"/>
      <c r="N34" s="307" t="n"/>
      <c r="O34" s="307" t="n"/>
      <c r="P34" s="307" t="n"/>
      <c r="Q34" s="307" t="n"/>
      <c r="R34" s="307" t="n"/>
      <c r="S34" s="307" t="n"/>
      <c r="T34" s="307" t="n"/>
      <c r="U34" s="307" t="n"/>
      <c r="V34" s="307" t="n"/>
      <c r="W34" s="307" t="n"/>
      <c r="X34" s="307" t="n"/>
      <c r="Y34" s="307" t="n"/>
      <c r="Z34" s="307" t="n"/>
      <c r="AA34" s="307" t="n"/>
      <c r="AB34" s="307" t="n"/>
      <c r="AC34" s="307" t="n"/>
      <c r="AD34" s="307" t="n"/>
      <c r="AE34" s="307" t="n"/>
      <c r="AF34" s="307" t="n"/>
      <c r="AG34" s="307" t="n"/>
      <c r="AH34" s="307" t="n"/>
      <c r="AI34" s="307" t="n"/>
      <c r="AJ34" s="307" t="n"/>
      <c r="AK34" s="307" t="n"/>
      <c r="AL34" s="307" t="n"/>
      <c r="AM34" s="307" t="n"/>
      <c r="AN34" s="307" t="n"/>
      <c r="AO34" s="307" t="n"/>
      <c r="AP34" s="307" t="n"/>
      <c r="AQ34" s="307" t="n"/>
      <c r="AR34" s="307" t="n"/>
    </row>
    <row r="35" ht="15.75" customHeight="1" s="349">
      <c r="A35" s="307" t="n"/>
      <c r="B35" s="307" t="n"/>
      <c r="C35" s="307" t="n"/>
      <c r="D35" s="307" t="n"/>
      <c r="E35" s="307" t="n"/>
      <c r="F35" s="307" t="n"/>
      <c r="G35" s="307" t="n"/>
      <c r="H35" s="307" t="n"/>
      <c r="I35" s="307" t="n"/>
      <c r="J35" s="307" t="n"/>
      <c r="K35" s="307" t="n"/>
      <c r="L35" s="307" t="n"/>
      <c r="M35" s="307" t="n"/>
      <c r="N35" s="307" t="n"/>
      <c r="O35" s="307" t="n"/>
      <c r="P35" s="307" t="n"/>
      <c r="Q35" s="307" t="n"/>
      <c r="R35" s="307" t="n"/>
      <c r="S35" s="307" t="n"/>
      <c r="T35" s="307" t="n"/>
      <c r="U35" s="307" t="n"/>
      <c r="V35" s="307" t="n"/>
      <c r="W35" s="307" t="n"/>
      <c r="X35" s="307" t="n"/>
      <c r="Y35" s="307" t="n"/>
      <c r="Z35" s="307" t="n"/>
      <c r="AA35" s="307" t="n"/>
      <c r="AB35" s="307" t="n"/>
      <c r="AC35" s="307" t="n"/>
      <c r="AD35" s="307" t="n"/>
      <c r="AE35" s="307" t="n"/>
      <c r="AF35" s="307" t="n"/>
      <c r="AG35" s="307" t="n"/>
      <c r="AH35" s="307" t="n"/>
      <c r="AI35" s="307" t="n"/>
      <c r="AJ35" s="307" t="n"/>
      <c r="AK35" s="307" t="n"/>
      <c r="AL35" s="307" t="n"/>
      <c r="AM35" s="307" t="n"/>
      <c r="AN35" s="307" t="n"/>
      <c r="AO35" s="307" t="n"/>
      <c r="AP35" s="307" t="n"/>
      <c r="AQ35" s="307" t="n"/>
      <c r="AR35" s="307" t="n"/>
    </row>
    <row r="36" ht="15.75" customHeight="1" s="349">
      <c r="A36" s="307" t="n"/>
      <c r="B36" s="307" t="n"/>
      <c r="C36" s="307" t="n"/>
      <c r="D36" s="307" t="n"/>
      <c r="E36" s="307" t="n"/>
      <c r="F36" s="307" t="n"/>
      <c r="G36" s="307" t="n"/>
      <c r="H36" s="307" t="n"/>
      <c r="I36" s="307" t="n"/>
      <c r="J36" s="307" t="n"/>
      <c r="K36" s="307" t="n"/>
      <c r="L36" s="307" t="n"/>
      <c r="M36" s="307" t="n"/>
      <c r="N36" s="307" t="n"/>
      <c r="O36" s="307" t="n"/>
      <c r="P36" s="307" t="n"/>
      <c r="Q36" s="307" t="n"/>
      <c r="R36" s="307" t="n"/>
      <c r="S36" s="307" t="n"/>
      <c r="T36" s="307" t="n"/>
      <c r="U36" s="307" t="n"/>
      <c r="V36" s="307" t="n"/>
      <c r="W36" s="307" t="n"/>
      <c r="X36" s="307" t="n"/>
      <c r="Y36" s="307" t="n"/>
      <c r="Z36" s="307" t="n"/>
      <c r="AA36" s="307" t="n"/>
      <c r="AB36" s="307" t="n"/>
      <c r="AC36" s="307" t="n"/>
      <c r="AD36" s="307" t="n"/>
      <c r="AE36" s="307" t="n"/>
      <c r="AF36" s="307" t="n"/>
      <c r="AG36" s="307" t="n"/>
      <c r="AH36" s="307" t="n"/>
      <c r="AI36" s="307" t="n"/>
      <c r="AJ36" s="307" t="n"/>
      <c r="AK36" s="307" t="n"/>
      <c r="AL36" s="307" t="n"/>
      <c r="AM36" s="307" t="n"/>
      <c r="AN36" s="307" t="n"/>
      <c r="AO36" s="307" t="n"/>
      <c r="AP36" s="307" t="n"/>
      <c r="AQ36" s="307" t="n"/>
      <c r="AR36" s="307" t="n"/>
    </row>
    <row r="37" ht="15.75" customHeight="1" s="349">
      <c r="A37" s="307" t="n"/>
      <c r="B37" s="307" t="n"/>
      <c r="C37" s="307" t="n"/>
      <c r="D37" s="307" t="n"/>
      <c r="E37" s="307" t="n"/>
      <c r="F37" s="307" t="n"/>
      <c r="G37" s="307" t="n"/>
      <c r="H37" s="307" t="n"/>
      <c r="I37" s="307" t="n"/>
      <c r="J37" s="307" t="n"/>
      <c r="K37" s="307" t="n"/>
      <c r="L37" s="307" t="n"/>
      <c r="M37" s="307" t="n"/>
      <c r="N37" s="307" t="n"/>
      <c r="O37" s="307" t="n"/>
      <c r="P37" s="307" t="n"/>
      <c r="Q37" s="307" t="n"/>
      <c r="R37" s="307" t="n"/>
      <c r="S37" s="307" t="n"/>
      <c r="T37" s="307" t="n"/>
      <c r="U37" s="307" t="n"/>
      <c r="V37" s="307" t="n"/>
      <c r="W37" s="307" t="n"/>
      <c r="X37" s="307" t="n"/>
      <c r="Y37" s="307" t="n"/>
      <c r="Z37" s="307" t="n"/>
      <c r="AA37" s="307" t="n"/>
      <c r="AB37" s="307" t="n"/>
      <c r="AC37" s="307" t="n"/>
      <c r="AD37" s="307" t="n"/>
      <c r="AE37" s="307" t="n"/>
      <c r="AF37" s="307" t="n"/>
      <c r="AG37" s="307" t="n"/>
      <c r="AH37" s="307" t="n"/>
      <c r="AI37" s="307" t="n"/>
      <c r="AJ37" s="307" t="n"/>
      <c r="AK37" s="307" t="n"/>
      <c r="AL37" s="307" t="n"/>
      <c r="AM37" s="307" t="n"/>
      <c r="AN37" s="307" t="n"/>
      <c r="AO37" s="307" t="n"/>
      <c r="AP37" s="307" t="n"/>
      <c r="AQ37" s="307" t="n"/>
      <c r="AR37" s="307" t="n"/>
    </row>
    <row r="38" ht="15.75" customHeight="1" s="349">
      <c r="A38" s="307" t="n"/>
      <c r="B38" s="307" t="n"/>
      <c r="C38" s="307" t="n"/>
      <c r="D38" s="307" t="n"/>
      <c r="E38" s="307" t="n"/>
      <c r="F38" s="307" t="n"/>
      <c r="G38" s="307" t="n"/>
      <c r="H38" s="307" t="n"/>
      <c r="I38" s="307" t="n"/>
      <c r="J38" s="307" t="n"/>
      <c r="K38" s="307" t="n"/>
      <c r="L38" s="307" t="n"/>
      <c r="M38" s="307" t="n"/>
      <c r="N38" s="307" t="n"/>
      <c r="O38" s="307" t="n"/>
      <c r="P38" s="307" t="n"/>
      <c r="Q38" s="307" t="n"/>
      <c r="R38" s="307" t="n"/>
      <c r="S38" s="307" t="n"/>
      <c r="T38" s="307" t="n"/>
      <c r="U38" s="307" t="n"/>
      <c r="V38" s="307" t="n"/>
      <c r="W38" s="307" t="n"/>
      <c r="X38" s="307" t="n"/>
      <c r="Y38" s="307" t="n"/>
      <c r="Z38" s="307" t="n"/>
      <c r="AA38" s="307" t="n"/>
      <c r="AB38" s="307" t="n"/>
      <c r="AC38" s="307" t="n"/>
      <c r="AD38" s="307" t="n"/>
      <c r="AE38" s="307" t="n"/>
      <c r="AF38" s="307" t="n"/>
      <c r="AG38" s="307" t="n"/>
      <c r="AH38" s="307" t="n"/>
      <c r="AI38" s="307" t="n"/>
      <c r="AJ38" s="307" t="n"/>
      <c r="AK38" s="307" t="n"/>
      <c r="AL38" s="307" t="n"/>
      <c r="AM38" s="307" t="n"/>
      <c r="AN38" s="307" t="n"/>
      <c r="AO38" s="307" t="n"/>
      <c r="AP38" s="307" t="n"/>
      <c r="AQ38" s="307" t="n"/>
      <c r="AR38" s="307" t="n"/>
    </row>
    <row r="39" ht="15.75" customHeight="1" s="349">
      <c r="A39" s="307" t="n"/>
      <c r="B39" s="307" t="n"/>
      <c r="C39" s="307" t="n"/>
      <c r="D39" s="307" t="n"/>
      <c r="E39" s="307" t="n"/>
      <c r="F39" s="307" t="n"/>
      <c r="G39" s="307" t="n"/>
      <c r="H39" s="307" t="n"/>
      <c r="I39" s="307" t="n"/>
      <c r="J39" s="307" t="n"/>
      <c r="K39" s="307" t="n"/>
      <c r="L39" s="307" t="n"/>
      <c r="M39" s="307" t="n"/>
      <c r="N39" s="307" t="n"/>
      <c r="O39" s="307" t="n"/>
      <c r="P39" s="307" t="n"/>
      <c r="Q39" s="307" t="n"/>
      <c r="R39" s="307" t="n"/>
      <c r="S39" s="307" t="n"/>
      <c r="T39" s="307" t="n"/>
      <c r="U39" s="307" t="n"/>
      <c r="V39" s="307" t="n"/>
      <c r="W39" s="307" t="n"/>
      <c r="X39" s="307" t="n"/>
      <c r="Y39" s="307" t="n"/>
      <c r="Z39" s="307" t="n"/>
      <c r="AA39" s="307" t="n"/>
      <c r="AB39" s="307" t="n"/>
      <c r="AC39" s="307" t="n"/>
      <c r="AD39" s="307" t="n"/>
      <c r="AE39" s="307" t="n"/>
      <c r="AF39" s="307" t="n"/>
      <c r="AG39" s="307" t="n"/>
      <c r="AH39" s="307" t="n"/>
      <c r="AI39" s="307" t="n"/>
      <c r="AJ39" s="307" t="n"/>
      <c r="AK39" s="307" t="n"/>
      <c r="AL39" s="307" t="n"/>
      <c r="AM39" s="307" t="n"/>
      <c r="AN39" s="307" t="n"/>
      <c r="AO39" s="307" t="n"/>
      <c r="AP39" s="307" t="n"/>
      <c r="AQ39" s="307" t="n"/>
      <c r="AR39" s="307" t="n"/>
    </row>
    <row r="40" ht="15.75" customHeight="1" s="349">
      <c r="A40" s="307" t="n"/>
      <c r="B40" s="307" t="n"/>
      <c r="C40" s="307" t="n"/>
      <c r="D40" s="307" t="n"/>
      <c r="E40" s="307" t="n"/>
      <c r="F40" s="307" t="n"/>
      <c r="G40" s="307" t="n"/>
      <c r="H40" s="307" t="n"/>
      <c r="I40" s="307" t="n"/>
      <c r="J40" s="307" t="n"/>
      <c r="K40" s="307" t="n"/>
      <c r="L40" s="307" t="n"/>
      <c r="M40" s="307" t="n"/>
      <c r="N40" s="307" t="n"/>
      <c r="O40" s="307" t="n"/>
      <c r="P40" s="307" t="n"/>
      <c r="Q40" s="307" t="n"/>
      <c r="R40" s="307" t="n"/>
      <c r="S40" s="307" t="n"/>
      <c r="T40" s="307" t="n"/>
      <c r="U40" s="307" t="n"/>
      <c r="V40" s="307" t="n"/>
      <c r="W40" s="307" t="n"/>
      <c r="X40" s="307" t="n"/>
      <c r="Y40" s="307" t="n"/>
      <c r="Z40" s="307" t="n"/>
      <c r="AA40" s="307" t="n"/>
      <c r="AB40" s="307" t="n"/>
      <c r="AC40" s="307" t="n"/>
      <c r="AD40" s="307" t="n"/>
      <c r="AE40" s="307" t="n"/>
      <c r="AF40" s="307" t="n"/>
      <c r="AG40" s="307" t="n"/>
      <c r="AH40" s="307" t="n"/>
      <c r="AI40" s="307" t="n"/>
      <c r="AJ40" s="307" t="n"/>
      <c r="AK40" s="307" t="n"/>
      <c r="AL40" s="307" t="n"/>
      <c r="AM40" s="307" t="n"/>
      <c r="AN40" s="307" t="n"/>
      <c r="AO40" s="307" t="n"/>
      <c r="AP40" s="307" t="n"/>
      <c r="AQ40" s="307" t="n"/>
      <c r="AR40" s="307" t="n"/>
    </row>
    <row r="41" ht="15.75" customHeight="1" s="349">
      <c r="A41" s="307" t="n"/>
      <c r="B41" s="307" t="n"/>
      <c r="C41" s="307" t="n"/>
      <c r="D41" s="307" t="n"/>
      <c r="E41" s="307" t="n"/>
      <c r="F41" s="307" t="n"/>
      <c r="G41" s="307" t="n"/>
      <c r="H41" s="307" t="n"/>
      <c r="I41" s="307" t="n"/>
      <c r="J41" s="307" t="n"/>
      <c r="K41" s="307" t="n"/>
      <c r="L41" s="307" t="n"/>
      <c r="M41" s="307" t="n"/>
      <c r="N41" s="307" t="n"/>
      <c r="O41" s="307" t="n"/>
      <c r="P41" s="307" t="n"/>
      <c r="Q41" s="307" t="n"/>
      <c r="R41" s="307" t="n"/>
      <c r="S41" s="307" t="n"/>
      <c r="T41" s="307" t="n"/>
      <c r="U41" s="307" t="n"/>
      <c r="V41" s="307" t="n"/>
      <c r="W41" s="307" t="n"/>
      <c r="X41" s="307" t="n"/>
      <c r="Y41" s="307" t="n"/>
      <c r="Z41" s="307" t="n"/>
      <c r="AA41" s="307" t="n"/>
      <c r="AB41" s="307" t="n"/>
      <c r="AC41" s="307" t="n"/>
      <c r="AD41" s="307" t="n"/>
      <c r="AE41" s="307" t="n"/>
      <c r="AF41" s="307" t="n"/>
      <c r="AG41" s="307" t="n"/>
      <c r="AH41" s="307" t="n"/>
      <c r="AI41" s="307" t="n"/>
      <c r="AJ41" s="307" t="n"/>
      <c r="AK41" s="307" t="n"/>
      <c r="AL41" s="307" t="n"/>
      <c r="AM41" s="307" t="n"/>
      <c r="AN41" s="307" t="n"/>
      <c r="AO41" s="307" t="n"/>
      <c r="AP41" s="307" t="n"/>
      <c r="AQ41" s="307" t="n"/>
      <c r="AR41" s="307" t="n"/>
    </row>
    <row r="42" ht="15.75" customHeight="1" s="349">
      <c r="A42" s="307" t="n"/>
      <c r="B42" s="307" t="n"/>
      <c r="C42" s="307" t="n"/>
      <c r="D42" s="307" t="n"/>
      <c r="E42" s="307" t="n"/>
      <c r="F42" s="307" t="n"/>
      <c r="G42" s="307" t="n"/>
      <c r="H42" s="307" t="n"/>
      <c r="I42" s="307" t="n"/>
      <c r="J42" s="307" t="n"/>
      <c r="K42" s="307" t="n"/>
      <c r="L42" s="307" t="n"/>
      <c r="M42" s="307" t="n"/>
      <c r="N42" s="307" t="n"/>
      <c r="O42" s="307" t="n"/>
      <c r="P42" s="307" t="n"/>
      <c r="Q42" s="307" t="n"/>
      <c r="R42" s="307" t="n"/>
      <c r="S42" s="307" t="n"/>
      <c r="T42" s="307" t="n"/>
      <c r="U42" s="307" t="n"/>
      <c r="V42" s="307" t="n"/>
      <c r="W42" s="307" t="n"/>
      <c r="X42" s="307" t="n"/>
      <c r="Y42" s="307" t="n"/>
      <c r="Z42" s="307" t="n"/>
      <c r="AA42" s="307" t="n"/>
      <c r="AB42" s="307" t="n"/>
      <c r="AC42" s="307" t="n"/>
      <c r="AD42" s="307" t="n"/>
      <c r="AE42" s="307" t="n"/>
      <c r="AF42" s="307" t="n"/>
      <c r="AG42" s="307" t="n"/>
      <c r="AH42" s="307" t="n"/>
      <c r="AI42" s="307" t="n"/>
      <c r="AJ42" s="307" t="n"/>
      <c r="AK42" s="307" t="n"/>
      <c r="AL42" s="307" t="n"/>
      <c r="AM42" s="307" t="n"/>
      <c r="AN42" s="307" t="n"/>
      <c r="AO42" s="307" t="n"/>
      <c r="AP42" s="307" t="n"/>
      <c r="AQ42" s="307" t="n"/>
      <c r="AR42" s="307" t="n"/>
    </row>
    <row r="43" ht="15.75" customHeight="1" s="349">
      <c r="A43" s="307" t="n"/>
      <c r="B43" s="307" t="n"/>
      <c r="C43" s="307" t="n"/>
      <c r="D43" s="307" t="n"/>
      <c r="E43" s="307" t="n"/>
      <c r="F43" s="307" t="n"/>
      <c r="G43" s="307" t="n"/>
      <c r="H43" s="307" t="n"/>
      <c r="I43" s="307" t="n"/>
      <c r="J43" s="307" t="n"/>
      <c r="K43" s="307" t="n"/>
      <c r="L43" s="307" t="n"/>
      <c r="M43" s="307" t="n"/>
      <c r="N43" s="307" t="n"/>
      <c r="O43" s="307" t="n"/>
      <c r="P43" s="307" t="n"/>
      <c r="Q43" s="307" t="n"/>
      <c r="R43" s="307" t="n"/>
      <c r="S43" s="307" t="n"/>
      <c r="T43" s="307" t="n"/>
      <c r="U43" s="307" t="n"/>
      <c r="V43" s="307" t="n"/>
      <c r="W43" s="307" t="n"/>
      <c r="X43" s="307" t="n"/>
      <c r="Y43" s="307" t="n"/>
      <c r="Z43" s="307" t="n"/>
      <c r="AA43" s="307" t="n"/>
      <c r="AB43" s="307" t="n"/>
      <c r="AC43" s="307" t="n"/>
      <c r="AD43" s="307" t="n"/>
      <c r="AE43" s="307" t="n"/>
      <c r="AF43" s="307" t="n"/>
      <c r="AG43" s="307" t="n"/>
      <c r="AH43" s="307" t="n"/>
      <c r="AI43" s="307" t="n"/>
      <c r="AJ43" s="307" t="n"/>
      <c r="AK43" s="307" t="n"/>
      <c r="AL43" s="307" t="n"/>
      <c r="AM43" s="307" t="n"/>
      <c r="AN43" s="307" t="n"/>
      <c r="AO43" s="307" t="n"/>
      <c r="AP43" s="307" t="n"/>
      <c r="AQ43" s="307" t="n"/>
      <c r="AR43" s="307" t="n"/>
    </row>
    <row r="44" ht="15.75" customHeight="1" s="349">
      <c r="A44" s="307" t="n"/>
      <c r="B44" s="307" t="n"/>
      <c r="C44" s="307" t="n"/>
      <c r="D44" s="307" t="n"/>
      <c r="E44" s="307" t="n"/>
      <c r="F44" s="307" t="n"/>
      <c r="G44" s="307" t="n"/>
      <c r="H44" s="307" t="n"/>
      <c r="I44" s="307" t="n"/>
      <c r="J44" s="307" t="n"/>
      <c r="K44" s="307" t="n"/>
      <c r="L44" s="307" t="n"/>
      <c r="M44" s="307" t="n"/>
      <c r="N44" s="307" t="n"/>
      <c r="O44" s="307" t="n"/>
      <c r="P44" s="307" t="n"/>
      <c r="Q44" s="307" t="n"/>
      <c r="R44" s="307" t="n"/>
      <c r="S44" s="307" t="n"/>
      <c r="T44" s="307" t="n"/>
      <c r="U44" s="307" t="n"/>
      <c r="V44" s="307" t="n"/>
      <c r="W44" s="307" t="n"/>
      <c r="X44" s="307" t="n"/>
      <c r="Y44" s="307" t="n"/>
      <c r="Z44" s="307" t="n"/>
      <c r="AA44" s="307" t="n"/>
      <c r="AB44" s="307" t="n"/>
      <c r="AC44" s="307" t="n"/>
      <c r="AD44" s="307" t="n"/>
      <c r="AE44" s="307" t="n"/>
      <c r="AF44" s="307" t="n"/>
      <c r="AG44" s="307" t="n"/>
      <c r="AH44" s="307" t="n"/>
      <c r="AI44" s="307" t="n"/>
      <c r="AJ44" s="307" t="n"/>
      <c r="AK44" s="307" t="n"/>
      <c r="AL44" s="307" t="n"/>
      <c r="AM44" s="307" t="n"/>
      <c r="AN44" s="307" t="n"/>
      <c r="AO44" s="307" t="n"/>
      <c r="AP44" s="307" t="n"/>
      <c r="AQ44" s="307" t="n"/>
      <c r="AR44" s="307" t="n"/>
    </row>
    <row r="45" ht="15.75" customHeight="1" s="349">
      <c r="A45" s="307" t="n"/>
      <c r="B45" s="307" t="n"/>
      <c r="C45" s="307" t="n"/>
      <c r="D45" s="307" t="n"/>
      <c r="E45" s="307" t="n"/>
      <c r="F45" s="307" t="n"/>
      <c r="G45" s="307" t="n"/>
      <c r="H45" s="307" t="n"/>
      <c r="I45" s="307" t="n"/>
      <c r="J45" s="307" t="n"/>
      <c r="K45" s="307" t="n"/>
      <c r="L45" s="307" t="n"/>
      <c r="M45" s="307" t="n"/>
      <c r="N45" s="307" t="n"/>
      <c r="O45" s="307" t="n"/>
      <c r="P45" s="307" t="n"/>
      <c r="Q45" s="307" t="n"/>
      <c r="R45" s="307" t="n"/>
      <c r="S45" s="307" t="n"/>
      <c r="T45" s="307" t="n"/>
      <c r="U45" s="307" t="n"/>
      <c r="V45" s="307" t="n"/>
      <c r="W45" s="307" t="n"/>
      <c r="X45" s="307" t="n"/>
      <c r="Y45" s="307" t="n"/>
      <c r="Z45" s="307" t="n"/>
      <c r="AA45" s="307" t="n"/>
      <c r="AB45" s="307" t="n"/>
      <c r="AC45" s="307" t="n"/>
      <c r="AD45" s="307" t="n"/>
      <c r="AE45" s="307" t="n"/>
      <c r="AF45" s="307" t="n"/>
      <c r="AG45" s="307" t="n"/>
      <c r="AH45" s="307" t="n"/>
      <c r="AI45" s="307" t="n"/>
      <c r="AJ45" s="307" t="n"/>
      <c r="AK45" s="307" t="n"/>
      <c r="AL45" s="307" t="n"/>
      <c r="AM45" s="307" t="n"/>
      <c r="AN45" s="307" t="n"/>
      <c r="AO45" s="307" t="n"/>
      <c r="AP45" s="307" t="n"/>
      <c r="AQ45" s="307" t="n"/>
      <c r="AR45" s="307" t="n"/>
    </row>
    <row r="46" ht="15.75" customHeight="1" s="349">
      <c r="A46" s="307" t="n"/>
      <c r="B46" s="307" t="n"/>
      <c r="C46" s="307" t="n"/>
      <c r="D46" s="307" t="n"/>
      <c r="E46" s="307" t="n"/>
      <c r="F46" s="307" t="n"/>
      <c r="G46" s="307" t="n"/>
      <c r="H46" s="307" t="n"/>
      <c r="I46" s="307" t="n"/>
      <c r="J46" s="307" t="n"/>
      <c r="K46" s="307" t="n"/>
      <c r="L46" s="307" t="n"/>
      <c r="M46" s="307" t="n"/>
      <c r="N46" s="307" t="n"/>
      <c r="O46" s="307" t="n"/>
      <c r="P46" s="307" t="n"/>
      <c r="Q46" s="307" t="n"/>
      <c r="R46" s="307" t="n"/>
      <c r="S46" s="307" t="n"/>
      <c r="T46" s="307" t="n"/>
      <c r="U46" s="307" t="n"/>
      <c r="V46" s="307" t="n"/>
      <c r="W46" s="307" t="n"/>
      <c r="X46" s="307" t="n"/>
      <c r="Y46" s="307" t="n"/>
      <c r="Z46" s="307" t="n"/>
      <c r="AA46" s="307" t="n"/>
      <c r="AB46" s="307" t="n"/>
      <c r="AC46" s="307" t="n"/>
      <c r="AD46" s="307" t="n"/>
      <c r="AE46" s="307" t="n"/>
      <c r="AF46" s="307" t="n"/>
      <c r="AG46" s="307" t="n"/>
      <c r="AH46" s="307" t="n"/>
      <c r="AI46" s="307" t="n"/>
      <c r="AJ46" s="307" t="n"/>
      <c r="AK46" s="307" t="n"/>
      <c r="AL46" s="307" t="n"/>
      <c r="AM46" s="307" t="n"/>
      <c r="AN46" s="307" t="n"/>
      <c r="AO46" s="307" t="n"/>
      <c r="AP46" s="307" t="n"/>
      <c r="AQ46" s="307" t="n"/>
      <c r="AR46" s="307" t="n"/>
    </row>
    <row r="47" ht="15.75" customHeight="1" s="349">
      <c r="A47" s="307" t="n"/>
      <c r="B47" s="307" t="n"/>
      <c r="C47" s="307" t="n"/>
      <c r="D47" s="307" t="n"/>
      <c r="E47" s="307" t="n"/>
      <c r="F47" s="307" t="n"/>
      <c r="G47" s="307" t="n"/>
      <c r="H47" s="307" t="n"/>
      <c r="I47" s="307" t="n"/>
      <c r="J47" s="307" t="n"/>
      <c r="K47" s="307" t="n"/>
      <c r="L47" s="307" t="n"/>
      <c r="M47" s="307" t="n"/>
      <c r="N47" s="307" t="n"/>
      <c r="O47" s="307" t="n"/>
      <c r="P47" s="307" t="n"/>
      <c r="Q47" s="307" t="n"/>
      <c r="R47" s="307" t="n"/>
      <c r="S47" s="307" t="n"/>
      <c r="T47" s="307" t="n"/>
      <c r="U47" s="307" t="n"/>
      <c r="V47" s="307" t="n"/>
      <c r="W47" s="307" t="n"/>
      <c r="X47" s="307" t="n"/>
      <c r="Y47" s="307" t="n"/>
      <c r="Z47" s="307" t="n"/>
      <c r="AA47" s="307" t="n"/>
      <c r="AB47" s="307" t="n"/>
      <c r="AC47" s="307" t="n"/>
      <c r="AD47" s="307" t="n"/>
      <c r="AE47" s="307" t="n"/>
      <c r="AF47" s="307" t="n"/>
      <c r="AG47" s="307" t="n"/>
      <c r="AH47" s="307" t="n"/>
      <c r="AI47" s="307" t="n"/>
      <c r="AJ47" s="307" t="n"/>
      <c r="AK47" s="307" t="n"/>
      <c r="AL47" s="307" t="n"/>
      <c r="AM47" s="307" t="n"/>
      <c r="AN47" s="307" t="n"/>
      <c r="AO47" s="307" t="n"/>
      <c r="AP47" s="307" t="n"/>
      <c r="AQ47" s="307" t="n"/>
      <c r="AR47" s="307" t="n"/>
    </row>
    <row r="48" ht="15.75" customHeight="1" s="349">
      <c r="A48" s="307" t="n"/>
      <c r="B48" s="307" t="n"/>
      <c r="C48" s="307" t="n"/>
      <c r="D48" s="307" t="n"/>
      <c r="E48" s="307" t="n"/>
      <c r="F48" s="307" t="n"/>
      <c r="G48" s="307" t="n"/>
      <c r="H48" s="307" t="n"/>
      <c r="I48" s="307" t="n"/>
      <c r="J48" s="307" t="n"/>
      <c r="K48" s="307" t="n"/>
      <c r="L48" s="307" t="n"/>
      <c r="M48" s="307" t="n"/>
      <c r="N48" s="307" t="n"/>
      <c r="O48" s="307" t="n"/>
      <c r="P48" s="307" t="n"/>
      <c r="Q48" s="307" t="n"/>
      <c r="R48" s="307" t="n"/>
      <c r="S48" s="307" t="n"/>
      <c r="T48" s="307" t="n"/>
      <c r="U48" s="307" t="n"/>
      <c r="V48" s="307" t="n"/>
      <c r="W48" s="307" t="n"/>
      <c r="X48" s="307" t="n"/>
      <c r="Y48" s="307" t="n"/>
      <c r="Z48" s="307" t="n"/>
      <c r="AA48" s="307" t="n"/>
      <c r="AB48" s="307" t="n"/>
      <c r="AC48" s="307" t="n"/>
      <c r="AD48" s="307" t="n"/>
      <c r="AE48" s="307" t="n"/>
      <c r="AF48" s="307" t="n"/>
      <c r="AG48" s="307" t="n"/>
      <c r="AH48" s="307" t="n"/>
      <c r="AI48" s="307" t="n"/>
      <c r="AJ48" s="307" t="n"/>
      <c r="AK48" s="307" t="n"/>
      <c r="AL48" s="307" t="n"/>
      <c r="AM48" s="307" t="n"/>
      <c r="AN48" s="307" t="n"/>
      <c r="AO48" s="307" t="n"/>
      <c r="AP48" s="307" t="n"/>
      <c r="AQ48" s="307" t="n"/>
      <c r="AR48" s="307" t="n"/>
    </row>
    <row r="49" ht="15.75" customHeight="1" s="349">
      <c r="A49" s="307" t="n"/>
      <c r="B49" s="307" t="n"/>
      <c r="C49" s="307" t="n"/>
      <c r="D49" s="307" t="n"/>
      <c r="E49" s="307" t="n"/>
      <c r="F49" s="307" t="n"/>
      <c r="G49" s="307" t="n"/>
      <c r="H49" s="307" t="n"/>
      <c r="I49" s="307" t="n"/>
      <c r="J49" s="307" t="n"/>
      <c r="K49" s="307" t="n"/>
      <c r="L49" s="307" t="n"/>
      <c r="M49" s="307" t="n"/>
      <c r="N49" s="307" t="n"/>
      <c r="O49" s="307" t="n"/>
      <c r="P49" s="307" t="n"/>
      <c r="Q49" s="307" t="n"/>
      <c r="R49" s="307" t="n"/>
      <c r="S49" s="307" t="n"/>
      <c r="T49" s="307" t="n"/>
      <c r="U49" s="307" t="n"/>
      <c r="V49" s="307" t="n"/>
      <c r="W49" s="307" t="n"/>
      <c r="X49" s="307" t="n"/>
      <c r="Y49" s="307" t="n"/>
      <c r="Z49" s="307" t="n"/>
      <c r="AA49" s="307" t="n"/>
      <c r="AB49" s="307" t="n"/>
      <c r="AC49" s="307" t="n"/>
      <c r="AD49" s="307" t="n"/>
      <c r="AE49" s="307" t="n"/>
      <c r="AF49" s="307" t="n"/>
      <c r="AG49" s="307" t="n"/>
      <c r="AH49" s="307" t="n"/>
      <c r="AI49" s="307" t="n"/>
      <c r="AJ49" s="307" t="n"/>
      <c r="AK49" s="307" t="n"/>
      <c r="AL49" s="307" t="n"/>
      <c r="AM49" s="307" t="n"/>
      <c r="AN49" s="307" t="n"/>
      <c r="AO49" s="307" t="n"/>
      <c r="AP49" s="307" t="n"/>
      <c r="AQ49" s="307" t="n"/>
      <c r="AR49" s="307" t="n"/>
    </row>
    <row r="50" ht="15.75" customHeight="1" s="349">
      <c r="A50" s="307" t="n"/>
      <c r="B50" s="307" t="n"/>
      <c r="C50" s="307" t="n"/>
      <c r="D50" s="307" t="n"/>
      <c r="E50" s="307" t="n"/>
      <c r="F50" s="307" t="n"/>
      <c r="G50" s="307" t="n"/>
      <c r="H50" s="307" t="n"/>
      <c r="I50" s="307" t="n"/>
      <c r="J50" s="307" t="n"/>
      <c r="K50" s="307" t="n"/>
      <c r="L50" s="307" t="n"/>
      <c r="M50" s="307" t="n"/>
      <c r="N50" s="307" t="n"/>
      <c r="O50" s="307" t="n"/>
      <c r="P50" s="307" t="n"/>
      <c r="Q50" s="307" t="n"/>
      <c r="R50" s="307" t="n"/>
      <c r="S50" s="307" t="n"/>
      <c r="T50" s="307" t="n"/>
      <c r="U50" s="307" t="n"/>
      <c r="V50" s="307" t="n"/>
      <c r="W50" s="307" t="n"/>
      <c r="X50" s="307" t="n"/>
      <c r="Y50" s="307" t="n"/>
      <c r="Z50" s="307" t="n"/>
      <c r="AA50" s="307" t="n"/>
      <c r="AB50" s="307" t="n"/>
      <c r="AC50" s="307" t="n"/>
      <c r="AD50" s="307" t="n"/>
      <c r="AE50" s="307" t="n"/>
      <c r="AF50" s="307" t="n"/>
      <c r="AG50" s="307" t="n"/>
      <c r="AH50" s="307" t="n"/>
      <c r="AI50" s="307" t="n"/>
      <c r="AJ50" s="307" t="n"/>
      <c r="AK50" s="307" t="n"/>
      <c r="AL50" s="307" t="n"/>
      <c r="AM50" s="307" t="n"/>
      <c r="AN50" s="307" t="n"/>
      <c r="AO50" s="307" t="n"/>
      <c r="AP50" s="307" t="n"/>
      <c r="AQ50" s="307" t="n"/>
      <c r="AR50" s="307" t="n"/>
    </row>
    <row r="51" ht="15.75" customHeight="1" s="349">
      <c r="A51" s="307" t="n"/>
      <c r="B51" s="307" t="n"/>
      <c r="C51" s="307" t="n"/>
      <c r="D51" s="307" t="n"/>
      <c r="E51" s="307" t="n"/>
      <c r="F51" s="307" t="n"/>
      <c r="G51" s="307" t="n"/>
      <c r="H51" s="307" t="n"/>
      <c r="I51" s="307" t="n"/>
      <c r="J51" s="307" t="n"/>
      <c r="K51" s="307" t="n"/>
      <c r="L51" s="307" t="n"/>
      <c r="M51" s="307" t="n"/>
      <c r="N51" s="307" t="n"/>
      <c r="O51" s="307" t="n"/>
      <c r="P51" s="307" t="n"/>
      <c r="Q51" s="307" t="n"/>
      <c r="R51" s="307" t="n"/>
      <c r="S51" s="307" t="n"/>
      <c r="T51" s="307" t="n"/>
      <c r="U51" s="307" t="n"/>
      <c r="V51" s="307" t="n"/>
      <c r="W51" s="307" t="n"/>
      <c r="X51" s="307" t="n"/>
      <c r="Y51" s="307" t="n"/>
      <c r="Z51" s="307" t="n"/>
      <c r="AA51" s="307" t="n"/>
      <c r="AB51" s="307" t="n"/>
      <c r="AC51" s="307" t="n"/>
      <c r="AD51" s="307" t="n"/>
      <c r="AE51" s="307" t="n"/>
      <c r="AF51" s="307" t="n"/>
      <c r="AG51" s="307" t="n"/>
      <c r="AH51" s="307" t="n"/>
      <c r="AI51" s="307" t="n"/>
      <c r="AJ51" s="307" t="n"/>
      <c r="AK51" s="307" t="n"/>
      <c r="AL51" s="307" t="n"/>
      <c r="AM51" s="307" t="n"/>
      <c r="AN51" s="307" t="n"/>
      <c r="AO51" s="307" t="n"/>
      <c r="AP51" s="307" t="n"/>
      <c r="AQ51" s="307" t="n"/>
      <c r="AR51" s="307" t="n"/>
    </row>
    <row r="52" ht="15.75" customHeight="1" s="349">
      <c r="A52" s="307" t="n"/>
      <c r="B52" s="307" t="n"/>
      <c r="C52" s="307" t="n"/>
      <c r="D52" s="307" t="n"/>
      <c r="E52" s="307" t="n"/>
      <c r="F52" s="307" t="n"/>
      <c r="G52" s="307" t="n"/>
      <c r="H52" s="307" t="n"/>
      <c r="I52" s="307" t="n"/>
      <c r="J52" s="307" t="n"/>
      <c r="K52" s="307" t="n"/>
      <c r="L52" s="307" t="n"/>
      <c r="M52" s="307" t="n"/>
      <c r="N52" s="307" t="n"/>
      <c r="O52" s="307" t="n"/>
      <c r="P52" s="307" t="n"/>
      <c r="Q52" s="307" t="n"/>
      <c r="R52" s="307" t="n"/>
      <c r="S52" s="307" t="n"/>
      <c r="T52" s="307" t="n"/>
      <c r="U52" s="307" t="n"/>
      <c r="V52" s="307" t="n"/>
      <c r="W52" s="307" t="n"/>
      <c r="X52" s="307" t="n"/>
      <c r="Y52" s="307" t="n"/>
      <c r="Z52" s="307" t="n"/>
      <c r="AA52" s="307" t="n"/>
      <c r="AB52" s="307" t="n"/>
      <c r="AC52" s="307" t="n"/>
      <c r="AD52" s="307" t="n"/>
      <c r="AE52" s="307" t="n"/>
      <c r="AF52" s="307" t="n"/>
      <c r="AG52" s="307" t="n"/>
      <c r="AH52" s="307" t="n"/>
      <c r="AI52" s="307" t="n"/>
      <c r="AJ52" s="307" t="n"/>
      <c r="AK52" s="307" t="n"/>
      <c r="AL52" s="307" t="n"/>
      <c r="AM52" s="307" t="n"/>
      <c r="AN52" s="307" t="n"/>
      <c r="AO52" s="307" t="n"/>
      <c r="AP52" s="307" t="n"/>
      <c r="AQ52" s="307" t="n"/>
      <c r="AR52" s="307" t="n"/>
    </row>
    <row r="53" ht="15.75" customHeight="1" s="349">
      <c r="A53" s="307" t="n"/>
      <c r="B53" s="307" t="n"/>
      <c r="C53" s="307" t="n"/>
      <c r="D53" s="307" t="n"/>
      <c r="E53" s="307" t="n"/>
      <c r="F53" s="307" t="n"/>
      <c r="G53" s="307" t="n"/>
      <c r="H53" s="307" t="n"/>
      <c r="I53" s="307" t="n"/>
      <c r="J53" s="307" t="n"/>
      <c r="K53" s="307" t="n"/>
      <c r="L53" s="307" t="n"/>
      <c r="M53" s="307" t="n"/>
      <c r="N53" s="307" t="n"/>
      <c r="O53" s="307" t="n"/>
      <c r="P53" s="307" t="n"/>
      <c r="Q53" s="307" t="n"/>
      <c r="R53" s="307" t="n"/>
      <c r="S53" s="307" t="n"/>
      <c r="T53" s="307" t="n"/>
      <c r="U53" s="307" t="n"/>
      <c r="V53" s="307" t="n"/>
      <c r="W53" s="307" t="n"/>
      <c r="X53" s="307" t="n"/>
      <c r="Y53" s="307" t="n"/>
      <c r="Z53" s="307" t="n"/>
      <c r="AA53" s="307" t="n"/>
      <c r="AB53" s="307" t="n"/>
      <c r="AC53" s="307" t="n"/>
      <c r="AD53" s="307" t="n"/>
      <c r="AE53" s="307" t="n"/>
      <c r="AF53" s="307" t="n"/>
      <c r="AG53" s="307" t="n"/>
      <c r="AH53" s="307" t="n"/>
      <c r="AI53" s="307" t="n"/>
      <c r="AJ53" s="307" t="n"/>
      <c r="AK53" s="307" t="n"/>
      <c r="AL53" s="307" t="n"/>
      <c r="AM53" s="307" t="n"/>
      <c r="AN53" s="307" t="n"/>
      <c r="AO53" s="307" t="n"/>
      <c r="AP53" s="307" t="n"/>
      <c r="AQ53" s="307" t="n"/>
      <c r="AR53" s="307" t="n"/>
    </row>
    <row r="54" ht="15.75" customHeight="1" s="349">
      <c r="A54" s="307" t="n"/>
      <c r="B54" s="307" t="n"/>
      <c r="C54" s="307" t="n"/>
      <c r="D54" s="307" t="n"/>
      <c r="E54" s="307" t="n"/>
      <c r="F54" s="307" t="n"/>
      <c r="G54" s="307" t="n"/>
      <c r="H54" s="307" t="n"/>
      <c r="I54" s="307" t="n"/>
      <c r="J54" s="307" t="n"/>
      <c r="K54" s="307" t="n"/>
      <c r="L54" s="307" t="n"/>
      <c r="M54" s="307" t="n"/>
      <c r="N54" s="307" t="n"/>
      <c r="O54" s="307" t="n"/>
      <c r="P54" s="307" t="n"/>
      <c r="Q54" s="307" t="n"/>
      <c r="R54" s="307" t="n"/>
      <c r="S54" s="307" t="n"/>
      <c r="T54" s="307" t="n"/>
      <c r="U54" s="307" t="n"/>
      <c r="V54" s="307" t="n"/>
      <c r="W54" s="307" t="n"/>
      <c r="X54" s="307" t="n"/>
      <c r="Y54" s="307" t="n"/>
      <c r="Z54" s="307" t="n"/>
      <c r="AA54" s="307" t="n"/>
      <c r="AB54" s="307" t="n"/>
      <c r="AC54" s="307" t="n"/>
      <c r="AD54" s="307" t="n"/>
      <c r="AE54" s="307" t="n"/>
      <c r="AF54" s="307" t="n"/>
      <c r="AG54" s="307" t="n"/>
      <c r="AH54" s="307" t="n"/>
      <c r="AI54" s="307" t="n"/>
      <c r="AJ54" s="307" t="n"/>
      <c r="AK54" s="307" t="n"/>
      <c r="AL54" s="307" t="n"/>
      <c r="AM54" s="307" t="n"/>
      <c r="AN54" s="307" t="n"/>
      <c r="AO54" s="307" t="n"/>
      <c r="AP54" s="307" t="n"/>
      <c r="AQ54" s="307" t="n"/>
      <c r="AR54" s="307" t="n"/>
    </row>
    <row r="55" ht="15.75" customHeight="1" s="349">
      <c r="A55" s="307" t="n"/>
      <c r="B55" s="307" t="n"/>
      <c r="C55" s="307" t="n"/>
      <c r="D55" s="307" t="n"/>
      <c r="E55" s="307" t="n"/>
      <c r="F55" s="307" t="n"/>
      <c r="G55" s="307" t="n"/>
      <c r="H55" s="307" t="n"/>
      <c r="I55" s="307" t="n"/>
      <c r="J55" s="307" t="n"/>
      <c r="K55" s="307" t="n"/>
      <c r="L55" s="307" t="n"/>
      <c r="M55" s="307" t="n"/>
      <c r="N55" s="307" t="n"/>
      <c r="O55" s="307" t="n"/>
      <c r="P55" s="307" t="n"/>
      <c r="Q55" s="307" t="n"/>
      <c r="R55" s="307" t="n"/>
      <c r="S55" s="307" t="n"/>
      <c r="T55" s="307" t="n"/>
      <c r="U55" s="307" t="n"/>
      <c r="V55" s="307" t="n"/>
      <c r="W55" s="307" t="n"/>
      <c r="X55" s="307" t="n"/>
      <c r="Y55" s="307" t="n"/>
      <c r="Z55" s="307" t="n"/>
      <c r="AA55" s="307" t="n"/>
      <c r="AB55" s="307" t="n"/>
      <c r="AC55" s="307" t="n"/>
      <c r="AD55" s="307" t="n"/>
      <c r="AE55" s="307" t="n"/>
      <c r="AF55" s="307" t="n"/>
      <c r="AG55" s="307" t="n"/>
      <c r="AH55" s="307" t="n"/>
      <c r="AI55" s="307" t="n"/>
      <c r="AJ55" s="307" t="n"/>
      <c r="AK55" s="307" t="n"/>
      <c r="AL55" s="307" t="n"/>
      <c r="AM55" s="307" t="n"/>
      <c r="AN55" s="307" t="n"/>
      <c r="AO55" s="307" t="n"/>
      <c r="AP55" s="307" t="n"/>
      <c r="AQ55" s="307" t="n"/>
      <c r="AR55" s="307" t="n"/>
    </row>
    <row r="56" ht="15.75" customHeight="1" s="349">
      <c r="A56" s="307" t="n"/>
      <c r="B56" s="307" t="n"/>
      <c r="C56" s="307" t="n"/>
      <c r="D56" s="307" t="n"/>
      <c r="E56" s="307" t="n"/>
      <c r="F56" s="307" t="n"/>
      <c r="G56" s="307" t="n"/>
      <c r="H56" s="307" t="n"/>
      <c r="I56" s="307" t="n"/>
      <c r="J56" s="307" t="n"/>
      <c r="K56" s="307" t="n"/>
      <c r="L56" s="307" t="n"/>
      <c r="M56" s="307" t="n"/>
      <c r="N56" s="307" t="n"/>
      <c r="O56" s="307" t="n"/>
      <c r="P56" s="307" t="n"/>
      <c r="Q56" s="307" t="n"/>
      <c r="R56" s="307" t="n"/>
      <c r="S56" s="307" t="n"/>
      <c r="T56" s="307" t="n"/>
      <c r="U56" s="307" t="n"/>
      <c r="V56" s="307" t="n"/>
      <c r="W56" s="307" t="n"/>
      <c r="X56" s="307" t="n"/>
      <c r="Y56" s="307" t="n"/>
      <c r="Z56" s="307" t="n"/>
      <c r="AA56" s="307" t="n"/>
      <c r="AB56" s="307" t="n"/>
      <c r="AC56" s="307" t="n"/>
      <c r="AD56" s="307" t="n"/>
      <c r="AE56" s="307" t="n"/>
      <c r="AF56" s="307" t="n"/>
      <c r="AG56" s="307" t="n"/>
      <c r="AH56" s="307" t="n"/>
      <c r="AI56" s="307" t="n"/>
      <c r="AJ56" s="307" t="n"/>
      <c r="AK56" s="307" t="n"/>
      <c r="AL56" s="307" t="n"/>
      <c r="AM56" s="307" t="n"/>
      <c r="AN56" s="307" t="n"/>
      <c r="AO56" s="307" t="n"/>
      <c r="AP56" s="307" t="n"/>
      <c r="AQ56" s="307" t="n"/>
      <c r="AR56" s="307" t="n"/>
    </row>
    <row r="57" ht="15.75" customHeight="1" s="349">
      <c r="A57" s="307" t="n"/>
      <c r="B57" s="307" t="n"/>
      <c r="C57" s="307" t="n"/>
      <c r="D57" s="307" t="n"/>
      <c r="E57" s="307" t="n"/>
      <c r="F57" s="307" t="n"/>
      <c r="G57" s="307" t="n"/>
      <c r="H57" s="307" t="n"/>
      <c r="I57" s="307" t="n"/>
      <c r="J57" s="307" t="n"/>
      <c r="K57" s="307" t="n"/>
      <c r="L57" s="307" t="n"/>
      <c r="M57" s="307" t="n"/>
      <c r="N57" s="307" t="n"/>
      <c r="O57" s="307" t="n"/>
      <c r="P57" s="307" t="n"/>
      <c r="Q57" s="307" t="n"/>
      <c r="R57" s="307" t="n"/>
      <c r="S57" s="307" t="n"/>
      <c r="T57" s="307" t="n"/>
      <c r="U57" s="307" t="n"/>
      <c r="V57" s="307" t="n"/>
      <c r="W57" s="307" t="n"/>
      <c r="X57" s="307" t="n"/>
      <c r="Y57" s="307" t="n"/>
      <c r="Z57" s="307" t="n"/>
      <c r="AA57" s="307" t="n"/>
      <c r="AB57" s="307" t="n"/>
      <c r="AC57" s="307" t="n"/>
      <c r="AD57" s="307" t="n"/>
      <c r="AE57" s="307" t="n"/>
      <c r="AF57" s="307" t="n"/>
      <c r="AG57" s="307" t="n"/>
      <c r="AH57" s="307" t="n"/>
      <c r="AI57" s="307" t="n"/>
      <c r="AJ57" s="307" t="n"/>
      <c r="AK57" s="307" t="n"/>
      <c r="AL57" s="307" t="n"/>
      <c r="AM57" s="307" t="n"/>
      <c r="AN57" s="307" t="n"/>
      <c r="AO57" s="307" t="n"/>
      <c r="AP57" s="307" t="n"/>
      <c r="AQ57" s="307" t="n"/>
      <c r="AR57" s="307" t="n"/>
    </row>
    <row r="58" ht="15.75" customHeight="1" s="349">
      <c r="A58" s="307" t="n"/>
      <c r="B58" s="307" t="n"/>
      <c r="C58" s="307" t="n"/>
      <c r="D58" s="307" t="n"/>
      <c r="E58" s="307" t="n"/>
      <c r="F58" s="307" t="n"/>
      <c r="G58" s="307" t="n"/>
      <c r="H58" s="307" t="n"/>
      <c r="I58" s="307" t="n"/>
      <c r="J58" s="307" t="n"/>
      <c r="K58" s="307" t="n"/>
      <c r="L58" s="307" t="n"/>
      <c r="M58" s="307" t="n"/>
      <c r="N58" s="307" t="n"/>
      <c r="O58" s="307" t="n"/>
      <c r="P58" s="307" t="n"/>
      <c r="Q58" s="307" t="n"/>
      <c r="R58" s="307" t="n"/>
      <c r="S58" s="307" t="n"/>
      <c r="T58" s="307" t="n"/>
      <c r="U58" s="307" t="n"/>
      <c r="V58" s="307" t="n"/>
      <c r="W58" s="307" t="n"/>
      <c r="X58" s="307" t="n"/>
      <c r="Y58" s="307" t="n"/>
      <c r="Z58" s="307" t="n"/>
      <c r="AA58" s="307" t="n"/>
      <c r="AB58" s="307" t="n"/>
      <c r="AC58" s="307" t="n"/>
      <c r="AD58" s="307" t="n"/>
      <c r="AE58" s="307" t="n"/>
      <c r="AF58" s="307" t="n"/>
      <c r="AG58" s="307" t="n"/>
      <c r="AH58" s="307" t="n"/>
      <c r="AI58" s="307" t="n"/>
      <c r="AJ58" s="307" t="n"/>
      <c r="AK58" s="307" t="n"/>
      <c r="AL58" s="307" t="n"/>
      <c r="AM58" s="307" t="n"/>
      <c r="AN58" s="307" t="n"/>
      <c r="AO58" s="307" t="n"/>
      <c r="AP58" s="307" t="n"/>
      <c r="AQ58" s="307" t="n"/>
      <c r="AR58" s="307" t="n"/>
    </row>
    <row r="59" ht="15.75" customHeight="1" s="349">
      <c r="A59" s="307" t="n"/>
      <c r="B59" s="307" t="n"/>
      <c r="C59" s="307" t="n"/>
      <c r="D59" s="307" t="n"/>
      <c r="E59" s="307" t="n"/>
      <c r="F59" s="307" t="n"/>
      <c r="G59" s="307" t="n"/>
      <c r="H59" s="307" t="n"/>
      <c r="I59" s="307" t="n"/>
      <c r="J59" s="307" t="n"/>
      <c r="K59" s="307" t="n"/>
      <c r="L59" s="307" t="n"/>
      <c r="M59" s="307" t="n"/>
      <c r="N59" s="307" t="n"/>
      <c r="O59" s="307" t="n"/>
      <c r="P59" s="307" t="n"/>
      <c r="Q59" s="307" t="n"/>
      <c r="R59" s="307" t="n"/>
      <c r="S59" s="307" t="n"/>
      <c r="T59" s="307" t="n"/>
      <c r="U59" s="307" t="n"/>
      <c r="V59" s="307" t="n"/>
      <c r="W59" s="307" t="n"/>
      <c r="X59" s="307" t="n"/>
      <c r="Y59" s="307" t="n"/>
      <c r="Z59" s="307" t="n"/>
      <c r="AA59" s="307" t="n"/>
      <c r="AB59" s="307" t="n"/>
      <c r="AC59" s="307" t="n"/>
      <c r="AD59" s="307" t="n"/>
      <c r="AE59" s="307" t="n"/>
      <c r="AF59" s="307" t="n"/>
      <c r="AG59" s="307" t="n"/>
      <c r="AH59" s="307" t="n"/>
      <c r="AI59" s="307" t="n"/>
      <c r="AJ59" s="307" t="n"/>
      <c r="AK59" s="307" t="n"/>
      <c r="AL59" s="307" t="n"/>
      <c r="AM59" s="307" t="n"/>
      <c r="AN59" s="307" t="n"/>
      <c r="AO59" s="307" t="n"/>
      <c r="AP59" s="307" t="n"/>
      <c r="AQ59" s="307" t="n"/>
      <c r="AR59" s="307" t="n"/>
    </row>
    <row r="60" ht="15.75" customHeight="1" s="349">
      <c r="A60" s="307" t="n"/>
      <c r="B60" s="307" t="n"/>
      <c r="C60" s="307" t="n"/>
      <c r="D60" s="307" t="n"/>
      <c r="E60" s="307" t="n"/>
      <c r="F60" s="307" t="n"/>
      <c r="G60" s="307" t="n"/>
      <c r="H60" s="307" t="n"/>
      <c r="I60" s="307" t="n"/>
      <c r="J60" s="307" t="n"/>
      <c r="K60" s="307" t="n"/>
      <c r="L60" s="307" t="n"/>
      <c r="M60" s="307" t="n"/>
      <c r="N60" s="307" t="n"/>
      <c r="O60" s="307" t="n"/>
      <c r="P60" s="307" t="n"/>
      <c r="Q60" s="307" t="n"/>
      <c r="R60" s="307" t="n"/>
      <c r="S60" s="307" t="n"/>
      <c r="T60" s="307" t="n"/>
      <c r="U60" s="307" t="n"/>
      <c r="V60" s="307" t="n"/>
      <c r="W60" s="307" t="n"/>
      <c r="X60" s="307" t="n"/>
      <c r="Y60" s="307" t="n"/>
      <c r="Z60" s="307" t="n"/>
      <c r="AA60" s="307" t="n"/>
      <c r="AB60" s="307" t="n"/>
      <c r="AC60" s="307" t="n"/>
      <c r="AD60" s="307" t="n"/>
      <c r="AE60" s="307" t="n"/>
      <c r="AF60" s="307" t="n"/>
      <c r="AG60" s="307" t="n"/>
      <c r="AH60" s="307" t="n"/>
      <c r="AI60" s="307" t="n"/>
      <c r="AJ60" s="307" t="n"/>
      <c r="AK60" s="307" t="n"/>
      <c r="AL60" s="307" t="n"/>
      <c r="AM60" s="307" t="n"/>
      <c r="AN60" s="307" t="n"/>
      <c r="AO60" s="307" t="n"/>
      <c r="AP60" s="307" t="n"/>
      <c r="AQ60" s="307" t="n"/>
      <c r="AR60" s="307" t="n"/>
    </row>
    <row r="61" ht="15.75" customHeight="1" s="349">
      <c r="A61" s="307" t="n"/>
      <c r="B61" s="307" t="n"/>
      <c r="C61" s="307" t="n"/>
      <c r="D61" s="307" t="n"/>
      <c r="E61" s="307" t="n"/>
      <c r="F61" s="307" t="n"/>
      <c r="G61" s="307" t="n"/>
      <c r="H61" s="307" t="n"/>
      <c r="I61" s="307" t="n"/>
      <c r="J61" s="307" t="n"/>
      <c r="K61" s="307" t="n"/>
      <c r="L61" s="307" t="n"/>
      <c r="M61" s="307" t="n"/>
      <c r="N61" s="307" t="n"/>
      <c r="O61" s="307" t="n"/>
      <c r="P61" s="307" t="n"/>
      <c r="Q61" s="307" t="n"/>
      <c r="R61" s="307" t="n"/>
      <c r="S61" s="307" t="n"/>
      <c r="T61" s="307" t="n"/>
      <c r="U61" s="307" t="n"/>
      <c r="V61" s="307" t="n"/>
      <c r="W61" s="307" t="n"/>
      <c r="X61" s="307" t="n"/>
      <c r="Y61" s="307" t="n"/>
      <c r="Z61" s="307" t="n"/>
      <c r="AA61" s="307" t="n"/>
      <c r="AB61" s="307" t="n"/>
      <c r="AC61" s="307" t="n"/>
      <c r="AD61" s="307" t="n"/>
      <c r="AE61" s="307" t="n"/>
      <c r="AF61" s="307" t="n"/>
      <c r="AG61" s="307" t="n"/>
      <c r="AH61" s="307" t="n"/>
      <c r="AI61" s="307" t="n"/>
      <c r="AJ61" s="307" t="n"/>
      <c r="AK61" s="307" t="n"/>
      <c r="AL61" s="307" t="n"/>
      <c r="AM61" s="307" t="n"/>
      <c r="AN61" s="307" t="n"/>
      <c r="AO61" s="307" t="n"/>
      <c r="AP61" s="307" t="n"/>
      <c r="AQ61" s="307" t="n"/>
      <c r="AR61" s="307" t="n"/>
    </row>
    <row r="62" ht="15.75" customHeight="1" s="349">
      <c r="A62" s="307" t="n"/>
      <c r="B62" s="307" t="n"/>
      <c r="C62" s="307" t="n"/>
      <c r="D62" s="307" t="n"/>
      <c r="E62" s="307" t="n"/>
      <c r="F62" s="307" t="n"/>
      <c r="G62" s="307" t="n"/>
      <c r="H62" s="307" t="n"/>
      <c r="I62" s="307" t="n"/>
      <c r="J62" s="307" t="n"/>
      <c r="K62" s="307" t="n"/>
      <c r="L62" s="307" t="n"/>
      <c r="M62" s="307" t="n"/>
      <c r="N62" s="307" t="n"/>
      <c r="O62" s="307" t="n"/>
      <c r="P62" s="307" t="n"/>
      <c r="Q62" s="307" t="n"/>
      <c r="R62" s="307" t="n"/>
      <c r="S62" s="307" t="n"/>
      <c r="T62" s="307" t="n"/>
      <c r="U62" s="307" t="n"/>
      <c r="V62" s="307" t="n"/>
      <c r="W62" s="307" t="n"/>
      <c r="X62" s="307" t="n"/>
      <c r="Y62" s="307" t="n"/>
      <c r="Z62" s="307" t="n"/>
      <c r="AA62" s="307" t="n"/>
      <c r="AB62" s="307" t="n"/>
      <c r="AC62" s="307" t="n"/>
      <c r="AD62" s="307" t="n"/>
      <c r="AE62" s="307" t="n"/>
      <c r="AF62" s="307" t="n"/>
      <c r="AG62" s="307" t="n"/>
      <c r="AH62" s="307" t="n"/>
      <c r="AI62" s="307" t="n"/>
      <c r="AJ62" s="307" t="n"/>
      <c r="AK62" s="307" t="n"/>
      <c r="AL62" s="307" t="n"/>
      <c r="AM62" s="307" t="n"/>
      <c r="AN62" s="307" t="n"/>
      <c r="AO62" s="307" t="n"/>
      <c r="AP62" s="307" t="n"/>
      <c r="AQ62" s="307" t="n"/>
      <c r="AR62" s="307" t="n"/>
    </row>
    <row r="63" ht="15.75" customHeight="1" s="349">
      <c r="A63" s="307" t="n"/>
      <c r="B63" s="307" t="n"/>
      <c r="C63" s="307" t="n"/>
      <c r="D63" s="307" t="n"/>
      <c r="E63" s="307" t="n"/>
      <c r="F63" s="307" t="n"/>
      <c r="G63" s="307" t="n"/>
      <c r="H63" s="307" t="n"/>
      <c r="I63" s="307" t="n"/>
      <c r="J63" s="307" t="n"/>
      <c r="K63" s="307" t="n"/>
      <c r="L63" s="307" t="n"/>
      <c r="M63" s="307" t="n"/>
      <c r="N63" s="307" t="n"/>
      <c r="O63" s="307" t="n"/>
      <c r="P63" s="307" t="n"/>
      <c r="Q63" s="307" t="n"/>
      <c r="R63" s="307" t="n"/>
      <c r="S63" s="307" t="n"/>
      <c r="T63" s="307" t="n"/>
      <c r="U63" s="307" t="n"/>
      <c r="V63" s="307" t="n"/>
      <c r="W63" s="307" t="n"/>
      <c r="X63" s="307" t="n"/>
      <c r="Y63" s="307" t="n"/>
      <c r="Z63" s="307" t="n"/>
      <c r="AA63" s="307" t="n"/>
      <c r="AB63" s="307" t="n"/>
      <c r="AC63" s="307" t="n"/>
      <c r="AD63" s="307" t="n"/>
      <c r="AE63" s="307" t="n"/>
      <c r="AF63" s="307" t="n"/>
      <c r="AG63" s="307" t="n"/>
      <c r="AH63" s="307" t="n"/>
      <c r="AI63" s="307" t="n"/>
      <c r="AJ63" s="307" t="n"/>
      <c r="AK63" s="307" t="n"/>
      <c r="AL63" s="307" t="n"/>
      <c r="AM63" s="307" t="n"/>
      <c r="AN63" s="307" t="n"/>
      <c r="AO63" s="307" t="n"/>
      <c r="AP63" s="307" t="n"/>
      <c r="AQ63" s="307" t="n"/>
      <c r="AR63" s="307" t="n"/>
    </row>
    <row r="64" ht="15.75" customHeight="1" s="349">
      <c r="A64" s="307" t="n"/>
      <c r="B64" s="307" t="n"/>
      <c r="C64" s="307" t="n"/>
      <c r="D64" s="307" t="n"/>
      <c r="E64" s="307" t="n"/>
      <c r="F64" s="307" t="n"/>
      <c r="G64" s="307" t="n"/>
      <c r="H64" s="307" t="n"/>
      <c r="I64" s="307" t="n"/>
      <c r="J64" s="307" t="n"/>
      <c r="K64" s="307" t="n"/>
      <c r="L64" s="307" t="n"/>
      <c r="M64" s="307" t="n"/>
      <c r="N64" s="307" t="n"/>
      <c r="O64" s="307" t="n"/>
      <c r="P64" s="307" t="n"/>
      <c r="Q64" s="307" t="n"/>
      <c r="R64" s="307" t="n"/>
      <c r="S64" s="307" t="n"/>
      <c r="T64" s="307" t="n"/>
      <c r="U64" s="307" t="n"/>
      <c r="V64" s="307" t="n"/>
      <c r="W64" s="307" t="n"/>
      <c r="X64" s="307" t="n"/>
      <c r="Y64" s="307" t="n"/>
      <c r="Z64" s="307" t="n"/>
      <c r="AA64" s="307" t="n"/>
      <c r="AB64" s="307" t="n"/>
      <c r="AC64" s="307" t="n"/>
      <c r="AD64" s="307" t="n"/>
      <c r="AE64" s="307" t="n"/>
      <c r="AF64" s="307" t="n"/>
      <c r="AG64" s="307" t="n"/>
      <c r="AH64" s="307" t="n"/>
      <c r="AI64" s="307" t="n"/>
      <c r="AJ64" s="307" t="n"/>
      <c r="AK64" s="307" t="n"/>
      <c r="AL64" s="307" t="n"/>
      <c r="AM64" s="307" t="n"/>
      <c r="AN64" s="307" t="n"/>
      <c r="AO64" s="307" t="n"/>
      <c r="AP64" s="307" t="n"/>
      <c r="AQ64" s="307" t="n"/>
      <c r="AR64" s="307" t="n"/>
    </row>
    <row r="65" ht="15.75" customHeight="1" s="349">
      <c r="A65" s="307" t="n"/>
      <c r="B65" s="307" t="n"/>
      <c r="C65" s="307" t="n"/>
      <c r="D65" s="307" t="n"/>
      <c r="E65" s="307" t="n"/>
      <c r="F65" s="307" t="n"/>
      <c r="G65" s="307" t="n"/>
      <c r="H65" s="307" t="n"/>
      <c r="I65" s="307" t="n"/>
      <c r="J65" s="307" t="n"/>
      <c r="K65" s="307" t="n"/>
      <c r="L65" s="307" t="n"/>
      <c r="M65" s="307" t="n"/>
      <c r="N65" s="307" t="n"/>
      <c r="O65" s="307" t="n"/>
      <c r="P65" s="307" t="n"/>
      <c r="Q65" s="307" t="n"/>
      <c r="R65" s="307" t="n"/>
      <c r="S65" s="307" t="n"/>
      <c r="T65" s="307" t="n"/>
      <c r="U65" s="307" t="n"/>
      <c r="V65" s="307" t="n"/>
      <c r="W65" s="307" t="n"/>
      <c r="X65" s="307" t="n"/>
      <c r="Y65" s="307" t="n"/>
      <c r="Z65" s="307" t="n"/>
      <c r="AA65" s="307" t="n"/>
      <c r="AB65" s="307" t="n"/>
      <c r="AC65" s="307" t="n"/>
      <c r="AD65" s="307" t="n"/>
      <c r="AE65" s="307" t="n"/>
      <c r="AF65" s="307" t="n"/>
      <c r="AG65" s="307" t="n"/>
      <c r="AH65" s="307" t="n"/>
      <c r="AI65" s="307" t="n"/>
      <c r="AJ65" s="307" t="n"/>
      <c r="AK65" s="307" t="n"/>
      <c r="AL65" s="307" t="n"/>
      <c r="AM65" s="307" t="n"/>
      <c r="AN65" s="307" t="n"/>
      <c r="AO65" s="307" t="n"/>
      <c r="AP65" s="307" t="n"/>
      <c r="AQ65" s="307" t="n"/>
      <c r="AR65" s="307" t="n"/>
    </row>
    <row r="66" ht="15.75" customHeight="1" s="349">
      <c r="A66" s="307" t="n"/>
      <c r="B66" s="307" t="n"/>
      <c r="C66" s="307" t="n"/>
      <c r="D66" s="307" t="n"/>
      <c r="E66" s="307" t="n"/>
      <c r="F66" s="307" t="n"/>
      <c r="G66" s="307" t="n"/>
      <c r="H66" s="307" t="n"/>
      <c r="I66" s="307" t="n"/>
      <c r="J66" s="307" t="n"/>
      <c r="K66" s="307" t="n"/>
      <c r="L66" s="307" t="n"/>
      <c r="M66" s="307" t="n"/>
      <c r="N66" s="307" t="n"/>
      <c r="O66" s="307" t="n"/>
      <c r="P66" s="307" t="n"/>
      <c r="Q66" s="307" t="n"/>
      <c r="R66" s="307" t="n"/>
      <c r="S66" s="307" t="n"/>
      <c r="T66" s="307" t="n"/>
      <c r="U66" s="307" t="n"/>
      <c r="V66" s="307" t="n"/>
      <c r="W66" s="307" t="n"/>
      <c r="X66" s="307" t="n"/>
      <c r="Y66" s="307" t="n"/>
      <c r="Z66" s="307" t="n"/>
      <c r="AA66" s="307" t="n"/>
      <c r="AB66" s="307" t="n"/>
      <c r="AC66" s="307" t="n"/>
      <c r="AD66" s="307" t="n"/>
      <c r="AE66" s="307" t="n"/>
      <c r="AF66" s="307" t="n"/>
      <c r="AG66" s="307" t="n"/>
      <c r="AH66" s="307" t="n"/>
      <c r="AI66" s="307" t="n"/>
      <c r="AJ66" s="307" t="n"/>
      <c r="AK66" s="307" t="n"/>
      <c r="AL66" s="307" t="n"/>
      <c r="AM66" s="307" t="n"/>
      <c r="AN66" s="307" t="n"/>
      <c r="AO66" s="307" t="n"/>
      <c r="AP66" s="307" t="n"/>
      <c r="AQ66" s="307" t="n"/>
      <c r="AR66" s="307" t="n"/>
    </row>
    <row r="67" ht="15.75" customHeight="1" s="349">
      <c r="A67" s="307" t="n"/>
      <c r="B67" s="307" t="n"/>
      <c r="C67" s="307" t="n"/>
      <c r="D67" s="307" t="n"/>
      <c r="E67" s="307" t="n"/>
      <c r="F67" s="307" t="n"/>
      <c r="G67" s="307" t="n"/>
      <c r="H67" s="307" t="n"/>
      <c r="I67" s="307" t="n"/>
      <c r="J67" s="307" t="n"/>
      <c r="K67" s="307" t="n"/>
      <c r="L67" s="307" t="n"/>
      <c r="M67" s="307" t="n"/>
      <c r="N67" s="307" t="n"/>
      <c r="O67" s="307" t="n"/>
      <c r="P67" s="307" t="n"/>
      <c r="Q67" s="307" t="n"/>
      <c r="R67" s="307" t="n"/>
      <c r="S67" s="307" t="n"/>
      <c r="T67" s="307" t="n"/>
      <c r="U67" s="307" t="n"/>
      <c r="V67" s="307" t="n"/>
      <c r="W67" s="307" t="n"/>
      <c r="X67" s="307" t="n"/>
      <c r="Y67" s="307" t="n"/>
      <c r="Z67" s="307" t="n"/>
      <c r="AA67" s="307" t="n"/>
      <c r="AB67" s="307" t="n"/>
      <c r="AC67" s="307" t="n"/>
      <c r="AD67" s="307" t="n"/>
      <c r="AE67" s="307" t="n"/>
      <c r="AF67" s="307" t="n"/>
      <c r="AG67" s="307" t="n"/>
      <c r="AH67" s="307" t="n"/>
      <c r="AI67" s="307" t="n"/>
      <c r="AJ67" s="307" t="n"/>
      <c r="AK67" s="307" t="n"/>
      <c r="AL67" s="307" t="n"/>
      <c r="AM67" s="307" t="n"/>
      <c r="AN67" s="307" t="n"/>
      <c r="AO67" s="307" t="n"/>
      <c r="AP67" s="307" t="n"/>
      <c r="AQ67" s="307" t="n"/>
      <c r="AR67" s="307" t="n"/>
    </row>
    <row r="68" ht="15.75" customHeight="1" s="349">
      <c r="A68" s="307" t="n"/>
      <c r="B68" s="307" t="n"/>
      <c r="C68" s="307" t="n"/>
      <c r="D68" s="307" t="n"/>
      <c r="E68" s="307" t="n"/>
      <c r="F68" s="307" t="n"/>
      <c r="G68" s="307" t="n"/>
      <c r="H68" s="307" t="n"/>
      <c r="I68" s="307" t="n"/>
      <c r="J68" s="307" t="n"/>
      <c r="K68" s="307" t="n"/>
      <c r="L68" s="307" t="n"/>
      <c r="M68" s="307" t="n"/>
      <c r="N68" s="307" t="n"/>
      <c r="O68" s="307" t="n"/>
      <c r="P68" s="307" t="n"/>
      <c r="Q68" s="307" t="n"/>
      <c r="R68" s="307" t="n"/>
      <c r="S68" s="307" t="n"/>
      <c r="T68" s="307" t="n"/>
      <c r="U68" s="307" t="n"/>
      <c r="V68" s="307" t="n"/>
      <c r="W68" s="307" t="n"/>
      <c r="X68" s="307" t="n"/>
      <c r="Y68" s="307" t="n"/>
      <c r="Z68" s="307" t="n"/>
      <c r="AA68" s="307" t="n"/>
      <c r="AB68" s="307" t="n"/>
      <c r="AC68" s="307" t="n"/>
      <c r="AD68" s="307" t="n"/>
      <c r="AE68" s="307" t="n"/>
      <c r="AF68" s="307" t="n"/>
      <c r="AG68" s="307" t="n"/>
      <c r="AH68" s="307" t="n"/>
      <c r="AI68" s="307" t="n"/>
      <c r="AJ68" s="307" t="n"/>
      <c r="AK68" s="307" t="n"/>
      <c r="AL68" s="307" t="n"/>
      <c r="AM68" s="307" t="n"/>
      <c r="AN68" s="307" t="n"/>
      <c r="AO68" s="307" t="n"/>
      <c r="AP68" s="307" t="n"/>
      <c r="AQ68" s="307" t="n"/>
      <c r="AR68" s="307" t="n"/>
    </row>
    <row r="69" ht="15.75" customHeight="1" s="349">
      <c r="A69" s="307" t="n"/>
      <c r="B69" s="307" t="n"/>
      <c r="C69" s="307" t="n"/>
      <c r="D69" s="307" t="n"/>
      <c r="E69" s="307" t="n"/>
      <c r="F69" s="307" t="n"/>
      <c r="G69" s="307" t="n"/>
      <c r="H69" s="307" t="n"/>
      <c r="I69" s="307" t="n"/>
      <c r="J69" s="307" t="n"/>
      <c r="K69" s="307" t="n"/>
      <c r="L69" s="307" t="n"/>
      <c r="M69" s="307" t="n"/>
      <c r="N69" s="307" t="n"/>
      <c r="O69" s="307" t="n"/>
      <c r="P69" s="307" t="n"/>
      <c r="Q69" s="307" t="n"/>
      <c r="R69" s="307" t="n"/>
      <c r="S69" s="307" t="n"/>
      <c r="T69" s="307" t="n"/>
      <c r="U69" s="307" t="n"/>
      <c r="V69" s="307" t="n"/>
      <c r="W69" s="307" t="n"/>
      <c r="X69" s="307" t="n"/>
      <c r="Y69" s="307" t="n"/>
      <c r="Z69" s="307" t="n"/>
      <c r="AA69" s="307" t="n"/>
      <c r="AB69" s="307" t="n"/>
      <c r="AC69" s="307" t="n"/>
      <c r="AD69" s="307" t="n"/>
      <c r="AE69" s="307" t="n"/>
      <c r="AF69" s="307" t="n"/>
      <c r="AG69" s="307" t="n"/>
      <c r="AH69" s="307" t="n"/>
      <c r="AI69" s="307" t="n"/>
      <c r="AJ69" s="307" t="n"/>
      <c r="AK69" s="307" t="n"/>
      <c r="AL69" s="307" t="n"/>
      <c r="AM69" s="307" t="n"/>
      <c r="AN69" s="307" t="n"/>
      <c r="AO69" s="307" t="n"/>
      <c r="AP69" s="307" t="n"/>
      <c r="AQ69" s="307" t="n"/>
      <c r="AR69" s="307" t="n"/>
    </row>
    <row r="70" ht="15.75" customHeight="1" s="349">
      <c r="A70" s="307" t="n"/>
      <c r="B70" s="307" t="n"/>
      <c r="C70" s="307" t="n"/>
      <c r="D70" s="307" t="n"/>
      <c r="E70" s="307" t="n"/>
      <c r="F70" s="307" t="n"/>
      <c r="G70" s="307" t="n"/>
      <c r="H70" s="307" t="n"/>
      <c r="I70" s="307" t="n"/>
      <c r="J70" s="307" t="n"/>
      <c r="K70" s="307" t="n"/>
      <c r="L70" s="307" t="n"/>
      <c r="M70" s="307" t="n"/>
      <c r="N70" s="307" t="n"/>
      <c r="O70" s="307" t="n"/>
      <c r="P70" s="307" t="n"/>
      <c r="Q70" s="307" t="n"/>
      <c r="R70" s="307" t="n"/>
      <c r="S70" s="307" t="n"/>
      <c r="T70" s="307" t="n"/>
      <c r="U70" s="307" t="n"/>
      <c r="V70" s="307" t="n"/>
      <c r="W70" s="307" t="n"/>
      <c r="X70" s="307" t="n"/>
      <c r="Y70" s="307" t="n"/>
      <c r="Z70" s="307" t="n"/>
      <c r="AA70" s="307" t="n"/>
      <c r="AB70" s="307" t="n"/>
      <c r="AC70" s="307" t="n"/>
      <c r="AD70" s="307" t="n"/>
      <c r="AE70" s="307" t="n"/>
      <c r="AF70" s="307" t="n"/>
      <c r="AG70" s="307" t="n"/>
      <c r="AH70" s="307" t="n"/>
      <c r="AI70" s="307" t="n"/>
      <c r="AJ70" s="307" t="n"/>
      <c r="AK70" s="307" t="n"/>
      <c r="AL70" s="307" t="n"/>
      <c r="AM70" s="307" t="n"/>
      <c r="AN70" s="307" t="n"/>
      <c r="AO70" s="307" t="n"/>
      <c r="AP70" s="307" t="n"/>
      <c r="AQ70" s="307" t="n"/>
      <c r="AR70" s="307" t="n"/>
    </row>
    <row r="71" ht="15.75" customHeight="1" s="349">
      <c r="A71" s="307" t="n"/>
      <c r="B71" s="307" t="n"/>
      <c r="C71" s="307" t="n"/>
      <c r="D71" s="307" t="n"/>
      <c r="E71" s="307" t="n"/>
      <c r="F71" s="307" t="n"/>
      <c r="G71" s="307" t="n"/>
      <c r="H71" s="307" t="n"/>
      <c r="I71" s="307" t="n"/>
      <c r="J71" s="307" t="n"/>
      <c r="K71" s="307" t="n"/>
      <c r="L71" s="307" t="n"/>
      <c r="M71" s="307" t="n"/>
      <c r="N71" s="307" t="n"/>
      <c r="O71" s="307" t="n"/>
      <c r="P71" s="307" t="n"/>
      <c r="Q71" s="307" t="n"/>
      <c r="R71" s="307" t="n"/>
      <c r="S71" s="307" t="n"/>
      <c r="T71" s="307" t="n"/>
      <c r="U71" s="307" t="n"/>
      <c r="V71" s="307" t="n"/>
      <c r="W71" s="307" t="n"/>
      <c r="X71" s="307" t="n"/>
      <c r="Y71" s="307" t="n"/>
      <c r="Z71" s="307" t="n"/>
      <c r="AA71" s="307" t="n"/>
      <c r="AB71" s="307" t="n"/>
      <c r="AC71" s="307" t="n"/>
      <c r="AD71" s="307" t="n"/>
      <c r="AE71" s="307" t="n"/>
      <c r="AF71" s="307" t="n"/>
      <c r="AG71" s="307" t="n"/>
      <c r="AH71" s="307" t="n"/>
      <c r="AI71" s="307" t="n"/>
      <c r="AJ71" s="307" t="n"/>
      <c r="AK71" s="307" t="n"/>
      <c r="AL71" s="307" t="n"/>
      <c r="AM71" s="307" t="n"/>
      <c r="AN71" s="307" t="n"/>
      <c r="AO71" s="307" t="n"/>
      <c r="AP71" s="307" t="n"/>
      <c r="AQ71" s="307" t="n"/>
      <c r="AR71" s="307" t="n"/>
    </row>
    <row r="72" ht="15.75" customHeight="1" s="349">
      <c r="A72" s="307" t="n"/>
      <c r="B72" s="307" t="n"/>
      <c r="C72" s="307" t="n"/>
      <c r="D72" s="307" t="n"/>
      <c r="E72" s="307" t="n"/>
      <c r="F72" s="307" t="n"/>
      <c r="G72" s="307" t="n"/>
      <c r="H72" s="307" t="n"/>
      <c r="I72" s="307" t="n"/>
      <c r="J72" s="307" t="n"/>
      <c r="K72" s="307" t="n"/>
      <c r="L72" s="307" t="n"/>
      <c r="M72" s="307" t="n"/>
      <c r="N72" s="307" t="n"/>
      <c r="O72" s="307" t="n"/>
      <c r="P72" s="307" t="n"/>
      <c r="Q72" s="307" t="n"/>
      <c r="R72" s="307" t="n"/>
      <c r="S72" s="307" t="n"/>
      <c r="T72" s="307" t="n"/>
      <c r="U72" s="307" t="n"/>
      <c r="V72" s="307" t="n"/>
      <c r="W72" s="307" t="n"/>
      <c r="X72" s="307" t="n"/>
      <c r="Y72" s="307" t="n"/>
      <c r="Z72" s="307" t="n"/>
      <c r="AA72" s="307" t="n"/>
      <c r="AB72" s="307" t="n"/>
      <c r="AC72" s="307" t="n"/>
      <c r="AD72" s="307" t="n"/>
      <c r="AE72" s="307" t="n"/>
      <c r="AF72" s="307" t="n"/>
      <c r="AG72" s="307" t="n"/>
      <c r="AH72" s="307" t="n"/>
      <c r="AI72" s="307" t="n"/>
      <c r="AJ72" s="307" t="n"/>
      <c r="AK72" s="307" t="n"/>
      <c r="AL72" s="307" t="n"/>
      <c r="AM72" s="307" t="n"/>
      <c r="AN72" s="307" t="n"/>
      <c r="AO72" s="307" t="n"/>
      <c r="AP72" s="307" t="n"/>
      <c r="AQ72" s="307" t="n"/>
      <c r="AR72" s="307" t="n"/>
    </row>
    <row r="73" ht="15.75" customHeight="1" s="349">
      <c r="A73" s="307" t="n"/>
      <c r="B73" s="307" t="n"/>
      <c r="C73" s="307" t="n"/>
      <c r="D73" s="307" t="n"/>
      <c r="E73" s="307" t="n"/>
      <c r="F73" s="307" t="n"/>
      <c r="G73" s="307" t="n"/>
      <c r="H73" s="307" t="n"/>
      <c r="I73" s="307" t="n"/>
      <c r="J73" s="307" t="n"/>
      <c r="K73" s="307" t="n"/>
      <c r="L73" s="307" t="n"/>
      <c r="M73" s="307" t="n"/>
      <c r="N73" s="307" t="n"/>
      <c r="O73" s="307" t="n"/>
      <c r="P73" s="307" t="n"/>
      <c r="Q73" s="307" t="n"/>
      <c r="R73" s="307" t="n"/>
      <c r="S73" s="307" t="n"/>
      <c r="T73" s="307" t="n"/>
      <c r="U73" s="307" t="n"/>
      <c r="V73" s="307" t="n"/>
      <c r="W73" s="307" t="n"/>
      <c r="X73" s="307" t="n"/>
      <c r="Y73" s="307" t="n"/>
      <c r="Z73" s="307" t="n"/>
      <c r="AA73" s="307" t="n"/>
      <c r="AB73" s="307" t="n"/>
      <c r="AC73" s="307" t="n"/>
      <c r="AD73" s="307" t="n"/>
      <c r="AE73" s="307" t="n"/>
      <c r="AF73" s="307" t="n"/>
      <c r="AG73" s="307" t="n"/>
      <c r="AH73" s="307" t="n"/>
      <c r="AI73" s="307" t="n"/>
      <c r="AJ73" s="307" t="n"/>
      <c r="AK73" s="307" t="n"/>
      <c r="AL73" s="307" t="n"/>
      <c r="AM73" s="307" t="n"/>
      <c r="AN73" s="307" t="n"/>
      <c r="AO73" s="307" t="n"/>
      <c r="AP73" s="307" t="n"/>
      <c r="AQ73" s="307" t="n"/>
      <c r="AR73" s="307" t="n"/>
    </row>
    <row r="74" ht="15.75" customHeight="1" s="349">
      <c r="A74" s="307" t="n"/>
      <c r="B74" s="307" t="n"/>
      <c r="C74" s="307" t="n"/>
      <c r="D74" s="307" t="n"/>
      <c r="E74" s="307" t="n"/>
      <c r="F74" s="307" t="n"/>
      <c r="G74" s="307" t="n"/>
      <c r="H74" s="307" t="n"/>
      <c r="I74" s="307" t="n"/>
      <c r="J74" s="307" t="n"/>
      <c r="K74" s="307" t="n"/>
      <c r="L74" s="307" t="n"/>
      <c r="M74" s="307" t="n"/>
      <c r="N74" s="307" t="n"/>
      <c r="O74" s="307" t="n"/>
      <c r="P74" s="307" t="n"/>
      <c r="Q74" s="307" t="n"/>
      <c r="R74" s="307" t="n"/>
      <c r="S74" s="307" t="n"/>
      <c r="T74" s="307" t="n"/>
      <c r="U74" s="307" t="n"/>
      <c r="V74" s="307" t="n"/>
      <c r="W74" s="307" t="n"/>
      <c r="X74" s="307" t="n"/>
      <c r="Y74" s="307" t="n"/>
      <c r="Z74" s="307" t="n"/>
      <c r="AA74" s="307" t="n"/>
      <c r="AB74" s="307" t="n"/>
      <c r="AC74" s="307" t="n"/>
      <c r="AD74" s="307" t="n"/>
      <c r="AE74" s="307" t="n"/>
      <c r="AF74" s="307" t="n"/>
      <c r="AG74" s="307" t="n"/>
      <c r="AH74" s="307" t="n"/>
      <c r="AI74" s="307" t="n"/>
      <c r="AJ74" s="307" t="n"/>
      <c r="AK74" s="307" t="n"/>
      <c r="AL74" s="307" t="n"/>
      <c r="AM74" s="307" t="n"/>
      <c r="AN74" s="307" t="n"/>
      <c r="AO74" s="307" t="n"/>
      <c r="AP74" s="307" t="n"/>
      <c r="AQ74" s="307" t="n"/>
      <c r="AR74" s="307" t="n"/>
    </row>
    <row r="75" ht="15.75" customHeight="1" s="349">
      <c r="A75" s="307" t="n"/>
      <c r="B75" s="307" t="n"/>
      <c r="C75" s="307" t="n"/>
      <c r="D75" s="307" t="n"/>
      <c r="E75" s="307" t="n"/>
      <c r="F75" s="307" t="n"/>
      <c r="G75" s="307" t="n"/>
      <c r="H75" s="307" t="n"/>
      <c r="I75" s="307" t="n"/>
      <c r="J75" s="307" t="n"/>
      <c r="K75" s="307" t="n"/>
      <c r="L75" s="307" t="n"/>
      <c r="M75" s="307" t="n"/>
      <c r="N75" s="307" t="n"/>
      <c r="O75" s="307" t="n"/>
      <c r="P75" s="307" t="n"/>
      <c r="Q75" s="307" t="n"/>
      <c r="R75" s="307" t="n"/>
      <c r="S75" s="307" t="n"/>
      <c r="T75" s="307" t="n"/>
      <c r="U75" s="307" t="n"/>
      <c r="V75" s="307" t="n"/>
      <c r="W75" s="307" t="n"/>
      <c r="X75" s="307" t="n"/>
      <c r="Y75" s="307" t="n"/>
      <c r="Z75" s="307" t="n"/>
      <c r="AA75" s="307" t="n"/>
      <c r="AB75" s="307" t="n"/>
      <c r="AC75" s="307" t="n"/>
      <c r="AD75" s="307" t="n"/>
      <c r="AE75" s="307" t="n"/>
      <c r="AF75" s="307" t="n"/>
      <c r="AG75" s="307" t="n"/>
      <c r="AH75" s="307" t="n"/>
      <c r="AI75" s="307" t="n"/>
      <c r="AJ75" s="307" t="n"/>
      <c r="AK75" s="307" t="n"/>
      <c r="AL75" s="307" t="n"/>
      <c r="AM75" s="307" t="n"/>
      <c r="AN75" s="307" t="n"/>
      <c r="AO75" s="307" t="n"/>
      <c r="AP75" s="307" t="n"/>
      <c r="AQ75" s="307" t="n"/>
      <c r="AR75" s="307" t="n"/>
    </row>
    <row r="76" ht="15.75" customHeight="1" s="349">
      <c r="A76" s="307" t="n"/>
      <c r="B76" s="307" t="n"/>
      <c r="C76" s="307" t="n"/>
      <c r="D76" s="307" t="n"/>
      <c r="E76" s="307" t="n"/>
      <c r="F76" s="307" t="n"/>
      <c r="G76" s="307" t="n"/>
      <c r="H76" s="307" t="n"/>
      <c r="I76" s="307" t="n"/>
      <c r="J76" s="307" t="n"/>
      <c r="K76" s="307" t="n"/>
      <c r="L76" s="307" t="n"/>
      <c r="M76" s="307" t="n"/>
      <c r="N76" s="307" t="n"/>
      <c r="O76" s="307" t="n"/>
      <c r="P76" s="307" t="n"/>
      <c r="Q76" s="307" t="n"/>
      <c r="R76" s="307" t="n"/>
      <c r="S76" s="307" t="n"/>
      <c r="T76" s="307" t="n"/>
      <c r="U76" s="307" t="n"/>
      <c r="V76" s="307" t="n"/>
      <c r="W76" s="307" t="n"/>
      <c r="X76" s="307" t="n"/>
      <c r="Y76" s="307" t="n"/>
      <c r="Z76" s="307" t="n"/>
      <c r="AA76" s="307" t="n"/>
      <c r="AB76" s="307" t="n"/>
      <c r="AC76" s="307" t="n"/>
      <c r="AD76" s="307" t="n"/>
      <c r="AE76" s="307" t="n"/>
      <c r="AF76" s="307" t="n"/>
      <c r="AG76" s="307" t="n"/>
      <c r="AH76" s="307" t="n"/>
      <c r="AI76" s="307" t="n"/>
      <c r="AJ76" s="307" t="n"/>
      <c r="AK76" s="307" t="n"/>
      <c r="AL76" s="307" t="n"/>
      <c r="AM76" s="307" t="n"/>
      <c r="AN76" s="307" t="n"/>
      <c r="AO76" s="307" t="n"/>
      <c r="AP76" s="307" t="n"/>
      <c r="AQ76" s="307" t="n"/>
      <c r="AR76" s="307" t="n"/>
    </row>
    <row r="77" ht="15.75" customHeight="1" s="349">
      <c r="A77" s="307" t="n"/>
      <c r="B77" s="307" t="n"/>
      <c r="C77" s="307" t="n"/>
      <c r="D77" s="307" t="n"/>
      <c r="E77" s="307" t="n"/>
      <c r="F77" s="307" t="n"/>
      <c r="G77" s="307" t="n"/>
      <c r="H77" s="307" t="n"/>
      <c r="I77" s="307" t="n"/>
      <c r="J77" s="307" t="n"/>
      <c r="K77" s="307" t="n"/>
      <c r="L77" s="307" t="n"/>
      <c r="M77" s="307" t="n"/>
      <c r="N77" s="307" t="n"/>
      <c r="O77" s="307" t="n"/>
      <c r="P77" s="307" t="n"/>
      <c r="Q77" s="307" t="n"/>
      <c r="R77" s="307" t="n"/>
      <c r="S77" s="307" t="n"/>
      <c r="T77" s="307" t="n"/>
      <c r="U77" s="307" t="n"/>
      <c r="V77" s="307" t="n"/>
      <c r="W77" s="307" t="n"/>
      <c r="X77" s="307" t="n"/>
      <c r="Y77" s="307" t="n"/>
      <c r="Z77" s="307" t="n"/>
      <c r="AA77" s="307" t="n"/>
      <c r="AB77" s="307" t="n"/>
      <c r="AC77" s="307" t="n"/>
      <c r="AD77" s="307" t="n"/>
      <c r="AE77" s="307" t="n"/>
      <c r="AF77" s="307" t="n"/>
      <c r="AG77" s="307" t="n"/>
      <c r="AH77" s="307" t="n"/>
      <c r="AI77" s="307" t="n"/>
      <c r="AJ77" s="307" t="n"/>
      <c r="AK77" s="307" t="n"/>
      <c r="AL77" s="307" t="n"/>
      <c r="AM77" s="307" t="n"/>
      <c r="AN77" s="307" t="n"/>
      <c r="AO77" s="307" t="n"/>
      <c r="AP77" s="307" t="n"/>
      <c r="AQ77" s="307" t="n"/>
      <c r="AR77" s="307" t="n"/>
    </row>
    <row r="78" ht="15.75" customHeight="1" s="349">
      <c r="A78" s="307" t="n"/>
      <c r="B78" s="307" t="n"/>
      <c r="C78" s="307" t="n"/>
      <c r="D78" s="307" t="n"/>
      <c r="E78" s="307" t="n"/>
      <c r="F78" s="307" t="n"/>
      <c r="G78" s="307" t="n"/>
      <c r="H78" s="307" t="n"/>
      <c r="I78" s="307" t="n"/>
      <c r="J78" s="307" t="n"/>
      <c r="K78" s="307" t="n"/>
      <c r="L78" s="307" t="n"/>
      <c r="M78" s="307" t="n"/>
      <c r="N78" s="307" t="n"/>
      <c r="O78" s="307" t="n"/>
      <c r="P78" s="307" t="n"/>
      <c r="Q78" s="307" t="n"/>
      <c r="R78" s="307" t="n"/>
      <c r="S78" s="307" t="n"/>
      <c r="T78" s="307" t="n"/>
      <c r="U78" s="307" t="n"/>
      <c r="V78" s="307" t="n"/>
      <c r="W78" s="307" t="n"/>
      <c r="X78" s="307" t="n"/>
      <c r="Y78" s="307" t="n"/>
      <c r="Z78" s="307" t="n"/>
      <c r="AA78" s="307" t="n"/>
      <c r="AB78" s="307" t="n"/>
      <c r="AC78" s="307" t="n"/>
      <c r="AD78" s="307" t="n"/>
      <c r="AE78" s="307" t="n"/>
      <c r="AF78" s="307" t="n"/>
      <c r="AG78" s="307" t="n"/>
      <c r="AH78" s="307" t="n"/>
      <c r="AI78" s="307" t="n"/>
      <c r="AJ78" s="307" t="n"/>
      <c r="AK78" s="307" t="n"/>
      <c r="AL78" s="307" t="n"/>
      <c r="AM78" s="307" t="n"/>
      <c r="AN78" s="307" t="n"/>
      <c r="AO78" s="307" t="n"/>
      <c r="AP78" s="307" t="n"/>
      <c r="AQ78" s="307" t="n"/>
      <c r="AR78" s="307" t="n"/>
    </row>
    <row r="79" ht="15.75" customHeight="1" s="349">
      <c r="A79" s="307" t="n"/>
      <c r="B79" s="307" t="n"/>
      <c r="C79" s="307" t="n"/>
      <c r="D79" s="307" t="n"/>
      <c r="E79" s="307" t="n"/>
      <c r="F79" s="307" t="n"/>
      <c r="G79" s="307" t="n"/>
      <c r="H79" s="307" t="n"/>
      <c r="I79" s="307" t="n"/>
      <c r="J79" s="307" t="n"/>
      <c r="K79" s="307" t="n"/>
      <c r="L79" s="307" t="n"/>
      <c r="M79" s="307" t="n"/>
      <c r="N79" s="307" t="n"/>
      <c r="O79" s="307" t="n"/>
      <c r="P79" s="307" t="n"/>
      <c r="Q79" s="307" t="n"/>
      <c r="R79" s="307" t="n"/>
      <c r="S79" s="307" t="n"/>
      <c r="T79" s="307" t="n"/>
      <c r="U79" s="307" t="n"/>
      <c r="V79" s="307" t="n"/>
      <c r="W79" s="307" t="n"/>
      <c r="X79" s="307" t="n"/>
      <c r="Y79" s="307" t="n"/>
      <c r="Z79" s="307" t="n"/>
      <c r="AA79" s="307" t="n"/>
      <c r="AB79" s="307" t="n"/>
      <c r="AC79" s="307" t="n"/>
      <c r="AD79" s="307" t="n"/>
      <c r="AE79" s="307" t="n"/>
      <c r="AF79" s="307" t="n"/>
      <c r="AG79" s="307" t="n"/>
      <c r="AH79" s="307" t="n"/>
      <c r="AI79" s="307" t="n"/>
      <c r="AJ79" s="307" t="n"/>
      <c r="AK79" s="307" t="n"/>
      <c r="AL79" s="307" t="n"/>
      <c r="AM79" s="307" t="n"/>
      <c r="AN79" s="307" t="n"/>
      <c r="AO79" s="307" t="n"/>
      <c r="AP79" s="307" t="n"/>
      <c r="AQ79" s="307" t="n"/>
      <c r="AR79" s="307" t="n"/>
    </row>
    <row r="80" ht="15.75" customHeight="1" s="349">
      <c r="A80" s="307" t="n"/>
      <c r="B80" s="307" t="n"/>
      <c r="C80" s="307" t="n"/>
      <c r="D80" s="307" t="n"/>
      <c r="E80" s="307" t="n"/>
      <c r="F80" s="307" t="n"/>
      <c r="G80" s="307" t="n"/>
      <c r="H80" s="307" t="n"/>
      <c r="I80" s="307" t="n"/>
      <c r="J80" s="307" t="n"/>
      <c r="K80" s="307" t="n"/>
      <c r="L80" s="307" t="n"/>
      <c r="M80" s="307" t="n"/>
      <c r="N80" s="307" t="n"/>
      <c r="O80" s="307" t="n"/>
      <c r="P80" s="307" t="n"/>
      <c r="Q80" s="307" t="n"/>
      <c r="R80" s="307" t="n"/>
      <c r="S80" s="307" t="n"/>
      <c r="T80" s="307" t="n"/>
      <c r="U80" s="307" t="n"/>
      <c r="V80" s="307" t="n"/>
      <c r="W80" s="307" t="n"/>
      <c r="X80" s="307" t="n"/>
      <c r="Y80" s="307" t="n"/>
      <c r="Z80" s="307" t="n"/>
      <c r="AA80" s="307" t="n"/>
      <c r="AB80" s="307" t="n"/>
      <c r="AC80" s="307" t="n"/>
      <c r="AD80" s="307" t="n"/>
      <c r="AE80" s="307" t="n"/>
      <c r="AF80" s="307" t="n"/>
      <c r="AG80" s="307" t="n"/>
      <c r="AH80" s="307" t="n"/>
      <c r="AI80" s="307" t="n"/>
      <c r="AJ80" s="307" t="n"/>
      <c r="AK80" s="307" t="n"/>
      <c r="AL80" s="307" t="n"/>
      <c r="AM80" s="307" t="n"/>
      <c r="AN80" s="307" t="n"/>
      <c r="AO80" s="307" t="n"/>
      <c r="AP80" s="307" t="n"/>
      <c r="AQ80" s="307" t="n"/>
      <c r="AR80" s="307" t="n"/>
    </row>
    <row r="81" ht="15.75" customHeight="1" s="349">
      <c r="A81" s="307" t="n"/>
      <c r="B81" s="307" t="n"/>
      <c r="C81" s="307" t="n"/>
      <c r="D81" s="307" t="n"/>
      <c r="E81" s="307" t="n"/>
      <c r="F81" s="307" t="n"/>
      <c r="G81" s="307" t="n"/>
      <c r="H81" s="307" t="n"/>
      <c r="I81" s="307" t="n"/>
      <c r="J81" s="307" t="n"/>
      <c r="K81" s="307" t="n"/>
      <c r="L81" s="307" t="n"/>
      <c r="M81" s="307" t="n"/>
      <c r="N81" s="307" t="n"/>
      <c r="O81" s="307" t="n"/>
      <c r="P81" s="307" t="n"/>
      <c r="Q81" s="307" t="n"/>
      <c r="R81" s="307" t="n"/>
      <c r="S81" s="307" t="n"/>
      <c r="T81" s="307" t="n"/>
      <c r="U81" s="307" t="n"/>
      <c r="V81" s="307" t="n"/>
      <c r="W81" s="307" t="n"/>
      <c r="X81" s="307" t="n"/>
      <c r="Y81" s="307" t="n"/>
      <c r="Z81" s="307" t="n"/>
      <c r="AA81" s="307" t="n"/>
      <c r="AB81" s="307" t="n"/>
      <c r="AC81" s="307" t="n"/>
      <c r="AD81" s="307" t="n"/>
      <c r="AE81" s="307" t="n"/>
      <c r="AF81" s="307" t="n"/>
      <c r="AG81" s="307" t="n"/>
      <c r="AH81" s="307" t="n"/>
      <c r="AI81" s="307" t="n"/>
      <c r="AJ81" s="307" t="n"/>
      <c r="AK81" s="307" t="n"/>
      <c r="AL81" s="307" t="n"/>
      <c r="AM81" s="307" t="n"/>
      <c r="AN81" s="307" t="n"/>
      <c r="AO81" s="307" t="n"/>
      <c r="AP81" s="307" t="n"/>
      <c r="AQ81" s="307" t="n"/>
      <c r="AR81" s="307" t="n"/>
    </row>
    <row r="82" ht="15.75" customHeight="1" s="349">
      <c r="A82" s="307" t="n"/>
      <c r="B82" s="307" t="n"/>
      <c r="C82" s="307" t="n"/>
      <c r="D82" s="307" t="n"/>
      <c r="E82" s="307" t="n"/>
      <c r="F82" s="307" t="n"/>
      <c r="G82" s="307" t="n"/>
      <c r="H82" s="307" t="n"/>
      <c r="I82" s="307" t="n"/>
      <c r="J82" s="307" t="n"/>
      <c r="K82" s="307" t="n"/>
      <c r="L82" s="307" t="n"/>
      <c r="M82" s="307" t="n"/>
      <c r="N82" s="307" t="n"/>
      <c r="O82" s="307" t="n"/>
      <c r="P82" s="307" t="n"/>
      <c r="Q82" s="307" t="n"/>
      <c r="R82" s="307" t="n"/>
      <c r="S82" s="307" t="n"/>
      <c r="T82" s="307" t="n"/>
      <c r="U82" s="307" t="n"/>
      <c r="V82" s="307" t="n"/>
      <c r="W82" s="307" t="n"/>
      <c r="X82" s="307" t="n"/>
      <c r="Y82" s="307" t="n"/>
      <c r="Z82" s="307" t="n"/>
      <c r="AA82" s="307" t="n"/>
      <c r="AB82" s="307" t="n"/>
      <c r="AC82" s="307" t="n"/>
      <c r="AD82" s="307" t="n"/>
      <c r="AE82" s="307" t="n"/>
      <c r="AF82" s="307" t="n"/>
      <c r="AG82" s="307" t="n"/>
      <c r="AH82" s="307" t="n"/>
      <c r="AI82" s="307" t="n"/>
      <c r="AJ82" s="307" t="n"/>
      <c r="AK82" s="307" t="n"/>
      <c r="AL82" s="307" t="n"/>
      <c r="AM82" s="307" t="n"/>
      <c r="AN82" s="307" t="n"/>
      <c r="AO82" s="307" t="n"/>
      <c r="AP82" s="307" t="n"/>
      <c r="AQ82" s="307" t="n"/>
      <c r="AR82" s="307" t="n"/>
    </row>
    <row r="83" ht="15.75" customHeight="1" s="349">
      <c r="A83" s="307" t="n"/>
      <c r="B83" s="307" t="n"/>
      <c r="C83" s="307" t="n"/>
      <c r="D83" s="307" t="n"/>
      <c r="E83" s="307" t="n"/>
      <c r="F83" s="307" t="n"/>
      <c r="G83" s="307" t="n"/>
      <c r="H83" s="307" t="n"/>
      <c r="I83" s="307" t="n"/>
      <c r="J83" s="307" t="n"/>
      <c r="K83" s="307" t="n"/>
      <c r="L83" s="307" t="n"/>
      <c r="M83" s="307" t="n"/>
      <c r="N83" s="307" t="n"/>
      <c r="O83" s="307" t="n"/>
      <c r="P83" s="307" t="n"/>
      <c r="Q83" s="307" t="n"/>
      <c r="R83" s="307" t="n"/>
      <c r="S83" s="307" t="n"/>
      <c r="T83" s="307" t="n"/>
      <c r="U83" s="307" t="n"/>
      <c r="V83" s="307" t="n"/>
      <c r="W83" s="307" t="n"/>
      <c r="X83" s="307" t="n"/>
      <c r="Y83" s="307" t="n"/>
      <c r="Z83" s="307" t="n"/>
      <c r="AA83" s="307" t="n"/>
      <c r="AB83" s="307" t="n"/>
      <c r="AC83" s="307" t="n"/>
      <c r="AD83" s="307" t="n"/>
      <c r="AE83" s="307" t="n"/>
      <c r="AF83" s="307" t="n"/>
      <c r="AG83" s="307" t="n"/>
      <c r="AH83" s="307" t="n"/>
      <c r="AI83" s="307" t="n"/>
      <c r="AJ83" s="307" t="n"/>
      <c r="AK83" s="307" t="n"/>
      <c r="AL83" s="307" t="n"/>
      <c r="AM83" s="307" t="n"/>
      <c r="AN83" s="307" t="n"/>
      <c r="AO83" s="307" t="n"/>
      <c r="AP83" s="307" t="n"/>
      <c r="AQ83" s="307" t="n"/>
      <c r="AR83" s="307" t="n"/>
    </row>
    <row r="84" ht="15.75" customHeight="1" s="349">
      <c r="A84" s="307" t="n"/>
      <c r="B84" s="307" t="n"/>
      <c r="C84" s="307" t="n"/>
      <c r="D84" s="307" t="n"/>
      <c r="E84" s="307" t="n"/>
      <c r="F84" s="307" t="n"/>
      <c r="G84" s="307" t="n"/>
      <c r="H84" s="307" t="n"/>
      <c r="I84" s="307" t="n"/>
      <c r="J84" s="307" t="n"/>
      <c r="K84" s="307" t="n"/>
      <c r="L84" s="307" t="n"/>
      <c r="M84" s="307" t="n"/>
      <c r="N84" s="307" t="n"/>
      <c r="O84" s="307" t="n"/>
      <c r="P84" s="307" t="n"/>
      <c r="Q84" s="307" t="n"/>
      <c r="R84" s="307" t="n"/>
      <c r="S84" s="307" t="n"/>
      <c r="T84" s="307" t="n"/>
      <c r="U84" s="307" t="n"/>
      <c r="V84" s="307" t="n"/>
      <c r="W84" s="307" t="n"/>
      <c r="X84" s="307" t="n"/>
      <c r="Y84" s="307" t="n"/>
      <c r="Z84" s="307" t="n"/>
      <c r="AA84" s="307" t="n"/>
      <c r="AB84" s="307" t="n"/>
      <c r="AC84" s="307" t="n"/>
      <c r="AD84" s="307" t="n"/>
      <c r="AE84" s="307" t="n"/>
      <c r="AF84" s="307" t="n"/>
      <c r="AG84" s="307" t="n"/>
      <c r="AH84" s="307" t="n"/>
      <c r="AI84" s="307" t="n"/>
      <c r="AJ84" s="307" t="n"/>
      <c r="AK84" s="307" t="n"/>
      <c r="AL84" s="307" t="n"/>
      <c r="AM84" s="307" t="n"/>
      <c r="AN84" s="307" t="n"/>
      <c r="AO84" s="307" t="n"/>
      <c r="AP84" s="307" t="n"/>
      <c r="AQ84" s="307" t="n"/>
      <c r="AR84" s="307" t="n"/>
    </row>
    <row r="85" ht="15.75" customHeight="1" s="349">
      <c r="A85" s="307" t="n"/>
      <c r="B85" s="307" t="n"/>
      <c r="C85" s="307" t="n"/>
      <c r="D85" s="307" t="n"/>
      <c r="E85" s="307" t="n"/>
      <c r="F85" s="307" t="n"/>
      <c r="G85" s="307" t="n"/>
      <c r="H85" s="307" t="n"/>
      <c r="I85" s="307" t="n"/>
      <c r="J85" s="307" t="n"/>
      <c r="K85" s="307" t="n"/>
      <c r="L85" s="307" t="n"/>
      <c r="M85" s="307" t="n"/>
      <c r="N85" s="307" t="n"/>
      <c r="O85" s="307" t="n"/>
      <c r="P85" s="307" t="n"/>
      <c r="Q85" s="307" t="n"/>
      <c r="R85" s="307" t="n"/>
      <c r="S85" s="307" t="n"/>
      <c r="T85" s="307" t="n"/>
      <c r="U85" s="307" t="n"/>
      <c r="V85" s="307" t="n"/>
      <c r="W85" s="307" t="n"/>
      <c r="X85" s="307" t="n"/>
      <c r="Y85" s="307" t="n"/>
      <c r="Z85" s="307" t="n"/>
      <c r="AA85" s="307" t="n"/>
      <c r="AB85" s="307" t="n"/>
      <c r="AC85" s="307" t="n"/>
      <c r="AD85" s="307" t="n"/>
      <c r="AE85" s="307" t="n"/>
      <c r="AF85" s="307" t="n"/>
      <c r="AG85" s="307" t="n"/>
      <c r="AH85" s="307" t="n"/>
      <c r="AI85" s="307" t="n"/>
      <c r="AJ85" s="307" t="n"/>
      <c r="AK85" s="307" t="n"/>
      <c r="AL85" s="307" t="n"/>
      <c r="AM85" s="307" t="n"/>
      <c r="AN85" s="307" t="n"/>
      <c r="AO85" s="307" t="n"/>
      <c r="AP85" s="307" t="n"/>
      <c r="AQ85" s="307" t="n"/>
      <c r="AR85" s="307" t="n"/>
    </row>
    <row r="86" ht="15.75" customHeight="1" s="349">
      <c r="A86" s="307" t="n"/>
      <c r="B86" s="307" t="n"/>
      <c r="C86" s="307" t="n"/>
      <c r="D86" s="307" t="n"/>
      <c r="E86" s="307" t="n"/>
      <c r="F86" s="307" t="n"/>
      <c r="G86" s="307" t="n"/>
      <c r="H86" s="307" t="n"/>
      <c r="I86" s="307" t="n"/>
      <c r="J86" s="307" t="n"/>
      <c r="K86" s="307" t="n"/>
      <c r="L86" s="307" t="n"/>
      <c r="M86" s="307" t="n"/>
      <c r="N86" s="307" t="n"/>
      <c r="O86" s="307" t="n"/>
      <c r="P86" s="307" t="n"/>
      <c r="Q86" s="307" t="n"/>
      <c r="R86" s="307" t="n"/>
      <c r="S86" s="307" t="n"/>
      <c r="T86" s="307" t="n"/>
      <c r="U86" s="307" t="n"/>
      <c r="V86" s="307" t="n"/>
      <c r="W86" s="307" t="n"/>
      <c r="X86" s="307" t="n"/>
      <c r="Y86" s="307" t="n"/>
      <c r="Z86" s="307" t="n"/>
      <c r="AA86" s="307" t="n"/>
      <c r="AB86" s="307" t="n"/>
      <c r="AC86" s="307" t="n"/>
      <c r="AD86" s="307" t="n"/>
      <c r="AE86" s="307" t="n"/>
      <c r="AF86" s="307" t="n"/>
      <c r="AG86" s="307" t="n"/>
      <c r="AH86" s="307" t="n"/>
      <c r="AI86" s="307" t="n"/>
      <c r="AJ86" s="307" t="n"/>
      <c r="AK86" s="307" t="n"/>
      <c r="AL86" s="307" t="n"/>
      <c r="AM86" s="307" t="n"/>
      <c r="AN86" s="307" t="n"/>
      <c r="AO86" s="307" t="n"/>
      <c r="AP86" s="307" t="n"/>
      <c r="AQ86" s="307" t="n"/>
      <c r="AR86" s="307" t="n"/>
    </row>
    <row r="87" ht="15.75" customHeight="1" s="349">
      <c r="A87" s="307" t="n"/>
      <c r="B87" s="307" t="n"/>
      <c r="C87" s="307" t="n"/>
      <c r="D87" s="307" t="n"/>
      <c r="E87" s="307" t="n"/>
      <c r="F87" s="307" t="n"/>
      <c r="G87" s="307" t="n"/>
      <c r="H87" s="307" t="n"/>
      <c r="I87" s="307" t="n"/>
      <c r="J87" s="307" t="n"/>
      <c r="K87" s="307" t="n"/>
      <c r="L87" s="307" t="n"/>
      <c r="M87" s="307" t="n"/>
      <c r="N87" s="307" t="n"/>
      <c r="O87" s="307" t="n"/>
      <c r="P87" s="307" t="n"/>
      <c r="Q87" s="307" t="n"/>
      <c r="R87" s="307" t="n"/>
      <c r="S87" s="307" t="n"/>
      <c r="T87" s="307" t="n"/>
      <c r="U87" s="307" t="n"/>
      <c r="V87" s="307" t="n"/>
      <c r="W87" s="307" t="n"/>
      <c r="X87" s="307" t="n"/>
      <c r="Y87" s="307" t="n"/>
      <c r="Z87" s="307" t="n"/>
      <c r="AA87" s="307" t="n"/>
      <c r="AB87" s="307" t="n"/>
      <c r="AC87" s="307" t="n"/>
      <c r="AD87" s="307" t="n"/>
      <c r="AE87" s="307" t="n"/>
      <c r="AF87" s="307" t="n"/>
      <c r="AG87" s="307" t="n"/>
      <c r="AH87" s="307" t="n"/>
      <c r="AI87" s="307" t="n"/>
      <c r="AJ87" s="307" t="n"/>
      <c r="AK87" s="307" t="n"/>
      <c r="AL87" s="307" t="n"/>
      <c r="AM87" s="307" t="n"/>
      <c r="AN87" s="307" t="n"/>
      <c r="AO87" s="307" t="n"/>
      <c r="AP87" s="307" t="n"/>
      <c r="AQ87" s="307" t="n"/>
      <c r="AR87" s="307" t="n"/>
    </row>
    <row r="88" ht="15.75" customHeight="1" s="349">
      <c r="A88" s="307" t="n"/>
      <c r="B88" s="307" t="n"/>
      <c r="C88" s="307" t="n"/>
      <c r="D88" s="307" t="n"/>
      <c r="E88" s="307" t="n"/>
      <c r="F88" s="307" t="n"/>
      <c r="G88" s="307" t="n"/>
      <c r="H88" s="307" t="n"/>
      <c r="I88" s="307" t="n"/>
      <c r="J88" s="307" t="n"/>
      <c r="K88" s="307" t="n"/>
      <c r="L88" s="307" t="n"/>
      <c r="M88" s="307" t="n"/>
      <c r="N88" s="307" t="n"/>
      <c r="O88" s="307" t="n"/>
      <c r="P88" s="307" t="n"/>
      <c r="Q88" s="307" t="n"/>
      <c r="R88" s="307" t="n"/>
      <c r="S88" s="307" t="n"/>
      <c r="T88" s="307" t="n"/>
      <c r="U88" s="307" t="n"/>
      <c r="V88" s="307" t="n"/>
      <c r="W88" s="307" t="n"/>
      <c r="X88" s="307" t="n"/>
      <c r="Y88" s="307" t="n"/>
      <c r="Z88" s="307" t="n"/>
      <c r="AA88" s="307" t="n"/>
      <c r="AB88" s="307" t="n"/>
      <c r="AC88" s="307" t="n"/>
      <c r="AD88" s="307" t="n"/>
      <c r="AE88" s="307" t="n"/>
      <c r="AF88" s="307" t="n"/>
      <c r="AG88" s="307" t="n"/>
      <c r="AH88" s="307" t="n"/>
      <c r="AI88" s="307" t="n"/>
      <c r="AJ88" s="307" t="n"/>
      <c r="AK88" s="307" t="n"/>
      <c r="AL88" s="307" t="n"/>
      <c r="AM88" s="307" t="n"/>
      <c r="AN88" s="307" t="n"/>
      <c r="AO88" s="307" t="n"/>
      <c r="AP88" s="307" t="n"/>
      <c r="AQ88" s="307" t="n"/>
      <c r="AR88" s="307" t="n"/>
    </row>
    <row r="89" ht="15.75" customHeight="1" s="349">
      <c r="A89" s="307" t="n"/>
      <c r="B89" s="307" t="n"/>
      <c r="C89" s="307" t="n"/>
      <c r="D89" s="307" t="n"/>
      <c r="E89" s="307" t="n"/>
      <c r="F89" s="307" t="n"/>
      <c r="G89" s="307" t="n"/>
      <c r="H89" s="307" t="n"/>
      <c r="I89" s="307" t="n"/>
      <c r="J89" s="307" t="n"/>
      <c r="K89" s="307" t="n"/>
      <c r="L89" s="307" t="n"/>
      <c r="M89" s="307" t="n"/>
      <c r="N89" s="307" t="n"/>
      <c r="O89" s="307" t="n"/>
      <c r="P89" s="307" t="n"/>
      <c r="Q89" s="307" t="n"/>
      <c r="R89" s="307" t="n"/>
      <c r="S89" s="307" t="n"/>
      <c r="T89" s="307" t="n"/>
      <c r="U89" s="307" t="n"/>
      <c r="V89" s="307" t="n"/>
      <c r="W89" s="307" t="n"/>
      <c r="X89" s="307" t="n"/>
      <c r="Y89" s="307" t="n"/>
      <c r="Z89" s="307" t="n"/>
      <c r="AA89" s="307" t="n"/>
      <c r="AB89" s="307" t="n"/>
      <c r="AC89" s="307" t="n"/>
      <c r="AD89" s="307" t="n"/>
      <c r="AE89" s="307" t="n"/>
      <c r="AF89" s="307" t="n"/>
      <c r="AG89" s="307" t="n"/>
      <c r="AH89" s="307" t="n"/>
      <c r="AI89" s="307" t="n"/>
      <c r="AJ89" s="307" t="n"/>
      <c r="AK89" s="307" t="n"/>
      <c r="AL89" s="307" t="n"/>
      <c r="AM89" s="307" t="n"/>
      <c r="AN89" s="307" t="n"/>
      <c r="AO89" s="307" t="n"/>
      <c r="AP89" s="307" t="n"/>
      <c r="AQ89" s="307" t="n"/>
      <c r="AR89" s="307" t="n"/>
    </row>
    <row r="90" ht="15.75" customHeight="1" s="349">
      <c r="A90" s="307" t="n"/>
      <c r="B90" s="307" t="n"/>
      <c r="C90" s="307" t="n"/>
      <c r="D90" s="307" t="n"/>
      <c r="E90" s="307" t="n"/>
      <c r="F90" s="307" t="n"/>
      <c r="G90" s="307" t="n"/>
      <c r="H90" s="307" t="n"/>
      <c r="I90" s="307" t="n"/>
      <c r="J90" s="307" t="n"/>
      <c r="K90" s="307" t="n"/>
      <c r="L90" s="307" t="n"/>
      <c r="M90" s="307" t="n"/>
      <c r="N90" s="307" t="n"/>
      <c r="O90" s="307" t="n"/>
      <c r="P90" s="307" t="n"/>
      <c r="Q90" s="307" t="n"/>
      <c r="R90" s="307" t="n"/>
      <c r="S90" s="307" t="n"/>
      <c r="T90" s="307" t="n"/>
      <c r="U90" s="307" t="n"/>
      <c r="V90" s="307" t="n"/>
      <c r="W90" s="307" t="n"/>
      <c r="X90" s="307" t="n"/>
      <c r="Y90" s="307" t="n"/>
      <c r="Z90" s="307" t="n"/>
      <c r="AA90" s="307" t="n"/>
      <c r="AB90" s="307" t="n"/>
      <c r="AC90" s="307" t="n"/>
      <c r="AD90" s="307" t="n"/>
      <c r="AE90" s="307" t="n"/>
      <c r="AF90" s="307" t="n"/>
      <c r="AG90" s="307" t="n"/>
      <c r="AH90" s="307" t="n"/>
      <c r="AI90" s="307" t="n"/>
      <c r="AJ90" s="307" t="n"/>
      <c r="AK90" s="307" t="n"/>
      <c r="AL90" s="307" t="n"/>
      <c r="AM90" s="307" t="n"/>
      <c r="AN90" s="307" t="n"/>
      <c r="AO90" s="307" t="n"/>
      <c r="AP90" s="307" t="n"/>
      <c r="AQ90" s="307" t="n"/>
      <c r="AR90" s="307" t="n"/>
    </row>
    <row r="91" ht="15.75" customHeight="1" s="349">
      <c r="A91" s="307" t="n"/>
      <c r="B91" s="307" t="n"/>
      <c r="C91" s="307" t="n"/>
      <c r="D91" s="307" t="n"/>
      <c r="E91" s="307" t="n"/>
      <c r="F91" s="307" t="n"/>
      <c r="G91" s="307" t="n"/>
      <c r="H91" s="307" t="n"/>
      <c r="I91" s="307" t="n"/>
      <c r="J91" s="307" t="n"/>
      <c r="K91" s="307" t="n"/>
      <c r="L91" s="307" t="n"/>
      <c r="M91" s="307" t="n"/>
      <c r="N91" s="307" t="n"/>
      <c r="O91" s="307" t="n"/>
      <c r="P91" s="307" t="n"/>
      <c r="Q91" s="307" t="n"/>
      <c r="R91" s="307" t="n"/>
      <c r="S91" s="307" t="n"/>
      <c r="T91" s="307" t="n"/>
      <c r="U91" s="307" t="n"/>
      <c r="V91" s="307" t="n"/>
      <c r="W91" s="307" t="n"/>
      <c r="X91" s="307" t="n"/>
      <c r="Y91" s="307" t="n"/>
      <c r="Z91" s="307" t="n"/>
      <c r="AA91" s="307" t="n"/>
      <c r="AB91" s="307" t="n"/>
      <c r="AC91" s="307" t="n"/>
      <c r="AD91" s="307" t="n"/>
      <c r="AE91" s="307" t="n"/>
      <c r="AF91" s="307" t="n"/>
      <c r="AG91" s="307" t="n"/>
      <c r="AH91" s="307" t="n"/>
      <c r="AI91" s="307" t="n"/>
      <c r="AJ91" s="307" t="n"/>
      <c r="AK91" s="307" t="n"/>
      <c r="AL91" s="307" t="n"/>
      <c r="AM91" s="307" t="n"/>
      <c r="AN91" s="307" t="n"/>
      <c r="AO91" s="307" t="n"/>
      <c r="AP91" s="307" t="n"/>
      <c r="AQ91" s="307" t="n"/>
      <c r="AR91" s="307" t="n"/>
    </row>
    <row r="92" ht="15.75" customHeight="1" s="349">
      <c r="A92" s="307" t="n"/>
      <c r="B92" s="307" t="n"/>
      <c r="C92" s="307" t="n"/>
      <c r="D92" s="307" t="n"/>
      <c r="E92" s="307" t="n"/>
      <c r="F92" s="307" t="n"/>
      <c r="G92" s="307" t="n"/>
      <c r="H92" s="307" t="n"/>
      <c r="I92" s="307" t="n"/>
      <c r="J92" s="307" t="n"/>
      <c r="K92" s="307" t="n"/>
      <c r="L92" s="307" t="n"/>
      <c r="M92" s="307" t="n"/>
      <c r="N92" s="307" t="n"/>
      <c r="O92" s="307" t="n"/>
      <c r="P92" s="307" t="n"/>
      <c r="Q92" s="307" t="n"/>
      <c r="R92" s="307" t="n"/>
      <c r="S92" s="307" t="n"/>
      <c r="T92" s="307" t="n"/>
      <c r="U92" s="307" t="n"/>
      <c r="V92" s="307" t="n"/>
      <c r="W92" s="307" t="n"/>
      <c r="X92" s="307" t="n"/>
      <c r="Y92" s="307" t="n"/>
      <c r="Z92" s="307" t="n"/>
      <c r="AA92" s="307" t="n"/>
      <c r="AB92" s="307" t="n"/>
      <c r="AC92" s="307" t="n"/>
      <c r="AD92" s="307" t="n"/>
      <c r="AE92" s="307" t="n"/>
      <c r="AF92" s="307" t="n"/>
      <c r="AG92" s="307" t="n"/>
      <c r="AH92" s="307" t="n"/>
      <c r="AI92" s="307" t="n"/>
      <c r="AJ92" s="307" t="n"/>
      <c r="AK92" s="307" t="n"/>
      <c r="AL92" s="307" t="n"/>
      <c r="AM92" s="307" t="n"/>
      <c r="AN92" s="307" t="n"/>
      <c r="AO92" s="307" t="n"/>
      <c r="AP92" s="307" t="n"/>
      <c r="AQ92" s="307" t="n"/>
      <c r="AR92" s="307" t="n"/>
    </row>
    <row r="93" ht="15.75" customHeight="1" s="349">
      <c r="A93" s="307" t="n"/>
      <c r="B93" s="307" t="n"/>
      <c r="C93" s="307" t="n"/>
      <c r="D93" s="307" t="n"/>
      <c r="E93" s="307" t="n"/>
      <c r="F93" s="307" t="n"/>
      <c r="G93" s="307" t="n"/>
      <c r="H93" s="307" t="n"/>
      <c r="I93" s="307" t="n"/>
      <c r="J93" s="307" t="n"/>
      <c r="K93" s="307" t="n"/>
      <c r="L93" s="307" t="n"/>
      <c r="M93" s="307" t="n"/>
      <c r="N93" s="307" t="n"/>
      <c r="O93" s="307" t="n"/>
      <c r="P93" s="307" t="n"/>
      <c r="Q93" s="307" t="n"/>
      <c r="R93" s="307" t="n"/>
      <c r="S93" s="307" t="n"/>
      <c r="T93" s="307" t="n"/>
      <c r="U93" s="307" t="n"/>
      <c r="V93" s="307" t="n"/>
      <c r="W93" s="307" t="n"/>
      <c r="X93" s="307" t="n"/>
      <c r="Y93" s="307" t="n"/>
      <c r="Z93" s="307" t="n"/>
      <c r="AA93" s="307" t="n"/>
      <c r="AB93" s="307" t="n"/>
      <c r="AC93" s="307" t="n"/>
      <c r="AD93" s="307" t="n"/>
      <c r="AE93" s="307" t="n"/>
      <c r="AF93" s="307" t="n"/>
      <c r="AG93" s="307" t="n"/>
      <c r="AH93" s="307" t="n"/>
      <c r="AI93" s="307" t="n"/>
      <c r="AJ93" s="307" t="n"/>
      <c r="AK93" s="307" t="n"/>
      <c r="AL93" s="307" t="n"/>
      <c r="AM93" s="307" t="n"/>
      <c r="AN93" s="307" t="n"/>
      <c r="AO93" s="307" t="n"/>
      <c r="AP93" s="307" t="n"/>
      <c r="AQ93" s="307" t="n"/>
      <c r="AR93" s="307" t="n"/>
    </row>
    <row r="94" ht="15.75" customHeight="1" s="349">
      <c r="A94" s="307" t="n"/>
      <c r="B94" s="307" t="n"/>
      <c r="C94" s="307" t="n"/>
      <c r="D94" s="307" t="n"/>
      <c r="E94" s="307" t="n"/>
      <c r="F94" s="307" t="n"/>
      <c r="G94" s="307" t="n"/>
      <c r="H94" s="307" t="n"/>
      <c r="I94" s="307" t="n"/>
      <c r="J94" s="307" t="n"/>
      <c r="K94" s="307" t="n"/>
      <c r="L94" s="307" t="n"/>
      <c r="M94" s="307" t="n"/>
      <c r="N94" s="307" t="n"/>
      <c r="O94" s="307" t="n"/>
      <c r="P94" s="307" t="n"/>
      <c r="Q94" s="307" t="n"/>
      <c r="R94" s="307" t="n"/>
      <c r="S94" s="307" t="n"/>
      <c r="T94" s="307" t="n"/>
      <c r="U94" s="307" t="n"/>
      <c r="V94" s="307" t="n"/>
      <c r="W94" s="307" t="n"/>
      <c r="X94" s="307" t="n"/>
      <c r="Y94" s="307" t="n"/>
      <c r="Z94" s="307" t="n"/>
      <c r="AA94" s="307" t="n"/>
      <c r="AB94" s="307" t="n"/>
      <c r="AC94" s="307" t="n"/>
      <c r="AD94" s="307" t="n"/>
      <c r="AE94" s="307" t="n"/>
      <c r="AF94" s="307" t="n"/>
      <c r="AG94" s="307" t="n"/>
      <c r="AH94" s="307" t="n"/>
      <c r="AI94" s="307" t="n"/>
      <c r="AJ94" s="307" t="n"/>
      <c r="AK94" s="307" t="n"/>
      <c r="AL94" s="307" t="n"/>
      <c r="AM94" s="307" t="n"/>
      <c r="AN94" s="307" t="n"/>
      <c r="AO94" s="307" t="n"/>
      <c r="AP94" s="307" t="n"/>
      <c r="AQ94" s="307" t="n"/>
      <c r="AR94" s="307" t="n"/>
    </row>
    <row r="95" ht="15.75" customHeight="1" s="349">
      <c r="A95" s="307" t="n"/>
      <c r="B95" s="307" t="n"/>
      <c r="C95" s="307" t="n"/>
      <c r="D95" s="307" t="n"/>
      <c r="E95" s="307" t="n"/>
      <c r="F95" s="307" t="n"/>
      <c r="G95" s="307" t="n"/>
      <c r="H95" s="307" t="n"/>
      <c r="I95" s="307" t="n"/>
      <c r="J95" s="307" t="n"/>
      <c r="K95" s="307" t="n"/>
      <c r="L95" s="307" t="n"/>
      <c r="M95" s="307" t="n"/>
      <c r="N95" s="307" t="n"/>
      <c r="O95" s="307" t="n"/>
      <c r="P95" s="307" t="n"/>
      <c r="Q95" s="307" t="n"/>
      <c r="R95" s="307" t="n"/>
      <c r="S95" s="307" t="n"/>
      <c r="T95" s="307" t="n"/>
      <c r="U95" s="307" t="n"/>
      <c r="V95" s="307" t="n"/>
      <c r="W95" s="307" t="n"/>
      <c r="X95" s="307" t="n"/>
      <c r="Y95" s="307" t="n"/>
      <c r="Z95" s="307" t="n"/>
      <c r="AA95" s="307" t="n"/>
      <c r="AB95" s="307" t="n"/>
      <c r="AC95" s="307" t="n"/>
      <c r="AD95" s="307" t="n"/>
      <c r="AE95" s="307" t="n"/>
      <c r="AF95" s="307" t="n"/>
      <c r="AG95" s="307" t="n"/>
      <c r="AH95" s="307" t="n"/>
      <c r="AI95" s="307" t="n"/>
      <c r="AJ95" s="307" t="n"/>
      <c r="AK95" s="307" t="n"/>
      <c r="AL95" s="307" t="n"/>
      <c r="AM95" s="307" t="n"/>
      <c r="AN95" s="307" t="n"/>
      <c r="AO95" s="307" t="n"/>
      <c r="AP95" s="307" t="n"/>
      <c r="AQ95" s="307" t="n"/>
      <c r="AR95" s="307" t="n"/>
    </row>
    <row r="96" ht="15.75" customHeight="1" s="349">
      <c r="A96" s="307" t="n"/>
      <c r="B96" s="307" t="n"/>
      <c r="C96" s="307" t="n"/>
      <c r="D96" s="307" t="n"/>
      <c r="E96" s="307" t="n"/>
      <c r="F96" s="307" t="n"/>
      <c r="G96" s="307" t="n"/>
      <c r="H96" s="307" t="n"/>
      <c r="I96" s="307" t="n"/>
      <c r="J96" s="307" t="n"/>
      <c r="K96" s="307" t="n"/>
      <c r="L96" s="307" t="n"/>
      <c r="M96" s="307" t="n"/>
      <c r="N96" s="307" t="n"/>
      <c r="O96" s="307" t="n"/>
      <c r="P96" s="307" t="n"/>
      <c r="Q96" s="307" t="n"/>
      <c r="R96" s="307" t="n"/>
      <c r="S96" s="307" t="n"/>
      <c r="T96" s="307" t="n"/>
      <c r="U96" s="307" t="n"/>
      <c r="V96" s="307" t="n"/>
      <c r="W96" s="307" t="n"/>
      <c r="X96" s="307" t="n"/>
      <c r="Y96" s="307" t="n"/>
      <c r="Z96" s="307" t="n"/>
      <c r="AA96" s="307" t="n"/>
      <c r="AB96" s="307" t="n"/>
      <c r="AC96" s="307" t="n"/>
      <c r="AD96" s="307" t="n"/>
      <c r="AE96" s="307" t="n"/>
      <c r="AF96" s="307" t="n"/>
      <c r="AG96" s="307" t="n"/>
      <c r="AH96" s="307" t="n"/>
      <c r="AI96" s="307" t="n"/>
      <c r="AJ96" s="307" t="n"/>
      <c r="AK96" s="307" t="n"/>
      <c r="AL96" s="307" t="n"/>
      <c r="AM96" s="307" t="n"/>
      <c r="AN96" s="307" t="n"/>
      <c r="AO96" s="307" t="n"/>
      <c r="AP96" s="307" t="n"/>
      <c r="AQ96" s="307" t="n"/>
      <c r="AR96" s="307" t="n"/>
    </row>
    <row r="97" ht="15.75" customHeight="1" s="349">
      <c r="A97" s="307" t="n"/>
      <c r="B97" s="307" t="n"/>
      <c r="C97" s="307" t="n"/>
      <c r="D97" s="307" t="n"/>
      <c r="E97" s="307" t="n"/>
      <c r="F97" s="307" t="n"/>
      <c r="G97" s="307" t="n"/>
      <c r="H97" s="307" t="n"/>
      <c r="I97" s="307" t="n"/>
      <c r="J97" s="307" t="n"/>
      <c r="K97" s="307" t="n"/>
      <c r="L97" s="307" t="n"/>
      <c r="M97" s="307" t="n"/>
      <c r="N97" s="307" t="n"/>
      <c r="O97" s="307" t="n"/>
      <c r="P97" s="307" t="n"/>
      <c r="Q97" s="307" t="n"/>
      <c r="R97" s="307" t="n"/>
      <c r="S97" s="307" t="n"/>
      <c r="T97" s="307" t="n"/>
      <c r="U97" s="307" t="n"/>
      <c r="V97" s="307" t="n"/>
      <c r="W97" s="307" t="n"/>
      <c r="X97" s="307" t="n"/>
      <c r="Y97" s="307" t="n"/>
      <c r="Z97" s="307" t="n"/>
      <c r="AA97" s="307" t="n"/>
      <c r="AB97" s="307" t="n"/>
      <c r="AC97" s="307" t="n"/>
      <c r="AD97" s="307" t="n"/>
      <c r="AE97" s="307" t="n"/>
      <c r="AF97" s="307" t="n"/>
      <c r="AG97" s="307" t="n"/>
      <c r="AH97" s="307" t="n"/>
      <c r="AI97" s="307" t="n"/>
      <c r="AJ97" s="307" t="n"/>
      <c r="AK97" s="307" t="n"/>
      <c r="AL97" s="307" t="n"/>
      <c r="AM97" s="307" t="n"/>
      <c r="AN97" s="307" t="n"/>
      <c r="AO97" s="307" t="n"/>
      <c r="AP97" s="307" t="n"/>
      <c r="AQ97" s="307" t="n"/>
      <c r="AR97" s="307" t="n"/>
    </row>
    <row r="98" ht="15.75" customHeight="1" s="349">
      <c r="A98" s="307" t="n"/>
      <c r="B98" s="307" t="n"/>
      <c r="C98" s="307" t="n"/>
      <c r="D98" s="307" t="n"/>
      <c r="E98" s="307" t="n"/>
      <c r="F98" s="307" t="n"/>
      <c r="G98" s="307" t="n"/>
      <c r="H98" s="307" t="n"/>
      <c r="I98" s="307" t="n"/>
      <c r="J98" s="307" t="n"/>
      <c r="K98" s="307" t="n"/>
      <c r="L98" s="307" t="n"/>
      <c r="M98" s="307" t="n"/>
      <c r="N98" s="307" t="n"/>
      <c r="O98" s="307" t="n"/>
      <c r="P98" s="307" t="n"/>
      <c r="Q98" s="307" t="n"/>
      <c r="R98" s="307" t="n"/>
      <c r="S98" s="307" t="n"/>
      <c r="T98" s="307" t="n"/>
      <c r="U98" s="307" t="n"/>
      <c r="V98" s="307" t="n"/>
      <c r="W98" s="307" t="n"/>
      <c r="X98" s="307" t="n"/>
      <c r="Y98" s="307" t="n"/>
      <c r="Z98" s="307" t="n"/>
      <c r="AA98" s="307" t="n"/>
      <c r="AB98" s="307" t="n"/>
      <c r="AC98" s="307" t="n"/>
      <c r="AD98" s="307" t="n"/>
      <c r="AE98" s="307" t="n"/>
      <c r="AF98" s="307" t="n"/>
      <c r="AG98" s="307" t="n"/>
      <c r="AH98" s="307" t="n"/>
      <c r="AI98" s="307" t="n"/>
      <c r="AJ98" s="307" t="n"/>
      <c r="AK98" s="307" t="n"/>
      <c r="AL98" s="307" t="n"/>
      <c r="AM98" s="307" t="n"/>
      <c r="AN98" s="307" t="n"/>
      <c r="AO98" s="307" t="n"/>
      <c r="AP98" s="307" t="n"/>
      <c r="AQ98" s="307" t="n"/>
      <c r="AR98" s="307" t="n"/>
    </row>
    <row r="99" ht="15.75" customHeight="1" s="349">
      <c r="A99" s="307" t="n"/>
      <c r="B99" s="307" t="n"/>
      <c r="C99" s="307" t="n"/>
      <c r="D99" s="307" t="n"/>
      <c r="E99" s="307" t="n"/>
      <c r="F99" s="307" t="n"/>
      <c r="G99" s="307" t="n"/>
      <c r="H99" s="307" t="n"/>
      <c r="I99" s="307" t="n"/>
      <c r="J99" s="307" t="n"/>
      <c r="K99" s="307" t="n"/>
      <c r="L99" s="307" t="n"/>
      <c r="M99" s="307" t="n"/>
      <c r="N99" s="307" t="n"/>
      <c r="O99" s="307" t="n"/>
      <c r="P99" s="307" t="n"/>
      <c r="Q99" s="307" t="n"/>
      <c r="R99" s="307" t="n"/>
      <c r="S99" s="307" t="n"/>
      <c r="T99" s="307" t="n"/>
      <c r="U99" s="307" t="n"/>
      <c r="V99" s="307" t="n"/>
      <c r="W99" s="307" t="n"/>
      <c r="X99" s="307" t="n"/>
      <c r="Y99" s="307" t="n"/>
      <c r="Z99" s="307" t="n"/>
      <c r="AA99" s="307" t="n"/>
      <c r="AB99" s="307" t="n"/>
      <c r="AC99" s="307" t="n"/>
      <c r="AD99" s="307" t="n"/>
      <c r="AE99" s="307" t="n"/>
      <c r="AF99" s="307" t="n"/>
      <c r="AG99" s="307" t="n"/>
      <c r="AH99" s="307" t="n"/>
      <c r="AI99" s="307" t="n"/>
      <c r="AJ99" s="307" t="n"/>
      <c r="AK99" s="307" t="n"/>
      <c r="AL99" s="307" t="n"/>
      <c r="AM99" s="307" t="n"/>
      <c r="AN99" s="307" t="n"/>
      <c r="AO99" s="307" t="n"/>
      <c r="AP99" s="307" t="n"/>
      <c r="AQ99" s="307" t="n"/>
      <c r="AR99" s="307" t="n"/>
    </row>
    <row r="100" ht="15.75" customHeight="1" s="349">
      <c r="A100" s="307" t="n"/>
      <c r="B100" s="307" t="n"/>
      <c r="C100" s="307" t="n"/>
      <c r="D100" s="307" t="n"/>
      <c r="E100" s="307" t="n"/>
      <c r="F100" s="307" t="n"/>
      <c r="G100" s="307" t="n"/>
      <c r="H100" s="307" t="n"/>
      <c r="I100" s="307" t="n"/>
      <c r="J100" s="307" t="n"/>
      <c r="K100" s="307" t="n"/>
      <c r="L100" s="307" t="n"/>
      <c r="M100" s="307" t="n"/>
      <c r="N100" s="307" t="n"/>
      <c r="O100" s="307" t="n"/>
      <c r="P100" s="307" t="n"/>
      <c r="Q100" s="307" t="n"/>
      <c r="R100" s="307" t="n"/>
      <c r="S100" s="307" t="n"/>
      <c r="T100" s="307" t="n"/>
      <c r="U100" s="307" t="n"/>
      <c r="V100" s="307" t="n"/>
      <c r="W100" s="307" t="n"/>
      <c r="X100" s="307" t="n"/>
      <c r="Y100" s="307" t="n"/>
      <c r="Z100" s="307" t="n"/>
      <c r="AA100" s="307" t="n"/>
      <c r="AB100" s="307" t="n"/>
      <c r="AC100" s="307" t="n"/>
      <c r="AD100" s="307" t="n"/>
      <c r="AE100" s="307" t="n"/>
      <c r="AF100" s="307" t="n"/>
      <c r="AG100" s="307" t="n"/>
      <c r="AH100" s="307" t="n"/>
      <c r="AI100" s="307" t="n"/>
      <c r="AJ100" s="307" t="n"/>
      <c r="AK100" s="307" t="n"/>
      <c r="AL100" s="307" t="n"/>
      <c r="AM100" s="307" t="n"/>
      <c r="AN100" s="307" t="n"/>
      <c r="AO100" s="307" t="n"/>
      <c r="AP100" s="307" t="n"/>
      <c r="AQ100" s="307" t="n"/>
      <c r="AR100" s="307" t="n"/>
    </row>
    <row r="101" ht="15.75" customHeight="1" s="349">
      <c r="A101" s="307" t="n"/>
      <c r="B101" s="307" t="n"/>
      <c r="C101" s="307" t="n"/>
      <c r="D101" s="307" t="n"/>
      <c r="E101" s="307" t="n"/>
      <c r="F101" s="307" t="n"/>
      <c r="G101" s="307" t="n"/>
      <c r="H101" s="307" t="n"/>
      <c r="I101" s="307" t="n"/>
      <c r="J101" s="307" t="n"/>
      <c r="K101" s="307" t="n"/>
      <c r="L101" s="307" t="n"/>
      <c r="M101" s="307" t="n"/>
      <c r="N101" s="307" t="n"/>
      <c r="O101" s="307" t="n"/>
      <c r="P101" s="307" t="n"/>
      <c r="Q101" s="307" t="n"/>
      <c r="R101" s="307" t="n"/>
      <c r="S101" s="307" t="n"/>
      <c r="T101" s="307" t="n"/>
      <c r="U101" s="307" t="n"/>
      <c r="V101" s="307" t="n"/>
      <c r="W101" s="307" t="n"/>
      <c r="X101" s="307" t="n"/>
      <c r="Y101" s="307" t="n"/>
      <c r="Z101" s="307" t="n"/>
      <c r="AA101" s="307" t="n"/>
      <c r="AB101" s="307" t="n"/>
      <c r="AC101" s="307" t="n"/>
      <c r="AD101" s="307" t="n"/>
      <c r="AE101" s="307" t="n"/>
      <c r="AF101" s="307" t="n"/>
      <c r="AG101" s="307" t="n"/>
      <c r="AH101" s="307" t="n"/>
      <c r="AI101" s="307" t="n"/>
      <c r="AJ101" s="307" t="n"/>
      <c r="AK101" s="307" t="n"/>
      <c r="AL101" s="307" t="n"/>
      <c r="AM101" s="307" t="n"/>
      <c r="AN101" s="307" t="n"/>
      <c r="AO101" s="307" t="n"/>
      <c r="AP101" s="307" t="n"/>
      <c r="AQ101" s="307" t="n"/>
      <c r="AR101" s="307" t="n"/>
    </row>
    <row r="102" ht="15.75" customHeight="1" s="349">
      <c r="A102" s="307" t="n"/>
      <c r="B102" s="307" t="n"/>
      <c r="C102" s="307" t="n"/>
      <c r="D102" s="307" t="n"/>
      <c r="E102" s="307" t="n"/>
      <c r="F102" s="307" t="n"/>
      <c r="G102" s="307" t="n"/>
      <c r="H102" s="307" t="n"/>
      <c r="I102" s="307" t="n"/>
      <c r="J102" s="307" t="n"/>
      <c r="K102" s="307" t="n"/>
      <c r="L102" s="307" t="n"/>
      <c r="M102" s="307" t="n"/>
      <c r="N102" s="307" t="n"/>
      <c r="O102" s="307" t="n"/>
      <c r="P102" s="307" t="n"/>
      <c r="Q102" s="307" t="n"/>
      <c r="R102" s="307" t="n"/>
      <c r="S102" s="307" t="n"/>
      <c r="T102" s="307" t="n"/>
      <c r="U102" s="307" t="n"/>
      <c r="V102" s="307" t="n"/>
      <c r="W102" s="307" t="n"/>
      <c r="X102" s="307" t="n"/>
      <c r="Y102" s="307" t="n"/>
      <c r="Z102" s="307" t="n"/>
      <c r="AA102" s="307" t="n"/>
      <c r="AB102" s="307" t="n"/>
      <c r="AC102" s="307" t="n"/>
      <c r="AD102" s="307" t="n"/>
      <c r="AE102" s="307" t="n"/>
      <c r="AF102" s="307" t="n"/>
      <c r="AG102" s="307" t="n"/>
      <c r="AH102" s="307" t="n"/>
      <c r="AI102" s="307" t="n"/>
      <c r="AJ102" s="307" t="n"/>
      <c r="AK102" s="307" t="n"/>
      <c r="AL102" s="307" t="n"/>
      <c r="AM102" s="307" t="n"/>
      <c r="AN102" s="307" t="n"/>
      <c r="AO102" s="307" t="n"/>
      <c r="AP102" s="307" t="n"/>
      <c r="AQ102" s="307" t="n"/>
      <c r="AR102" s="307" t="n"/>
    </row>
    <row r="103" ht="15.75" customHeight="1" s="349">
      <c r="A103" s="307" t="n"/>
      <c r="B103" s="307" t="n"/>
      <c r="C103" s="307" t="n"/>
      <c r="D103" s="307" t="n"/>
      <c r="E103" s="307" t="n"/>
      <c r="F103" s="307" t="n"/>
      <c r="G103" s="307" t="n"/>
      <c r="H103" s="307" t="n"/>
      <c r="I103" s="307" t="n"/>
      <c r="J103" s="307" t="n"/>
      <c r="K103" s="307" t="n"/>
      <c r="L103" s="307" t="n"/>
      <c r="M103" s="307" t="n"/>
      <c r="N103" s="307" t="n"/>
      <c r="O103" s="307" t="n"/>
      <c r="P103" s="307" t="n"/>
      <c r="Q103" s="307" t="n"/>
      <c r="R103" s="307" t="n"/>
      <c r="S103" s="307" t="n"/>
      <c r="T103" s="307" t="n"/>
      <c r="U103" s="307" t="n"/>
      <c r="V103" s="307" t="n"/>
      <c r="W103" s="307" t="n"/>
      <c r="X103" s="307" t="n"/>
      <c r="Y103" s="307" t="n"/>
      <c r="Z103" s="307" t="n"/>
      <c r="AA103" s="307" t="n"/>
      <c r="AB103" s="307" t="n"/>
      <c r="AC103" s="307" t="n"/>
      <c r="AD103" s="307" t="n"/>
      <c r="AE103" s="307" t="n"/>
      <c r="AF103" s="307" t="n"/>
      <c r="AG103" s="307" t="n"/>
      <c r="AH103" s="307" t="n"/>
      <c r="AI103" s="307" t="n"/>
      <c r="AJ103" s="307" t="n"/>
      <c r="AK103" s="307" t="n"/>
      <c r="AL103" s="307" t="n"/>
      <c r="AM103" s="307" t="n"/>
      <c r="AN103" s="307" t="n"/>
      <c r="AO103" s="307" t="n"/>
      <c r="AP103" s="307" t="n"/>
      <c r="AQ103" s="307" t="n"/>
      <c r="AR103" s="307" t="n"/>
    </row>
    <row r="104" ht="15.75" customHeight="1" s="349">
      <c r="A104" s="307" t="n"/>
      <c r="B104" s="307" t="n"/>
      <c r="C104" s="307" t="n"/>
      <c r="D104" s="307" t="n"/>
      <c r="E104" s="307" t="n"/>
      <c r="F104" s="307" t="n"/>
      <c r="G104" s="307" t="n"/>
      <c r="H104" s="307" t="n"/>
      <c r="I104" s="307" t="n"/>
      <c r="J104" s="307" t="n"/>
      <c r="K104" s="307" t="n"/>
      <c r="L104" s="307" t="n"/>
      <c r="M104" s="307" t="n"/>
      <c r="N104" s="307" t="n"/>
      <c r="O104" s="307" t="n"/>
      <c r="P104" s="307" t="n"/>
      <c r="Q104" s="307" t="n"/>
      <c r="R104" s="307" t="n"/>
      <c r="S104" s="307" t="n"/>
      <c r="T104" s="307" t="n"/>
      <c r="U104" s="307" t="n"/>
      <c r="V104" s="307" t="n"/>
      <c r="W104" s="307" t="n"/>
      <c r="X104" s="307" t="n"/>
      <c r="Y104" s="307" t="n"/>
      <c r="Z104" s="307" t="n"/>
      <c r="AA104" s="307" t="n"/>
      <c r="AB104" s="307" t="n"/>
      <c r="AC104" s="307" t="n"/>
      <c r="AD104" s="307" t="n"/>
      <c r="AE104" s="307" t="n"/>
      <c r="AF104" s="307" t="n"/>
      <c r="AG104" s="307" t="n"/>
      <c r="AH104" s="307" t="n"/>
      <c r="AI104" s="307" t="n"/>
      <c r="AJ104" s="307" t="n"/>
      <c r="AK104" s="307" t="n"/>
      <c r="AL104" s="307" t="n"/>
      <c r="AM104" s="307" t="n"/>
      <c r="AN104" s="307" t="n"/>
      <c r="AO104" s="307" t="n"/>
      <c r="AP104" s="307" t="n"/>
      <c r="AQ104" s="307" t="n"/>
      <c r="AR104" s="307" t="n"/>
    </row>
    <row r="105" ht="15.75" customHeight="1" s="349">
      <c r="A105" s="307" t="n"/>
      <c r="B105" s="307" t="n"/>
      <c r="C105" s="307" t="n"/>
      <c r="D105" s="307" t="n"/>
      <c r="E105" s="307" t="n"/>
      <c r="F105" s="307" t="n"/>
      <c r="G105" s="307" t="n"/>
      <c r="H105" s="307" t="n"/>
      <c r="I105" s="307" t="n"/>
      <c r="J105" s="307" t="n"/>
      <c r="K105" s="307" t="n"/>
      <c r="L105" s="307" t="n"/>
      <c r="M105" s="307" t="n"/>
      <c r="N105" s="307" t="n"/>
      <c r="O105" s="307" t="n"/>
      <c r="P105" s="307" t="n"/>
      <c r="Q105" s="307" t="n"/>
      <c r="R105" s="307" t="n"/>
      <c r="S105" s="307" t="n"/>
      <c r="T105" s="307" t="n"/>
      <c r="U105" s="307" t="n"/>
      <c r="V105" s="307" t="n"/>
      <c r="W105" s="307" t="n"/>
      <c r="X105" s="307" t="n"/>
      <c r="Y105" s="307" t="n"/>
      <c r="Z105" s="307" t="n"/>
      <c r="AA105" s="307" t="n"/>
      <c r="AB105" s="307" t="n"/>
      <c r="AC105" s="307" t="n"/>
      <c r="AD105" s="307" t="n"/>
      <c r="AE105" s="307" t="n"/>
      <c r="AF105" s="307" t="n"/>
      <c r="AG105" s="307" t="n"/>
      <c r="AH105" s="307" t="n"/>
      <c r="AI105" s="307" t="n"/>
      <c r="AJ105" s="307" t="n"/>
      <c r="AK105" s="307" t="n"/>
      <c r="AL105" s="307" t="n"/>
      <c r="AM105" s="307" t="n"/>
      <c r="AN105" s="307" t="n"/>
      <c r="AO105" s="307" t="n"/>
      <c r="AP105" s="307" t="n"/>
      <c r="AQ105" s="307" t="n"/>
      <c r="AR105" s="307" t="n"/>
    </row>
    <row r="106" ht="15.75" customHeight="1" s="349">
      <c r="A106" s="307" t="n"/>
      <c r="B106" s="307" t="n"/>
      <c r="C106" s="307" t="n"/>
      <c r="D106" s="307" t="n"/>
      <c r="E106" s="307" t="n"/>
      <c r="F106" s="307" t="n"/>
      <c r="G106" s="307" t="n"/>
      <c r="H106" s="307" t="n"/>
      <c r="I106" s="307" t="n"/>
      <c r="J106" s="307" t="n"/>
      <c r="K106" s="307" t="n"/>
      <c r="L106" s="307" t="n"/>
      <c r="M106" s="307" t="n"/>
      <c r="N106" s="307" t="n"/>
      <c r="O106" s="307" t="n"/>
      <c r="P106" s="307" t="n"/>
      <c r="Q106" s="307" t="n"/>
      <c r="R106" s="307" t="n"/>
      <c r="S106" s="307" t="n"/>
      <c r="T106" s="307" t="n"/>
      <c r="U106" s="307" t="n"/>
      <c r="V106" s="307" t="n"/>
      <c r="W106" s="307" t="n"/>
      <c r="X106" s="307" t="n"/>
      <c r="Y106" s="307" t="n"/>
      <c r="Z106" s="307" t="n"/>
      <c r="AA106" s="307" t="n"/>
      <c r="AB106" s="307" t="n"/>
      <c r="AC106" s="307" t="n"/>
      <c r="AD106" s="307" t="n"/>
      <c r="AE106" s="307" t="n"/>
      <c r="AF106" s="307" t="n"/>
      <c r="AG106" s="307" t="n"/>
      <c r="AH106" s="307" t="n"/>
      <c r="AI106" s="307" t="n"/>
      <c r="AJ106" s="307" t="n"/>
      <c r="AK106" s="307" t="n"/>
      <c r="AL106" s="307" t="n"/>
      <c r="AM106" s="307" t="n"/>
      <c r="AN106" s="307" t="n"/>
      <c r="AO106" s="307" t="n"/>
      <c r="AP106" s="307" t="n"/>
      <c r="AQ106" s="307" t="n"/>
      <c r="AR106" s="307" t="n"/>
    </row>
    <row r="107" ht="15.75" customHeight="1" s="349">
      <c r="A107" s="307" t="n"/>
      <c r="B107" s="307" t="n"/>
      <c r="C107" s="307" t="n"/>
      <c r="D107" s="307" t="n"/>
      <c r="E107" s="307" t="n"/>
      <c r="F107" s="307" t="n"/>
      <c r="G107" s="307" t="n"/>
      <c r="H107" s="307" t="n"/>
      <c r="I107" s="307" t="n"/>
      <c r="J107" s="307" t="n"/>
      <c r="K107" s="307" t="n"/>
      <c r="L107" s="307" t="n"/>
      <c r="M107" s="307" t="n"/>
      <c r="N107" s="307" t="n"/>
      <c r="O107" s="307" t="n"/>
      <c r="P107" s="307" t="n"/>
      <c r="Q107" s="307" t="n"/>
      <c r="R107" s="307" t="n"/>
      <c r="S107" s="307" t="n"/>
      <c r="T107" s="307" t="n"/>
      <c r="U107" s="307" t="n"/>
      <c r="V107" s="307" t="n"/>
      <c r="W107" s="307" t="n"/>
      <c r="X107" s="307" t="n"/>
      <c r="Y107" s="307" t="n"/>
      <c r="Z107" s="307" t="n"/>
      <c r="AA107" s="307" t="n"/>
      <c r="AB107" s="307" t="n"/>
      <c r="AC107" s="307" t="n"/>
      <c r="AD107" s="307" t="n"/>
      <c r="AE107" s="307" t="n"/>
      <c r="AF107" s="307" t="n"/>
      <c r="AG107" s="307" t="n"/>
      <c r="AH107" s="307" t="n"/>
      <c r="AI107" s="307" t="n"/>
      <c r="AJ107" s="307" t="n"/>
      <c r="AK107" s="307" t="n"/>
      <c r="AL107" s="307" t="n"/>
      <c r="AM107" s="307" t="n"/>
      <c r="AN107" s="307" t="n"/>
      <c r="AO107" s="307" t="n"/>
      <c r="AP107" s="307" t="n"/>
      <c r="AQ107" s="307" t="n"/>
      <c r="AR107" s="307" t="n"/>
    </row>
    <row r="108" ht="15.75" customHeight="1" s="349">
      <c r="A108" s="307" t="n"/>
      <c r="B108" s="307" t="n"/>
      <c r="C108" s="307" t="n"/>
      <c r="D108" s="307" t="n"/>
      <c r="E108" s="307" t="n"/>
      <c r="F108" s="307" t="n"/>
      <c r="G108" s="307" t="n"/>
      <c r="H108" s="307" t="n"/>
      <c r="I108" s="307" t="n"/>
      <c r="J108" s="307" t="n"/>
      <c r="K108" s="307" t="n"/>
      <c r="L108" s="307" t="n"/>
      <c r="M108" s="307" t="n"/>
      <c r="N108" s="307" t="n"/>
      <c r="O108" s="307" t="n"/>
      <c r="P108" s="307" t="n"/>
      <c r="Q108" s="307" t="n"/>
      <c r="R108" s="307" t="n"/>
      <c r="S108" s="307" t="n"/>
      <c r="T108" s="307" t="n"/>
      <c r="U108" s="307" t="n"/>
      <c r="V108" s="307" t="n"/>
      <c r="W108" s="307" t="n"/>
      <c r="X108" s="307" t="n"/>
      <c r="Y108" s="307" t="n"/>
      <c r="Z108" s="307" t="n"/>
      <c r="AA108" s="307" t="n"/>
      <c r="AB108" s="307" t="n"/>
      <c r="AC108" s="307" t="n"/>
      <c r="AD108" s="307" t="n"/>
      <c r="AE108" s="307" t="n"/>
      <c r="AF108" s="307" t="n"/>
      <c r="AG108" s="307" t="n"/>
      <c r="AH108" s="307" t="n"/>
      <c r="AI108" s="307" t="n"/>
      <c r="AJ108" s="307" t="n"/>
      <c r="AK108" s="307" t="n"/>
      <c r="AL108" s="307" t="n"/>
      <c r="AM108" s="307" t="n"/>
      <c r="AN108" s="307" t="n"/>
      <c r="AO108" s="307" t="n"/>
      <c r="AP108" s="307" t="n"/>
      <c r="AQ108" s="307" t="n"/>
      <c r="AR108" s="307" t="n"/>
    </row>
    <row r="109" ht="15.75" customHeight="1" s="349">
      <c r="A109" s="307" t="n"/>
      <c r="B109" s="307" t="n"/>
      <c r="C109" s="307" t="n"/>
      <c r="D109" s="307" t="n"/>
      <c r="E109" s="307" t="n"/>
      <c r="F109" s="307" t="n"/>
      <c r="G109" s="307" t="n"/>
      <c r="H109" s="307" t="n"/>
      <c r="I109" s="307" t="n"/>
      <c r="J109" s="307" t="n"/>
      <c r="K109" s="307" t="n"/>
      <c r="L109" s="307" t="n"/>
      <c r="M109" s="307" t="n"/>
      <c r="N109" s="307" t="n"/>
      <c r="O109" s="307" t="n"/>
      <c r="P109" s="307" t="n"/>
      <c r="Q109" s="307" t="n"/>
      <c r="R109" s="307" t="n"/>
      <c r="S109" s="307" t="n"/>
      <c r="T109" s="307" t="n"/>
      <c r="U109" s="307" t="n"/>
      <c r="V109" s="307" t="n"/>
      <c r="W109" s="307" t="n"/>
      <c r="X109" s="307" t="n"/>
      <c r="Y109" s="307" t="n"/>
      <c r="Z109" s="307" t="n"/>
      <c r="AA109" s="307" t="n"/>
      <c r="AB109" s="307" t="n"/>
      <c r="AC109" s="307" t="n"/>
      <c r="AD109" s="307" t="n"/>
      <c r="AE109" s="307" t="n"/>
      <c r="AF109" s="307" t="n"/>
      <c r="AG109" s="307" t="n"/>
      <c r="AH109" s="307" t="n"/>
      <c r="AI109" s="307" t="n"/>
      <c r="AJ109" s="307" t="n"/>
      <c r="AK109" s="307" t="n"/>
      <c r="AL109" s="307" t="n"/>
      <c r="AM109" s="307" t="n"/>
      <c r="AN109" s="307" t="n"/>
      <c r="AO109" s="307" t="n"/>
      <c r="AP109" s="307" t="n"/>
      <c r="AQ109" s="307" t="n"/>
      <c r="AR109" s="307" t="n"/>
    </row>
    <row r="110" ht="15.75" customHeight="1" s="349">
      <c r="A110" s="307" t="n"/>
      <c r="B110" s="307" t="n"/>
      <c r="C110" s="307" t="n"/>
      <c r="D110" s="307" t="n"/>
      <c r="E110" s="307" t="n"/>
      <c r="F110" s="307" t="n"/>
      <c r="G110" s="307" t="n"/>
      <c r="H110" s="307" t="n"/>
      <c r="I110" s="307" t="n"/>
      <c r="J110" s="307" t="n"/>
      <c r="K110" s="307" t="n"/>
      <c r="L110" s="307" t="n"/>
      <c r="M110" s="307" t="n"/>
      <c r="N110" s="307" t="n"/>
      <c r="O110" s="307" t="n"/>
      <c r="P110" s="307" t="n"/>
      <c r="Q110" s="307" t="n"/>
      <c r="R110" s="307" t="n"/>
      <c r="S110" s="307" t="n"/>
      <c r="T110" s="307" t="n"/>
      <c r="U110" s="307" t="n"/>
      <c r="V110" s="307" t="n"/>
      <c r="W110" s="307" t="n"/>
      <c r="X110" s="307" t="n"/>
      <c r="Y110" s="307" t="n"/>
      <c r="Z110" s="307" t="n"/>
      <c r="AA110" s="307" t="n"/>
      <c r="AB110" s="307" t="n"/>
      <c r="AC110" s="307" t="n"/>
      <c r="AD110" s="307" t="n"/>
      <c r="AE110" s="307" t="n"/>
      <c r="AF110" s="307" t="n"/>
      <c r="AG110" s="307" t="n"/>
      <c r="AH110" s="307" t="n"/>
      <c r="AI110" s="307" t="n"/>
      <c r="AJ110" s="307" t="n"/>
      <c r="AK110" s="307" t="n"/>
      <c r="AL110" s="307" t="n"/>
      <c r="AM110" s="307" t="n"/>
      <c r="AN110" s="307" t="n"/>
      <c r="AO110" s="307" t="n"/>
      <c r="AP110" s="307" t="n"/>
      <c r="AQ110" s="307" t="n"/>
      <c r="AR110" s="307" t="n"/>
    </row>
    <row r="111" ht="15.75" customHeight="1" s="349">
      <c r="A111" s="307" t="n"/>
      <c r="B111" s="307" t="n"/>
      <c r="C111" s="307" t="n"/>
      <c r="D111" s="307" t="n"/>
      <c r="E111" s="307" t="n"/>
      <c r="F111" s="307" t="n"/>
      <c r="G111" s="307" t="n"/>
      <c r="H111" s="307" t="n"/>
      <c r="I111" s="307" t="n"/>
      <c r="J111" s="307" t="n"/>
      <c r="K111" s="307" t="n"/>
      <c r="L111" s="307" t="n"/>
      <c r="M111" s="307" t="n"/>
      <c r="N111" s="307" t="n"/>
      <c r="O111" s="307" t="n"/>
      <c r="P111" s="307" t="n"/>
      <c r="Q111" s="307" t="n"/>
      <c r="R111" s="307" t="n"/>
      <c r="S111" s="307" t="n"/>
      <c r="T111" s="307" t="n"/>
      <c r="U111" s="307" t="n"/>
      <c r="V111" s="307" t="n"/>
      <c r="W111" s="307" t="n"/>
      <c r="X111" s="307" t="n"/>
      <c r="Y111" s="307" t="n"/>
      <c r="Z111" s="307" t="n"/>
      <c r="AA111" s="307" t="n"/>
      <c r="AB111" s="307" t="n"/>
      <c r="AC111" s="307" t="n"/>
      <c r="AD111" s="307" t="n"/>
      <c r="AE111" s="307" t="n"/>
      <c r="AF111" s="307" t="n"/>
      <c r="AG111" s="307" t="n"/>
      <c r="AH111" s="307" t="n"/>
      <c r="AI111" s="307" t="n"/>
      <c r="AJ111" s="307" t="n"/>
      <c r="AK111" s="307" t="n"/>
      <c r="AL111" s="307" t="n"/>
      <c r="AM111" s="307" t="n"/>
      <c r="AN111" s="307" t="n"/>
      <c r="AO111" s="307" t="n"/>
      <c r="AP111" s="307" t="n"/>
      <c r="AQ111" s="307" t="n"/>
      <c r="AR111" s="307" t="n"/>
    </row>
    <row r="112" ht="15.75" customHeight="1" s="349">
      <c r="A112" s="307" t="n"/>
      <c r="B112" s="307" t="n"/>
      <c r="C112" s="307" t="n"/>
      <c r="D112" s="307" t="n"/>
      <c r="E112" s="307" t="n"/>
      <c r="F112" s="307" t="n"/>
      <c r="G112" s="307" t="n"/>
      <c r="H112" s="307" t="n"/>
      <c r="I112" s="307" t="n"/>
      <c r="J112" s="307" t="n"/>
      <c r="K112" s="307" t="n"/>
      <c r="L112" s="307" t="n"/>
      <c r="M112" s="307" t="n"/>
      <c r="N112" s="307" t="n"/>
      <c r="O112" s="307" t="n"/>
      <c r="P112" s="307" t="n"/>
      <c r="Q112" s="307" t="n"/>
      <c r="R112" s="307" t="n"/>
      <c r="S112" s="307" t="n"/>
      <c r="T112" s="307" t="n"/>
      <c r="U112" s="307" t="n"/>
      <c r="V112" s="307" t="n"/>
      <c r="W112" s="307" t="n"/>
      <c r="X112" s="307" t="n"/>
      <c r="Y112" s="307" t="n"/>
      <c r="Z112" s="307" t="n"/>
      <c r="AA112" s="307" t="n"/>
      <c r="AB112" s="307" t="n"/>
      <c r="AC112" s="307" t="n"/>
      <c r="AD112" s="307" t="n"/>
      <c r="AE112" s="307" t="n"/>
      <c r="AF112" s="307" t="n"/>
      <c r="AG112" s="307" t="n"/>
      <c r="AH112" s="307" t="n"/>
      <c r="AI112" s="307" t="n"/>
      <c r="AJ112" s="307" t="n"/>
      <c r="AK112" s="307" t="n"/>
      <c r="AL112" s="307" t="n"/>
      <c r="AM112" s="307" t="n"/>
      <c r="AN112" s="307" t="n"/>
      <c r="AO112" s="307" t="n"/>
      <c r="AP112" s="307" t="n"/>
      <c r="AQ112" s="307" t="n"/>
      <c r="AR112" s="307" t="n"/>
    </row>
    <row r="113" ht="15.75" customHeight="1" s="349">
      <c r="A113" s="307" t="n"/>
      <c r="B113" s="307" t="n"/>
      <c r="C113" s="307" t="n"/>
      <c r="D113" s="307" t="n"/>
      <c r="E113" s="307" t="n"/>
      <c r="F113" s="307" t="n"/>
      <c r="G113" s="307" t="n"/>
      <c r="H113" s="307" t="n"/>
      <c r="I113" s="307" t="n"/>
      <c r="J113" s="307" t="n"/>
      <c r="K113" s="307" t="n"/>
      <c r="L113" s="307" t="n"/>
      <c r="M113" s="307" t="n"/>
      <c r="N113" s="307" t="n"/>
      <c r="O113" s="307" t="n"/>
      <c r="P113" s="307" t="n"/>
      <c r="Q113" s="307" t="n"/>
      <c r="R113" s="307" t="n"/>
      <c r="S113" s="307" t="n"/>
      <c r="T113" s="307" t="n"/>
      <c r="U113" s="307" t="n"/>
      <c r="V113" s="307" t="n"/>
      <c r="W113" s="307" t="n"/>
      <c r="X113" s="307" t="n"/>
      <c r="Y113" s="307" t="n"/>
      <c r="Z113" s="307" t="n"/>
      <c r="AA113" s="307" t="n"/>
      <c r="AB113" s="307" t="n"/>
      <c r="AC113" s="307" t="n"/>
      <c r="AD113" s="307" t="n"/>
      <c r="AE113" s="307" t="n"/>
      <c r="AF113" s="307" t="n"/>
      <c r="AG113" s="307" t="n"/>
      <c r="AH113" s="307" t="n"/>
      <c r="AI113" s="307" t="n"/>
      <c r="AJ113" s="307" t="n"/>
      <c r="AK113" s="307" t="n"/>
      <c r="AL113" s="307" t="n"/>
      <c r="AM113" s="307" t="n"/>
      <c r="AN113" s="307" t="n"/>
      <c r="AO113" s="307" t="n"/>
      <c r="AP113" s="307" t="n"/>
      <c r="AQ113" s="307" t="n"/>
      <c r="AR113" s="307" t="n"/>
    </row>
    <row r="114" ht="15.75" customHeight="1" s="349">
      <c r="A114" s="307" t="n"/>
      <c r="B114" s="307" t="n"/>
      <c r="C114" s="307" t="n"/>
      <c r="D114" s="307" t="n"/>
      <c r="E114" s="307" t="n"/>
      <c r="F114" s="307" t="n"/>
      <c r="G114" s="307" t="n"/>
      <c r="H114" s="307" t="n"/>
      <c r="I114" s="307" t="n"/>
      <c r="J114" s="307" t="n"/>
      <c r="K114" s="307" t="n"/>
      <c r="L114" s="307" t="n"/>
      <c r="M114" s="307" t="n"/>
      <c r="N114" s="307" t="n"/>
      <c r="O114" s="307" t="n"/>
      <c r="P114" s="307" t="n"/>
      <c r="Q114" s="307" t="n"/>
      <c r="R114" s="307" t="n"/>
      <c r="S114" s="307" t="n"/>
      <c r="T114" s="307" t="n"/>
      <c r="U114" s="307" t="n"/>
      <c r="V114" s="307" t="n"/>
      <c r="W114" s="307" t="n"/>
      <c r="X114" s="307" t="n"/>
      <c r="Y114" s="307" t="n"/>
      <c r="Z114" s="307" t="n"/>
      <c r="AA114" s="307" t="n"/>
      <c r="AB114" s="307" t="n"/>
      <c r="AC114" s="307" t="n"/>
      <c r="AD114" s="307" t="n"/>
      <c r="AE114" s="307" t="n"/>
      <c r="AF114" s="307" t="n"/>
      <c r="AG114" s="307" t="n"/>
      <c r="AH114" s="307" t="n"/>
      <c r="AI114" s="307" t="n"/>
      <c r="AJ114" s="307" t="n"/>
      <c r="AK114" s="307" t="n"/>
      <c r="AL114" s="307" t="n"/>
      <c r="AM114" s="307" t="n"/>
      <c r="AN114" s="307" t="n"/>
      <c r="AO114" s="307" t="n"/>
      <c r="AP114" s="307" t="n"/>
      <c r="AQ114" s="307" t="n"/>
      <c r="AR114" s="307" t="n"/>
    </row>
    <row r="115" ht="15.75" customHeight="1" s="349">
      <c r="A115" s="307" t="n"/>
      <c r="B115" s="307" t="n"/>
      <c r="C115" s="307" t="n"/>
      <c r="D115" s="307" t="n"/>
      <c r="E115" s="307" t="n"/>
      <c r="F115" s="307" t="n"/>
      <c r="G115" s="307" t="n"/>
      <c r="H115" s="307" t="n"/>
      <c r="I115" s="307" t="n"/>
      <c r="J115" s="307" t="n"/>
      <c r="K115" s="307" t="n"/>
      <c r="L115" s="307" t="n"/>
      <c r="M115" s="307" t="n"/>
      <c r="N115" s="307" t="n"/>
      <c r="O115" s="307" t="n"/>
      <c r="P115" s="307" t="n"/>
      <c r="Q115" s="307" t="n"/>
      <c r="R115" s="307" t="n"/>
      <c r="S115" s="307" t="n"/>
      <c r="T115" s="307" t="n"/>
      <c r="U115" s="307" t="n"/>
      <c r="V115" s="307" t="n"/>
      <c r="W115" s="307" t="n"/>
      <c r="X115" s="307" t="n"/>
      <c r="Y115" s="307" t="n"/>
      <c r="Z115" s="307" t="n"/>
      <c r="AA115" s="307" t="n"/>
      <c r="AB115" s="307" t="n"/>
      <c r="AC115" s="307" t="n"/>
      <c r="AD115" s="307" t="n"/>
      <c r="AE115" s="307" t="n"/>
      <c r="AF115" s="307" t="n"/>
      <c r="AG115" s="307" t="n"/>
      <c r="AH115" s="307" t="n"/>
      <c r="AI115" s="307" t="n"/>
      <c r="AJ115" s="307" t="n"/>
      <c r="AK115" s="307" t="n"/>
      <c r="AL115" s="307" t="n"/>
      <c r="AM115" s="307" t="n"/>
      <c r="AN115" s="307" t="n"/>
      <c r="AO115" s="307" t="n"/>
      <c r="AP115" s="307" t="n"/>
      <c r="AQ115" s="307" t="n"/>
      <c r="AR115" s="307" t="n"/>
    </row>
    <row r="116" ht="15.75" customHeight="1" s="349">
      <c r="A116" s="307" t="n"/>
      <c r="B116" s="307" t="n"/>
      <c r="C116" s="307" t="n"/>
      <c r="D116" s="307" t="n"/>
      <c r="E116" s="307" t="n"/>
      <c r="F116" s="307" t="n"/>
      <c r="G116" s="307" t="n"/>
      <c r="H116" s="307" t="n"/>
      <c r="I116" s="307" t="n"/>
      <c r="J116" s="307" t="n"/>
      <c r="K116" s="307" t="n"/>
      <c r="L116" s="307" t="n"/>
      <c r="M116" s="307" t="n"/>
      <c r="N116" s="307" t="n"/>
      <c r="O116" s="307" t="n"/>
      <c r="P116" s="307" t="n"/>
      <c r="Q116" s="307" t="n"/>
      <c r="R116" s="307" t="n"/>
      <c r="S116" s="307" t="n"/>
      <c r="T116" s="307" t="n"/>
      <c r="U116" s="307" t="n"/>
      <c r="V116" s="307" t="n"/>
      <c r="W116" s="307" t="n"/>
      <c r="X116" s="307" t="n"/>
      <c r="Y116" s="307" t="n"/>
      <c r="Z116" s="307" t="n"/>
      <c r="AA116" s="307" t="n"/>
      <c r="AB116" s="307" t="n"/>
      <c r="AC116" s="307" t="n"/>
      <c r="AD116" s="307" t="n"/>
      <c r="AE116" s="307" t="n"/>
      <c r="AF116" s="307" t="n"/>
      <c r="AG116" s="307" t="n"/>
      <c r="AH116" s="307" t="n"/>
      <c r="AI116" s="307" t="n"/>
      <c r="AJ116" s="307" t="n"/>
      <c r="AK116" s="307" t="n"/>
      <c r="AL116" s="307" t="n"/>
      <c r="AM116" s="307" t="n"/>
      <c r="AN116" s="307" t="n"/>
      <c r="AO116" s="307" t="n"/>
      <c r="AP116" s="307" t="n"/>
      <c r="AQ116" s="307" t="n"/>
      <c r="AR116" s="307" t="n"/>
    </row>
    <row r="117" ht="15.75" customHeight="1" s="349">
      <c r="A117" s="307" t="n"/>
      <c r="B117" s="307" t="n"/>
      <c r="C117" s="307" t="n"/>
      <c r="D117" s="307" t="n"/>
      <c r="E117" s="307" t="n"/>
      <c r="F117" s="307" t="n"/>
      <c r="G117" s="307" t="n"/>
      <c r="H117" s="307" t="n"/>
      <c r="I117" s="307" t="n"/>
      <c r="J117" s="307" t="n"/>
      <c r="K117" s="307" t="n"/>
      <c r="L117" s="307" t="n"/>
      <c r="M117" s="307" t="n"/>
      <c r="N117" s="307" t="n"/>
      <c r="O117" s="307" t="n"/>
      <c r="P117" s="307" t="n"/>
      <c r="Q117" s="307" t="n"/>
      <c r="R117" s="307" t="n"/>
      <c r="S117" s="307" t="n"/>
      <c r="T117" s="307" t="n"/>
      <c r="U117" s="307" t="n"/>
      <c r="V117" s="307" t="n"/>
      <c r="W117" s="307" t="n"/>
      <c r="X117" s="307" t="n"/>
      <c r="Y117" s="307" t="n"/>
      <c r="Z117" s="307" t="n"/>
      <c r="AA117" s="307" t="n"/>
      <c r="AB117" s="307" t="n"/>
      <c r="AC117" s="307" t="n"/>
      <c r="AD117" s="307" t="n"/>
      <c r="AE117" s="307" t="n"/>
      <c r="AF117" s="307" t="n"/>
      <c r="AG117" s="307" t="n"/>
      <c r="AH117" s="307" t="n"/>
      <c r="AI117" s="307" t="n"/>
      <c r="AJ117" s="307" t="n"/>
      <c r="AK117" s="307" t="n"/>
      <c r="AL117" s="307" t="n"/>
      <c r="AM117" s="307" t="n"/>
      <c r="AN117" s="307" t="n"/>
      <c r="AO117" s="307" t="n"/>
      <c r="AP117" s="307" t="n"/>
      <c r="AQ117" s="307" t="n"/>
      <c r="AR117" s="307" t="n"/>
    </row>
    <row r="118" ht="15.75" customHeight="1" s="349">
      <c r="A118" s="307" t="n"/>
      <c r="B118" s="307" t="n"/>
      <c r="C118" s="307" t="n"/>
      <c r="D118" s="307" t="n"/>
      <c r="E118" s="307" t="n"/>
      <c r="F118" s="307" t="n"/>
      <c r="G118" s="307" t="n"/>
      <c r="H118" s="307" t="n"/>
      <c r="I118" s="307" t="n"/>
      <c r="J118" s="307" t="n"/>
      <c r="K118" s="307" t="n"/>
      <c r="L118" s="307" t="n"/>
      <c r="M118" s="307" t="n"/>
      <c r="N118" s="307" t="n"/>
      <c r="O118" s="307" t="n"/>
      <c r="P118" s="307" t="n"/>
      <c r="Q118" s="307" t="n"/>
      <c r="R118" s="307" t="n"/>
      <c r="S118" s="307" t="n"/>
      <c r="T118" s="307" t="n"/>
      <c r="U118" s="307" t="n"/>
      <c r="V118" s="307" t="n"/>
      <c r="W118" s="307" t="n"/>
      <c r="X118" s="307" t="n"/>
      <c r="Y118" s="307" t="n"/>
      <c r="Z118" s="307" t="n"/>
      <c r="AA118" s="307" t="n"/>
      <c r="AB118" s="307" t="n"/>
      <c r="AC118" s="307" t="n"/>
      <c r="AD118" s="307" t="n"/>
      <c r="AE118" s="307" t="n"/>
      <c r="AF118" s="307" t="n"/>
      <c r="AG118" s="307" t="n"/>
      <c r="AH118" s="307" t="n"/>
      <c r="AI118" s="307" t="n"/>
      <c r="AJ118" s="307" t="n"/>
      <c r="AK118" s="307" t="n"/>
      <c r="AL118" s="307" t="n"/>
      <c r="AM118" s="307" t="n"/>
      <c r="AN118" s="307" t="n"/>
      <c r="AO118" s="307" t="n"/>
      <c r="AP118" s="307" t="n"/>
      <c r="AQ118" s="307" t="n"/>
      <c r="AR118" s="307" t="n"/>
    </row>
    <row r="119" ht="15.75" customHeight="1" s="349">
      <c r="A119" s="307" t="n"/>
      <c r="B119" s="307" t="n"/>
      <c r="C119" s="307" t="n"/>
      <c r="D119" s="307" t="n"/>
      <c r="E119" s="307" t="n"/>
      <c r="F119" s="307" t="n"/>
      <c r="G119" s="307" t="n"/>
      <c r="H119" s="307" t="n"/>
      <c r="I119" s="307" t="n"/>
      <c r="J119" s="307" t="n"/>
      <c r="K119" s="307" t="n"/>
      <c r="L119" s="307" t="n"/>
      <c r="M119" s="307" t="n"/>
      <c r="N119" s="307" t="n"/>
      <c r="O119" s="307" t="n"/>
      <c r="P119" s="307" t="n"/>
      <c r="Q119" s="307" t="n"/>
      <c r="R119" s="307" t="n"/>
      <c r="S119" s="307" t="n"/>
      <c r="T119" s="307" t="n"/>
      <c r="U119" s="307" t="n"/>
      <c r="V119" s="307" t="n"/>
      <c r="W119" s="307" t="n"/>
      <c r="X119" s="307" t="n"/>
      <c r="Y119" s="307" t="n"/>
      <c r="Z119" s="307" t="n"/>
      <c r="AA119" s="307" t="n"/>
      <c r="AB119" s="307" t="n"/>
      <c r="AC119" s="307" t="n"/>
      <c r="AD119" s="307" t="n"/>
      <c r="AE119" s="307" t="n"/>
      <c r="AF119" s="307" t="n"/>
      <c r="AG119" s="307" t="n"/>
      <c r="AH119" s="307" t="n"/>
      <c r="AI119" s="307" t="n"/>
      <c r="AJ119" s="307" t="n"/>
      <c r="AK119" s="307" t="n"/>
      <c r="AL119" s="307" t="n"/>
      <c r="AM119" s="307" t="n"/>
      <c r="AN119" s="307" t="n"/>
      <c r="AO119" s="307" t="n"/>
      <c r="AP119" s="307" t="n"/>
      <c r="AQ119" s="307" t="n"/>
      <c r="AR119" s="307" t="n"/>
    </row>
    <row r="120" ht="15.75" customHeight="1" s="349">
      <c r="A120" s="307" t="n"/>
      <c r="B120" s="307" t="n"/>
      <c r="C120" s="307" t="n"/>
      <c r="D120" s="307" t="n"/>
      <c r="E120" s="307" t="n"/>
      <c r="F120" s="307" t="n"/>
      <c r="G120" s="307" t="n"/>
      <c r="H120" s="307" t="n"/>
      <c r="I120" s="307" t="n"/>
      <c r="J120" s="307" t="n"/>
      <c r="K120" s="307" t="n"/>
      <c r="L120" s="307" t="n"/>
      <c r="M120" s="307" t="n"/>
      <c r="N120" s="307" t="n"/>
      <c r="O120" s="307" t="n"/>
      <c r="P120" s="307" t="n"/>
      <c r="Q120" s="307" t="n"/>
      <c r="R120" s="307" t="n"/>
      <c r="S120" s="307" t="n"/>
      <c r="T120" s="307" t="n"/>
      <c r="U120" s="307" t="n"/>
      <c r="V120" s="307" t="n"/>
      <c r="W120" s="307" t="n"/>
      <c r="X120" s="307" t="n"/>
      <c r="Y120" s="307" t="n"/>
      <c r="Z120" s="307" t="n"/>
      <c r="AA120" s="307" t="n"/>
      <c r="AB120" s="307" t="n"/>
      <c r="AC120" s="307" t="n"/>
      <c r="AD120" s="307" t="n"/>
      <c r="AE120" s="307" t="n"/>
      <c r="AF120" s="307" t="n"/>
      <c r="AG120" s="307" t="n"/>
      <c r="AH120" s="307" t="n"/>
      <c r="AI120" s="307" t="n"/>
      <c r="AJ120" s="307" t="n"/>
      <c r="AK120" s="307" t="n"/>
      <c r="AL120" s="307" t="n"/>
      <c r="AM120" s="307" t="n"/>
      <c r="AN120" s="307" t="n"/>
      <c r="AO120" s="307" t="n"/>
      <c r="AP120" s="307" t="n"/>
      <c r="AQ120" s="307" t="n"/>
      <c r="AR120" s="307" t="n"/>
    </row>
    <row r="121" ht="15.75" customHeight="1" s="349">
      <c r="A121" s="307" t="n"/>
      <c r="B121" s="307" t="n"/>
      <c r="C121" s="307" t="n"/>
      <c r="D121" s="307" t="n"/>
      <c r="E121" s="307" t="n"/>
      <c r="F121" s="307" t="n"/>
      <c r="G121" s="307" t="n"/>
      <c r="H121" s="307" t="n"/>
      <c r="I121" s="307" t="n"/>
      <c r="J121" s="307" t="n"/>
      <c r="K121" s="307" t="n"/>
      <c r="L121" s="307" t="n"/>
      <c r="M121" s="307" t="n"/>
      <c r="N121" s="307" t="n"/>
      <c r="O121" s="307" t="n"/>
      <c r="P121" s="307" t="n"/>
      <c r="Q121" s="307" t="n"/>
      <c r="R121" s="307" t="n"/>
      <c r="S121" s="307" t="n"/>
      <c r="T121" s="307" t="n"/>
      <c r="U121" s="307" t="n"/>
      <c r="V121" s="307" t="n"/>
      <c r="W121" s="307" t="n"/>
      <c r="X121" s="307" t="n"/>
      <c r="Y121" s="307" t="n"/>
      <c r="Z121" s="307" t="n"/>
      <c r="AA121" s="307" t="n"/>
      <c r="AB121" s="307" t="n"/>
      <c r="AC121" s="307" t="n"/>
      <c r="AD121" s="307" t="n"/>
      <c r="AE121" s="307" t="n"/>
      <c r="AF121" s="307" t="n"/>
      <c r="AG121" s="307" t="n"/>
      <c r="AH121" s="307" t="n"/>
      <c r="AI121" s="307" t="n"/>
      <c r="AJ121" s="307" t="n"/>
      <c r="AK121" s="307" t="n"/>
      <c r="AL121" s="307" t="n"/>
      <c r="AM121" s="307" t="n"/>
      <c r="AN121" s="307" t="n"/>
      <c r="AO121" s="307" t="n"/>
      <c r="AP121" s="307" t="n"/>
      <c r="AQ121" s="307" t="n"/>
      <c r="AR121" s="307" t="n"/>
    </row>
    <row r="122" ht="15.75" customHeight="1" s="349">
      <c r="A122" s="307" t="n"/>
      <c r="B122" s="307" t="n"/>
      <c r="C122" s="307" t="n"/>
      <c r="D122" s="307" t="n"/>
      <c r="E122" s="307" t="n"/>
      <c r="F122" s="307" t="n"/>
      <c r="G122" s="307" t="n"/>
      <c r="H122" s="307" t="n"/>
      <c r="I122" s="307" t="n"/>
      <c r="J122" s="307" t="n"/>
      <c r="K122" s="307" t="n"/>
      <c r="L122" s="307" t="n"/>
      <c r="M122" s="307" t="n"/>
      <c r="N122" s="307" t="n"/>
      <c r="O122" s="307" t="n"/>
      <c r="P122" s="307" t="n"/>
      <c r="Q122" s="307" t="n"/>
      <c r="R122" s="307" t="n"/>
      <c r="S122" s="307" t="n"/>
      <c r="T122" s="307" t="n"/>
      <c r="U122" s="307" t="n"/>
      <c r="V122" s="307" t="n"/>
      <c r="W122" s="307" t="n"/>
      <c r="X122" s="307" t="n"/>
      <c r="Y122" s="307" t="n"/>
      <c r="Z122" s="307" t="n"/>
      <c r="AA122" s="307" t="n"/>
      <c r="AB122" s="307" t="n"/>
      <c r="AC122" s="307" t="n"/>
      <c r="AD122" s="307" t="n"/>
      <c r="AE122" s="307" t="n"/>
      <c r="AF122" s="307" t="n"/>
      <c r="AG122" s="307" t="n"/>
      <c r="AH122" s="307" t="n"/>
      <c r="AI122" s="307" t="n"/>
      <c r="AJ122" s="307" t="n"/>
      <c r="AK122" s="307" t="n"/>
      <c r="AL122" s="307" t="n"/>
      <c r="AM122" s="307" t="n"/>
      <c r="AN122" s="307" t="n"/>
      <c r="AO122" s="307" t="n"/>
      <c r="AP122" s="307" t="n"/>
      <c r="AQ122" s="307" t="n"/>
      <c r="AR122" s="307" t="n"/>
    </row>
    <row r="123" ht="15.75" customHeight="1" s="349">
      <c r="A123" s="307" t="n"/>
      <c r="B123" s="307" t="n"/>
      <c r="C123" s="307" t="n"/>
      <c r="D123" s="307" t="n"/>
      <c r="E123" s="307" t="n"/>
      <c r="F123" s="307" t="n"/>
      <c r="G123" s="307" t="n"/>
      <c r="H123" s="307" t="n"/>
      <c r="I123" s="307" t="n"/>
      <c r="J123" s="307" t="n"/>
      <c r="K123" s="307" t="n"/>
      <c r="L123" s="307" t="n"/>
      <c r="M123" s="307" t="n"/>
      <c r="N123" s="307" t="n"/>
      <c r="O123" s="307" t="n"/>
      <c r="P123" s="307" t="n"/>
      <c r="Q123" s="307" t="n"/>
      <c r="R123" s="307" t="n"/>
      <c r="S123" s="307" t="n"/>
      <c r="T123" s="307" t="n"/>
      <c r="U123" s="307" t="n"/>
      <c r="V123" s="307" t="n"/>
      <c r="W123" s="307" t="n"/>
      <c r="X123" s="307" t="n"/>
      <c r="Y123" s="307" t="n"/>
      <c r="Z123" s="307" t="n"/>
      <c r="AA123" s="307" t="n"/>
      <c r="AB123" s="307" t="n"/>
      <c r="AC123" s="307" t="n"/>
      <c r="AD123" s="307" t="n"/>
      <c r="AE123" s="307" t="n"/>
      <c r="AF123" s="307" t="n"/>
      <c r="AG123" s="307" t="n"/>
      <c r="AH123" s="307" t="n"/>
      <c r="AI123" s="307" t="n"/>
      <c r="AJ123" s="307" t="n"/>
      <c r="AK123" s="307" t="n"/>
      <c r="AL123" s="307" t="n"/>
      <c r="AM123" s="307" t="n"/>
      <c r="AN123" s="307" t="n"/>
      <c r="AO123" s="307" t="n"/>
      <c r="AP123" s="307" t="n"/>
      <c r="AQ123" s="307" t="n"/>
      <c r="AR123" s="307" t="n"/>
    </row>
    <row r="124" ht="15.75" customHeight="1" s="349">
      <c r="A124" s="307" t="n"/>
      <c r="B124" s="307" t="n"/>
      <c r="C124" s="307" t="n"/>
      <c r="D124" s="307" t="n"/>
      <c r="E124" s="307" t="n"/>
      <c r="F124" s="307" t="n"/>
      <c r="G124" s="307" t="n"/>
      <c r="H124" s="307" t="n"/>
      <c r="I124" s="307" t="n"/>
      <c r="J124" s="307" t="n"/>
      <c r="K124" s="307" t="n"/>
      <c r="L124" s="307" t="n"/>
      <c r="M124" s="307" t="n"/>
      <c r="N124" s="307" t="n"/>
      <c r="O124" s="307" t="n"/>
      <c r="P124" s="307" t="n"/>
      <c r="Q124" s="307" t="n"/>
      <c r="R124" s="307" t="n"/>
      <c r="S124" s="307" t="n"/>
      <c r="T124" s="307" t="n"/>
      <c r="U124" s="307" t="n"/>
      <c r="V124" s="307" t="n"/>
      <c r="W124" s="307" t="n"/>
      <c r="X124" s="307" t="n"/>
      <c r="Y124" s="307" t="n"/>
      <c r="Z124" s="307" t="n"/>
      <c r="AA124" s="307" t="n"/>
      <c r="AB124" s="307" t="n"/>
      <c r="AC124" s="307" t="n"/>
      <c r="AD124" s="307" t="n"/>
      <c r="AE124" s="307" t="n"/>
      <c r="AF124" s="307" t="n"/>
      <c r="AG124" s="307" t="n"/>
      <c r="AH124" s="307" t="n"/>
      <c r="AI124" s="307" t="n"/>
      <c r="AJ124" s="307" t="n"/>
      <c r="AK124" s="307" t="n"/>
      <c r="AL124" s="307" t="n"/>
      <c r="AM124" s="307" t="n"/>
      <c r="AN124" s="307" t="n"/>
      <c r="AO124" s="307" t="n"/>
      <c r="AP124" s="307" t="n"/>
      <c r="AQ124" s="307" t="n"/>
      <c r="AR124" s="307" t="n"/>
    </row>
    <row r="125" ht="15.75" customHeight="1" s="349">
      <c r="A125" s="307" t="n"/>
      <c r="B125" s="307" t="n"/>
      <c r="C125" s="307" t="n"/>
      <c r="D125" s="307" t="n"/>
      <c r="E125" s="307" t="n"/>
      <c r="F125" s="307" t="n"/>
      <c r="G125" s="307" t="n"/>
      <c r="H125" s="307" t="n"/>
      <c r="I125" s="307" t="n"/>
      <c r="J125" s="307" t="n"/>
      <c r="K125" s="307" t="n"/>
      <c r="L125" s="307" t="n"/>
      <c r="M125" s="307" t="n"/>
      <c r="N125" s="307" t="n"/>
      <c r="O125" s="307" t="n"/>
      <c r="P125" s="307" t="n"/>
      <c r="Q125" s="307" t="n"/>
      <c r="R125" s="307" t="n"/>
      <c r="S125" s="307" t="n"/>
      <c r="T125" s="307" t="n"/>
      <c r="U125" s="307" t="n"/>
      <c r="V125" s="307" t="n"/>
      <c r="W125" s="307" t="n"/>
      <c r="X125" s="307" t="n"/>
      <c r="Y125" s="307" t="n"/>
      <c r="Z125" s="307" t="n"/>
      <c r="AA125" s="307" t="n"/>
      <c r="AB125" s="307" t="n"/>
      <c r="AC125" s="307" t="n"/>
      <c r="AD125" s="307" t="n"/>
      <c r="AE125" s="307" t="n"/>
      <c r="AF125" s="307" t="n"/>
      <c r="AG125" s="307" t="n"/>
      <c r="AH125" s="307" t="n"/>
      <c r="AI125" s="307" t="n"/>
      <c r="AJ125" s="307" t="n"/>
      <c r="AK125" s="307" t="n"/>
      <c r="AL125" s="307" t="n"/>
      <c r="AM125" s="307" t="n"/>
      <c r="AN125" s="307" t="n"/>
      <c r="AO125" s="307" t="n"/>
      <c r="AP125" s="307" t="n"/>
      <c r="AQ125" s="307" t="n"/>
      <c r="AR125" s="307" t="n"/>
    </row>
    <row r="126" ht="15.75" customHeight="1" s="349">
      <c r="A126" s="307" t="n"/>
      <c r="B126" s="307" t="n"/>
      <c r="C126" s="307" t="n"/>
      <c r="D126" s="307" t="n"/>
      <c r="E126" s="307" t="n"/>
      <c r="F126" s="307" t="n"/>
      <c r="G126" s="307" t="n"/>
      <c r="H126" s="307" t="n"/>
      <c r="I126" s="307" t="n"/>
      <c r="J126" s="307" t="n"/>
      <c r="K126" s="307" t="n"/>
      <c r="L126" s="307" t="n"/>
      <c r="M126" s="307" t="n"/>
      <c r="N126" s="307" t="n"/>
      <c r="O126" s="307" t="n"/>
      <c r="P126" s="307" t="n"/>
      <c r="Q126" s="307" t="n"/>
      <c r="R126" s="307" t="n"/>
      <c r="S126" s="307" t="n"/>
      <c r="T126" s="307" t="n"/>
      <c r="U126" s="307" t="n"/>
      <c r="V126" s="307" t="n"/>
      <c r="W126" s="307" t="n"/>
      <c r="X126" s="307" t="n"/>
      <c r="Y126" s="307" t="n"/>
      <c r="Z126" s="307" t="n"/>
      <c r="AA126" s="307" t="n"/>
      <c r="AB126" s="307" t="n"/>
      <c r="AC126" s="307" t="n"/>
      <c r="AD126" s="307" t="n"/>
      <c r="AE126" s="307" t="n"/>
      <c r="AF126" s="307" t="n"/>
      <c r="AG126" s="307" t="n"/>
      <c r="AH126" s="307" t="n"/>
      <c r="AI126" s="307" t="n"/>
      <c r="AJ126" s="307" t="n"/>
      <c r="AK126" s="307" t="n"/>
      <c r="AL126" s="307" t="n"/>
      <c r="AM126" s="307" t="n"/>
      <c r="AN126" s="307" t="n"/>
      <c r="AO126" s="307" t="n"/>
      <c r="AP126" s="307" t="n"/>
      <c r="AQ126" s="307" t="n"/>
      <c r="AR126" s="307" t="n"/>
    </row>
    <row r="127" ht="15.75" customHeight="1" s="349">
      <c r="A127" s="307" t="n"/>
      <c r="B127" s="307" t="n"/>
      <c r="C127" s="307" t="n"/>
      <c r="D127" s="307" t="n"/>
      <c r="E127" s="307" t="n"/>
      <c r="F127" s="307" t="n"/>
      <c r="G127" s="307" t="n"/>
      <c r="H127" s="307" t="n"/>
      <c r="I127" s="307" t="n"/>
      <c r="J127" s="307" t="n"/>
      <c r="K127" s="307" t="n"/>
      <c r="L127" s="307" t="n"/>
      <c r="M127" s="307" t="n"/>
      <c r="N127" s="307" t="n"/>
      <c r="O127" s="307" t="n"/>
      <c r="P127" s="307" t="n"/>
      <c r="Q127" s="307" t="n"/>
      <c r="R127" s="307" t="n"/>
      <c r="S127" s="307" t="n"/>
      <c r="T127" s="307" t="n"/>
      <c r="U127" s="307" t="n"/>
      <c r="V127" s="307" t="n"/>
      <c r="W127" s="307" t="n"/>
      <c r="X127" s="307" t="n"/>
      <c r="Y127" s="307" t="n"/>
      <c r="Z127" s="307" t="n"/>
      <c r="AA127" s="307" t="n"/>
      <c r="AB127" s="307" t="n"/>
      <c r="AC127" s="307" t="n"/>
      <c r="AD127" s="307" t="n"/>
      <c r="AE127" s="307" t="n"/>
      <c r="AF127" s="307" t="n"/>
      <c r="AG127" s="307" t="n"/>
      <c r="AH127" s="307" t="n"/>
      <c r="AI127" s="307" t="n"/>
      <c r="AJ127" s="307" t="n"/>
      <c r="AK127" s="307" t="n"/>
      <c r="AL127" s="307" t="n"/>
      <c r="AM127" s="307" t="n"/>
      <c r="AN127" s="307" t="n"/>
      <c r="AO127" s="307" t="n"/>
      <c r="AP127" s="307" t="n"/>
      <c r="AQ127" s="307" t="n"/>
      <c r="AR127" s="307" t="n"/>
    </row>
    <row r="128" ht="15.75" customHeight="1" s="349">
      <c r="A128" s="307" t="n"/>
      <c r="B128" s="307" t="n"/>
      <c r="C128" s="307" t="n"/>
      <c r="D128" s="307" t="n"/>
      <c r="E128" s="307" t="n"/>
      <c r="F128" s="307" t="n"/>
      <c r="G128" s="307" t="n"/>
      <c r="H128" s="307" t="n"/>
      <c r="I128" s="307" t="n"/>
      <c r="J128" s="307" t="n"/>
      <c r="K128" s="307" t="n"/>
      <c r="L128" s="307" t="n"/>
      <c r="M128" s="307" t="n"/>
      <c r="N128" s="307" t="n"/>
      <c r="O128" s="307" t="n"/>
      <c r="P128" s="307" t="n"/>
      <c r="Q128" s="307" t="n"/>
      <c r="R128" s="307" t="n"/>
      <c r="S128" s="307" t="n"/>
      <c r="T128" s="307" t="n"/>
      <c r="U128" s="307" t="n"/>
      <c r="V128" s="307" t="n"/>
      <c r="W128" s="307" t="n"/>
      <c r="X128" s="307" t="n"/>
      <c r="Y128" s="307" t="n"/>
      <c r="Z128" s="307" t="n"/>
      <c r="AA128" s="307" t="n"/>
      <c r="AB128" s="307" t="n"/>
      <c r="AC128" s="307" t="n"/>
      <c r="AD128" s="307" t="n"/>
      <c r="AE128" s="307" t="n"/>
      <c r="AF128" s="307" t="n"/>
      <c r="AG128" s="307" t="n"/>
      <c r="AH128" s="307" t="n"/>
      <c r="AI128" s="307" t="n"/>
      <c r="AJ128" s="307" t="n"/>
      <c r="AK128" s="307" t="n"/>
      <c r="AL128" s="307" t="n"/>
      <c r="AM128" s="307" t="n"/>
      <c r="AN128" s="307" t="n"/>
      <c r="AO128" s="307" t="n"/>
      <c r="AP128" s="307" t="n"/>
      <c r="AQ128" s="307" t="n"/>
      <c r="AR128" s="307" t="n"/>
    </row>
    <row r="129" ht="15.75" customHeight="1" s="349">
      <c r="A129" s="307" t="n"/>
      <c r="B129" s="307" t="n"/>
      <c r="C129" s="307" t="n"/>
      <c r="D129" s="307" t="n"/>
      <c r="E129" s="307" t="n"/>
      <c r="F129" s="307" t="n"/>
      <c r="G129" s="307" t="n"/>
      <c r="H129" s="307" t="n"/>
      <c r="I129" s="307" t="n"/>
      <c r="J129" s="307" t="n"/>
      <c r="K129" s="307" t="n"/>
      <c r="L129" s="307" t="n"/>
      <c r="M129" s="307" t="n"/>
      <c r="N129" s="307" t="n"/>
      <c r="O129" s="307" t="n"/>
      <c r="P129" s="307" t="n"/>
      <c r="Q129" s="307" t="n"/>
      <c r="R129" s="307" t="n"/>
      <c r="S129" s="307" t="n"/>
      <c r="T129" s="307" t="n"/>
      <c r="U129" s="307" t="n"/>
      <c r="V129" s="307" t="n"/>
      <c r="W129" s="307" t="n"/>
      <c r="X129" s="307" t="n"/>
      <c r="Y129" s="307" t="n"/>
      <c r="Z129" s="307" t="n"/>
      <c r="AA129" s="307" t="n"/>
      <c r="AB129" s="307" t="n"/>
      <c r="AC129" s="307" t="n"/>
      <c r="AD129" s="307" t="n"/>
      <c r="AE129" s="307" t="n"/>
      <c r="AF129" s="307" t="n"/>
      <c r="AG129" s="307" t="n"/>
      <c r="AH129" s="307" t="n"/>
      <c r="AI129" s="307" t="n"/>
      <c r="AJ129" s="307" t="n"/>
      <c r="AK129" s="307" t="n"/>
      <c r="AL129" s="307" t="n"/>
      <c r="AM129" s="307" t="n"/>
      <c r="AN129" s="307" t="n"/>
      <c r="AO129" s="307" t="n"/>
      <c r="AP129" s="307" t="n"/>
      <c r="AQ129" s="307" t="n"/>
      <c r="AR129" s="307" t="n"/>
    </row>
    <row r="130" ht="15.75" customHeight="1" s="349">
      <c r="A130" s="307" t="n"/>
      <c r="B130" s="307" t="n"/>
      <c r="C130" s="307" t="n"/>
      <c r="D130" s="307" t="n"/>
      <c r="E130" s="307" t="n"/>
      <c r="F130" s="307" t="n"/>
      <c r="G130" s="307" t="n"/>
      <c r="H130" s="307" t="n"/>
      <c r="I130" s="307" t="n"/>
      <c r="J130" s="307" t="n"/>
      <c r="K130" s="307" t="n"/>
      <c r="L130" s="307" t="n"/>
      <c r="M130" s="307" t="n"/>
      <c r="N130" s="307" t="n"/>
      <c r="O130" s="307" t="n"/>
      <c r="P130" s="307" t="n"/>
      <c r="Q130" s="307" t="n"/>
      <c r="R130" s="307" t="n"/>
      <c r="S130" s="307" t="n"/>
      <c r="T130" s="307" t="n"/>
      <c r="U130" s="307" t="n"/>
      <c r="V130" s="307" t="n"/>
      <c r="W130" s="307" t="n"/>
      <c r="X130" s="307" t="n"/>
      <c r="Y130" s="307" t="n"/>
      <c r="Z130" s="307" t="n"/>
      <c r="AA130" s="307" t="n"/>
      <c r="AB130" s="307" t="n"/>
      <c r="AC130" s="307" t="n"/>
      <c r="AD130" s="307" t="n"/>
      <c r="AE130" s="307" t="n"/>
      <c r="AF130" s="307" t="n"/>
      <c r="AG130" s="307" t="n"/>
      <c r="AH130" s="307" t="n"/>
      <c r="AI130" s="307" t="n"/>
      <c r="AJ130" s="307" t="n"/>
      <c r="AK130" s="307" t="n"/>
      <c r="AL130" s="307" t="n"/>
      <c r="AM130" s="307" t="n"/>
      <c r="AN130" s="307" t="n"/>
      <c r="AO130" s="307" t="n"/>
      <c r="AP130" s="307" t="n"/>
      <c r="AQ130" s="307" t="n"/>
      <c r="AR130" s="307" t="n"/>
    </row>
    <row r="131" ht="15.75" customHeight="1" s="349">
      <c r="A131" s="307" t="n"/>
      <c r="B131" s="307" t="n"/>
      <c r="C131" s="307" t="n"/>
      <c r="D131" s="307" t="n"/>
      <c r="E131" s="307" t="n"/>
      <c r="F131" s="307" t="n"/>
      <c r="G131" s="307" t="n"/>
      <c r="H131" s="307" t="n"/>
      <c r="I131" s="307" t="n"/>
      <c r="J131" s="307" t="n"/>
      <c r="K131" s="307" t="n"/>
      <c r="L131" s="307" t="n"/>
      <c r="M131" s="307" t="n"/>
      <c r="N131" s="307" t="n"/>
      <c r="O131" s="307" t="n"/>
      <c r="P131" s="307" t="n"/>
      <c r="Q131" s="307" t="n"/>
      <c r="R131" s="307" t="n"/>
      <c r="S131" s="307" t="n"/>
      <c r="T131" s="307" t="n"/>
      <c r="U131" s="307" t="n"/>
      <c r="V131" s="307" t="n"/>
      <c r="W131" s="307" t="n"/>
      <c r="X131" s="307" t="n"/>
      <c r="Y131" s="307" t="n"/>
      <c r="Z131" s="307" t="n"/>
      <c r="AA131" s="307" t="n"/>
      <c r="AB131" s="307" t="n"/>
      <c r="AC131" s="307" t="n"/>
      <c r="AD131" s="307" t="n"/>
      <c r="AE131" s="307" t="n"/>
      <c r="AF131" s="307" t="n"/>
      <c r="AG131" s="307" t="n"/>
      <c r="AH131" s="307" t="n"/>
      <c r="AI131" s="307" t="n"/>
      <c r="AJ131" s="307" t="n"/>
      <c r="AK131" s="307" t="n"/>
      <c r="AL131" s="307" t="n"/>
      <c r="AM131" s="307" t="n"/>
      <c r="AN131" s="307" t="n"/>
      <c r="AO131" s="307" t="n"/>
      <c r="AP131" s="307" t="n"/>
      <c r="AQ131" s="307" t="n"/>
      <c r="AR131" s="307" t="n"/>
    </row>
    <row r="132" ht="15.75" customHeight="1" s="349">
      <c r="A132" s="307" t="n"/>
      <c r="B132" s="307" t="n"/>
      <c r="C132" s="307" t="n"/>
      <c r="D132" s="307" t="n"/>
      <c r="E132" s="307" t="n"/>
      <c r="F132" s="307" t="n"/>
      <c r="G132" s="307" t="n"/>
      <c r="H132" s="307" t="n"/>
      <c r="I132" s="307" t="n"/>
      <c r="J132" s="307" t="n"/>
      <c r="K132" s="307" t="n"/>
      <c r="L132" s="307" t="n"/>
      <c r="M132" s="307" t="n"/>
      <c r="N132" s="307" t="n"/>
      <c r="O132" s="307" t="n"/>
      <c r="P132" s="307" t="n"/>
      <c r="Q132" s="307" t="n"/>
      <c r="R132" s="307" t="n"/>
      <c r="S132" s="307" t="n"/>
      <c r="T132" s="307" t="n"/>
      <c r="U132" s="307" t="n"/>
      <c r="V132" s="307" t="n"/>
      <c r="W132" s="307" t="n"/>
      <c r="X132" s="307" t="n"/>
      <c r="Y132" s="307" t="n"/>
      <c r="Z132" s="307" t="n"/>
      <c r="AA132" s="307" t="n"/>
      <c r="AB132" s="307" t="n"/>
      <c r="AC132" s="307" t="n"/>
      <c r="AD132" s="307" t="n"/>
      <c r="AE132" s="307" t="n"/>
      <c r="AF132" s="307" t="n"/>
      <c r="AG132" s="307" t="n"/>
      <c r="AH132" s="307" t="n"/>
      <c r="AI132" s="307" t="n"/>
      <c r="AJ132" s="307" t="n"/>
      <c r="AK132" s="307" t="n"/>
      <c r="AL132" s="307" t="n"/>
      <c r="AM132" s="307" t="n"/>
      <c r="AN132" s="307" t="n"/>
      <c r="AO132" s="307" t="n"/>
      <c r="AP132" s="307" t="n"/>
      <c r="AQ132" s="307" t="n"/>
      <c r="AR132" s="307" t="n"/>
    </row>
    <row r="133" ht="15.75" customHeight="1" s="349">
      <c r="A133" s="307" t="n"/>
      <c r="B133" s="307" t="n"/>
      <c r="C133" s="307" t="n"/>
      <c r="D133" s="307" t="n"/>
      <c r="E133" s="307" t="n"/>
      <c r="F133" s="307" t="n"/>
      <c r="G133" s="307" t="n"/>
      <c r="H133" s="307" t="n"/>
      <c r="I133" s="307" t="n"/>
      <c r="J133" s="307" t="n"/>
      <c r="K133" s="307" t="n"/>
      <c r="L133" s="307" t="n"/>
      <c r="M133" s="307" t="n"/>
      <c r="N133" s="307" t="n"/>
      <c r="O133" s="307" t="n"/>
      <c r="P133" s="307" t="n"/>
      <c r="Q133" s="307" t="n"/>
      <c r="R133" s="307" t="n"/>
      <c r="S133" s="307" t="n"/>
      <c r="T133" s="307" t="n"/>
      <c r="U133" s="307" t="n"/>
      <c r="V133" s="307" t="n"/>
      <c r="W133" s="307" t="n"/>
      <c r="X133" s="307" t="n"/>
      <c r="Y133" s="307" t="n"/>
      <c r="Z133" s="307" t="n"/>
      <c r="AA133" s="307" t="n"/>
      <c r="AB133" s="307" t="n"/>
      <c r="AC133" s="307" t="n"/>
      <c r="AD133" s="307" t="n"/>
      <c r="AE133" s="307" t="n"/>
      <c r="AF133" s="307" t="n"/>
      <c r="AG133" s="307" t="n"/>
      <c r="AH133" s="307" t="n"/>
      <c r="AI133" s="307" t="n"/>
      <c r="AJ133" s="307" t="n"/>
      <c r="AK133" s="307" t="n"/>
      <c r="AL133" s="307" t="n"/>
      <c r="AM133" s="307" t="n"/>
      <c r="AN133" s="307" t="n"/>
      <c r="AO133" s="307" t="n"/>
      <c r="AP133" s="307" t="n"/>
      <c r="AQ133" s="307" t="n"/>
      <c r="AR133" s="307" t="n"/>
    </row>
    <row r="134" ht="15.75" customHeight="1" s="349">
      <c r="A134" s="307" t="n"/>
      <c r="B134" s="307" t="n"/>
      <c r="C134" s="307" t="n"/>
      <c r="D134" s="307" t="n"/>
      <c r="E134" s="307" t="n"/>
      <c r="F134" s="307" t="n"/>
      <c r="G134" s="307" t="n"/>
      <c r="H134" s="307" t="n"/>
      <c r="I134" s="307" t="n"/>
      <c r="J134" s="307" t="n"/>
      <c r="K134" s="307" t="n"/>
      <c r="L134" s="307" t="n"/>
      <c r="M134" s="307" t="n"/>
      <c r="N134" s="307" t="n"/>
      <c r="O134" s="307" t="n"/>
      <c r="P134" s="307" t="n"/>
      <c r="Q134" s="307" t="n"/>
      <c r="R134" s="307" t="n"/>
      <c r="S134" s="307" t="n"/>
      <c r="T134" s="307" t="n"/>
      <c r="U134" s="307" t="n"/>
      <c r="V134" s="307" t="n"/>
      <c r="W134" s="307" t="n"/>
      <c r="X134" s="307" t="n"/>
      <c r="Y134" s="307" t="n"/>
      <c r="Z134" s="307" t="n"/>
      <c r="AA134" s="307" t="n"/>
      <c r="AB134" s="307" t="n"/>
      <c r="AC134" s="307" t="n"/>
      <c r="AD134" s="307" t="n"/>
      <c r="AE134" s="307" t="n"/>
      <c r="AF134" s="307" t="n"/>
      <c r="AG134" s="307" t="n"/>
      <c r="AH134" s="307" t="n"/>
      <c r="AI134" s="307" t="n"/>
      <c r="AJ134" s="307" t="n"/>
      <c r="AK134" s="307" t="n"/>
      <c r="AL134" s="307" t="n"/>
      <c r="AM134" s="307" t="n"/>
      <c r="AN134" s="307" t="n"/>
      <c r="AO134" s="307" t="n"/>
      <c r="AP134" s="307" t="n"/>
      <c r="AQ134" s="307" t="n"/>
      <c r="AR134" s="307" t="n"/>
    </row>
    <row r="135" ht="15.75" customHeight="1" s="349">
      <c r="A135" s="307" t="n"/>
      <c r="B135" s="307" t="n"/>
      <c r="C135" s="307" t="n"/>
      <c r="D135" s="307" t="n"/>
      <c r="E135" s="307" t="n"/>
      <c r="F135" s="307" t="n"/>
      <c r="G135" s="307" t="n"/>
      <c r="H135" s="307" t="n"/>
      <c r="I135" s="307" t="n"/>
      <c r="J135" s="307" t="n"/>
      <c r="K135" s="307" t="n"/>
      <c r="L135" s="307" t="n"/>
      <c r="M135" s="307" t="n"/>
      <c r="N135" s="307" t="n"/>
      <c r="O135" s="307" t="n"/>
      <c r="P135" s="307" t="n"/>
      <c r="Q135" s="307" t="n"/>
      <c r="R135" s="307" t="n"/>
      <c r="S135" s="307" t="n"/>
      <c r="T135" s="307" t="n"/>
      <c r="U135" s="307" t="n"/>
      <c r="V135" s="307" t="n"/>
      <c r="W135" s="307" t="n"/>
      <c r="X135" s="307" t="n"/>
      <c r="Y135" s="307" t="n"/>
      <c r="Z135" s="307" t="n"/>
      <c r="AA135" s="307" t="n"/>
      <c r="AB135" s="307" t="n"/>
      <c r="AC135" s="307" t="n"/>
      <c r="AD135" s="307" t="n"/>
      <c r="AE135" s="307" t="n"/>
      <c r="AF135" s="307" t="n"/>
      <c r="AG135" s="307" t="n"/>
      <c r="AH135" s="307" t="n"/>
      <c r="AI135" s="307" t="n"/>
      <c r="AJ135" s="307" t="n"/>
      <c r="AK135" s="307" t="n"/>
      <c r="AL135" s="307" t="n"/>
      <c r="AM135" s="307" t="n"/>
      <c r="AN135" s="307" t="n"/>
      <c r="AO135" s="307" t="n"/>
      <c r="AP135" s="307" t="n"/>
      <c r="AQ135" s="307" t="n"/>
      <c r="AR135" s="307" t="n"/>
    </row>
    <row r="136" ht="15.75" customHeight="1" s="349">
      <c r="A136" s="307" t="n"/>
      <c r="B136" s="307" t="n"/>
      <c r="C136" s="307" t="n"/>
      <c r="D136" s="307" t="n"/>
      <c r="E136" s="307" t="n"/>
      <c r="F136" s="307" t="n"/>
      <c r="G136" s="307" t="n"/>
      <c r="H136" s="307" t="n"/>
      <c r="I136" s="307" t="n"/>
      <c r="J136" s="307" t="n"/>
      <c r="K136" s="307" t="n"/>
      <c r="L136" s="307" t="n"/>
      <c r="M136" s="307" t="n"/>
      <c r="N136" s="307" t="n"/>
      <c r="O136" s="307" t="n"/>
      <c r="P136" s="307" t="n"/>
      <c r="Q136" s="307" t="n"/>
      <c r="R136" s="307" t="n"/>
      <c r="S136" s="307" t="n"/>
      <c r="T136" s="307" t="n"/>
      <c r="U136" s="307" t="n"/>
      <c r="V136" s="307" t="n"/>
      <c r="W136" s="307" t="n"/>
      <c r="X136" s="307" t="n"/>
      <c r="Y136" s="307" t="n"/>
      <c r="Z136" s="307" t="n"/>
      <c r="AA136" s="307" t="n"/>
      <c r="AB136" s="307" t="n"/>
      <c r="AC136" s="307" t="n"/>
      <c r="AD136" s="307" t="n"/>
      <c r="AE136" s="307" t="n"/>
      <c r="AF136" s="307" t="n"/>
      <c r="AG136" s="307" t="n"/>
      <c r="AH136" s="307" t="n"/>
      <c r="AI136" s="307" t="n"/>
      <c r="AJ136" s="307" t="n"/>
      <c r="AK136" s="307" t="n"/>
      <c r="AL136" s="307" t="n"/>
      <c r="AM136" s="307" t="n"/>
      <c r="AN136" s="307" t="n"/>
      <c r="AO136" s="307" t="n"/>
      <c r="AP136" s="307" t="n"/>
      <c r="AQ136" s="307" t="n"/>
      <c r="AR136" s="307" t="n"/>
    </row>
    <row r="137" ht="15.75" customHeight="1" s="349">
      <c r="A137" s="307" t="n"/>
      <c r="B137" s="307" t="n"/>
      <c r="C137" s="307" t="n"/>
      <c r="D137" s="307" t="n"/>
      <c r="E137" s="307" t="n"/>
      <c r="F137" s="307" t="n"/>
      <c r="G137" s="307" t="n"/>
      <c r="H137" s="307" t="n"/>
      <c r="I137" s="307" t="n"/>
      <c r="J137" s="307" t="n"/>
      <c r="K137" s="307" t="n"/>
      <c r="L137" s="307" t="n"/>
      <c r="M137" s="307" t="n"/>
      <c r="N137" s="307" t="n"/>
      <c r="O137" s="307" t="n"/>
      <c r="P137" s="307" t="n"/>
      <c r="Q137" s="307" t="n"/>
      <c r="R137" s="307" t="n"/>
      <c r="S137" s="307" t="n"/>
      <c r="T137" s="307" t="n"/>
      <c r="U137" s="307" t="n"/>
      <c r="V137" s="307" t="n"/>
      <c r="W137" s="307" t="n"/>
      <c r="X137" s="307" t="n"/>
      <c r="Y137" s="307" t="n"/>
      <c r="Z137" s="307" t="n"/>
      <c r="AA137" s="307" t="n"/>
      <c r="AB137" s="307" t="n"/>
      <c r="AC137" s="307" t="n"/>
      <c r="AD137" s="307" t="n"/>
      <c r="AE137" s="307" t="n"/>
      <c r="AF137" s="307" t="n"/>
      <c r="AG137" s="307" t="n"/>
      <c r="AH137" s="307" t="n"/>
      <c r="AI137" s="307" t="n"/>
      <c r="AJ137" s="307" t="n"/>
      <c r="AK137" s="307" t="n"/>
      <c r="AL137" s="307" t="n"/>
      <c r="AM137" s="307" t="n"/>
      <c r="AN137" s="307" t="n"/>
      <c r="AO137" s="307" t="n"/>
      <c r="AP137" s="307" t="n"/>
      <c r="AQ137" s="307" t="n"/>
      <c r="AR137" s="307" t="n"/>
    </row>
    <row r="138" ht="15.75" customHeight="1" s="349">
      <c r="A138" s="307" t="n"/>
      <c r="B138" s="307" t="n"/>
      <c r="C138" s="307" t="n"/>
      <c r="D138" s="307" t="n"/>
      <c r="E138" s="307" t="n"/>
      <c r="F138" s="307" t="n"/>
      <c r="G138" s="307" t="n"/>
      <c r="H138" s="307" t="n"/>
      <c r="I138" s="307" t="n"/>
      <c r="J138" s="307" t="n"/>
      <c r="K138" s="307" t="n"/>
      <c r="L138" s="307" t="n"/>
      <c r="M138" s="307" t="n"/>
      <c r="N138" s="307" t="n"/>
      <c r="O138" s="307" t="n"/>
      <c r="P138" s="307" t="n"/>
      <c r="Q138" s="307" t="n"/>
      <c r="R138" s="307" t="n"/>
      <c r="S138" s="307" t="n"/>
      <c r="T138" s="307" t="n"/>
      <c r="U138" s="307" t="n"/>
      <c r="V138" s="307" t="n"/>
      <c r="W138" s="307" t="n"/>
      <c r="X138" s="307" t="n"/>
      <c r="Y138" s="307" t="n"/>
      <c r="Z138" s="307" t="n"/>
      <c r="AA138" s="307" t="n"/>
      <c r="AB138" s="307" t="n"/>
      <c r="AC138" s="307" t="n"/>
      <c r="AD138" s="307" t="n"/>
      <c r="AE138" s="307" t="n"/>
      <c r="AF138" s="307" t="n"/>
      <c r="AG138" s="307" t="n"/>
      <c r="AH138" s="307" t="n"/>
      <c r="AI138" s="307" t="n"/>
      <c r="AJ138" s="307" t="n"/>
      <c r="AK138" s="307" t="n"/>
      <c r="AL138" s="307" t="n"/>
      <c r="AM138" s="307" t="n"/>
      <c r="AN138" s="307" t="n"/>
      <c r="AO138" s="307" t="n"/>
      <c r="AP138" s="307" t="n"/>
      <c r="AQ138" s="307" t="n"/>
      <c r="AR138" s="307" t="n"/>
    </row>
    <row r="139" ht="15.75" customHeight="1" s="349">
      <c r="A139" s="307" t="n"/>
      <c r="B139" s="307" t="n"/>
      <c r="C139" s="307" t="n"/>
      <c r="D139" s="307" t="n"/>
      <c r="E139" s="307" t="n"/>
      <c r="F139" s="307" t="n"/>
      <c r="G139" s="307" t="n"/>
      <c r="H139" s="307" t="n"/>
      <c r="I139" s="307" t="n"/>
      <c r="J139" s="307" t="n"/>
      <c r="K139" s="307" t="n"/>
      <c r="L139" s="307" t="n"/>
      <c r="M139" s="307" t="n"/>
      <c r="N139" s="307" t="n"/>
      <c r="O139" s="307" t="n"/>
      <c r="P139" s="307" t="n"/>
      <c r="Q139" s="307" t="n"/>
      <c r="R139" s="307" t="n"/>
      <c r="S139" s="307" t="n"/>
      <c r="T139" s="307" t="n"/>
      <c r="U139" s="307" t="n"/>
      <c r="V139" s="307" t="n"/>
      <c r="W139" s="307" t="n"/>
      <c r="X139" s="307" t="n"/>
      <c r="Y139" s="307" t="n"/>
      <c r="Z139" s="307" t="n"/>
      <c r="AA139" s="307" t="n"/>
      <c r="AB139" s="307" t="n"/>
      <c r="AC139" s="307" t="n"/>
      <c r="AD139" s="307" t="n"/>
      <c r="AE139" s="307" t="n"/>
      <c r="AF139" s="307" t="n"/>
      <c r="AG139" s="307" t="n"/>
      <c r="AH139" s="307" t="n"/>
      <c r="AI139" s="307" t="n"/>
      <c r="AJ139" s="307" t="n"/>
      <c r="AK139" s="307" t="n"/>
      <c r="AL139" s="307" t="n"/>
      <c r="AM139" s="307" t="n"/>
      <c r="AN139" s="307" t="n"/>
      <c r="AO139" s="307" t="n"/>
      <c r="AP139" s="307" t="n"/>
      <c r="AQ139" s="307" t="n"/>
      <c r="AR139" s="307" t="n"/>
    </row>
    <row r="140" ht="15.75" customHeight="1" s="349">
      <c r="A140" s="307" t="n"/>
      <c r="B140" s="307" t="n"/>
      <c r="C140" s="307" t="n"/>
      <c r="D140" s="307" t="n"/>
      <c r="E140" s="307" t="n"/>
      <c r="F140" s="307" t="n"/>
      <c r="G140" s="307" t="n"/>
      <c r="H140" s="307" t="n"/>
      <c r="I140" s="307" t="n"/>
      <c r="J140" s="307" t="n"/>
      <c r="K140" s="307" t="n"/>
      <c r="L140" s="307" t="n"/>
      <c r="M140" s="307" t="n"/>
      <c r="N140" s="307" t="n"/>
      <c r="O140" s="307" t="n"/>
      <c r="P140" s="307" t="n"/>
      <c r="Q140" s="307" t="n"/>
      <c r="R140" s="307" t="n"/>
      <c r="S140" s="307" t="n"/>
      <c r="T140" s="307" t="n"/>
      <c r="U140" s="307" t="n"/>
      <c r="V140" s="307" t="n"/>
      <c r="W140" s="307" t="n"/>
      <c r="X140" s="307" t="n"/>
      <c r="Y140" s="307" t="n"/>
      <c r="Z140" s="307" t="n"/>
      <c r="AA140" s="307" t="n"/>
      <c r="AB140" s="307" t="n"/>
      <c r="AC140" s="307" t="n"/>
      <c r="AD140" s="307" t="n"/>
      <c r="AE140" s="307" t="n"/>
      <c r="AF140" s="307" t="n"/>
      <c r="AG140" s="307" t="n"/>
      <c r="AH140" s="307" t="n"/>
      <c r="AI140" s="307" t="n"/>
      <c r="AJ140" s="307" t="n"/>
      <c r="AK140" s="307" t="n"/>
      <c r="AL140" s="307" t="n"/>
      <c r="AM140" s="307" t="n"/>
      <c r="AN140" s="307" t="n"/>
      <c r="AO140" s="307" t="n"/>
      <c r="AP140" s="307" t="n"/>
      <c r="AQ140" s="307" t="n"/>
      <c r="AR140" s="307" t="n"/>
    </row>
    <row r="141" ht="15.75" customHeight="1" s="349">
      <c r="A141" s="307" t="n"/>
      <c r="B141" s="307" t="n"/>
      <c r="C141" s="307" t="n"/>
      <c r="D141" s="307" t="n"/>
      <c r="E141" s="307" t="n"/>
      <c r="F141" s="307" t="n"/>
      <c r="G141" s="307" t="n"/>
      <c r="H141" s="307" t="n"/>
      <c r="I141" s="307" t="n"/>
      <c r="J141" s="307" t="n"/>
      <c r="K141" s="307" t="n"/>
      <c r="L141" s="307" t="n"/>
      <c r="M141" s="307" t="n"/>
      <c r="N141" s="307" t="n"/>
      <c r="O141" s="307" t="n"/>
      <c r="P141" s="307" t="n"/>
      <c r="Q141" s="307" t="n"/>
      <c r="R141" s="307" t="n"/>
      <c r="S141" s="307" t="n"/>
      <c r="T141" s="307" t="n"/>
      <c r="U141" s="307" t="n"/>
      <c r="V141" s="307" t="n"/>
      <c r="W141" s="307" t="n"/>
      <c r="X141" s="307" t="n"/>
      <c r="Y141" s="307" t="n"/>
      <c r="Z141" s="307" t="n"/>
      <c r="AA141" s="307" t="n"/>
      <c r="AB141" s="307" t="n"/>
      <c r="AC141" s="307" t="n"/>
      <c r="AD141" s="307" t="n"/>
      <c r="AE141" s="307" t="n"/>
      <c r="AF141" s="307" t="n"/>
      <c r="AG141" s="307" t="n"/>
      <c r="AH141" s="307" t="n"/>
      <c r="AI141" s="307" t="n"/>
      <c r="AJ141" s="307" t="n"/>
      <c r="AK141" s="307" t="n"/>
      <c r="AL141" s="307" t="n"/>
      <c r="AM141" s="307" t="n"/>
      <c r="AN141" s="307" t="n"/>
      <c r="AO141" s="307" t="n"/>
      <c r="AP141" s="307" t="n"/>
      <c r="AQ141" s="307" t="n"/>
      <c r="AR141" s="307" t="n"/>
    </row>
    <row r="142" ht="15.75" customHeight="1" s="349">
      <c r="A142" s="307" t="n"/>
      <c r="B142" s="307" t="n"/>
      <c r="C142" s="307" t="n"/>
      <c r="D142" s="307" t="n"/>
      <c r="E142" s="307" t="n"/>
      <c r="F142" s="307" t="n"/>
      <c r="G142" s="307" t="n"/>
      <c r="H142" s="307" t="n"/>
      <c r="I142" s="307" t="n"/>
      <c r="J142" s="307" t="n"/>
      <c r="K142" s="307" t="n"/>
      <c r="L142" s="307" t="n"/>
      <c r="M142" s="307" t="n"/>
      <c r="N142" s="307" t="n"/>
      <c r="O142" s="307" t="n"/>
      <c r="P142" s="307" t="n"/>
      <c r="Q142" s="307" t="n"/>
      <c r="R142" s="307" t="n"/>
      <c r="S142" s="307" t="n"/>
      <c r="T142" s="307" t="n"/>
      <c r="U142" s="307" t="n"/>
      <c r="V142" s="307" t="n"/>
      <c r="W142" s="307" t="n"/>
      <c r="X142" s="307" t="n"/>
      <c r="Y142" s="307" t="n"/>
      <c r="Z142" s="307" t="n"/>
      <c r="AA142" s="307" t="n"/>
      <c r="AB142" s="307" t="n"/>
      <c r="AC142" s="307" t="n"/>
      <c r="AD142" s="307" t="n"/>
      <c r="AE142" s="307" t="n"/>
      <c r="AF142" s="307" t="n"/>
      <c r="AG142" s="307" t="n"/>
      <c r="AH142" s="307" t="n"/>
      <c r="AI142" s="307" t="n"/>
      <c r="AJ142" s="307" t="n"/>
      <c r="AK142" s="307" t="n"/>
      <c r="AL142" s="307" t="n"/>
      <c r="AM142" s="307" t="n"/>
      <c r="AN142" s="307" t="n"/>
      <c r="AO142" s="307" t="n"/>
      <c r="AP142" s="307" t="n"/>
      <c r="AQ142" s="307" t="n"/>
      <c r="AR142" s="307" t="n"/>
    </row>
    <row r="143" ht="15.75" customHeight="1" s="349">
      <c r="A143" s="307" t="n"/>
      <c r="B143" s="307" t="n"/>
      <c r="C143" s="307" t="n"/>
      <c r="D143" s="307" t="n"/>
      <c r="E143" s="307" t="n"/>
      <c r="F143" s="307" t="n"/>
      <c r="G143" s="307" t="n"/>
      <c r="H143" s="307" t="n"/>
      <c r="I143" s="307" t="n"/>
      <c r="J143" s="307" t="n"/>
      <c r="K143" s="307" t="n"/>
      <c r="L143" s="307" t="n"/>
      <c r="M143" s="307" t="n"/>
      <c r="N143" s="307" t="n"/>
      <c r="O143" s="307" t="n"/>
      <c r="P143" s="307" t="n"/>
      <c r="Q143" s="307" t="n"/>
      <c r="R143" s="307" t="n"/>
      <c r="S143" s="307" t="n"/>
      <c r="T143" s="307" t="n"/>
      <c r="U143" s="307" t="n"/>
      <c r="V143" s="307" t="n"/>
      <c r="W143" s="307" t="n"/>
      <c r="X143" s="307" t="n"/>
      <c r="Y143" s="307" t="n"/>
      <c r="Z143" s="307" t="n"/>
      <c r="AA143" s="307" t="n"/>
      <c r="AB143" s="307" t="n"/>
      <c r="AC143" s="307" t="n"/>
      <c r="AD143" s="307" t="n"/>
      <c r="AE143" s="307" t="n"/>
      <c r="AF143" s="307" t="n"/>
      <c r="AG143" s="307" t="n"/>
      <c r="AH143" s="307" t="n"/>
      <c r="AI143" s="307" t="n"/>
      <c r="AJ143" s="307" t="n"/>
      <c r="AK143" s="307" t="n"/>
      <c r="AL143" s="307" t="n"/>
      <c r="AM143" s="307" t="n"/>
      <c r="AN143" s="307" t="n"/>
      <c r="AO143" s="307" t="n"/>
      <c r="AP143" s="307" t="n"/>
      <c r="AQ143" s="307" t="n"/>
      <c r="AR143" s="307" t="n"/>
    </row>
    <row r="144" ht="15.75" customHeight="1" s="349">
      <c r="A144" s="307" t="n"/>
      <c r="B144" s="307" t="n"/>
      <c r="C144" s="307" t="n"/>
      <c r="D144" s="307" t="n"/>
      <c r="E144" s="307" t="n"/>
      <c r="F144" s="307" t="n"/>
      <c r="G144" s="307" t="n"/>
      <c r="H144" s="307" t="n"/>
      <c r="I144" s="307" t="n"/>
      <c r="J144" s="307" t="n"/>
      <c r="K144" s="307" t="n"/>
      <c r="L144" s="307" t="n"/>
      <c r="M144" s="307" t="n"/>
      <c r="N144" s="307" t="n"/>
      <c r="O144" s="307" t="n"/>
      <c r="P144" s="307" t="n"/>
      <c r="Q144" s="307" t="n"/>
      <c r="R144" s="307" t="n"/>
      <c r="S144" s="307" t="n"/>
      <c r="T144" s="307" t="n"/>
      <c r="U144" s="307" t="n"/>
      <c r="V144" s="307" t="n"/>
      <c r="W144" s="307" t="n"/>
      <c r="X144" s="307" t="n"/>
      <c r="Y144" s="307" t="n"/>
      <c r="Z144" s="307" t="n"/>
      <c r="AA144" s="307" t="n"/>
      <c r="AB144" s="307" t="n"/>
      <c r="AC144" s="307" t="n"/>
      <c r="AD144" s="307" t="n"/>
      <c r="AE144" s="307" t="n"/>
      <c r="AF144" s="307" t="n"/>
      <c r="AG144" s="307" t="n"/>
      <c r="AH144" s="307" t="n"/>
      <c r="AI144" s="307" t="n"/>
      <c r="AJ144" s="307" t="n"/>
      <c r="AK144" s="307" t="n"/>
      <c r="AL144" s="307" t="n"/>
      <c r="AM144" s="307" t="n"/>
      <c r="AN144" s="307" t="n"/>
      <c r="AO144" s="307" t="n"/>
      <c r="AP144" s="307" t="n"/>
      <c r="AQ144" s="307" t="n"/>
      <c r="AR144" s="307" t="n"/>
    </row>
    <row r="145" ht="15.75" customHeight="1" s="349">
      <c r="A145" s="307" t="n"/>
      <c r="B145" s="307" t="n"/>
      <c r="C145" s="307" t="n"/>
      <c r="D145" s="307" t="n"/>
      <c r="E145" s="307" t="n"/>
      <c r="F145" s="307" t="n"/>
      <c r="G145" s="307" t="n"/>
      <c r="H145" s="307" t="n"/>
      <c r="I145" s="307" t="n"/>
      <c r="J145" s="307" t="n"/>
      <c r="K145" s="307" t="n"/>
      <c r="L145" s="307" t="n"/>
      <c r="M145" s="307" t="n"/>
      <c r="N145" s="307" t="n"/>
      <c r="O145" s="307" t="n"/>
      <c r="P145" s="307" t="n"/>
      <c r="Q145" s="307" t="n"/>
      <c r="R145" s="307" t="n"/>
      <c r="S145" s="307" t="n"/>
      <c r="T145" s="307" t="n"/>
      <c r="U145" s="307" t="n"/>
      <c r="V145" s="307" t="n"/>
      <c r="W145" s="307" t="n"/>
      <c r="X145" s="307" t="n"/>
      <c r="Y145" s="307" t="n"/>
      <c r="Z145" s="307" t="n"/>
      <c r="AA145" s="307" t="n"/>
      <c r="AB145" s="307" t="n"/>
      <c r="AC145" s="307" t="n"/>
      <c r="AD145" s="307" t="n"/>
      <c r="AE145" s="307" t="n"/>
      <c r="AF145" s="307" t="n"/>
      <c r="AG145" s="307" t="n"/>
      <c r="AH145" s="307" t="n"/>
      <c r="AI145" s="307" t="n"/>
      <c r="AJ145" s="307" t="n"/>
      <c r="AK145" s="307" t="n"/>
      <c r="AL145" s="307" t="n"/>
      <c r="AM145" s="307" t="n"/>
      <c r="AN145" s="307" t="n"/>
      <c r="AO145" s="307" t="n"/>
      <c r="AP145" s="307" t="n"/>
      <c r="AQ145" s="307" t="n"/>
      <c r="AR145" s="307" t="n"/>
    </row>
    <row r="146" ht="15.75" customHeight="1" s="349">
      <c r="A146" s="307" t="n"/>
      <c r="B146" s="307" t="n"/>
      <c r="C146" s="307" t="n"/>
      <c r="D146" s="307" t="n"/>
      <c r="E146" s="307" t="n"/>
      <c r="F146" s="307" t="n"/>
      <c r="G146" s="307" t="n"/>
      <c r="H146" s="307" t="n"/>
      <c r="I146" s="307" t="n"/>
      <c r="J146" s="307" t="n"/>
      <c r="K146" s="307" t="n"/>
      <c r="L146" s="307" t="n"/>
      <c r="M146" s="307" t="n"/>
      <c r="N146" s="307" t="n"/>
      <c r="O146" s="307" t="n"/>
      <c r="P146" s="307" t="n"/>
      <c r="Q146" s="307" t="n"/>
      <c r="R146" s="307" t="n"/>
      <c r="S146" s="307" t="n"/>
      <c r="T146" s="307" t="n"/>
      <c r="U146" s="307" t="n"/>
      <c r="V146" s="307" t="n"/>
      <c r="W146" s="307" t="n"/>
      <c r="X146" s="307" t="n"/>
      <c r="Y146" s="307" t="n"/>
      <c r="Z146" s="307" t="n"/>
      <c r="AA146" s="307" t="n"/>
      <c r="AB146" s="307" t="n"/>
      <c r="AC146" s="307" t="n"/>
      <c r="AD146" s="307" t="n"/>
      <c r="AE146" s="307" t="n"/>
      <c r="AF146" s="307" t="n"/>
      <c r="AG146" s="307" t="n"/>
      <c r="AH146" s="307" t="n"/>
      <c r="AI146" s="307" t="n"/>
      <c r="AJ146" s="307" t="n"/>
      <c r="AK146" s="307" t="n"/>
      <c r="AL146" s="307" t="n"/>
      <c r="AM146" s="307" t="n"/>
      <c r="AN146" s="307" t="n"/>
      <c r="AO146" s="307" t="n"/>
      <c r="AP146" s="307" t="n"/>
      <c r="AQ146" s="307" t="n"/>
      <c r="AR146" s="307" t="n"/>
    </row>
    <row r="147" ht="15.75" customHeight="1" s="349">
      <c r="A147" s="307" t="n"/>
      <c r="B147" s="307" t="n"/>
      <c r="C147" s="307" t="n"/>
      <c r="D147" s="307" t="n"/>
      <c r="E147" s="307" t="n"/>
      <c r="F147" s="307" t="n"/>
      <c r="G147" s="307" t="n"/>
      <c r="H147" s="307" t="n"/>
      <c r="I147" s="307" t="n"/>
      <c r="J147" s="307" t="n"/>
      <c r="K147" s="307" t="n"/>
      <c r="L147" s="307" t="n"/>
      <c r="M147" s="307" t="n"/>
      <c r="N147" s="307" t="n"/>
      <c r="O147" s="307" t="n"/>
      <c r="P147" s="307" t="n"/>
      <c r="Q147" s="307" t="n"/>
      <c r="R147" s="307" t="n"/>
      <c r="S147" s="307" t="n"/>
      <c r="T147" s="307" t="n"/>
      <c r="U147" s="307" t="n"/>
      <c r="V147" s="307" t="n"/>
      <c r="W147" s="307" t="n"/>
      <c r="X147" s="307" t="n"/>
      <c r="Y147" s="307" t="n"/>
      <c r="Z147" s="307" t="n"/>
      <c r="AA147" s="307" t="n"/>
      <c r="AB147" s="307" t="n"/>
      <c r="AC147" s="307" t="n"/>
      <c r="AD147" s="307" t="n"/>
      <c r="AE147" s="307" t="n"/>
      <c r="AF147" s="307" t="n"/>
      <c r="AG147" s="307" t="n"/>
      <c r="AH147" s="307" t="n"/>
      <c r="AI147" s="307" t="n"/>
      <c r="AJ147" s="307" t="n"/>
      <c r="AK147" s="307" t="n"/>
      <c r="AL147" s="307" t="n"/>
      <c r="AM147" s="307" t="n"/>
      <c r="AN147" s="307" t="n"/>
      <c r="AO147" s="307" t="n"/>
      <c r="AP147" s="307" t="n"/>
      <c r="AQ147" s="307" t="n"/>
      <c r="AR147" s="307" t="n"/>
    </row>
    <row r="148" ht="15.75" customHeight="1" s="349">
      <c r="A148" s="307" t="n"/>
      <c r="B148" s="307" t="n"/>
      <c r="C148" s="307" t="n"/>
      <c r="D148" s="307" t="n"/>
      <c r="E148" s="307" t="n"/>
      <c r="F148" s="307" t="n"/>
      <c r="G148" s="307" t="n"/>
      <c r="H148" s="307" t="n"/>
      <c r="I148" s="307" t="n"/>
      <c r="J148" s="307" t="n"/>
      <c r="K148" s="307" t="n"/>
      <c r="L148" s="307" t="n"/>
      <c r="M148" s="307" t="n"/>
      <c r="N148" s="307" t="n"/>
      <c r="O148" s="307" t="n"/>
      <c r="P148" s="307" t="n"/>
      <c r="Q148" s="307" t="n"/>
      <c r="R148" s="307" t="n"/>
      <c r="S148" s="307" t="n"/>
      <c r="T148" s="307" t="n"/>
      <c r="U148" s="307" t="n"/>
      <c r="V148" s="307" t="n"/>
      <c r="W148" s="307" t="n"/>
      <c r="X148" s="307" t="n"/>
      <c r="Y148" s="307" t="n"/>
      <c r="Z148" s="307" t="n"/>
      <c r="AA148" s="307" t="n"/>
      <c r="AB148" s="307" t="n"/>
      <c r="AC148" s="307" t="n"/>
      <c r="AD148" s="307" t="n"/>
      <c r="AE148" s="307" t="n"/>
      <c r="AF148" s="307" t="n"/>
      <c r="AG148" s="307" t="n"/>
      <c r="AH148" s="307" t="n"/>
      <c r="AI148" s="307" t="n"/>
      <c r="AJ148" s="307" t="n"/>
      <c r="AK148" s="307" t="n"/>
      <c r="AL148" s="307" t="n"/>
      <c r="AM148" s="307" t="n"/>
      <c r="AN148" s="307" t="n"/>
      <c r="AO148" s="307" t="n"/>
      <c r="AP148" s="307" t="n"/>
      <c r="AQ148" s="307" t="n"/>
      <c r="AR148" s="307" t="n"/>
    </row>
    <row r="149" ht="15.75" customHeight="1" s="349">
      <c r="A149" s="307" t="n"/>
      <c r="B149" s="307" t="n"/>
      <c r="C149" s="307" t="n"/>
      <c r="D149" s="307" t="n"/>
      <c r="E149" s="307" t="n"/>
      <c r="F149" s="307" t="n"/>
      <c r="G149" s="307" t="n"/>
      <c r="H149" s="307" t="n"/>
      <c r="I149" s="307" t="n"/>
      <c r="J149" s="307" t="n"/>
      <c r="K149" s="307" t="n"/>
      <c r="L149" s="307" t="n"/>
      <c r="M149" s="307" t="n"/>
      <c r="N149" s="307" t="n"/>
      <c r="O149" s="307" t="n"/>
      <c r="P149" s="307" t="n"/>
      <c r="Q149" s="307" t="n"/>
      <c r="R149" s="307" t="n"/>
      <c r="S149" s="307" t="n"/>
      <c r="T149" s="307" t="n"/>
      <c r="U149" s="307" t="n"/>
      <c r="V149" s="307" t="n"/>
      <c r="W149" s="307" t="n"/>
      <c r="X149" s="307" t="n"/>
      <c r="Y149" s="307" t="n"/>
      <c r="Z149" s="307" t="n"/>
      <c r="AA149" s="307" t="n"/>
      <c r="AB149" s="307" t="n"/>
      <c r="AC149" s="307" t="n"/>
      <c r="AD149" s="307" t="n"/>
      <c r="AE149" s="307" t="n"/>
      <c r="AF149" s="307" t="n"/>
      <c r="AG149" s="307" t="n"/>
      <c r="AH149" s="307" t="n"/>
      <c r="AI149" s="307" t="n"/>
      <c r="AJ149" s="307" t="n"/>
      <c r="AK149" s="307" t="n"/>
      <c r="AL149" s="307" t="n"/>
      <c r="AM149" s="307" t="n"/>
      <c r="AN149" s="307" t="n"/>
      <c r="AO149" s="307" t="n"/>
      <c r="AP149" s="307" t="n"/>
      <c r="AQ149" s="307" t="n"/>
      <c r="AR149" s="307" t="n"/>
    </row>
    <row r="150" ht="15.75" customHeight="1" s="349">
      <c r="A150" s="307" t="n"/>
      <c r="B150" s="307" t="n"/>
      <c r="C150" s="307" t="n"/>
      <c r="D150" s="307" t="n"/>
      <c r="E150" s="307" t="n"/>
      <c r="F150" s="307" t="n"/>
      <c r="G150" s="307" t="n"/>
      <c r="H150" s="307" t="n"/>
      <c r="I150" s="307" t="n"/>
      <c r="J150" s="307" t="n"/>
      <c r="K150" s="307" t="n"/>
      <c r="L150" s="307" t="n"/>
      <c r="M150" s="307" t="n"/>
      <c r="N150" s="307" t="n"/>
      <c r="O150" s="307" t="n"/>
      <c r="P150" s="307" t="n"/>
      <c r="Q150" s="307" t="n"/>
      <c r="R150" s="307" t="n"/>
      <c r="S150" s="307" t="n"/>
      <c r="T150" s="307" t="n"/>
      <c r="U150" s="307" t="n"/>
      <c r="V150" s="307" t="n"/>
      <c r="W150" s="307" t="n"/>
      <c r="X150" s="307" t="n"/>
      <c r="Y150" s="307" t="n"/>
      <c r="Z150" s="307" t="n"/>
      <c r="AA150" s="307" t="n"/>
      <c r="AB150" s="307" t="n"/>
      <c r="AC150" s="307" t="n"/>
      <c r="AD150" s="307" t="n"/>
      <c r="AE150" s="307" t="n"/>
      <c r="AF150" s="307" t="n"/>
      <c r="AG150" s="307" t="n"/>
      <c r="AH150" s="307" t="n"/>
      <c r="AI150" s="307" t="n"/>
      <c r="AJ150" s="307" t="n"/>
      <c r="AK150" s="307" t="n"/>
      <c r="AL150" s="307" t="n"/>
      <c r="AM150" s="307" t="n"/>
      <c r="AN150" s="307" t="n"/>
      <c r="AO150" s="307" t="n"/>
      <c r="AP150" s="307" t="n"/>
      <c r="AQ150" s="307" t="n"/>
      <c r="AR150" s="307" t="n"/>
    </row>
    <row r="151" ht="15.75" customHeight="1" s="349">
      <c r="A151" s="307" t="n"/>
      <c r="B151" s="307" t="n"/>
      <c r="C151" s="307" t="n"/>
      <c r="D151" s="307" t="n"/>
      <c r="E151" s="307" t="n"/>
      <c r="F151" s="307" t="n"/>
      <c r="G151" s="307" t="n"/>
      <c r="H151" s="307" t="n"/>
      <c r="I151" s="307" t="n"/>
      <c r="J151" s="307" t="n"/>
      <c r="K151" s="307" t="n"/>
      <c r="L151" s="307" t="n"/>
      <c r="M151" s="307" t="n"/>
      <c r="N151" s="307" t="n"/>
      <c r="O151" s="307" t="n"/>
      <c r="P151" s="307" t="n"/>
      <c r="Q151" s="307" t="n"/>
      <c r="R151" s="307" t="n"/>
      <c r="S151" s="307" t="n"/>
      <c r="T151" s="307" t="n"/>
      <c r="U151" s="307" t="n"/>
      <c r="V151" s="307" t="n"/>
      <c r="W151" s="307" t="n"/>
      <c r="X151" s="307" t="n"/>
      <c r="Y151" s="307" t="n"/>
      <c r="Z151" s="307" t="n"/>
      <c r="AA151" s="307" t="n"/>
      <c r="AB151" s="307" t="n"/>
      <c r="AC151" s="307" t="n"/>
      <c r="AD151" s="307" t="n"/>
      <c r="AE151" s="307" t="n"/>
      <c r="AF151" s="307" t="n"/>
      <c r="AG151" s="307" t="n"/>
      <c r="AH151" s="307" t="n"/>
      <c r="AI151" s="307" t="n"/>
      <c r="AJ151" s="307" t="n"/>
      <c r="AK151" s="307" t="n"/>
      <c r="AL151" s="307" t="n"/>
      <c r="AM151" s="307" t="n"/>
      <c r="AN151" s="307" t="n"/>
      <c r="AO151" s="307" t="n"/>
      <c r="AP151" s="307" t="n"/>
      <c r="AQ151" s="307" t="n"/>
      <c r="AR151" s="307" t="n"/>
    </row>
    <row r="152" ht="15.75" customHeight="1" s="349">
      <c r="A152" s="307" t="n"/>
      <c r="B152" s="307" t="n"/>
      <c r="C152" s="307" t="n"/>
      <c r="D152" s="307" t="n"/>
      <c r="E152" s="307" t="n"/>
      <c r="F152" s="307" t="n"/>
      <c r="G152" s="307" t="n"/>
      <c r="H152" s="307" t="n"/>
      <c r="I152" s="307" t="n"/>
      <c r="J152" s="307" t="n"/>
      <c r="K152" s="307" t="n"/>
      <c r="L152" s="307" t="n"/>
      <c r="M152" s="307" t="n"/>
      <c r="N152" s="307" t="n"/>
      <c r="O152" s="307" t="n"/>
      <c r="P152" s="307" t="n"/>
      <c r="Q152" s="307" t="n"/>
      <c r="R152" s="307" t="n"/>
      <c r="S152" s="307" t="n"/>
      <c r="T152" s="307" t="n"/>
      <c r="U152" s="307" t="n"/>
      <c r="V152" s="307" t="n"/>
      <c r="W152" s="307" t="n"/>
      <c r="X152" s="307" t="n"/>
      <c r="Y152" s="307" t="n"/>
      <c r="Z152" s="307" t="n"/>
      <c r="AA152" s="307" t="n"/>
      <c r="AB152" s="307" t="n"/>
      <c r="AC152" s="307" t="n"/>
      <c r="AD152" s="307" t="n"/>
      <c r="AE152" s="307" t="n"/>
      <c r="AF152" s="307" t="n"/>
      <c r="AG152" s="307" t="n"/>
      <c r="AH152" s="307" t="n"/>
      <c r="AI152" s="307" t="n"/>
      <c r="AJ152" s="307" t="n"/>
      <c r="AK152" s="307" t="n"/>
      <c r="AL152" s="307" t="n"/>
      <c r="AM152" s="307" t="n"/>
      <c r="AN152" s="307" t="n"/>
      <c r="AO152" s="307" t="n"/>
      <c r="AP152" s="307" t="n"/>
      <c r="AQ152" s="307" t="n"/>
      <c r="AR152" s="307" t="n"/>
    </row>
    <row r="153" ht="15.75" customHeight="1" s="349">
      <c r="A153" s="307" t="n"/>
      <c r="B153" s="307" t="n"/>
      <c r="C153" s="307" t="n"/>
      <c r="D153" s="307" t="n"/>
      <c r="E153" s="307" t="n"/>
      <c r="F153" s="307" t="n"/>
      <c r="G153" s="307" t="n"/>
      <c r="H153" s="307" t="n"/>
      <c r="I153" s="307" t="n"/>
      <c r="J153" s="307" t="n"/>
      <c r="K153" s="307" t="n"/>
      <c r="L153" s="307" t="n"/>
      <c r="M153" s="307" t="n"/>
      <c r="N153" s="307" t="n"/>
      <c r="O153" s="307" t="n"/>
      <c r="P153" s="307" t="n"/>
      <c r="Q153" s="307" t="n"/>
      <c r="R153" s="307" t="n"/>
      <c r="S153" s="307" t="n"/>
      <c r="T153" s="307" t="n"/>
      <c r="U153" s="307" t="n"/>
      <c r="V153" s="307" t="n"/>
      <c r="W153" s="307" t="n"/>
      <c r="X153" s="307" t="n"/>
      <c r="Y153" s="307" t="n"/>
      <c r="Z153" s="307" t="n"/>
      <c r="AA153" s="307" t="n"/>
      <c r="AB153" s="307" t="n"/>
      <c r="AC153" s="307" t="n"/>
      <c r="AD153" s="307" t="n"/>
      <c r="AE153" s="307" t="n"/>
      <c r="AF153" s="307" t="n"/>
      <c r="AG153" s="307" t="n"/>
      <c r="AH153" s="307" t="n"/>
      <c r="AI153" s="307" t="n"/>
      <c r="AJ153" s="307" t="n"/>
      <c r="AK153" s="307" t="n"/>
      <c r="AL153" s="307" t="n"/>
      <c r="AM153" s="307" t="n"/>
      <c r="AN153" s="307" t="n"/>
      <c r="AO153" s="307" t="n"/>
      <c r="AP153" s="307" t="n"/>
      <c r="AQ153" s="307" t="n"/>
      <c r="AR153" s="307" t="n"/>
    </row>
    <row r="154" ht="15.75" customHeight="1" s="349">
      <c r="A154" s="307" t="n"/>
      <c r="B154" s="307" t="n"/>
      <c r="C154" s="307" t="n"/>
      <c r="D154" s="307" t="n"/>
      <c r="E154" s="307" t="n"/>
      <c r="F154" s="307" t="n"/>
      <c r="G154" s="307" t="n"/>
      <c r="H154" s="307" t="n"/>
      <c r="I154" s="307" t="n"/>
      <c r="J154" s="307" t="n"/>
      <c r="K154" s="307" t="n"/>
      <c r="L154" s="307" t="n"/>
      <c r="M154" s="307" t="n"/>
      <c r="N154" s="307" t="n"/>
      <c r="O154" s="307" t="n"/>
      <c r="P154" s="307" t="n"/>
      <c r="Q154" s="307" t="n"/>
      <c r="R154" s="307" t="n"/>
      <c r="S154" s="307" t="n"/>
      <c r="T154" s="307" t="n"/>
      <c r="U154" s="307" t="n"/>
      <c r="V154" s="307" t="n"/>
      <c r="W154" s="307" t="n"/>
      <c r="X154" s="307" t="n"/>
      <c r="Y154" s="307" t="n"/>
      <c r="Z154" s="307" t="n"/>
      <c r="AA154" s="307" t="n"/>
      <c r="AB154" s="307" t="n"/>
      <c r="AC154" s="307" t="n"/>
      <c r="AD154" s="307" t="n"/>
      <c r="AE154" s="307" t="n"/>
      <c r="AF154" s="307" t="n"/>
      <c r="AG154" s="307" t="n"/>
      <c r="AH154" s="307" t="n"/>
      <c r="AI154" s="307" t="n"/>
      <c r="AJ154" s="307" t="n"/>
      <c r="AK154" s="307" t="n"/>
      <c r="AL154" s="307" t="n"/>
      <c r="AM154" s="307" t="n"/>
      <c r="AN154" s="307" t="n"/>
      <c r="AO154" s="307" t="n"/>
      <c r="AP154" s="307" t="n"/>
      <c r="AQ154" s="307" t="n"/>
      <c r="AR154" s="307" t="n"/>
    </row>
    <row r="155" ht="15.75" customHeight="1" s="349">
      <c r="A155" s="307" t="n"/>
      <c r="B155" s="307" t="n"/>
      <c r="C155" s="307" t="n"/>
      <c r="D155" s="307" t="n"/>
      <c r="E155" s="307" t="n"/>
      <c r="F155" s="307" t="n"/>
      <c r="G155" s="307" t="n"/>
      <c r="H155" s="307" t="n"/>
      <c r="I155" s="307" t="n"/>
      <c r="J155" s="307" t="n"/>
      <c r="K155" s="307" t="n"/>
      <c r="L155" s="307" t="n"/>
      <c r="M155" s="307" t="n"/>
      <c r="N155" s="307" t="n"/>
      <c r="O155" s="307" t="n"/>
      <c r="P155" s="307" t="n"/>
      <c r="Q155" s="307" t="n"/>
      <c r="R155" s="307" t="n"/>
      <c r="S155" s="307" t="n"/>
      <c r="T155" s="307" t="n"/>
      <c r="U155" s="307" t="n"/>
      <c r="V155" s="307" t="n"/>
      <c r="W155" s="307" t="n"/>
      <c r="X155" s="307" t="n"/>
      <c r="Y155" s="307" t="n"/>
      <c r="Z155" s="307" t="n"/>
      <c r="AA155" s="307" t="n"/>
      <c r="AB155" s="307" t="n"/>
      <c r="AC155" s="307" t="n"/>
      <c r="AD155" s="307" t="n"/>
      <c r="AE155" s="307" t="n"/>
      <c r="AF155" s="307" t="n"/>
      <c r="AG155" s="307" t="n"/>
      <c r="AH155" s="307" t="n"/>
      <c r="AI155" s="307" t="n"/>
      <c r="AJ155" s="307" t="n"/>
      <c r="AK155" s="307" t="n"/>
      <c r="AL155" s="307" t="n"/>
      <c r="AM155" s="307" t="n"/>
      <c r="AN155" s="307" t="n"/>
      <c r="AO155" s="307" t="n"/>
      <c r="AP155" s="307" t="n"/>
      <c r="AQ155" s="307" t="n"/>
      <c r="AR155" s="307" t="n"/>
    </row>
    <row r="156" ht="15.75" customHeight="1" s="349">
      <c r="A156" s="307" t="n"/>
      <c r="B156" s="307" t="n"/>
      <c r="C156" s="307" t="n"/>
      <c r="D156" s="307" t="n"/>
      <c r="E156" s="307" t="n"/>
      <c r="F156" s="307" t="n"/>
      <c r="G156" s="307" t="n"/>
      <c r="H156" s="307" t="n"/>
      <c r="I156" s="307" t="n"/>
      <c r="J156" s="307" t="n"/>
      <c r="K156" s="307" t="n"/>
      <c r="L156" s="307" t="n"/>
      <c r="M156" s="307" t="n"/>
      <c r="N156" s="307" t="n"/>
      <c r="O156" s="307" t="n"/>
      <c r="P156" s="307" t="n"/>
      <c r="Q156" s="307" t="n"/>
      <c r="R156" s="307" t="n"/>
      <c r="S156" s="307" t="n"/>
      <c r="T156" s="307" t="n"/>
      <c r="U156" s="307" t="n"/>
      <c r="V156" s="307" t="n"/>
      <c r="W156" s="307" t="n"/>
      <c r="X156" s="307" t="n"/>
      <c r="Y156" s="307" t="n"/>
      <c r="Z156" s="307" t="n"/>
      <c r="AA156" s="307" t="n"/>
      <c r="AB156" s="307" t="n"/>
      <c r="AC156" s="307" t="n"/>
      <c r="AD156" s="307" t="n"/>
      <c r="AE156" s="307" t="n"/>
      <c r="AF156" s="307" t="n"/>
      <c r="AG156" s="307" t="n"/>
      <c r="AH156" s="307" t="n"/>
      <c r="AI156" s="307" t="n"/>
      <c r="AJ156" s="307" t="n"/>
      <c r="AK156" s="307" t="n"/>
      <c r="AL156" s="307" t="n"/>
      <c r="AM156" s="307" t="n"/>
      <c r="AN156" s="307" t="n"/>
      <c r="AO156" s="307" t="n"/>
      <c r="AP156" s="307" t="n"/>
      <c r="AQ156" s="307" t="n"/>
      <c r="AR156" s="307" t="n"/>
    </row>
    <row r="157" ht="15.75" customHeight="1" s="349">
      <c r="A157" s="307" t="n"/>
      <c r="B157" s="307" t="n"/>
      <c r="C157" s="307" t="n"/>
      <c r="D157" s="307" t="n"/>
      <c r="E157" s="307" t="n"/>
      <c r="F157" s="307" t="n"/>
      <c r="G157" s="307" t="n"/>
      <c r="H157" s="307" t="n"/>
      <c r="I157" s="307" t="n"/>
      <c r="J157" s="307" t="n"/>
      <c r="K157" s="307" t="n"/>
      <c r="L157" s="307" t="n"/>
      <c r="M157" s="307" t="n"/>
      <c r="N157" s="307" t="n"/>
      <c r="O157" s="307" t="n"/>
      <c r="P157" s="307" t="n"/>
      <c r="Q157" s="307" t="n"/>
      <c r="R157" s="307" t="n"/>
      <c r="S157" s="307" t="n"/>
      <c r="T157" s="307" t="n"/>
      <c r="U157" s="307" t="n"/>
      <c r="V157" s="307" t="n"/>
      <c r="W157" s="307" t="n"/>
      <c r="X157" s="307" t="n"/>
      <c r="Y157" s="307" t="n"/>
      <c r="Z157" s="307" t="n"/>
      <c r="AA157" s="307" t="n"/>
      <c r="AB157" s="307" t="n"/>
      <c r="AC157" s="307" t="n"/>
      <c r="AD157" s="307" t="n"/>
      <c r="AE157" s="307" t="n"/>
      <c r="AF157" s="307" t="n"/>
      <c r="AG157" s="307" t="n"/>
      <c r="AH157" s="307" t="n"/>
      <c r="AI157" s="307" t="n"/>
      <c r="AJ157" s="307" t="n"/>
      <c r="AK157" s="307" t="n"/>
      <c r="AL157" s="307" t="n"/>
      <c r="AM157" s="307" t="n"/>
      <c r="AN157" s="307" t="n"/>
      <c r="AO157" s="307" t="n"/>
      <c r="AP157" s="307" t="n"/>
      <c r="AQ157" s="307" t="n"/>
      <c r="AR157" s="307" t="n"/>
    </row>
    <row r="158" ht="15.75" customHeight="1" s="349">
      <c r="A158" s="307" t="n"/>
      <c r="B158" s="307" t="n"/>
      <c r="C158" s="307" t="n"/>
      <c r="D158" s="307" t="n"/>
      <c r="E158" s="307" t="n"/>
      <c r="F158" s="307" t="n"/>
      <c r="G158" s="307" t="n"/>
      <c r="H158" s="307" t="n"/>
      <c r="I158" s="307" t="n"/>
      <c r="J158" s="307" t="n"/>
      <c r="K158" s="307" t="n"/>
      <c r="L158" s="307" t="n"/>
      <c r="M158" s="307" t="n"/>
      <c r="N158" s="307" t="n"/>
      <c r="O158" s="307" t="n"/>
      <c r="P158" s="307" t="n"/>
      <c r="Q158" s="307" t="n"/>
      <c r="R158" s="307" t="n"/>
      <c r="S158" s="307" t="n"/>
      <c r="T158" s="307" t="n"/>
      <c r="U158" s="307" t="n"/>
      <c r="V158" s="307" t="n"/>
      <c r="W158" s="307" t="n"/>
      <c r="X158" s="307" t="n"/>
      <c r="Y158" s="307" t="n"/>
      <c r="Z158" s="307" t="n"/>
      <c r="AA158" s="307" t="n"/>
      <c r="AB158" s="307" t="n"/>
      <c r="AC158" s="307" t="n"/>
      <c r="AD158" s="307" t="n"/>
      <c r="AE158" s="307" t="n"/>
      <c r="AF158" s="307" t="n"/>
      <c r="AG158" s="307" t="n"/>
      <c r="AH158" s="307" t="n"/>
      <c r="AI158" s="307" t="n"/>
      <c r="AJ158" s="307" t="n"/>
      <c r="AK158" s="307" t="n"/>
      <c r="AL158" s="307" t="n"/>
      <c r="AM158" s="307" t="n"/>
      <c r="AN158" s="307" t="n"/>
      <c r="AO158" s="307" t="n"/>
      <c r="AP158" s="307" t="n"/>
      <c r="AQ158" s="307" t="n"/>
      <c r="AR158" s="307" t="n"/>
    </row>
    <row r="159" ht="15.75" customHeight="1" s="349">
      <c r="A159" s="307" t="n"/>
      <c r="B159" s="307" t="n"/>
      <c r="C159" s="307" t="n"/>
      <c r="D159" s="307" t="n"/>
      <c r="E159" s="307" t="n"/>
      <c r="F159" s="307" t="n"/>
      <c r="G159" s="307" t="n"/>
      <c r="H159" s="307" t="n"/>
      <c r="I159" s="307" t="n"/>
      <c r="J159" s="307" t="n"/>
      <c r="K159" s="307" t="n"/>
      <c r="L159" s="307" t="n"/>
      <c r="M159" s="307" t="n"/>
      <c r="N159" s="307" t="n"/>
      <c r="O159" s="307" t="n"/>
      <c r="P159" s="307" t="n"/>
      <c r="Q159" s="307" t="n"/>
      <c r="R159" s="307" t="n"/>
      <c r="S159" s="307" t="n"/>
      <c r="T159" s="307" t="n"/>
      <c r="U159" s="307" t="n"/>
      <c r="V159" s="307" t="n"/>
      <c r="W159" s="307" t="n"/>
      <c r="X159" s="307" t="n"/>
      <c r="Y159" s="307" t="n"/>
      <c r="Z159" s="307" t="n"/>
      <c r="AA159" s="307" t="n"/>
      <c r="AB159" s="307" t="n"/>
      <c r="AC159" s="307" t="n"/>
      <c r="AD159" s="307" t="n"/>
      <c r="AE159" s="307" t="n"/>
      <c r="AF159" s="307" t="n"/>
      <c r="AG159" s="307" t="n"/>
      <c r="AH159" s="307" t="n"/>
      <c r="AI159" s="307" t="n"/>
      <c r="AJ159" s="307" t="n"/>
      <c r="AK159" s="307" t="n"/>
      <c r="AL159" s="307" t="n"/>
      <c r="AM159" s="307" t="n"/>
      <c r="AN159" s="307" t="n"/>
      <c r="AO159" s="307" t="n"/>
      <c r="AP159" s="307" t="n"/>
      <c r="AQ159" s="307" t="n"/>
      <c r="AR159" s="307" t="n"/>
    </row>
    <row r="160" ht="15.75" customHeight="1" s="349">
      <c r="A160" s="307" t="n"/>
      <c r="B160" s="307" t="n"/>
      <c r="C160" s="307" t="n"/>
      <c r="D160" s="307" t="n"/>
      <c r="E160" s="307" t="n"/>
      <c r="F160" s="307" t="n"/>
      <c r="G160" s="307" t="n"/>
      <c r="H160" s="307" t="n"/>
      <c r="I160" s="307" t="n"/>
      <c r="J160" s="307" t="n"/>
      <c r="K160" s="307" t="n"/>
      <c r="L160" s="307" t="n"/>
      <c r="M160" s="307" t="n"/>
      <c r="N160" s="307" t="n"/>
      <c r="O160" s="307" t="n"/>
      <c r="P160" s="307" t="n"/>
      <c r="Q160" s="307" t="n"/>
      <c r="R160" s="307" t="n"/>
      <c r="S160" s="307" t="n"/>
      <c r="T160" s="307" t="n"/>
      <c r="U160" s="307" t="n"/>
      <c r="V160" s="307" t="n"/>
      <c r="W160" s="307" t="n"/>
      <c r="X160" s="307" t="n"/>
      <c r="Y160" s="307" t="n"/>
      <c r="Z160" s="307" t="n"/>
      <c r="AA160" s="307" t="n"/>
      <c r="AB160" s="307" t="n"/>
      <c r="AC160" s="307" t="n"/>
      <c r="AD160" s="307" t="n"/>
      <c r="AE160" s="307" t="n"/>
      <c r="AF160" s="307" t="n"/>
      <c r="AG160" s="307" t="n"/>
      <c r="AH160" s="307" t="n"/>
      <c r="AI160" s="307" t="n"/>
      <c r="AJ160" s="307" t="n"/>
      <c r="AK160" s="307" t="n"/>
      <c r="AL160" s="307" t="n"/>
      <c r="AM160" s="307" t="n"/>
      <c r="AN160" s="307" t="n"/>
      <c r="AO160" s="307" t="n"/>
      <c r="AP160" s="307" t="n"/>
      <c r="AQ160" s="307" t="n"/>
      <c r="AR160" s="307" t="n"/>
    </row>
    <row r="161" ht="15.75" customHeight="1" s="349">
      <c r="A161" s="307" t="n"/>
      <c r="B161" s="307" t="n"/>
      <c r="C161" s="307" t="n"/>
      <c r="D161" s="307" t="n"/>
      <c r="E161" s="307" t="n"/>
      <c r="F161" s="307" t="n"/>
      <c r="G161" s="307" t="n"/>
      <c r="H161" s="307" t="n"/>
      <c r="I161" s="307" t="n"/>
      <c r="J161" s="307" t="n"/>
      <c r="K161" s="307" t="n"/>
      <c r="L161" s="307" t="n"/>
      <c r="M161" s="307" t="n"/>
      <c r="N161" s="307" t="n"/>
      <c r="O161" s="307" t="n"/>
      <c r="P161" s="307" t="n"/>
      <c r="Q161" s="307" t="n"/>
      <c r="R161" s="307" t="n"/>
      <c r="S161" s="307" t="n"/>
      <c r="T161" s="307" t="n"/>
      <c r="U161" s="307" t="n"/>
      <c r="V161" s="307" t="n"/>
      <c r="W161" s="307" t="n"/>
      <c r="X161" s="307" t="n"/>
      <c r="Y161" s="307" t="n"/>
      <c r="Z161" s="307" t="n"/>
      <c r="AA161" s="307" t="n"/>
      <c r="AB161" s="307" t="n"/>
      <c r="AC161" s="307" t="n"/>
      <c r="AD161" s="307" t="n"/>
      <c r="AE161" s="307" t="n"/>
      <c r="AF161" s="307" t="n"/>
      <c r="AG161" s="307" t="n"/>
      <c r="AH161" s="307" t="n"/>
      <c r="AI161" s="307" t="n"/>
      <c r="AJ161" s="307" t="n"/>
      <c r="AK161" s="307" t="n"/>
      <c r="AL161" s="307" t="n"/>
      <c r="AM161" s="307" t="n"/>
      <c r="AN161" s="307" t="n"/>
      <c r="AO161" s="307" t="n"/>
      <c r="AP161" s="307" t="n"/>
      <c r="AQ161" s="307" t="n"/>
      <c r="AR161" s="307" t="n"/>
    </row>
    <row r="162" ht="15.75" customHeight="1" s="349">
      <c r="A162" s="307" t="n"/>
      <c r="B162" s="307" t="n"/>
      <c r="C162" s="307" t="n"/>
      <c r="D162" s="307" t="n"/>
      <c r="E162" s="307" t="n"/>
      <c r="F162" s="307" t="n"/>
      <c r="G162" s="307" t="n"/>
      <c r="H162" s="307" t="n"/>
      <c r="I162" s="307" t="n"/>
      <c r="J162" s="307" t="n"/>
      <c r="K162" s="307" t="n"/>
      <c r="L162" s="307" t="n"/>
      <c r="M162" s="307" t="n"/>
      <c r="N162" s="307" t="n"/>
      <c r="O162" s="307" t="n"/>
      <c r="P162" s="307" t="n"/>
      <c r="Q162" s="307" t="n"/>
      <c r="R162" s="307" t="n"/>
      <c r="S162" s="307" t="n"/>
      <c r="T162" s="307" t="n"/>
      <c r="U162" s="307" t="n"/>
      <c r="V162" s="307" t="n"/>
      <c r="W162" s="307" t="n"/>
      <c r="X162" s="307" t="n"/>
      <c r="Y162" s="307" t="n"/>
      <c r="Z162" s="307" t="n"/>
      <c r="AA162" s="307" t="n"/>
      <c r="AB162" s="307" t="n"/>
      <c r="AC162" s="307" t="n"/>
      <c r="AD162" s="307" t="n"/>
      <c r="AE162" s="307" t="n"/>
      <c r="AF162" s="307" t="n"/>
      <c r="AG162" s="307" t="n"/>
      <c r="AH162" s="307" t="n"/>
      <c r="AI162" s="307" t="n"/>
      <c r="AJ162" s="307" t="n"/>
      <c r="AK162" s="307" t="n"/>
      <c r="AL162" s="307" t="n"/>
      <c r="AM162" s="307" t="n"/>
      <c r="AN162" s="307" t="n"/>
      <c r="AO162" s="307" t="n"/>
      <c r="AP162" s="307" t="n"/>
      <c r="AQ162" s="307" t="n"/>
      <c r="AR162" s="307" t="n"/>
    </row>
    <row r="163" ht="15.75" customHeight="1" s="349">
      <c r="A163" s="307" t="n"/>
      <c r="B163" s="307" t="n"/>
      <c r="C163" s="307" t="n"/>
      <c r="D163" s="307" t="n"/>
      <c r="E163" s="307" t="n"/>
      <c r="F163" s="307" t="n"/>
      <c r="G163" s="307" t="n"/>
      <c r="H163" s="307" t="n"/>
      <c r="I163" s="307" t="n"/>
      <c r="J163" s="307" t="n"/>
      <c r="K163" s="307" t="n"/>
      <c r="L163" s="307" t="n"/>
      <c r="M163" s="307" t="n"/>
      <c r="N163" s="307" t="n"/>
      <c r="O163" s="307" t="n"/>
      <c r="P163" s="307" t="n"/>
      <c r="Q163" s="307" t="n"/>
      <c r="R163" s="307" t="n"/>
      <c r="S163" s="307" t="n"/>
      <c r="T163" s="307" t="n"/>
      <c r="U163" s="307" t="n"/>
      <c r="V163" s="307" t="n"/>
      <c r="W163" s="307" t="n"/>
      <c r="X163" s="307" t="n"/>
      <c r="Y163" s="307" t="n"/>
      <c r="Z163" s="307" t="n"/>
      <c r="AA163" s="307" t="n"/>
      <c r="AB163" s="307" t="n"/>
      <c r="AC163" s="307" t="n"/>
      <c r="AD163" s="307" t="n"/>
      <c r="AE163" s="307" t="n"/>
      <c r="AF163" s="307" t="n"/>
      <c r="AG163" s="307" t="n"/>
      <c r="AH163" s="307" t="n"/>
      <c r="AI163" s="307" t="n"/>
      <c r="AJ163" s="307" t="n"/>
      <c r="AK163" s="307" t="n"/>
      <c r="AL163" s="307" t="n"/>
      <c r="AM163" s="307" t="n"/>
      <c r="AN163" s="307" t="n"/>
      <c r="AO163" s="307" t="n"/>
      <c r="AP163" s="307" t="n"/>
      <c r="AQ163" s="307" t="n"/>
      <c r="AR163" s="307" t="n"/>
    </row>
    <row r="164" ht="15.75" customHeight="1" s="349">
      <c r="A164" s="307" t="n"/>
      <c r="B164" s="307" t="n"/>
      <c r="C164" s="307" t="n"/>
      <c r="D164" s="307" t="n"/>
      <c r="E164" s="307" t="n"/>
      <c r="F164" s="307" t="n"/>
      <c r="G164" s="307" t="n"/>
      <c r="H164" s="307" t="n"/>
      <c r="I164" s="307" t="n"/>
      <c r="J164" s="307" t="n"/>
      <c r="K164" s="307" t="n"/>
      <c r="L164" s="307" t="n"/>
      <c r="M164" s="307" t="n"/>
      <c r="N164" s="307" t="n"/>
      <c r="O164" s="307" t="n"/>
      <c r="P164" s="307" t="n"/>
      <c r="Q164" s="307" t="n"/>
      <c r="R164" s="307" t="n"/>
      <c r="S164" s="307" t="n"/>
      <c r="T164" s="307" t="n"/>
      <c r="U164" s="307" t="n"/>
      <c r="V164" s="307" t="n"/>
      <c r="W164" s="307" t="n"/>
      <c r="X164" s="307" t="n"/>
      <c r="Y164" s="307" t="n"/>
      <c r="Z164" s="307" t="n"/>
      <c r="AA164" s="307" t="n"/>
      <c r="AB164" s="307" t="n"/>
      <c r="AC164" s="307" t="n"/>
      <c r="AD164" s="307" t="n"/>
      <c r="AE164" s="307" t="n"/>
      <c r="AF164" s="307" t="n"/>
      <c r="AG164" s="307" t="n"/>
      <c r="AH164" s="307" t="n"/>
      <c r="AI164" s="307" t="n"/>
      <c r="AJ164" s="307" t="n"/>
      <c r="AK164" s="307" t="n"/>
      <c r="AL164" s="307" t="n"/>
      <c r="AM164" s="307" t="n"/>
      <c r="AN164" s="307" t="n"/>
      <c r="AO164" s="307" t="n"/>
      <c r="AP164" s="307" t="n"/>
      <c r="AQ164" s="307" t="n"/>
      <c r="AR164" s="307" t="n"/>
    </row>
    <row r="165" ht="15.75" customHeight="1" s="349">
      <c r="A165" s="307" t="n"/>
      <c r="B165" s="307" t="n"/>
      <c r="C165" s="307" t="n"/>
      <c r="D165" s="307" t="n"/>
      <c r="E165" s="307" t="n"/>
      <c r="F165" s="307" t="n"/>
      <c r="G165" s="307" t="n"/>
      <c r="H165" s="307" t="n"/>
      <c r="I165" s="307" t="n"/>
      <c r="J165" s="307" t="n"/>
      <c r="K165" s="307" t="n"/>
      <c r="L165" s="307" t="n"/>
      <c r="M165" s="307" t="n"/>
      <c r="N165" s="307" t="n"/>
      <c r="O165" s="307" t="n"/>
      <c r="P165" s="307" t="n"/>
      <c r="Q165" s="307" t="n"/>
      <c r="R165" s="307" t="n"/>
      <c r="S165" s="307" t="n"/>
      <c r="T165" s="307" t="n"/>
      <c r="U165" s="307" t="n"/>
      <c r="V165" s="307" t="n"/>
      <c r="W165" s="307" t="n"/>
      <c r="X165" s="307" t="n"/>
      <c r="Y165" s="307" t="n"/>
      <c r="Z165" s="307" t="n"/>
      <c r="AA165" s="307" t="n"/>
      <c r="AB165" s="307" t="n"/>
      <c r="AC165" s="307" t="n"/>
      <c r="AD165" s="307" t="n"/>
      <c r="AE165" s="307" t="n"/>
      <c r="AF165" s="307" t="n"/>
      <c r="AG165" s="307" t="n"/>
      <c r="AH165" s="307" t="n"/>
      <c r="AI165" s="307" t="n"/>
      <c r="AJ165" s="307" t="n"/>
      <c r="AK165" s="307" t="n"/>
      <c r="AL165" s="307" t="n"/>
      <c r="AM165" s="307" t="n"/>
      <c r="AN165" s="307" t="n"/>
      <c r="AO165" s="307" t="n"/>
      <c r="AP165" s="307" t="n"/>
      <c r="AQ165" s="307" t="n"/>
      <c r="AR165" s="307" t="n"/>
    </row>
    <row r="166" ht="15.75" customHeight="1" s="349">
      <c r="A166" s="307" t="n"/>
      <c r="B166" s="307" t="n"/>
      <c r="C166" s="307" t="n"/>
      <c r="D166" s="307" t="n"/>
      <c r="E166" s="307" t="n"/>
      <c r="F166" s="307" t="n"/>
      <c r="G166" s="307" t="n"/>
      <c r="H166" s="307" t="n"/>
      <c r="I166" s="307" t="n"/>
      <c r="J166" s="307" t="n"/>
      <c r="K166" s="307" t="n"/>
      <c r="L166" s="307" t="n"/>
      <c r="M166" s="307" t="n"/>
      <c r="N166" s="307" t="n"/>
      <c r="O166" s="307" t="n"/>
      <c r="P166" s="307" t="n"/>
      <c r="Q166" s="307" t="n"/>
      <c r="R166" s="307" t="n"/>
      <c r="S166" s="307" t="n"/>
      <c r="T166" s="307" t="n"/>
      <c r="U166" s="307" t="n"/>
      <c r="V166" s="307" t="n"/>
      <c r="W166" s="307" t="n"/>
      <c r="X166" s="307" t="n"/>
      <c r="Y166" s="307" t="n"/>
      <c r="Z166" s="307" t="n"/>
      <c r="AA166" s="307" t="n"/>
      <c r="AB166" s="307" t="n"/>
      <c r="AC166" s="307" t="n"/>
      <c r="AD166" s="307" t="n"/>
      <c r="AE166" s="307" t="n"/>
      <c r="AF166" s="307" t="n"/>
      <c r="AG166" s="307" t="n"/>
      <c r="AH166" s="307" t="n"/>
      <c r="AI166" s="307" t="n"/>
      <c r="AJ166" s="307" t="n"/>
      <c r="AK166" s="307" t="n"/>
      <c r="AL166" s="307" t="n"/>
      <c r="AM166" s="307" t="n"/>
      <c r="AN166" s="307" t="n"/>
      <c r="AO166" s="307" t="n"/>
      <c r="AP166" s="307" t="n"/>
      <c r="AQ166" s="307" t="n"/>
      <c r="AR166" s="307" t="n"/>
    </row>
    <row r="167" ht="15.75" customHeight="1" s="349">
      <c r="A167" s="307" t="n"/>
      <c r="B167" s="307" t="n"/>
      <c r="C167" s="307" t="n"/>
      <c r="D167" s="307" t="n"/>
      <c r="E167" s="307" t="n"/>
      <c r="F167" s="307" t="n"/>
      <c r="G167" s="307" t="n"/>
      <c r="H167" s="307" t="n"/>
      <c r="I167" s="307" t="n"/>
      <c r="J167" s="307" t="n"/>
      <c r="K167" s="307" t="n"/>
      <c r="L167" s="307" t="n"/>
      <c r="M167" s="307" t="n"/>
      <c r="N167" s="307" t="n"/>
      <c r="O167" s="307" t="n"/>
      <c r="P167" s="307" t="n"/>
      <c r="Q167" s="307" t="n"/>
      <c r="R167" s="307" t="n"/>
      <c r="S167" s="307" t="n"/>
      <c r="T167" s="307" t="n"/>
      <c r="U167" s="307" t="n"/>
      <c r="V167" s="307" t="n"/>
      <c r="W167" s="307" t="n"/>
      <c r="X167" s="307" t="n"/>
      <c r="Y167" s="307" t="n"/>
      <c r="Z167" s="307" t="n"/>
      <c r="AA167" s="307" t="n"/>
      <c r="AB167" s="307" t="n"/>
      <c r="AC167" s="307" t="n"/>
      <c r="AD167" s="307" t="n"/>
      <c r="AE167" s="307" t="n"/>
      <c r="AF167" s="307" t="n"/>
      <c r="AG167" s="307" t="n"/>
      <c r="AH167" s="307" t="n"/>
      <c r="AI167" s="307" t="n"/>
      <c r="AJ167" s="307" t="n"/>
      <c r="AK167" s="307" t="n"/>
      <c r="AL167" s="307" t="n"/>
      <c r="AM167" s="307" t="n"/>
      <c r="AN167" s="307" t="n"/>
      <c r="AO167" s="307" t="n"/>
      <c r="AP167" s="307" t="n"/>
      <c r="AQ167" s="307" t="n"/>
      <c r="AR167" s="307" t="n"/>
    </row>
    <row r="168" ht="15.75" customHeight="1" s="349">
      <c r="A168" s="307" t="n"/>
      <c r="B168" s="307" t="n"/>
      <c r="C168" s="307" t="n"/>
      <c r="D168" s="307" t="n"/>
      <c r="E168" s="307" t="n"/>
      <c r="F168" s="307" t="n"/>
      <c r="G168" s="307" t="n"/>
      <c r="H168" s="307" t="n"/>
      <c r="I168" s="307" t="n"/>
      <c r="J168" s="307" t="n"/>
      <c r="K168" s="307" t="n"/>
      <c r="L168" s="307" t="n"/>
      <c r="M168" s="307" t="n"/>
      <c r="N168" s="307" t="n"/>
      <c r="O168" s="307" t="n"/>
      <c r="P168" s="307" t="n"/>
      <c r="Q168" s="307" t="n"/>
      <c r="R168" s="307" t="n"/>
      <c r="S168" s="307" t="n"/>
      <c r="T168" s="307" t="n"/>
      <c r="U168" s="307" t="n"/>
      <c r="V168" s="307" t="n"/>
      <c r="W168" s="307" t="n"/>
      <c r="X168" s="307" t="n"/>
      <c r="Y168" s="307" t="n"/>
      <c r="Z168" s="307" t="n"/>
      <c r="AA168" s="307" t="n"/>
      <c r="AB168" s="307" t="n"/>
      <c r="AC168" s="307" t="n"/>
      <c r="AD168" s="307" t="n"/>
      <c r="AE168" s="307" t="n"/>
      <c r="AF168" s="307" t="n"/>
      <c r="AG168" s="307" t="n"/>
      <c r="AH168" s="307" t="n"/>
      <c r="AI168" s="307" t="n"/>
      <c r="AJ168" s="307" t="n"/>
      <c r="AK168" s="307" t="n"/>
      <c r="AL168" s="307" t="n"/>
      <c r="AM168" s="307" t="n"/>
      <c r="AN168" s="307" t="n"/>
      <c r="AO168" s="307" t="n"/>
      <c r="AP168" s="307" t="n"/>
      <c r="AQ168" s="307" t="n"/>
      <c r="AR168" s="307" t="n"/>
    </row>
    <row r="169" ht="15.75" customHeight="1" s="349">
      <c r="A169" s="307" t="n"/>
      <c r="B169" s="307" t="n"/>
      <c r="C169" s="307" t="n"/>
      <c r="D169" s="307" t="n"/>
      <c r="E169" s="307" t="n"/>
      <c r="F169" s="307" t="n"/>
      <c r="G169" s="307" t="n"/>
      <c r="H169" s="307" t="n"/>
      <c r="I169" s="307" t="n"/>
      <c r="J169" s="307" t="n"/>
      <c r="K169" s="307" t="n"/>
      <c r="L169" s="307" t="n"/>
      <c r="M169" s="307" t="n"/>
      <c r="N169" s="307" t="n"/>
      <c r="O169" s="307" t="n"/>
      <c r="P169" s="307" t="n"/>
      <c r="Q169" s="307" t="n"/>
      <c r="R169" s="307" t="n"/>
      <c r="S169" s="307" t="n"/>
      <c r="T169" s="307" t="n"/>
      <c r="U169" s="307" t="n"/>
      <c r="V169" s="307" t="n"/>
      <c r="W169" s="307" t="n"/>
      <c r="X169" s="307" t="n"/>
      <c r="Y169" s="307" t="n"/>
      <c r="Z169" s="307" t="n"/>
      <c r="AA169" s="307" t="n"/>
      <c r="AB169" s="307" t="n"/>
      <c r="AC169" s="307" t="n"/>
      <c r="AD169" s="307" t="n"/>
      <c r="AE169" s="307" t="n"/>
      <c r="AF169" s="307" t="n"/>
      <c r="AG169" s="307" t="n"/>
      <c r="AH169" s="307" t="n"/>
      <c r="AI169" s="307" t="n"/>
      <c r="AJ169" s="307" t="n"/>
      <c r="AK169" s="307" t="n"/>
      <c r="AL169" s="307" t="n"/>
      <c r="AM169" s="307" t="n"/>
      <c r="AN169" s="307" t="n"/>
      <c r="AO169" s="307" t="n"/>
      <c r="AP169" s="307" t="n"/>
      <c r="AQ169" s="307" t="n"/>
      <c r="AR169" s="307" t="n"/>
    </row>
    <row r="170" ht="15.75" customHeight="1" s="349">
      <c r="A170" s="307" t="n"/>
      <c r="B170" s="307" t="n"/>
      <c r="C170" s="307" t="n"/>
      <c r="D170" s="307" t="n"/>
      <c r="E170" s="307" t="n"/>
      <c r="F170" s="307" t="n"/>
      <c r="G170" s="307" t="n"/>
      <c r="H170" s="307" t="n"/>
      <c r="I170" s="307" t="n"/>
      <c r="J170" s="307" t="n"/>
      <c r="K170" s="307" t="n"/>
      <c r="L170" s="307" t="n"/>
      <c r="M170" s="307" t="n"/>
      <c r="N170" s="307" t="n"/>
      <c r="O170" s="307" t="n"/>
      <c r="P170" s="307" t="n"/>
      <c r="Q170" s="307" t="n"/>
      <c r="R170" s="307" t="n"/>
      <c r="S170" s="307" t="n"/>
      <c r="T170" s="307" t="n"/>
      <c r="U170" s="307" t="n"/>
      <c r="V170" s="307" t="n"/>
      <c r="W170" s="307" t="n"/>
      <c r="X170" s="307" t="n"/>
      <c r="Y170" s="307" t="n"/>
      <c r="Z170" s="307" t="n"/>
      <c r="AA170" s="307" t="n"/>
      <c r="AB170" s="307" t="n"/>
      <c r="AC170" s="307" t="n"/>
      <c r="AD170" s="307" t="n"/>
      <c r="AE170" s="307" t="n"/>
      <c r="AF170" s="307" t="n"/>
      <c r="AG170" s="307" t="n"/>
      <c r="AH170" s="307" t="n"/>
      <c r="AI170" s="307" t="n"/>
      <c r="AJ170" s="307" t="n"/>
      <c r="AK170" s="307" t="n"/>
      <c r="AL170" s="307" t="n"/>
      <c r="AM170" s="307" t="n"/>
      <c r="AN170" s="307" t="n"/>
      <c r="AO170" s="307" t="n"/>
      <c r="AP170" s="307" t="n"/>
      <c r="AQ170" s="307" t="n"/>
      <c r="AR170" s="307" t="n"/>
    </row>
    <row r="171" ht="15.75" customHeight="1" s="349">
      <c r="A171" s="307" t="n"/>
      <c r="B171" s="307" t="n"/>
      <c r="C171" s="307" t="n"/>
      <c r="D171" s="307" t="n"/>
      <c r="E171" s="307" t="n"/>
      <c r="F171" s="307" t="n"/>
      <c r="G171" s="307" t="n"/>
      <c r="H171" s="307" t="n"/>
      <c r="I171" s="307" t="n"/>
      <c r="J171" s="307" t="n"/>
      <c r="K171" s="307" t="n"/>
      <c r="L171" s="307" t="n"/>
      <c r="M171" s="307" t="n"/>
      <c r="N171" s="307" t="n"/>
      <c r="O171" s="307" t="n"/>
      <c r="P171" s="307" t="n"/>
      <c r="Q171" s="307" t="n"/>
      <c r="R171" s="307" t="n"/>
      <c r="S171" s="307" t="n"/>
      <c r="T171" s="307" t="n"/>
      <c r="U171" s="307" t="n"/>
      <c r="V171" s="307" t="n"/>
      <c r="W171" s="307" t="n"/>
      <c r="X171" s="307" t="n"/>
      <c r="Y171" s="307" t="n"/>
      <c r="Z171" s="307" t="n"/>
      <c r="AA171" s="307" t="n"/>
      <c r="AB171" s="307" t="n"/>
      <c r="AC171" s="307" t="n"/>
      <c r="AD171" s="307" t="n"/>
      <c r="AE171" s="307" t="n"/>
      <c r="AF171" s="307" t="n"/>
      <c r="AG171" s="307" t="n"/>
      <c r="AH171" s="307" t="n"/>
      <c r="AI171" s="307" t="n"/>
      <c r="AJ171" s="307" t="n"/>
      <c r="AK171" s="307" t="n"/>
      <c r="AL171" s="307" t="n"/>
      <c r="AM171" s="307" t="n"/>
      <c r="AN171" s="307" t="n"/>
      <c r="AO171" s="307" t="n"/>
      <c r="AP171" s="307" t="n"/>
      <c r="AQ171" s="307" t="n"/>
      <c r="AR171" s="307" t="n"/>
    </row>
    <row r="172" ht="15.75" customHeight="1" s="349">
      <c r="A172" s="307" t="n"/>
      <c r="B172" s="307" t="n"/>
      <c r="C172" s="307" t="n"/>
      <c r="D172" s="307" t="n"/>
      <c r="E172" s="307" t="n"/>
      <c r="F172" s="307" t="n"/>
      <c r="G172" s="307" t="n"/>
      <c r="H172" s="307" t="n"/>
      <c r="I172" s="307" t="n"/>
      <c r="J172" s="307" t="n"/>
      <c r="K172" s="307" t="n"/>
      <c r="L172" s="307" t="n"/>
      <c r="M172" s="307" t="n"/>
      <c r="N172" s="307" t="n"/>
      <c r="O172" s="307" t="n"/>
      <c r="P172" s="307" t="n"/>
      <c r="Q172" s="307" t="n"/>
      <c r="R172" s="307" t="n"/>
      <c r="S172" s="307" t="n"/>
      <c r="T172" s="307" t="n"/>
      <c r="U172" s="307" t="n"/>
      <c r="V172" s="307" t="n"/>
      <c r="W172" s="307" t="n"/>
      <c r="X172" s="307" t="n"/>
      <c r="Y172" s="307" t="n"/>
      <c r="Z172" s="307" t="n"/>
      <c r="AA172" s="307" t="n"/>
      <c r="AB172" s="307" t="n"/>
      <c r="AC172" s="307" t="n"/>
      <c r="AD172" s="307" t="n"/>
      <c r="AE172" s="307" t="n"/>
      <c r="AF172" s="307" t="n"/>
      <c r="AG172" s="307" t="n"/>
      <c r="AH172" s="307" t="n"/>
      <c r="AI172" s="307" t="n"/>
      <c r="AJ172" s="307" t="n"/>
      <c r="AK172" s="307" t="n"/>
      <c r="AL172" s="307" t="n"/>
      <c r="AM172" s="307" t="n"/>
      <c r="AN172" s="307" t="n"/>
      <c r="AO172" s="307" t="n"/>
      <c r="AP172" s="307" t="n"/>
      <c r="AQ172" s="307" t="n"/>
      <c r="AR172" s="307" t="n"/>
    </row>
    <row r="173" ht="15.75" customHeight="1" s="349">
      <c r="A173" s="307" t="n"/>
      <c r="B173" s="307" t="n"/>
      <c r="C173" s="307" t="n"/>
      <c r="D173" s="307" t="n"/>
      <c r="E173" s="307" t="n"/>
      <c r="F173" s="307" t="n"/>
      <c r="G173" s="307" t="n"/>
      <c r="H173" s="307" t="n"/>
      <c r="I173" s="307" t="n"/>
      <c r="J173" s="307" t="n"/>
      <c r="K173" s="307" t="n"/>
      <c r="L173" s="307" t="n"/>
      <c r="M173" s="307" t="n"/>
      <c r="N173" s="307" t="n"/>
      <c r="O173" s="307" t="n"/>
      <c r="P173" s="307" t="n"/>
      <c r="Q173" s="307" t="n"/>
      <c r="R173" s="307" t="n"/>
      <c r="S173" s="307" t="n"/>
      <c r="T173" s="307" t="n"/>
      <c r="U173" s="307" t="n"/>
      <c r="V173" s="307" t="n"/>
      <c r="W173" s="307" t="n"/>
      <c r="X173" s="307" t="n"/>
      <c r="Y173" s="307" t="n"/>
      <c r="Z173" s="307" t="n"/>
      <c r="AA173" s="307" t="n"/>
      <c r="AB173" s="307" t="n"/>
      <c r="AC173" s="307" t="n"/>
      <c r="AD173" s="307" t="n"/>
      <c r="AE173" s="307" t="n"/>
      <c r="AF173" s="307" t="n"/>
      <c r="AG173" s="307" t="n"/>
      <c r="AH173" s="307" t="n"/>
      <c r="AI173" s="307" t="n"/>
      <c r="AJ173" s="307" t="n"/>
      <c r="AK173" s="307" t="n"/>
      <c r="AL173" s="307" t="n"/>
      <c r="AM173" s="307" t="n"/>
      <c r="AN173" s="307" t="n"/>
      <c r="AO173" s="307" t="n"/>
      <c r="AP173" s="307" t="n"/>
      <c r="AQ173" s="307" t="n"/>
      <c r="AR173" s="307" t="n"/>
    </row>
    <row r="174" ht="15.75" customHeight="1" s="349">
      <c r="A174" s="307" t="n"/>
      <c r="B174" s="307" t="n"/>
      <c r="C174" s="307" t="n"/>
      <c r="D174" s="307" t="n"/>
      <c r="E174" s="307" t="n"/>
      <c r="F174" s="307" t="n"/>
      <c r="G174" s="307" t="n"/>
      <c r="H174" s="307" t="n"/>
      <c r="I174" s="307" t="n"/>
      <c r="J174" s="307" t="n"/>
      <c r="K174" s="307" t="n"/>
      <c r="L174" s="307" t="n"/>
      <c r="M174" s="307" t="n"/>
      <c r="N174" s="307" t="n"/>
      <c r="O174" s="307" t="n"/>
      <c r="P174" s="307" t="n"/>
      <c r="Q174" s="307" t="n"/>
      <c r="R174" s="307" t="n"/>
      <c r="S174" s="307" t="n"/>
      <c r="T174" s="307" t="n"/>
      <c r="U174" s="307" t="n"/>
      <c r="V174" s="307" t="n"/>
      <c r="W174" s="307" t="n"/>
      <c r="X174" s="307" t="n"/>
      <c r="Y174" s="307" t="n"/>
      <c r="Z174" s="307" t="n"/>
      <c r="AA174" s="307" t="n"/>
      <c r="AB174" s="307" t="n"/>
      <c r="AC174" s="307" t="n"/>
      <c r="AD174" s="307" t="n"/>
      <c r="AE174" s="307" t="n"/>
      <c r="AF174" s="307" t="n"/>
      <c r="AG174" s="307" t="n"/>
      <c r="AH174" s="307" t="n"/>
      <c r="AI174" s="307" t="n"/>
      <c r="AJ174" s="307" t="n"/>
      <c r="AK174" s="307" t="n"/>
      <c r="AL174" s="307" t="n"/>
      <c r="AM174" s="307" t="n"/>
      <c r="AN174" s="307" t="n"/>
      <c r="AO174" s="307" t="n"/>
      <c r="AP174" s="307" t="n"/>
      <c r="AQ174" s="307" t="n"/>
      <c r="AR174" s="307" t="n"/>
    </row>
    <row r="175" ht="15.75" customHeight="1" s="349">
      <c r="A175" s="307" t="n"/>
      <c r="B175" s="307" t="n"/>
      <c r="C175" s="307" t="n"/>
      <c r="D175" s="307" t="n"/>
      <c r="E175" s="307" t="n"/>
      <c r="F175" s="307" t="n"/>
      <c r="G175" s="307" t="n"/>
      <c r="H175" s="307" t="n"/>
      <c r="I175" s="307" t="n"/>
      <c r="J175" s="307" t="n"/>
      <c r="K175" s="307" t="n"/>
      <c r="L175" s="307" t="n"/>
      <c r="M175" s="307" t="n"/>
      <c r="N175" s="307" t="n"/>
      <c r="O175" s="307" t="n"/>
      <c r="P175" s="307" t="n"/>
      <c r="Q175" s="307" t="n"/>
      <c r="R175" s="307" t="n"/>
      <c r="S175" s="307" t="n"/>
      <c r="T175" s="307" t="n"/>
      <c r="U175" s="307" t="n"/>
      <c r="V175" s="307" t="n"/>
      <c r="W175" s="307" t="n"/>
      <c r="X175" s="307" t="n"/>
      <c r="Y175" s="307" t="n"/>
      <c r="Z175" s="307" t="n"/>
      <c r="AA175" s="307" t="n"/>
      <c r="AB175" s="307" t="n"/>
      <c r="AC175" s="307" t="n"/>
      <c r="AD175" s="307" t="n"/>
      <c r="AE175" s="307" t="n"/>
      <c r="AF175" s="307" t="n"/>
      <c r="AG175" s="307" t="n"/>
      <c r="AH175" s="307" t="n"/>
      <c r="AI175" s="307" t="n"/>
      <c r="AJ175" s="307" t="n"/>
      <c r="AK175" s="307" t="n"/>
      <c r="AL175" s="307" t="n"/>
      <c r="AM175" s="307" t="n"/>
      <c r="AN175" s="307" t="n"/>
      <c r="AO175" s="307" t="n"/>
      <c r="AP175" s="307" t="n"/>
      <c r="AQ175" s="307" t="n"/>
      <c r="AR175" s="307" t="n"/>
    </row>
    <row r="176" ht="15.75" customHeight="1" s="349">
      <c r="A176" s="307" t="n"/>
      <c r="B176" s="307" t="n"/>
      <c r="C176" s="307" t="n"/>
      <c r="D176" s="307" t="n"/>
      <c r="E176" s="307" t="n"/>
      <c r="F176" s="307" t="n"/>
      <c r="G176" s="307" t="n"/>
      <c r="H176" s="307" t="n"/>
      <c r="I176" s="307" t="n"/>
      <c r="J176" s="307" t="n"/>
      <c r="K176" s="307" t="n"/>
      <c r="L176" s="307" t="n"/>
      <c r="M176" s="307" t="n"/>
      <c r="N176" s="307" t="n"/>
      <c r="O176" s="307" t="n"/>
      <c r="P176" s="307" t="n"/>
      <c r="Q176" s="307" t="n"/>
      <c r="R176" s="307" t="n"/>
      <c r="S176" s="307" t="n"/>
      <c r="T176" s="307" t="n"/>
      <c r="U176" s="307" t="n"/>
      <c r="V176" s="307" t="n"/>
      <c r="W176" s="307" t="n"/>
      <c r="X176" s="307" t="n"/>
      <c r="Y176" s="307" t="n"/>
      <c r="Z176" s="307" t="n"/>
      <c r="AA176" s="307" t="n"/>
      <c r="AB176" s="307" t="n"/>
      <c r="AC176" s="307" t="n"/>
      <c r="AD176" s="307" t="n"/>
      <c r="AE176" s="307" t="n"/>
      <c r="AF176" s="307" t="n"/>
      <c r="AG176" s="307" t="n"/>
      <c r="AH176" s="307" t="n"/>
      <c r="AI176" s="307" t="n"/>
      <c r="AJ176" s="307" t="n"/>
      <c r="AK176" s="307" t="n"/>
      <c r="AL176" s="307" t="n"/>
      <c r="AM176" s="307" t="n"/>
      <c r="AN176" s="307" t="n"/>
      <c r="AO176" s="307" t="n"/>
      <c r="AP176" s="307" t="n"/>
      <c r="AQ176" s="307" t="n"/>
      <c r="AR176" s="307" t="n"/>
    </row>
    <row r="177" ht="15.75" customHeight="1" s="349">
      <c r="A177" s="307" t="n"/>
      <c r="B177" s="307" t="n"/>
      <c r="C177" s="307" t="n"/>
      <c r="D177" s="307" t="n"/>
      <c r="E177" s="307" t="n"/>
      <c r="F177" s="307" t="n"/>
      <c r="G177" s="307" t="n"/>
      <c r="H177" s="307" t="n"/>
      <c r="I177" s="307" t="n"/>
      <c r="J177" s="307" t="n"/>
      <c r="K177" s="307" t="n"/>
      <c r="L177" s="307" t="n"/>
      <c r="M177" s="307" t="n"/>
      <c r="N177" s="307" t="n"/>
      <c r="O177" s="307" t="n"/>
      <c r="P177" s="307" t="n"/>
      <c r="Q177" s="307" t="n"/>
      <c r="R177" s="307" t="n"/>
      <c r="S177" s="307" t="n"/>
      <c r="T177" s="307" t="n"/>
      <c r="U177" s="307" t="n"/>
      <c r="V177" s="307" t="n"/>
      <c r="W177" s="307" t="n"/>
      <c r="X177" s="307" t="n"/>
      <c r="Y177" s="307" t="n"/>
      <c r="Z177" s="307" t="n"/>
      <c r="AA177" s="307" t="n"/>
      <c r="AB177" s="307" t="n"/>
      <c r="AC177" s="307" t="n"/>
      <c r="AD177" s="307" t="n"/>
      <c r="AE177" s="307" t="n"/>
      <c r="AF177" s="307" t="n"/>
      <c r="AG177" s="307" t="n"/>
      <c r="AH177" s="307" t="n"/>
      <c r="AI177" s="307" t="n"/>
      <c r="AJ177" s="307" t="n"/>
      <c r="AK177" s="307" t="n"/>
      <c r="AL177" s="307" t="n"/>
      <c r="AM177" s="307" t="n"/>
      <c r="AN177" s="307" t="n"/>
      <c r="AO177" s="307" t="n"/>
      <c r="AP177" s="307" t="n"/>
      <c r="AQ177" s="307" t="n"/>
      <c r="AR177" s="307" t="n"/>
    </row>
    <row r="178" ht="15.75" customHeight="1" s="349">
      <c r="A178" s="307" t="n"/>
      <c r="B178" s="307" t="n"/>
      <c r="C178" s="307" t="n"/>
      <c r="D178" s="307" t="n"/>
      <c r="E178" s="307" t="n"/>
      <c r="F178" s="307" t="n"/>
      <c r="G178" s="307" t="n"/>
      <c r="H178" s="307" t="n"/>
      <c r="I178" s="307" t="n"/>
      <c r="J178" s="307" t="n"/>
      <c r="K178" s="307" t="n"/>
      <c r="L178" s="307" t="n"/>
      <c r="M178" s="307" t="n"/>
      <c r="N178" s="307" t="n"/>
      <c r="O178" s="307" t="n"/>
      <c r="P178" s="307" t="n"/>
      <c r="Q178" s="307" t="n"/>
      <c r="R178" s="307" t="n"/>
      <c r="S178" s="307" t="n"/>
      <c r="T178" s="307" t="n"/>
      <c r="U178" s="307" t="n"/>
      <c r="V178" s="307" t="n"/>
      <c r="W178" s="307" t="n"/>
      <c r="X178" s="307" t="n"/>
      <c r="Y178" s="307" t="n"/>
      <c r="Z178" s="307" t="n"/>
      <c r="AA178" s="307" t="n"/>
      <c r="AB178" s="307" t="n"/>
      <c r="AC178" s="307" t="n"/>
      <c r="AD178" s="307" t="n"/>
      <c r="AE178" s="307" t="n"/>
      <c r="AF178" s="307" t="n"/>
      <c r="AG178" s="307" t="n"/>
      <c r="AH178" s="307" t="n"/>
      <c r="AI178" s="307" t="n"/>
      <c r="AJ178" s="307" t="n"/>
      <c r="AK178" s="307" t="n"/>
      <c r="AL178" s="307" t="n"/>
      <c r="AM178" s="307" t="n"/>
      <c r="AN178" s="307" t="n"/>
      <c r="AO178" s="307" t="n"/>
      <c r="AP178" s="307" t="n"/>
      <c r="AQ178" s="307" t="n"/>
      <c r="AR178" s="307" t="n"/>
    </row>
    <row r="179" ht="15.75" customHeight="1" s="349">
      <c r="A179" s="307" t="n"/>
      <c r="B179" s="307" t="n"/>
      <c r="C179" s="307" t="n"/>
      <c r="D179" s="307" t="n"/>
      <c r="E179" s="307" t="n"/>
      <c r="F179" s="307" t="n"/>
      <c r="G179" s="307" t="n"/>
      <c r="H179" s="307" t="n"/>
      <c r="I179" s="307" t="n"/>
      <c r="J179" s="307" t="n"/>
      <c r="K179" s="307" t="n"/>
      <c r="L179" s="307" t="n"/>
      <c r="M179" s="307" t="n"/>
      <c r="N179" s="307" t="n"/>
      <c r="O179" s="307" t="n"/>
      <c r="P179" s="307" t="n"/>
      <c r="Q179" s="307" t="n"/>
      <c r="R179" s="307" t="n"/>
      <c r="S179" s="307" t="n"/>
      <c r="T179" s="307" t="n"/>
      <c r="U179" s="307" t="n"/>
      <c r="V179" s="307" t="n"/>
      <c r="W179" s="307" t="n"/>
      <c r="X179" s="307" t="n"/>
      <c r="Y179" s="307" t="n"/>
      <c r="Z179" s="307" t="n"/>
      <c r="AA179" s="307" t="n"/>
      <c r="AB179" s="307" t="n"/>
      <c r="AC179" s="307" t="n"/>
      <c r="AD179" s="307" t="n"/>
      <c r="AE179" s="307" t="n"/>
      <c r="AF179" s="307" t="n"/>
      <c r="AG179" s="307" t="n"/>
      <c r="AH179" s="307" t="n"/>
      <c r="AI179" s="307" t="n"/>
      <c r="AJ179" s="307" t="n"/>
      <c r="AK179" s="307" t="n"/>
      <c r="AL179" s="307" t="n"/>
      <c r="AM179" s="307" t="n"/>
      <c r="AN179" s="307" t="n"/>
      <c r="AO179" s="307" t="n"/>
      <c r="AP179" s="307" t="n"/>
      <c r="AQ179" s="307" t="n"/>
      <c r="AR179" s="307" t="n"/>
    </row>
    <row r="180" ht="15.75" customHeight="1" s="349">
      <c r="A180" s="307" t="n"/>
      <c r="B180" s="307" t="n"/>
      <c r="C180" s="307" t="n"/>
      <c r="D180" s="307" t="n"/>
      <c r="E180" s="307" t="n"/>
      <c r="F180" s="307" t="n"/>
      <c r="G180" s="307" t="n"/>
      <c r="H180" s="307" t="n"/>
      <c r="I180" s="307" t="n"/>
      <c r="J180" s="307" t="n"/>
      <c r="K180" s="307" t="n"/>
      <c r="L180" s="307" t="n"/>
      <c r="M180" s="307" t="n"/>
      <c r="N180" s="307" t="n"/>
      <c r="O180" s="307" t="n"/>
      <c r="P180" s="307" t="n"/>
      <c r="Q180" s="307" t="n"/>
      <c r="R180" s="307" t="n"/>
      <c r="S180" s="307" t="n"/>
      <c r="T180" s="307" t="n"/>
      <c r="U180" s="307" t="n"/>
      <c r="V180" s="307" t="n"/>
      <c r="W180" s="307" t="n"/>
      <c r="X180" s="307" t="n"/>
      <c r="Y180" s="307" t="n"/>
      <c r="Z180" s="307" t="n"/>
      <c r="AA180" s="307" t="n"/>
      <c r="AB180" s="307" t="n"/>
      <c r="AC180" s="307" t="n"/>
      <c r="AD180" s="307" t="n"/>
      <c r="AE180" s="307" t="n"/>
      <c r="AF180" s="307" t="n"/>
      <c r="AG180" s="307" t="n"/>
      <c r="AH180" s="307" t="n"/>
      <c r="AI180" s="307" t="n"/>
      <c r="AJ180" s="307" t="n"/>
      <c r="AK180" s="307" t="n"/>
      <c r="AL180" s="307" t="n"/>
      <c r="AM180" s="307" t="n"/>
      <c r="AN180" s="307" t="n"/>
      <c r="AO180" s="307" t="n"/>
      <c r="AP180" s="307" t="n"/>
      <c r="AQ180" s="307" t="n"/>
      <c r="AR180" s="307" t="n"/>
    </row>
    <row r="181" ht="15.75" customHeight="1" s="349">
      <c r="A181" s="307" t="n"/>
      <c r="B181" s="307" t="n"/>
      <c r="C181" s="307" t="n"/>
      <c r="D181" s="307" t="n"/>
      <c r="E181" s="307" t="n"/>
      <c r="F181" s="307" t="n"/>
      <c r="G181" s="307" t="n"/>
      <c r="H181" s="307" t="n"/>
      <c r="I181" s="307" t="n"/>
      <c r="J181" s="307" t="n"/>
      <c r="K181" s="307" t="n"/>
      <c r="L181" s="307" t="n"/>
      <c r="M181" s="307" t="n"/>
      <c r="N181" s="307" t="n"/>
      <c r="O181" s="307" t="n"/>
      <c r="P181" s="307" t="n"/>
      <c r="Q181" s="307" t="n"/>
      <c r="R181" s="307" t="n"/>
      <c r="S181" s="307" t="n"/>
      <c r="T181" s="307" t="n"/>
      <c r="U181" s="307" t="n"/>
      <c r="V181" s="307" t="n"/>
      <c r="W181" s="307" t="n"/>
      <c r="X181" s="307" t="n"/>
      <c r="Y181" s="307" t="n"/>
      <c r="Z181" s="307" t="n"/>
      <c r="AA181" s="307" t="n"/>
      <c r="AB181" s="307" t="n"/>
      <c r="AC181" s="307" t="n"/>
      <c r="AD181" s="307" t="n"/>
      <c r="AE181" s="307" t="n"/>
      <c r="AF181" s="307" t="n"/>
      <c r="AG181" s="307" t="n"/>
      <c r="AH181" s="307" t="n"/>
      <c r="AI181" s="307" t="n"/>
      <c r="AJ181" s="307" t="n"/>
      <c r="AK181" s="307" t="n"/>
      <c r="AL181" s="307" t="n"/>
      <c r="AM181" s="307" t="n"/>
      <c r="AN181" s="307" t="n"/>
      <c r="AO181" s="307" t="n"/>
      <c r="AP181" s="307" t="n"/>
      <c r="AQ181" s="307" t="n"/>
      <c r="AR181" s="307" t="n"/>
    </row>
    <row r="182" ht="15.75" customHeight="1" s="349">
      <c r="A182" s="307" t="n"/>
      <c r="B182" s="307" t="n"/>
      <c r="C182" s="307" t="n"/>
      <c r="D182" s="307" t="n"/>
      <c r="E182" s="307" t="n"/>
      <c r="F182" s="307" t="n"/>
      <c r="G182" s="307" t="n"/>
      <c r="H182" s="307" t="n"/>
      <c r="I182" s="307" t="n"/>
      <c r="J182" s="307" t="n"/>
      <c r="K182" s="307" t="n"/>
      <c r="L182" s="307" t="n"/>
      <c r="M182" s="307" t="n"/>
      <c r="N182" s="307" t="n"/>
      <c r="O182" s="307" t="n"/>
      <c r="P182" s="307" t="n"/>
      <c r="Q182" s="307" t="n"/>
      <c r="R182" s="307" t="n"/>
      <c r="S182" s="307" t="n"/>
      <c r="T182" s="307" t="n"/>
      <c r="U182" s="307" t="n"/>
      <c r="V182" s="307" t="n"/>
      <c r="W182" s="307" t="n"/>
      <c r="X182" s="307" t="n"/>
      <c r="Y182" s="307" t="n"/>
      <c r="Z182" s="307" t="n"/>
      <c r="AA182" s="307" t="n"/>
      <c r="AB182" s="307" t="n"/>
      <c r="AC182" s="307" t="n"/>
      <c r="AD182" s="307" t="n"/>
      <c r="AE182" s="307" t="n"/>
      <c r="AF182" s="307" t="n"/>
      <c r="AG182" s="307" t="n"/>
      <c r="AH182" s="307" t="n"/>
      <c r="AI182" s="307" t="n"/>
      <c r="AJ182" s="307" t="n"/>
      <c r="AK182" s="307" t="n"/>
      <c r="AL182" s="307" t="n"/>
      <c r="AM182" s="307" t="n"/>
      <c r="AN182" s="307" t="n"/>
      <c r="AO182" s="307" t="n"/>
      <c r="AP182" s="307" t="n"/>
      <c r="AQ182" s="307" t="n"/>
      <c r="AR182" s="307" t="n"/>
    </row>
    <row r="183" ht="15.75" customHeight="1" s="349">
      <c r="A183" s="307" t="n"/>
      <c r="B183" s="307" t="n"/>
      <c r="C183" s="307" t="n"/>
      <c r="D183" s="307" t="n"/>
      <c r="E183" s="307" t="n"/>
      <c r="F183" s="307" t="n"/>
      <c r="G183" s="307" t="n"/>
      <c r="H183" s="307" t="n"/>
      <c r="I183" s="307" t="n"/>
      <c r="J183" s="307" t="n"/>
      <c r="K183" s="307" t="n"/>
      <c r="L183" s="307" t="n"/>
      <c r="M183" s="307" t="n"/>
      <c r="N183" s="307" t="n"/>
      <c r="O183" s="307" t="n"/>
      <c r="P183" s="307" t="n"/>
      <c r="Q183" s="307" t="n"/>
      <c r="R183" s="307" t="n"/>
      <c r="S183" s="307" t="n"/>
      <c r="T183" s="307" t="n"/>
      <c r="U183" s="307" t="n"/>
      <c r="V183" s="307" t="n"/>
      <c r="W183" s="307" t="n"/>
      <c r="X183" s="307" t="n"/>
      <c r="Y183" s="307" t="n"/>
      <c r="Z183" s="307" t="n"/>
      <c r="AA183" s="307" t="n"/>
      <c r="AB183" s="307" t="n"/>
      <c r="AC183" s="307" t="n"/>
      <c r="AD183" s="307" t="n"/>
      <c r="AE183" s="307" t="n"/>
      <c r="AF183" s="307" t="n"/>
      <c r="AG183" s="307" t="n"/>
      <c r="AH183" s="307" t="n"/>
      <c r="AI183" s="307" t="n"/>
      <c r="AJ183" s="307" t="n"/>
      <c r="AK183" s="307" t="n"/>
      <c r="AL183" s="307" t="n"/>
      <c r="AM183" s="307" t="n"/>
      <c r="AN183" s="307" t="n"/>
      <c r="AO183" s="307" t="n"/>
      <c r="AP183" s="307" t="n"/>
      <c r="AQ183" s="307" t="n"/>
      <c r="AR183" s="307" t="n"/>
    </row>
    <row r="184" ht="15.75" customHeight="1" s="349">
      <c r="A184" s="307" t="n"/>
      <c r="B184" s="307" t="n"/>
      <c r="C184" s="307" t="n"/>
      <c r="D184" s="307" t="n"/>
      <c r="E184" s="307" t="n"/>
      <c r="F184" s="307" t="n"/>
      <c r="G184" s="307" t="n"/>
      <c r="H184" s="307" t="n"/>
      <c r="I184" s="307" t="n"/>
      <c r="J184" s="307" t="n"/>
      <c r="K184" s="307" t="n"/>
      <c r="L184" s="307" t="n"/>
      <c r="M184" s="307" t="n"/>
      <c r="N184" s="307" t="n"/>
      <c r="O184" s="307" t="n"/>
      <c r="P184" s="307" t="n"/>
      <c r="Q184" s="307" t="n"/>
      <c r="R184" s="307" t="n"/>
      <c r="S184" s="307" t="n"/>
      <c r="T184" s="307" t="n"/>
      <c r="U184" s="307" t="n"/>
      <c r="V184" s="307" t="n"/>
      <c r="W184" s="307" t="n"/>
      <c r="X184" s="307" t="n"/>
      <c r="Y184" s="307" t="n"/>
      <c r="Z184" s="307" t="n"/>
      <c r="AA184" s="307" t="n"/>
      <c r="AB184" s="307" t="n"/>
      <c r="AC184" s="307" t="n"/>
      <c r="AD184" s="307" t="n"/>
      <c r="AE184" s="307" t="n"/>
      <c r="AF184" s="307" t="n"/>
      <c r="AG184" s="307" t="n"/>
      <c r="AH184" s="307" t="n"/>
      <c r="AI184" s="307" t="n"/>
      <c r="AJ184" s="307" t="n"/>
      <c r="AK184" s="307" t="n"/>
      <c r="AL184" s="307" t="n"/>
      <c r="AM184" s="307" t="n"/>
      <c r="AN184" s="307" t="n"/>
      <c r="AO184" s="307" t="n"/>
      <c r="AP184" s="307" t="n"/>
      <c r="AQ184" s="307" t="n"/>
      <c r="AR184" s="307" t="n"/>
    </row>
    <row r="185" ht="15.75" customHeight="1" s="349">
      <c r="A185" s="307" t="n"/>
      <c r="B185" s="307" t="n"/>
      <c r="C185" s="307" t="n"/>
      <c r="D185" s="307" t="n"/>
      <c r="E185" s="307" t="n"/>
      <c r="F185" s="307" t="n"/>
      <c r="G185" s="307" t="n"/>
      <c r="H185" s="307" t="n"/>
      <c r="I185" s="307" t="n"/>
      <c r="J185" s="307" t="n"/>
      <c r="K185" s="307" t="n"/>
      <c r="L185" s="307" t="n"/>
      <c r="M185" s="307" t="n"/>
      <c r="N185" s="307" t="n"/>
      <c r="O185" s="307" t="n"/>
      <c r="P185" s="307" t="n"/>
      <c r="Q185" s="307" t="n"/>
      <c r="R185" s="307" t="n"/>
      <c r="S185" s="307" t="n"/>
      <c r="T185" s="307" t="n"/>
      <c r="U185" s="307" t="n"/>
      <c r="V185" s="307" t="n"/>
      <c r="W185" s="307" t="n"/>
      <c r="X185" s="307" t="n"/>
      <c r="Y185" s="307" t="n"/>
      <c r="Z185" s="307" t="n"/>
      <c r="AA185" s="307" t="n"/>
      <c r="AB185" s="307" t="n"/>
      <c r="AC185" s="307" t="n"/>
      <c r="AD185" s="307" t="n"/>
      <c r="AE185" s="307" t="n"/>
      <c r="AF185" s="307" t="n"/>
      <c r="AG185" s="307" t="n"/>
      <c r="AH185" s="307" t="n"/>
      <c r="AI185" s="307" t="n"/>
      <c r="AJ185" s="307" t="n"/>
      <c r="AK185" s="307" t="n"/>
      <c r="AL185" s="307" t="n"/>
      <c r="AM185" s="307" t="n"/>
      <c r="AN185" s="307" t="n"/>
      <c r="AO185" s="307" t="n"/>
      <c r="AP185" s="307" t="n"/>
      <c r="AQ185" s="307" t="n"/>
      <c r="AR185" s="307" t="n"/>
    </row>
    <row r="186" ht="15.75" customHeight="1" s="349">
      <c r="A186" s="307" t="n"/>
      <c r="B186" s="307" t="n"/>
      <c r="C186" s="307" t="n"/>
      <c r="D186" s="307" t="n"/>
      <c r="E186" s="307" t="n"/>
      <c r="F186" s="307" t="n"/>
      <c r="G186" s="307" t="n"/>
      <c r="H186" s="307" t="n"/>
      <c r="I186" s="307" t="n"/>
      <c r="J186" s="307" t="n"/>
      <c r="K186" s="307" t="n"/>
      <c r="L186" s="307" t="n"/>
      <c r="M186" s="307" t="n"/>
      <c r="N186" s="307" t="n"/>
      <c r="O186" s="307" t="n"/>
      <c r="P186" s="307" t="n"/>
      <c r="Q186" s="307" t="n"/>
      <c r="R186" s="307" t="n"/>
      <c r="S186" s="307" t="n"/>
      <c r="T186" s="307" t="n"/>
      <c r="U186" s="307" t="n"/>
      <c r="V186" s="307" t="n"/>
      <c r="W186" s="307" t="n"/>
      <c r="X186" s="307" t="n"/>
      <c r="Y186" s="307" t="n"/>
      <c r="Z186" s="307" t="n"/>
      <c r="AA186" s="307" t="n"/>
      <c r="AB186" s="307" t="n"/>
      <c r="AC186" s="307" t="n"/>
      <c r="AD186" s="307" t="n"/>
      <c r="AE186" s="307" t="n"/>
      <c r="AF186" s="307" t="n"/>
      <c r="AG186" s="307" t="n"/>
      <c r="AH186" s="307" t="n"/>
      <c r="AI186" s="307" t="n"/>
      <c r="AJ186" s="307" t="n"/>
      <c r="AK186" s="307" t="n"/>
      <c r="AL186" s="307" t="n"/>
      <c r="AM186" s="307" t="n"/>
      <c r="AN186" s="307" t="n"/>
      <c r="AO186" s="307" t="n"/>
      <c r="AP186" s="307" t="n"/>
      <c r="AQ186" s="307" t="n"/>
      <c r="AR186" s="307" t="n"/>
    </row>
    <row r="187" ht="15.75" customHeight="1" s="349">
      <c r="A187" s="307" t="n"/>
      <c r="B187" s="307" t="n"/>
      <c r="C187" s="307" t="n"/>
      <c r="D187" s="307" t="n"/>
      <c r="E187" s="307" t="n"/>
      <c r="F187" s="307" t="n"/>
      <c r="G187" s="307" t="n"/>
      <c r="H187" s="307" t="n"/>
      <c r="I187" s="307" t="n"/>
      <c r="J187" s="307" t="n"/>
      <c r="K187" s="307" t="n"/>
      <c r="L187" s="307" t="n"/>
      <c r="M187" s="307" t="n"/>
      <c r="N187" s="307" t="n"/>
      <c r="O187" s="307" t="n"/>
      <c r="P187" s="307" t="n"/>
      <c r="Q187" s="307" t="n"/>
      <c r="R187" s="307" t="n"/>
      <c r="S187" s="307" t="n"/>
      <c r="T187" s="307" t="n"/>
      <c r="U187" s="307" t="n"/>
      <c r="V187" s="307" t="n"/>
      <c r="W187" s="307" t="n"/>
      <c r="X187" s="307" t="n"/>
      <c r="Y187" s="307" t="n"/>
      <c r="Z187" s="307" t="n"/>
      <c r="AA187" s="307" t="n"/>
      <c r="AB187" s="307" t="n"/>
      <c r="AC187" s="307" t="n"/>
      <c r="AD187" s="307" t="n"/>
      <c r="AE187" s="307" t="n"/>
      <c r="AF187" s="307" t="n"/>
      <c r="AG187" s="307" t="n"/>
      <c r="AH187" s="307" t="n"/>
      <c r="AI187" s="307" t="n"/>
      <c r="AJ187" s="307" t="n"/>
      <c r="AK187" s="307" t="n"/>
      <c r="AL187" s="307" t="n"/>
      <c r="AM187" s="307" t="n"/>
      <c r="AN187" s="307" t="n"/>
      <c r="AO187" s="307" t="n"/>
      <c r="AP187" s="307" t="n"/>
      <c r="AQ187" s="307" t="n"/>
      <c r="AR187" s="307" t="n"/>
    </row>
    <row r="188" ht="15.75" customHeight="1" s="349">
      <c r="A188" s="307" t="n"/>
      <c r="B188" s="307" t="n"/>
      <c r="C188" s="307" t="n"/>
      <c r="D188" s="307" t="n"/>
      <c r="E188" s="307" t="n"/>
      <c r="F188" s="307" t="n"/>
      <c r="G188" s="307" t="n"/>
      <c r="H188" s="307" t="n"/>
      <c r="I188" s="307" t="n"/>
      <c r="J188" s="307" t="n"/>
      <c r="K188" s="307" t="n"/>
      <c r="L188" s="307" t="n"/>
      <c r="M188" s="307" t="n"/>
      <c r="N188" s="307" t="n"/>
      <c r="O188" s="307" t="n"/>
      <c r="P188" s="307" t="n"/>
      <c r="Q188" s="307" t="n"/>
      <c r="R188" s="307" t="n"/>
      <c r="S188" s="307" t="n"/>
      <c r="T188" s="307" t="n"/>
      <c r="U188" s="307" t="n"/>
      <c r="V188" s="307" t="n"/>
      <c r="W188" s="307" t="n"/>
      <c r="X188" s="307" t="n"/>
      <c r="Y188" s="307" t="n"/>
      <c r="Z188" s="307" t="n"/>
      <c r="AA188" s="307" t="n"/>
      <c r="AB188" s="307" t="n"/>
      <c r="AC188" s="307" t="n"/>
      <c r="AD188" s="307" t="n"/>
      <c r="AE188" s="307" t="n"/>
      <c r="AF188" s="307" t="n"/>
      <c r="AG188" s="307" t="n"/>
      <c r="AH188" s="307" t="n"/>
      <c r="AI188" s="307" t="n"/>
      <c r="AJ188" s="307" t="n"/>
      <c r="AK188" s="307" t="n"/>
      <c r="AL188" s="307" t="n"/>
      <c r="AM188" s="307" t="n"/>
      <c r="AN188" s="307" t="n"/>
      <c r="AO188" s="307" t="n"/>
      <c r="AP188" s="307" t="n"/>
      <c r="AQ188" s="307" t="n"/>
      <c r="AR188" s="307" t="n"/>
    </row>
    <row r="189" ht="15.75" customHeight="1" s="349">
      <c r="A189" s="307" t="n"/>
      <c r="B189" s="307" t="n"/>
      <c r="C189" s="307" t="n"/>
      <c r="D189" s="307" t="n"/>
      <c r="E189" s="307" t="n"/>
      <c r="F189" s="307" t="n"/>
      <c r="G189" s="307" t="n"/>
      <c r="H189" s="307" t="n"/>
      <c r="I189" s="307" t="n"/>
      <c r="J189" s="307" t="n"/>
      <c r="K189" s="307" t="n"/>
      <c r="L189" s="307" t="n"/>
      <c r="M189" s="307" t="n"/>
      <c r="N189" s="307" t="n"/>
      <c r="O189" s="307" t="n"/>
      <c r="P189" s="307" t="n"/>
      <c r="Q189" s="307" t="n"/>
      <c r="R189" s="307" t="n"/>
      <c r="S189" s="307" t="n"/>
      <c r="T189" s="307" t="n"/>
      <c r="U189" s="307" t="n"/>
      <c r="V189" s="307" t="n"/>
      <c r="W189" s="307" t="n"/>
      <c r="X189" s="307" t="n"/>
      <c r="Y189" s="307" t="n"/>
      <c r="Z189" s="307" t="n"/>
      <c r="AA189" s="307" t="n"/>
      <c r="AB189" s="307" t="n"/>
      <c r="AC189" s="307" t="n"/>
      <c r="AD189" s="307" t="n"/>
      <c r="AE189" s="307" t="n"/>
      <c r="AF189" s="307" t="n"/>
      <c r="AG189" s="307" t="n"/>
      <c r="AH189" s="307" t="n"/>
      <c r="AI189" s="307" t="n"/>
      <c r="AJ189" s="307" t="n"/>
      <c r="AK189" s="307" t="n"/>
      <c r="AL189" s="307" t="n"/>
      <c r="AM189" s="307" t="n"/>
      <c r="AN189" s="307" t="n"/>
      <c r="AO189" s="307" t="n"/>
      <c r="AP189" s="307" t="n"/>
      <c r="AQ189" s="307" t="n"/>
      <c r="AR189" s="307" t="n"/>
    </row>
    <row r="190" ht="15.75" customHeight="1" s="349">
      <c r="A190" s="307" t="n"/>
      <c r="B190" s="307" t="n"/>
      <c r="C190" s="307" t="n"/>
      <c r="D190" s="307" t="n"/>
      <c r="E190" s="307" t="n"/>
      <c r="F190" s="307" t="n"/>
      <c r="G190" s="307" t="n"/>
      <c r="H190" s="307" t="n"/>
      <c r="I190" s="307" t="n"/>
      <c r="J190" s="307" t="n"/>
      <c r="K190" s="307" t="n"/>
      <c r="L190" s="307" t="n"/>
      <c r="M190" s="307" t="n"/>
      <c r="N190" s="307" t="n"/>
      <c r="O190" s="307" t="n"/>
      <c r="P190" s="307" t="n"/>
      <c r="Q190" s="307" t="n"/>
      <c r="R190" s="307" t="n"/>
      <c r="S190" s="307" t="n"/>
      <c r="T190" s="307" t="n"/>
      <c r="U190" s="307" t="n"/>
      <c r="V190" s="307" t="n"/>
      <c r="W190" s="307" t="n"/>
      <c r="X190" s="307" t="n"/>
      <c r="Y190" s="307" t="n"/>
      <c r="Z190" s="307" t="n"/>
      <c r="AA190" s="307" t="n"/>
      <c r="AB190" s="307" t="n"/>
      <c r="AC190" s="307" t="n"/>
      <c r="AD190" s="307" t="n"/>
      <c r="AE190" s="307" t="n"/>
      <c r="AF190" s="307" t="n"/>
      <c r="AG190" s="307" t="n"/>
      <c r="AH190" s="307" t="n"/>
      <c r="AI190" s="307" t="n"/>
      <c r="AJ190" s="307" t="n"/>
      <c r="AK190" s="307" t="n"/>
      <c r="AL190" s="307" t="n"/>
      <c r="AM190" s="307" t="n"/>
      <c r="AN190" s="307" t="n"/>
      <c r="AO190" s="307" t="n"/>
      <c r="AP190" s="307" t="n"/>
      <c r="AQ190" s="307" t="n"/>
      <c r="AR190" s="307" t="n"/>
    </row>
    <row r="191" ht="15.75" customHeight="1" s="349">
      <c r="A191" s="307" t="n"/>
      <c r="B191" s="307" t="n"/>
      <c r="C191" s="307" t="n"/>
      <c r="D191" s="307" t="n"/>
      <c r="E191" s="307" t="n"/>
      <c r="F191" s="307" t="n"/>
      <c r="G191" s="307" t="n"/>
      <c r="H191" s="307" t="n"/>
      <c r="I191" s="307" t="n"/>
      <c r="J191" s="307" t="n"/>
      <c r="K191" s="307" t="n"/>
      <c r="L191" s="307" t="n"/>
      <c r="M191" s="307" t="n"/>
      <c r="N191" s="307" t="n"/>
      <c r="O191" s="307" t="n"/>
      <c r="P191" s="307" t="n"/>
      <c r="Q191" s="307" t="n"/>
      <c r="R191" s="307" t="n"/>
      <c r="S191" s="307" t="n"/>
      <c r="T191" s="307" t="n"/>
      <c r="U191" s="307" t="n"/>
      <c r="V191" s="307" t="n"/>
      <c r="W191" s="307" t="n"/>
      <c r="X191" s="307" t="n"/>
      <c r="Y191" s="307" t="n"/>
      <c r="Z191" s="307" t="n"/>
      <c r="AA191" s="307" t="n"/>
      <c r="AB191" s="307" t="n"/>
      <c r="AC191" s="307" t="n"/>
      <c r="AD191" s="307" t="n"/>
      <c r="AE191" s="307" t="n"/>
      <c r="AF191" s="307" t="n"/>
      <c r="AG191" s="307" t="n"/>
      <c r="AH191" s="307" t="n"/>
      <c r="AI191" s="307" t="n"/>
      <c r="AJ191" s="307" t="n"/>
      <c r="AK191" s="307" t="n"/>
      <c r="AL191" s="307" t="n"/>
      <c r="AM191" s="307" t="n"/>
      <c r="AN191" s="307" t="n"/>
      <c r="AO191" s="307" t="n"/>
      <c r="AP191" s="307" t="n"/>
      <c r="AQ191" s="307" t="n"/>
      <c r="AR191" s="307" t="n"/>
    </row>
    <row r="192" ht="15.75" customHeight="1" s="349">
      <c r="A192" s="307" t="n"/>
      <c r="B192" s="307" t="n"/>
      <c r="C192" s="307" t="n"/>
      <c r="D192" s="307" t="n"/>
      <c r="E192" s="307" t="n"/>
      <c r="F192" s="307" t="n"/>
      <c r="G192" s="307" t="n"/>
      <c r="H192" s="307" t="n"/>
      <c r="I192" s="307" t="n"/>
      <c r="J192" s="307" t="n"/>
      <c r="K192" s="307" t="n"/>
      <c r="L192" s="307" t="n"/>
      <c r="M192" s="307" t="n"/>
      <c r="N192" s="307" t="n"/>
      <c r="O192" s="307" t="n"/>
      <c r="P192" s="307" t="n"/>
      <c r="Q192" s="307" t="n"/>
      <c r="R192" s="307" t="n"/>
      <c r="S192" s="307" t="n"/>
      <c r="T192" s="307" t="n"/>
      <c r="U192" s="307" t="n"/>
      <c r="V192" s="307" t="n"/>
      <c r="W192" s="307" t="n"/>
      <c r="X192" s="307" t="n"/>
      <c r="Y192" s="307" t="n"/>
      <c r="Z192" s="307" t="n"/>
      <c r="AA192" s="307" t="n"/>
      <c r="AB192" s="307" t="n"/>
      <c r="AC192" s="307" t="n"/>
      <c r="AD192" s="307" t="n"/>
      <c r="AE192" s="307" t="n"/>
      <c r="AF192" s="307" t="n"/>
      <c r="AG192" s="307" t="n"/>
      <c r="AH192" s="307" t="n"/>
      <c r="AI192" s="307" t="n"/>
      <c r="AJ192" s="307" t="n"/>
      <c r="AK192" s="307" t="n"/>
      <c r="AL192" s="307" t="n"/>
      <c r="AM192" s="307" t="n"/>
      <c r="AN192" s="307" t="n"/>
      <c r="AO192" s="307" t="n"/>
      <c r="AP192" s="307" t="n"/>
      <c r="AQ192" s="307" t="n"/>
      <c r="AR192" s="307" t="n"/>
    </row>
    <row r="193" ht="15.75" customHeight="1" s="349">
      <c r="A193" s="307" t="n"/>
      <c r="B193" s="307" t="n"/>
      <c r="C193" s="307" t="n"/>
      <c r="D193" s="307" t="n"/>
      <c r="E193" s="307" t="n"/>
      <c r="F193" s="307" t="n"/>
      <c r="G193" s="307" t="n"/>
      <c r="H193" s="307" t="n"/>
      <c r="I193" s="307" t="n"/>
      <c r="J193" s="307" t="n"/>
      <c r="K193" s="307" t="n"/>
      <c r="L193" s="307" t="n"/>
      <c r="M193" s="307" t="n"/>
      <c r="N193" s="307" t="n"/>
      <c r="O193" s="307" t="n"/>
      <c r="P193" s="307" t="n"/>
      <c r="Q193" s="307" t="n"/>
      <c r="R193" s="307" t="n"/>
      <c r="S193" s="307" t="n"/>
      <c r="T193" s="307" t="n"/>
      <c r="U193" s="307" t="n"/>
      <c r="V193" s="307" t="n"/>
      <c r="W193" s="307" t="n"/>
      <c r="X193" s="307" t="n"/>
      <c r="Y193" s="307" t="n"/>
      <c r="Z193" s="307" t="n"/>
      <c r="AA193" s="307" t="n"/>
      <c r="AB193" s="307" t="n"/>
      <c r="AC193" s="307" t="n"/>
      <c r="AD193" s="307" t="n"/>
      <c r="AE193" s="307" t="n"/>
      <c r="AF193" s="307" t="n"/>
      <c r="AG193" s="307" t="n"/>
      <c r="AH193" s="307" t="n"/>
      <c r="AI193" s="307" t="n"/>
      <c r="AJ193" s="307" t="n"/>
      <c r="AK193" s="307" t="n"/>
      <c r="AL193" s="307" t="n"/>
      <c r="AM193" s="307" t="n"/>
      <c r="AN193" s="307" t="n"/>
      <c r="AO193" s="307" t="n"/>
      <c r="AP193" s="307" t="n"/>
      <c r="AQ193" s="307" t="n"/>
      <c r="AR193" s="307" t="n"/>
    </row>
    <row r="194" ht="15.75" customHeight="1" s="349">
      <c r="A194" s="307" t="n"/>
      <c r="B194" s="307" t="n"/>
      <c r="C194" s="307" t="n"/>
      <c r="D194" s="307" t="n"/>
      <c r="E194" s="307" t="n"/>
      <c r="F194" s="307" t="n"/>
      <c r="G194" s="307" t="n"/>
      <c r="H194" s="307" t="n"/>
      <c r="I194" s="307" t="n"/>
      <c r="J194" s="307" t="n"/>
      <c r="K194" s="307" t="n"/>
      <c r="L194" s="307" t="n"/>
      <c r="M194" s="307" t="n"/>
      <c r="N194" s="307" t="n"/>
      <c r="O194" s="307" t="n"/>
      <c r="P194" s="307" t="n"/>
      <c r="Q194" s="307" t="n"/>
      <c r="R194" s="307" t="n"/>
      <c r="S194" s="307" t="n"/>
      <c r="T194" s="307" t="n"/>
      <c r="U194" s="307" t="n"/>
      <c r="V194" s="307" t="n"/>
      <c r="W194" s="307" t="n"/>
      <c r="X194" s="307" t="n"/>
      <c r="Y194" s="307" t="n"/>
      <c r="Z194" s="307" t="n"/>
      <c r="AA194" s="307" t="n"/>
      <c r="AB194" s="307" t="n"/>
      <c r="AC194" s="307" t="n"/>
      <c r="AD194" s="307" t="n"/>
      <c r="AE194" s="307" t="n"/>
      <c r="AF194" s="307" t="n"/>
      <c r="AG194" s="307" t="n"/>
      <c r="AH194" s="307" t="n"/>
      <c r="AI194" s="307" t="n"/>
      <c r="AJ194" s="307" t="n"/>
      <c r="AK194" s="307" t="n"/>
      <c r="AL194" s="307" t="n"/>
      <c r="AM194" s="307" t="n"/>
      <c r="AN194" s="307" t="n"/>
      <c r="AO194" s="307" t="n"/>
      <c r="AP194" s="307" t="n"/>
      <c r="AQ194" s="307" t="n"/>
      <c r="AR194" s="307" t="n"/>
    </row>
    <row r="195" ht="15.75" customHeight="1" s="349">
      <c r="A195" s="307" t="n"/>
      <c r="B195" s="307" t="n"/>
      <c r="C195" s="307" t="n"/>
      <c r="D195" s="307" t="n"/>
      <c r="E195" s="307" t="n"/>
      <c r="F195" s="307" t="n"/>
      <c r="G195" s="307" t="n"/>
      <c r="H195" s="307" t="n"/>
      <c r="I195" s="307" t="n"/>
      <c r="J195" s="307" t="n"/>
      <c r="K195" s="307" t="n"/>
      <c r="L195" s="307" t="n"/>
      <c r="M195" s="307" t="n"/>
      <c r="N195" s="307" t="n"/>
      <c r="O195" s="307" t="n"/>
      <c r="P195" s="307" t="n"/>
      <c r="Q195" s="307" t="n"/>
      <c r="R195" s="307" t="n"/>
      <c r="S195" s="307" t="n"/>
      <c r="T195" s="307" t="n"/>
      <c r="U195" s="307" t="n"/>
      <c r="V195" s="307" t="n"/>
      <c r="W195" s="307" t="n"/>
      <c r="X195" s="307" t="n"/>
      <c r="Y195" s="307" t="n"/>
      <c r="Z195" s="307" t="n"/>
      <c r="AA195" s="307" t="n"/>
      <c r="AB195" s="307" t="n"/>
      <c r="AC195" s="307" t="n"/>
      <c r="AD195" s="307" t="n"/>
      <c r="AE195" s="307" t="n"/>
      <c r="AF195" s="307" t="n"/>
      <c r="AG195" s="307" t="n"/>
      <c r="AH195" s="307" t="n"/>
      <c r="AI195" s="307" t="n"/>
      <c r="AJ195" s="307" t="n"/>
      <c r="AK195" s="307" t="n"/>
      <c r="AL195" s="307" t="n"/>
      <c r="AM195" s="307" t="n"/>
      <c r="AN195" s="307" t="n"/>
      <c r="AO195" s="307" t="n"/>
      <c r="AP195" s="307" t="n"/>
      <c r="AQ195" s="307" t="n"/>
      <c r="AR195" s="307" t="n"/>
    </row>
    <row r="196" ht="15.75" customHeight="1" s="349">
      <c r="A196" s="307" t="n"/>
      <c r="B196" s="307" t="n"/>
      <c r="C196" s="307" t="n"/>
      <c r="D196" s="307" t="n"/>
      <c r="E196" s="307" t="n"/>
      <c r="F196" s="307" t="n"/>
      <c r="G196" s="307" t="n"/>
      <c r="H196" s="307" t="n"/>
      <c r="I196" s="307" t="n"/>
      <c r="J196" s="307" t="n"/>
      <c r="K196" s="307" t="n"/>
      <c r="L196" s="307" t="n"/>
      <c r="M196" s="307" t="n"/>
      <c r="N196" s="307" t="n"/>
      <c r="O196" s="307" t="n"/>
      <c r="P196" s="307" t="n"/>
      <c r="Q196" s="307" t="n"/>
      <c r="R196" s="307" t="n"/>
      <c r="S196" s="307" t="n"/>
      <c r="T196" s="307" t="n"/>
      <c r="U196" s="307" t="n"/>
      <c r="V196" s="307" t="n"/>
      <c r="W196" s="307" t="n"/>
      <c r="X196" s="307" t="n"/>
      <c r="Y196" s="307" t="n"/>
      <c r="Z196" s="307" t="n"/>
      <c r="AA196" s="307" t="n"/>
      <c r="AB196" s="307" t="n"/>
      <c r="AC196" s="307" t="n"/>
      <c r="AD196" s="307" t="n"/>
      <c r="AE196" s="307" t="n"/>
      <c r="AF196" s="307" t="n"/>
      <c r="AG196" s="307" t="n"/>
      <c r="AH196" s="307" t="n"/>
      <c r="AI196" s="307" t="n"/>
      <c r="AJ196" s="307" t="n"/>
      <c r="AK196" s="307" t="n"/>
      <c r="AL196" s="307" t="n"/>
      <c r="AM196" s="307" t="n"/>
      <c r="AN196" s="307" t="n"/>
      <c r="AO196" s="307" t="n"/>
      <c r="AP196" s="307" t="n"/>
      <c r="AQ196" s="307" t="n"/>
      <c r="AR196" s="307" t="n"/>
    </row>
    <row r="197" ht="15.75" customHeight="1" s="349">
      <c r="A197" s="307" t="n"/>
      <c r="B197" s="307" t="n"/>
      <c r="C197" s="307" t="n"/>
      <c r="D197" s="307" t="n"/>
      <c r="E197" s="307" t="n"/>
      <c r="F197" s="307" t="n"/>
      <c r="G197" s="307" t="n"/>
      <c r="H197" s="307" t="n"/>
      <c r="I197" s="307" t="n"/>
      <c r="J197" s="307" t="n"/>
      <c r="K197" s="307" t="n"/>
      <c r="L197" s="307" t="n"/>
      <c r="M197" s="307" t="n"/>
      <c r="N197" s="307" t="n"/>
      <c r="O197" s="307" t="n"/>
      <c r="P197" s="307" t="n"/>
      <c r="Q197" s="307" t="n"/>
      <c r="R197" s="307" t="n"/>
      <c r="S197" s="307" t="n"/>
      <c r="T197" s="307" t="n"/>
      <c r="U197" s="307" t="n"/>
      <c r="V197" s="307" t="n"/>
      <c r="W197" s="307" t="n"/>
      <c r="X197" s="307" t="n"/>
      <c r="Y197" s="307" t="n"/>
      <c r="Z197" s="307" t="n"/>
      <c r="AA197" s="307" t="n"/>
      <c r="AB197" s="307" t="n"/>
      <c r="AC197" s="307" t="n"/>
      <c r="AD197" s="307" t="n"/>
      <c r="AE197" s="307" t="n"/>
      <c r="AF197" s="307" t="n"/>
      <c r="AG197" s="307" t="n"/>
      <c r="AH197" s="307" t="n"/>
      <c r="AI197" s="307" t="n"/>
      <c r="AJ197" s="307" t="n"/>
      <c r="AK197" s="307" t="n"/>
      <c r="AL197" s="307" t="n"/>
      <c r="AM197" s="307" t="n"/>
      <c r="AN197" s="307" t="n"/>
      <c r="AO197" s="307" t="n"/>
      <c r="AP197" s="307" t="n"/>
      <c r="AQ197" s="307" t="n"/>
      <c r="AR197" s="307" t="n"/>
    </row>
    <row r="198" ht="15.75" customHeight="1" s="349">
      <c r="A198" s="307" t="n"/>
      <c r="B198" s="307" t="n"/>
      <c r="C198" s="307" t="n"/>
      <c r="D198" s="307" t="n"/>
      <c r="E198" s="307" t="n"/>
      <c r="F198" s="307" t="n"/>
      <c r="G198" s="307" t="n"/>
      <c r="H198" s="307" t="n"/>
      <c r="I198" s="307" t="n"/>
      <c r="J198" s="307" t="n"/>
      <c r="K198" s="307" t="n"/>
      <c r="L198" s="307" t="n"/>
      <c r="M198" s="307" t="n"/>
      <c r="N198" s="307" t="n"/>
      <c r="O198" s="307" t="n"/>
      <c r="P198" s="307" t="n"/>
      <c r="Q198" s="307" t="n"/>
      <c r="R198" s="307" t="n"/>
      <c r="S198" s="307" t="n"/>
      <c r="T198" s="307" t="n"/>
      <c r="U198" s="307" t="n"/>
      <c r="V198" s="307" t="n"/>
      <c r="W198" s="307" t="n"/>
      <c r="X198" s="307" t="n"/>
      <c r="Y198" s="307" t="n"/>
      <c r="Z198" s="307" t="n"/>
      <c r="AA198" s="307" t="n"/>
      <c r="AB198" s="307" t="n"/>
      <c r="AC198" s="307" t="n"/>
      <c r="AD198" s="307" t="n"/>
      <c r="AE198" s="307" t="n"/>
      <c r="AF198" s="307" t="n"/>
      <c r="AG198" s="307" t="n"/>
      <c r="AH198" s="307" t="n"/>
      <c r="AI198" s="307" t="n"/>
      <c r="AJ198" s="307" t="n"/>
      <c r="AK198" s="307" t="n"/>
      <c r="AL198" s="307" t="n"/>
      <c r="AM198" s="307" t="n"/>
      <c r="AN198" s="307" t="n"/>
      <c r="AO198" s="307" t="n"/>
      <c r="AP198" s="307" t="n"/>
      <c r="AQ198" s="307" t="n"/>
      <c r="AR198" s="307" t="n"/>
    </row>
    <row r="199" ht="15.75" customHeight="1" s="349">
      <c r="A199" s="307" t="n"/>
      <c r="B199" s="307" t="n"/>
      <c r="C199" s="307" t="n"/>
      <c r="D199" s="307" t="n"/>
      <c r="E199" s="307" t="n"/>
      <c r="F199" s="307" t="n"/>
      <c r="G199" s="307" t="n"/>
      <c r="H199" s="307" t="n"/>
      <c r="I199" s="307" t="n"/>
      <c r="J199" s="307" t="n"/>
      <c r="K199" s="307" t="n"/>
      <c r="L199" s="307" t="n"/>
      <c r="M199" s="307" t="n"/>
      <c r="N199" s="307" t="n"/>
      <c r="O199" s="307" t="n"/>
      <c r="P199" s="307" t="n"/>
      <c r="Q199" s="307" t="n"/>
      <c r="R199" s="307" t="n"/>
      <c r="S199" s="307" t="n"/>
      <c r="T199" s="307" t="n"/>
      <c r="U199" s="307" t="n"/>
      <c r="V199" s="307" t="n"/>
      <c r="W199" s="307" t="n"/>
      <c r="X199" s="307" t="n"/>
      <c r="Y199" s="307" t="n"/>
      <c r="Z199" s="307" t="n"/>
      <c r="AA199" s="307" t="n"/>
      <c r="AB199" s="307" t="n"/>
      <c r="AC199" s="307" t="n"/>
      <c r="AD199" s="307" t="n"/>
      <c r="AE199" s="307" t="n"/>
      <c r="AF199" s="307" t="n"/>
      <c r="AG199" s="307" t="n"/>
      <c r="AH199" s="307" t="n"/>
      <c r="AI199" s="307" t="n"/>
      <c r="AJ199" s="307" t="n"/>
      <c r="AK199" s="307" t="n"/>
      <c r="AL199" s="307" t="n"/>
      <c r="AM199" s="307" t="n"/>
      <c r="AN199" s="307" t="n"/>
      <c r="AO199" s="307" t="n"/>
      <c r="AP199" s="307" t="n"/>
      <c r="AQ199" s="307" t="n"/>
      <c r="AR199" s="307" t="n"/>
    </row>
    <row r="200" ht="15.75" customHeight="1" s="349">
      <c r="A200" s="307" t="n"/>
      <c r="B200" s="307" t="n"/>
      <c r="C200" s="307" t="n"/>
      <c r="D200" s="307" t="n"/>
      <c r="E200" s="307" t="n"/>
      <c r="F200" s="307" t="n"/>
      <c r="G200" s="307" t="n"/>
      <c r="H200" s="307" t="n"/>
      <c r="I200" s="307" t="n"/>
      <c r="J200" s="307" t="n"/>
      <c r="K200" s="307" t="n"/>
      <c r="L200" s="307" t="n"/>
      <c r="M200" s="307" t="n"/>
      <c r="N200" s="307" t="n"/>
      <c r="O200" s="307" t="n"/>
      <c r="P200" s="307" t="n"/>
      <c r="Q200" s="307" t="n"/>
      <c r="R200" s="307" t="n"/>
      <c r="S200" s="307" t="n"/>
      <c r="T200" s="307" t="n"/>
      <c r="U200" s="307" t="n"/>
      <c r="V200" s="307" t="n"/>
      <c r="W200" s="307" t="n"/>
      <c r="X200" s="307" t="n"/>
      <c r="Y200" s="307" t="n"/>
      <c r="Z200" s="307" t="n"/>
      <c r="AA200" s="307" t="n"/>
      <c r="AB200" s="307" t="n"/>
      <c r="AC200" s="307" t="n"/>
      <c r="AD200" s="307" t="n"/>
      <c r="AE200" s="307" t="n"/>
      <c r="AF200" s="307" t="n"/>
      <c r="AG200" s="307" t="n"/>
      <c r="AH200" s="307" t="n"/>
      <c r="AI200" s="307" t="n"/>
      <c r="AJ200" s="307" t="n"/>
      <c r="AK200" s="307" t="n"/>
      <c r="AL200" s="307" t="n"/>
      <c r="AM200" s="307" t="n"/>
      <c r="AN200" s="307" t="n"/>
      <c r="AO200" s="307" t="n"/>
      <c r="AP200" s="307" t="n"/>
      <c r="AQ200" s="307" t="n"/>
      <c r="AR200" s="307" t="n"/>
    </row>
    <row r="201" ht="15.75" customHeight="1" s="349">
      <c r="A201" s="307" t="n"/>
      <c r="B201" s="307" t="n"/>
      <c r="C201" s="307" t="n"/>
      <c r="D201" s="307" t="n"/>
      <c r="E201" s="307" t="n"/>
      <c r="F201" s="307" t="n"/>
      <c r="G201" s="307" t="n"/>
      <c r="H201" s="307" t="n"/>
      <c r="I201" s="307" t="n"/>
      <c r="J201" s="307" t="n"/>
      <c r="K201" s="307" t="n"/>
      <c r="L201" s="307" t="n"/>
      <c r="M201" s="307" t="n"/>
      <c r="N201" s="307" t="n"/>
      <c r="O201" s="307" t="n"/>
      <c r="P201" s="307" t="n"/>
      <c r="Q201" s="307" t="n"/>
      <c r="R201" s="307" t="n"/>
      <c r="S201" s="307" t="n"/>
      <c r="T201" s="307" t="n"/>
      <c r="U201" s="307" t="n"/>
      <c r="V201" s="307" t="n"/>
      <c r="W201" s="307" t="n"/>
      <c r="X201" s="307" t="n"/>
      <c r="Y201" s="307" t="n"/>
      <c r="Z201" s="307" t="n"/>
      <c r="AA201" s="307" t="n"/>
      <c r="AB201" s="307" t="n"/>
      <c r="AC201" s="307" t="n"/>
      <c r="AD201" s="307" t="n"/>
      <c r="AE201" s="307" t="n"/>
      <c r="AF201" s="307" t="n"/>
      <c r="AG201" s="307" t="n"/>
      <c r="AH201" s="307" t="n"/>
      <c r="AI201" s="307" t="n"/>
      <c r="AJ201" s="307" t="n"/>
      <c r="AK201" s="307" t="n"/>
      <c r="AL201" s="307" t="n"/>
      <c r="AM201" s="307" t="n"/>
      <c r="AN201" s="307" t="n"/>
      <c r="AO201" s="307" t="n"/>
      <c r="AP201" s="307" t="n"/>
      <c r="AQ201" s="307" t="n"/>
      <c r="AR201" s="307" t="n"/>
    </row>
    <row r="202" ht="15.75" customHeight="1" s="349">
      <c r="A202" s="307" t="n"/>
      <c r="B202" s="307" t="n"/>
      <c r="C202" s="307" t="n"/>
      <c r="D202" s="307" t="n"/>
      <c r="E202" s="307" t="n"/>
      <c r="F202" s="307" t="n"/>
      <c r="G202" s="307" t="n"/>
      <c r="H202" s="307" t="n"/>
      <c r="I202" s="307" t="n"/>
      <c r="J202" s="307" t="n"/>
      <c r="K202" s="307" t="n"/>
      <c r="L202" s="307" t="n"/>
      <c r="M202" s="307" t="n"/>
      <c r="N202" s="307" t="n"/>
      <c r="O202" s="307" t="n"/>
      <c r="P202" s="307" t="n"/>
      <c r="Q202" s="307" t="n"/>
      <c r="R202" s="307" t="n"/>
      <c r="S202" s="307" t="n"/>
      <c r="T202" s="307" t="n"/>
      <c r="U202" s="307" t="n"/>
      <c r="V202" s="307" t="n"/>
      <c r="W202" s="307" t="n"/>
      <c r="X202" s="307" t="n"/>
      <c r="Y202" s="307" t="n"/>
      <c r="Z202" s="307" t="n"/>
      <c r="AA202" s="307" t="n"/>
      <c r="AB202" s="307" t="n"/>
      <c r="AC202" s="307" t="n"/>
      <c r="AD202" s="307" t="n"/>
      <c r="AE202" s="307" t="n"/>
      <c r="AF202" s="307" t="n"/>
      <c r="AG202" s="307" t="n"/>
      <c r="AH202" s="307" t="n"/>
      <c r="AI202" s="307" t="n"/>
      <c r="AJ202" s="307" t="n"/>
      <c r="AK202" s="307" t="n"/>
      <c r="AL202" s="307" t="n"/>
      <c r="AM202" s="307" t="n"/>
      <c r="AN202" s="307" t="n"/>
      <c r="AO202" s="307" t="n"/>
      <c r="AP202" s="307" t="n"/>
      <c r="AQ202" s="307" t="n"/>
      <c r="AR202" s="307" t="n"/>
    </row>
    <row r="203" ht="15.75" customHeight="1" s="349">
      <c r="A203" s="307" t="n"/>
      <c r="B203" s="307" t="n"/>
      <c r="C203" s="307" t="n"/>
      <c r="D203" s="307" t="n"/>
      <c r="E203" s="307" t="n"/>
      <c r="F203" s="307" t="n"/>
      <c r="G203" s="307" t="n"/>
      <c r="H203" s="307" t="n"/>
      <c r="I203" s="307" t="n"/>
      <c r="J203" s="307" t="n"/>
      <c r="K203" s="307" t="n"/>
      <c r="L203" s="307" t="n"/>
      <c r="M203" s="307" t="n"/>
      <c r="N203" s="307" t="n"/>
      <c r="O203" s="307" t="n"/>
      <c r="P203" s="307" t="n"/>
      <c r="Q203" s="307" t="n"/>
      <c r="R203" s="307" t="n"/>
      <c r="S203" s="307" t="n"/>
      <c r="T203" s="307" t="n"/>
      <c r="U203" s="307" t="n"/>
      <c r="V203" s="307" t="n"/>
      <c r="W203" s="307" t="n"/>
      <c r="X203" s="307" t="n"/>
      <c r="Y203" s="307" t="n"/>
      <c r="Z203" s="307" t="n"/>
      <c r="AA203" s="307" t="n"/>
      <c r="AB203" s="307" t="n"/>
      <c r="AC203" s="307" t="n"/>
      <c r="AD203" s="307" t="n"/>
      <c r="AE203" s="307" t="n"/>
      <c r="AF203" s="307" t="n"/>
      <c r="AG203" s="307" t="n"/>
      <c r="AH203" s="307" t="n"/>
      <c r="AI203" s="307" t="n"/>
      <c r="AJ203" s="307" t="n"/>
      <c r="AK203" s="307" t="n"/>
      <c r="AL203" s="307" t="n"/>
      <c r="AM203" s="307" t="n"/>
      <c r="AN203" s="307" t="n"/>
      <c r="AO203" s="307" t="n"/>
      <c r="AP203" s="307" t="n"/>
      <c r="AQ203" s="307" t="n"/>
      <c r="AR203" s="307" t="n"/>
    </row>
    <row r="204" ht="15.75" customHeight="1" s="349">
      <c r="A204" s="307" t="n"/>
      <c r="B204" s="307" t="n"/>
      <c r="C204" s="307" t="n"/>
      <c r="D204" s="307" t="n"/>
      <c r="E204" s="307" t="n"/>
      <c r="F204" s="307" t="n"/>
      <c r="G204" s="307" t="n"/>
      <c r="H204" s="307" t="n"/>
      <c r="I204" s="307" t="n"/>
      <c r="J204" s="307" t="n"/>
      <c r="K204" s="307" t="n"/>
      <c r="L204" s="307" t="n"/>
      <c r="M204" s="307" t="n"/>
      <c r="N204" s="307" t="n"/>
      <c r="O204" s="307" t="n"/>
      <c r="P204" s="307" t="n"/>
      <c r="Q204" s="307" t="n"/>
      <c r="R204" s="307" t="n"/>
      <c r="S204" s="307" t="n"/>
      <c r="T204" s="307" t="n"/>
      <c r="U204" s="307" t="n"/>
      <c r="V204" s="307" t="n"/>
      <c r="W204" s="307" t="n"/>
      <c r="X204" s="307" t="n"/>
      <c r="Y204" s="307" t="n"/>
      <c r="Z204" s="307" t="n"/>
      <c r="AA204" s="307" t="n"/>
      <c r="AB204" s="307" t="n"/>
      <c r="AC204" s="307" t="n"/>
      <c r="AD204" s="307" t="n"/>
      <c r="AE204" s="307" t="n"/>
      <c r="AF204" s="307" t="n"/>
      <c r="AG204" s="307" t="n"/>
      <c r="AH204" s="307" t="n"/>
      <c r="AI204" s="307" t="n"/>
      <c r="AJ204" s="307" t="n"/>
      <c r="AK204" s="307" t="n"/>
      <c r="AL204" s="307" t="n"/>
      <c r="AM204" s="307" t="n"/>
      <c r="AN204" s="307" t="n"/>
      <c r="AO204" s="307" t="n"/>
      <c r="AP204" s="307" t="n"/>
      <c r="AQ204" s="307" t="n"/>
      <c r="AR204" s="307" t="n"/>
    </row>
    <row r="205" ht="15.75" customHeight="1" s="349">
      <c r="A205" s="307" t="n"/>
      <c r="B205" s="307" t="n"/>
      <c r="C205" s="307" t="n"/>
      <c r="D205" s="307" t="n"/>
      <c r="E205" s="307" t="n"/>
      <c r="F205" s="307" t="n"/>
      <c r="G205" s="307" t="n"/>
      <c r="H205" s="307" t="n"/>
      <c r="I205" s="307" t="n"/>
      <c r="J205" s="307" t="n"/>
      <c r="K205" s="307" t="n"/>
      <c r="L205" s="307" t="n"/>
      <c r="M205" s="307" t="n"/>
      <c r="N205" s="307" t="n"/>
      <c r="O205" s="307" t="n"/>
      <c r="P205" s="307" t="n"/>
      <c r="Q205" s="307" t="n"/>
      <c r="R205" s="307" t="n"/>
      <c r="S205" s="307" t="n"/>
      <c r="T205" s="307" t="n"/>
      <c r="U205" s="307" t="n"/>
      <c r="V205" s="307" t="n"/>
      <c r="W205" s="307" t="n"/>
      <c r="X205" s="307" t="n"/>
      <c r="Y205" s="307" t="n"/>
      <c r="Z205" s="307" t="n"/>
      <c r="AA205" s="307" t="n"/>
      <c r="AB205" s="307" t="n"/>
      <c r="AC205" s="307" t="n"/>
      <c r="AD205" s="307" t="n"/>
      <c r="AE205" s="307" t="n"/>
      <c r="AF205" s="307" t="n"/>
      <c r="AG205" s="307" t="n"/>
      <c r="AH205" s="307" t="n"/>
      <c r="AI205" s="307" t="n"/>
      <c r="AJ205" s="307" t="n"/>
      <c r="AK205" s="307" t="n"/>
      <c r="AL205" s="307" t="n"/>
      <c r="AM205" s="307" t="n"/>
      <c r="AN205" s="307" t="n"/>
      <c r="AO205" s="307" t="n"/>
      <c r="AP205" s="307" t="n"/>
      <c r="AQ205" s="307" t="n"/>
      <c r="AR205" s="307" t="n"/>
    </row>
    <row r="206" ht="15.75" customHeight="1" s="349">
      <c r="A206" s="307" t="n"/>
      <c r="B206" s="307" t="n"/>
      <c r="C206" s="307" t="n"/>
      <c r="D206" s="307" t="n"/>
      <c r="E206" s="307" t="n"/>
      <c r="F206" s="307" t="n"/>
      <c r="G206" s="307" t="n"/>
      <c r="H206" s="307" t="n"/>
      <c r="I206" s="307" t="n"/>
      <c r="J206" s="307" t="n"/>
      <c r="K206" s="307" t="n"/>
      <c r="L206" s="307" t="n"/>
      <c r="M206" s="307" t="n"/>
      <c r="N206" s="307" t="n"/>
      <c r="O206" s="307" t="n"/>
      <c r="P206" s="307" t="n"/>
      <c r="Q206" s="307" t="n"/>
      <c r="R206" s="307" t="n"/>
      <c r="S206" s="307" t="n"/>
      <c r="T206" s="307" t="n"/>
      <c r="U206" s="307" t="n"/>
      <c r="V206" s="307" t="n"/>
      <c r="W206" s="307" t="n"/>
      <c r="X206" s="307" t="n"/>
      <c r="Y206" s="307" t="n"/>
      <c r="Z206" s="307" t="n"/>
      <c r="AA206" s="307" t="n"/>
      <c r="AB206" s="307" t="n"/>
      <c r="AC206" s="307" t="n"/>
      <c r="AD206" s="307" t="n"/>
      <c r="AE206" s="307" t="n"/>
      <c r="AF206" s="307" t="n"/>
      <c r="AG206" s="307" t="n"/>
      <c r="AH206" s="307" t="n"/>
      <c r="AI206" s="307" t="n"/>
      <c r="AJ206" s="307" t="n"/>
      <c r="AK206" s="307" t="n"/>
      <c r="AL206" s="307" t="n"/>
      <c r="AM206" s="307" t="n"/>
      <c r="AN206" s="307" t="n"/>
      <c r="AO206" s="307" t="n"/>
      <c r="AP206" s="307" t="n"/>
      <c r="AQ206" s="307" t="n"/>
      <c r="AR206" s="307" t="n"/>
    </row>
    <row r="207" ht="15.75" customHeight="1" s="349">
      <c r="A207" s="307" t="n"/>
      <c r="B207" s="307" t="n"/>
      <c r="C207" s="307" t="n"/>
      <c r="D207" s="307" t="n"/>
      <c r="E207" s="307" t="n"/>
      <c r="F207" s="307" t="n"/>
      <c r="G207" s="307" t="n"/>
      <c r="H207" s="307" t="n"/>
      <c r="I207" s="307" t="n"/>
      <c r="J207" s="307" t="n"/>
      <c r="K207" s="307" t="n"/>
      <c r="L207" s="307" t="n"/>
      <c r="M207" s="307" t="n"/>
      <c r="N207" s="307" t="n"/>
      <c r="O207" s="307" t="n"/>
      <c r="P207" s="307" t="n"/>
      <c r="Q207" s="307" t="n"/>
      <c r="R207" s="307" t="n"/>
      <c r="S207" s="307" t="n"/>
      <c r="T207" s="307" t="n"/>
      <c r="U207" s="307" t="n"/>
      <c r="V207" s="307" t="n"/>
      <c r="W207" s="307" t="n"/>
      <c r="X207" s="307" t="n"/>
      <c r="Y207" s="307" t="n"/>
      <c r="Z207" s="307" t="n"/>
      <c r="AA207" s="307" t="n"/>
      <c r="AB207" s="307" t="n"/>
      <c r="AC207" s="307" t="n"/>
      <c r="AD207" s="307" t="n"/>
      <c r="AE207" s="307" t="n"/>
      <c r="AF207" s="307" t="n"/>
      <c r="AG207" s="307" t="n"/>
      <c r="AH207" s="307" t="n"/>
      <c r="AI207" s="307" t="n"/>
      <c r="AJ207" s="307" t="n"/>
      <c r="AK207" s="307" t="n"/>
      <c r="AL207" s="307" t="n"/>
      <c r="AM207" s="307" t="n"/>
      <c r="AN207" s="307" t="n"/>
      <c r="AO207" s="307" t="n"/>
      <c r="AP207" s="307" t="n"/>
      <c r="AQ207" s="307" t="n"/>
      <c r="AR207" s="307" t="n"/>
    </row>
    <row r="208" ht="15.75" customHeight="1" s="349">
      <c r="A208" s="307" t="n"/>
      <c r="B208" s="307" t="n"/>
      <c r="C208" s="307" t="n"/>
      <c r="D208" s="307" t="n"/>
      <c r="E208" s="307" t="n"/>
      <c r="F208" s="307" t="n"/>
      <c r="G208" s="307" t="n"/>
      <c r="H208" s="307" t="n"/>
      <c r="I208" s="307" t="n"/>
      <c r="J208" s="307" t="n"/>
      <c r="K208" s="307" t="n"/>
      <c r="L208" s="307" t="n"/>
      <c r="M208" s="307" t="n"/>
      <c r="N208" s="307" t="n"/>
      <c r="O208" s="307" t="n"/>
      <c r="P208" s="307" t="n"/>
      <c r="Q208" s="307" t="n"/>
      <c r="R208" s="307" t="n"/>
      <c r="S208" s="307" t="n"/>
      <c r="T208" s="307" t="n"/>
      <c r="U208" s="307" t="n"/>
      <c r="V208" s="307" t="n"/>
      <c r="W208" s="307" t="n"/>
      <c r="X208" s="307" t="n"/>
      <c r="Y208" s="307" t="n"/>
      <c r="Z208" s="307" t="n"/>
      <c r="AA208" s="307" t="n"/>
      <c r="AB208" s="307" t="n"/>
      <c r="AC208" s="307" t="n"/>
      <c r="AD208" s="307" t="n"/>
      <c r="AE208" s="307" t="n"/>
      <c r="AF208" s="307" t="n"/>
      <c r="AG208" s="307" t="n"/>
      <c r="AH208" s="307" t="n"/>
      <c r="AI208" s="307" t="n"/>
      <c r="AJ208" s="307" t="n"/>
      <c r="AK208" s="307" t="n"/>
      <c r="AL208" s="307" t="n"/>
      <c r="AM208" s="307" t="n"/>
      <c r="AN208" s="307" t="n"/>
      <c r="AO208" s="307" t="n"/>
      <c r="AP208" s="307" t="n"/>
      <c r="AQ208" s="307" t="n"/>
      <c r="AR208" s="307" t="n"/>
    </row>
    <row r="209" ht="15.75" customHeight="1" s="349">
      <c r="A209" s="307" t="n"/>
      <c r="B209" s="307" t="n"/>
      <c r="C209" s="307" t="n"/>
      <c r="D209" s="307" t="n"/>
      <c r="E209" s="307" t="n"/>
      <c r="F209" s="307" t="n"/>
      <c r="G209" s="307" t="n"/>
      <c r="H209" s="307" t="n"/>
      <c r="I209" s="307" t="n"/>
      <c r="J209" s="307" t="n"/>
      <c r="K209" s="307" t="n"/>
      <c r="L209" s="307" t="n"/>
      <c r="M209" s="307" t="n"/>
      <c r="N209" s="307" t="n"/>
      <c r="O209" s="307" t="n"/>
      <c r="P209" s="307" t="n"/>
      <c r="Q209" s="307" t="n"/>
      <c r="R209" s="307" t="n"/>
      <c r="S209" s="307" t="n"/>
      <c r="T209" s="307" t="n"/>
      <c r="U209" s="307" t="n"/>
      <c r="V209" s="307" t="n"/>
      <c r="W209" s="307" t="n"/>
      <c r="X209" s="307" t="n"/>
      <c r="Y209" s="307" t="n"/>
      <c r="Z209" s="307" t="n"/>
      <c r="AA209" s="307" t="n"/>
      <c r="AB209" s="307" t="n"/>
      <c r="AC209" s="307" t="n"/>
      <c r="AD209" s="307" t="n"/>
      <c r="AE209" s="307" t="n"/>
      <c r="AF209" s="307" t="n"/>
      <c r="AG209" s="307" t="n"/>
      <c r="AH209" s="307" t="n"/>
      <c r="AI209" s="307" t="n"/>
      <c r="AJ209" s="307" t="n"/>
      <c r="AK209" s="307" t="n"/>
      <c r="AL209" s="307" t="n"/>
      <c r="AM209" s="307" t="n"/>
      <c r="AN209" s="307" t="n"/>
      <c r="AO209" s="307" t="n"/>
      <c r="AP209" s="307" t="n"/>
      <c r="AQ209" s="307" t="n"/>
      <c r="AR209" s="307" t="n"/>
    </row>
    <row r="210" ht="15.75" customHeight="1" s="349">
      <c r="A210" s="307" t="n"/>
      <c r="B210" s="307" t="n"/>
      <c r="C210" s="307" t="n"/>
      <c r="D210" s="307" t="n"/>
      <c r="E210" s="307" t="n"/>
      <c r="F210" s="307" t="n"/>
      <c r="G210" s="307" t="n"/>
      <c r="H210" s="307" t="n"/>
      <c r="I210" s="307" t="n"/>
      <c r="J210" s="307" t="n"/>
      <c r="K210" s="307" t="n"/>
      <c r="L210" s="307" t="n"/>
      <c r="M210" s="307" t="n"/>
      <c r="N210" s="307" t="n"/>
      <c r="O210" s="307" t="n"/>
      <c r="P210" s="307" t="n"/>
      <c r="Q210" s="307" t="n"/>
      <c r="R210" s="307" t="n"/>
      <c r="S210" s="307" t="n"/>
      <c r="T210" s="307" t="n"/>
      <c r="U210" s="307" t="n"/>
      <c r="V210" s="307" t="n"/>
      <c r="W210" s="307" t="n"/>
      <c r="X210" s="307" t="n"/>
      <c r="Y210" s="307" t="n"/>
      <c r="Z210" s="307" t="n"/>
      <c r="AA210" s="307" t="n"/>
      <c r="AB210" s="307" t="n"/>
      <c r="AC210" s="307" t="n"/>
      <c r="AD210" s="307" t="n"/>
      <c r="AE210" s="307" t="n"/>
      <c r="AF210" s="307" t="n"/>
      <c r="AG210" s="307" t="n"/>
      <c r="AH210" s="307" t="n"/>
      <c r="AI210" s="307" t="n"/>
      <c r="AJ210" s="307" t="n"/>
      <c r="AK210" s="307" t="n"/>
      <c r="AL210" s="307" t="n"/>
      <c r="AM210" s="307" t="n"/>
      <c r="AN210" s="307" t="n"/>
      <c r="AO210" s="307" t="n"/>
      <c r="AP210" s="307" t="n"/>
      <c r="AQ210" s="307" t="n"/>
      <c r="AR210" s="307" t="n"/>
    </row>
    <row r="211" ht="15.75" customHeight="1" s="349">
      <c r="A211" s="307" t="n"/>
      <c r="B211" s="307" t="n"/>
      <c r="C211" s="307" t="n"/>
      <c r="D211" s="307" t="n"/>
      <c r="E211" s="307" t="n"/>
      <c r="F211" s="307" t="n"/>
      <c r="G211" s="307" t="n"/>
      <c r="H211" s="307" t="n"/>
      <c r="I211" s="307" t="n"/>
      <c r="J211" s="307" t="n"/>
      <c r="K211" s="307" t="n"/>
      <c r="L211" s="307" t="n"/>
      <c r="M211" s="307" t="n"/>
      <c r="N211" s="307" t="n"/>
      <c r="O211" s="307" t="n"/>
      <c r="P211" s="307" t="n"/>
      <c r="Q211" s="307" t="n"/>
      <c r="R211" s="307" t="n"/>
      <c r="S211" s="307" t="n"/>
      <c r="T211" s="307" t="n"/>
      <c r="U211" s="307" t="n"/>
      <c r="V211" s="307" t="n"/>
      <c r="W211" s="307" t="n"/>
      <c r="X211" s="307" t="n"/>
      <c r="Y211" s="307" t="n"/>
      <c r="Z211" s="307" t="n"/>
      <c r="AA211" s="307" t="n"/>
      <c r="AB211" s="307" t="n"/>
      <c r="AC211" s="307" t="n"/>
      <c r="AD211" s="307" t="n"/>
      <c r="AE211" s="307" t="n"/>
      <c r="AF211" s="307" t="n"/>
      <c r="AG211" s="307" t="n"/>
      <c r="AH211" s="307" t="n"/>
      <c r="AI211" s="307" t="n"/>
      <c r="AJ211" s="307" t="n"/>
      <c r="AK211" s="307" t="n"/>
      <c r="AL211" s="307" t="n"/>
      <c r="AM211" s="307" t="n"/>
      <c r="AN211" s="307" t="n"/>
      <c r="AO211" s="307" t="n"/>
      <c r="AP211" s="307" t="n"/>
      <c r="AQ211" s="307" t="n"/>
      <c r="AR211" s="307" t="n"/>
    </row>
    <row r="212" ht="15.75" customHeight="1" s="349">
      <c r="A212" s="307" t="n"/>
      <c r="B212" s="307" t="n"/>
      <c r="C212" s="307" t="n"/>
      <c r="D212" s="307" t="n"/>
      <c r="E212" s="307" t="n"/>
      <c r="F212" s="307" t="n"/>
      <c r="G212" s="307" t="n"/>
      <c r="H212" s="307" t="n"/>
      <c r="I212" s="307" t="n"/>
      <c r="J212" s="307" t="n"/>
      <c r="K212" s="307" t="n"/>
      <c r="L212" s="307" t="n"/>
      <c r="M212" s="307" t="n"/>
      <c r="N212" s="307" t="n"/>
      <c r="O212" s="307" t="n"/>
      <c r="P212" s="307" t="n"/>
      <c r="Q212" s="307" t="n"/>
      <c r="R212" s="307" t="n"/>
      <c r="S212" s="307" t="n"/>
      <c r="T212" s="307" t="n"/>
      <c r="U212" s="307" t="n"/>
      <c r="V212" s="307" t="n"/>
      <c r="W212" s="307" t="n"/>
      <c r="X212" s="307" t="n"/>
      <c r="Y212" s="307" t="n"/>
      <c r="Z212" s="307" t="n"/>
      <c r="AA212" s="307" t="n"/>
      <c r="AB212" s="307" t="n"/>
      <c r="AC212" s="307" t="n"/>
      <c r="AD212" s="307" t="n"/>
      <c r="AE212" s="307" t="n"/>
      <c r="AF212" s="307" t="n"/>
      <c r="AG212" s="307" t="n"/>
      <c r="AH212" s="307" t="n"/>
      <c r="AI212" s="307" t="n"/>
      <c r="AJ212" s="307" t="n"/>
      <c r="AK212" s="307" t="n"/>
      <c r="AL212" s="307" t="n"/>
      <c r="AM212" s="307" t="n"/>
      <c r="AN212" s="307" t="n"/>
      <c r="AO212" s="307" t="n"/>
      <c r="AP212" s="307" t="n"/>
      <c r="AQ212" s="307" t="n"/>
      <c r="AR212" s="307" t="n"/>
    </row>
    <row r="213" ht="15.75" customHeight="1" s="349">
      <c r="A213" s="307" t="n"/>
      <c r="B213" s="307" t="n"/>
      <c r="C213" s="307" t="n"/>
      <c r="D213" s="307" t="n"/>
      <c r="E213" s="307" t="n"/>
      <c r="F213" s="307" t="n"/>
      <c r="G213" s="307" t="n"/>
      <c r="H213" s="307" t="n"/>
      <c r="I213" s="307" t="n"/>
      <c r="J213" s="307" t="n"/>
      <c r="K213" s="307" t="n"/>
      <c r="L213" s="307" t="n"/>
      <c r="M213" s="307" t="n"/>
      <c r="N213" s="307" t="n"/>
      <c r="O213" s="307" t="n"/>
      <c r="P213" s="307" t="n"/>
      <c r="Q213" s="307" t="n"/>
      <c r="R213" s="307" t="n"/>
      <c r="S213" s="307" t="n"/>
      <c r="T213" s="307" t="n"/>
      <c r="U213" s="307" t="n"/>
      <c r="V213" s="307" t="n"/>
      <c r="W213" s="307" t="n"/>
      <c r="X213" s="307" t="n"/>
      <c r="Y213" s="307" t="n"/>
      <c r="Z213" s="307" t="n"/>
      <c r="AA213" s="307" t="n"/>
      <c r="AB213" s="307" t="n"/>
      <c r="AC213" s="307" t="n"/>
      <c r="AD213" s="307" t="n"/>
      <c r="AE213" s="307" t="n"/>
      <c r="AF213" s="307" t="n"/>
      <c r="AG213" s="307" t="n"/>
      <c r="AH213" s="307" t="n"/>
      <c r="AI213" s="307" t="n"/>
      <c r="AJ213" s="307" t="n"/>
      <c r="AK213" s="307" t="n"/>
      <c r="AL213" s="307" t="n"/>
      <c r="AM213" s="307" t="n"/>
      <c r="AN213" s="307" t="n"/>
      <c r="AO213" s="307" t="n"/>
      <c r="AP213" s="307" t="n"/>
      <c r="AQ213" s="307" t="n"/>
      <c r="AR213" s="307" t="n"/>
    </row>
    <row r="214" ht="15.75" customHeight="1" s="349">
      <c r="A214" s="307" t="n"/>
      <c r="B214" s="307" t="n"/>
      <c r="C214" s="307" t="n"/>
      <c r="D214" s="307" t="n"/>
      <c r="E214" s="307" t="n"/>
      <c r="F214" s="307" t="n"/>
      <c r="G214" s="307" t="n"/>
      <c r="H214" s="307" t="n"/>
      <c r="I214" s="307" t="n"/>
      <c r="J214" s="307" t="n"/>
      <c r="K214" s="307" t="n"/>
      <c r="L214" s="307" t="n"/>
      <c r="M214" s="307" t="n"/>
      <c r="N214" s="307" t="n"/>
      <c r="O214" s="307" t="n"/>
      <c r="P214" s="307" t="n"/>
      <c r="Q214" s="307" t="n"/>
      <c r="R214" s="307" t="n"/>
      <c r="S214" s="307" t="n"/>
      <c r="T214" s="307" t="n"/>
      <c r="U214" s="307" t="n"/>
      <c r="V214" s="307" t="n"/>
      <c r="W214" s="307" t="n"/>
      <c r="X214" s="307" t="n"/>
      <c r="Y214" s="307" t="n"/>
      <c r="Z214" s="307" t="n"/>
      <c r="AA214" s="307" t="n"/>
      <c r="AB214" s="307" t="n"/>
      <c r="AC214" s="307" t="n"/>
      <c r="AD214" s="307" t="n"/>
      <c r="AE214" s="307" t="n"/>
      <c r="AF214" s="307" t="n"/>
      <c r="AG214" s="307" t="n"/>
      <c r="AH214" s="307" t="n"/>
      <c r="AI214" s="307" t="n"/>
      <c r="AJ214" s="307" t="n"/>
      <c r="AK214" s="307" t="n"/>
      <c r="AL214" s="307" t="n"/>
      <c r="AM214" s="307" t="n"/>
      <c r="AN214" s="307" t="n"/>
      <c r="AO214" s="307" t="n"/>
      <c r="AP214" s="307" t="n"/>
      <c r="AQ214" s="307" t="n"/>
      <c r="AR214" s="307" t="n"/>
    </row>
    <row r="215" ht="15.75" customHeight="1" s="349">
      <c r="A215" s="307" t="n"/>
      <c r="B215" s="307" t="n"/>
      <c r="C215" s="307" t="n"/>
      <c r="D215" s="307" t="n"/>
      <c r="E215" s="307" t="n"/>
      <c r="F215" s="307" t="n"/>
      <c r="G215" s="307" t="n"/>
      <c r="H215" s="307" t="n"/>
      <c r="I215" s="307" t="n"/>
      <c r="J215" s="307" t="n"/>
      <c r="K215" s="307" t="n"/>
      <c r="L215" s="307" t="n"/>
      <c r="M215" s="307" t="n"/>
      <c r="N215" s="307" t="n"/>
      <c r="O215" s="307" t="n"/>
      <c r="P215" s="307" t="n"/>
      <c r="Q215" s="307" t="n"/>
      <c r="R215" s="307" t="n"/>
      <c r="S215" s="307" t="n"/>
      <c r="T215" s="307" t="n"/>
      <c r="U215" s="307" t="n"/>
      <c r="V215" s="307" t="n"/>
      <c r="W215" s="307" t="n"/>
      <c r="X215" s="307" t="n"/>
      <c r="Y215" s="307" t="n"/>
      <c r="Z215" s="307" t="n"/>
      <c r="AA215" s="307" t="n"/>
      <c r="AB215" s="307" t="n"/>
      <c r="AC215" s="307" t="n"/>
      <c r="AD215" s="307" t="n"/>
      <c r="AE215" s="307" t="n"/>
      <c r="AF215" s="307" t="n"/>
      <c r="AG215" s="307" t="n"/>
      <c r="AH215" s="307" t="n"/>
      <c r="AI215" s="307" t="n"/>
      <c r="AJ215" s="307" t="n"/>
      <c r="AK215" s="307" t="n"/>
      <c r="AL215" s="307" t="n"/>
      <c r="AM215" s="307" t="n"/>
      <c r="AN215" s="307" t="n"/>
      <c r="AO215" s="307" t="n"/>
      <c r="AP215" s="307" t="n"/>
      <c r="AQ215" s="307" t="n"/>
      <c r="AR215" s="307" t="n"/>
    </row>
    <row r="216" ht="15.75" customHeight="1" s="349">
      <c r="A216" s="307" t="n"/>
      <c r="B216" s="307" t="n"/>
      <c r="C216" s="307" t="n"/>
      <c r="D216" s="307" t="n"/>
      <c r="E216" s="307" t="n"/>
      <c r="F216" s="307" t="n"/>
      <c r="G216" s="307" t="n"/>
      <c r="H216" s="307" t="n"/>
      <c r="I216" s="307" t="n"/>
      <c r="J216" s="307" t="n"/>
      <c r="K216" s="307" t="n"/>
      <c r="L216" s="307" t="n"/>
      <c r="M216" s="307" t="n"/>
      <c r="N216" s="307" t="n"/>
      <c r="O216" s="307" t="n"/>
      <c r="P216" s="307" t="n"/>
      <c r="Q216" s="307" t="n"/>
      <c r="R216" s="307" t="n"/>
      <c r="S216" s="307" t="n"/>
      <c r="T216" s="307" t="n"/>
      <c r="U216" s="307" t="n"/>
      <c r="V216" s="307" t="n"/>
      <c r="W216" s="307" t="n"/>
      <c r="X216" s="307" t="n"/>
      <c r="Y216" s="307" t="n"/>
      <c r="Z216" s="307" t="n"/>
      <c r="AA216" s="307" t="n"/>
      <c r="AB216" s="307" t="n"/>
      <c r="AC216" s="307" t="n"/>
      <c r="AD216" s="307" t="n"/>
      <c r="AE216" s="307" t="n"/>
      <c r="AF216" s="307" t="n"/>
      <c r="AG216" s="307" t="n"/>
      <c r="AH216" s="307" t="n"/>
      <c r="AI216" s="307" t="n"/>
      <c r="AJ216" s="307" t="n"/>
      <c r="AK216" s="307" t="n"/>
      <c r="AL216" s="307" t="n"/>
      <c r="AM216" s="307" t="n"/>
      <c r="AN216" s="307" t="n"/>
      <c r="AO216" s="307" t="n"/>
      <c r="AP216" s="307" t="n"/>
      <c r="AQ216" s="307" t="n"/>
      <c r="AR216" s="307" t="n"/>
    </row>
    <row r="217" ht="15.75" customHeight="1" s="349">
      <c r="A217" s="307" t="n"/>
      <c r="B217" s="307" t="n"/>
      <c r="C217" s="307" t="n"/>
      <c r="D217" s="307" t="n"/>
      <c r="E217" s="307" t="n"/>
      <c r="F217" s="307" t="n"/>
      <c r="G217" s="307" t="n"/>
      <c r="H217" s="307" t="n"/>
      <c r="I217" s="307" t="n"/>
      <c r="J217" s="307" t="n"/>
      <c r="K217" s="307" t="n"/>
      <c r="L217" s="307" t="n"/>
      <c r="M217" s="307" t="n"/>
      <c r="N217" s="307" t="n"/>
      <c r="O217" s="307" t="n"/>
      <c r="P217" s="307" t="n"/>
      <c r="Q217" s="307" t="n"/>
      <c r="R217" s="307" t="n"/>
      <c r="S217" s="307" t="n"/>
      <c r="T217" s="307" t="n"/>
      <c r="U217" s="307" t="n"/>
      <c r="V217" s="307" t="n"/>
      <c r="W217" s="307" t="n"/>
      <c r="X217" s="307" t="n"/>
      <c r="Y217" s="307" t="n"/>
      <c r="Z217" s="307" t="n"/>
      <c r="AA217" s="307" t="n"/>
      <c r="AB217" s="307" t="n"/>
      <c r="AC217" s="307" t="n"/>
      <c r="AD217" s="307" t="n"/>
      <c r="AE217" s="307" t="n"/>
      <c r="AF217" s="307" t="n"/>
      <c r="AG217" s="307" t="n"/>
      <c r="AH217" s="307" t="n"/>
      <c r="AI217" s="307" t="n"/>
      <c r="AJ217" s="307" t="n"/>
      <c r="AK217" s="307" t="n"/>
      <c r="AL217" s="307" t="n"/>
      <c r="AM217" s="307" t="n"/>
      <c r="AN217" s="307" t="n"/>
      <c r="AO217" s="307" t="n"/>
      <c r="AP217" s="307" t="n"/>
      <c r="AQ217" s="307" t="n"/>
      <c r="AR217" s="307" t="n"/>
    </row>
    <row r="218" ht="15.75" customHeight="1" s="349">
      <c r="A218" s="307" t="n"/>
      <c r="B218" s="307" t="n"/>
      <c r="C218" s="307" t="n"/>
      <c r="D218" s="307" t="n"/>
      <c r="E218" s="307" t="n"/>
      <c r="F218" s="307" t="n"/>
      <c r="G218" s="307" t="n"/>
      <c r="H218" s="307" t="n"/>
      <c r="I218" s="307" t="n"/>
      <c r="J218" s="307" t="n"/>
      <c r="K218" s="307" t="n"/>
      <c r="L218" s="307" t="n"/>
      <c r="M218" s="307" t="n"/>
      <c r="N218" s="307" t="n"/>
      <c r="O218" s="307" t="n"/>
      <c r="P218" s="307" t="n"/>
      <c r="Q218" s="307" t="n"/>
      <c r="R218" s="307" t="n"/>
      <c r="S218" s="307" t="n"/>
      <c r="T218" s="307" t="n"/>
      <c r="U218" s="307" t="n"/>
      <c r="V218" s="307" t="n"/>
      <c r="W218" s="307" t="n"/>
      <c r="X218" s="307" t="n"/>
      <c r="Y218" s="307" t="n"/>
      <c r="Z218" s="307" t="n"/>
      <c r="AA218" s="307" t="n"/>
      <c r="AB218" s="307" t="n"/>
      <c r="AC218" s="307" t="n"/>
      <c r="AD218" s="307" t="n"/>
      <c r="AE218" s="307" t="n"/>
      <c r="AF218" s="307" t="n"/>
      <c r="AG218" s="307" t="n"/>
      <c r="AH218" s="307" t="n"/>
      <c r="AI218" s="307" t="n"/>
      <c r="AJ218" s="307" t="n"/>
      <c r="AK218" s="307" t="n"/>
      <c r="AL218" s="307" t="n"/>
      <c r="AM218" s="307" t="n"/>
      <c r="AN218" s="307" t="n"/>
      <c r="AO218" s="307" t="n"/>
      <c r="AP218" s="307" t="n"/>
      <c r="AQ218" s="307" t="n"/>
      <c r="AR218" s="307" t="n"/>
    </row>
    <row r="219" ht="15.75" customHeight="1" s="349">
      <c r="A219" s="307" t="n"/>
      <c r="B219" s="307" t="n"/>
      <c r="C219" s="307" t="n"/>
      <c r="D219" s="307" t="n"/>
      <c r="E219" s="307" t="n"/>
      <c r="F219" s="307" t="n"/>
      <c r="G219" s="307" t="n"/>
      <c r="H219" s="307" t="n"/>
      <c r="I219" s="307" t="n"/>
      <c r="J219" s="307" t="n"/>
      <c r="K219" s="307" t="n"/>
      <c r="L219" s="307" t="n"/>
      <c r="M219" s="307" t="n"/>
      <c r="N219" s="307" t="n"/>
      <c r="O219" s="307" t="n"/>
      <c r="P219" s="307" t="n"/>
      <c r="Q219" s="307" t="n"/>
      <c r="R219" s="307" t="n"/>
      <c r="S219" s="307" t="n"/>
      <c r="T219" s="307" t="n"/>
      <c r="U219" s="307" t="n"/>
      <c r="V219" s="307" t="n"/>
      <c r="W219" s="307" t="n"/>
      <c r="X219" s="307" t="n"/>
      <c r="Y219" s="307" t="n"/>
      <c r="Z219" s="307" t="n"/>
      <c r="AA219" s="307" t="n"/>
      <c r="AB219" s="307" t="n"/>
      <c r="AC219" s="307" t="n"/>
      <c r="AD219" s="307" t="n"/>
      <c r="AE219" s="307" t="n"/>
      <c r="AF219" s="307" t="n"/>
      <c r="AG219" s="307" t="n"/>
      <c r="AH219" s="307" t="n"/>
      <c r="AI219" s="307" t="n"/>
      <c r="AJ219" s="307" t="n"/>
      <c r="AK219" s="307" t="n"/>
      <c r="AL219" s="307" t="n"/>
      <c r="AM219" s="307" t="n"/>
      <c r="AN219" s="307" t="n"/>
      <c r="AO219" s="307" t="n"/>
      <c r="AP219" s="307" t="n"/>
      <c r="AQ219" s="307" t="n"/>
      <c r="AR219" s="307" t="n"/>
    </row>
    <row r="220" ht="15.75" customHeight="1" s="349">
      <c r="A220" s="307" t="n"/>
      <c r="B220" s="307" t="n"/>
      <c r="C220" s="307" t="n"/>
      <c r="D220" s="307" t="n"/>
      <c r="E220" s="307" t="n"/>
      <c r="F220" s="307" t="n"/>
      <c r="G220" s="307" t="n"/>
      <c r="H220" s="307" t="n"/>
      <c r="I220" s="307" t="n"/>
      <c r="J220" s="307" t="n"/>
      <c r="K220" s="307" t="n"/>
      <c r="L220" s="307" t="n"/>
      <c r="M220" s="307" t="n"/>
      <c r="N220" s="307" t="n"/>
      <c r="O220" s="307" t="n"/>
      <c r="P220" s="307" t="n"/>
      <c r="Q220" s="307" t="n"/>
      <c r="R220" s="307" t="n"/>
      <c r="S220" s="307" t="n"/>
      <c r="T220" s="307" t="n"/>
      <c r="U220" s="307" t="n"/>
      <c r="V220" s="307" t="n"/>
      <c r="W220" s="307" t="n"/>
      <c r="X220" s="307" t="n"/>
      <c r="Y220" s="307" t="n"/>
      <c r="Z220" s="307" t="n"/>
      <c r="AA220" s="307" t="n"/>
      <c r="AB220" s="307" t="n"/>
      <c r="AC220" s="307" t="n"/>
      <c r="AD220" s="307" t="n"/>
      <c r="AE220" s="307" t="n"/>
      <c r="AF220" s="307" t="n"/>
      <c r="AG220" s="307" t="n"/>
      <c r="AH220" s="307" t="n"/>
      <c r="AI220" s="307" t="n"/>
      <c r="AJ220" s="307" t="n"/>
      <c r="AK220" s="307" t="n"/>
      <c r="AL220" s="307" t="n"/>
      <c r="AM220" s="307" t="n"/>
      <c r="AN220" s="307" t="n"/>
      <c r="AO220" s="307" t="n"/>
      <c r="AP220" s="307" t="n"/>
      <c r="AQ220" s="307" t="n"/>
      <c r="AR220" s="307" t="n"/>
    </row>
    <row r="221" ht="15.75" customHeight="1" s="349"/>
    <row r="222" ht="15.75" customHeight="1" s="349"/>
    <row r="223" ht="15.75" customHeight="1" s="349"/>
    <row r="224" ht="15.75" customHeight="1" s="349"/>
    <row r="225" ht="15.75" customHeight="1" s="349"/>
    <row r="226" ht="15.75" customHeight="1" s="349"/>
    <row r="227" ht="15.75" customHeight="1" s="349"/>
    <row r="228" ht="15.75" customHeight="1" s="349"/>
    <row r="229" ht="15.75" customHeight="1" s="349"/>
    <row r="230" ht="15.75" customHeight="1" s="349"/>
    <row r="231" ht="15.75" customHeight="1" s="349"/>
    <row r="232" ht="15.75" customHeight="1" s="349"/>
    <row r="233" ht="15.75" customHeight="1" s="349"/>
    <row r="234" ht="15.75" customHeight="1" s="349"/>
    <row r="235" ht="15.75" customHeight="1" s="349"/>
    <row r="236" ht="15.75" customHeight="1" s="349"/>
    <row r="237" ht="15.75" customHeight="1" s="349"/>
    <row r="238" ht="15.75" customHeight="1" s="349"/>
    <row r="239" ht="15.75" customHeight="1" s="349"/>
    <row r="240" ht="15.75" customHeight="1" s="349"/>
    <row r="241" ht="15.75" customHeight="1" s="349"/>
    <row r="242" ht="15.75" customHeight="1" s="349"/>
    <row r="243" ht="15.75" customHeight="1" s="349"/>
    <row r="244" ht="15.75" customHeight="1" s="349"/>
    <row r="245" ht="15.75" customHeight="1" s="349"/>
    <row r="246" ht="15.75" customHeight="1" s="349"/>
    <row r="247" ht="15.75" customHeight="1" s="349"/>
    <row r="248" ht="15.75" customHeight="1" s="349"/>
    <row r="249" ht="15.75" customHeight="1" s="349"/>
    <row r="250" ht="15.75" customHeight="1" s="349"/>
    <row r="251" ht="15.75" customHeight="1" s="349"/>
    <row r="252" ht="15.75" customHeight="1" s="349"/>
    <row r="253" ht="15.75" customHeight="1" s="349"/>
    <row r="254" ht="15.75" customHeight="1" s="349"/>
    <row r="255" ht="15.75" customHeight="1" s="349"/>
    <row r="256" ht="15.75" customHeight="1" s="349"/>
    <row r="257" ht="15.75" customHeight="1" s="349"/>
    <row r="258" ht="15.75" customHeight="1" s="349"/>
    <row r="259" ht="15.75" customHeight="1" s="349"/>
    <row r="260" ht="15.75" customHeight="1" s="349"/>
    <row r="261" ht="15.75" customHeight="1" s="349"/>
    <row r="262" ht="15.75" customHeight="1" s="349"/>
    <row r="263" ht="15.75" customHeight="1" s="349"/>
    <row r="264" ht="15.75" customHeight="1" s="349"/>
    <row r="265" ht="15.75" customHeight="1" s="349"/>
    <row r="266" ht="15.75" customHeight="1" s="349"/>
    <row r="267" ht="15.75" customHeight="1" s="349"/>
    <row r="268" ht="15.75" customHeight="1" s="349"/>
    <row r="269" ht="15.75" customHeight="1" s="349"/>
    <row r="270" ht="15.75" customHeight="1" s="349"/>
    <row r="271" ht="15.75" customHeight="1" s="349"/>
    <row r="272" ht="15.75" customHeight="1" s="349"/>
    <row r="273" ht="15.75" customHeight="1" s="349"/>
    <row r="274" ht="15.75" customHeight="1" s="349"/>
    <row r="275" ht="15.75" customHeight="1" s="349"/>
    <row r="276" ht="15.75" customHeight="1" s="349"/>
    <row r="277" ht="15.75" customHeight="1" s="349"/>
    <row r="278" ht="15.75" customHeight="1" s="349"/>
    <row r="279" ht="15.75" customHeight="1" s="349"/>
    <row r="280" ht="15.75" customHeight="1" s="349"/>
    <row r="281" ht="15.75" customHeight="1" s="349"/>
    <row r="282" ht="15.75" customHeight="1" s="349"/>
    <row r="283" ht="15.75" customHeight="1" s="349"/>
    <row r="284" ht="15.75" customHeight="1" s="349"/>
    <row r="285" ht="15.75" customHeight="1" s="349"/>
    <row r="286" ht="15.75" customHeight="1" s="349"/>
    <row r="287" ht="15.75" customHeight="1" s="349"/>
    <row r="288" ht="15.75" customHeight="1" s="349"/>
    <row r="289" ht="15.75" customHeight="1" s="349"/>
    <row r="290" ht="15.75" customHeight="1" s="349"/>
    <row r="291" ht="15.75" customHeight="1" s="349"/>
    <row r="292" ht="15.75" customHeight="1" s="349"/>
    <row r="293" ht="15.75" customHeight="1" s="349"/>
    <row r="294" ht="15.75" customHeight="1" s="349"/>
    <row r="295" ht="15.75" customHeight="1" s="349"/>
    <row r="296" ht="15.75" customHeight="1" s="349"/>
    <row r="297" ht="15.75" customHeight="1" s="349"/>
    <row r="298" ht="15.75" customHeight="1" s="349"/>
    <row r="299" ht="15.75" customHeight="1" s="349"/>
    <row r="300" ht="15.75" customHeight="1" s="349"/>
    <row r="301" ht="15.75" customHeight="1" s="349"/>
    <row r="302" ht="15.75" customHeight="1" s="349"/>
    <row r="303" ht="15.75" customHeight="1" s="349"/>
    <row r="304" ht="15.75" customHeight="1" s="349"/>
    <row r="305" ht="15.75" customHeight="1" s="349"/>
    <row r="306" ht="15.75" customHeight="1" s="349"/>
    <row r="307" ht="15.75" customHeight="1" s="349"/>
    <row r="308" ht="15.75" customHeight="1" s="349"/>
    <row r="309" ht="15.75" customHeight="1" s="349"/>
    <row r="310" ht="15.75" customHeight="1" s="349"/>
    <row r="311" ht="15.75" customHeight="1" s="349"/>
    <row r="312" ht="15.75" customHeight="1" s="349"/>
    <row r="313" ht="15.75" customHeight="1" s="349"/>
    <row r="314" ht="15.75" customHeight="1" s="349"/>
    <row r="315" ht="15.75" customHeight="1" s="349"/>
    <row r="316" ht="15.75" customHeight="1" s="349"/>
    <row r="317" ht="15.75" customHeight="1" s="349"/>
    <row r="318" ht="15.75" customHeight="1" s="349"/>
    <row r="319" ht="15.75" customHeight="1" s="349"/>
    <row r="320" ht="15.75" customHeight="1" s="349"/>
    <row r="321" ht="15.75" customHeight="1" s="349"/>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row r="994" ht="15.75" customHeight="1" s="349"/>
    <row r="995" ht="15.75" customHeight="1" s="349"/>
    <row r="996" ht="15.75" customHeight="1" s="349"/>
    <row r="997" ht="15.75" customHeight="1" s="349"/>
    <row r="998" ht="15.75" customHeight="1" s="349"/>
    <row r="999" ht="15.75" customHeight="1" s="349"/>
    <row r="1000" ht="15.75" customHeight="1" s="349"/>
  </sheetData>
  <pageMargins left="0.75" right="0.75" top="1" bottom="1" header="0" footer="0"/>
  <pageSetup orientation="landscape"/>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T220"/>
  <sheetViews>
    <sheetView showGridLines="0" workbookViewId="0">
      <selection activeCell="A1" sqref="A1"/>
    </sheetView>
  </sheetViews>
  <sheetFormatPr baseColWidth="8" defaultColWidth="14.43" defaultRowHeight="15" customHeight="1"/>
  <cols>
    <col width="2" customWidth="1" style="349" min="1" max="1"/>
    <col width="30" customWidth="1" style="349" min="2" max="2"/>
    <col width="7" customWidth="1" style="349" min="3" max="3"/>
    <col width="10" customWidth="1" style="349" min="4" max="4"/>
    <col width="10.43" customWidth="1" style="349" min="5" max="5"/>
    <col width="11.29" customWidth="1" style="349" min="6" max="6"/>
    <col width="12.14" customWidth="1" style="349" min="7" max="7"/>
    <col width="10.71" customWidth="1" style="349" min="8" max="8"/>
    <col width="9" customWidth="1" style="349" min="9" max="9"/>
    <col width="15.71" customWidth="1" style="349" min="10" max="10"/>
    <col width="5" customWidth="1" style="349" min="11" max="12"/>
    <col width="9.57" customWidth="1" style="349" min="13" max="13"/>
    <col width="10.71" customWidth="1" style="349" min="14" max="14"/>
    <col width="11.57" customWidth="1" style="349" min="15" max="15"/>
    <col width="10.71" customWidth="1" style="349" min="16" max="16"/>
    <col width="9" customWidth="1" style="349" min="17" max="18"/>
    <col width="13.29" customWidth="1" style="349" min="19" max="19"/>
    <col width="9.57" customWidth="1" style="349" min="20" max="22"/>
    <col width="10.71" customWidth="1" style="349" min="23" max="23"/>
    <col width="19.57" customWidth="1" style="349" min="24" max="24"/>
    <col width="19.71" customWidth="1" style="349" min="25" max="25"/>
    <col width="16.57" customWidth="1" style="349" min="26" max="26"/>
    <col width="9" customWidth="1" style="349" min="27" max="33"/>
    <col width="8" customWidth="1" style="349" min="34" max="42"/>
  </cols>
  <sheetData>
    <row r="1">
      <c r="A1" s="307" t="n"/>
      <c r="B1" s="307" t="n"/>
      <c r="C1" s="307" t="n"/>
      <c r="D1" s="307" t="n"/>
      <c r="E1" s="307" t="n"/>
      <c r="F1" s="307" t="n"/>
      <c r="G1" s="307" t="n"/>
      <c r="H1" s="307" t="n"/>
      <c r="I1" s="307" t="n"/>
      <c r="J1" s="307" t="n"/>
      <c r="K1" s="307" t="n"/>
      <c r="L1" s="307" t="n"/>
      <c r="M1" s="307" t="n"/>
      <c r="N1" s="307" t="n"/>
      <c r="O1" s="307" t="n"/>
      <c r="P1" s="307" t="n"/>
      <c r="Q1" s="307" t="n"/>
      <c r="R1" s="307" t="n"/>
      <c r="S1" s="307" t="n"/>
      <c r="T1" s="307" t="n"/>
      <c r="U1" s="307" t="n"/>
      <c r="V1" s="307" t="n"/>
      <c r="W1" s="307" t="n"/>
      <c r="X1" s="307" t="n"/>
      <c r="Y1" s="307" t="n"/>
      <c r="Z1" s="307" t="n"/>
      <c r="AA1" s="307" t="n"/>
      <c r="AB1" s="307" t="n"/>
      <c r="AC1" s="307" t="n"/>
      <c r="AD1" s="307" t="n"/>
      <c r="AE1" s="307" t="n"/>
      <c r="AF1" s="307" t="n"/>
      <c r="AG1" s="307" t="n"/>
      <c r="AH1" s="307" t="n"/>
      <c r="AI1" s="307" t="n"/>
      <c r="AJ1" s="307" t="n"/>
      <c r="AK1" s="307" t="n"/>
      <c r="AL1" s="307" t="n"/>
      <c r="AM1" s="307" t="n"/>
      <c r="AN1" s="307" t="n"/>
      <c r="AO1" s="307" t="n"/>
      <c r="AP1" s="307" t="n"/>
      <c r="AQ1" s="307" t="n"/>
      <c r="AR1" s="307" t="n"/>
      <c r="AS1" s="307" t="n"/>
      <c r="AT1" s="307" t="n"/>
    </row>
    <row r="2" ht="13.5" customHeight="1" s="349">
      <c r="A2" s="300" t="n"/>
      <c r="B2" s="301" t="inlineStr">
        <is>
          <t>Financials</t>
        </is>
      </c>
      <c r="C2" s="302" t="n">
        <v>2025</v>
      </c>
      <c r="D2" s="302" t="n">
        <v>2026</v>
      </c>
      <c r="E2" s="302" t="n">
        <v>2027</v>
      </c>
      <c r="F2" s="302" t="n">
        <v>2028</v>
      </c>
      <c r="G2" s="302" t="n">
        <v>2029</v>
      </c>
      <c r="H2" s="302" t="n"/>
      <c r="I2" s="302" t="n"/>
      <c r="J2" s="301" t="inlineStr">
        <is>
          <t>Units &amp; Revenues</t>
        </is>
      </c>
      <c r="K2" s="302" t="n"/>
      <c r="L2" s="302" t="n">
        <v>2026</v>
      </c>
      <c r="M2" s="302" t="n">
        <v>2027</v>
      </c>
      <c r="N2" s="302" t="n">
        <v>2028</v>
      </c>
      <c r="O2" s="302" t="n">
        <v>2029</v>
      </c>
      <c r="P2" s="302" t="n"/>
      <c r="Q2" s="302" t="n"/>
      <c r="R2" s="302" t="n"/>
      <c r="S2" s="302" t="n"/>
      <c r="T2" s="302" t="n"/>
      <c r="U2" s="302" t="n">
        <v>2026</v>
      </c>
      <c r="V2" s="302" t="n">
        <v>2027</v>
      </c>
      <c r="W2" s="302" t="n">
        <v>2028</v>
      </c>
      <c r="X2" s="302" t="n">
        <v>2029</v>
      </c>
      <c r="Y2" s="302" t="n"/>
      <c r="Z2" s="302" t="n"/>
      <c r="AA2" s="302" t="n"/>
      <c r="AB2" s="302" t="n"/>
      <c r="AC2" s="302" t="n"/>
      <c r="AD2" s="302" t="n"/>
      <c r="AE2" s="305" t="n"/>
      <c r="AF2" s="305" t="n"/>
      <c r="AG2" s="305" t="n"/>
      <c r="AH2" s="305" t="n"/>
      <c r="AI2" s="305" t="n"/>
      <c r="AJ2" s="305" t="n"/>
      <c r="AK2" s="305" t="n"/>
      <c r="AL2" s="305" t="n"/>
      <c r="AM2" s="305" t="n"/>
      <c r="AN2" s="305" t="n"/>
      <c r="AO2" s="305" t="n"/>
      <c r="AP2" s="305" t="n"/>
      <c r="AQ2" s="305" t="n"/>
      <c r="AR2" s="305" t="n"/>
      <c r="AS2" s="306" t="n"/>
      <c r="AT2" s="300" t="n"/>
    </row>
    <row r="3" ht="15.75" customHeight="1" s="349">
      <c r="A3" s="307" t="n"/>
      <c r="B3" s="307" t="inlineStr">
        <is>
          <t>REVENUES (€)</t>
        </is>
      </c>
      <c r="C3" s="233">
        <f>'Financial Statements'!BB11</f>
        <v/>
      </c>
      <c r="D3" s="233">
        <f>'Financial Statements'!BC11</f>
        <v/>
      </c>
      <c r="E3" s="233">
        <f>'Financial Statements'!BD11</f>
        <v/>
      </c>
      <c r="F3" s="233">
        <f>'Financial Statements'!BE11</f>
        <v/>
      </c>
      <c r="G3" s="233">
        <f>'Financial Statements'!BF11</f>
        <v/>
      </c>
      <c r="H3" s="307" t="n"/>
      <c r="I3" s="307" t="n"/>
      <c r="J3" s="307" t="inlineStr">
        <is>
          <t>TTK units sold</t>
        </is>
      </c>
      <c r="K3" s="233" t="n"/>
      <c r="L3" s="233">
        <f>'Revenue Forecast'!BC6</f>
        <v/>
      </c>
      <c r="M3" s="233">
        <f>'Revenue Forecast'!BD6</f>
        <v/>
      </c>
      <c r="N3" s="233">
        <f>'Revenue Forecast'!BE6</f>
        <v/>
      </c>
      <c r="O3" s="233">
        <f>'Revenue Forecast'!BF6</f>
        <v/>
      </c>
      <c r="P3" s="307" t="n"/>
      <c r="Q3" s="307" t="n"/>
      <c r="R3" s="307" t="n"/>
      <c r="S3" s="307" t="inlineStr">
        <is>
          <t>Headcount</t>
        </is>
      </c>
      <c r="T3" s="233" t="n"/>
      <c r="U3" s="233">
        <f>COUNTIFS(Personnel!$F$3:$F$56,"&lt;="&amp;DATE(U$2,12,1),Personnel!$G$3:$G$56,"&gt;="&amp;DATE(U$2,12,1))+COUNTIFS(Personnel!$F$3:$F$56,"&lt;="&amp;DATE(U$2,12,1),Personnel!$G$3:$G$56,"")</f>
        <v/>
      </c>
      <c r="V3" s="233">
        <f>COUNTIFS(Personnel!$F$3:$F$56,"&lt;="&amp;DATE(V$2,12,1),Personnel!$G$3:$G$56,"&gt;="&amp;DATE(V$2,12,1))+COUNTIFS(Personnel!$F$3:$F$56,"&lt;="&amp;DATE(V$2,12,1),Personnel!$G$3:$G$56,"")</f>
        <v/>
      </c>
      <c r="W3" s="233">
        <f>COUNTIFS(Personnel!$F$3:$F$56,"&lt;="&amp;DATE(W$2,12,1),Personnel!$G$3:$G$56,"&gt;="&amp;DATE(W$2,12,1))+COUNTIFS(Personnel!$F$3:$F$56,"&lt;="&amp;DATE(W$2,12,1),Personnel!$G$3:$G$56,"")</f>
        <v/>
      </c>
      <c r="X3" s="233">
        <f>COUNTIFS(Personnel!$F$3:$F$56,"&lt;="&amp;DATE(X$2,12,1),Personnel!$G$3:$G$56,"&gt;="&amp;DATE(X$2,12,1))+COUNTIFS(Personnel!$F$3:$F$56,"&lt;="&amp;DATE(X$2,12,1),Personnel!$G$3:$G$56,"")</f>
        <v/>
      </c>
      <c r="Y3" s="233" t="n"/>
      <c r="Z3" s="307" t="n"/>
      <c r="AA3" s="307" t="n"/>
      <c r="AB3" s="307" t="n"/>
      <c r="AC3" s="307" t="n"/>
      <c r="AD3" s="307" t="n"/>
      <c r="AE3" s="307" t="n"/>
      <c r="AF3" s="307" t="n"/>
      <c r="AG3" s="307" t="n"/>
      <c r="AH3" s="307" t="n"/>
      <c r="AI3" s="307" t="n"/>
      <c r="AJ3" s="307" t="n"/>
      <c r="AK3" s="307" t="n"/>
      <c r="AL3" s="307" t="n"/>
      <c r="AM3" s="307" t="n"/>
      <c r="AN3" s="307" t="n"/>
      <c r="AO3" s="307" t="n"/>
      <c r="AP3" s="307" t="n"/>
      <c r="AQ3" s="307" t="n"/>
      <c r="AR3" s="307" t="n"/>
      <c r="AS3" s="307" t="n"/>
      <c r="AT3" s="307" t="n"/>
    </row>
    <row r="4" ht="15.75" customHeight="1" s="349">
      <c r="A4" s="307" t="n"/>
      <c r="B4" s="307" t="inlineStr">
        <is>
          <t>COGS (€)</t>
        </is>
      </c>
      <c r="C4" s="307" t="n"/>
      <c r="D4" s="233">
        <f>'Financial Statements'!BC17</f>
        <v/>
      </c>
      <c r="E4" s="233">
        <f>'Financial Statements'!BD17</f>
        <v/>
      </c>
      <c r="F4" s="233">
        <f>'Financial Statements'!BE17</f>
        <v/>
      </c>
      <c r="G4" s="233">
        <f>'Financial Statements'!BF17</f>
        <v/>
      </c>
      <c r="H4" s="307" t="n"/>
      <c r="I4" s="307" t="n"/>
      <c r="J4" s="307" t="inlineStr">
        <is>
          <t>Combi+ units sold</t>
        </is>
      </c>
      <c r="K4" s="233" t="n"/>
      <c r="L4" s="233">
        <f>'Revenue Forecast'!BC12</f>
        <v/>
      </c>
      <c r="M4" s="233">
        <f>'Revenue Forecast'!BD12</f>
        <v/>
      </c>
      <c r="N4" s="233">
        <f>'Revenue Forecast'!BE12</f>
        <v/>
      </c>
      <c r="O4" s="233">
        <f>'Revenue Forecast'!BF12</f>
        <v/>
      </c>
      <c r="P4" s="307" t="n"/>
      <c r="Q4" s="307" t="n"/>
      <c r="R4" s="307" t="n"/>
      <c r="S4" s="307" t="inlineStr">
        <is>
          <t>Revenue/FTE</t>
        </is>
      </c>
      <c r="T4" s="233" t="n"/>
      <c r="U4" s="233">
        <f>D3/U3</f>
        <v/>
      </c>
      <c r="V4" s="233">
        <f>E3/V3</f>
        <v/>
      </c>
      <c r="W4" s="233">
        <f>F3/W3</f>
        <v/>
      </c>
      <c r="X4" s="233">
        <f>G3/X3</f>
        <v/>
      </c>
      <c r="Y4" s="233" t="n"/>
      <c r="Z4" s="307" t="n"/>
      <c r="AA4" s="307" t="n"/>
      <c r="AB4" s="307" t="n"/>
      <c r="AC4" s="307" t="n"/>
      <c r="AD4" s="307" t="n"/>
      <c r="AE4" s="307" t="n"/>
      <c r="AF4" s="307" t="n"/>
      <c r="AG4" s="307" t="n"/>
      <c r="AH4" s="307" t="n"/>
      <c r="AI4" s="307" t="n"/>
      <c r="AJ4" s="307" t="n"/>
      <c r="AK4" s="307" t="n"/>
      <c r="AL4" s="307" t="n"/>
      <c r="AM4" s="307" t="n"/>
      <c r="AN4" s="307" t="n"/>
      <c r="AO4" s="307" t="n"/>
      <c r="AP4" s="307" t="n"/>
      <c r="AQ4" s="307" t="n"/>
      <c r="AR4" s="307" t="n"/>
      <c r="AS4" s="307" t="n"/>
      <c r="AT4" s="307" t="n"/>
    </row>
    <row r="5" ht="15.75" customHeight="1" s="349">
      <c r="A5" s="307" t="n"/>
      <c r="B5" s="307" t="inlineStr">
        <is>
          <t>OPEX (€)</t>
        </is>
      </c>
      <c r="C5" s="307" t="n"/>
      <c r="D5" s="233">
        <f>'Financial Statements'!BC30</f>
        <v/>
      </c>
      <c r="E5" s="233">
        <f>'Financial Statements'!BD30</f>
        <v/>
      </c>
      <c r="F5" s="233">
        <f>'Financial Statements'!BE30</f>
        <v/>
      </c>
      <c r="G5" s="233">
        <f>'Financial Statements'!BF30</f>
        <v/>
      </c>
      <c r="H5" s="307" t="n"/>
      <c r="I5" s="307" t="n"/>
      <c r="J5" s="307" t="inlineStr">
        <is>
          <t>TTK revenues</t>
        </is>
      </c>
      <c r="K5" s="233" t="n"/>
      <c r="L5" s="233">
        <f>'Revenue Forecast'!BC9</f>
        <v/>
      </c>
      <c r="M5" s="233">
        <f>'Revenue Forecast'!BD9</f>
        <v/>
      </c>
      <c r="N5" s="233">
        <f>'Revenue Forecast'!BE9</f>
        <v/>
      </c>
      <c r="O5" s="233">
        <f>'Revenue Forecast'!BF9</f>
        <v/>
      </c>
      <c r="P5" s="307" t="n"/>
      <c r="Q5" s="307" t="n"/>
      <c r="R5" s="307" t="n"/>
      <c r="S5" s="307" t="inlineStr">
        <is>
          <t>EBITDA/FTE</t>
        </is>
      </c>
      <c r="T5" s="307" t="n"/>
      <c r="U5" s="233">
        <f>D6/U3</f>
        <v/>
      </c>
      <c r="V5" s="233">
        <f>E6/V3</f>
        <v/>
      </c>
      <c r="W5" s="233">
        <f>F6/W3</f>
        <v/>
      </c>
      <c r="X5" s="233">
        <f>G6/X3</f>
        <v/>
      </c>
      <c r="Y5" s="233" t="n"/>
      <c r="Z5" s="307" t="n"/>
      <c r="AA5" s="307" t="n"/>
      <c r="AB5" s="307" t="n"/>
      <c r="AC5" s="307" t="n"/>
      <c r="AD5" s="307" t="n"/>
      <c r="AE5" s="307" t="n"/>
      <c r="AF5" s="307" t="n"/>
      <c r="AG5" s="307" t="n"/>
      <c r="AH5" s="307" t="n"/>
      <c r="AI5" s="307" t="n"/>
      <c r="AJ5" s="307" t="n"/>
      <c r="AK5" s="307" t="n"/>
      <c r="AL5" s="307" t="n"/>
      <c r="AM5" s="307" t="n"/>
      <c r="AN5" s="307" t="n"/>
      <c r="AO5" s="307" t="n"/>
      <c r="AP5" s="307" t="n"/>
      <c r="AQ5" s="307" t="n"/>
      <c r="AR5" s="307" t="n"/>
      <c r="AS5" s="307" t="n"/>
      <c r="AT5" s="307" t="n"/>
    </row>
    <row r="6" ht="15.75" customHeight="1" s="349">
      <c r="A6" s="307" t="n"/>
      <c r="B6" s="307" t="inlineStr">
        <is>
          <t>EBITDA (€)</t>
        </is>
      </c>
      <c r="C6" s="307" t="n"/>
      <c r="D6" s="233">
        <f>'Financial Statements'!BC32</f>
        <v/>
      </c>
      <c r="E6" s="233">
        <f>'Financial Statements'!BD32</f>
        <v/>
      </c>
      <c r="F6" s="233">
        <f>'Financial Statements'!BE32</f>
        <v/>
      </c>
      <c r="G6" s="233">
        <f>'Financial Statements'!BF32</f>
        <v/>
      </c>
      <c r="H6" s="307" t="n"/>
      <c r="I6" s="307" t="n"/>
      <c r="J6" s="307" t="inlineStr">
        <is>
          <t>Combi+ revenues</t>
        </is>
      </c>
      <c r="K6" s="233" t="n"/>
      <c r="L6" s="233">
        <f>'Revenue Forecast'!BC15</f>
        <v/>
      </c>
      <c r="M6" s="233">
        <f>'Revenue Forecast'!BD15</f>
        <v/>
      </c>
      <c r="N6" s="233">
        <f>'Revenue Forecast'!BE15</f>
        <v/>
      </c>
      <c r="O6" s="233">
        <f>'Revenue Forecast'!BF15</f>
        <v/>
      </c>
      <c r="P6" s="307" t="n"/>
      <c r="Q6" s="307" t="n"/>
      <c r="R6" s="307" t="n"/>
      <c r="S6" s="307" t="inlineStr">
        <is>
          <t>Seed Distribution of funds</t>
        </is>
      </c>
      <c r="T6" s="307" t="n"/>
      <c r="U6" s="307" t="n"/>
      <c r="V6" s="307" t="n"/>
      <c r="W6" s="307" t="n"/>
      <c r="X6" s="307" t="inlineStr">
        <is>
          <t>Production/Aasembly</t>
        </is>
      </c>
      <c r="Y6" s="307" t="inlineStr">
        <is>
          <t>Product development</t>
        </is>
      </c>
      <c r="Z6" s="307" t="inlineStr">
        <is>
          <t>Sales &amp; Marketing</t>
        </is>
      </c>
      <c r="AA6" s="307" t="n"/>
      <c r="AB6" s="307" t="n"/>
      <c r="AC6" s="307" t="n"/>
      <c r="AD6" s="307" t="n"/>
      <c r="AE6" s="307" t="n"/>
      <c r="AF6" s="307" t="n"/>
      <c r="AG6" s="307" t="n"/>
      <c r="AH6" s="307" t="n"/>
      <c r="AI6" s="307" t="n"/>
      <c r="AJ6" s="307" t="n"/>
      <c r="AK6" s="307" t="n"/>
      <c r="AL6" s="307" t="n"/>
      <c r="AM6" s="307" t="n"/>
      <c r="AN6" s="307" t="n"/>
      <c r="AO6" s="307" t="n"/>
      <c r="AP6" s="307" t="n"/>
      <c r="AQ6" s="307" t="n"/>
      <c r="AR6" s="307" t="n"/>
      <c r="AS6" s="307" t="n"/>
      <c r="AT6" s="307" t="n"/>
    </row>
    <row r="7" ht="15.75" customHeight="1" s="349">
      <c r="A7" s="307" t="n"/>
      <c r="B7" s="307" t="inlineStr">
        <is>
          <t>EBT (€)</t>
        </is>
      </c>
      <c r="C7" s="307" t="n"/>
      <c r="D7" s="233">
        <f>'Financial Statements'!BC37</f>
        <v/>
      </c>
      <c r="E7" s="233">
        <f>'Financial Statements'!BD37</f>
        <v/>
      </c>
      <c r="F7" s="233">
        <f>'Financial Statements'!BE37</f>
        <v/>
      </c>
      <c r="G7" s="233">
        <f>'Financial Statements'!BF37</f>
        <v/>
      </c>
      <c r="H7" s="307" t="n"/>
      <c r="I7" s="307" t="n"/>
      <c r="J7" s="307" t="n"/>
      <c r="K7" s="307" t="n"/>
      <c r="L7" s="233" t="n"/>
      <c r="M7" s="233" t="n"/>
      <c r="N7" s="233" t="n"/>
      <c r="O7" s="233" t="n"/>
      <c r="P7" s="307" t="n"/>
      <c r="Q7" s="307" t="n"/>
      <c r="R7" s="307" t="n"/>
      <c r="S7" s="307" t="n"/>
      <c r="T7" s="307" t="n"/>
      <c r="U7" s="307" t="n"/>
      <c r="V7" s="307" t="n"/>
      <c r="W7" s="307" t="n"/>
      <c r="X7" s="217" t="n">
        <v>0.6</v>
      </c>
      <c r="Y7" s="217" t="n">
        <v>0.15</v>
      </c>
      <c r="Z7" s="217" t="n">
        <v>0.25</v>
      </c>
      <c r="AA7" s="307" t="n"/>
      <c r="AB7" s="307" t="n"/>
      <c r="AC7" s="307" t="n"/>
      <c r="AD7" s="307" t="n"/>
      <c r="AE7" s="307" t="n"/>
      <c r="AF7" s="307" t="n"/>
      <c r="AG7" s="307" t="n"/>
      <c r="AH7" s="307" t="n"/>
      <c r="AI7" s="307" t="n"/>
      <c r="AJ7" s="307" t="n"/>
      <c r="AK7" s="307" t="n"/>
      <c r="AL7" s="307" t="n"/>
      <c r="AM7" s="307" t="n"/>
      <c r="AN7" s="307" t="n"/>
      <c r="AO7" s="307" t="n"/>
      <c r="AP7" s="307" t="n"/>
      <c r="AQ7" s="307" t="n"/>
      <c r="AR7" s="307" t="n"/>
      <c r="AS7" s="307" t="n"/>
      <c r="AT7" s="307" t="n"/>
    </row>
    <row r="8" ht="15.75" customHeight="1" s="349">
      <c r="A8" s="307" t="n"/>
      <c r="B8" s="307" t="inlineStr">
        <is>
          <t>NET INCOME (€)</t>
        </is>
      </c>
      <c r="C8" s="307" t="n"/>
      <c r="D8" s="233">
        <f>'Financial Statements'!BC41</f>
        <v/>
      </c>
      <c r="E8" s="233">
        <f>'Financial Statements'!BD41</f>
        <v/>
      </c>
      <c r="F8" s="233">
        <f>'Financial Statements'!BE41</f>
        <v/>
      </c>
      <c r="G8" s="233">
        <f>'Financial Statements'!BF41</f>
        <v/>
      </c>
      <c r="H8" s="307" t="n"/>
      <c r="I8" s="307" t="n"/>
      <c r="J8" s="307" t="n"/>
      <c r="K8" s="307" t="n"/>
      <c r="L8" s="233" t="n"/>
      <c r="M8" s="233" t="n"/>
      <c r="N8" s="233" t="n"/>
      <c r="O8" s="233" t="n"/>
      <c r="P8" s="307" t="n"/>
      <c r="Q8" s="307" t="n"/>
      <c r="R8" s="307" t="n"/>
      <c r="S8" s="307" t="n"/>
      <c r="T8" s="307" t="n"/>
      <c r="U8" s="307" t="n"/>
      <c r="V8" s="307" t="n"/>
      <c r="W8" s="307" t="n"/>
      <c r="X8" s="307" t="n"/>
      <c r="Y8" s="307" t="n"/>
      <c r="Z8" s="307" t="n"/>
      <c r="AA8" s="307" t="n"/>
      <c r="AB8" s="307" t="n"/>
      <c r="AC8" s="307" t="n"/>
      <c r="AD8" s="307" t="n"/>
      <c r="AE8" s="307" t="n"/>
      <c r="AF8" s="307" t="n"/>
      <c r="AG8" s="307" t="n"/>
      <c r="AH8" s="307" t="n"/>
      <c r="AI8" s="307" t="n"/>
      <c r="AJ8" s="307" t="n"/>
      <c r="AK8" s="307" t="n"/>
      <c r="AL8" s="307" t="n"/>
      <c r="AM8" s="307" t="n"/>
      <c r="AN8" s="307" t="n"/>
      <c r="AO8" s="307" t="n"/>
      <c r="AP8" s="307" t="n"/>
      <c r="AQ8" s="307" t="n"/>
      <c r="AR8" s="307" t="n"/>
      <c r="AS8" s="307" t="n"/>
      <c r="AT8" s="307" t="n"/>
    </row>
    <row r="9" ht="15.75" customHeight="1" s="349">
      <c r="A9" s="307" t="n"/>
      <c r="B9" s="307" t="n"/>
      <c r="C9" s="307" t="n"/>
      <c r="D9" s="307" t="n"/>
      <c r="E9" s="307" t="n"/>
      <c r="F9" s="307" t="n"/>
      <c r="G9" s="307" t="n"/>
      <c r="H9" s="307" t="n"/>
      <c r="I9" s="307" t="n"/>
      <c r="J9" s="307" t="n"/>
      <c r="K9" s="307" t="n"/>
      <c r="L9" s="307" t="n"/>
      <c r="M9" s="307" t="n"/>
      <c r="N9" s="307" t="n"/>
      <c r="O9" s="307" t="n"/>
      <c r="P9" s="307" t="n"/>
      <c r="Q9" s="307" t="n"/>
      <c r="R9" s="307" t="n"/>
      <c r="S9" s="307" t="n"/>
      <c r="T9" s="307" t="n"/>
      <c r="U9" s="307" t="n"/>
      <c r="V9" s="307" t="n"/>
      <c r="W9" s="307" t="n"/>
      <c r="X9" s="307" t="n"/>
      <c r="Y9" s="307" t="n"/>
      <c r="Z9" s="307" t="n"/>
      <c r="AA9" s="307" t="n"/>
      <c r="AB9" s="307" t="n"/>
      <c r="AC9" s="307" t="n"/>
      <c r="AD9" s="307" t="n"/>
      <c r="AE9" s="307" t="n"/>
      <c r="AF9" s="307" t="n"/>
      <c r="AG9" s="307" t="n"/>
      <c r="AH9" s="307" t="n"/>
      <c r="AI9" s="307" t="n"/>
      <c r="AJ9" s="307" t="n"/>
      <c r="AK9" s="307" t="n"/>
      <c r="AL9" s="307" t="n"/>
      <c r="AM9" s="307" t="n"/>
      <c r="AN9" s="307" t="n"/>
      <c r="AO9" s="307" t="n"/>
      <c r="AP9" s="307" t="n"/>
      <c r="AQ9" s="307" t="n"/>
      <c r="AR9" s="307" t="n"/>
      <c r="AS9" s="307" t="n"/>
      <c r="AT9" s="307" t="n"/>
    </row>
    <row r="10" ht="15.75" customHeight="1" s="349">
      <c r="A10" s="307" t="n"/>
      <c r="B10" s="307" t="n"/>
      <c r="C10" s="307" t="n"/>
      <c r="D10" s="307" t="n"/>
      <c r="E10" s="307" t="n"/>
      <c r="F10" s="307" t="n"/>
      <c r="G10" s="307" t="n"/>
      <c r="H10" s="307" t="n"/>
      <c r="I10" s="307" t="n"/>
      <c r="J10" s="307" t="n"/>
      <c r="K10" s="307" t="n"/>
      <c r="L10" s="307" t="n"/>
      <c r="M10" s="307" t="n"/>
      <c r="N10" s="307" t="n"/>
      <c r="O10" s="307" t="n"/>
      <c r="P10" s="307" t="n"/>
      <c r="Q10" s="307" t="n"/>
      <c r="R10" s="307" t="n"/>
      <c r="S10" s="307" t="n"/>
      <c r="T10" s="307" t="n"/>
      <c r="U10" s="307" t="n"/>
      <c r="V10" s="307" t="n"/>
      <c r="W10" s="307" t="n"/>
      <c r="X10" s="307" t="n"/>
      <c r="Y10" s="307" t="n"/>
      <c r="Z10" s="307" t="n"/>
      <c r="AA10" s="307" t="n"/>
      <c r="AB10" s="307" t="n"/>
      <c r="AC10" s="307" t="n"/>
      <c r="AD10" s="307" t="n"/>
      <c r="AE10" s="307" t="n"/>
      <c r="AF10" s="307" t="n"/>
      <c r="AG10" s="307" t="n"/>
      <c r="AH10" s="307" t="n"/>
      <c r="AI10" s="307" t="n"/>
      <c r="AJ10" s="307" t="n"/>
      <c r="AK10" s="307" t="n"/>
      <c r="AL10" s="307" t="n"/>
      <c r="AM10" s="307" t="n"/>
      <c r="AN10" s="307" t="n"/>
      <c r="AO10" s="307" t="n"/>
      <c r="AP10" s="307" t="n"/>
      <c r="AQ10" s="307" t="n"/>
      <c r="AR10" s="307" t="n"/>
      <c r="AS10" s="307" t="n"/>
      <c r="AT10" s="307" t="n"/>
    </row>
    <row r="11" ht="15.75" customHeight="1" s="349">
      <c r="A11" s="307" t="n"/>
      <c r="B11" s="307" t="n"/>
      <c r="C11" s="307" t="n"/>
      <c r="D11" s="307" t="n"/>
      <c r="E11" s="307" t="n"/>
      <c r="F11" s="307" t="n"/>
      <c r="G11" s="307" t="n"/>
      <c r="H11" s="307" t="n"/>
      <c r="I11" s="307" t="n"/>
      <c r="J11" s="307" t="n"/>
      <c r="K11" s="307" t="n"/>
      <c r="L11" s="307" t="n"/>
      <c r="M11" s="307" t="n"/>
      <c r="N11" s="307" t="n"/>
      <c r="O11" s="307" t="n"/>
      <c r="P11" s="307" t="n"/>
      <c r="Q11" s="307" t="n"/>
      <c r="R11" s="307" t="n"/>
      <c r="S11" s="307" t="n"/>
      <c r="T11" s="307" t="n"/>
      <c r="U11" s="307" t="n"/>
      <c r="V11" s="307" t="n"/>
      <c r="W11" s="307" t="n"/>
      <c r="X11" s="307" t="n"/>
      <c r="Y11" s="307" t="n"/>
      <c r="Z11" s="307" t="n"/>
      <c r="AA11" s="307" t="n"/>
      <c r="AB11" s="307" t="n"/>
      <c r="AC11" s="307" t="n"/>
      <c r="AD11" s="307" t="n"/>
      <c r="AE11" s="307" t="n"/>
      <c r="AF11" s="307" t="n"/>
      <c r="AG11" s="307" t="n"/>
      <c r="AH11" s="307" t="n"/>
      <c r="AI11" s="307" t="n"/>
      <c r="AJ11" s="307" t="n"/>
      <c r="AK11" s="307" t="n"/>
      <c r="AL11" s="307" t="n"/>
      <c r="AM11" s="307" t="n"/>
      <c r="AN11" s="307" t="n"/>
      <c r="AO11" s="307" t="n"/>
      <c r="AP11" s="307" t="n"/>
      <c r="AQ11" s="307" t="n"/>
      <c r="AR11" s="307" t="n"/>
      <c r="AS11" s="307" t="n"/>
      <c r="AT11" s="307" t="n"/>
    </row>
    <row r="12" ht="15.75" customHeight="1" s="349">
      <c r="A12" s="307" t="n"/>
      <c r="B12" s="307" t="n"/>
      <c r="C12" s="307" t="n"/>
      <c r="D12" s="307" t="n"/>
      <c r="E12" s="307" t="n"/>
      <c r="F12" s="307" t="n"/>
      <c r="G12" s="307" t="n"/>
      <c r="H12" s="307" t="n"/>
      <c r="I12" s="307" t="n"/>
      <c r="J12" s="307" t="n"/>
      <c r="K12" s="307" t="n"/>
      <c r="L12" s="307" t="n"/>
      <c r="M12" s="307" t="n"/>
      <c r="N12" s="307" t="n"/>
      <c r="O12" s="307" t="n"/>
      <c r="P12" s="307" t="n"/>
      <c r="Q12" s="307" t="n"/>
      <c r="R12" s="307" t="n"/>
      <c r="S12" s="307" t="n"/>
      <c r="T12" s="307" t="n"/>
      <c r="U12" s="307" t="n"/>
      <c r="V12" s="307" t="n"/>
      <c r="W12" s="307" t="n"/>
      <c r="X12" s="307" t="n"/>
      <c r="Y12" s="307" t="n"/>
      <c r="Z12" s="307" t="n"/>
      <c r="AA12" s="307" t="n"/>
      <c r="AB12" s="307" t="n"/>
      <c r="AC12" s="307" t="n"/>
      <c r="AD12" s="307" t="n"/>
      <c r="AE12" s="307" t="n"/>
      <c r="AF12" s="307" t="n"/>
      <c r="AG12" s="307" t="n"/>
      <c r="AH12" s="307" t="n"/>
      <c r="AI12" s="307" t="n"/>
      <c r="AJ12" s="307" t="n"/>
      <c r="AK12" s="307" t="n"/>
      <c r="AL12" s="307" t="n"/>
      <c r="AM12" s="307" t="n"/>
      <c r="AN12" s="307" t="n"/>
      <c r="AO12" s="307" t="n"/>
      <c r="AP12" s="307" t="n"/>
      <c r="AQ12" s="307" t="n"/>
      <c r="AR12" s="307" t="n"/>
      <c r="AS12" s="307" t="n"/>
      <c r="AT12" s="307" t="n"/>
    </row>
    <row r="13" ht="15.75" customHeight="1" s="349">
      <c r="A13" s="307" t="n"/>
      <c r="B13" s="307" t="n"/>
      <c r="C13" s="307" t="n"/>
      <c r="D13" s="307" t="n"/>
      <c r="E13" s="307" t="n"/>
      <c r="F13" s="307" t="n"/>
      <c r="G13" s="307" t="n"/>
      <c r="H13" s="307" t="n"/>
      <c r="I13" s="307" t="n"/>
      <c r="J13" s="307" t="n"/>
      <c r="K13" s="307" t="n"/>
      <c r="L13" s="307" t="n"/>
      <c r="M13" s="307" t="n"/>
      <c r="N13" s="307" t="n"/>
      <c r="O13" s="307" t="n"/>
      <c r="P13" s="307" t="n"/>
      <c r="Q13" s="307" t="n"/>
      <c r="R13" s="307" t="n"/>
      <c r="S13" s="307" t="n"/>
      <c r="T13" s="307" t="n"/>
      <c r="U13" s="307" t="n"/>
      <c r="V13" s="307" t="n"/>
      <c r="W13" s="307" t="n"/>
      <c r="X13" s="307" t="n"/>
      <c r="Y13" s="307" t="n"/>
      <c r="Z13" s="307" t="n"/>
      <c r="AA13" s="307" t="n"/>
      <c r="AB13" s="307" t="n"/>
      <c r="AC13" s="307" t="n"/>
      <c r="AD13" s="307" t="n"/>
      <c r="AE13" s="307" t="n"/>
      <c r="AF13" s="307" t="n"/>
      <c r="AG13" s="307" t="n"/>
      <c r="AH13" s="307" t="n"/>
      <c r="AI13" s="307" t="n"/>
      <c r="AJ13" s="307" t="n"/>
      <c r="AK13" s="307" t="n"/>
      <c r="AL13" s="307" t="n"/>
      <c r="AM13" s="307" t="n"/>
      <c r="AN13" s="307" t="n"/>
      <c r="AO13" s="307" t="n"/>
      <c r="AP13" s="307" t="n"/>
      <c r="AQ13" s="307" t="n"/>
      <c r="AR13" s="307" t="n"/>
      <c r="AS13" s="307" t="n"/>
      <c r="AT13" s="307" t="n"/>
    </row>
    <row r="14" ht="15.75" customHeight="1" s="349">
      <c r="A14" s="307" t="n"/>
      <c r="B14" s="307" t="n"/>
      <c r="C14" s="307" t="n"/>
      <c r="D14" s="307" t="n"/>
      <c r="E14" s="307" t="n"/>
      <c r="F14" s="307" t="n"/>
      <c r="G14" s="307" t="n"/>
      <c r="H14" s="307" t="n"/>
      <c r="I14" s="307" t="n"/>
      <c r="J14" s="307" t="n"/>
      <c r="K14" s="307" t="n"/>
      <c r="L14" s="307" t="n"/>
      <c r="M14" s="307" t="n"/>
      <c r="N14" s="307" t="n"/>
      <c r="O14" s="307" t="n"/>
      <c r="P14" s="307" t="n"/>
      <c r="Q14" s="307" t="n"/>
      <c r="R14" s="307" t="n"/>
      <c r="S14" s="307" t="n"/>
      <c r="T14" s="307" t="n"/>
      <c r="U14" s="307" t="n"/>
      <c r="V14" s="307" t="n"/>
      <c r="W14" s="307" t="n"/>
      <c r="X14" s="307" t="n"/>
      <c r="Y14" s="307" t="n"/>
      <c r="Z14" s="307" t="n"/>
      <c r="AA14" s="307" t="n"/>
      <c r="AB14" s="307" t="n"/>
      <c r="AC14" s="307" t="n"/>
      <c r="AD14" s="307" t="n"/>
      <c r="AE14" s="307" t="n"/>
      <c r="AF14" s="307" t="n"/>
      <c r="AG14" s="307" t="n"/>
      <c r="AH14" s="307" t="n"/>
      <c r="AI14" s="307" t="n"/>
      <c r="AJ14" s="307" t="n"/>
      <c r="AK14" s="307" t="n"/>
      <c r="AL14" s="307" t="n"/>
      <c r="AM14" s="307" t="n"/>
      <c r="AN14" s="307" t="n"/>
      <c r="AO14" s="307" t="n"/>
      <c r="AP14" s="307" t="n"/>
      <c r="AQ14" s="307" t="n"/>
      <c r="AR14" s="307" t="n"/>
      <c r="AS14" s="307" t="n"/>
      <c r="AT14" s="307" t="n"/>
    </row>
    <row r="15" ht="15.75" customHeight="1" s="349">
      <c r="A15" s="307" t="n"/>
      <c r="B15" s="307" t="n"/>
      <c r="C15" s="307" t="n"/>
      <c r="D15" s="307" t="n"/>
      <c r="E15" s="307" t="n"/>
      <c r="F15" s="307" t="n"/>
      <c r="G15" s="307" t="n"/>
      <c r="H15" s="307" t="n"/>
      <c r="I15" s="307" t="n"/>
      <c r="J15" s="307" t="n"/>
      <c r="K15" s="307" t="n"/>
      <c r="L15" s="307" t="n"/>
      <c r="M15" s="307" t="n"/>
      <c r="N15" s="307" t="n"/>
      <c r="O15" s="307" t="n"/>
      <c r="P15" s="307" t="n"/>
      <c r="Q15" s="307" t="n"/>
      <c r="R15" s="307" t="n"/>
      <c r="S15" s="307" t="n"/>
      <c r="T15" s="307" t="n"/>
      <c r="U15" s="307" t="n"/>
      <c r="V15" s="307" t="n"/>
      <c r="W15" s="307" t="n"/>
      <c r="X15" s="307" t="n"/>
      <c r="Y15" s="307" t="n"/>
      <c r="Z15" s="307" t="n"/>
      <c r="AA15" s="307" t="n"/>
      <c r="AB15" s="307" t="n"/>
      <c r="AC15" s="307" t="n"/>
      <c r="AD15" s="307" t="n"/>
      <c r="AE15" s="307" t="n"/>
      <c r="AF15" s="307" t="n"/>
      <c r="AG15" s="307" t="n"/>
      <c r="AH15" s="307" t="n"/>
      <c r="AI15" s="307" t="n"/>
      <c r="AJ15" s="307" t="n"/>
      <c r="AK15" s="307" t="n"/>
      <c r="AL15" s="307" t="n"/>
      <c r="AM15" s="307" t="n"/>
      <c r="AN15" s="307" t="n"/>
      <c r="AO15" s="307" t="n"/>
      <c r="AP15" s="307" t="n"/>
      <c r="AQ15" s="307" t="n"/>
      <c r="AR15" s="307" t="n"/>
      <c r="AS15" s="307" t="n"/>
      <c r="AT15" s="307" t="n"/>
    </row>
    <row r="16" ht="15.75" customHeight="1" s="349">
      <c r="A16" s="307" t="n"/>
      <c r="B16" s="233" t="n"/>
      <c r="C16" s="307" t="n"/>
      <c r="D16" s="307" t="n"/>
      <c r="E16" s="307" t="n"/>
      <c r="F16" s="307" t="n"/>
      <c r="G16" s="307" t="n"/>
      <c r="H16" s="307" t="n"/>
      <c r="I16" s="307" t="n"/>
      <c r="J16" s="307" t="n"/>
      <c r="K16" s="307" t="n"/>
      <c r="L16" s="307" t="n"/>
      <c r="M16" s="307" t="n"/>
      <c r="N16" s="307" t="n"/>
      <c r="O16" s="307" t="n"/>
      <c r="P16" s="307" t="n"/>
      <c r="Q16" s="307" t="n"/>
      <c r="R16" s="307" t="n"/>
      <c r="S16" s="307" t="n"/>
      <c r="T16" s="307" t="n"/>
      <c r="U16" s="307" t="n"/>
      <c r="V16" s="307" t="n"/>
      <c r="W16" s="307" t="n"/>
      <c r="X16" s="307" t="n"/>
      <c r="Y16" s="307" t="n"/>
      <c r="Z16" s="307" t="n"/>
      <c r="AA16" s="307" t="n"/>
      <c r="AB16" s="307" t="n"/>
      <c r="AC16" s="307" t="n"/>
      <c r="AD16" s="307" t="n"/>
      <c r="AE16" s="307" t="n"/>
      <c r="AF16" s="307" t="n"/>
      <c r="AG16" s="307" t="n"/>
      <c r="AH16" s="307" t="n"/>
      <c r="AI16" s="307" t="n"/>
      <c r="AJ16" s="307" t="n"/>
      <c r="AK16" s="307" t="n"/>
      <c r="AL16" s="307" t="n"/>
      <c r="AM16" s="307" t="n"/>
      <c r="AN16" s="307" t="n"/>
      <c r="AO16" s="307" t="n"/>
      <c r="AP16" s="307" t="n"/>
      <c r="AQ16" s="307" t="n"/>
      <c r="AR16" s="307" t="n"/>
      <c r="AS16" s="307" t="n"/>
      <c r="AT16" s="307" t="n"/>
    </row>
    <row r="17" ht="15.75" customHeight="1" s="349">
      <c r="A17" s="307" t="n"/>
      <c r="B17" s="307" t="n"/>
      <c r="C17" s="307" t="n"/>
      <c r="D17" s="307" t="n"/>
      <c r="E17" s="307" t="n"/>
      <c r="F17" s="307" t="n"/>
      <c r="G17" s="307" t="n"/>
      <c r="H17" s="307" t="n"/>
      <c r="I17" s="307" t="n"/>
      <c r="J17" s="307" t="n"/>
      <c r="K17" s="307" t="n"/>
      <c r="L17" s="307" t="n"/>
      <c r="M17" s="307" t="n"/>
      <c r="N17" s="307" t="n"/>
      <c r="O17" s="307" t="n"/>
      <c r="P17" s="307" t="n"/>
      <c r="Q17" s="307" t="n"/>
      <c r="R17" s="307" t="n"/>
      <c r="S17" s="307" t="n"/>
      <c r="T17" s="307" t="n"/>
      <c r="U17" s="307" t="n"/>
      <c r="V17" s="307" t="n"/>
      <c r="W17" s="307" t="n"/>
      <c r="X17" s="307" t="n"/>
      <c r="Y17" s="307" t="n"/>
      <c r="Z17" s="307" t="n"/>
      <c r="AA17" s="307" t="n"/>
      <c r="AB17" s="307" t="n"/>
      <c r="AC17" s="307" t="n"/>
      <c r="AD17" s="307" t="n"/>
      <c r="AE17" s="307" t="n"/>
      <c r="AF17" s="307" t="n"/>
      <c r="AG17" s="307" t="n"/>
      <c r="AH17" s="307" t="n"/>
      <c r="AI17" s="307" t="n"/>
      <c r="AJ17" s="307" t="n"/>
      <c r="AK17" s="307" t="n"/>
      <c r="AL17" s="307" t="n"/>
      <c r="AM17" s="307" t="n"/>
      <c r="AN17" s="307" t="n"/>
      <c r="AO17" s="307" t="n"/>
      <c r="AP17" s="307" t="n"/>
      <c r="AQ17" s="307" t="n"/>
      <c r="AR17" s="307" t="n"/>
      <c r="AS17" s="307" t="n"/>
      <c r="AT17" s="307" t="n"/>
    </row>
    <row r="18" ht="15.75" customHeight="1" s="349">
      <c r="A18" s="307" t="n"/>
      <c r="B18" s="307" t="n"/>
      <c r="C18" s="307" t="n"/>
      <c r="D18" s="307" t="n"/>
      <c r="E18" s="307" t="n"/>
      <c r="F18" s="307" t="n"/>
      <c r="G18" s="307" t="n"/>
      <c r="H18" s="307" t="n"/>
      <c r="I18" s="307" t="n"/>
      <c r="J18" s="307" t="n"/>
      <c r="K18" s="307" t="n"/>
      <c r="L18" s="307" t="n"/>
      <c r="M18" s="307" t="n"/>
      <c r="N18" s="307" t="n"/>
      <c r="O18" s="307" t="n"/>
      <c r="P18" s="307" t="n"/>
      <c r="Q18" s="307" t="n"/>
      <c r="R18" s="307" t="n"/>
      <c r="S18" s="307" t="n"/>
      <c r="T18" s="307" t="n"/>
      <c r="U18" s="307" t="n"/>
      <c r="V18" s="307" t="n"/>
      <c r="W18" s="307" t="n"/>
      <c r="X18" s="307" t="n"/>
      <c r="Y18" s="307" t="n"/>
      <c r="Z18" s="307" t="n"/>
      <c r="AA18" s="307" t="n"/>
      <c r="AB18" s="307" t="n"/>
      <c r="AC18" s="307" t="n"/>
      <c r="AD18" s="307" t="n"/>
      <c r="AE18" s="307" t="n"/>
      <c r="AF18" s="307" t="n"/>
      <c r="AG18" s="307" t="n"/>
      <c r="AH18" s="307" t="n"/>
      <c r="AI18" s="307" t="n"/>
      <c r="AJ18" s="307" t="n"/>
      <c r="AK18" s="307" t="n"/>
      <c r="AL18" s="307" t="n"/>
      <c r="AM18" s="307" t="n"/>
      <c r="AN18" s="307" t="n"/>
      <c r="AO18" s="307" t="n"/>
      <c r="AP18" s="307" t="n"/>
      <c r="AQ18" s="307" t="n"/>
      <c r="AR18" s="307" t="n"/>
      <c r="AS18" s="307" t="n"/>
      <c r="AT18" s="307" t="n"/>
    </row>
    <row r="19" ht="15.75" customHeight="1" s="349">
      <c r="A19" s="307" t="n"/>
      <c r="B19" s="307" t="n"/>
      <c r="C19" s="307" t="n"/>
      <c r="D19" s="307" t="n"/>
      <c r="E19" s="307" t="n"/>
      <c r="F19" s="307" t="n"/>
      <c r="G19" s="307" t="n"/>
      <c r="H19" s="307" t="n"/>
      <c r="I19" s="307" t="n"/>
      <c r="J19" s="307" t="n"/>
      <c r="K19" s="307" t="n"/>
      <c r="L19" s="307" t="n"/>
      <c r="M19" s="307" t="n"/>
      <c r="N19" s="307" t="n"/>
      <c r="O19" s="307" t="n"/>
      <c r="P19" s="307" t="n"/>
      <c r="Q19" s="307" t="n"/>
      <c r="R19" s="307" t="n"/>
      <c r="S19" s="307" t="n"/>
      <c r="T19" s="307" t="n"/>
      <c r="U19" s="307" t="n"/>
      <c r="V19" s="307" t="n"/>
      <c r="W19" s="307" t="n"/>
      <c r="X19" s="307" t="n"/>
      <c r="Y19" s="307" t="n"/>
      <c r="Z19" s="307" t="n"/>
      <c r="AA19" s="307" t="n"/>
      <c r="AB19" s="307" t="n"/>
      <c r="AC19" s="307" t="n"/>
      <c r="AD19" s="307" t="n"/>
      <c r="AE19" s="307" t="n"/>
      <c r="AF19" s="307" t="n"/>
      <c r="AG19" s="307" t="n"/>
      <c r="AH19" s="307" t="n"/>
      <c r="AI19" s="307" t="n"/>
      <c r="AJ19" s="307" t="n"/>
      <c r="AK19" s="307" t="n"/>
      <c r="AL19" s="307" t="n"/>
      <c r="AM19" s="307" t="n"/>
      <c r="AN19" s="307" t="n"/>
      <c r="AO19" s="307" t="n"/>
      <c r="AP19" s="307" t="n"/>
      <c r="AQ19" s="307" t="n"/>
      <c r="AR19" s="307" t="n"/>
      <c r="AS19" s="307" t="n"/>
      <c r="AT19" s="307" t="n"/>
    </row>
    <row r="20" ht="15.75" customHeight="1" s="349">
      <c r="A20" s="307" t="n"/>
      <c r="B20" s="307" t="n"/>
      <c r="C20" s="307" t="n"/>
      <c r="D20" s="307" t="n"/>
      <c r="E20" s="307" t="n"/>
      <c r="F20" s="307" t="n"/>
      <c r="G20" s="307" t="n"/>
      <c r="H20" s="307" t="n"/>
      <c r="I20" s="307" t="n"/>
      <c r="J20" s="307" t="n"/>
      <c r="K20" s="307" t="n"/>
      <c r="L20" s="307" t="n"/>
      <c r="M20" s="307" t="n"/>
      <c r="N20" s="307" t="n"/>
      <c r="O20" s="307" t="n"/>
      <c r="P20" s="307" t="n"/>
      <c r="Q20" s="307" t="n"/>
      <c r="R20" s="307" t="n"/>
      <c r="S20" s="307" t="n"/>
      <c r="T20" s="307" t="n"/>
      <c r="U20" s="307" t="n"/>
      <c r="V20" s="307" t="n"/>
      <c r="W20" s="307" t="n"/>
      <c r="X20" s="307" t="n"/>
      <c r="Y20" s="307" t="n"/>
      <c r="Z20" s="307" t="n"/>
      <c r="AA20" s="307" t="n"/>
      <c r="AB20" s="307" t="n"/>
      <c r="AC20" s="307" t="n"/>
      <c r="AD20" s="307" t="n"/>
      <c r="AE20" s="307" t="n"/>
      <c r="AF20" s="307" t="n"/>
      <c r="AG20" s="307" t="n"/>
      <c r="AH20" s="307" t="n"/>
      <c r="AI20" s="307" t="n"/>
      <c r="AJ20" s="307" t="n"/>
      <c r="AK20" s="307" t="n"/>
      <c r="AL20" s="307" t="n"/>
      <c r="AM20" s="307" t="n"/>
      <c r="AN20" s="307" t="n"/>
      <c r="AO20" s="307" t="n"/>
      <c r="AP20" s="307" t="n"/>
      <c r="AQ20" s="307" t="n"/>
      <c r="AR20" s="307" t="n"/>
      <c r="AS20" s="307" t="n"/>
      <c r="AT20" s="307" t="n"/>
    </row>
    <row r="21" ht="15.75" customHeight="1" s="349">
      <c r="A21" s="307" t="n"/>
      <c r="B21" s="307" t="n"/>
      <c r="C21" s="307" t="n"/>
      <c r="D21" s="307" t="n"/>
      <c r="E21" s="307" t="n"/>
      <c r="F21" s="307" t="n"/>
      <c r="G21" s="307" t="n"/>
      <c r="H21" s="307" t="n"/>
      <c r="I21" s="307" t="n"/>
      <c r="J21" s="307" t="n"/>
      <c r="K21" s="307" t="n"/>
      <c r="L21" s="307" t="n"/>
      <c r="M21" s="307" t="n"/>
      <c r="N21" s="307" t="n"/>
      <c r="O21" s="307" t="n"/>
      <c r="P21" s="307" t="n"/>
      <c r="Q21" s="307" t="n"/>
      <c r="R21" s="307" t="n"/>
      <c r="S21" s="307" t="n"/>
      <c r="T21" s="307" t="n"/>
      <c r="U21" s="307" t="n"/>
      <c r="V21" s="307" t="n"/>
      <c r="W21" s="307" t="n"/>
      <c r="X21" s="307" t="n"/>
      <c r="Y21" s="307" t="n"/>
      <c r="Z21" s="307" t="n"/>
      <c r="AA21" s="307" t="n"/>
      <c r="AB21" s="307" t="n"/>
      <c r="AC21" s="307" t="n"/>
      <c r="AD21" s="307" t="n"/>
      <c r="AE21" s="307" t="n"/>
      <c r="AF21" s="307" t="n"/>
      <c r="AG21" s="307" t="n"/>
      <c r="AH21" s="307" t="n"/>
      <c r="AI21" s="307" t="n"/>
      <c r="AJ21" s="307" t="n"/>
      <c r="AK21" s="307" t="n"/>
      <c r="AL21" s="307" t="n"/>
      <c r="AM21" s="307" t="n"/>
      <c r="AN21" s="307" t="n"/>
      <c r="AO21" s="307" t="n"/>
      <c r="AP21" s="307" t="n"/>
      <c r="AQ21" s="307" t="n"/>
      <c r="AR21" s="307" t="n"/>
      <c r="AS21" s="307" t="n"/>
      <c r="AT21" s="307" t="n"/>
    </row>
    <row r="22" ht="15.75" customHeight="1" s="349">
      <c r="A22" s="307" t="n"/>
      <c r="B22" s="307" t="n"/>
      <c r="C22" s="307" t="n"/>
      <c r="D22" s="307" t="n"/>
      <c r="E22" s="307" t="n"/>
      <c r="F22" s="307" t="n"/>
      <c r="G22" s="307" t="n"/>
      <c r="H22" s="307" t="n"/>
      <c r="I22" s="307" t="n"/>
      <c r="J22" s="307" t="n"/>
      <c r="K22" s="307" t="n"/>
      <c r="L22" s="307" t="n"/>
      <c r="M22" s="307" t="n"/>
      <c r="N22" s="307" t="n"/>
      <c r="O22" s="307" t="n"/>
      <c r="P22" s="307" t="n"/>
      <c r="Q22" s="307" t="n"/>
      <c r="R22" s="307" t="n"/>
      <c r="S22" s="307" t="n"/>
      <c r="T22" s="307" t="n"/>
      <c r="U22" s="307" t="n"/>
      <c r="V22" s="307" t="n"/>
      <c r="W22" s="307" t="n"/>
      <c r="X22" s="307" t="n"/>
      <c r="Y22" s="233" t="n"/>
      <c r="Z22" s="307" t="n"/>
      <c r="AA22" s="307" t="n"/>
      <c r="AB22" s="307" t="n"/>
      <c r="AC22" s="307" t="n"/>
      <c r="AD22" s="307" t="n"/>
      <c r="AE22" s="307" t="n"/>
      <c r="AF22" s="307" t="n"/>
      <c r="AG22" s="307" t="n"/>
      <c r="AH22" s="307" t="n"/>
      <c r="AI22" s="307" t="n"/>
      <c r="AJ22" s="307" t="n"/>
      <c r="AK22" s="307" t="n"/>
      <c r="AL22" s="307" t="n"/>
      <c r="AM22" s="307" t="n"/>
      <c r="AN22" s="307" t="n"/>
      <c r="AO22" s="307" t="n"/>
      <c r="AP22" s="307" t="n"/>
      <c r="AQ22" s="307" t="n"/>
      <c r="AR22" s="307" t="n"/>
      <c r="AS22" s="307" t="n"/>
      <c r="AT22" s="307" t="n"/>
    </row>
    <row r="23" ht="15.75" customHeight="1" s="349">
      <c r="A23" s="307" t="n"/>
      <c r="B23" s="307" t="n"/>
      <c r="C23" s="307" t="n"/>
      <c r="D23" s="307" t="n"/>
      <c r="E23" s="307" t="n"/>
      <c r="F23" s="307" t="n"/>
      <c r="G23" s="307" t="n"/>
      <c r="H23" s="307" t="n"/>
      <c r="I23" s="307" t="n"/>
      <c r="J23" s="307" t="n"/>
      <c r="K23" s="307" t="n"/>
      <c r="L23" s="307" t="n"/>
      <c r="M23" s="307" t="n"/>
      <c r="N23" s="307" t="n"/>
      <c r="O23" s="307" t="n"/>
      <c r="P23" s="307" t="n"/>
      <c r="Q23" s="307" t="n"/>
      <c r="R23" s="307" t="n"/>
      <c r="S23" s="307" t="n"/>
      <c r="T23" s="307" t="n"/>
      <c r="U23" s="307" t="n"/>
      <c r="V23" s="307" t="n"/>
      <c r="W23" s="307" t="n"/>
      <c r="X23" s="307" t="n"/>
      <c r="Y23" s="307" t="n"/>
      <c r="Z23" s="307" t="n"/>
      <c r="AA23" s="307" t="n"/>
      <c r="AB23" s="307" t="n"/>
      <c r="AC23" s="307" t="n"/>
      <c r="AD23" s="307" t="n"/>
      <c r="AE23" s="307" t="n"/>
      <c r="AF23" s="307" t="n"/>
      <c r="AG23" s="307" t="n"/>
      <c r="AH23" s="307" t="n"/>
      <c r="AI23" s="307" t="n"/>
      <c r="AJ23" s="307" t="n"/>
      <c r="AK23" s="307" t="n"/>
      <c r="AL23" s="307" t="n"/>
      <c r="AM23" s="307" t="n"/>
      <c r="AN23" s="307" t="n"/>
      <c r="AO23" s="307" t="n"/>
      <c r="AP23" s="307" t="n"/>
      <c r="AQ23" s="307" t="n"/>
      <c r="AR23" s="307" t="n"/>
      <c r="AS23" s="307" t="n"/>
      <c r="AT23" s="307" t="n"/>
    </row>
    <row r="24" ht="15.75" customHeight="1" s="349">
      <c r="A24" s="307" t="n"/>
      <c r="B24" s="307" t="n"/>
      <c r="C24" s="307" t="n"/>
      <c r="D24" s="307" t="n"/>
      <c r="E24" s="307" t="n"/>
      <c r="F24" s="307" t="n"/>
      <c r="G24" s="307" t="n"/>
      <c r="H24" s="307" t="n"/>
      <c r="I24" s="307" t="n"/>
      <c r="J24" s="307" t="n"/>
      <c r="K24" s="307" t="n"/>
      <c r="L24" s="307" t="n"/>
      <c r="M24" s="307" t="n"/>
      <c r="N24" s="307" t="n"/>
      <c r="O24" s="307" t="n"/>
      <c r="P24" s="307" t="n"/>
      <c r="Q24" s="307" t="n"/>
      <c r="R24" s="307" t="n"/>
      <c r="S24" s="307" t="n"/>
      <c r="T24" s="307" t="n"/>
      <c r="U24" s="307" t="n"/>
      <c r="V24" s="307" t="n"/>
      <c r="W24" s="307" t="n"/>
      <c r="X24" s="307" t="n"/>
      <c r="Y24" s="307" t="n"/>
      <c r="Z24" s="307" t="n"/>
      <c r="AA24" s="307" t="n"/>
      <c r="AB24" s="307" t="n"/>
      <c r="AC24" s="307" t="n"/>
      <c r="AD24" s="307" t="n"/>
      <c r="AE24" s="307" t="n"/>
      <c r="AF24" s="307" t="n"/>
      <c r="AG24" s="307" t="n"/>
      <c r="AH24" s="307" t="n"/>
      <c r="AI24" s="307" t="n"/>
      <c r="AJ24" s="307" t="n"/>
      <c r="AK24" s="307" t="n"/>
      <c r="AL24" s="307" t="n"/>
      <c r="AM24" s="307" t="n"/>
      <c r="AN24" s="307" t="n"/>
      <c r="AO24" s="307" t="n"/>
      <c r="AP24" s="307" t="n"/>
      <c r="AQ24" s="307" t="n"/>
      <c r="AR24" s="307" t="n"/>
      <c r="AS24" s="307" t="n"/>
      <c r="AT24" s="307" t="n"/>
    </row>
    <row r="25" ht="15.75" customHeight="1" s="349">
      <c r="A25" s="307" t="n"/>
      <c r="B25" s="307" t="n"/>
      <c r="C25" s="307" t="n"/>
      <c r="D25" s="307" t="n"/>
      <c r="E25" s="307" t="n"/>
      <c r="F25" s="307" t="n"/>
      <c r="G25" s="307" t="n"/>
      <c r="H25" s="307" t="n"/>
      <c r="I25" s="307" t="n"/>
      <c r="J25" s="307" t="n"/>
      <c r="K25" s="307" t="n"/>
      <c r="L25" s="307" t="n"/>
      <c r="M25" s="307" t="n"/>
      <c r="N25" s="307" t="n"/>
      <c r="O25" s="307" t="n"/>
      <c r="P25" s="307" t="n"/>
      <c r="Q25" s="307" t="n"/>
      <c r="R25" s="307" t="n"/>
      <c r="S25" s="307" t="n"/>
      <c r="T25" s="307" t="n"/>
      <c r="U25" s="307" t="n"/>
      <c r="V25" s="307" t="n"/>
      <c r="W25" s="307" t="n"/>
      <c r="X25" s="307" t="n"/>
      <c r="Y25" s="307" t="n"/>
      <c r="Z25" s="307" t="n"/>
      <c r="AA25" s="307" t="n"/>
      <c r="AB25" s="307" t="n"/>
      <c r="AC25" s="307" t="n"/>
      <c r="AD25" s="307" t="n"/>
      <c r="AE25" s="307" t="n"/>
      <c r="AF25" s="307" t="n"/>
      <c r="AG25" s="307" t="n"/>
      <c r="AH25" s="307" t="n"/>
      <c r="AI25" s="307" t="n"/>
      <c r="AJ25" s="307" t="n"/>
      <c r="AK25" s="307" t="n"/>
      <c r="AL25" s="307" t="n"/>
      <c r="AM25" s="307" t="n"/>
      <c r="AN25" s="307" t="n"/>
      <c r="AO25" s="307" t="n"/>
      <c r="AP25" s="307" t="n"/>
      <c r="AQ25" s="307" t="n"/>
      <c r="AR25" s="307" t="n"/>
      <c r="AS25" s="307" t="n"/>
      <c r="AT25" s="307" t="n"/>
    </row>
    <row r="26" ht="15.75" customHeight="1" s="349">
      <c r="A26" s="307" t="n"/>
      <c r="B26" s="307" t="n"/>
      <c r="C26" s="307" t="n"/>
      <c r="D26" s="307" t="n"/>
      <c r="E26" s="307" t="n"/>
      <c r="F26" s="307" t="n"/>
      <c r="G26" s="307" t="n"/>
      <c r="H26" s="307" t="n"/>
      <c r="I26" s="307" t="n"/>
      <c r="J26" s="307" t="n"/>
      <c r="K26" s="307" t="n"/>
      <c r="L26" s="307" t="n"/>
      <c r="M26" s="307" t="n"/>
      <c r="N26" s="307" t="n"/>
      <c r="O26" s="307" t="n"/>
      <c r="P26" s="307" t="n"/>
      <c r="Q26" s="307" t="n"/>
      <c r="R26" s="307" t="n"/>
      <c r="S26" s="307" t="n"/>
      <c r="T26" s="307" t="n"/>
      <c r="U26" s="307" t="n"/>
      <c r="V26" s="307" t="n"/>
      <c r="W26" s="307" t="n"/>
      <c r="X26" s="307" t="n"/>
      <c r="Y26" s="307" t="n"/>
      <c r="Z26" s="307" t="n"/>
      <c r="AA26" s="307" t="n"/>
      <c r="AB26" s="307" t="n"/>
      <c r="AC26" s="307" t="n"/>
      <c r="AD26" s="307" t="n"/>
      <c r="AE26" s="307" t="n"/>
      <c r="AF26" s="307" t="n"/>
      <c r="AG26" s="307" t="n"/>
      <c r="AH26" s="307" t="n"/>
      <c r="AI26" s="307" t="n"/>
      <c r="AJ26" s="307" t="n"/>
      <c r="AK26" s="307" t="n"/>
      <c r="AL26" s="307" t="n"/>
      <c r="AM26" s="307" t="n"/>
      <c r="AN26" s="307" t="n"/>
      <c r="AO26" s="307" t="n"/>
      <c r="AP26" s="307" t="n"/>
      <c r="AQ26" s="307" t="n"/>
      <c r="AR26" s="307" t="n"/>
      <c r="AS26" s="307" t="n"/>
      <c r="AT26" s="307" t="n"/>
    </row>
    <row r="27" ht="15.75" customHeight="1" s="349">
      <c r="A27" s="307" t="n"/>
      <c r="B27" s="307" t="n"/>
      <c r="C27" s="307" t="n"/>
      <c r="D27" s="307" t="n"/>
      <c r="E27" s="307" t="n"/>
      <c r="F27" s="307" t="n"/>
      <c r="G27" s="307" t="n"/>
      <c r="H27" s="307" t="n"/>
      <c r="I27" s="307" t="n"/>
      <c r="J27" s="307" t="n"/>
      <c r="K27" s="307" t="n"/>
      <c r="L27" s="307" t="n"/>
      <c r="M27" s="307" t="n"/>
      <c r="N27" s="307" t="n"/>
      <c r="O27" s="307" t="n"/>
      <c r="P27" s="307" t="n"/>
      <c r="Q27" s="307" t="n"/>
      <c r="R27" s="307" t="n"/>
      <c r="S27" s="307" t="n"/>
      <c r="T27" s="307" t="n"/>
      <c r="U27" s="307" t="n"/>
      <c r="V27" s="307" t="n"/>
      <c r="W27" s="307" t="n"/>
      <c r="X27" s="307" t="n"/>
      <c r="Y27" s="307" t="n"/>
      <c r="Z27" s="307" t="n"/>
      <c r="AA27" s="307" t="n"/>
      <c r="AB27" s="237" t="n"/>
      <c r="AC27" s="307" t="n"/>
      <c r="AD27" s="307" t="n"/>
      <c r="AE27" s="307" t="n"/>
      <c r="AF27" s="307" t="n"/>
      <c r="AG27" s="307" t="n"/>
      <c r="AH27" s="307" t="n"/>
      <c r="AI27" s="307" t="n"/>
      <c r="AJ27" s="307" t="n"/>
      <c r="AK27" s="307" t="n"/>
      <c r="AL27" s="307" t="n"/>
      <c r="AM27" s="307" t="n"/>
      <c r="AN27" s="307" t="n"/>
      <c r="AO27" s="307" t="n"/>
      <c r="AP27" s="307" t="n"/>
      <c r="AQ27" s="307" t="n"/>
      <c r="AR27" s="307" t="n"/>
      <c r="AS27" s="307" t="n"/>
      <c r="AT27" s="307" t="n"/>
    </row>
    <row r="28" ht="15.75" customHeight="1" s="349">
      <c r="A28" s="307" t="n"/>
      <c r="B28" s="307" t="n"/>
      <c r="C28" s="307" t="n"/>
      <c r="D28" s="307" t="n"/>
      <c r="E28" s="307" t="n"/>
      <c r="F28" s="307" t="n"/>
      <c r="G28" s="307" t="n"/>
      <c r="H28" s="307" t="n"/>
      <c r="I28" s="307" t="n"/>
      <c r="J28" s="307" t="n"/>
      <c r="K28" s="307" t="n"/>
      <c r="L28" s="307" t="n"/>
      <c r="M28" s="307" t="n"/>
      <c r="N28" s="307" t="n"/>
      <c r="O28" s="307" t="n"/>
      <c r="P28" s="307" t="n"/>
      <c r="Q28" s="307" t="n"/>
      <c r="R28" s="307" t="n"/>
      <c r="S28" s="307" t="n"/>
      <c r="T28" s="307" t="n"/>
      <c r="U28" s="307" t="n"/>
      <c r="V28" s="307" t="n"/>
      <c r="W28" s="307" t="n"/>
      <c r="X28" s="307" t="n"/>
      <c r="Y28" s="307" t="n"/>
      <c r="Z28" s="307" t="n"/>
      <c r="AA28" s="307" t="n"/>
      <c r="AB28" s="307" t="n"/>
      <c r="AC28" s="307" t="n"/>
      <c r="AD28" s="307" t="n"/>
      <c r="AE28" s="307" t="n"/>
      <c r="AF28" s="307" t="n"/>
      <c r="AG28" s="307" t="n"/>
      <c r="AH28" s="307" t="n"/>
      <c r="AI28" s="307" t="n"/>
      <c r="AJ28" s="307" t="n"/>
      <c r="AK28" s="307" t="n"/>
      <c r="AL28" s="307" t="n"/>
      <c r="AM28" s="307" t="n"/>
      <c r="AN28" s="307" t="n"/>
      <c r="AO28" s="307" t="n"/>
      <c r="AP28" s="307" t="n"/>
      <c r="AQ28" s="307" t="n"/>
      <c r="AR28" s="307" t="n"/>
      <c r="AS28" s="307" t="n"/>
      <c r="AT28" s="307" t="n"/>
    </row>
    <row r="29" ht="15.75" customHeight="1" s="349">
      <c r="A29" s="307" t="n"/>
      <c r="B29" s="307" t="n"/>
      <c r="C29" s="307" t="n"/>
      <c r="D29" s="307" t="n"/>
      <c r="E29" s="307" t="n"/>
      <c r="F29" s="307" t="n"/>
      <c r="G29" s="307" t="n"/>
      <c r="H29" s="307" t="n"/>
      <c r="I29" s="307" t="n"/>
      <c r="J29" s="307" t="n"/>
      <c r="K29" s="307" t="n"/>
      <c r="L29" s="307" t="n"/>
      <c r="M29" s="307" t="n"/>
      <c r="N29" s="307" t="n"/>
      <c r="O29" s="307" t="n"/>
      <c r="P29" s="307" t="n"/>
      <c r="Q29" s="307" t="n"/>
      <c r="R29" s="307" t="n"/>
      <c r="S29" s="307" t="n"/>
      <c r="T29" s="307" t="n"/>
      <c r="U29" s="307" t="n"/>
      <c r="V29" s="307" t="n"/>
      <c r="W29" s="307" t="n"/>
      <c r="X29" s="307" t="n"/>
      <c r="Y29" s="307" t="n"/>
      <c r="Z29" s="307" t="n"/>
      <c r="AA29" s="307" t="n"/>
      <c r="AB29" s="307" t="n"/>
      <c r="AC29" s="307" t="n"/>
      <c r="AD29" s="307" t="n"/>
      <c r="AE29" s="307" t="n"/>
      <c r="AF29" s="307" t="n"/>
      <c r="AG29" s="307" t="n"/>
      <c r="AH29" s="307" t="n"/>
      <c r="AI29" s="307" t="n"/>
      <c r="AJ29" s="307" t="n"/>
      <c r="AK29" s="307" t="n"/>
      <c r="AL29" s="307" t="n"/>
      <c r="AM29" s="307" t="n"/>
      <c r="AN29" s="307" t="n"/>
      <c r="AO29" s="307" t="n"/>
      <c r="AP29" s="307" t="n"/>
      <c r="AQ29" s="307" t="n"/>
      <c r="AR29" s="307" t="n"/>
      <c r="AS29" s="307" t="n"/>
      <c r="AT29" s="307" t="n"/>
    </row>
    <row r="30" ht="15.75" customHeight="1" s="349">
      <c r="A30" s="307" t="n"/>
      <c r="B30" s="307" t="n"/>
      <c r="C30" s="307" t="n"/>
      <c r="D30" s="307" t="n"/>
      <c r="E30" s="307" t="n"/>
      <c r="F30" s="307" t="n"/>
      <c r="G30" s="307" t="n"/>
      <c r="H30" s="307" t="n"/>
      <c r="I30" s="307" t="n"/>
      <c r="J30" s="307" t="n"/>
      <c r="K30" s="307" t="n"/>
      <c r="L30" s="307" t="n"/>
      <c r="M30" s="307" t="n"/>
      <c r="N30" s="307" t="n"/>
      <c r="O30" s="307" t="n"/>
      <c r="P30" s="307" t="n"/>
      <c r="Q30" s="307" t="n"/>
      <c r="R30" s="307" t="n"/>
      <c r="S30" s="307" t="n"/>
      <c r="T30" s="307" t="n"/>
      <c r="U30" s="307" t="n"/>
      <c r="V30" s="307" t="n"/>
      <c r="W30" s="307" t="n"/>
      <c r="X30" s="307" t="n"/>
      <c r="Y30" s="307" t="n"/>
      <c r="Z30" s="307" t="n"/>
      <c r="AA30" s="307" t="n"/>
      <c r="AB30" s="307" t="n"/>
      <c r="AC30" s="307" t="n"/>
      <c r="AD30" s="307" t="n"/>
      <c r="AE30" s="307" t="n"/>
      <c r="AF30" s="307" t="n"/>
      <c r="AG30" s="307" t="n"/>
      <c r="AH30" s="307" t="n"/>
      <c r="AI30" s="307" t="n"/>
      <c r="AJ30" s="307" t="n"/>
      <c r="AK30" s="307" t="n"/>
      <c r="AL30" s="307" t="n"/>
      <c r="AM30" s="307" t="n"/>
      <c r="AN30" s="307" t="n"/>
      <c r="AO30" s="307" t="n"/>
      <c r="AP30" s="307" t="n"/>
      <c r="AQ30" s="307" t="n"/>
      <c r="AR30" s="307" t="n"/>
      <c r="AS30" s="307" t="n"/>
      <c r="AT30" s="307" t="n"/>
    </row>
    <row r="31" ht="15.75" customHeight="1" s="349">
      <c r="A31" s="307" t="n"/>
      <c r="B31" s="307" t="n"/>
      <c r="C31" s="307" t="n"/>
      <c r="D31" s="307" t="n"/>
      <c r="E31" s="307" t="n"/>
      <c r="F31" s="307" t="n"/>
      <c r="G31" s="307" t="n"/>
      <c r="H31" s="307" t="n"/>
      <c r="I31" s="307" t="n"/>
      <c r="J31" s="307" t="n"/>
      <c r="K31" s="307" t="n"/>
      <c r="L31" s="307" t="n"/>
      <c r="M31" s="307" t="n"/>
      <c r="N31" s="307" t="n"/>
      <c r="O31" s="307" t="n"/>
      <c r="P31" s="307" t="n"/>
      <c r="Q31" s="307" t="n"/>
      <c r="R31" s="307" t="n"/>
      <c r="S31" s="307" t="n"/>
      <c r="T31" s="307" t="n"/>
      <c r="U31" s="307" t="n"/>
      <c r="V31" s="307" t="n"/>
      <c r="W31" s="307" t="n"/>
      <c r="X31" s="307" t="n"/>
      <c r="Y31" s="307" t="n"/>
      <c r="Z31" s="307" t="n"/>
      <c r="AA31" s="307" t="n"/>
      <c r="AB31" s="307" t="n"/>
      <c r="AC31" s="307" t="n"/>
      <c r="AD31" s="307" t="n"/>
      <c r="AE31" s="307" t="n"/>
      <c r="AF31" s="307" t="n"/>
      <c r="AG31" s="307" t="n"/>
      <c r="AH31" s="307" t="n"/>
      <c r="AI31" s="307" t="n"/>
      <c r="AJ31" s="307" t="n"/>
      <c r="AK31" s="307" t="n"/>
      <c r="AL31" s="307" t="n"/>
      <c r="AM31" s="307" t="n"/>
      <c r="AN31" s="307" t="n"/>
      <c r="AO31" s="307" t="n"/>
      <c r="AP31" s="307" t="n"/>
      <c r="AQ31" s="307" t="n"/>
      <c r="AR31" s="307" t="n"/>
      <c r="AS31" s="307" t="n"/>
      <c r="AT31" s="307" t="n"/>
    </row>
    <row r="32" ht="15.75" customHeight="1" s="349">
      <c r="A32" s="307" t="n"/>
      <c r="B32" s="307" t="n"/>
      <c r="C32" s="307" t="n"/>
      <c r="D32" s="307" t="n"/>
      <c r="E32" s="307" t="n"/>
      <c r="F32" s="307" t="n"/>
      <c r="G32" s="307" t="n"/>
      <c r="H32" s="307" t="n"/>
      <c r="I32" s="307" t="n"/>
      <c r="J32" s="307" t="n"/>
      <c r="K32" s="307" t="n"/>
      <c r="L32" s="307" t="n"/>
      <c r="M32" s="307" t="n"/>
      <c r="N32" s="307" t="n"/>
      <c r="O32" s="307" t="n"/>
      <c r="P32" s="307" t="n"/>
      <c r="Q32" s="307" t="n"/>
      <c r="R32" s="307" t="n"/>
      <c r="S32" s="307" t="n"/>
      <c r="T32" s="307" t="n"/>
      <c r="U32" s="307" t="n"/>
      <c r="V32" s="307" t="n"/>
      <c r="W32" s="307" t="n"/>
      <c r="X32" s="307" t="n"/>
      <c r="Y32" s="307" t="n"/>
      <c r="Z32" s="307" t="n"/>
      <c r="AA32" s="307" t="n"/>
      <c r="AB32" s="307" t="n"/>
      <c r="AC32" s="307" t="n"/>
      <c r="AD32" s="307" t="n"/>
      <c r="AE32" s="307" t="n"/>
      <c r="AF32" s="307" t="n"/>
      <c r="AG32" s="307" t="n"/>
      <c r="AH32" s="307" t="n"/>
      <c r="AI32" s="307" t="n"/>
      <c r="AJ32" s="307" t="n"/>
      <c r="AK32" s="307" t="n"/>
      <c r="AL32" s="307" t="n"/>
      <c r="AM32" s="307" t="n"/>
      <c r="AN32" s="307" t="n"/>
      <c r="AO32" s="307" t="n"/>
      <c r="AP32" s="307" t="n"/>
      <c r="AQ32" s="307" t="n"/>
      <c r="AR32" s="307" t="n"/>
      <c r="AS32" s="307" t="n"/>
      <c r="AT32" s="307" t="n"/>
    </row>
    <row r="33" ht="15.75" customHeight="1" s="349">
      <c r="A33" s="307" t="n"/>
      <c r="B33" s="307" t="n"/>
      <c r="C33" s="307" t="n"/>
      <c r="D33" s="307" t="n"/>
      <c r="E33" s="307" t="n"/>
      <c r="F33" s="307" t="n"/>
      <c r="G33" s="307" t="n"/>
      <c r="H33" s="307" t="n"/>
      <c r="I33" s="307" t="n"/>
      <c r="J33" s="307" t="n"/>
      <c r="K33" s="307" t="n"/>
      <c r="L33" s="307" t="n"/>
      <c r="M33" s="307" t="n"/>
      <c r="N33" s="307" t="n"/>
      <c r="O33" s="307" t="n"/>
      <c r="P33" s="307" t="n"/>
      <c r="Q33" s="307" t="n"/>
      <c r="R33" s="307" t="n"/>
      <c r="S33" s="307" t="n"/>
      <c r="T33" s="307" t="n"/>
      <c r="U33" s="307" t="n"/>
      <c r="V33" s="307" t="n"/>
      <c r="W33" s="307" t="n"/>
      <c r="X33" s="307" t="n"/>
      <c r="Y33" s="307" t="n"/>
      <c r="Z33" s="307" t="n"/>
      <c r="AA33" s="307" t="n"/>
      <c r="AB33" s="307" t="n"/>
      <c r="AC33" s="307" t="n"/>
      <c r="AD33" s="307" t="n"/>
      <c r="AE33" s="307" t="n"/>
      <c r="AF33" s="307" t="n"/>
      <c r="AG33" s="307" t="n"/>
      <c r="AH33" s="307" t="n"/>
      <c r="AI33" s="307" t="n"/>
      <c r="AJ33" s="307" t="n"/>
      <c r="AK33" s="307" t="n"/>
      <c r="AL33" s="307" t="n"/>
      <c r="AM33" s="307" t="n"/>
      <c r="AN33" s="307" t="n"/>
      <c r="AO33" s="307" t="n"/>
      <c r="AP33" s="307" t="n"/>
      <c r="AQ33" s="307" t="n"/>
      <c r="AR33" s="307" t="n"/>
      <c r="AS33" s="307" t="n"/>
      <c r="AT33" s="307" t="n"/>
    </row>
    <row r="34" ht="15.75" customHeight="1" s="349">
      <c r="A34" s="307" t="n"/>
      <c r="B34" s="307" t="n"/>
      <c r="C34" s="307" t="n"/>
      <c r="D34" s="307" t="n"/>
      <c r="E34" s="307" t="n"/>
      <c r="F34" s="307" t="n"/>
      <c r="G34" s="307" t="n"/>
      <c r="H34" s="307" t="n"/>
      <c r="I34" s="307" t="n"/>
      <c r="J34" s="307" t="n"/>
      <c r="K34" s="307" t="n"/>
      <c r="L34" s="307" t="n"/>
      <c r="M34" s="307" t="n"/>
      <c r="N34" s="307" t="n"/>
      <c r="O34" s="307" t="n"/>
      <c r="P34" s="307" t="n"/>
      <c r="Q34" s="307" t="n"/>
      <c r="R34" s="307" t="n"/>
      <c r="S34" s="307" t="n"/>
      <c r="T34" s="307" t="n"/>
      <c r="U34" s="307" t="n"/>
      <c r="V34" s="307" t="n"/>
      <c r="W34" s="307" t="n"/>
      <c r="X34" s="307" t="n"/>
      <c r="Y34" s="307" t="n"/>
      <c r="Z34" s="307" t="n"/>
      <c r="AA34" s="307" t="n"/>
      <c r="AB34" s="307" t="n"/>
      <c r="AC34" s="307" t="n"/>
      <c r="AD34" s="307" t="n"/>
      <c r="AE34" s="307" t="n"/>
      <c r="AF34" s="307" t="n"/>
      <c r="AG34" s="307" t="n"/>
      <c r="AH34" s="307" t="n"/>
      <c r="AI34" s="307" t="n"/>
      <c r="AJ34" s="307" t="n"/>
      <c r="AK34" s="307" t="n"/>
      <c r="AL34" s="307" t="n"/>
      <c r="AM34" s="307" t="n"/>
      <c r="AN34" s="307" t="n"/>
      <c r="AO34" s="307" t="n"/>
      <c r="AP34" s="307" t="n"/>
      <c r="AQ34" s="307" t="n"/>
      <c r="AR34" s="307" t="n"/>
      <c r="AS34" s="307" t="n"/>
      <c r="AT34" s="307" t="n"/>
    </row>
    <row r="35" ht="15.75" customHeight="1" s="349">
      <c r="A35" s="307" t="n"/>
      <c r="B35" s="307" t="n"/>
      <c r="C35" s="307" t="n"/>
      <c r="D35" s="307" t="n"/>
      <c r="E35" s="307" t="n"/>
      <c r="F35" s="307" t="n"/>
      <c r="G35" s="307" t="n"/>
      <c r="H35" s="307" t="n"/>
      <c r="I35" s="307" t="n"/>
      <c r="J35" s="307" t="n"/>
      <c r="K35" s="307" t="n"/>
      <c r="L35" s="307" t="n"/>
      <c r="M35" s="307" t="n"/>
      <c r="N35" s="307" t="n"/>
      <c r="O35" s="307" t="n"/>
      <c r="P35" s="307" t="n"/>
      <c r="Q35" s="307" t="n"/>
      <c r="R35" s="307" t="n"/>
      <c r="S35" s="307" t="n"/>
      <c r="T35" s="307" t="n"/>
      <c r="U35" s="307" t="n"/>
      <c r="V35" s="307" t="n"/>
      <c r="W35" s="307" t="n"/>
      <c r="X35" s="307" t="n"/>
      <c r="Y35" s="307" t="n"/>
      <c r="Z35" s="307" t="n"/>
      <c r="AA35" s="307" t="n"/>
      <c r="AB35" s="307" t="n"/>
      <c r="AC35" s="307" t="n"/>
      <c r="AD35" s="307" t="n"/>
      <c r="AE35" s="307" t="n"/>
      <c r="AF35" s="307" t="n"/>
      <c r="AG35" s="307" t="n"/>
      <c r="AH35" s="307" t="n"/>
      <c r="AI35" s="307" t="n"/>
      <c r="AJ35" s="307" t="n"/>
      <c r="AK35" s="307" t="n"/>
      <c r="AL35" s="307" t="n"/>
      <c r="AM35" s="307" t="n"/>
      <c r="AN35" s="307" t="n"/>
      <c r="AO35" s="307" t="n"/>
      <c r="AP35" s="307" t="n"/>
      <c r="AQ35" s="307" t="n"/>
      <c r="AR35" s="307" t="n"/>
      <c r="AS35" s="307" t="n"/>
      <c r="AT35" s="307" t="n"/>
    </row>
    <row r="36" ht="15.75" customHeight="1" s="349">
      <c r="A36" s="307" t="n"/>
      <c r="B36" s="307" t="n"/>
      <c r="C36" s="307" t="n"/>
      <c r="D36" s="307" t="n"/>
      <c r="E36" s="307" t="n"/>
      <c r="F36" s="307" t="n"/>
      <c r="G36" s="307" t="n"/>
      <c r="H36" s="307" t="n"/>
      <c r="I36" s="307" t="n"/>
      <c r="J36" s="307" t="n"/>
      <c r="K36" s="307" t="n"/>
      <c r="L36" s="307" t="n"/>
      <c r="M36" s="307" t="n"/>
      <c r="N36" s="307" t="n"/>
      <c r="O36" s="307" t="n"/>
      <c r="P36" s="307" t="n"/>
      <c r="Q36" s="307" t="n"/>
      <c r="R36" s="307" t="n"/>
      <c r="S36" s="307" t="n"/>
      <c r="T36" s="307" t="n"/>
      <c r="U36" s="307" t="n"/>
      <c r="V36" s="307" t="n"/>
      <c r="W36" s="307" t="n"/>
      <c r="X36" s="307" t="n"/>
      <c r="Y36" s="307" t="n"/>
      <c r="Z36" s="307" t="n"/>
      <c r="AA36" s="307" t="n"/>
      <c r="AB36" s="307" t="n"/>
      <c r="AC36" s="307" t="n"/>
      <c r="AD36" s="307" t="n"/>
      <c r="AE36" s="307" t="n"/>
      <c r="AF36" s="307" t="n"/>
      <c r="AG36" s="307" t="n"/>
      <c r="AH36" s="307" t="n"/>
      <c r="AI36" s="307" t="n"/>
      <c r="AJ36" s="307" t="n"/>
      <c r="AK36" s="307" t="n"/>
      <c r="AL36" s="307" t="n"/>
      <c r="AM36" s="307" t="n"/>
      <c r="AN36" s="307" t="n"/>
      <c r="AO36" s="307" t="n"/>
      <c r="AP36" s="307" t="n"/>
      <c r="AQ36" s="307" t="n"/>
      <c r="AR36" s="307" t="n"/>
      <c r="AS36" s="307" t="n"/>
      <c r="AT36" s="307" t="n"/>
    </row>
    <row r="37" ht="15.75" customHeight="1" s="349">
      <c r="A37" s="307" t="n"/>
      <c r="B37" s="307" t="n"/>
      <c r="C37" s="307" t="n"/>
      <c r="D37" s="307" t="n"/>
      <c r="E37" s="307" t="n"/>
      <c r="F37" s="307" t="n"/>
      <c r="G37" s="307" t="n"/>
      <c r="H37" s="307" t="n"/>
      <c r="I37" s="307" t="n"/>
      <c r="J37" s="307" t="n"/>
      <c r="K37" s="307" t="n"/>
      <c r="L37" s="307" t="n"/>
      <c r="M37" s="307" t="n"/>
      <c r="N37" s="307" t="n"/>
      <c r="O37" s="307" t="n"/>
      <c r="P37" s="307" t="n"/>
      <c r="Q37" s="307" t="n"/>
      <c r="R37" s="307" t="n"/>
      <c r="S37" s="307" t="n"/>
      <c r="T37" s="307" t="n"/>
      <c r="U37" s="307" t="n"/>
      <c r="V37" s="307" t="n"/>
      <c r="W37" s="307" t="n"/>
      <c r="X37" s="200" t="n"/>
      <c r="Y37" s="307" t="n"/>
      <c r="Z37" s="307" t="n"/>
      <c r="AA37" s="307" t="n"/>
      <c r="AB37" s="307" t="n"/>
      <c r="AC37" s="307" t="n"/>
      <c r="AD37" s="307" t="n"/>
      <c r="AE37" s="307" t="n"/>
      <c r="AF37" s="307" t="n"/>
      <c r="AG37" s="307" t="n"/>
      <c r="AH37" s="307" t="n"/>
      <c r="AI37" s="307" t="n"/>
      <c r="AJ37" s="307" t="n"/>
      <c r="AK37" s="307" t="n"/>
      <c r="AL37" s="307" t="n"/>
      <c r="AM37" s="307" t="n"/>
      <c r="AN37" s="307" t="n"/>
      <c r="AO37" s="307" t="n"/>
      <c r="AP37" s="307" t="n"/>
      <c r="AQ37" s="307" t="n"/>
      <c r="AR37" s="307" t="n"/>
      <c r="AS37" s="307" t="n"/>
      <c r="AT37" s="307" t="n"/>
    </row>
    <row r="38" ht="15.75" customHeight="1" s="349">
      <c r="A38" s="307" t="n"/>
      <c r="B38" s="307" t="n"/>
      <c r="C38" s="307" t="n"/>
      <c r="D38" s="307" t="n"/>
      <c r="E38" s="307" t="n"/>
      <c r="F38" s="307" t="n"/>
      <c r="G38" s="307" t="n"/>
      <c r="H38" s="307" t="n"/>
      <c r="I38" s="307" t="n"/>
      <c r="J38" s="307" t="n"/>
      <c r="K38" s="307" t="n"/>
      <c r="L38" s="307" t="n"/>
      <c r="M38" s="307" t="n"/>
      <c r="N38" s="307" t="n"/>
      <c r="O38" s="307" t="n"/>
      <c r="P38" s="307" t="n"/>
      <c r="Q38" s="307" t="n"/>
      <c r="R38" s="307" t="n"/>
      <c r="S38" s="307" t="n"/>
      <c r="T38" s="307" t="n"/>
      <c r="U38" s="307" t="n"/>
      <c r="V38" s="307" t="n"/>
      <c r="W38" s="307" t="n"/>
      <c r="X38" s="307" t="n"/>
      <c r="Y38" s="307" t="n"/>
      <c r="Z38" s="307" t="n"/>
      <c r="AA38" s="307" t="n"/>
      <c r="AB38" s="307" t="n"/>
      <c r="AC38" s="307" t="n"/>
      <c r="AD38" s="307" t="n"/>
      <c r="AE38" s="307" t="n"/>
      <c r="AF38" s="307" t="n"/>
      <c r="AG38" s="307" t="n"/>
      <c r="AH38" s="307" t="n"/>
      <c r="AI38" s="307" t="n"/>
      <c r="AJ38" s="307" t="n"/>
      <c r="AK38" s="307" t="n"/>
      <c r="AL38" s="307" t="n"/>
      <c r="AM38" s="307" t="n"/>
      <c r="AN38" s="307" t="n"/>
      <c r="AO38" s="307" t="n"/>
      <c r="AP38" s="307" t="n"/>
      <c r="AQ38" s="307" t="n"/>
      <c r="AR38" s="307" t="n"/>
      <c r="AS38" s="307" t="n"/>
      <c r="AT38" s="307" t="n"/>
    </row>
    <row r="39" ht="15.75" customHeight="1" s="349">
      <c r="A39" s="307" t="n"/>
      <c r="B39" s="307" t="n"/>
      <c r="C39" s="307" t="n"/>
      <c r="D39" s="307" t="n"/>
      <c r="E39" s="307" t="n"/>
      <c r="F39" s="307" t="n"/>
      <c r="G39" s="307" t="n"/>
      <c r="H39" s="307" t="n"/>
      <c r="I39" s="307" t="n"/>
      <c r="J39" s="307" t="n"/>
      <c r="K39" s="307" t="n"/>
      <c r="L39" s="307" t="n"/>
      <c r="M39" s="307" t="n"/>
      <c r="N39" s="307" t="n"/>
      <c r="O39" s="307" t="n"/>
      <c r="P39" s="307" t="n"/>
      <c r="Q39" s="307" t="n"/>
      <c r="R39" s="307" t="n"/>
      <c r="S39" s="307" t="n"/>
      <c r="T39" s="307" t="n"/>
      <c r="U39" s="307" t="n"/>
      <c r="V39" s="307" t="n"/>
      <c r="W39" s="307" t="n"/>
      <c r="X39" s="307" t="n"/>
      <c r="Y39" s="307" t="n"/>
      <c r="Z39" s="307" t="n"/>
      <c r="AA39" s="307" t="n"/>
      <c r="AB39" s="307" t="n"/>
      <c r="AC39" s="307" t="n"/>
      <c r="AD39" s="307" t="n"/>
      <c r="AE39" s="307" t="n"/>
      <c r="AF39" s="307" t="n"/>
      <c r="AG39" s="307" t="n"/>
      <c r="AH39" s="307" t="n"/>
      <c r="AI39" s="307" t="n"/>
      <c r="AJ39" s="307" t="n"/>
      <c r="AK39" s="307" t="n"/>
      <c r="AL39" s="307" t="n"/>
      <c r="AM39" s="307" t="n"/>
      <c r="AN39" s="307" t="n"/>
      <c r="AO39" s="307" t="n"/>
      <c r="AP39" s="307" t="n"/>
      <c r="AQ39" s="307" t="n"/>
      <c r="AR39" s="307" t="n"/>
      <c r="AS39" s="307" t="n"/>
      <c r="AT39" s="307" t="n"/>
    </row>
    <row r="40" ht="15.75" customHeight="1" s="349">
      <c r="A40" s="307" t="n"/>
      <c r="B40" s="307" t="n"/>
      <c r="C40" s="307" t="n"/>
      <c r="D40" s="307" t="n"/>
      <c r="E40" s="307" t="n"/>
      <c r="F40" s="307" t="n"/>
      <c r="G40" s="307" t="n"/>
      <c r="H40" s="307" t="n"/>
      <c r="I40" s="307" t="n"/>
      <c r="J40" s="307" t="n"/>
      <c r="K40" s="307" t="n"/>
      <c r="L40" s="307" t="n"/>
      <c r="M40" s="307" t="n"/>
      <c r="N40" s="307" t="n"/>
      <c r="O40" s="307" t="n"/>
      <c r="P40" s="307" t="n"/>
      <c r="Q40" s="307" t="n"/>
      <c r="R40" s="307" t="n"/>
      <c r="S40" s="307" t="n"/>
      <c r="T40" s="307" t="n"/>
      <c r="U40" s="307" t="n"/>
      <c r="V40" s="307" t="n"/>
      <c r="W40" s="307" t="n"/>
      <c r="Y40" s="307" t="n"/>
      <c r="Z40" s="307" t="n"/>
      <c r="AA40" s="307" t="n"/>
      <c r="AB40" s="307" t="n"/>
      <c r="AC40" s="307" t="n"/>
      <c r="AD40" s="307" t="n"/>
      <c r="AE40" s="307" t="n"/>
      <c r="AF40" s="307" t="n"/>
      <c r="AG40" s="307" t="n"/>
      <c r="AH40" s="307" t="n"/>
      <c r="AI40" s="307" t="n"/>
      <c r="AJ40" s="307" t="n"/>
      <c r="AK40" s="307" t="n"/>
      <c r="AL40" s="307" t="n"/>
      <c r="AM40" s="307" t="n"/>
      <c r="AN40" s="307" t="n"/>
      <c r="AO40" s="307" t="n"/>
      <c r="AP40" s="307" t="n"/>
      <c r="AQ40" s="307" t="n"/>
      <c r="AR40" s="307" t="n"/>
      <c r="AS40" s="307" t="n"/>
      <c r="AT40" s="307" t="n"/>
    </row>
    <row r="41" ht="15.75" customHeight="1" s="349">
      <c r="A41" s="307" t="n"/>
      <c r="B41" s="307" t="n"/>
      <c r="C41" s="307" t="n"/>
      <c r="D41" s="307" t="n"/>
      <c r="E41" s="307" t="n"/>
      <c r="F41" s="307" t="n"/>
      <c r="G41" s="307" t="n"/>
      <c r="H41" s="307" t="n"/>
      <c r="I41" s="307" t="n"/>
      <c r="J41" s="307" t="n"/>
      <c r="K41" s="307" t="n"/>
      <c r="L41" s="307" t="n"/>
      <c r="M41" s="307" t="n"/>
      <c r="N41" s="307" t="n"/>
      <c r="O41" s="307" t="n"/>
      <c r="P41" s="307" t="n"/>
      <c r="Q41" s="307" t="n"/>
      <c r="R41" s="307" t="n"/>
      <c r="S41" s="307" t="n"/>
      <c r="T41" s="307" t="n"/>
      <c r="U41" s="307" t="n"/>
      <c r="V41" s="307" t="n"/>
      <c r="W41" s="307" t="n"/>
      <c r="X41" s="307" t="n"/>
      <c r="Y41" s="307" t="n"/>
      <c r="Z41" s="307" t="n"/>
      <c r="AA41" s="307" t="n"/>
      <c r="AB41" s="307" t="n"/>
      <c r="AC41" s="307" t="n"/>
      <c r="AD41" s="307" t="n"/>
      <c r="AE41" s="307" t="n"/>
      <c r="AF41" s="307" t="n"/>
      <c r="AG41" s="307" t="n"/>
      <c r="AH41" s="307" t="n"/>
      <c r="AI41" s="307" t="n"/>
      <c r="AJ41" s="307" t="n"/>
      <c r="AK41" s="307" t="n"/>
      <c r="AL41" s="307" t="n"/>
      <c r="AM41" s="307" t="n"/>
      <c r="AN41" s="307" t="n"/>
      <c r="AO41" s="307" t="n"/>
      <c r="AP41" s="307" t="n"/>
      <c r="AQ41" s="307" t="n"/>
      <c r="AR41" s="307" t="n"/>
      <c r="AS41" s="307" t="n"/>
      <c r="AT41" s="307" t="n"/>
    </row>
    <row r="42" ht="15.75" customHeight="1" s="349">
      <c r="A42" s="307" t="n"/>
      <c r="B42" s="307" t="n"/>
      <c r="C42" s="307" t="n"/>
      <c r="D42" s="307" t="n"/>
      <c r="E42" s="307" t="n"/>
      <c r="F42" s="307" t="n"/>
      <c r="G42" s="307" t="n"/>
      <c r="H42" s="307" t="n"/>
      <c r="I42" s="307" t="n"/>
      <c r="J42" s="307" t="n"/>
      <c r="K42" s="307" t="n"/>
      <c r="L42" s="307" t="n"/>
      <c r="M42" s="307" t="n"/>
      <c r="N42" s="307" t="n"/>
      <c r="O42" s="307" t="n"/>
      <c r="P42" s="307" t="n"/>
      <c r="Q42" s="307" t="n"/>
      <c r="R42" s="307" t="n"/>
      <c r="S42" s="307" t="n"/>
      <c r="T42" s="307" t="n"/>
      <c r="U42" s="307" t="n"/>
      <c r="V42" s="307" t="n"/>
      <c r="W42" s="307" t="n"/>
      <c r="X42" s="307" t="n"/>
      <c r="Y42" s="307" t="n"/>
      <c r="Z42" s="307" t="n"/>
      <c r="AA42" s="307" t="n"/>
      <c r="AB42" s="307" t="n"/>
      <c r="AC42" s="307" t="n"/>
      <c r="AD42" s="307" t="n"/>
      <c r="AE42" s="307" t="n"/>
      <c r="AF42" s="307" t="n"/>
      <c r="AG42" s="307" t="n"/>
      <c r="AH42" s="307" t="n"/>
      <c r="AI42" s="307" t="n"/>
      <c r="AJ42" s="307" t="n"/>
      <c r="AK42" s="307" t="n"/>
      <c r="AL42" s="307" t="n"/>
      <c r="AM42" s="307" t="n"/>
      <c r="AN42" s="307" t="n"/>
      <c r="AO42" s="307" t="n"/>
      <c r="AP42" s="307" t="n"/>
      <c r="AQ42" s="307" t="n"/>
      <c r="AR42" s="307" t="n"/>
      <c r="AS42" s="307" t="n"/>
      <c r="AT42" s="307" t="n"/>
    </row>
    <row r="43" ht="15.75" customHeight="1" s="349">
      <c r="A43" s="307" t="n"/>
      <c r="B43" s="307" t="n"/>
      <c r="C43" s="307" t="n"/>
      <c r="D43" s="307" t="n"/>
      <c r="E43" s="307" t="n"/>
      <c r="F43" s="307" t="n"/>
      <c r="G43" s="307" t="n"/>
      <c r="H43" s="307" t="n"/>
      <c r="I43" s="307" t="n"/>
      <c r="J43" s="307" t="n"/>
      <c r="K43" s="307" t="n"/>
      <c r="L43" s="307" t="n"/>
      <c r="M43" s="307" t="n"/>
      <c r="N43" s="307" t="n"/>
      <c r="O43" s="307" t="n"/>
      <c r="P43" s="307" t="n"/>
      <c r="Q43" s="307" t="n"/>
      <c r="R43" s="307" t="n"/>
      <c r="S43" s="307" t="n"/>
      <c r="T43" s="307" t="n"/>
      <c r="U43" s="307" t="n"/>
      <c r="V43" s="307" t="n"/>
      <c r="W43" s="307" t="n"/>
      <c r="X43" s="307" t="n"/>
      <c r="Y43" s="307" t="n"/>
      <c r="Z43" s="307" t="n"/>
      <c r="AA43" s="307" t="n"/>
      <c r="AB43" s="307" t="n"/>
      <c r="AC43" s="307" t="n"/>
      <c r="AD43" s="307" t="n"/>
      <c r="AE43" s="307" t="n"/>
      <c r="AF43" s="307" t="n"/>
      <c r="AG43" s="307" t="n"/>
      <c r="AH43" s="307" t="n"/>
      <c r="AI43" s="307" t="n"/>
      <c r="AJ43" s="307" t="n"/>
      <c r="AK43" s="307" t="n"/>
      <c r="AL43" s="307" t="n"/>
      <c r="AM43" s="307" t="n"/>
      <c r="AN43" s="307" t="n"/>
      <c r="AO43" s="307" t="n"/>
      <c r="AP43" s="307" t="n"/>
      <c r="AQ43" s="307" t="n"/>
      <c r="AR43" s="307" t="n"/>
      <c r="AS43" s="307" t="n"/>
      <c r="AT43" s="307" t="n"/>
    </row>
    <row r="44" ht="15.75" customHeight="1" s="349">
      <c r="A44" s="307" t="n"/>
      <c r="B44" s="307" t="n"/>
      <c r="C44" s="307" t="n"/>
      <c r="D44" s="307" t="n"/>
      <c r="E44" s="307" t="n"/>
      <c r="F44" s="307" t="n"/>
      <c r="G44" s="307" t="n"/>
      <c r="H44" s="307" t="n"/>
      <c r="I44" s="307" t="n"/>
      <c r="J44" s="307" t="n"/>
      <c r="K44" s="307" t="n"/>
      <c r="L44" s="307" t="n"/>
      <c r="M44" s="307" t="n"/>
      <c r="N44" s="307" t="n"/>
      <c r="O44" s="307" t="n"/>
      <c r="P44" s="307" t="n"/>
      <c r="Q44" s="307" t="n"/>
      <c r="R44" s="307" t="n"/>
      <c r="S44" s="307" t="n"/>
      <c r="T44" s="307" t="n"/>
      <c r="U44" s="307" t="n"/>
      <c r="V44" s="307" t="n"/>
      <c r="W44" s="307" t="n"/>
      <c r="X44" s="307" t="n"/>
      <c r="Y44" s="307" t="n"/>
      <c r="Z44" s="307" t="n"/>
      <c r="AA44" s="307" t="n"/>
      <c r="AB44" s="307" t="n"/>
      <c r="AC44" s="307" t="n"/>
      <c r="AD44" s="307" t="n"/>
      <c r="AE44" s="307" t="n"/>
      <c r="AF44" s="307" t="n"/>
      <c r="AG44" s="307" t="n"/>
      <c r="AH44" s="307" t="n"/>
      <c r="AI44" s="307" t="n"/>
      <c r="AJ44" s="307" t="n"/>
      <c r="AK44" s="307" t="n"/>
      <c r="AL44" s="307" t="n"/>
      <c r="AM44" s="307" t="n"/>
      <c r="AN44" s="307" t="n"/>
      <c r="AO44" s="307" t="n"/>
      <c r="AP44" s="307" t="n"/>
      <c r="AQ44" s="307" t="n"/>
      <c r="AR44" s="307" t="n"/>
      <c r="AS44" s="307" t="n"/>
      <c r="AT44" s="307" t="n"/>
    </row>
    <row r="45" ht="15.75" customHeight="1" s="349">
      <c r="A45" s="307" t="n"/>
      <c r="B45" s="307" t="n"/>
      <c r="C45" s="307" t="n"/>
      <c r="D45" s="307" t="n"/>
      <c r="E45" s="307" t="n"/>
      <c r="F45" s="307" t="n"/>
      <c r="G45" s="307" t="n"/>
      <c r="H45" s="307" t="n"/>
      <c r="I45" s="307" t="n"/>
      <c r="J45" s="307" t="n"/>
      <c r="K45" s="307" t="n"/>
      <c r="L45" s="307" t="n"/>
      <c r="M45" s="307" t="n"/>
      <c r="N45" s="307" t="n"/>
      <c r="O45" s="307" t="n"/>
      <c r="P45" s="307" t="n"/>
      <c r="Q45" s="307" t="n"/>
      <c r="R45" s="307" t="n"/>
      <c r="S45" s="307" t="n"/>
      <c r="T45" s="307" t="n"/>
      <c r="U45" s="307" t="n"/>
      <c r="V45" s="307" t="n"/>
      <c r="W45" s="307" t="n"/>
      <c r="X45" s="307" t="n"/>
      <c r="Y45" s="307" t="n"/>
      <c r="Z45" s="307" t="n"/>
      <c r="AA45" s="307" t="n"/>
      <c r="AB45" s="307" t="n"/>
      <c r="AC45" s="307" t="n"/>
      <c r="AD45" s="307" t="n"/>
      <c r="AE45" s="307" t="n"/>
      <c r="AF45" s="307" t="n"/>
      <c r="AG45" s="307" t="n"/>
      <c r="AH45" s="307" t="n"/>
      <c r="AI45" s="307" t="n"/>
      <c r="AJ45" s="307" t="n"/>
      <c r="AK45" s="307" t="n"/>
      <c r="AL45" s="307" t="n"/>
      <c r="AM45" s="307" t="n"/>
      <c r="AN45" s="307" t="n"/>
      <c r="AO45" s="307" t="n"/>
      <c r="AP45" s="307" t="n"/>
      <c r="AQ45" s="307" t="n"/>
      <c r="AR45" s="307" t="n"/>
      <c r="AS45" s="307" t="n"/>
      <c r="AT45" s="307" t="n"/>
    </row>
    <row r="46" ht="15.75" customHeight="1" s="349">
      <c r="A46" s="307" t="n"/>
      <c r="B46" s="307" t="n"/>
      <c r="C46" s="307" t="n"/>
      <c r="D46" s="307" t="n"/>
      <c r="E46" s="307" t="n"/>
      <c r="F46" s="307" t="n"/>
      <c r="G46" s="307" t="n"/>
      <c r="H46" s="307" t="n"/>
      <c r="I46" s="307" t="n"/>
      <c r="J46" s="307" t="n"/>
      <c r="K46" s="307" t="n"/>
      <c r="L46" s="307" t="n"/>
      <c r="M46" s="307" t="n"/>
      <c r="N46" s="307" t="n"/>
      <c r="O46" s="307" t="n"/>
      <c r="P46" s="307" t="n"/>
      <c r="Q46" s="307" t="n"/>
      <c r="R46" s="307" t="n"/>
      <c r="S46" s="307" t="n"/>
      <c r="T46" s="307" t="n"/>
      <c r="U46" s="307" t="n"/>
      <c r="V46" s="307" t="n"/>
      <c r="W46" s="307" t="n"/>
      <c r="X46" s="307" t="n"/>
      <c r="Y46" s="307" t="n"/>
      <c r="Z46" s="307" t="n"/>
      <c r="AA46" s="307" t="n"/>
      <c r="AB46" s="307" t="n"/>
      <c r="AC46" s="307" t="n"/>
      <c r="AD46" s="307" t="n"/>
      <c r="AE46" s="307" t="n"/>
      <c r="AF46" s="307" t="n"/>
      <c r="AG46" s="307" t="n"/>
      <c r="AH46" s="307" t="n"/>
      <c r="AI46" s="307" t="n"/>
      <c r="AJ46" s="307" t="n"/>
      <c r="AK46" s="307" t="n"/>
      <c r="AL46" s="307" t="n"/>
      <c r="AM46" s="307" t="n"/>
      <c r="AN46" s="307" t="n"/>
      <c r="AO46" s="307" t="n"/>
      <c r="AP46" s="307" t="n"/>
      <c r="AQ46" s="307" t="n"/>
      <c r="AR46" s="307" t="n"/>
      <c r="AS46" s="307" t="n"/>
      <c r="AT46" s="307" t="n"/>
    </row>
    <row r="47" ht="15.75" customHeight="1" s="349">
      <c r="A47" s="307" t="n"/>
      <c r="B47" s="307" t="n"/>
      <c r="C47" s="307" t="n"/>
      <c r="D47" s="307" t="n"/>
      <c r="E47" s="307" t="n"/>
      <c r="F47" s="307" t="n"/>
      <c r="G47" s="307" t="n"/>
      <c r="H47" s="307" t="n"/>
      <c r="I47" s="307" t="n"/>
      <c r="J47" s="307" t="n"/>
      <c r="K47" s="307" t="n"/>
      <c r="L47" s="307" t="n"/>
      <c r="M47" s="307" t="n"/>
      <c r="N47" s="307" t="n"/>
      <c r="O47" s="307" t="n"/>
      <c r="P47" s="307" t="n"/>
      <c r="Q47" s="307" t="n"/>
      <c r="R47" s="307" t="n"/>
      <c r="S47" s="307" t="n"/>
      <c r="T47" s="307" t="n"/>
      <c r="U47" s="307" t="n"/>
      <c r="V47" s="307" t="n"/>
      <c r="W47" s="307" t="n"/>
      <c r="X47" s="307" t="n"/>
      <c r="Y47" s="307" t="n"/>
      <c r="Z47" s="307" t="n"/>
      <c r="AA47" s="307" t="n"/>
      <c r="AB47" s="307" t="n"/>
      <c r="AC47" s="307" t="n"/>
      <c r="AD47" s="307" t="n"/>
      <c r="AE47" s="307" t="n"/>
      <c r="AF47" s="307" t="n"/>
      <c r="AG47" s="307" t="n"/>
      <c r="AH47" s="307" t="n"/>
      <c r="AI47" s="307" t="n"/>
      <c r="AJ47" s="307" t="n"/>
      <c r="AK47" s="307" t="n"/>
      <c r="AL47" s="307" t="n"/>
      <c r="AM47" s="307" t="n"/>
      <c r="AN47" s="307" t="n"/>
      <c r="AO47" s="307" t="n"/>
      <c r="AP47" s="307" t="n"/>
      <c r="AQ47" s="307" t="n"/>
      <c r="AR47" s="307" t="n"/>
      <c r="AS47" s="307" t="n"/>
      <c r="AT47" s="307" t="n"/>
    </row>
    <row r="48" ht="15.75" customHeight="1" s="349">
      <c r="A48" s="307" t="n"/>
      <c r="B48" s="307" t="n"/>
      <c r="C48" s="307" t="n"/>
      <c r="D48" s="307" t="n"/>
      <c r="E48" s="307" t="n"/>
      <c r="F48" s="307" t="n"/>
      <c r="G48" s="307" t="n"/>
      <c r="H48" s="307" t="n"/>
      <c r="I48" s="307" t="n"/>
      <c r="J48" s="307" t="n"/>
      <c r="K48" s="307" t="n"/>
      <c r="L48" s="307" t="n"/>
      <c r="M48" s="307" t="n"/>
      <c r="N48" s="307" t="n"/>
      <c r="O48" s="307" t="n"/>
      <c r="P48" s="307" t="n"/>
      <c r="Q48" s="307" t="n"/>
      <c r="R48" s="307" t="n"/>
      <c r="S48" s="307" t="n"/>
      <c r="T48" s="307" t="n"/>
      <c r="U48" s="307" t="n"/>
      <c r="V48" s="307" t="n"/>
      <c r="W48" s="307" t="n"/>
      <c r="X48" s="307" t="n"/>
      <c r="Y48" s="307" t="n"/>
      <c r="Z48" s="307" t="n"/>
      <c r="AA48" s="307" t="n"/>
      <c r="AB48" s="307" t="n"/>
      <c r="AC48" s="307" t="n"/>
      <c r="AD48" s="307" t="n"/>
      <c r="AE48" s="307" t="n"/>
      <c r="AF48" s="307" t="n"/>
      <c r="AG48" s="307" t="n"/>
      <c r="AH48" s="307" t="n"/>
      <c r="AI48" s="307" t="n"/>
      <c r="AJ48" s="307" t="n"/>
      <c r="AK48" s="307" t="n"/>
      <c r="AL48" s="307" t="n"/>
      <c r="AM48" s="307" t="n"/>
      <c r="AN48" s="307" t="n"/>
      <c r="AO48" s="307" t="n"/>
      <c r="AP48" s="307" t="n"/>
      <c r="AQ48" s="307" t="n"/>
      <c r="AR48" s="307" t="n"/>
      <c r="AS48" s="307" t="n"/>
      <c r="AT48" s="307" t="n"/>
    </row>
    <row r="49" ht="15.75" customHeight="1" s="349">
      <c r="A49" s="307" t="n"/>
      <c r="B49" s="307" t="n"/>
      <c r="C49" s="307" t="n"/>
      <c r="D49" s="307" t="n"/>
      <c r="E49" s="307" t="n"/>
      <c r="F49" s="307" t="n"/>
      <c r="G49" s="307" t="n"/>
      <c r="H49" s="307" t="n"/>
      <c r="I49" s="307" t="n"/>
      <c r="J49" s="307" t="n"/>
      <c r="K49" s="307" t="n"/>
      <c r="L49" s="307" t="n"/>
      <c r="M49" s="307" t="n"/>
      <c r="N49" s="307" t="n"/>
      <c r="O49" s="307" t="n"/>
      <c r="P49" s="307" t="n"/>
      <c r="Q49" s="307" t="n"/>
      <c r="R49" s="307" t="n"/>
      <c r="S49" s="307" t="n"/>
      <c r="T49" s="307" t="n"/>
      <c r="U49" s="307" t="n"/>
      <c r="V49" s="307" t="n"/>
      <c r="W49" s="307" t="n"/>
      <c r="X49" s="307" t="n"/>
      <c r="Y49" s="307" t="n"/>
      <c r="Z49" s="307" t="n"/>
      <c r="AA49" s="307" t="n"/>
      <c r="AB49" s="307" t="n"/>
      <c r="AC49" s="307" t="n"/>
      <c r="AD49" s="307" t="n"/>
      <c r="AE49" s="307" t="n"/>
      <c r="AF49" s="307" t="n"/>
      <c r="AG49" s="307" t="n"/>
      <c r="AH49" s="307" t="n"/>
      <c r="AI49" s="307" t="n"/>
      <c r="AJ49" s="307" t="n"/>
      <c r="AK49" s="307" t="n"/>
      <c r="AL49" s="307" t="n"/>
      <c r="AM49" s="307" t="n"/>
      <c r="AN49" s="307" t="n"/>
      <c r="AO49" s="307" t="n"/>
      <c r="AP49" s="307" t="n"/>
      <c r="AQ49" s="307" t="n"/>
      <c r="AR49" s="307" t="n"/>
      <c r="AS49" s="307" t="n"/>
      <c r="AT49" s="307" t="n"/>
    </row>
    <row r="50" ht="15.75" customHeight="1" s="349">
      <c r="A50" s="307" t="n"/>
      <c r="B50" s="307" t="n"/>
      <c r="C50" s="307" t="n"/>
      <c r="D50" s="307" t="n"/>
      <c r="E50" s="307" t="n"/>
      <c r="F50" s="307" t="n"/>
      <c r="G50" s="307" t="n"/>
      <c r="H50" s="307" t="n"/>
      <c r="I50" s="307" t="n"/>
      <c r="J50" s="307" t="n"/>
      <c r="K50" s="307" t="n"/>
      <c r="L50" s="307" t="n"/>
      <c r="M50" s="307" t="n"/>
      <c r="N50" s="307" t="n"/>
      <c r="O50" s="307" t="n"/>
      <c r="P50" s="307" t="n"/>
      <c r="Q50" s="307" t="n"/>
      <c r="R50" s="307" t="n"/>
      <c r="S50" s="307" t="n"/>
      <c r="T50" s="307" t="n"/>
      <c r="U50" s="307" t="n"/>
      <c r="V50" s="307" t="n"/>
      <c r="W50" s="307" t="n"/>
      <c r="X50" s="307" t="n"/>
      <c r="Y50" s="307" t="n"/>
      <c r="Z50" s="307" t="n"/>
      <c r="AA50" s="307" t="n"/>
      <c r="AB50" s="307" t="n"/>
      <c r="AC50" s="307" t="n"/>
      <c r="AD50" s="307" t="n"/>
      <c r="AE50" s="307" t="n"/>
      <c r="AF50" s="307" t="n"/>
      <c r="AG50" s="307" t="n"/>
      <c r="AH50" s="307" t="n"/>
      <c r="AI50" s="307" t="n"/>
      <c r="AJ50" s="307" t="n"/>
      <c r="AK50" s="307" t="n"/>
      <c r="AL50" s="307" t="n"/>
      <c r="AM50" s="307" t="n"/>
      <c r="AN50" s="307" t="n"/>
      <c r="AO50" s="307" t="n"/>
      <c r="AP50" s="307" t="n"/>
      <c r="AQ50" s="307" t="n"/>
      <c r="AR50" s="307" t="n"/>
      <c r="AS50" s="307" t="n"/>
      <c r="AT50" s="307" t="n"/>
    </row>
    <row r="51" ht="15.75" customHeight="1" s="349">
      <c r="A51" s="307" t="n"/>
      <c r="B51" s="307" t="n"/>
      <c r="C51" s="307" t="n"/>
      <c r="D51" s="307" t="n"/>
      <c r="E51" s="307" t="n"/>
      <c r="F51" s="307" t="n"/>
      <c r="G51" s="307" t="n"/>
      <c r="H51" s="307" t="n"/>
      <c r="I51" s="307" t="n"/>
      <c r="J51" s="307" t="n"/>
      <c r="K51" s="307" t="n"/>
      <c r="L51" s="307" t="n"/>
      <c r="M51" s="307" t="n"/>
      <c r="N51" s="307" t="n"/>
      <c r="O51" s="307" t="n"/>
      <c r="P51" s="307" t="n"/>
      <c r="Q51" s="307" t="n"/>
      <c r="R51" s="307" t="n"/>
      <c r="S51" s="307" t="n"/>
      <c r="T51" s="307" t="n"/>
      <c r="U51" s="307" t="n"/>
      <c r="V51" s="307" t="n"/>
      <c r="W51" s="307" t="n"/>
      <c r="X51" s="307" t="n"/>
      <c r="Y51" s="307" t="n"/>
      <c r="Z51" s="307" t="n"/>
      <c r="AA51" s="307" t="n"/>
      <c r="AB51" s="307" t="n"/>
      <c r="AC51" s="307" t="n"/>
      <c r="AD51" s="307" t="n"/>
      <c r="AE51" s="307" t="n"/>
      <c r="AF51" s="307" t="n"/>
      <c r="AG51" s="307" t="n"/>
      <c r="AH51" s="307" t="n"/>
      <c r="AI51" s="307" t="n"/>
      <c r="AJ51" s="307" t="n"/>
      <c r="AK51" s="307" t="n"/>
      <c r="AL51" s="307" t="n"/>
      <c r="AM51" s="307" t="n"/>
      <c r="AN51" s="307" t="n"/>
      <c r="AO51" s="307" t="n"/>
      <c r="AP51" s="307" t="n"/>
      <c r="AQ51" s="307" t="n"/>
      <c r="AR51" s="307" t="n"/>
      <c r="AS51" s="307" t="n"/>
      <c r="AT51" s="307" t="n"/>
    </row>
    <row r="52" ht="15.75" customHeight="1" s="349">
      <c r="A52" s="307" t="n"/>
      <c r="B52" s="307" t="n"/>
      <c r="C52" s="307" t="n"/>
      <c r="D52" s="307" t="n"/>
      <c r="E52" s="307" t="n"/>
      <c r="F52" s="307" t="n"/>
      <c r="G52" s="307" t="n"/>
      <c r="H52" s="307" t="n"/>
      <c r="I52" s="307" t="n"/>
      <c r="J52" s="307" t="n"/>
      <c r="K52" s="307" t="n"/>
      <c r="L52" s="307" t="n"/>
      <c r="M52" s="307" t="n"/>
      <c r="N52" s="307" t="n"/>
      <c r="O52" s="307" t="n"/>
      <c r="P52" s="307" t="n"/>
      <c r="Q52" s="307" t="n"/>
      <c r="R52" s="307" t="n"/>
      <c r="S52" s="307" t="n"/>
      <c r="T52" s="307" t="n"/>
      <c r="U52" s="307" t="n"/>
      <c r="V52" s="307" t="n"/>
      <c r="W52" s="307" t="n"/>
      <c r="X52" s="307" t="n"/>
      <c r="Y52" s="307" t="n"/>
      <c r="Z52" s="307" t="n"/>
      <c r="AA52" s="307" t="n"/>
      <c r="AB52" s="307" t="n"/>
      <c r="AC52" s="307" t="n"/>
      <c r="AD52" s="307" t="n"/>
      <c r="AE52" s="307" t="n"/>
      <c r="AF52" s="307" t="n"/>
      <c r="AG52" s="307" t="n"/>
      <c r="AH52" s="307" t="n"/>
      <c r="AI52" s="307" t="n"/>
      <c r="AJ52" s="307" t="n"/>
      <c r="AK52" s="307" t="n"/>
      <c r="AL52" s="307" t="n"/>
      <c r="AM52" s="307" t="n"/>
      <c r="AN52" s="307" t="n"/>
      <c r="AO52" s="307" t="n"/>
      <c r="AP52" s="307" t="n"/>
      <c r="AQ52" s="307" t="n"/>
      <c r="AR52" s="307" t="n"/>
      <c r="AS52" s="307" t="n"/>
      <c r="AT52" s="307" t="n"/>
    </row>
    <row r="53" ht="15.75" customHeight="1" s="349">
      <c r="A53" s="307" t="n"/>
      <c r="B53" s="307" t="n"/>
      <c r="C53" s="307" t="n"/>
      <c r="D53" s="307" t="n"/>
      <c r="E53" s="307" t="n"/>
      <c r="F53" s="307" t="n"/>
      <c r="G53" s="307" t="n"/>
      <c r="H53" s="307" t="n"/>
      <c r="I53" s="307" t="n"/>
      <c r="J53" s="307" t="n"/>
      <c r="K53" s="307" t="n"/>
      <c r="L53" s="307" t="n"/>
      <c r="M53" s="307" t="n"/>
      <c r="N53" s="307" t="n"/>
      <c r="O53" s="307" t="n"/>
      <c r="P53" s="307" t="n"/>
      <c r="Q53" s="307" t="n"/>
      <c r="R53" s="307" t="n"/>
      <c r="S53" s="307" t="n"/>
      <c r="T53" s="307" t="n"/>
      <c r="U53" s="307" t="n"/>
      <c r="V53" s="307" t="n"/>
      <c r="W53" s="307" t="n"/>
      <c r="X53" s="307" t="n"/>
      <c r="Y53" s="307" t="n"/>
      <c r="Z53" s="307" t="n"/>
      <c r="AA53" s="307" t="n"/>
      <c r="AB53" s="307" t="n"/>
      <c r="AC53" s="307" t="n"/>
      <c r="AD53" s="307" t="n"/>
      <c r="AE53" s="307" t="n"/>
      <c r="AF53" s="307" t="n"/>
      <c r="AG53" s="307" t="n"/>
      <c r="AH53" s="307" t="n"/>
      <c r="AI53" s="307" t="n"/>
      <c r="AJ53" s="307" t="n"/>
      <c r="AK53" s="307" t="n"/>
      <c r="AL53" s="307" t="n"/>
      <c r="AM53" s="307" t="n"/>
      <c r="AN53" s="307" t="n"/>
      <c r="AO53" s="307" t="n"/>
      <c r="AP53" s="307" t="n"/>
      <c r="AQ53" s="307" t="n"/>
      <c r="AR53" s="307" t="n"/>
      <c r="AS53" s="307" t="n"/>
      <c r="AT53" s="307" t="n"/>
    </row>
    <row r="54" ht="15.75" customHeight="1" s="349">
      <c r="A54" s="307" t="n"/>
      <c r="B54" s="307" t="n"/>
      <c r="C54" s="307" t="n"/>
      <c r="D54" s="307" t="n"/>
      <c r="E54" s="307" t="n"/>
      <c r="F54" s="307" t="n"/>
      <c r="G54" s="307" t="n"/>
      <c r="H54" s="307" t="n"/>
      <c r="I54" s="307" t="n"/>
      <c r="J54" s="307" t="n"/>
      <c r="K54" s="307" t="n"/>
      <c r="L54" s="307" t="n"/>
      <c r="M54" s="307" t="n"/>
      <c r="N54" s="307" t="n"/>
      <c r="O54" s="307" t="n"/>
      <c r="P54" s="307" t="n"/>
      <c r="Q54" s="307" t="n"/>
      <c r="R54" s="307" t="n"/>
      <c r="S54" s="307" t="n"/>
      <c r="T54" s="307" t="n"/>
      <c r="U54" s="307" t="n"/>
      <c r="V54" s="307" t="n"/>
      <c r="W54" s="307" t="n"/>
      <c r="X54" s="307" t="n"/>
      <c r="Y54" s="307" t="n"/>
      <c r="Z54" s="307" t="n"/>
      <c r="AA54" s="307" t="n"/>
      <c r="AB54" s="307" t="n"/>
      <c r="AC54" s="307" t="n"/>
      <c r="AD54" s="307" t="n"/>
      <c r="AE54" s="307" t="n"/>
      <c r="AF54" s="307" t="n"/>
      <c r="AG54" s="307" t="n"/>
      <c r="AH54" s="307" t="n"/>
      <c r="AI54" s="307" t="n"/>
      <c r="AJ54" s="307" t="n"/>
      <c r="AK54" s="307" t="n"/>
      <c r="AL54" s="307" t="n"/>
      <c r="AM54" s="307" t="n"/>
      <c r="AN54" s="307" t="n"/>
      <c r="AO54" s="307" t="n"/>
      <c r="AP54" s="307" t="n"/>
      <c r="AQ54" s="307" t="n"/>
      <c r="AR54" s="307" t="n"/>
      <c r="AS54" s="307" t="n"/>
      <c r="AT54" s="307" t="n"/>
    </row>
    <row r="55" ht="15.75" customHeight="1" s="349">
      <c r="A55" s="307" t="n"/>
      <c r="B55" s="307" t="n"/>
      <c r="C55" s="307" t="n"/>
      <c r="D55" s="307" t="n"/>
      <c r="E55" s="307" t="n"/>
      <c r="F55" s="307" t="n"/>
      <c r="G55" s="307" t="n"/>
      <c r="H55" s="307" t="n"/>
      <c r="I55" s="307" t="n"/>
      <c r="J55" s="307" t="n"/>
      <c r="K55" s="307" t="n"/>
      <c r="L55" s="307" t="n"/>
      <c r="M55" s="307" t="n"/>
      <c r="N55" s="307" t="n"/>
      <c r="O55" s="307" t="n"/>
      <c r="P55" s="307" t="n"/>
      <c r="Q55" s="307" t="n"/>
      <c r="R55" s="307" t="n"/>
      <c r="S55" s="307" t="n"/>
      <c r="T55" s="307" t="n"/>
      <c r="U55" s="307" t="n"/>
      <c r="V55" s="307" t="n"/>
      <c r="W55" s="307" t="n"/>
      <c r="X55" s="307" t="n"/>
      <c r="Y55" s="307" t="n"/>
      <c r="Z55" s="307" t="n"/>
      <c r="AA55" s="307" t="n"/>
      <c r="AB55" s="307" t="n"/>
      <c r="AC55" s="307" t="n"/>
      <c r="AD55" s="307" t="n"/>
      <c r="AE55" s="307" t="n"/>
      <c r="AF55" s="307" t="n"/>
      <c r="AG55" s="307" t="n"/>
      <c r="AH55" s="307" t="n"/>
      <c r="AI55" s="307" t="n"/>
      <c r="AJ55" s="307" t="n"/>
      <c r="AK55" s="307" t="n"/>
      <c r="AL55" s="307" t="n"/>
      <c r="AM55" s="307" t="n"/>
      <c r="AN55" s="307" t="n"/>
      <c r="AO55" s="307" t="n"/>
      <c r="AP55" s="307" t="n"/>
      <c r="AQ55" s="307" t="n"/>
      <c r="AR55" s="307" t="n"/>
      <c r="AS55" s="307" t="n"/>
      <c r="AT55" s="307" t="n"/>
    </row>
    <row r="56" ht="15.75" customHeight="1" s="349">
      <c r="A56" s="307" t="n"/>
      <c r="B56" s="307" t="n"/>
      <c r="C56" s="307" t="n"/>
      <c r="D56" s="307" t="n"/>
      <c r="E56" s="307" t="n"/>
      <c r="F56" s="307" t="n"/>
      <c r="G56" s="307" t="n"/>
      <c r="H56" s="307" t="n"/>
      <c r="I56" s="307" t="n"/>
      <c r="J56" s="307" t="n"/>
      <c r="K56" s="307" t="n"/>
      <c r="L56" s="307" t="n"/>
      <c r="M56" s="307" t="n"/>
      <c r="N56" s="307" t="n"/>
      <c r="O56" s="307" t="n"/>
      <c r="P56" s="307" t="n"/>
      <c r="Q56" s="307" t="n"/>
      <c r="R56" s="307" t="n"/>
      <c r="S56" s="307" t="n"/>
      <c r="T56" s="307" t="n"/>
      <c r="U56" s="307" t="n"/>
      <c r="V56" s="307" t="n"/>
      <c r="W56" s="307" t="n"/>
      <c r="X56" s="307" t="n"/>
      <c r="Y56" s="307" t="n"/>
      <c r="Z56" s="307" t="n"/>
      <c r="AA56" s="307" t="n"/>
      <c r="AB56" s="307" t="n"/>
      <c r="AC56" s="307" t="n"/>
      <c r="AD56" s="307" t="n"/>
      <c r="AE56" s="307" t="n"/>
      <c r="AF56" s="307" t="n"/>
      <c r="AG56" s="307" t="n"/>
      <c r="AH56" s="307" t="n"/>
      <c r="AI56" s="307" t="n"/>
      <c r="AJ56" s="307" t="n"/>
      <c r="AK56" s="307" t="n"/>
      <c r="AL56" s="307" t="n"/>
      <c r="AM56" s="307" t="n"/>
      <c r="AN56" s="307" t="n"/>
      <c r="AO56" s="307" t="n"/>
      <c r="AP56" s="307" t="n"/>
      <c r="AQ56" s="307" t="n"/>
      <c r="AR56" s="307" t="n"/>
      <c r="AS56" s="307" t="n"/>
      <c r="AT56" s="307" t="n"/>
    </row>
    <row r="57" ht="15.75" customHeight="1" s="349">
      <c r="A57" s="307" t="n"/>
      <c r="B57" s="307" t="n"/>
      <c r="C57" s="307" t="n"/>
      <c r="D57" s="307" t="n"/>
      <c r="E57" s="307" t="n"/>
      <c r="F57" s="307" t="n"/>
      <c r="G57" s="307" t="n"/>
      <c r="H57" s="307" t="n"/>
      <c r="I57" s="307" t="n"/>
      <c r="J57" s="307" t="n"/>
      <c r="K57" s="307" t="n"/>
      <c r="L57" s="307" t="n"/>
      <c r="M57" s="307" t="n"/>
      <c r="N57" s="307" t="n"/>
      <c r="O57" s="307" t="n"/>
      <c r="P57" s="307" t="n"/>
      <c r="Q57" s="307" t="n"/>
      <c r="R57" s="307" t="n"/>
      <c r="S57" s="307" t="n"/>
      <c r="T57" s="307" t="n"/>
      <c r="U57" s="307" t="n"/>
      <c r="V57" s="307" t="n"/>
      <c r="W57" s="307" t="n"/>
      <c r="X57" s="307" t="n"/>
      <c r="Y57" s="307" t="n"/>
      <c r="Z57" s="307" t="n"/>
      <c r="AA57" s="307" t="n"/>
      <c r="AB57" s="307" t="n"/>
      <c r="AC57" s="307" t="n"/>
      <c r="AD57" s="307" t="n"/>
      <c r="AE57" s="307" t="n"/>
      <c r="AF57" s="307" t="n"/>
      <c r="AG57" s="307" t="n"/>
      <c r="AH57" s="307" t="n"/>
      <c r="AI57" s="307" t="n"/>
      <c r="AJ57" s="307" t="n"/>
      <c r="AK57" s="307" t="n"/>
      <c r="AL57" s="307" t="n"/>
      <c r="AM57" s="307" t="n"/>
      <c r="AN57" s="307" t="n"/>
      <c r="AO57" s="307" t="n"/>
      <c r="AP57" s="307" t="n"/>
      <c r="AQ57" s="307" t="n"/>
      <c r="AR57" s="307" t="n"/>
      <c r="AS57" s="307" t="n"/>
      <c r="AT57" s="307" t="n"/>
    </row>
    <row r="58" ht="15.75" customHeight="1" s="349">
      <c r="A58" s="307" t="n"/>
      <c r="B58" s="307" t="n"/>
      <c r="C58" s="307" t="n"/>
      <c r="D58" s="307" t="n"/>
      <c r="E58" s="307" t="n"/>
      <c r="F58" s="307" t="n"/>
      <c r="G58" s="307" t="n"/>
      <c r="H58" s="307" t="n"/>
      <c r="I58" s="307" t="n"/>
      <c r="J58" s="307" t="n"/>
      <c r="K58" s="307" t="n"/>
      <c r="L58" s="307" t="n"/>
      <c r="M58" s="307" t="n"/>
      <c r="N58" s="307" t="n"/>
      <c r="O58" s="307" t="n"/>
      <c r="P58" s="307" t="n"/>
      <c r="Q58" s="307" t="n"/>
      <c r="R58" s="307" t="n"/>
      <c r="S58" s="307" t="n"/>
      <c r="T58" s="307" t="n"/>
      <c r="U58" s="307" t="n"/>
      <c r="V58" s="307" t="n"/>
      <c r="W58" s="307" t="n"/>
      <c r="X58" s="307" t="n"/>
      <c r="Y58" s="307" t="n"/>
      <c r="Z58" s="307" t="n"/>
      <c r="AA58" s="307" t="n"/>
      <c r="AB58" s="307" t="n"/>
      <c r="AC58" s="307" t="n"/>
      <c r="AD58" s="307" t="n"/>
      <c r="AE58" s="307" t="n"/>
      <c r="AF58" s="307" t="n"/>
      <c r="AG58" s="307" t="n"/>
      <c r="AH58" s="307" t="n"/>
      <c r="AI58" s="307" t="n"/>
      <c r="AJ58" s="307" t="n"/>
      <c r="AK58" s="307" t="n"/>
      <c r="AL58" s="307" t="n"/>
      <c r="AM58" s="307" t="n"/>
      <c r="AN58" s="307" t="n"/>
      <c r="AO58" s="307" t="n"/>
      <c r="AP58" s="307" t="n"/>
      <c r="AQ58" s="307" t="n"/>
      <c r="AR58" s="307" t="n"/>
      <c r="AS58" s="307" t="n"/>
      <c r="AT58" s="307" t="n"/>
    </row>
    <row r="59" ht="15.75" customHeight="1" s="349">
      <c r="A59" s="307" t="n"/>
      <c r="B59" s="307" t="n"/>
      <c r="C59" s="307" t="n"/>
      <c r="D59" s="307" t="n"/>
      <c r="E59" s="307" t="n"/>
      <c r="F59" s="307" t="n"/>
      <c r="G59" s="307" t="n"/>
      <c r="H59" s="307" t="n"/>
      <c r="I59" s="307" t="n"/>
      <c r="J59" s="307" t="n"/>
      <c r="K59" s="307" t="n"/>
      <c r="L59" s="307" t="n"/>
      <c r="M59" s="307" t="n"/>
      <c r="N59" s="307" t="n"/>
      <c r="O59" s="307" t="n"/>
      <c r="P59" s="307" t="n"/>
      <c r="Q59" s="307" t="n"/>
      <c r="R59" s="307" t="n"/>
      <c r="S59" s="307" t="n"/>
      <c r="T59" s="307" t="n"/>
      <c r="U59" s="307" t="n"/>
      <c r="V59" s="307" t="n"/>
      <c r="W59" s="307" t="n"/>
      <c r="X59" s="307" t="n"/>
      <c r="Y59" s="307" t="n"/>
      <c r="Z59" s="307" t="n"/>
      <c r="AA59" s="307" t="n"/>
      <c r="AB59" s="307" t="n"/>
      <c r="AC59" s="307" t="n"/>
      <c r="AD59" s="307" t="n"/>
      <c r="AE59" s="307" t="n"/>
      <c r="AF59" s="307" t="n"/>
      <c r="AG59" s="307" t="n"/>
      <c r="AH59" s="307" t="n"/>
      <c r="AI59" s="307" t="n"/>
      <c r="AJ59" s="307" t="n"/>
      <c r="AK59" s="307" t="n"/>
      <c r="AL59" s="307" t="n"/>
      <c r="AM59" s="307" t="n"/>
      <c r="AN59" s="307" t="n"/>
      <c r="AO59" s="307" t="n"/>
      <c r="AP59" s="307" t="n"/>
      <c r="AQ59" s="307" t="n"/>
      <c r="AR59" s="307" t="n"/>
      <c r="AS59" s="307" t="n"/>
      <c r="AT59" s="307" t="n"/>
    </row>
    <row r="60" ht="15.75" customHeight="1" s="349">
      <c r="A60" s="307" t="n"/>
      <c r="B60" s="307" t="n"/>
      <c r="C60" s="307" t="n"/>
      <c r="D60" s="307" t="n"/>
      <c r="E60" s="307" t="n"/>
      <c r="F60" s="307" t="n"/>
      <c r="G60" s="307" t="n"/>
      <c r="H60" s="307" t="n"/>
      <c r="I60" s="307" t="n"/>
      <c r="J60" s="307" t="n"/>
      <c r="K60" s="307" t="n"/>
      <c r="L60" s="307" t="n"/>
      <c r="M60" s="307" t="n"/>
      <c r="N60" s="307" t="n"/>
      <c r="O60" s="307" t="n"/>
      <c r="P60" s="307" t="n"/>
      <c r="Q60" s="307" t="n"/>
      <c r="R60" s="307" t="n"/>
      <c r="S60" s="307" t="n"/>
      <c r="T60" s="307" t="n"/>
      <c r="U60" s="307" t="n"/>
      <c r="V60" s="307" t="n"/>
      <c r="W60" s="307" t="n"/>
      <c r="X60" s="307" t="n"/>
      <c r="Y60" s="307" t="n"/>
      <c r="Z60" s="307" t="n"/>
      <c r="AA60" s="307" t="n"/>
      <c r="AB60" s="307" t="n"/>
      <c r="AC60" s="307" t="n"/>
      <c r="AD60" s="307" t="n"/>
      <c r="AE60" s="307" t="n"/>
      <c r="AF60" s="307" t="n"/>
      <c r="AG60" s="307" t="n"/>
      <c r="AH60" s="307" t="n"/>
      <c r="AI60" s="307" t="n"/>
      <c r="AJ60" s="307" t="n"/>
      <c r="AK60" s="307" t="n"/>
      <c r="AL60" s="307" t="n"/>
      <c r="AM60" s="307" t="n"/>
      <c r="AN60" s="307" t="n"/>
      <c r="AO60" s="307" t="n"/>
      <c r="AP60" s="307" t="n"/>
      <c r="AQ60" s="307" t="n"/>
      <c r="AR60" s="307" t="n"/>
      <c r="AS60" s="307" t="n"/>
      <c r="AT60" s="307" t="n"/>
    </row>
    <row r="61" ht="15.75" customHeight="1" s="349">
      <c r="A61" s="307" t="n"/>
      <c r="B61" s="307" t="n"/>
      <c r="C61" s="307" t="n"/>
      <c r="D61" s="307" t="n"/>
      <c r="E61" s="307" t="n"/>
      <c r="F61" s="307" t="n"/>
      <c r="G61" s="307" t="n"/>
      <c r="H61" s="307" t="n"/>
      <c r="I61" s="307" t="n"/>
      <c r="J61" s="307" t="n"/>
      <c r="K61" s="307" t="n"/>
      <c r="L61" s="307" t="n"/>
      <c r="M61" s="307" t="n"/>
      <c r="N61" s="307" t="n"/>
      <c r="O61" s="307" t="n"/>
      <c r="P61" s="307" t="n"/>
      <c r="Q61" s="307" t="n"/>
      <c r="R61" s="307" t="n"/>
      <c r="S61" s="307" t="n"/>
      <c r="T61" s="307" t="n"/>
      <c r="U61" s="307" t="n"/>
      <c r="V61" s="307" t="n"/>
      <c r="W61" s="307" t="n"/>
      <c r="X61" s="307" t="n"/>
      <c r="Y61" s="307" t="n"/>
      <c r="Z61" s="307" t="n"/>
      <c r="AA61" s="307" t="n"/>
      <c r="AB61" s="307" t="n"/>
      <c r="AC61" s="307" t="n"/>
      <c r="AD61" s="307" t="n"/>
      <c r="AE61" s="307" t="n"/>
      <c r="AF61" s="307" t="n"/>
      <c r="AG61" s="307" t="n"/>
      <c r="AH61" s="307" t="n"/>
      <c r="AI61" s="307" t="n"/>
      <c r="AJ61" s="307" t="n"/>
      <c r="AK61" s="307" t="n"/>
      <c r="AL61" s="307" t="n"/>
      <c r="AM61" s="307" t="n"/>
      <c r="AN61" s="307" t="n"/>
      <c r="AO61" s="307" t="n"/>
      <c r="AP61" s="307" t="n"/>
      <c r="AQ61" s="307" t="n"/>
      <c r="AR61" s="307" t="n"/>
      <c r="AS61" s="307" t="n"/>
      <c r="AT61" s="307" t="n"/>
    </row>
    <row r="62" ht="15.75" customHeight="1" s="349">
      <c r="A62" s="307" t="n"/>
      <c r="B62" s="307" t="n"/>
      <c r="C62" s="307" t="n"/>
      <c r="D62" s="307" t="n"/>
      <c r="E62" s="307" t="n"/>
      <c r="F62" s="307" t="n"/>
      <c r="G62" s="307" t="n"/>
      <c r="H62" s="307" t="n"/>
      <c r="I62" s="307" t="n"/>
      <c r="J62" s="307" t="n"/>
      <c r="K62" s="307" t="n"/>
      <c r="L62" s="307" t="n"/>
      <c r="M62" s="307" t="n"/>
      <c r="N62" s="307" t="n"/>
      <c r="O62" s="307" t="n"/>
      <c r="P62" s="307" t="n"/>
      <c r="Q62" s="307" t="n"/>
      <c r="R62" s="307" t="n"/>
      <c r="S62" s="307" t="n"/>
      <c r="T62" s="307" t="n"/>
      <c r="U62" s="307" t="n"/>
      <c r="V62" s="307" t="n"/>
      <c r="W62" s="307" t="n"/>
      <c r="X62" s="307" t="n"/>
      <c r="Y62" s="307" t="n"/>
      <c r="Z62" s="307" t="n"/>
      <c r="AA62" s="307" t="n"/>
      <c r="AB62" s="307" t="n"/>
      <c r="AC62" s="307" t="n"/>
      <c r="AD62" s="307" t="n"/>
      <c r="AE62" s="307" t="n"/>
      <c r="AF62" s="307" t="n"/>
      <c r="AG62" s="307" t="n"/>
      <c r="AH62" s="307" t="n"/>
      <c r="AI62" s="307" t="n"/>
      <c r="AJ62" s="307" t="n"/>
      <c r="AK62" s="307" t="n"/>
      <c r="AL62" s="307" t="n"/>
      <c r="AM62" s="307" t="n"/>
      <c r="AN62" s="307" t="n"/>
      <c r="AO62" s="307" t="n"/>
      <c r="AP62" s="307" t="n"/>
      <c r="AQ62" s="307" t="n"/>
      <c r="AR62" s="307" t="n"/>
      <c r="AS62" s="307" t="n"/>
      <c r="AT62" s="307" t="n"/>
    </row>
    <row r="63" ht="15.75" customHeight="1" s="349">
      <c r="A63" s="307" t="n"/>
      <c r="B63" s="307" t="n"/>
      <c r="C63" s="307" t="n"/>
      <c r="D63" s="307" t="n"/>
      <c r="E63" s="307" t="n"/>
      <c r="F63" s="307" t="n"/>
      <c r="G63" s="307" t="n"/>
      <c r="H63" s="307" t="n"/>
      <c r="I63" s="307" t="n"/>
      <c r="J63" s="307" t="n"/>
      <c r="K63" s="307" t="n"/>
      <c r="L63" s="307" t="n"/>
      <c r="M63" s="307" t="n"/>
      <c r="N63" s="307" t="n"/>
      <c r="O63" s="307" t="n"/>
      <c r="P63" s="307" t="n"/>
      <c r="Q63" s="307" t="n"/>
      <c r="R63" s="307" t="n"/>
      <c r="S63" s="307" t="n"/>
      <c r="T63" s="307" t="n"/>
      <c r="U63" s="307" t="n"/>
      <c r="V63" s="307" t="n"/>
      <c r="W63" s="307" t="n"/>
      <c r="X63" s="307" t="n"/>
      <c r="Y63" s="307" t="n"/>
      <c r="Z63" s="307" t="n"/>
      <c r="AA63" s="307" t="n"/>
      <c r="AB63" s="307" t="n"/>
      <c r="AC63" s="307" t="n"/>
      <c r="AD63" s="307" t="n"/>
      <c r="AE63" s="307" t="n"/>
      <c r="AF63" s="307" t="n"/>
      <c r="AG63" s="307" t="n"/>
      <c r="AH63" s="307" t="n"/>
      <c r="AI63" s="307" t="n"/>
      <c r="AJ63" s="307" t="n"/>
      <c r="AK63" s="307" t="n"/>
      <c r="AL63" s="307" t="n"/>
      <c r="AM63" s="307" t="n"/>
      <c r="AN63" s="307" t="n"/>
      <c r="AO63" s="307" t="n"/>
      <c r="AP63" s="307" t="n"/>
      <c r="AQ63" s="307" t="n"/>
      <c r="AR63" s="307" t="n"/>
      <c r="AS63" s="307" t="n"/>
      <c r="AT63" s="307" t="n"/>
    </row>
    <row r="64" ht="15.75" customHeight="1" s="349">
      <c r="A64" s="307" t="n"/>
      <c r="B64" s="307" t="n"/>
      <c r="C64" s="307" t="n"/>
      <c r="D64" s="307" t="n"/>
      <c r="E64" s="307" t="n"/>
      <c r="F64" s="307" t="n"/>
      <c r="G64" s="307" t="n"/>
      <c r="H64" s="307" t="n"/>
      <c r="I64" s="307" t="n"/>
      <c r="J64" s="307" t="n"/>
      <c r="K64" s="307" t="n"/>
      <c r="L64" s="307" t="n"/>
      <c r="M64" s="307" t="n"/>
      <c r="N64" s="307" t="n"/>
      <c r="O64" s="307" t="n"/>
      <c r="P64" s="307" t="n"/>
      <c r="Q64" s="307" t="n"/>
      <c r="R64" s="307" t="n"/>
      <c r="S64" s="307" t="n"/>
      <c r="T64" s="307" t="n"/>
      <c r="U64" s="307" t="n"/>
      <c r="V64" s="307" t="n"/>
      <c r="W64" s="307" t="n"/>
      <c r="X64" s="307" t="n"/>
      <c r="Y64" s="307" t="n"/>
      <c r="Z64" s="307" t="n"/>
      <c r="AA64" s="307" t="n"/>
      <c r="AB64" s="307" t="n"/>
      <c r="AC64" s="307" t="n"/>
      <c r="AD64" s="307" t="n"/>
      <c r="AE64" s="307" t="n"/>
      <c r="AF64" s="307" t="n"/>
      <c r="AG64" s="307" t="n"/>
      <c r="AH64" s="307" t="n"/>
      <c r="AI64" s="307" t="n"/>
      <c r="AJ64" s="307" t="n"/>
      <c r="AK64" s="307" t="n"/>
      <c r="AL64" s="307" t="n"/>
      <c r="AM64" s="307" t="n"/>
      <c r="AN64" s="307" t="n"/>
      <c r="AO64" s="307" t="n"/>
      <c r="AP64" s="307" t="n"/>
      <c r="AQ64" s="307" t="n"/>
      <c r="AR64" s="307" t="n"/>
      <c r="AS64" s="307" t="n"/>
      <c r="AT64" s="307" t="n"/>
    </row>
    <row r="65" ht="15.75" customHeight="1" s="349">
      <c r="A65" s="307" t="n"/>
      <c r="B65" s="307" t="n"/>
      <c r="C65" s="307" t="n"/>
      <c r="D65" s="307" t="n"/>
      <c r="E65" s="307" t="n"/>
      <c r="F65" s="307" t="n"/>
      <c r="G65" s="307" t="n"/>
      <c r="H65" s="307" t="n"/>
      <c r="I65" s="307" t="n"/>
      <c r="J65" s="307" t="n"/>
      <c r="K65" s="307" t="n"/>
      <c r="L65" s="307" t="n"/>
      <c r="M65" s="307" t="n"/>
      <c r="N65" s="307" t="n"/>
      <c r="O65" s="307" t="n"/>
      <c r="P65" s="307" t="n"/>
      <c r="Q65" s="307" t="n"/>
      <c r="R65" s="307" t="n"/>
      <c r="S65" s="307" t="n"/>
      <c r="T65" s="307" t="n"/>
      <c r="U65" s="307" t="n"/>
      <c r="V65" s="307" t="n"/>
      <c r="W65" s="307" t="n"/>
      <c r="X65" s="307" t="n"/>
      <c r="Y65" s="307" t="n"/>
      <c r="Z65" s="307" t="n"/>
      <c r="AA65" s="307" t="n"/>
      <c r="AB65" s="307" t="n"/>
      <c r="AC65" s="307" t="n"/>
      <c r="AD65" s="307" t="n"/>
      <c r="AE65" s="307" t="n"/>
      <c r="AF65" s="307" t="n"/>
      <c r="AG65" s="307" t="n"/>
      <c r="AH65" s="307" t="n"/>
      <c r="AI65" s="307" t="n"/>
      <c r="AJ65" s="307" t="n"/>
      <c r="AK65" s="307" t="n"/>
      <c r="AL65" s="307" t="n"/>
      <c r="AM65" s="307" t="n"/>
      <c r="AN65" s="307" t="n"/>
      <c r="AO65" s="307" t="n"/>
      <c r="AP65" s="307" t="n"/>
      <c r="AQ65" s="307" t="n"/>
      <c r="AR65" s="307" t="n"/>
      <c r="AS65" s="307" t="n"/>
      <c r="AT65" s="307" t="n"/>
    </row>
    <row r="66" ht="15.75" customHeight="1" s="349">
      <c r="A66" s="307" t="n"/>
      <c r="B66" s="307" t="n"/>
      <c r="C66" s="307" t="n"/>
      <c r="D66" s="307" t="n"/>
      <c r="E66" s="307" t="n"/>
      <c r="F66" s="307" t="n"/>
      <c r="G66" s="307" t="n"/>
      <c r="H66" s="307" t="n"/>
      <c r="I66" s="307" t="n"/>
      <c r="J66" s="307" t="n"/>
      <c r="K66" s="307" t="n"/>
      <c r="L66" s="307" t="n"/>
      <c r="M66" s="307" t="n"/>
      <c r="N66" s="307" t="n"/>
      <c r="O66" s="307" t="n"/>
      <c r="P66" s="307" t="n"/>
      <c r="Q66" s="307" t="n"/>
      <c r="R66" s="307" t="n"/>
      <c r="S66" s="307" t="n"/>
      <c r="T66" s="307" t="n"/>
      <c r="U66" s="307" t="n"/>
      <c r="V66" s="307" t="n"/>
      <c r="W66" s="307" t="n"/>
      <c r="X66" s="307" t="n"/>
      <c r="Y66" s="307" t="n"/>
      <c r="Z66" s="307" t="n"/>
      <c r="AA66" s="307" t="n"/>
      <c r="AB66" s="307" t="n"/>
      <c r="AC66" s="307" t="n"/>
      <c r="AD66" s="307" t="n"/>
      <c r="AE66" s="307" t="n"/>
      <c r="AF66" s="307" t="n"/>
      <c r="AG66" s="307" t="n"/>
      <c r="AH66" s="307" t="n"/>
      <c r="AI66" s="307" t="n"/>
      <c r="AJ66" s="307" t="n"/>
      <c r="AK66" s="307" t="n"/>
      <c r="AL66" s="307" t="n"/>
      <c r="AM66" s="307" t="n"/>
      <c r="AN66" s="307" t="n"/>
      <c r="AO66" s="307" t="n"/>
      <c r="AP66" s="307" t="n"/>
      <c r="AQ66" s="307" t="n"/>
      <c r="AR66" s="307" t="n"/>
      <c r="AS66" s="307" t="n"/>
      <c r="AT66" s="307" t="n"/>
    </row>
    <row r="67" ht="15.75" customHeight="1" s="349">
      <c r="A67" s="307" t="n"/>
      <c r="B67" s="307" t="n"/>
      <c r="C67" s="307" t="n"/>
      <c r="D67" s="307" t="n"/>
      <c r="E67" s="307" t="n"/>
      <c r="F67" s="307" t="n"/>
      <c r="G67" s="307" t="n"/>
      <c r="H67" s="307" t="n"/>
      <c r="I67" s="307" t="n"/>
      <c r="J67" s="307" t="n"/>
      <c r="K67" s="307" t="n"/>
      <c r="L67" s="307" t="n"/>
      <c r="M67" s="307" t="n"/>
      <c r="N67" s="307" t="n"/>
      <c r="O67" s="307" t="n"/>
      <c r="P67" s="307" t="n"/>
      <c r="Q67" s="307" t="n"/>
      <c r="R67" s="307" t="n"/>
      <c r="S67" s="307" t="n"/>
      <c r="T67" s="307" t="n"/>
      <c r="U67" s="307" t="n"/>
      <c r="V67" s="307" t="n"/>
      <c r="W67" s="307" t="n"/>
      <c r="X67" s="307" t="n"/>
      <c r="Y67" s="307" t="n"/>
      <c r="Z67" s="307" t="n"/>
      <c r="AA67" s="307" t="n"/>
      <c r="AB67" s="307" t="n"/>
      <c r="AC67" s="307" t="n"/>
      <c r="AD67" s="307" t="n"/>
      <c r="AE67" s="307" t="n"/>
      <c r="AF67" s="307" t="n"/>
      <c r="AG67" s="307" t="n"/>
      <c r="AH67" s="307" t="n"/>
      <c r="AI67" s="307" t="n"/>
      <c r="AJ67" s="307" t="n"/>
      <c r="AK67" s="307" t="n"/>
      <c r="AL67" s="307" t="n"/>
      <c r="AM67" s="307" t="n"/>
      <c r="AN67" s="307" t="n"/>
      <c r="AO67" s="307" t="n"/>
      <c r="AP67" s="307" t="n"/>
      <c r="AQ67" s="307" t="n"/>
      <c r="AR67" s="307" t="n"/>
      <c r="AS67" s="307" t="n"/>
      <c r="AT67" s="307" t="n"/>
    </row>
    <row r="68" ht="15.75" customHeight="1" s="349">
      <c r="A68" s="307" t="n"/>
      <c r="B68" s="307" t="n"/>
      <c r="C68" s="307" t="n"/>
      <c r="D68" s="307" t="n"/>
      <c r="E68" s="307" t="n"/>
      <c r="F68" s="307" t="n"/>
      <c r="G68" s="307" t="n"/>
      <c r="H68" s="307" t="n"/>
      <c r="I68" s="307" t="n"/>
      <c r="J68" s="307" t="n"/>
      <c r="K68" s="307" t="n"/>
      <c r="L68" s="307" t="n"/>
      <c r="M68" s="307" t="n"/>
      <c r="N68" s="307" t="n"/>
      <c r="O68" s="307" t="n"/>
      <c r="P68" s="307" t="n"/>
      <c r="Q68" s="307" t="n"/>
      <c r="R68" s="307" t="n"/>
      <c r="S68" s="307" t="n"/>
      <c r="T68" s="307" t="n"/>
      <c r="U68" s="307" t="n"/>
      <c r="V68" s="307" t="n"/>
      <c r="W68" s="307" t="n"/>
      <c r="X68" s="307" t="n"/>
      <c r="Y68" s="307" t="n"/>
      <c r="Z68" s="307" t="n"/>
      <c r="AA68" s="307" t="n"/>
      <c r="AB68" s="307" t="n"/>
      <c r="AC68" s="307" t="n"/>
      <c r="AD68" s="307" t="n"/>
      <c r="AE68" s="307" t="n"/>
      <c r="AF68" s="307" t="n"/>
      <c r="AG68" s="307" t="n"/>
      <c r="AH68" s="307" t="n"/>
      <c r="AI68" s="307" t="n"/>
      <c r="AJ68" s="307" t="n"/>
      <c r="AK68" s="307" t="n"/>
      <c r="AL68" s="307" t="n"/>
      <c r="AM68" s="307" t="n"/>
      <c r="AN68" s="307" t="n"/>
      <c r="AO68" s="307" t="n"/>
      <c r="AP68" s="307" t="n"/>
      <c r="AQ68" s="307" t="n"/>
      <c r="AR68" s="307" t="n"/>
      <c r="AS68" s="307" t="n"/>
      <c r="AT68" s="307" t="n"/>
    </row>
    <row r="69" ht="15.75" customHeight="1" s="349">
      <c r="A69" s="307" t="n"/>
      <c r="B69" s="307" t="n"/>
      <c r="C69" s="307" t="n"/>
      <c r="D69" s="307" t="n"/>
      <c r="E69" s="307" t="n"/>
      <c r="F69" s="307" t="n"/>
      <c r="G69" s="307" t="n"/>
      <c r="H69" s="307" t="n"/>
      <c r="I69" s="307" t="n"/>
      <c r="J69" s="307" t="n"/>
      <c r="K69" s="307" t="n"/>
      <c r="L69" s="307" t="n"/>
      <c r="M69" s="307" t="n"/>
      <c r="N69" s="307" t="n"/>
      <c r="O69" s="307" t="n"/>
      <c r="P69" s="307" t="n"/>
      <c r="Q69" s="307" t="n"/>
      <c r="R69" s="307" t="n"/>
      <c r="S69" s="307" t="n"/>
      <c r="T69" s="307" t="n"/>
      <c r="U69" s="307" t="n"/>
      <c r="V69" s="307" t="n"/>
      <c r="W69" s="307" t="n"/>
      <c r="X69" s="307" t="n"/>
      <c r="Y69" s="307" t="n"/>
      <c r="Z69" s="307" t="n"/>
      <c r="AA69" s="307" t="n"/>
      <c r="AB69" s="307" t="n"/>
      <c r="AC69" s="307" t="n"/>
      <c r="AD69" s="307" t="n"/>
      <c r="AE69" s="307" t="n"/>
      <c r="AF69" s="307" t="n"/>
      <c r="AG69" s="307" t="n"/>
      <c r="AH69" s="307" t="n"/>
      <c r="AI69" s="307" t="n"/>
      <c r="AJ69" s="307" t="n"/>
      <c r="AK69" s="307" t="n"/>
      <c r="AL69" s="307" t="n"/>
      <c r="AM69" s="307" t="n"/>
      <c r="AN69" s="307" t="n"/>
      <c r="AO69" s="307" t="n"/>
      <c r="AP69" s="307" t="n"/>
      <c r="AQ69" s="307" t="n"/>
      <c r="AR69" s="307" t="n"/>
      <c r="AS69" s="307" t="n"/>
      <c r="AT69" s="307" t="n"/>
    </row>
    <row r="70" ht="15.75" customHeight="1" s="349">
      <c r="A70" s="307" t="n"/>
      <c r="B70" s="307" t="n"/>
      <c r="C70" s="307" t="n"/>
      <c r="D70" s="307" t="n"/>
      <c r="E70" s="307" t="n"/>
      <c r="F70" s="307" t="n"/>
      <c r="G70" s="307" t="n"/>
      <c r="H70" s="307" t="n"/>
      <c r="I70" s="307" t="n"/>
      <c r="J70" s="307" t="n"/>
      <c r="K70" s="307" t="n"/>
      <c r="L70" s="307" t="n"/>
      <c r="M70" s="307" t="n"/>
      <c r="N70" s="307" t="n"/>
      <c r="O70" s="307" t="n"/>
      <c r="P70" s="307" t="n"/>
      <c r="Q70" s="307" t="n"/>
      <c r="R70" s="307" t="n"/>
      <c r="S70" s="307" t="n"/>
      <c r="T70" s="307" t="n"/>
      <c r="U70" s="307" t="n"/>
      <c r="V70" s="307" t="n"/>
      <c r="W70" s="307" t="n"/>
      <c r="X70" s="307" t="n"/>
      <c r="Y70" s="307" t="n"/>
      <c r="Z70" s="307" t="n"/>
      <c r="AA70" s="307" t="n"/>
      <c r="AB70" s="307" t="n"/>
      <c r="AC70" s="307" t="n"/>
      <c r="AD70" s="307" t="n"/>
      <c r="AE70" s="307" t="n"/>
      <c r="AF70" s="307" t="n"/>
      <c r="AG70" s="307" t="n"/>
      <c r="AH70" s="307" t="n"/>
      <c r="AI70" s="307" t="n"/>
      <c r="AJ70" s="307" t="n"/>
      <c r="AK70" s="307" t="n"/>
      <c r="AL70" s="307" t="n"/>
      <c r="AM70" s="307" t="n"/>
      <c r="AN70" s="307" t="n"/>
      <c r="AO70" s="307" t="n"/>
      <c r="AP70" s="307" t="n"/>
      <c r="AQ70" s="307" t="n"/>
      <c r="AR70" s="307" t="n"/>
      <c r="AS70" s="307" t="n"/>
      <c r="AT70" s="307" t="n"/>
    </row>
    <row r="71" ht="15.75" customHeight="1" s="349">
      <c r="A71" s="307" t="n"/>
      <c r="B71" s="307" t="n"/>
      <c r="C71" s="307" t="n"/>
      <c r="D71" s="307" t="n"/>
      <c r="E71" s="307" t="n"/>
      <c r="F71" s="307" t="n"/>
      <c r="G71" s="307" t="n"/>
      <c r="H71" s="307" t="n"/>
      <c r="I71" s="307" t="n"/>
      <c r="J71" s="307" t="n"/>
      <c r="K71" s="307" t="n"/>
      <c r="L71" s="307" t="n"/>
      <c r="M71" s="307" t="n"/>
      <c r="N71" s="307" t="n"/>
      <c r="O71" s="307" t="n"/>
      <c r="P71" s="307" t="n"/>
      <c r="Q71" s="307" t="n"/>
      <c r="R71" s="307" t="n"/>
      <c r="S71" s="307" t="n"/>
      <c r="T71" s="307" t="n"/>
      <c r="U71" s="307" t="n"/>
      <c r="V71" s="307" t="n"/>
      <c r="W71" s="307" t="n"/>
      <c r="X71" s="307" t="n"/>
      <c r="Y71" s="307" t="n"/>
      <c r="Z71" s="307" t="n"/>
      <c r="AA71" s="307" t="n"/>
      <c r="AB71" s="307" t="n"/>
      <c r="AC71" s="307" t="n"/>
      <c r="AD71" s="307" t="n"/>
      <c r="AE71" s="307" t="n"/>
      <c r="AF71" s="307" t="n"/>
      <c r="AG71" s="307" t="n"/>
      <c r="AH71" s="307" t="n"/>
      <c r="AI71" s="307" t="n"/>
      <c r="AJ71" s="307" t="n"/>
      <c r="AK71" s="307" t="n"/>
      <c r="AL71" s="307" t="n"/>
      <c r="AM71" s="307" t="n"/>
      <c r="AN71" s="307" t="n"/>
      <c r="AO71" s="307" t="n"/>
      <c r="AP71" s="307" t="n"/>
      <c r="AQ71" s="307" t="n"/>
      <c r="AR71" s="307" t="n"/>
      <c r="AS71" s="307" t="n"/>
      <c r="AT71" s="307" t="n"/>
    </row>
    <row r="72" ht="15.75" customHeight="1" s="349">
      <c r="A72" s="307" t="n"/>
      <c r="B72" s="307" t="n"/>
      <c r="C72" s="307" t="n"/>
      <c r="D72" s="307" t="n"/>
      <c r="E72" s="307" t="n"/>
      <c r="F72" s="307" t="n"/>
      <c r="G72" s="307" t="n"/>
      <c r="H72" s="307" t="n"/>
      <c r="I72" s="307" t="n"/>
      <c r="J72" s="307" t="n"/>
      <c r="K72" s="307" t="n"/>
      <c r="L72" s="307" t="n"/>
      <c r="M72" s="307" t="n"/>
      <c r="N72" s="307" t="n"/>
      <c r="O72" s="307" t="n"/>
      <c r="P72" s="307" t="n"/>
      <c r="Q72" s="307" t="n"/>
      <c r="R72" s="307" t="n"/>
      <c r="S72" s="307" t="n"/>
      <c r="T72" s="307" t="n"/>
      <c r="U72" s="307" t="n"/>
      <c r="V72" s="307" t="n"/>
      <c r="W72" s="307" t="n"/>
      <c r="X72" s="307" t="n"/>
      <c r="Y72" s="307" t="n"/>
      <c r="Z72" s="307" t="n"/>
      <c r="AA72" s="307" t="n"/>
      <c r="AB72" s="307" t="n"/>
      <c r="AC72" s="307" t="n"/>
      <c r="AD72" s="307" t="n"/>
      <c r="AE72" s="307" t="n"/>
      <c r="AF72" s="307" t="n"/>
      <c r="AG72" s="307" t="n"/>
      <c r="AH72" s="307" t="n"/>
      <c r="AI72" s="307" t="n"/>
      <c r="AJ72" s="307" t="n"/>
      <c r="AK72" s="307" t="n"/>
      <c r="AL72" s="307" t="n"/>
      <c r="AM72" s="307" t="n"/>
      <c r="AN72" s="307" t="n"/>
      <c r="AO72" s="307" t="n"/>
      <c r="AP72" s="307" t="n"/>
      <c r="AQ72" s="307" t="n"/>
      <c r="AR72" s="307" t="n"/>
      <c r="AS72" s="307" t="n"/>
      <c r="AT72" s="307" t="n"/>
    </row>
    <row r="73" ht="15.75" customHeight="1" s="349">
      <c r="A73" s="307" t="n"/>
      <c r="B73" s="307" t="n"/>
      <c r="C73" s="307" t="n"/>
      <c r="D73" s="307" t="n"/>
      <c r="E73" s="307" t="n"/>
      <c r="F73" s="307" t="n"/>
      <c r="G73" s="307" t="n"/>
      <c r="H73" s="307" t="n"/>
      <c r="I73" s="307" t="n"/>
      <c r="J73" s="307" t="n"/>
      <c r="K73" s="307" t="n"/>
      <c r="L73" s="307" t="n"/>
      <c r="M73" s="307" t="n"/>
      <c r="N73" s="307" t="n"/>
      <c r="O73" s="307" t="n"/>
      <c r="P73" s="307" t="n"/>
      <c r="Q73" s="307" t="n"/>
      <c r="R73" s="307" t="n"/>
      <c r="S73" s="307" t="n"/>
      <c r="T73" s="307" t="n"/>
      <c r="U73" s="307" t="n"/>
      <c r="V73" s="307" t="n"/>
      <c r="W73" s="307" t="n"/>
      <c r="X73" s="307" t="n"/>
      <c r="Y73" s="307" t="n"/>
      <c r="Z73" s="307" t="n"/>
      <c r="AA73" s="307" t="n"/>
      <c r="AB73" s="307" t="n"/>
      <c r="AC73" s="307" t="n"/>
      <c r="AD73" s="307" t="n"/>
      <c r="AE73" s="307" t="n"/>
      <c r="AF73" s="307" t="n"/>
      <c r="AG73" s="307" t="n"/>
      <c r="AH73" s="307" t="n"/>
      <c r="AI73" s="307" t="n"/>
      <c r="AJ73" s="307" t="n"/>
      <c r="AK73" s="307" t="n"/>
      <c r="AL73" s="307" t="n"/>
      <c r="AM73" s="307" t="n"/>
      <c r="AN73" s="307" t="n"/>
      <c r="AO73" s="307" t="n"/>
      <c r="AP73" s="307" t="n"/>
      <c r="AQ73" s="307" t="n"/>
      <c r="AR73" s="307" t="n"/>
      <c r="AS73" s="307" t="n"/>
      <c r="AT73" s="307" t="n"/>
    </row>
    <row r="74" ht="15.75" customHeight="1" s="349">
      <c r="A74" s="307" t="n"/>
      <c r="B74" s="307" t="n"/>
      <c r="C74" s="307" t="n"/>
      <c r="D74" s="307" t="n"/>
      <c r="E74" s="307" t="n"/>
      <c r="F74" s="307" t="n"/>
      <c r="G74" s="307" t="n"/>
      <c r="H74" s="307" t="n"/>
      <c r="I74" s="307" t="n"/>
      <c r="J74" s="307" t="n"/>
      <c r="K74" s="307" t="n"/>
      <c r="L74" s="307" t="n"/>
      <c r="M74" s="307" t="n"/>
      <c r="N74" s="307" t="n"/>
      <c r="O74" s="307" t="n"/>
      <c r="P74" s="307" t="n"/>
      <c r="Q74" s="307" t="n"/>
      <c r="R74" s="307" t="n"/>
      <c r="S74" s="307" t="n"/>
      <c r="T74" s="307" t="n"/>
      <c r="U74" s="307" t="n"/>
      <c r="V74" s="307" t="n"/>
      <c r="W74" s="307" t="n"/>
      <c r="X74" s="307" t="n"/>
      <c r="Y74" s="307" t="n"/>
      <c r="Z74" s="307" t="n"/>
      <c r="AA74" s="307" t="n"/>
      <c r="AB74" s="307" t="n"/>
      <c r="AC74" s="307" t="n"/>
      <c r="AD74" s="307" t="n"/>
      <c r="AE74" s="307" t="n"/>
      <c r="AF74" s="307" t="n"/>
      <c r="AG74" s="307" t="n"/>
      <c r="AH74" s="307" t="n"/>
      <c r="AI74" s="307" t="n"/>
      <c r="AJ74" s="307" t="n"/>
      <c r="AK74" s="307" t="n"/>
      <c r="AL74" s="307" t="n"/>
      <c r="AM74" s="307" t="n"/>
      <c r="AN74" s="307" t="n"/>
      <c r="AO74" s="307" t="n"/>
      <c r="AP74" s="307" t="n"/>
      <c r="AQ74" s="307" t="n"/>
      <c r="AR74" s="307" t="n"/>
      <c r="AS74" s="307" t="n"/>
      <c r="AT74" s="307" t="n"/>
    </row>
    <row r="75" ht="15.75" customHeight="1" s="349">
      <c r="A75" s="307" t="n"/>
      <c r="B75" s="307" t="n"/>
      <c r="C75" s="307" t="n"/>
      <c r="D75" s="307" t="n"/>
      <c r="E75" s="307" t="n"/>
      <c r="F75" s="307" t="n"/>
      <c r="G75" s="307" t="n"/>
      <c r="H75" s="307" t="n"/>
      <c r="I75" s="307" t="n"/>
      <c r="J75" s="307" t="n"/>
      <c r="K75" s="307" t="n"/>
      <c r="L75" s="307" t="n"/>
      <c r="M75" s="307" t="n"/>
      <c r="N75" s="307" t="n"/>
      <c r="O75" s="307" t="n"/>
      <c r="P75" s="307" t="n"/>
      <c r="Q75" s="307" t="n"/>
      <c r="R75" s="307" t="n"/>
      <c r="S75" s="307" t="n"/>
      <c r="T75" s="307" t="n"/>
      <c r="U75" s="307" t="n"/>
      <c r="V75" s="307" t="n"/>
      <c r="W75" s="307" t="n"/>
      <c r="X75" s="307" t="n"/>
      <c r="Y75" s="307" t="n"/>
      <c r="Z75" s="307" t="n"/>
      <c r="AA75" s="307" t="n"/>
      <c r="AB75" s="307" t="n"/>
      <c r="AC75" s="307" t="n"/>
      <c r="AD75" s="307" t="n"/>
      <c r="AE75" s="307" t="n"/>
      <c r="AF75" s="307" t="n"/>
      <c r="AG75" s="307" t="n"/>
      <c r="AH75" s="307" t="n"/>
      <c r="AI75" s="307" t="n"/>
      <c r="AJ75" s="307" t="n"/>
      <c r="AK75" s="307" t="n"/>
      <c r="AL75" s="307" t="n"/>
      <c r="AM75" s="307" t="n"/>
      <c r="AN75" s="307" t="n"/>
      <c r="AO75" s="307" t="n"/>
      <c r="AP75" s="307" t="n"/>
      <c r="AQ75" s="307" t="n"/>
      <c r="AR75" s="307" t="n"/>
      <c r="AS75" s="307" t="n"/>
      <c r="AT75" s="307" t="n"/>
    </row>
    <row r="76" ht="15.75" customHeight="1" s="349">
      <c r="A76" s="307" t="n"/>
      <c r="B76" s="307" t="n"/>
      <c r="C76" s="307" t="n"/>
      <c r="D76" s="307" t="n"/>
      <c r="E76" s="307" t="n"/>
      <c r="F76" s="307" t="n"/>
      <c r="G76" s="307" t="n"/>
      <c r="H76" s="307" t="n"/>
      <c r="I76" s="307" t="n"/>
      <c r="J76" s="307" t="n"/>
      <c r="K76" s="307" t="n"/>
      <c r="L76" s="307" t="n"/>
      <c r="M76" s="307" t="n"/>
      <c r="N76" s="307" t="n"/>
      <c r="O76" s="307" t="n"/>
      <c r="P76" s="307" t="n"/>
      <c r="Q76" s="307" t="n"/>
      <c r="R76" s="307" t="n"/>
      <c r="S76" s="307" t="n"/>
      <c r="T76" s="307" t="n"/>
      <c r="U76" s="307" t="n"/>
      <c r="V76" s="307" t="n"/>
      <c r="W76" s="307" t="n"/>
      <c r="X76" s="307" t="n"/>
      <c r="Y76" s="307" t="n"/>
      <c r="Z76" s="307" t="n"/>
      <c r="AA76" s="307" t="n"/>
      <c r="AB76" s="307" t="n"/>
      <c r="AC76" s="307" t="n"/>
      <c r="AD76" s="307" t="n"/>
      <c r="AE76" s="307" t="n"/>
      <c r="AF76" s="307" t="n"/>
      <c r="AG76" s="307" t="n"/>
      <c r="AH76" s="307" t="n"/>
      <c r="AI76" s="307" t="n"/>
      <c r="AJ76" s="307" t="n"/>
      <c r="AK76" s="307" t="n"/>
      <c r="AL76" s="307" t="n"/>
      <c r="AM76" s="307" t="n"/>
      <c r="AN76" s="307" t="n"/>
      <c r="AO76" s="307" t="n"/>
      <c r="AP76" s="307" t="n"/>
      <c r="AQ76" s="307" t="n"/>
      <c r="AR76" s="307" t="n"/>
      <c r="AS76" s="307" t="n"/>
      <c r="AT76" s="307" t="n"/>
    </row>
    <row r="77" ht="15.75" customHeight="1" s="349">
      <c r="A77" s="307" t="n"/>
      <c r="B77" s="307" t="n"/>
      <c r="C77" s="307" t="n"/>
      <c r="D77" s="307" t="n"/>
      <c r="E77" s="307" t="n"/>
      <c r="F77" s="307" t="n"/>
      <c r="G77" s="307" t="n"/>
      <c r="H77" s="307" t="n"/>
      <c r="I77" s="307" t="n"/>
      <c r="J77" s="307" t="n"/>
      <c r="K77" s="307" t="n"/>
      <c r="L77" s="307" t="n"/>
      <c r="M77" s="307" t="n"/>
      <c r="N77" s="307" t="n"/>
      <c r="O77" s="307" t="n"/>
      <c r="P77" s="307" t="n"/>
      <c r="Q77" s="307" t="n"/>
      <c r="R77" s="307" t="n"/>
      <c r="S77" s="307" t="n"/>
      <c r="T77" s="307" t="n"/>
      <c r="U77" s="307" t="n"/>
      <c r="V77" s="307" t="n"/>
      <c r="W77" s="307" t="n"/>
      <c r="X77" s="307" t="n"/>
      <c r="Y77" s="307" t="n"/>
      <c r="Z77" s="307" t="n"/>
      <c r="AA77" s="307" t="n"/>
      <c r="AB77" s="307" t="n"/>
      <c r="AC77" s="307" t="n"/>
      <c r="AD77" s="307" t="n"/>
      <c r="AE77" s="307" t="n"/>
      <c r="AF77" s="307" t="n"/>
      <c r="AG77" s="307" t="n"/>
      <c r="AH77" s="307" t="n"/>
      <c r="AI77" s="307" t="n"/>
      <c r="AJ77" s="307" t="n"/>
      <c r="AK77" s="307" t="n"/>
      <c r="AL77" s="307" t="n"/>
      <c r="AM77" s="307" t="n"/>
      <c r="AN77" s="307" t="n"/>
      <c r="AO77" s="307" t="n"/>
      <c r="AP77" s="307" t="n"/>
      <c r="AQ77" s="307" t="n"/>
      <c r="AR77" s="307" t="n"/>
      <c r="AS77" s="307" t="n"/>
      <c r="AT77" s="307" t="n"/>
    </row>
    <row r="78" ht="15.75" customHeight="1" s="349">
      <c r="A78" s="307" t="n"/>
      <c r="B78" s="307" t="n"/>
      <c r="C78" s="307" t="n"/>
      <c r="D78" s="307" t="n"/>
      <c r="E78" s="307" t="n"/>
      <c r="F78" s="307" t="n"/>
      <c r="G78" s="307" t="n"/>
      <c r="H78" s="307" t="n"/>
      <c r="I78" s="307" t="n"/>
      <c r="J78" s="307" t="n"/>
      <c r="K78" s="307" t="n"/>
      <c r="L78" s="307" t="n"/>
      <c r="M78" s="307" t="n"/>
      <c r="N78" s="307" t="n"/>
      <c r="O78" s="307" t="n"/>
      <c r="P78" s="307" t="n"/>
      <c r="Q78" s="307" t="n"/>
      <c r="R78" s="307" t="n"/>
      <c r="S78" s="307" t="n"/>
      <c r="T78" s="307" t="n"/>
      <c r="U78" s="307" t="n"/>
      <c r="V78" s="307" t="n"/>
      <c r="W78" s="307" t="n"/>
      <c r="X78" s="307" t="n"/>
      <c r="Y78" s="307" t="n"/>
      <c r="Z78" s="307" t="n"/>
      <c r="AA78" s="307" t="n"/>
      <c r="AB78" s="307" t="n"/>
      <c r="AC78" s="307" t="n"/>
      <c r="AD78" s="307" t="n"/>
      <c r="AE78" s="307" t="n"/>
      <c r="AF78" s="307" t="n"/>
      <c r="AG78" s="307" t="n"/>
      <c r="AH78" s="307" t="n"/>
      <c r="AI78" s="307" t="n"/>
      <c r="AJ78" s="307" t="n"/>
      <c r="AK78" s="307" t="n"/>
      <c r="AL78" s="307" t="n"/>
      <c r="AM78" s="307" t="n"/>
      <c r="AN78" s="307" t="n"/>
      <c r="AO78" s="307" t="n"/>
      <c r="AP78" s="307" t="n"/>
      <c r="AQ78" s="307" t="n"/>
      <c r="AR78" s="307" t="n"/>
      <c r="AS78" s="307" t="n"/>
      <c r="AT78" s="307" t="n"/>
    </row>
    <row r="79" ht="15.75" customHeight="1" s="349">
      <c r="A79" s="307" t="n"/>
      <c r="B79" s="307" t="n"/>
      <c r="C79" s="307" t="n"/>
      <c r="D79" s="307" t="n"/>
      <c r="E79" s="307" t="n"/>
      <c r="F79" s="307" t="n"/>
      <c r="G79" s="307" t="n"/>
      <c r="H79" s="307" t="n"/>
      <c r="I79" s="307" t="n"/>
      <c r="J79" s="307" t="n"/>
      <c r="K79" s="307" t="n"/>
      <c r="L79" s="307" t="n"/>
      <c r="M79" s="307" t="n"/>
      <c r="N79" s="307" t="n"/>
      <c r="O79" s="307" t="n"/>
      <c r="P79" s="307" t="n"/>
      <c r="Q79" s="307" t="n"/>
      <c r="R79" s="307" t="n"/>
      <c r="S79" s="307" t="n"/>
      <c r="T79" s="307" t="n"/>
      <c r="U79" s="307" t="n"/>
      <c r="V79" s="307" t="n"/>
      <c r="W79" s="307" t="n"/>
      <c r="X79" s="307" t="n"/>
      <c r="Y79" s="307" t="n"/>
      <c r="Z79" s="307" t="n"/>
      <c r="AA79" s="307" t="n"/>
      <c r="AB79" s="307" t="n"/>
      <c r="AC79" s="307" t="n"/>
      <c r="AD79" s="307" t="n"/>
      <c r="AE79" s="307" t="n"/>
      <c r="AF79" s="307" t="n"/>
      <c r="AG79" s="307" t="n"/>
      <c r="AH79" s="307" t="n"/>
      <c r="AI79" s="307" t="n"/>
      <c r="AJ79" s="307" t="n"/>
      <c r="AK79" s="307" t="n"/>
      <c r="AL79" s="307" t="n"/>
      <c r="AM79" s="307" t="n"/>
      <c r="AN79" s="307" t="n"/>
      <c r="AO79" s="307" t="n"/>
      <c r="AP79" s="307" t="n"/>
      <c r="AQ79" s="307" t="n"/>
      <c r="AR79" s="307" t="n"/>
      <c r="AS79" s="307" t="n"/>
      <c r="AT79" s="307" t="n"/>
    </row>
    <row r="80" ht="15.75" customHeight="1" s="349">
      <c r="A80" s="307" t="n"/>
      <c r="B80" s="307" t="n"/>
      <c r="C80" s="307" t="n"/>
      <c r="D80" s="307" t="n"/>
      <c r="E80" s="307" t="n"/>
      <c r="F80" s="307" t="n"/>
      <c r="G80" s="307" t="n"/>
      <c r="H80" s="307" t="n"/>
      <c r="I80" s="307" t="n"/>
      <c r="J80" s="307" t="n"/>
      <c r="K80" s="307" t="n"/>
      <c r="L80" s="307" t="n"/>
      <c r="M80" s="307" t="n"/>
      <c r="N80" s="307" t="n"/>
      <c r="O80" s="307" t="n"/>
      <c r="P80" s="307" t="n"/>
      <c r="Q80" s="307" t="n"/>
      <c r="R80" s="307" t="n"/>
      <c r="S80" s="307" t="n"/>
      <c r="T80" s="307" t="n"/>
      <c r="U80" s="307" t="n"/>
      <c r="V80" s="307" t="n"/>
      <c r="W80" s="307" t="n"/>
      <c r="X80" s="307" t="n"/>
      <c r="Y80" s="307" t="n"/>
      <c r="Z80" s="307" t="n"/>
      <c r="AA80" s="307" t="n"/>
      <c r="AB80" s="307" t="n"/>
      <c r="AC80" s="307" t="n"/>
      <c r="AD80" s="307" t="n"/>
      <c r="AE80" s="307" t="n"/>
      <c r="AF80" s="307" t="n"/>
      <c r="AG80" s="307" t="n"/>
      <c r="AH80" s="307" t="n"/>
      <c r="AI80" s="307" t="n"/>
      <c r="AJ80" s="307" t="n"/>
      <c r="AK80" s="307" t="n"/>
      <c r="AL80" s="307" t="n"/>
      <c r="AM80" s="307" t="n"/>
      <c r="AN80" s="307" t="n"/>
      <c r="AO80" s="307" t="n"/>
      <c r="AP80" s="307" t="n"/>
      <c r="AQ80" s="307" t="n"/>
      <c r="AR80" s="307" t="n"/>
      <c r="AS80" s="307" t="n"/>
      <c r="AT80" s="307" t="n"/>
    </row>
    <row r="81" ht="15.75" customHeight="1" s="349">
      <c r="A81" s="307" t="n"/>
      <c r="B81" s="307" t="n"/>
      <c r="C81" s="307" t="n"/>
      <c r="D81" s="307" t="n"/>
      <c r="E81" s="307" t="n"/>
      <c r="F81" s="307" t="n"/>
      <c r="G81" s="307" t="n"/>
      <c r="H81" s="307" t="n"/>
      <c r="I81" s="307" t="n"/>
      <c r="J81" s="307" t="n"/>
      <c r="K81" s="307" t="n"/>
      <c r="L81" s="307" t="n"/>
      <c r="M81" s="307" t="n"/>
      <c r="N81" s="307" t="n"/>
      <c r="O81" s="307" t="n"/>
      <c r="P81" s="307" t="n"/>
      <c r="Q81" s="307" t="n"/>
      <c r="R81" s="307" t="n"/>
      <c r="S81" s="307" t="n"/>
      <c r="T81" s="307" t="n"/>
      <c r="U81" s="307" t="n"/>
      <c r="V81" s="307" t="n"/>
      <c r="W81" s="307" t="n"/>
      <c r="X81" s="307" t="n"/>
      <c r="Y81" s="307" t="n"/>
      <c r="Z81" s="307" t="n"/>
      <c r="AA81" s="307" t="n"/>
      <c r="AB81" s="307" t="n"/>
      <c r="AC81" s="307" t="n"/>
      <c r="AD81" s="307" t="n"/>
      <c r="AE81" s="307" t="n"/>
      <c r="AF81" s="307" t="n"/>
      <c r="AG81" s="307" t="n"/>
      <c r="AH81" s="307" t="n"/>
      <c r="AI81" s="307" t="n"/>
      <c r="AJ81" s="307" t="n"/>
      <c r="AK81" s="307" t="n"/>
      <c r="AL81" s="307" t="n"/>
      <c r="AM81" s="307" t="n"/>
      <c r="AN81" s="307" t="n"/>
      <c r="AO81" s="307" t="n"/>
      <c r="AP81" s="307" t="n"/>
      <c r="AQ81" s="307" t="n"/>
      <c r="AR81" s="307" t="n"/>
      <c r="AS81" s="307" t="n"/>
      <c r="AT81" s="307" t="n"/>
    </row>
    <row r="82" ht="15.75" customHeight="1" s="349">
      <c r="A82" s="307" t="n"/>
      <c r="B82" s="307" t="n"/>
      <c r="C82" s="307" t="n"/>
      <c r="D82" s="307" t="n"/>
      <c r="E82" s="307" t="n"/>
      <c r="F82" s="307" t="n"/>
      <c r="G82" s="307" t="n"/>
      <c r="H82" s="307" t="n"/>
      <c r="I82" s="307" t="n"/>
      <c r="J82" s="307" t="n"/>
      <c r="K82" s="307" t="n"/>
      <c r="L82" s="307" t="n"/>
      <c r="M82" s="307" t="n"/>
      <c r="N82" s="307" t="n"/>
      <c r="O82" s="307" t="n"/>
      <c r="P82" s="307" t="n"/>
      <c r="Q82" s="307" t="n"/>
      <c r="R82" s="307" t="n"/>
      <c r="S82" s="307" t="n"/>
      <c r="T82" s="307" t="n"/>
      <c r="U82" s="307" t="n"/>
      <c r="V82" s="307" t="n"/>
      <c r="W82" s="307" t="n"/>
      <c r="X82" s="307" t="n"/>
      <c r="Y82" s="307" t="n"/>
      <c r="Z82" s="307" t="n"/>
      <c r="AA82" s="307" t="n"/>
      <c r="AB82" s="307" t="n"/>
      <c r="AC82" s="307" t="n"/>
      <c r="AD82" s="307" t="n"/>
      <c r="AE82" s="307" t="n"/>
      <c r="AF82" s="307" t="n"/>
      <c r="AG82" s="307" t="n"/>
      <c r="AH82" s="307" t="n"/>
      <c r="AI82" s="307" t="n"/>
      <c r="AJ82" s="307" t="n"/>
      <c r="AK82" s="307" t="n"/>
      <c r="AL82" s="307" t="n"/>
      <c r="AM82" s="307" t="n"/>
      <c r="AN82" s="307" t="n"/>
      <c r="AO82" s="307" t="n"/>
      <c r="AP82" s="307" t="n"/>
      <c r="AQ82" s="307" t="n"/>
      <c r="AR82" s="307" t="n"/>
      <c r="AS82" s="307" t="n"/>
      <c r="AT82" s="307" t="n"/>
    </row>
    <row r="83" ht="15.75" customHeight="1" s="349">
      <c r="A83" s="307" t="n"/>
      <c r="B83" s="307" t="n"/>
      <c r="C83" s="307" t="n"/>
      <c r="D83" s="307" t="n"/>
      <c r="E83" s="307" t="n"/>
      <c r="F83" s="307" t="n"/>
      <c r="G83" s="307" t="n"/>
      <c r="H83" s="307" t="n"/>
      <c r="I83" s="307" t="n"/>
      <c r="J83" s="307" t="n"/>
      <c r="K83" s="307" t="n"/>
      <c r="L83" s="307" t="n"/>
      <c r="M83" s="307" t="n"/>
      <c r="N83" s="307" t="n"/>
      <c r="O83" s="307" t="n"/>
      <c r="P83" s="307" t="n"/>
      <c r="Q83" s="307" t="n"/>
      <c r="R83" s="307" t="n"/>
      <c r="S83" s="307" t="n"/>
      <c r="T83" s="307" t="n"/>
      <c r="U83" s="307" t="n"/>
      <c r="V83" s="307" t="n"/>
      <c r="W83" s="307" t="n"/>
      <c r="X83" s="307" t="n"/>
      <c r="Y83" s="307" t="n"/>
      <c r="Z83" s="307" t="n"/>
      <c r="AA83" s="307" t="n"/>
      <c r="AB83" s="307" t="n"/>
      <c r="AC83" s="307" t="n"/>
      <c r="AD83" s="307" t="n"/>
      <c r="AE83" s="307" t="n"/>
      <c r="AF83" s="307" t="n"/>
      <c r="AG83" s="307" t="n"/>
      <c r="AH83" s="307" t="n"/>
      <c r="AI83" s="307" t="n"/>
      <c r="AJ83" s="307" t="n"/>
      <c r="AK83" s="307" t="n"/>
      <c r="AL83" s="307" t="n"/>
      <c r="AM83" s="307" t="n"/>
      <c r="AN83" s="307" t="n"/>
      <c r="AO83" s="307" t="n"/>
      <c r="AP83" s="307" t="n"/>
      <c r="AQ83" s="307" t="n"/>
      <c r="AR83" s="307" t="n"/>
      <c r="AS83" s="307" t="n"/>
      <c r="AT83" s="307" t="n"/>
    </row>
    <row r="84" ht="15.75" customHeight="1" s="349">
      <c r="A84" s="307" t="n"/>
      <c r="B84" s="307" t="n"/>
      <c r="C84" s="307" t="n"/>
      <c r="D84" s="307" t="n"/>
      <c r="E84" s="307" t="n"/>
      <c r="F84" s="307" t="n"/>
      <c r="G84" s="307" t="n"/>
      <c r="H84" s="307" t="n"/>
      <c r="I84" s="307" t="n"/>
      <c r="J84" s="307" t="n"/>
      <c r="K84" s="307" t="n"/>
      <c r="L84" s="307" t="n"/>
      <c r="M84" s="307" t="n"/>
      <c r="N84" s="307" t="n"/>
      <c r="O84" s="307" t="n"/>
      <c r="P84" s="307" t="n"/>
      <c r="Q84" s="307" t="n"/>
      <c r="R84" s="307" t="n"/>
      <c r="S84" s="307" t="n"/>
      <c r="T84" s="307" t="n"/>
      <c r="U84" s="307" t="n"/>
      <c r="V84" s="307" t="n"/>
      <c r="W84" s="307" t="n"/>
      <c r="X84" s="307" t="n"/>
      <c r="Y84" s="307" t="n"/>
      <c r="Z84" s="307" t="n"/>
      <c r="AA84" s="307" t="n"/>
      <c r="AB84" s="307" t="n"/>
      <c r="AC84" s="307" t="n"/>
      <c r="AD84" s="307" t="n"/>
      <c r="AE84" s="307" t="n"/>
      <c r="AF84" s="307" t="n"/>
      <c r="AG84" s="307" t="n"/>
      <c r="AH84" s="307" t="n"/>
      <c r="AI84" s="307" t="n"/>
      <c r="AJ84" s="307" t="n"/>
      <c r="AK84" s="307" t="n"/>
      <c r="AL84" s="307" t="n"/>
      <c r="AM84" s="307" t="n"/>
      <c r="AN84" s="307" t="n"/>
      <c r="AO84" s="307" t="n"/>
      <c r="AP84" s="307" t="n"/>
      <c r="AQ84" s="307" t="n"/>
      <c r="AR84" s="307" t="n"/>
      <c r="AS84" s="307" t="n"/>
      <c r="AT84" s="307" t="n"/>
    </row>
    <row r="85" ht="15.75" customHeight="1" s="349">
      <c r="A85" s="307" t="n"/>
      <c r="B85" s="307" t="n"/>
      <c r="C85" s="307" t="n"/>
      <c r="D85" s="307" t="n"/>
      <c r="E85" s="307" t="n"/>
      <c r="F85" s="307" t="n"/>
      <c r="G85" s="307" t="n"/>
      <c r="H85" s="307" t="n"/>
      <c r="I85" s="307" t="n"/>
      <c r="J85" s="307" t="n"/>
      <c r="K85" s="307" t="n"/>
      <c r="L85" s="307" t="n"/>
      <c r="M85" s="307" t="n"/>
      <c r="N85" s="307" t="n"/>
      <c r="O85" s="307" t="n"/>
      <c r="P85" s="307" t="n"/>
      <c r="Q85" s="307" t="n"/>
      <c r="R85" s="307" t="n"/>
      <c r="S85" s="307" t="n"/>
      <c r="T85" s="307" t="n"/>
      <c r="U85" s="307" t="n"/>
      <c r="V85" s="307" t="n"/>
      <c r="W85" s="307" t="n"/>
      <c r="X85" s="307" t="n"/>
      <c r="Y85" s="307" t="n"/>
      <c r="Z85" s="307" t="n"/>
      <c r="AA85" s="307" t="n"/>
      <c r="AB85" s="307" t="n"/>
      <c r="AC85" s="307" t="n"/>
      <c r="AD85" s="307" t="n"/>
      <c r="AE85" s="307" t="n"/>
      <c r="AF85" s="307" t="n"/>
      <c r="AG85" s="307" t="n"/>
      <c r="AH85" s="307" t="n"/>
      <c r="AI85" s="307" t="n"/>
      <c r="AJ85" s="307" t="n"/>
      <c r="AK85" s="307" t="n"/>
      <c r="AL85" s="307" t="n"/>
      <c r="AM85" s="307" t="n"/>
      <c r="AN85" s="307" t="n"/>
      <c r="AO85" s="307" t="n"/>
      <c r="AP85" s="307" t="n"/>
      <c r="AQ85" s="307" t="n"/>
      <c r="AR85" s="307" t="n"/>
      <c r="AS85" s="307" t="n"/>
      <c r="AT85" s="307" t="n"/>
    </row>
    <row r="86" ht="15.75" customHeight="1" s="349">
      <c r="A86" s="307" t="n"/>
      <c r="B86" s="307" t="n"/>
      <c r="C86" s="307" t="n"/>
      <c r="D86" s="307" t="n"/>
      <c r="E86" s="307" t="n"/>
      <c r="F86" s="307" t="n"/>
      <c r="G86" s="307" t="n"/>
      <c r="H86" s="307" t="n"/>
      <c r="I86" s="307" t="n"/>
      <c r="J86" s="307" t="n"/>
      <c r="K86" s="307" t="n"/>
      <c r="L86" s="307" t="n"/>
      <c r="M86" s="307" t="n"/>
      <c r="N86" s="307" t="n"/>
      <c r="O86" s="307" t="n"/>
      <c r="P86" s="307" t="n"/>
      <c r="Q86" s="307" t="n"/>
      <c r="R86" s="307" t="n"/>
      <c r="S86" s="307" t="n"/>
      <c r="T86" s="307" t="n"/>
      <c r="U86" s="307" t="n"/>
      <c r="V86" s="307" t="n"/>
      <c r="W86" s="307" t="n"/>
      <c r="X86" s="307" t="n"/>
      <c r="Y86" s="307" t="n"/>
      <c r="Z86" s="307" t="n"/>
      <c r="AA86" s="307" t="n"/>
      <c r="AB86" s="307" t="n"/>
      <c r="AC86" s="307" t="n"/>
      <c r="AD86" s="307" t="n"/>
      <c r="AE86" s="307" t="n"/>
      <c r="AF86" s="307" t="n"/>
      <c r="AG86" s="307" t="n"/>
      <c r="AH86" s="307" t="n"/>
      <c r="AI86" s="307" t="n"/>
      <c r="AJ86" s="307" t="n"/>
      <c r="AK86" s="307" t="n"/>
      <c r="AL86" s="307" t="n"/>
      <c r="AM86" s="307" t="n"/>
      <c r="AN86" s="307" t="n"/>
      <c r="AO86" s="307" t="n"/>
      <c r="AP86" s="307" t="n"/>
      <c r="AQ86" s="307" t="n"/>
      <c r="AR86" s="307" t="n"/>
      <c r="AS86" s="307" t="n"/>
      <c r="AT86" s="307" t="n"/>
    </row>
    <row r="87" ht="15.75" customHeight="1" s="349">
      <c r="A87" s="307" t="n"/>
      <c r="B87" s="307" t="n"/>
      <c r="C87" s="307" t="n"/>
      <c r="D87" s="307" t="n"/>
      <c r="E87" s="307" t="n"/>
      <c r="F87" s="307" t="n"/>
      <c r="G87" s="307" t="n"/>
      <c r="H87" s="307" t="n"/>
      <c r="I87" s="307" t="n"/>
      <c r="J87" s="307" t="n"/>
      <c r="K87" s="307" t="n"/>
      <c r="L87" s="307" t="n"/>
      <c r="M87" s="307" t="n"/>
      <c r="N87" s="307" t="n"/>
      <c r="O87" s="307" t="n"/>
      <c r="P87" s="307" t="n"/>
      <c r="Q87" s="307" t="n"/>
      <c r="R87" s="307" t="n"/>
      <c r="S87" s="307" t="n"/>
      <c r="T87" s="307" t="n"/>
      <c r="U87" s="307" t="n"/>
      <c r="V87" s="307" t="n"/>
      <c r="W87" s="307" t="n"/>
      <c r="X87" s="307" t="n"/>
      <c r="Y87" s="307" t="n"/>
      <c r="Z87" s="307" t="n"/>
      <c r="AA87" s="307" t="n"/>
      <c r="AB87" s="307" t="n"/>
      <c r="AC87" s="307" t="n"/>
      <c r="AD87" s="307" t="n"/>
      <c r="AE87" s="307" t="n"/>
      <c r="AF87" s="307" t="n"/>
      <c r="AG87" s="307" t="n"/>
      <c r="AH87" s="307" t="n"/>
      <c r="AI87" s="307" t="n"/>
      <c r="AJ87" s="307" t="n"/>
      <c r="AK87" s="307" t="n"/>
      <c r="AL87" s="307" t="n"/>
      <c r="AM87" s="307" t="n"/>
      <c r="AN87" s="307" t="n"/>
      <c r="AO87" s="307" t="n"/>
      <c r="AP87" s="307" t="n"/>
      <c r="AQ87" s="307" t="n"/>
      <c r="AR87" s="307" t="n"/>
      <c r="AS87" s="307" t="n"/>
      <c r="AT87" s="307" t="n"/>
    </row>
    <row r="88" ht="15.75" customHeight="1" s="349">
      <c r="A88" s="307" t="n"/>
      <c r="B88" s="307" t="n"/>
      <c r="C88" s="307" t="n"/>
      <c r="D88" s="307" t="n"/>
      <c r="E88" s="307" t="n"/>
      <c r="F88" s="307" t="n"/>
      <c r="G88" s="307" t="n"/>
      <c r="H88" s="307" t="n"/>
      <c r="I88" s="307" t="n"/>
      <c r="J88" s="307" t="n"/>
      <c r="K88" s="307" t="n"/>
      <c r="L88" s="307" t="n"/>
      <c r="M88" s="307" t="n"/>
      <c r="N88" s="307" t="n"/>
      <c r="O88" s="307" t="n"/>
      <c r="P88" s="307" t="n"/>
      <c r="Q88" s="307" t="n"/>
      <c r="R88" s="307" t="n"/>
      <c r="S88" s="307" t="n"/>
      <c r="T88" s="307" t="n"/>
      <c r="U88" s="307" t="n"/>
      <c r="V88" s="307" t="n"/>
      <c r="W88" s="307" t="n"/>
      <c r="X88" s="307" t="n"/>
      <c r="Y88" s="307" t="n"/>
      <c r="Z88" s="307" t="n"/>
      <c r="AA88" s="307" t="n"/>
      <c r="AB88" s="307" t="n"/>
      <c r="AC88" s="307" t="n"/>
      <c r="AD88" s="307" t="n"/>
      <c r="AE88" s="307" t="n"/>
      <c r="AF88" s="307" t="n"/>
      <c r="AG88" s="307" t="n"/>
      <c r="AH88" s="307" t="n"/>
      <c r="AI88" s="307" t="n"/>
      <c r="AJ88" s="307" t="n"/>
      <c r="AK88" s="307" t="n"/>
      <c r="AL88" s="307" t="n"/>
      <c r="AM88" s="307" t="n"/>
      <c r="AN88" s="307" t="n"/>
      <c r="AO88" s="307" t="n"/>
      <c r="AP88" s="307" t="n"/>
      <c r="AQ88" s="307" t="n"/>
      <c r="AR88" s="307" t="n"/>
      <c r="AS88" s="307" t="n"/>
      <c r="AT88" s="307" t="n"/>
    </row>
    <row r="89" ht="15.75" customHeight="1" s="349">
      <c r="A89" s="307" t="n"/>
      <c r="B89" s="307" t="n"/>
      <c r="C89" s="307" t="n"/>
      <c r="D89" s="307" t="n"/>
      <c r="E89" s="307" t="n"/>
      <c r="F89" s="307" t="n"/>
      <c r="G89" s="307" t="n"/>
      <c r="H89" s="307" t="n"/>
      <c r="I89" s="307" t="n"/>
      <c r="J89" s="307" t="n"/>
      <c r="K89" s="307" t="n"/>
      <c r="L89" s="307" t="n"/>
      <c r="M89" s="307" t="n"/>
      <c r="N89" s="307" t="n"/>
      <c r="O89" s="307" t="n"/>
      <c r="P89" s="307" t="n"/>
      <c r="Q89" s="307" t="n"/>
      <c r="R89" s="307" t="n"/>
      <c r="S89" s="307" t="n"/>
      <c r="T89" s="307" t="n"/>
      <c r="U89" s="307" t="n"/>
      <c r="V89" s="307" t="n"/>
      <c r="W89" s="307" t="n"/>
      <c r="X89" s="307" t="n"/>
      <c r="Y89" s="307" t="n"/>
      <c r="Z89" s="307" t="n"/>
      <c r="AA89" s="307" t="n"/>
      <c r="AB89" s="307" t="n"/>
      <c r="AC89" s="307" t="n"/>
      <c r="AD89" s="307" t="n"/>
      <c r="AE89" s="307" t="n"/>
      <c r="AF89" s="307" t="n"/>
      <c r="AG89" s="307" t="n"/>
      <c r="AH89" s="307" t="n"/>
      <c r="AI89" s="307" t="n"/>
      <c r="AJ89" s="307" t="n"/>
      <c r="AK89" s="307" t="n"/>
      <c r="AL89" s="307" t="n"/>
      <c r="AM89" s="307" t="n"/>
      <c r="AN89" s="307" t="n"/>
      <c r="AO89" s="307" t="n"/>
      <c r="AP89" s="307" t="n"/>
      <c r="AQ89" s="307" t="n"/>
      <c r="AR89" s="307" t="n"/>
      <c r="AS89" s="307" t="n"/>
      <c r="AT89" s="307" t="n"/>
    </row>
    <row r="90" ht="15.75" customHeight="1" s="349">
      <c r="A90" s="307" t="n"/>
      <c r="B90" s="307" t="n"/>
      <c r="C90" s="307" t="n"/>
      <c r="D90" s="307" t="n"/>
      <c r="E90" s="307" t="n"/>
      <c r="F90" s="307" t="n"/>
      <c r="G90" s="307" t="n"/>
      <c r="H90" s="307" t="n"/>
      <c r="I90" s="307" t="n"/>
      <c r="J90" s="307" t="n"/>
      <c r="K90" s="307" t="n"/>
      <c r="L90" s="307" t="n"/>
      <c r="M90" s="307" t="n"/>
      <c r="N90" s="307" t="n"/>
      <c r="O90" s="307" t="n"/>
      <c r="P90" s="307" t="n"/>
      <c r="Q90" s="307" t="n"/>
      <c r="R90" s="307" t="n"/>
      <c r="S90" s="307" t="n"/>
      <c r="T90" s="307" t="n"/>
      <c r="U90" s="307" t="n"/>
      <c r="V90" s="307" t="n"/>
      <c r="W90" s="307" t="n"/>
      <c r="X90" s="307" t="n"/>
      <c r="Y90" s="307" t="n"/>
      <c r="Z90" s="307" t="n"/>
      <c r="AA90" s="307" t="n"/>
      <c r="AB90" s="307" t="n"/>
      <c r="AC90" s="307" t="n"/>
      <c r="AD90" s="307" t="n"/>
      <c r="AE90" s="307" t="n"/>
      <c r="AF90" s="307" t="n"/>
      <c r="AG90" s="307" t="n"/>
      <c r="AH90" s="307" t="n"/>
      <c r="AI90" s="307" t="n"/>
      <c r="AJ90" s="307" t="n"/>
      <c r="AK90" s="307" t="n"/>
      <c r="AL90" s="307" t="n"/>
      <c r="AM90" s="307" t="n"/>
      <c r="AN90" s="307" t="n"/>
      <c r="AO90" s="307" t="n"/>
      <c r="AP90" s="307" t="n"/>
      <c r="AQ90" s="307" t="n"/>
      <c r="AR90" s="307" t="n"/>
      <c r="AS90" s="307" t="n"/>
      <c r="AT90" s="307" t="n"/>
    </row>
    <row r="91" ht="15.75" customHeight="1" s="349">
      <c r="A91" s="307" t="n"/>
      <c r="B91" s="307" t="n"/>
      <c r="C91" s="307" t="n"/>
      <c r="D91" s="307" t="n"/>
      <c r="E91" s="307" t="n"/>
      <c r="F91" s="307" t="n"/>
      <c r="G91" s="307" t="n"/>
      <c r="H91" s="307" t="n"/>
      <c r="I91" s="307" t="n"/>
      <c r="J91" s="307" t="n"/>
      <c r="K91" s="307" t="n"/>
      <c r="L91" s="307" t="n"/>
      <c r="M91" s="307" t="n"/>
      <c r="N91" s="307" t="n"/>
      <c r="O91" s="307" t="n"/>
      <c r="P91" s="307" t="n"/>
      <c r="Q91" s="307" t="n"/>
      <c r="R91" s="307" t="n"/>
      <c r="S91" s="307" t="n"/>
      <c r="T91" s="307" t="n"/>
      <c r="U91" s="307" t="n"/>
      <c r="V91" s="307" t="n"/>
      <c r="W91" s="307" t="n"/>
      <c r="X91" s="307" t="n"/>
      <c r="Y91" s="307" t="n"/>
      <c r="Z91" s="307" t="n"/>
      <c r="AA91" s="307" t="n"/>
      <c r="AB91" s="307" t="n"/>
      <c r="AC91" s="307" t="n"/>
      <c r="AD91" s="307" t="n"/>
      <c r="AE91" s="307" t="n"/>
      <c r="AF91" s="307" t="n"/>
      <c r="AG91" s="307" t="n"/>
      <c r="AH91" s="307" t="n"/>
      <c r="AI91" s="307" t="n"/>
      <c r="AJ91" s="307" t="n"/>
      <c r="AK91" s="307" t="n"/>
      <c r="AL91" s="307" t="n"/>
      <c r="AM91" s="307" t="n"/>
      <c r="AN91" s="307" t="n"/>
      <c r="AO91" s="307" t="n"/>
      <c r="AP91" s="307" t="n"/>
      <c r="AQ91" s="307" t="n"/>
      <c r="AR91" s="307" t="n"/>
      <c r="AS91" s="307" t="n"/>
      <c r="AT91" s="307" t="n"/>
    </row>
    <row r="92" ht="15.75" customHeight="1" s="349">
      <c r="A92" s="307" t="n"/>
      <c r="B92" s="307" t="n"/>
      <c r="C92" s="307" t="n"/>
      <c r="D92" s="307" t="n"/>
      <c r="E92" s="307" t="n"/>
      <c r="F92" s="307" t="n"/>
      <c r="G92" s="307" t="n"/>
      <c r="H92" s="307" t="n"/>
      <c r="I92" s="307" t="n"/>
      <c r="J92" s="307" t="n"/>
      <c r="K92" s="307" t="n"/>
      <c r="L92" s="307" t="n"/>
      <c r="M92" s="307" t="n"/>
      <c r="N92" s="307" t="n"/>
      <c r="O92" s="307" t="n"/>
      <c r="P92" s="307" t="n"/>
      <c r="Q92" s="307" t="n"/>
      <c r="R92" s="307" t="n"/>
      <c r="S92" s="307" t="n"/>
      <c r="T92" s="307" t="n"/>
      <c r="U92" s="307" t="n"/>
      <c r="V92" s="307" t="n"/>
      <c r="W92" s="307" t="n"/>
      <c r="X92" s="307" t="n"/>
      <c r="Y92" s="307" t="n"/>
      <c r="Z92" s="307" t="n"/>
      <c r="AA92" s="307" t="n"/>
      <c r="AB92" s="307" t="n"/>
      <c r="AC92" s="307" t="n"/>
      <c r="AD92" s="307" t="n"/>
      <c r="AE92" s="307" t="n"/>
      <c r="AF92" s="307" t="n"/>
      <c r="AG92" s="307" t="n"/>
      <c r="AH92" s="307" t="n"/>
      <c r="AI92" s="307" t="n"/>
      <c r="AJ92" s="307" t="n"/>
      <c r="AK92" s="307" t="n"/>
      <c r="AL92" s="307" t="n"/>
      <c r="AM92" s="307" t="n"/>
      <c r="AN92" s="307" t="n"/>
      <c r="AO92" s="307" t="n"/>
      <c r="AP92" s="307" t="n"/>
      <c r="AQ92" s="307" t="n"/>
      <c r="AR92" s="307" t="n"/>
      <c r="AS92" s="307" t="n"/>
      <c r="AT92" s="307" t="n"/>
    </row>
    <row r="93" ht="15.75" customHeight="1" s="349">
      <c r="A93" s="307" t="n"/>
      <c r="B93" s="307" t="n"/>
      <c r="C93" s="307" t="n"/>
      <c r="D93" s="307" t="n"/>
      <c r="E93" s="307" t="n"/>
      <c r="F93" s="307" t="n"/>
      <c r="G93" s="307" t="n"/>
      <c r="H93" s="307" t="n"/>
      <c r="I93" s="307" t="n"/>
      <c r="J93" s="307" t="n"/>
      <c r="K93" s="307" t="n"/>
      <c r="L93" s="307" t="n"/>
      <c r="M93" s="307" t="n"/>
      <c r="N93" s="307" t="n"/>
      <c r="O93" s="307" t="n"/>
      <c r="P93" s="307" t="n"/>
      <c r="Q93" s="307" t="n"/>
      <c r="R93" s="307" t="n"/>
      <c r="S93" s="307" t="n"/>
      <c r="T93" s="307" t="n"/>
      <c r="U93" s="307" t="n"/>
      <c r="V93" s="307" t="n"/>
      <c r="W93" s="307" t="n"/>
      <c r="X93" s="307" t="n"/>
      <c r="Y93" s="307" t="n"/>
      <c r="Z93" s="307" t="n"/>
      <c r="AA93" s="307" t="n"/>
      <c r="AB93" s="307" t="n"/>
      <c r="AC93" s="307" t="n"/>
      <c r="AD93" s="307" t="n"/>
      <c r="AE93" s="307" t="n"/>
      <c r="AF93" s="307" t="n"/>
      <c r="AG93" s="307" t="n"/>
      <c r="AH93" s="307" t="n"/>
      <c r="AI93" s="307" t="n"/>
      <c r="AJ93" s="307" t="n"/>
      <c r="AK93" s="307" t="n"/>
      <c r="AL93" s="307" t="n"/>
      <c r="AM93" s="307" t="n"/>
      <c r="AN93" s="307" t="n"/>
      <c r="AO93" s="307" t="n"/>
      <c r="AP93" s="307" t="n"/>
      <c r="AQ93" s="307" t="n"/>
      <c r="AR93" s="307" t="n"/>
      <c r="AS93" s="307" t="n"/>
      <c r="AT93" s="307" t="n"/>
    </row>
    <row r="94" ht="15.75" customHeight="1" s="349">
      <c r="A94" s="307" t="n"/>
      <c r="B94" s="307" t="n"/>
      <c r="C94" s="307" t="n"/>
      <c r="D94" s="307" t="n"/>
      <c r="E94" s="307" t="n"/>
      <c r="F94" s="307" t="n"/>
      <c r="G94" s="307" t="n"/>
      <c r="H94" s="307" t="n"/>
      <c r="I94" s="307" t="n"/>
      <c r="J94" s="307" t="n"/>
      <c r="K94" s="307" t="n"/>
      <c r="L94" s="307" t="n"/>
      <c r="M94" s="307" t="n"/>
      <c r="N94" s="307" t="n"/>
      <c r="O94" s="307" t="n"/>
      <c r="P94" s="307" t="n"/>
      <c r="Q94" s="307" t="n"/>
      <c r="R94" s="307" t="n"/>
      <c r="S94" s="307" t="n"/>
      <c r="T94" s="307" t="n"/>
      <c r="U94" s="307" t="n"/>
      <c r="V94" s="307" t="n"/>
      <c r="W94" s="307" t="n"/>
      <c r="X94" s="307" t="n"/>
      <c r="Y94" s="307" t="n"/>
      <c r="Z94" s="307" t="n"/>
      <c r="AA94" s="307" t="n"/>
      <c r="AB94" s="307" t="n"/>
      <c r="AC94" s="307" t="n"/>
      <c r="AD94" s="307" t="n"/>
      <c r="AE94" s="307" t="n"/>
      <c r="AF94" s="307" t="n"/>
      <c r="AG94" s="307" t="n"/>
      <c r="AH94" s="307" t="n"/>
      <c r="AI94" s="307" t="n"/>
      <c r="AJ94" s="307" t="n"/>
      <c r="AK94" s="307" t="n"/>
      <c r="AL94" s="307" t="n"/>
      <c r="AM94" s="307" t="n"/>
      <c r="AN94" s="307" t="n"/>
      <c r="AO94" s="307" t="n"/>
      <c r="AP94" s="307" t="n"/>
      <c r="AQ94" s="307" t="n"/>
      <c r="AR94" s="307" t="n"/>
      <c r="AS94" s="307" t="n"/>
      <c r="AT94" s="307" t="n"/>
    </row>
    <row r="95" ht="15.75" customHeight="1" s="349">
      <c r="A95" s="307" t="n"/>
      <c r="B95" s="307" t="n"/>
      <c r="C95" s="307" t="n"/>
      <c r="D95" s="307" t="n"/>
      <c r="E95" s="307" t="n"/>
      <c r="F95" s="307" t="n"/>
      <c r="G95" s="307" t="n"/>
      <c r="H95" s="307" t="n"/>
      <c r="I95" s="307" t="n"/>
      <c r="J95" s="307" t="n"/>
      <c r="K95" s="307" t="n"/>
      <c r="L95" s="307" t="n"/>
      <c r="M95" s="307" t="n"/>
      <c r="N95" s="307" t="n"/>
      <c r="O95" s="307" t="n"/>
      <c r="P95" s="307" t="n"/>
      <c r="Q95" s="307" t="n"/>
      <c r="R95" s="307" t="n"/>
      <c r="S95" s="307" t="n"/>
      <c r="T95" s="307" t="n"/>
      <c r="U95" s="307" t="n"/>
      <c r="V95" s="307" t="n"/>
      <c r="W95" s="307" t="n"/>
      <c r="X95" s="307" t="n"/>
      <c r="Y95" s="307" t="n"/>
      <c r="Z95" s="307" t="n"/>
      <c r="AA95" s="307" t="n"/>
      <c r="AB95" s="307" t="n"/>
      <c r="AC95" s="307" t="n"/>
      <c r="AD95" s="307" t="n"/>
      <c r="AE95" s="307" t="n"/>
      <c r="AF95" s="307" t="n"/>
      <c r="AG95" s="307" t="n"/>
      <c r="AH95" s="307" t="n"/>
      <c r="AI95" s="307" t="n"/>
      <c r="AJ95" s="307" t="n"/>
      <c r="AK95" s="307" t="n"/>
      <c r="AL95" s="307" t="n"/>
      <c r="AM95" s="307" t="n"/>
      <c r="AN95" s="307" t="n"/>
      <c r="AO95" s="307" t="n"/>
      <c r="AP95" s="307" t="n"/>
      <c r="AQ95" s="307" t="n"/>
      <c r="AR95" s="307" t="n"/>
      <c r="AS95" s="307" t="n"/>
      <c r="AT95" s="307" t="n"/>
    </row>
    <row r="96" ht="15.75" customHeight="1" s="349">
      <c r="A96" s="307" t="n"/>
      <c r="B96" s="307" t="n"/>
      <c r="C96" s="307" t="n"/>
      <c r="D96" s="307" t="n"/>
      <c r="E96" s="307" t="n"/>
      <c r="F96" s="307" t="n"/>
      <c r="G96" s="307" t="n"/>
      <c r="H96" s="307" t="n"/>
      <c r="I96" s="307" t="n"/>
      <c r="J96" s="307" t="n"/>
      <c r="K96" s="307" t="n"/>
      <c r="L96" s="307" t="n"/>
      <c r="M96" s="307" t="n"/>
      <c r="N96" s="307" t="n"/>
      <c r="O96" s="307" t="n"/>
      <c r="P96" s="307" t="n"/>
      <c r="Q96" s="307" t="n"/>
      <c r="R96" s="307" t="n"/>
      <c r="S96" s="307" t="n"/>
      <c r="T96" s="307" t="n"/>
      <c r="U96" s="307" t="n"/>
      <c r="V96" s="307" t="n"/>
      <c r="W96" s="307" t="n"/>
      <c r="X96" s="307" t="n"/>
      <c r="Y96" s="307" t="n"/>
      <c r="Z96" s="307" t="n"/>
      <c r="AA96" s="307" t="n"/>
      <c r="AB96" s="307" t="n"/>
      <c r="AC96" s="307" t="n"/>
      <c r="AD96" s="307" t="n"/>
      <c r="AE96" s="307" t="n"/>
      <c r="AF96" s="307" t="n"/>
      <c r="AG96" s="307" t="n"/>
      <c r="AH96" s="307" t="n"/>
      <c r="AI96" s="307" t="n"/>
      <c r="AJ96" s="307" t="n"/>
      <c r="AK96" s="307" t="n"/>
      <c r="AL96" s="307" t="n"/>
      <c r="AM96" s="307" t="n"/>
      <c r="AN96" s="307" t="n"/>
      <c r="AO96" s="307" t="n"/>
      <c r="AP96" s="307" t="n"/>
      <c r="AQ96" s="307" t="n"/>
      <c r="AR96" s="307" t="n"/>
      <c r="AS96" s="307" t="n"/>
      <c r="AT96" s="307" t="n"/>
    </row>
    <row r="97" ht="15.75" customHeight="1" s="349">
      <c r="A97" s="307" t="n"/>
      <c r="B97" s="307" t="n"/>
      <c r="C97" s="307" t="n"/>
      <c r="D97" s="307" t="n"/>
      <c r="E97" s="307" t="n"/>
      <c r="F97" s="307" t="n"/>
      <c r="G97" s="307" t="n"/>
      <c r="H97" s="307" t="n"/>
      <c r="I97" s="307" t="n"/>
      <c r="J97" s="307" t="n"/>
      <c r="K97" s="307" t="n"/>
      <c r="L97" s="307" t="n"/>
      <c r="M97" s="307" t="n"/>
      <c r="N97" s="307" t="n"/>
      <c r="O97" s="307" t="n"/>
      <c r="P97" s="307" t="n"/>
      <c r="Q97" s="307" t="n"/>
      <c r="R97" s="307" t="n"/>
      <c r="S97" s="307" t="n"/>
      <c r="T97" s="307" t="n"/>
      <c r="U97" s="307" t="n"/>
      <c r="V97" s="307" t="n"/>
      <c r="W97" s="307" t="n"/>
      <c r="X97" s="307" t="n"/>
      <c r="Y97" s="307" t="n"/>
      <c r="Z97" s="307" t="n"/>
      <c r="AA97" s="307" t="n"/>
      <c r="AB97" s="307" t="n"/>
      <c r="AC97" s="307" t="n"/>
      <c r="AD97" s="307" t="n"/>
      <c r="AE97" s="307" t="n"/>
      <c r="AF97" s="307" t="n"/>
      <c r="AG97" s="307" t="n"/>
      <c r="AH97" s="307" t="n"/>
      <c r="AI97" s="307" t="n"/>
      <c r="AJ97" s="307" t="n"/>
      <c r="AK97" s="307" t="n"/>
      <c r="AL97" s="307" t="n"/>
      <c r="AM97" s="307" t="n"/>
      <c r="AN97" s="307" t="n"/>
      <c r="AO97" s="307" t="n"/>
      <c r="AP97" s="307" t="n"/>
      <c r="AQ97" s="307" t="n"/>
      <c r="AR97" s="307" t="n"/>
      <c r="AS97" s="307" t="n"/>
      <c r="AT97" s="307" t="n"/>
    </row>
    <row r="98" ht="15.75" customHeight="1" s="349">
      <c r="A98" s="307" t="n"/>
      <c r="B98" s="307" t="n"/>
      <c r="C98" s="307" t="n"/>
      <c r="D98" s="307" t="n"/>
      <c r="E98" s="307" t="n"/>
      <c r="F98" s="307" t="n"/>
      <c r="G98" s="307" t="n"/>
      <c r="H98" s="307" t="n"/>
      <c r="I98" s="307" t="n"/>
      <c r="J98" s="307" t="n"/>
      <c r="K98" s="307" t="n"/>
      <c r="L98" s="307" t="n"/>
      <c r="M98" s="307" t="n"/>
      <c r="N98" s="307" t="n"/>
      <c r="O98" s="307" t="n"/>
      <c r="P98" s="307" t="n"/>
      <c r="Q98" s="307" t="n"/>
      <c r="R98" s="307" t="n"/>
      <c r="S98" s="307" t="n"/>
      <c r="T98" s="307" t="n"/>
      <c r="U98" s="307" t="n"/>
      <c r="V98" s="307" t="n"/>
      <c r="W98" s="307" t="n"/>
      <c r="X98" s="307" t="n"/>
      <c r="Y98" s="307" t="n"/>
      <c r="Z98" s="307" t="n"/>
      <c r="AA98" s="307" t="n"/>
      <c r="AB98" s="307" t="n"/>
      <c r="AC98" s="307" t="n"/>
      <c r="AD98" s="307" t="n"/>
      <c r="AE98" s="307" t="n"/>
      <c r="AF98" s="307" t="n"/>
      <c r="AG98" s="307" t="n"/>
      <c r="AH98" s="307" t="n"/>
      <c r="AI98" s="307" t="n"/>
      <c r="AJ98" s="307" t="n"/>
      <c r="AK98" s="307" t="n"/>
      <c r="AL98" s="307" t="n"/>
      <c r="AM98" s="307" t="n"/>
      <c r="AN98" s="307" t="n"/>
      <c r="AO98" s="307" t="n"/>
      <c r="AP98" s="307" t="n"/>
      <c r="AQ98" s="307" t="n"/>
      <c r="AR98" s="307" t="n"/>
      <c r="AS98" s="307" t="n"/>
      <c r="AT98" s="307" t="n"/>
    </row>
    <row r="99" ht="15.75" customHeight="1" s="349">
      <c r="A99" s="307" t="n"/>
      <c r="B99" s="307" t="n"/>
      <c r="C99" s="307" t="n"/>
      <c r="D99" s="307" t="n"/>
      <c r="E99" s="307" t="n"/>
      <c r="F99" s="307" t="n"/>
      <c r="G99" s="307" t="n"/>
      <c r="H99" s="307" t="n"/>
      <c r="I99" s="307" t="n"/>
      <c r="J99" s="307" t="n"/>
      <c r="K99" s="307" t="n"/>
      <c r="L99" s="307" t="n"/>
      <c r="M99" s="307" t="n"/>
      <c r="N99" s="307" t="n"/>
      <c r="O99" s="307" t="n"/>
      <c r="P99" s="307" t="n"/>
      <c r="Q99" s="307" t="n"/>
      <c r="R99" s="307" t="n"/>
      <c r="S99" s="307" t="n"/>
      <c r="T99" s="307" t="n"/>
      <c r="U99" s="307" t="n"/>
      <c r="V99" s="307" t="n"/>
      <c r="W99" s="307" t="n"/>
      <c r="X99" s="307" t="n"/>
      <c r="Y99" s="307" t="n"/>
      <c r="Z99" s="307" t="n"/>
      <c r="AA99" s="307" t="n"/>
      <c r="AB99" s="307" t="n"/>
      <c r="AC99" s="307" t="n"/>
      <c r="AD99" s="307" t="n"/>
      <c r="AE99" s="307" t="n"/>
      <c r="AF99" s="307" t="n"/>
      <c r="AG99" s="307" t="n"/>
      <c r="AH99" s="307" t="n"/>
      <c r="AI99" s="307" t="n"/>
      <c r="AJ99" s="307" t="n"/>
      <c r="AK99" s="307" t="n"/>
      <c r="AL99" s="307" t="n"/>
      <c r="AM99" s="307" t="n"/>
      <c r="AN99" s="307" t="n"/>
      <c r="AO99" s="307" t="n"/>
      <c r="AP99" s="307" t="n"/>
      <c r="AQ99" s="307" t="n"/>
      <c r="AR99" s="307" t="n"/>
      <c r="AS99" s="307" t="n"/>
      <c r="AT99" s="307" t="n"/>
    </row>
    <row r="100" ht="15.75" customHeight="1" s="349">
      <c r="A100" s="307" t="n"/>
      <c r="B100" s="307" t="n"/>
      <c r="C100" s="307" t="n"/>
      <c r="D100" s="307" t="n"/>
      <c r="E100" s="307" t="n"/>
      <c r="F100" s="307" t="n"/>
      <c r="G100" s="307" t="n"/>
      <c r="H100" s="307" t="n"/>
      <c r="I100" s="307" t="n"/>
      <c r="J100" s="307" t="n"/>
      <c r="K100" s="307" t="n"/>
      <c r="L100" s="307" t="n"/>
      <c r="M100" s="307" t="n"/>
      <c r="N100" s="307" t="n"/>
      <c r="O100" s="307" t="n"/>
      <c r="P100" s="307" t="n"/>
      <c r="Q100" s="307" t="n"/>
      <c r="R100" s="307" t="n"/>
      <c r="S100" s="307" t="n"/>
      <c r="T100" s="307" t="n"/>
      <c r="U100" s="307" t="n"/>
      <c r="V100" s="307" t="n"/>
      <c r="W100" s="307" t="n"/>
      <c r="X100" s="307" t="n"/>
      <c r="Y100" s="307" t="n"/>
      <c r="Z100" s="307" t="n"/>
      <c r="AA100" s="307" t="n"/>
      <c r="AB100" s="307" t="n"/>
      <c r="AC100" s="307" t="n"/>
      <c r="AD100" s="307" t="n"/>
      <c r="AE100" s="307" t="n"/>
      <c r="AF100" s="307" t="n"/>
      <c r="AG100" s="307" t="n"/>
      <c r="AH100" s="307" t="n"/>
      <c r="AI100" s="307" t="n"/>
      <c r="AJ100" s="307" t="n"/>
      <c r="AK100" s="307" t="n"/>
      <c r="AL100" s="307" t="n"/>
      <c r="AM100" s="307" t="n"/>
      <c r="AN100" s="307" t="n"/>
      <c r="AO100" s="307" t="n"/>
      <c r="AP100" s="307" t="n"/>
      <c r="AQ100" s="307" t="n"/>
      <c r="AR100" s="307" t="n"/>
      <c r="AS100" s="307" t="n"/>
      <c r="AT100" s="307" t="n"/>
    </row>
    <row r="101" ht="15.75" customHeight="1" s="349">
      <c r="A101" s="307" t="n"/>
      <c r="B101" s="307" t="n"/>
      <c r="C101" s="307" t="n"/>
      <c r="D101" s="307" t="n"/>
      <c r="E101" s="307" t="n"/>
      <c r="F101" s="307" t="n"/>
      <c r="G101" s="307" t="n"/>
      <c r="H101" s="307" t="n"/>
      <c r="I101" s="307" t="n"/>
      <c r="J101" s="307" t="n"/>
      <c r="K101" s="307" t="n"/>
      <c r="L101" s="307" t="n"/>
      <c r="M101" s="307" t="n"/>
      <c r="N101" s="307" t="n"/>
      <c r="O101" s="307" t="n"/>
      <c r="P101" s="307" t="n"/>
      <c r="Q101" s="307" t="n"/>
      <c r="R101" s="307" t="n"/>
      <c r="S101" s="307" t="n"/>
      <c r="T101" s="307" t="n"/>
      <c r="U101" s="307" t="n"/>
      <c r="V101" s="307" t="n"/>
      <c r="W101" s="307" t="n"/>
      <c r="X101" s="307" t="n"/>
      <c r="Y101" s="307" t="n"/>
      <c r="Z101" s="307" t="n"/>
      <c r="AA101" s="307" t="n"/>
      <c r="AB101" s="307" t="n"/>
      <c r="AC101" s="307" t="n"/>
      <c r="AD101" s="307" t="n"/>
      <c r="AE101" s="307" t="n"/>
      <c r="AF101" s="307" t="n"/>
      <c r="AG101" s="307" t="n"/>
      <c r="AH101" s="307" t="n"/>
      <c r="AI101" s="307" t="n"/>
      <c r="AJ101" s="307" t="n"/>
      <c r="AK101" s="307" t="n"/>
      <c r="AL101" s="307" t="n"/>
      <c r="AM101" s="307" t="n"/>
      <c r="AN101" s="307" t="n"/>
      <c r="AO101" s="307" t="n"/>
      <c r="AP101" s="307" t="n"/>
      <c r="AQ101" s="307" t="n"/>
      <c r="AR101" s="307" t="n"/>
      <c r="AS101" s="307" t="n"/>
      <c r="AT101" s="307" t="n"/>
    </row>
    <row r="102" ht="15.75" customHeight="1" s="349">
      <c r="A102" s="307" t="n"/>
      <c r="B102" s="307" t="n"/>
      <c r="C102" s="307" t="n"/>
      <c r="D102" s="307" t="n"/>
      <c r="E102" s="307" t="n"/>
      <c r="F102" s="307" t="n"/>
      <c r="G102" s="307" t="n"/>
      <c r="H102" s="307" t="n"/>
      <c r="I102" s="307" t="n"/>
      <c r="J102" s="307" t="n"/>
      <c r="K102" s="307" t="n"/>
      <c r="L102" s="307" t="n"/>
      <c r="M102" s="307" t="n"/>
      <c r="N102" s="307" t="n"/>
      <c r="O102" s="307" t="n"/>
      <c r="P102" s="307" t="n"/>
      <c r="Q102" s="307" t="n"/>
      <c r="R102" s="307" t="n"/>
      <c r="S102" s="307" t="n"/>
      <c r="T102" s="307" t="n"/>
      <c r="U102" s="307" t="n"/>
      <c r="V102" s="307" t="n"/>
      <c r="W102" s="307" t="n"/>
      <c r="X102" s="307" t="n"/>
      <c r="Y102" s="307" t="n"/>
      <c r="Z102" s="307" t="n"/>
      <c r="AA102" s="307" t="n"/>
      <c r="AB102" s="307" t="n"/>
      <c r="AC102" s="307" t="n"/>
      <c r="AD102" s="307" t="n"/>
      <c r="AE102" s="307" t="n"/>
      <c r="AF102" s="307" t="n"/>
      <c r="AG102" s="307" t="n"/>
      <c r="AH102" s="307" t="n"/>
      <c r="AI102" s="307" t="n"/>
      <c r="AJ102" s="307" t="n"/>
      <c r="AK102" s="307" t="n"/>
      <c r="AL102" s="307" t="n"/>
      <c r="AM102" s="307" t="n"/>
      <c r="AN102" s="307" t="n"/>
      <c r="AO102" s="307" t="n"/>
      <c r="AP102" s="307" t="n"/>
      <c r="AQ102" s="307" t="n"/>
      <c r="AR102" s="307" t="n"/>
      <c r="AS102" s="307" t="n"/>
      <c r="AT102" s="307" t="n"/>
    </row>
    <row r="103" ht="15.75" customHeight="1" s="349">
      <c r="A103" s="307" t="n"/>
      <c r="B103" s="307" t="n"/>
      <c r="C103" s="307" t="n"/>
      <c r="D103" s="307" t="n"/>
      <c r="E103" s="307" t="n"/>
      <c r="F103" s="307" t="n"/>
      <c r="G103" s="307" t="n"/>
      <c r="H103" s="307" t="n"/>
      <c r="I103" s="307" t="n"/>
      <c r="J103" s="307" t="n"/>
      <c r="K103" s="307" t="n"/>
      <c r="L103" s="307" t="n"/>
      <c r="M103" s="307" t="n"/>
      <c r="N103" s="307" t="n"/>
      <c r="O103" s="307" t="n"/>
      <c r="P103" s="307" t="n"/>
      <c r="Q103" s="307" t="n"/>
      <c r="R103" s="307" t="n"/>
      <c r="S103" s="307" t="n"/>
      <c r="T103" s="307" t="n"/>
      <c r="U103" s="307" t="n"/>
      <c r="V103" s="307" t="n"/>
      <c r="W103" s="307" t="n"/>
      <c r="X103" s="307" t="n"/>
      <c r="Y103" s="307" t="n"/>
      <c r="Z103" s="307" t="n"/>
      <c r="AA103" s="307" t="n"/>
      <c r="AB103" s="307" t="n"/>
      <c r="AC103" s="307" t="n"/>
      <c r="AD103" s="307" t="n"/>
      <c r="AE103" s="307" t="n"/>
      <c r="AF103" s="307" t="n"/>
      <c r="AG103" s="307" t="n"/>
      <c r="AH103" s="307" t="n"/>
      <c r="AI103" s="307" t="n"/>
      <c r="AJ103" s="307" t="n"/>
      <c r="AK103" s="307" t="n"/>
      <c r="AL103" s="307" t="n"/>
      <c r="AM103" s="307" t="n"/>
      <c r="AN103" s="307" t="n"/>
      <c r="AO103" s="307" t="n"/>
      <c r="AP103" s="307" t="n"/>
      <c r="AQ103" s="307" t="n"/>
      <c r="AR103" s="307" t="n"/>
      <c r="AS103" s="307" t="n"/>
      <c r="AT103" s="307" t="n"/>
    </row>
    <row r="104" ht="15.75" customHeight="1" s="349">
      <c r="A104" s="307" t="n"/>
      <c r="B104" s="307" t="n"/>
      <c r="C104" s="307" t="n"/>
      <c r="D104" s="307" t="n"/>
      <c r="E104" s="307" t="n"/>
      <c r="F104" s="307" t="n"/>
      <c r="G104" s="307" t="n"/>
      <c r="H104" s="307" t="n"/>
      <c r="I104" s="307" t="n"/>
      <c r="J104" s="307" t="n"/>
      <c r="K104" s="307" t="n"/>
      <c r="L104" s="307" t="n"/>
      <c r="M104" s="307" t="n"/>
      <c r="N104" s="307" t="n"/>
      <c r="O104" s="307" t="n"/>
      <c r="P104" s="307" t="n"/>
      <c r="Q104" s="307" t="n"/>
      <c r="R104" s="307" t="n"/>
      <c r="S104" s="307" t="n"/>
      <c r="T104" s="307" t="n"/>
      <c r="U104" s="307" t="n"/>
      <c r="V104" s="307" t="n"/>
      <c r="W104" s="307" t="n"/>
      <c r="X104" s="307" t="n"/>
      <c r="Y104" s="307" t="n"/>
      <c r="Z104" s="307" t="n"/>
      <c r="AA104" s="307" t="n"/>
      <c r="AB104" s="307" t="n"/>
      <c r="AC104" s="307" t="n"/>
      <c r="AD104" s="307" t="n"/>
      <c r="AE104" s="307" t="n"/>
      <c r="AF104" s="307" t="n"/>
      <c r="AG104" s="307" t="n"/>
      <c r="AH104" s="307" t="n"/>
      <c r="AI104" s="307" t="n"/>
      <c r="AJ104" s="307" t="n"/>
      <c r="AK104" s="307" t="n"/>
      <c r="AL104" s="307" t="n"/>
      <c r="AM104" s="307" t="n"/>
      <c r="AN104" s="307" t="n"/>
      <c r="AO104" s="307" t="n"/>
      <c r="AP104" s="307" t="n"/>
      <c r="AQ104" s="307" t="n"/>
      <c r="AR104" s="307" t="n"/>
      <c r="AS104" s="307" t="n"/>
      <c r="AT104" s="307" t="n"/>
    </row>
    <row r="105" ht="15.75" customHeight="1" s="349">
      <c r="A105" s="307" t="n"/>
      <c r="B105" s="307" t="n"/>
      <c r="C105" s="307" t="n"/>
      <c r="D105" s="307" t="n"/>
      <c r="E105" s="307" t="n"/>
      <c r="F105" s="307" t="n"/>
      <c r="G105" s="307" t="n"/>
      <c r="H105" s="307" t="n"/>
      <c r="I105" s="307" t="n"/>
      <c r="J105" s="307" t="n"/>
      <c r="K105" s="307" t="n"/>
      <c r="L105" s="307" t="n"/>
      <c r="M105" s="307" t="n"/>
      <c r="N105" s="307" t="n"/>
      <c r="O105" s="307" t="n"/>
      <c r="P105" s="307" t="n"/>
      <c r="Q105" s="307" t="n"/>
      <c r="R105" s="307" t="n"/>
      <c r="S105" s="307" t="n"/>
      <c r="T105" s="307" t="n"/>
      <c r="U105" s="307" t="n"/>
      <c r="V105" s="307" t="n"/>
      <c r="W105" s="307" t="n"/>
      <c r="X105" s="307" t="n"/>
      <c r="Y105" s="307" t="n"/>
      <c r="Z105" s="307" t="n"/>
      <c r="AA105" s="307" t="n"/>
      <c r="AB105" s="307" t="n"/>
      <c r="AC105" s="307" t="n"/>
      <c r="AD105" s="307" t="n"/>
      <c r="AE105" s="307" t="n"/>
      <c r="AF105" s="307" t="n"/>
      <c r="AG105" s="307" t="n"/>
      <c r="AH105" s="307" t="n"/>
      <c r="AI105" s="307" t="n"/>
      <c r="AJ105" s="307" t="n"/>
      <c r="AK105" s="307" t="n"/>
      <c r="AL105" s="307" t="n"/>
      <c r="AM105" s="307" t="n"/>
      <c r="AN105" s="307" t="n"/>
      <c r="AO105" s="307" t="n"/>
      <c r="AP105" s="307" t="n"/>
      <c r="AQ105" s="307" t="n"/>
      <c r="AR105" s="307" t="n"/>
      <c r="AS105" s="307" t="n"/>
      <c r="AT105" s="307" t="n"/>
    </row>
    <row r="106" ht="15.75" customHeight="1" s="349">
      <c r="A106" s="307" t="n"/>
      <c r="B106" s="307" t="n"/>
      <c r="C106" s="307" t="n"/>
      <c r="D106" s="307" t="n"/>
      <c r="E106" s="307" t="n"/>
      <c r="F106" s="307" t="n"/>
      <c r="G106" s="307" t="n"/>
      <c r="H106" s="307" t="n"/>
      <c r="I106" s="307" t="n"/>
      <c r="J106" s="307" t="n"/>
      <c r="K106" s="307" t="n"/>
      <c r="L106" s="307" t="n"/>
      <c r="M106" s="307" t="n"/>
      <c r="N106" s="307" t="n"/>
      <c r="O106" s="307" t="n"/>
      <c r="P106" s="307" t="n"/>
      <c r="Q106" s="307" t="n"/>
      <c r="R106" s="307" t="n"/>
      <c r="S106" s="307" t="n"/>
      <c r="T106" s="307" t="n"/>
      <c r="U106" s="307" t="n"/>
      <c r="V106" s="307" t="n"/>
      <c r="W106" s="307" t="n"/>
      <c r="X106" s="307" t="n"/>
      <c r="Y106" s="307" t="n"/>
      <c r="Z106" s="307" t="n"/>
      <c r="AA106" s="307" t="n"/>
      <c r="AB106" s="307" t="n"/>
      <c r="AC106" s="307" t="n"/>
      <c r="AD106" s="307" t="n"/>
      <c r="AE106" s="307" t="n"/>
      <c r="AF106" s="307" t="n"/>
      <c r="AG106" s="307" t="n"/>
      <c r="AH106" s="307" t="n"/>
      <c r="AI106" s="307" t="n"/>
      <c r="AJ106" s="307" t="n"/>
      <c r="AK106" s="307" t="n"/>
      <c r="AL106" s="307" t="n"/>
      <c r="AM106" s="307" t="n"/>
      <c r="AN106" s="307" t="n"/>
      <c r="AO106" s="307" t="n"/>
      <c r="AP106" s="307" t="n"/>
      <c r="AQ106" s="307" t="n"/>
      <c r="AR106" s="307" t="n"/>
      <c r="AS106" s="307" t="n"/>
      <c r="AT106" s="307" t="n"/>
    </row>
    <row r="107" ht="15.75" customHeight="1" s="349">
      <c r="A107" s="307" t="n"/>
      <c r="B107" s="307" t="n"/>
      <c r="C107" s="307" t="n"/>
      <c r="D107" s="307" t="n"/>
      <c r="E107" s="307" t="n"/>
      <c r="F107" s="307" t="n"/>
      <c r="G107" s="307" t="n"/>
      <c r="H107" s="307" t="n"/>
      <c r="I107" s="307" t="n"/>
      <c r="J107" s="307" t="n"/>
      <c r="K107" s="307" t="n"/>
      <c r="L107" s="307" t="n"/>
      <c r="M107" s="307" t="n"/>
      <c r="N107" s="307" t="n"/>
      <c r="O107" s="307" t="n"/>
      <c r="P107" s="307" t="n"/>
      <c r="Q107" s="307" t="n"/>
      <c r="R107" s="307" t="n"/>
      <c r="S107" s="307" t="n"/>
      <c r="T107" s="307" t="n"/>
      <c r="U107" s="307" t="n"/>
      <c r="V107" s="307" t="n"/>
      <c r="W107" s="307" t="n"/>
      <c r="X107" s="307" t="n"/>
      <c r="Y107" s="307" t="n"/>
      <c r="Z107" s="307" t="n"/>
      <c r="AA107" s="307" t="n"/>
      <c r="AB107" s="307" t="n"/>
      <c r="AC107" s="307" t="n"/>
      <c r="AD107" s="307" t="n"/>
      <c r="AE107" s="307" t="n"/>
      <c r="AF107" s="307" t="n"/>
      <c r="AG107" s="307" t="n"/>
      <c r="AH107" s="307" t="n"/>
      <c r="AI107" s="307" t="n"/>
      <c r="AJ107" s="307" t="n"/>
      <c r="AK107" s="307" t="n"/>
      <c r="AL107" s="307" t="n"/>
      <c r="AM107" s="307" t="n"/>
      <c r="AN107" s="307" t="n"/>
      <c r="AO107" s="307" t="n"/>
      <c r="AP107" s="307" t="n"/>
      <c r="AQ107" s="307" t="n"/>
      <c r="AR107" s="307" t="n"/>
      <c r="AS107" s="307" t="n"/>
      <c r="AT107" s="307" t="n"/>
    </row>
    <row r="108" ht="15.75" customHeight="1" s="349">
      <c r="A108" s="307" t="n"/>
      <c r="B108" s="307" t="n"/>
      <c r="C108" s="307" t="n"/>
      <c r="D108" s="307" t="n"/>
      <c r="E108" s="307" t="n"/>
      <c r="F108" s="307" t="n"/>
      <c r="G108" s="307" t="n"/>
      <c r="H108" s="307" t="n"/>
      <c r="I108" s="307" t="n"/>
      <c r="J108" s="307" t="n"/>
      <c r="K108" s="307" t="n"/>
      <c r="L108" s="307" t="n"/>
      <c r="M108" s="307" t="n"/>
      <c r="N108" s="307" t="n"/>
      <c r="O108" s="307" t="n"/>
      <c r="P108" s="307" t="n"/>
      <c r="Q108" s="307" t="n"/>
      <c r="R108" s="307" t="n"/>
      <c r="S108" s="307" t="n"/>
      <c r="T108" s="307" t="n"/>
      <c r="U108" s="307" t="n"/>
      <c r="V108" s="307" t="n"/>
      <c r="W108" s="307" t="n"/>
      <c r="X108" s="307" t="n"/>
      <c r="Y108" s="307" t="n"/>
      <c r="Z108" s="307" t="n"/>
      <c r="AA108" s="307" t="n"/>
      <c r="AB108" s="307" t="n"/>
      <c r="AC108" s="307" t="n"/>
      <c r="AD108" s="307" t="n"/>
      <c r="AE108" s="307" t="n"/>
      <c r="AF108" s="307" t="n"/>
      <c r="AG108" s="307" t="n"/>
      <c r="AH108" s="307" t="n"/>
      <c r="AI108" s="307" t="n"/>
      <c r="AJ108" s="307" t="n"/>
      <c r="AK108" s="307" t="n"/>
      <c r="AL108" s="307" t="n"/>
      <c r="AM108" s="307" t="n"/>
      <c r="AN108" s="307" t="n"/>
      <c r="AO108" s="307" t="n"/>
      <c r="AP108" s="307" t="n"/>
      <c r="AQ108" s="307" t="n"/>
      <c r="AR108" s="307" t="n"/>
      <c r="AS108" s="307" t="n"/>
      <c r="AT108" s="307" t="n"/>
    </row>
    <row r="109" ht="15.75" customHeight="1" s="349">
      <c r="A109" s="307" t="n"/>
      <c r="B109" s="307" t="n"/>
      <c r="C109" s="307" t="n"/>
      <c r="D109" s="307" t="n"/>
      <c r="E109" s="307" t="n"/>
      <c r="F109" s="307" t="n"/>
      <c r="G109" s="307" t="n"/>
      <c r="H109" s="307" t="n"/>
      <c r="I109" s="307" t="n"/>
      <c r="J109" s="307" t="n"/>
      <c r="K109" s="307" t="n"/>
      <c r="L109" s="307" t="n"/>
      <c r="M109" s="307" t="n"/>
      <c r="N109" s="307" t="n"/>
      <c r="O109" s="307" t="n"/>
      <c r="P109" s="307" t="n"/>
      <c r="Q109" s="307" t="n"/>
      <c r="R109" s="307" t="n"/>
      <c r="S109" s="307" t="n"/>
      <c r="T109" s="307" t="n"/>
      <c r="U109" s="307" t="n"/>
      <c r="V109" s="307" t="n"/>
      <c r="W109" s="307" t="n"/>
      <c r="X109" s="307" t="n"/>
      <c r="Y109" s="307" t="n"/>
      <c r="Z109" s="307" t="n"/>
      <c r="AA109" s="307" t="n"/>
      <c r="AB109" s="307" t="n"/>
      <c r="AC109" s="307" t="n"/>
      <c r="AD109" s="307" t="n"/>
      <c r="AE109" s="307" t="n"/>
      <c r="AF109" s="307" t="n"/>
      <c r="AG109" s="307" t="n"/>
      <c r="AH109" s="307" t="n"/>
      <c r="AI109" s="307" t="n"/>
      <c r="AJ109" s="307" t="n"/>
      <c r="AK109" s="307" t="n"/>
      <c r="AL109" s="307" t="n"/>
      <c r="AM109" s="307" t="n"/>
      <c r="AN109" s="307" t="n"/>
      <c r="AO109" s="307" t="n"/>
      <c r="AP109" s="307" t="n"/>
      <c r="AQ109" s="307" t="n"/>
      <c r="AR109" s="307" t="n"/>
      <c r="AS109" s="307" t="n"/>
      <c r="AT109" s="307" t="n"/>
    </row>
    <row r="110" ht="15.75" customHeight="1" s="349">
      <c r="A110" s="307" t="n"/>
      <c r="B110" s="307" t="n"/>
      <c r="C110" s="307" t="n"/>
      <c r="D110" s="307" t="n"/>
      <c r="E110" s="307" t="n"/>
      <c r="F110" s="307" t="n"/>
      <c r="G110" s="307" t="n"/>
      <c r="H110" s="307" t="n"/>
      <c r="I110" s="307" t="n"/>
      <c r="J110" s="307" t="n"/>
      <c r="K110" s="307" t="n"/>
      <c r="L110" s="307" t="n"/>
      <c r="M110" s="307" t="n"/>
      <c r="N110" s="307" t="n"/>
      <c r="O110" s="307" t="n"/>
      <c r="P110" s="307" t="n"/>
      <c r="Q110" s="307" t="n"/>
      <c r="R110" s="307" t="n"/>
      <c r="S110" s="307" t="n"/>
      <c r="T110" s="307" t="n"/>
      <c r="U110" s="307" t="n"/>
      <c r="V110" s="307" t="n"/>
      <c r="W110" s="307" t="n"/>
      <c r="X110" s="307" t="n"/>
      <c r="Y110" s="307" t="n"/>
      <c r="Z110" s="307" t="n"/>
      <c r="AA110" s="307" t="n"/>
      <c r="AB110" s="307" t="n"/>
      <c r="AC110" s="307" t="n"/>
      <c r="AD110" s="307" t="n"/>
      <c r="AE110" s="307" t="n"/>
      <c r="AF110" s="307" t="n"/>
      <c r="AG110" s="307" t="n"/>
      <c r="AH110" s="307" t="n"/>
      <c r="AI110" s="307" t="n"/>
      <c r="AJ110" s="307" t="n"/>
      <c r="AK110" s="307" t="n"/>
      <c r="AL110" s="307" t="n"/>
      <c r="AM110" s="307" t="n"/>
      <c r="AN110" s="307" t="n"/>
      <c r="AO110" s="307" t="n"/>
      <c r="AP110" s="307" t="n"/>
      <c r="AQ110" s="307" t="n"/>
      <c r="AR110" s="307" t="n"/>
      <c r="AS110" s="307" t="n"/>
      <c r="AT110" s="307" t="n"/>
    </row>
    <row r="111" ht="15.75" customHeight="1" s="349">
      <c r="A111" s="307" t="n"/>
      <c r="B111" s="307" t="n"/>
      <c r="C111" s="307" t="n"/>
      <c r="D111" s="307" t="n"/>
      <c r="E111" s="307" t="n"/>
      <c r="F111" s="307" t="n"/>
      <c r="G111" s="307" t="n"/>
      <c r="H111" s="307" t="n"/>
      <c r="I111" s="307" t="n"/>
      <c r="J111" s="307" t="n"/>
      <c r="K111" s="307" t="n"/>
      <c r="L111" s="307" t="n"/>
      <c r="M111" s="307" t="n"/>
      <c r="N111" s="307" t="n"/>
      <c r="O111" s="307" t="n"/>
      <c r="P111" s="307" t="n"/>
      <c r="Q111" s="307" t="n"/>
      <c r="R111" s="307" t="n"/>
      <c r="S111" s="307" t="n"/>
      <c r="T111" s="307" t="n"/>
      <c r="U111" s="307" t="n"/>
      <c r="V111" s="307" t="n"/>
      <c r="W111" s="307" t="n"/>
      <c r="X111" s="307" t="n"/>
      <c r="Y111" s="307" t="n"/>
      <c r="Z111" s="307" t="n"/>
      <c r="AA111" s="307" t="n"/>
      <c r="AB111" s="307" t="n"/>
      <c r="AC111" s="307" t="n"/>
      <c r="AD111" s="307" t="n"/>
      <c r="AE111" s="307" t="n"/>
      <c r="AF111" s="307" t="n"/>
      <c r="AG111" s="307" t="n"/>
      <c r="AH111" s="307" t="n"/>
      <c r="AI111" s="307" t="n"/>
      <c r="AJ111" s="307" t="n"/>
      <c r="AK111" s="307" t="n"/>
      <c r="AL111" s="307" t="n"/>
      <c r="AM111" s="307" t="n"/>
      <c r="AN111" s="307" t="n"/>
      <c r="AO111" s="307" t="n"/>
      <c r="AP111" s="307" t="n"/>
      <c r="AQ111" s="307" t="n"/>
      <c r="AR111" s="307" t="n"/>
      <c r="AS111" s="307" t="n"/>
      <c r="AT111" s="307" t="n"/>
    </row>
    <row r="112" ht="15.75" customHeight="1" s="349">
      <c r="A112" s="307" t="n"/>
      <c r="B112" s="307" t="n"/>
      <c r="C112" s="307" t="n"/>
      <c r="D112" s="307" t="n"/>
      <c r="E112" s="307" t="n"/>
      <c r="F112" s="307" t="n"/>
      <c r="G112" s="307" t="n"/>
      <c r="H112" s="307" t="n"/>
      <c r="I112" s="307" t="n"/>
      <c r="J112" s="307" t="n"/>
      <c r="K112" s="307" t="n"/>
      <c r="L112" s="307" t="n"/>
      <c r="M112" s="307" t="n"/>
      <c r="N112" s="307" t="n"/>
      <c r="O112" s="307" t="n"/>
      <c r="P112" s="307" t="n"/>
      <c r="Q112" s="307" t="n"/>
      <c r="R112" s="307" t="n"/>
      <c r="S112" s="307" t="n"/>
      <c r="T112" s="307" t="n"/>
      <c r="U112" s="307" t="n"/>
      <c r="V112" s="307" t="n"/>
      <c r="W112" s="307" t="n"/>
      <c r="X112" s="307" t="n"/>
      <c r="Y112" s="307" t="n"/>
      <c r="Z112" s="307" t="n"/>
      <c r="AA112" s="307" t="n"/>
      <c r="AB112" s="307" t="n"/>
      <c r="AC112" s="307" t="n"/>
      <c r="AD112" s="307" t="n"/>
      <c r="AE112" s="307" t="n"/>
      <c r="AF112" s="307" t="n"/>
      <c r="AG112" s="307" t="n"/>
      <c r="AH112" s="307" t="n"/>
      <c r="AI112" s="307" t="n"/>
      <c r="AJ112" s="307" t="n"/>
      <c r="AK112" s="307" t="n"/>
      <c r="AL112" s="307" t="n"/>
      <c r="AM112" s="307" t="n"/>
      <c r="AN112" s="307" t="n"/>
      <c r="AO112" s="307" t="n"/>
      <c r="AP112" s="307" t="n"/>
      <c r="AQ112" s="307" t="n"/>
      <c r="AR112" s="307" t="n"/>
      <c r="AS112" s="307" t="n"/>
      <c r="AT112" s="307" t="n"/>
    </row>
    <row r="113" ht="15.75" customHeight="1" s="349">
      <c r="A113" s="307" t="n"/>
      <c r="B113" s="307" t="n"/>
      <c r="C113" s="307" t="n"/>
      <c r="D113" s="307" t="n"/>
      <c r="E113" s="307" t="n"/>
      <c r="F113" s="307" t="n"/>
      <c r="G113" s="307" t="n"/>
      <c r="H113" s="307" t="n"/>
      <c r="I113" s="307" t="n"/>
      <c r="J113" s="307" t="n"/>
      <c r="K113" s="307" t="n"/>
      <c r="L113" s="307" t="n"/>
      <c r="M113" s="307" t="n"/>
      <c r="N113" s="307" t="n"/>
      <c r="O113" s="307" t="n"/>
      <c r="P113" s="307" t="n"/>
      <c r="Q113" s="307" t="n"/>
      <c r="R113" s="307" t="n"/>
      <c r="S113" s="307" t="n"/>
      <c r="T113" s="307" t="n"/>
      <c r="U113" s="307" t="n"/>
      <c r="V113" s="307" t="n"/>
      <c r="W113" s="307" t="n"/>
      <c r="X113" s="307" t="n"/>
      <c r="Y113" s="307" t="n"/>
      <c r="Z113" s="307" t="n"/>
      <c r="AA113" s="307" t="n"/>
      <c r="AB113" s="307" t="n"/>
      <c r="AC113" s="307" t="n"/>
      <c r="AD113" s="307" t="n"/>
      <c r="AE113" s="307" t="n"/>
      <c r="AF113" s="307" t="n"/>
      <c r="AG113" s="307" t="n"/>
      <c r="AH113" s="307" t="n"/>
      <c r="AI113" s="307" t="n"/>
      <c r="AJ113" s="307" t="n"/>
      <c r="AK113" s="307" t="n"/>
      <c r="AL113" s="307" t="n"/>
      <c r="AM113" s="307" t="n"/>
      <c r="AN113" s="307" t="n"/>
      <c r="AO113" s="307" t="n"/>
      <c r="AP113" s="307" t="n"/>
      <c r="AQ113" s="307" t="n"/>
      <c r="AR113" s="307" t="n"/>
      <c r="AS113" s="307" t="n"/>
      <c r="AT113" s="307" t="n"/>
    </row>
    <row r="114" ht="15.75" customHeight="1" s="349">
      <c r="A114" s="307" t="n"/>
      <c r="B114" s="307" t="n"/>
      <c r="C114" s="307" t="n"/>
      <c r="D114" s="307" t="n"/>
      <c r="E114" s="307" t="n"/>
      <c r="F114" s="307" t="n"/>
      <c r="G114" s="307" t="n"/>
      <c r="H114" s="307" t="n"/>
      <c r="I114" s="307" t="n"/>
      <c r="J114" s="307" t="n"/>
      <c r="K114" s="307" t="n"/>
      <c r="L114" s="307" t="n"/>
      <c r="M114" s="307" t="n"/>
      <c r="N114" s="307" t="n"/>
      <c r="O114" s="307" t="n"/>
      <c r="P114" s="307" t="n"/>
      <c r="Q114" s="307" t="n"/>
      <c r="R114" s="307" t="n"/>
      <c r="S114" s="307" t="n"/>
      <c r="T114" s="307" t="n"/>
      <c r="U114" s="307" t="n"/>
      <c r="V114" s="307" t="n"/>
      <c r="W114" s="307" t="n"/>
      <c r="X114" s="307" t="n"/>
      <c r="Y114" s="307" t="n"/>
      <c r="Z114" s="307" t="n"/>
      <c r="AA114" s="307" t="n"/>
      <c r="AB114" s="307" t="n"/>
      <c r="AC114" s="307" t="n"/>
      <c r="AD114" s="307" t="n"/>
      <c r="AE114" s="307" t="n"/>
      <c r="AF114" s="307" t="n"/>
      <c r="AG114" s="307" t="n"/>
      <c r="AH114" s="307" t="n"/>
      <c r="AI114" s="307" t="n"/>
      <c r="AJ114" s="307" t="n"/>
      <c r="AK114" s="307" t="n"/>
      <c r="AL114" s="307" t="n"/>
      <c r="AM114" s="307" t="n"/>
      <c r="AN114" s="307" t="n"/>
      <c r="AO114" s="307" t="n"/>
      <c r="AP114" s="307" t="n"/>
      <c r="AQ114" s="307" t="n"/>
      <c r="AR114" s="307" t="n"/>
      <c r="AS114" s="307" t="n"/>
      <c r="AT114" s="307" t="n"/>
    </row>
    <row r="115" ht="15.75" customHeight="1" s="349">
      <c r="A115" s="307" t="n"/>
      <c r="B115" s="307" t="n"/>
      <c r="C115" s="307" t="n"/>
      <c r="D115" s="307" t="n"/>
      <c r="E115" s="307" t="n"/>
      <c r="F115" s="307" t="n"/>
      <c r="G115" s="307" t="n"/>
      <c r="H115" s="307" t="n"/>
      <c r="I115" s="307" t="n"/>
      <c r="J115" s="307" t="n"/>
      <c r="K115" s="307" t="n"/>
      <c r="L115" s="307" t="n"/>
      <c r="M115" s="307" t="n"/>
      <c r="N115" s="307" t="n"/>
      <c r="O115" s="307" t="n"/>
      <c r="P115" s="307" t="n"/>
      <c r="Q115" s="307" t="n"/>
      <c r="R115" s="307" t="n"/>
      <c r="S115" s="307" t="n"/>
      <c r="T115" s="307" t="n"/>
      <c r="U115" s="307" t="n"/>
      <c r="V115" s="307" t="n"/>
      <c r="W115" s="307" t="n"/>
      <c r="X115" s="307" t="n"/>
      <c r="Y115" s="307" t="n"/>
      <c r="Z115" s="307" t="n"/>
      <c r="AA115" s="307" t="n"/>
      <c r="AB115" s="307" t="n"/>
      <c r="AC115" s="307" t="n"/>
      <c r="AD115" s="307" t="n"/>
      <c r="AE115" s="307" t="n"/>
      <c r="AF115" s="307" t="n"/>
      <c r="AG115" s="307" t="n"/>
      <c r="AH115" s="307" t="n"/>
      <c r="AI115" s="307" t="n"/>
      <c r="AJ115" s="307" t="n"/>
      <c r="AK115" s="307" t="n"/>
      <c r="AL115" s="307" t="n"/>
      <c r="AM115" s="307" t="n"/>
      <c r="AN115" s="307" t="n"/>
      <c r="AO115" s="307" t="n"/>
      <c r="AP115" s="307" t="n"/>
      <c r="AQ115" s="307" t="n"/>
      <c r="AR115" s="307" t="n"/>
      <c r="AS115" s="307" t="n"/>
      <c r="AT115" s="307" t="n"/>
    </row>
    <row r="116" ht="15.75" customHeight="1" s="349">
      <c r="A116" s="307" t="n"/>
      <c r="B116" s="307" t="n"/>
      <c r="C116" s="307" t="n"/>
      <c r="D116" s="307" t="n"/>
      <c r="E116" s="307" t="n"/>
      <c r="F116" s="307" t="n"/>
      <c r="G116" s="307" t="n"/>
      <c r="H116" s="307" t="n"/>
      <c r="I116" s="307" t="n"/>
      <c r="J116" s="307" t="n"/>
      <c r="K116" s="307" t="n"/>
      <c r="L116" s="307" t="n"/>
      <c r="M116" s="307" t="n"/>
      <c r="N116" s="307" t="n"/>
      <c r="O116" s="307" t="n"/>
      <c r="P116" s="307" t="n"/>
      <c r="Q116" s="307" t="n"/>
      <c r="R116" s="307" t="n"/>
      <c r="S116" s="307" t="n"/>
      <c r="T116" s="307" t="n"/>
      <c r="U116" s="307" t="n"/>
      <c r="V116" s="307" t="n"/>
      <c r="W116" s="307" t="n"/>
      <c r="X116" s="307" t="n"/>
      <c r="Y116" s="307" t="n"/>
      <c r="Z116" s="307" t="n"/>
      <c r="AA116" s="307" t="n"/>
      <c r="AB116" s="307" t="n"/>
      <c r="AC116" s="307" t="n"/>
      <c r="AD116" s="307" t="n"/>
      <c r="AE116" s="307" t="n"/>
      <c r="AF116" s="307" t="n"/>
      <c r="AG116" s="307" t="n"/>
      <c r="AH116" s="307" t="n"/>
      <c r="AI116" s="307" t="n"/>
      <c r="AJ116" s="307" t="n"/>
      <c r="AK116" s="307" t="n"/>
      <c r="AL116" s="307" t="n"/>
      <c r="AM116" s="307" t="n"/>
      <c r="AN116" s="307" t="n"/>
      <c r="AO116" s="307" t="n"/>
      <c r="AP116" s="307" t="n"/>
      <c r="AQ116" s="307" t="n"/>
      <c r="AR116" s="307" t="n"/>
      <c r="AS116" s="307" t="n"/>
      <c r="AT116" s="307" t="n"/>
    </row>
    <row r="117" ht="15.75" customHeight="1" s="349">
      <c r="A117" s="307" t="n"/>
      <c r="B117" s="307" t="n"/>
      <c r="C117" s="307" t="n"/>
      <c r="D117" s="307" t="n"/>
      <c r="E117" s="307" t="n"/>
      <c r="F117" s="307" t="n"/>
      <c r="G117" s="307" t="n"/>
      <c r="H117" s="307" t="n"/>
      <c r="I117" s="307" t="n"/>
      <c r="J117" s="307" t="n"/>
      <c r="K117" s="307" t="n"/>
      <c r="L117" s="307" t="n"/>
      <c r="M117" s="307" t="n"/>
      <c r="N117" s="307" t="n"/>
      <c r="O117" s="307" t="n"/>
      <c r="P117" s="307" t="n"/>
      <c r="Q117" s="307" t="n"/>
      <c r="R117" s="307" t="n"/>
      <c r="S117" s="307" t="n"/>
      <c r="T117" s="307" t="n"/>
      <c r="U117" s="307" t="n"/>
      <c r="V117" s="307" t="n"/>
      <c r="W117" s="307" t="n"/>
      <c r="X117" s="307" t="n"/>
      <c r="Y117" s="307" t="n"/>
      <c r="Z117" s="307" t="n"/>
      <c r="AA117" s="307" t="n"/>
      <c r="AB117" s="307" t="n"/>
      <c r="AC117" s="307" t="n"/>
      <c r="AD117" s="307" t="n"/>
      <c r="AE117" s="307" t="n"/>
      <c r="AF117" s="307" t="n"/>
      <c r="AG117" s="307" t="n"/>
      <c r="AH117" s="307" t="n"/>
      <c r="AI117" s="307" t="n"/>
      <c r="AJ117" s="307" t="n"/>
      <c r="AK117" s="307" t="n"/>
      <c r="AL117" s="307" t="n"/>
      <c r="AM117" s="307" t="n"/>
      <c r="AN117" s="307" t="n"/>
      <c r="AO117" s="307" t="n"/>
      <c r="AP117" s="307" t="n"/>
      <c r="AQ117" s="307" t="n"/>
      <c r="AR117" s="307" t="n"/>
      <c r="AS117" s="307" t="n"/>
      <c r="AT117" s="307" t="n"/>
    </row>
    <row r="118" ht="15.75" customHeight="1" s="349">
      <c r="A118" s="307" t="n"/>
      <c r="B118" s="307" t="n"/>
      <c r="C118" s="307" t="n"/>
      <c r="D118" s="307" t="n"/>
      <c r="E118" s="307" t="n"/>
      <c r="F118" s="307" t="n"/>
      <c r="G118" s="307" t="n"/>
      <c r="H118" s="307" t="n"/>
      <c r="I118" s="307" t="n"/>
      <c r="J118" s="307" t="n"/>
      <c r="K118" s="307" t="n"/>
      <c r="L118" s="307" t="n"/>
      <c r="M118" s="307" t="n"/>
      <c r="N118" s="307" t="n"/>
      <c r="O118" s="307" t="n"/>
      <c r="P118" s="307" t="n"/>
      <c r="Q118" s="307" t="n"/>
      <c r="R118" s="307" t="n"/>
      <c r="S118" s="307" t="n"/>
      <c r="T118" s="307" t="n"/>
      <c r="U118" s="307" t="n"/>
      <c r="V118" s="307" t="n"/>
      <c r="W118" s="307" t="n"/>
      <c r="X118" s="307" t="n"/>
      <c r="Y118" s="307" t="n"/>
      <c r="Z118" s="307" t="n"/>
      <c r="AA118" s="307" t="n"/>
      <c r="AB118" s="307" t="n"/>
      <c r="AC118" s="307" t="n"/>
      <c r="AD118" s="307" t="n"/>
      <c r="AE118" s="307" t="n"/>
      <c r="AF118" s="307" t="n"/>
      <c r="AG118" s="307" t="n"/>
      <c r="AH118" s="307" t="n"/>
      <c r="AI118" s="307" t="n"/>
      <c r="AJ118" s="307" t="n"/>
      <c r="AK118" s="307" t="n"/>
      <c r="AL118" s="307" t="n"/>
      <c r="AM118" s="307" t="n"/>
      <c r="AN118" s="307" t="n"/>
      <c r="AO118" s="307" t="n"/>
      <c r="AP118" s="307" t="n"/>
      <c r="AQ118" s="307" t="n"/>
      <c r="AR118" s="307" t="n"/>
      <c r="AS118" s="307" t="n"/>
      <c r="AT118" s="307" t="n"/>
    </row>
    <row r="119" ht="15.75" customHeight="1" s="349">
      <c r="A119" s="307" t="n"/>
      <c r="B119" s="307" t="n"/>
      <c r="C119" s="307" t="n"/>
      <c r="D119" s="307" t="n"/>
      <c r="E119" s="307" t="n"/>
      <c r="F119" s="307" t="n"/>
      <c r="G119" s="307" t="n"/>
      <c r="H119" s="307" t="n"/>
      <c r="I119" s="307" t="n"/>
      <c r="J119" s="307" t="n"/>
      <c r="K119" s="307" t="n"/>
      <c r="L119" s="307" t="n"/>
      <c r="M119" s="307" t="n"/>
      <c r="N119" s="307" t="n"/>
      <c r="O119" s="307" t="n"/>
      <c r="P119" s="307" t="n"/>
      <c r="Q119" s="307" t="n"/>
      <c r="R119" s="307" t="n"/>
      <c r="S119" s="307" t="n"/>
      <c r="T119" s="307" t="n"/>
      <c r="U119" s="307" t="n"/>
      <c r="V119" s="307" t="n"/>
      <c r="W119" s="307" t="n"/>
      <c r="X119" s="307" t="n"/>
      <c r="Y119" s="307" t="n"/>
      <c r="Z119" s="307" t="n"/>
      <c r="AA119" s="307" t="n"/>
      <c r="AB119" s="307" t="n"/>
      <c r="AC119" s="307" t="n"/>
      <c r="AD119" s="307" t="n"/>
      <c r="AE119" s="307" t="n"/>
      <c r="AF119" s="307" t="n"/>
      <c r="AG119" s="307" t="n"/>
      <c r="AH119" s="307" t="n"/>
      <c r="AI119" s="307" t="n"/>
      <c r="AJ119" s="307" t="n"/>
      <c r="AK119" s="307" t="n"/>
      <c r="AL119" s="307" t="n"/>
      <c r="AM119" s="307" t="n"/>
      <c r="AN119" s="307" t="n"/>
      <c r="AO119" s="307" t="n"/>
      <c r="AP119" s="307" t="n"/>
      <c r="AQ119" s="307" t="n"/>
      <c r="AR119" s="307" t="n"/>
      <c r="AS119" s="307" t="n"/>
      <c r="AT119" s="307" t="n"/>
    </row>
    <row r="120" ht="15.75" customHeight="1" s="349">
      <c r="A120" s="307" t="n"/>
      <c r="B120" s="307" t="n"/>
      <c r="C120" s="307" t="n"/>
      <c r="D120" s="307" t="n"/>
      <c r="E120" s="307" t="n"/>
      <c r="F120" s="307" t="n"/>
      <c r="G120" s="307" t="n"/>
      <c r="H120" s="307" t="n"/>
      <c r="I120" s="307" t="n"/>
      <c r="J120" s="307" t="n"/>
      <c r="K120" s="307" t="n"/>
      <c r="L120" s="307" t="n"/>
      <c r="M120" s="307" t="n"/>
      <c r="N120" s="307" t="n"/>
      <c r="O120" s="307" t="n"/>
      <c r="P120" s="307" t="n"/>
      <c r="Q120" s="307" t="n"/>
      <c r="R120" s="307" t="n"/>
      <c r="S120" s="307" t="n"/>
      <c r="T120" s="307" t="n"/>
      <c r="U120" s="307" t="n"/>
      <c r="V120" s="307" t="n"/>
      <c r="W120" s="307" t="n"/>
      <c r="X120" s="307" t="n"/>
      <c r="Y120" s="307" t="n"/>
      <c r="Z120" s="307" t="n"/>
      <c r="AA120" s="307" t="n"/>
      <c r="AB120" s="307" t="n"/>
      <c r="AC120" s="307" t="n"/>
      <c r="AD120" s="307" t="n"/>
      <c r="AE120" s="307" t="n"/>
      <c r="AF120" s="307" t="n"/>
      <c r="AG120" s="307" t="n"/>
      <c r="AH120" s="307" t="n"/>
      <c r="AI120" s="307" t="n"/>
      <c r="AJ120" s="307" t="n"/>
      <c r="AK120" s="307" t="n"/>
      <c r="AL120" s="307" t="n"/>
      <c r="AM120" s="307" t="n"/>
      <c r="AN120" s="307" t="n"/>
      <c r="AO120" s="307" t="n"/>
      <c r="AP120" s="307" t="n"/>
      <c r="AQ120" s="307" t="n"/>
      <c r="AR120" s="307" t="n"/>
      <c r="AS120" s="307" t="n"/>
      <c r="AT120" s="307" t="n"/>
    </row>
    <row r="121" ht="15.75" customHeight="1" s="349">
      <c r="A121" s="307" t="n"/>
      <c r="B121" s="307" t="n"/>
      <c r="C121" s="307" t="n"/>
      <c r="D121" s="307" t="n"/>
      <c r="E121" s="307" t="n"/>
      <c r="F121" s="307" t="n"/>
      <c r="G121" s="307" t="n"/>
      <c r="H121" s="307" t="n"/>
      <c r="I121" s="307" t="n"/>
      <c r="J121" s="307" t="n"/>
      <c r="K121" s="307" t="n"/>
      <c r="L121" s="307" t="n"/>
      <c r="M121" s="307" t="n"/>
      <c r="N121" s="307" t="n"/>
      <c r="O121" s="307" t="n"/>
      <c r="P121" s="307" t="n"/>
      <c r="Q121" s="307" t="n"/>
      <c r="R121" s="307" t="n"/>
      <c r="S121" s="307" t="n"/>
      <c r="T121" s="307" t="n"/>
      <c r="U121" s="307" t="n"/>
      <c r="V121" s="307" t="n"/>
      <c r="W121" s="307" t="n"/>
      <c r="X121" s="307" t="n"/>
      <c r="Y121" s="307" t="n"/>
      <c r="Z121" s="307" t="n"/>
      <c r="AA121" s="307" t="n"/>
      <c r="AB121" s="307" t="n"/>
      <c r="AC121" s="307" t="n"/>
      <c r="AD121" s="307" t="n"/>
      <c r="AE121" s="307" t="n"/>
      <c r="AF121" s="307" t="n"/>
      <c r="AG121" s="307" t="n"/>
      <c r="AH121" s="307" t="n"/>
      <c r="AI121" s="307" t="n"/>
      <c r="AJ121" s="307" t="n"/>
      <c r="AK121" s="307" t="n"/>
      <c r="AL121" s="307" t="n"/>
      <c r="AM121" s="307" t="n"/>
      <c r="AN121" s="307" t="n"/>
      <c r="AO121" s="307" t="n"/>
      <c r="AP121" s="307" t="n"/>
      <c r="AQ121" s="307" t="n"/>
      <c r="AR121" s="307" t="n"/>
      <c r="AS121" s="307" t="n"/>
      <c r="AT121" s="307" t="n"/>
    </row>
    <row r="122" ht="15.75" customHeight="1" s="349">
      <c r="A122" s="307" t="n"/>
      <c r="B122" s="307" t="n"/>
      <c r="C122" s="307" t="n"/>
      <c r="D122" s="307" t="n"/>
      <c r="E122" s="307" t="n"/>
      <c r="F122" s="307" t="n"/>
      <c r="G122" s="307" t="n"/>
      <c r="H122" s="307" t="n"/>
      <c r="I122" s="307" t="n"/>
      <c r="J122" s="307" t="n"/>
      <c r="K122" s="307" t="n"/>
      <c r="L122" s="307" t="n"/>
      <c r="M122" s="307" t="n"/>
      <c r="N122" s="307" t="n"/>
      <c r="O122" s="307" t="n"/>
      <c r="P122" s="307" t="n"/>
      <c r="Q122" s="307" t="n"/>
      <c r="R122" s="307" t="n"/>
      <c r="S122" s="307" t="n"/>
      <c r="T122" s="307" t="n"/>
      <c r="U122" s="307" t="n"/>
      <c r="V122" s="307" t="n"/>
      <c r="W122" s="307" t="n"/>
      <c r="X122" s="307" t="n"/>
      <c r="Y122" s="307" t="n"/>
      <c r="Z122" s="307" t="n"/>
      <c r="AA122" s="307" t="n"/>
      <c r="AB122" s="307" t="n"/>
      <c r="AC122" s="307" t="n"/>
      <c r="AD122" s="307" t="n"/>
      <c r="AE122" s="307" t="n"/>
      <c r="AF122" s="307" t="n"/>
      <c r="AG122" s="307" t="n"/>
      <c r="AH122" s="307" t="n"/>
      <c r="AI122" s="307" t="n"/>
      <c r="AJ122" s="307" t="n"/>
      <c r="AK122" s="307" t="n"/>
      <c r="AL122" s="307" t="n"/>
      <c r="AM122" s="307" t="n"/>
      <c r="AN122" s="307" t="n"/>
      <c r="AO122" s="307" t="n"/>
      <c r="AP122" s="307" t="n"/>
      <c r="AQ122" s="307" t="n"/>
      <c r="AR122" s="307" t="n"/>
      <c r="AS122" s="307" t="n"/>
      <c r="AT122" s="307" t="n"/>
    </row>
    <row r="123" ht="15.75" customHeight="1" s="349">
      <c r="A123" s="307" t="n"/>
      <c r="B123" s="307" t="n"/>
      <c r="C123" s="307" t="n"/>
      <c r="D123" s="307" t="n"/>
      <c r="E123" s="307" t="n"/>
      <c r="F123" s="307" t="n"/>
      <c r="G123" s="307" t="n"/>
      <c r="H123" s="307" t="n"/>
      <c r="I123" s="307" t="n"/>
      <c r="J123" s="307" t="n"/>
      <c r="K123" s="307" t="n"/>
      <c r="L123" s="307" t="n"/>
      <c r="M123" s="307" t="n"/>
      <c r="N123" s="307" t="n"/>
      <c r="O123" s="307" t="n"/>
      <c r="P123" s="307" t="n"/>
      <c r="Q123" s="307" t="n"/>
      <c r="R123" s="307" t="n"/>
      <c r="S123" s="307" t="n"/>
      <c r="T123" s="307" t="n"/>
      <c r="U123" s="307" t="n"/>
      <c r="V123" s="307" t="n"/>
      <c r="W123" s="307" t="n"/>
      <c r="X123" s="307" t="n"/>
      <c r="Y123" s="307" t="n"/>
      <c r="Z123" s="307" t="n"/>
      <c r="AA123" s="307" t="n"/>
      <c r="AB123" s="307" t="n"/>
      <c r="AC123" s="307" t="n"/>
      <c r="AD123" s="307" t="n"/>
      <c r="AE123" s="307" t="n"/>
      <c r="AF123" s="307" t="n"/>
      <c r="AG123" s="307" t="n"/>
      <c r="AH123" s="307" t="n"/>
      <c r="AI123" s="307" t="n"/>
      <c r="AJ123" s="307" t="n"/>
      <c r="AK123" s="307" t="n"/>
      <c r="AL123" s="307" t="n"/>
      <c r="AM123" s="307" t="n"/>
      <c r="AN123" s="307" t="n"/>
      <c r="AO123" s="307" t="n"/>
      <c r="AP123" s="307" t="n"/>
      <c r="AQ123" s="307" t="n"/>
      <c r="AR123" s="307" t="n"/>
      <c r="AS123" s="307" t="n"/>
      <c r="AT123" s="307" t="n"/>
    </row>
    <row r="124" ht="15.75" customHeight="1" s="349">
      <c r="A124" s="307" t="n"/>
      <c r="B124" s="307" t="n"/>
      <c r="C124" s="307" t="n"/>
      <c r="D124" s="307" t="n"/>
      <c r="E124" s="307" t="n"/>
      <c r="F124" s="307" t="n"/>
      <c r="G124" s="307" t="n"/>
      <c r="H124" s="307" t="n"/>
      <c r="I124" s="307" t="n"/>
      <c r="J124" s="307" t="n"/>
      <c r="K124" s="307" t="n"/>
      <c r="L124" s="307" t="n"/>
      <c r="M124" s="307" t="n"/>
      <c r="N124" s="307" t="n"/>
      <c r="O124" s="307" t="n"/>
      <c r="P124" s="307" t="n"/>
      <c r="Q124" s="307" t="n"/>
      <c r="R124" s="307" t="n"/>
      <c r="S124" s="307" t="n"/>
      <c r="T124" s="307" t="n"/>
      <c r="U124" s="307" t="n"/>
      <c r="V124" s="307" t="n"/>
      <c r="W124" s="307" t="n"/>
      <c r="X124" s="307" t="n"/>
      <c r="Y124" s="307" t="n"/>
      <c r="Z124" s="307" t="n"/>
      <c r="AA124" s="307" t="n"/>
      <c r="AB124" s="307" t="n"/>
      <c r="AC124" s="307" t="n"/>
      <c r="AD124" s="307" t="n"/>
      <c r="AE124" s="307" t="n"/>
      <c r="AF124" s="307" t="n"/>
      <c r="AG124" s="307" t="n"/>
      <c r="AH124" s="307" t="n"/>
      <c r="AI124" s="307" t="n"/>
      <c r="AJ124" s="307" t="n"/>
      <c r="AK124" s="307" t="n"/>
      <c r="AL124" s="307" t="n"/>
      <c r="AM124" s="307" t="n"/>
      <c r="AN124" s="307" t="n"/>
      <c r="AO124" s="307" t="n"/>
      <c r="AP124" s="307" t="n"/>
      <c r="AQ124" s="307" t="n"/>
      <c r="AR124" s="307" t="n"/>
      <c r="AS124" s="307" t="n"/>
      <c r="AT124" s="307" t="n"/>
    </row>
    <row r="125" ht="15.75" customHeight="1" s="349">
      <c r="A125" s="307" t="n"/>
      <c r="B125" s="307" t="n"/>
      <c r="C125" s="307" t="n"/>
      <c r="D125" s="307" t="n"/>
      <c r="E125" s="307" t="n"/>
      <c r="F125" s="307" t="n"/>
      <c r="G125" s="307" t="n"/>
      <c r="H125" s="307" t="n"/>
      <c r="I125" s="307" t="n"/>
      <c r="J125" s="307" t="n"/>
      <c r="K125" s="307" t="n"/>
      <c r="L125" s="307" t="n"/>
      <c r="M125" s="307" t="n"/>
      <c r="N125" s="307" t="n"/>
      <c r="O125" s="307" t="n"/>
      <c r="P125" s="307" t="n"/>
      <c r="Q125" s="307" t="n"/>
      <c r="R125" s="307" t="n"/>
      <c r="S125" s="307" t="n"/>
      <c r="T125" s="307" t="n"/>
      <c r="U125" s="307" t="n"/>
      <c r="V125" s="307" t="n"/>
      <c r="W125" s="307" t="n"/>
      <c r="X125" s="307" t="n"/>
      <c r="Y125" s="307" t="n"/>
      <c r="Z125" s="307" t="n"/>
      <c r="AA125" s="307" t="n"/>
      <c r="AB125" s="307" t="n"/>
      <c r="AC125" s="307" t="n"/>
      <c r="AD125" s="307" t="n"/>
      <c r="AE125" s="307" t="n"/>
      <c r="AF125" s="307" t="n"/>
      <c r="AG125" s="307" t="n"/>
      <c r="AH125" s="307" t="n"/>
      <c r="AI125" s="307" t="n"/>
      <c r="AJ125" s="307" t="n"/>
      <c r="AK125" s="307" t="n"/>
      <c r="AL125" s="307" t="n"/>
      <c r="AM125" s="307" t="n"/>
      <c r="AN125" s="307" t="n"/>
      <c r="AO125" s="307" t="n"/>
      <c r="AP125" s="307" t="n"/>
      <c r="AQ125" s="307" t="n"/>
      <c r="AR125" s="307" t="n"/>
      <c r="AS125" s="307" t="n"/>
      <c r="AT125" s="307" t="n"/>
    </row>
    <row r="126" ht="15.75" customHeight="1" s="349">
      <c r="A126" s="307" t="n"/>
      <c r="B126" s="307" t="n"/>
      <c r="C126" s="307" t="n"/>
      <c r="D126" s="307" t="n"/>
      <c r="E126" s="307" t="n"/>
      <c r="F126" s="307" t="n"/>
      <c r="G126" s="307" t="n"/>
      <c r="H126" s="307" t="n"/>
      <c r="I126" s="307" t="n"/>
      <c r="J126" s="307" t="n"/>
      <c r="K126" s="307" t="n"/>
      <c r="L126" s="307" t="n"/>
      <c r="M126" s="307" t="n"/>
      <c r="N126" s="307" t="n"/>
      <c r="O126" s="307" t="n"/>
      <c r="P126" s="307" t="n"/>
      <c r="Q126" s="307" t="n"/>
      <c r="R126" s="307" t="n"/>
      <c r="S126" s="307" t="n"/>
      <c r="T126" s="307" t="n"/>
      <c r="U126" s="307" t="n"/>
      <c r="V126" s="307" t="n"/>
      <c r="W126" s="307" t="n"/>
      <c r="X126" s="307" t="n"/>
      <c r="Y126" s="307" t="n"/>
      <c r="Z126" s="307" t="n"/>
      <c r="AA126" s="307" t="n"/>
      <c r="AB126" s="307" t="n"/>
      <c r="AC126" s="307" t="n"/>
      <c r="AD126" s="307" t="n"/>
      <c r="AE126" s="307" t="n"/>
      <c r="AF126" s="307" t="n"/>
      <c r="AG126" s="307" t="n"/>
      <c r="AH126" s="307" t="n"/>
      <c r="AI126" s="307" t="n"/>
      <c r="AJ126" s="307" t="n"/>
      <c r="AK126" s="307" t="n"/>
      <c r="AL126" s="307" t="n"/>
      <c r="AM126" s="307" t="n"/>
      <c r="AN126" s="307" t="n"/>
      <c r="AO126" s="307" t="n"/>
      <c r="AP126" s="307" t="n"/>
      <c r="AQ126" s="307" t="n"/>
      <c r="AR126" s="307" t="n"/>
      <c r="AS126" s="307" t="n"/>
      <c r="AT126" s="307" t="n"/>
    </row>
    <row r="127" ht="15.75" customHeight="1" s="349">
      <c r="A127" s="307" t="n"/>
      <c r="B127" s="307" t="n"/>
      <c r="C127" s="307" t="n"/>
      <c r="D127" s="307" t="n"/>
      <c r="E127" s="307" t="n"/>
      <c r="F127" s="307" t="n"/>
      <c r="G127" s="307" t="n"/>
      <c r="H127" s="307" t="n"/>
      <c r="I127" s="307" t="n"/>
      <c r="J127" s="307" t="n"/>
      <c r="K127" s="307" t="n"/>
      <c r="L127" s="307" t="n"/>
      <c r="M127" s="307" t="n"/>
      <c r="N127" s="307" t="n"/>
      <c r="O127" s="307" t="n"/>
      <c r="P127" s="307" t="n"/>
      <c r="Q127" s="307" t="n"/>
      <c r="R127" s="307" t="n"/>
      <c r="S127" s="307" t="n"/>
      <c r="T127" s="307" t="n"/>
      <c r="U127" s="307" t="n"/>
      <c r="V127" s="307" t="n"/>
      <c r="W127" s="307" t="n"/>
      <c r="X127" s="307" t="n"/>
      <c r="Y127" s="307" t="n"/>
      <c r="Z127" s="307" t="n"/>
      <c r="AA127" s="307" t="n"/>
      <c r="AB127" s="307" t="n"/>
      <c r="AC127" s="307" t="n"/>
      <c r="AD127" s="307" t="n"/>
      <c r="AE127" s="307" t="n"/>
      <c r="AF127" s="307" t="n"/>
      <c r="AG127" s="307" t="n"/>
      <c r="AH127" s="307" t="n"/>
      <c r="AI127" s="307" t="n"/>
      <c r="AJ127" s="307" t="n"/>
      <c r="AK127" s="307" t="n"/>
      <c r="AL127" s="307" t="n"/>
      <c r="AM127" s="307" t="n"/>
      <c r="AN127" s="307" t="n"/>
      <c r="AO127" s="307" t="n"/>
      <c r="AP127" s="307" t="n"/>
      <c r="AQ127" s="307" t="n"/>
      <c r="AR127" s="307" t="n"/>
      <c r="AS127" s="307" t="n"/>
      <c r="AT127" s="307" t="n"/>
    </row>
    <row r="128" ht="15.75" customHeight="1" s="349">
      <c r="A128" s="307" t="n"/>
      <c r="B128" s="307" t="n"/>
      <c r="C128" s="307" t="n"/>
      <c r="D128" s="307" t="n"/>
      <c r="E128" s="307" t="n"/>
      <c r="F128" s="307" t="n"/>
      <c r="G128" s="307" t="n"/>
      <c r="H128" s="307" t="n"/>
      <c r="I128" s="307" t="n"/>
      <c r="J128" s="307" t="n"/>
      <c r="K128" s="307" t="n"/>
      <c r="L128" s="307" t="n"/>
      <c r="M128" s="307" t="n"/>
      <c r="N128" s="307" t="n"/>
      <c r="O128" s="307" t="n"/>
      <c r="P128" s="307" t="n"/>
      <c r="Q128" s="307" t="n"/>
      <c r="R128" s="307" t="n"/>
      <c r="S128" s="307" t="n"/>
      <c r="T128" s="307" t="n"/>
      <c r="U128" s="307" t="n"/>
      <c r="V128" s="307" t="n"/>
      <c r="W128" s="307" t="n"/>
      <c r="X128" s="307" t="n"/>
      <c r="Y128" s="307" t="n"/>
      <c r="Z128" s="307" t="n"/>
      <c r="AA128" s="307" t="n"/>
      <c r="AB128" s="307" t="n"/>
      <c r="AC128" s="307" t="n"/>
      <c r="AD128" s="307" t="n"/>
      <c r="AE128" s="307" t="n"/>
      <c r="AF128" s="307" t="n"/>
      <c r="AG128" s="307" t="n"/>
      <c r="AH128" s="307" t="n"/>
      <c r="AI128" s="307" t="n"/>
      <c r="AJ128" s="307" t="n"/>
      <c r="AK128" s="307" t="n"/>
      <c r="AL128" s="307" t="n"/>
      <c r="AM128" s="307" t="n"/>
      <c r="AN128" s="307" t="n"/>
      <c r="AO128" s="307" t="n"/>
      <c r="AP128" s="307" t="n"/>
      <c r="AQ128" s="307" t="n"/>
      <c r="AR128" s="307" t="n"/>
      <c r="AS128" s="307" t="n"/>
      <c r="AT128" s="307" t="n"/>
    </row>
    <row r="129" ht="15.75" customHeight="1" s="349">
      <c r="A129" s="307" t="n"/>
      <c r="B129" s="307" t="n"/>
      <c r="C129" s="307" t="n"/>
      <c r="D129" s="307" t="n"/>
      <c r="E129" s="307" t="n"/>
      <c r="F129" s="307" t="n"/>
      <c r="G129" s="307" t="n"/>
      <c r="H129" s="307" t="n"/>
      <c r="I129" s="307" t="n"/>
      <c r="J129" s="307" t="n"/>
      <c r="K129" s="307" t="n"/>
      <c r="L129" s="307" t="n"/>
      <c r="M129" s="307" t="n"/>
      <c r="N129" s="307" t="n"/>
      <c r="O129" s="307" t="n"/>
      <c r="P129" s="307" t="n"/>
      <c r="Q129" s="307" t="n"/>
      <c r="R129" s="307" t="n"/>
      <c r="S129" s="307" t="n"/>
      <c r="T129" s="307" t="n"/>
      <c r="U129" s="307" t="n"/>
      <c r="V129" s="307" t="n"/>
      <c r="W129" s="307" t="n"/>
      <c r="X129" s="307" t="n"/>
      <c r="Y129" s="307" t="n"/>
      <c r="Z129" s="307" t="n"/>
      <c r="AA129" s="307" t="n"/>
      <c r="AB129" s="307" t="n"/>
      <c r="AC129" s="307" t="n"/>
      <c r="AD129" s="307" t="n"/>
      <c r="AE129" s="307" t="n"/>
      <c r="AF129" s="307" t="n"/>
      <c r="AG129" s="307" t="n"/>
      <c r="AH129" s="307" t="n"/>
      <c r="AI129" s="307" t="n"/>
      <c r="AJ129" s="307" t="n"/>
      <c r="AK129" s="307" t="n"/>
      <c r="AL129" s="307" t="n"/>
      <c r="AM129" s="307" t="n"/>
      <c r="AN129" s="307" t="n"/>
      <c r="AO129" s="307" t="n"/>
      <c r="AP129" s="307" t="n"/>
      <c r="AQ129" s="307" t="n"/>
      <c r="AR129" s="307" t="n"/>
      <c r="AS129" s="307" t="n"/>
      <c r="AT129" s="307" t="n"/>
    </row>
    <row r="130" ht="15.75" customHeight="1" s="349">
      <c r="A130" s="307" t="n"/>
      <c r="B130" s="307" t="n"/>
      <c r="C130" s="307" t="n"/>
      <c r="D130" s="307" t="n"/>
      <c r="E130" s="307" t="n"/>
      <c r="F130" s="307" t="n"/>
      <c r="G130" s="307" t="n"/>
      <c r="H130" s="307" t="n"/>
      <c r="I130" s="307" t="n"/>
      <c r="J130" s="307" t="n"/>
      <c r="K130" s="307" t="n"/>
      <c r="L130" s="307" t="n"/>
      <c r="M130" s="307" t="n"/>
      <c r="N130" s="307" t="n"/>
      <c r="O130" s="307" t="n"/>
      <c r="P130" s="307" t="n"/>
      <c r="Q130" s="307" t="n"/>
      <c r="R130" s="307" t="n"/>
      <c r="S130" s="307" t="n"/>
      <c r="T130" s="307" t="n"/>
      <c r="U130" s="307" t="n"/>
      <c r="V130" s="307" t="n"/>
      <c r="W130" s="307" t="n"/>
      <c r="X130" s="307" t="n"/>
      <c r="Y130" s="307" t="n"/>
      <c r="Z130" s="307" t="n"/>
      <c r="AA130" s="307" t="n"/>
      <c r="AB130" s="307" t="n"/>
      <c r="AC130" s="307" t="n"/>
      <c r="AD130" s="307" t="n"/>
      <c r="AE130" s="307" t="n"/>
      <c r="AF130" s="307" t="n"/>
      <c r="AG130" s="307" t="n"/>
      <c r="AH130" s="307" t="n"/>
      <c r="AI130" s="307" t="n"/>
      <c r="AJ130" s="307" t="n"/>
      <c r="AK130" s="307" t="n"/>
      <c r="AL130" s="307" t="n"/>
      <c r="AM130" s="307" t="n"/>
      <c r="AN130" s="307" t="n"/>
      <c r="AO130" s="307" t="n"/>
      <c r="AP130" s="307" t="n"/>
      <c r="AQ130" s="307" t="n"/>
      <c r="AR130" s="307" t="n"/>
      <c r="AS130" s="307" t="n"/>
      <c r="AT130" s="307" t="n"/>
    </row>
    <row r="131" ht="15.75" customHeight="1" s="349">
      <c r="A131" s="307" t="n"/>
      <c r="B131" s="307" t="n"/>
      <c r="C131" s="307" t="n"/>
      <c r="D131" s="307" t="n"/>
      <c r="E131" s="307" t="n"/>
      <c r="F131" s="307" t="n"/>
      <c r="G131" s="307" t="n"/>
      <c r="H131" s="307" t="n"/>
      <c r="I131" s="307" t="n"/>
      <c r="J131" s="307" t="n"/>
      <c r="K131" s="307" t="n"/>
      <c r="L131" s="307" t="n"/>
      <c r="M131" s="307" t="n"/>
      <c r="N131" s="307" t="n"/>
      <c r="O131" s="307" t="n"/>
      <c r="P131" s="307" t="n"/>
      <c r="Q131" s="307" t="n"/>
      <c r="R131" s="307" t="n"/>
      <c r="S131" s="307" t="n"/>
      <c r="T131" s="307" t="n"/>
      <c r="U131" s="307" t="n"/>
      <c r="V131" s="307" t="n"/>
      <c r="W131" s="307" t="n"/>
      <c r="X131" s="307" t="n"/>
      <c r="Y131" s="307" t="n"/>
      <c r="Z131" s="307" t="n"/>
      <c r="AA131" s="307" t="n"/>
      <c r="AB131" s="307" t="n"/>
      <c r="AC131" s="307" t="n"/>
      <c r="AD131" s="307" t="n"/>
      <c r="AE131" s="307" t="n"/>
      <c r="AF131" s="307" t="n"/>
      <c r="AG131" s="307" t="n"/>
      <c r="AH131" s="307" t="n"/>
      <c r="AI131" s="307" t="n"/>
      <c r="AJ131" s="307" t="n"/>
      <c r="AK131" s="307" t="n"/>
      <c r="AL131" s="307" t="n"/>
      <c r="AM131" s="307" t="n"/>
      <c r="AN131" s="307" t="n"/>
      <c r="AO131" s="307" t="n"/>
      <c r="AP131" s="307" t="n"/>
      <c r="AQ131" s="307" t="n"/>
      <c r="AR131" s="307" t="n"/>
      <c r="AS131" s="307" t="n"/>
      <c r="AT131" s="307" t="n"/>
    </row>
    <row r="132" ht="15.75" customHeight="1" s="349">
      <c r="A132" s="307" t="n"/>
      <c r="B132" s="307" t="n"/>
      <c r="C132" s="307" t="n"/>
      <c r="D132" s="307" t="n"/>
      <c r="E132" s="307" t="n"/>
      <c r="F132" s="307" t="n"/>
      <c r="G132" s="307" t="n"/>
      <c r="H132" s="307" t="n"/>
      <c r="I132" s="307" t="n"/>
      <c r="J132" s="307" t="n"/>
      <c r="K132" s="307" t="n"/>
      <c r="L132" s="307" t="n"/>
      <c r="M132" s="307" t="n"/>
      <c r="N132" s="307" t="n"/>
      <c r="O132" s="307" t="n"/>
      <c r="P132" s="307" t="n"/>
      <c r="Q132" s="307" t="n"/>
      <c r="R132" s="307" t="n"/>
      <c r="S132" s="307" t="n"/>
      <c r="T132" s="307" t="n"/>
      <c r="U132" s="307" t="n"/>
      <c r="V132" s="307" t="n"/>
      <c r="W132" s="307" t="n"/>
      <c r="X132" s="307" t="n"/>
      <c r="Y132" s="307" t="n"/>
      <c r="Z132" s="307" t="n"/>
      <c r="AA132" s="307" t="n"/>
      <c r="AB132" s="307" t="n"/>
      <c r="AC132" s="307" t="n"/>
      <c r="AD132" s="307" t="n"/>
      <c r="AE132" s="307" t="n"/>
      <c r="AF132" s="307" t="n"/>
      <c r="AG132" s="307" t="n"/>
      <c r="AH132" s="307" t="n"/>
      <c r="AI132" s="307" t="n"/>
      <c r="AJ132" s="307" t="n"/>
      <c r="AK132" s="307" t="n"/>
      <c r="AL132" s="307" t="n"/>
      <c r="AM132" s="307" t="n"/>
      <c r="AN132" s="307" t="n"/>
      <c r="AO132" s="307" t="n"/>
      <c r="AP132" s="307" t="n"/>
      <c r="AQ132" s="307" t="n"/>
      <c r="AR132" s="307" t="n"/>
      <c r="AS132" s="307" t="n"/>
      <c r="AT132" s="307" t="n"/>
    </row>
    <row r="133" ht="15.75" customHeight="1" s="349">
      <c r="A133" s="307" t="n"/>
      <c r="B133" s="307" t="n"/>
      <c r="C133" s="307" t="n"/>
      <c r="D133" s="307" t="n"/>
      <c r="E133" s="307" t="n"/>
      <c r="F133" s="307" t="n"/>
      <c r="G133" s="307" t="n"/>
      <c r="H133" s="307" t="n"/>
      <c r="I133" s="307" t="n"/>
      <c r="J133" s="307" t="n"/>
      <c r="K133" s="307" t="n"/>
      <c r="L133" s="307" t="n"/>
      <c r="M133" s="307" t="n"/>
      <c r="N133" s="307" t="n"/>
      <c r="O133" s="307" t="n"/>
      <c r="P133" s="307" t="n"/>
      <c r="Q133" s="307" t="n"/>
      <c r="R133" s="307" t="n"/>
      <c r="S133" s="307" t="n"/>
      <c r="T133" s="307" t="n"/>
      <c r="U133" s="307" t="n"/>
      <c r="V133" s="307" t="n"/>
      <c r="W133" s="307" t="n"/>
      <c r="X133" s="307" t="n"/>
      <c r="Y133" s="307" t="n"/>
      <c r="Z133" s="307" t="n"/>
      <c r="AA133" s="307" t="n"/>
      <c r="AB133" s="307" t="n"/>
      <c r="AC133" s="307" t="n"/>
      <c r="AD133" s="307" t="n"/>
      <c r="AE133" s="307" t="n"/>
      <c r="AF133" s="307" t="n"/>
      <c r="AG133" s="307" t="n"/>
      <c r="AH133" s="307" t="n"/>
      <c r="AI133" s="307" t="n"/>
      <c r="AJ133" s="307" t="n"/>
      <c r="AK133" s="307" t="n"/>
      <c r="AL133" s="307" t="n"/>
      <c r="AM133" s="307" t="n"/>
      <c r="AN133" s="307" t="n"/>
      <c r="AO133" s="307" t="n"/>
      <c r="AP133" s="307" t="n"/>
      <c r="AQ133" s="307" t="n"/>
      <c r="AR133" s="307" t="n"/>
      <c r="AS133" s="307" t="n"/>
      <c r="AT133" s="307" t="n"/>
    </row>
    <row r="134" ht="15.75" customHeight="1" s="349">
      <c r="A134" s="307" t="n"/>
      <c r="B134" s="307" t="n"/>
      <c r="C134" s="307" t="n"/>
      <c r="D134" s="307" t="n"/>
      <c r="E134" s="307" t="n"/>
      <c r="F134" s="307" t="n"/>
      <c r="G134" s="307" t="n"/>
      <c r="H134" s="307" t="n"/>
      <c r="I134" s="307" t="n"/>
      <c r="J134" s="307" t="n"/>
      <c r="K134" s="307" t="n"/>
      <c r="L134" s="307" t="n"/>
      <c r="M134" s="307" t="n"/>
      <c r="N134" s="307" t="n"/>
      <c r="O134" s="307" t="n"/>
      <c r="P134" s="307" t="n"/>
      <c r="Q134" s="307" t="n"/>
      <c r="R134" s="307" t="n"/>
      <c r="S134" s="307" t="n"/>
      <c r="T134" s="307" t="n"/>
      <c r="U134" s="307" t="n"/>
      <c r="V134" s="307" t="n"/>
      <c r="W134" s="307" t="n"/>
      <c r="X134" s="307" t="n"/>
      <c r="Y134" s="307" t="n"/>
      <c r="Z134" s="307" t="n"/>
      <c r="AA134" s="307" t="n"/>
      <c r="AB134" s="307" t="n"/>
      <c r="AC134" s="307" t="n"/>
      <c r="AD134" s="307" t="n"/>
      <c r="AE134" s="307" t="n"/>
      <c r="AF134" s="307" t="n"/>
      <c r="AG134" s="307" t="n"/>
      <c r="AH134" s="307" t="n"/>
      <c r="AI134" s="307" t="n"/>
      <c r="AJ134" s="307" t="n"/>
      <c r="AK134" s="307" t="n"/>
      <c r="AL134" s="307" t="n"/>
      <c r="AM134" s="307" t="n"/>
      <c r="AN134" s="307" t="n"/>
      <c r="AO134" s="307" t="n"/>
      <c r="AP134" s="307" t="n"/>
      <c r="AQ134" s="307" t="n"/>
      <c r="AR134" s="307" t="n"/>
      <c r="AS134" s="307" t="n"/>
      <c r="AT134" s="307" t="n"/>
    </row>
    <row r="135" ht="15.75" customHeight="1" s="349">
      <c r="A135" s="307" t="n"/>
      <c r="B135" s="307" t="n"/>
      <c r="C135" s="307" t="n"/>
      <c r="D135" s="307" t="n"/>
      <c r="E135" s="307" t="n"/>
      <c r="F135" s="307" t="n"/>
      <c r="G135" s="307" t="n"/>
      <c r="H135" s="307" t="n"/>
      <c r="I135" s="307" t="n"/>
      <c r="J135" s="307" t="n"/>
      <c r="K135" s="307" t="n"/>
      <c r="L135" s="307" t="n"/>
      <c r="M135" s="307" t="n"/>
      <c r="N135" s="307" t="n"/>
      <c r="O135" s="307" t="n"/>
      <c r="P135" s="307" t="n"/>
      <c r="Q135" s="307" t="n"/>
      <c r="R135" s="307" t="n"/>
      <c r="S135" s="307" t="n"/>
      <c r="T135" s="307" t="n"/>
      <c r="U135" s="307" t="n"/>
      <c r="V135" s="307" t="n"/>
      <c r="W135" s="307" t="n"/>
      <c r="X135" s="307" t="n"/>
      <c r="Y135" s="307" t="n"/>
      <c r="Z135" s="307" t="n"/>
      <c r="AA135" s="307" t="n"/>
      <c r="AB135" s="307" t="n"/>
      <c r="AC135" s="307" t="n"/>
      <c r="AD135" s="307" t="n"/>
      <c r="AE135" s="307" t="n"/>
      <c r="AF135" s="307" t="n"/>
      <c r="AG135" s="307" t="n"/>
      <c r="AH135" s="307" t="n"/>
      <c r="AI135" s="307" t="n"/>
      <c r="AJ135" s="307" t="n"/>
      <c r="AK135" s="307" t="n"/>
      <c r="AL135" s="307" t="n"/>
      <c r="AM135" s="307" t="n"/>
      <c r="AN135" s="307" t="n"/>
      <c r="AO135" s="307" t="n"/>
      <c r="AP135" s="307" t="n"/>
      <c r="AQ135" s="307" t="n"/>
      <c r="AR135" s="307" t="n"/>
      <c r="AS135" s="307" t="n"/>
      <c r="AT135" s="307" t="n"/>
    </row>
    <row r="136" ht="15.75" customHeight="1" s="349">
      <c r="A136" s="307" t="n"/>
      <c r="B136" s="307" t="n"/>
      <c r="C136" s="307" t="n"/>
      <c r="D136" s="307" t="n"/>
      <c r="E136" s="307" t="n"/>
      <c r="F136" s="307" t="n"/>
      <c r="G136" s="307" t="n"/>
      <c r="H136" s="307" t="n"/>
      <c r="I136" s="307" t="n"/>
      <c r="J136" s="307" t="n"/>
      <c r="K136" s="307" t="n"/>
      <c r="L136" s="307" t="n"/>
      <c r="M136" s="307" t="n"/>
      <c r="N136" s="307" t="n"/>
      <c r="O136" s="307" t="n"/>
      <c r="P136" s="307" t="n"/>
      <c r="Q136" s="307" t="n"/>
      <c r="R136" s="307" t="n"/>
      <c r="S136" s="307" t="n"/>
      <c r="T136" s="307" t="n"/>
      <c r="U136" s="307" t="n"/>
      <c r="V136" s="307" t="n"/>
      <c r="W136" s="307" t="n"/>
      <c r="X136" s="307" t="n"/>
      <c r="Y136" s="307" t="n"/>
      <c r="Z136" s="307" t="n"/>
      <c r="AA136" s="307" t="n"/>
      <c r="AB136" s="307" t="n"/>
      <c r="AC136" s="307" t="n"/>
      <c r="AD136" s="307" t="n"/>
      <c r="AE136" s="307" t="n"/>
      <c r="AF136" s="307" t="n"/>
      <c r="AG136" s="307" t="n"/>
      <c r="AH136" s="307" t="n"/>
      <c r="AI136" s="307" t="n"/>
      <c r="AJ136" s="307" t="n"/>
      <c r="AK136" s="307" t="n"/>
      <c r="AL136" s="307" t="n"/>
      <c r="AM136" s="307" t="n"/>
      <c r="AN136" s="307" t="n"/>
      <c r="AO136" s="307" t="n"/>
      <c r="AP136" s="307" t="n"/>
      <c r="AQ136" s="307" t="n"/>
      <c r="AR136" s="307" t="n"/>
      <c r="AS136" s="307" t="n"/>
      <c r="AT136" s="307" t="n"/>
    </row>
    <row r="137" ht="15.75" customHeight="1" s="349">
      <c r="A137" s="307" t="n"/>
      <c r="B137" s="307" t="n"/>
      <c r="C137" s="307" t="n"/>
      <c r="D137" s="307" t="n"/>
      <c r="E137" s="307" t="n"/>
      <c r="F137" s="307" t="n"/>
      <c r="G137" s="307" t="n"/>
      <c r="H137" s="307" t="n"/>
      <c r="I137" s="307" t="n"/>
      <c r="J137" s="307" t="n"/>
      <c r="K137" s="307" t="n"/>
      <c r="L137" s="307" t="n"/>
      <c r="M137" s="307" t="n"/>
      <c r="N137" s="307" t="n"/>
      <c r="O137" s="307" t="n"/>
      <c r="P137" s="307" t="n"/>
      <c r="Q137" s="307" t="n"/>
      <c r="R137" s="307" t="n"/>
      <c r="S137" s="307" t="n"/>
      <c r="T137" s="307" t="n"/>
      <c r="U137" s="307" t="n"/>
      <c r="V137" s="307" t="n"/>
      <c r="W137" s="307" t="n"/>
      <c r="X137" s="307" t="n"/>
      <c r="Y137" s="307" t="n"/>
      <c r="Z137" s="307" t="n"/>
      <c r="AA137" s="307" t="n"/>
      <c r="AB137" s="307" t="n"/>
      <c r="AC137" s="307" t="n"/>
      <c r="AD137" s="307" t="n"/>
      <c r="AE137" s="307" t="n"/>
      <c r="AF137" s="307" t="n"/>
      <c r="AG137" s="307" t="n"/>
      <c r="AH137" s="307" t="n"/>
      <c r="AI137" s="307" t="n"/>
      <c r="AJ137" s="307" t="n"/>
      <c r="AK137" s="307" t="n"/>
      <c r="AL137" s="307" t="n"/>
      <c r="AM137" s="307" t="n"/>
      <c r="AN137" s="307" t="n"/>
      <c r="AO137" s="307" t="n"/>
      <c r="AP137" s="307" t="n"/>
      <c r="AQ137" s="307" t="n"/>
      <c r="AR137" s="307" t="n"/>
      <c r="AS137" s="307" t="n"/>
      <c r="AT137" s="307" t="n"/>
    </row>
    <row r="138" ht="15.75" customHeight="1" s="349">
      <c r="A138" s="307" t="n"/>
      <c r="B138" s="307" t="n"/>
      <c r="C138" s="307" t="n"/>
      <c r="D138" s="307" t="n"/>
      <c r="E138" s="307" t="n"/>
      <c r="F138" s="307" t="n"/>
      <c r="G138" s="307" t="n"/>
      <c r="H138" s="307" t="n"/>
      <c r="I138" s="307" t="n"/>
      <c r="J138" s="307" t="n"/>
      <c r="K138" s="307" t="n"/>
      <c r="L138" s="307" t="n"/>
      <c r="M138" s="307" t="n"/>
      <c r="N138" s="307" t="n"/>
      <c r="O138" s="307" t="n"/>
      <c r="P138" s="307" t="n"/>
      <c r="Q138" s="307" t="n"/>
      <c r="R138" s="307" t="n"/>
      <c r="S138" s="307" t="n"/>
      <c r="T138" s="307" t="n"/>
      <c r="U138" s="307" t="n"/>
      <c r="V138" s="307" t="n"/>
      <c r="W138" s="307" t="n"/>
      <c r="X138" s="307" t="n"/>
      <c r="Y138" s="307" t="n"/>
      <c r="Z138" s="307" t="n"/>
      <c r="AA138" s="307" t="n"/>
      <c r="AB138" s="307" t="n"/>
      <c r="AC138" s="307" t="n"/>
      <c r="AD138" s="307" t="n"/>
      <c r="AE138" s="307" t="n"/>
      <c r="AF138" s="307" t="n"/>
      <c r="AG138" s="307" t="n"/>
      <c r="AH138" s="307" t="n"/>
      <c r="AI138" s="307" t="n"/>
      <c r="AJ138" s="307" t="n"/>
      <c r="AK138" s="307" t="n"/>
      <c r="AL138" s="307" t="n"/>
      <c r="AM138" s="307" t="n"/>
      <c r="AN138" s="307" t="n"/>
      <c r="AO138" s="307" t="n"/>
      <c r="AP138" s="307" t="n"/>
      <c r="AQ138" s="307" t="n"/>
      <c r="AR138" s="307" t="n"/>
      <c r="AS138" s="307" t="n"/>
      <c r="AT138" s="307" t="n"/>
    </row>
    <row r="139" ht="15.75" customHeight="1" s="349">
      <c r="A139" s="307" t="n"/>
      <c r="B139" s="307" t="n"/>
      <c r="C139" s="307" t="n"/>
      <c r="D139" s="307" t="n"/>
      <c r="E139" s="307" t="n"/>
      <c r="F139" s="307" t="n"/>
      <c r="G139" s="307" t="n"/>
      <c r="H139" s="307" t="n"/>
      <c r="I139" s="307" t="n"/>
      <c r="J139" s="307" t="n"/>
      <c r="K139" s="307" t="n"/>
      <c r="L139" s="307" t="n"/>
      <c r="M139" s="307" t="n"/>
      <c r="N139" s="307" t="n"/>
      <c r="O139" s="307" t="n"/>
      <c r="P139" s="307" t="n"/>
      <c r="Q139" s="307" t="n"/>
      <c r="R139" s="307" t="n"/>
      <c r="S139" s="307" t="n"/>
      <c r="T139" s="307" t="n"/>
      <c r="U139" s="307" t="n"/>
      <c r="V139" s="307" t="n"/>
      <c r="W139" s="307" t="n"/>
      <c r="X139" s="307" t="n"/>
      <c r="Y139" s="307" t="n"/>
      <c r="Z139" s="307" t="n"/>
      <c r="AA139" s="307" t="n"/>
      <c r="AB139" s="307" t="n"/>
      <c r="AC139" s="307" t="n"/>
      <c r="AD139" s="307" t="n"/>
      <c r="AE139" s="307" t="n"/>
      <c r="AF139" s="307" t="n"/>
      <c r="AG139" s="307" t="n"/>
      <c r="AH139" s="307" t="n"/>
      <c r="AI139" s="307" t="n"/>
      <c r="AJ139" s="307" t="n"/>
      <c r="AK139" s="307" t="n"/>
      <c r="AL139" s="307" t="n"/>
      <c r="AM139" s="307" t="n"/>
      <c r="AN139" s="307" t="n"/>
      <c r="AO139" s="307" t="n"/>
      <c r="AP139" s="307" t="n"/>
      <c r="AQ139" s="307" t="n"/>
      <c r="AR139" s="307" t="n"/>
      <c r="AS139" s="307" t="n"/>
      <c r="AT139" s="307" t="n"/>
    </row>
    <row r="140" ht="15.75" customHeight="1" s="349">
      <c r="A140" s="307" t="n"/>
      <c r="B140" s="307" t="n"/>
      <c r="C140" s="307" t="n"/>
      <c r="D140" s="307" t="n"/>
      <c r="E140" s="307" t="n"/>
      <c r="F140" s="307" t="n"/>
      <c r="G140" s="307" t="n"/>
      <c r="H140" s="307" t="n"/>
      <c r="I140" s="307" t="n"/>
      <c r="J140" s="307" t="n"/>
      <c r="K140" s="307" t="n"/>
      <c r="L140" s="307" t="n"/>
      <c r="M140" s="307" t="n"/>
      <c r="N140" s="307" t="n"/>
      <c r="O140" s="307" t="n"/>
      <c r="P140" s="307" t="n"/>
      <c r="Q140" s="307" t="n"/>
      <c r="R140" s="307" t="n"/>
      <c r="S140" s="307" t="n"/>
      <c r="T140" s="307" t="n"/>
      <c r="U140" s="307" t="n"/>
      <c r="V140" s="307" t="n"/>
      <c r="W140" s="307" t="n"/>
      <c r="X140" s="307" t="n"/>
      <c r="Y140" s="307" t="n"/>
      <c r="Z140" s="307" t="n"/>
      <c r="AA140" s="307" t="n"/>
      <c r="AB140" s="307" t="n"/>
      <c r="AC140" s="307" t="n"/>
      <c r="AD140" s="307" t="n"/>
      <c r="AE140" s="307" t="n"/>
      <c r="AF140" s="307" t="n"/>
      <c r="AG140" s="307" t="n"/>
      <c r="AH140" s="307" t="n"/>
      <c r="AI140" s="307" t="n"/>
      <c r="AJ140" s="307" t="n"/>
      <c r="AK140" s="307" t="n"/>
      <c r="AL140" s="307" t="n"/>
      <c r="AM140" s="307" t="n"/>
      <c r="AN140" s="307" t="n"/>
      <c r="AO140" s="307" t="n"/>
      <c r="AP140" s="307" t="n"/>
      <c r="AQ140" s="307" t="n"/>
      <c r="AR140" s="307" t="n"/>
      <c r="AS140" s="307" t="n"/>
      <c r="AT140" s="307" t="n"/>
    </row>
    <row r="141" ht="15.75" customHeight="1" s="349">
      <c r="A141" s="307" t="n"/>
      <c r="B141" s="307" t="n"/>
      <c r="C141" s="307" t="n"/>
      <c r="D141" s="307" t="n"/>
      <c r="E141" s="307" t="n"/>
      <c r="F141" s="307" t="n"/>
      <c r="G141" s="307" t="n"/>
      <c r="H141" s="307" t="n"/>
      <c r="I141" s="307" t="n"/>
      <c r="J141" s="307" t="n"/>
      <c r="K141" s="307" t="n"/>
      <c r="L141" s="307" t="n"/>
      <c r="M141" s="307" t="n"/>
      <c r="N141" s="307" t="n"/>
      <c r="O141" s="307" t="n"/>
      <c r="P141" s="307" t="n"/>
      <c r="Q141" s="307" t="n"/>
      <c r="R141" s="307" t="n"/>
      <c r="S141" s="307" t="n"/>
      <c r="T141" s="307" t="n"/>
      <c r="U141" s="307" t="n"/>
      <c r="V141" s="307" t="n"/>
      <c r="W141" s="307" t="n"/>
      <c r="X141" s="307" t="n"/>
      <c r="Y141" s="307" t="n"/>
      <c r="Z141" s="307" t="n"/>
      <c r="AA141" s="307" t="n"/>
      <c r="AB141" s="307" t="n"/>
      <c r="AC141" s="307" t="n"/>
      <c r="AD141" s="307" t="n"/>
      <c r="AE141" s="307" t="n"/>
      <c r="AF141" s="307" t="n"/>
      <c r="AG141" s="307" t="n"/>
      <c r="AH141" s="307" t="n"/>
      <c r="AI141" s="307" t="n"/>
      <c r="AJ141" s="307" t="n"/>
      <c r="AK141" s="307" t="n"/>
      <c r="AL141" s="307" t="n"/>
      <c r="AM141" s="307" t="n"/>
      <c r="AN141" s="307" t="n"/>
      <c r="AO141" s="307" t="n"/>
      <c r="AP141" s="307" t="n"/>
      <c r="AQ141" s="307" t="n"/>
      <c r="AR141" s="307" t="n"/>
      <c r="AS141" s="307" t="n"/>
      <c r="AT141" s="307" t="n"/>
    </row>
    <row r="142" ht="15.75" customHeight="1" s="349">
      <c r="A142" s="307" t="n"/>
      <c r="B142" s="307" t="n"/>
      <c r="C142" s="307" t="n"/>
      <c r="D142" s="307" t="n"/>
      <c r="E142" s="307" t="n"/>
      <c r="F142" s="307" t="n"/>
      <c r="G142" s="307" t="n"/>
      <c r="H142" s="307" t="n"/>
      <c r="I142" s="307" t="n"/>
      <c r="J142" s="307" t="n"/>
      <c r="K142" s="307" t="n"/>
      <c r="L142" s="307" t="n"/>
      <c r="M142" s="307" t="n"/>
      <c r="N142" s="307" t="n"/>
      <c r="O142" s="307" t="n"/>
      <c r="P142" s="307" t="n"/>
      <c r="Q142" s="307" t="n"/>
      <c r="R142" s="307" t="n"/>
      <c r="S142" s="307" t="n"/>
      <c r="T142" s="307" t="n"/>
      <c r="U142" s="307" t="n"/>
      <c r="V142" s="307" t="n"/>
      <c r="W142" s="307" t="n"/>
      <c r="X142" s="307" t="n"/>
      <c r="Y142" s="307" t="n"/>
      <c r="Z142" s="307" t="n"/>
      <c r="AA142" s="307" t="n"/>
      <c r="AB142" s="307" t="n"/>
      <c r="AC142" s="307" t="n"/>
      <c r="AD142" s="307" t="n"/>
      <c r="AE142" s="307" t="n"/>
      <c r="AF142" s="307" t="n"/>
      <c r="AG142" s="307" t="n"/>
      <c r="AH142" s="307" t="n"/>
      <c r="AI142" s="307" t="n"/>
      <c r="AJ142" s="307" t="n"/>
      <c r="AK142" s="307" t="n"/>
      <c r="AL142" s="307" t="n"/>
      <c r="AM142" s="307" t="n"/>
      <c r="AN142" s="307" t="n"/>
      <c r="AO142" s="307" t="n"/>
      <c r="AP142" s="307" t="n"/>
      <c r="AQ142" s="307" t="n"/>
      <c r="AR142" s="307" t="n"/>
      <c r="AS142" s="307" t="n"/>
      <c r="AT142" s="307" t="n"/>
    </row>
    <row r="143" ht="15.75" customHeight="1" s="349">
      <c r="A143" s="307" t="n"/>
      <c r="B143" s="307" t="n"/>
      <c r="C143" s="307" t="n"/>
      <c r="D143" s="307" t="n"/>
      <c r="E143" s="307" t="n"/>
      <c r="F143" s="307" t="n"/>
      <c r="G143" s="307" t="n"/>
      <c r="H143" s="307" t="n"/>
      <c r="I143" s="307" t="n"/>
      <c r="J143" s="307" t="n"/>
      <c r="K143" s="307" t="n"/>
      <c r="L143" s="307" t="n"/>
      <c r="M143" s="307" t="n"/>
      <c r="N143" s="307" t="n"/>
      <c r="O143" s="307" t="n"/>
      <c r="P143" s="307" t="n"/>
      <c r="Q143" s="307" t="n"/>
      <c r="R143" s="307" t="n"/>
      <c r="S143" s="307" t="n"/>
      <c r="T143" s="307" t="n"/>
      <c r="U143" s="307" t="n"/>
      <c r="V143" s="307" t="n"/>
      <c r="W143" s="307" t="n"/>
      <c r="X143" s="307" t="n"/>
      <c r="Y143" s="307" t="n"/>
      <c r="Z143" s="307" t="n"/>
      <c r="AA143" s="307" t="n"/>
      <c r="AB143" s="307" t="n"/>
      <c r="AC143" s="307" t="n"/>
      <c r="AD143" s="307" t="n"/>
      <c r="AE143" s="307" t="n"/>
      <c r="AF143" s="307" t="n"/>
      <c r="AG143" s="307" t="n"/>
      <c r="AH143" s="307" t="n"/>
      <c r="AI143" s="307" t="n"/>
      <c r="AJ143" s="307" t="n"/>
      <c r="AK143" s="307" t="n"/>
      <c r="AL143" s="307" t="n"/>
      <c r="AM143" s="307" t="n"/>
      <c r="AN143" s="307" t="n"/>
      <c r="AO143" s="307" t="n"/>
      <c r="AP143" s="307" t="n"/>
      <c r="AQ143" s="307" t="n"/>
      <c r="AR143" s="307" t="n"/>
      <c r="AS143" s="307" t="n"/>
      <c r="AT143" s="307" t="n"/>
    </row>
    <row r="144" ht="15.75" customHeight="1" s="349">
      <c r="A144" s="307" t="n"/>
      <c r="B144" s="307" t="n"/>
      <c r="C144" s="307" t="n"/>
      <c r="D144" s="307" t="n"/>
      <c r="E144" s="307" t="n"/>
      <c r="F144" s="307" t="n"/>
      <c r="G144" s="307" t="n"/>
      <c r="H144" s="307" t="n"/>
      <c r="I144" s="307" t="n"/>
      <c r="J144" s="307" t="n"/>
      <c r="K144" s="307" t="n"/>
      <c r="L144" s="307" t="n"/>
      <c r="M144" s="307" t="n"/>
      <c r="N144" s="307" t="n"/>
      <c r="O144" s="307" t="n"/>
      <c r="P144" s="307" t="n"/>
      <c r="Q144" s="307" t="n"/>
      <c r="R144" s="307" t="n"/>
      <c r="S144" s="307" t="n"/>
      <c r="T144" s="307" t="n"/>
      <c r="U144" s="307" t="n"/>
      <c r="V144" s="307" t="n"/>
      <c r="W144" s="307" t="n"/>
      <c r="X144" s="307" t="n"/>
      <c r="Y144" s="307" t="n"/>
      <c r="Z144" s="307" t="n"/>
      <c r="AA144" s="307" t="n"/>
      <c r="AB144" s="307" t="n"/>
      <c r="AC144" s="307" t="n"/>
      <c r="AD144" s="307" t="n"/>
      <c r="AE144" s="307" t="n"/>
      <c r="AF144" s="307" t="n"/>
      <c r="AG144" s="307" t="n"/>
      <c r="AH144" s="307" t="n"/>
      <c r="AI144" s="307" t="n"/>
      <c r="AJ144" s="307" t="n"/>
      <c r="AK144" s="307" t="n"/>
      <c r="AL144" s="307" t="n"/>
      <c r="AM144" s="307" t="n"/>
      <c r="AN144" s="307" t="n"/>
      <c r="AO144" s="307" t="n"/>
      <c r="AP144" s="307" t="n"/>
      <c r="AQ144" s="307" t="n"/>
      <c r="AR144" s="307" t="n"/>
      <c r="AS144" s="307" t="n"/>
      <c r="AT144" s="307" t="n"/>
    </row>
    <row r="145" ht="15.75" customHeight="1" s="349">
      <c r="A145" s="307" t="n"/>
      <c r="B145" s="307" t="n"/>
      <c r="C145" s="307" t="n"/>
      <c r="D145" s="307" t="n"/>
      <c r="E145" s="307" t="n"/>
      <c r="F145" s="307" t="n"/>
      <c r="G145" s="307" t="n"/>
      <c r="H145" s="307" t="n"/>
      <c r="I145" s="307" t="n"/>
      <c r="J145" s="307" t="n"/>
      <c r="K145" s="307" t="n"/>
      <c r="L145" s="307" t="n"/>
      <c r="M145" s="307" t="n"/>
      <c r="N145" s="307" t="n"/>
      <c r="O145" s="307" t="n"/>
      <c r="P145" s="307" t="n"/>
      <c r="Q145" s="307" t="n"/>
      <c r="R145" s="307" t="n"/>
      <c r="S145" s="307" t="n"/>
      <c r="T145" s="307" t="n"/>
      <c r="U145" s="307" t="n"/>
      <c r="V145" s="307" t="n"/>
      <c r="W145" s="307" t="n"/>
      <c r="X145" s="307" t="n"/>
      <c r="Y145" s="307" t="n"/>
      <c r="Z145" s="307" t="n"/>
      <c r="AA145" s="307" t="n"/>
      <c r="AB145" s="307" t="n"/>
      <c r="AC145" s="307" t="n"/>
      <c r="AD145" s="307" t="n"/>
      <c r="AE145" s="307" t="n"/>
      <c r="AF145" s="307" t="n"/>
      <c r="AG145" s="307" t="n"/>
      <c r="AH145" s="307" t="n"/>
      <c r="AI145" s="307" t="n"/>
      <c r="AJ145" s="307" t="n"/>
      <c r="AK145" s="307" t="n"/>
      <c r="AL145" s="307" t="n"/>
      <c r="AM145" s="307" t="n"/>
      <c r="AN145" s="307" t="n"/>
      <c r="AO145" s="307" t="n"/>
      <c r="AP145" s="307" t="n"/>
      <c r="AQ145" s="307" t="n"/>
      <c r="AR145" s="307" t="n"/>
      <c r="AS145" s="307" t="n"/>
      <c r="AT145" s="307" t="n"/>
    </row>
    <row r="146" ht="15.75" customHeight="1" s="349">
      <c r="A146" s="307" t="n"/>
      <c r="B146" s="307" t="n"/>
      <c r="C146" s="307" t="n"/>
      <c r="D146" s="307" t="n"/>
      <c r="E146" s="307" t="n"/>
      <c r="F146" s="307" t="n"/>
      <c r="G146" s="307" t="n"/>
      <c r="H146" s="307" t="n"/>
      <c r="I146" s="307" t="n"/>
      <c r="J146" s="307" t="n"/>
      <c r="K146" s="307" t="n"/>
      <c r="L146" s="307" t="n"/>
      <c r="M146" s="307" t="n"/>
      <c r="N146" s="307" t="n"/>
      <c r="O146" s="307" t="n"/>
      <c r="P146" s="307" t="n"/>
      <c r="Q146" s="307" t="n"/>
      <c r="R146" s="307" t="n"/>
      <c r="S146" s="307" t="n"/>
      <c r="T146" s="307" t="n"/>
      <c r="U146" s="307" t="n"/>
      <c r="V146" s="307" t="n"/>
      <c r="W146" s="307" t="n"/>
      <c r="X146" s="307" t="n"/>
      <c r="Y146" s="307" t="n"/>
      <c r="Z146" s="307" t="n"/>
      <c r="AA146" s="307" t="n"/>
      <c r="AB146" s="307" t="n"/>
      <c r="AC146" s="307" t="n"/>
      <c r="AD146" s="307" t="n"/>
      <c r="AE146" s="307" t="n"/>
      <c r="AF146" s="307" t="n"/>
      <c r="AG146" s="307" t="n"/>
      <c r="AH146" s="307" t="n"/>
      <c r="AI146" s="307" t="n"/>
      <c r="AJ146" s="307" t="n"/>
      <c r="AK146" s="307" t="n"/>
      <c r="AL146" s="307" t="n"/>
      <c r="AM146" s="307" t="n"/>
      <c r="AN146" s="307" t="n"/>
      <c r="AO146" s="307" t="n"/>
      <c r="AP146" s="307" t="n"/>
      <c r="AQ146" s="307" t="n"/>
      <c r="AR146" s="307" t="n"/>
      <c r="AS146" s="307" t="n"/>
      <c r="AT146" s="307" t="n"/>
    </row>
    <row r="147" ht="15.75" customHeight="1" s="349">
      <c r="A147" s="307" t="n"/>
      <c r="B147" s="307" t="n"/>
      <c r="C147" s="307" t="n"/>
      <c r="D147" s="307" t="n"/>
      <c r="E147" s="307" t="n"/>
      <c r="F147" s="307" t="n"/>
      <c r="G147" s="307" t="n"/>
      <c r="H147" s="307" t="n"/>
      <c r="I147" s="307" t="n"/>
      <c r="J147" s="307" t="n"/>
      <c r="K147" s="307" t="n"/>
      <c r="L147" s="307" t="n"/>
      <c r="M147" s="307" t="n"/>
      <c r="N147" s="307" t="n"/>
      <c r="O147" s="307" t="n"/>
      <c r="P147" s="307" t="n"/>
      <c r="Q147" s="307" t="n"/>
      <c r="R147" s="307" t="n"/>
      <c r="S147" s="307" t="n"/>
      <c r="T147" s="307" t="n"/>
      <c r="U147" s="307" t="n"/>
      <c r="V147" s="307" t="n"/>
      <c r="W147" s="307" t="n"/>
      <c r="X147" s="307" t="n"/>
      <c r="Y147" s="307" t="n"/>
      <c r="Z147" s="307" t="n"/>
      <c r="AA147" s="307" t="n"/>
      <c r="AB147" s="307" t="n"/>
      <c r="AC147" s="307" t="n"/>
      <c r="AD147" s="307" t="n"/>
      <c r="AE147" s="307" t="n"/>
      <c r="AF147" s="307" t="n"/>
      <c r="AG147" s="307" t="n"/>
      <c r="AH147" s="307" t="n"/>
      <c r="AI147" s="307" t="n"/>
      <c r="AJ147" s="307" t="n"/>
      <c r="AK147" s="307" t="n"/>
      <c r="AL147" s="307" t="n"/>
      <c r="AM147" s="307" t="n"/>
      <c r="AN147" s="307" t="n"/>
      <c r="AO147" s="307" t="n"/>
      <c r="AP147" s="307" t="n"/>
      <c r="AQ147" s="307" t="n"/>
      <c r="AR147" s="307" t="n"/>
      <c r="AS147" s="307" t="n"/>
      <c r="AT147" s="307" t="n"/>
    </row>
    <row r="148" ht="15.75" customHeight="1" s="349">
      <c r="A148" s="307" t="n"/>
      <c r="B148" s="307" t="n"/>
      <c r="C148" s="307" t="n"/>
      <c r="D148" s="307" t="n"/>
      <c r="E148" s="307" t="n"/>
      <c r="F148" s="307" t="n"/>
      <c r="G148" s="307" t="n"/>
      <c r="H148" s="307" t="n"/>
      <c r="I148" s="307" t="n"/>
      <c r="J148" s="307" t="n"/>
      <c r="K148" s="307" t="n"/>
      <c r="L148" s="307" t="n"/>
      <c r="M148" s="307" t="n"/>
      <c r="N148" s="307" t="n"/>
      <c r="O148" s="307" t="n"/>
      <c r="P148" s="307" t="n"/>
      <c r="Q148" s="307" t="n"/>
      <c r="R148" s="307" t="n"/>
      <c r="S148" s="307" t="n"/>
      <c r="T148" s="307" t="n"/>
      <c r="U148" s="307" t="n"/>
      <c r="V148" s="307" t="n"/>
      <c r="W148" s="307" t="n"/>
      <c r="X148" s="307" t="n"/>
      <c r="Y148" s="307" t="n"/>
      <c r="Z148" s="307" t="n"/>
      <c r="AA148" s="307" t="n"/>
      <c r="AB148" s="307" t="n"/>
      <c r="AC148" s="307" t="n"/>
      <c r="AD148" s="307" t="n"/>
      <c r="AE148" s="307" t="n"/>
      <c r="AF148" s="307" t="n"/>
      <c r="AG148" s="307" t="n"/>
      <c r="AH148" s="307" t="n"/>
      <c r="AI148" s="307" t="n"/>
      <c r="AJ148" s="307" t="n"/>
      <c r="AK148" s="307" t="n"/>
      <c r="AL148" s="307" t="n"/>
      <c r="AM148" s="307" t="n"/>
      <c r="AN148" s="307" t="n"/>
      <c r="AO148" s="307" t="n"/>
      <c r="AP148" s="307" t="n"/>
      <c r="AQ148" s="307" t="n"/>
      <c r="AR148" s="307" t="n"/>
      <c r="AS148" s="307" t="n"/>
      <c r="AT148" s="307" t="n"/>
    </row>
    <row r="149" ht="15.75" customHeight="1" s="349">
      <c r="A149" s="307" t="n"/>
      <c r="B149" s="307" t="n"/>
      <c r="C149" s="307" t="n"/>
      <c r="D149" s="307" t="n"/>
      <c r="E149" s="307" t="n"/>
      <c r="F149" s="307" t="n"/>
      <c r="G149" s="307" t="n"/>
      <c r="H149" s="307" t="n"/>
      <c r="I149" s="307" t="n"/>
      <c r="J149" s="307" t="n"/>
      <c r="K149" s="307" t="n"/>
      <c r="L149" s="307" t="n"/>
      <c r="M149" s="307" t="n"/>
      <c r="N149" s="307" t="n"/>
      <c r="O149" s="307" t="n"/>
      <c r="P149" s="307" t="n"/>
      <c r="Q149" s="307" t="n"/>
      <c r="R149" s="307" t="n"/>
      <c r="S149" s="307" t="n"/>
      <c r="T149" s="307" t="n"/>
      <c r="U149" s="307" t="n"/>
      <c r="V149" s="307" t="n"/>
      <c r="W149" s="307" t="n"/>
      <c r="X149" s="307" t="n"/>
      <c r="Y149" s="307" t="n"/>
      <c r="Z149" s="307" t="n"/>
      <c r="AA149" s="307" t="n"/>
      <c r="AB149" s="307" t="n"/>
      <c r="AC149" s="307" t="n"/>
      <c r="AD149" s="307" t="n"/>
      <c r="AE149" s="307" t="n"/>
      <c r="AF149" s="307" t="n"/>
      <c r="AG149" s="307" t="n"/>
      <c r="AH149" s="307" t="n"/>
      <c r="AI149" s="307" t="n"/>
      <c r="AJ149" s="307" t="n"/>
      <c r="AK149" s="307" t="n"/>
      <c r="AL149" s="307" t="n"/>
      <c r="AM149" s="307" t="n"/>
      <c r="AN149" s="307" t="n"/>
      <c r="AO149" s="307" t="n"/>
      <c r="AP149" s="307" t="n"/>
      <c r="AQ149" s="307" t="n"/>
      <c r="AR149" s="307" t="n"/>
      <c r="AS149" s="307" t="n"/>
      <c r="AT149" s="307" t="n"/>
    </row>
    <row r="150" ht="15.75" customHeight="1" s="349">
      <c r="A150" s="307" t="n"/>
      <c r="B150" s="307" t="n"/>
      <c r="C150" s="307" t="n"/>
      <c r="D150" s="307" t="n"/>
      <c r="E150" s="307" t="n"/>
      <c r="F150" s="307" t="n"/>
      <c r="G150" s="307" t="n"/>
      <c r="H150" s="307" t="n"/>
      <c r="I150" s="307" t="n"/>
      <c r="J150" s="307" t="n"/>
      <c r="K150" s="307" t="n"/>
      <c r="L150" s="307" t="n"/>
      <c r="M150" s="307" t="n"/>
      <c r="N150" s="307" t="n"/>
      <c r="O150" s="307" t="n"/>
      <c r="P150" s="307" t="n"/>
      <c r="Q150" s="307" t="n"/>
      <c r="R150" s="307" t="n"/>
      <c r="S150" s="307" t="n"/>
      <c r="T150" s="307" t="n"/>
      <c r="U150" s="307" t="n"/>
      <c r="V150" s="307" t="n"/>
      <c r="W150" s="307" t="n"/>
      <c r="X150" s="307" t="n"/>
      <c r="Y150" s="307" t="n"/>
      <c r="Z150" s="307" t="n"/>
      <c r="AA150" s="307" t="n"/>
      <c r="AB150" s="307" t="n"/>
      <c r="AC150" s="307" t="n"/>
      <c r="AD150" s="307" t="n"/>
      <c r="AE150" s="307" t="n"/>
      <c r="AF150" s="307" t="n"/>
      <c r="AG150" s="307" t="n"/>
      <c r="AH150" s="307" t="n"/>
      <c r="AI150" s="307" t="n"/>
      <c r="AJ150" s="307" t="n"/>
      <c r="AK150" s="307" t="n"/>
      <c r="AL150" s="307" t="n"/>
      <c r="AM150" s="307" t="n"/>
      <c r="AN150" s="307" t="n"/>
      <c r="AO150" s="307" t="n"/>
      <c r="AP150" s="307" t="n"/>
      <c r="AQ150" s="307" t="n"/>
      <c r="AR150" s="307" t="n"/>
      <c r="AS150" s="307" t="n"/>
      <c r="AT150" s="307" t="n"/>
    </row>
    <row r="151" ht="15.75" customHeight="1" s="349">
      <c r="A151" s="307" t="n"/>
      <c r="B151" s="307" t="n"/>
      <c r="C151" s="307" t="n"/>
      <c r="D151" s="307" t="n"/>
      <c r="E151" s="307" t="n"/>
      <c r="F151" s="307" t="n"/>
      <c r="G151" s="307" t="n"/>
      <c r="H151" s="307" t="n"/>
      <c r="I151" s="307" t="n"/>
      <c r="J151" s="307" t="n"/>
      <c r="K151" s="307" t="n"/>
      <c r="L151" s="307" t="n"/>
      <c r="M151" s="307" t="n"/>
      <c r="N151" s="307" t="n"/>
      <c r="O151" s="307" t="n"/>
      <c r="P151" s="307" t="n"/>
      <c r="Q151" s="307" t="n"/>
      <c r="R151" s="307" t="n"/>
      <c r="S151" s="307" t="n"/>
      <c r="T151" s="307" t="n"/>
      <c r="U151" s="307" t="n"/>
      <c r="V151" s="307" t="n"/>
      <c r="W151" s="307" t="n"/>
      <c r="X151" s="307" t="n"/>
      <c r="Y151" s="307" t="n"/>
      <c r="Z151" s="307" t="n"/>
      <c r="AA151" s="307" t="n"/>
      <c r="AB151" s="307" t="n"/>
      <c r="AC151" s="307" t="n"/>
      <c r="AD151" s="307" t="n"/>
      <c r="AE151" s="307" t="n"/>
      <c r="AF151" s="307" t="n"/>
      <c r="AG151" s="307" t="n"/>
      <c r="AH151" s="307" t="n"/>
      <c r="AI151" s="307" t="n"/>
      <c r="AJ151" s="307" t="n"/>
      <c r="AK151" s="307" t="n"/>
      <c r="AL151" s="307" t="n"/>
      <c r="AM151" s="307" t="n"/>
      <c r="AN151" s="307" t="n"/>
      <c r="AO151" s="307" t="n"/>
      <c r="AP151" s="307" t="n"/>
      <c r="AQ151" s="307" t="n"/>
      <c r="AR151" s="307" t="n"/>
      <c r="AS151" s="307" t="n"/>
      <c r="AT151" s="307" t="n"/>
    </row>
    <row r="152" ht="15.75" customHeight="1" s="349">
      <c r="A152" s="307" t="n"/>
      <c r="B152" s="307" t="n"/>
      <c r="C152" s="307" t="n"/>
      <c r="D152" s="307" t="n"/>
      <c r="E152" s="307" t="n"/>
      <c r="F152" s="307" t="n"/>
      <c r="G152" s="307" t="n"/>
      <c r="H152" s="307" t="n"/>
      <c r="I152" s="307" t="n"/>
      <c r="J152" s="307" t="n"/>
      <c r="K152" s="307" t="n"/>
      <c r="L152" s="307" t="n"/>
      <c r="M152" s="307" t="n"/>
      <c r="N152" s="307" t="n"/>
      <c r="O152" s="307" t="n"/>
      <c r="P152" s="307" t="n"/>
      <c r="Q152" s="307" t="n"/>
      <c r="R152" s="307" t="n"/>
      <c r="S152" s="307" t="n"/>
      <c r="T152" s="307" t="n"/>
      <c r="U152" s="307" t="n"/>
      <c r="V152" s="307" t="n"/>
      <c r="W152" s="307" t="n"/>
      <c r="X152" s="307" t="n"/>
      <c r="Y152" s="307" t="n"/>
      <c r="Z152" s="307" t="n"/>
      <c r="AA152" s="307" t="n"/>
      <c r="AB152" s="307" t="n"/>
      <c r="AC152" s="307" t="n"/>
      <c r="AD152" s="307" t="n"/>
      <c r="AE152" s="307" t="n"/>
      <c r="AF152" s="307" t="n"/>
      <c r="AG152" s="307" t="n"/>
      <c r="AH152" s="307" t="n"/>
      <c r="AI152" s="307" t="n"/>
      <c r="AJ152" s="307" t="n"/>
      <c r="AK152" s="307" t="n"/>
      <c r="AL152" s="307" t="n"/>
      <c r="AM152" s="307" t="n"/>
      <c r="AN152" s="307" t="n"/>
      <c r="AO152" s="307" t="n"/>
      <c r="AP152" s="307" t="n"/>
      <c r="AQ152" s="307" t="n"/>
      <c r="AR152" s="307" t="n"/>
      <c r="AS152" s="307" t="n"/>
      <c r="AT152" s="307" t="n"/>
    </row>
    <row r="153" ht="15.75" customHeight="1" s="349">
      <c r="A153" s="307" t="n"/>
      <c r="B153" s="307" t="n"/>
      <c r="C153" s="307" t="n"/>
      <c r="D153" s="307" t="n"/>
      <c r="E153" s="307" t="n"/>
      <c r="F153" s="307" t="n"/>
      <c r="G153" s="307" t="n"/>
      <c r="H153" s="307" t="n"/>
      <c r="I153" s="307" t="n"/>
      <c r="J153" s="307" t="n"/>
      <c r="K153" s="307" t="n"/>
      <c r="L153" s="307" t="n"/>
      <c r="M153" s="307" t="n"/>
      <c r="N153" s="307" t="n"/>
      <c r="O153" s="307" t="n"/>
      <c r="P153" s="307" t="n"/>
      <c r="Q153" s="307" t="n"/>
      <c r="R153" s="307" t="n"/>
      <c r="S153" s="307" t="n"/>
      <c r="T153" s="307" t="n"/>
      <c r="U153" s="307" t="n"/>
      <c r="V153" s="307" t="n"/>
      <c r="W153" s="307" t="n"/>
      <c r="X153" s="307" t="n"/>
      <c r="Y153" s="307" t="n"/>
      <c r="Z153" s="307" t="n"/>
      <c r="AA153" s="307" t="n"/>
      <c r="AB153" s="307" t="n"/>
      <c r="AC153" s="307" t="n"/>
      <c r="AD153" s="307" t="n"/>
      <c r="AE153" s="307" t="n"/>
      <c r="AF153" s="307" t="n"/>
      <c r="AG153" s="307" t="n"/>
      <c r="AH153" s="307" t="n"/>
      <c r="AI153" s="307" t="n"/>
      <c r="AJ153" s="307" t="n"/>
      <c r="AK153" s="307" t="n"/>
      <c r="AL153" s="307" t="n"/>
      <c r="AM153" s="307" t="n"/>
      <c r="AN153" s="307" t="n"/>
      <c r="AO153" s="307" t="n"/>
      <c r="AP153" s="307" t="n"/>
      <c r="AQ153" s="307" t="n"/>
      <c r="AR153" s="307" t="n"/>
      <c r="AS153" s="307" t="n"/>
      <c r="AT153" s="307" t="n"/>
    </row>
    <row r="154" ht="15.75" customHeight="1" s="349">
      <c r="A154" s="307" t="n"/>
      <c r="B154" s="307" t="n"/>
      <c r="C154" s="307" t="n"/>
      <c r="D154" s="307" t="n"/>
      <c r="E154" s="307" t="n"/>
      <c r="F154" s="307" t="n"/>
      <c r="G154" s="307" t="n"/>
      <c r="H154" s="307" t="n"/>
      <c r="I154" s="307" t="n"/>
      <c r="J154" s="307" t="n"/>
      <c r="K154" s="307" t="n"/>
      <c r="L154" s="307" t="n"/>
      <c r="M154" s="307" t="n"/>
      <c r="N154" s="307" t="n"/>
      <c r="O154" s="307" t="n"/>
      <c r="P154" s="307" t="n"/>
      <c r="Q154" s="307" t="n"/>
      <c r="R154" s="307" t="n"/>
      <c r="S154" s="307" t="n"/>
      <c r="T154" s="307" t="n"/>
      <c r="U154" s="307" t="n"/>
      <c r="V154" s="307" t="n"/>
      <c r="W154" s="307" t="n"/>
      <c r="X154" s="307" t="n"/>
      <c r="Y154" s="307" t="n"/>
      <c r="Z154" s="307" t="n"/>
      <c r="AA154" s="307" t="n"/>
      <c r="AB154" s="307" t="n"/>
      <c r="AC154" s="307" t="n"/>
      <c r="AD154" s="307" t="n"/>
      <c r="AE154" s="307" t="n"/>
      <c r="AF154" s="307" t="n"/>
      <c r="AG154" s="307" t="n"/>
      <c r="AH154" s="307" t="n"/>
      <c r="AI154" s="307" t="n"/>
      <c r="AJ154" s="307" t="n"/>
      <c r="AK154" s="307" t="n"/>
      <c r="AL154" s="307" t="n"/>
      <c r="AM154" s="307" t="n"/>
      <c r="AN154" s="307" t="n"/>
      <c r="AO154" s="307" t="n"/>
      <c r="AP154" s="307" t="n"/>
      <c r="AQ154" s="307" t="n"/>
      <c r="AR154" s="307" t="n"/>
      <c r="AS154" s="307" t="n"/>
      <c r="AT154" s="307" t="n"/>
    </row>
    <row r="155" ht="15.75" customHeight="1" s="349">
      <c r="A155" s="307" t="n"/>
      <c r="B155" s="307" t="n"/>
      <c r="C155" s="307" t="n"/>
      <c r="D155" s="307" t="n"/>
      <c r="E155" s="307" t="n"/>
      <c r="F155" s="307" t="n"/>
      <c r="G155" s="307" t="n"/>
      <c r="H155" s="307" t="n"/>
      <c r="I155" s="307" t="n"/>
      <c r="J155" s="307" t="n"/>
      <c r="K155" s="307" t="n"/>
      <c r="L155" s="307" t="n"/>
      <c r="M155" s="307" t="n"/>
      <c r="N155" s="307" t="n"/>
      <c r="O155" s="307" t="n"/>
      <c r="P155" s="307" t="n"/>
      <c r="Q155" s="307" t="n"/>
      <c r="R155" s="307" t="n"/>
      <c r="S155" s="307" t="n"/>
      <c r="T155" s="307" t="n"/>
      <c r="U155" s="307" t="n"/>
      <c r="V155" s="307" t="n"/>
      <c r="W155" s="307" t="n"/>
      <c r="X155" s="307" t="n"/>
      <c r="Y155" s="307" t="n"/>
      <c r="Z155" s="307" t="n"/>
      <c r="AA155" s="307" t="n"/>
      <c r="AB155" s="307" t="n"/>
      <c r="AC155" s="307" t="n"/>
      <c r="AD155" s="307" t="n"/>
      <c r="AE155" s="307" t="n"/>
      <c r="AF155" s="307" t="n"/>
      <c r="AG155" s="307" t="n"/>
      <c r="AH155" s="307" t="n"/>
      <c r="AI155" s="307" t="n"/>
      <c r="AJ155" s="307" t="n"/>
      <c r="AK155" s="307" t="n"/>
      <c r="AL155" s="307" t="n"/>
      <c r="AM155" s="307" t="n"/>
      <c r="AN155" s="307" t="n"/>
      <c r="AO155" s="307" t="n"/>
      <c r="AP155" s="307" t="n"/>
      <c r="AQ155" s="307" t="n"/>
      <c r="AR155" s="307" t="n"/>
      <c r="AS155" s="307" t="n"/>
      <c r="AT155" s="307" t="n"/>
    </row>
    <row r="156" ht="15.75" customHeight="1" s="349">
      <c r="A156" s="307" t="n"/>
      <c r="B156" s="307" t="n"/>
      <c r="C156" s="307" t="n"/>
      <c r="D156" s="307" t="n"/>
      <c r="E156" s="307" t="n"/>
      <c r="F156" s="307" t="n"/>
      <c r="G156" s="307" t="n"/>
      <c r="H156" s="307" t="n"/>
      <c r="I156" s="307" t="n"/>
      <c r="J156" s="307" t="n"/>
      <c r="K156" s="307" t="n"/>
      <c r="L156" s="307" t="n"/>
      <c r="M156" s="307" t="n"/>
      <c r="N156" s="307" t="n"/>
      <c r="O156" s="307" t="n"/>
      <c r="P156" s="307" t="n"/>
      <c r="Q156" s="307" t="n"/>
      <c r="R156" s="307" t="n"/>
      <c r="S156" s="307" t="n"/>
      <c r="T156" s="307" t="n"/>
      <c r="U156" s="307" t="n"/>
      <c r="V156" s="307" t="n"/>
      <c r="W156" s="307" t="n"/>
      <c r="X156" s="307" t="n"/>
      <c r="Y156" s="307" t="n"/>
      <c r="Z156" s="307" t="n"/>
      <c r="AA156" s="307" t="n"/>
      <c r="AB156" s="307" t="n"/>
      <c r="AC156" s="307" t="n"/>
      <c r="AD156" s="307" t="n"/>
      <c r="AE156" s="307" t="n"/>
      <c r="AF156" s="307" t="n"/>
      <c r="AG156" s="307" t="n"/>
      <c r="AH156" s="307" t="n"/>
      <c r="AI156" s="307" t="n"/>
      <c r="AJ156" s="307" t="n"/>
      <c r="AK156" s="307" t="n"/>
      <c r="AL156" s="307" t="n"/>
      <c r="AM156" s="307" t="n"/>
      <c r="AN156" s="307" t="n"/>
      <c r="AO156" s="307" t="n"/>
      <c r="AP156" s="307" t="n"/>
      <c r="AQ156" s="307" t="n"/>
      <c r="AR156" s="307" t="n"/>
      <c r="AS156" s="307" t="n"/>
      <c r="AT156" s="307" t="n"/>
    </row>
    <row r="157" ht="15.75" customHeight="1" s="349">
      <c r="A157" s="307" t="n"/>
      <c r="B157" s="307" t="n"/>
      <c r="C157" s="307" t="n"/>
      <c r="D157" s="307" t="n"/>
      <c r="E157" s="307" t="n"/>
      <c r="F157" s="307" t="n"/>
      <c r="G157" s="307" t="n"/>
      <c r="H157" s="307" t="n"/>
      <c r="I157" s="307" t="n"/>
      <c r="J157" s="307" t="n"/>
      <c r="K157" s="307" t="n"/>
      <c r="L157" s="307" t="n"/>
      <c r="M157" s="307" t="n"/>
      <c r="N157" s="307" t="n"/>
      <c r="O157" s="307" t="n"/>
      <c r="P157" s="307" t="n"/>
      <c r="Q157" s="307" t="n"/>
      <c r="R157" s="307" t="n"/>
      <c r="S157" s="307" t="n"/>
      <c r="T157" s="307" t="n"/>
      <c r="U157" s="307" t="n"/>
      <c r="V157" s="307" t="n"/>
      <c r="W157" s="307" t="n"/>
      <c r="X157" s="307" t="n"/>
      <c r="Y157" s="307" t="n"/>
      <c r="Z157" s="307" t="n"/>
      <c r="AA157" s="307" t="n"/>
      <c r="AB157" s="307" t="n"/>
      <c r="AC157" s="307" t="n"/>
      <c r="AD157" s="307" t="n"/>
      <c r="AE157" s="307" t="n"/>
      <c r="AF157" s="307" t="n"/>
      <c r="AG157" s="307" t="n"/>
      <c r="AH157" s="307" t="n"/>
      <c r="AI157" s="307" t="n"/>
      <c r="AJ157" s="307" t="n"/>
      <c r="AK157" s="307" t="n"/>
      <c r="AL157" s="307" t="n"/>
      <c r="AM157" s="307" t="n"/>
      <c r="AN157" s="307" t="n"/>
      <c r="AO157" s="307" t="n"/>
      <c r="AP157" s="307" t="n"/>
      <c r="AQ157" s="307" t="n"/>
      <c r="AR157" s="307" t="n"/>
      <c r="AS157" s="307" t="n"/>
      <c r="AT157" s="307" t="n"/>
    </row>
    <row r="158" ht="15.75" customHeight="1" s="349">
      <c r="A158" s="307" t="n"/>
      <c r="B158" s="307" t="n"/>
      <c r="C158" s="307" t="n"/>
      <c r="D158" s="307" t="n"/>
      <c r="E158" s="307" t="n"/>
      <c r="F158" s="307" t="n"/>
      <c r="G158" s="307" t="n"/>
      <c r="H158" s="307" t="n"/>
      <c r="I158" s="307" t="n"/>
      <c r="J158" s="307" t="n"/>
      <c r="K158" s="307" t="n"/>
      <c r="L158" s="307" t="n"/>
      <c r="M158" s="307" t="n"/>
      <c r="N158" s="307" t="n"/>
      <c r="O158" s="307" t="n"/>
      <c r="P158" s="307" t="n"/>
      <c r="Q158" s="307" t="n"/>
      <c r="R158" s="307" t="n"/>
      <c r="S158" s="307" t="n"/>
      <c r="T158" s="307" t="n"/>
      <c r="U158" s="307" t="n"/>
      <c r="V158" s="307" t="n"/>
      <c r="W158" s="307" t="n"/>
      <c r="X158" s="307" t="n"/>
      <c r="Y158" s="307" t="n"/>
      <c r="Z158" s="307" t="n"/>
      <c r="AA158" s="307" t="n"/>
      <c r="AB158" s="307" t="n"/>
      <c r="AC158" s="307" t="n"/>
      <c r="AD158" s="307" t="n"/>
      <c r="AE158" s="307" t="n"/>
      <c r="AF158" s="307" t="n"/>
      <c r="AG158" s="307" t="n"/>
      <c r="AH158" s="307" t="n"/>
      <c r="AI158" s="307" t="n"/>
      <c r="AJ158" s="307" t="n"/>
      <c r="AK158" s="307" t="n"/>
      <c r="AL158" s="307" t="n"/>
      <c r="AM158" s="307" t="n"/>
      <c r="AN158" s="307" t="n"/>
      <c r="AO158" s="307" t="n"/>
      <c r="AP158" s="307" t="n"/>
      <c r="AQ158" s="307" t="n"/>
      <c r="AR158" s="307" t="n"/>
      <c r="AS158" s="307" t="n"/>
      <c r="AT158" s="307" t="n"/>
    </row>
    <row r="159" ht="15.75" customHeight="1" s="349">
      <c r="A159" s="307" t="n"/>
      <c r="B159" s="307" t="n"/>
      <c r="C159" s="307" t="n"/>
      <c r="D159" s="307" t="n"/>
      <c r="E159" s="307" t="n"/>
      <c r="F159" s="307" t="n"/>
      <c r="G159" s="307" t="n"/>
      <c r="H159" s="307" t="n"/>
      <c r="I159" s="307" t="n"/>
      <c r="J159" s="307" t="n"/>
      <c r="K159" s="307" t="n"/>
      <c r="L159" s="307" t="n"/>
      <c r="M159" s="307" t="n"/>
      <c r="N159" s="307" t="n"/>
      <c r="O159" s="307" t="n"/>
      <c r="P159" s="307" t="n"/>
      <c r="Q159" s="307" t="n"/>
      <c r="R159" s="307" t="n"/>
      <c r="S159" s="307" t="n"/>
      <c r="T159" s="307" t="n"/>
      <c r="U159" s="307" t="n"/>
      <c r="V159" s="307" t="n"/>
      <c r="W159" s="307" t="n"/>
      <c r="X159" s="307" t="n"/>
      <c r="Y159" s="307" t="n"/>
      <c r="Z159" s="307" t="n"/>
      <c r="AA159" s="307" t="n"/>
      <c r="AB159" s="307" t="n"/>
      <c r="AC159" s="307" t="n"/>
      <c r="AD159" s="307" t="n"/>
      <c r="AE159" s="307" t="n"/>
      <c r="AF159" s="307" t="n"/>
      <c r="AG159" s="307" t="n"/>
      <c r="AH159" s="307" t="n"/>
      <c r="AI159" s="307" t="n"/>
      <c r="AJ159" s="307" t="n"/>
      <c r="AK159" s="307" t="n"/>
      <c r="AL159" s="307" t="n"/>
      <c r="AM159" s="307" t="n"/>
      <c r="AN159" s="307" t="n"/>
      <c r="AO159" s="307" t="n"/>
      <c r="AP159" s="307" t="n"/>
      <c r="AQ159" s="307" t="n"/>
      <c r="AR159" s="307" t="n"/>
      <c r="AS159" s="307" t="n"/>
      <c r="AT159" s="307" t="n"/>
    </row>
    <row r="160" ht="15.75" customHeight="1" s="349">
      <c r="A160" s="307" t="n"/>
      <c r="B160" s="307" t="n"/>
      <c r="C160" s="307" t="n"/>
      <c r="D160" s="307" t="n"/>
      <c r="E160" s="307" t="n"/>
      <c r="F160" s="307" t="n"/>
      <c r="G160" s="307" t="n"/>
      <c r="H160" s="307" t="n"/>
      <c r="I160" s="307" t="n"/>
      <c r="J160" s="307" t="n"/>
      <c r="K160" s="307" t="n"/>
      <c r="L160" s="307" t="n"/>
      <c r="M160" s="307" t="n"/>
      <c r="N160" s="307" t="n"/>
      <c r="O160" s="307" t="n"/>
      <c r="P160" s="307" t="n"/>
      <c r="Q160" s="307" t="n"/>
      <c r="R160" s="307" t="n"/>
      <c r="S160" s="307" t="n"/>
      <c r="T160" s="307" t="n"/>
      <c r="U160" s="307" t="n"/>
      <c r="V160" s="307" t="n"/>
      <c r="W160" s="307" t="n"/>
      <c r="X160" s="307" t="n"/>
      <c r="Y160" s="307" t="n"/>
      <c r="Z160" s="307" t="n"/>
      <c r="AA160" s="307" t="n"/>
      <c r="AB160" s="307" t="n"/>
      <c r="AC160" s="307" t="n"/>
      <c r="AD160" s="307" t="n"/>
      <c r="AE160" s="307" t="n"/>
      <c r="AF160" s="307" t="n"/>
      <c r="AG160" s="307" t="n"/>
      <c r="AH160" s="307" t="n"/>
      <c r="AI160" s="307" t="n"/>
      <c r="AJ160" s="307" t="n"/>
      <c r="AK160" s="307" t="n"/>
      <c r="AL160" s="307" t="n"/>
      <c r="AM160" s="307" t="n"/>
      <c r="AN160" s="307" t="n"/>
      <c r="AO160" s="307" t="n"/>
      <c r="AP160" s="307" t="n"/>
      <c r="AQ160" s="307" t="n"/>
      <c r="AR160" s="307" t="n"/>
      <c r="AS160" s="307" t="n"/>
      <c r="AT160" s="307" t="n"/>
    </row>
    <row r="161" ht="15.75" customHeight="1" s="349">
      <c r="A161" s="307" t="n"/>
      <c r="B161" s="307" t="n"/>
      <c r="C161" s="307" t="n"/>
      <c r="D161" s="307" t="n"/>
      <c r="E161" s="307" t="n"/>
      <c r="F161" s="307" t="n"/>
      <c r="G161" s="307" t="n"/>
      <c r="H161" s="307" t="n"/>
      <c r="I161" s="307" t="n"/>
      <c r="J161" s="307" t="n"/>
      <c r="K161" s="307" t="n"/>
      <c r="L161" s="307" t="n"/>
      <c r="M161" s="307" t="n"/>
      <c r="N161" s="307" t="n"/>
      <c r="O161" s="307" t="n"/>
      <c r="P161" s="307" t="n"/>
      <c r="Q161" s="307" t="n"/>
      <c r="R161" s="307" t="n"/>
      <c r="S161" s="307" t="n"/>
      <c r="T161" s="307" t="n"/>
      <c r="U161" s="307" t="n"/>
      <c r="V161" s="307" t="n"/>
      <c r="W161" s="307" t="n"/>
      <c r="X161" s="307" t="n"/>
      <c r="Y161" s="307" t="n"/>
      <c r="Z161" s="307" t="n"/>
      <c r="AA161" s="307" t="n"/>
      <c r="AB161" s="307" t="n"/>
      <c r="AC161" s="307" t="n"/>
      <c r="AD161" s="307" t="n"/>
      <c r="AE161" s="307" t="n"/>
      <c r="AF161" s="307" t="n"/>
      <c r="AG161" s="307" t="n"/>
      <c r="AH161" s="307" t="n"/>
      <c r="AI161" s="307" t="n"/>
      <c r="AJ161" s="307" t="n"/>
      <c r="AK161" s="307" t="n"/>
      <c r="AL161" s="307" t="n"/>
      <c r="AM161" s="307" t="n"/>
      <c r="AN161" s="307" t="n"/>
      <c r="AO161" s="307" t="n"/>
      <c r="AP161" s="307" t="n"/>
      <c r="AQ161" s="307" t="n"/>
      <c r="AR161" s="307" t="n"/>
      <c r="AS161" s="307" t="n"/>
      <c r="AT161" s="307" t="n"/>
    </row>
    <row r="162" ht="15.75" customHeight="1" s="349">
      <c r="A162" s="307" t="n"/>
      <c r="B162" s="307" t="n"/>
      <c r="C162" s="307" t="n"/>
      <c r="D162" s="307" t="n"/>
      <c r="E162" s="307" t="n"/>
      <c r="F162" s="307" t="n"/>
      <c r="G162" s="307" t="n"/>
      <c r="H162" s="307" t="n"/>
      <c r="I162" s="307" t="n"/>
      <c r="J162" s="307" t="n"/>
      <c r="K162" s="307" t="n"/>
      <c r="L162" s="307" t="n"/>
      <c r="M162" s="307" t="n"/>
      <c r="N162" s="307" t="n"/>
      <c r="O162" s="307" t="n"/>
      <c r="P162" s="307" t="n"/>
      <c r="Q162" s="307" t="n"/>
      <c r="R162" s="307" t="n"/>
      <c r="S162" s="307" t="n"/>
      <c r="T162" s="307" t="n"/>
      <c r="U162" s="307" t="n"/>
      <c r="V162" s="307" t="n"/>
      <c r="W162" s="307" t="n"/>
      <c r="X162" s="307" t="n"/>
      <c r="Y162" s="307" t="n"/>
      <c r="Z162" s="307" t="n"/>
      <c r="AA162" s="307" t="n"/>
      <c r="AB162" s="307" t="n"/>
      <c r="AC162" s="307" t="n"/>
      <c r="AD162" s="307" t="n"/>
      <c r="AE162" s="307" t="n"/>
      <c r="AF162" s="307" t="n"/>
      <c r="AG162" s="307" t="n"/>
      <c r="AH162" s="307" t="n"/>
      <c r="AI162" s="307" t="n"/>
      <c r="AJ162" s="307" t="n"/>
      <c r="AK162" s="307" t="n"/>
      <c r="AL162" s="307" t="n"/>
      <c r="AM162" s="307" t="n"/>
      <c r="AN162" s="307" t="n"/>
      <c r="AO162" s="307" t="n"/>
      <c r="AP162" s="307" t="n"/>
      <c r="AQ162" s="307" t="n"/>
      <c r="AR162" s="307" t="n"/>
      <c r="AS162" s="307" t="n"/>
      <c r="AT162" s="307" t="n"/>
    </row>
    <row r="163" ht="15.75" customHeight="1" s="349">
      <c r="A163" s="307" t="n"/>
      <c r="B163" s="307" t="n"/>
      <c r="C163" s="307" t="n"/>
      <c r="D163" s="307" t="n"/>
      <c r="E163" s="307" t="n"/>
      <c r="F163" s="307" t="n"/>
      <c r="G163" s="307" t="n"/>
      <c r="H163" s="307" t="n"/>
      <c r="I163" s="307" t="n"/>
      <c r="J163" s="307" t="n"/>
      <c r="K163" s="307" t="n"/>
      <c r="L163" s="307" t="n"/>
      <c r="M163" s="307" t="n"/>
      <c r="N163" s="307" t="n"/>
      <c r="O163" s="307" t="n"/>
      <c r="P163" s="307" t="n"/>
      <c r="Q163" s="307" t="n"/>
      <c r="R163" s="307" t="n"/>
      <c r="S163" s="307" t="n"/>
      <c r="T163" s="307" t="n"/>
      <c r="U163" s="307" t="n"/>
      <c r="V163" s="307" t="n"/>
      <c r="W163" s="307" t="n"/>
      <c r="X163" s="307" t="n"/>
      <c r="Y163" s="307" t="n"/>
      <c r="Z163" s="307" t="n"/>
      <c r="AA163" s="307" t="n"/>
      <c r="AB163" s="307" t="n"/>
      <c r="AC163" s="307" t="n"/>
      <c r="AD163" s="307" t="n"/>
      <c r="AE163" s="307" t="n"/>
      <c r="AF163" s="307" t="n"/>
      <c r="AG163" s="307" t="n"/>
      <c r="AH163" s="307" t="n"/>
      <c r="AI163" s="307" t="n"/>
      <c r="AJ163" s="307" t="n"/>
      <c r="AK163" s="307" t="n"/>
      <c r="AL163" s="307" t="n"/>
      <c r="AM163" s="307" t="n"/>
      <c r="AN163" s="307" t="n"/>
      <c r="AO163" s="307" t="n"/>
      <c r="AP163" s="307" t="n"/>
      <c r="AQ163" s="307" t="n"/>
      <c r="AR163" s="307" t="n"/>
      <c r="AS163" s="307" t="n"/>
      <c r="AT163" s="307" t="n"/>
    </row>
    <row r="164" ht="15.75" customHeight="1" s="349">
      <c r="A164" s="307" t="n"/>
      <c r="B164" s="307" t="n"/>
      <c r="C164" s="307" t="n"/>
      <c r="D164" s="307" t="n"/>
      <c r="E164" s="307" t="n"/>
      <c r="F164" s="307" t="n"/>
      <c r="G164" s="307" t="n"/>
      <c r="H164" s="307" t="n"/>
      <c r="I164" s="307" t="n"/>
      <c r="J164" s="307" t="n"/>
      <c r="K164" s="307" t="n"/>
      <c r="L164" s="307" t="n"/>
      <c r="M164" s="307" t="n"/>
      <c r="N164" s="307" t="n"/>
      <c r="O164" s="307" t="n"/>
      <c r="P164" s="307" t="n"/>
      <c r="Q164" s="307" t="n"/>
      <c r="R164" s="307" t="n"/>
      <c r="S164" s="307" t="n"/>
      <c r="T164" s="307" t="n"/>
      <c r="U164" s="307" t="n"/>
      <c r="V164" s="307" t="n"/>
      <c r="W164" s="307" t="n"/>
      <c r="X164" s="307" t="n"/>
      <c r="Y164" s="307" t="n"/>
      <c r="Z164" s="307" t="n"/>
      <c r="AA164" s="307" t="n"/>
      <c r="AB164" s="307" t="n"/>
      <c r="AC164" s="307" t="n"/>
      <c r="AD164" s="307" t="n"/>
      <c r="AE164" s="307" t="n"/>
      <c r="AF164" s="307" t="n"/>
      <c r="AG164" s="307" t="n"/>
      <c r="AH164" s="307" t="n"/>
      <c r="AI164" s="307" t="n"/>
      <c r="AJ164" s="307" t="n"/>
      <c r="AK164" s="307" t="n"/>
      <c r="AL164" s="307" t="n"/>
      <c r="AM164" s="307" t="n"/>
      <c r="AN164" s="307" t="n"/>
      <c r="AO164" s="307" t="n"/>
      <c r="AP164" s="307" t="n"/>
      <c r="AQ164" s="307" t="n"/>
      <c r="AR164" s="307" t="n"/>
      <c r="AS164" s="307" t="n"/>
      <c r="AT164" s="307" t="n"/>
    </row>
    <row r="165" ht="15.75" customHeight="1" s="349">
      <c r="A165" s="307" t="n"/>
      <c r="B165" s="307" t="n"/>
      <c r="C165" s="307" t="n"/>
      <c r="D165" s="307" t="n"/>
      <c r="E165" s="307" t="n"/>
      <c r="F165" s="307" t="n"/>
      <c r="G165" s="307" t="n"/>
      <c r="H165" s="307" t="n"/>
      <c r="I165" s="307" t="n"/>
      <c r="J165" s="307" t="n"/>
      <c r="K165" s="307" t="n"/>
      <c r="L165" s="307" t="n"/>
      <c r="M165" s="307" t="n"/>
      <c r="N165" s="307" t="n"/>
      <c r="O165" s="307" t="n"/>
      <c r="P165" s="307" t="n"/>
      <c r="Q165" s="307" t="n"/>
      <c r="R165" s="307" t="n"/>
      <c r="S165" s="307" t="n"/>
      <c r="T165" s="307" t="n"/>
      <c r="U165" s="307" t="n"/>
      <c r="V165" s="307" t="n"/>
      <c r="W165" s="307" t="n"/>
      <c r="X165" s="307" t="n"/>
      <c r="Y165" s="307" t="n"/>
      <c r="Z165" s="307" t="n"/>
      <c r="AA165" s="307" t="n"/>
      <c r="AB165" s="307" t="n"/>
      <c r="AC165" s="307" t="n"/>
      <c r="AD165" s="307" t="n"/>
      <c r="AE165" s="307" t="n"/>
      <c r="AF165" s="307" t="n"/>
      <c r="AG165" s="307" t="n"/>
      <c r="AH165" s="307" t="n"/>
      <c r="AI165" s="307" t="n"/>
      <c r="AJ165" s="307" t="n"/>
      <c r="AK165" s="307" t="n"/>
      <c r="AL165" s="307" t="n"/>
      <c r="AM165" s="307" t="n"/>
      <c r="AN165" s="307" t="n"/>
      <c r="AO165" s="307" t="n"/>
      <c r="AP165" s="307" t="n"/>
      <c r="AQ165" s="307" t="n"/>
      <c r="AR165" s="307" t="n"/>
      <c r="AS165" s="307" t="n"/>
      <c r="AT165" s="307" t="n"/>
    </row>
    <row r="166" ht="15.75" customHeight="1" s="349">
      <c r="A166" s="307" t="n"/>
      <c r="B166" s="307" t="n"/>
      <c r="C166" s="307" t="n"/>
      <c r="D166" s="307" t="n"/>
      <c r="E166" s="307" t="n"/>
      <c r="F166" s="307" t="n"/>
      <c r="G166" s="307" t="n"/>
      <c r="H166" s="307" t="n"/>
      <c r="I166" s="307" t="n"/>
      <c r="J166" s="307" t="n"/>
      <c r="K166" s="307" t="n"/>
      <c r="L166" s="307" t="n"/>
      <c r="M166" s="307" t="n"/>
      <c r="N166" s="307" t="n"/>
      <c r="O166" s="307" t="n"/>
      <c r="P166" s="307" t="n"/>
      <c r="Q166" s="307" t="n"/>
      <c r="R166" s="307" t="n"/>
      <c r="S166" s="307" t="n"/>
      <c r="T166" s="307" t="n"/>
      <c r="U166" s="307" t="n"/>
      <c r="V166" s="307" t="n"/>
      <c r="W166" s="307" t="n"/>
      <c r="X166" s="307" t="n"/>
      <c r="Y166" s="307" t="n"/>
      <c r="Z166" s="307" t="n"/>
      <c r="AA166" s="307" t="n"/>
      <c r="AB166" s="307" t="n"/>
      <c r="AC166" s="307" t="n"/>
      <c r="AD166" s="307" t="n"/>
      <c r="AE166" s="307" t="n"/>
      <c r="AF166" s="307" t="n"/>
      <c r="AG166" s="307" t="n"/>
      <c r="AH166" s="307" t="n"/>
      <c r="AI166" s="307" t="n"/>
      <c r="AJ166" s="307" t="n"/>
      <c r="AK166" s="307" t="n"/>
      <c r="AL166" s="307" t="n"/>
      <c r="AM166" s="307" t="n"/>
      <c r="AN166" s="307" t="n"/>
      <c r="AO166" s="307" t="n"/>
      <c r="AP166" s="307" t="n"/>
      <c r="AQ166" s="307" t="n"/>
      <c r="AR166" s="307" t="n"/>
      <c r="AS166" s="307" t="n"/>
      <c r="AT166" s="307" t="n"/>
    </row>
    <row r="167" ht="15.75" customHeight="1" s="349">
      <c r="A167" s="307" t="n"/>
      <c r="B167" s="307" t="n"/>
      <c r="C167" s="307" t="n"/>
      <c r="D167" s="307" t="n"/>
      <c r="E167" s="307" t="n"/>
      <c r="F167" s="307" t="n"/>
      <c r="G167" s="307" t="n"/>
      <c r="H167" s="307" t="n"/>
      <c r="I167" s="307" t="n"/>
      <c r="J167" s="307" t="n"/>
      <c r="K167" s="307" t="n"/>
      <c r="L167" s="307" t="n"/>
      <c r="M167" s="307" t="n"/>
      <c r="N167" s="307" t="n"/>
      <c r="O167" s="307" t="n"/>
      <c r="P167" s="307" t="n"/>
      <c r="Q167" s="307" t="n"/>
      <c r="R167" s="307" t="n"/>
      <c r="S167" s="307" t="n"/>
      <c r="T167" s="307" t="n"/>
      <c r="U167" s="307" t="n"/>
      <c r="V167" s="307" t="n"/>
      <c r="W167" s="307" t="n"/>
      <c r="X167" s="307" t="n"/>
      <c r="Y167" s="307" t="n"/>
      <c r="Z167" s="307" t="n"/>
      <c r="AA167" s="307" t="n"/>
      <c r="AB167" s="307" t="n"/>
      <c r="AC167" s="307" t="n"/>
      <c r="AD167" s="307" t="n"/>
      <c r="AE167" s="307" t="n"/>
      <c r="AF167" s="307" t="n"/>
      <c r="AG167" s="307" t="n"/>
      <c r="AH167" s="307" t="n"/>
      <c r="AI167" s="307" t="n"/>
      <c r="AJ167" s="307" t="n"/>
      <c r="AK167" s="307" t="n"/>
      <c r="AL167" s="307" t="n"/>
      <c r="AM167" s="307" t="n"/>
      <c r="AN167" s="307" t="n"/>
      <c r="AO167" s="307" t="n"/>
      <c r="AP167" s="307" t="n"/>
      <c r="AQ167" s="307" t="n"/>
      <c r="AR167" s="307" t="n"/>
      <c r="AS167" s="307" t="n"/>
      <c r="AT167" s="307" t="n"/>
    </row>
    <row r="168" ht="15.75" customHeight="1" s="349">
      <c r="A168" s="307" t="n"/>
      <c r="B168" s="307" t="n"/>
      <c r="C168" s="307" t="n"/>
      <c r="D168" s="307" t="n"/>
      <c r="E168" s="307" t="n"/>
      <c r="F168" s="307" t="n"/>
      <c r="G168" s="307" t="n"/>
      <c r="H168" s="307" t="n"/>
      <c r="I168" s="307" t="n"/>
      <c r="J168" s="307" t="n"/>
      <c r="K168" s="307" t="n"/>
      <c r="L168" s="307" t="n"/>
      <c r="M168" s="307" t="n"/>
      <c r="N168" s="307" t="n"/>
      <c r="O168" s="307" t="n"/>
      <c r="P168" s="307" t="n"/>
      <c r="Q168" s="307" t="n"/>
      <c r="R168" s="307" t="n"/>
      <c r="S168" s="307" t="n"/>
      <c r="T168" s="307" t="n"/>
      <c r="U168" s="307" t="n"/>
      <c r="V168" s="307" t="n"/>
      <c r="W168" s="307" t="n"/>
      <c r="X168" s="307" t="n"/>
      <c r="Y168" s="307" t="n"/>
      <c r="Z168" s="307" t="n"/>
      <c r="AA168" s="307" t="n"/>
      <c r="AB168" s="307" t="n"/>
      <c r="AC168" s="307" t="n"/>
      <c r="AD168" s="307" t="n"/>
      <c r="AE168" s="307" t="n"/>
      <c r="AF168" s="307" t="n"/>
      <c r="AG168" s="307" t="n"/>
      <c r="AH168" s="307" t="n"/>
      <c r="AI168" s="307" t="n"/>
      <c r="AJ168" s="307" t="n"/>
      <c r="AK168" s="307" t="n"/>
      <c r="AL168" s="307" t="n"/>
      <c r="AM168" s="307" t="n"/>
      <c r="AN168" s="307" t="n"/>
      <c r="AO168" s="307" t="n"/>
      <c r="AP168" s="307" t="n"/>
      <c r="AQ168" s="307" t="n"/>
      <c r="AR168" s="307" t="n"/>
      <c r="AS168" s="307" t="n"/>
      <c r="AT168" s="307" t="n"/>
    </row>
    <row r="169" ht="15.75" customHeight="1" s="349">
      <c r="A169" s="307" t="n"/>
      <c r="B169" s="307" t="n"/>
      <c r="C169" s="307" t="n"/>
      <c r="D169" s="307" t="n"/>
      <c r="E169" s="307" t="n"/>
      <c r="F169" s="307" t="n"/>
      <c r="G169" s="307" t="n"/>
      <c r="H169" s="307" t="n"/>
      <c r="I169" s="307" t="n"/>
      <c r="J169" s="307" t="n"/>
      <c r="K169" s="307" t="n"/>
      <c r="L169" s="307" t="n"/>
      <c r="M169" s="307" t="n"/>
      <c r="N169" s="307" t="n"/>
      <c r="O169" s="307" t="n"/>
      <c r="P169" s="307" t="n"/>
      <c r="Q169" s="307" t="n"/>
      <c r="R169" s="307" t="n"/>
      <c r="S169" s="307" t="n"/>
      <c r="T169" s="307" t="n"/>
      <c r="U169" s="307" t="n"/>
      <c r="V169" s="307" t="n"/>
      <c r="W169" s="307" t="n"/>
      <c r="X169" s="307" t="n"/>
      <c r="Y169" s="307" t="n"/>
      <c r="Z169" s="307" t="n"/>
      <c r="AA169" s="307" t="n"/>
      <c r="AB169" s="307" t="n"/>
      <c r="AC169" s="307" t="n"/>
      <c r="AD169" s="307" t="n"/>
      <c r="AE169" s="307" t="n"/>
      <c r="AF169" s="307" t="n"/>
      <c r="AG169" s="307" t="n"/>
      <c r="AH169" s="307" t="n"/>
      <c r="AI169" s="307" t="n"/>
      <c r="AJ169" s="307" t="n"/>
      <c r="AK169" s="307" t="n"/>
      <c r="AL169" s="307" t="n"/>
      <c r="AM169" s="307" t="n"/>
      <c r="AN169" s="307" t="n"/>
      <c r="AO169" s="307" t="n"/>
      <c r="AP169" s="307" t="n"/>
      <c r="AQ169" s="307" t="n"/>
      <c r="AR169" s="307" t="n"/>
      <c r="AS169" s="307" t="n"/>
      <c r="AT169" s="307" t="n"/>
    </row>
    <row r="170" ht="15.75" customHeight="1" s="349">
      <c r="A170" s="307" t="n"/>
      <c r="B170" s="307" t="n"/>
      <c r="C170" s="307" t="n"/>
      <c r="D170" s="307" t="n"/>
      <c r="E170" s="307" t="n"/>
      <c r="F170" s="307" t="n"/>
      <c r="G170" s="307" t="n"/>
      <c r="H170" s="307" t="n"/>
      <c r="I170" s="307" t="n"/>
      <c r="J170" s="307" t="n"/>
      <c r="K170" s="307" t="n"/>
      <c r="L170" s="307" t="n"/>
      <c r="M170" s="307" t="n"/>
      <c r="N170" s="307" t="n"/>
      <c r="O170" s="307" t="n"/>
      <c r="P170" s="307" t="n"/>
      <c r="Q170" s="307" t="n"/>
      <c r="R170" s="307" t="n"/>
      <c r="S170" s="307" t="n"/>
      <c r="T170" s="307" t="n"/>
      <c r="U170" s="307" t="n"/>
      <c r="V170" s="307" t="n"/>
      <c r="W170" s="307" t="n"/>
      <c r="X170" s="307" t="n"/>
      <c r="Y170" s="307" t="n"/>
      <c r="Z170" s="307" t="n"/>
      <c r="AA170" s="307" t="n"/>
      <c r="AB170" s="307" t="n"/>
      <c r="AC170" s="307" t="n"/>
      <c r="AD170" s="307" t="n"/>
      <c r="AE170" s="307" t="n"/>
      <c r="AF170" s="307" t="n"/>
      <c r="AG170" s="307" t="n"/>
      <c r="AH170" s="307" t="n"/>
      <c r="AI170" s="307" t="n"/>
      <c r="AJ170" s="307" t="n"/>
      <c r="AK170" s="307" t="n"/>
      <c r="AL170" s="307" t="n"/>
      <c r="AM170" s="307" t="n"/>
      <c r="AN170" s="307" t="n"/>
      <c r="AO170" s="307" t="n"/>
      <c r="AP170" s="307" t="n"/>
      <c r="AQ170" s="307" t="n"/>
      <c r="AR170" s="307" t="n"/>
      <c r="AS170" s="307" t="n"/>
      <c r="AT170" s="307" t="n"/>
    </row>
    <row r="171" ht="15.75" customHeight="1" s="349">
      <c r="A171" s="307" t="n"/>
      <c r="B171" s="307" t="n"/>
      <c r="C171" s="307" t="n"/>
      <c r="D171" s="307" t="n"/>
      <c r="E171" s="307" t="n"/>
      <c r="F171" s="307" t="n"/>
      <c r="G171" s="307" t="n"/>
      <c r="H171" s="307" t="n"/>
      <c r="I171" s="307" t="n"/>
      <c r="J171" s="307" t="n"/>
      <c r="K171" s="307" t="n"/>
      <c r="L171" s="307" t="n"/>
      <c r="M171" s="307" t="n"/>
      <c r="N171" s="307" t="n"/>
      <c r="O171" s="307" t="n"/>
      <c r="P171" s="307" t="n"/>
      <c r="Q171" s="307" t="n"/>
      <c r="R171" s="307" t="n"/>
      <c r="S171" s="307" t="n"/>
      <c r="T171" s="307" t="n"/>
      <c r="U171" s="307" t="n"/>
      <c r="V171" s="307" t="n"/>
      <c r="W171" s="307" t="n"/>
      <c r="X171" s="307" t="n"/>
      <c r="Y171" s="307" t="n"/>
      <c r="Z171" s="307" t="n"/>
      <c r="AA171" s="307" t="n"/>
      <c r="AB171" s="307" t="n"/>
      <c r="AC171" s="307" t="n"/>
      <c r="AD171" s="307" t="n"/>
      <c r="AE171" s="307" t="n"/>
      <c r="AF171" s="307" t="n"/>
      <c r="AG171" s="307" t="n"/>
      <c r="AH171" s="307" t="n"/>
      <c r="AI171" s="307" t="n"/>
      <c r="AJ171" s="307" t="n"/>
      <c r="AK171" s="307" t="n"/>
      <c r="AL171" s="307" t="n"/>
      <c r="AM171" s="307" t="n"/>
      <c r="AN171" s="307" t="n"/>
      <c r="AO171" s="307" t="n"/>
      <c r="AP171" s="307" t="n"/>
      <c r="AQ171" s="307" t="n"/>
      <c r="AR171" s="307" t="n"/>
      <c r="AS171" s="307" t="n"/>
      <c r="AT171" s="307" t="n"/>
    </row>
    <row r="172" ht="15.75" customHeight="1" s="349">
      <c r="A172" s="307" t="n"/>
      <c r="B172" s="307" t="n"/>
      <c r="C172" s="307" t="n"/>
      <c r="D172" s="307" t="n"/>
      <c r="E172" s="307" t="n"/>
      <c r="F172" s="307" t="n"/>
      <c r="G172" s="307" t="n"/>
      <c r="H172" s="307" t="n"/>
      <c r="I172" s="307" t="n"/>
      <c r="J172" s="307" t="n"/>
      <c r="K172" s="307" t="n"/>
      <c r="L172" s="307" t="n"/>
      <c r="M172" s="307" t="n"/>
      <c r="N172" s="307" t="n"/>
      <c r="O172" s="307" t="n"/>
      <c r="P172" s="307" t="n"/>
      <c r="Q172" s="307" t="n"/>
      <c r="R172" s="307" t="n"/>
      <c r="S172" s="307" t="n"/>
      <c r="T172" s="307" t="n"/>
      <c r="U172" s="307" t="n"/>
      <c r="V172" s="307" t="n"/>
      <c r="W172" s="307" t="n"/>
      <c r="X172" s="307" t="n"/>
      <c r="Y172" s="307" t="n"/>
      <c r="Z172" s="307" t="n"/>
      <c r="AA172" s="307" t="n"/>
      <c r="AB172" s="307" t="n"/>
      <c r="AC172" s="307" t="n"/>
      <c r="AD172" s="307" t="n"/>
      <c r="AE172" s="307" t="n"/>
      <c r="AF172" s="307" t="n"/>
      <c r="AG172" s="307" t="n"/>
      <c r="AH172" s="307" t="n"/>
      <c r="AI172" s="307" t="n"/>
      <c r="AJ172" s="307" t="n"/>
      <c r="AK172" s="307" t="n"/>
      <c r="AL172" s="307" t="n"/>
      <c r="AM172" s="307" t="n"/>
      <c r="AN172" s="307" t="n"/>
      <c r="AO172" s="307" t="n"/>
      <c r="AP172" s="307" t="n"/>
      <c r="AQ172" s="307" t="n"/>
      <c r="AR172" s="307" t="n"/>
      <c r="AS172" s="307" t="n"/>
      <c r="AT172" s="307" t="n"/>
    </row>
    <row r="173" ht="15.75" customHeight="1" s="349">
      <c r="A173" s="307" t="n"/>
      <c r="B173" s="307" t="n"/>
      <c r="C173" s="307" t="n"/>
      <c r="D173" s="307" t="n"/>
      <c r="E173" s="307" t="n"/>
      <c r="F173" s="307" t="n"/>
      <c r="G173" s="307" t="n"/>
      <c r="H173" s="307" t="n"/>
      <c r="I173" s="307" t="n"/>
      <c r="J173" s="307" t="n"/>
      <c r="K173" s="307" t="n"/>
      <c r="L173" s="307" t="n"/>
      <c r="M173" s="307" t="n"/>
      <c r="N173" s="307" t="n"/>
      <c r="O173" s="307" t="n"/>
      <c r="P173" s="307" t="n"/>
      <c r="Q173" s="307" t="n"/>
      <c r="R173" s="307" t="n"/>
      <c r="S173" s="307" t="n"/>
      <c r="T173" s="307" t="n"/>
      <c r="U173" s="307" t="n"/>
      <c r="V173" s="307" t="n"/>
      <c r="W173" s="307" t="n"/>
      <c r="X173" s="307" t="n"/>
      <c r="Y173" s="307" t="n"/>
      <c r="Z173" s="307" t="n"/>
      <c r="AA173" s="307" t="n"/>
      <c r="AB173" s="307" t="n"/>
      <c r="AC173" s="307" t="n"/>
      <c r="AD173" s="307" t="n"/>
      <c r="AE173" s="307" t="n"/>
      <c r="AF173" s="307" t="n"/>
      <c r="AG173" s="307" t="n"/>
      <c r="AH173" s="307" t="n"/>
      <c r="AI173" s="307" t="n"/>
      <c r="AJ173" s="307" t="n"/>
      <c r="AK173" s="307" t="n"/>
      <c r="AL173" s="307" t="n"/>
      <c r="AM173" s="307" t="n"/>
      <c r="AN173" s="307" t="n"/>
      <c r="AO173" s="307" t="n"/>
      <c r="AP173" s="307" t="n"/>
      <c r="AQ173" s="307" t="n"/>
      <c r="AR173" s="307" t="n"/>
      <c r="AS173" s="307" t="n"/>
      <c r="AT173" s="307" t="n"/>
    </row>
    <row r="174" ht="15.75" customHeight="1" s="349">
      <c r="A174" s="307" t="n"/>
      <c r="B174" s="307" t="n"/>
      <c r="C174" s="307" t="n"/>
      <c r="D174" s="307" t="n"/>
      <c r="E174" s="307" t="n"/>
      <c r="F174" s="307" t="n"/>
      <c r="G174" s="307" t="n"/>
      <c r="H174" s="307" t="n"/>
      <c r="I174" s="307" t="n"/>
      <c r="J174" s="307" t="n"/>
      <c r="K174" s="307" t="n"/>
      <c r="L174" s="307" t="n"/>
      <c r="M174" s="307" t="n"/>
      <c r="N174" s="307" t="n"/>
      <c r="O174" s="307" t="n"/>
      <c r="P174" s="307" t="n"/>
      <c r="Q174" s="307" t="n"/>
      <c r="R174" s="307" t="n"/>
      <c r="S174" s="307" t="n"/>
      <c r="T174" s="307" t="n"/>
      <c r="U174" s="307" t="n"/>
      <c r="V174" s="307" t="n"/>
      <c r="W174" s="307" t="n"/>
      <c r="X174" s="307" t="n"/>
      <c r="Y174" s="307" t="n"/>
      <c r="Z174" s="307" t="n"/>
      <c r="AA174" s="307" t="n"/>
      <c r="AB174" s="307" t="n"/>
      <c r="AC174" s="307" t="n"/>
      <c r="AD174" s="307" t="n"/>
      <c r="AE174" s="307" t="n"/>
      <c r="AF174" s="307" t="n"/>
      <c r="AG174" s="307" t="n"/>
      <c r="AH174" s="307" t="n"/>
      <c r="AI174" s="307" t="n"/>
      <c r="AJ174" s="307" t="n"/>
      <c r="AK174" s="307" t="n"/>
      <c r="AL174" s="307" t="n"/>
      <c r="AM174" s="307" t="n"/>
      <c r="AN174" s="307" t="n"/>
      <c r="AO174" s="307" t="n"/>
      <c r="AP174" s="307" t="n"/>
      <c r="AQ174" s="307" t="n"/>
      <c r="AR174" s="307" t="n"/>
      <c r="AS174" s="307" t="n"/>
      <c r="AT174" s="307" t="n"/>
    </row>
    <row r="175" ht="15.75" customHeight="1" s="349">
      <c r="A175" s="307" t="n"/>
      <c r="B175" s="307" t="n"/>
      <c r="C175" s="307" t="n"/>
      <c r="D175" s="307" t="n"/>
      <c r="E175" s="307" t="n"/>
      <c r="F175" s="307" t="n"/>
      <c r="G175" s="307" t="n"/>
      <c r="H175" s="307" t="n"/>
      <c r="I175" s="307" t="n"/>
      <c r="J175" s="307" t="n"/>
      <c r="K175" s="307" t="n"/>
      <c r="L175" s="307" t="n"/>
      <c r="M175" s="307" t="n"/>
      <c r="N175" s="307" t="n"/>
      <c r="O175" s="307" t="n"/>
      <c r="P175" s="307" t="n"/>
      <c r="Q175" s="307" t="n"/>
      <c r="R175" s="307" t="n"/>
      <c r="S175" s="307" t="n"/>
      <c r="T175" s="307" t="n"/>
      <c r="U175" s="307" t="n"/>
      <c r="V175" s="307" t="n"/>
      <c r="W175" s="307" t="n"/>
      <c r="X175" s="307" t="n"/>
      <c r="Y175" s="307" t="n"/>
      <c r="Z175" s="307" t="n"/>
      <c r="AA175" s="307" t="n"/>
      <c r="AB175" s="307" t="n"/>
      <c r="AC175" s="307" t="n"/>
      <c r="AD175" s="307" t="n"/>
      <c r="AE175" s="307" t="n"/>
      <c r="AF175" s="307" t="n"/>
      <c r="AG175" s="307" t="n"/>
      <c r="AH175" s="307" t="n"/>
      <c r="AI175" s="307" t="n"/>
      <c r="AJ175" s="307" t="n"/>
      <c r="AK175" s="307" t="n"/>
      <c r="AL175" s="307" t="n"/>
      <c r="AM175" s="307" t="n"/>
      <c r="AN175" s="307" t="n"/>
      <c r="AO175" s="307" t="n"/>
      <c r="AP175" s="307" t="n"/>
      <c r="AQ175" s="307" t="n"/>
      <c r="AR175" s="307" t="n"/>
      <c r="AS175" s="307" t="n"/>
      <c r="AT175" s="307" t="n"/>
    </row>
    <row r="176" ht="15.75" customHeight="1" s="349">
      <c r="A176" s="307" t="n"/>
      <c r="B176" s="307" t="n"/>
      <c r="C176" s="307" t="n"/>
      <c r="D176" s="307" t="n"/>
      <c r="E176" s="307" t="n"/>
      <c r="F176" s="307" t="n"/>
      <c r="G176" s="307" t="n"/>
      <c r="H176" s="307" t="n"/>
      <c r="I176" s="307" t="n"/>
      <c r="J176" s="307" t="n"/>
      <c r="K176" s="307" t="n"/>
      <c r="L176" s="307" t="n"/>
      <c r="M176" s="307" t="n"/>
      <c r="N176" s="307" t="n"/>
      <c r="O176" s="307" t="n"/>
      <c r="P176" s="307" t="n"/>
      <c r="Q176" s="307" t="n"/>
      <c r="R176" s="307" t="n"/>
      <c r="S176" s="307" t="n"/>
      <c r="T176" s="307" t="n"/>
      <c r="U176" s="307" t="n"/>
      <c r="V176" s="307" t="n"/>
      <c r="W176" s="307" t="n"/>
      <c r="X176" s="307" t="n"/>
      <c r="Y176" s="307" t="n"/>
      <c r="Z176" s="307" t="n"/>
      <c r="AA176" s="307" t="n"/>
      <c r="AB176" s="307" t="n"/>
      <c r="AC176" s="307" t="n"/>
      <c r="AD176" s="307" t="n"/>
      <c r="AE176" s="307" t="n"/>
      <c r="AF176" s="307" t="n"/>
      <c r="AG176" s="307" t="n"/>
      <c r="AH176" s="307" t="n"/>
      <c r="AI176" s="307" t="n"/>
      <c r="AJ176" s="307" t="n"/>
      <c r="AK176" s="307" t="n"/>
      <c r="AL176" s="307" t="n"/>
      <c r="AM176" s="307" t="n"/>
      <c r="AN176" s="307" t="n"/>
      <c r="AO176" s="307" t="n"/>
      <c r="AP176" s="307" t="n"/>
      <c r="AQ176" s="307" t="n"/>
      <c r="AR176" s="307" t="n"/>
      <c r="AS176" s="307" t="n"/>
      <c r="AT176" s="307" t="n"/>
    </row>
    <row r="177" ht="15.75" customHeight="1" s="349">
      <c r="A177" s="307" t="n"/>
      <c r="B177" s="307" t="n"/>
      <c r="C177" s="307" t="n"/>
      <c r="D177" s="307" t="n"/>
      <c r="E177" s="307" t="n"/>
      <c r="F177" s="307" t="n"/>
      <c r="G177" s="307" t="n"/>
      <c r="H177" s="307" t="n"/>
      <c r="I177" s="307" t="n"/>
      <c r="J177" s="307" t="n"/>
      <c r="K177" s="307" t="n"/>
      <c r="L177" s="307" t="n"/>
      <c r="M177" s="307" t="n"/>
      <c r="N177" s="307" t="n"/>
      <c r="O177" s="307" t="n"/>
      <c r="P177" s="307" t="n"/>
      <c r="Q177" s="307" t="n"/>
      <c r="R177" s="307" t="n"/>
      <c r="S177" s="307" t="n"/>
      <c r="T177" s="307" t="n"/>
      <c r="U177" s="307" t="n"/>
      <c r="V177" s="307" t="n"/>
      <c r="W177" s="307" t="n"/>
      <c r="X177" s="307" t="n"/>
      <c r="Y177" s="307" t="n"/>
      <c r="Z177" s="307" t="n"/>
      <c r="AA177" s="307" t="n"/>
      <c r="AB177" s="307" t="n"/>
      <c r="AC177" s="307" t="n"/>
      <c r="AD177" s="307" t="n"/>
      <c r="AE177" s="307" t="n"/>
      <c r="AF177" s="307" t="n"/>
      <c r="AG177" s="307" t="n"/>
      <c r="AH177" s="307" t="n"/>
      <c r="AI177" s="307" t="n"/>
      <c r="AJ177" s="307" t="n"/>
      <c r="AK177" s="307" t="n"/>
      <c r="AL177" s="307" t="n"/>
      <c r="AM177" s="307" t="n"/>
      <c r="AN177" s="307" t="n"/>
      <c r="AO177" s="307" t="n"/>
      <c r="AP177" s="307" t="n"/>
      <c r="AQ177" s="307" t="n"/>
      <c r="AR177" s="307" t="n"/>
      <c r="AS177" s="307" t="n"/>
      <c r="AT177" s="307" t="n"/>
    </row>
    <row r="178" ht="15.75" customHeight="1" s="349">
      <c r="A178" s="307" t="n"/>
      <c r="B178" s="307" t="n"/>
      <c r="C178" s="307" t="n"/>
      <c r="D178" s="307" t="n"/>
      <c r="E178" s="307" t="n"/>
      <c r="F178" s="307" t="n"/>
      <c r="G178" s="307" t="n"/>
      <c r="H178" s="307" t="n"/>
      <c r="I178" s="307" t="n"/>
      <c r="J178" s="307" t="n"/>
      <c r="K178" s="307" t="n"/>
      <c r="L178" s="307" t="n"/>
      <c r="M178" s="307" t="n"/>
      <c r="N178" s="307" t="n"/>
      <c r="O178" s="307" t="n"/>
      <c r="P178" s="307" t="n"/>
      <c r="Q178" s="307" t="n"/>
      <c r="R178" s="307" t="n"/>
      <c r="S178" s="307" t="n"/>
      <c r="T178" s="307" t="n"/>
      <c r="U178" s="307" t="n"/>
      <c r="V178" s="307" t="n"/>
      <c r="W178" s="307" t="n"/>
      <c r="X178" s="307" t="n"/>
      <c r="Y178" s="307" t="n"/>
      <c r="Z178" s="307" t="n"/>
      <c r="AA178" s="307" t="n"/>
      <c r="AB178" s="307" t="n"/>
      <c r="AC178" s="307" t="n"/>
      <c r="AD178" s="307" t="n"/>
      <c r="AE178" s="307" t="n"/>
      <c r="AF178" s="307" t="n"/>
      <c r="AG178" s="307" t="n"/>
      <c r="AH178" s="307" t="n"/>
      <c r="AI178" s="307" t="n"/>
      <c r="AJ178" s="307" t="n"/>
      <c r="AK178" s="307" t="n"/>
      <c r="AL178" s="307" t="n"/>
      <c r="AM178" s="307" t="n"/>
      <c r="AN178" s="307" t="n"/>
      <c r="AO178" s="307" t="n"/>
      <c r="AP178" s="307" t="n"/>
      <c r="AQ178" s="307" t="n"/>
      <c r="AR178" s="307" t="n"/>
      <c r="AS178" s="307" t="n"/>
      <c r="AT178" s="307" t="n"/>
    </row>
    <row r="179" ht="15.75" customHeight="1" s="349">
      <c r="A179" s="307" t="n"/>
      <c r="B179" s="307" t="n"/>
      <c r="C179" s="307" t="n"/>
      <c r="D179" s="307" t="n"/>
      <c r="E179" s="307" t="n"/>
      <c r="F179" s="307" t="n"/>
      <c r="G179" s="307" t="n"/>
      <c r="H179" s="307" t="n"/>
      <c r="I179" s="307" t="n"/>
      <c r="J179" s="307" t="n"/>
      <c r="K179" s="307" t="n"/>
      <c r="L179" s="307" t="n"/>
      <c r="M179" s="307" t="n"/>
      <c r="N179" s="307" t="n"/>
      <c r="O179" s="307" t="n"/>
      <c r="P179" s="307" t="n"/>
      <c r="Q179" s="307" t="n"/>
      <c r="R179" s="307" t="n"/>
      <c r="S179" s="307" t="n"/>
      <c r="T179" s="307" t="n"/>
      <c r="U179" s="307" t="n"/>
      <c r="V179" s="307" t="n"/>
      <c r="W179" s="307" t="n"/>
      <c r="X179" s="307" t="n"/>
      <c r="Y179" s="307" t="n"/>
      <c r="Z179" s="307" t="n"/>
      <c r="AA179" s="307" t="n"/>
      <c r="AB179" s="307" t="n"/>
      <c r="AC179" s="307" t="n"/>
      <c r="AD179" s="307" t="n"/>
      <c r="AE179" s="307" t="n"/>
      <c r="AF179" s="307" t="n"/>
      <c r="AG179" s="307" t="n"/>
      <c r="AH179" s="307" t="n"/>
      <c r="AI179" s="307" t="n"/>
      <c r="AJ179" s="307" t="n"/>
      <c r="AK179" s="307" t="n"/>
      <c r="AL179" s="307" t="n"/>
      <c r="AM179" s="307" t="n"/>
      <c r="AN179" s="307" t="n"/>
      <c r="AO179" s="307" t="n"/>
      <c r="AP179" s="307" t="n"/>
      <c r="AQ179" s="307" t="n"/>
      <c r="AR179" s="307" t="n"/>
      <c r="AS179" s="307" t="n"/>
      <c r="AT179" s="307" t="n"/>
    </row>
    <row r="180" ht="15.75" customHeight="1" s="349">
      <c r="A180" s="307" t="n"/>
      <c r="B180" s="307" t="n"/>
      <c r="C180" s="307" t="n"/>
      <c r="D180" s="307" t="n"/>
      <c r="E180" s="307" t="n"/>
      <c r="F180" s="307" t="n"/>
      <c r="G180" s="307" t="n"/>
      <c r="H180" s="307" t="n"/>
      <c r="I180" s="307" t="n"/>
      <c r="J180" s="307" t="n"/>
      <c r="K180" s="307" t="n"/>
      <c r="L180" s="307" t="n"/>
      <c r="M180" s="307" t="n"/>
      <c r="N180" s="307" t="n"/>
      <c r="O180" s="307" t="n"/>
      <c r="P180" s="307" t="n"/>
      <c r="Q180" s="307" t="n"/>
      <c r="R180" s="307" t="n"/>
      <c r="S180" s="307" t="n"/>
      <c r="T180" s="307" t="n"/>
      <c r="U180" s="307" t="n"/>
      <c r="V180" s="307" t="n"/>
      <c r="W180" s="307" t="n"/>
      <c r="X180" s="307" t="n"/>
      <c r="Y180" s="307" t="n"/>
      <c r="Z180" s="307" t="n"/>
      <c r="AA180" s="307" t="n"/>
      <c r="AB180" s="307" t="n"/>
      <c r="AC180" s="307" t="n"/>
      <c r="AD180" s="307" t="n"/>
      <c r="AE180" s="307" t="n"/>
      <c r="AF180" s="307" t="n"/>
      <c r="AG180" s="307" t="n"/>
      <c r="AH180" s="307" t="n"/>
      <c r="AI180" s="307" t="n"/>
      <c r="AJ180" s="307" t="n"/>
      <c r="AK180" s="307" t="n"/>
      <c r="AL180" s="307" t="n"/>
      <c r="AM180" s="307" t="n"/>
      <c r="AN180" s="307" t="n"/>
      <c r="AO180" s="307" t="n"/>
      <c r="AP180" s="307" t="n"/>
      <c r="AQ180" s="307" t="n"/>
      <c r="AR180" s="307" t="n"/>
      <c r="AS180" s="307" t="n"/>
      <c r="AT180" s="307" t="n"/>
    </row>
    <row r="181" ht="15.75" customHeight="1" s="349">
      <c r="A181" s="307" t="n"/>
      <c r="B181" s="307" t="n"/>
      <c r="C181" s="307" t="n"/>
      <c r="D181" s="307" t="n"/>
      <c r="E181" s="307" t="n"/>
      <c r="F181" s="307" t="n"/>
      <c r="G181" s="307" t="n"/>
      <c r="H181" s="307" t="n"/>
      <c r="I181" s="307" t="n"/>
      <c r="J181" s="307" t="n"/>
      <c r="K181" s="307" t="n"/>
      <c r="L181" s="307" t="n"/>
      <c r="M181" s="307" t="n"/>
      <c r="N181" s="307" t="n"/>
      <c r="O181" s="307" t="n"/>
      <c r="P181" s="307" t="n"/>
      <c r="Q181" s="307" t="n"/>
      <c r="R181" s="307" t="n"/>
      <c r="S181" s="307" t="n"/>
      <c r="T181" s="307" t="n"/>
      <c r="U181" s="307" t="n"/>
      <c r="V181" s="307" t="n"/>
      <c r="W181" s="307" t="n"/>
      <c r="X181" s="307" t="n"/>
      <c r="Y181" s="307" t="n"/>
      <c r="Z181" s="307" t="n"/>
      <c r="AA181" s="307" t="n"/>
      <c r="AB181" s="307" t="n"/>
      <c r="AC181" s="307" t="n"/>
      <c r="AD181" s="307" t="n"/>
      <c r="AE181" s="307" t="n"/>
      <c r="AF181" s="307" t="n"/>
      <c r="AG181" s="307" t="n"/>
      <c r="AH181" s="307" t="n"/>
      <c r="AI181" s="307" t="n"/>
      <c r="AJ181" s="307" t="n"/>
      <c r="AK181" s="307" t="n"/>
      <c r="AL181" s="307" t="n"/>
      <c r="AM181" s="307" t="n"/>
      <c r="AN181" s="307" t="n"/>
      <c r="AO181" s="307" t="n"/>
      <c r="AP181" s="307" t="n"/>
      <c r="AQ181" s="307" t="n"/>
      <c r="AR181" s="307" t="n"/>
      <c r="AS181" s="307" t="n"/>
      <c r="AT181" s="307" t="n"/>
    </row>
    <row r="182" ht="15.75" customHeight="1" s="349">
      <c r="A182" s="307" t="n"/>
      <c r="B182" s="307" t="n"/>
      <c r="C182" s="307" t="n"/>
      <c r="D182" s="307" t="n"/>
      <c r="E182" s="307" t="n"/>
      <c r="F182" s="307" t="n"/>
      <c r="G182" s="307" t="n"/>
      <c r="H182" s="307" t="n"/>
      <c r="I182" s="307" t="n"/>
      <c r="J182" s="307" t="n"/>
      <c r="K182" s="307" t="n"/>
      <c r="L182" s="307" t="n"/>
      <c r="M182" s="307" t="n"/>
      <c r="N182" s="307" t="n"/>
      <c r="O182" s="307" t="n"/>
      <c r="P182" s="307" t="n"/>
      <c r="Q182" s="307" t="n"/>
      <c r="R182" s="307" t="n"/>
      <c r="S182" s="307" t="n"/>
      <c r="T182" s="307" t="n"/>
      <c r="U182" s="307" t="n"/>
      <c r="V182" s="307" t="n"/>
      <c r="W182" s="307" t="n"/>
      <c r="X182" s="307" t="n"/>
      <c r="Y182" s="307" t="n"/>
      <c r="Z182" s="307" t="n"/>
      <c r="AA182" s="307" t="n"/>
      <c r="AB182" s="307" t="n"/>
      <c r="AC182" s="307" t="n"/>
      <c r="AD182" s="307" t="n"/>
      <c r="AE182" s="307" t="n"/>
      <c r="AF182" s="307" t="n"/>
      <c r="AG182" s="307" t="n"/>
      <c r="AH182" s="307" t="n"/>
      <c r="AI182" s="307" t="n"/>
      <c r="AJ182" s="307" t="n"/>
      <c r="AK182" s="307" t="n"/>
      <c r="AL182" s="307" t="n"/>
      <c r="AM182" s="307" t="n"/>
      <c r="AN182" s="307" t="n"/>
      <c r="AO182" s="307" t="n"/>
      <c r="AP182" s="307" t="n"/>
      <c r="AQ182" s="307" t="n"/>
      <c r="AR182" s="307" t="n"/>
      <c r="AS182" s="307" t="n"/>
      <c r="AT182" s="307" t="n"/>
    </row>
    <row r="183" ht="15.75" customHeight="1" s="349">
      <c r="A183" s="307" t="n"/>
      <c r="B183" s="307" t="n"/>
      <c r="C183" s="307" t="n"/>
      <c r="D183" s="307" t="n"/>
      <c r="E183" s="307" t="n"/>
      <c r="F183" s="307" t="n"/>
      <c r="G183" s="307" t="n"/>
      <c r="H183" s="307" t="n"/>
      <c r="I183" s="307" t="n"/>
      <c r="J183" s="307" t="n"/>
      <c r="K183" s="307" t="n"/>
      <c r="L183" s="307" t="n"/>
      <c r="M183" s="307" t="n"/>
      <c r="N183" s="307" t="n"/>
      <c r="O183" s="307" t="n"/>
      <c r="P183" s="307" t="n"/>
      <c r="Q183" s="307" t="n"/>
      <c r="R183" s="307" t="n"/>
      <c r="S183" s="307" t="n"/>
      <c r="T183" s="307" t="n"/>
      <c r="U183" s="307" t="n"/>
      <c r="V183" s="307" t="n"/>
      <c r="W183" s="307" t="n"/>
      <c r="X183" s="307" t="n"/>
      <c r="Y183" s="307" t="n"/>
      <c r="Z183" s="307" t="n"/>
      <c r="AA183" s="307" t="n"/>
      <c r="AB183" s="307" t="n"/>
      <c r="AC183" s="307" t="n"/>
      <c r="AD183" s="307" t="n"/>
      <c r="AE183" s="307" t="n"/>
      <c r="AF183" s="307" t="n"/>
      <c r="AG183" s="307" t="n"/>
      <c r="AH183" s="307" t="n"/>
      <c r="AI183" s="307" t="n"/>
      <c r="AJ183" s="307" t="n"/>
      <c r="AK183" s="307" t="n"/>
      <c r="AL183" s="307" t="n"/>
      <c r="AM183" s="307" t="n"/>
      <c r="AN183" s="307" t="n"/>
      <c r="AO183" s="307" t="n"/>
      <c r="AP183" s="307" t="n"/>
      <c r="AQ183" s="307" t="n"/>
      <c r="AR183" s="307" t="n"/>
      <c r="AS183" s="307" t="n"/>
      <c r="AT183" s="307" t="n"/>
    </row>
    <row r="184" ht="15.75" customHeight="1" s="349">
      <c r="A184" s="307" t="n"/>
      <c r="B184" s="307" t="n"/>
      <c r="C184" s="307" t="n"/>
      <c r="D184" s="307" t="n"/>
      <c r="E184" s="307" t="n"/>
      <c r="F184" s="307" t="n"/>
      <c r="G184" s="307" t="n"/>
      <c r="H184" s="307" t="n"/>
      <c r="I184" s="307" t="n"/>
      <c r="J184" s="307" t="n"/>
      <c r="K184" s="307" t="n"/>
      <c r="L184" s="307" t="n"/>
      <c r="M184" s="307" t="n"/>
      <c r="N184" s="307" t="n"/>
      <c r="O184" s="307" t="n"/>
      <c r="P184" s="307" t="n"/>
      <c r="Q184" s="307" t="n"/>
      <c r="R184" s="307" t="n"/>
      <c r="S184" s="307" t="n"/>
      <c r="T184" s="307" t="n"/>
      <c r="U184" s="307" t="n"/>
      <c r="V184" s="307" t="n"/>
      <c r="W184" s="307" t="n"/>
      <c r="X184" s="307" t="n"/>
      <c r="Y184" s="307" t="n"/>
      <c r="Z184" s="307" t="n"/>
      <c r="AA184" s="307" t="n"/>
      <c r="AB184" s="307" t="n"/>
      <c r="AC184" s="307" t="n"/>
      <c r="AD184" s="307" t="n"/>
      <c r="AE184" s="307" t="n"/>
      <c r="AF184" s="307" t="n"/>
      <c r="AG184" s="307" t="n"/>
      <c r="AH184" s="307" t="n"/>
      <c r="AI184" s="307" t="n"/>
      <c r="AJ184" s="307" t="n"/>
      <c r="AK184" s="307" t="n"/>
      <c r="AL184" s="307" t="n"/>
      <c r="AM184" s="307" t="n"/>
      <c r="AN184" s="307" t="n"/>
      <c r="AO184" s="307" t="n"/>
      <c r="AP184" s="307" t="n"/>
      <c r="AQ184" s="307" t="n"/>
      <c r="AR184" s="307" t="n"/>
      <c r="AS184" s="307" t="n"/>
      <c r="AT184" s="307" t="n"/>
    </row>
    <row r="185" ht="15.75" customHeight="1" s="349">
      <c r="A185" s="307" t="n"/>
      <c r="B185" s="307" t="n"/>
      <c r="C185" s="307" t="n"/>
      <c r="D185" s="307" t="n"/>
      <c r="E185" s="307" t="n"/>
      <c r="F185" s="307" t="n"/>
      <c r="G185" s="307" t="n"/>
      <c r="H185" s="307" t="n"/>
      <c r="I185" s="307" t="n"/>
      <c r="J185" s="307" t="n"/>
      <c r="K185" s="307" t="n"/>
      <c r="L185" s="307" t="n"/>
      <c r="M185" s="307" t="n"/>
      <c r="N185" s="307" t="n"/>
      <c r="O185" s="307" t="n"/>
      <c r="P185" s="307" t="n"/>
      <c r="Q185" s="307" t="n"/>
      <c r="R185" s="307" t="n"/>
      <c r="S185" s="307" t="n"/>
      <c r="T185" s="307" t="n"/>
      <c r="U185" s="307" t="n"/>
      <c r="V185" s="307" t="n"/>
      <c r="W185" s="307" t="n"/>
      <c r="X185" s="307" t="n"/>
      <c r="Y185" s="307" t="n"/>
      <c r="Z185" s="307" t="n"/>
      <c r="AA185" s="307" t="n"/>
      <c r="AB185" s="307" t="n"/>
      <c r="AC185" s="307" t="n"/>
      <c r="AD185" s="307" t="n"/>
      <c r="AE185" s="307" t="n"/>
      <c r="AF185" s="307" t="n"/>
      <c r="AG185" s="307" t="n"/>
      <c r="AH185" s="307" t="n"/>
      <c r="AI185" s="307" t="n"/>
      <c r="AJ185" s="307" t="n"/>
      <c r="AK185" s="307" t="n"/>
      <c r="AL185" s="307" t="n"/>
      <c r="AM185" s="307" t="n"/>
      <c r="AN185" s="307" t="n"/>
      <c r="AO185" s="307" t="n"/>
      <c r="AP185" s="307" t="n"/>
      <c r="AQ185" s="307" t="n"/>
      <c r="AR185" s="307" t="n"/>
      <c r="AS185" s="307" t="n"/>
      <c r="AT185" s="307" t="n"/>
    </row>
    <row r="186" ht="15.75" customHeight="1" s="349">
      <c r="A186" s="307" t="n"/>
      <c r="B186" s="307" t="n"/>
      <c r="C186" s="307" t="n"/>
      <c r="D186" s="307" t="n"/>
      <c r="E186" s="307" t="n"/>
      <c r="F186" s="307" t="n"/>
      <c r="G186" s="307" t="n"/>
      <c r="H186" s="307" t="n"/>
      <c r="I186" s="307" t="n"/>
      <c r="J186" s="307" t="n"/>
      <c r="K186" s="307" t="n"/>
      <c r="L186" s="307" t="n"/>
      <c r="M186" s="307" t="n"/>
      <c r="N186" s="307" t="n"/>
      <c r="O186" s="307" t="n"/>
      <c r="P186" s="307" t="n"/>
      <c r="Q186" s="307" t="n"/>
      <c r="R186" s="307" t="n"/>
      <c r="S186" s="307" t="n"/>
      <c r="T186" s="307" t="n"/>
      <c r="U186" s="307" t="n"/>
      <c r="V186" s="307" t="n"/>
      <c r="W186" s="307" t="n"/>
      <c r="X186" s="307" t="n"/>
      <c r="Y186" s="307" t="n"/>
      <c r="Z186" s="307" t="n"/>
      <c r="AA186" s="307" t="n"/>
      <c r="AB186" s="307" t="n"/>
      <c r="AC186" s="307" t="n"/>
      <c r="AD186" s="307" t="n"/>
      <c r="AE186" s="307" t="n"/>
      <c r="AF186" s="307" t="n"/>
      <c r="AG186" s="307" t="n"/>
      <c r="AH186" s="307" t="n"/>
      <c r="AI186" s="307" t="n"/>
      <c r="AJ186" s="307" t="n"/>
      <c r="AK186" s="307" t="n"/>
      <c r="AL186" s="307" t="n"/>
      <c r="AM186" s="307" t="n"/>
      <c r="AN186" s="307" t="n"/>
      <c r="AO186" s="307" t="n"/>
      <c r="AP186" s="307" t="n"/>
      <c r="AQ186" s="307" t="n"/>
      <c r="AR186" s="307" t="n"/>
      <c r="AS186" s="307" t="n"/>
      <c r="AT186" s="307" t="n"/>
    </row>
    <row r="187" ht="15.75" customHeight="1" s="349">
      <c r="A187" s="307" t="n"/>
      <c r="B187" s="307" t="n"/>
      <c r="C187" s="307" t="n"/>
      <c r="D187" s="307" t="n"/>
      <c r="E187" s="307" t="n"/>
      <c r="F187" s="307" t="n"/>
      <c r="G187" s="307" t="n"/>
      <c r="H187" s="307" t="n"/>
      <c r="I187" s="307" t="n"/>
      <c r="J187" s="307" t="n"/>
      <c r="K187" s="307" t="n"/>
      <c r="L187" s="307" t="n"/>
      <c r="M187" s="307" t="n"/>
      <c r="N187" s="307" t="n"/>
      <c r="O187" s="307" t="n"/>
      <c r="P187" s="307" t="n"/>
      <c r="Q187" s="307" t="n"/>
      <c r="R187" s="307" t="n"/>
      <c r="S187" s="307" t="n"/>
      <c r="T187" s="307" t="n"/>
      <c r="U187" s="307" t="n"/>
      <c r="V187" s="307" t="n"/>
      <c r="W187" s="307" t="n"/>
      <c r="X187" s="307" t="n"/>
      <c r="Y187" s="307" t="n"/>
      <c r="Z187" s="307" t="n"/>
      <c r="AA187" s="307" t="n"/>
      <c r="AB187" s="307" t="n"/>
      <c r="AC187" s="307" t="n"/>
      <c r="AD187" s="307" t="n"/>
      <c r="AE187" s="307" t="n"/>
      <c r="AF187" s="307" t="n"/>
      <c r="AG187" s="307" t="n"/>
      <c r="AH187" s="307" t="n"/>
      <c r="AI187" s="307" t="n"/>
      <c r="AJ187" s="307" t="n"/>
      <c r="AK187" s="307" t="n"/>
      <c r="AL187" s="307" t="n"/>
      <c r="AM187" s="307" t="n"/>
      <c r="AN187" s="307" t="n"/>
      <c r="AO187" s="307" t="n"/>
      <c r="AP187" s="307" t="n"/>
      <c r="AQ187" s="307" t="n"/>
      <c r="AR187" s="307" t="n"/>
      <c r="AS187" s="307" t="n"/>
      <c r="AT187" s="307" t="n"/>
    </row>
    <row r="188" ht="15.75" customHeight="1" s="349">
      <c r="A188" s="307" t="n"/>
      <c r="B188" s="307" t="n"/>
      <c r="C188" s="307" t="n"/>
      <c r="D188" s="307" t="n"/>
      <c r="E188" s="307" t="n"/>
      <c r="F188" s="307" t="n"/>
      <c r="G188" s="307" t="n"/>
      <c r="H188" s="307" t="n"/>
      <c r="I188" s="307" t="n"/>
      <c r="J188" s="307" t="n"/>
      <c r="K188" s="307" t="n"/>
      <c r="L188" s="307" t="n"/>
      <c r="M188" s="307" t="n"/>
      <c r="N188" s="307" t="n"/>
      <c r="O188" s="307" t="n"/>
      <c r="P188" s="307" t="n"/>
      <c r="Q188" s="307" t="n"/>
      <c r="R188" s="307" t="n"/>
      <c r="S188" s="307" t="n"/>
      <c r="T188" s="307" t="n"/>
      <c r="U188" s="307" t="n"/>
      <c r="V188" s="307" t="n"/>
      <c r="W188" s="307" t="n"/>
      <c r="X188" s="307" t="n"/>
      <c r="Y188" s="307" t="n"/>
      <c r="Z188" s="307" t="n"/>
      <c r="AA188" s="307" t="n"/>
      <c r="AB188" s="307" t="n"/>
      <c r="AC188" s="307" t="n"/>
      <c r="AD188" s="307" t="n"/>
      <c r="AE188" s="307" t="n"/>
      <c r="AF188" s="307" t="n"/>
      <c r="AG188" s="307" t="n"/>
      <c r="AH188" s="307" t="n"/>
      <c r="AI188" s="307" t="n"/>
      <c r="AJ188" s="307" t="n"/>
      <c r="AK188" s="307" t="n"/>
      <c r="AL188" s="307" t="n"/>
      <c r="AM188" s="307" t="n"/>
      <c r="AN188" s="307" t="n"/>
      <c r="AO188" s="307" t="n"/>
      <c r="AP188" s="307" t="n"/>
      <c r="AQ188" s="307" t="n"/>
      <c r="AR188" s="307" t="n"/>
      <c r="AS188" s="307" t="n"/>
      <c r="AT188" s="307" t="n"/>
    </row>
    <row r="189" ht="15.75" customHeight="1" s="349">
      <c r="A189" s="307" t="n"/>
      <c r="B189" s="307" t="n"/>
      <c r="C189" s="307" t="n"/>
      <c r="D189" s="307" t="n"/>
      <c r="E189" s="307" t="n"/>
      <c r="F189" s="307" t="n"/>
      <c r="G189" s="307" t="n"/>
      <c r="H189" s="307" t="n"/>
      <c r="I189" s="307" t="n"/>
      <c r="J189" s="307" t="n"/>
      <c r="K189" s="307" t="n"/>
      <c r="L189" s="307" t="n"/>
      <c r="M189" s="307" t="n"/>
      <c r="N189" s="307" t="n"/>
      <c r="O189" s="307" t="n"/>
      <c r="P189" s="307" t="n"/>
      <c r="Q189" s="307" t="n"/>
      <c r="R189" s="307" t="n"/>
      <c r="S189" s="307" t="n"/>
      <c r="T189" s="307" t="n"/>
      <c r="U189" s="307" t="n"/>
      <c r="V189" s="307" t="n"/>
      <c r="W189" s="307" t="n"/>
      <c r="X189" s="307" t="n"/>
      <c r="Y189" s="307" t="n"/>
      <c r="Z189" s="307" t="n"/>
      <c r="AA189" s="307" t="n"/>
      <c r="AB189" s="307" t="n"/>
      <c r="AC189" s="307" t="n"/>
      <c r="AD189" s="307" t="n"/>
      <c r="AE189" s="307" t="n"/>
      <c r="AF189" s="307" t="n"/>
      <c r="AG189" s="307" t="n"/>
      <c r="AH189" s="307" t="n"/>
      <c r="AI189" s="307" t="n"/>
      <c r="AJ189" s="307" t="n"/>
      <c r="AK189" s="307" t="n"/>
      <c r="AL189" s="307" t="n"/>
      <c r="AM189" s="307" t="n"/>
      <c r="AN189" s="307" t="n"/>
      <c r="AO189" s="307" t="n"/>
      <c r="AP189" s="307" t="n"/>
      <c r="AQ189" s="307" t="n"/>
      <c r="AR189" s="307" t="n"/>
      <c r="AS189" s="307" t="n"/>
      <c r="AT189" s="307" t="n"/>
    </row>
    <row r="190" ht="15.75" customHeight="1" s="349">
      <c r="A190" s="307" t="n"/>
      <c r="B190" s="307" t="n"/>
      <c r="C190" s="307" t="n"/>
      <c r="D190" s="307" t="n"/>
      <c r="E190" s="307" t="n"/>
      <c r="F190" s="307" t="n"/>
      <c r="G190" s="307" t="n"/>
      <c r="H190" s="307" t="n"/>
      <c r="I190" s="307" t="n"/>
      <c r="J190" s="307" t="n"/>
      <c r="K190" s="307" t="n"/>
      <c r="L190" s="307" t="n"/>
      <c r="M190" s="307" t="n"/>
      <c r="N190" s="307" t="n"/>
      <c r="O190" s="307" t="n"/>
      <c r="P190" s="307" t="n"/>
      <c r="Q190" s="307" t="n"/>
      <c r="R190" s="307" t="n"/>
      <c r="S190" s="307" t="n"/>
      <c r="T190" s="307" t="n"/>
      <c r="U190" s="307" t="n"/>
      <c r="V190" s="307" t="n"/>
      <c r="W190" s="307" t="n"/>
      <c r="X190" s="307" t="n"/>
      <c r="Y190" s="307" t="n"/>
      <c r="Z190" s="307" t="n"/>
      <c r="AA190" s="307" t="n"/>
      <c r="AB190" s="307" t="n"/>
      <c r="AC190" s="307" t="n"/>
      <c r="AD190" s="307" t="n"/>
      <c r="AE190" s="307" t="n"/>
      <c r="AF190" s="307" t="n"/>
      <c r="AG190" s="307" t="n"/>
      <c r="AH190" s="307" t="n"/>
      <c r="AI190" s="307" t="n"/>
      <c r="AJ190" s="307" t="n"/>
      <c r="AK190" s="307" t="n"/>
      <c r="AL190" s="307" t="n"/>
      <c r="AM190" s="307" t="n"/>
      <c r="AN190" s="307" t="n"/>
      <c r="AO190" s="307" t="n"/>
      <c r="AP190" s="307" t="n"/>
      <c r="AQ190" s="307" t="n"/>
      <c r="AR190" s="307" t="n"/>
      <c r="AS190" s="307" t="n"/>
      <c r="AT190" s="307" t="n"/>
    </row>
    <row r="191" ht="15.75" customHeight="1" s="349">
      <c r="A191" s="307" t="n"/>
      <c r="B191" s="307" t="n"/>
      <c r="C191" s="307" t="n"/>
      <c r="D191" s="307" t="n"/>
      <c r="E191" s="307" t="n"/>
      <c r="F191" s="307" t="n"/>
      <c r="G191" s="307" t="n"/>
      <c r="H191" s="307" t="n"/>
      <c r="I191" s="307" t="n"/>
      <c r="J191" s="307" t="n"/>
      <c r="K191" s="307" t="n"/>
      <c r="L191" s="307" t="n"/>
      <c r="M191" s="307" t="n"/>
      <c r="N191" s="307" t="n"/>
      <c r="O191" s="307" t="n"/>
      <c r="P191" s="307" t="n"/>
      <c r="Q191" s="307" t="n"/>
      <c r="R191" s="307" t="n"/>
      <c r="S191" s="307" t="n"/>
      <c r="T191" s="307" t="n"/>
      <c r="U191" s="307" t="n"/>
      <c r="V191" s="307" t="n"/>
      <c r="W191" s="307" t="n"/>
      <c r="X191" s="307" t="n"/>
      <c r="Y191" s="307" t="n"/>
      <c r="Z191" s="307" t="n"/>
      <c r="AA191" s="307" t="n"/>
      <c r="AB191" s="307" t="n"/>
      <c r="AC191" s="307" t="n"/>
      <c r="AD191" s="307" t="n"/>
      <c r="AE191" s="307" t="n"/>
      <c r="AF191" s="307" t="n"/>
      <c r="AG191" s="307" t="n"/>
      <c r="AH191" s="307" t="n"/>
      <c r="AI191" s="307" t="n"/>
      <c r="AJ191" s="307" t="n"/>
      <c r="AK191" s="307" t="n"/>
      <c r="AL191" s="307" t="n"/>
      <c r="AM191" s="307" t="n"/>
      <c r="AN191" s="307" t="n"/>
      <c r="AO191" s="307" t="n"/>
      <c r="AP191" s="307" t="n"/>
      <c r="AQ191" s="307" t="n"/>
      <c r="AR191" s="307" t="n"/>
      <c r="AS191" s="307" t="n"/>
      <c r="AT191" s="307" t="n"/>
    </row>
    <row r="192" ht="15.75" customHeight="1" s="349">
      <c r="A192" s="307" t="n"/>
      <c r="B192" s="307" t="n"/>
      <c r="C192" s="307" t="n"/>
      <c r="D192" s="307" t="n"/>
      <c r="E192" s="307" t="n"/>
      <c r="F192" s="307" t="n"/>
      <c r="G192" s="307" t="n"/>
      <c r="H192" s="307" t="n"/>
      <c r="I192" s="307" t="n"/>
      <c r="J192" s="307" t="n"/>
      <c r="K192" s="307" t="n"/>
      <c r="L192" s="307" t="n"/>
      <c r="M192" s="307" t="n"/>
      <c r="N192" s="307" t="n"/>
      <c r="O192" s="307" t="n"/>
      <c r="P192" s="307" t="n"/>
      <c r="Q192" s="307" t="n"/>
      <c r="R192" s="307" t="n"/>
      <c r="S192" s="307" t="n"/>
      <c r="T192" s="307" t="n"/>
      <c r="U192" s="307" t="n"/>
      <c r="V192" s="307" t="n"/>
      <c r="W192" s="307" t="n"/>
      <c r="X192" s="307" t="n"/>
      <c r="Y192" s="307" t="n"/>
      <c r="Z192" s="307" t="n"/>
      <c r="AA192" s="307" t="n"/>
      <c r="AB192" s="307" t="n"/>
      <c r="AC192" s="307" t="n"/>
      <c r="AD192" s="307" t="n"/>
      <c r="AE192" s="307" t="n"/>
      <c r="AF192" s="307" t="n"/>
      <c r="AG192" s="307" t="n"/>
      <c r="AH192" s="307" t="n"/>
      <c r="AI192" s="307" t="n"/>
      <c r="AJ192" s="307" t="n"/>
      <c r="AK192" s="307" t="n"/>
      <c r="AL192" s="307" t="n"/>
      <c r="AM192" s="307" t="n"/>
      <c r="AN192" s="307" t="n"/>
      <c r="AO192" s="307" t="n"/>
      <c r="AP192" s="307" t="n"/>
      <c r="AQ192" s="307" t="n"/>
      <c r="AR192" s="307" t="n"/>
      <c r="AS192" s="307" t="n"/>
      <c r="AT192" s="307" t="n"/>
    </row>
    <row r="193" ht="15.75" customHeight="1" s="349">
      <c r="A193" s="307" t="n"/>
      <c r="B193" s="307" t="n"/>
      <c r="C193" s="307" t="n"/>
      <c r="D193" s="307" t="n"/>
      <c r="E193" s="307" t="n"/>
      <c r="F193" s="307" t="n"/>
      <c r="G193" s="307" t="n"/>
      <c r="H193" s="307" t="n"/>
      <c r="I193" s="307" t="n"/>
      <c r="J193" s="307" t="n"/>
      <c r="K193" s="307" t="n"/>
      <c r="L193" s="307" t="n"/>
      <c r="M193" s="307" t="n"/>
      <c r="N193" s="307" t="n"/>
      <c r="O193" s="307" t="n"/>
      <c r="P193" s="307" t="n"/>
      <c r="Q193" s="307" t="n"/>
      <c r="R193" s="307" t="n"/>
      <c r="S193" s="307" t="n"/>
      <c r="T193" s="307" t="n"/>
      <c r="U193" s="307" t="n"/>
      <c r="V193" s="307" t="n"/>
      <c r="W193" s="307" t="n"/>
      <c r="X193" s="307" t="n"/>
      <c r="Y193" s="307" t="n"/>
      <c r="Z193" s="307" t="n"/>
      <c r="AA193" s="307" t="n"/>
      <c r="AB193" s="307" t="n"/>
      <c r="AC193" s="307" t="n"/>
      <c r="AD193" s="307" t="n"/>
      <c r="AE193" s="307" t="n"/>
      <c r="AF193" s="307" t="n"/>
      <c r="AG193" s="307" t="n"/>
      <c r="AH193" s="307" t="n"/>
      <c r="AI193" s="307" t="n"/>
      <c r="AJ193" s="307" t="n"/>
      <c r="AK193" s="307" t="n"/>
      <c r="AL193" s="307" t="n"/>
      <c r="AM193" s="307" t="n"/>
      <c r="AN193" s="307" t="n"/>
      <c r="AO193" s="307" t="n"/>
      <c r="AP193" s="307" t="n"/>
      <c r="AQ193" s="307" t="n"/>
      <c r="AR193" s="307" t="n"/>
      <c r="AS193" s="307" t="n"/>
      <c r="AT193" s="307" t="n"/>
    </row>
    <row r="194" ht="15.75" customHeight="1" s="349">
      <c r="A194" s="307" t="n"/>
      <c r="B194" s="307" t="n"/>
      <c r="C194" s="307" t="n"/>
      <c r="D194" s="307" t="n"/>
      <c r="E194" s="307" t="n"/>
      <c r="F194" s="307" t="n"/>
      <c r="G194" s="307" t="n"/>
      <c r="H194" s="307" t="n"/>
      <c r="I194" s="307" t="n"/>
      <c r="J194" s="307" t="n"/>
      <c r="K194" s="307" t="n"/>
      <c r="L194" s="307" t="n"/>
      <c r="M194" s="307" t="n"/>
      <c r="N194" s="307" t="n"/>
      <c r="O194" s="307" t="n"/>
      <c r="P194" s="307" t="n"/>
      <c r="Q194" s="307" t="n"/>
      <c r="R194" s="307" t="n"/>
      <c r="S194" s="307" t="n"/>
      <c r="T194" s="307" t="n"/>
      <c r="U194" s="307" t="n"/>
      <c r="V194" s="307" t="n"/>
      <c r="W194" s="307" t="n"/>
      <c r="X194" s="307" t="n"/>
      <c r="Y194" s="307" t="n"/>
      <c r="Z194" s="307" t="n"/>
      <c r="AA194" s="307" t="n"/>
      <c r="AB194" s="307" t="n"/>
      <c r="AC194" s="307" t="n"/>
      <c r="AD194" s="307" t="n"/>
      <c r="AE194" s="307" t="n"/>
      <c r="AF194" s="307" t="n"/>
      <c r="AG194" s="307" t="n"/>
      <c r="AH194" s="307" t="n"/>
      <c r="AI194" s="307" t="n"/>
      <c r="AJ194" s="307" t="n"/>
      <c r="AK194" s="307" t="n"/>
      <c r="AL194" s="307" t="n"/>
      <c r="AM194" s="307" t="n"/>
      <c r="AN194" s="307" t="n"/>
      <c r="AO194" s="307" t="n"/>
      <c r="AP194" s="307" t="n"/>
      <c r="AQ194" s="307" t="n"/>
      <c r="AR194" s="307" t="n"/>
      <c r="AS194" s="307" t="n"/>
      <c r="AT194" s="307" t="n"/>
    </row>
    <row r="195" ht="15.75" customHeight="1" s="349">
      <c r="A195" s="307" t="n"/>
      <c r="B195" s="307" t="n"/>
      <c r="C195" s="307" t="n"/>
      <c r="D195" s="307" t="n"/>
      <c r="E195" s="307" t="n"/>
      <c r="F195" s="307" t="n"/>
      <c r="G195" s="307" t="n"/>
      <c r="H195" s="307" t="n"/>
      <c r="I195" s="307" t="n"/>
      <c r="J195" s="307" t="n"/>
      <c r="K195" s="307" t="n"/>
      <c r="L195" s="307" t="n"/>
      <c r="M195" s="307" t="n"/>
      <c r="N195" s="307" t="n"/>
      <c r="O195" s="307" t="n"/>
      <c r="P195" s="307" t="n"/>
      <c r="Q195" s="307" t="n"/>
      <c r="R195" s="307" t="n"/>
      <c r="S195" s="307" t="n"/>
      <c r="T195" s="307" t="n"/>
      <c r="U195" s="307" t="n"/>
      <c r="V195" s="307" t="n"/>
      <c r="W195" s="307" t="n"/>
      <c r="X195" s="307" t="n"/>
      <c r="Y195" s="307" t="n"/>
      <c r="Z195" s="307" t="n"/>
      <c r="AA195" s="307" t="n"/>
      <c r="AB195" s="307" t="n"/>
      <c r="AC195" s="307" t="n"/>
      <c r="AD195" s="307" t="n"/>
      <c r="AE195" s="307" t="n"/>
      <c r="AF195" s="307" t="n"/>
      <c r="AG195" s="307" t="n"/>
      <c r="AH195" s="307" t="n"/>
      <c r="AI195" s="307" t="n"/>
      <c r="AJ195" s="307" t="n"/>
      <c r="AK195" s="307" t="n"/>
      <c r="AL195" s="307" t="n"/>
      <c r="AM195" s="307" t="n"/>
      <c r="AN195" s="307" t="n"/>
      <c r="AO195" s="307" t="n"/>
      <c r="AP195" s="307" t="n"/>
      <c r="AQ195" s="307" t="n"/>
      <c r="AR195" s="307" t="n"/>
      <c r="AS195" s="307" t="n"/>
      <c r="AT195" s="307" t="n"/>
    </row>
    <row r="196" ht="15.75" customHeight="1" s="349">
      <c r="A196" s="307" t="n"/>
      <c r="B196" s="307" t="n"/>
      <c r="C196" s="307" t="n"/>
      <c r="D196" s="307" t="n"/>
      <c r="E196" s="307" t="n"/>
      <c r="F196" s="307" t="n"/>
      <c r="G196" s="307" t="n"/>
      <c r="H196" s="307" t="n"/>
      <c r="I196" s="307" t="n"/>
      <c r="J196" s="307" t="n"/>
      <c r="K196" s="307" t="n"/>
      <c r="L196" s="307" t="n"/>
      <c r="M196" s="307" t="n"/>
      <c r="N196" s="307" t="n"/>
      <c r="O196" s="307" t="n"/>
      <c r="P196" s="307" t="n"/>
      <c r="Q196" s="307" t="n"/>
      <c r="R196" s="307" t="n"/>
      <c r="S196" s="307" t="n"/>
      <c r="T196" s="307" t="n"/>
      <c r="U196" s="307" t="n"/>
      <c r="V196" s="307" t="n"/>
      <c r="W196" s="307" t="n"/>
      <c r="X196" s="307" t="n"/>
      <c r="Y196" s="307" t="n"/>
      <c r="Z196" s="307" t="n"/>
      <c r="AA196" s="307" t="n"/>
      <c r="AB196" s="307" t="n"/>
      <c r="AC196" s="307" t="n"/>
      <c r="AD196" s="307" t="n"/>
      <c r="AE196" s="307" t="n"/>
      <c r="AF196" s="307" t="n"/>
      <c r="AG196" s="307" t="n"/>
      <c r="AH196" s="307" t="n"/>
      <c r="AI196" s="307" t="n"/>
      <c r="AJ196" s="307" t="n"/>
      <c r="AK196" s="307" t="n"/>
      <c r="AL196" s="307" t="n"/>
      <c r="AM196" s="307" t="n"/>
      <c r="AN196" s="307" t="n"/>
      <c r="AO196" s="307" t="n"/>
      <c r="AP196" s="307" t="n"/>
      <c r="AQ196" s="307" t="n"/>
      <c r="AR196" s="307" t="n"/>
      <c r="AS196" s="307" t="n"/>
      <c r="AT196" s="307" t="n"/>
    </row>
    <row r="197" ht="15.75" customHeight="1" s="349">
      <c r="A197" s="307" t="n"/>
      <c r="B197" s="307" t="n"/>
      <c r="C197" s="307" t="n"/>
      <c r="D197" s="307" t="n"/>
      <c r="E197" s="307" t="n"/>
      <c r="F197" s="307" t="n"/>
      <c r="G197" s="307" t="n"/>
      <c r="H197" s="307" t="n"/>
      <c r="I197" s="307" t="n"/>
      <c r="J197" s="307" t="n"/>
      <c r="K197" s="307" t="n"/>
      <c r="L197" s="307" t="n"/>
      <c r="M197" s="307" t="n"/>
      <c r="N197" s="307" t="n"/>
      <c r="O197" s="307" t="n"/>
      <c r="P197" s="307" t="n"/>
      <c r="Q197" s="307" t="n"/>
      <c r="R197" s="307" t="n"/>
      <c r="S197" s="307" t="n"/>
      <c r="T197" s="307" t="n"/>
      <c r="U197" s="307" t="n"/>
      <c r="V197" s="307" t="n"/>
      <c r="W197" s="307" t="n"/>
      <c r="X197" s="307" t="n"/>
      <c r="Y197" s="307" t="n"/>
      <c r="Z197" s="307" t="n"/>
      <c r="AA197" s="307" t="n"/>
      <c r="AB197" s="307" t="n"/>
      <c r="AC197" s="307" t="n"/>
      <c r="AD197" s="307" t="n"/>
      <c r="AE197" s="307" t="n"/>
      <c r="AF197" s="307" t="n"/>
      <c r="AG197" s="307" t="n"/>
      <c r="AH197" s="307" t="n"/>
      <c r="AI197" s="307" t="n"/>
      <c r="AJ197" s="307" t="n"/>
      <c r="AK197" s="307" t="n"/>
      <c r="AL197" s="307" t="n"/>
      <c r="AM197" s="307" t="n"/>
      <c r="AN197" s="307" t="n"/>
      <c r="AO197" s="307" t="n"/>
      <c r="AP197" s="307" t="n"/>
      <c r="AQ197" s="307" t="n"/>
      <c r="AR197" s="307" t="n"/>
      <c r="AS197" s="307" t="n"/>
      <c r="AT197" s="307" t="n"/>
    </row>
    <row r="198" ht="15.75" customHeight="1" s="349">
      <c r="A198" s="307" t="n"/>
      <c r="B198" s="307" t="n"/>
      <c r="C198" s="307" t="n"/>
      <c r="D198" s="307" t="n"/>
      <c r="E198" s="307" t="n"/>
      <c r="F198" s="307" t="n"/>
      <c r="G198" s="307" t="n"/>
      <c r="H198" s="307" t="n"/>
      <c r="I198" s="307" t="n"/>
      <c r="J198" s="307" t="n"/>
      <c r="K198" s="307" t="n"/>
      <c r="L198" s="307" t="n"/>
      <c r="M198" s="307" t="n"/>
      <c r="N198" s="307" t="n"/>
      <c r="O198" s="307" t="n"/>
      <c r="P198" s="307" t="n"/>
      <c r="Q198" s="307" t="n"/>
      <c r="R198" s="307" t="n"/>
      <c r="S198" s="307" t="n"/>
      <c r="T198" s="307" t="n"/>
      <c r="U198" s="307" t="n"/>
      <c r="V198" s="307" t="n"/>
      <c r="W198" s="307" t="n"/>
      <c r="X198" s="307" t="n"/>
      <c r="Y198" s="307" t="n"/>
      <c r="Z198" s="307" t="n"/>
      <c r="AA198" s="307" t="n"/>
      <c r="AB198" s="307" t="n"/>
      <c r="AC198" s="307" t="n"/>
      <c r="AD198" s="307" t="n"/>
      <c r="AE198" s="307" t="n"/>
      <c r="AF198" s="307" t="n"/>
      <c r="AG198" s="307" t="n"/>
      <c r="AH198" s="307" t="n"/>
      <c r="AI198" s="307" t="n"/>
      <c r="AJ198" s="307" t="n"/>
      <c r="AK198" s="307" t="n"/>
      <c r="AL198" s="307" t="n"/>
      <c r="AM198" s="307" t="n"/>
      <c r="AN198" s="307" t="n"/>
      <c r="AO198" s="307" t="n"/>
      <c r="AP198" s="307" t="n"/>
      <c r="AQ198" s="307" t="n"/>
      <c r="AR198" s="307" t="n"/>
      <c r="AS198" s="307" t="n"/>
      <c r="AT198" s="307" t="n"/>
    </row>
    <row r="199" ht="15.75" customHeight="1" s="349">
      <c r="A199" s="307" t="n"/>
      <c r="B199" s="307" t="n"/>
      <c r="C199" s="307" t="n"/>
      <c r="D199" s="307" t="n"/>
      <c r="E199" s="307" t="n"/>
      <c r="F199" s="307" t="n"/>
      <c r="G199" s="307" t="n"/>
      <c r="H199" s="307" t="n"/>
      <c r="I199" s="307" t="n"/>
      <c r="J199" s="307" t="n"/>
      <c r="K199" s="307" t="n"/>
      <c r="L199" s="307" t="n"/>
      <c r="M199" s="307" t="n"/>
      <c r="N199" s="307" t="n"/>
      <c r="O199" s="307" t="n"/>
      <c r="P199" s="307" t="n"/>
      <c r="Q199" s="307" t="n"/>
      <c r="R199" s="307" t="n"/>
      <c r="S199" s="307" t="n"/>
      <c r="T199" s="307" t="n"/>
      <c r="U199" s="307" t="n"/>
      <c r="V199" s="307" t="n"/>
      <c r="W199" s="307" t="n"/>
      <c r="X199" s="307" t="n"/>
      <c r="Y199" s="307" t="n"/>
      <c r="Z199" s="307" t="n"/>
      <c r="AA199" s="307" t="n"/>
      <c r="AB199" s="307" t="n"/>
      <c r="AC199" s="307" t="n"/>
      <c r="AD199" s="307" t="n"/>
      <c r="AE199" s="307" t="n"/>
      <c r="AF199" s="307" t="n"/>
      <c r="AG199" s="307" t="n"/>
      <c r="AH199" s="307" t="n"/>
      <c r="AI199" s="307" t="n"/>
      <c r="AJ199" s="307" t="n"/>
      <c r="AK199" s="307" t="n"/>
      <c r="AL199" s="307" t="n"/>
      <c r="AM199" s="307" t="n"/>
      <c r="AN199" s="307" t="n"/>
      <c r="AO199" s="307" t="n"/>
      <c r="AP199" s="307" t="n"/>
      <c r="AQ199" s="307" t="n"/>
      <c r="AR199" s="307" t="n"/>
      <c r="AS199" s="307" t="n"/>
      <c r="AT199" s="307" t="n"/>
    </row>
    <row r="200" ht="15.75" customHeight="1" s="349">
      <c r="A200" s="307" t="n"/>
      <c r="B200" s="307" t="n"/>
      <c r="C200" s="307" t="n"/>
      <c r="D200" s="307" t="n"/>
      <c r="E200" s="307" t="n"/>
      <c r="F200" s="307" t="n"/>
      <c r="G200" s="307" t="n"/>
      <c r="H200" s="307" t="n"/>
      <c r="I200" s="307" t="n"/>
      <c r="J200" s="307" t="n"/>
      <c r="K200" s="307" t="n"/>
      <c r="L200" s="307" t="n"/>
      <c r="M200" s="307" t="n"/>
      <c r="N200" s="307" t="n"/>
      <c r="O200" s="307" t="n"/>
      <c r="P200" s="307" t="n"/>
      <c r="Q200" s="307" t="n"/>
      <c r="R200" s="307" t="n"/>
      <c r="S200" s="307" t="n"/>
      <c r="T200" s="307" t="n"/>
      <c r="U200" s="307" t="n"/>
      <c r="V200" s="307" t="n"/>
      <c r="W200" s="307" t="n"/>
      <c r="X200" s="307" t="n"/>
      <c r="Y200" s="307" t="n"/>
      <c r="Z200" s="307" t="n"/>
      <c r="AA200" s="307" t="n"/>
      <c r="AB200" s="307" t="n"/>
      <c r="AC200" s="307" t="n"/>
      <c r="AD200" s="307" t="n"/>
      <c r="AE200" s="307" t="n"/>
      <c r="AF200" s="307" t="n"/>
      <c r="AG200" s="307" t="n"/>
      <c r="AH200" s="307" t="n"/>
      <c r="AI200" s="307" t="n"/>
      <c r="AJ200" s="307" t="n"/>
      <c r="AK200" s="307" t="n"/>
      <c r="AL200" s="307" t="n"/>
      <c r="AM200" s="307" t="n"/>
      <c r="AN200" s="307" t="n"/>
      <c r="AO200" s="307" t="n"/>
      <c r="AP200" s="307" t="n"/>
      <c r="AQ200" s="307" t="n"/>
      <c r="AR200" s="307" t="n"/>
      <c r="AS200" s="307" t="n"/>
      <c r="AT200" s="307" t="n"/>
    </row>
    <row r="201" ht="15.75" customHeight="1" s="349">
      <c r="A201" s="307" t="n"/>
      <c r="B201" s="307" t="n"/>
      <c r="C201" s="307" t="n"/>
      <c r="D201" s="307" t="n"/>
      <c r="E201" s="307" t="n"/>
      <c r="F201" s="307" t="n"/>
      <c r="G201" s="307" t="n"/>
      <c r="H201" s="307" t="n"/>
      <c r="I201" s="307" t="n"/>
      <c r="J201" s="307" t="n"/>
      <c r="K201" s="307" t="n"/>
      <c r="L201" s="307" t="n"/>
      <c r="M201" s="307" t="n"/>
      <c r="N201" s="307" t="n"/>
      <c r="O201" s="307" t="n"/>
      <c r="P201" s="307" t="n"/>
      <c r="Q201" s="307" t="n"/>
      <c r="R201" s="307" t="n"/>
      <c r="S201" s="307" t="n"/>
      <c r="T201" s="307" t="n"/>
      <c r="U201" s="307" t="n"/>
      <c r="V201" s="307" t="n"/>
      <c r="W201" s="307" t="n"/>
      <c r="X201" s="307" t="n"/>
      <c r="Y201" s="307" t="n"/>
      <c r="Z201" s="307" t="n"/>
      <c r="AA201" s="307" t="n"/>
      <c r="AB201" s="307" t="n"/>
      <c r="AC201" s="307" t="n"/>
      <c r="AD201" s="307" t="n"/>
      <c r="AE201" s="307" t="n"/>
      <c r="AF201" s="307" t="n"/>
      <c r="AG201" s="307" t="n"/>
      <c r="AH201" s="307" t="n"/>
      <c r="AI201" s="307" t="n"/>
      <c r="AJ201" s="307" t="n"/>
      <c r="AK201" s="307" t="n"/>
      <c r="AL201" s="307" t="n"/>
      <c r="AM201" s="307" t="n"/>
      <c r="AN201" s="307" t="n"/>
      <c r="AO201" s="307" t="n"/>
      <c r="AP201" s="307" t="n"/>
      <c r="AQ201" s="307" t="n"/>
      <c r="AR201" s="307" t="n"/>
      <c r="AS201" s="307" t="n"/>
      <c r="AT201" s="307" t="n"/>
    </row>
    <row r="202" ht="15.75" customHeight="1" s="349">
      <c r="A202" s="307" t="n"/>
      <c r="B202" s="307" t="n"/>
      <c r="C202" s="307" t="n"/>
      <c r="D202" s="307" t="n"/>
      <c r="E202" s="307" t="n"/>
      <c r="F202" s="307" t="n"/>
      <c r="G202" s="307" t="n"/>
      <c r="H202" s="307" t="n"/>
      <c r="I202" s="307" t="n"/>
      <c r="J202" s="307" t="n"/>
      <c r="K202" s="307" t="n"/>
      <c r="L202" s="307" t="n"/>
      <c r="M202" s="307" t="n"/>
      <c r="N202" s="307" t="n"/>
      <c r="O202" s="307" t="n"/>
      <c r="P202" s="307" t="n"/>
      <c r="Q202" s="307" t="n"/>
      <c r="R202" s="307" t="n"/>
      <c r="S202" s="307" t="n"/>
      <c r="T202" s="307" t="n"/>
      <c r="U202" s="307" t="n"/>
      <c r="V202" s="307" t="n"/>
      <c r="W202" s="307" t="n"/>
      <c r="X202" s="307" t="n"/>
      <c r="Y202" s="307" t="n"/>
      <c r="Z202" s="307" t="n"/>
      <c r="AA202" s="307" t="n"/>
      <c r="AB202" s="307" t="n"/>
      <c r="AC202" s="307" t="n"/>
      <c r="AD202" s="307" t="n"/>
      <c r="AE202" s="307" t="n"/>
      <c r="AF202" s="307" t="n"/>
      <c r="AG202" s="307" t="n"/>
      <c r="AH202" s="307" t="n"/>
      <c r="AI202" s="307" t="n"/>
      <c r="AJ202" s="307" t="n"/>
      <c r="AK202" s="307" t="n"/>
      <c r="AL202" s="307" t="n"/>
      <c r="AM202" s="307" t="n"/>
      <c r="AN202" s="307" t="n"/>
      <c r="AO202" s="307" t="n"/>
      <c r="AP202" s="307" t="n"/>
      <c r="AQ202" s="307" t="n"/>
      <c r="AR202" s="307" t="n"/>
      <c r="AS202" s="307" t="n"/>
      <c r="AT202" s="307" t="n"/>
    </row>
    <row r="203" ht="15.75" customHeight="1" s="349">
      <c r="A203" s="307" t="n"/>
      <c r="B203" s="307" t="n"/>
      <c r="C203" s="307" t="n"/>
      <c r="D203" s="307" t="n"/>
      <c r="E203" s="307" t="n"/>
      <c r="F203" s="307" t="n"/>
      <c r="G203" s="307" t="n"/>
      <c r="H203" s="307" t="n"/>
      <c r="I203" s="307" t="n"/>
      <c r="J203" s="307" t="n"/>
      <c r="K203" s="307" t="n"/>
      <c r="L203" s="307" t="n"/>
      <c r="M203" s="307" t="n"/>
      <c r="N203" s="307" t="n"/>
      <c r="O203" s="307" t="n"/>
      <c r="P203" s="307" t="n"/>
      <c r="Q203" s="307" t="n"/>
      <c r="R203" s="307" t="n"/>
      <c r="S203" s="307" t="n"/>
      <c r="T203" s="307" t="n"/>
      <c r="U203" s="307" t="n"/>
      <c r="V203" s="307" t="n"/>
      <c r="W203" s="307" t="n"/>
      <c r="X203" s="307" t="n"/>
      <c r="Y203" s="307" t="n"/>
      <c r="Z203" s="307" t="n"/>
      <c r="AA203" s="307" t="n"/>
      <c r="AB203" s="307" t="n"/>
      <c r="AC203" s="307" t="n"/>
      <c r="AD203" s="307" t="n"/>
      <c r="AE203" s="307" t="n"/>
      <c r="AF203" s="307" t="n"/>
      <c r="AG203" s="307" t="n"/>
      <c r="AH203" s="307" t="n"/>
      <c r="AI203" s="307" t="n"/>
      <c r="AJ203" s="307" t="n"/>
      <c r="AK203" s="307" t="n"/>
      <c r="AL203" s="307" t="n"/>
      <c r="AM203" s="307" t="n"/>
      <c r="AN203" s="307" t="n"/>
      <c r="AO203" s="307" t="n"/>
      <c r="AP203" s="307" t="n"/>
      <c r="AQ203" s="307" t="n"/>
      <c r="AR203" s="307" t="n"/>
      <c r="AS203" s="307" t="n"/>
      <c r="AT203" s="307" t="n"/>
    </row>
    <row r="204" ht="15.75" customHeight="1" s="349">
      <c r="A204" s="307" t="n"/>
      <c r="B204" s="307" t="n"/>
      <c r="C204" s="307" t="n"/>
      <c r="D204" s="307" t="n"/>
      <c r="E204" s="307" t="n"/>
      <c r="F204" s="307" t="n"/>
      <c r="G204" s="307" t="n"/>
      <c r="H204" s="307" t="n"/>
      <c r="I204" s="307" t="n"/>
      <c r="J204" s="307" t="n"/>
      <c r="K204" s="307" t="n"/>
      <c r="L204" s="307" t="n"/>
      <c r="M204" s="307" t="n"/>
      <c r="N204" s="307" t="n"/>
      <c r="O204" s="307" t="n"/>
      <c r="P204" s="307" t="n"/>
      <c r="Q204" s="307" t="n"/>
      <c r="R204" s="307" t="n"/>
      <c r="S204" s="307" t="n"/>
      <c r="T204" s="307" t="n"/>
      <c r="U204" s="307" t="n"/>
      <c r="V204" s="307" t="n"/>
      <c r="W204" s="307" t="n"/>
      <c r="X204" s="307" t="n"/>
      <c r="Y204" s="307" t="n"/>
      <c r="Z204" s="307" t="n"/>
      <c r="AA204" s="307" t="n"/>
      <c r="AB204" s="307" t="n"/>
      <c r="AC204" s="307" t="n"/>
      <c r="AD204" s="307" t="n"/>
      <c r="AE204" s="307" t="n"/>
      <c r="AF204" s="307" t="n"/>
      <c r="AG204" s="307" t="n"/>
      <c r="AH204" s="307" t="n"/>
      <c r="AI204" s="307" t="n"/>
      <c r="AJ204" s="307" t="n"/>
      <c r="AK204" s="307" t="n"/>
      <c r="AL204" s="307" t="n"/>
      <c r="AM204" s="307" t="n"/>
      <c r="AN204" s="307" t="n"/>
      <c r="AO204" s="307" t="n"/>
      <c r="AP204" s="307" t="n"/>
      <c r="AQ204" s="307" t="n"/>
      <c r="AR204" s="307" t="n"/>
      <c r="AS204" s="307" t="n"/>
      <c r="AT204" s="307" t="n"/>
    </row>
    <row r="205" ht="15.75" customHeight="1" s="349">
      <c r="A205" s="307" t="n"/>
      <c r="B205" s="307" t="n"/>
      <c r="C205" s="307" t="n"/>
      <c r="D205" s="307" t="n"/>
      <c r="E205" s="307" t="n"/>
      <c r="F205" s="307" t="n"/>
      <c r="G205" s="307" t="n"/>
      <c r="H205" s="307" t="n"/>
      <c r="I205" s="307" t="n"/>
      <c r="J205" s="307" t="n"/>
      <c r="K205" s="307" t="n"/>
      <c r="L205" s="307" t="n"/>
      <c r="M205" s="307" t="n"/>
      <c r="N205" s="307" t="n"/>
      <c r="O205" s="307" t="n"/>
      <c r="P205" s="307" t="n"/>
      <c r="Q205" s="307" t="n"/>
      <c r="R205" s="307" t="n"/>
      <c r="S205" s="307" t="n"/>
      <c r="T205" s="307" t="n"/>
      <c r="U205" s="307" t="n"/>
      <c r="V205" s="307" t="n"/>
      <c r="W205" s="307" t="n"/>
      <c r="X205" s="307" t="n"/>
      <c r="Y205" s="307" t="n"/>
      <c r="Z205" s="307" t="n"/>
      <c r="AA205" s="307" t="n"/>
      <c r="AB205" s="307" t="n"/>
      <c r="AC205" s="307" t="n"/>
      <c r="AD205" s="307" t="n"/>
      <c r="AE205" s="307" t="n"/>
      <c r="AF205" s="307" t="n"/>
      <c r="AG205" s="307" t="n"/>
      <c r="AH205" s="307" t="n"/>
      <c r="AI205" s="307" t="n"/>
      <c r="AJ205" s="307" t="n"/>
      <c r="AK205" s="307" t="n"/>
      <c r="AL205" s="307" t="n"/>
      <c r="AM205" s="307" t="n"/>
      <c r="AN205" s="307" t="n"/>
      <c r="AO205" s="307" t="n"/>
      <c r="AP205" s="307" t="n"/>
      <c r="AQ205" s="307" t="n"/>
      <c r="AR205" s="307" t="n"/>
      <c r="AS205" s="307" t="n"/>
      <c r="AT205" s="307" t="n"/>
    </row>
    <row r="206" ht="15.75" customHeight="1" s="349">
      <c r="A206" s="307" t="n"/>
      <c r="B206" s="307" t="n"/>
      <c r="C206" s="307" t="n"/>
      <c r="D206" s="307" t="n"/>
      <c r="E206" s="307" t="n"/>
      <c r="F206" s="307" t="n"/>
      <c r="G206" s="307" t="n"/>
      <c r="H206" s="307" t="n"/>
      <c r="I206" s="307" t="n"/>
      <c r="J206" s="307" t="n"/>
      <c r="K206" s="307" t="n"/>
      <c r="L206" s="307" t="n"/>
      <c r="M206" s="307" t="n"/>
      <c r="N206" s="307" t="n"/>
      <c r="O206" s="307" t="n"/>
      <c r="P206" s="307" t="n"/>
      <c r="Q206" s="307" t="n"/>
      <c r="R206" s="307" t="n"/>
      <c r="S206" s="307" t="n"/>
      <c r="T206" s="307" t="n"/>
      <c r="U206" s="307" t="n"/>
      <c r="V206" s="307" t="n"/>
      <c r="W206" s="307" t="n"/>
      <c r="X206" s="307" t="n"/>
      <c r="Y206" s="307" t="n"/>
      <c r="Z206" s="307" t="n"/>
      <c r="AA206" s="307" t="n"/>
      <c r="AB206" s="307" t="n"/>
      <c r="AC206" s="307" t="n"/>
      <c r="AD206" s="307" t="n"/>
      <c r="AE206" s="307" t="n"/>
      <c r="AF206" s="307" t="n"/>
      <c r="AG206" s="307" t="n"/>
      <c r="AH206" s="307" t="n"/>
      <c r="AI206" s="307" t="n"/>
      <c r="AJ206" s="307" t="n"/>
      <c r="AK206" s="307" t="n"/>
      <c r="AL206" s="307" t="n"/>
      <c r="AM206" s="307" t="n"/>
      <c r="AN206" s="307" t="n"/>
      <c r="AO206" s="307" t="n"/>
      <c r="AP206" s="307" t="n"/>
      <c r="AQ206" s="307" t="n"/>
      <c r="AR206" s="307" t="n"/>
      <c r="AS206" s="307" t="n"/>
      <c r="AT206" s="307" t="n"/>
    </row>
    <row r="207" ht="15.75" customHeight="1" s="349">
      <c r="A207" s="307" t="n"/>
      <c r="B207" s="307" t="n"/>
      <c r="C207" s="307" t="n"/>
      <c r="D207" s="307" t="n"/>
      <c r="E207" s="307" t="n"/>
      <c r="F207" s="307" t="n"/>
      <c r="G207" s="307" t="n"/>
      <c r="H207" s="307" t="n"/>
      <c r="I207" s="307" t="n"/>
      <c r="J207" s="307" t="n"/>
      <c r="K207" s="307" t="n"/>
      <c r="L207" s="307" t="n"/>
      <c r="M207" s="307" t="n"/>
      <c r="N207" s="307" t="n"/>
      <c r="O207" s="307" t="n"/>
      <c r="P207" s="307" t="n"/>
      <c r="Q207" s="307" t="n"/>
      <c r="R207" s="307" t="n"/>
      <c r="S207" s="307" t="n"/>
      <c r="T207" s="307" t="n"/>
      <c r="U207" s="307" t="n"/>
      <c r="V207" s="307" t="n"/>
      <c r="W207" s="307" t="n"/>
      <c r="X207" s="307" t="n"/>
      <c r="Y207" s="307" t="n"/>
      <c r="Z207" s="307" t="n"/>
      <c r="AA207" s="307" t="n"/>
      <c r="AB207" s="307" t="n"/>
      <c r="AC207" s="307" t="n"/>
      <c r="AD207" s="307" t="n"/>
      <c r="AE207" s="307" t="n"/>
      <c r="AF207" s="307" t="n"/>
      <c r="AG207" s="307" t="n"/>
      <c r="AH207" s="307" t="n"/>
      <c r="AI207" s="307" t="n"/>
      <c r="AJ207" s="307" t="n"/>
      <c r="AK207" s="307" t="n"/>
      <c r="AL207" s="307" t="n"/>
      <c r="AM207" s="307" t="n"/>
      <c r="AN207" s="307" t="n"/>
      <c r="AO207" s="307" t="n"/>
      <c r="AP207" s="307" t="n"/>
      <c r="AQ207" s="307" t="n"/>
      <c r="AR207" s="307" t="n"/>
      <c r="AS207" s="307" t="n"/>
      <c r="AT207" s="307" t="n"/>
    </row>
    <row r="208" ht="15.75" customHeight="1" s="349">
      <c r="A208" s="307" t="n"/>
      <c r="B208" s="307" t="n"/>
      <c r="C208" s="307" t="n"/>
      <c r="D208" s="307" t="n"/>
      <c r="E208" s="307" t="n"/>
      <c r="F208" s="307" t="n"/>
      <c r="G208" s="307" t="n"/>
      <c r="H208" s="307" t="n"/>
      <c r="I208" s="307" t="n"/>
      <c r="J208" s="307" t="n"/>
      <c r="K208" s="307" t="n"/>
      <c r="L208" s="307" t="n"/>
      <c r="M208" s="307" t="n"/>
      <c r="N208" s="307" t="n"/>
      <c r="O208" s="307" t="n"/>
      <c r="P208" s="307" t="n"/>
      <c r="Q208" s="307" t="n"/>
      <c r="R208" s="307" t="n"/>
      <c r="S208" s="307" t="n"/>
      <c r="T208" s="307" t="n"/>
      <c r="U208" s="307" t="n"/>
      <c r="V208" s="307" t="n"/>
      <c r="W208" s="307" t="n"/>
      <c r="X208" s="307" t="n"/>
      <c r="Y208" s="307" t="n"/>
      <c r="Z208" s="307" t="n"/>
      <c r="AA208" s="307" t="n"/>
      <c r="AB208" s="307" t="n"/>
      <c r="AC208" s="307" t="n"/>
      <c r="AD208" s="307" t="n"/>
      <c r="AE208" s="307" t="n"/>
      <c r="AF208" s="307" t="n"/>
      <c r="AG208" s="307" t="n"/>
      <c r="AH208" s="307" t="n"/>
      <c r="AI208" s="307" t="n"/>
      <c r="AJ208" s="307" t="n"/>
      <c r="AK208" s="307" t="n"/>
      <c r="AL208" s="307" t="n"/>
      <c r="AM208" s="307" t="n"/>
      <c r="AN208" s="307" t="n"/>
      <c r="AO208" s="307" t="n"/>
      <c r="AP208" s="307" t="n"/>
      <c r="AQ208" s="307" t="n"/>
      <c r="AR208" s="307" t="n"/>
      <c r="AS208" s="307" t="n"/>
      <c r="AT208" s="307" t="n"/>
    </row>
    <row r="209" ht="15.75" customHeight="1" s="349">
      <c r="A209" s="307" t="n"/>
      <c r="B209" s="307" t="n"/>
      <c r="C209" s="307" t="n"/>
      <c r="D209" s="307" t="n"/>
      <c r="E209" s="307" t="n"/>
      <c r="F209" s="307" t="n"/>
      <c r="G209" s="307" t="n"/>
      <c r="H209" s="307" t="n"/>
      <c r="I209" s="307" t="n"/>
      <c r="J209" s="307" t="n"/>
      <c r="K209" s="307" t="n"/>
      <c r="L209" s="307" t="n"/>
      <c r="M209" s="307" t="n"/>
      <c r="N209" s="307" t="n"/>
      <c r="O209" s="307" t="n"/>
      <c r="P209" s="307" t="n"/>
      <c r="Q209" s="307" t="n"/>
      <c r="R209" s="307" t="n"/>
      <c r="S209" s="307" t="n"/>
      <c r="T209" s="307" t="n"/>
      <c r="U209" s="307" t="n"/>
      <c r="V209" s="307" t="n"/>
      <c r="W209" s="307" t="n"/>
      <c r="X209" s="307" t="n"/>
      <c r="Y209" s="307" t="n"/>
      <c r="Z209" s="307" t="n"/>
      <c r="AA209" s="307" t="n"/>
      <c r="AB209" s="307" t="n"/>
      <c r="AC209" s="307" t="n"/>
      <c r="AD209" s="307" t="n"/>
      <c r="AE209" s="307" t="n"/>
      <c r="AF209" s="307" t="n"/>
      <c r="AG209" s="307" t="n"/>
      <c r="AH209" s="307" t="n"/>
      <c r="AI209" s="307" t="n"/>
      <c r="AJ209" s="307" t="n"/>
      <c r="AK209" s="307" t="n"/>
      <c r="AL209" s="307" t="n"/>
      <c r="AM209" s="307" t="n"/>
      <c r="AN209" s="307" t="n"/>
      <c r="AO209" s="307" t="n"/>
      <c r="AP209" s="307" t="n"/>
      <c r="AQ209" s="307" t="n"/>
      <c r="AR209" s="307" t="n"/>
      <c r="AS209" s="307" t="n"/>
      <c r="AT209" s="307" t="n"/>
    </row>
    <row r="210" ht="15.75" customHeight="1" s="349">
      <c r="A210" s="307" t="n"/>
      <c r="B210" s="307" t="n"/>
      <c r="C210" s="307" t="n"/>
      <c r="D210" s="307" t="n"/>
      <c r="E210" s="307" t="n"/>
      <c r="F210" s="307" t="n"/>
      <c r="G210" s="307" t="n"/>
      <c r="H210" s="307" t="n"/>
      <c r="I210" s="307" t="n"/>
      <c r="J210" s="307" t="n"/>
      <c r="K210" s="307" t="n"/>
      <c r="L210" s="307" t="n"/>
      <c r="M210" s="307" t="n"/>
      <c r="N210" s="307" t="n"/>
      <c r="O210" s="307" t="n"/>
      <c r="P210" s="307" t="n"/>
      <c r="Q210" s="307" t="n"/>
      <c r="R210" s="307" t="n"/>
      <c r="S210" s="307" t="n"/>
      <c r="T210" s="307" t="n"/>
      <c r="U210" s="307" t="n"/>
      <c r="V210" s="307" t="n"/>
      <c r="W210" s="307" t="n"/>
      <c r="X210" s="307" t="n"/>
      <c r="Y210" s="307" t="n"/>
      <c r="Z210" s="307" t="n"/>
      <c r="AA210" s="307" t="n"/>
      <c r="AB210" s="307" t="n"/>
      <c r="AC210" s="307" t="n"/>
      <c r="AD210" s="307" t="n"/>
      <c r="AE210" s="307" t="n"/>
      <c r="AF210" s="307" t="n"/>
      <c r="AG210" s="307" t="n"/>
      <c r="AH210" s="307" t="n"/>
      <c r="AI210" s="307" t="n"/>
      <c r="AJ210" s="307" t="n"/>
      <c r="AK210" s="307" t="n"/>
      <c r="AL210" s="307" t="n"/>
      <c r="AM210" s="307" t="n"/>
      <c r="AN210" s="307" t="n"/>
      <c r="AO210" s="307" t="n"/>
      <c r="AP210" s="307" t="n"/>
      <c r="AQ210" s="307" t="n"/>
      <c r="AR210" s="307" t="n"/>
      <c r="AS210" s="307" t="n"/>
      <c r="AT210" s="307" t="n"/>
    </row>
    <row r="211" ht="15.75" customHeight="1" s="349">
      <c r="A211" s="307" t="n"/>
      <c r="B211" s="307" t="n"/>
      <c r="C211" s="307" t="n"/>
      <c r="D211" s="307" t="n"/>
      <c r="E211" s="307" t="n"/>
      <c r="F211" s="307" t="n"/>
      <c r="G211" s="307" t="n"/>
      <c r="H211" s="307" t="n"/>
      <c r="I211" s="307" t="n"/>
      <c r="J211" s="307" t="n"/>
      <c r="K211" s="307" t="n"/>
      <c r="L211" s="307" t="n"/>
      <c r="M211" s="307" t="n"/>
      <c r="N211" s="307" t="n"/>
      <c r="O211" s="307" t="n"/>
      <c r="P211" s="307" t="n"/>
      <c r="Q211" s="307" t="n"/>
      <c r="R211" s="307" t="n"/>
      <c r="S211" s="307" t="n"/>
      <c r="T211" s="307" t="n"/>
      <c r="U211" s="307" t="n"/>
      <c r="V211" s="307" t="n"/>
      <c r="W211" s="307" t="n"/>
      <c r="X211" s="307" t="n"/>
      <c r="Y211" s="307" t="n"/>
      <c r="Z211" s="307" t="n"/>
      <c r="AA211" s="307" t="n"/>
      <c r="AB211" s="307" t="n"/>
      <c r="AC211" s="307" t="n"/>
      <c r="AD211" s="307" t="n"/>
      <c r="AE211" s="307" t="n"/>
      <c r="AF211" s="307" t="n"/>
      <c r="AG211" s="307" t="n"/>
      <c r="AH211" s="307" t="n"/>
      <c r="AI211" s="307" t="n"/>
      <c r="AJ211" s="307" t="n"/>
      <c r="AK211" s="307" t="n"/>
      <c r="AL211" s="307" t="n"/>
      <c r="AM211" s="307" t="n"/>
      <c r="AN211" s="307" t="n"/>
      <c r="AO211" s="307" t="n"/>
      <c r="AP211" s="307" t="n"/>
      <c r="AQ211" s="307" t="n"/>
      <c r="AR211" s="307" t="n"/>
      <c r="AS211" s="307" t="n"/>
      <c r="AT211" s="307" t="n"/>
    </row>
    <row r="212" ht="15.75" customHeight="1" s="349">
      <c r="A212" s="307" t="n"/>
      <c r="B212" s="307" t="n"/>
      <c r="C212" s="307" t="n"/>
      <c r="D212" s="307" t="n"/>
      <c r="E212" s="307" t="n"/>
      <c r="F212" s="307" t="n"/>
      <c r="G212" s="307" t="n"/>
      <c r="H212" s="307" t="n"/>
      <c r="I212" s="307" t="n"/>
      <c r="J212" s="307" t="n"/>
      <c r="K212" s="307" t="n"/>
      <c r="L212" s="307" t="n"/>
      <c r="M212" s="307" t="n"/>
      <c r="N212" s="307" t="n"/>
      <c r="O212" s="307" t="n"/>
      <c r="P212" s="307" t="n"/>
      <c r="Q212" s="307" t="n"/>
      <c r="R212" s="307" t="n"/>
      <c r="S212" s="307" t="n"/>
      <c r="T212" s="307" t="n"/>
      <c r="U212" s="307" t="n"/>
      <c r="V212" s="307" t="n"/>
      <c r="W212" s="307" t="n"/>
      <c r="X212" s="307" t="n"/>
      <c r="Y212" s="307" t="n"/>
      <c r="Z212" s="307" t="n"/>
      <c r="AA212" s="307" t="n"/>
      <c r="AB212" s="307" t="n"/>
      <c r="AC212" s="307" t="n"/>
      <c r="AD212" s="307" t="n"/>
      <c r="AE212" s="307" t="n"/>
      <c r="AF212" s="307" t="n"/>
      <c r="AG212" s="307" t="n"/>
      <c r="AH212" s="307" t="n"/>
      <c r="AI212" s="307" t="n"/>
      <c r="AJ212" s="307" t="n"/>
      <c r="AK212" s="307" t="n"/>
      <c r="AL212" s="307" t="n"/>
      <c r="AM212" s="307" t="n"/>
      <c r="AN212" s="307" t="n"/>
      <c r="AO212" s="307" t="n"/>
      <c r="AP212" s="307" t="n"/>
      <c r="AQ212" s="307" t="n"/>
      <c r="AR212" s="307" t="n"/>
      <c r="AS212" s="307" t="n"/>
      <c r="AT212" s="307" t="n"/>
    </row>
    <row r="213" ht="15.75" customHeight="1" s="349">
      <c r="A213" s="307" t="n"/>
      <c r="B213" s="307" t="n"/>
      <c r="C213" s="307" t="n"/>
      <c r="D213" s="307" t="n"/>
      <c r="E213" s="307" t="n"/>
      <c r="F213" s="307" t="n"/>
      <c r="G213" s="307" t="n"/>
      <c r="H213" s="307" t="n"/>
      <c r="I213" s="307" t="n"/>
      <c r="J213" s="307" t="n"/>
      <c r="K213" s="307" t="n"/>
      <c r="L213" s="307" t="n"/>
      <c r="M213" s="307" t="n"/>
      <c r="N213" s="307" t="n"/>
      <c r="O213" s="307" t="n"/>
      <c r="P213" s="307" t="n"/>
      <c r="Q213" s="307" t="n"/>
      <c r="R213" s="307" t="n"/>
      <c r="S213" s="307" t="n"/>
      <c r="T213" s="307" t="n"/>
      <c r="U213" s="307" t="n"/>
      <c r="V213" s="307" t="n"/>
      <c r="W213" s="307" t="n"/>
      <c r="X213" s="307" t="n"/>
      <c r="Y213" s="307" t="n"/>
      <c r="Z213" s="307" t="n"/>
      <c r="AA213" s="307" t="n"/>
      <c r="AB213" s="307" t="n"/>
      <c r="AC213" s="307" t="n"/>
      <c r="AD213" s="307" t="n"/>
      <c r="AE213" s="307" t="n"/>
      <c r="AF213" s="307" t="n"/>
      <c r="AG213" s="307" t="n"/>
      <c r="AH213" s="307" t="n"/>
      <c r="AI213" s="307" t="n"/>
      <c r="AJ213" s="307" t="n"/>
      <c r="AK213" s="307" t="n"/>
      <c r="AL213" s="307" t="n"/>
      <c r="AM213" s="307" t="n"/>
      <c r="AN213" s="307" t="n"/>
      <c r="AO213" s="307" t="n"/>
      <c r="AP213" s="307" t="n"/>
      <c r="AQ213" s="307" t="n"/>
      <c r="AR213" s="307" t="n"/>
      <c r="AS213" s="307" t="n"/>
      <c r="AT213" s="307" t="n"/>
    </row>
    <row r="214" ht="15.75" customHeight="1" s="349">
      <c r="A214" s="307" t="n"/>
      <c r="B214" s="307" t="n"/>
      <c r="C214" s="307" t="n"/>
      <c r="D214" s="307" t="n"/>
      <c r="E214" s="307" t="n"/>
      <c r="F214" s="307" t="n"/>
      <c r="G214" s="307" t="n"/>
      <c r="H214" s="307" t="n"/>
      <c r="I214" s="307" t="n"/>
      <c r="J214" s="307" t="n"/>
      <c r="K214" s="307" t="n"/>
      <c r="L214" s="307" t="n"/>
      <c r="M214" s="307" t="n"/>
      <c r="N214" s="307" t="n"/>
      <c r="O214" s="307" t="n"/>
      <c r="P214" s="307" t="n"/>
      <c r="Q214" s="307" t="n"/>
      <c r="R214" s="307" t="n"/>
      <c r="S214" s="307" t="n"/>
      <c r="T214" s="307" t="n"/>
      <c r="U214" s="307" t="n"/>
      <c r="V214" s="307" t="n"/>
      <c r="W214" s="307" t="n"/>
      <c r="X214" s="307" t="n"/>
      <c r="Y214" s="307" t="n"/>
      <c r="Z214" s="307" t="n"/>
      <c r="AA214" s="307" t="n"/>
      <c r="AB214" s="307" t="n"/>
      <c r="AC214" s="307" t="n"/>
      <c r="AD214" s="307" t="n"/>
      <c r="AE214" s="307" t="n"/>
      <c r="AF214" s="307" t="n"/>
      <c r="AG214" s="307" t="n"/>
      <c r="AH214" s="307" t="n"/>
      <c r="AI214" s="307" t="n"/>
      <c r="AJ214" s="307" t="n"/>
      <c r="AK214" s="307" t="n"/>
      <c r="AL214" s="307" t="n"/>
      <c r="AM214" s="307" t="n"/>
      <c r="AN214" s="307" t="n"/>
      <c r="AO214" s="307" t="n"/>
      <c r="AP214" s="307" t="n"/>
      <c r="AQ214" s="307" t="n"/>
      <c r="AR214" s="307" t="n"/>
      <c r="AS214" s="307" t="n"/>
      <c r="AT214" s="307" t="n"/>
    </row>
    <row r="215" ht="15.75" customHeight="1" s="349">
      <c r="A215" s="307" t="n"/>
      <c r="B215" s="307" t="n"/>
      <c r="C215" s="307" t="n"/>
      <c r="D215" s="307" t="n"/>
      <c r="E215" s="307" t="n"/>
      <c r="F215" s="307" t="n"/>
      <c r="G215" s="307" t="n"/>
      <c r="H215" s="307" t="n"/>
      <c r="I215" s="307" t="n"/>
      <c r="J215" s="307" t="n"/>
      <c r="K215" s="307" t="n"/>
      <c r="L215" s="307" t="n"/>
      <c r="M215" s="307" t="n"/>
      <c r="N215" s="307" t="n"/>
      <c r="O215" s="307" t="n"/>
      <c r="P215" s="307" t="n"/>
      <c r="Q215" s="307" t="n"/>
      <c r="R215" s="307" t="n"/>
      <c r="S215" s="307" t="n"/>
      <c r="T215" s="307" t="n"/>
      <c r="U215" s="307" t="n"/>
      <c r="V215" s="307" t="n"/>
      <c r="W215" s="307" t="n"/>
      <c r="X215" s="307" t="n"/>
      <c r="Y215" s="307" t="n"/>
      <c r="Z215" s="307" t="n"/>
      <c r="AA215" s="307" t="n"/>
      <c r="AB215" s="307" t="n"/>
      <c r="AC215" s="307" t="n"/>
      <c r="AD215" s="307" t="n"/>
      <c r="AE215" s="307" t="n"/>
      <c r="AF215" s="307" t="n"/>
      <c r="AG215" s="307" t="n"/>
      <c r="AH215" s="307" t="n"/>
      <c r="AI215" s="307" t="n"/>
      <c r="AJ215" s="307" t="n"/>
      <c r="AK215" s="307" t="n"/>
      <c r="AL215" s="307" t="n"/>
      <c r="AM215" s="307" t="n"/>
      <c r="AN215" s="307" t="n"/>
      <c r="AO215" s="307" t="n"/>
      <c r="AP215" s="307" t="n"/>
      <c r="AQ215" s="307" t="n"/>
      <c r="AR215" s="307" t="n"/>
      <c r="AS215" s="307" t="n"/>
      <c r="AT215" s="307" t="n"/>
    </row>
    <row r="216" ht="15.75" customHeight="1" s="349">
      <c r="A216" s="307" t="n"/>
      <c r="B216" s="307" t="n"/>
      <c r="C216" s="307" t="n"/>
      <c r="D216" s="307" t="n"/>
      <c r="E216" s="307" t="n"/>
      <c r="F216" s="307" t="n"/>
      <c r="G216" s="307" t="n"/>
      <c r="H216" s="307" t="n"/>
      <c r="I216" s="307" t="n"/>
      <c r="J216" s="307" t="n"/>
      <c r="K216" s="307" t="n"/>
      <c r="L216" s="307" t="n"/>
      <c r="M216" s="307" t="n"/>
      <c r="N216" s="307" t="n"/>
      <c r="O216" s="307" t="n"/>
      <c r="P216" s="307" t="n"/>
      <c r="Q216" s="307" t="n"/>
      <c r="R216" s="307" t="n"/>
      <c r="S216" s="307" t="n"/>
      <c r="T216" s="307" t="n"/>
      <c r="U216" s="307" t="n"/>
      <c r="V216" s="307" t="n"/>
      <c r="W216" s="307" t="n"/>
      <c r="X216" s="307" t="n"/>
      <c r="Y216" s="307" t="n"/>
      <c r="Z216" s="307" t="n"/>
      <c r="AA216" s="307" t="n"/>
      <c r="AB216" s="307" t="n"/>
      <c r="AC216" s="307" t="n"/>
      <c r="AD216" s="307" t="n"/>
      <c r="AE216" s="307" t="n"/>
      <c r="AF216" s="307" t="n"/>
      <c r="AG216" s="307" t="n"/>
      <c r="AH216" s="307" t="n"/>
      <c r="AI216" s="307" t="n"/>
      <c r="AJ216" s="307" t="n"/>
      <c r="AK216" s="307" t="n"/>
      <c r="AL216" s="307" t="n"/>
      <c r="AM216" s="307" t="n"/>
      <c r="AN216" s="307" t="n"/>
      <c r="AO216" s="307" t="n"/>
      <c r="AP216" s="307" t="n"/>
      <c r="AQ216" s="307" t="n"/>
      <c r="AR216" s="307" t="n"/>
      <c r="AS216" s="307" t="n"/>
      <c r="AT216" s="307" t="n"/>
    </row>
    <row r="217" ht="15.75" customHeight="1" s="349">
      <c r="A217" s="307" t="n"/>
      <c r="B217" s="307" t="n"/>
      <c r="C217" s="307" t="n"/>
      <c r="D217" s="307" t="n"/>
      <c r="E217" s="307" t="n"/>
      <c r="F217" s="307" t="n"/>
      <c r="G217" s="307" t="n"/>
      <c r="H217" s="307" t="n"/>
      <c r="I217" s="307" t="n"/>
      <c r="J217" s="307" t="n"/>
      <c r="K217" s="307" t="n"/>
      <c r="L217" s="307" t="n"/>
      <c r="M217" s="307" t="n"/>
      <c r="N217" s="307" t="n"/>
      <c r="O217" s="307" t="n"/>
      <c r="P217" s="307" t="n"/>
      <c r="Q217" s="307" t="n"/>
      <c r="R217" s="307" t="n"/>
      <c r="S217" s="307" t="n"/>
      <c r="T217" s="307" t="n"/>
      <c r="U217" s="307" t="n"/>
      <c r="V217" s="307" t="n"/>
      <c r="W217" s="307" t="n"/>
      <c r="X217" s="307" t="n"/>
      <c r="Y217" s="307" t="n"/>
      <c r="Z217" s="307" t="n"/>
      <c r="AA217" s="307" t="n"/>
      <c r="AB217" s="307" t="n"/>
      <c r="AC217" s="307" t="n"/>
      <c r="AD217" s="307" t="n"/>
      <c r="AE217" s="307" t="n"/>
      <c r="AF217" s="307" t="n"/>
      <c r="AG217" s="307" t="n"/>
      <c r="AH217" s="307" t="n"/>
      <c r="AI217" s="307" t="n"/>
      <c r="AJ217" s="307" t="n"/>
      <c r="AK217" s="307" t="n"/>
      <c r="AL217" s="307" t="n"/>
      <c r="AM217" s="307" t="n"/>
      <c r="AN217" s="307" t="n"/>
      <c r="AO217" s="307" t="n"/>
      <c r="AP217" s="307" t="n"/>
      <c r="AQ217" s="307" t="n"/>
      <c r="AR217" s="307" t="n"/>
      <c r="AS217" s="307" t="n"/>
      <c r="AT217" s="307" t="n"/>
    </row>
    <row r="218" ht="15.75" customHeight="1" s="349">
      <c r="A218" s="307" t="n"/>
      <c r="B218" s="307" t="n"/>
      <c r="C218" s="307" t="n"/>
      <c r="D218" s="307" t="n"/>
      <c r="E218" s="307" t="n"/>
      <c r="F218" s="307" t="n"/>
      <c r="G218" s="307" t="n"/>
      <c r="H218" s="307" t="n"/>
      <c r="I218" s="307" t="n"/>
      <c r="J218" s="307" t="n"/>
      <c r="K218" s="307" t="n"/>
      <c r="L218" s="307" t="n"/>
      <c r="M218" s="307" t="n"/>
      <c r="N218" s="307" t="n"/>
      <c r="O218" s="307" t="n"/>
      <c r="P218" s="307" t="n"/>
      <c r="Q218" s="307" t="n"/>
      <c r="R218" s="307" t="n"/>
      <c r="S218" s="307" t="n"/>
      <c r="T218" s="307" t="n"/>
      <c r="U218" s="307" t="n"/>
      <c r="V218" s="307" t="n"/>
      <c r="W218" s="307" t="n"/>
      <c r="X218" s="307" t="n"/>
      <c r="Y218" s="307" t="n"/>
      <c r="Z218" s="307" t="n"/>
      <c r="AA218" s="307" t="n"/>
      <c r="AB218" s="307" t="n"/>
      <c r="AC218" s="307" t="n"/>
      <c r="AD218" s="307" t="n"/>
      <c r="AE218" s="307" t="n"/>
      <c r="AF218" s="307" t="n"/>
      <c r="AG218" s="307" t="n"/>
      <c r="AH218" s="307" t="n"/>
      <c r="AI218" s="307" t="n"/>
      <c r="AJ218" s="307" t="n"/>
      <c r="AK218" s="307" t="n"/>
      <c r="AL218" s="307" t="n"/>
      <c r="AM218" s="307" t="n"/>
      <c r="AN218" s="307" t="n"/>
      <c r="AO218" s="307" t="n"/>
      <c r="AP218" s="307" t="n"/>
      <c r="AQ218" s="307" t="n"/>
      <c r="AR218" s="307" t="n"/>
      <c r="AS218" s="307" t="n"/>
      <c r="AT218" s="307" t="n"/>
    </row>
    <row r="219" ht="15.75" customHeight="1" s="349">
      <c r="A219" s="307" t="n"/>
      <c r="B219" s="307" t="n"/>
      <c r="C219" s="307" t="n"/>
      <c r="D219" s="307" t="n"/>
      <c r="E219" s="307" t="n"/>
      <c r="F219" s="307" t="n"/>
      <c r="G219" s="307" t="n"/>
      <c r="H219" s="307" t="n"/>
      <c r="I219" s="307" t="n"/>
      <c r="J219" s="307" t="n"/>
      <c r="K219" s="307" t="n"/>
      <c r="L219" s="307" t="n"/>
      <c r="M219" s="307" t="n"/>
      <c r="N219" s="307" t="n"/>
      <c r="O219" s="307" t="n"/>
      <c r="P219" s="307" t="n"/>
      <c r="Q219" s="307" t="n"/>
      <c r="R219" s="307" t="n"/>
      <c r="S219" s="307" t="n"/>
      <c r="T219" s="307" t="n"/>
      <c r="U219" s="307" t="n"/>
      <c r="V219" s="307" t="n"/>
      <c r="W219" s="307" t="n"/>
      <c r="X219" s="307" t="n"/>
      <c r="Y219" s="307" t="n"/>
      <c r="Z219" s="307" t="n"/>
      <c r="AA219" s="307" t="n"/>
      <c r="AB219" s="307" t="n"/>
      <c r="AC219" s="307" t="n"/>
      <c r="AD219" s="307" t="n"/>
      <c r="AE219" s="307" t="n"/>
      <c r="AF219" s="307" t="n"/>
      <c r="AG219" s="307" t="n"/>
      <c r="AH219" s="307" t="n"/>
      <c r="AI219" s="307" t="n"/>
      <c r="AJ219" s="307" t="n"/>
      <c r="AK219" s="307" t="n"/>
      <c r="AL219" s="307" t="n"/>
      <c r="AM219" s="307" t="n"/>
      <c r="AN219" s="307" t="n"/>
      <c r="AO219" s="307" t="n"/>
      <c r="AP219" s="307" t="n"/>
      <c r="AQ219" s="307" t="n"/>
      <c r="AR219" s="307" t="n"/>
      <c r="AS219" s="307" t="n"/>
      <c r="AT219" s="307" t="n"/>
    </row>
    <row r="220" ht="15.75" customHeight="1" s="349">
      <c r="A220" s="307" t="n"/>
      <c r="B220" s="307" t="n"/>
      <c r="C220" s="307" t="n"/>
      <c r="D220" s="307" t="n"/>
      <c r="E220" s="307" t="n"/>
      <c r="F220" s="307" t="n"/>
      <c r="G220" s="307" t="n"/>
      <c r="H220" s="307" t="n"/>
      <c r="I220" s="307" t="n"/>
      <c r="J220" s="307" t="n"/>
      <c r="K220" s="307" t="n"/>
      <c r="L220" s="307" t="n"/>
      <c r="M220" s="307" t="n"/>
      <c r="N220" s="307" t="n"/>
      <c r="O220" s="307" t="n"/>
      <c r="P220" s="307" t="n"/>
      <c r="Q220" s="307" t="n"/>
      <c r="R220" s="307" t="n"/>
      <c r="S220" s="307" t="n"/>
      <c r="T220" s="307" t="n"/>
      <c r="U220" s="307" t="n"/>
      <c r="V220" s="307" t="n"/>
      <c r="W220" s="307" t="n"/>
      <c r="X220" s="307" t="n"/>
      <c r="Y220" s="307" t="n"/>
      <c r="Z220" s="307" t="n"/>
      <c r="AA220" s="307" t="n"/>
      <c r="AB220" s="307" t="n"/>
      <c r="AC220" s="307" t="n"/>
      <c r="AD220" s="307" t="n"/>
      <c r="AE220" s="307" t="n"/>
      <c r="AF220" s="307" t="n"/>
      <c r="AG220" s="307" t="n"/>
      <c r="AH220" s="307" t="n"/>
      <c r="AI220" s="307" t="n"/>
      <c r="AJ220" s="307" t="n"/>
      <c r="AK220" s="307" t="n"/>
      <c r="AL220" s="307" t="n"/>
      <c r="AM220" s="307" t="n"/>
      <c r="AN220" s="307" t="n"/>
      <c r="AO220" s="307" t="n"/>
      <c r="AP220" s="307" t="n"/>
      <c r="AQ220" s="307" t="n"/>
      <c r="AR220" s="307" t="n"/>
      <c r="AS220" s="307" t="n"/>
      <c r="AT220" s="307" t="n"/>
    </row>
    <row r="221" ht="15.75" customHeight="1" s="349"/>
    <row r="222" ht="15.75" customHeight="1" s="349"/>
    <row r="223" ht="15.75" customHeight="1" s="349"/>
    <row r="224" ht="15.75" customHeight="1" s="349"/>
    <row r="225" ht="15.75" customHeight="1" s="349"/>
    <row r="226" ht="15.75" customHeight="1" s="349"/>
    <row r="227" ht="15.75" customHeight="1" s="349"/>
    <row r="228" ht="15.75" customHeight="1" s="349"/>
    <row r="229" ht="15.75" customHeight="1" s="349"/>
    <row r="230" ht="15.75" customHeight="1" s="349"/>
    <row r="231" ht="15.75" customHeight="1" s="349"/>
    <row r="232" ht="15.75" customHeight="1" s="349"/>
    <row r="233" ht="15.75" customHeight="1" s="349"/>
    <row r="234" ht="15.75" customHeight="1" s="349"/>
    <row r="235" ht="15.75" customHeight="1" s="349"/>
    <row r="236" ht="15.75" customHeight="1" s="349"/>
    <row r="237" ht="15.75" customHeight="1" s="349"/>
    <row r="238" ht="15.75" customHeight="1" s="349"/>
    <row r="239" ht="15.75" customHeight="1" s="349"/>
    <row r="240" ht="15.75" customHeight="1" s="349"/>
    <row r="241" ht="15.75" customHeight="1" s="349"/>
    <row r="242" ht="15.75" customHeight="1" s="349"/>
    <row r="243" ht="15.75" customHeight="1" s="349"/>
    <row r="244" ht="15.75" customHeight="1" s="349"/>
    <row r="245" ht="15.75" customHeight="1" s="349"/>
    <row r="246" ht="15.75" customHeight="1" s="349"/>
    <row r="247" ht="15.75" customHeight="1" s="349"/>
    <row r="248" ht="15.75" customHeight="1" s="349"/>
    <row r="249" ht="15.75" customHeight="1" s="349"/>
    <row r="250" ht="15.75" customHeight="1" s="349"/>
    <row r="251" ht="15.75" customHeight="1" s="349"/>
    <row r="252" ht="15.75" customHeight="1" s="349"/>
    <row r="253" ht="15.75" customHeight="1" s="349"/>
    <row r="254" ht="15.75" customHeight="1" s="349"/>
    <row r="255" ht="15.75" customHeight="1" s="349"/>
    <row r="256" ht="15.75" customHeight="1" s="349"/>
    <row r="257" ht="15.75" customHeight="1" s="349"/>
    <row r="258" ht="15.75" customHeight="1" s="349"/>
    <row r="259" ht="15.75" customHeight="1" s="349"/>
    <row r="260" ht="15.75" customHeight="1" s="349"/>
    <row r="261" ht="15.75" customHeight="1" s="349"/>
    <row r="262" ht="15.75" customHeight="1" s="349"/>
    <row r="263" ht="15.75" customHeight="1" s="349"/>
    <row r="264" ht="15.75" customHeight="1" s="349"/>
    <row r="265" ht="15.75" customHeight="1" s="349"/>
    <row r="266" ht="15.75" customHeight="1" s="349"/>
    <row r="267" ht="15.75" customHeight="1" s="349"/>
    <row r="268" ht="15.75" customHeight="1" s="349"/>
    <row r="269" ht="15.75" customHeight="1" s="349"/>
    <row r="270" ht="15.75" customHeight="1" s="349"/>
    <row r="271" ht="15.75" customHeight="1" s="349"/>
    <row r="272" ht="15.75" customHeight="1" s="349"/>
    <row r="273" ht="15.75" customHeight="1" s="349"/>
    <row r="274" ht="15.75" customHeight="1" s="349"/>
    <row r="275" ht="15.75" customHeight="1" s="349"/>
    <row r="276" ht="15.75" customHeight="1" s="349"/>
    <row r="277" ht="15.75" customHeight="1" s="349"/>
    <row r="278" ht="15.75" customHeight="1" s="349"/>
    <row r="279" ht="15.75" customHeight="1" s="349"/>
    <row r="280" ht="15.75" customHeight="1" s="349"/>
    <row r="281" ht="15.75" customHeight="1" s="349"/>
    <row r="282" ht="15.75" customHeight="1" s="349"/>
    <row r="283" ht="15.75" customHeight="1" s="349"/>
    <row r="284" ht="15.75" customHeight="1" s="349"/>
    <row r="285" ht="15.75" customHeight="1" s="349"/>
    <row r="286" ht="15.75" customHeight="1" s="349"/>
    <row r="287" ht="15.75" customHeight="1" s="349"/>
    <row r="288" ht="15.75" customHeight="1" s="349"/>
    <row r="289" ht="15.75" customHeight="1" s="349"/>
    <row r="290" ht="15.75" customHeight="1" s="349"/>
    <row r="291" ht="15.75" customHeight="1" s="349"/>
    <row r="292" ht="15.75" customHeight="1" s="349"/>
    <row r="293" ht="15.75" customHeight="1" s="349"/>
    <row r="294" ht="15.75" customHeight="1" s="349"/>
    <row r="295" ht="15.75" customHeight="1" s="349"/>
    <row r="296" ht="15.75" customHeight="1" s="349"/>
    <row r="297" ht="15.75" customHeight="1" s="349"/>
    <row r="298" ht="15.75" customHeight="1" s="349"/>
    <row r="299" ht="15.75" customHeight="1" s="349"/>
    <row r="300" ht="15.75" customHeight="1" s="349"/>
    <row r="301" ht="15.75" customHeight="1" s="349"/>
    <row r="302" ht="15.75" customHeight="1" s="349"/>
    <row r="303" ht="15.75" customHeight="1" s="349"/>
    <row r="304" ht="15.75" customHeight="1" s="349"/>
    <row r="305" ht="15.75" customHeight="1" s="349"/>
    <row r="306" ht="15.75" customHeight="1" s="349"/>
    <row r="307" ht="15.75" customHeight="1" s="349"/>
    <row r="308" ht="15.75" customHeight="1" s="349"/>
    <row r="309" ht="15.75" customHeight="1" s="349"/>
    <row r="310" ht="15.75" customHeight="1" s="349"/>
    <row r="311" ht="15.75" customHeight="1" s="349"/>
    <row r="312" ht="15.75" customHeight="1" s="349"/>
    <row r="313" ht="15.75" customHeight="1" s="349"/>
    <row r="314" ht="15.75" customHeight="1" s="349"/>
    <row r="315" ht="15.75" customHeight="1" s="349"/>
    <row r="316" ht="15.75" customHeight="1" s="349"/>
    <row r="317" ht="15.75" customHeight="1" s="349"/>
    <row r="318" ht="15.75" customHeight="1" s="349"/>
    <row r="319" ht="15.75" customHeight="1" s="349"/>
    <row r="320" ht="15.75" customHeight="1" s="349"/>
    <row r="321" ht="15.75" customHeight="1" s="349"/>
    <row r="322" ht="15.75" customHeight="1" s="349"/>
    <row r="323" ht="15.75" customHeight="1" s="349"/>
    <row r="324" ht="15.75" customHeight="1" s="349"/>
    <row r="325" ht="15.75" customHeight="1" s="349"/>
    <row r="326" ht="15.75" customHeight="1" s="349"/>
    <row r="327" ht="15.75" customHeight="1" s="349"/>
    <row r="328" ht="15.75" customHeight="1" s="349"/>
    <row r="329" ht="15.75" customHeight="1" s="349"/>
    <row r="330" ht="15.75" customHeight="1" s="349"/>
    <row r="331" ht="15.75" customHeight="1" s="349"/>
    <row r="332" ht="15.75" customHeight="1" s="349"/>
    <row r="333" ht="15.75" customHeight="1" s="349"/>
    <row r="334" ht="15.75" customHeight="1" s="349"/>
    <row r="335" ht="15.75" customHeight="1" s="349"/>
    <row r="336" ht="15.75" customHeight="1" s="349"/>
    <row r="337" ht="15.75" customHeight="1" s="349"/>
    <row r="338" ht="15.75" customHeight="1" s="349"/>
    <row r="339" ht="15.75" customHeight="1" s="349"/>
    <row r="340" ht="15.75" customHeight="1" s="349"/>
    <row r="341" ht="15.75" customHeight="1" s="349"/>
    <row r="342" ht="15.75" customHeight="1" s="349"/>
    <row r="343" ht="15.75" customHeight="1" s="349"/>
    <row r="344" ht="15.75" customHeight="1" s="349"/>
    <row r="345" ht="15.75" customHeight="1" s="349"/>
    <row r="346" ht="15.75" customHeight="1" s="349"/>
    <row r="347" ht="15.75" customHeight="1" s="349"/>
    <row r="348" ht="15.75" customHeight="1" s="349"/>
    <row r="349" ht="15.75" customHeight="1" s="349"/>
    <row r="350" ht="15.75" customHeight="1" s="349"/>
    <row r="351" ht="15.75" customHeight="1" s="349"/>
    <row r="352" ht="15.75" customHeight="1" s="349"/>
    <row r="353" ht="15.75" customHeight="1" s="349"/>
    <row r="354" ht="15.75" customHeight="1" s="349"/>
    <row r="355" ht="15.75" customHeight="1" s="349"/>
    <row r="356" ht="15.75" customHeight="1" s="349"/>
    <row r="357" ht="15.75" customHeight="1" s="349"/>
    <row r="358" ht="15.75" customHeight="1" s="349"/>
    <row r="359" ht="15.75" customHeight="1" s="349"/>
    <row r="360" ht="15.75" customHeight="1" s="349"/>
    <row r="361" ht="15.75" customHeight="1" s="349"/>
    <row r="362" ht="15.75" customHeight="1" s="349"/>
    <row r="363" ht="15.75" customHeight="1" s="349"/>
    <row r="364" ht="15.75" customHeight="1" s="349"/>
    <row r="365" ht="15.75" customHeight="1" s="349"/>
    <row r="366" ht="15.75" customHeight="1" s="349"/>
    <row r="367" ht="15.75" customHeight="1" s="349"/>
    <row r="368" ht="15.75" customHeight="1" s="349"/>
    <row r="369" ht="15.75" customHeight="1" s="349"/>
    <row r="370" ht="15.75" customHeight="1" s="349"/>
    <row r="371" ht="15.75" customHeight="1" s="349"/>
    <row r="372" ht="15.75" customHeight="1" s="349"/>
    <row r="373" ht="15.75" customHeight="1" s="349"/>
    <row r="374" ht="15.75" customHeight="1" s="349"/>
    <row r="375" ht="15.75" customHeight="1" s="349"/>
    <row r="376" ht="15.75" customHeight="1" s="349"/>
    <row r="377" ht="15.75" customHeight="1" s="349"/>
    <row r="378" ht="15.75" customHeight="1" s="349"/>
    <row r="379" ht="15.75" customHeight="1" s="349"/>
    <row r="380" ht="15.75" customHeight="1" s="349"/>
    <row r="381" ht="15.75" customHeight="1" s="349"/>
    <row r="382" ht="15.75" customHeight="1" s="349"/>
    <row r="383" ht="15.75" customHeight="1" s="349"/>
    <row r="384" ht="15.75" customHeight="1" s="349"/>
    <row r="385" ht="15.75" customHeight="1" s="349"/>
    <row r="386" ht="15.75" customHeight="1" s="349"/>
    <row r="387" ht="15.75" customHeight="1" s="349"/>
    <row r="388" ht="15.75" customHeight="1" s="349"/>
    <row r="389" ht="15.75" customHeight="1" s="349"/>
    <row r="390" ht="15.75" customHeight="1" s="349"/>
    <row r="391" ht="15.75" customHeight="1" s="349"/>
    <row r="392" ht="15.75" customHeight="1" s="349"/>
    <row r="393" ht="15.75" customHeight="1" s="349"/>
    <row r="394" ht="15.75" customHeight="1" s="349"/>
    <row r="395" ht="15.75" customHeight="1" s="349"/>
    <row r="396" ht="15.75" customHeight="1" s="349"/>
    <row r="397" ht="15.75" customHeight="1" s="349"/>
    <row r="398" ht="15.75" customHeight="1" s="349"/>
    <row r="399" ht="15.75" customHeight="1" s="349"/>
    <row r="400" ht="15.75" customHeight="1" s="349"/>
    <row r="401" ht="15.75" customHeight="1" s="349"/>
    <row r="402" ht="15.75" customHeight="1" s="349"/>
    <row r="403" ht="15.75" customHeight="1" s="349"/>
    <row r="404" ht="15.75" customHeight="1" s="349"/>
    <row r="405" ht="15.75" customHeight="1" s="349"/>
    <row r="406" ht="15.75" customHeight="1" s="349"/>
    <row r="407" ht="15.75" customHeight="1" s="349"/>
    <row r="408" ht="15.75" customHeight="1" s="349"/>
    <row r="409" ht="15.75" customHeight="1" s="349"/>
    <row r="410" ht="15.75" customHeight="1" s="349"/>
    <row r="411" ht="15.75" customHeight="1" s="349"/>
    <row r="412" ht="15.75" customHeight="1" s="349"/>
    <row r="413" ht="15.75" customHeight="1" s="349"/>
    <row r="414" ht="15.75" customHeight="1" s="349"/>
    <row r="415" ht="15.75" customHeight="1" s="349"/>
    <row r="416" ht="15.75" customHeight="1" s="349"/>
    <row r="417" ht="15.75" customHeight="1" s="349"/>
    <row r="418" ht="15.75" customHeight="1" s="349"/>
    <row r="419" ht="15.75" customHeight="1" s="349"/>
    <row r="420" ht="15.75" customHeight="1" s="349"/>
    <row r="421" ht="15.75" customHeight="1" s="349"/>
    <row r="422" ht="15.75" customHeight="1" s="349"/>
    <row r="423" ht="15.75" customHeight="1" s="349"/>
    <row r="424" ht="15.75" customHeight="1" s="349"/>
    <row r="425" ht="15.75" customHeight="1" s="349"/>
    <row r="426" ht="15.75" customHeight="1" s="349"/>
    <row r="427" ht="15.75" customHeight="1" s="349"/>
    <row r="428" ht="15.75" customHeight="1" s="349"/>
    <row r="429" ht="15.75" customHeight="1" s="349"/>
    <row r="430" ht="15.75" customHeight="1" s="349"/>
    <row r="431" ht="15.75" customHeight="1" s="349"/>
    <row r="432" ht="15.75" customHeight="1" s="349"/>
    <row r="433" ht="15.75" customHeight="1" s="349"/>
    <row r="434" ht="15.75" customHeight="1" s="349"/>
    <row r="435" ht="15.75" customHeight="1" s="349"/>
    <row r="436" ht="15.75" customHeight="1" s="349"/>
    <row r="437" ht="15.75" customHeight="1" s="349"/>
    <row r="438" ht="15.75" customHeight="1" s="349"/>
    <row r="439" ht="15.75" customHeight="1" s="349"/>
    <row r="440" ht="15.75" customHeight="1" s="349"/>
    <row r="441" ht="15.75" customHeight="1" s="349"/>
    <row r="442" ht="15.75" customHeight="1" s="349"/>
    <row r="443" ht="15.75" customHeight="1" s="349"/>
    <row r="444" ht="15.75" customHeight="1" s="349"/>
    <row r="445" ht="15.75" customHeight="1" s="349"/>
    <row r="446" ht="15.75" customHeight="1" s="349"/>
    <row r="447" ht="15.75" customHeight="1" s="349"/>
    <row r="448" ht="15.75" customHeight="1" s="349"/>
    <row r="449" ht="15.75" customHeight="1" s="349"/>
    <row r="450" ht="15.75" customHeight="1" s="349"/>
    <row r="451" ht="15.75" customHeight="1" s="349"/>
    <row r="452" ht="15.75" customHeight="1" s="349"/>
    <row r="453" ht="15.75" customHeight="1" s="349"/>
    <row r="454" ht="15.75" customHeight="1" s="349"/>
    <row r="455" ht="15.75" customHeight="1" s="349"/>
    <row r="456" ht="15.75" customHeight="1" s="349"/>
    <row r="457" ht="15.75" customHeight="1" s="349"/>
    <row r="458" ht="15.75" customHeight="1" s="349"/>
    <row r="459" ht="15.75" customHeight="1" s="349"/>
    <row r="460" ht="15.75" customHeight="1" s="349"/>
    <row r="461" ht="15.75" customHeight="1" s="349"/>
    <row r="462" ht="15.75" customHeight="1" s="349"/>
    <row r="463" ht="15.75" customHeight="1" s="349"/>
    <row r="464" ht="15.75" customHeight="1" s="349"/>
    <row r="465" ht="15.75" customHeight="1" s="349"/>
    <row r="466" ht="15.75" customHeight="1" s="349"/>
    <row r="467" ht="15.75" customHeight="1" s="349"/>
    <row r="468" ht="15.75" customHeight="1" s="349"/>
    <row r="469" ht="15.75" customHeight="1" s="349"/>
    <row r="470" ht="15.75" customHeight="1" s="349"/>
    <row r="471" ht="15.75" customHeight="1" s="349"/>
    <row r="472" ht="15.75" customHeight="1" s="349"/>
    <row r="473" ht="15.75" customHeight="1" s="349"/>
    <row r="474" ht="15.75" customHeight="1" s="349"/>
    <row r="475" ht="15.75" customHeight="1" s="349"/>
    <row r="476" ht="15.75" customHeight="1" s="349"/>
    <row r="477" ht="15.75" customHeight="1" s="349"/>
    <row r="478" ht="15.75" customHeight="1" s="349"/>
    <row r="479" ht="15.75" customHeight="1" s="349"/>
    <row r="480" ht="15.75" customHeight="1" s="349"/>
    <row r="481" ht="15.75" customHeight="1" s="349"/>
    <row r="482" ht="15.75" customHeight="1" s="349"/>
    <row r="483" ht="15.75" customHeight="1" s="349"/>
    <row r="484" ht="15.75" customHeight="1" s="349"/>
    <row r="485" ht="15.75" customHeight="1" s="349"/>
    <row r="486" ht="15.75" customHeight="1" s="349"/>
    <row r="487" ht="15.75" customHeight="1" s="349"/>
    <row r="488" ht="15.75" customHeight="1" s="349"/>
    <row r="489" ht="15.75" customHeight="1" s="349"/>
    <row r="490" ht="15.75" customHeight="1" s="349"/>
    <row r="491" ht="15.75" customHeight="1" s="349"/>
    <row r="492" ht="15.75" customHeight="1" s="349"/>
    <row r="493" ht="15.75" customHeight="1" s="349"/>
    <row r="494" ht="15.75" customHeight="1" s="349"/>
    <row r="495" ht="15.75" customHeight="1" s="349"/>
    <row r="496" ht="15.75" customHeight="1" s="349"/>
    <row r="497" ht="15.75" customHeight="1" s="349"/>
    <row r="498" ht="15.75" customHeight="1" s="349"/>
    <row r="499" ht="15.75" customHeight="1" s="349"/>
    <row r="500" ht="15.75" customHeight="1" s="349"/>
    <row r="501" ht="15.75" customHeight="1" s="349"/>
    <row r="502" ht="15.75" customHeight="1" s="349"/>
    <row r="503" ht="15.75" customHeight="1" s="349"/>
    <row r="504" ht="15.75" customHeight="1" s="349"/>
    <row r="505" ht="15.75" customHeight="1" s="349"/>
    <row r="506" ht="15.75" customHeight="1" s="349"/>
    <row r="507" ht="15.75" customHeight="1" s="349"/>
    <row r="508" ht="15.75" customHeight="1" s="349"/>
    <row r="509" ht="15.75" customHeight="1" s="349"/>
    <row r="510" ht="15.75" customHeight="1" s="349"/>
    <row r="511" ht="15.75" customHeight="1" s="349"/>
    <row r="512" ht="15.75" customHeight="1" s="349"/>
    <row r="513" ht="15.75" customHeight="1" s="349"/>
    <row r="514" ht="15.75" customHeight="1" s="349"/>
    <row r="515" ht="15.75" customHeight="1" s="349"/>
    <row r="516" ht="15.75" customHeight="1" s="349"/>
    <row r="517" ht="15.75" customHeight="1" s="349"/>
    <row r="518" ht="15.75" customHeight="1" s="349"/>
    <row r="519" ht="15.75" customHeight="1" s="349"/>
    <row r="520" ht="15.75" customHeight="1" s="349"/>
    <row r="521" ht="15.75" customHeight="1" s="349"/>
    <row r="522" ht="15.75" customHeight="1" s="349"/>
    <row r="523" ht="15.75" customHeight="1" s="349"/>
    <row r="524" ht="15.75" customHeight="1" s="349"/>
    <row r="525" ht="15.75" customHeight="1" s="349"/>
    <row r="526" ht="15.75" customHeight="1" s="349"/>
    <row r="527" ht="15.75" customHeight="1" s="349"/>
    <row r="528" ht="15.75" customHeight="1" s="349"/>
    <row r="529" ht="15.75" customHeight="1" s="349"/>
    <row r="530" ht="15.75" customHeight="1" s="349"/>
    <row r="531" ht="15.75" customHeight="1" s="349"/>
    <row r="532" ht="15.75" customHeight="1" s="349"/>
    <row r="533" ht="15.75" customHeight="1" s="349"/>
    <row r="534" ht="15.75" customHeight="1" s="349"/>
    <row r="535" ht="15.75" customHeight="1" s="349"/>
    <row r="536" ht="15.75" customHeight="1" s="349"/>
    <row r="537" ht="15.75" customHeight="1" s="349"/>
    <row r="538" ht="15.75" customHeight="1" s="349"/>
    <row r="539" ht="15.75" customHeight="1" s="349"/>
    <row r="540" ht="15.75" customHeight="1" s="349"/>
    <row r="541" ht="15.75" customHeight="1" s="349"/>
    <row r="542" ht="15.75" customHeight="1" s="349"/>
    <row r="543" ht="15.75" customHeight="1" s="349"/>
    <row r="544" ht="15.75" customHeight="1" s="349"/>
    <row r="545" ht="15.75" customHeight="1" s="349"/>
    <row r="546" ht="15.75" customHeight="1" s="349"/>
    <row r="547" ht="15.75" customHeight="1" s="349"/>
    <row r="548" ht="15.75" customHeight="1" s="349"/>
    <row r="549" ht="15.75" customHeight="1" s="349"/>
    <row r="550" ht="15.75" customHeight="1" s="349"/>
    <row r="551" ht="15.75" customHeight="1" s="349"/>
    <row r="552" ht="15.75" customHeight="1" s="349"/>
    <row r="553" ht="15.75" customHeight="1" s="349"/>
    <row r="554" ht="15.75" customHeight="1" s="349"/>
    <row r="555" ht="15.75" customHeight="1" s="349"/>
    <row r="556" ht="15.75" customHeight="1" s="349"/>
    <row r="557" ht="15.75" customHeight="1" s="349"/>
    <row r="558" ht="15.75" customHeight="1" s="349"/>
    <row r="559" ht="15.75" customHeight="1" s="349"/>
    <row r="560" ht="15.75" customHeight="1" s="349"/>
    <row r="561" ht="15.75" customHeight="1" s="349"/>
    <row r="562" ht="15.75" customHeight="1" s="349"/>
    <row r="563" ht="15.75" customHeight="1" s="349"/>
    <row r="564" ht="15.75" customHeight="1" s="349"/>
    <row r="565" ht="15.75" customHeight="1" s="349"/>
    <row r="566" ht="15.75" customHeight="1" s="349"/>
    <row r="567" ht="15.75" customHeight="1" s="349"/>
    <row r="568" ht="15.75" customHeight="1" s="349"/>
    <row r="569" ht="15.75" customHeight="1" s="349"/>
    <row r="570" ht="15.75" customHeight="1" s="349"/>
    <row r="571" ht="15.75" customHeight="1" s="349"/>
    <row r="572" ht="15.75" customHeight="1" s="349"/>
    <row r="573" ht="15.75" customHeight="1" s="349"/>
    <row r="574" ht="15.75" customHeight="1" s="349"/>
    <row r="575" ht="15.75" customHeight="1" s="349"/>
    <row r="576" ht="15.75" customHeight="1" s="349"/>
    <row r="577" ht="15.75" customHeight="1" s="349"/>
    <row r="578" ht="15.75" customHeight="1" s="349"/>
    <row r="579" ht="15.75" customHeight="1" s="349"/>
    <row r="580" ht="15.75" customHeight="1" s="349"/>
    <row r="581" ht="15.75" customHeight="1" s="349"/>
    <row r="582" ht="15.75" customHeight="1" s="349"/>
    <row r="583" ht="15.75" customHeight="1" s="349"/>
    <row r="584" ht="15.75" customHeight="1" s="349"/>
    <row r="585" ht="15.75" customHeight="1" s="349"/>
    <row r="586" ht="15.75" customHeight="1" s="349"/>
    <row r="587" ht="15.75" customHeight="1" s="349"/>
    <row r="588" ht="15.75" customHeight="1" s="349"/>
    <row r="589" ht="15.75" customHeight="1" s="349"/>
    <row r="590" ht="15.75" customHeight="1" s="349"/>
    <row r="591" ht="15.75" customHeight="1" s="349"/>
    <row r="592" ht="15.75" customHeight="1" s="349"/>
    <row r="593" ht="15.75" customHeight="1" s="349"/>
    <row r="594" ht="15.75" customHeight="1" s="349"/>
    <row r="595" ht="15.75" customHeight="1" s="349"/>
    <row r="596" ht="15.75" customHeight="1" s="349"/>
    <row r="597" ht="15.75" customHeight="1" s="349"/>
    <row r="598" ht="15.75" customHeight="1" s="349"/>
    <row r="599" ht="15.75" customHeight="1" s="349"/>
    <row r="600" ht="15.75" customHeight="1" s="349"/>
    <row r="601" ht="15.75" customHeight="1" s="349"/>
    <row r="602" ht="15.75" customHeight="1" s="349"/>
    <row r="603" ht="15.75" customHeight="1" s="349"/>
    <row r="604" ht="15.75" customHeight="1" s="349"/>
    <row r="605" ht="15.75" customHeight="1" s="349"/>
    <row r="606" ht="15.75" customHeight="1" s="349"/>
    <row r="607" ht="15.75" customHeight="1" s="349"/>
    <row r="608" ht="15.75" customHeight="1" s="349"/>
    <row r="609" ht="15.75" customHeight="1" s="349"/>
    <row r="610" ht="15.75" customHeight="1" s="349"/>
    <row r="611" ht="15.75" customHeight="1" s="349"/>
    <row r="612" ht="15.75" customHeight="1" s="349"/>
    <row r="613" ht="15.75" customHeight="1" s="349"/>
    <row r="614" ht="15.75" customHeight="1" s="349"/>
    <row r="615" ht="15.75" customHeight="1" s="349"/>
    <row r="616" ht="15.75" customHeight="1" s="349"/>
    <row r="617" ht="15.75" customHeight="1" s="349"/>
    <row r="618" ht="15.75" customHeight="1" s="349"/>
    <row r="619" ht="15.75" customHeight="1" s="349"/>
    <row r="620" ht="15.75" customHeight="1" s="349"/>
    <row r="621" ht="15.75" customHeight="1" s="349"/>
    <row r="622" ht="15.75" customHeight="1" s="349"/>
    <row r="623" ht="15.75" customHeight="1" s="349"/>
    <row r="624" ht="15.75" customHeight="1" s="349"/>
    <row r="625" ht="15.75" customHeight="1" s="349"/>
    <row r="626" ht="15.75" customHeight="1" s="349"/>
    <row r="627" ht="15.75" customHeight="1" s="349"/>
    <row r="628" ht="15.75" customHeight="1" s="349"/>
    <row r="629" ht="15.75" customHeight="1" s="349"/>
    <row r="630" ht="15.75" customHeight="1" s="349"/>
    <row r="631" ht="15.75" customHeight="1" s="349"/>
    <row r="632" ht="15.75" customHeight="1" s="349"/>
    <row r="633" ht="15.75" customHeight="1" s="349"/>
    <row r="634" ht="15.75" customHeight="1" s="349"/>
    <row r="635" ht="15.75" customHeight="1" s="349"/>
    <row r="636" ht="15.75" customHeight="1" s="349"/>
    <row r="637" ht="15.75" customHeight="1" s="349"/>
    <row r="638" ht="15.75" customHeight="1" s="349"/>
    <row r="639" ht="15.75" customHeight="1" s="349"/>
    <row r="640" ht="15.75" customHeight="1" s="349"/>
    <row r="641" ht="15.75" customHeight="1" s="349"/>
    <row r="642" ht="15.75" customHeight="1" s="349"/>
    <row r="643" ht="15.75" customHeight="1" s="349"/>
    <row r="644" ht="15.75" customHeight="1" s="349"/>
    <row r="645" ht="15.75" customHeight="1" s="349"/>
    <row r="646" ht="15.75" customHeight="1" s="349"/>
    <row r="647" ht="15.75" customHeight="1" s="349"/>
    <row r="648" ht="15.75" customHeight="1" s="349"/>
    <row r="649" ht="15.75" customHeight="1" s="349"/>
    <row r="650" ht="15.75" customHeight="1" s="349"/>
    <row r="651" ht="15.75" customHeight="1" s="349"/>
    <row r="652" ht="15.75" customHeight="1" s="349"/>
    <row r="653" ht="15.75" customHeight="1" s="349"/>
    <row r="654" ht="15.75" customHeight="1" s="349"/>
    <row r="655" ht="15.75" customHeight="1" s="349"/>
    <row r="656" ht="15.75" customHeight="1" s="349"/>
    <row r="657" ht="15.75" customHeight="1" s="349"/>
    <row r="658" ht="15.75" customHeight="1" s="349"/>
    <row r="659" ht="15.75" customHeight="1" s="349"/>
    <row r="660" ht="15.75" customHeight="1" s="349"/>
    <row r="661" ht="15.75" customHeight="1" s="349"/>
    <row r="662" ht="15.75" customHeight="1" s="349"/>
    <row r="663" ht="15.75" customHeight="1" s="349"/>
    <row r="664" ht="15.75" customHeight="1" s="349"/>
    <row r="665" ht="15.75" customHeight="1" s="349"/>
    <row r="666" ht="15.75" customHeight="1" s="349"/>
    <row r="667" ht="15.75" customHeight="1" s="349"/>
    <row r="668" ht="15.75" customHeight="1" s="349"/>
    <row r="669" ht="15.75" customHeight="1" s="349"/>
    <row r="670" ht="15.75" customHeight="1" s="349"/>
    <row r="671" ht="15.75" customHeight="1" s="349"/>
    <row r="672" ht="15.75" customHeight="1" s="349"/>
    <row r="673" ht="15.75" customHeight="1" s="349"/>
    <row r="674" ht="15.75" customHeight="1" s="349"/>
    <row r="675" ht="15.75" customHeight="1" s="349"/>
    <row r="676" ht="15.75" customHeight="1" s="349"/>
    <row r="677" ht="15.75" customHeight="1" s="349"/>
    <row r="678" ht="15.75" customHeight="1" s="349"/>
    <row r="679" ht="15.75" customHeight="1" s="349"/>
    <row r="680" ht="15.75" customHeight="1" s="349"/>
    <row r="681" ht="15.75" customHeight="1" s="349"/>
    <row r="682" ht="15.75" customHeight="1" s="349"/>
    <row r="683" ht="15.75" customHeight="1" s="349"/>
    <row r="684" ht="15.75" customHeight="1" s="349"/>
    <row r="685" ht="15.75" customHeight="1" s="349"/>
    <row r="686" ht="15.75" customHeight="1" s="349"/>
    <row r="687" ht="15.75" customHeight="1" s="349"/>
    <row r="688" ht="15.75" customHeight="1" s="349"/>
    <row r="689" ht="15.75" customHeight="1" s="349"/>
    <row r="690" ht="15.75" customHeight="1" s="349"/>
    <row r="691" ht="15.75" customHeight="1" s="349"/>
    <row r="692" ht="15.75" customHeight="1" s="349"/>
    <row r="693" ht="15.75" customHeight="1" s="349"/>
    <row r="694" ht="15.75" customHeight="1" s="349"/>
    <row r="695" ht="15.75" customHeight="1" s="349"/>
    <row r="696" ht="15.75" customHeight="1" s="349"/>
    <row r="697" ht="15.75" customHeight="1" s="349"/>
    <row r="698" ht="15.75" customHeight="1" s="349"/>
    <row r="699" ht="15.75" customHeight="1" s="349"/>
    <row r="700" ht="15.75" customHeight="1" s="349"/>
    <row r="701" ht="15.75" customHeight="1" s="349"/>
    <row r="702" ht="15.75" customHeight="1" s="349"/>
    <row r="703" ht="15.75" customHeight="1" s="349"/>
    <row r="704" ht="15.75" customHeight="1" s="349"/>
    <row r="705" ht="15.75" customHeight="1" s="349"/>
    <row r="706" ht="15.75" customHeight="1" s="349"/>
    <row r="707" ht="15.75" customHeight="1" s="349"/>
    <row r="708" ht="15.75" customHeight="1" s="349"/>
    <row r="709" ht="15.75" customHeight="1" s="349"/>
    <row r="710" ht="15.75" customHeight="1" s="349"/>
    <row r="711" ht="15.75" customHeight="1" s="349"/>
    <row r="712" ht="15.75" customHeight="1" s="349"/>
    <row r="713" ht="15.75" customHeight="1" s="349"/>
    <row r="714" ht="15.75" customHeight="1" s="349"/>
    <row r="715" ht="15.75" customHeight="1" s="349"/>
    <row r="716" ht="15.75" customHeight="1" s="349"/>
    <row r="717" ht="15.75" customHeight="1" s="349"/>
    <row r="718" ht="15.75" customHeight="1" s="349"/>
    <row r="719" ht="15.75" customHeight="1" s="349"/>
    <row r="720" ht="15.75" customHeight="1" s="349"/>
    <row r="721" ht="15.75" customHeight="1" s="349"/>
    <row r="722" ht="15.75" customHeight="1" s="349"/>
    <row r="723" ht="15.75" customHeight="1" s="349"/>
    <row r="724" ht="15.75" customHeight="1" s="349"/>
    <row r="725" ht="15.75" customHeight="1" s="349"/>
    <row r="726" ht="15.75" customHeight="1" s="349"/>
    <row r="727" ht="15.75" customHeight="1" s="349"/>
    <row r="728" ht="15.75" customHeight="1" s="349"/>
    <row r="729" ht="15.75" customHeight="1" s="349"/>
    <row r="730" ht="15.75" customHeight="1" s="349"/>
    <row r="731" ht="15.75" customHeight="1" s="349"/>
    <row r="732" ht="15.75" customHeight="1" s="349"/>
    <row r="733" ht="15.75" customHeight="1" s="349"/>
    <row r="734" ht="15.75" customHeight="1" s="349"/>
    <row r="735" ht="15.75" customHeight="1" s="349"/>
    <row r="736" ht="15.75" customHeight="1" s="349"/>
    <row r="737" ht="15.75" customHeight="1" s="349"/>
    <row r="738" ht="15.75" customHeight="1" s="349"/>
    <row r="739" ht="15.75" customHeight="1" s="349"/>
    <row r="740" ht="15.75" customHeight="1" s="349"/>
    <row r="741" ht="15.75" customHeight="1" s="349"/>
    <row r="742" ht="15.75" customHeight="1" s="349"/>
    <row r="743" ht="15.75" customHeight="1" s="349"/>
    <row r="744" ht="15.75" customHeight="1" s="349"/>
    <row r="745" ht="15.75" customHeight="1" s="349"/>
    <row r="746" ht="15.75" customHeight="1" s="349"/>
    <row r="747" ht="15.75" customHeight="1" s="349"/>
    <row r="748" ht="15.75" customHeight="1" s="349"/>
    <row r="749" ht="15.75" customHeight="1" s="349"/>
    <row r="750" ht="15.75" customHeight="1" s="349"/>
    <row r="751" ht="15.75" customHeight="1" s="349"/>
    <row r="752" ht="15.75" customHeight="1" s="349"/>
    <row r="753" ht="15.75" customHeight="1" s="349"/>
    <row r="754" ht="15.75" customHeight="1" s="349"/>
    <row r="755" ht="15.75" customHeight="1" s="349"/>
    <row r="756" ht="15.75" customHeight="1" s="349"/>
    <row r="757" ht="15.75" customHeight="1" s="349"/>
    <row r="758" ht="15.75" customHeight="1" s="349"/>
    <row r="759" ht="15.75" customHeight="1" s="349"/>
    <row r="760" ht="15.75" customHeight="1" s="349"/>
    <row r="761" ht="15.75" customHeight="1" s="349"/>
    <row r="762" ht="15.75" customHeight="1" s="349"/>
    <row r="763" ht="15.75" customHeight="1" s="349"/>
    <row r="764" ht="15.75" customHeight="1" s="349"/>
    <row r="765" ht="15.75" customHeight="1" s="349"/>
    <row r="766" ht="15.75" customHeight="1" s="349"/>
    <row r="767" ht="15.75" customHeight="1" s="349"/>
    <row r="768" ht="15.75" customHeight="1" s="349"/>
    <row r="769" ht="15.75" customHeight="1" s="349"/>
    <row r="770" ht="15.75" customHeight="1" s="349"/>
    <row r="771" ht="15.75" customHeight="1" s="349"/>
    <row r="772" ht="15.75" customHeight="1" s="349"/>
    <row r="773" ht="15.75" customHeight="1" s="349"/>
    <row r="774" ht="15.75" customHeight="1" s="349"/>
    <row r="775" ht="15.75" customHeight="1" s="349"/>
    <row r="776" ht="15.75" customHeight="1" s="349"/>
    <row r="777" ht="15.75" customHeight="1" s="349"/>
    <row r="778" ht="15.75" customHeight="1" s="349"/>
    <row r="779" ht="15.75" customHeight="1" s="349"/>
    <row r="780" ht="15.75" customHeight="1" s="349"/>
    <row r="781" ht="15.75" customHeight="1" s="349"/>
    <row r="782" ht="15.75" customHeight="1" s="349"/>
    <row r="783" ht="15.75" customHeight="1" s="349"/>
    <row r="784" ht="15.75" customHeight="1" s="349"/>
    <row r="785" ht="15.75" customHeight="1" s="349"/>
    <row r="786" ht="15.75" customHeight="1" s="349"/>
    <row r="787" ht="15.75" customHeight="1" s="349"/>
    <row r="788" ht="15.75" customHeight="1" s="349"/>
    <row r="789" ht="15.75" customHeight="1" s="349"/>
    <row r="790" ht="15.75" customHeight="1" s="349"/>
    <row r="791" ht="15.75" customHeight="1" s="349"/>
    <row r="792" ht="15.75" customHeight="1" s="349"/>
    <row r="793" ht="15.75" customHeight="1" s="349"/>
    <row r="794" ht="15.75" customHeight="1" s="349"/>
    <row r="795" ht="15.75" customHeight="1" s="349"/>
    <row r="796" ht="15.75" customHeight="1" s="349"/>
    <row r="797" ht="15.75" customHeight="1" s="349"/>
    <row r="798" ht="15.75" customHeight="1" s="349"/>
    <row r="799" ht="15.75" customHeight="1" s="349"/>
    <row r="800" ht="15.75" customHeight="1" s="349"/>
    <row r="801" ht="15.75" customHeight="1" s="349"/>
    <row r="802" ht="15.75" customHeight="1" s="349"/>
    <row r="803" ht="15.75" customHeight="1" s="349"/>
    <row r="804" ht="15.75" customHeight="1" s="349"/>
    <row r="805" ht="15.75" customHeight="1" s="349"/>
    <row r="806" ht="15.75" customHeight="1" s="349"/>
    <row r="807" ht="15.75" customHeight="1" s="349"/>
    <row r="808" ht="15.75" customHeight="1" s="349"/>
    <row r="809" ht="15.75" customHeight="1" s="349"/>
    <row r="810" ht="15.75" customHeight="1" s="349"/>
    <row r="811" ht="15.75" customHeight="1" s="349"/>
    <row r="812" ht="15.75" customHeight="1" s="349"/>
    <row r="813" ht="15.75" customHeight="1" s="349"/>
    <row r="814" ht="15.75" customHeight="1" s="349"/>
    <row r="815" ht="15.75" customHeight="1" s="349"/>
    <row r="816" ht="15.75" customHeight="1" s="349"/>
    <row r="817" ht="15.75" customHeight="1" s="349"/>
    <row r="818" ht="15.75" customHeight="1" s="349"/>
    <row r="819" ht="15.75" customHeight="1" s="349"/>
    <row r="820" ht="15.75" customHeight="1" s="349"/>
    <row r="821" ht="15.75" customHeight="1" s="349"/>
    <row r="822" ht="15.75" customHeight="1" s="349"/>
    <row r="823" ht="15.75" customHeight="1" s="349"/>
    <row r="824" ht="15.75" customHeight="1" s="349"/>
    <row r="825" ht="15.75" customHeight="1" s="349"/>
    <row r="826" ht="15.75" customHeight="1" s="349"/>
    <row r="827" ht="15.75" customHeight="1" s="349"/>
    <row r="828" ht="15.75" customHeight="1" s="349"/>
    <row r="829" ht="15.75" customHeight="1" s="349"/>
    <row r="830" ht="15.75" customHeight="1" s="349"/>
    <row r="831" ht="15.75" customHeight="1" s="349"/>
    <row r="832" ht="15.75" customHeight="1" s="349"/>
    <row r="833" ht="15.75" customHeight="1" s="349"/>
    <row r="834" ht="15.75" customHeight="1" s="349"/>
    <row r="835" ht="15.75" customHeight="1" s="349"/>
    <row r="836" ht="15.75" customHeight="1" s="349"/>
    <row r="837" ht="15.75" customHeight="1" s="349"/>
    <row r="838" ht="15.75" customHeight="1" s="349"/>
    <row r="839" ht="15.75" customHeight="1" s="349"/>
    <row r="840" ht="15.75" customHeight="1" s="349"/>
    <row r="841" ht="15.75" customHeight="1" s="349"/>
    <row r="842" ht="15.75" customHeight="1" s="349"/>
    <row r="843" ht="15.75" customHeight="1" s="349"/>
    <row r="844" ht="15.75" customHeight="1" s="349"/>
    <row r="845" ht="15.75" customHeight="1" s="349"/>
    <row r="846" ht="15.75" customHeight="1" s="349"/>
    <row r="847" ht="15.75" customHeight="1" s="349"/>
    <row r="848" ht="15.75" customHeight="1" s="349"/>
    <row r="849" ht="15.75" customHeight="1" s="349"/>
    <row r="850" ht="15.75" customHeight="1" s="349"/>
    <row r="851" ht="15.75" customHeight="1" s="349"/>
    <row r="852" ht="15.75" customHeight="1" s="349"/>
    <row r="853" ht="15.75" customHeight="1" s="349"/>
    <row r="854" ht="15.75" customHeight="1" s="349"/>
    <row r="855" ht="15.75" customHeight="1" s="349"/>
    <row r="856" ht="15.75" customHeight="1" s="349"/>
    <row r="857" ht="15.75" customHeight="1" s="349"/>
    <row r="858" ht="15.75" customHeight="1" s="349"/>
    <row r="859" ht="15.75" customHeight="1" s="349"/>
    <row r="860" ht="15.75" customHeight="1" s="349"/>
    <row r="861" ht="15.75" customHeight="1" s="349"/>
    <row r="862" ht="15.75" customHeight="1" s="349"/>
    <row r="863" ht="15.75" customHeight="1" s="349"/>
    <row r="864" ht="15.75" customHeight="1" s="349"/>
    <row r="865" ht="15.75" customHeight="1" s="349"/>
    <row r="866" ht="15.75" customHeight="1" s="349"/>
    <row r="867" ht="15.75" customHeight="1" s="349"/>
    <row r="868" ht="15.75" customHeight="1" s="349"/>
    <row r="869" ht="15.75" customHeight="1" s="349"/>
    <row r="870" ht="15.75" customHeight="1" s="349"/>
    <row r="871" ht="15.75" customHeight="1" s="349"/>
    <row r="872" ht="15.75" customHeight="1" s="349"/>
    <row r="873" ht="15.75" customHeight="1" s="349"/>
    <row r="874" ht="15.75" customHeight="1" s="349"/>
    <row r="875" ht="15.75" customHeight="1" s="349"/>
    <row r="876" ht="15.75" customHeight="1" s="349"/>
    <row r="877" ht="15.75" customHeight="1" s="349"/>
    <row r="878" ht="15.75" customHeight="1" s="349"/>
    <row r="879" ht="15.75" customHeight="1" s="349"/>
    <row r="880" ht="15.75" customHeight="1" s="349"/>
    <row r="881" ht="15.75" customHeight="1" s="349"/>
    <row r="882" ht="15.75" customHeight="1" s="349"/>
    <row r="883" ht="15.75" customHeight="1" s="349"/>
    <row r="884" ht="15.75" customHeight="1" s="349"/>
    <row r="885" ht="15.75" customHeight="1" s="349"/>
    <row r="886" ht="15.75" customHeight="1" s="349"/>
    <row r="887" ht="15.75" customHeight="1" s="349"/>
    <row r="888" ht="15.75" customHeight="1" s="349"/>
    <row r="889" ht="15.75" customHeight="1" s="349"/>
    <row r="890" ht="15.75" customHeight="1" s="349"/>
    <row r="891" ht="15.75" customHeight="1" s="349"/>
    <row r="892" ht="15.75" customHeight="1" s="349"/>
    <row r="893" ht="15.75" customHeight="1" s="349"/>
    <row r="894" ht="15.75" customHeight="1" s="349"/>
    <row r="895" ht="15.75" customHeight="1" s="349"/>
    <row r="896" ht="15.75" customHeight="1" s="349"/>
    <row r="897" ht="15.75" customHeight="1" s="349"/>
    <row r="898" ht="15.75" customHeight="1" s="349"/>
    <row r="899" ht="15.75" customHeight="1" s="349"/>
    <row r="900" ht="15.75" customHeight="1" s="349"/>
    <row r="901" ht="15.75" customHeight="1" s="349"/>
    <row r="902" ht="15.75" customHeight="1" s="349"/>
    <row r="903" ht="15.75" customHeight="1" s="349"/>
    <row r="904" ht="15.75" customHeight="1" s="349"/>
    <row r="905" ht="15.75" customHeight="1" s="349"/>
    <row r="906" ht="15.75" customHeight="1" s="349"/>
    <row r="907" ht="15.75" customHeight="1" s="349"/>
    <row r="908" ht="15.75" customHeight="1" s="349"/>
    <row r="909" ht="15.75" customHeight="1" s="349"/>
    <row r="910" ht="15.75" customHeight="1" s="349"/>
    <row r="911" ht="15.75" customHeight="1" s="349"/>
    <row r="912" ht="15.75" customHeight="1" s="349"/>
    <row r="913" ht="15.75" customHeight="1" s="349"/>
    <row r="914" ht="15.75" customHeight="1" s="349"/>
    <row r="915" ht="15.75" customHeight="1" s="349"/>
    <row r="916" ht="15.75" customHeight="1" s="349"/>
    <row r="917" ht="15.75" customHeight="1" s="349"/>
    <row r="918" ht="15.75" customHeight="1" s="349"/>
    <row r="919" ht="15.75" customHeight="1" s="349"/>
    <row r="920" ht="15.75" customHeight="1" s="349"/>
    <row r="921" ht="15.75" customHeight="1" s="349"/>
    <row r="922" ht="15.75" customHeight="1" s="349"/>
    <row r="923" ht="15.75" customHeight="1" s="349"/>
    <row r="924" ht="15.75" customHeight="1" s="349"/>
    <row r="925" ht="15.75" customHeight="1" s="349"/>
    <row r="926" ht="15.75" customHeight="1" s="349"/>
    <row r="927" ht="15.75" customHeight="1" s="349"/>
    <row r="928" ht="15.75" customHeight="1" s="349"/>
    <row r="929" ht="15.75" customHeight="1" s="349"/>
    <row r="930" ht="15.75" customHeight="1" s="349"/>
    <row r="931" ht="15.75" customHeight="1" s="349"/>
    <row r="932" ht="15.75" customHeight="1" s="349"/>
    <row r="933" ht="15.75" customHeight="1" s="349"/>
    <row r="934" ht="15.75" customHeight="1" s="349"/>
    <row r="935" ht="15.75" customHeight="1" s="349"/>
    <row r="936" ht="15.75" customHeight="1" s="349"/>
    <row r="937" ht="15.75" customHeight="1" s="349"/>
    <row r="938" ht="15.75" customHeight="1" s="349"/>
    <row r="939" ht="15.75" customHeight="1" s="349"/>
    <row r="940" ht="15.75" customHeight="1" s="349"/>
    <row r="941" ht="15.75" customHeight="1" s="349"/>
    <row r="942" ht="15.75" customHeight="1" s="349"/>
    <row r="943" ht="15.75" customHeight="1" s="349"/>
    <row r="944" ht="15.75" customHeight="1" s="349"/>
    <row r="945" ht="15.75" customHeight="1" s="349"/>
    <row r="946" ht="15.75" customHeight="1" s="349"/>
    <row r="947" ht="15.75" customHeight="1" s="349"/>
    <row r="948" ht="15.75" customHeight="1" s="349"/>
    <row r="949" ht="15.75" customHeight="1" s="349"/>
    <row r="950" ht="15.75" customHeight="1" s="349"/>
    <row r="951" ht="15.75" customHeight="1" s="349"/>
    <row r="952" ht="15.75" customHeight="1" s="349"/>
    <row r="953" ht="15.75" customHeight="1" s="349"/>
    <row r="954" ht="15.75" customHeight="1" s="349"/>
    <row r="955" ht="15.75" customHeight="1" s="349"/>
    <row r="956" ht="15.75" customHeight="1" s="349"/>
    <row r="957" ht="15.75" customHeight="1" s="349"/>
    <row r="958" ht="15.75" customHeight="1" s="349"/>
    <row r="959" ht="15.75" customHeight="1" s="349"/>
    <row r="960" ht="15.75" customHeight="1" s="349"/>
    <row r="961" ht="15.75" customHeight="1" s="349"/>
    <row r="962" ht="15.75" customHeight="1" s="349"/>
    <row r="963" ht="15.75" customHeight="1" s="349"/>
    <row r="964" ht="15.75" customHeight="1" s="349"/>
    <row r="965" ht="15.75" customHeight="1" s="349"/>
    <row r="966" ht="15.75" customHeight="1" s="349"/>
    <row r="967" ht="15.75" customHeight="1" s="349"/>
    <row r="968" ht="15.75" customHeight="1" s="349"/>
    <row r="969" ht="15.75" customHeight="1" s="349"/>
    <row r="970" ht="15.75" customHeight="1" s="349"/>
    <row r="971" ht="15.75" customHeight="1" s="349"/>
    <row r="972" ht="15.75" customHeight="1" s="349"/>
    <row r="973" ht="15.75" customHeight="1" s="349"/>
    <row r="974" ht="15.75" customHeight="1" s="349"/>
    <row r="975" ht="15.75" customHeight="1" s="349"/>
    <row r="976" ht="15.75" customHeight="1" s="349"/>
    <row r="977" ht="15.75" customHeight="1" s="349"/>
    <row r="978" ht="15.75" customHeight="1" s="349"/>
    <row r="979" ht="15.75" customHeight="1" s="349"/>
    <row r="980" ht="15.75" customHeight="1" s="349"/>
    <row r="981" ht="15.75" customHeight="1" s="349"/>
    <row r="982" ht="15.75" customHeight="1" s="349"/>
    <row r="983" ht="15.75" customHeight="1" s="349"/>
    <row r="984" ht="15.75" customHeight="1" s="349"/>
    <row r="985" ht="15.75" customHeight="1" s="349"/>
    <row r="986" ht="15.75" customHeight="1" s="349"/>
    <row r="987" ht="15.75" customHeight="1" s="349"/>
    <row r="988" ht="15.75" customHeight="1" s="349"/>
    <row r="989" ht="15.75" customHeight="1" s="349"/>
    <row r="990" ht="15.75" customHeight="1" s="349"/>
    <row r="991" ht="15.75" customHeight="1" s="349"/>
    <row r="992" ht="15.75" customHeight="1" s="349"/>
    <row r="993" ht="15.75" customHeight="1" s="349"/>
    <row r="994" ht="15.75" customHeight="1" s="349"/>
    <row r="995" ht="15.75" customHeight="1" s="349"/>
    <row r="996" ht="15.75" customHeight="1" s="349"/>
    <row r="997" ht="15.75" customHeight="1" s="349"/>
    <row r="998" ht="15.75" customHeight="1" s="349"/>
    <row r="999" ht="15.75" customHeight="1" s="349"/>
    <row r="1000" ht="15.75" customHeight="1" s="349"/>
  </sheetData>
  <pageMargins left="0.75" right="0.75" top="1" bottom="1" header="0" footer="0"/>
  <pageSetup orientation="landscape"/>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I49"/>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2.5" customWidth="1" style="349" min="1" max="1"/>
    <col width="46" customWidth="1" style="349" min="2" max="2"/>
    <col width="15" customWidth="1" style="349" min="4" max="4"/>
    <col width="15" customWidth="1" style="349" min="5" max="5"/>
    <col width="15" customWidth="1" style="349" min="6" max="6"/>
    <col width="15" customWidth="1" style="349" min="7" max="7"/>
    <col width="72" customWidth="1" style="349" min="9" max="9"/>
  </cols>
  <sheetData>
    <row r="1"/>
    <row r="2">
      <c r="B2" s="369" t="inlineStr">
        <is>
          <t>Tarnoc B.V. — Diligence Pack</t>
        </is>
      </c>
    </row>
    <row r="3">
      <c r="B3" s="370" t="inlineStr">
        <is>
          <t>Everything on this tab is a formula off the Growth Engine and the Financial Statements. Change a driver on Assumptions and every number here moves.</t>
        </is>
      </c>
    </row>
    <row r="4"/>
    <row r="5">
      <c r="D5" s="373" t="n">
        <v>2027</v>
      </c>
      <c r="E5" s="373" t="n">
        <v>2028</v>
      </c>
      <c r="F5" s="373" t="n">
        <v>2029</v>
      </c>
      <c r="G5" s="373" t="n">
        <v>2030</v>
      </c>
    </row>
    <row r="6"/>
    <row r="7">
      <c r="B7" s="374" t="inlineStr">
        <is>
          <t>VOLUME &amp; MARKET</t>
        </is>
      </c>
      <c r="C7" s="374" t="n"/>
      <c r="D7" s="374" t="n"/>
      <c r="E7" s="374" t="n"/>
      <c r="F7" s="374" t="n"/>
      <c r="G7" s="374" t="n"/>
      <c r="H7" s="374" t="n"/>
    </row>
    <row r="8">
      <c r="B8" s="379" t="inlineStr">
        <is>
          <t>Units sold</t>
        </is>
      </c>
      <c r="D8" s="380">
        <f>'Growth Engine'!BC43</f>
        <v/>
      </c>
      <c r="E8" s="380">
        <f>'Growth Engine'!BD43</f>
        <v/>
      </c>
      <c r="F8" s="380">
        <f>'Growth Engine'!BE43</f>
        <v/>
      </c>
      <c r="G8" s="380">
        <f>'Growth Engine'!BF43</f>
        <v/>
      </c>
    </row>
    <row r="9">
      <c r="B9" s="375" t="inlineStr">
        <is>
          <t>Serviceable market (units)</t>
        </is>
      </c>
      <c r="D9" s="377">
        <f>'Growth Engine'!BC10</f>
        <v/>
      </c>
      <c r="E9" s="377">
        <f>'Growth Engine'!BD10</f>
        <v/>
      </c>
      <c r="F9" s="377">
        <f>'Growth Engine'!BE10</f>
        <v/>
      </c>
      <c r="G9" s="377">
        <f>'Growth Engine'!BF10</f>
        <v/>
      </c>
    </row>
    <row r="10">
      <c r="B10" s="375" t="inlineStr">
        <is>
          <t>Implied market share</t>
        </is>
      </c>
      <c r="D10" s="390">
        <f>'Growth Engine'!BC48</f>
        <v/>
      </c>
      <c r="E10" s="390">
        <f>'Growth Engine'!BD48</f>
        <v/>
      </c>
      <c r="F10" s="390">
        <f>'Growth Engine'!BE48</f>
        <v/>
      </c>
      <c r="G10" s="390">
        <f>'Growth Engine'!BF48</f>
        <v/>
      </c>
      <c r="I10" s="370" t="inlineStr">
        <is>
          <t>against the ~400k/yr NL boiler REPLACEMENT market, plus BE+DE once open</t>
        </is>
      </c>
    </row>
    <row r="11">
      <c r="B11" s="375" t="inlineStr">
        <is>
          <t>Installed base (year end)</t>
        </is>
      </c>
      <c r="D11" s="377">
        <f>'Growth Engine'!BC46</f>
        <v/>
      </c>
      <c r="E11" s="377">
        <f>'Growth Engine'!BD46</f>
        <v/>
      </c>
      <c r="F11" s="377">
        <f>'Growth Engine'!BE46</f>
        <v/>
      </c>
      <c r="G11" s="377">
        <f>'Growth Engine'!BF46</f>
        <v/>
      </c>
    </row>
    <row r="12">
      <c r="B12" s="375" t="inlineStr">
        <is>
          <t>Why we did not sell more (Dec)</t>
        </is>
      </c>
      <c r="D12" s="389">
        <f>'Growth Engine'!Q44</f>
        <v/>
      </c>
      <c r="E12" s="389">
        <f>'Growth Engine'!AC44</f>
        <v/>
      </c>
      <c r="F12" s="389">
        <f>'Growth Engine'!AO44</f>
        <v/>
      </c>
      <c r="G12" s="389">
        <f>'Growth Engine'!BA44</f>
        <v/>
      </c>
      <c r="I12" s="370" t="inlineStr">
        <is>
          <t>the reason we could not sell more in December of that year</t>
        </is>
      </c>
    </row>
    <row r="13">
      <c r="B13" s="375" t="inlineStr">
        <is>
          <t>Build capacity utilisation</t>
        </is>
      </c>
      <c r="D13" s="390">
        <f>'Growth Engine'!BC45</f>
        <v/>
      </c>
      <c r="E13" s="390">
        <f>'Growth Engine'!BD45</f>
        <v/>
      </c>
      <c r="F13" s="390">
        <f>'Growth Engine'!BE45</f>
        <v/>
      </c>
      <c r="G13" s="390">
        <f>'Growth Engine'!BF45</f>
        <v/>
      </c>
    </row>
    <row r="14"/>
    <row r="15">
      <c r="B15" s="374" t="inlineStr">
        <is>
          <t>UNIT ECONOMICS</t>
        </is>
      </c>
      <c r="C15" s="374" t="n"/>
      <c r="D15" s="374" t="n"/>
      <c r="E15" s="374" t="n"/>
      <c r="F15" s="374" t="n"/>
      <c r="G15" s="374" t="n"/>
      <c r="H15" s="374" t="n"/>
    </row>
    <row r="16">
      <c r="B16" s="375" t="inlineStr">
        <is>
          <t>Marketing spend</t>
        </is>
      </c>
      <c r="D16" s="377">
        <f>'Growth Engine'!BC14</f>
        <v/>
      </c>
      <c r="E16" s="377">
        <f>'Growth Engine'!BD14</f>
        <v/>
      </c>
      <c r="F16" s="377">
        <f>'Growth Engine'!BE14</f>
        <v/>
      </c>
      <c r="G16" s="377">
        <f>'Growth Engine'!BF14</f>
        <v/>
      </c>
    </row>
    <row r="17">
      <c r="B17" s="375" t="inlineStr">
        <is>
          <t>CAC (marketing / unit)</t>
        </is>
      </c>
      <c r="D17" s="377">
        <f>IFERROR(D16/D8,0)</f>
        <v/>
      </c>
      <c r="E17" s="377">
        <f>IFERROR(E16/E8,0)</f>
        <v/>
      </c>
      <c r="F17" s="377">
        <f>IFERROR(F16/F8,0)</f>
        <v/>
      </c>
      <c r="G17" s="377">
        <f>IFERROR(G16/G8,0)</f>
        <v/>
      </c>
    </row>
    <row r="18">
      <c r="B18" s="375" t="inlineStr">
        <is>
          <t>Revenue</t>
        </is>
      </c>
      <c r="D18" s="377">
        <f>'Financial Statements'!BD11</f>
        <v/>
      </c>
      <c r="E18" s="377">
        <f>'Financial Statements'!BE11</f>
        <v/>
      </c>
      <c r="F18" s="377">
        <f>'Financial Statements'!BF11</f>
        <v/>
      </c>
      <c r="G18" s="393" t="inlineStr">
        <is>
          <t>n/a</t>
        </is>
      </c>
    </row>
    <row r="19">
      <c r="B19" s="375" t="inlineStr">
        <is>
          <t>Revenue per unit</t>
        </is>
      </c>
      <c r="D19" s="377">
        <f>IFERROR(D18/D8,0)</f>
        <v/>
      </c>
      <c r="E19" s="377">
        <f>IFERROR(E18/E8,0)</f>
        <v/>
      </c>
      <c r="F19" s="377">
        <f>IFERROR(F18/F8,0)</f>
        <v/>
      </c>
      <c r="G19" s="393" t="inlineStr">
        <is>
          <t>n/a</t>
        </is>
      </c>
    </row>
    <row r="20">
      <c r="B20" s="375" t="inlineStr">
        <is>
          <t>Gross profit</t>
        </is>
      </c>
      <c r="D20" s="377">
        <f>'Financial Statements'!BD23</f>
        <v/>
      </c>
      <c r="E20" s="377">
        <f>'Financial Statements'!BE23</f>
        <v/>
      </c>
      <c r="F20" s="377">
        <f>'Financial Statements'!BF23</f>
        <v/>
      </c>
      <c r="G20" s="393" t="inlineStr">
        <is>
          <t>n/a</t>
        </is>
      </c>
    </row>
    <row r="21">
      <c r="B21" s="375" t="inlineStr">
        <is>
          <t>Gross margin</t>
        </is>
      </c>
      <c r="D21" s="390">
        <f>IFERROR(D20/D18,0)</f>
        <v/>
      </c>
      <c r="E21" s="390">
        <f>IFERROR(E20/E18,0)</f>
        <v/>
      </c>
      <c r="F21" s="390">
        <f>IFERROR(F20/F18,0)</f>
        <v/>
      </c>
      <c r="G21" s="393" t="inlineStr">
        <is>
          <t>n/a</t>
        </is>
      </c>
    </row>
    <row r="22">
      <c r="B22" s="375" t="inlineStr">
        <is>
          <t>Gross profit per unit</t>
        </is>
      </c>
      <c r="D22" s="377">
        <f>IFERROR(D20/D8,0)</f>
        <v/>
      </c>
      <c r="E22" s="377">
        <f>IFERROR(E20/E8,0)</f>
        <v/>
      </c>
      <c r="F22" s="377">
        <f>IFERROR(F20/F8,0)</f>
        <v/>
      </c>
      <c r="G22" s="393" t="inlineStr">
        <is>
          <t>n/a</t>
        </is>
      </c>
    </row>
    <row r="23">
      <c r="B23" s="375" t="inlineStr">
        <is>
          <t>CAC payback (units of GP)</t>
        </is>
      </c>
      <c r="D23" s="390">
        <f>IFERROR(D17/D22,0)</f>
        <v/>
      </c>
      <c r="E23" s="390">
        <f>IFERROR(E17/E22,0)</f>
        <v/>
      </c>
      <c r="F23" s="390">
        <f>IFERROR(F17/F22,0)</f>
        <v/>
      </c>
      <c r="G23" s="393" t="inlineStr">
        <is>
          <t>n/a</t>
        </is>
      </c>
      <c r="I23" s="370" t="inlineStr">
        <is>
          <t>CAC as a share of the gross profit the unit earns on day one</t>
        </is>
      </c>
    </row>
    <row r="24"/>
    <row r="25">
      <c r="B25" s="374" t="inlineStr">
        <is>
          <t>ORGANISATION</t>
        </is>
      </c>
      <c r="C25" s="374" t="n"/>
      <c r="D25" s="374" t="n"/>
      <c r="E25" s="374" t="n"/>
      <c r="F25" s="374" t="n"/>
      <c r="G25" s="374" t="n"/>
      <c r="H25" s="374" t="n"/>
    </row>
    <row r="26">
      <c r="B26" s="375" t="inlineStr">
        <is>
          <t>Quota-carrying reps (year end)</t>
        </is>
      </c>
      <c r="D26" s="386">
        <f>'Growth Engine'!BC25</f>
        <v/>
      </c>
      <c r="E26" s="386">
        <f>'Growth Engine'!BD25</f>
        <v/>
      </c>
      <c r="F26" s="386">
        <f>'Growth Engine'!BE25</f>
        <v/>
      </c>
      <c r="G26" s="386">
        <f>'Growth Engine'!BF25</f>
        <v/>
      </c>
    </row>
    <row r="27">
      <c r="B27" s="375" t="inlineStr">
        <is>
          <t>Installer partners (year end)</t>
        </is>
      </c>
      <c r="D27" s="386">
        <f>'Growth Engine'!BC29</f>
        <v/>
      </c>
      <c r="E27" s="386">
        <f>'Growth Engine'!BD29</f>
        <v/>
      </c>
      <c r="F27" s="386">
        <f>'Growth Engine'!BE29</f>
        <v/>
      </c>
      <c r="G27" s="386">
        <f>'Growth Engine'!BF29</f>
        <v/>
      </c>
    </row>
    <row r="28">
      <c r="B28" s="375" t="inlineStr">
        <is>
          <t>Partner managers required</t>
        </is>
      </c>
      <c r="D28" s="377">
        <f>'Growth Engine'!BC33</f>
        <v/>
      </c>
      <c r="E28" s="377">
        <f>'Growth Engine'!BD33</f>
        <v/>
      </c>
      <c r="F28" s="377">
        <f>'Growth Engine'!BE33</f>
        <v/>
      </c>
      <c r="G28" s="377">
        <f>'Growth Engine'!BF33</f>
        <v/>
      </c>
    </row>
    <row r="29">
      <c r="B29" s="375" t="inlineStr">
        <is>
          <t>Units per rep per year</t>
        </is>
      </c>
      <c r="D29" s="377">
        <f>IFERROR(D8*'Growth Engine'!BC23/D26,0)</f>
        <v/>
      </c>
      <c r="E29" s="377">
        <f>IFERROR(E8*'Growth Engine'!BD23/E26,0)</f>
        <v/>
      </c>
      <c r="F29" s="377">
        <f>IFERROR(F8*'Growth Engine'!BE23/F26,0)</f>
        <v/>
      </c>
      <c r="G29" s="377">
        <f>IFERROR(G8*'Growth Engine'!BF23/G26,0)</f>
        <v/>
      </c>
      <c r="I29" s="370" t="inlineStr">
        <is>
          <t>direct units only — the channel is carried by partners, not reps</t>
        </is>
      </c>
    </row>
    <row r="30">
      <c r="B30" s="375" t="inlineStr">
        <is>
          <t>Units per partner per year</t>
        </is>
      </c>
      <c r="D30" s="377">
        <f>IFERROR(D8*(1-'Growth Engine'!BC23)/D27,0)</f>
        <v/>
      </c>
      <c r="E30" s="377">
        <f>IFERROR(E8*(1-'Growth Engine'!BD23)/E27,0)</f>
        <v/>
      </c>
      <c r="F30" s="377">
        <f>IFERROR(F8*(1-'Growth Engine'!BE23)/F27,0)</f>
        <v/>
      </c>
      <c r="G30" s="377">
        <f>IFERROR(G8*(1-'Growth Engine'!BF23)/G27,0)</f>
        <v/>
      </c>
    </row>
    <row r="31">
      <c r="B31" s="375" t="inlineStr">
        <is>
          <t>Field service technicians</t>
        </is>
      </c>
      <c r="D31" s="377">
        <f>'Growth Engine'!BC72</f>
        <v/>
      </c>
      <c r="E31" s="377">
        <f>'Growth Engine'!BD72</f>
        <v/>
      </c>
      <c r="F31" s="377">
        <f>'Growth Engine'!BE72</f>
        <v/>
      </c>
      <c r="G31" s="377">
        <f>'Growth Engine'!BF72</f>
        <v/>
      </c>
    </row>
    <row r="32">
      <c r="B32" s="379" t="inlineStr">
        <is>
          <t>TOTAL HEADCOUNT</t>
        </is>
      </c>
      <c r="D32" s="380">
        <f>'Growth Engine'!BC73</f>
        <v/>
      </c>
      <c r="E32" s="380">
        <f>'Growth Engine'!BD73</f>
        <v/>
      </c>
      <c r="F32" s="380">
        <f>'Growth Engine'!BE73</f>
        <v/>
      </c>
      <c r="G32" s="380">
        <f>'Growth Engine'!BF73</f>
        <v/>
      </c>
      <c r="I32" s="370" t="inlineStr">
        <is>
          <t>people on payroll plus field service technicians</t>
        </is>
      </c>
    </row>
    <row r="33">
      <c r="B33" s="375" t="inlineStr">
        <is>
          <t>People in the Personnel tab today</t>
        </is>
      </c>
      <c r="D33" s="377">
        <f>'Growth Engine'!BC74</f>
        <v/>
      </c>
      <c r="E33" s="377">
        <f>'Growth Engine'!BD74</f>
        <v/>
      </c>
      <c r="F33" s="377">
        <f>'Growth Engine'!BE74</f>
        <v/>
      </c>
      <c r="G33" s="377">
        <f>'Growth Engine'!BF74</f>
        <v/>
      </c>
    </row>
    <row r="34">
      <c r="B34" s="374" t="inlineStr">
        <is>
          <t>CAPACITY &amp; CAPEX</t>
        </is>
      </c>
      <c r="C34" s="374" t="n"/>
      <c r="D34" s="374" t="n"/>
      <c r="E34" s="374" t="n"/>
      <c r="F34" s="374" t="n"/>
      <c r="G34" s="374" t="n"/>
      <c r="H34" s="374" t="n"/>
    </row>
    <row r="35">
      <c r="B35" s="375" t="inlineStr">
        <is>
          <t>Assembly partner capacity (units/yr)</t>
        </is>
      </c>
      <c r="D35" s="377">
        <f>'Growth Engine'!BC37</f>
        <v/>
      </c>
      <c r="E35" s="377">
        <f>'Growth Engine'!BD37</f>
        <v/>
      </c>
      <c r="F35" s="377">
        <f>'Growth Engine'!BE37</f>
        <v/>
      </c>
      <c r="G35" s="377">
        <f>'Growth Engine'!BF37</f>
        <v/>
      </c>
    </row>
    <row r="36">
      <c r="B36" s="375" t="inlineStr">
        <is>
          <t>In-house lines live (year end)</t>
        </is>
      </c>
      <c r="D36" s="377">
        <f>'Growth Engine'!BC38</f>
        <v/>
      </c>
      <c r="E36" s="377">
        <f>'Growth Engine'!BD38</f>
        <v/>
      </c>
      <c r="F36" s="377">
        <f>'Growth Engine'!BE38</f>
        <v/>
      </c>
      <c r="G36" s="377">
        <f>'Growth Engine'!BF38</f>
        <v/>
      </c>
    </row>
    <row r="37">
      <c r="B37" s="375" t="inlineStr">
        <is>
          <t>Total build capacity (units/yr)</t>
        </is>
      </c>
      <c r="D37" s="377">
        <f>'Growth Engine'!BC40</f>
        <v/>
      </c>
      <c r="E37" s="377">
        <f>'Growth Engine'!BD40</f>
        <v/>
      </c>
      <c r="F37" s="377">
        <f>'Growth Engine'!BE40</f>
        <v/>
      </c>
      <c r="G37" s="377">
        <f>'Growth Engine'!BF40</f>
        <v/>
      </c>
    </row>
    <row r="38">
      <c r="B38" s="375" t="inlineStr">
        <is>
          <t>Capex</t>
        </is>
      </c>
      <c r="D38" s="377">
        <f>Assumptions!D127</f>
        <v/>
      </c>
      <c r="E38" s="377">
        <f>Assumptions!E127</f>
        <v/>
      </c>
      <c r="F38" s="377">
        <f>Assumptions!F127</f>
        <v/>
      </c>
      <c r="G38" s="377">
        <f>Assumptions!G127</f>
        <v/>
      </c>
    </row>
    <row r="39"/>
    <row r="40">
      <c r="B40" s="374" t="inlineStr">
        <is>
          <t>PROFIT &amp; FUNDING</t>
        </is>
      </c>
      <c r="C40" s="374" t="n"/>
      <c r="D40" s="374" t="n"/>
      <c r="E40" s="374" t="n"/>
      <c r="F40" s="374" t="n"/>
      <c r="G40" s="374" t="n"/>
      <c r="H40" s="374" t="n"/>
    </row>
    <row r="41">
      <c r="B41" s="379" t="inlineStr">
        <is>
          <t>EBITDA</t>
        </is>
      </c>
      <c r="D41" s="380">
        <f>'Financial Statements'!BD32</f>
        <v/>
      </c>
      <c r="E41" s="380">
        <f>'Financial Statements'!BE32</f>
        <v/>
      </c>
      <c r="F41" s="380">
        <f>'Financial Statements'!BF32</f>
        <v/>
      </c>
      <c r="G41" s="394" t="inlineStr">
        <is>
          <t>n/a</t>
        </is>
      </c>
    </row>
    <row r="42">
      <c r="B42" s="375" t="inlineStr">
        <is>
          <t>EBITDA margin</t>
        </is>
      </c>
      <c r="D42" s="390">
        <f>'Financial Statements'!BD33</f>
        <v/>
      </c>
      <c r="E42" s="390">
        <f>'Financial Statements'!BE33</f>
        <v/>
      </c>
      <c r="F42" s="390">
        <f>'Financial Statements'!BF33</f>
        <v/>
      </c>
      <c r="G42" s="393" t="inlineStr">
        <is>
          <t>n/a</t>
        </is>
      </c>
    </row>
    <row r="43">
      <c r="B43" s="375" t="inlineStr">
        <is>
          <t>Net income</t>
        </is>
      </c>
      <c r="D43" s="377">
        <f>'Financial Statements'!BD41</f>
        <v/>
      </c>
      <c r="E43" s="377">
        <f>'Financial Statements'!BE41</f>
        <v/>
      </c>
      <c r="F43" s="377">
        <f>'Financial Statements'!BF41</f>
        <v/>
      </c>
      <c r="G43" s="393" t="inlineStr">
        <is>
          <t>n/a</t>
        </is>
      </c>
    </row>
    <row r="44">
      <c r="B44" s="375" t="inlineStr">
        <is>
          <t>Ending cash</t>
        </is>
      </c>
      <c r="D44" s="377">
        <f>'Financial Statements'!BD62</f>
        <v/>
      </c>
      <c r="E44" s="377">
        <f>'Financial Statements'!BE62</f>
        <v/>
      </c>
      <c r="F44" s="377">
        <f>'Financial Statements'!BF62</f>
        <v/>
      </c>
      <c r="G44" s="393" t="inlineStr">
        <is>
          <t>n/a</t>
        </is>
      </c>
    </row>
    <row r="45">
      <c r="B45" s="375" t="inlineStr">
        <is>
          <t>Revenue per employee</t>
        </is>
      </c>
      <c r="D45" s="377">
        <f>IFERROR(D18/D32,0)</f>
        <v/>
      </c>
      <c r="E45" s="377">
        <f>IFERROR(E18/E32,0)</f>
        <v/>
      </c>
      <c r="F45" s="377">
        <f>IFERROR(F18/F32,0)</f>
        <v/>
      </c>
      <c r="G45" s="393" t="inlineStr">
        <is>
          <t>n/a</t>
        </is>
      </c>
      <c r="I45" s="370" t="inlineStr">
        <is>
          <t>Viessmann runs at ~EUR276k, Vaillant ~EUR200k. Far above that means the org is understated</t>
        </is>
      </c>
    </row>
    <row r="46">
      <c r="B46" s="375" t="inlineStr">
        <is>
          <t>Extra non-people cost (overheads, training, plant)</t>
        </is>
      </c>
      <c r="D46" s="377">
        <f>'Growth Engine'!BC90</f>
        <v/>
      </c>
      <c r="E46" s="377">
        <f>'Growth Engine'!BD90</f>
        <v/>
      </c>
      <c r="F46" s="377">
        <f>'Growth Engine'!BE90</f>
        <v/>
      </c>
      <c r="G46" s="377">
        <f>'Growth Engine'!BF90</f>
        <v/>
      </c>
    </row>
    <row r="47"/>
    <row r="48">
      <c r="B48" s="379" t="inlineStr">
        <is>
          <t>Minimum cash across the whole horizon</t>
        </is>
      </c>
      <c r="D48" s="395">
        <f>MIN('Financial Statements'!$E$62:$AZ$62,'Financial Statements'!$BF$62)</f>
        <v/>
      </c>
      <c r="I48" s="370" t="inlineStr">
        <is>
          <t>if this is comfortably positive the raise is bigger than the plan needs — say so before a VC does</t>
        </is>
      </c>
    </row>
    <row r="49">
      <c r="B49" s="0" t="inlineStr">
        <is>
          <t>Equity raised (cumulative)</t>
        </is>
      </c>
      <c r="D49" s="396">
        <f>'Financial Statements'!$AZ$86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2026-08-31T10:38:33Z</dcterms:created>
  <dcterms:modified xsi:type="dcterms:W3CDTF">2026-09-01T14:15:32Z</dcterms:modified>
</cp:coreProperties>
</file>