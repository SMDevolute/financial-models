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354 / 1,344 / 4,122 / 7,407 units in 2027 to 2030, EUR126m revenue in 2030. Gross margin 10%, 25%, 37%, 37%. EBITDA -2.5m, +0.9m, +17m, +34m. 95 people.</t>
        </is>
      </c>
    </row>
    <row r="39">
      <c r="B39" s="6" t="inlineStr">
        <is>
          <t xml:space="preserve">     Cash low EUR0.6m in December 2027, about two months of cost; 80% of the raise used.</t>
        </is>
      </c>
    </row>
    <row r="40">
      <c r="B40" s="6" t="inlineStr">
        <is>
          <t>Aggressive, EUR10m: 2,812 / 6,864 / 11,730 / 18,780 units, EUR321m revenue in 2030. Gross margin 28%, 38%, 37%, 37%. EBITDA +4.8m, +23m, +45m, +79m. 302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500 units: 2028 plus 2029 volume is 5,500 against a 5,000 tier. Below 5,000, 2028 costs EUR2,900 more per unit and EBITDA goes back to about -3m.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EUR1.5m of yearly spend</t>
        </is>
      </c>
      <c r="D63" s="16" t="inlineStr">
        <is>
          <t>supported</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Fine for 95 staff; for 300 staff 14-22, and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(2028 plus 2029 volume is 5,500 against the 5,000 tier) and two months of cash cover in December 2027. A one-quarter delay in the 2029 ramp costs the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1</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in both cases; in-house lines and capex in the aggressive case only)</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c r="J83" s="30" t="inlineStr">
        <is>
          <t>aggressive only: the base case has no in-house line, so the rows below do nothing in base</t>
        </is>
      </c>
    </row>
    <row r="84">
      <c r="B84" s="6" t="inlineStr">
        <is>
          <t>Capex per in-house line</t>
        </is>
      </c>
      <c r="C84" s="28" t="inlineStr">
        <is>
          <t>EUR</t>
        </is>
      </c>
      <c r="D84" s="33" t="n">
        <v>3000000</v>
      </c>
      <c r="E84" s="33" t="n">
        <v>3000000</v>
      </c>
      <c r="F84" s="34">
        <f>IF(Assumptions!$E$5=2,E84,D84)</f>
        <v/>
      </c>
      <c r="J84" s="30" t="inlineStr">
        <is>
          <t>aggressive only. 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aggressive only. 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aggressive only: the building and the machines, not the people</t>
        </is>
      </c>
    </row>
    <row r="89">
      <c r="B89" s="6" t="inlineStr">
        <is>
          <t>Depreciation life, straight line</t>
        </is>
      </c>
      <c r="C89" s="28" t="inlineStr">
        <is>
          <t>years</t>
        </is>
      </c>
      <c r="D89" s="41" t="n">
        <v>8</v>
      </c>
      <c r="E89" s="41" t="n">
        <v>8</v>
      </c>
      <c r="F89" s="42">
        <f>IF(Assumptions!$E$5=2,E89,D89)</f>
        <v/>
      </c>
      <c r="J89" s="30" t="inlineStr">
        <is>
          <t>aggressive only: the base case has no fixed assets</t>
        </is>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4</v>
      </c>
      <c r="F99" s="41" t="n">
        <v>3</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Yearly marketing budget one marketer can run</t>
        </is>
      </c>
      <c r="C110" s="28" t="inlineStr">
        <is>
          <t>EUR/yr</t>
        </is>
      </c>
      <c r="D110" s="33" t="n">
        <v>1500000</v>
      </c>
      <c r="E110" s="33" t="n">
        <v>1500000</v>
      </c>
      <c r="F110" s="34">
        <f>IF(Assumptions!$E$5=2,E110,D110)</f>
        <v/>
      </c>
      <c r="J110" s="30" t="inlineStr">
        <is>
          <t>sizes the marketing team only: the floor above plus one more person for every EUR1.5m of yearly spend. Not a spend. Benchmarks: one marketer per EUR1-1.5m of media</t>
        </is>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600</v>
      </c>
      <c r="E112" s="41" t="n">
        <v>600</v>
      </c>
      <c r="F112" s="42">
        <f>IF(Assumptions!$E$5=2,E112,D112)</f>
        <v/>
      </c>
      <c r="J112" s="30" t="inlineStr">
        <is>
          <t>sizes the field service team: units on a service contract divided by this number = engineers to hire. Each unit gets one visit a year plus breakdown cover; market range 600 to 900</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 hiring rate</t>
        </is>
      </c>
      <c r="C16" s="17" t="inlineStr">
        <is>
          <t>FTE/month</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the planned rate, which can be less than one a month</t>
        </is>
      </c>
    </row>
    <row r="17">
      <c r="B17" s="6" t="inlineStr">
        <is>
          <t>Reps in post</t>
        </is>
      </c>
      <c r="C17" s="17" t="inlineStr">
        <is>
          <t>FTE</t>
        </is>
      </c>
      <c r="E17" s="13">
        <f>ROUNDDOWN(Assumptions!$F$72+SUM($E16:E16),0)</f>
        <v/>
      </c>
      <c r="F17" s="13">
        <f>ROUNDDOWN(Assumptions!$F$72+SUM($E16:F16),0)</f>
        <v/>
      </c>
      <c r="G17" s="13">
        <f>ROUNDDOWN(Assumptions!$F$72+SUM($E16:G16),0)</f>
        <v/>
      </c>
      <c r="H17" s="13">
        <f>ROUNDDOWN(Assumptions!$F$72+SUM($E16:H16),0)</f>
        <v/>
      </c>
      <c r="I17" s="13">
        <f>ROUNDDOWN(Assumptions!$F$72+SUM($E16:I16),0)</f>
        <v/>
      </c>
      <c r="J17" s="13">
        <f>ROUNDDOWN(Assumptions!$F$72+SUM($E16:J16),0)</f>
        <v/>
      </c>
      <c r="K17" s="13">
        <f>ROUNDDOWN(Assumptions!$F$72+SUM($E16:K16),0)</f>
        <v/>
      </c>
      <c r="L17" s="13">
        <f>ROUNDDOWN(Assumptions!$F$72+SUM($E16:L16),0)</f>
        <v/>
      </c>
      <c r="M17" s="13">
        <f>ROUNDDOWN(Assumptions!$F$72+SUM($E16:M16),0)</f>
        <v/>
      </c>
      <c r="N17" s="13">
        <f>ROUNDDOWN(Assumptions!$F$72+SUM($E16:N16),0)</f>
        <v/>
      </c>
      <c r="O17" s="13">
        <f>ROUNDDOWN(Assumptions!$F$72+SUM($E16:O16),0)</f>
        <v/>
      </c>
      <c r="P17" s="13">
        <f>ROUNDDOWN(Assumptions!$F$72+SUM($E16:P16),0)</f>
        <v/>
      </c>
      <c r="Q17" s="13">
        <f>ROUNDDOWN(Assumptions!$F$72+SUM($E16:Q16),0)</f>
        <v/>
      </c>
      <c r="R17" s="13">
        <f>ROUNDDOWN(Assumptions!$F$72+SUM($E16:R16),0)</f>
        <v/>
      </c>
      <c r="S17" s="13">
        <f>ROUNDDOWN(Assumptions!$F$72+SUM($E16:S16),0)</f>
        <v/>
      </c>
      <c r="T17" s="13">
        <f>ROUNDDOWN(Assumptions!$F$72+SUM($E16:T16),0)</f>
        <v/>
      </c>
      <c r="U17" s="13">
        <f>ROUNDDOWN(Assumptions!$F$72+SUM($E16:U16),0)</f>
        <v/>
      </c>
      <c r="V17" s="13">
        <f>ROUNDDOWN(Assumptions!$F$72+SUM($E16:V16),0)</f>
        <v/>
      </c>
      <c r="W17" s="13">
        <f>ROUNDDOWN(Assumptions!$F$72+SUM($E16:W16),0)</f>
        <v/>
      </c>
      <c r="X17" s="13">
        <f>ROUNDDOWN(Assumptions!$F$72+SUM($E16:X16),0)</f>
        <v/>
      </c>
      <c r="Y17" s="13">
        <f>ROUNDDOWN(Assumptions!$F$72+SUM($E16:Y16),0)</f>
        <v/>
      </c>
      <c r="Z17" s="13">
        <f>ROUNDDOWN(Assumptions!$F$72+SUM($E16:Z16),0)</f>
        <v/>
      </c>
      <c r="AA17" s="13">
        <f>ROUNDDOWN(Assumptions!$F$72+SUM($E16:AA16),0)</f>
        <v/>
      </c>
      <c r="AB17" s="13">
        <f>ROUNDDOWN(Assumptions!$F$72+SUM($E16:AB16),0)</f>
        <v/>
      </c>
      <c r="AC17" s="13">
        <f>ROUNDDOWN(Assumptions!$F$72+SUM($E16:AC16),0)</f>
        <v/>
      </c>
      <c r="AD17" s="13">
        <f>ROUNDDOWN(Assumptions!$F$72+SUM($E16:AD16),0)</f>
        <v/>
      </c>
      <c r="AE17" s="13">
        <f>ROUNDDOWN(Assumptions!$F$72+SUM($E16:AE16),0)</f>
        <v/>
      </c>
      <c r="AF17" s="13">
        <f>ROUNDDOWN(Assumptions!$F$72+SUM($E16:AF16),0)</f>
        <v/>
      </c>
      <c r="AG17" s="13">
        <f>ROUNDDOWN(Assumptions!$F$72+SUM($E16:AG16),0)</f>
        <v/>
      </c>
      <c r="AH17" s="13">
        <f>ROUNDDOWN(Assumptions!$F$72+SUM($E16:AH16),0)</f>
        <v/>
      </c>
      <c r="AI17" s="13">
        <f>ROUNDDOWN(Assumptions!$F$72+SUM($E16:AI16),0)</f>
        <v/>
      </c>
      <c r="AJ17" s="13">
        <f>ROUNDDOWN(Assumptions!$F$72+SUM($E16:AJ16),0)</f>
        <v/>
      </c>
      <c r="AK17" s="13">
        <f>ROUNDDOWN(Assumptions!$F$72+SUM($E16:AK16),0)</f>
        <v/>
      </c>
      <c r="AL17" s="13">
        <f>ROUNDDOWN(Assumptions!$F$72+SUM($E16:AL16),0)</f>
        <v/>
      </c>
      <c r="AM17" s="13">
        <f>ROUNDDOWN(Assumptions!$F$72+SUM($E16:AM16),0)</f>
        <v/>
      </c>
      <c r="AN17" s="13">
        <f>ROUNDDOWN(Assumptions!$F$72+SUM($E16:AN16),0)</f>
        <v/>
      </c>
      <c r="AO17" s="13">
        <f>ROUNDDOWN(Assumptions!$F$72+SUM($E16:AO16),0)</f>
        <v/>
      </c>
      <c r="AP17" s="13">
        <f>ROUNDDOWN(Assumptions!$F$72+SUM($E16:AP16),0)</f>
        <v/>
      </c>
      <c r="AQ17" s="13">
        <f>ROUNDDOWN(Assumptions!$F$72+SUM($E16:AQ16),0)</f>
        <v/>
      </c>
      <c r="AR17" s="13">
        <f>ROUNDDOWN(Assumptions!$F$72+SUM($E16:AR16),0)</f>
        <v/>
      </c>
      <c r="AS17" s="13">
        <f>ROUNDDOWN(Assumptions!$F$72+SUM($E16:AS16),0)</f>
        <v/>
      </c>
      <c r="AT17" s="13">
        <f>ROUNDDOWN(Assumptions!$F$72+SUM($E16:AT16),0)</f>
        <v/>
      </c>
      <c r="AU17" s="13">
        <f>ROUNDDOWN(Assumptions!$F$72+SUM($E16:AU16),0)</f>
        <v/>
      </c>
      <c r="AV17" s="13">
        <f>ROUNDDOWN(Assumptions!$F$72+SUM($E16:AV16),0)</f>
        <v/>
      </c>
      <c r="AW17" s="13">
        <f>ROUNDDOWN(Assumptions!$F$72+SUM($E16:AW16),0)</f>
        <v/>
      </c>
      <c r="AX17" s="13">
        <f>ROUNDDOWN(Assumptions!$F$72+SUM($E16:AX16),0)</f>
        <v/>
      </c>
      <c r="AY17" s="13">
        <f>ROUNDDOWN(Assumptions!$F$72+SUM($E16:AY16),0)</f>
        <v/>
      </c>
      <c r="AZ17" s="13">
        <f>ROUNDDOWN(Assumptions!$F$72+SUM($E16:AZ16),0)</f>
        <v/>
      </c>
      <c r="BA17" s="13">
        <f>ROUNDDOWN(Assumptions!$F$72+SUM($E16:BA16),0)</f>
        <v/>
      </c>
      <c r="BB17" s="13">
        <f>ROUNDDOWN(Assumptions!$F$72+SUM($E16:BB16),0)</f>
        <v/>
      </c>
      <c r="BC17" s="13">
        <f>ROUNDDOWN(Assumptions!$F$72+SUM($E16:BC16),0)</f>
        <v/>
      </c>
      <c r="BD17" s="13">
        <f>ROUNDDOWN(Assumptions!$F$72+SUM($E16:BD16),0)</f>
        <v/>
      </c>
      <c r="BE17" s="13">
        <f>ROUNDDOWN(Assumptions!$F$72+SUM($E16:BE16),0)</f>
        <v/>
      </c>
      <c r="BF17" s="13">
        <f>ROUNDDOWN(Assumptions!$F$72+SUM($E16:BF16),0)</f>
        <v/>
      </c>
      <c r="BG17" s="13">
        <f>ROUNDDOWN(Assumptions!$F$72+SUM($E16:BG16),0)</f>
        <v/>
      </c>
      <c r="BH17" s="13">
        <f>ROUNDDOWN(Assumptions!$F$72+SUM($E16:BH16),0)</f>
        <v/>
      </c>
      <c r="BI17" s="13">
        <f>ROUNDDOWN(Assumptions!$F$72+SUM($E16:BI16),0)</f>
        <v/>
      </c>
      <c r="BJ17" s="13">
        <f>ROUNDDOWN(Assumptions!$F$72+SUM($E16:BJ16),0)</f>
        <v/>
      </c>
      <c r="BK17" s="13">
        <f>ROUNDDOWN(Assumptions!$F$72+SUM($E16:BK16),0)</f>
        <v/>
      </c>
      <c r="BL17" s="13">
        <f>ROUNDDOWN(Assumptions!$F$72+SUM($E16:BL16),0)</f>
        <v/>
      </c>
      <c r="BN17" s="68">
        <f>P17</f>
        <v/>
      </c>
      <c r="BO17" s="68">
        <f>AB17</f>
        <v/>
      </c>
      <c r="BP17" s="68">
        <f>AN17</f>
        <v/>
      </c>
      <c r="BQ17" s="68">
        <f>AZ17</f>
        <v/>
      </c>
      <c r="BR17" s="68">
        <f>BL17</f>
        <v/>
      </c>
      <c r="BT17" s="30" t="inlineStr">
        <is>
          <t>whole people only, so half a rep a month means one every second month</t>
        </is>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Partner signing rate</t>
        </is>
      </c>
      <c r="C19" s="17" t="inlineStr">
        <is>
          <t>partners/month</t>
        </is>
      </c>
      <c r="E19" s="66">
        <f>IF(E$3&lt;Assumptions!$F$13,0,HLOOKUP(YEAR(E$3),Assumptions!$D$63:$H$66,4,FALSE))</f>
        <v/>
      </c>
      <c r="F19" s="66">
        <f>IF(F$3&lt;Assumptions!$F$13,0,HLOOKUP(YEAR(F$3),Assumptions!$D$63:$H$66,4,FALSE))</f>
        <v/>
      </c>
      <c r="G19" s="66">
        <f>IF(G$3&lt;Assumptions!$F$13,0,HLOOKUP(YEAR(G$3),Assumptions!$D$63:$H$66,4,FALSE))</f>
        <v/>
      </c>
      <c r="H19" s="66">
        <f>IF(H$3&lt;Assumptions!$F$13,0,HLOOKUP(YEAR(H$3),Assumptions!$D$63:$H$66,4,FALSE))</f>
        <v/>
      </c>
      <c r="I19" s="66">
        <f>IF(I$3&lt;Assumptions!$F$13,0,HLOOKUP(YEAR(I$3),Assumptions!$D$63:$H$66,4,FALSE))</f>
        <v/>
      </c>
      <c r="J19" s="66">
        <f>IF(J$3&lt;Assumptions!$F$13,0,HLOOKUP(YEAR(J$3),Assumptions!$D$63:$H$66,4,FALSE))</f>
        <v/>
      </c>
      <c r="K19" s="66">
        <f>IF(K$3&lt;Assumptions!$F$13,0,HLOOKUP(YEAR(K$3),Assumptions!$D$63:$H$66,4,FALSE))</f>
        <v/>
      </c>
      <c r="L19" s="66">
        <f>IF(L$3&lt;Assumptions!$F$13,0,HLOOKUP(YEAR(L$3),Assumptions!$D$63:$H$66,4,FALSE))</f>
        <v/>
      </c>
      <c r="M19" s="66">
        <f>IF(M$3&lt;Assumptions!$F$13,0,HLOOKUP(YEAR(M$3),Assumptions!$D$63:$H$66,4,FALSE))</f>
        <v/>
      </c>
      <c r="N19" s="66">
        <f>IF(N$3&lt;Assumptions!$F$13,0,HLOOKUP(YEAR(N$3),Assumptions!$D$63:$H$66,4,FALSE))</f>
        <v/>
      </c>
      <c r="O19" s="66">
        <f>IF(O$3&lt;Assumptions!$F$13,0,HLOOKUP(YEAR(O$3),Assumptions!$D$63:$H$66,4,FALSE))</f>
        <v/>
      </c>
      <c r="P19" s="66">
        <f>IF(P$3&lt;Assumptions!$F$13,0,HLOOKUP(YEAR(P$3),Assumptions!$D$63:$H$66,4,FALSE))</f>
        <v/>
      </c>
      <c r="Q19" s="66">
        <f>IF(Q$3&lt;Assumptions!$F$13,0,HLOOKUP(YEAR(Q$3),Assumptions!$D$63:$H$66,4,FALSE))</f>
        <v/>
      </c>
      <c r="R19" s="66">
        <f>IF(R$3&lt;Assumptions!$F$13,0,HLOOKUP(YEAR(R$3),Assumptions!$D$63:$H$66,4,FALSE))</f>
        <v/>
      </c>
      <c r="S19" s="66">
        <f>IF(S$3&lt;Assumptions!$F$13,0,HLOOKUP(YEAR(S$3),Assumptions!$D$63:$H$66,4,FALSE))</f>
        <v/>
      </c>
      <c r="T19" s="66">
        <f>IF(T$3&lt;Assumptions!$F$13,0,HLOOKUP(YEAR(T$3),Assumptions!$D$63:$H$66,4,FALSE))</f>
        <v/>
      </c>
      <c r="U19" s="66">
        <f>IF(U$3&lt;Assumptions!$F$13,0,HLOOKUP(YEAR(U$3),Assumptions!$D$63:$H$66,4,FALSE))</f>
        <v/>
      </c>
      <c r="V19" s="66">
        <f>IF(V$3&lt;Assumptions!$F$13,0,HLOOKUP(YEAR(V$3),Assumptions!$D$63:$H$66,4,FALSE))</f>
        <v/>
      </c>
      <c r="W19" s="66">
        <f>IF(W$3&lt;Assumptions!$F$13,0,HLOOKUP(YEAR(W$3),Assumptions!$D$63:$H$66,4,FALSE))</f>
        <v/>
      </c>
      <c r="X19" s="66">
        <f>IF(X$3&lt;Assumptions!$F$13,0,HLOOKUP(YEAR(X$3),Assumptions!$D$63:$H$66,4,FALSE))</f>
        <v/>
      </c>
      <c r="Y19" s="66">
        <f>IF(Y$3&lt;Assumptions!$F$13,0,HLOOKUP(YEAR(Y$3),Assumptions!$D$63:$H$66,4,FALSE))</f>
        <v/>
      </c>
      <c r="Z19" s="66">
        <f>IF(Z$3&lt;Assumptions!$F$13,0,HLOOKUP(YEAR(Z$3),Assumptions!$D$63:$H$66,4,FALSE))</f>
        <v/>
      </c>
      <c r="AA19" s="66">
        <f>IF(AA$3&lt;Assumptions!$F$13,0,HLOOKUP(YEAR(AA$3),Assumptions!$D$63:$H$66,4,FALSE))</f>
        <v/>
      </c>
      <c r="AB19" s="66">
        <f>IF(AB$3&lt;Assumptions!$F$13,0,HLOOKUP(YEAR(AB$3),Assumptions!$D$63:$H$66,4,FALSE))</f>
        <v/>
      </c>
      <c r="AC19" s="66">
        <f>IF(AC$3&lt;Assumptions!$F$13,0,HLOOKUP(YEAR(AC$3),Assumptions!$D$63:$H$66,4,FALSE))</f>
        <v/>
      </c>
      <c r="AD19" s="66">
        <f>IF(AD$3&lt;Assumptions!$F$13,0,HLOOKUP(YEAR(AD$3),Assumptions!$D$63:$H$66,4,FALSE))</f>
        <v/>
      </c>
      <c r="AE19" s="66">
        <f>IF(AE$3&lt;Assumptions!$F$13,0,HLOOKUP(YEAR(AE$3),Assumptions!$D$63:$H$66,4,FALSE))</f>
        <v/>
      </c>
      <c r="AF19" s="66">
        <f>IF(AF$3&lt;Assumptions!$F$13,0,HLOOKUP(YEAR(AF$3),Assumptions!$D$63:$H$66,4,FALSE))</f>
        <v/>
      </c>
      <c r="AG19" s="66">
        <f>IF(AG$3&lt;Assumptions!$F$13,0,HLOOKUP(YEAR(AG$3),Assumptions!$D$63:$H$66,4,FALSE))</f>
        <v/>
      </c>
      <c r="AH19" s="66">
        <f>IF(AH$3&lt;Assumptions!$F$13,0,HLOOKUP(YEAR(AH$3),Assumptions!$D$63:$H$66,4,FALSE))</f>
        <v/>
      </c>
      <c r="AI19" s="66">
        <f>IF(AI$3&lt;Assumptions!$F$13,0,HLOOKUP(YEAR(AI$3),Assumptions!$D$63:$H$66,4,FALSE))</f>
        <v/>
      </c>
      <c r="AJ19" s="66">
        <f>IF(AJ$3&lt;Assumptions!$F$13,0,HLOOKUP(YEAR(AJ$3),Assumptions!$D$63:$H$66,4,FALSE))</f>
        <v/>
      </c>
      <c r="AK19" s="66">
        <f>IF(AK$3&lt;Assumptions!$F$13,0,HLOOKUP(YEAR(AK$3),Assumptions!$D$63:$H$66,4,FALSE))</f>
        <v/>
      </c>
      <c r="AL19" s="66">
        <f>IF(AL$3&lt;Assumptions!$F$13,0,HLOOKUP(YEAR(AL$3),Assumptions!$D$63:$H$66,4,FALSE))</f>
        <v/>
      </c>
      <c r="AM19" s="66">
        <f>IF(AM$3&lt;Assumptions!$F$13,0,HLOOKUP(YEAR(AM$3),Assumptions!$D$63:$H$66,4,FALSE))</f>
        <v/>
      </c>
      <c r="AN19" s="66">
        <f>IF(AN$3&lt;Assumptions!$F$13,0,HLOOKUP(YEAR(AN$3),Assumptions!$D$63:$H$66,4,FALSE))</f>
        <v/>
      </c>
      <c r="AO19" s="66">
        <f>IF(AO$3&lt;Assumptions!$F$13,0,HLOOKUP(YEAR(AO$3),Assumptions!$D$63:$H$66,4,FALSE))</f>
        <v/>
      </c>
      <c r="AP19" s="66">
        <f>IF(AP$3&lt;Assumptions!$F$13,0,HLOOKUP(YEAR(AP$3),Assumptions!$D$63:$H$66,4,FALSE))</f>
        <v/>
      </c>
      <c r="AQ19" s="66">
        <f>IF(AQ$3&lt;Assumptions!$F$13,0,HLOOKUP(YEAR(AQ$3),Assumptions!$D$63:$H$66,4,FALSE))</f>
        <v/>
      </c>
      <c r="AR19" s="66">
        <f>IF(AR$3&lt;Assumptions!$F$13,0,HLOOKUP(YEAR(AR$3),Assumptions!$D$63:$H$66,4,FALSE))</f>
        <v/>
      </c>
      <c r="AS19" s="66">
        <f>IF(AS$3&lt;Assumptions!$F$13,0,HLOOKUP(YEAR(AS$3),Assumptions!$D$63:$H$66,4,FALSE))</f>
        <v/>
      </c>
      <c r="AT19" s="66">
        <f>IF(AT$3&lt;Assumptions!$F$13,0,HLOOKUP(YEAR(AT$3),Assumptions!$D$63:$H$66,4,FALSE))</f>
        <v/>
      </c>
      <c r="AU19" s="66">
        <f>IF(AU$3&lt;Assumptions!$F$13,0,HLOOKUP(YEAR(AU$3),Assumptions!$D$63:$H$66,4,FALSE))</f>
        <v/>
      </c>
      <c r="AV19" s="66">
        <f>IF(AV$3&lt;Assumptions!$F$13,0,HLOOKUP(YEAR(AV$3),Assumptions!$D$63:$H$66,4,FALSE))</f>
        <v/>
      </c>
      <c r="AW19" s="66">
        <f>IF(AW$3&lt;Assumptions!$F$13,0,HLOOKUP(YEAR(AW$3),Assumptions!$D$63:$H$66,4,FALSE))</f>
        <v/>
      </c>
      <c r="AX19" s="66">
        <f>IF(AX$3&lt;Assumptions!$F$13,0,HLOOKUP(YEAR(AX$3),Assumptions!$D$63:$H$66,4,FALSE))</f>
        <v/>
      </c>
      <c r="AY19" s="66">
        <f>IF(AY$3&lt;Assumptions!$F$13,0,HLOOKUP(YEAR(AY$3),Assumptions!$D$63:$H$66,4,FALSE))</f>
        <v/>
      </c>
      <c r="AZ19" s="66">
        <f>IF(AZ$3&lt;Assumptions!$F$13,0,HLOOKUP(YEAR(AZ$3),Assumptions!$D$63:$H$66,4,FALSE))</f>
        <v/>
      </c>
      <c r="BA19" s="66">
        <f>IF(BA$3&lt;Assumptions!$F$13,0,HLOOKUP(YEAR(BA$3),Assumptions!$D$63:$H$66,4,FALSE))</f>
        <v/>
      </c>
      <c r="BB19" s="66">
        <f>IF(BB$3&lt;Assumptions!$F$13,0,HLOOKUP(YEAR(BB$3),Assumptions!$D$63:$H$66,4,FALSE))</f>
        <v/>
      </c>
      <c r="BC19" s="66">
        <f>IF(BC$3&lt;Assumptions!$F$13,0,HLOOKUP(YEAR(BC$3),Assumptions!$D$63:$H$66,4,FALSE))</f>
        <v/>
      </c>
      <c r="BD19" s="66">
        <f>IF(BD$3&lt;Assumptions!$F$13,0,HLOOKUP(YEAR(BD$3),Assumptions!$D$63:$H$66,4,FALSE))</f>
        <v/>
      </c>
      <c r="BE19" s="66">
        <f>IF(BE$3&lt;Assumptions!$F$13,0,HLOOKUP(YEAR(BE$3),Assumptions!$D$63:$H$66,4,FALSE))</f>
        <v/>
      </c>
      <c r="BF19" s="66">
        <f>IF(BF$3&lt;Assumptions!$F$13,0,HLOOKUP(YEAR(BF$3),Assumptions!$D$63:$H$66,4,FALSE))</f>
        <v/>
      </c>
      <c r="BG19" s="66">
        <f>IF(BG$3&lt;Assumptions!$F$13,0,HLOOKUP(YEAR(BG$3),Assumptions!$D$63:$H$66,4,FALSE))</f>
        <v/>
      </c>
      <c r="BH19" s="66">
        <f>IF(BH$3&lt;Assumptions!$F$13,0,HLOOKUP(YEAR(BH$3),Assumptions!$D$63:$H$66,4,FALSE))</f>
        <v/>
      </c>
      <c r="BI19" s="66">
        <f>IF(BI$3&lt;Assumptions!$F$13,0,HLOOKUP(YEAR(BI$3),Assumptions!$D$63:$H$66,4,FALSE))</f>
        <v/>
      </c>
      <c r="BJ19" s="66">
        <f>IF(BJ$3&lt;Assumptions!$F$13,0,HLOOKUP(YEAR(BJ$3),Assumptions!$D$63:$H$66,4,FALSE))</f>
        <v/>
      </c>
      <c r="BK19" s="66">
        <f>IF(BK$3&lt;Assumptions!$F$13,0,HLOOKUP(YEAR(BK$3),Assumptions!$D$63:$H$66,4,FALSE))</f>
        <v/>
      </c>
      <c r="BL19" s="66">
        <f>IF(BL$3&lt;Assumptions!$F$13,0,HLOOKUP(YEAR(BL$3),Assumptions!$D$63:$H$66,4,FALSE))</f>
        <v/>
      </c>
      <c r="BN19" s="67">
        <f>SUM(E19:P19)</f>
        <v/>
      </c>
      <c r="BO19" s="67">
        <f>SUM(Q19:AB19)</f>
        <v/>
      </c>
      <c r="BP19" s="67">
        <f>SUM(AC19:AN19)</f>
        <v/>
      </c>
      <c r="BQ19" s="67">
        <f>SUM(AO19:AZ19)</f>
        <v/>
      </c>
      <c r="BR19" s="67">
        <f>SUM(BA19:BL19)</f>
        <v/>
      </c>
      <c r="BT19" s="30" t="inlineStr">
        <is>
          <t>the planned rate, which can be less than one a month</t>
        </is>
      </c>
    </row>
    <row r="20">
      <c r="B20" s="6" t="inlineStr">
        <is>
          <t>Installer partners on the books</t>
        </is>
      </c>
      <c r="C20" s="17" t="inlineStr">
        <is>
          <t>partners</t>
        </is>
      </c>
      <c r="E20" s="13">
        <f>ROUNDDOWN(Assumptions!$F$74+SUM($E19:E19),0)</f>
        <v/>
      </c>
      <c r="F20" s="13">
        <f>ROUNDDOWN(Assumptions!$F$74+SUM($E19:F19),0)</f>
        <v/>
      </c>
      <c r="G20" s="13">
        <f>ROUNDDOWN(Assumptions!$F$74+SUM($E19:G19),0)</f>
        <v/>
      </c>
      <c r="H20" s="13">
        <f>ROUNDDOWN(Assumptions!$F$74+SUM($E19:H19),0)</f>
        <v/>
      </c>
      <c r="I20" s="13">
        <f>ROUNDDOWN(Assumptions!$F$74+SUM($E19:I19),0)</f>
        <v/>
      </c>
      <c r="J20" s="13">
        <f>ROUNDDOWN(Assumptions!$F$74+SUM($E19:J19),0)</f>
        <v/>
      </c>
      <c r="K20" s="13">
        <f>ROUNDDOWN(Assumptions!$F$74+SUM($E19:K19),0)</f>
        <v/>
      </c>
      <c r="L20" s="13">
        <f>ROUNDDOWN(Assumptions!$F$74+SUM($E19:L19),0)</f>
        <v/>
      </c>
      <c r="M20" s="13">
        <f>ROUNDDOWN(Assumptions!$F$74+SUM($E19:M19),0)</f>
        <v/>
      </c>
      <c r="N20" s="13">
        <f>ROUNDDOWN(Assumptions!$F$74+SUM($E19:N19),0)</f>
        <v/>
      </c>
      <c r="O20" s="13">
        <f>ROUNDDOWN(Assumptions!$F$74+SUM($E19:O19),0)</f>
        <v/>
      </c>
      <c r="P20" s="13">
        <f>ROUNDDOWN(Assumptions!$F$74+SUM($E19:P19),0)</f>
        <v/>
      </c>
      <c r="Q20" s="13">
        <f>ROUNDDOWN(Assumptions!$F$74+SUM($E19:Q19),0)</f>
        <v/>
      </c>
      <c r="R20" s="13">
        <f>ROUNDDOWN(Assumptions!$F$74+SUM($E19:R19),0)</f>
        <v/>
      </c>
      <c r="S20" s="13">
        <f>ROUNDDOWN(Assumptions!$F$74+SUM($E19:S19),0)</f>
        <v/>
      </c>
      <c r="T20" s="13">
        <f>ROUNDDOWN(Assumptions!$F$74+SUM($E19:T19),0)</f>
        <v/>
      </c>
      <c r="U20" s="13">
        <f>ROUNDDOWN(Assumptions!$F$74+SUM($E19:U19),0)</f>
        <v/>
      </c>
      <c r="V20" s="13">
        <f>ROUNDDOWN(Assumptions!$F$74+SUM($E19:V19),0)</f>
        <v/>
      </c>
      <c r="W20" s="13">
        <f>ROUNDDOWN(Assumptions!$F$74+SUM($E19:W19),0)</f>
        <v/>
      </c>
      <c r="X20" s="13">
        <f>ROUNDDOWN(Assumptions!$F$74+SUM($E19:X19),0)</f>
        <v/>
      </c>
      <c r="Y20" s="13">
        <f>ROUNDDOWN(Assumptions!$F$74+SUM($E19:Y19),0)</f>
        <v/>
      </c>
      <c r="Z20" s="13">
        <f>ROUNDDOWN(Assumptions!$F$74+SUM($E19:Z19),0)</f>
        <v/>
      </c>
      <c r="AA20" s="13">
        <f>ROUNDDOWN(Assumptions!$F$74+SUM($E19:AA19),0)</f>
        <v/>
      </c>
      <c r="AB20" s="13">
        <f>ROUNDDOWN(Assumptions!$F$74+SUM($E19:AB19),0)</f>
        <v/>
      </c>
      <c r="AC20" s="13">
        <f>ROUNDDOWN(Assumptions!$F$74+SUM($E19:AC19),0)</f>
        <v/>
      </c>
      <c r="AD20" s="13">
        <f>ROUNDDOWN(Assumptions!$F$74+SUM($E19:AD19),0)</f>
        <v/>
      </c>
      <c r="AE20" s="13">
        <f>ROUNDDOWN(Assumptions!$F$74+SUM($E19:AE19),0)</f>
        <v/>
      </c>
      <c r="AF20" s="13">
        <f>ROUNDDOWN(Assumptions!$F$74+SUM($E19:AF19),0)</f>
        <v/>
      </c>
      <c r="AG20" s="13">
        <f>ROUNDDOWN(Assumptions!$F$74+SUM($E19:AG19),0)</f>
        <v/>
      </c>
      <c r="AH20" s="13">
        <f>ROUNDDOWN(Assumptions!$F$74+SUM($E19:AH19),0)</f>
        <v/>
      </c>
      <c r="AI20" s="13">
        <f>ROUNDDOWN(Assumptions!$F$74+SUM($E19:AI19),0)</f>
        <v/>
      </c>
      <c r="AJ20" s="13">
        <f>ROUNDDOWN(Assumptions!$F$74+SUM($E19:AJ19),0)</f>
        <v/>
      </c>
      <c r="AK20" s="13">
        <f>ROUNDDOWN(Assumptions!$F$74+SUM($E19:AK19),0)</f>
        <v/>
      </c>
      <c r="AL20" s="13">
        <f>ROUNDDOWN(Assumptions!$F$74+SUM($E19:AL19),0)</f>
        <v/>
      </c>
      <c r="AM20" s="13">
        <f>ROUNDDOWN(Assumptions!$F$74+SUM($E19:AM19),0)</f>
        <v/>
      </c>
      <c r="AN20" s="13">
        <f>ROUNDDOWN(Assumptions!$F$74+SUM($E19:AN19),0)</f>
        <v/>
      </c>
      <c r="AO20" s="13">
        <f>ROUNDDOWN(Assumptions!$F$74+SUM($E19:AO19),0)</f>
        <v/>
      </c>
      <c r="AP20" s="13">
        <f>ROUNDDOWN(Assumptions!$F$74+SUM($E19:AP19),0)</f>
        <v/>
      </c>
      <c r="AQ20" s="13">
        <f>ROUNDDOWN(Assumptions!$F$74+SUM($E19:AQ19),0)</f>
        <v/>
      </c>
      <c r="AR20" s="13">
        <f>ROUNDDOWN(Assumptions!$F$74+SUM($E19:AR19),0)</f>
        <v/>
      </c>
      <c r="AS20" s="13">
        <f>ROUNDDOWN(Assumptions!$F$74+SUM($E19:AS19),0)</f>
        <v/>
      </c>
      <c r="AT20" s="13">
        <f>ROUNDDOWN(Assumptions!$F$74+SUM($E19:AT19),0)</f>
        <v/>
      </c>
      <c r="AU20" s="13">
        <f>ROUNDDOWN(Assumptions!$F$74+SUM($E19:AU19),0)</f>
        <v/>
      </c>
      <c r="AV20" s="13">
        <f>ROUNDDOWN(Assumptions!$F$74+SUM($E19:AV19),0)</f>
        <v/>
      </c>
      <c r="AW20" s="13">
        <f>ROUNDDOWN(Assumptions!$F$74+SUM($E19:AW19),0)</f>
        <v/>
      </c>
      <c r="AX20" s="13">
        <f>ROUNDDOWN(Assumptions!$F$74+SUM($E19:AX19),0)</f>
        <v/>
      </c>
      <c r="AY20" s="13">
        <f>ROUNDDOWN(Assumptions!$F$74+SUM($E19:AY19),0)</f>
        <v/>
      </c>
      <c r="AZ20" s="13">
        <f>ROUNDDOWN(Assumptions!$F$74+SUM($E19:AZ19),0)</f>
        <v/>
      </c>
      <c r="BA20" s="13">
        <f>ROUNDDOWN(Assumptions!$F$74+SUM($E19:BA19),0)</f>
        <v/>
      </c>
      <c r="BB20" s="13">
        <f>ROUNDDOWN(Assumptions!$F$74+SUM($E19:BB19),0)</f>
        <v/>
      </c>
      <c r="BC20" s="13">
        <f>ROUNDDOWN(Assumptions!$F$74+SUM($E19:BC19),0)</f>
        <v/>
      </c>
      <c r="BD20" s="13">
        <f>ROUNDDOWN(Assumptions!$F$74+SUM($E19:BD19),0)</f>
        <v/>
      </c>
      <c r="BE20" s="13">
        <f>ROUNDDOWN(Assumptions!$F$74+SUM($E19:BE19),0)</f>
        <v/>
      </c>
      <c r="BF20" s="13">
        <f>ROUNDDOWN(Assumptions!$F$74+SUM($E19:BF19),0)</f>
        <v/>
      </c>
      <c r="BG20" s="13">
        <f>ROUNDDOWN(Assumptions!$F$74+SUM($E19:BG19),0)</f>
        <v/>
      </c>
      <c r="BH20" s="13">
        <f>ROUNDDOWN(Assumptions!$F$74+SUM($E19:BH19),0)</f>
        <v/>
      </c>
      <c r="BI20" s="13">
        <f>ROUNDDOWN(Assumptions!$F$74+SUM($E19:BI19),0)</f>
        <v/>
      </c>
      <c r="BJ20" s="13">
        <f>ROUNDDOWN(Assumptions!$F$74+SUM($E19:BJ19),0)</f>
        <v/>
      </c>
      <c r="BK20" s="13">
        <f>ROUNDDOWN(Assumptions!$F$74+SUM($E19:BK19),0)</f>
        <v/>
      </c>
      <c r="BL20" s="13">
        <f>ROUNDDOWN(Assumptions!$F$74+SUM($E19:BL19),0)</f>
        <v/>
      </c>
      <c r="BN20" s="68">
        <f>P20</f>
        <v/>
      </c>
      <c r="BO20" s="68">
        <f>AB20</f>
        <v/>
      </c>
      <c r="BP20" s="68">
        <f>AN20</f>
        <v/>
      </c>
      <c r="BQ20" s="68">
        <f>AZ20</f>
        <v/>
      </c>
      <c r="BR20" s="68">
        <f>BL20</f>
        <v/>
      </c>
      <c r="BT20" s="30" t="inlineStr">
        <is>
          <t>whole partners only, signed as the running total passes each whole number</t>
        </is>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17"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2026-09-07T12:01:42Z</dcterms:created>
  <dcterms:modified xsi:type="dcterms:W3CDTF">2026-09-07T12:01:42Z</dcterms:modified>
</cp:coreProperties>
</file>