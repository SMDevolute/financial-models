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66"/>
  <sheetViews>
    <sheetView showGridLines="0" zoomScale="110" workbookViewId="0">
      <selection activeCell="A1" sqref="A1"/>
    </sheetView>
  </sheetViews>
  <sheetFormatPr baseColWidth="8" defaultRowHeight="15"/>
  <cols>
    <col width="3" customWidth="1" min="1" max="1"/>
    <col width="44" customWidth="1" min="2" max="2"/>
    <col width="14" customWidth="1" min="3" max="3"/>
    <col width="14"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cost per lead x lead-to-qualified x qualified-to-won, plus orders the installer partners bring in themselves.</t>
        </is>
      </c>
    </row>
    <row r="14">
      <c r="B14" s="6" t="inlineStr">
        <is>
          <t>2. Selling capacity: own reps x quota for the direct share of sales, installer partners x units each for the rest. Direct share falls year by year.</t>
        </is>
      </c>
    </row>
    <row r="15">
      <c r="B15" s="6" t="inlineStr">
        <is>
          <t>3. Build capacity: the assembly partner's contracted volume, plus 1,000 a month per in-house line once it produces (aggressive case only). Own lines are filled first and save the partner's assembly cost.</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volume tier reached, outdoor unit, shipping, upsell cost, installation, service parts, 10% commission on channel sales.</t>
        </is>
      </c>
    </row>
    <row r="20">
      <c r="B20" s="6" t="inlineStr">
        <is>
          <t>Headcount: each team is sized by what creates its work (units, installed base, partners signed, marketing spend, production lines).</t>
        </is>
      </c>
    </row>
    <row r="21">
      <c r="B21" s="6" t="inlineStr">
        <is>
          <t>R&amp;D hires and the back office are typed per year. Field service engineers are on payroll at one per 750 units on a service contract.</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Lowest cash before the raise</t>
        </is>
      </c>
      <c r="C34" s="10">
        <f>Dashboard!D39</f>
        <v/>
      </c>
    </row>
    <row r="36">
      <c r="B36" s="1" t="inlineStr">
        <is>
          <t>BOTH CASES SIDE BY SIDE  (typed on 7 September 2026; the table above is live)</t>
        </is>
      </c>
      <c r="C36" s="2" t="n"/>
      <c r="D36" s="2" t="n"/>
      <c r="E36" s="2" t="n"/>
      <c r="F36" s="2" t="n"/>
      <c r="G36" s="2" t="n"/>
    </row>
    <row r="37">
      <c r="B37" s="6" t="inlineStr">
        <is>
          <t>Base, EUR3m: 310 units in 2027, 1,200 in 2028, 3,900 in 2029, 7,200 in 2030 (EUR124m revenue). EBITDA positive from 2028 (EUR1m, then 17m, then 34m). Cash low EUR0.9m in December 2027, about four months of cost.</t>
        </is>
      </c>
    </row>
    <row r="38">
      <c r="B38" s="6" t="inlineStr">
        <is>
          <t>Aggressive, EUR10m: 2,800 / 6,900 / 11,700 / 18,800 units, EUR321m revenue in 2030, EBITDA positive from 2027 (EUR5m, then 25m, 49m, 85m), 289 people. EUR9m of capex in Nov 2026 and Jan 2027 for two automated lines; cash low EUR1.0m in January 2027, 90% of the raise used.</t>
        </is>
      </c>
    </row>
    <row r="39">
      <c r="B39" s="6" t="inlineStr">
        <is>
          <t>Both depend on the supplier pricing the BOM on two-year volume. In base, 2028 plus 2029 volume is 5,100 units, just over the 5,000 tier; 100 units fewer and 2028 costs EUR2,900 more per unit.</t>
        </is>
      </c>
    </row>
    <row r="40">
      <c r="B40" s="6" t="inlineStr">
        <is>
          <t>The BOM tier is the whole story: the year the two-year volume crosses 5,000 and then 10,000, gross margin steps from under 10% to 25% and then 37%.</t>
        </is>
      </c>
    </row>
    <row r="42">
      <c r="B42" s="1" t="inlineStr">
        <is>
          <t>ASSUMPTIONS TO BE CAREFUL WITH</t>
        </is>
      </c>
      <c r="C42" s="2" t="n"/>
      <c r="D42" s="2" t="n"/>
      <c r="E42" s="2" t="n"/>
      <c r="F42" s="2" t="n"/>
      <c r="G42" s="2" t="n"/>
    </row>
    <row r="43">
      <c r="B43" s="6" t="inlineStr">
        <is>
          <t>1. BOM cost-down from EUR9,984 to EUR4,998 (50%). Learning-curve evidence supports about 30%. No supplier quote yet. Everything rests on this.</t>
        </is>
      </c>
    </row>
    <row r="44">
      <c r="B44" s="6" t="inlineStr">
        <is>
          <t>2. The BOM is priced on two-year volume. That needs a volume commitment to the supplier; if the supplier only prices on the current year, both cases lose a year of margin.</t>
        </is>
      </c>
    </row>
    <row r="45">
      <c r="B45" s="6" t="inlineStr">
        <is>
          <t>3. Until two-year volume passes 5,000, a turbineketel sells for less than it costs to build. Gross margin is under 10% until then.</t>
        </is>
      </c>
    </row>
    <row r="46">
      <c r="B46" s="6" t="inlineStr">
        <is>
          <t>4. Service contract attach rate 88%. Market data says 76% of new buyers take a contract.</t>
        </is>
      </c>
    </row>
    <row r="47">
      <c r="B47" s="6" t="inlineStr">
        <is>
          <t>5. Sales rep quota of 20 units a month. HVAC and solar benchmarks are 6 to 10. Matters while direct is the main channel (2027-28).</t>
        </is>
      </c>
    </row>
    <row r="48">
      <c r="B48" s="6" t="inlineStr">
        <is>
          <t>6. 20% lead-to-order at EUR600 of marketing per customer. The client's current number, above most published benchmarks.</t>
        </is>
      </c>
    </row>
    <row r="49">
      <c r="B49" s="6" t="inlineStr">
        <is>
          <t>7. No warranty reserve beyond the 3% inside the BOM. Peers carry 1.5 to 3.5% of revenue.</t>
        </is>
      </c>
    </row>
    <row r="50">
      <c r="B50" s="6" t="inlineStr">
        <is>
          <t>8. Direct share falling to 30% by 2030 needs about 145 active installer partners in 2029, all signed, trained and selling.</t>
        </is>
      </c>
    </row>
    <row r="52">
      <c r="B52" s="1" t="inlineStr">
        <is>
          <t>WHERE THE PLAN IS VULNERABLE</t>
        </is>
      </c>
      <c r="C52" s="2" t="n"/>
      <c r="D52" s="2" t="n"/>
      <c r="E52" s="2" t="n"/>
      <c r="F52" s="2" t="n"/>
      <c r="G52" s="2" t="n"/>
    </row>
    <row r="53">
      <c r="B53" s="6" t="inlineStr">
        <is>
          <t>Base on EUR3m holds about EUR0.9m at its low point (December 2027), four months of cost. It works, but 2028 profit depends on two-year volume clearing 5,000 units by a margin of about 100.</t>
        </is>
      </c>
    </row>
    <row r="54">
      <c r="B54" s="6" t="inlineStr">
        <is>
          <t>Both cases lose money per unit until the second BOM tier. Reach it a year late and base runs out of cash; aggressive loses about EUR15m of EBITDA.</t>
        </is>
      </c>
    </row>
    <row r="55">
      <c r="B55" s="6" t="inlineStr">
        <is>
          <t>Aggressive spends EUR9m on two lines before selling a unit, hires about 75 people in 2027 and signs 36 installers that year. Cash cover at the low point is six weeks. That risk is not in the numbers.</t>
        </is>
      </c>
    </row>
    <row r="56">
      <c r="B56" s="6" t="inlineStr">
        <is>
          <t>The in-house saving (EUR258 a unit) is derived from our own line cost plus a 20% partner margin, because nobody has told us what the assembly partner actually charges. If the BOM tiers do not include assembly, the saving is nil.</t>
        </is>
      </c>
    </row>
    <row r="57">
      <c r="B57" s="6" t="inlineStr">
        <is>
          <t>Prices are the client's and unchanged. A forced price cut makes the tier-1 margin worse.</t>
        </is>
      </c>
    </row>
    <row r="58">
      <c r="B58" s="6" t="inlineStr">
        <is>
          <t>Turbineketel service prices (EUR60 and EUR90 a year) are below the Dutch market. Upside if raised.</t>
        </is>
      </c>
    </row>
    <row r="60">
      <c r="B60" s="1" t="inlineStr">
        <is>
          <t>STILL NEEDED FROM THE CLIENT</t>
        </is>
      </c>
      <c r="C60" s="2" t="n"/>
      <c r="D60" s="2" t="n"/>
      <c r="E60" s="2" t="n"/>
      <c r="F60" s="2" t="n"/>
      <c r="G60" s="2" t="n"/>
    </row>
    <row r="61">
      <c r="B61" s="6" t="inlineStr">
        <is>
          <t>Supplier quotes behind the three BOM tiers, and whether the supplier will price on a two-year volume commitment.</t>
        </is>
      </c>
    </row>
    <row r="62">
      <c r="B62" s="6" t="inlineStr">
        <is>
          <t>Confirmation of the installer deal: 10% of the unit price on top of the installation fee.</t>
        </is>
      </c>
    </row>
    <row r="63">
      <c r="B63" s="6" t="inlineStr">
        <is>
          <t>What the assembly partner charges per unit and whether it is inside the BOM tiers, so the in-house saving can be a real number.</t>
        </is>
      </c>
    </row>
    <row r="64">
      <c r="B64" s="6" t="inlineStr">
        <is>
          <t>A view on the direct-to-installer shift (80% direct in 2027, 50% in 2028, 30% by 2030) and on the size of the base raise.</t>
        </is>
      </c>
    </row>
    <row r="65">
      <c r="B65" s="6" t="inlineStr"/>
    </row>
    <row r="66">
      <c r="B66" s="3" t="inlineStr">
        <is>
          <t>Detail: How to read me for the colour code and switches, Dashboard for the year view, Assumptions for every input.</t>
        </is>
      </c>
    </row>
  </sheetData>
  <conditionalFormatting sqref="C32:C34">
    <cfRule type="cellIs" priority="1" operator="lessThan" dxfId="0">
      <formula>0</formula>
    </cfRule>
  </conditionalFormatting>
  <conditionalFormatting sqref="C26:G31">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5" t="inlineStr">
        <is>
          <t>TARNOC B.V.</t>
        </is>
      </c>
      <c r="C6" s="2" t="n"/>
      <c r="D6" s="2" t="n"/>
      <c r="E6" s="2" t="n"/>
      <c r="F6" s="2" t="n"/>
      <c r="G6" s="2" t="n"/>
    </row>
    <row r="7">
      <c r="A7" s="2" t="n"/>
      <c r="B7" s="2" t="n"/>
      <c r="C7" s="2" t="n"/>
      <c r="D7" s="2" t="n"/>
      <c r="E7" s="2" t="n"/>
      <c r="F7" s="2" t="n"/>
      <c r="G7" s="2" t="n"/>
    </row>
    <row r="8">
      <c r="A8" s="2" t="n"/>
      <c r="B8" s="16" t="inlineStr">
        <is>
          <t>Financial Model</t>
        </is>
      </c>
      <c r="C8" s="2" t="n"/>
      <c r="D8" s="2" t="n"/>
      <c r="E8" s="2" t="n"/>
      <c r="F8" s="2" t="n"/>
      <c r="G8" s="2" t="n"/>
    </row>
    <row r="9">
      <c r="A9" s="2" t="n"/>
      <c r="B9" s="17"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17" t="inlineStr">
        <is>
          <t>Currency</t>
        </is>
      </c>
      <c r="C12" s="18" t="inlineStr">
        <is>
          <t>EUR, ex VAT unless stated</t>
        </is>
      </c>
      <c r="D12" s="2" t="n"/>
      <c r="E12" s="2" t="n"/>
      <c r="F12" s="2" t="n"/>
      <c r="G12" s="2" t="n"/>
    </row>
    <row r="13">
      <c r="A13" s="2" t="n"/>
      <c r="B13" s="17" t="inlineStr">
        <is>
          <t>Period</t>
        </is>
      </c>
      <c r="C13" s="18" t="inlineStr">
        <is>
          <t>January 2026 to December 2030, monthly</t>
        </is>
      </c>
      <c r="D13" s="2" t="n"/>
      <c r="E13" s="2" t="n"/>
      <c r="F13" s="2" t="n"/>
      <c r="G13" s="2" t="n"/>
    </row>
    <row r="14">
      <c r="A14" s="2" t="n"/>
      <c r="B14" s="17" t="inlineStr">
        <is>
          <t>Fiscal year</t>
        </is>
      </c>
      <c r="C14" s="18" t="inlineStr">
        <is>
          <t>Calendar</t>
        </is>
      </c>
      <c r="D14" s="2" t="n"/>
      <c r="E14" s="2" t="n"/>
      <c r="F14" s="2" t="n"/>
      <c r="G14" s="2" t="n"/>
    </row>
    <row r="15">
      <c r="A15" s="2" t="n"/>
      <c r="B15" s="17" t="inlineStr">
        <is>
          <t>Units</t>
        </is>
      </c>
      <c r="C15" s="18"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17"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19"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0"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1" t="inlineStr">
        <is>
          <t>Sample</t>
        </is>
      </c>
      <c r="C6" s="6" t="inlineStr">
        <is>
          <t>Subtotal or total row.</t>
        </is>
      </c>
    </row>
    <row r="7">
      <c r="B7" s="1" t="inlineStr">
        <is>
          <t>Sample</t>
        </is>
      </c>
      <c r="C7" s="6" t="inlineStr">
        <is>
          <t>Section header.</t>
        </is>
      </c>
    </row>
    <row r="8">
      <c r="B8" s="22" t="inlineStr">
        <is>
          <t>Sample</t>
        </is>
      </c>
      <c r="C8" s="6" t="inlineStr">
        <is>
          <t>Margin or ratio row.</t>
        </is>
      </c>
    </row>
    <row r="9">
      <c r="B9" s="23"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4" t="inlineStr">
        <is>
          <t>Installation is a pass-through. It is charged to the customer at exactly what the installation partner is paid, so it adds revenue and an identical cost and no margin.</t>
        </is>
      </c>
    </row>
    <row r="32">
      <c r="C32" s="24" t="inlineStr">
        <is>
          <t>Field service engineers are salaried staff on the Personnel tab. The service contract cost per unit in COGS covers parts, consumables and travel, not their salaries.</t>
        </is>
      </c>
    </row>
    <row r="33">
      <c r="C33" s="24"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4" t="inlineStr">
        <is>
          <t>A production line is paid for twelve months before it can build anything. That lag is why the timing of the raise matters as much as the size.</t>
        </is>
      </c>
    </row>
    <row r="35">
      <c r="C35" s="24"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6"/>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25" t="inlineStr">
        <is>
          <t>Case   1 = Base (EUR3m raise),  2 = Aggressive (EUR10m raise)</t>
        </is>
      </c>
      <c r="C5" s="26" t="inlineStr">
        <is>
          <t>switch</t>
        </is>
      </c>
      <c r="E5" s="27" t="n">
        <v>1</v>
      </c>
      <c r="J5" s="28" t="inlineStr">
        <is>
          <t>the master switch. Every Live column on this tab reads it</t>
        </is>
      </c>
    </row>
    <row r="6">
      <c r="B6" s="1" t="inlineStr">
        <is>
          <t>GENERAL</t>
        </is>
      </c>
      <c r="C6" s="2" t="n"/>
      <c r="D6" s="2" t="n"/>
      <c r="E6" s="2" t="n"/>
      <c r="F6" s="2" t="n"/>
      <c r="G6" s="2" t="n"/>
      <c r="H6" s="2" t="n"/>
      <c r="I6" s="2" t="n"/>
      <c r="J6" s="2" t="n"/>
    </row>
    <row r="7">
      <c r="B7" s="29" t="n"/>
      <c r="C7" s="29" t="n"/>
      <c r="D7" s="30" t="inlineStr">
        <is>
          <t>Base</t>
        </is>
      </c>
      <c r="E7" s="30" t="inlineStr">
        <is>
          <t>Aggressive</t>
        </is>
      </c>
      <c r="F7" s="30" t="inlineStr">
        <is>
          <t>Live</t>
        </is>
      </c>
      <c r="G7" s="29" t="n"/>
      <c r="H7" s="29" t="n"/>
      <c r="I7" s="29" t="n"/>
      <c r="J7" s="29" t="n"/>
    </row>
    <row r="8">
      <c r="B8" s="6" t="inlineStr">
        <is>
          <t>Opening cash at Jan-2026</t>
        </is>
      </c>
      <c r="C8" s="26" t="inlineStr">
        <is>
          <t>EUR</t>
        </is>
      </c>
      <c r="D8" s="31" t="n">
        <v>853120</v>
      </c>
      <c r="E8" s="31" t="n">
        <v>853120</v>
      </c>
      <c r="F8" s="32">
        <f>IF(Assumptions!$E$5=2,E8,D8)</f>
        <v/>
      </c>
      <c r="J8" s="28" t="inlineStr">
        <is>
          <t>the actual balance carried into January 2026</t>
        </is>
      </c>
    </row>
    <row r="9">
      <c r="B9" s="6" t="inlineStr">
        <is>
          <t>Base year for salary and cost inflation</t>
        </is>
      </c>
      <c r="C9" s="26" t="inlineStr">
        <is>
          <t>year</t>
        </is>
      </c>
      <c r="D9" s="33" t="n">
        <v>2026</v>
      </c>
      <c r="E9" s="33" t="n">
        <v>2026</v>
      </c>
      <c r="F9" s="34">
        <f>IF(Assumptions!$E$5=2,E9,D9)</f>
        <v/>
      </c>
      <c r="J9" s="28" t="inlineStr">
        <is>
          <t>costs are quoted in this year's money and inflated from here</t>
        </is>
      </c>
    </row>
    <row r="10">
      <c r="B10" s="6" t="inlineStr">
        <is>
          <t>Annual salary increase</t>
        </is>
      </c>
      <c r="C10" s="26" t="inlineStr">
        <is>
          <t>%</t>
        </is>
      </c>
      <c r="D10" s="35" t="n">
        <v>0.05</v>
      </c>
      <c r="E10" s="35" t="n">
        <v>0.05</v>
      </c>
      <c r="F10" s="36">
        <f>IF(Assumptions!$E$5=2,E10,D10)</f>
        <v/>
      </c>
    </row>
    <row r="11">
      <c r="B11" s="6" t="inlineStr">
        <is>
          <t>Corporate income tax rate</t>
        </is>
      </c>
      <c r="C11" s="26" t="inlineStr">
        <is>
          <t>%</t>
        </is>
      </c>
      <c r="D11" s="35" t="n">
        <v>0.258</v>
      </c>
      <c r="E11" s="35" t="n">
        <v>0.258</v>
      </c>
      <c r="F11" s="36">
        <f>IF(Assumptions!$E$5=2,E11,D11)</f>
        <v/>
      </c>
      <c r="J11" s="28" t="inlineStr">
        <is>
          <t>losses are carried forward until profits absorb them</t>
        </is>
      </c>
    </row>
    <row r="12">
      <c r="B12" s="6" t="inlineStr">
        <is>
          <t>Interest on the convertible loan</t>
        </is>
      </c>
      <c r="C12" s="26" t="inlineStr">
        <is>
          <t>%</t>
        </is>
      </c>
      <c r="D12" s="35" t="n">
        <v>0.05</v>
      </c>
      <c r="E12" s="35" t="n">
        <v>0.05</v>
      </c>
      <c r="F12" s="36">
        <f>IF(Assumptions!$E$5=2,E12,D12)</f>
        <v/>
      </c>
    </row>
    <row r="13">
      <c r="B13" s="6" t="inlineStr">
        <is>
          <t>First month we can sell</t>
        </is>
      </c>
      <c r="C13" s="26" t="inlineStr">
        <is>
          <t>date</t>
        </is>
      </c>
      <c r="D13" s="37" t="n">
        <v>46388</v>
      </c>
      <c r="E13" s="37" t="n">
        <v>46388</v>
      </c>
      <c r="F13" s="38">
        <f>IF(Assumptions!$E$5=2,E13,D13)</f>
        <v/>
      </c>
      <c r="J13" s="28" t="inlineStr">
        <is>
          <t>nil units before this. Product, certification and supply have to be ready first</t>
        </is>
      </c>
    </row>
    <row r="14">
      <c r="B14" s="6" t="inlineStr">
        <is>
          <t>Committed 2026 plan holds until</t>
        </is>
      </c>
      <c r="C14" s="26" t="inlineStr">
        <is>
          <t>date</t>
        </is>
      </c>
      <c r="D14" s="37" t="n">
        <v>46296</v>
      </c>
      <c r="E14" s="37" t="n">
        <v>46296</v>
      </c>
      <c r="F14" s="38">
        <f>IF(Assumptions!$E$5=2,E14,D14)</f>
        <v/>
      </c>
      <c r="J14" s="28" t="inlineStr">
        <is>
          <t>operating costs to this month are taken from the existing plan, not from the drivers</t>
        </is>
      </c>
    </row>
    <row r="15">
      <c r="B15" s="6" t="inlineStr">
        <is>
          <t>Subsidy received</t>
        </is>
      </c>
      <c r="C15" s="26" t="inlineStr">
        <is>
          <t>EUR</t>
        </is>
      </c>
      <c r="D15" s="31" t="n">
        <v>106782</v>
      </c>
      <c r="E15" s="31" t="n">
        <v>106782</v>
      </c>
      <c r="F15" s="32">
        <f>IF(Assumptions!$E$5=2,E15,D15)</f>
        <v/>
      </c>
    </row>
    <row r="16">
      <c r="B16" s="6" t="inlineStr">
        <is>
          <t>Subsidy received in</t>
        </is>
      </c>
      <c r="C16" s="26" t="inlineStr">
        <is>
          <t>date</t>
        </is>
      </c>
      <c r="D16" s="37" t="n">
        <v>46235</v>
      </c>
      <c r="E16" s="37" t="n">
        <v>46235</v>
      </c>
      <c r="F16" s="38">
        <f>IF(Assumptions!$E$5=2,E16,D16)</f>
        <v/>
      </c>
    </row>
    <row r="17">
      <c r="B17" s="1" t="inlineStr">
        <is>
          <t>WORKING CAPITAL</t>
        </is>
      </c>
      <c r="C17" s="2" t="n"/>
      <c r="D17" s="2" t="n"/>
      <c r="E17" s="2" t="n"/>
      <c r="F17" s="2" t="n"/>
      <c r="G17" s="2" t="n"/>
      <c r="H17" s="2" t="n"/>
      <c r="I17" s="2" t="n"/>
      <c r="J17" s="2" t="n"/>
    </row>
    <row r="18">
      <c r="B18" s="6" t="inlineStr">
        <is>
          <t>Days sales outstanding</t>
        </is>
      </c>
      <c r="C18" s="26" t="inlineStr">
        <is>
          <t>days</t>
        </is>
      </c>
      <c r="D18" s="39" t="n">
        <v>20</v>
      </c>
      <c r="E18" s="39" t="n">
        <v>20</v>
      </c>
      <c r="F18" s="40">
        <f>IF(Assumptions!$E$5=2,E18,D18)</f>
        <v/>
      </c>
    </row>
    <row r="19">
      <c r="B19" s="6" t="inlineStr">
        <is>
          <t>Days payable outstanding</t>
        </is>
      </c>
      <c r="C19" s="26" t="inlineStr">
        <is>
          <t>days</t>
        </is>
      </c>
      <c r="D19" s="39" t="n">
        <v>45</v>
      </c>
      <c r="E19" s="39" t="n">
        <v>45</v>
      </c>
      <c r="F19" s="40">
        <f>IF(Assumptions!$E$5=2,E19,D19)</f>
        <v/>
      </c>
    </row>
    <row r="20">
      <c r="B20" s="6" t="inlineStr">
        <is>
          <t>Days inventory outstanding</t>
        </is>
      </c>
      <c r="C20" s="26" t="inlineStr">
        <is>
          <t>days</t>
        </is>
      </c>
      <c r="D20" s="39" t="n">
        <v>0</v>
      </c>
      <c r="E20" s="39" t="n">
        <v>0</v>
      </c>
      <c r="F20" s="40">
        <f>IF(Assumptions!$E$5=2,E20,D20)</f>
        <v/>
      </c>
      <c r="J20" s="28"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6" t="inlineStr">
        <is>
          <t>EUR/unit</t>
        </is>
      </c>
      <c r="D22" s="31" t="n">
        <v>8525.620000000001</v>
      </c>
      <c r="E22" s="31" t="n">
        <v>8525.620000000001</v>
      </c>
      <c r="F22" s="32">
        <f>IF(Assumptions!$E$5=2,E22,D22)</f>
        <v/>
      </c>
    </row>
    <row r="23">
      <c r="B23" s="6" t="inlineStr">
        <is>
          <t>Outdoor unit, Combi+ only</t>
        </is>
      </c>
      <c r="C23" s="26" t="inlineStr">
        <is>
          <t>EUR/unit</t>
        </is>
      </c>
      <c r="D23" s="31" t="n">
        <v>5309.92</v>
      </c>
      <c r="E23" s="31" t="n">
        <v>5309.92</v>
      </c>
      <c r="F23" s="32">
        <f>IF(Assumptions!$E$5=2,E23,D23)</f>
        <v/>
      </c>
    </row>
    <row r="24">
      <c r="B24" s="6" t="inlineStr">
        <is>
          <t>Combi+ price (ketel plus outdoor unit)</t>
        </is>
      </c>
      <c r="C24" s="26" t="inlineStr">
        <is>
          <t>EUR/unit</t>
        </is>
      </c>
      <c r="F24" s="32">
        <f>Assumptions!$F$22+Assumptions!$F$23</f>
        <v/>
      </c>
    </row>
    <row r="25">
      <c r="B25" s="6" t="inlineStr">
        <is>
          <t>Installation, TTK</t>
        </is>
      </c>
      <c r="C25" s="26" t="inlineStr">
        <is>
          <t>EUR/unit</t>
        </is>
      </c>
      <c r="D25" s="31" t="n">
        <v>2800</v>
      </c>
      <c r="E25" s="31" t="n">
        <v>2800</v>
      </c>
      <c r="F25" s="32">
        <f>IF(Assumptions!$E$5=2,E25,D25)</f>
        <v/>
      </c>
      <c r="J25" s="28" t="inlineStr">
        <is>
          <t>pass-through: the customer is charged what the installer is paid</t>
        </is>
      </c>
    </row>
    <row r="26">
      <c r="B26" s="6" t="inlineStr">
        <is>
          <t>Installation, Combi+</t>
        </is>
      </c>
      <c r="C26" s="26" t="inlineStr">
        <is>
          <t>EUR/unit</t>
        </is>
      </c>
      <c r="D26" s="31" t="n">
        <v>3800</v>
      </c>
      <c r="E26" s="31" t="n">
        <v>3800</v>
      </c>
      <c r="F26" s="32">
        <f>IF(Assumptions!$E$5=2,E26,D26)</f>
        <v/>
      </c>
      <c r="J26" s="28" t="inlineStr">
        <is>
          <t>pass-through, so it adds revenue and an identical cost</t>
        </is>
      </c>
    </row>
    <row r="27">
      <c r="B27" s="6" t="inlineStr">
        <is>
          <t>TTK share of units</t>
        </is>
      </c>
      <c r="C27" s="26" t="inlineStr">
        <is>
          <t>%</t>
        </is>
      </c>
      <c r="D27" s="35" t="n">
        <v>0.2</v>
      </c>
      <c r="E27" s="35" t="n">
        <v>0.2</v>
      </c>
      <c r="F27" s="36">
        <f>IF(Assumptions!$E$5=2,E27,D27)</f>
        <v/>
      </c>
    </row>
    <row r="28">
      <c r="B28" s="6" t="inlineStr">
        <is>
          <t>Combi+ share of units</t>
        </is>
      </c>
      <c r="C28" s="26" t="inlineStr">
        <is>
          <t>%</t>
        </is>
      </c>
      <c r="F28" s="36">
        <f>1-Assumptions!$F$27</f>
        <v/>
      </c>
    </row>
    <row r="29">
      <c r="B29" s="1" t="inlineStr">
        <is>
          <t>UPSELL BASKET  (attached to every unit sold)</t>
        </is>
      </c>
      <c r="C29" s="2" t="n"/>
      <c r="D29" s="2" t="n"/>
      <c r="E29" s="2" t="n"/>
      <c r="F29" s="2" t="n"/>
      <c r="G29" s="2" t="n"/>
      <c r="H29" s="2" t="n"/>
      <c r="I29" s="2" t="n"/>
      <c r="J29" s="2" t="n"/>
    </row>
    <row r="30">
      <c r="B30" s="29" t="n"/>
      <c r="C30" s="29" t="n"/>
      <c r="D30" s="30" t="inlineStr">
        <is>
          <t>Attach %</t>
        </is>
      </c>
      <c r="E30" s="30" t="inlineStr">
        <is>
          <t>Price</t>
        </is>
      </c>
      <c r="F30" s="30" t="inlineStr">
        <is>
          <t>Cost</t>
        </is>
      </c>
      <c r="G30" s="29" t="n"/>
      <c r="H30" s="29" t="n"/>
      <c r="I30" s="29" t="n"/>
      <c r="J30" s="29" t="n"/>
    </row>
    <row r="31">
      <c r="B31" s="6" t="inlineStr">
        <is>
          <t xml:space="preserve">    Boiler variant 50</t>
        </is>
      </c>
      <c r="D31" s="35" t="n">
        <v>0.49</v>
      </c>
      <c r="E31" s="31" t="n">
        <v>165.29</v>
      </c>
      <c r="F31" s="31" t="n">
        <v>80</v>
      </c>
    </row>
    <row r="32">
      <c r="B32" s="6" t="inlineStr">
        <is>
          <t xml:space="preserve">    Boiler variant 100</t>
        </is>
      </c>
      <c r="D32" s="35" t="n">
        <v>0.19</v>
      </c>
      <c r="E32" s="31" t="n">
        <v>330.58</v>
      </c>
      <c r="F32" s="31" t="n">
        <v>150</v>
      </c>
    </row>
    <row r="33">
      <c r="B33" s="6" t="inlineStr">
        <is>
          <t xml:space="preserve">    Sound reduction</t>
        </is>
      </c>
      <c r="D33" s="35" t="n">
        <v>0.79</v>
      </c>
      <c r="E33" s="31" t="n">
        <v>454.55</v>
      </c>
      <c r="F33" s="31" t="n">
        <v>190</v>
      </c>
    </row>
    <row r="34">
      <c r="B34" s="6" t="inlineStr">
        <is>
          <t>Upsell revenue per unit sold</t>
        </is>
      </c>
      <c r="C34" s="26" t="inlineStr">
        <is>
          <t>EUR/unit</t>
        </is>
      </c>
      <c r="F34" s="32">
        <f>SUMPRODUCT($D$31:$D$33,$E$31:$E$33)</f>
        <v/>
      </c>
    </row>
    <row r="35">
      <c r="B35" s="6" t="inlineStr">
        <is>
          <t>Upsell cost per unit sold</t>
        </is>
      </c>
      <c r="C35" s="26" t="inlineStr">
        <is>
          <t>EUR/unit</t>
        </is>
      </c>
      <c r="F35" s="32">
        <f>SUMPRODUCT($D$31:$D$33,$F$31:$F$33)</f>
        <v/>
      </c>
    </row>
    <row r="36">
      <c r="B36" s="1" t="inlineStr">
        <is>
          <t>SERVICE CONTRACTS  (annual, charged on the installed base)</t>
        </is>
      </c>
      <c r="C36" s="2" t="n"/>
      <c r="D36" s="2" t="n"/>
      <c r="E36" s="2" t="n"/>
      <c r="F36" s="2" t="n"/>
      <c r="G36" s="2" t="n"/>
      <c r="H36" s="2" t="n"/>
      <c r="I36" s="2" t="n"/>
      <c r="J36" s="2" t="n"/>
    </row>
    <row r="37">
      <c r="B37" s="29" t="n"/>
      <c r="C37" s="29" t="n"/>
      <c r="D37" s="30" t="inlineStr">
        <is>
          <t>Attach %</t>
        </is>
      </c>
      <c r="E37" s="30" t="inlineStr">
        <is>
          <t>Price/yr</t>
        </is>
      </c>
      <c r="F37" s="30" t="inlineStr">
        <is>
          <t>Cost/yr</t>
        </is>
      </c>
      <c r="G37" s="29" t="n"/>
      <c r="H37" s="29" t="n"/>
      <c r="I37" s="29" t="n"/>
      <c r="J37" s="29" t="n"/>
    </row>
    <row r="38">
      <c r="B38" s="6" t="inlineStr">
        <is>
          <t xml:space="preserve">    TTK, basic</t>
        </is>
      </c>
      <c r="D38" s="35" t="n">
        <v>0.34</v>
      </c>
      <c r="E38" s="31" t="n">
        <v>60</v>
      </c>
      <c r="F38" s="31" t="n">
        <v>30</v>
      </c>
    </row>
    <row r="39">
      <c r="B39" s="6" t="inlineStr">
        <is>
          <t xml:space="preserve">    TTK, premium</t>
        </is>
      </c>
      <c r="D39" s="35" t="n">
        <v>0.54</v>
      </c>
      <c r="E39" s="31" t="n">
        <v>90</v>
      </c>
      <c r="F39" s="31" t="n">
        <v>40</v>
      </c>
    </row>
    <row r="40">
      <c r="B40" s="6" t="inlineStr">
        <is>
          <t xml:space="preserve">    Combi+, basic</t>
        </is>
      </c>
      <c r="D40" s="35" t="n">
        <v>0.34</v>
      </c>
      <c r="E40" s="31" t="n">
        <v>150</v>
      </c>
      <c r="F40" s="31" t="n">
        <v>75</v>
      </c>
    </row>
    <row r="41">
      <c r="B41" s="6" t="inlineStr">
        <is>
          <t xml:space="preserve">    Combi+, premium</t>
        </is>
      </c>
      <c r="D41" s="35" t="n">
        <v>0.54</v>
      </c>
      <c r="E41" s="31" t="n">
        <v>200</v>
      </c>
      <c r="F41" s="31" t="n">
        <v>100</v>
      </c>
    </row>
    <row r="42">
      <c r="B42" s="6" t="inlineStr">
        <is>
          <t>Service revenue per installed unit per year</t>
        </is>
      </c>
      <c r="C42" s="26" t="inlineStr">
        <is>
          <t>EUR/unit</t>
        </is>
      </c>
      <c r="F42" s="32">
        <f>Assumptions!$F$27*SUMPRODUCT($D$38:$D$39,$E$38:$E$39)+Assumptions!$F$28*SUMPRODUCT($D$40:$D$41,$E$40:$E$41)</f>
        <v/>
      </c>
    </row>
    <row r="43">
      <c r="B43" s="6" t="inlineStr">
        <is>
          <t>Service cost per installed unit per year</t>
        </is>
      </c>
      <c r="C43" s="26" t="inlineStr">
        <is>
          <t>EUR/unit</t>
        </is>
      </c>
      <c r="F43" s="32">
        <f>Assumptions!$F$27*SUMPRODUCT($D$38:$D$39,$F$38:$F$39)+Assumptions!$F$28*SUMPRODUCT($D$40:$D$41,$F$40:$F$41)</f>
        <v/>
      </c>
      <c r="J43" s="28" t="inlineStr">
        <is>
          <t>parts, consumables and travel per contract; the field engineers themselves are salaried on the Personnel tab</t>
        </is>
      </c>
    </row>
    <row r="44">
      <c r="B44" s="6" t="inlineStr">
        <is>
          <t>Share of the installed base on a contract</t>
        </is>
      </c>
      <c r="C44" s="26" t="inlineStr">
        <is>
          <t>%</t>
        </is>
      </c>
      <c r="F44" s="36">
        <f>$D$38+$D$39</f>
        <v/>
      </c>
    </row>
    <row r="45">
      <c r="B45" s="1" t="inlineStr">
        <is>
          <t>DEMAND  (marketing spend runs the funnel)</t>
        </is>
      </c>
      <c r="C45" s="2" t="n"/>
      <c r="D45" s="2" t="n"/>
      <c r="E45" s="2" t="n"/>
      <c r="F45" s="2" t="n"/>
      <c r="G45" s="2" t="n"/>
      <c r="H45" s="2" t="n"/>
      <c r="I45" s="2" t="n"/>
      <c r="J45" s="2" t="n"/>
    </row>
    <row r="46">
      <c r="B46" s="41" t="inlineStr">
        <is>
          <t>Marketing spend</t>
        </is>
      </c>
      <c r="C46" s="42" t="inlineStr">
        <is>
          <t>EUR/month</t>
        </is>
      </c>
      <c r="D46" s="43" t="n">
        <v>2026</v>
      </c>
      <c r="E46" s="43" t="n">
        <v>2027</v>
      </c>
      <c r="F46" s="43" t="n">
        <v>2028</v>
      </c>
      <c r="G46" s="43" t="n">
        <v>2029</v>
      </c>
      <c r="H46" s="43" t="n">
        <v>2030</v>
      </c>
      <c r="I46" s="29" t="n"/>
      <c r="J46" s="44" t="inlineStr">
        <is>
          <t>generates orders through the funnel, on top of the orders installer partners bring in; nil before the first sellable month</t>
        </is>
      </c>
    </row>
    <row r="47">
      <c r="B47" s="8" t="inlineStr">
        <is>
          <t xml:space="preserve">    Base</t>
        </is>
      </c>
      <c r="D47" s="31" t="n">
        <v>0</v>
      </c>
      <c r="E47" s="31" t="n">
        <v>13000</v>
      </c>
      <c r="F47" s="31" t="n">
        <v>40000</v>
      </c>
      <c r="G47" s="31" t="n">
        <v>115000</v>
      </c>
      <c r="H47" s="31" t="n">
        <v>160000</v>
      </c>
    </row>
    <row r="48">
      <c r="B48" s="8" t="inlineStr">
        <is>
          <t xml:space="preserve">    Aggressive</t>
        </is>
      </c>
      <c r="D48" s="31" t="n">
        <v>0</v>
      </c>
      <c r="E48" s="31" t="n">
        <v>150000</v>
      </c>
      <c r="F48" s="31" t="n">
        <v>260000</v>
      </c>
      <c r="G48" s="31" t="n">
        <v>330000</v>
      </c>
      <c r="H48" s="31" t="n">
        <v>380000</v>
      </c>
    </row>
    <row r="49">
      <c r="B49" s="5" t="inlineStr">
        <is>
          <t xml:space="preserve">    Live (per case)</t>
        </is>
      </c>
      <c r="D49" s="32">
        <f>IF(Assumptions!$E$5=2,D48,D47)</f>
        <v/>
      </c>
      <c r="E49" s="32">
        <f>IF(Assumptions!$E$5=2,E48,E47)</f>
        <v/>
      </c>
      <c r="F49" s="32">
        <f>IF(Assumptions!$E$5=2,F48,F47)</f>
        <v/>
      </c>
      <c r="G49" s="32">
        <f>IF(Assumptions!$E$5=2,G48,G47)</f>
        <v/>
      </c>
      <c r="H49" s="32">
        <f>IF(Assumptions!$E$5=2,H48,H47)</f>
        <v/>
      </c>
    </row>
    <row r="50">
      <c r="B50" s="29" t="n"/>
      <c r="C50" s="29" t="n"/>
      <c r="D50" s="30" t="inlineStr">
        <is>
          <t>Base</t>
        </is>
      </c>
      <c r="E50" s="30" t="inlineStr">
        <is>
          <t>Aggressive</t>
        </is>
      </c>
      <c r="F50" s="30" t="inlineStr">
        <is>
          <t>Live</t>
        </is>
      </c>
      <c r="G50" s="29" t="n"/>
      <c r="H50" s="29" t="n"/>
      <c r="I50" s="29" t="n"/>
      <c r="J50" s="29" t="n"/>
    </row>
    <row r="51">
      <c r="B51" s="6" t="inlineStr">
        <is>
          <t>Cost per lead</t>
        </is>
      </c>
      <c r="C51" s="26" t="inlineStr">
        <is>
          <t>EUR</t>
        </is>
      </c>
      <c r="D51" s="31" t="n">
        <v>120</v>
      </c>
      <c r="E51" s="31" t="n">
        <v>120</v>
      </c>
      <c r="F51" s="32">
        <f>IF(Assumptions!$E$5=2,E51,D51)</f>
        <v/>
      </c>
      <c r="J51" s="28" t="inlineStr">
        <is>
          <t>EUR120 a lead at a 20% close rate is EUR600 of marketing per customer</t>
        </is>
      </c>
    </row>
    <row r="52">
      <c r="B52" s="6" t="inlineStr">
        <is>
          <t>Lead to qualified</t>
        </is>
      </c>
      <c r="C52" s="26" t="inlineStr">
        <is>
          <t>%</t>
        </is>
      </c>
      <c r="D52" s="35" t="n">
        <v>0.5</v>
      </c>
      <c r="E52" s="35" t="n">
        <v>0.5</v>
      </c>
      <c r="F52" s="36">
        <f>IF(Assumptions!$E$5=2,E52,D52)</f>
        <v/>
      </c>
    </row>
    <row r="53">
      <c r="B53" s="6" t="inlineStr">
        <is>
          <t>Qualified to won</t>
        </is>
      </c>
      <c r="C53" s="26" t="inlineStr">
        <is>
          <t>%</t>
        </is>
      </c>
      <c r="D53" s="35" t="n">
        <v>0.4</v>
      </c>
      <c r="E53" s="35" t="n">
        <v>0.4</v>
      </c>
      <c r="F53" s="36">
        <f>IF(Assumptions!$E$5=2,E53,D53)</f>
        <v/>
      </c>
      <c r="J53" s="28"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1" t="inlineStr">
        <is>
          <t>Share of units sold direct</t>
        </is>
      </c>
      <c r="C55" s="42" t="inlineStr">
        <is>
          <t>%</t>
        </is>
      </c>
      <c r="D55" s="43" t="n">
        <v>2026</v>
      </c>
      <c r="E55" s="43" t="n">
        <v>2027</v>
      </c>
      <c r="F55" s="43" t="n">
        <v>2028</v>
      </c>
      <c r="G55" s="43" t="n">
        <v>2029</v>
      </c>
      <c r="H55" s="43" t="n">
        <v>2030</v>
      </c>
      <c r="I55" s="29" t="n"/>
      <c r="J55" s="44" t="inlineStr">
        <is>
          <t>direct to consumer first, installers brought in from 2027, half the volume by 2028 and installer-led from 2029</t>
        </is>
      </c>
    </row>
    <row r="56">
      <c r="B56" s="8" t="inlineStr">
        <is>
          <t xml:space="preserve">    Base</t>
        </is>
      </c>
      <c r="D56" s="35" t="n">
        <v>1</v>
      </c>
      <c r="E56" s="35" t="n">
        <v>0.8</v>
      </c>
      <c r="F56" s="35" t="n">
        <v>0.5</v>
      </c>
      <c r="G56" s="35" t="n">
        <v>0.35</v>
      </c>
      <c r="H56" s="35" t="n">
        <v>0.3</v>
      </c>
    </row>
    <row r="57">
      <c r="B57" s="8" t="inlineStr">
        <is>
          <t xml:space="preserve">    Aggressive</t>
        </is>
      </c>
      <c r="D57" s="35" t="n">
        <v>1</v>
      </c>
      <c r="E57" s="35" t="n">
        <v>0.8</v>
      </c>
      <c r="F57" s="35" t="n">
        <v>0.5</v>
      </c>
      <c r="G57" s="35" t="n">
        <v>0.35</v>
      </c>
      <c r="H57" s="35" t="n">
        <v>0.3</v>
      </c>
    </row>
    <row r="58">
      <c r="B58" s="5" t="inlineStr">
        <is>
          <t xml:space="preserve">    Live (per case)</t>
        </is>
      </c>
      <c r="D58" s="36">
        <f>IF(Assumptions!$E$5=2,D57,D56)</f>
        <v/>
      </c>
      <c r="E58" s="36">
        <f>IF(Assumptions!$E$5=2,E57,E56)</f>
        <v/>
      </c>
      <c r="F58" s="36">
        <f>IF(Assumptions!$E$5=2,F57,F56)</f>
        <v/>
      </c>
      <c r="G58" s="36">
        <f>IF(Assumptions!$E$5=2,G57,G56)</f>
        <v/>
      </c>
      <c r="H58" s="36">
        <f>IF(Assumptions!$E$5=2,H57,H56)</f>
        <v/>
      </c>
    </row>
    <row r="59">
      <c r="B59" s="41" t="inlineStr">
        <is>
          <t>Reps hired per month</t>
        </is>
      </c>
      <c r="C59" s="42" t="inlineStr">
        <is>
          <t>FTE/month</t>
        </is>
      </c>
      <c r="D59" s="43" t="n">
        <v>2026</v>
      </c>
      <c r="E59" s="43" t="n">
        <v>2027</v>
      </c>
      <c r="F59" s="43" t="n">
        <v>2028</v>
      </c>
      <c r="G59" s="43" t="n">
        <v>2029</v>
      </c>
      <c r="H59" s="43" t="n">
        <v>2030</v>
      </c>
      <c r="I59" s="29" t="n"/>
      <c r="J59" s="44" t="inlineStr">
        <is>
          <t>sales hiring starts in the first month we can sell, so 2026 is nil</t>
        </is>
      </c>
    </row>
    <row r="60">
      <c r="B60" s="8" t="inlineStr">
        <is>
          <t xml:space="preserve">    Base</t>
        </is>
      </c>
      <c r="D60" s="45" t="n">
        <v>0</v>
      </c>
      <c r="E60" s="45" t="n">
        <v>0.25</v>
      </c>
      <c r="F60" s="45" t="n">
        <v>0.25</v>
      </c>
      <c r="G60" s="45" t="n">
        <v>0.25</v>
      </c>
      <c r="H60" s="45" t="n">
        <v>0.25</v>
      </c>
    </row>
    <row r="61">
      <c r="B61" s="8" t="inlineStr">
        <is>
          <t xml:space="preserve">    Aggressive</t>
        </is>
      </c>
      <c r="D61" s="45" t="n">
        <v>0</v>
      </c>
      <c r="E61" s="45" t="n">
        <v>2</v>
      </c>
      <c r="F61" s="45" t="n">
        <v>1</v>
      </c>
      <c r="G61" s="45" t="n">
        <v>0.5</v>
      </c>
      <c r="H61" s="45" t="n">
        <v>0.25</v>
      </c>
    </row>
    <row r="62">
      <c r="B62" s="5" t="inlineStr">
        <is>
          <t xml:space="preserve">    Live (per case)</t>
        </is>
      </c>
      <c r="D62" s="46">
        <f>IF(Assumptions!$E$5=2,D61,D60)</f>
        <v/>
      </c>
      <c r="E62" s="46">
        <f>IF(Assumptions!$E$5=2,E61,E60)</f>
        <v/>
      </c>
      <c r="F62" s="46">
        <f>IF(Assumptions!$E$5=2,F61,F60)</f>
        <v/>
      </c>
      <c r="G62" s="46">
        <f>IF(Assumptions!$E$5=2,G61,G60)</f>
        <v/>
      </c>
      <c r="H62" s="46">
        <f>IF(Assumptions!$E$5=2,H61,H60)</f>
        <v/>
      </c>
    </row>
    <row r="63">
      <c r="B63" s="41" t="inlineStr">
        <is>
          <t>Installer partners signed per month</t>
        </is>
      </c>
      <c r="C63" s="42" t="inlineStr">
        <is>
          <t>partners/month</t>
        </is>
      </c>
      <c r="D63" s="43" t="n">
        <v>2026</v>
      </c>
      <c r="E63" s="43" t="n">
        <v>2027</v>
      </c>
      <c r="F63" s="43" t="n">
        <v>2028</v>
      </c>
      <c r="G63" s="43" t="n">
        <v>2029</v>
      </c>
      <c r="H63" s="43" t="n">
        <v>2030</v>
      </c>
      <c r="I63" s="29" t="n"/>
      <c r="J63" s="44" t="inlineStr">
        <is>
          <t>same gate: no partner intros before the first month we can sell; the network takes time to build</t>
        </is>
      </c>
    </row>
    <row r="64">
      <c r="B64" s="8" t="inlineStr">
        <is>
          <t xml:space="preserve">    Base</t>
        </is>
      </c>
      <c r="D64" s="47" t="n">
        <v>0</v>
      </c>
      <c r="E64" s="47" t="n">
        <v>0.5</v>
      </c>
      <c r="F64" s="47" t="n">
        <v>1.5</v>
      </c>
      <c r="G64" s="47" t="n">
        <v>3</v>
      </c>
      <c r="H64" s="47" t="n">
        <v>3.8</v>
      </c>
    </row>
    <row r="65">
      <c r="B65" s="8" t="inlineStr">
        <is>
          <t xml:space="preserve">    Aggressive</t>
        </is>
      </c>
      <c r="D65" s="47" t="n">
        <v>0</v>
      </c>
      <c r="E65" s="47" t="n">
        <v>3</v>
      </c>
      <c r="F65" s="47" t="n">
        <v>5</v>
      </c>
      <c r="G65" s="47" t="n">
        <v>7</v>
      </c>
      <c r="H65" s="47" t="n">
        <v>8</v>
      </c>
    </row>
    <row r="66">
      <c r="B66" s="5" t="inlineStr">
        <is>
          <t xml:space="preserve">    Live (per case)</t>
        </is>
      </c>
      <c r="D66" s="48">
        <f>IF(Assumptions!$E$5=2,D65,D64)</f>
        <v/>
      </c>
      <c r="E66" s="48">
        <f>IF(Assumptions!$E$5=2,E65,E64)</f>
        <v/>
      </c>
      <c r="F66" s="48">
        <f>IF(Assumptions!$E$5=2,F65,F64)</f>
        <v/>
      </c>
      <c r="G66" s="48">
        <f>IF(Assumptions!$E$5=2,G65,G64)</f>
        <v/>
      </c>
      <c r="H66" s="48">
        <f>IF(Assumptions!$E$5=2,H65,H64)</f>
        <v/>
      </c>
    </row>
    <row r="67">
      <c r="B67" s="41" t="inlineStr">
        <is>
          <t>Orders an installer partner brings in per month</t>
        </is>
      </c>
      <c r="C67" s="42" t="inlineStr">
        <is>
          <t>units/month</t>
        </is>
      </c>
      <c r="D67" s="43" t="n">
        <v>2026</v>
      </c>
      <c r="E67" s="43" t="n">
        <v>2027</v>
      </c>
      <c r="F67" s="43" t="n">
        <v>2028</v>
      </c>
      <c r="G67" s="43" t="n">
        <v>2029</v>
      </c>
      <c r="H67" s="43" t="n">
        <v>2030</v>
      </c>
      <c r="I67" s="29" t="n"/>
      <c r="J67" s="44" t="inlineStr">
        <is>
          <t>customers the installer finds on their own jobs, rising as the brand becomes known; these add to demand</t>
        </is>
      </c>
    </row>
    <row r="68">
      <c r="B68" s="8" t="inlineStr">
        <is>
          <t xml:space="preserve">    Base</t>
        </is>
      </c>
      <c r="D68" s="39" t="n">
        <v>0</v>
      </c>
      <c r="E68" s="39" t="n">
        <v>1</v>
      </c>
      <c r="F68" s="39" t="n">
        <v>2</v>
      </c>
      <c r="G68" s="39" t="n">
        <v>3</v>
      </c>
      <c r="H68" s="39" t="n">
        <v>4</v>
      </c>
    </row>
    <row r="69">
      <c r="B69" s="8" t="inlineStr">
        <is>
          <t xml:space="preserve">    Aggressive</t>
        </is>
      </c>
      <c r="D69" s="39" t="n">
        <v>0</v>
      </c>
      <c r="E69" s="39" t="n">
        <v>1</v>
      </c>
      <c r="F69" s="39" t="n">
        <v>2</v>
      </c>
      <c r="G69" s="39" t="n">
        <v>3</v>
      </c>
      <c r="H69" s="39" t="n">
        <v>4</v>
      </c>
    </row>
    <row r="70">
      <c r="B70" s="5" t="inlineStr">
        <is>
          <t xml:space="preserve">    Live (per case)</t>
        </is>
      </c>
      <c r="D70" s="40">
        <f>IF(Assumptions!$E$5=2,D69,D68)</f>
        <v/>
      </c>
      <c r="E70" s="40">
        <f>IF(Assumptions!$E$5=2,E69,E68)</f>
        <v/>
      </c>
      <c r="F70" s="40">
        <f>IF(Assumptions!$E$5=2,F69,F68)</f>
        <v/>
      </c>
      <c r="G70" s="40">
        <f>IF(Assumptions!$E$5=2,G69,G68)</f>
        <v/>
      </c>
      <c r="H70" s="40">
        <f>IF(Assumptions!$E$5=2,H69,H68)</f>
        <v/>
      </c>
    </row>
    <row r="71">
      <c r="B71" s="29" t="n"/>
      <c r="C71" s="29" t="n"/>
      <c r="D71" s="30" t="inlineStr">
        <is>
          <t>Base</t>
        </is>
      </c>
      <c r="E71" s="30" t="inlineStr">
        <is>
          <t>Aggressive</t>
        </is>
      </c>
      <c r="F71" s="30" t="inlineStr">
        <is>
          <t>Live</t>
        </is>
      </c>
      <c r="G71" s="29" t="n"/>
      <c r="H71" s="29" t="n"/>
      <c r="I71" s="29" t="n"/>
      <c r="J71" s="29" t="n"/>
    </row>
    <row r="72">
      <c r="B72" s="6" t="inlineStr">
        <is>
          <t>Reps in post at Jan-2026</t>
        </is>
      </c>
      <c r="C72" s="26" t="inlineStr">
        <is>
          <t>FTE</t>
        </is>
      </c>
      <c r="D72" s="47" t="n">
        <v>1</v>
      </c>
      <c r="E72" s="47" t="n">
        <v>1</v>
      </c>
      <c r="F72" s="48">
        <f>IF(Assumptions!$E$5=2,E72,D72)</f>
        <v/>
      </c>
    </row>
    <row r="73">
      <c r="B73" s="6" t="inlineStr">
        <is>
          <t>Quota per rep</t>
        </is>
      </c>
      <c r="C73" s="26" t="inlineStr">
        <is>
          <t>units/month</t>
        </is>
      </c>
      <c r="D73" s="39" t="n">
        <v>20</v>
      </c>
      <c r="E73" s="39" t="n">
        <v>20</v>
      </c>
      <c r="F73" s="40">
        <f>IF(Assumptions!$E$5=2,E73,D73)</f>
        <v/>
      </c>
      <c r="J73" s="28" t="inlineStr">
        <is>
          <t>a rep sells full quota from the month they are hired, no ramp and no attainment haircut</t>
        </is>
      </c>
    </row>
    <row r="74">
      <c r="B74" s="6" t="inlineStr">
        <is>
          <t>Installer partners at Jan-2026</t>
        </is>
      </c>
      <c r="C74" s="26" t="inlineStr">
        <is>
          <t>partners</t>
        </is>
      </c>
      <c r="D74" s="47" t="n">
        <v>1</v>
      </c>
      <c r="E74" s="47" t="n">
        <v>1</v>
      </c>
      <c r="F74" s="48">
        <f>IF(Assumptions!$E$5=2,E74,D74)</f>
        <v/>
      </c>
    </row>
    <row r="75">
      <c r="B75" s="6" t="inlineStr">
        <is>
          <t>Units per partner per month</t>
        </is>
      </c>
      <c r="C75" s="26" t="inlineStr">
        <is>
          <t>units/month</t>
        </is>
      </c>
      <c r="D75" s="39" t="n">
        <v>8</v>
      </c>
      <c r="E75" s="39" t="n">
        <v>8</v>
      </c>
      <c r="F75" s="40">
        <f>IF(Assumptions!$E$5=2,E75,D75)</f>
        <v/>
      </c>
      <c r="J75" s="28" t="inlineStr">
        <is>
          <t>a partner sells full volume from the month they are signed</t>
        </is>
      </c>
    </row>
    <row r="76">
      <c r="B76" s="6" t="inlineStr">
        <is>
          <t>Installer partner commission, share of unit price</t>
        </is>
      </c>
      <c r="C76" s="26" t="inlineStr">
        <is>
          <t>%</t>
        </is>
      </c>
      <c r="D76" s="35" t="n">
        <v>0.1</v>
      </c>
      <c r="E76" s="35" t="n">
        <v>0.1</v>
      </c>
      <c r="F76" s="36">
        <f>IF(Assumptions!$E$5=2,E76,D76)</f>
        <v/>
      </c>
      <c r="J76" s="28" t="inlineStr">
        <is>
          <t>paid on every unit sold through the channel, on the turbineketel or Combi+ system price only, not on installation, upsell or service</t>
        </is>
      </c>
    </row>
    <row r="77">
      <c r="B77" s="6" t="inlineStr">
        <is>
          <t>Partners per partner manager</t>
        </is>
      </c>
      <c r="C77" s="26" t="inlineStr">
        <is>
          <t>partners</t>
        </is>
      </c>
      <c r="D77" s="39" t="n">
        <v>18</v>
      </c>
      <c r="E77" s="39" t="n">
        <v>18</v>
      </c>
      <c r="F77" s="40">
        <f>IF(Assumptions!$E$5=2,E77,D77)</f>
        <v/>
      </c>
    </row>
    <row r="78">
      <c r="B78" s="1" t="inlineStr">
        <is>
          <t>BUILD CAPACITY AND CAPEX  (assembly partner first, in-house takes over)</t>
        </is>
      </c>
      <c r="C78" s="2" t="n"/>
      <c r="D78" s="2" t="n"/>
      <c r="E78" s="2" t="n"/>
      <c r="F78" s="2" t="n"/>
      <c r="G78" s="2" t="n"/>
      <c r="H78" s="2" t="n"/>
      <c r="I78" s="2" t="n"/>
      <c r="J78" s="2" t="n"/>
    </row>
    <row r="79">
      <c r="B79" s="29" t="n"/>
      <c r="C79" s="29" t="n"/>
      <c r="D79" s="30" t="inlineStr">
        <is>
          <t>Base</t>
        </is>
      </c>
      <c r="E79" s="30" t="inlineStr">
        <is>
          <t>Aggressive</t>
        </is>
      </c>
      <c r="F79" s="30" t="inlineStr">
        <is>
          <t>Live</t>
        </is>
      </c>
      <c r="G79" s="29" t="n"/>
      <c r="H79" s="29" t="n"/>
      <c r="I79" s="29" t="n"/>
      <c r="J79" s="29" t="n"/>
    </row>
    <row r="80">
      <c r="B80" s="6" t="inlineStr">
        <is>
          <t>Assembly partner capacity</t>
        </is>
      </c>
      <c r="C80" s="26" t="inlineStr">
        <is>
          <t>units/month</t>
        </is>
      </c>
      <c r="D80" s="39" t="n">
        <v>650</v>
      </c>
      <c r="E80" s="39" t="n">
        <v>1000</v>
      </c>
      <c r="F80" s="40">
        <f>IF(Assumptions!$E$5=2,E80,D80)</f>
        <v/>
      </c>
      <c r="J80" s="28" t="inlineStr">
        <is>
          <t>what the partner has contracted to build for us</t>
        </is>
      </c>
    </row>
    <row r="81">
      <c r="B81" s="6" t="inlineStr">
        <is>
          <t>In-house line 1 producing from</t>
        </is>
      </c>
      <c r="C81" s="26" t="inlineStr">
        <is>
          <t>date</t>
        </is>
      </c>
      <c r="D81" s="37" t="n">
        <v>49310</v>
      </c>
      <c r="E81" s="37" t="n">
        <v>46692</v>
      </c>
      <c r="F81" s="38">
        <f>IF(Assumptions!$E$5=2,E81,D81)</f>
        <v/>
      </c>
      <c r="J81" s="28" t="inlineStr">
        <is>
          <t>base: set well past the horizon to mean never. Aggressive: paid for in November 2026, the first month after the raise lands</t>
        </is>
      </c>
    </row>
    <row r="82">
      <c r="B82" s="6" t="inlineStr">
        <is>
          <t>In-house line 2 producing from</t>
        </is>
      </c>
      <c r="C82" s="26" t="inlineStr">
        <is>
          <t>date</t>
        </is>
      </c>
      <c r="D82" s="37" t="n">
        <v>49310</v>
      </c>
      <c r="E82" s="37" t="n">
        <v>46753</v>
      </c>
      <c r="F82" s="38">
        <f>IF(Assumptions!$E$5=2,E82,D82)</f>
        <v/>
      </c>
      <c r="J82" s="28" t="inlineStr">
        <is>
          <t>aggressive: paid for in January 2027, so both lines run from early 2028 and most volume is built in-house</t>
        </is>
      </c>
    </row>
    <row r="83">
      <c r="B83" s="6" t="inlineStr">
        <is>
          <t>Capacity per in-house line</t>
        </is>
      </c>
      <c r="C83" s="26" t="inlineStr">
        <is>
          <t>units/month</t>
        </is>
      </c>
      <c r="D83" s="39" t="n">
        <v>1000</v>
      </c>
      <c r="E83" s="39" t="n">
        <v>1000</v>
      </c>
      <c r="F83" s="40">
        <f>IF(Assumptions!$E$5=2,E83,D83)</f>
        <v/>
      </c>
    </row>
    <row r="84">
      <c r="B84" s="6" t="inlineStr">
        <is>
          <t>Capex per in-house line</t>
        </is>
      </c>
      <c r="C84" s="26" t="inlineStr">
        <is>
          <t>EUR</t>
        </is>
      </c>
      <c r="D84" s="31" t="n">
        <v>3000000</v>
      </c>
      <c r="E84" s="31" t="n">
        <v>3000000</v>
      </c>
      <c r="F84" s="32">
        <f>IF(Assumptions!$E$5=2,E84,D84)</f>
        <v/>
      </c>
      <c r="J84" s="28" t="inlineStr">
        <is>
          <t>EUR250 per unit of annual capacity; peers run EUR250 to 600</t>
        </is>
      </c>
    </row>
    <row r="85">
      <c r="B85" s="6" t="inlineStr">
        <is>
          <t>Tooling and automation, one-off with line 1</t>
        </is>
      </c>
      <c r="C85" s="26" t="inlineStr">
        <is>
          <t>EUR</t>
        </is>
      </c>
      <c r="D85" s="31" t="n">
        <v>3000000</v>
      </c>
      <c r="E85" s="31" t="n">
        <v>3000000</v>
      </c>
      <c r="F85" s="32">
        <f>IF(Assumptions!$E$5=2,E85,D85)</f>
        <v/>
      </c>
      <c r="J85" s="28" t="inlineStr">
        <is>
          <t>automated test, balancing and handling, which is why a line runs on 25 operators rather than 35</t>
        </is>
      </c>
    </row>
    <row r="86">
      <c r="B86" s="6" t="inlineStr">
        <is>
          <t>Months from paying for a line to it producing</t>
        </is>
      </c>
      <c r="C86" s="26" t="inlineStr">
        <is>
          <t>months</t>
        </is>
      </c>
      <c r="D86" s="39" t="n">
        <v>12</v>
      </c>
      <c r="E86" s="39" t="n">
        <v>12</v>
      </c>
      <c r="F86" s="40">
        <f>IF(Assumptions!$E$5=2,E86,D86)</f>
        <v/>
      </c>
      <c r="J86" s="28" t="inlineStr">
        <is>
          <t>this lag is why the raise has to land before the volume does</t>
        </is>
      </c>
    </row>
    <row r="87">
      <c r="B87" s="6" t="inlineStr">
        <is>
          <t>Production operators per live line</t>
        </is>
      </c>
      <c r="C87" s="26" t="inlineStr">
        <is>
          <t>FTE</t>
        </is>
      </c>
      <c r="D87" s="39" t="n">
        <v>25</v>
      </c>
      <c r="E87" s="39" t="n">
        <v>25</v>
      </c>
      <c r="F87" s="40">
        <f>IF(Assumptions!$E$5=2,E87,D87)</f>
        <v/>
      </c>
      <c r="J87" s="28" t="inlineStr">
        <is>
          <t>assembly, balancing, leak test, run-in and electrical test, with the automation above; Intergas and Remeha run leaner still</t>
        </is>
      </c>
    </row>
    <row r="88">
      <c r="B88" s="6" t="inlineStr">
        <is>
          <t>Facility and maintenance per live line</t>
        </is>
      </c>
      <c r="C88" s="26" t="inlineStr">
        <is>
          <t>EUR/month</t>
        </is>
      </c>
      <c r="D88" s="31" t="n">
        <v>90000</v>
      </c>
      <c r="E88" s="31" t="n">
        <v>90000</v>
      </c>
      <c r="F88" s="32">
        <f>IF(Assumptions!$E$5=2,E88,D88)</f>
        <v/>
      </c>
      <c r="J88" s="28" t="inlineStr">
        <is>
          <t>the building and the machines, not the people</t>
        </is>
      </c>
    </row>
    <row r="89">
      <c r="B89" s="6" t="inlineStr">
        <is>
          <t>Depreciation life, straight line</t>
        </is>
      </c>
      <c r="C89" s="26" t="inlineStr">
        <is>
          <t>years</t>
        </is>
      </c>
      <c r="D89" s="39" t="n">
        <v>8</v>
      </c>
      <c r="E89" s="39" t="n">
        <v>8</v>
      </c>
      <c r="F89" s="40">
        <f>IF(Assumptions!$E$5=2,E89,D89)</f>
        <v/>
      </c>
    </row>
    <row r="90">
      <c r="B90" s="1" t="inlineStr">
        <is>
          <t>BILL OF MATERIALS  (unit cost falls as volume crosses each tier)</t>
        </is>
      </c>
      <c r="C90" s="2" t="n"/>
      <c r="D90" s="2" t="n"/>
      <c r="E90" s="2" t="n"/>
      <c r="F90" s="2" t="n"/>
      <c r="G90" s="2" t="n"/>
      <c r="H90" s="2" t="n"/>
      <c r="I90" s="2" t="n"/>
      <c r="J90" s="2" t="n"/>
    </row>
    <row r="91">
      <c r="B91" s="29" t="n"/>
      <c r="C91" s="29" t="n"/>
      <c r="D91" s="30" t="inlineStr">
        <is>
          <t>From units/yr</t>
        </is>
      </c>
      <c r="E91" s="30" t="inlineStr">
        <is>
          <t>TTK cost</t>
        </is>
      </c>
      <c r="F91" s="30" t="inlineStr">
        <is>
          <t>Outdoor unit</t>
        </is>
      </c>
      <c r="G91" s="29" t="n"/>
      <c r="H91" s="29" t="n"/>
      <c r="I91" s="29" t="n"/>
      <c r="J91" s="29" t="n"/>
    </row>
    <row r="92">
      <c r="B92" s="6" t="inlineStr">
        <is>
          <t xml:space="preserve">    Tier 1</t>
        </is>
      </c>
      <c r="D92" s="39" t="n">
        <v>0</v>
      </c>
      <c r="E92" s="31" t="n">
        <v>9984</v>
      </c>
      <c r="F92" s="31" t="n">
        <v>1402.6</v>
      </c>
    </row>
    <row r="93">
      <c r="B93" s="6" t="inlineStr">
        <is>
          <t xml:space="preserve">    Tier 2</t>
        </is>
      </c>
      <c r="D93" s="39" t="n">
        <v>5000</v>
      </c>
      <c r="E93" s="31" t="n">
        <v>7069</v>
      </c>
      <c r="F93" s="31" t="n">
        <v>1262.34</v>
      </c>
    </row>
    <row r="94">
      <c r="B94" s="6" t="inlineStr">
        <is>
          <t xml:space="preserve">    Tier 3</t>
        </is>
      </c>
      <c r="D94" s="39" t="n">
        <v>10000</v>
      </c>
      <c r="E94" s="31" t="n">
        <v>4998</v>
      </c>
      <c r="F94" s="31" t="n">
        <v>1136.1</v>
      </c>
    </row>
    <row r="95">
      <c r="B95" s="29" t="n"/>
      <c r="C95" s="29" t="n"/>
      <c r="D95" s="30" t="inlineStr">
        <is>
          <t>Base</t>
        </is>
      </c>
      <c r="E95" s="30" t="inlineStr">
        <is>
          <t>Aggressive</t>
        </is>
      </c>
      <c r="F95" s="30" t="inlineStr">
        <is>
          <t>Live</t>
        </is>
      </c>
      <c r="G95" s="29" t="n"/>
      <c r="H95" s="29" t="n"/>
      <c r="I95" s="29" t="n"/>
      <c r="J95" s="29" t="n"/>
    </row>
    <row r="96">
      <c r="B96" s="6" t="inlineStr">
        <is>
          <t>Inbound shipping, Combi+ outdoor unit</t>
        </is>
      </c>
      <c r="C96" s="26" t="inlineStr">
        <is>
          <t>EUR/unit</t>
        </is>
      </c>
      <c r="D96" s="31" t="n">
        <v>100</v>
      </c>
      <c r="E96" s="31" t="n">
        <v>100</v>
      </c>
      <c r="F96" s="32">
        <f>IF(Assumptions!$E$5=2,E96,D96)</f>
        <v/>
      </c>
    </row>
    <row r="97">
      <c r="B97" s="1" t="inlineStr">
        <is>
          <t>ORGANISATION  (headcount follows whatever creates the work)</t>
        </is>
      </c>
      <c r="C97" s="2" t="n"/>
      <c r="D97" s="2" t="n"/>
      <c r="E97" s="2" t="n"/>
      <c r="F97" s="2" t="n"/>
      <c r="G97" s="2" t="n"/>
      <c r="H97" s="2" t="n"/>
      <c r="I97" s="2" t="n"/>
      <c r="J97" s="2" t="n"/>
    </row>
    <row r="98">
      <c r="B98" s="41" t="inlineStr">
        <is>
          <t>R&amp;D engineers hired in the year</t>
        </is>
      </c>
      <c r="C98" s="42" t="inlineStr">
        <is>
          <t>FTE</t>
        </is>
      </c>
      <c r="D98" s="43" t="n">
        <v>2026</v>
      </c>
      <c r="E98" s="43" t="n">
        <v>2027</v>
      </c>
      <c r="F98" s="43" t="n">
        <v>2028</v>
      </c>
      <c r="G98" s="43" t="n">
        <v>2029</v>
      </c>
      <c r="H98" s="43" t="n">
        <v>2030</v>
      </c>
      <c r="I98" s="29" t="n"/>
      <c r="J98" s="44" t="inlineStr">
        <is>
          <t>a novel turbine machine plus the Twincycle needs engineers, not a fixed team</t>
        </is>
      </c>
    </row>
    <row r="99">
      <c r="B99" s="8" t="inlineStr">
        <is>
          <t xml:space="preserve">    Base</t>
        </is>
      </c>
      <c r="D99" s="39" t="n">
        <v>0</v>
      </c>
      <c r="E99" s="39" t="n">
        <v>2</v>
      </c>
      <c r="F99" s="39" t="n">
        <v>2</v>
      </c>
      <c r="G99" s="39" t="n">
        <v>3</v>
      </c>
      <c r="H99" s="39" t="n">
        <v>4</v>
      </c>
    </row>
    <row r="100">
      <c r="B100" s="8" t="inlineStr">
        <is>
          <t xml:space="preserve">    Aggressive</t>
        </is>
      </c>
      <c r="D100" s="39" t="n">
        <v>0</v>
      </c>
      <c r="E100" s="39" t="n">
        <v>10</v>
      </c>
      <c r="F100" s="39" t="n">
        <v>16</v>
      </c>
      <c r="G100" s="39" t="n">
        <v>16</v>
      </c>
      <c r="H100" s="39" t="n">
        <v>16</v>
      </c>
    </row>
    <row r="101">
      <c r="B101" s="5" t="inlineStr">
        <is>
          <t xml:space="preserve">    Live (per case)</t>
        </is>
      </c>
      <c r="D101" s="40">
        <f>IF(Assumptions!$E$5=2,D100,D99)</f>
        <v/>
      </c>
      <c r="E101" s="40">
        <f>IF(Assumptions!$E$5=2,E100,E99)</f>
        <v/>
      </c>
      <c r="F101" s="40">
        <f>IF(Assumptions!$E$5=2,F100,F99)</f>
        <v/>
      </c>
      <c r="G101" s="40">
        <f>IF(Assumptions!$E$5=2,G100,G99)</f>
        <v/>
      </c>
      <c r="H101" s="40">
        <f>IF(Assumptions!$E$5=2,H100,H99)</f>
        <v/>
      </c>
    </row>
    <row r="102">
      <c r="B102" s="29" t="n"/>
      <c r="C102" s="29" t="n"/>
      <c r="D102" s="30" t="inlineStr">
        <is>
          <t>Base</t>
        </is>
      </c>
      <c r="E102" s="30" t="inlineStr">
        <is>
          <t>Aggressive</t>
        </is>
      </c>
      <c r="F102" s="30" t="inlineStr">
        <is>
          <t>Live</t>
        </is>
      </c>
      <c r="G102" s="29" t="n"/>
      <c r="H102" s="29" t="n"/>
      <c r="I102" s="29" t="n"/>
      <c r="J102" s="29" t="n"/>
    </row>
    <row r="103">
      <c r="B103" s="6" t="inlineStr">
        <is>
          <t>R&amp;D engineers in post at Jan-2026</t>
        </is>
      </c>
      <c r="C103" s="26" t="inlineStr">
        <is>
          <t>FTE</t>
        </is>
      </c>
      <c r="D103" s="39" t="n">
        <v>10</v>
      </c>
      <c r="E103" s="39" t="n">
        <v>10</v>
      </c>
      <c r="F103" s="40">
        <f>IF(Assumptions!$E$5=2,E103,D103)</f>
        <v/>
      </c>
      <c r="J103" s="28" t="inlineStr">
        <is>
          <t>the founding engineering team; their cost sits inside the committed 2026 plan until November 2026</t>
        </is>
      </c>
    </row>
    <row r="104">
      <c r="B104" s="6" t="inlineStr">
        <is>
          <t>Marketing team floor</t>
        </is>
      </c>
      <c r="C104" s="26" t="inlineStr">
        <is>
          <t>FTE</t>
        </is>
      </c>
      <c r="D104" s="39" t="n">
        <v>2</v>
      </c>
      <c r="E104" s="39" t="n">
        <v>2</v>
      </c>
      <c r="F104" s="40">
        <f>IF(Assumptions!$E$5=2,E104,D104)</f>
        <v/>
      </c>
    </row>
    <row r="105">
      <c r="B105" s="6" t="inlineStr">
        <is>
          <t>Units per supply chain and logistics FTE</t>
        </is>
      </c>
      <c r="C105" s="26" t="inlineStr">
        <is>
          <t>units/yr</t>
        </is>
      </c>
      <c r="D105" s="39" t="n">
        <v>900</v>
      </c>
      <c r="E105" s="39" t="n">
        <v>900</v>
      </c>
      <c r="F105" s="40">
        <f>IF(Assumptions!$E$5=2,E105,D105)</f>
        <v/>
      </c>
      <c r="J105" s="28" t="inlineStr">
        <is>
          <t>buying, planning, inbound quality and warehousing</t>
        </is>
      </c>
    </row>
    <row r="106">
      <c r="B106" s="6" t="inlineStr">
        <is>
          <t>Installed units per support agent</t>
        </is>
      </c>
      <c r="C106" s="26" t="inlineStr">
        <is>
          <t>units</t>
        </is>
      </c>
      <c r="D106" s="39" t="n">
        <v>2500</v>
      </c>
      <c r="E106" s="39" t="n">
        <v>2500</v>
      </c>
      <c r="F106" s="40">
        <f>IF(Assumptions!$E$5=2,E106,D106)</f>
        <v/>
      </c>
      <c r="J106" s="28" t="inlineStr">
        <is>
          <t>a heating appliance peaks in winter and this is a first generation product</t>
        </is>
      </c>
    </row>
    <row r="107">
      <c r="B107" s="6" t="inlineStr">
        <is>
          <t>Installed units per technical escalation FTE</t>
        </is>
      </c>
      <c r="C107" s="26" t="inlineStr">
        <is>
          <t>units</t>
        </is>
      </c>
      <c r="D107" s="39" t="n">
        <v>15000</v>
      </c>
      <c r="E107" s="39" t="n">
        <v>15000</v>
      </c>
      <c r="F107" s="40">
        <f>IF(Assumptions!$E$5=2,E107,D107)</f>
        <v/>
      </c>
    </row>
    <row r="108">
      <c r="B108" s="6" t="inlineStr">
        <is>
          <t>New partners per year per installer trainer</t>
        </is>
      </c>
      <c r="C108" s="26" t="inlineStr">
        <is>
          <t>partners</t>
        </is>
      </c>
      <c r="D108" s="39" t="n">
        <v>40</v>
      </c>
      <c r="E108" s="39" t="n">
        <v>40</v>
      </c>
      <c r="F108" s="40">
        <f>IF(Assumptions!$E$5=2,E108,D108)</f>
        <v/>
      </c>
    </row>
    <row r="109">
      <c r="B109" s="6" t="inlineStr">
        <is>
          <t>Units per order desk FTE</t>
        </is>
      </c>
      <c r="C109" s="26" t="inlineStr">
        <is>
          <t>units/yr</t>
        </is>
      </c>
      <c r="D109" s="39" t="n">
        <v>3000</v>
      </c>
      <c r="E109" s="39" t="n">
        <v>3000</v>
      </c>
      <c r="F109" s="40">
        <f>IF(Assumptions!$E$5=2,E109,D109)</f>
        <v/>
      </c>
    </row>
    <row r="110">
      <c r="B110" s="6" t="inlineStr">
        <is>
          <t>Marketing spend per marketer</t>
        </is>
      </c>
      <c r="C110" s="26" t="inlineStr">
        <is>
          <t>EUR/yr</t>
        </is>
      </c>
      <c r="D110" s="31" t="n">
        <v>3000000</v>
      </c>
      <c r="E110" s="31" t="n">
        <v>3000000</v>
      </c>
      <c r="F110" s="32">
        <f>IF(Assumptions!$E$5=2,E110,D110)</f>
        <v/>
      </c>
    </row>
    <row r="111">
      <c r="B111" s="29" t="n"/>
      <c r="C111" s="29" t="n"/>
      <c r="D111" s="30" t="inlineStr">
        <is>
          <t>Base</t>
        </is>
      </c>
      <c r="E111" s="30" t="inlineStr">
        <is>
          <t>Aggressive</t>
        </is>
      </c>
      <c r="F111" s="30" t="inlineStr">
        <is>
          <t>Live</t>
        </is>
      </c>
      <c r="G111" s="29" t="n"/>
      <c r="H111" s="29" t="n"/>
      <c r="I111" s="29" t="n"/>
      <c r="J111" s="29" t="n"/>
    </row>
    <row r="112">
      <c r="B112" s="6" t="inlineStr">
        <is>
          <t>Installed units one field engineer can look after</t>
        </is>
      </c>
      <c r="C112" s="26" t="inlineStr">
        <is>
          <t>units</t>
        </is>
      </c>
      <c r="D112" s="39" t="n">
        <v>750</v>
      </c>
      <c r="E112" s="39" t="n">
        <v>750</v>
      </c>
      <c r="F112" s="40">
        <f>IF(Assumptions!$E$5=2,E112,D112)</f>
        <v/>
      </c>
      <c r="J112" s="28" t="inlineStr">
        <is>
          <t>sizes the field service team: units on a service contract divided by this number = engineers to hire. Each unit gets one visit a year, an engineer does three to four a day</t>
        </is>
      </c>
    </row>
    <row r="113">
      <c r="B113" s="1" t="inlineStr">
        <is>
          <t>LOADED COST PER PERSON  (employer cost, including taxes)</t>
        </is>
      </c>
      <c r="C113" s="2" t="n"/>
      <c r="D113" s="2" t="n"/>
      <c r="E113" s="2" t="n"/>
      <c r="F113" s="2" t="n"/>
      <c r="G113" s="2" t="n"/>
      <c r="H113" s="2" t="n"/>
      <c r="I113" s="2" t="n"/>
      <c r="J113" s="2" t="n"/>
    </row>
    <row r="114">
      <c r="B114" s="29" t="n"/>
      <c r="C114" s="29" t="n"/>
      <c r="D114" s="30" t="inlineStr">
        <is>
          <t>Base</t>
        </is>
      </c>
      <c r="E114" s="30" t="inlineStr">
        <is>
          <t>Aggressive</t>
        </is>
      </c>
      <c r="F114" s="30" t="inlineStr">
        <is>
          <t>Live</t>
        </is>
      </c>
      <c r="G114" s="29" t="n"/>
      <c r="H114" s="29" t="n"/>
      <c r="I114" s="29" t="n"/>
      <c r="J114" s="29" t="n"/>
    </row>
    <row r="115">
      <c r="B115" s="6" t="inlineStr">
        <is>
          <t>Sales rep</t>
        </is>
      </c>
      <c r="C115" s="26" t="inlineStr">
        <is>
          <t>EUR/month</t>
        </is>
      </c>
      <c r="D115" s="31" t="n">
        <v>7500</v>
      </c>
      <c r="E115" s="31" t="n">
        <v>7500</v>
      </c>
      <c r="F115" s="32">
        <f>IF(Assumptions!$E$5=2,E115,D115)</f>
        <v/>
      </c>
    </row>
    <row r="116">
      <c r="B116" s="6" t="inlineStr">
        <is>
          <t>Partner manager</t>
        </is>
      </c>
      <c r="C116" s="26" t="inlineStr">
        <is>
          <t>EUR/month</t>
        </is>
      </c>
      <c r="D116" s="31" t="n">
        <v>8000</v>
      </c>
      <c r="E116" s="31" t="n">
        <v>8000</v>
      </c>
      <c r="F116" s="32">
        <f>IF(Assumptions!$E$5=2,E116,D116)</f>
        <v/>
      </c>
    </row>
    <row r="117">
      <c r="B117" s="6" t="inlineStr">
        <is>
          <t>Trainer, order desk, marketing</t>
        </is>
      </c>
      <c r="C117" s="26" t="inlineStr">
        <is>
          <t>EUR/month</t>
        </is>
      </c>
      <c r="D117" s="31" t="n">
        <v>7000</v>
      </c>
      <c r="E117" s="31" t="n">
        <v>7000</v>
      </c>
      <c r="F117" s="32">
        <f>IF(Assumptions!$E$5=2,E117,D117)</f>
        <v/>
      </c>
    </row>
    <row r="118">
      <c r="B118" s="6" t="inlineStr">
        <is>
          <t>Supply chain and production</t>
        </is>
      </c>
      <c r="C118" s="26" t="inlineStr">
        <is>
          <t>EUR/month</t>
        </is>
      </c>
      <c r="D118" s="31" t="n">
        <v>5000</v>
      </c>
      <c r="E118" s="31" t="n">
        <v>5000</v>
      </c>
      <c r="F118" s="32">
        <f>IF(Assumptions!$E$5=2,E118,D118)</f>
        <v/>
      </c>
    </row>
    <row r="119">
      <c r="B119" s="6" t="inlineStr">
        <is>
          <t>Support and escalation</t>
        </is>
      </c>
      <c r="C119" s="26" t="inlineStr">
        <is>
          <t>EUR/month</t>
        </is>
      </c>
      <c r="D119" s="31" t="n">
        <v>4800</v>
      </c>
      <c r="E119" s="31" t="n">
        <v>4800</v>
      </c>
      <c r="F119" s="32">
        <f>IF(Assumptions!$E$5=2,E119,D119)</f>
        <v/>
      </c>
    </row>
    <row r="120">
      <c r="B120" s="6" t="inlineStr">
        <is>
          <t>Leadership and back office</t>
        </is>
      </c>
      <c r="C120" s="26" t="inlineStr">
        <is>
          <t>EUR/month</t>
        </is>
      </c>
      <c r="D120" s="31" t="n">
        <v>7000</v>
      </c>
      <c r="E120" s="31" t="n">
        <v>7000</v>
      </c>
      <c r="F120" s="32">
        <f>IF(Assumptions!$E$5=2,E120,D120)</f>
        <v/>
      </c>
    </row>
    <row r="121">
      <c r="B121" s="6" t="inlineStr">
        <is>
          <t>R&amp;D engineer</t>
        </is>
      </c>
      <c r="C121" s="26" t="inlineStr">
        <is>
          <t>EUR/month</t>
        </is>
      </c>
      <c r="D121" s="31" t="n">
        <v>5700</v>
      </c>
      <c r="E121" s="31" t="n">
        <v>5700</v>
      </c>
      <c r="F121" s="32">
        <f>IF(Assumptions!$E$5=2,E121,D121)</f>
        <v/>
      </c>
      <c r="J121" s="28" t="inlineStr">
        <is>
          <t>the blended cost of the engineers already in post</t>
        </is>
      </c>
    </row>
    <row r="122">
      <c r="B122" s="6" t="inlineStr">
        <is>
          <t>Field service engineer</t>
        </is>
      </c>
      <c r="C122" s="26" t="inlineStr">
        <is>
          <t>EUR/month</t>
        </is>
      </c>
      <c r="D122" s="31" t="n">
        <v>6500</v>
      </c>
      <c r="E122" s="31" t="n">
        <v>6500</v>
      </c>
      <c r="F122" s="32">
        <f>IF(Assumptions!$E$5=2,E122,D122)</f>
        <v/>
      </c>
    </row>
    <row r="123">
      <c r="B123" s="1" t="inlineStr">
        <is>
          <t>IN-HOUSE ASSEMBLY  (what building it ourselves saves)</t>
        </is>
      </c>
      <c r="C123" s="2" t="n"/>
      <c r="D123" s="2" t="n"/>
      <c r="E123" s="2" t="n"/>
      <c r="F123" s="2" t="n"/>
      <c r="G123" s="2" t="n"/>
      <c r="H123" s="2" t="n"/>
      <c r="I123" s="2" t="n"/>
      <c r="J123" s="2" t="n"/>
    </row>
    <row r="124">
      <c r="B124" s="29" t="n"/>
      <c r="C124" s="29" t="n"/>
      <c r="D124" s="30" t="inlineStr">
        <is>
          <t>Base</t>
        </is>
      </c>
      <c r="E124" s="30" t="inlineStr">
        <is>
          <t>Aggressive</t>
        </is>
      </c>
      <c r="F124" s="30" t="inlineStr">
        <is>
          <t>Live</t>
        </is>
      </c>
      <c r="G124" s="29" t="n"/>
      <c r="H124" s="29" t="n"/>
      <c r="I124" s="29" t="n"/>
      <c r="J124" s="29" t="n"/>
    </row>
    <row r="125">
      <c r="B125" s="6" t="inlineStr">
        <is>
          <t>Assembly partner margin on top of its cost</t>
        </is>
      </c>
      <c r="C125" s="26" t="inlineStr">
        <is>
          <t>%</t>
        </is>
      </c>
      <c r="D125" s="35" t="n">
        <v>0.2</v>
      </c>
      <c r="E125" s="35" t="n">
        <v>0.2</v>
      </c>
      <c r="F125" s="36">
        <f>IF(Assumptions!$E$5=2,E125,D125)</f>
        <v/>
      </c>
      <c r="J125" s="28" t="inlineStr">
        <is>
          <t>what a contract manufacturer adds to its own cost; the only new number in this block</t>
        </is>
      </c>
    </row>
    <row r="126">
      <c r="B126" s="6" t="inlineStr">
        <is>
          <t>Assembly cost inside the BOM, saved on units we build ourselves</t>
        </is>
      </c>
      <c r="C126" s="26" t="inlineStr">
        <is>
          <t>EUR/unit</t>
        </is>
      </c>
      <c r="F126" s="32">
        <f>(Assumptions!$F$87*Assumptions!$F$118+Assumptions!$F$88)/Assumptions!$F$83*(1+Assumptions!$F$125)</f>
        <v/>
      </c>
      <c r="J126" s="28" t="inlineStr">
        <is>
          <t>derived from the model: operators plus facility for one line, per unit at full capacity, plus the partner margin. The BOM tiers are partner-built prices, so an in-house unit saves this</t>
        </is>
      </c>
    </row>
    <row r="127">
      <c r="B127" s="1" t="inlineStr">
        <is>
          <t>OVERHEADS AND OTHER OPERATING COSTS</t>
        </is>
      </c>
      <c r="C127" s="2" t="n"/>
      <c r="D127" s="2" t="n"/>
      <c r="E127" s="2" t="n"/>
      <c r="F127" s="2" t="n"/>
      <c r="G127" s="2" t="n"/>
      <c r="H127" s="2" t="n"/>
      <c r="I127" s="2" t="n"/>
      <c r="J127" s="2" t="n"/>
    </row>
    <row r="128">
      <c r="B128" s="29" t="n"/>
      <c r="C128" s="29" t="n"/>
      <c r="D128" s="30" t="inlineStr">
        <is>
          <t>Base</t>
        </is>
      </c>
      <c r="E128" s="30" t="inlineStr">
        <is>
          <t>Aggressive</t>
        </is>
      </c>
      <c r="F128" s="30" t="inlineStr">
        <is>
          <t>Live</t>
        </is>
      </c>
      <c r="G128" s="29" t="n"/>
      <c r="H128" s="29" t="n"/>
      <c r="I128" s="29" t="n"/>
      <c r="J128" s="29" t="n"/>
    </row>
    <row r="129">
      <c r="B129" s="6" t="inlineStr">
        <is>
          <t>Offices and facilities per person</t>
        </is>
      </c>
      <c r="C129" s="26" t="inlineStr">
        <is>
          <t>EUR/month</t>
        </is>
      </c>
      <c r="D129" s="31" t="n">
        <v>700</v>
      </c>
      <c r="E129" s="31" t="n">
        <v>700</v>
      </c>
      <c r="F129" s="32">
        <f>IF(Assumptions!$E$5=2,E129,D129)</f>
        <v/>
      </c>
    </row>
    <row r="130">
      <c r="B130" s="6" t="inlineStr">
        <is>
          <t>IT and software per person</t>
        </is>
      </c>
      <c r="C130" s="26" t="inlineStr">
        <is>
          <t>EUR/month</t>
        </is>
      </c>
      <c r="D130" s="31" t="n">
        <v>250</v>
      </c>
      <c r="E130" s="31" t="n">
        <v>250</v>
      </c>
      <c r="F130" s="32">
        <f>IF(Assumptions!$E$5=2,E130,D130)</f>
        <v/>
      </c>
    </row>
    <row r="131">
      <c r="B131" s="6" t="inlineStr">
        <is>
          <t>Travel per person</t>
        </is>
      </c>
      <c r="C131" s="26" t="inlineStr">
        <is>
          <t>EUR/month</t>
        </is>
      </c>
      <c r="D131" s="31" t="n">
        <v>300</v>
      </c>
      <c r="E131" s="31" t="n">
        <v>300</v>
      </c>
      <c r="F131" s="32">
        <f>IF(Assumptions!$E$5=2,E131,D131)</f>
        <v/>
      </c>
    </row>
    <row r="132">
      <c r="B132" s="6" t="inlineStr">
        <is>
          <t>Recruitment per net new hire</t>
        </is>
      </c>
      <c r="C132" s="26" t="inlineStr">
        <is>
          <t>EUR</t>
        </is>
      </c>
      <c r="D132" s="31" t="n">
        <v>8000</v>
      </c>
      <c r="E132" s="31" t="n">
        <v>8000</v>
      </c>
      <c r="F132" s="32">
        <f>IF(Assumptions!$E$5=2,E132,D132)</f>
        <v/>
      </c>
    </row>
    <row r="133">
      <c r="B133" s="6" t="inlineStr">
        <is>
          <t>Installer training and demo unit per new partner</t>
        </is>
      </c>
      <c r="C133" s="26" t="inlineStr">
        <is>
          <t>EUR</t>
        </is>
      </c>
      <c r="D133" s="31" t="n">
        <v>3500</v>
      </c>
      <c r="E133" s="31" t="n">
        <v>3500</v>
      </c>
      <c r="F133" s="32">
        <f>IF(Assumptions!$E$5=2,E133,D133)</f>
        <v/>
      </c>
    </row>
    <row r="134">
      <c r="B134" s="6" t="inlineStr">
        <is>
          <t>Finance and legal</t>
        </is>
      </c>
      <c r="C134" s="26" t="inlineStr">
        <is>
          <t>EUR/month</t>
        </is>
      </c>
      <c r="D134" s="31" t="n">
        <v>7000</v>
      </c>
      <c r="E134" s="31" t="n">
        <v>7000</v>
      </c>
      <c r="F134" s="32">
        <f>IF(Assumptions!$E$5=2,E134,D134)</f>
        <v/>
      </c>
    </row>
    <row r="135">
      <c r="B135" s="6" t="inlineStr">
        <is>
          <t>Other general</t>
        </is>
      </c>
      <c r="C135" s="26" t="inlineStr">
        <is>
          <t>EUR/month</t>
        </is>
      </c>
      <c r="D135" s="31" t="n">
        <v>5000</v>
      </c>
      <c r="E135" s="31" t="n">
        <v>5000</v>
      </c>
      <c r="F135" s="32">
        <f>IF(Assumptions!$E$5=2,E135,D135)</f>
        <v/>
      </c>
    </row>
    <row r="136">
      <c r="B136" s="6" t="inlineStr">
        <is>
          <t>Ongoing development</t>
        </is>
      </c>
      <c r="C136" s="26" t="inlineStr">
        <is>
          <t>EUR/month</t>
        </is>
      </c>
      <c r="D136" s="31" t="n">
        <v>8000</v>
      </c>
      <c r="E136" s="31" t="n">
        <v>8000</v>
      </c>
      <c r="F136" s="32">
        <f>IF(Assumptions!$E$5=2,E136,D136)</f>
        <v/>
      </c>
    </row>
    <row r="137">
      <c r="B137" s="6" t="inlineStr">
        <is>
          <t>Third party product development</t>
        </is>
      </c>
      <c r="C137" s="26" t="inlineStr">
        <is>
          <t>EUR/month</t>
        </is>
      </c>
      <c r="D137" s="31" t="n">
        <v>10000</v>
      </c>
      <c r="E137" s="31" t="n">
        <v>10000</v>
      </c>
      <c r="F137" s="32">
        <f>IF(Assumptions!$E$5=2,E137,D137)</f>
        <v/>
      </c>
    </row>
    <row r="138">
      <c r="B138" s="6" t="inlineStr">
        <is>
          <t>Annual increase on the costs above</t>
        </is>
      </c>
      <c r="C138" s="26" t="inlineStr">
        <is>
          <t>%</t>
        </is>
      </c>
      <c r="D138" s="35" t="n">
        <v>0.1</v>
      </c>
      <c r="E138" s="35" t="n">
        <v>0.1</v>
      </c>
      <c r="F138" s="36">
        <f>IF(Assumptions!$E$5=2,E138,D138)</f>
        <v/>
      </c>
    </row>
    <row r="139">
      <c r="B139" s="1" t="inlineStr">
        <is>
          <t>FUNDING</t>
        </is>
      </c>
      <c r="C139" s="2" t="n"/>
      <c r="D139" s="2" t="n"/>
      <c r="E139" s="2" t="n"/>
      <c r="F139" s="2" t="n"/>
      <c r="G139" s="2" t="n"/>
      <c r="H139" s="2" t="n"/>
      <c r="I139" s="2" t="n"/>
      <c r="J139" s="2" t="n"/>
    </row>
    <row r="140">
      <c r="B140" s="29" t="n"/>
      <c r="C140" s="29" t="n"/>
      <c r="D140" s="30" t="inlineStr">
        <is>
          <t>Base</t>
        </is>
      </c>
      <c r="E140" s="30" t="inlineStr">
        <is>
          <t>Aggressive</t>
        </is>
      </c>
      <c r="F140" s="30" t="inlineStr">
        <is>
          <t>Live</t>
        </is>
      </c>
      <c r="G140" s="29" t="n"/>
      <c r="H140" s="29" t="n"/>
      <c r="I140" s="29" t="n"/>
      <c r="J140" s="29" t="n"/>
    </row>
    <row r="141">
      <c r="B141" s="6" t="inlineStr">
        <is>
          <t>First round, money in</t>
        </is>
      </c>
      <c r="C141" s="26" t="inlineStr">
        <is>
          <t>date</t>
        </is>
      </c>
      <c r="D141" s="37" t="n">
        <v>46143</v>
      </c>
      <c r="E141" s="37" t="n">
        <v>46143</v>
      </c>
      <c r="F141" s="38">
        <f>IF(Assumptions!$E$5=2,E141,D141)</f>
        <v/>
      </c>
    </row>
    <row r="142">
      <c r="B142" s="6" t="inlineStr">
        <is>
          <t>First round, amount</t>
        </is>
      </c>
      <c r="C142" s="26" t="inlineStr">
        <is>
          <t>EUR</t>
        </is>
      </c>
      <c r="D142" s="31" t="n">
        <v>300000</v>
      </c>
      <c r="E142" s="31" t="n">
        <v>300000</v>
      </c>
      <c r="F142" s="32">
        <f>IF(Assumptions!$E$5=2,E142,D142)</f>
        <v/>
      </c>
    </row>
    <row r="143">
      <c r="B143" s="6" t="inlineStr">
        <is>
          <t>Second round, money in</t>
        </is>
      </c>
      <c r="C143" s="26" t="inlineStr">
        <is>
          <t>date</t>
        </is>
      </c>
      <c r="D143" s="37" t="n">
        <v>46296</v>
      </c>
      <c r="E143" s="37" t="n">
        <v>46296</v>
      </c>
      <c r="F143" s="38">
        <f>IF(Assumptions!$E$5=2,E143,D143)</f>
        <v/>
      </c>
    </row>
    <row r="144">
      <c r="B144" s="6" t="inlineStr">
        <is>
          <t>Second round, amount</t>
        </is>
      </c>
      <c r="C144" s="26" t="inlineStr">
        <is>
          <t>EUR</t>
        </is>
      </c>
      <c r="D144" s="31" t="n">
        <v>3000000</v>
      </c>
      <c r="E144" s="31" t="n">
        <v>10000000</v>
      </c>
      <c r="F144" s="32">
        <f>IF(Assumptions!$E$5=2,E144,D144)</f>
        <v/>
      </c>
      <c r="J144" s="28" t="inlineStr">
        <is>
          <t>this is the raise the model is built to justify</t>
        </is>
      </c>
    </row>
    <row r="145">
      <c r="B145" s="6" t="inlineStr">
        <is>
          <t>Convertible loan drawn</t>
        </is>
      </c>
      <c r="C145" s="26" t="inlineStr">
        <is>
          <t>EUR</t>
        </is>
      </c>
      <c r="D145" s="31" t="n">
        <v>300000</v>
      </c>
      <c r="E145" s="31" t="n">
        <v>300000</v>
      </c>
      <c r="F145" s="32">
        <f>IF(Assumptions!$E$5=2,E145,D145)</f>
        <v/>
      </c>
    </row>
    <row r="146">
      <c r="B146" s="6" t="inlineStr">
        <is>
          <t>Loan drawn on</t>
        </is>
      </c>
      <c r="C146" s="26" t="inlineStr">
        <is>
          <t>date</t>
        </is>
      </c>
      <c r="D146" s="37" t="n">
        <v>46204</v>
      </c>
      <c r="E146" s="37" t="n">
        <v>46204</v>
      </c>
      <c r="F146" s="38">
        <f>IF(Assumptions!$E$5=2,E146,D146)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52"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52" t="inlineStr">
        <is>
          <t>EUR</t>
        </is>
      </c>
      <c r="E7" s="10">
        <f>-COGS!E20</f>
        <v/>
      </c>
      <c r="F7" s="10">
        <f>-COGS!F20</f>
        <v/>
      </c>
      <c r="G7" s="10">
        <f>-COGS!G20</f>
        <v/>
      </c>
      <c r="H7" s="10">
        <f>-COGS!H20</f>
        <v/>
      </c>
      <c r="I7" s="10">
        <f>-COGS!I20</f>
        <v/>
      </c>
      <c r="J7" s="10">
        <f>-COGS!J20</f>
        <v/>
      </c>
      <c r="K7" s="10">
        <f>-COGS!K20</f>
        <v/>
      </c>
      <c r="L7" s="10">
        <f>-COGS!L20</f>
        <v/>
      </c>
      <c r="M7" s="10">
        <f>-COGS!M20</f>
        <v/>
      </c>
      <c r="N7" s="10">
        <f>-COGS!N20</f>
        <v/>
      </c>
      <c r="O7" s="10">
        <f>-COGS!O20</f>
        <v/>
      </c>
      <c r="P7" s="10">
        <f>-COGS!P20</f>
        <v/>
      </c>
      <c r="Q7" s="10">
        <f>-COGS!Q20</f>
        <v/>
      </c>
      <c r="R7" s="10">
        <f>-COGS!R20</f>
        <v/>
      </c>
      <c r="S7" s="10">
        <f>-COGS!S20</f>
        <v/>
      </c>
      <c r="T7" s="10">
        <f>-COGS!T20</f>
        <v/>
      </c>
      <c r="U7" s="10">
        <f>-COGS!U20</f>
        <v/>
      </c>
      <c r="V7" s="10">
        <f>-COGS!V20</f>
        <v/>
      </c>
      <c r="W7" s="10">
        <f>-COGS!W20</f>
        <v/>
      </c>
      <c r="X7" s="10">
        <f>-COGS!X20</f>
        <v/>
      </c>
      <c r="Y7" s="10">
        <f>-COGS!Y20</f>
        <v/>
      </c>
      <c r="Z7" s="10">
        <f>-COGS!Z20</f>
        <v/>
      </c>
      <c r="AA7" s="10">
        <f>-COGS!AA20</f>
        <v/>
      </c>
      <c r="AB7" s="10">
        <f>-COGS!AB20</f>
        <v/>
      </c>
      <c r="AC7" s="10">
        <f>-COGS!AC20</f>
        <v/>
      </c>
      <c r="AD7" s="10">
        <f>-COGS!AD20</f>
        <v/>
      </c>
      <c r="AE7" s="10">
        <f>-COGS!AE20</f>
        <v/>
      </c>
      <c r="AF7" s="10">
        <f>-COGS!AF20</f>
        <v/>
      </c>
      <c r="AG7" s="10">
        <f>-COGS!AG20</f>
        <v/>
      </c>
      <c r="AH7" s="10">
        <f>-COGS!AH20</f>
        <v/>
      </c>
      <c r="AI7" s="10">
        <f>-COGS!AI20</f>
        <v/>
      </c>
      <c r="AJ7" s="10">
        <f>-COGS!AJ20</f>
        <v/>
      </c>
      <c r="AK7" s="10">
        <f>-COGS!AK20</f>
        <v/>
      </c>
      <c r="AL7" s="10">
        <f>-COGS!AL20</f>
        <v/>
      </c>
      <c r="AM7" s="10">
        <f>-COGS!AM20</f>
        <v/>
      </c>
      <c r="AN7" s="10">
        <f>-COGS!AN20</f>
        <v/>
      </c>
      <c r="AO7" s="10">
        <f>-COGS!AO20</f>
        <v/>
      </c>
      <c r="AP7" s="10">
        <f>-COGS!AP20</f>
        <v/>
      </c>
      <c r="AQ7" s="10">
        <f>-COGS!AQ20</f>
        <v/>
      </c>
      <c r="AR7" s="10">
        <f>-COGS!AR20</f>
        <v/>
      </c>
      <c r="AS7" s="10">
        <f>-COGS!AS20</f>
        <v/>
      </c>
      <c r="AT7" s="10">
        <f>-COGS!AT20</f>
        <v/>
      </c>
      <c r="AU7" s="10">
        <f>-COGS!AU20</f>
        <v/>
      </c>
      <c r="AV7" s="10">
        <f>-COGS!AV20</f>
        <v/>
      </c>
      <c r="AW7" s="10">
        <f>-COGS!AW20</f>
        <v/>
      </c>
      <c r="AX7" s="10">
        <f>-COGS!AX20</f>
        <v/>
      </c>
      <c r="AY7" s="10">
        <f>-COGS!AY20</f>
        <v/>
      </c>
      <c r="AZ7" s="10">
        <f>-COGS!AZ20</f>
        <v/>
      </c>
      <c r="BA7" s="10">
        <f>-COGS!BA20</f>
        <v/>
      </c>
      <c r="BB7" s="10">
        <f>-COGS!BB20</f>
        <v/>
      </c>
      <c r="BC7" s="10">
        <f>-COGS!BC20</f>
        <v/>
      </c>
      <c r="BD7" s="10">
        <f>-COGS!BD20</f>
        <v/>
      </c>
      <c r="BE7" s="10">
        <f>-COGS!BE20</f>
        <v/>
      </c>
      <c r="BF7" s="10">
        <f>-COGS!BF20</f>
        <v/>
      </c>
      <c r="BG7" s="10">
        <f>-COGS!BG20</f>
        <v/>
      </c>
      <c r="BH7" s="10">
        <f>-COGS!BH20</f>
        <v/>
      </c>
      <c r="BI7" s="10">
        <f>-COGS!BI20</f>
        <v/>
      </c>
      <c r="BJ7" s="10">
        <f>-COGS!BJ20</f>
        <v/>
      </c>
      <c r="BK7" s="10">
        <f>-COGS!BK20</f>
        <v/>
      </c>
      <c r="BL7" s="10">
        <f>-COGS!BL20</f>
        <v/>
      </c>
      <c r="BN7" s="53">
        <f>SUM(E7:P7)</f>
        <v/>
      </c>
      <c r="BO7" s="53">
        <f>SUM(Q7:AB7)</f>
        <v/>
      </c>
      <c r="BP7" s="53">
        <f>SUM(AC7:AN7)</f>
        <v/>
      </c>
      <c r="BQ7" s="53">
        <f>SUM(AO7:AZ7)</f>
        <v/>
      </c>
      <c r="BR7" s="53">
        <f>SUM(BA7:BL7)</f>
        <v/>
      </c>
    </row>
    <row r="8">
      <c r="B8" s="49"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52"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52"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52"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52"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2">
        <f>SUM(E11:E13)</f>
        <v/>
      </c>
      <c r="F14" s="32">
        <f>SUM(F11:F13)</f>
        <v/>
      </c>
      <c r="G14" s="32">
        <f>SUM(G11:G13)</f>
        <v/>
      </c>
      <c r="H14" s="32">
        <f>SUM(H11:H13)</f>
        <v/>
      </c>
      <c r="I14" s="32">
        <f>SUM(I11:I13)</f>
        <v/>
      </c>
      <c r="J14" s="32">
        <f>SUM(J11:J13)</f>
        <v/>
      </c>
      <c r="K14" s="32">
        <f>SUM(K11:K13)</f>
        <v/>
      </c>
      <c r="L14" s="32">
        <f>SUM(L11:L13)</f>
        <v/>
      </c>
      <c r="M14" s="32">
        <f>SUM(M11:M13)</f>
        <v/>
      </c>
      <c r="N14" s="32">
        <f>SUM(N11:N13)</f>
        <v/>
      </c>
      <c r="O14" s="32">
        <f>SUM(O11:O13)</f>
        <v/>
      </c>
      <c r="P14" s="32">
        <f>SUM(P11:P13)</f>
        <v/>
      </c>
      <c r="Q14" s="32">
        <f>SUM(Q11:Q13)</f>
        <v/>
      </c>
      <c r="R14" s="32">
        <f>SUM(R11:R13)</f>
        <v/>
      </c>
      <c r="S14" s="32">
        <f>SUM(S11:S13)</f>
        <v/>
      </c>
      <c r="T14" s="32">
        <f>SUM(T11:T13)</f>
        <v/>
      </c>
      <c r="U14" s="32">
        <f>SUM(U11:U13)</f>
        <v/>
      </c>
      <c r="V14" s="32">
        <f>SUM(V11:V13)</f>
        <v/>
      </c>
      <c r="W14" s="32">
        <f>SUM(W11:W13)</f>
        <v/>
      </c>
      <c r="X14" s="32">
        <f>SUM(X11:X13)</f>
        <v/>
      </c>
      <c r="Y14" s="32">
        <f>SUM(Y11:Y13)</f>
        <v/>
      </c>
      <c r="Z14" s="32">
        <f>SUM(Z11:Z13)</f>
        <v/>
      </c>
      <c r="AA14" s="32">
        <f>SUM(AA11:AA13)</f>
        <v/>
      </c>
      <c r="AB14" s="32">
        <f>SUM(AB11:AB13)</f>
        <v/>
      </c>
      <c r="AC14" s="32">
        <f>SUM(AC11:AC13)</f>
        <v/>
      </c>
      <c r="AD14" s="32">
        <f>SUM(AD11:AD13)</f>
        <v/>
      </c>
      <c r="AE14" s="32">
        <f>SUM(AE11:AE13)</f>
        <v/>
      </c>
      <c r="AF14" s="32">
        <f>SUM(AF11:AF13)</f>
        <v/>
      </c>
      <c r="AG14" s="32">
        <f>SUM(AG11:AG13)</f>
        <v/>
      </c>
      <c r="AH14" s="32">
        <f>SUM(AH11:AH13)</f>
        <v/>
      </c>
      <c r="AI14" s="32">
        <f>SUM(AI11:AI13)</f>
        <v/>
      </c>
      <c r="AJ14" s="32">
        <f>SUM(AJ11:AJ13)</f>
        <v/>
      </c>
      <c r="AK14" s="32">
        <f>SUM(AK11:AK13)</f>
        <v/>
      </c>
      <c r="AL14" s="32">
        <f>SUM(AL11:AL13)</f>
        <v/>
      </c>
      <c r="AM14" s="32">
        <f>SUM(AM11:AM13)</f>
        <v/>
      </c>
      <c r="AN14" s="32">
        <f>SUM(AN11:AN13)</f>
        <v/>
      </c>
      <c r="AO14" s="32">
        <f>SUM(AO11:AO13)</f>
        <v/>
      </c>
      <c r="AP14" s="32">
        <f>SUM(AP11:AP13)</f>
        <v/>
      </c>
      <c r="AQ14" s="32">
        <f>SUM(AQ11:AQ13)</f>
        <v/>
      </c>
      <c r="AR14" s="32">
        <f>SUM(AR11:AR13)</f>
        <v/>
      </c>
      <c r="AS14" s="32">
        <f>SUM(AS11:AS13)</f>
        <v/>
      </c>
      <c r="AT14" s="32">
        <f>SUM(AT11:AT13)</f>
        <v/>
      </c>
      <c r="AU14" s="32">
        <f>SUM(AU11:AU13)</f>
        <v/>
      </c>
      <c r="AV14" s="32">
        <f>SUM(AV11:AV13)</f>
        <v/>
      </c>
      <c r="AW14" s="32">
        <f>SUM(AW11:AW13)</f>
        <v/>
      </c>
      <c r="AX14" s="32">
        <f>SUM(AX11:AX13)</f>
        <v/>
      </c>
      <c r="AY14" s="32">
        <f>SUM(AY11:AY13)</f>
        <v/>
      </c>
      <c r="AZ14" s="32">
        <f>SUM(AZ11:AZ13)</f>
        <v/>
      </c>
      <c r="BA14" s="32">
        <f>SUM(BA11:BA13)</f>
        <v/>
      </c>
      <c r="BB14" s="32">
        <f>SUM(BB11:BB13)</f>
        <v/>
      </c>
      <c r="BC14" s="32">
        <f>SUM(BC11:BC13)</f>
        <v/>
      </c>
      <c r="BD14" s="32">
        <f>SUM(BD11:BD13)</f>
        <v/>
      </c>
      <c r="BE14" s="32">
        <f>SUM(BE11:BE13)</f>
        <v/>
      </c>
      <c r="BF14" s="32">
        <f>SUM(BF11:BF13)</f>
        <v/>
      </c>
      <c r="BG14" s="32">
        <f>SUM(BG11:BG13)</f>
        <v/>
      </c>
      <c r="BH14" s="32">
        <f>SUM(BH11:BH13)</f>
        <v/>
      </c>
      <c r="BI14" s="32">
        <f>SUM(BI11:BI13)</f>
        <v/>
      </c>
      <c r="BJ14" s="32">
        <f>SUM(BJ11:BJ13)</f>
        <v/>
      </c>
      <c r="BK14" s="32">
        <f>SUM(BK11:BK13)</f>
        <v/>
      </c>
      <c r="BL14" s="32">
        <f>SUM(BL11:BL13)</f>
        <v/>
      </c>
      <c r="BN14" s="32">
        <f>SUM(E14:P14)</f>
        <v/>
      </c>
      <c r="BO14" s="32">
        <f>SUM(Q14:AB14)</f>
        <v/>
      </c>
      <c r="BP14" s="32">
        <f>SUM(AC14:AN14)</f>
        <v/>
      </c>
      <c r="BQ14" s="32">
        <f>SUM(AO14:AZ14)</f>
        <v/>
      </c>
      <c r="BR14" s="32">
        <f>SUM(BA14:BL14)</f>
        <v/>
      </c>
    </row>
    <row r="16">
      <c r="B16" s="49"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52"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52"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28" t="inlineStr">
        <is>
          <t>straight line on the gross book value carried into the month</t>
        </is>
      </c>
    </row>
    <row r="20">
      <c r="B20" s="6" t="inlineStr">
        <is>
          <t>Interest on the loan</t>
        </is>
      </c>
      <c r="C20" s="52"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52"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52"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28" t="inlineStr">
        <is>
          <t>losses are carried forward and absorb profit before any tax is paid</t>
        </is>
      </c>
    </row>
    <row r="23">
      <c r="B23" s="49"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52"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49"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52"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52"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52"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52"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52"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2">
        <f>SUM(E27:E31)</f>
        <v/>
      </c>
      <c r="F32" s="32">
        <f>SUM(F27:F31)</f>
        <v/>
      </c>
      <c r="G32" s="32">
        <f>SUM(G27:G31)</f>
        <v/>
      </c>
      <c r="H32" s="32">
        <f>SUM(H27:H31)</f>
        <v/>
      </c>
      <c r="I32" s="32">
        <f>SUM(I27:I31)</f>
        <v/>
      </c>
      <c r="J32" s="32">
        <f>SUM(J27:J31)</f>
        <v/>
      </c>
      <c r="K32" s="32">
        <f>SUM(K27:K31)</f>
        <v/>
      </c>
      <c r="L32" s="32">
        <f>SUM(L27:L31)</f>
        <v/>
      </c>
      <c r="M32" s="32">
        <f>SUM(M27:M31)</f>
        <v/>
      </c>
      <c r="N32" s="32">
        <f>SUM(N27:N31)</f>
        <v/>
      </c>
      <c r="O32" s="32">
        <f>SUM(O27:O31)</f>
        <v/>
      </c>
      <c r="P32" s="32">
        <f>SUM(P27:P31)</f>
        <v/>
      </c>
      <c r="Q32" s="32">
        <f>SUM(Q27:Q31)</f>
        <v/>
      </c>
      <c r="R32" s="32">
        <f>SUM(R27:R31)</f>
        <v/>
      </c>
      <c r="S32" s="32">
        <f>SUM(S27:S31)</f>
        <v/>
      </c>
      <c r="T32" s="32">
        <f>SUM(T27:T31)</f>
        <v/>
      </c>
      <c r="U32" s="32">
        <f>SUM(U27:U31)</f>
        <v/>
      </c>
      <c r="V32" s="32">
        <f>SUM(V27:V31)</f>
        <v/>
      </c>
      <c r="W32" s="32">
        <f>SUM(W27:W31)</f>
        <v/>
      </c>
      <c r="X32" s="32">
        <f>SUM(X27:X31)</f>
        <v/>
      </c>
      <c r="Y32" s="32">
        <f>SUM(Y27:Y31)</f>
        <v/>
      </c>
      <c r="Z32" s="32">
        <f>SUM(Z27:Z31)</f>
        <v/>
      </c>
      <c r="AA32" s="32">
        <f>SUM(AA27:AA31)</f>
        <v/>
      </c>
      <c r="AB32" s="32">
        <f>SUM(AB27:AB31)</f>
        <v/>
      </c>
      <c r="AC32" s="32">
        <f>SUM(AC27:AC31)</f>
        <v/>
      </c>
      <c r="AD32" s="32">
        <f>SUM(AD27:AD31)</f>
        <v/>
      </c>
      <c r="AE32" s="32">
        <f>SUM(AE27:AE31)</f>
        <v/>
      </c>
      <c r="AF32" s="32">
        <f>SUM(AF27:AF31)</f>
        <v/>
      </c>
      <c r="AG32" s="32">
        <f>SUM(AG27:AG31)</f>
        <v/>
      </c>
      <c r="AH32" s="32">
        <f>SUM(AH27:AH31)</f>
        <v/>
      </c>
      <c r="AI32" s="32">
        <f>SUM(AI27:AI31)</f>
        <v/>
      </c>
      <c r="AJ32" s="32">
        <f>SUM(AJ27:AJ31)</f>
        <v/>
      </c>
      <c r="AK32" s="32">
        <f>SUM(AK27:AK31)</f>
        <v/>
      </c>
      <c r="AL32" s="32">
        <f>SUM(AL27:AL31)</f>
        <v/>
      </c>
      <c r="AM32" s="32">
        <f>SUM(AM27:AM31)</f>
        <v/>
      </c>
      <c r="AN32" s="32">
        <f>SUM(AN27:AN31)</f>
        <v/>
      </c>
      <c r="AO32" s="32">
        <f>SUM(AO27:AO31)</f>
        <v/>
      </c>
      <c r="AP32" s="32">
        <f>SUM(AP27:AP31)</f>
        <v/>
      </c>
      <c r="AQ32" s="32">
        <f>SUM(AQ27:AQ31)</f>
        <v/>
      </c>
      <c r="AR32" s="32">
        <f>SUM(AR27:AR31)</f>
        <v/>
      </c>
      <c r="AS32" s="32">
        <f>SUM(AS27:AS31)</f>
        <v/>
      </c>
      <c r="AT32" s="32">
        <f>SUM(AT27:AT31)</f>
        <v/>
      </c>
      <c r="AU32" s="32">
        <f>SUM(AU27:AU31)</f>
        <v/>
      </c>
      <c r="AV32" s="32">
        <f>SUM(AV27:AV31)</f>
        <v/>
      </c>
      <c r="AW32" s="32">
        <f>SUM(AW27:AW31)</f>
        <v/>
      </c>
      <c r="AX32" s="32">
        <f>SUM(AX27:AX31)</f>
        <v/>
      </c>
      <c r="AY32" s="32">
        <f>SUM(AY27:AY31)</f>
        <v/>
      </c>
      <c r="AZ32" s="32">
        <f>SUM(AZ27:AZ31)</f>
        <v/>
      </c>
      <c r="BA32" s="32">
        <f>SUM(BA27:BA31)</f>
        <v/>
      </c>
      <c r="BB32" s="32">
        <f>SUM(BB27:BB31)</f>
        <v/>
      </c>
      <c r="BC32" s="32">
        <f>SUM(BC27:BC31)</f>
        <v/>
      </c>
      <c r="BD32" s="32">
        <f>SUM(BD27:BD31)</f>
        <v/>
      </c>
      <c r="BE32" s="32">
        <f>SUM(BE27:BE31)</f>
        <v/>
      </c>
      <c r="BF32" s="32">
        <f>SUM(BF27:BF31)</f>
        <v/>
      </c>
      <c r="BG32" s="32">
        <f>SUM(BG27:BG31)</f>
        <v/>
      </c>
      <c r="BH32" s="32">
        <f>SUM(BH27:BH31)</f>
        <v/>
      </c>
      <c r="BI32" s="32">
        <f>SUM(BI27:BI31)</f>
        <v/>
      </c>
      <c r="BJ32" s="32">
        <f>SUM(BJ27:BJ31)</f>
        <v/>
      </c>
      <c r="BK32" s="32">
        <f>SUM(BK27:BK31)</f>
        <v/>
      </c>
      <c r="BL32" s="32">
        <f>SUM(BL27:BL31)</f>
        <v/>
      </c>
      <c r="BN32" s="32">
        <f>SUM(E32:P32)</f>
        <v/>
      </c>
      <c r="BO32" s="32">
        <f>SUM(Q32:AB32)</f>
        <v/>
      </c>
      <c r="BP32" s="32">
        <f>SUM(AC32:AN32)</f>
        <v/>
      </c>
      <c r="BQ32" s="32">
        <f>SUM(AO32:AZ32)</f>
        <v/>
      </c>
      <c r="BR32" s="32">
        <f>SUM(BA32:BL32)</f>
        <v/>
      </c>
    </row>
    <row r="33">
      <c r="B33" s="6" t="inlineStr">
        <is>
          <t>Capital expenditure</t>
        </is>
      </c>
      <c r="C33" s="52"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2">
        <f>E33</f>
        <v/>
      </c>
      <c r="F34" s="32">
        <f>F33</f>
        <v/>
      </c>
      <c r="G34" s="32">
        <f>G33</f>
        <v/>
      </c>
      <c r="H34" s="32">
        <f>H33</f>
        <v/>
      </c>
      <c r="I34" s="32">
        <f>I33</f>
        <v/>
      </c>
      <c r="J34" s="32">
        <f>J33</f>
        <v/>
      </c>
      <c r="K34" s="32">
        <f>K33</f>
        <v/>
      </c>
      <c r="L34" s="32">
        <f>L33</f>
        <v/>
      </c>
      <c r="M34" s="32">
        <f>M33</f>
        <v/>
      </c>
      <c r="N34" s="32">
        <f>N33</f>
        <v/>
      </c>
      <c r="O34" s="32">
        <f>O33</f>
        <v/>
      </c>
      <c r="P34" s="32">
        <f>P33</f>
        <v/>
      </c>
      <c r="Q34" s="32">
        <f>Q33</f>
        <v/>
      </c>
      <c r="R34" s="32">
        <f>R33</f>
        <v/>
      </c>
      <c r="S34" s="32">
        <f>S33</f>
        <v/>
      </c>
      <c r="T34" s="32">
        <f>T33</f>
        <v/>
      </c>
      <c r="U34" s="32">
        <f>U33</f>
        <v/>
      </c>
      <c r="V34" s="32">
        <f>V33</f>
        <v/>
      </c>
      <c r="W34" s="32">
        <f>W33</f>
        <v/>
      </c>
      <c r="X34" s="32">
        <f>X33</f>
        <v/>
      </c>
      <c r="Y34" s="32">
        <f>Y33</f>
        <v/>
      </c>
      <c r="Z34" s="32">
        <f>Z33</f>
        <v/>
      </c>
      <c r="AA34" s="32">
        <f>AA33</f>
        <v/>
      </c>
      <c r="AB34" s="32">
        <f>AB33</f>
        <v/>
      </c>
      <c r="AC34" s="32">
        <f>AC33</f>
        <v/>
      </c>
      <c r="AD34" s="32">
        <f>AD33</f>
        <v/>
      </c>
      <c r="AE34" s="32">
        <f>AE33</f>
        <v/>
      </c>
      <c r="AF34" s="32">
        <f>AF33</f>
        <v/>
      </c>
      <c r="AG34" s="32">
        <f>AG33</f>
        <v/>
      </c>
      <c r="AH34" s="32">
        <f>AH33</f>
        <v/>
      </c>
      <c r="AI34" s="32">
        <f>AI33</f>
        <v/>
      </c>
      <c r="AJ34" s="32">
        <f>AJ33</f>
        <v/>
      </c>
      <c r="AK34" s="32">
        <f>AK33</f>
        <v/>
      </c>
      <c r="AL34" s="32">
        <f>AL33</f>
        <v/>
      </c>
      <c r="AM34" s="32">
        <f>AM33</f>
        <v/>
      </c>
      <c r="AN34" s="32">
        <f>AN33</f>
        <v/>
      </c>
      <c r="AO34" s="32">
        <f>AO33</f>
        <v/>
      </c>
      <c r="AP34" s="32">
        <f>AP33</f>
        <v/>
      </c>
      <c r="AQ34" s="32">
        <f>AQ33</f>
        <v/>
      </c>
      <c r="AR34" s="32">
        <f>AR33</f>
        <v/>
      </c>
      <c r="AS34" s="32">
        <f>AS33</f>
        <v/>
      </c>
      <c r="AT34" s="32">
        <f>AT33</f>
        <v/>
      </c>
      <c r="AU34" s="32">
        <f>AU33</f>
        <v/>
      </c>
      <c r="AV34" s="32">
        <f>AV33</f>
        <v/>
      </c>
      <c r="AW34" s="32">
        <f>AW33</f>
        <v/>
      </c>
      <c r="AX34" s="32">
        <f>AX33</f>
        <v/>
      </c>
      <c r="AY34" s="32">
        <f>AY33</f>
        <v/>
      </c>
      <c r="AZ34" s="32">
        <f>AZ33</f>
        <v/>
      </c>
      <c r="BA34" s="32">
        <f>BA33</f>
        <v/>
      </c>
      <c r="BB34" s="32">
        <f>BB33</f>
        <v/>
      </c>
      <c r="BC34" s="32">
        <f>BC33</f>
        <v/>
      </c>
      <c r="BD34" s="32">
        <f>BD33</f>
        <v/>
      </c>
      <c r="BE34" s="32">
        <f>BE33</f>
        <v/>
      </c>
      <c r="BF34" s="32">
        <f>BF33</f>
        <v/>
      </c>
      <c r="BG34" s="32">
        <f>BG33</f>
        <v/>
      </c>
      <c r="BH34" s="32">
        <f>BH33</f>
        <v/>
      </c>
      <c r="BI34" s="32">
        <f>BI33</f>
        <v/>
      </c>
      <c r="BJ34" s="32">
        <f>BJ33</f>
        <v/>
      </c>
      <c r="BK34" s="32">
        <f>BK33</f>
        <v/>
      </c>
      <c r="BL34" s="32">
        <f>BL33</f>
        <v/>
      </c>
      <c r="BN34" s="32">
        <f>SUM(E34:P34)</f>
        <v/>
      </c>
      <c r="BO34" s="32">
        <f>SUM(Q34:AB34)</f>
        <v/>
      </c>
      <c r="BP34" s="32">
        <f>SUM(AC34:AN34)</f>
        <v/>
      </c>
      <c r="BQ34" s="32">
        <f>SUM(AO34:AZ34)</f>
        <v/>
      </c>
      <c r="BR34" s="32">
        <f>SUM(BA34:BL34)</f>
        <v/>
      </c>
    </row>
    <row r="35">
      <c r="B35" s="6" t="inlineStr">
        <is>
          <t>Equity raised</t>
        </is>
      </c>
      <c r="C35" s="52" t="inlineStr">
        <is>
          <t>EUR</t>
        </is>
      </c>
      <c r="E35" s="10">
        <f>IF(AND(YEAR(E$3)=YEAR(Assumptions!$F$141),MONTH(E$3)=MONTH(Assumptions!$F$141)),Assumptions!$F$142,0)+IF(AND(YEAR(E$3)=YEAR(Assumptions!$F$143),MONTH(E$3)=MONTH(Assumptions!$F$143)),Assumptions!$F$144,0)</f>
        <v/>
      </c>
      <c r="F35" s="10">
        <f>IF(AND(YEAR(F$3)=YEAR(Assumptions!$F$141),MONTH(F$3)=MONTH(Assumptions!$F$141)),Assumptions!$F$142,0)+IF(AND(YEAR(F$3)=YEAR(Assumptions!$F$143),MONTH(F$3)=MONTH(Assumptions!$F$143)),Assumptions!$F$144,0)</f>
        <v/>
      </c>
      <c r="G35" s="10">
        <f>IF(AND(YEAR(G$3)=YEAR(Assumptions!$F$141),MONTH(G$3)=MONTH(Assumptions!$F$141)),Assumptions!$F$142,0)+IF(AND(YEAR(G$3)=YEAR(Assumptions!$F$143),MONTH(G$3)=MONTH(Assumptions!$F$143)),Assumptions!$F$144,0)</f>
        <v/>
      </c>
      <c r="H35" s="10">
        <f>IF(AND(YEAR(H$3)=YEAR(Assumptions!$F$141),MONTH(H$3)=MONTH(Assumptions!$F$141)),Assumptions!$F$142,0)+IF(AND(YEAR(H$3)=YEAR(Assumptions!$F$143),MONTH(H$3)=MONTH(Assumptions!$F$143)),Assumptions!$F$144,0)</f>
        <v/>
      </c>
      <c r="I35" s="10">
        <f>IF(AND(YEAR(I$3)=YEAR(Assumptions!$F$141),MONTH(I$3)=MONTH(Assumptions!$F$141)),Assumptions!$F$142,0)+IF(AND(YEAR(I$3)=YEAR(Assumptions!$F$143),MONTH(I$3)=MONTH(Assumptions!$F$143)),Assumptions!$F$144,0)</f>
        <v/>
      </c>
      <c r="J35" s="10">
        <f>IF(AND(YEAR(J$3)=YEAR(Assumptions!$F$141),MONTH(J$3)=MONTH(Assumptions!$F$141)),Assumptions!$F$142,0)+IF(AND(YEAR(J$3)=YEAR(Assumptions!$F$143),MONTH(J$3)=MONTH(Assumptions!$F$143)),Assumptions!$F$144,0)</f>
        <v/>
      </c>
      <c r="K35" s="10">
        <f>IF(AND(YEAR(K$3)=YEAR(Assumptions!$F$141),MONTH(K$3)=MONTH(Assumptions!$F$141)),Assumptions!$F$142,0)+IF(AND(YEAR(K$3)=YEAR(Assumptions!$F$143),MONTH(K$3)=MONTH(Assumptions!$F$143)),Assumptions!$F$144,0)</f>
        <v/>
      </c>
      <c r="L35" s="10">
        <f>IF(AND(YEAR(L$3)=YEAR(Assumptions!$F$141),MONTH(L$3)=MONTH(Assumptions!$F$141)),Assumptions!$F$142,0)+IF(AND(YEAR(L$3)=YEAR(Assumptions!$F$143),MONTH(L$3)=MONTH(Assumptions!$F$143)),Assumptions!$F$144,0)</f>
        <v/>
      </c>
      <c r="M35" s="10">
        <f>IF(AND(YEAR(M$3)=YEAR(Assumptions!$F$141),MONTH(M$3)=MONTH(Assumptions!$F$141)),Assumptions!$F$142,0)+IF(AND(YEAR(M$3)=YEAR(Assumptions!$F$143),MONTH(M$3)=MONTH(Assumptions!$F$143)),Assumptions!$F$144,0)</f>
        <v/>
      </c>
      <c r="N35" s="10">
        <f>IF(AND(YEAR(N$3)=YEAR(Assumptions!$F$141),MONTH(N$3)=MONTH(Assumptions!$F$141)),Assumptions!$F$142,0)+IF(AND(YEAR(N$3)=YEAR(Assumptions!$F$143),MONTH(N$3)=MONTH(Assumptions!$F$143)),Assumptions!$F$144,0)</f>
        <v/>
      </c>
      <c r="O35" s="10">
        <f>IF(AND(YEAR(O$3)=YEAR(Assumptions!$F$141),MONTH(O$3)=MONTH(Assumptions!$F$141)),Assumptions!$F$142,0)+IF(AND(YEAR(O$3)=YEAR(Assumptions!$F$143),MONTH(O$3)=MONTH(Assumptions!$F$143)),Assumptions!$F$144,0)</f>
        <v/>
      </c>
      <c r="P35" s="10">
        <f>IF(AND(YEAR(P$3)=YEAR(Assumptions!$F$141),MONTH(P$3)=MONTH(Assumptions!$F$141)),Assumptions!$F$142,0)+IF(AND(YEAR(P$3)=YEAR(Assumptions!$F$143),MONTH(P$3)=MONTH(Assumptions!$F$143)),Assumptions!$F$144,0)</f>
        <v/>
      </c>
      <c r="Q35" s="10">
        <f>IF(AND(YEAR(Q$3)=YEAR(Assumptions!$F$141),MONTH(Q$3)=MONTH(Assumptions!$F$141)),Assumptions!$F$142,0)+IF(AND(YEAR(Q$3)=YEAR(Assumptions!$F$143),MONTH(Q$3)=MONTH(Assumptions!$F$143)),Assumptions!$F$144,0)</f>
        <v/>
      </c>
      <c r="R35" s="10">
        <f>IF(AND(YEAR(R$3)=YEAR(Assumptions!$F$141),MONTH(R$3)=MONTH(Assumptions!$F$141)),Assumptions!$F$142,0)+IF(AND(YEAR(R$3)=YEAR(Assumptions!$F$143),MONTH(R$3)=MONTH(Assumptions!$F$143)),Assumptions!$F$144,0)</f>
        <v/>
      </c>
      <c r="S35" s="10">
        <f>IF(AND(YEAR(S$3)=YEAR(Assumptions!$F$141),MONTH(S$3)=MONTH(Assumptions!$F$141)),Assumptions!$F$142,0)+IF(AND(YEAR(S$3)=YEAR(Assumptions!$F$143),MONTH(S$3)=MONTH(Assumptions!$F$143)),Assumptions!$F$144,0)</f>
        <v/>
      </c>
      <c r="T35" s="10">
        <f>IF(AND(YEAR(T$3)=YEAR(Assumptions!$F$141),MONTH(T$3)=MONTH(Assumptions!$F$141)),Assumptions!$F$142,0)+IF(AND(YEAR(T$3)=YEAR(Assumptions!$F$143),MONTH(T$3)=MONTH(Assumptions!$F$143)),Assumptions!$F$144,0)</f>
        <v/>
      </c>
      <c r="U35" s="10">
        <f>IF(AND(YEAR(U$3)=YEAR(Assumptions!$F$141),MONTH(U$3)=MONTH(Assumptions!$F$141)),Assumptions!$F$142,0)+IF(AND(YEAR(U$3)=YEAR(Assumptions!$F$143),MONTH(U$3)=MONTH(Assumptions!$F$143)),Assumptions!$F$144,0)</f>
        <v/>
      </c>
      <c r="V35" s="10">
        <f>IF(AND(YEAR(V$3)=YEAR(Assumptions!$F$141),MONTH(V$3)=MONTH(Assumptions!$F$141)),Assumptions!$F$142,0)+IF(AND(YEAR(V$3)=YEAR(Assumptions!$F$143),MONTH(V$3)=MONTH(Assumptions!$F$143)),Assumptions!$F$144,0)</f>
        <v/>
      </c>
      <c r="W35" s="10">
        <f>IF(AND(YEAR(W$3)=YEAR(Assumptions!$F$141),MONTH(W$3)=MONTH(Assumptions!$F$141)),Assumptions!$F$142,0)+IF(AND(YEAR(W$3)=YEAR(Assumptions!$F$143),MONTH(W$3)=MONTH(Assumptions!$F$143)),Assumptions!$F$144,0)</f>
        <v/>
      </c>
      <c r="X35" s="10">
        <f>IF(AND(YEAR(X$3)=YEAR(Assumptions!$F$141),MONTH(X$3)=MONTH(Assumptions!$F$141)),Assumptions!$F$142,0)+IF(AND(YEAR(X$3)=YEAR(Assumptions!$F$143),MONTH(X$3)=MONTH(Assumptions!$F$143)),Assumptions!$F$144,0)</f>
        <v/>
      </c>
      <c r="Y35" s="10">
        <f>IF(AND(YEAR(Y$3)=YEAR(Assumptions!$F$141),MONTH(Y$3)=MONTH(Assumptions!$F$141)),Assumptions!$F$142,0)+IF(AND(YEAR(Y$3)=YEAR(Assumptions!$F$143),MONTH(Y$3)=MONTH(Assumptions!$F$143)),Assumptions!$F$144,0)</f>
        <v/>
      </c>
      <c r="Z35" s="10">
        <f>IF(AND(YEAR(Z$3)=YEAR(Assumptions!$F$141),MONTH(Z$3)=MONTH(Assumptions!$F$141)),Assumptions!$F$142,0)+IF(AND(YEAR(Z$3)=YEAR(Assumptions!$F$143),MONTH(Z$3)=MONTH(Assumptions!$F$143)),Assumptions!$F$144,0)</f>
        <v/>
      </c>
      <c r="AA35" s="10">
        <f>IF(AND(YEAR(AA$3)=YEAR(Assumptions!$F$141),MONTH(AA$3)=MONTH(Assumptions!$F$141)),Assumptions!$F$142,0)+IF(AND(YEAR(AA$3)=YEAR(Assumptions!$F$143),MONTH(AA$3)=MONTH(Assumptions!$F$143)),Assumptions!$F$144,0)</f>
        <v/>
      </c>
      <c r="AB35" s="10">
        <f>IF(AND(YEAR(AB$3)=YEAR(Assumptions!$F$141),MONTH(AB$3)=MONTH(Assumptions!$F$141)),Assumptions!$F$142,0)+IF(AND(YEAR(AB$3)=YEAR(Assumptions!$F$143),MONTH(AB$3)=MONTH(Assumptions!$F$143)),Assumptions!$F$144,0)</f>
        <v/>
      </c>
      <c r="AC35" s="10">
        <f>IF(AND(YEAR(AC$3)=YEAR(Assumptions!$F$141),MONTH(AC$3)=MONTH(Assumptions!$F$141)),Assumptions!$F$142,0)+IF(AND(YEAR(AC$3)=YEAR(Assumptions!$F$143),MONTH(AC$3)=MONTH(Assumptions!$F$143)),Assumptions!$F$144,0)</f>
        <v/>
      </c>
      <c r="AD35" s="10">
        <f>IF(AND(YEAR(AD$3)=YEAR(Assumptions!$F$141),MONTH(AD$3)=MONTH(Assumptions!$F$141)),Assumptions!$F$142,0)+IF(AND(YEAR(AD$3)=YEAR(Assumptions!$F$143),MONTH(AD$3)=MONTH(Assumptions!$F$143)),Assumptions!$F$144,0)</f>
        <v/>
      </c>
      <c r="AE35" s="10">
        <f>IF(AND(YEAR(AE$3)=YEAR(Assumptions!$F$141),MONTH(AE$3)=MONTH(Assumptions!$F$141)),Assumptions!$F$142,0)+IF(AND(YEAR(AE$3)=YEAR(Assumptions!$F$143),MONTH(AE$3)=MONTH(Assumptions!$F$143)),Assumptions!$F$144,0)</f>
        <v/>
      </c>
      <c r="AF35" s="10">
        <f>IF(AND(YEAR(AF$3)=YEAR(Assumptions!$F$141),MONTH(AF$3)=MONTH(Assumptions!$F$141)),Assumptions!$F$142,0)+IF(AND(YEAR(AF$3)=YEAR(Assumptions!$F$143),MONTH(AF$3)=MONTH(Assumptions!$F$143)),Assumptions!$F$144,0)</f>
        <v/>
      </c>
      <c r="AG35" s="10">
        <f>IF(AND(YEAR(AG$3)=YEAR(Assumptions!$F$141),MONTH(AG$3)=MONTH(Assumptions!$F$141)),Assumptions!$F$142,0)+IF(AND(YEAR(AG$3)=YEAR(Assumptions!$F$143),MONTH(AG$3)=MONTH(Assumptions!$F$143)),Assumptions!$F$144,0)</f>
        <v/>
      </c>
      <c r="AH35" s="10">
        <f>IF(AND(YEAR(AH$3)=YEAR(Assumptions!$F$141),MONTH(AH$3)=MONTH(Assumptions!$F$141)),Assumptions!$F$142,0)+IF(AND(YEAR(AH$3)=YEAR(Assumptions!$F$143),MONTH(AH$3)=MONTH(Assumptions!$F$143)),Assumptions!$F$144,0)</f>
        <v/>
      </c>
      <c r="AI35" s="10">
        <f>IF(AND(YEAR(AI$3)=YEAR(Assumptions!$F$141),MONTH(AI$3)=MONTH(Assumptions!$F$141)),Assumptions!$F$142,0)+IF(AND(YEAR(AI$3)=YEAR(Assumptions!$F$143),MONTH(AI$3)=MONTH(Assumptions!$F$143)),Assumptions!$F$144,0)</f>
        <v/>
      </c>
      <c r="AJ35" s="10">
        <f>IF(AND(YEAR(AJ$3)=YEAR(Assumptions!$F$141),MONTH(AJ$3)=MONTH(Assumptions!$F$141)),Assumptions!$F$142,0)+IF(AND(YEAR(AJ$3)=YEAR(Assumptions!$F$143),MONTH(AJ$3)=MONTH(Assumptions!$F$143)),Assumptions!$F$144,0)</f>
        <v/>
      </c>
      <c r="AK35" s="10">
        <f>IF(AND(YEAR(AK$3)=YEAR(Assumptions!$F$141),MONTH(AK$3)=MONTH(Assumptions!$F$141)),Assumptions!$F$142,0)+IF(AND(YEAR(AK$3)=YEAR(Assumptions!$F$143),MONTH(AK$3)=MONTH(Assumptions!$F$143)),Assumptions!$F$144,0)</f>
        <v/>
      </c>
      <c r="AL35" s="10">
        <f>IF(AND(YEAR(AL$3)=YEAR(Assumptions!$F$141),MONTH(AL$3)=MONTH(Assumptions!$F$141)),Assumptions!$F$142,0)+IF(AND(YEAR(AL$3)=YEAR(Assumptions!$F$143),MONTH(AL$3)=MONTH(Assumptions!$F$143)),Assumptions!$F$144,0)</f>
        <v/>
      </c>
      <c r="AM35" s="10">
        <f>IF(AND(YEAR(AM$3)=YEAR(Assumptions!$F$141),MONTH(AM$3)=MONTH(Assumptions!$F$141)),Assumptions!$F$142,0)+IF(AND(YEAR(AM$3)=YEAR(Assumptions!$F$143),MONTH(AM$3)=MONTH(Assumptions!$F$143)),Assumptions!$F$144,0)</f>
        <v/>
      </c>
      <c r="AN35" s="10">
        <f>IF(AND(YEAR(AN$3)=YEAR(Assumptions!$F$141),MONTH(AN$3)=MONTH(Assumptions!$F$141)),Assumptions!$F$142,0)+IF(AND(YEAR(AN$3)=YEAR(Assumptions!$F$143),MONTH(AN$3)=MONTH(Assumptions!$F$143)),Assumptions!$F$144,0)</f>
        <v/>
      </c>
      <c r="AO35" s="10">
        <f>IF(AND(YEAR(AO$3)=YEAR(Assumptions!$F$141),MONTH(AO$3)=MONTH(Assumptions!$F$141)),Assumptions!$F$142,0)+IF(AND(YEAR(AO$3)=YEAR(Assumptions!$F$143),MONTH(AO$3)=MONTH(Assumptions!$F$143)),Assumptions!$F$144,0)</f>
        <v/>
      </c>
      <c r="AP35" s="10">
        <f>IF(AND(YEAR(AP$3)=YEAR(Assumptions!$F$141),MONTH(AP$3)=MONTH(Assumptions!$F$141)),Assumptions!$F$142,0)+IF(AND(YEAR(AP$3)=YEAR(Assumptions!$F$143),MONTH(AP$3)=MONTH(Assumptions!$F$143)),Assumptions!$F$144,0)</f>
        <v/>
      </c>
      <c r="AQ35" s="10">
        <f>IF(AND(YEAR(AQ$3)=YEAR(Assumptions!$F$141),MONTH(AQ$3)=MONTH(Assumptions!$F$141)),Assumptions!$F$142,0)+IF(AND(YEAR(AQ$3)=YEAR(Assumptions!$F$143),MONTH(AQ$3)=MONTH(Assumptions!$F$143)),Assumptions!$F$144,0)</f>
        <v/>
      </c>
      <c r="AR35" s="10">
        <f>IF(AND(YEAR(AR$3)=YEAR(Assumptions!$F$141),MONTH(AR$3)=MONTH(Assumptions!$F$141)),Assumptions!$F$142,0)+IF(AND(YEAR(AR$3)=YEAR(Assumptions!$F$143),MONTH(AR$3)=MONTH(Assumptions!$F$143)),Assumptions!$F$144,0)</f>
        <v/>
      </c>
      <c r="AS35" s="10">
        <f>IF(AND(YEAR(AS$3)=YEAR(Assumptions!$F$141),MONTH(AS$3)=MONTH(Assumptions!$F$141)),Assumptions!$F$142,0)+IF(AND(YEAR(AS$3)=YEAR(Assumptions!$F$143),MONTH(AS$3)=MONTH(Assumptions!$F$143)),Assumptions!$F$144,0)</f>
        <v/>
      </c>
      <c r="AT35" s="10">
        <f>IF(AND(YEAR(AT$3)=YEAR(Assumptions!$F$141),MONTH(AT$3)=MONTH(Assumptions!$F$141)),Assumptions!$F$142,0)+IF(AND(YEAR(AT$3)=YEAR(Assumptions!$F$143),MONTH(AT$3)=MONTH(Assumptions!$F$143)),Assumptions!$F$144,0)</f>
        <v/>
      </c>
      <c r="AU35" s="10">
        <f>IF(AND(YEAR(AU$3)=YEAR(Assumptions!$F$141),MONTH(AU$3)=MONTH(Assumptions!$F$141)),Assumptions!$F$142,0)+IF(AND(YEAR(AU$3)=YEAR(Assumptions!$F$143),MONTH(AU$3)=MONTH(Assumptions!$F$143)),Assumptions!$F$144,0)</f>
        <v/>
      </c>
      <c r="AV35" s="10">
        <f>IF(AND(YEAR(AV$3)=YEAR(Assumptions!$F$141),MONTH(AV$3)=MONTH(Assumptions!$F$141)),Assumptions!$F$142,0)+IF(AND(YEAR(AV$3)=YEAR(Assumptions!$F$143),MONTH(AV$3)=MONTH(Assumptions!$F$143)),Assumptions!$F$144,0)</f>
        <v/>
      </c>
      <c r="AW35" s="10">
        <f>IF(AND(YEAR(AW$3)=YEAR(Assumptions!$F$141),MONTH(AW$3)=MONTH(Assumptions!$F$141)),Assumptions!$F$142,0)+IF(AND(YEAR(AW$3)=YEAR(Assumptions!$F$143),MONTH(AW$3)=MONTH(Assumptions!$F$143)),Assumptions!$F$144,0)</f>
        <v/>
      </c>
      <c r="AX35" s="10">
        <f>IF(AND(YEAR(AX$3)=YEAR(Assumptions!$F$141),MONTH(AX$3)=MONTH(Assumptions!$F$141)),Assumptions!$F$142,0)+IF(AND(YEAR(AX$3)=YEAR(Assumptions!$F$143),MONTH(AX$3)=MONTH(Assumptions!$F$143)),Assumptions!$F$144,0)</f>
        <v/>
      </c>
      <c r="AY35" s="10">
        <f>IF(AND(YEAR(AY$3)=YEAR(Assumptions!$F$141),MONTH(AY$3)=MONTH(Assumptions!$F$141)),Assumptions!$F$142,0)+IF(AND(YEAR(AY$3)=YEAR(Assumptions!$F$143),MONTH(AY$3)=MONTH(Assumptions!$F$143)),Assumptions!$F$144,0)</f>
        <v/>
      </c>
      <c r="AZ35" s="10">
        <f>IF(AND(YEAR(AZ$3)=YEAR(Assumptions!$F$141),MONTH(AZ$3)=MONTH(Assumptions!$F$141)),Assumptions!$F$142,0)+IF(AND(YEAR(AZ$3)=YEAR(Assumptions!$F$143),MONTH(AZ$3)=MONTH(Assumptions!$F$143)),Assumptions!$F$144,0)</f>
        <v/>
      </c>
      <c r="BA35" s="10">
        <f>IF(AND(YEAR(BA$3)=YEAR(Assumptions!$F$141),MONTH(BA$3)=MONTH(Assumptions!$F$141)),Assumptions!$F$142,0)+IF(AND(YEAR(BA$3)=YEAR(Assumptions!$F$143),MONTH(BA$3)=MONTH(Assumptions!$F$143)),Assumptions!$F$144,0)</f>
        <v/>
      </c>
      <c r="BB35" s="10">
        <f>IF(AND(YEAR(BB$3)=YEAR(Assumptions!$F$141),MONTH(BB$3)=MONTH(Assumptions!$F$141)),Assumptions!$F$142,0)+IF(AND(YEAR(BB$3)=YEAR(Assumptions!$F$143),MONTH(BB$3)=MONTH(Assumptions!$F$143)),Assumptions!$F$144,0)</f>
        <v/>
      </c>
      <c r="BC35" s="10">
        <f>IF(AND(YEAR(BC$3)=YEAR(Assumptions!$F$141),MONTH(BC$3)=MONTH(Assumptions!$F$141)),Assumptions!$F$142,0)+IF(AND(YEAR(BC$3)=YEAR(Assumptions!$F$143),MONTH(BC$3)=MONTH(Assumptions!$F$143)),Assumptions!$F$144,0)</f>
        <v/>
      </c>
      <c r="BD35" s="10">
        <f>IF(AND(YEAR(BD$3)=YEAR(Assumptions!$F$141),MONTH(BD$3)=MONTH(Assumptions!$F$141)),Assumptions!$F$142,0)+IF(AND(YEAR(BD$3)=YEAR(Assumptions!$F$143),MONTH(BD$3)=MONTH(Assumptions!$F$143)),Assumptions!$F$144,0)</f>
        <v/>
      </c>
      <c r="BE35" s="10">
        <f>IF(AND(YEAR(BE$3)=YEAR(Assumptions!$F$141),MONTH(BE$3)=MONTH(Assumptions!$F$141)),Assumptions!$F$142,0)+IF(AND(YEAR(BE$3)=YEAR(Assumptions!$F$143),MONTH(BE$3)=MONTH(Assumptions!$F$143)),Assumptions!$F$144,0)</f>
        <v/>
      </c>
      <c r="BF35" s="10">
        <f>IF(AND(YEAR(BF$3)=YEAR(Assumptions!$F$141),MONTH(BF$3)=MONTH(Assumptions!$F$141)),Assumptions!$F$142,0)+IF(AND(YEAR(BF$3)=YEAR(Assumptions!$F$143),MONTH(BF$3)=MONTH(Assumptions!$F$143)),Assumptions!$F$144,0)</f>
        <v/>
      </c>
      <c r="BG35" s="10">
        <f>IF(AND(YEAR(BG$3)=YEAR(Assumptions!$F$141),MONTH(BG$3)=MONTH(Assumptions!$F$141)),Assumptions!$F$142,0)+IF(AND(YEAR(BG$3)=YEAR(Assumptions!$F$143),MONTH(BG$3)=MONTH(Assumptions!$F$143)),Assumptions!$F$144,0)</f>
        <v/>
      </c>
      <c r="BH35" s="10">
        <f>IF(AND(YEAR(BH$3)=YEAR(Assumptions!$F$141),MONTH(BH$3)=MONTH(Assumptions!$F$141)),Assumptions!$F$142,0)+IF(AND(YEAR(BH$3)=YEAR(Assumptions!$F$143),MONTH(BH$3)=MONTH(Assumptions!$F$143)),Assumptions!$F$144,0)</f>
        <v/>
      </c>
      <c r="BI35" s="10">
        <f>IF(AND(YEAR(BI$3)=YEAR(Assumptions!$F$141),MONTH(BI$3)=MONTH(Assumptions!$F$141)),Assumptions!$F$142,0)+IF(AND(YEAR(BI$3)=YEAR(Assumptions!$F$143),MONTH(BI$3)=MONTH(Assumptions!$F$143)),Assumptions!$F$144,0)</f>
        <v/>
      </c>
      <c r="BJ35" s="10">
        <f>IF(AND(YEAR(BJ$3)=YEAR(Assumptions!$F$141),MONTH(BJ$3)=MONTH(Assumptions!$F$141)),Assumptions!$F$142,0)+IF(AND(YEAR(BJ$3)=YEAR(Assumptions!$F$143),MONTH(BJ$3)=MONTH(Assumptions!$F$143)),Assumptions!$F$144,0)</f>
        <v/>
      </c>
      <c r="BK35" s="10">
        <f>IF(AND(YEAR(BK$3)=YEAR(Assumptions!$F$141),MONTH(BK$3)=MONTH(Assumptions!$F$141)),Assumptions!$F$142,0)+IF(AND(YEAR(BK$3)=YEAR(Assumptions!$F$143),MONTH(BK$3)=MONTH(Assumptions!$F$143)),Assumptions!$F$144,0)</f>
        <v/>
      </c>
      <c r="BL35" s="10">
        <f>IF(AND(YEAR(BL$3)=YEAR(Assumptions!$F$141),MONTH(BL$3)=MONTH(Assumptions!$F$141)),Assumptions!$F$142,0)+IF(AND(YEAR(BL$3)=YEAR(Assumptions!$F$143),MONTH(BL$3)=MONTH(Assumptions!$F$143)),Assumptions!$F$144,0)</f>
        <v/>
      </c>
      <c r="BN35" s="53">
        <f>SUM(E35:P35)</f>
        <v/>
      </c>
      <c r="BO35" s="53">
        <f>SUM(Q35:AB35)</f>
        <v/>
      </c>
      <c r="BP35" s="53">
        <f>SUM(AC35:AN35)</f>
        <v/>
      </c>
      <c r="BQ35" s="53">
        <f>SUM(AO35:AZ35)</f>
        <v/>
      </c>
      <c r="BR35" s="53">
        <f>SUM(BA35:BL35)</f>
        <v/>
      </c>
      <c r="BT35" s="28" t="inlineStr">
        <is>
          <t>dates and amounts are on the Assumptions funding block; any day in the month counts</t>
        </is>
      </c>
    </row>
    <row r="36">
      <c r="B36" s="6" t="inlineStr">
        <is>
          <t>Loan drawn</t>
        </is>
      </c>
      <c r="C36" s="52" t="inlineStr">
        <is>
          <t>EUR</t>
        </is>
      </c>
      <c r="E36" s="10">
        <f>IF(AND(YEAR(E$3)=YEAR(Assumptions!$F$146),MONTH(E$3)=MONTH(Assumptions!$F$146)),Assumptions!$F$145,0)</f>
        <v/>
      </c>
      <c r="F36" s="10">
        <f>IF(AND(YEAR(F$3)=YEAR(Assumptions!$F$146),MONTH(F$3)=MONTH(Assumptions!$F$146)),Assumptions!$F$145,0)</f>
        <v/>
      </c>
      <c r="G36" s="10">
        <f>IF(AND(YEAR(G$3)=YEAR(Assumptions!$F$146),MONTH(G$3)=MONTH(Assumptions!$F$146)),Assumptions!$F$145,0)</f>
        <v/>
      </c>
      <c r="H36" s="10">
        <f>IF(AND(YEAR(H$3)=YEAR(Assumptions!$F$146),MONTH(H$3)=MONTH(Assumptions!$F$146)),Assumptions!$F$145,0)</f>
        <v/>
      </c>
      <c r="I36" s="10">
        <f>IF(AND(YEAR(I$3)=YEAR(Assumptions!$F$146),MONTH(I$3)=MONTH(Assumptions!$F$146)),Assumptions!$F$145,0)</f>
        <v/>
      </c>
      <c r="J36" s="10">
        <f>IF(AND(YEAR(J$3)=YEAR(Assumptions!$F$146),MONTH(J$3)=MONTH(Assumptions!$F$146)),Assumptions!$F$145,0)</f>
        <v/>
      </c>
      <c r="K36" s="10">
        <f>IF(AND(YEAR(K$3)=YEAR(Assumptions!$F$146),MONTH(K$3)=MONTH(Assumptions!$F$146)),Assumptions!$F$145,0)</f>
        <v/>
      </c>
      <c r="L36" s="10">
        <f>IF(AND(YEAR(L$3)=YEAR(Assumptions!$F$146),MONTH(L$3)=MONTH(Assumptions!$F$146)),Assumptions!$F$145,0)</f>
        <v/>
      </c>
      <c r="M36" s="10">
        <f>IF(AND(YEAR(M$3)=YEAR(Assumptions!$F$146),MONTH(M$3)=MONTH(Assumptions!$F$146)),Assumptions!$F$145,0)</f>
        <v/>
      </c>
      <c r="N36" s="10">
        <f>IF(AND(YEAR(N$3)=YEAR(Assumptions!$F$146),MONTH(N$3)=MONTH(Assumptions!$F$146)),Assumptions!$F$145,0)</f>
        <v/>
      </c>
      <c r="O36" s="10">
        <f>IF(AND(YEAR(O$3)=YEAR(Assumptions!$F$146),MONTH(O$3)=MONTH(Assumptions!$F$146)),Assumptions!$F$145,0)</f>
        <v/>
      </c>
      <c r="P36" s="10">
        <f>IF(AND(YEAR(P$3)=YEAR(Assumptions!$F$146),MONTH(P$3)=MONTH(Assumptions!$F$146)),Assumptions!$F$145,0)</f>
        <v/>
      </c>
      <c r="Q36" s="10">
        <f>IF(AND(YEAR(Q$3)=YEAR(Assumptions!$F$146),MONTH(Q$3)=MONTH(Assumptions!$F$146)),Assumptions!$F$145,0)</f>
        <v/>
      </c>
      <c r="R36" s="10">
        <f>IF(AND(YEAR(R$3)=YEAR(Assumptions!$F$146),MONTH(R$3)=MONTH(Assumptions!$F$146)),Assumptions!$F$145,0)</f>
        <v/>
      </c>
      <c r="S36" s="10">
        <f>IF(AND(YEAR(S$3)=YEAR(Assumptions!$F$146),MONTH(S$3)=MONTH(Assumptions!$F$146)),Assumptions!$F$145,0)</f>
        <v/>
      </c>
      <c r="T36" s="10">
        <f>IF(AND(YEAR(T$3)=YEAR(Assumptions!$F$146),MONTH(T$3)=MONTH(Assumptions!$F$146)),Assumptions!$F$145,0)</f>
        <v/>
      </c>
      <c r="U36" s="10">
        <f>IF(AND(YEAR(U$3)=YEAR(Assumptions!$F$146),MONTH(U$3)=MONTH(Assumptions!$F$146)),Assumptions!$F$145,0)</f>
        <v/>
      </c>
      <c r="V36" s="10">
        <f>IF(AND(YEAR(V$3)=YEAR(Assumptions!$F$146),MONTH(V$3)=MONTH(Assumptions!$F$146)),Assumptions!$F$145,0)</f>
        <v/>
      </c>
      <c r="W36" s="10">
        <f>IF(AND(YEAR(W$3)=YEAR(Assumptions!$F$146),MONTH(W$3)=MONTH(Assumptions!$F$146)),Assumptions!$F$145,0)</f>
        <v/>
      </c>
      <c r="X36" s="10">
        <f>IF(AND(YEAR(X$3)=YEAR(Assumptions!$F$146),MONTH(X$3)=MONTH(Assumptions!$F$146)),Assumptions!$F$145,0)</f>
        <v/>
      </c>
      <c r="Y36" s="10">
        <f>IF(AND(YEAR(Y$3)=YEAR(Assumptions!$F$146),MONTH(Y$3)=MONTH(Assumptions!$F$146)),Assumptions!$F$145,0)</f>
        <v/>
      </c>
      <c r="Z36" s="10">
        <f>IF(AND(YEAR(Z$3)=YEAR(Assumptions!$F$146),MONTH(Z$3)=MONTH(Assumptions!$F$146)),Assumptions!$F$145,0)</f>
        <v/>
      </c>
      <c r="AA36" s="10">
        <f>IF(AND(YEAR(AA$3)=YEAR(Assumptions!$F$146),MONTH(AA$3)=MONTH(Assumptions!$F$146)),Assumptions!$F$145,0)</f>
        <v/>
      </c>
      <c r="AB36" s="10">
        <f>IF(AND(YEAR(AB$3)=YEAR(Assumptions!$F$146),MONTH(AB$3)=MONTH(Assumptions!$F$146)),Assumptions!$F$145,0)</f>
        <v/>
      </c>
      <c r="AC36" s="10">
        <f>IF(AND(YEAR(AC$3)=YEAR(Assumptions!$F$146),MONTH(AC$3)=MONTH(Assumptions!$F$146)),Assumptions!$F$145,0)</f>
        <v/>
      </c>
      <c r="AD36" s="10">
        <f>IF(AND(YEAR(AD$3)=YEAR(Assumptions!$F$146),MONTH(AD$3)=MONTH(Assumptions!$F$146)),Assumptions!$F$145,0)</f>
        <v/>
      </c>
      <c r="AE36" s="10">
        <f>IF(AND(YEAR(AE$3)=YEAR(Assumptions!$F$146),MONTH(AE$3)=MONTH(Assumptions!$F$146)),Assumptions!$F$145,0)</f>
        <v/>
      </c>
      <c r="AF36" s="10">
        <f>IF(AND(YEAR(AF$3)=YEAR(Assumptions!$F$146),MONTH(AF$3)=MONTH(Assumptions!$F$146)),Assumptions!$F$145,0)</f>
        <v/>
      </c>
      <c r="AG36" s="10">
        <f>IF(AND(YEAR(AG$3)=YEAR(Assumptions!$F$146),MONTH(AG$3)=MONTH(Assumptions!$F$146)),Assumptions!$F$145,0)</f>
        <v/>
      </c>
      <c r="AH36" s="10">
        <f>IF(AND(YEAR(AH$3)=YEAR(Assumptions!$F$146),MONTH(AH$3)=MONTH(Assumptions!$F$146)),Assumptions!$F$145,0)</f>
        <v/>
      </c>
      <c r="AI36" s="10">
        <f>IF(AND(YEAR(AI$3)=YEAR(Assumptions!$F$146),MONTH(AI$3)=MONTH(Assumptions!$F$146)),Assumptions!$F$145,0)</f>
        <v/>
      </c>
      <c r="AJ36" s="10">
        <f>IF(AND(YEAR(AJ$3)=YEAR(Assumptions!$F$146),MONTH(AJ$3)=MONTH(Assumptions!$F$146)),Assumptions!$F$145,0)</f>
        <v/>
      </c>
      <c r="AK36" s="10">
        <f>IF(AND(YEAR(AK$3)=YEAR(Assumptions!$F$146),MONTH(AK$3)=MONTH(Assumptions!$F$146)),Assumptions!$F$145,0)</f>
        <v/>
      </c>
      <c r="AL36" s="10">
        <f>IF(AND(YEAR(AL$3)=YEAR(Assumptions!$F$146),MONTH(AL$3)=MONTH(Assumptions!$F$146)),Assumptions!$F$145,0)</f>
        <v/>
      </c>
      <c r="AM36" s="10">
        <f>IF(AND(YEAR(AM$3)=YEAR(Assumptions!$F$146),MONTH(AM$3)=MONTH(Assumptions!$F$146)),Assumptions!$F$145,0)</f>
        <v/>
      </c>
      <c r="AN36" s="10">
        <f>IF(AND(YEAR(AN$3)=YEAR(Assumptions!$F$146),MONTH(AN$3)=MONTH(Assumptions!$F$146)),Assumptions!$F$145,0)</f>
        <v/>
      </c>
      <c r="AO36" s="10">
        <f>IF(AND(YEAR(AO$3)=YEAR(Assumptions!$F$146),MONTH(AO$3)=MONTH(Assumptions!$F$146)),Assumptions!$F$145,0)</f>
        <v/>
      </c>
      <c r="AP36" s="10">
        <f>IF(AND(YEAR(AP$3)=YEAR(Assumptions!$F$146),MONTH(AP$3)=MONTH(Assumptions!$F$146)),Assumptions!$F$145,0)</f>
        <v/>
      </c>
      <c r="AQ36" s="10">
        <f>IF(AND(YEAR(AQ$3)=YEAR(Assumptions!$F$146),MONTH(AQ$3)=MONTH(Assumptions!$F$146)),Assumptions!$F$145,0)</f>
        <v/>
      </c>
      <c r="AR36" s="10">
        <f>IF(AND(YEAR(AR$3)=YEAR(Assumptions!$F$146),MONTH(AR$3)=MONTH(Assumptions!$F$146)),Assumptions!$F$145,0)</f>
        <v/>
      </c>
      <c r="AS36" s="10">
        <f>IF(AND(YEAR(AS$3)=YEAR(Assumptions!$F$146),MONTH(AS$3)=MONTH(Assumptions!$F$146)),Assumptions!$F$145,0)</f>
        <v/>
      </c>
      <c r="AT36" s="10">
        <f>IF(AND(YEAR(AT$3)=YEAR(Assumptions!$F$146),MONTH(AT$3)=MONTH(Assumptions!$F$146)),Assumptions!$F$145,0)</f>
        <v/>
      </c>
      <c r="AU36" s="10">
        <f>IF(AND(YEAR(AU$3)=YEAR(Assumptions!$F$146),MONTH(AU$3)=MONTH(Assumptions!$F$146)),Assumptions!$F$145,0)</f>
        <v/>
      </c>
      <c r="AV36" s="10">
        <f>IF(AND(YEAR(AV$3)=YEAR(Assumptions!$F$146),MONTH(AV$3)=MONTH(Assumptions!$F$146)),Assumptions!$F$145,0)</f>
        <v/>
      </c>
      <c r="AW36" s="10">
        <f>IF(AND(YEAR(AW$3)=YEAR(Assumptions!$F$146),MONTH(AW$3)=MONTH(Assumptions!$F$146)),Assumptions!$F$145,0)</f>
        <v/>
      </c>
      <c r="AX36" s="10">
        <f>IF(AND(YEAR(AX$3)=YEAR(Assumptions!$F$146),MONTH(AX$3)=MONTH(Assumptions!$F$146)),Assumptions!$F$145,0)</f>
        <v/>
      </c>
      <c r="AY36" s="10">
        <f>IF(AND(YEAR(AY$3)=YEAR(Assumptions!$F$146),MONTH(AY$3)=MONTH(Assumptions!$F$146)),Assumptions!$F$145,0)</f>
        <v/>
      </c>
      <c r="AZ36" s="10">
        <f>IF(AND(YEAR(AZ$3)=YEAR(Assumptions!$F$146),MONTH(AZ$3)=MONTH(Assumptions!$F$146)),Assumptions!$F$145,0)</f>
        <v/>
      </c>
      <c r="BA36" s="10">
        <f>IF(AND(YEAR(BA$3)=YEAR(Assumptions!$F$146),MONTH(BA$3)=MONTH(Assumptions!$F$146)),Assumptions!$F$145,0)</f>
        <v/>
      </c>
      <c r="BB36" s="10">
        <f>IF(AND(YEAR(BB$3)=YEAR(Assumptions!$F$146),MONTH(BB$3)=MONTH(Assumptions!$F$146)),Assumptions!$F$145,0)</f>
        <v/>
      </c>
      <c r="BC36" s="10">
        <f>IF(AND(YEAR(BC$3)=YEAR(Assumptions!$F$146),MONTH(BC$3)=MONTH(Assumptions!$F$146)),Assumptions!$F$145,0)</f>
        <v/>
      </c>
      <c r="BD36" s="10">
        <f>IF(AND(YEAR(BD$3)=YEAR(Assumptions!$F$146),MONTH(BD$3)=MONTH(Assumptions!$F$146)),Assumptions!$F$145,0)</f>
        <v/>
      </c>
      <c r="BE36" s="10">
        <f>IF(AND(YEAR(BE$3)=YEAR(Assumptions!$F$146),MONTH(BE$3)=MONTH(Assumptions!$F$146)),Assumptions!$F$145,0)</f>
        <v/>
      </c>
      <c r="BF36" s="10">
        <f>IF(AND(YEAR(BF$3)=YEAR(Assumptions!$F$146),MONTH(BF$3)=MONTH(Assumptions!$F$146)),Assumptions!$F$145,0)</f>
        <v/>
      </c>
      <c r="BG36" s="10">
        <f>IF(AND(YEAR(BG$3)=YEAR(Assumptions!$F$146),MONTH(BG$3)=MONTH(Assumptions!$F$146)),Assumptions!$F$145,0)</f>
        <v/>
      </c>
      <c r="BH36" s="10">
        <f>IF(AND(YEAR(BH$3)=YEAR(Assumptions!$F$146),MONTH(BH$3)=MONTH(Assumptions!$F$146)),Assumptions!$F$145,0)</f>
        <v/>
      </c>
      <c r="BI36" s="10">
        <f>IF(AND(YEAR(BI$3)=YEAR(Assumptions!$F$146),MONTH(BI$3)=MONTH(Assumptions!$F$146)),Assumptions!$F$145,0)</f>
        <v/>
      </c>
      <c r="BJ36" s="10">
        <f>IF(AND(YEAR(BJ$3)=YEAR(Assumptions!$F$146),MONTH(BJ$3)=MONTH(Assumptions!$F$146)),Assumptions!$F$145,0)</f>
        <v/>
      </c>
      <c r="BK36" s="10">
        <f>IF(AND(YEAR(BK$3)=YEAR(Assumptions!$F$146),MONTH(BK$3)=MONTH(Assumptions!$F$146)),Assumptions!$F$145,0)</f>
        <v/>
      </c>
      <c r="BL36" s="10">
        <f>IF(AND(YEAR(BL$3)=YEAR(Assumptions!$F$146),MONTH(BL$3)=MONTH(Assumptions!$F$146)),Assumptions!$F$145,0)</f>
        <v/>
      </c>
      <c r="BN36" s="53">
        <f>SUM(E36:P36)</f>
        <v/>
      </c>
      <c r="BO36" s="53">
        <f>SUM(Q36:AB36)</f>
        <v/>
      </c>
      <c r="BP36" s="53">
        <f>SUM(AC36:AN36)</f>
        <v/>
      </c>
      <c r="BQ36" s="53">
        <f>SUM(AO36:AZ36)</f>
        <v/>
      </c>
      <c r="BR36" s="53">
        <f>SUM(BA36:BL36)</f>
        <v/>
      </c>
    </row>
    <row r="37">
      <c r="B37" s="59" t="inlineStr">
        <is>
          <t>Cash from financing</t>
        </is>
      </c>
      <c r="C37" s="60" t="inlineStr">
        <is>
          <t>EUR</t>
        </is>
      </c>
      <c r="E37" s="32">
        <f>E35+E36</f>
        <v/>
      </c>
      <c r="F37" s="32">
        <f>F35+F36</f>
        <v/>
      </c>
      <c r="G37" s="32">
        <f>G35+G36</f>
        <v/>
      </c>
      <c r="H37" s="32">
        <f>H35+H36</f>
        <v/>
      </c>
      <c r="I37" s="32">
        <f>I35+I36</f>
        <v/>
      </c>
      <c r="J37" s="32">
        <f>J35+J36</f>
        <v/>
      </c>
      <c r="K37" s="32">
        <f>K35+K36</f>
        <v/>
      </c>
      <c r="L37" s="32">
        <f>L35+L36</f>
        <v/>
      </c>
      <c r="M37" s="32">
        <f>M35+M36</f>
        <v/>
      </c>
      <c r="N37" s="32">
        <f>N35+N36</f>
        <v/>
      </c>
      <c r="O37" s="32">
        <f>O35+O36</f>
        <v/>
      </c>
      <c r="P37" s="32">
        <f>P35+P36</f>
        <v/>
      </c>
      <c r="Q37" s="32">
        <f>Q35+Q36</f>
        <v/>
      </c>
      <c r="R37" s="32">
        <f>R35+R36</f>
        <v/>
      </c>
      <c r="S37" s="32">
        <f>S35+S36</f>
        <v/>
      </c>
      <c r="T37" s="32">
        <f>T35+T36</f>
        <v/>
      </c>
      <c r="U37" s="32">
        <f>U35+U36</f>
        <v/>
      </c>
      <c r="V37" s="32">
        <f>V35+V36</f>
        <v/>
      </c>
      <c r="W37" s="32">
        <f>W35+W36</f>
        <v/>
      </c>
      <c r="X37" s="32">
        <f>X35+X36</f>
        <v/>
      </c>
      <c r="Y37" s="32">
        <f>Y35+Y36</f>
        <v/>
      </c>
      <c r="Z37" s="32">
        <f>Z35+Z36</f>
        <v/>
      </c>
      <c r="AA37" s="32">
        <f>AA35+AA36</f>
        <v/>
      </c>
      <c r="AB37" s="32">
        <f>AB35+AB36</f>
        <v/>
      </c>
      <c r="AC37" s="32">
        <f>AC35+AC36</f>
        <v/>
      </c>
      <c r="AD37" s="32">
        <f>AD35+AD36</f>
        <v/>
      </c>
      <c r="AE37" s="32">
        <f>AE35+AE36</f>
        <v/>
      </c>
      <c r="AF37" s="32">
        <f>AF35+AF36</f>
        <v/>
      </c>
      <c r="AG37" s="32">
        <f>AG35+AG36</f>
        <v/>
      </c>
      <c r="AH37" s="32">
        <f>AH35+AH36</f>
        <v/>
      </c>
      <c r="AI37" s="32">
        <f>AI35+AI36</f>
        <v/>
      </c>
      <c r="AJ37" s="32">
        <f>AJ35+AJ36</f>
        <v/>
      </c>
      <c r="AK37" s="32">
        <f>AK35+AK36</f>
        <v/>
      </c>
      <c r="AL37" s="32">
        <f>AL35+AL36</f>
        <v/>
      </c>
      <c r="AM37" s="32">
        <f>AM35+AM36</f>
        <v/>
      </c>
      <c r="AN37" s="32">
        <f>AN35+AN36</f>
        <v/>
      </c>
      <c r="AO37" s="32">
        <f>AO35+AO36</f>
        <v/>
      </c>
      <c r="AP37" s="32">
        <f>AP35+AP36</f>
        <v/>
      </c>
      <c r="AQ37" s="32">
        <f>AQ35+AQ36</f>
        <v/>
      </c>
      <c r="AR37" s="32">
        <f>AR35+AR36</f>
        <v/>
      </c>
      <c r="AS37" s="32">
        <f>AS35+AS36</f>
        <v/>
      </c>
      <c r="AT37" s="32">
        <f>AT35+AT36</f>
        <v/>
      </c>
      <c r="AU37" s="32">
        <f>AU35+AU36</f>
        <v/>
      </c>
      <c r="AV37" s="32">
        <f>AV35+AV36</f>
        <v/>
      </c>
      <c r="AW37" s="32">
        <f>AW35+AW36</f>
        <v/>
      </c>
      <c r="AX37" s="32">
        <f>AX35+AX36</f>
        <v/>
      </c>
      <c r="AY37" s="32">
        <f>AY35+AY36</f>
        <v/>
      </c>
      <c r="AZ37" s="32">
        <f>AZ35+AZ36</f>
        <v/>
      </c>
      <c r="BA37" s="32">
        <f>BA35+BA36</f>
        <v/>
      </c>
      <c r="BB37" s="32">
        <f>BB35+BB36</f>
        <v/>
      </c>
      <c r="BC37" s="32">
        <f>BC35+BC36</f>
        <v/>
      </c>
      <c r="BD37" s="32">
        <f>BD35+BD36</f>
        <v/>
      </c>
      <c r="BE37" s="32">
        <f>BE35+BE36</f>
        <v/>
      </c>
      <c r="BF37" s="32">
        <f>BF35+BF36</f>
        <v/>
      </c>
      <c r="BG37" s="32">
        <f>BG35+BG36</f>
        <v/>
      </c>
      <c r="BH37" s="32">
        <f>BH35+BH36</f>
        <v/>
      </c>
      <c r="BI37" s="32">
        <f>BI35+BI36</f>
        <v/>
      </c>
      <c r="BJ37" s="32">
        <f>BJ35+BJ36</f>
        <v/>
      </c>
      <c r="BK37" s="32">
        <f>BK35+BK36</f>
        <v/>
      </c>
      <c r="BL37" s="32">
        <f>BL35+BL36</f>
        <v/>
      </c>
      <c r="BN37" s="32">
        <f>SUM(E37:P37)</f>
        <v/>
      </c>
      <c r="BO37" s="32">
        <f>SUM(Q37:AB37)</f>
        <v/>
      </c>
      <c r="BP37" s="32">
        <f>SUM(AC37:AN37)</f>
        <v/>
      </c>
      <c r="BQ37" s="32">
        <f>SUM(AO37:AZ37)</f>
        <v/>
      </c>
      <c r="BR37" s="32">
        <f>SUM(BA37:BL37)</f>
        <v/>
      </c>
    </row>
    <row r="38">
      <c r="B38" s="6" t="inlineStr">
        <is>
          <t>Movement in cash</t>
        </is>
      </c>
      <c r="C38" s="52"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52"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2">
        <f>E39+E38</f>
        <v/>
      </c>
      <c r="F40" s="32">
        <f>F39+F38</f>
        <v/>
      </c>
      <c r="G40" s="32">
        <f>G39+G38</f>
        <v/>
      </c>
      <c r="H40" s="32">
        <f>H39+H38</f>
        <v/>
      </c>
      <c r="I40" s="32">
        <f>I39+I38</f>
        <v/>
      </c>
      <c r="J40" s="32">
        <f>J39+J38</f>
        <v/>
      </c>
      <c r="K40" s="32">
        <f>K39+K38</f>
        <v/>
      </c>
      <c r="L40" s="32">
        <f>L39+L38</f>
        <v/>
      </c>
      <c r="M40" s="32">
        <f>M39+M38</f>
        <v/>
      </c>
      <c r="N40" s="32">
        <f>N39+N38</f>
        <v/>
      </c>
      <c r="O40" s="32">
        <f>O39+O38</f>
        <v/>
      </c>
      <c r="P40" s="32">
        <f>P39+P38</f>
        <v/>
      </c>
      <c r="Q40" s="32">
        <f>Q39+Q38</f>
        <v/>
      </c>
      <c r="R40" s="32">
        <f>R39+R38</f>
        <v/>
      </c>
      <c r="S40" s="32">
        <f>S39+S38</f>
        <v/>
      </c>
      <c r="T40" s="32">
        <f>T39+T38</f>
        <v/>
      </c>
      <c r="U40" s="32">
        <f>U39+U38</f>
        <v/>
      </c>
      <c r="V40" s="32">
        <f>V39+V38</f>
        <v/>
      </c>
      <c r="W40" s="32">
        <f>W39+W38</f>
        <v/>
      </c>
      <c r="X40" s="32">
        <f>X39+X38</f>
        <v/>
      </c>
      <c r="Y40" s="32">
        <f>Y39+Y38</f>
        <v/>
      </c>
      <c r="Z40" s="32">
        <f>Z39+Z38</f>
        <v/>
      </c>
      <c r="AA40" s="32">
        <f>AA39+AA38</f>
        <v/>
      </c>
      <c r="AB40" s="32">
        <f>AB39+AB38</f>
        <v/>
      </c>
      <c r="AC40" s="32">
        <f>AC39+AC38</f>
        <v/>
      </c>
      <c r="AD40" s="32">
        <f>AD39+AD38</f>
        <v/>
      </c>
      <c r="AE40" s="32">
        <f>AE39+AE38</f>
        <v/>
      </c>
      <c r="AF40" s="32">
        <f>AF39+AF38</f>
        <v/>
      </c>
      <c r="AG40" s="32">
        <f>AG39+AG38</f>
        <v/>
      </c>
      <c r="AH40" s="32">
        <f>AH39+AH38</f>
        <v/>
      </c>
      <c r="AI40" s="32">
        <f>AI39+AI38</f>
        <v/>
      </c>
      <c r="AJ40" s="32">
        <f>AJ39+AJ38</f>
        <v/>
      </c>
      <c r="AK40" s="32">
        <f>AK39+AK38</f>
        <v/>
      </c>
      <c r="AL40" s="32">
        <f>AL39+AL38</f>
        <v/>
      </c>
      <c r="AM40" s="32">
        <f>AM39+AM38</f>
        <v/>
      </c>
      <c r="AN40" s="32">
        <f>AN39+AN38</f>
        <v/>
      </c>
      <c r="AO40" s="32">
        <f>AO39+AO38</f>
        <v/>
      </c>
      <c r="AP40" s="32">
        <f>AP39+AP38</f>
        <v/>
      </c>
      <c r="AQ40" s="32">
        <f>AQ39+AQ38</f>
        <v/>
      </c>
      <c r="AR40" s="32">
        <f>AR39+AR38</f>
        <v/>
      </c>
      <c r="AS40" s="32">
        <f>AS39+AS38</f>
        <v/>
      </c>
      <c r="AT40" s="32">
        <f>AT39+AT38</f>
        <v/>
      </c>
      <c r="AU40" s="32">
        <f>AU39+AU38</f>
        <v/>
      </c>
      <c r="AV40" s="32">
        <f>AV39+AV38</f>
        <v/>
      </c>
      <c r="AW40" s="32">
        <f>AW39+AW38</f>
        <v/>
      </c>
      <c r="AX40" s="32">
        <f>AX39+AX38</f>
        <v/>
      </c>
      <c r="AY40" s="32">
        <f>AY39+AY38</f>
        <v/>
      </c>
      <c r="AZ40" s="32">
        <f>AZ39+AZ38</f>
        <v/>
      </c>
      <c r="BA40" s="32">
        <f>BA39+BA38</f>
        <v/>
      </c>
      <c r="BB40" s="32">
        <f>BB39+BB38</f>
        <v/>
      </c>
      <c r="BC40" s="32">
        <f>BC39+BC38</f>
        <v/>
      </c>
      <c r="BD40" s="32">
        <f>BD39+BD38</f>
        <v/>
      </c>
      <c r="BE40" s="32">
        <f>BE39+BE38</f>
        <v/>
      </c>
      <c r="BF40" s="32">
        <f>BF39+BF38</f>
        <v/>
      </c>
      <c r="BG40" s="32">
        <f>BG39+BG38</f>
        <v/>
      </c>
      <c r="BH40" s="32">
        <f>BH39+BH38</f>
        <v/>
      </c>
      <c r="BI40" s="32">
        <f>BI39+BI38</f>
        <v/>
      </c>
      <c r="BJ40" s="32">
        <f>BJ39+BJ38</f>
        <v/>
      </c>
      <c r="BK40" s="32">
        <f>BK39+BK38</f>
        <v/>
      </c>
      <c r="BL40" s="32">
        <f>BL39+BL38</f>
        <v/>
      </c>
      <c r="BN40" s="32">
        <f>P40</f>
        <v/>
      </c>
      <c r="BO40" s="32">
        <f>AB40</f>
        <v/>
      </c>
      <c r="BP40" s="32">
        <f>AN40</f>
        <v/>
      </c>
      <c r="BQ40" s="32">
        <f>AZ40</f>
        <v/>
      </c>
      <c r="BR40" s="32">
        <f>BL40</f>
        <v/>
      </c>
    </row>
    <row r="42">
      <c r="B42" s="49"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52"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52"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28" t="inlineStr">
        <is>
          <t>on trading revenue only; the subsidy is a cash receipt, not an invoice</t>
        </is>
      </c>
    </row>
    <row r="45">
      <c r="B45" s="6" t="inlineStr">
        <is>
          <t>Inventory</t>
        </is>
      </c>
      <c r="C45" s="52"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2">
        <f>SUM(E43:E45)</f>
        <v/>
      </c>
      <c r="F46" s="32">
        <f>SUM(F43:F45)</f>
        <v/>
      </c>
      <c r="G46" s="32">
        <f>SUM(G43:G45)</f>
        <v/>
      </c>
      <c r="H46" s="32">
        <f>SUM(H43:H45)</f>
        <v/>
      </c>
      <c r="I46" s="32">
        <f>SUM(I43:I45)</f>
        <v/>
      </c>
      <c r="J46" s="32">
        <f>SUM(J43:J45)</f>
        <v/>
      </c>
      <c r="K46" s="32">
        <f>SUM(K43:K45)</f>
        <v/>
      </c>
      <c r="L46" s="32">
        <f>SUM(L43:L45)</f>
        <v/>
      </c>
      <c r="M46" s="32">
        <f>SUM(M43:M45)</f>
        <v/>
      </c>
      <c r="N46" s="32">
        <f>SUM(N43:N45)</f>
        <v/>
      </c>
      <c r="O46" s="32">
        <f>SUM(O43:O45)</f>
        <v/>
      </c>
      <c r="P46" s="32">
        <f>SUM(P43:P45)</f>
        <v/>
      </c>
      <c r="Q46" s="32">
        <f>SUM(Q43:Q45)</f>
        <v/>
      </c>
      <c r="R46" s="32">
        <f>SUM(R43:R45)</f>
        <v/>
      </c>
      <c r="S46" s="32">
        <f>SUM(S43:S45)</f>
        <v/>
      </c>
      <c r="T46" s="32">
        <f>SUM(T43:T45)</f>
        <v/>
      </c>
      <c r="U46" s="32">
        <f>SUM(U43:U45)</f>
        <v/>
      </c>
      <c r="V46" s="32">
        <f>SUM(V43:V45)</f>
        <v/>
      </c>
      <c r="W46" s="32">
        <f>SUM(W43:W45)</f>
        <v/>
      </c>
      <c r="X46" s="32">
        <f>SUM(X43:X45)</f>
        <v/>
      </c>
      <c r="Y46" s="32">
        <f>SUM(Y43:Y45)</f>
        <v/>
      </c>
      <c r="Z46" s="32">
        <f>SUM(Z43:Z45)</f>
        <v/>
      </c>
      <c r="AA46" s="32">
        <f>SUM(AA43:AA45)</f>
        <v/>
      </c>
      <c r="AB46" s="32">
        <f>SUM(AB43:AB45)</f>
        <v/>
      </c>
      <c r="AC46" s="32">
        <f>SUM(AC43:AC45)</f>
        <v/>
      </c>
      <c r="AD46" s="32">
        <f>SUM(AD43:AD45)</f>
        <v/>
      </c>
      <c r="AE46" s="32">
        <f>SUM(AE43:AE45)</f>
        <v/>
      </c>
      <c r="AF46" s="32">
        <f>SUM(AF43:AF45)</f>
        <v/>
      </c>
      <c r="AG46" s="32">
        <f>SUM(AG43:AG45)</f>
        <v/>
      </c>
      <c r="AH46" s="32">
        <f>SUM(AH43:AH45)</f>
        <v/>
      </c>
      <c r="AI46" s="32">
        <f>SUM(AI43:AI45)</f>
        <v/>
      </c>
      <c r="AJ46" s="32">
        <f>SUM(AJ43:AJ45)</f>
        <v/>
      </c>
      <c r="AK46" s="32">
        <f>SUM(AK43:AK45)</f>
        <v/>
      </c>
      <c r="AL46" s="32">
        <f>SUM(AL43:AL45)</f>
        <v/>
      </c>
      <c r="AM46" s="32">
        <f>SUM(AM43:AM45)</f>
        <v/>
      </c>
      <c r="AN46" s="32">
        <f>SUM(AN43:AN45)</f>
        <v/>
      </c>
      <c r="AO46" s="32">
        <f>SUM(AO43:AO45)</f>
        <v/>
      </c>
      <c r="AP46" s="32">
        <f>SUM(AP43:AP45)</f>
        <v/>
      </c>
      <c r="AQ46" s="32">
        <f>SUM(AQ43:AQ45)</f>
        <v/>
      </c>
      <c r="AR46" s="32">
        <f>SUM(AR43:AR45)</f>
        <v/>
      </c>
      <c r="AS46" s="32">
        <f>SUM(AS43:AS45)</f>
        <v/>
      </c>
      <c r="AT46" s="32">
        <f>SUM(AT43:AT45)</f>
        <v/>
      </c>
      <c r="AU46" s="32">
        <f>SUM(AU43:AU45)</f>
        <v/>
      </c>
      <c r="AV46" s="32">
        <f>SUM(AV43:AV45)</f>
        <v/>
      </c>
      <c r="AW46" s="32">
        <f>SUM(AW43:AW45)</f>
        <v/>
      </c>
      <c r="AX46" s="32">
        <f>SUM(AX43:AX45)</f>
        <v/>
      </c>
      <c r="AY46" s="32">
        <f>SUM(AY43:AY45)</f>
        <v/>
      </c>
      <c r="AZ46" s="32">
        <f>SUM(AZ43:AZ45)</f>
        <v/>
      </c>
      <c r="BA46" s="32">
        <f>SUM(BA43:BA45)</f>
        <v/>
      </c>
      <c r="BB46" s="32">
        <f>SUM(BB43:BB45)</f>
        <v/>
      </c>
      <c r="BC46" s="32">
        <f>SUM(BC43:BC45)</f>
        <v/>
      </c>
      <c r="BD46" s="32">
        <f>SUM(BD43:BD45)</f>
        <v/>
      </c>
      <c r="BE46" s="32">
        <f>SUM(BE43:BE45)</f>
        <v/>
      </c>
      <c r="BF46" s="32">
        <f>SUM(BF43:BF45)</f>
        <v/>
      </c>
      <c r="BG46" s="32">
        <f>SUM(BG43:BG45)</f>
        <v/>
      </c>
      <c r="BH46" s="32">
        <f>SUM(BH43:BH45)</f>
        <v/>
      </c>
      <c r="BI46" s="32">
        <f>SUM(BI43:BI45)</f>
        <v/>
      </c>
      <c r="BJ46" s="32">
        <f>SUM(BJ43:BJ45)</f>
        <v/>
      </c>
      <c r="BK46" s="32">
        <f>SUM(BK43:BK45)</f>
        <v/>
      </c>
      <c r="BL46" s="32">
        <f>SUM(BL43:BL45)</f>
        <v/>
      </c>
      <c r="BN46" s="32">
        <f>P46</f>
        <v/>
      </c>
      <c r="BO46" s="32">
        <f>AB46</f>
        <v/>
      </c>
      <c r="BP46" s="32">
        <f>AN46</f>
        <v/>
      </c>
      <c r="BQ46" s="32">
        <f>AZ46</f>
        <v/>
      </c>
      <c r="BR46" s="32">
        <f>BL46</f>
        <v/>
      </c>
    </row>
    <row r="47">
      <c r="B47" s="6" t="inlineStr">
        <is>
          <t>Property, plant and equipment, net</t>
        </is>
      </c>
      <c r="C47" s="52"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2">
        <f>E46+E47</f>
        <v/>
      </c>
      <c r="F48" s="32">
        <f>F46+F47</f>
        <v/>
      </c>
      <c r="G48" s="32">
        <f>G46+G47</f>
        <v/>
      </c>
      <c r="H48" s="32">
        <f>H46+H47</f>
        <v/>
      </c>
      <c r="I48" s="32">
        <f>I46+I47</f>
        <v/>
      </c>
      <c r="J48" s="32">
        <f>J46+J47</f>
        <v/>
      </c>
      <c r="K48" s="32">
        <f>K46+K47</f>
        <v/>
      </c>
      <c r="L48" s="32">
        <f>L46+L47</f>
        <v/>
      </c>
      <c r="M48" s="32">
        <f>M46+M47</f>
        <v/>
      </c>
      <c r="N48" s="32">
        <f>N46+N47</f>
        <v/>
      </c>
      <c r="O48" s="32">
        <f>O46+O47</f>
        <v/>
      </c>
      <c r="P48" s="32">
        <f>P46+P47</f>
        <v/>
      </c>
      <c r="Q48" s="32">
        <f>Q46+Q47</f>
        <v/>
      </c>
      <c r="R48" s="32">
        <f>R46+R47</f>
        <v/>
      </c>
      <c r="S48" s="32">
        <f>S46+S47</f>
        <v/>
      </c>
      <c r="T48" s="32">
        <f>T46+T47</f>
        <v/>
      </c>
      <c r="U48" s="32">
        <f>U46+U47</f>
        <v/>
      </c>
      <c r="V48" s="32">
        <f>V46+V47</f>
        <v/>
      </c>
      <c r="W48" s="32">
        <f>W46+W47</f>
        <v/>
      </c>
      <c r="X48" s="32">
        <f>X46+X47</f>
        <v/>
      </c>
      <c r="Y48" s="32">
        <f>Y46+Y47</f>
        <v/>
      </c>
      <c r="Z48" s="32">
        <f>Z46+Z47</f>
        <v/>
      </c>
      <c r="AA48" s="32">
        <f>AA46+AA47</f>
        <v/>
      </c>
      <c r="AB48" s="32">
        <f>AB46+AB47</f>
        <v/>
      </c>
      <c r="AC48" s="32">
        <f>AC46+AC47</f>
        <v/>
      </c>
      <c r="AD48" s="32">
        <f>AD46+AD47</f>
        <v/>
      </c>
      <c r="AE48" s="32">
        <f>AE46+AE47</f>
        <v/>
      </c>
      <c r="AF48" s="32">
        <f>AF46+AF47</f>
        <v/>
      </c>
      <c r="AG48" s="32">
        <f>AG46+AG47</f>
        <v/>
      </c>
      <c r="AH48" s="32">
        <f>AH46+AH47</f>
        <v/>
      </c>
      <c r="AI48" s="32">
        <f>AI46+AI47</f>
        <v/>
      </c>
      <c r="AJ48" s="32">
        <f>AJ46+AJ47</f>
        <v/>
      </c>
      <c r="AK48" s="32">
        <f>AK46+AK47</f>
        <v/>
      </c>
      <c r="AL48" s="32">
        <f>AL46+AL47</f>
        <v/>
      </c>
      <c r="AM48" s="32">
        <f>AM46+AM47</f>
        <v/>
      </c>
      <c r="AN48" s="32">
        <f>AN46+AN47</f>
        <v/>
      </c>
      <c r="AO48" s="32">
        <f>AO46+AO47</f>
        <v/>
      </c>
      <c r="AP48" s="32">
        <f>AP46+AP47</f>
        <v/>
      </c>
      <c r="AQ48" s="32">
        <f>AQ46+AQ47</f>
        <v/>
      </c>
      <c r="AR48" s="32">
        <f>AR46+AR47</f>
        <v/>
      </c>
      <c r="AS48" s="32">
        <f>AS46+AS47</f>
        <v/>
      </c>
      <c r="AT48" s="32">
        <f>AT46+AT47</f>
        <v/>
      </c>
      <c r="AU48" s="32">
        <f>AU46+AU47</f>
        <v/>
      </c>
      <c r="AV48" s="32">
        <f>AV46+AV47</f>
        <v/>
      </c>
      <c r="AW48" s="32">
        <f>AW46+AW47</f>
        <v/>
      </c>
      <c r="AX48" s="32">
        <f>AX46+AX47</f>
        <v/>
      </c>
      <c r="AY48" s="32">
        <f>AY46+AY47</f>
        <v/>
      </c>
      <c r="AZ48" s="32">
        <f>AZ46+AZ47</f>
        <v/>
      </c>
      <c r="BA48" s="32">
        <f>BA46+BA47</f>
        <v/>
      </c>
      <c r="BB48" s="32">
        <f>BB46+BB47</f>
        <v/>
      </c>
      <c r="BC48" s="32">
        <f>BC46+BC47</f>
        <v/>
      </c>
      <c r="BD48" s="32">
        <f>BD46+BD47</f>
        <v/>
      </c>
      <c r="BE48" s="32">
        <f>BE46+BE47</f>
        <v/>
      </c>
      <c r="BF48" s="32">
        <f>BF46+BF47</f>
        <v/>
      </c>
      <c r="BG48" s="32">
        <f>BG46+BG47</f>
        <v/>
      </c>
      <c r="BH48" s="32">
        <f>BH46+BH47</f>
        <v/>
      </c>
      <c r="BI48" s="32">
        <f>BI46+BI47</f>
        <v/>
      </c>
      <c r="BJ48" s="32">
        <f>BJ46+BJ47</f>
        <v/>
      </c>
      <c r="BK48" s="32">
        <f>BK46+BK47</f>
        <v/>
      </c>
      <c r="BL48" s="32">
        <f>BL46+BL47</f>
        <v/>
      </c>
      <c r="BN48" s="32">
        <f>P48</f>
        <v/>
      </c>
      <c r="BO48" s="32">
        <f>AB48</f>
        <v/>
      </c>
      <c r="BP48" s="32">
        <f>AN48</f>
        <v/>
      </c>
      <c r="BQ48" s="32">
        <f>AZ48</f>
        <v/>
      </c>
      <c r="BR48" s="32">
        <f>BL48</f>
        <v/>
      </c>
    </row>
    <row r="50">
      <c r="B50" s="6" t="inlineStr">
        <is>
          <t>Payables</t>
        </is>
      </c>
      <c r="C50" s="52"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52"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2">
        <f>E50+E51</f>
        <v/>
      </c>
      <c r="F52" s="32">
        <f>F50+F51</f>
        <v/>
      </c>
      <c r="G52" s="32">
        <f>G50+G51</f>
        <v/>
      </c>
      <c r="H52" s="32">
        <f>H50+H51</f>
        <v/>
      </c>
      <c r="I52" s="32">
        <f>I50+I51</f>
        <v/>
      </c>
      <c r="J52" s="32">
        <f>J50+J51</f>
        <v/>
      </c>
      <c r="K52" s="32">
        <f>K50+K51</f>
        <v/>
      </c>
      <c r="L52" s="32">
        <f>L50+L51</f>
        <v/>
      </c>
      <c r="M52" s="32">
        <f>M50+M51</f>
        <v/>
      </c>
      <c r="N52" s="32">
        <f>N50+N51</f>
        <v/>
      </c>
      <c r="O52" s="32">
        <f>O50+O51</f>
        <v/>
      </c>
      <c r="P52" s="32">
        <f>P50+P51</f>
        <v/>
      </c>
      <c r="Q52" s="32">
        <f>Q50+Q51</f>
        <v/>
      </c>
      <c r="R52" s="32">
        <f>R50+R51</f>
        <v/>
      </c>
      <c r="S52" s="32">
        <f>S50+S51</f>
        <v/>
      </c>
      <c r="T52" s="32">
        <f>T50+T51</f>
        <v/>
      </c>
      <c r="U52" s="32">
        <f>U50+U51</f>
        <v/>
      </c>
      <c r="V52" s="32">
        <f>V50+V51</f>
        <v/>
      </c>
      <c r="W52" s="32">
        <f>W50+W51</f>
        <v/>
      </c>
      <c r="X52" s="32">
        <f>X50+X51</f>
        <v/>
      </c>
      <c r="Y52" s="32">
        <f>Y50+Y51</f>
        <v/>
      </c>
      <c r="Z52" s="32">
        <f>Z50+Z51</f>
        <v/>
      </c>
      <c r="AA52" s="32">
        <f>AA50+AA51</f>
        <v/>
      </c>
      <c r="AB52" s="32">
        <f>AB50+AB51</f>
        <v/>
      </c>
      <c r="AC52" s="32">
        <f>AC50+AC51</f>
        <v/>
      </c>
      <c r="AD52" s="32">
        <f>AD50+AD51</f>
        <v/>
      </c>
      <c r="AE52" s="32">
        <f>AE50+AE51</f>
        <v/>
      </c>
      <c r="AF52" s="32">
        <f>AF50+AF51</f>
        <v/>
      </c>
      <c r="AG52" s="32">
        <f>AG50+AG51</f>
        <v/>
      </c>
      <c r="AH52" s="32">
        <f>AH50+AH51</f>
        <v/>
      </c>
      <c r="AI52" s="32">
        <f>AI50+AI51</f>
        <v/>
      </c>
      <c r="AJ52" s="32">
        <f>AJ50+AJ51</f>
        <v/>
      </c>
      <c r="AK52" s="32">
        <f>AK50+AK51</f>
        <v/>
      </c>
      <c r="AL52" s="32">
        <f>AL50+AL51</f>
        <v/>
      </c>
      <c r="AM52" s="32">
        <f>AM50+AM51</f>
        <v/>
      </c>
      <c r="AN52" s="32">
        <f>AN50+AN51</f>
        <v/>
      </c>
      <c r="AO52" s="32">
        <f>AO50+AO51</f>
        <v/>
      </c>
      <c r="AP52" s="32">
        <f>AP50+AP51</f>
        <v/>
      </c>
      <c r="AQ52" s="32">
        <f>AQ50+AQ51</f>
        <v/>
      </c>
      <c r="AR52" s="32">
        <f>AR50+AR51</f>
        <v/>
      </c>
      <c r="AS52" s="32">
        <f>AS50+AS51</f>
        <v/>
      </c>
      <c r="AT52" s="32">
        <f>AT50+AT51</f>
        <v/>
      </c>
      <c r="AU52" s="32">
        <f>AU50+AU51</f>
        <v/>
      </c>
      <c r="AV52" s="32">
        <f>AV50+AV51</f>
        <v/>
      </c>
      <c r="AW52" s="32">
        <f>AW50+AW51</f>
        <v/>
      </c>
      <c r="AX52" s="32">
        <f>AX50+AX51</f>
        <v/>
      </c>
      <c r="AY52" s="32">
        <f>AY50+AY51</f>
        <v/>
      </c>
      <c r="AZ52" s="32">
        <f>AZ50+AZ51</f>
        <v/>
      </c>
      <c r="BA52" s="32">
        <f>BA50+BA51</f>
        <v/>
      </c>
      <c r="BB52" s="32">
        <f>BB50+BB51</f>
        <v/>
      </c>
      <c r="BC52" s="32">
        <f>BC50+BC51</f>
        <v/>
      </c>
      <c r="BD52" s="32">
        <f>BD50+BD51</f>
        <v/>
      </c>
      <c r="BE52" s="32">
        <f>BE50+BE51</f>
        <v/>
      </c>
      <c r="BF52" s="32">
        <f>BF50+BF51</f>
        <v/>
      </c>
      <c r="BG52" s="32">
        <f>BG50+BG51</f>
        <v/>
      </c>
      <c r="BH52" s="32">
        <f>BH50+BH51</f>
        <v/>
      </c>
      <c r="BI52" s="32">
        <f>BI50+BI51</f>
        <v/>
      </c>
      <c r="BJ52" s="32">
        <f>BJ50+BJ51</f>
        <v/>
      </c>
      <c r="BK52" s="32">
        <f>BK50+BK51</f>
        <v/>
      </c>
      <c r="BL52" s="32">
        <f>BL50+BL51</f>
        <v/>
      </c>
      <c r="BN52" s="32">
        <f>P52</f>
        <v/>
      </c>
      <c r="BO52" s="32">
        <f>AB52</f>
        <v/>
      </c>
      <c r="BP52" s="32">
        <f>AN52</f>
        <v/>
      </c>
      <c r="BQ52" s="32">
        <f>AZ52</f>
        <v/>
      </c>
      <c r="BR52" s="32">
        <f>BL52</f>
        <v/>
      </c>
    </row>
    <row r="53">
      <c r="B53" s="6" t="inlineStr">
        <is>
          <t>Share capital and premium</t>
        </is>
      </c>
      <c r="C53" s="52"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28" t="inlineStr">
        <is>
          <t>opening equity matches the opening cash brought forward</t>
        </is>
      </c>
    </row>
    <row r="54">
      <c r="B54" s="6" t="inlineStr">
        <is>
          <t>Retained earnings</t>
        </is>
      </c>
      <c r="C54" s="52"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2">
        <f>E53+E54</f>
        <v/>
      </c>
      <c r="F55" s="32">
        <f>F53+F54</f>
        <v/>
      </c>
      <c r="G55" s="32">
        <f>G53+G54</f>
        <v/>
      </c>
      <c r="H55" s="32">
        <f>H53+H54</f>
        <v/>
      </c>
      <c r="I55" s="32">
        <f>I53+I54</f>
        <v/>
      </c>
      <c r="J55" s="32">
        <f>J53+J54</f>
        <v/>
      </c>
      <c r="K55" s="32">
        <f>K53+K54</f>
        <v/>
      </c>
      <c r="L55" s="32">
        <f>L53+L54</f>
        <v/>
      </c>
      <c r="M55" s="32">
        <f>M53+M54</f>
        <v/>
      </c>
      <c r="N55" s="32">
        <f>N53+N54</f>
        <v/>
      </c>
      <c r="O55" s="32">
        <f>O53+O54</f>
        <v/>
      </c>
      <c r="P55" s="32">
        <f>P53+P54</f>
        <v/>
      </c>
      <c r="Q55" s="32">
        <f>Q53+Q54</f>
        <v/>
      </c>
      <c r="R55" s="32">
        <f>R53+R54</f>
        <v/>
      </c>
      <c r="S55" s="32">
        <f>S53+S54</f>
        <v/>
      </c>
      <c r="T55" s="32">
        <f>T53+T54</f>
        <v/>
      </c>
      <c r="U55" s="32">
        <f>U53+U54</f>
        <v/>
      </c>
      <c r="V55" s="32">
        <f>V53+V54</f>
        <v/>
      </c>
      <c r="W55" s="32">
        <f>W53+W54</f>
        <v/>
      </c>
      <c r="X55" s="32">
        <f>X53+X54</f>
        <v/>
      </c>
      <c r="Y55" s="32">
        <f>Y53+Y54</f>
        <v/>
      </c>
      <c r="Z55" s="32">
        <f>Z53+Z54</f>
        <v/>
      </c>
      <c r="AA55" s="32">
        <f>AA53+AA54</f>
        <v/>
      </c>
      <c r="AB55" s="32">
        <f>AB53+AB54</f>
        <v/>
      </c>
      <c r="AC55" s="32">
        <f>AC53+AC54</f>
        <v/>
      </c>
      <c r="AD55" s="32">
        <f>AD53+AD54</f>
        <v/>
      </c>
      <c r="AE55" s="32">
        <f>AE53+AE54</f>
        <v/>
      </c>
      <c r="AF55" s="32">
        <f>AF53+AF54</f>
        <v/>
      </c>
      <c r="AG55" s="32">
        <f>AG53+AG54</f>
        <v/>
      </c>
      <c r="AH55" s="32">
        <f>AH53+AH54</f>
        <v/>
      </c>
      <c r="AI55" s="32">
        <f>AI53+AI54</f>
        <v/>
      </c>
      <c r="AJ55" s="32">
        <f>AJ53+AJ54</f>
        <v/>
      </c>
      <c r="AK55" s="32">
        <f>AK53+AK54</f>
        <v/>
      </c>
      <c r="AL55" s="32">
        <f>AL53+AL54</f>
        <v/>
      </c>
      <c r="AM55" s="32">
        <f>AM53+AM54</f>
        <v/>
      </c>
      <c r="AN55" s="32">
        <f>AN53+AN54</f>
        <v/>
      </c>
      <c r="AO55" s="32">
        <f>AO53+AO54</f>
        <v/>
      </c>
      <c r="AP55" s="32">
        <f>AP53+AP54</f>
        <v/>
      </c>
      <c r="AQ55" s="32">
        <f>AQ53+AQ54</f>
        <v/>
      </c>
      <c r="AR55" s="32">
        <f>AR53+AR54</f>
        <v/>
      </c>
      <c r="AS55" s="32">
        <f>AS53+AS54</f>
        <v/>
      </c>
      <c r="AT55" s="32">
        <f>AT53+AT54</f>
        <v/>
      </c>
      <c r="AU55" s="32">
        <f>AU53+AU54</f>
        <v/>
      </c>
      <c r="AV55" s="32">
        <f>AV53+AV54</f>
        <v/>
      </c>
      <c r="AW55" s="32">
        <f>AW53+AW54</f>
        <v/>
      </c>
      <c r="AX55" s="32">
        <f>AX53+AX54</f>
        <v/>
      </c>
      <c r="AY55" s="32">
        <f>AY53+AY54</f>
        <v/>
      </c>
      <c r="AZ55" s="32">
        <f>AZ53+AZ54</f>
        <v/>
      </c>
      <c r="BA55" s="32">
        <f>BA53+BA54</f>
        <v/>
      </c>
      <c r="BB55" s="32">
        <f>BB53+BB54</f>
        <v/>
      </c>
      <c r="BC55" s="32">
        <f>BC53+BC54</f>
        <v/>
      </c>
      <c r="BD55" s="32">
        <f>BD53+BD54</f>
        <v/>
      </c>
      <c r="BE55" s="32">
        <f>BE53+BE54</f>
        <v/>
      </c>
      <c r="BF55" s="32">
        <f>BF53+BF54</f>
        <v/>
      </c>
      <c r="BG55" s="32">
        <f>BG53+BG54</f>
        <v/>
      </c>
      <c r="BH55" s="32">
        <f>BH53+BH54</f>
        <v/>
      </c>
      <c r="BI55" s="32">
        <f>BI53+BI54</f>
        <v/>
      </c>
      <c r="BJ55" s="32">
        <f>BJ53+BJ54</f>
        <v/>
      </c>
      <c r="BK55" s="32">
        <f>BK53+BK54</f>
        <v/>
      </c>
      <c r="BL55" s="32">
        <f>BL53+BL54</f>
        <v/>
      </c>
      <c r="BN55" s="32">
        <f>P55</f>
        <v/>
      </c>
      <c r="BO55" s="32">
        <f>AB55</f>
        <v/>
      </c>
      <c r="BP55" s="32">
        <f>AN55</f>
        <v/>
      </c>
      <c r="BQ55" s="32">
        <f>AZ55</f>
        <v/>
      </c>
      <c r="BR55" s="32">
        <f>BL55</f>
        <v/>
      </c>
    </row>
    <row r="56">
      <c r="B56" s="59" t="inlineStr">
        <is>
          <t>Total liabilities and equity</t>
        </is>
      </c>
      <c r="C56" s="60" t="inlineStr">
        <is>
          <t>EUR</t>
        </is>
      </c>
      <c r="E56" s="32">
        <f>E52+E55</f>
        <v/>
      </c>
      <c r="F56" s="32">
        <f>F52+F55</f>
        <v/>
      </c>
      <c r="G56" s="32">
        <f>G52+G55</f>
        <v/>
      </c>
      <c r="H56" s="32">
        <f>H52+H55</f>
        <v/>
      </c>
      <c r="I56" s="32">
        <f>I52+I55</f>
        <v/>
      </c>
      <c r="J56" s="32">
        <f>J52+J55</f>
        <v/>
      </c>
      <c r="K56" s="32">
        <f>K52+K55</f>
        <v/>
      </c>
      <c r="L56" s="32">
        <f>L52+L55</f>
        <v/>
      </c>
      <c r="M56" s="32">
        <f>M52+M55</f>
        <v/>
      </c>
      <c r="N56" s="32">
        <f>N52+N55</f>
        <v/>
      </c>
      <c r="O56" s="32">
        <f>O52+O55</f>
        <v/>
      </c>
      <c r="P56" s="32">
        <f>P52+P55</f>
        <v/>
      </c>
      <c r="Q56" s="32">
        <f>Q52+Q55</f>
        <v/>
      </c>
      <c r="R56" s="32">
        <f>R52+R55</f>
        <v/>
      </c>
      <c r="S56" s="32">
        <f>S52+S55</f>
        <v/>
      </c>
      <c r="T56" s="32">
        <f>T52+T55</f>
        <v/>
      </c>
      <c r="U56" s="32">
        <f>U52+U55</f>
        <v/>
      </c>
      <c r="V56" s="32">
        <f>V52+V55</f>
        <v/>
      </c>
      <c r="W56" s="32">
        <f>W52+W55</f>
        <v/>
      </c>
      <c r="X56" s="32">
        <f>X52+X55</f>
        <v/>
      </c>
      <c r="Y56" s="32">
        <f>Y52+Y55</f>
        <v/>
      </c>
      <c r="Z56" s="32">
        <f>Z52+Z55</f>
        <v/>
      </c>
      <c r="AA56" s="32">
        <f>AA52+AA55</f>
        <v/>
      </c>
      <c r="AB56" s="32">
        <f>AB52+AB55</f>
        <v/>
      </c>
      <c r="AC56" s="32">
        <f>AC52+AC55</f>
        <v/>
      </c>
      <c r="AD56" s="32">
        <f>AD52+AD55</f>
        <v/>
      </c>
      <c r="AE56" s="32">
        <f>AE52+AE55</f>
        <v/>
      </c>
      <c r="AF56" s="32">
        <f>AF52+AF55</f>
        <v/>
      </c>
      <c r="AG56" s="32">
        <f>AG52+AG55</f>
        <v/>
      </c>
      <c r="AH56" s="32">
        <f>AH52+AH55</f>
        <v/>
      </c>
      <c r="AI56" s="32">
        <f>AI52+AI55</f>
        <v/>
      </c>
      <c r="AJ56" s="32">
        <f>AJ52+AJ55</f>
        <v/>
      </c>
      <c r="AK56" s="32">
        <f>AK52+AK55</f>
        <v/>
      </c>
      <c r="AL56" s="32">
        <f>AL52+AL55</f>
        <v/>
      </c>
      <c r="AM56" s="32">
        <f>AM52+AM55</f>
        <v/>
      </c>
      <c r="AN56" s="32">
        <f>AN52+AN55</f>
        <v/>
      </c>
      <c r="AO56" s="32">
        <f>AO52+AO55</f>
        <v/>
      </c>
      <c r="AP56" s="32">
        <f>AP52+AP55</f>
        <v/>
      </c>
      <c r="AQ56" s="32">
        <f>AQ52+AQ55</f>
        <v/>
      </c>
      <c r="AR56" s="32">
        <f>AR52+AR55</f>
        <v/>
      </c>
      <c r="AS56" s="32">
        <f>AS52+AS55</f>
        <v/>
      </c>
      <c r="AT56" s="32">
        <f>AT52+AT55</f>
        <v/>
      </c>
      <c r="AU56" s="32">
        <f>AU52+AU55</f>
        <v/>
      </c>
      <c r="AV56" s="32">
        <f>AV52+AV55</f>
        <v/>
      </c>
      <c r="AW56" s="32">
        <f>AW52+AW55</f>
        <v/>
      </c>
      <c r="AX56" s="32">
        <f>AX52+AX55</f>
        <v/>
      </c>
      <c r="AY56" s="32">
        <f>AY52+AY55</f>
        <v/>
      </c>
      <c r="AZ56" s="32">
        <f>AZ52+AZ55</f>
        <v/>
      </c>
      <c r="BA56" s="32">
        <f>BA52+BA55</f>
        <v/>
      </c>
      <c r="BB56" s="32">
        <f>BB52+BB55</f>
        <v/>
      </c>
      <c r="BC56" s="32">
        <f>BC52+BC55</f>
        <v/>
      </c>
      <c r="BD56" s="32">
        <f>BD52+BD55</f>
        <v/>
      </c>
      <c r="BE56" s="32">
        <f>BE52+BE55</f>
        <v/>
      </c>
      <c r="BF56" s="32">
        <f>BF52+BF55</f>
        <v/>
      </c>
      <c r="BG56" s="32">
        <f>BG52+BG55</f>
        <v/>
      </c>
      <c r="BH56" s="32">
        <f>BH52+BH55</f>
        <v/>
      </c>
      <c r="BI56" s="32">
        <f>BI52+BI55</f>
        <v/>
      </c>
      <c r="BJ56" s="32">
        <f>BJ52+BJ55</f>
        <v/>
      </c>
      <c r="BK56" s="32">
        <f>BK52+BK55</f>
        <v/>
      </c>
      <c r="BL56" s="32">
        <f>BL52+BL55</f>
        <v/>
      </c>
      <c r="BN56" s="32">
        <f>P56</f>
        <v/>
      </c>
      <c r="BO56" s="32">
        <f>AB56</f>
        <v/>
      </c>
      <c r="BP56" s="32">
        <f>AN56</f>
        <v/>
      </c>
      <c r="BQ56" s="32">
        <f>AZ56</f>
        <v/>
      </c>
      <c r="BR56" s="32">
        <f>BL56</f>
        <v/>
      </c>
    </row>
    <row r="58">
      <c r="B58" s="6" t="inlineStr">
        <is>
          <t>Check   assets less liabilities and equity, must be nil</t>
        </is>
      </c>
      <c r="C58" s="52"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52" t="inlineStr">
        <is>
          <t>EUR</t>
        </is>
      </c>
      <c r="E59" s="61">
        <f>SUM($E$35:E35)+SUM($E$36:E36)-(IF((YEAR(E$3)*12+MONTH(E$3))&gt;=(YEAR(Assumptions!$F$141)*12+MONTH(Assumptions!$F$141)),Assumptions!$F$142,0)+IF((YEAR(E$3)*12+MONTH(E$3))&gt;=(YEAR(Assumptions!$F$143)*12+MONTH(Assumptions!$F$143)),Assumptions!$F$144,0)+IF((YEAR(E$3)*12+MONTH(E$3))&gt;=(YEAR(Assumptions!$F$146)*12+MONTH(Assumptions!$F$146)),Assumptions!$F$145,0))</f>
        <v/>
      </c>
      <c r="F59" s="61">
        <f>SUM($E$35:F35)+SUM($E$36:F36)-(IF((YEAR(F$3)*12+MONTH(F$3))&gt;=(YEAR(Assumptions!$F$141)*12+MONTH(Assumptions!$F$141)),Assumptions!$F$142,0)+IF((YEAR(F$3)*12+MONTH(F$3))&gt;=(YEAR(Assumptions!$F$143)*12+MONTH(Assumptions!$F$143)),Assumptions!$F$144,0)+IF((YEAR(F$3)*12+MONTH(F$3))&gt;=(YEAR(Assumptions!$F$146)*12+MONTH(Assumptions!$F$146)),Assumptions!$F$145,0))</f>
        <v/>
      </c>
      <c r="G59" s="61">
        <f>SUM($E$35:G35)+SUM($E$36:G36)-(IF((YEAR(G$3)*12+MONTH(G$3))&gt;=(YEAR(Assumptions!$F$141)*12+MONTH(Assumptions!$F$141)),Assumptions!$F$142,0)+IF((YEAR(G$3)*12+MONTH(G$3))&gt;=(YEAR(Assumptions!$F$143)*12+MONTH(Assumptions!$F$143)),Assumptions!$F$144,0)+IF((YEAR(G$3)*12+MONTH(G$3))&gt;=(YEAR(Assumptions!$F$146)*12+MONTH(Assumptions!$F$146)),Assumptions!$F$145,0))</f>
        <v/>
      </c>
      <c r="H59" s="61">
        <f>SUM($E$35:H35)+SUM($E$36:H36)-(IF((YEAR(H$3)*12+MONTH(H$3))&gt;=(YEAR(Assumptions!$F$141)*12+MONTH(Assumptions!$F$141)),Assumptions!$F$142,0)+IF((YEAR(H$3)*12+MONTH(H$3))&gt;=(YEAR(Assumptions!$F$143)*12+MONTH(Assumptions!$F$143)),Assumptions!$F$144,0)+IF((YEAR(H$3)*12+MONTH(H$3))&gt;=(YEAR(Assumptions!$F$146)*12+MONTH(Assumptions!$F$146)),Assumptions!$F$145,0))</f>
        <v/>
      </c>
      <c r="I59" s="61">
        <f>SUM($E$35:I35)+SUM($E$36:I36)-(IF((YEAR(I$3)*12+MONTH(I$3))&gt;=(YEAR(Assumptions!$F$141)*12+MONTH(Assumptions!$F$141)),Assumptions!$F$142,0)+IF((YEAR(I$3)*12+MONTH(I$3))&gt;=(YEAR(Assumptions!$F$143)*12+MONTH(Assumptions!$F$143)),Assumptions!$F$144,0)+IF((YEAR(I$3)*12+MONTH(I$3))&gt;=(YEAR(Assumptions!$F$146)*12+MONTH(Assumptions!$F$146)),Assumptions!$F$145,0))</f>
        <v/>
      </c>
      <c r="J59" s="61">
        <f>SUM($E$35:J35)+SUM($E$36:J36)-(IF((YEAR(J$3)*12+MONTH(J$3))&gt;=(YEAR(Assumptions!$F$141)*12+MONTH(Assumptions!$F$141)),Assumptions!$F$142,0)+IF((YEAR(J$3)*12+MONTH(J$3))&gt;=(YEAR(Assumptions!$F$143)*12+MONTH(Assumptions!$F$143)),Assumptions!$F$144,0)+IF((YEAR(J$3)*12+MONTH(J$3))&gt;=(YEAR(Assumptions!$F$146)*12+MONTH(Assumptions!$F$146)),Assumptions!$F$145,0))</f>
        <v/>
      </c>
      <c r="K59" s="61">
        <f>SUM($E$35:K35)+SUM($E$36:K36)-(IF((YEAR(K$3)*12+MONTH(K$3))&gt;=(YEAR(Assumptions!$F$141)*12+MONTH(Assumptions!$F$141)),Assumptions!$F$142,0)+IF((YEAR(K$3)*12+MONTH(K$3))&gt;=(YEAR(Assumptions!$F$143)*12+MONTH(Assumptions!$F$143)),Assumptions!$F$144,0)+IF((YEAR(K$3)*12+MONTH(K$3))&gt;=(YEAR(Assumptions!$F$146)*12+MONTH(Assumptions!$F$146)),Assumptions!$F$145,0))</f>
        <v/>
      </c>
      <c r="L59" s="61">
        <f>SUM($E$35:L35)+SUM($E$36:L36)-(IF((YEAR(L$3)*12+MONTH(L$3))&gt;=(YEAR(Assumptions!$F$141)*12+MONTH(Assumptions!$F$141)),Assumptions!$F$142,0)+IF((YEAR(L$3)*12+MONTH(L$3))&gt;=(YEAR(Assumptions!$F$143)*12+MONTH(Assumptions!$F$143)),Assumptions!$F$144,0)+IF((YEAR(L$3)*12+MONTH(L$3))&gt;=(YEAR(Assumptions!$F$146)*12+MONTH(Assumptions!$F$146)),Assumptions!$F$145,0))</f>
        <v/>
      </c>
      <c r="M59" s="61">
        <f>SUM($E$35:M35)+SUM($E$36:M36)-(IF((YEAR(M$3)*12+MONTH(M$3))&gt;=(YEAR(Assumptions!$F$141)*12+MONTH(Assumptions!$F$141)),Assumptions!$F$142,0)+IF((YEAR(M$3)*12+MONTH(M$3))&gt;=(YEAR(Assumptions!$F$143)*12+MONTH(Assumptions!$F$143)),Assumptions!$F$144,0)+IF((YEAR(M$3)*12+MONTH(M$3))&gt;=(YEAR(Assumptions!$F$146)*12+MONTH(Assumptions!$F$146)),Assumptions!$F$145,0))</f>
        <v/>
      </c>
      <c r="N59" s="61">
        <f>SUM($E$35:N35)+SUM($E$36:N36)-(IF((YEAR(N$3)*12+MONTH(N$3))&gt;=(YEAR(Assumptions!$F$141)*12+MONTH(Assumptions!$F$141)),Assumptions!$F$142,0)+IF((YEAR(N$3)*12+MONTH(N$3))&gt;=(YEAR(Assumptions!$F$143)*12+MONTH(Assumptions!$F$143)),Assumptions!$F$144,0)+IF((YEAR(N$3)*12+MONTH(N$3))&gt;=(YEAR(Assumptions!$F$146)*12+MONTH(Assumptions!$F$146)),Assumptions!$F$145,0))</f>
        <v/>
      </c>
      <c r="O59" s="61">
        <f>SUM($E$35:O35)+SUM($E$36:O36)-(IF((YEAR(O$3)*12+MONTH(O$3))&gt;=(YEAR(Assumptions!$F$141)*12+MONTH(Assumptions!$F$141)),Assumptions!$F$142,0)+IF((YEAR(O$3)*12+MONTH(O$3))&gt;=(YEAR(Assumptions!$F$143)*12+MONTH(Assumptions!$F$143)),Assumptions!$F$144,0)+IF((YEAR(O$3)*12+MONTH(O$3))&gt;=(YEAR(Assumptions!$F$146)*12+MONTH(Assumptions!$F$146)),Assumptions!$F$145,0))</f>
        <v/>
      </c>
      <c r="P59" s="61">
        <f>SUM($E$35:P35)+SUM($E$36:P36)-(IF((YEAR(P$3)*12+MONTH(P$3))&gt;=(YEAR(Assumptions!$F$141)*12+MONTH(Assumptions!$F$141)),Assumptions!$F$142,0)+IF((YEAR(P$3)*12+MONTH(P$3))&gt;=(YEAR(Assumptions!$F$143)*12+MONTH(Assumptions!$F$143)),Assumptions!$F$144,0)+IF((YEAR(P$3)*12+MONTH(P$3))&gt;=(YEAR(Assumptions!$F$146)*12+MONTH(Assumptions!$F$146)),Assumptions!$F$145,0))</f>
        <v/>
      </c>
      <c r="Q59" s="61">
        <f>SUM($E$35:Q35)+SUM($E$36:Q36)-(IF((YEAR(Q$3)*12+MONTH(Q$3))&gt;=(YEAR(Assumptions!$F$141)*12+MONTH(Assumptions!$F$141)),Assumptions!$F$142,0)+IF((YEAR(Q$3)*12+MONTH(Q$3))&gt;=(YEAR(Assumptions!$F$143)*12+MONTH(Assumptions!$F$143)),Assumptions!$F$144,0)+IF((YEAR(Q$3)*12+MONTH(Q$3))&gt;=(YEAR(Assumptions!$F$146)*12+MONTH(Assumptions!$F$146)),Assumptions!$F$145,0))</f>
        <v/>
      </c>
      <c r="R59" s="61">
        <f>SUM($E$35:R35)+SUM($E$36:R36)-(IF((YEAR(R$3)*12+MONTH(R$3))&gt;=(YEAR(Assumptions!$F$141)*12+MONTH(Assumptions!$F$141)),Assumptions!$F$142,0)+IF((YEAR(R$3)*12+MONTH(R$3))&gt;=(YEAR(Assumptions!$F$143)*12+MONTH(Assumptions!$F$143)),Assumptions!$F$144,0)+IF((YEAR(R$3)*12+MONTH(R$3))&gt;=(YEAR(Assumptions!$F$146)*12+MONTH(Assumptions!$F$146)),Assumptions!$F$145,0))</f>
        <v/>
      </c>
      <c r="S59" s="61">
        <f>SUM($E$35:S35)+SUM($E$36:S36)-(IF((YEAR(S$3)*12+MONTH(S$3))&gt;=(YEAR(Assumptions!$F$141)*12+MONTH(Assumptions!$F$141)),Assumptions!$F$142,0)+IF((YEAR(S$3)*12+MONTH(S$3))&gt;=(YEAR(Assumptions!$F$143)*12+MONTH(Assumptions!$F$143)),Assumptions!$F$144,0)+IF((YEAR(S$3)*12+MONTH(S$3))&gt;=(YEAR(Assumptions!$F$146)*12+MONTH(Assumptions!$F$146)),Assumptions!$F$145,0))</f>
        <v/>
      </c>
      <c r="T59" s="61">
        <f>SUM($E$35:T35)+SUM($E$36:T36)-(IF((YEAR(T$3)*12+MONTH(T$3))&gt;=(YEAR(Assumptions!$F$141)*12+MONTH(Assumptions!$F$141)),Assumptions!$F$142,0)+IF((YEAR(T$3)*12+MONTH(T$3))&gt;=(YEAR(Assumptions!$F$143)*12+MONTH(Assumptions!$F$143)),Assumptions!$F$144,0)+IF((YEAR(T$3)*12+MONTH(T$3))&gt;=(YEAR(Assumptions!$F$146)*12+MONTH(Assumptions!$F$146)),Assumptions!$F$145,0))</f>
        <v/>
      </c>
      <c r="U59" s="61">
        <f>SUM($E$35:U35)+SUM($E$36:U36)-(IF((YEAR(U$3)*12+MONTH(U$3))&gt;=(YEAR(Assumptions!$F$141)*12+MONTH(Assumptions!$F$141)),Assumptions!$F$142,0)+IF((YEAR(U$3)*12+MONTH(U$3))&gt;=(YEAR(Assumptions!$F$143)*12+MONTH(Assumptions!$F$143)),Assumptions!$F$144,0)+IF((YEAR(U$3)*12+MONTH(U$3))&gt;=(YEAR(Assumptions!$F$146)*12+MONTH(Assumptions!$F$146)),Assumptions!$F$145,0))</f>
        <v/>
      </c>
      <c r="V59" s="61">
        <f>SUM($E$35:V35)+SUM($E$36:V36)-(IF((YEAR(V$3)*12+MONTH(V$3))&gt;=(YEAR(Assumptions!$F$141)*12+MONTH(Assumptions!$F$141)),Assumptions!$F$142,0)+IF((YEAR(V$3)*12+MONTH(V$3))&gt;=(YEAR(Assumptions!$F$143)*12+MONTH(Assumptions!$F$143)),Assumptions!$F$144,0)+IF((YEAR(V$3)*12+MONTH(V$3))&gt;=(YEAR(Assumptions!$F$146)*12+MONTH(Assumptions!$F$146)),Assumptions!$F$145,0))</f>
        <v/>
      </c>
      <c r="W59" s="61">
        <f>SUM($E$35:W35)+SUM($E$36:W36)-(IF((YEAR(W$3)*12+MONTH(W$3))&gt;=(YEAR(Assumptions!$F$141)*12+MONTH(Assumptions!$F$141)),Assumptions!$F$142,0)+IF((YEAR(W$3)*12+MONTH(W$3))&gt;=(YEAR(Assumptions!$F$143)*12+MONTH(Assumptions!$F$143)),Assumptions!$F$144,0)+IF((YEAR(W$3)*12+MONTH(W$3))&gt;=(YEAR(Assumptions!$F$146)*12+MONTH(Assumptions!$F$146)),Assumptions!$F$145,0))</f>
        <v/>
      </c>
      <c r="X59" s="61">
        <f>SUM($E$35:X35)+SUM($E$36:X36)-(IF((YEAR(X$3)*12+MONTH(X$3))&gt;=(YEAR(Assumptions!$F$141)*12+MONTH(Assumptions!$F$141)),Assumptions!$F$142,0)+IF((YEAR(X$3)*12+MONTH(X$3))&gt;=(YEAR(Assumptions!$F$143)*12+MONTH(Assumptions!$F$143)),Assumptions!$F$144,0)+IF((YEAR(X$3)*12+MONTH(X$3))&gt;=(YEAR(Assumptions!$F$146)*12+MONTH(Assumptions!$F$146)),Assumptions!$F$145,0))</f>
        <v/>
      </c>
      <c r="Y59" s="61">
        <f>SUM($E$35:Y35)+SUM($E$36:Y36)-(IF((YEAR(Y$3)*12+MONTH(Y$3))&gt;=(YEAR(Assumptions!$F$141)*12+MONTH(Assumptions!$F$141)),Assumptions!$F$142,0)+IF((YEAR(Y$3)*12+MONTH(Y$3))&gt;=(YEAR(Assumptions!$F$143)*12+MONTH(Assumptions!$F$143)),Assumptions!$F$144,0)+IF((YEAR(Y$3)*12+MONTH(Y$3))&gt;=(YEAR(Assumptions!$F$146)*12+MONTH(Assumptions!$F$146)),Assumptions!$F$145,0))</f>
        <v/>
      </c>
      <c r="Z59" s="61">
        <f>SUM($E$35:Z35)+SUM($E$36:Z36)-(IF((YEAR(Z$3)*12+MONTH(Z$3))&gt;=(YEAR(Assumptions!$F$141)*12+MONTH(Assumptions!$F$141)),Assumptions!$F$142,0)+IF((YEAR(Z$3)*12+MONTH(Z$3))&gt;=(YEAR(Assumptions!$F$143)*12+MONTH(Assumptions!$F$143)),Assumptions!$F$144,0)+IF((YEAR(Z$3)*12+MONTH(Z$3))&gt;=(YEAR(Assumptions!$F$146)*12+MONTH(Assumptions!$F$146)),Assumptions!$F$145,0))</f>
        <v/>
      </c>
      <c r="AA59" s="61">
        <f>SUM($E$35:AA35)+SUM($E$36:AA36)-(IF((YEAR(AA$3)*12+MONTH(AA$3))&gt;=(YEAR(Assumptions!$F$141)*12+MONTH(Assumptions!$F$141)),Assumptions!$F$142,0)+IF((YEAR(AA$3)*12+MONTH(AA$3))&gt;=(YEAR(Assumptions!$F$143)*12+MONTH(Assumptions!$F$143)),Assumptions!$F$144,0)+IF((YEAR(AA$3)*12+MONTH(AA$3))&gt;=(YEAR(Assumptions!$F$146)*12+MONTH(Assumptions!$F$146)),Assumptions!$F$145,0))</f>
        <v/>
      </c>
      <c r="AB59" s="61">
        <f>SUM($E$35:AB35)+SUM($E$36:AB36)-(IF((YEAR(AB$3)*12+MONTH(AB$3))&gt;=(YEAR(Assumptions!$F$141)*12+MONTH(Assumptions!$F$141)),Assumptions!$F$142,0)+IF((YEAR(AB$3)*12+MONTH(AB$3))&gt;=(YEAR(Assumptions!$F$143)*12+MONTH(Assumptions!$F$143)),Assumptions!$F$144,0)+IF((YEAR(AB$3)*12+MONTH(AB$3))&gt;=(YEAR(Assumptions!$F$146)*12+MONTH(Assumptions!$F$146)),Assumptions!$F$145,0))</f>
        <v/>
      </c>
      <c r="AC59" s="61">
        <f>SUM($E$35:AC35)+SUM($E$36:AC36)-(IF((YEAR(AC$3)*12+MONTH(AC$3))&gt;=(YEAR(Assumptions!$F$141)*12+MONTH(Assumptions!$F$141)),Assumptions!$F$142,0)+IF((YEAR(AC$3)*12+MONTH(AC$3))&gt;=(YEAR(Assumptions!$F$143)*12+MONTH(Assumptions!$F$143)),Assumptions!$F$144,0)+IF((YEAR(AC$3)*12+MONTH(AC$3))&gt;=(YEAR(Assumptions!$F$146)*12+MONTH(Assumptions!$F$146)),Assumptions!$F$145,0))</f>
        <v/>
      </c>
      <c r="AD59" s="61">
        <f>SUM($E$35:AD35)+SUM($E$36:AD36)-(IF((YEAR(AD$3)*12+MONTH(AD$3))&gt;=(YEAR(Assumptions!$F$141)*12+MONTH(Assumptions!$F$141)),Assumptions!$F$142,0)+IF((YEAR(AD$3)*12+MONTH(AD$3))&gt;=(YEAR(Assumptions!$F$143)*12+MONTH(Assumptions!$F$143)),Assumptions!$F$144,0)+IF((YEAR(AD$3)*12+MONTH(AD$3))&gt;=(YEAR(Assumptions!$F$146)*12+MONTH(Assumptions!$F$146)),Assumptions!$F$145,0))</f>
        <v/>
      </c>
      <c r="AE59" s="61">
        <f>SUM($E$35:AE35)+SUM($E$36:AE36)-(IF((YEAR(AE$3)*12+MONTH(AE$3))&gt;=(YEAR(Assumptions!$F$141)*12+MONTH(Assumptions!$F$141)),Assumptions!$F$142,0)+IF((YEAR(AE$3)*12+MONTH(AE$3))&gt;=(YEAR(Assumptions!$F$143)*12+MONTH(Assumptions!$F$143)),Assumptions!$F$144,0)+IF((YEAR(AE$3)*12+MONTH(AE$3))&gt;=(YEAR(Assumptions!$F$146)*12+MONTH(Assumptions!$F$146)),Assumptions!$F$145,0))</f>
        <v/>
      </c>
      <c r="AF59" s="61">
        <f>SUM($E$35:AF35)+SUM($E$36:AF36)-(IF((YEAR(AF$3)*12+MONTH(AF$3))&gt;=(YEAR(Assumptions!$F$141)*12+MONTH(Assumptions!$F$141)),Assumptions!$F$142,0)+IF((YEAR(AF$3)*12+MONTH(AF$3))&gt;=(YEAR(Assumptions!$F$143)*12+MONTH(Assumptions!$F$143)),Assumptions!$F$144,0)+IF((YEAR(AF$3)*12+MONTH(AF$3))&gt;=(YEAR(Assumptions!$F$146)*12+MONTH(Assumptions!$F$146)),Assumptions!$F$145,0))</f>
        <v/>
      </c>
      <c r="AG59" s="61">
        <f>SUM($E$35:AG35)+SUM($E$36:AG36)-(IF((YEAR(AG$3)*12+MONTH(AG$3))&gt;=(YEAR(Assumptions!$F$141)*12+MONTH(Assumptions!$F$141)),Assumptions!$F$142,0)+IF((YEAR(AG$3)*12+MONTH(AG$3))&gt;=(YEAR(Assumptions!$F$143)*12+MONTH(Assumptions!$F$143)),Assumptions!$F$144,0)+IF((YEAR(AG$3)*12+MONTH(AG$3))&gt;=(YEAR(Assumptions!$F$146)*12+MONTH(Assumptions!$F$146)),Assumptions!$F$145,0))</f>
        <v/>
      </c>
      <c r="AH59" s="61">
        <f>SUM($E$35:AH35)+SUM($E$36:AH36)-(IF((YEAR(AH$3)*12+MONTH(AH$3))&gt;=(YEAR(Assumptions!$F$141)*12+MONTH(Assumptions!$F$141)),Assumptions!$F$142,0)+IF((YEAR(AH$3)*12+MONTH(AH$3))&gt;=(YEAR(Assumptions!$F$143)*12+MONTH(Assumptions!$F$143)),Assumptions!$F$144,0)+IF((YEAR(AH$3)*12+MONTH(AH$3))&gt;=(YEAR(Assumptions!$F$146)*12+MONTH(Assumptions!$F$146)),Assumptions!$F$145,0))</f>
        <v/>
      </c>
      <c r="AI59" s="61">
        <f>SUM($E$35:AI35)+SUM($E$36:AI36)-(IF((YEAR(AI$3)*12+MONTH(AI$3))&gt;=(YEAR(Assumptions!$F$141)*12+MONTH(Assumptions!$F$141)),Assumptions!$F$142,0)+IF((YEAR(AI$3)*12+MONTH(AI$3))&gt;=(YEAR(Assumptions!$F$143)*12+MONTH(Assumptions!$F$143)),Assumptions!$F$144,0)+IF((YEAR(AI$3)*12+MONTH(AI$3))&gt;=(YEAR(Assumptions!$F$146)*12+MONTH(Assumptions!$F$146)),Assumptions!$F$145,0))</f>
        <v/>
      </c>
      <c r="AJ59" s="61">
        <f>SUM($E$35:AJ35)+SUM($E$36:AJ36)-(IF((YEAR(AJ$3)*12+MONTH(AJ$3))&gt;=(YEAR(Assumptions!$F$141)*12+MONTH(Assumptions!$F$141)),Assumptions!$F$142,0)+IF((YEAR(AJ$3)*12+MONTH(AJ$3))&gt;=(YEAR(Assumptions!$F$143)*12+MONTH(Assumptions!$F$143)),Assumptions!$F$144,0)+IF((YEAR(AJ$3)*12+MONTH(AJ$3))&gt;=(YEAR(Assumptions!$F$146)*12+MONTH(Assumptions!$F$146)),Assumptions!$F$145,0))</f>
        <v/>
      </c>
      <c r="AK59" s="61">
        <f>SUM($E$35:AK35)+SUM($E$36:AK36)-(IF((YEAR(AK$3)*12+MONTH(AK$3))&gt;=(YEAR(Assumptions!$F$141)*12+MONTH(Assumptions!$F$141)),Assumptions!$F$142,0)+IF((YEAR(AK$3)*12+MONTH(AK$3))&gt;=(YEAR(Assumptions!$F$143)*12+MONTH(Assumptions!$F$143)),Assumptions!$F$144,0)+IF((YEAR(AK$3)*12+MONTH(AK$3))&gt;=(YEAR(Assumptions!$F$146)*12+MONTH(Assumptions!$F$146)),Assumptions!$F$145,0))</f>
        <v/>
      </c>
      <c r="AL59" s="61">
        <f>SUM($E$35:AL35)+SUM($E$36:AL36)-(IF((YEAR(AL$3)*12+MONTH(AL$3))&gt;=(YEAR(Assumptions!$F$141)*12+MONTH(Assumptions!$F$141)),Assumptions!$F$142,0)+IF((YEAR(AL$3)*12+MONTH(AL$3))&gt;=(YEAR(Assumptions!$F$143)*12+MONTH(Assumptions!$F$143)),Assumptions!$F$144,0)+IF((YEAR(AL$3)*12+MONTH(AL$3))&gt;=(YEAR(Assumptions!$F$146)*12+MONTH(Assumptions!$F$146)),Assumptions!$F$145,0))</f>
        <v/>
      </c>
      <c r="AM59" s="61">
        <f>SUM($E$35:AM35)+SUM($E$36:AM36)-(IF((YEAR(AM$3)*12+MONTH(AM$3))&gt;=(YEAR(Assumptions!$F$141)*12+MONTH(Assumptions!$F$141)),Assumptions!$F$142,0)+IF((YEAR(AM$3)*12+MONTH(AM$3))&gt;=(YEAR(Assumptions!$F$143)*12+MONTH(Assumptions!$F$143)),Assumptions!$F$144,0)+IF((YEAR(AM$3)*12+MONTH(AM$3))&gt;=(YEAR(Assumptions!$F$146)*12+MONTH(Assumptions!$F$146)),Assumptions!$F$145,0))</f>
        <v/>
      </c>
      <c r="AN59" s="61">
        <f>SUM($E$35:AN35)+SUM($E$36:AN36)-(IF((YEAR(AN$3)*12+MONTH(AN$3))&gt;=(YEAR(Assumptions!$F$141)*12+MONTH(Assumptions!$F$141)),Assumptions!$F$142,0)+IF((YEAR(AN$3)*12+MONTH(AN$3))&gt;=(YEAR(Assumptions!$F$143)*12+MONTH(Assumptions!$F$143)),Assumptions!$F$144,0)+IF((YEAR(AN$3)*12+MONTH(AN$3))&gt;=(YEAR(Assumptions!$F$146)*12+MONTH(Assumptions!$F$146)),Assumptions!$F$145,0))</f>
        <v/>
      </c>
      <c r="AO59" s="61">
        <f>SUM($E$35:AO35)+SUM($E$36:AO36)-(IF((YEAR(AO$3)*12+MONTH(AO$3))&gt;=(YEAR(Assumptions!$F$141)*12+MONTH(Assumptions!$F$141)),Assumptions!$F$142,0)+IF((YEAR(AO$3)*12+MONTH(AO$3))&gt;=(YEAR(Assumptions!$F$143)*12+MONTH(Assumptions!$F$143)),Assumptions!$F$144,0)+IF((YEAR(AO$3)*12+MONTH(AO$3))&gt;=(YEAR(Assumptions!$F$146)*12+MONTH(Assumptions!$F$146)),Assumptions!$F$145,0))</f>
        <v/>
      </c>
      <c r="AP59" s="61">
        <f>SUM($E$35:AP35)+SUM($E$36:AP36)-(IF((YEAR(AP$3)*12+MONTH(AP$3))&gt;=(YEAR(Assumptions!$F$141)*12+MONTH(Assumptions!$F$141)),Assumptions!$F$142,0)+IF((YEAR(AP$3)*12+MONTH(AP$3))&gt;=(YEAR(Assumptions!$F$143)*12+MONTH(Assumptions!$F$143)),Assumptions!$F$144,0)+IF((YEAR(AP$3)*12+MONTH(AP$3))&gt;=(YEAR(Assumptions!$F$146)*12+MONTH(Assumptions!$F$146)),Assumptions!$F$145,0))</f>
        <v/>
      </c>
      <c r="AQ59" s="61">
        <f>SUM($E$35:AQ35)+SUM($E$36:AQ36)-(IF((YEAR(AQ$3)*12+MONTH(AQ$3))&gt;=(YEAR(Assumptions!$F$141)*12+MONTH(Assumptions!$F$141)),Assumptions!$F$142,0)+IF((YEAR(AQ$3)*12+MONTH(AQ$3))&gt;=(YEAR(Assumptions!$F$143)*12+MONTH(Assumptions!$F$143)),Assumptions!$F$144,0)+IF((YEAR(AQ$3)*12+MONTH(AQ$3))&gt;=(YEAR(Assumptions!$F$146)*12+MONTH(Assumptions!$F$146)),Assumptions!$F$145,0))</f>
        <v/>
      </c>
      <c r="AR59" s="61">
        <f>SUM($E$35:AR35)+SUM($E$36:AR36)-(IF((YEAR(AR$3)*12+MONTH(AR$3))&gt;=(YEAR(Assumptions!$F$141)*12+MONTH(Assumptions!$F$141)),Assumptions!$F$142,0)+IF((YEAR(AR$3)*12+MONTH(AR$3))&gt;=(YEAR(Assumptions!$F$143)*12+MONTH(Assumptions!$F$143)),Assumptions!$F$144,0)+IF((YEAR(AR$3)*12+MONTH(AR$3))&gt;=(YEAR(Assumptions!$F$146)*12+MONTH(Assumptions!$F$146)),Assumptions!$F$145,0))</f>
        <v/>
      </c>
      <c r="AS59" s="61">
        <f>SUM($E$35:AS35)+SUM($E$36:AS36)-(IF((YEAR(AS$3)*12+MONTH(AS$3))&gt;=(YEAR(Assumptions!$F$141)*12+MONTH(Assumptions!$F$141)),Assumptions!$F$142,0)+IF((YEAR(AS$3)*12+MONTH(AS$3))&gt;=(YEAR(Assumptions!$F$143)*12+MONTH(Assumptions!$F$143)),Assumptions!$F$144,0)+IF((YEAR(AS$3)*12+MONTH(AS$3))&gt;=(YEAR(Assumptions!$F$146)*12+MONTH(Assumptions!$F$146)),Assumptions!$F$145,0))</f>
        <v/>
      </c>
      <c r="AT59" s="61">
        <f>SUM($E$35:AT35)+SUM($E$36:AT36)-(IF((YEAR(AT$3)*12+MONTH(AT$3))&gt;=(YEAR(Assumptions!$F$141)*12+MONTH(Assumptions!$F$141)),Assumptions!$F$142,0)+IF((YEAR(AT$3)*12+MONTH(AT$3))&gt;=(YEAR(Assumptions!$F$143)*12+MONTH(Assumptions!$F$143)),Assumptions!$F$144,0)+IF((YEAR(AT$3)*12+MONTH(AT$3))&gt;=(YEAR(Assumptions!$F$146)*12+MONTH(Assumptions!$F$146)),Assumptions!$F$145,0))</f>
        <v/>
      </c>
      <c r="AU59" s="61">
        <f>SUM($E$35:AU35)+SUM($E$36:AU36)-(IF((YEAR(AU$3)*12+MONTH(AU$3))&gt;=(YEAR(Assumptions!$F$141)*12+MONTH(Assumptions!$F$141)),Assumptions!$F$142,0)+IF((YEAR(AU$3)*12+MONTH(AU$3))&gt;=(YEAR(Assumptions!$F$143)*12+MONTH(Assumptions!$F$143)),Assumptions!$F$144,0)+IF((YEAR(AU$3)*12+MONTH(AU$3))&gt;=(YEAR(Assumptions!$F$146)*12+MONTH(Assumptions!$F$146)),Assumptions!$F$145,0))</f>
        <v/>
      </c>
      <c r="AV59" s="61">
        <f>SUM($E$35:AV35)+SUM($E$36:AV36)-(IF((YEAR(AV$3)*12+MONTH(AV$3))&gt;=(YEAR(Assumptions!$F$141)*12+MONTH(Assumptions!$F$141)),Assumptions!$F$142,0)+IF((YEAR(AV$3)*12+MONTH(AV$3))&gt;=(YEAR(Assumptions!$F$143)*12+MONTH(Assumptions!$F$143)),Assumptions!$F$144,0)+IF((YEAR(AV$3)*12+MONTH(AV$3))&gt;=(YEAR(Assumptions!$F$146)*12+MONTH(Assumptions!$F$146)),Assumptions!$F$145,0))</f>
        <v/>
      </c>
      <c r="AW59" s="61">
        <f>SUM($E$35:AW35)+SUM($E$36:AW36)-(IF((YEAR(AW$3)*12+MONTH(AW$3))&gt;=(YEAR(Assumptions!$F$141)*12+MONTH(Assumptions!$F$141)),Assumptions!$F$142,0)+IF((YEAR(AW$3)*12+MONTH(AW$3))&gt;=(YEAR(Assumptions!$F$143)*12+MONTH(Assumptions!$F$143)),Assumptions!$F$144,0)+IF((YEAR(AW$3)*12+MONTH(AW$3))&gt;=(YEAR(Assumptions!$F$146)*12+MONTH(Assumptions!$F$146)),Assumptions!$F$145,0))</f>
        <v/>
      </c>
      <c r="AX59" s="61">
        <f>SUM($E$35:AX35)+SUM($E$36:AX36)-(IF((YEAR(AX$3)*12+MONTH(AX$3))&gt;=(YEAR(Assumptions!$F$141)*12+MONTH(Assumptions!$F$141)),Assumptions!$F$142,0)+IF((YEAR(AX$3)*12+MONTH(AX$3))&gt;=(YEAR(Assumptions!$F$143)*12+MONTH(Assumptions!$F$143)),Assumptions!$F$144,0)+IF((YEAR(AX$3)*12+MONTH(AX$3))&gt;=(YEAR(Assumptions!$F$146)*12+MONTH(Assumptions!$F$146)),Assumptions!$F$145,0))</f>
        <v/>
      </c>
      <c r="AY59" s="61">
        <f>SUM($E$35:AY35)+SUM($E$36:AY36)-(IF((YEAR(AY$3)*12+MONTH(AY$3))&gt;=(YEAR(Assumptions!$F$141)*12+MONTH(Assumptions!$F$141)),Assumptions!$F$142,0)+IF((YEAR(AY$3)*12+MONTH(AY$3))&gt;=(YEAR(Assumptions!$F$143)*12+MONTH(Assumptions!$F$143)),Assumptions!$F$144,0)+IF((YEAR(AY$3)*12+MONTH(AY$3))&gt;=(YEAR(Assumptions!$F$146)*12+MONTH(Assumptions!$F$146)),Assumptions!$F$145,0))</f>
        <v/>
      </c>
      <c r="AZ59" s="61">
        <f>SUM($E$35:AZ35)+SUM($E$36:AZ36)-(IF((YEAR(AZ$3)*12+MONTH(AZ$3))&gt;=(YEAR(Assumptions!$F$141)*12+MONTH(Assumptions!$F$141)),Assumptions!$F$142,0)+IF((YEAR(AZ$3)*12+MONTH(AZ$3))&gt;=(YEAR(Assumptions!$F$143)*12+MONTH(Assumptions!$F$143)),Assumptions!$F$144,0)+IF((YEAR(AZ$3)*12+MONTH(AZ$3))&gt;=(YEAR(Assumptions!$F$146)*12+MONTH(Assumptions!$F$146)),Assumptions!$F$145,0))</f>
        <v/>
      </c>
      <c r="BA59" s="61">
        <f>SUM($E$35:BA35)+SUM($E$36:BA36)-(IF((YEAR(BA$3)*12+MONTH(BA$3))&gt;=(YEAR(Assumptions!$F$141)*12+MONTH(Assumptions!$F$141)),Assumptions!$F$142,0)+IF((YEAR(BA$3)*12+MONTH(BA$3))&gt;=(YEAR(Assumptions!$F$143)*12+MONTH(Assumptions!$F$143)),Assumptions!$F$144,0)+IF((YEAR(BA$3)*12+MONTH(BA$3))&gt;=(YEAR(Assumptions!$F$146)*12+MONTH(Assumptions!$F$146)),Assumptions!$F$145,0))</f>
        <v/>
      </c>
      <c r="BB59" s="61">
        <f>SUM($E$35:BB35)+SUM($E$36:BB36)-(IF((YEAR(BB$3)*12+MONTH(BB$3))&gt;=(YEAR(Assumptions!$F$141)*12+MONTH(Assumptions!$F$141)),Assumptions!$F$142,0)+IF((YEAR(BB$3)*12+MONTH(BB$3))&gt;=(YEAR(Assumptions!$F$143)*12+MONTH(Assumptions!$F$143)),Assumptions!$F$144,0)+IF((YEAR(BB$3)*12+MONTH(BB$3))&gt;=(YEAR(Assumptions!$F$146)*12+MONTH(Assumptions!$F$146)),Assumptions!$F$145,0))</f>
        <v/>
      </c>
      <c r="BC59" s="61">
        <f>SUM($E$35:BC35)+SUM($E$36:BC36)-(IF((YEAR(BC$3)*12+MONTH(BC$3))&gt;=(YEAR(Assumptions!$F$141)*12+MONTH(Assumptions!$F$141)),Assumptions!$F$142,0)+IF((YEAR(BC$3)*12+MONTH(BC$3))&gt;=(YEAR(Assumptions!$F$143)*12+MONTH(Assumptions!$F$143)),Assumptions!$F$144,0)+IF((YEAR(BC$3)*12+MONTH(BC$3))&gt;=(YEAR(Assumptions!$F$146)*12+MONTH(Assumptions!$F$146)),Assumptions!$F$145,0))</f>
        <v/>
      </c>
      <c r="BD59" s="61">
        <f>SUM($E$35:BD35)+SUM($E$36:BD36)-(IF((YEAR(BD$3)*12+MONTH(BD$3))&gt;=(YEAR(Assumptions!$F$141)*12+MONTH(Assumptions!$F$141)),Assumptions!$F$142,0)+IF((YEAR(BD$3)*12+MONTH(BD$3))&gt;=(YEAR(Assumptions!$F$143)*12+MONTH(Assumptions!$F$143)),Assumptions!$F$144,0)+IF((YEAR(BD$3)*12+MONTH(BD$3))&gt;=(YEAR(Assumptions!$F$146)*12+MONTH(Assumptions!$F$146)),Assumptions!$F$145,0))</f>
        <v/>
      </c>
      <c r="BE59" s="61">
        <f>SUM($E$35:BE35)+SUM($E$36:BE36)-(IF((YEAR(BE$3)*12+MONTH(BE$3))&gt;=(YEAR(Assumptions!$F$141)*12+MONTH(Assumptions!$F$141)),Assumptions!$F$142,0)+IF((YEAR(BE$3)*12+MONTH(BE$3))&gt;=(YEAR(Assumptions!$F$143)*12+MONTH(Assumptions!$F$143)),Assumptions!$F$144,0)+IF((YEAR(BE$3)*12+MONTH(BE$3))&gt;=(YEAR(Assumptions!$F$146)*12+MONTH(Assumptions!$F$146)),Assumptions!$F$145,0))</f>
        <v/>
      </c>
      <c r="BF59" s="61">
        <f>SUM($E$35:BF35)+SUM($E$36:BF36)-(IF((YEAR(BF$3)*12+MONTH(BF$3))&gt;=(YEAR(Assumptions!$F$141)*12+MONTH(Assumptions!$F$141)),Assumptions!$F$142,0)+IF((YEAR(BF$3)*12+MONTH(BF$3))&gt;=(YEAR(Assumptions!$F$143)*12+MONTH(Assumptions!$F$143)),Assumptions!$F$144,0)+IF((YEAR(BF$3)*12+MONTH(BF$3))&gt;=(YEAR(Assumptions!$F$146)*12+MONTH(Assumptions!$F$146)),Assumptions!$F$145,0))</f>
        <v/>
      </c>
      <c r="BG59" s="61">
        <f>SUM($E$35:BG35)+SUM($E$36:BG36)-(IF((YEAR(BG$3)*12+MONTH(BG$3))&gt;=(YEAR(Assumptions!$F$141)*12+MONTH(Assumptions!$F$141)),Assumptions!$F$142,0)+IF((YEAR(BG$3)*12+MONTH(BG$3))&gt;=(YEAR(Assumptions!$F$143)*12+MONTH(Assumptions!$F$143)),Assumptions!$F$144,0)+IF((YEAR(BG$3)*12+MONTH(BG$3))&gt;=(YEAR(Assumptions!$F$146)*12+MONTH(Assumptions!$F$146)),Assumptions!$F$145,0))</f>
        <v/>
      </c>
      <c r="BH59" s="61">
        <f>SUM($E$35:BH35)+SUM($E$36:BH36)-(IF((YEAR(BH$3)*12+MONTH(BH$3))&gt;=(YEAR(Assumptions!$F$141)*12+MONTH(Assumptions!$F$141)),Assumptions!$F$142,0)+IF((YEAR(BH$3)*12+MONTH(BH$3))&gt;=(YEAR(Assumptions!$F$143)*12+MONTH(Assumptions!$F$143)),Assumptions!$F$144,0)+IF((YEAR(BH$3)*12+MONTH(BH$3))&gt;=(YEAR(Assumptions!$F$146)*12+MONTH(Assumptions!$F$146)),Assumptions!$F$145,0))</f>
        <v/>
      </c>
      <c r="BI59" s="61">
        <f>SUM($E$35:BI35)+SUM($E$36:BI36)-(IF((YEAR(BI$3)*12+MONTH(BI$3))&gt;=(YEAR(Assumptions!$F$141)*12+MONTH(Assumptions!$F$141)),Assumptions!$F$142,0)+IF((YEAR(BI$3)*12+MONTH(BI$3))&gt;=(YEAR(Assumptions!$F$143)*12+MONTH(Assumptions!$F$143)),Assumptions!$F$144,0)+IF((YEAR(BI$3)*12+MONTH(BI$3))&gt;=(YEAR(Assumptions!$F$146)*12+MONTH(Assumptions!$F$146)),Assumptions!$F$145,0))</f>
        <v/>
      </c>
      <c r="BJ59" s="61">
        <f>SUM($E$35:BJ35)+SUM($E$36:BJ36)-(IF((YEAR(BJ$3)*12+MONTH(BJ$3))&gt;=(YEAR(Assumptions!$F$141)*12+MONTH(Assumptions!$F$141)),Assumptions!$F$142,0)+IF((YEAR(BJ$3)*12+MONTH(BJ$3))&gt;=(YEAR(Assumptions!$F$143)*12+MONTH(Assumptions!$F$143)),Assumptions!$F$144,0)+IF((YEAR(BJ$3)*12+MONTH(BJ$3))&gt;=(YEAR(Assumptions!$F$146)*12+MONTH(Assumptions!$F$146)),Assumptions!$F$145,0))</f>
        <v/>
      </c>
      <c r="BK59" s="61">
        <f>SUM($E$35:BK35)+SUM($E$36:BK36)-(IF((YEAR(BK$3)*12+MONTH(BK$3))&gt;=(YEAR(Assumptions!$F$141)*12+MONTH(Assumptions!$F$141)),Assumptions!$F$142,0)+IF((YEAR(BK$3)*12+MONTH(BK$3))&gt;=(YEAR(Assumptions!$F$143)*12+MONTH(Assumptions!$F$143)),Assumptions!$F$144,0)+IF((YEAR(BK$3)*12+MONTH(BK$3))&gt;=(YEAR(Assumptions!$F$146)*12+MONTH(Assumptions!$F$146)),Assumptions!$F$145,0))</f>
        <v/>
      </c>
      <c r="BL59" s="61">
        <f>SUM($E$35:BL35)+SUM($E$36:BL36)-(IF((YEAR(BL$3)*12+MONTH(BL$3))&gt;=(YEAR(Assumptions!$F$141)*12+MONTH(Assumptions!$F$141)),Assumptions!$F$142,0)+IF((YEAR(BL$3)*12+MONTH(BL$3))&gt;=(YEAR(Assumptions!$F$143)*12+MONTH(Assumptions!$F$143)),Assumptions!$F$144,0)+IF((YEAR(BL$3)*12+MONTH(BL$3))&gt;=(YEAR(Assumptions!$F$146)*12+MONTH(Assumptions!$F$146)),Assumptions!$F$145,0))</f>
        <v/>
      </c>
      <c r="BN59" s="62">
        <f>P59</f>
        <v/>
      </c>
      <c r="BO59" s="62">
        <f>AB59</f>
        <v/>
      </c>
      <c r="BP59" s="62">
        <f>AN59</f>
        <v/>
      </c>
      <c r="BQ59" s="62">
        <f>AZ59</f>
        <v/>
      </c>
      <c r="BR59" s="62">
        <f>BL59</f>
        <v/>
      </c>
      <c r="BT59" s="28" t="inlineStr">
        <is>
          <t>cumulative equity and loan received against what the funding block says should have arrived by now</t>
        </is>
      </c>
    </row>
    <row r="60">
      <c r="B60" s="49"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52"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28" t="inlineStr">
        <is>
          <t>a line is paid for the lead time before it can build anything</t>
        </is>
      </c>
    </row>
    <row r="62">
      <c r="B62" s="6" t="inlineStr">
        <is>
          <t>Accumulated depreciation</t>
        </is>
      </c>
      <c r="C62" s="52"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52"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52"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52"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28" t="inlineStr">
        <is>
          <t>from the Assumptions year table, per the case switch</t>
        </is>
      </c>
    </row>
    <row r="7">
      <c r="B7" s="6" t="inlineStr">
        <is>
          <t>Installed base at start of month</t>
        </is>
      </c>
      <c r="C7" s="52"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52"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28" t="inlineStr">
        <is>
          <t>held flat: marketing per unit only falls as installers bring in more of the orders</t>
        </is>
      </c>
    </row>
    <row r="9">
      <c r="B9" s="6" t="inlineStr">
        <is>
          <t>Qualified leads</t>
        </is>
      </c>
      <c r="C9" s="52"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28" t="inlineStr">
        <is>
          <t>marketing spend divided by cost per lead, then the lead to qualified rate</t>
        </is>
      </c>
    </row>
    <row r="10">
      <c r="B10" s="6" t="inlineStr">
        <is>
          <t>Orders the funnel generates</t>
        </is>
      </c>
      <c r="C10" s="52"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52"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28" t="inlineStr">
        <is>
          <t>partners on the books times the orders each finds on their own jobs</t>
        </is>
      </c>
    </row>
    <row r="12">
      <c r="B12" s="59" t="inlineStr">
        <is>
          <t>Demand</t>
        </is>
      </c>
      <c r="C12" s="60" t="inlineStr">
        <is>
          <t>units</t>
        </is>
      </c>
      <c r="E12" s="40">
        <f>E10+E11</f>
        <v/>
      </c>
      <c r="F12" s="40">
        <f>F10+F11</f>
        <v/>
      </c>
      <c r="G12" s="40">
        <f>G10+G11</f>
        <v/>
      </c>
      <c r="H12" s="40">
        <f>H10+H11</f>
        <v/>
      </c>
      <c r="I12" s="40">
        <f>I10+I11</f>
        <v/>
      </c>
      <c r="J12" s="40">
        <f>J10+J11</f>
        <v/>
      </c>
      <c r="K12" s="40">
        <f>K10+K11</f>
        <v/>
      </c>
      <c r="L12" s="40">
        <f>L10+L11</f>
        <v/>
      </c>
      <c r="M12" s="40">
        <f>M10+M11</f>
        <v/>
      </c>
      <c r="N12" s="40">
        <f>N10+N11</f>
        <v/>
      </c>
      <c r="O12" s="40">
        <f>O10+O11</f>
        <v/>
      </c>
      <c r="P12" s="40">
        <f>P10+P11</f>
        <v/>
      </c>
      <c r="Q12" s="40">
        <f>Q10+Q11</f>
        <v/>
      </c>
      <c r="R12" s="40">
        <f>R10+R11</f>
        <v/>
      </c>
      <c r="S12" s="40">
        <f>S10+S11</f>
        <v/>
      </c>
      <c r="T12" s="40">
        <f>T10+T11</f>
        <v/>
      </c>
      <c r="U12" s="40">
        <f>U10+U11</f>
        <v/>
      </c>
      <c r="V12" s="40">
        <f>V10+V11</f>
        <v/>
      </c>
      <c r="W12" s="40">
        <f>W10+W11</f>
        <v/>
      </c>
      <c r="X12" s="40">
        <f>X10+X11</f>
        <v/>
      </c>
      <c r="Y12" s="40">
        <f>Y10+Y11</f>
        <v/>
      </c>
      <c r="Z12" s="40">
        <f>Z10+Z11</f>
        <v/>
      </c>
      <c r="AA12" s="40">
        <f>AA10+AA11</f>
        <v/>
      </c>
      <c r="AB12" s="40">
        <f>AB10+AB11</f>
        <v/>
      </c>
      <c r="AC12" s="40">
        <f>AC10+AC11</f>
        <v/>
      </c>
      <c r="AD12" s="40">
        <f>AD10+AD11</f>
        <v/>
      </c>
      <c r="AE12" s="40">
        <f>AE10+AE11</f>
        <v/>
      </c>
      <c r="AF12" s="40">
        <f>AF10+AF11</f>
        <v/>
      </c>
      <c r="AG12" s="40">
        <f>AG10+AG11</f>
        <v/>
      </c>
      <c r="AH12" s="40">
        <f>AH10+AH11</f>
        <v/>
      </c>
      <c r="AI12" s="40">
        <f>AI10+AI11</f>
        <v/>
      </c>
      <c r="AJ12" s="40">
        <f>AJ10+AJ11</f>
        <v/>
      </c>
      <c r="AK12" s="40">
        <f>AK10+AK11</f>
        <v/>
      </c>
      <c r="AL12" s="40">
        <f>AL10+AL11</f>
        <v/>
      </c>
      <c r="AM12" s="40">
        <f>AM10+AM11</f>
        <v/>
      </c>
      <c r="AN12" s="40">
        <f>AN10+AN11</f>
        <v/>
      </c>
      <c r="AO12" s="40">
        <f>AO10+AO11</f>
        <v/>
      </c>
      <c r="AP12" s="40">
        <f>AP10+AP11</f>
        <v/>
      </c>
      <c r="AQ12" s="40">
        <f>AQ10+AQ11</f>
        <v/>
      </c>
      <c r="AR12" s="40">
        <f>AR10+AR11</f>
        <v/>
      </c>
      <c r="AS12" s="40">
        <f>AS10+AS11</f>
        <v/>
      </c>
      <c r="AT12" s="40">
        <f>AT10+AT11</f>
        <v/>
      </c>
      <c r="AU12" s="40">
        <f>AU10+AU11</f>
        <v/>
      </c>
      <c r="AV12" s="40">
        <f>AV10+AV11</f>
        <v/>
      </c>
      <c r="AW12" s="40">
        <f>AW10+AW11</f>
        <v/>
      </c>
      <c r="AX12" s="40">
        <f>AX10+AX11</f>
        <v/>
      </c>
      <c r="AY12" s="40">
        <f>AY10+AY11</f>
        <v/>
      </c>
      <c r="AZ12" s="40">
        <f>AZ10+AZ11</f>
        <v/>
      </c>
      <c r="BA12" s="40">
        <f>BA10+BA11</f>
        <v/>
      </c>
      <c r="BB12" s="40">
        <f>BB10+BB11</f>
        <v/>
      </c>
      <c r="BC12" s="40">
        <f>BC10+BC11</f>
        <v/>
      </c>
      <c r="BD12" s="40">
        <f>BD10+BD11</f>
        <v/>
      </c>
      <c r="BE12" s="40">
        <f>BE10+BE11</f>
        <v/>
      </c>
      <c r="BF12" s="40">
        <f>BF10+BF11</f>
        <v/>
      </c>
      <c r="BG12" s="40">
        <f>BG10+BG11</f>
        <v/>
      </c>
      <c r="BH12" s="40">
        <f>BH10+BH11</f>
        <v/>
      </c>
      <c r="BI12" s="40">
        <f>BI10+BI11</f>
        <v/>
      </c>
      <c r="BJ12" s="40">
        <f>BJ10+BJ11</f>
        <v/>
      </c>
      <c r="BK12" s="40">
        <f>BK10+BK11</f>
        <v/>
      </c>
      <c r="BL12" s="40">
        <f>BL10+BL11</f>
        <v/>
      </c>
      <c r="BN12" s="40">
        <f>SUM(E12:P12)</f>
        <v/>
      </c>
      <c r="BO12" s="40">
        <f>SUM(Q12:AB12)</f>
        <v/>
      </c>
      <c r="BP12" s="40">
        <f>SUM(AC12:AN12)</f>
        <v/>
      </c>
      <c r="BQ12" s="40">
        <f>SUM(AO12:AZ12)</f>
        <v/>
      </c>
      <c r="BR12" s="40">
        <f>SUM(BA12:BL12)</f>
        <v/>
      </c>
    </row>
    <row r="14">
      <c r="B14" s="49"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52"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28" t="inlineStr">
        <is>
          <t>the rest is sold by trained installer partners</t>
        </is>
      </c>
    </row>
    <row r="16">
      <c r="B16" s="6" t="inlineStr">
        <is>
          <t>Reps hired</t>
        </is>
      </c>
      <c r="C16" s="52" t="inlineStr">
        <is>
          <t>FTE</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28" t="inlineStr">
        <is>
          <t>no sales reps before the first month we can sell</t>
        </is>
      </c>
    </row>
    <row r="17">
      <c r="B17" s="6" t="inlineStr">
        <is>
          <t>Reps in post</t>
        </is>
      </c>
      <c r="C17" s="52" t="inlineStr">
        <is>
          <t>FTE</t>
        </is>
      </c>
      <c r="E17" s="13">
        <f>Assumptions!$F$72+E16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8">
        <f>P17</f>
        <v/>
      </c>
      <c r="BO17" s="68">
        <f>AB17</f>
        <v/>
      </c>
      <c r="BP17" s="68">
        <f>AN17</f>
        <v/>
      </c>
      <c r="BQ17" s="68">
        <f>AZ17</f>
        <v/>
      </c>
      <c r="BR17" s="68">
        <f>BL17</f>
        <v/>
      </c>
    </row>
    <row r="18">
      <c r="B18" s="6" t="inlineStr">
        <is>
          <t>Capacity from our own reps</t>
        </is>
      </c>
      <c r="C18" s="52"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28" t="inlineStr">
        <is>
          <t>every rep in post carries full quota from the month they are hired</t>
        </is>
      </c>
    </row>
    <row r="19">
      <c r="B19" s="6" t="inlineStr">
        <is>
          <t>Installer partners signed</t>
        </is>
      </c>
      <c r="C19" s="52" t="inlineStr">
        <is>
          <t>partners</t>
        </is>
      </c>
      <c r="E19" s="13">
        <f>IF(E$3&lt;Assumptions!$F$13,0,HLOOKUP(YEAR(E$3),Assumptions!$D$63:$H$66,4,FALSE))</f>
        <v/>
      </c>
      <c r="F19" s="13">
        <f>IF(F$3&lt;Assumptions!$F$13,0,HLOOKUP(YEAR(F$3),Assumptions!$D$63:$H$66,4,FALSE))</f>
        <v/>
      </c>
      <c r="G19" s="13">
        <f>IF(G$3&lt;Assumptions!$F$13,0,HLOOKUP(YEAR(G$3),Assumptions!$D$63:$H$66,4,FALSE))</f>
        <v/>
      </c>
      <c r="H19" s="13">
        <f>IF(H$3&lt;Assumptions!$F$13,0,HLOOKUP(YEAR(H$3),Assumptions!$D$63:$H$66,4,FALSE))</f>
        <v/>
      </c>
      <c r="I19" s="13">
        <f>IF(I$3&lt;Assumptions!$F$13,0,HLOOKUP(YEAR(I$3),Assumptions!$D$63:$H$66,4,FALSE))</f>
        <v/>
      </c>
      <c r="J19" s="13">
        <f>IF(J$3&lt;Assumptions!$F$13,0,HLOOKUP(YEAR(J$3),Assumptions!$D$63:$H$66,4,FALSE))</f>
        <v/>
      </c>
      <c r="K19" s="13">
        <f>IF(K$3&lt;Assumptions!$F$13,0,HLOOKUP(YEAR(K$3),Assumptions!$D$63:$H$66,4,FALSE))</f>
        <v/>
      </c>
      <c r="L19" s="13">
        <f>IF(L$3&lt;Assumptions!$F$13,0,HLOOKUP(YEAR(L$3),Assumptions!$D$63:$H$66,4,FALSE))</f>
        <v/>
      </c>
      <c r="M19" s="13">
        <f>IF(M$3&lt;Assumptions!$F$13,0,HLOOKUP(YEAR(M$3),Assumptions!$D$63:$H$66,4,FALSE))</f>
        <v/>
      </c>
      <c r="N19" s="13">
        <f>IF(N$3&lt;Assumptions!$F$13,0,HLOOKUP(YEAR(N$3),Assumptions!$D$63:$H$66,4,FALSE))</f>
        <v/>
      </c>
      <c r="O19" s="13">
        <f>IF(O$3&lt;Assumptions!$F$13,0,HLOOKUP(YEAR(O$3),Assumptions!$D$63:$H$66,4,FALSE))</f>
        <v/>
      </c>
      <c r="P19" s="13">
        <f>IF(P$3&lt;Assumptions!$F$13,0,HLOOKUP(YEAR(P$3),Assumptions!$D$63:$H$66,4,FALSE))</f>
        <v/>
      </c>
      <c r="Q19" s="13">
        <f>IF(Q$3&lt;Assumptions!$F$13,0,HLOOKUP(YEAR(Q$3),Assumptions!$D$63:$H$66,4,FALSE))</f>
        <v/>
      </c>
      <c r="R19" s="13">
        <f>IF(R$3&lt;Assumptions!$F$13,0,HLOOKUP(YEAR(R$3),Assumptions!$D$63:$H$66,4,FALSE))</f>
        <v/>
      </c>
      <c r="S19" s="13">
        <f>IF(S$3&lt;Assumptions!$F$13,0,HLOOKUP(YEAR(S$3),Assumptions!$D$63:$H$66,4,FALSE))</f>
        <v/>
      </c>
      <c r="T19" s="13">
        <f>IF(T$3&lt;Assumptions!$F$13,0,HLOOKUP(YEAR(T$3),Assumptions!$D$63:$H$66,4,FALSE))</f>
        <v/>
      </c>
      <c r="U19" s="13">
        <f>IF(U$3&lt;Assumptions!$F$13,0,HLOOKUP(YEAR(U$3),Assumptions!$D$63:$H$66,4,FALSE))</f>
        <v/>
      </c>
      <c r="V19" s="13">
        <f>IF(V$3&lt;Assumptions!$F$13,0,HLOOKUP(YEAR(V$3),Assumptions!$D$63:$H$66,4,FALSE))</f>
        <v/>
      </c>
      <c r="W19" s="13">
        <f>IF(W$3&lt;Assumptions!$F$13,0,HLOOKUP(YEAR(W$3),Assumptions!$D$63:$H$66,4,FALSE))</f>
        <v/>
      </c>
      <c r="X19" s="13">
        <f>IF(X$3&lt;Assumptions!$F$13,0,HLOOKUP(YEAR(X$3),Assumptions!$D$63:$H$66,4,FALSE))</f>
        <v/>
      </c>
      <c r="Y19" s="13">
        <f>IF(Y$3&lt;Assumptions!$F$13,0,HLOOKUP(YEAR(Y$3),Assumptions!$D$63:$H$66,4,FALSE))</f>
        <v/>
      </c>
      <c r="Z19" s="13">
        <f>IF(Z$3&lt;Assumptions!$F$13,0,HLOOKUP(YEAR(Z$3),Assumptions!$D$63:$H$66,4,FALSE))</f>
        <v/>
      </c>
      <c r="AA19" s="13">
        <f>IF(AA$3&lt;Assumptions!$F$13,0,HLOOKUP(YEAR(AA$3),Assumptions!$D$63:$H$66,4,FALSE))</f>
        <v/>
      </c>
      <c r="AB19" s="13">
        <f>IF(AB$3&lt;Assumptions!$F$13,0,HLOOKUP(YEAR(AB$3),Assumptions!$D$63:$H$66,4,FALSE))</f>
        <v/>
      </c>
      <c r="AC19" s="13">
        <f>IF(AC$3&lt;Assumptions!$F$13,0,HLOOKUP(YEAR(AC$3),Assumptions!$D$63:$H$66,4,FALSE))</f>
        <v/>
      </c>
      <c r="AD19" s="13">
        <f>IF(AD$3&lt;Assumptions!$F$13,0,HLOOKUP(YEAR(AD$3),Assumptions!$D$63:$H$66,4,FALSE))</f>
        <v/>
      </c>
      <c r="AE19" s="13">
        <f>IF(AE$3&lt;Assumptions!$F$13,0,HLOOKUP(YEAR(AE$3),Assumptions!$D$63:$H$66,4,FALSE))</f>
        <v/>
      </c>
      <c r="AF19" s="13">
        <f>IF(AF$3&lt;Assumptions!$F$13,0,HLOOKUP(YEAR(AF$3),Assumptions!$D$63:$H$66,4,FALSE))</f>
        <v/>
      </c>
      <c r="AG19" s="13">
        <f>IF(AG$3&lt;Assumptions!$F$13,0,HLOOKUP(YEAR(AG$3),Assumptions!$D$63:$H$66,4,FALSE))</f>
        <v/>
      </c>
      <c r="AH19" s="13">
        <f>IF(AH$3&lt;Assumptions!$F$13,0,HLOOKUP(YEAR(AH$3),Assumptions!$D$63:$H$66,4,FALSE))</f>
        <v/>
      </c>
      <c r="AI19" s="13">
        <f>IF(AI$3&lt;Assumptions!$F$13,0,HLOOKUP(YEAR(AI$3),Assumptions!$D$63:$H$66,4,FALSE))</f>
        <v/>
      </c>
      <c r="AJ19" s="13">
        <f>IF(AJ$3&lt;Assumptions!$F$13,0,HLOOKUP(YEAR(AJ$3),Assumptions!$D$63:$H$66,4,FALSE))</f>
        <v/>
      </c>
      <c r="AK19" s="13">
        <f>IF(AK$3&lt;Assumptions!$F$13,0,HLOOKUP(YEAR(AK$3),Assumptions!$D$63:$H$66,4,FALSE))</f>
        <v/>
      </c>
      <c r="AL19" s="13">
        <f>IF(AL$3&lt;Assumptions!$F$13,0,HLOOKUP(YEAR(AL$3),Assumptions!$D$63:$H$66,4,FALSE))</f>
        <v/>
      </c>
      <c r="AM19" s="13">
        <f>IF(AM$3&lt;Assumptions!$F$13,0,HLOOKUP(YEAR(AM$3),Assumptions!$D$63:$H$66,4,FALSE))</f>
        <v/>
      </c>
      <c r="AN19" s="13">
        <f>IF(AN$3&lt;Assumptions!$F$13,0,HLOOKUP(YEAR(AN$3),Assumptions!$D$63:$H$66,4,FALSE))</f>
        <v/>
      </c>
      <c r="AO19" s="13">
        <f>IF(AO$3&lt;Assumptions!$F$13,0,HLOOKUP(YEAR(AO$3),Assumptions!$D$63:$H$66,4,FALSE))</f>
        <v/>
      </c>
      <c r="AP19" s="13">
        <f>IF(AP$3&lt;Assumptions!$F$13,0,HLOOKUP(YEAR(AP$3),Assumptions!$D$63:$H$66,4,FALSE))</f>
        <v/>
      </c>
      <c r="AQ19" s="13">
        <f>IF(AQ$3&lt;Assumptions!$F$13,0,HLOOKUP(YEAR(AQ$3),Assumptions!$D$63:$H$66,4,FALSE))</f>
        <v/>
      </c>
      <c r="AR19" s="13">
        <f>IF(AR$3&lt;Assumptions!$F$13,0,HLOOKUP(YEAR(AR$3),Assumptions!$D$63:$H$66,4,FALSE))</f>
        <v/>
      </c>
      <c r="AS19" s="13">
        <f>IF(AS$3&lt;Assumptions!$F$13,0,HLOOKUP(YEAR(AS$3),Assumptions!$D$63:$H$66,4,FALSE))</f>
        <v/>
      </c>
      <c r="AT19" s="13">
        <f>IF(AT$3&lt;Assumptions!$F$13,0,HLOOKUP(YEAR(AT$3),Assumptions!$D$63:$H$66,4,FALSE))</f>
        <v/>
      </c>
      <c r="AU19" s="13">
        <f>IF(AU$3&lt;Assumptions!$F$13,0,HLOOKUP(YEAR(AU$3),Assumptions!$D$63:$H$66,4,FALSE))</f>
        <v/>
      </c>
      <c r="AV19" s="13">
        <f>IF(AV$3&lt;Assumptions!$F$13,0,HLOOKUP(YEAR(AV$3),Assumptions!$D$63:$H$66,4,FALSE))</f>
        <v/>
      </c>
      <c r="AW19" s="13">
        <f>IF(AW$3&lt;Assumptions!$F$13,0,HLOOKUP(YEAR(AW$3),Assumptions!$D$63:$H$66,4,FALSE))</f>
        <v/>
      </c>
      <c r="AX19" s="13">
        <f>IF(AX$3&lt;Assumptions!$F$13,0,HLOOKUP(YEAR(AX$3),Assumptions!$D$63:$H$66,4,FALSE))</f>
        <v/>
      </c>
      <c r="AY19" s="13">
        <f>IF(AY$3&lt;Assumptions!$F$13,0,HLOOKUP(YEAR(AY$3),Assumptions!$D$63:$H$66,4,FALSE))</f>
        <v/>
      </c>
      <c r="AZ19" s="13">
        <f>IF(AZ$3&lt;Assumptions!$F$13,0,HLOOKUP(YEAR(AZ$3),Assumptions!$D$63:$H$66,4,FALSE))</f>
        <v/>
      </c>
      <c r="BA19" s="13">
        <f>IF(BA$3&lt;Assumptions!$F$13,0,HLOOKUP(YEAR(BA$3),Assumptions!$D$63:$H$66,4,FALSE))</f>
        <v/>
      </c>
      <c r="BB19" s="13">
        <f>IF(BB$3&lt;Assumptions!$F$13,0,HLOOKUP(YEAR(BB$3),Assumptions!$D$63:$H$66,4,FALSE))</f>
        <v/>
      </c>
      <c r="BC19" s="13">
        <f>IF(BC$3&lt;Assumptions!$F$13,0,HLOOKUP(YEAR(BC$3),Assumptions!$D$63:$H$66,4,FALSE))</f>
        <v/>
      </c>
      <c r="BD19" s="13">
        <f>IF(BD$3&lt;Assumptions!$F$13,0,HLOOKUP(YEAR(BD$3),Assumptions!$D$63:$H$66,4,FALSE))</f>
        <v/>
      </c>
      <c r="BE19" s="13">
        <f>IF(BE$3&lt;Assumptions!$F$13,0,HLOOKUP(YEAR(BE$3),Assumptions!$D$63:$H$66,4,FALSE))</f>
        <v/>
      </c>
      <c r="BF19" s="13">
        <f>IF(BF$3&lt;Assumptions!$F$13,0,HLOOKUP(YEAR(BF$3),Assumptions!$D$63:$H$66,4,FALSE))</f>
        <v/>
      </c>
      <c r="BG19" s="13">
        <f>IF(BG$3&lt;Assumptions!$F$13,0,HLOOKUP(YEAR(BG$3),Assumptions!$D$63:$H$66,4,FALSE))</f>
        <v/>
      </c>
      <c r="BH19" s="13">
        <f>IF(BH$3&lt;Assumptions!$F$13,0,HLOOKUP(YEAR(BH$3),Assumptions!$D$63:$H$66,4,FALSE))</f>
        <v/>
      </c>
      <c r="BI19" s="13">
        <f>IF(BI$3&lt;Assumptions!$F$13,0,HLOOKUP(YEAR(BI$3),Assumptions!$D$63:$H$66,4,FALSE))</f>
        <v/>
      </c>
      <c r="BJ19" s="13">
        <f>IF(BJ$3&lt;Assumptions!$F$13,0,HLOOKUP(YEAR(BJ$3),Assumptions!$D$63:$H$66,4,FALSE))</f>
        <v/>
      </c>
      <c r="BK19" s="13">
        <f>IF(BK$3&lt;Assumptions!$F$13,0,HLOOKUP(YEAR(BK$3),Assumptions!$D$63:$H$66,4,FALSE))</f>
        <v/>
      </c>
      <c r="BL19" s="13">
        <f>IF(BL$3&lt;Assumptions!$F$13,0,HLOOKUP(YEAR(BL$3),Assumptions!$D$63:$H$66,4,FALSE))</f>
        <v/>
      </c>
      <c r="BN19" s="68">
        <f>SUM(E19:P19)</f>
        <v/>
      </c>
      <c r="BO19" s="68">
        <f>SUM(Q19:AB19)</f>
        <v/>
      </c>
      <c r="BP19" s="68">
        <f>SUM(AC19:AN19)</f>
        <v/>
      </c>
      <c r="BQ19" s="68">
        <f>SUM(AO19:AZ19)</f>
        <v/>
      </c>
      <c r="BR19" s="68">
        <f>SUM(BA19:BL19)</f>
        <v/>
      </c>
      <c r="BT19" s="28" t="inlineStr">
        <is>
          <t>no partner intros before the first month we can sell</t>
        </is>
      </c>
    </row>
    <row r="20">
      <c r="B20" s="6" t="inlineStr">
        <is>
          <t>Installer partners on the books</t>
        </is>
      </c>
      <c r="C20" s="52" t="inlineStr">
        <is>
          <t>partners</t>
        </is>
      </c>
      <c r="E20" s="13">
        <f>Assumptions!$F$74+E19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8">
        <f>P20</f>
        <v/>
      </c>
      <c r="BO20" s="68">
        <f>AB20</f>
        <v/>
      </c>
      <c r="BP20" s="68">
        <f>AN20</f>
        <v/>
      </c>
      <c r="BQ20" s="68">
        <f>AZ20</f>
        <v/>
      </c>
      <c r="BR20" s="68">
        <f>BL20</f>
        <v/>
      </c>
    </row>
    <row r="21">
      <c r="B21" s="6" t="inlineStr">
        <is>
          <t>Capacity from the installer channel</t>
        </is>
      </c>
      <c r="C21" s="52"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28" t="inlineStr">
        <is>
          <t>every partner on the books sells full volume from the month they are signed</t>
        </is>
      </c>
    </row>
    <row r="22">
      <c r="B22" s="59" t="inlineStr">
        <is>
          <t>Selling capacity</t>
        </is>
      </c>
      <c r="C22" s="60" t="inlineStr">
        <is>
          <t>units/mo</t>
        </is>
      </c>
      <c r="E22" s="40">
        <f>MIN(IFERROR(E18/E15,1000000),IFERROR(E21/(1-E15),1000000))</f>
        <v/>
      </c>
      <c r="F22" s="40">
        <f>MIN(IFERROR(F18/F15,1000000),IFERROR(F21/(1-F15),1000000))</f>
        <v/>
      </c>
      <c r="G22" s="40">
        <f>MIN(IFERROR(G18/G15,1000000),IFERROR(G21/(1-G15),1000000))</f>
        <v/>
      </c>
      <c r="H22" s="40">
        <f>MIN(IFERROR(H18/H15,1000000),IFERROR(H21/(1-H15),1000000))</f>
        <v/>
      </c>
      <c r="I22" s="40">
        <f>MIN(IFERROR(I18/I15,1000000),IFERROR(I21/(1-I15),1000000))</f>
        <v/>
      </c>
      <c r="J22" s="40">
        <f>MIN(IFERROR(J18/J15,1000000),IFERROR(J21/(1-J15),1000000))</f>
        <v/>
      </c>
      <c r="K22" s="40">
        <f>MIN(IFERROR(K18/K15,1000000),IFERROR(K21/(1-K15),1000000))</f>
        <v/>
      </c>
      <c r="L22" s="40">
        <f>MIN(IFERROR(L18/L15,1000000),IFERROR(L21/(1-L15),1000000))</f>
        <v/>
      </c>
      <c r="M22" s="40">
        <f>MIN(IFERROR(M18/M15,1000000),IFERROR(M21/(1-M15),1000000))</f>
        <v/>
      </c>
      <c r="N22" s="40">
        <f>MIN(IFERROR(N18/N15,1000000),IFERROR(N21/(1-N15),1000000))</f>
        <v/>
      </c>
      <c r="O22" s="40">
        <f>MIN(IFERROR(O18/O15,1000000),IFERROR(O21/(1-O15),1000000))</f>
        <v/>
      </c>
      <c r="P22" s="40">
        <f>MIN(IFERROR(P18/P15,1000000),IFERROR(P21/(1-P15),1000000))</f>
        <v/>
      </c>
      <c r="Q22" s="40">
        <f>MIN(IFERROR(Q18/Q15,1000000),IFERROR(Q21/(1-Q15),1000000))</f>
        <v/>
      </c>
      <c r="R22" s="40">
        <f>MIN(IFERROR(R18/R15,1000000),IFERROR(R21/(1-R15),1000000))</f>
        <v/>
      </c>
      <c r="S22" s="40">
        <f>MIN(IFERROR(S18/S15,1000000),IFERROR(S21/(1-S15),1000000))</f>
        <v/>
      </c>
      <c r="T22" s="40">
        <f>MIN(IFERROR(T18/T15,1000000),IFERROR(T21/(1-T15),1000000))</f>
        <v/>
      </c>
      <c r="U22" s="40">
        <f>MIN(IFERROR(U18/U15,1000000),IFERROR(U21/(1-U15),1000000))</f>
        <v/>
      </c>
      <c r="V22" s="40">
        <f>MIN(IFERROR(V18/V15,1000000),IFERROR(V21/(1-V15),1000000))</f>
        <v/>
      </c>
      <c r="W22" s="40">
        <f>MIN(IFERROR(W18/W15,1000000),IFERROR(W21/(1-W15),1000000))</f>
        <v/>
      </c>
      <c r="X22" s="40">
        <f>MIN(IFERROR(X18/X15,1000000),IFERROR(X21/(1-X15),1000000))</f>
        <v/>
      </c>
      <c r="Y22" s="40">
        <f>MIN(IFERROR(Y18/Y15,1000000),IFERROR(Y21/(1-Y15),1000000))</f>
        <v/>
      </c>
      <c r="Z22" s="40">
        <f>MIN(IFERROR(Z18/Z15,1000000),IFERROR(Z21/(1-Z15),1000000))</f>
        <v/>
      </c>
      <c r="AA22" s="40">
        <f>MIN(IFERROR(AA18/AA15,1000000),IFERROR(AA21/(1-AA15),1000000))</f>
        <v/>
      </c>
      <c r="AB22" s="40">
        <f>MIN(IFERROR(AB18/AB15,1000000),IFERROR(AB21/(1-AB15),1000000))</f>
        <v/>
      </c>
      <c r="AC22" s="40">
        <f>MIN(IFERROR(AC18/AC15,1000000),IFERROR(AC21/(1-AC15),1000000))</f>
        <v/>
      </c>
      <c r="AD22" s="40">
        <f>MIN(IFERROR(AD18/AD15,1000000),IFERROR(AD21/(1-AD15),1000000))</f>
        <v/>
      </c>
      <c r="AE22" s="40">
        <f>MIN(IFERROR(AE18/AE15,1000000),IFERROR(AE21/(1-AE15),1000000))</f>
        <v/>
      </c>
      <c r="AF22" s="40">
        <f>MIN(IFERROR(AF18/AF15,1000000),IFERROR(AF21/(1-AF15),1000000))</f>
        <v/>
      </c>
      <c r="AG22" s="40">
        <f>MIN(IFERROR(AG18/AG15,1000000),IFERROR(AG21/(1-AG15),1000000))</f>
        <v/>
      </c>
      <c r="AH22" s="40">
        <f>MIN(IFERROR(AH18/AH15,1000000),IFERROR(AH21/(1-AH15),1000000))</f>
        <v/>
      </c>
      <c r="AI22" s="40">
        <f>MIN(IFERROR(AI18/AI15,1000000),IFERROR(AI21/(1-AI15),1000000))</f>
        <v/>
      </c>
      <c r="AJ22" s="40">
        <f>MIN(IFERROR(AJ18/AJ15,1000000),IFERROR(AJ21/(1-AJ15),1000000))</f>
        <v/>
      </c>
      <c r="AK22" s="40">
        <f>MIN(IFERROR(AK18/AK15,1000000),IFERROR(AK21/(1-AK15),1000000))</f>
        <v/>
      </c>
      <c r="AL22" s="40">
        <f>MIN(IFERROR(AL18/AL15,1000000),IFERROR(AL21/(1-AL15),1000000))</f>
        <v/>
      </c>
      <c r="AM22" s="40">
        <f>MIN(IFERROR(AM18/AM15,1000000),IFERROR(AM21/(1-AM15),1000000))</f>
        <v/>
      </c>
      <c r="AN22" s="40">
        <f>MIN(IFERROR(AN18/AN15,1000000),IFERROR(AN21/(1-AN15),1000000))</f>
        <v/>
      </c>
      <c r="AO22" s="40">
        <f>MIN(IFERROR(AO18/AO15,1000000),IFERROR(AO21/(1-AO15),1000000))</f>
        <v/>
      </c>
      <c r="AP22" s="40">
        <f>MIN(IFERROR(AP18/AP15,1000000),IFERROR(AP21/(1-AP15),1000000))</f>
        <v/>
      </c>
      <c r="AQ22" s="40">
        <f>MIN(IFERROR(AQ18/AQ15,1000000),IFERROR(AQ21/(1-AQ15),1000000))</f>
        <v/>
      </c>
      <c r="AR22" s="40">
        <f>MIN(IFERROR(AR18/AR15,1000000),IFERROR(AR21/(1-AR15),1000000))</f>
        <v/>
      </c>
      <c r="AS22" s="40">
        <f>MIN(IFERROR(AS18/AS15,1000000),IFERROR(AS21/(1-AS15),1000000))</f>
        <v/>
      </c>
      <c r="AT22" s="40">
        <f>MIN(IFERROR(AT18/AT15,1000000),IFERROR(AT21/(1-AT15),1000000))</f>
        <v/>
      </c>
      <c r="AU22" s="40">
        <f>MIN(IFERROR(AU18/AU15,1000000),IFERROR(AU21/(1-AU15),1000000))</f>
        <v/>
      </c>
      <c r="AV22" s="40">
        <f>MIN(IFERROR(AV18/AV15,1000000),IFERROR(AV21/(1-AV15),1000000))</f>
        <v/>
      </c>
      <c r="AW22" s="40">
        <f>MIN(IFERROR(AW18/AW15,1000000),IFERROR(AW21/(1-AW15),1000000))</f>
        <v/>
      </c>
      <c r="AX22" s="40">
        <f>MIN(IFERROR(AX18/AX15,1000000),IFERROR(AX21/(1-AX15),1000000))</f>
        <v/>
      </c>
      <c r="AY22" s="40">
        <f>MIN(IFERROR(AY18/AY15,1000000),IFERROR(AY21/(1-AY15),1000000))</f>
        <v/>
      </c>
      <c r="AZ22" s="40">
        <f>MIN(IFERROR(AZ18/AZ15,1000000),IFERROR(AZ21/(1-AZ15),1000000))</f>
        <v/>
      </c>
      <c r="BA22" s="40">
        <f>MIN(IFERROR(BA18/BA15,1000000),IFERROR(BA21/(1-BA15),1000000))</f>
        <v/>
      </c>
      <c r="BB22" s="40">
        <f>MIN(IFERROR(BB18/BB15,1000000),IFERROR(BB21/(1-BB15),1000000))</f>
        <v/>
      </c>
      <c r="BC22" s="40">
        <f>MIN(IFERROR(BC18/BC15,1000000),IFERROR(BC21/(1-BC15),1000000))</f>
        <v/>
      </c>
      <c r="BD22" s="40">
        <f>MIN(IFERROR(BD18/BD15,1000000),IFERROR(BD21/(1-BD15),1000000))</f>
        <v/>
      </c>
      <c r="BE22" s="40">
        <f>MIN(IFERROR(BE18/BE15,1000000),IFERROR(BE21/(1-BE15),1000000))</f>
        <v/>
      </c>
      <c r="BF22" s="40">
        <f>MIN(IFERROR(BF18/BF15,1000000),IFERROR(BF21/(1-BF15),1000000))</f>
        <v/>
      </c>
      <c r="BG22" s="40">
        <f>MIN(IFERROR(BG18/BG15,1000000),IFERROR(BG21/(1-BG15),1000000))</f>
        <v/>
      </c>
      <c r="BH22" s="40">
        <f>MIN(IFERROR(BH18/BH15,1000000),IFERROR(BH21/(1-BH15),1000000))</f>
        <v/>
      </c>
      <c r="BI22" s="40">
        <f>MIN(IFERROR(BI18/BI15,1000000),IFERROR(BI21/(1-BI15),1000000))</f>
        <v/>
      </c>
      <c r="BJ22" s="40">
        <f>MIN(IFERROR(BJ18/BJ15,1000000),IFERROR(BJ21/(1-BJ15),1000000))</f>
        <v/>
      </c>
      <c r="BK22" s="40">
        <f>MIN(IFERROR(BK18/BK15,1000000),IFERROR(BK21/(1-BK15),1000000))</f>
        <v/>
      </c>
      <c r="BL22" s="40">
        <f>MIN(IFERROR(BL18/BL15,1000000),IFERROR(BL21/(1-BL15),1000000))</f>
        <v/>
      </c>
      <c r="BN22" s="40">
        <f>SUM(E22:P22)</f>
        <v/>
      </c>
      <c r="BO22" s="40">
        <f>SUM(Q22:AB22)</f>
        <v/>
      </c>
      <c r="BP22" s="40">
        <f>SUM(AC22:AN22)</f>
        <v/>
      </c>
      <c r="BQ22" s="40">
        <f>SUM(AO22:AZ22)</f>
        <v/>
      </c>
      <c r="BR22" s="40">
        <f>SUM(BA22:BL22)</f>
        <v/>
      </c>
      <c r="BT22" s="28" t="inlineStr">
        <is>
          <t>our reps must cover the direct share and the partners the rest, so the mix caps it</t>
        </is>
      </c>
    </row>
    <row r="23">
      <c r="B23" s="6" t="inlineStr">
        <is>
          <t>Partner managers needed</t>
        </is>
      </c>
      <c r="C23" s="52"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52"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49"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52"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28" t="inlineStr">
        <is>
          <t>the partner carries the ramp while the in-house lines are built</t>
        </is>
      </c>
    </row>
    <row r="29">
      <c r="B29" s="6" t="inlineStr">
        <is>
          <t>In-house lines producing</t>
        </is>
      </c>
      <c r="C29" s="52"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52"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0">
        <f>E28+E30</f>
        <v/>
      </c>
      <c r="F31" s="40">
        <f>F28+F30</f>
        <v/>
      </c>
      <c r="G31" s="40">
        <f>G28+G30</f>
        <v/>
      </c>
      <c r="H31" s="40">
        <f>H28+H30</f>
        <v/>
      </c>
      <c r="I31" s="40">
        <f>I28+I30</f>
        <v/>
      </c>
      <c r="J31" s="40">
        <f>J28+J30</f>
        <v/>
      </c>
      <c r="K31" s="40">
        <f>K28+K30</f>
        <v/>
      </c>
      <c r="L31" s="40">
        <f>L28+L30</f>
        <v/>
      </c>
      <c r="M31" s="40">
        <f>M28+M30</f>
        <v/>
      </c>
      <c r="N31" s="40">
        <f>N28+N30</f>
        <v/>
      </c>
      <c r="O31" s="40">
        <f>O28+O30</f>
        <v/>
      </c>
      <c r="P31" s="40">
        <f>P28+P30</f>
        <v/>
      </c>
      <c r="Q31" s="40">
        <f>Q28+Q30</f>
        <v/>
      </c>
      <c r="R31" s="40">
        <f>R28+R30</f>
        <v/>
      </c>
      <c r="S31" s="40">
        <f>S28+S30</f>
        <v/>
      </c>
      <c r="T31" s="40">
        <f>T28+T30</f>
        <v/>
      </c>
      <c r="U31" s="40">
        <f>U28+U30</f>
        <v/>
      </c>
      <c r="V31" s="40">
        <f>V28+V30</f>
        <v/>
      </c>
      <c r="W31" s="40">
        <f>W28+W30</f>
        <v/>
      </c>
      <c r="X31" s="40">
        <f>X28+X30</f>
        <v/>
      </c>
      <c r="Y31" s="40">
        <f>Y28+Y30</f>
        <v/>
      </c>
      <c r="Z31" s="40">
        <f>Z28+Z30</f>
        <v/>
      </c>
      <c r="AA31" s="40">
        <f>AA28+AA30</f>
        <v/>
      </c>
      <c r="AB31" s="40">
        <f>AB28+AB30</f>
        <v/>
      </c>
      <c r="AC31" s="40">
        <f>AC28+AC30</f>
        <v/>
      </c>
      <c r="AD31" s="40">
        <f>AD28+AD30</f>
        <v/>
      </c>
      <c r="AE31" s="40">
        <f>AE28+AE30</f>
        <v/>
      </c>
      <c r="AF31" s="40">
        <f>AF28+AF30</f>
        <v/>
      </c>
      <c r="AG31" s="40">
        <f>AG28+AG30</f>
        <v/>
      </c>
      <c r="AH31" s="40">
        <f>AH28+AH30</f>
        <v/>
      </c>
      <c r="AI31" s="40">
        <f>AI28+AI30</f>
        <v/>
      </c>
      <c r="AJ31" s="40">
        <f>AJ28+AJ30</f>
        <v/>
      </c>
      <c r="AK31" s="40">
        <f>AK28+AK30</f>
        <v/>
      </c>
      <c r="AL31" s="40">
        <f>AL28+AL30</f>
        <v/>
      </c>
      <c r="AM31" s="40">
        <f>AM28+AM30</f>
        <v/>
      </c>
      <c r="AN31" s="40">
        <f>AN28+AN30</f>
        <v/>
      </c>
      <c r="AO31" s="40">
        <f>AO28+AO30</f>
        <v/>
      </c>
      <c r="AP31" s="40">
        <f>AP28+AP30</f>
        <v/>
      </c>
      <c r="AQ31" s="40">
        <f>AQ28+AQ30</f>
        <v/>
      </c>
      <c r="AR31" s="40">
        <f>AR28+AR30</f>
        <v/>
      </c>
      <c r="AS31" s="40">
        <f>AS28+AS30</f>
        <v/>
      </c>
      <c r="AT31" s="40">
        <f>AT28+AT30</f>
        <v/>
      </c>
      <c r="AU31" s="40">
        <f>AU28+AU30</f>
        <v/>
      </c>
      <c r="AV31" s="40">
        <f>AV28+AV30</f>
        <v/>
      </c>
      <c r="AW31" s="40">
        <f>AW28+AW30</f>
        <v/>
      </c>
      <c r="AX31" s="40">
        <f>AX28+AX30</f>
        <v/>
      </c>
      <c r="AY31" s="40">
        <f>AY28+AY30</f>
        <v/>
      </c>
      <c r="AZ31" s="40">
        <f>AZ28+AZ30</f>
        <v/>
      </c>
      <c r="BA31" s="40">
        <f>BA28+BA30</f>
        <v/>
      </c>
      <c r="BB31" s="40">
        <f>BB28+BB30</f>
        <v/>
      </c>
      <c r="BC31" s="40">
        <f>BC28+BC30</f>
        <v/>
      </c>
      <c r="BD31" s="40">
        <f>BD28+BD30</f>
        <v/>
      </c>
      <c r="BE31" s="40">
        <f>BE28+BE30</f>
        <v/>
      </c>
      <c r="BF31" s="40">
        <f>BF28+BF30</f>
        <v/>
      </c>
      <c r="BG31" s="40">
        <f>BG28+BG30</f>
        <v/>
      </c>
      <c r="BH31" s="40">
        <f>BH28+BH30</f>
        <v/>
      </c>
      <c r="BI31" s="40">
        <f>BI28+BI30</f>
        <v/>
      </c>
      <c r="BJ31" s="40">
        <f>BJ28+BJ30</f>
        <v/>
      </c>
      <c r="BK31" s="40">
        <f>BK28+BK30</f>
        <v/>
      </c>
      <c r="BL31" s="40">
        <f>BL28+BL30</f>
        <v/>
      </c>
      <c r="BN31" s="40">
        <f>SUM(E31:P31)</f>
        <v/>
      </c>
      <c r="BO31" s="40">
        <f>SUM(Q31:AB31)</f>
        <v/>
      </c>
      <c r="BP31" s="40">
        <f>SUM(AC31:AN31)</f>
        <v/>
      </c>
      <c r="BQ31" s="40">
        <f>SUM(AO31:AZ31)</f>
        <v/>
      </c>
      <c r="BR31" s="40">
        <f>SUM(BA31:BL31)</f>
        <v/>
      </c>
    </row>
    <row r="33">
      <c r="B33" s="49"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49"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28" t="inlineStr">
        <is>
          <t>nil until the first month we can sell, then the smallest of demand, selling and build capacity</t>
        </is>
      </c>
    </row>
    <row r="35">
      <c r="B35" s="56" t="inlineStr">
        <is>
          <t>Build capacity used</t>
        </is>
      </c>
      <c r="C35" s="52"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49"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52" t="inlineStr">
        <is>
          <t>units</t>
        </is>
      </c>
      <c r="E39" s="9">
        <f>E34*Assumptions!$F$27</f>
        <v/>
      </c>
      <c r="F39" s="9">
        <f>F34*Assumptions!$F$27</f>
        <v/>
      </c>
      <c r="G39" s="9">
        <f>G34*Assumptions!$F$27</f>
        <v/>
      </c>
      <c r="H39" s="9">
        <f>H34*Assumptions!$F$27</f>
        <v/>
      </c>
      <c r="I39" s="9">
        <f>I34*Assumptions!$F$27</f>
        <v/>
      </c>
      <c r="J39" s="9">
        <f>J34*Assumptions!$F$27</f>
        <v/>
      </c>
      <c r="K39" s="9">
        <f>K34*Assumptions!$F$27</f>
        <v/>
      </c>
      <c r="L39" s="9">
        <f>L34*Assumptions!$F$27</f>
        <v/>
      </c>
      <c r="M39" s="9">
        <f>M34*Assumptions!$F$27</f>
        <v/>
      </c>
      <c r="N39" s="9">
        <f>N34*Assumptions!$F$27</f>
        <v/>
      </c>
      <c r="O39" s="9">
        <f>O34*Assumptions!$F$27</f>
        <v/>
      </c>
      <c r="P39" s="9">
        <f>P34*Assumptions!$F$27</f>
        <v/>
      </c>
      <c r="Q39" s="9">
        <f>Q34*Assumptions!$F$27</f>
        <v/>
      </c>
      <c r="R39" s="9">
        <f>R34*Assumptions!$F$27</f>
        <v/>
      </c>
      <c r="S39" s="9">
        <f>S34*Assumptions!$F$27</f>
        <v/>
      </c>
      <c r="T39" s="9">
        <f>T34*Assumptions!$F$27</f>
        <v/>
      </c>
      <c r="U39" s="9">
        <f>U34*Assumptions!$F$27</f>
        <v/>
      </c>
      <c r="V39" s="9">
        <f>V34*Assumptions!$F$27</f>
        <v/>
      </c>
      <c r="W39" s="9">
        <f>W34*Assumptions!$F$27</f>
        <v/>
      </c>
      <c r="X39" s="9">
        <f>X34*Assumptions!$F$27</f>
        <v/>
      </c>
      <c r="Y39" s="9">
        <f>Y34*Assumptions!$F$27</f>
        <v/>
      </c>
      <c r="Z39" s="9">
        <f>Z34*Assumptions!$F$27</f>
        <v/>
      </c>
      <c r="AA39" s="9">
        <f>AA34*Assumptions!$F$27</f>
        <v/>
      </c>
      <c r="AB39" s="9">
        <f>AB34*Assumptions!$F$27</f>
        <v/>
      </c>
      <c r="AC39" s="9">
        <f>AC34*Assumptions!$F$27</f>
        <v/>
      </c>
      <c r="AD39" s="9">
        <f>AD34*Assumptions!$F$27</f>
        <v/>
      </c>
      <c r="AE39" s="9">
        <f>AE34*Assumptions!$F$27</f>
        <v/>
      </c>
      <c r="AF39" s="9">
        <f>AF34*Assumptions!$F$27</f>
        <v/>
      </c>
      <c r="AG39" s="9">
        <f>AG34*Assumptions!$F$27</f>
        <v/>
      </c>
      <c r="AH39" s="9">
        <f>AH34*Assumptions!$F$27</f>
        <v/>
      </c>
      <c r="AI39" s="9">
        <f>AI34*Assumptions!$F$27</f>
        <v/>
      </c>
      <c r="AJ39" s="9">
        <f>AJ34*Assumptions!$F$27</f>
        <v/>
      </c>
      <c r="AK39" s="9">
        <f>AK34*Assumptions!$F$27</f>
        <v/>
      </c>
      <c r="AL39" s="9">
        <f>AL34*Assumptions!$F$27</f>
        <v/>
      </c>
      <c r="AM39" s="9">
        <f>AM34*Assumptions!$F$27</f>
        <v/>
      </c>
      <c r="AN39" s="9">
        <f>AN34*Assumptions!$F$27</f>
        <v/>
      </c>
      <c r="AO39" s="9">
        <f>AO34*Assumptions!$F$27</f>
        <v/>
      </c>
      <c r="AP39" s="9">
        <f>AP34*Assumptions!$F$27</f>
        <v/>
      </c>
      <c r="AQ39" s="9">
        <f>AQ34*Assumptions!$F$27</f>
        <v/>
      </c>
      <c r="AR39" s="9">
        <f>AR34*Assumptions!$F$27</f>
        <v/>
      </c>
      <c r="AS39" s="9">
        <f>AS34*Assumptions!$F$27</f>
        <v/>
      </c>
      <c r="AT39" s="9">
        <f>AT34*Assumptions!$F$27</f>
        <v/>
      </c>
      <c r="AU39" s="9">
        <f>AU34*Assumptions!$F$27</f>
        <v/>
      </c>
      <c r="AV39" s="9">
        <f>AV34*Assumptions!$F$27</f>
        <v/>
      </c>
      <c r="AW39" s="9">
        <f>AW34*Assumptions!$F$27</f>
        <v/>
      </c>
      <c r="AX39" s="9">
        <f>AX34*Assumptions!$F$27</f>
        <v/>
      </c>
      <c r="AY39" s="9">
        <f>AY34*Assumptions!$F$27</f>
        <v/>
      </c>
      <c r="AZ39" s="9">
        <f>AZ34*Assumptions!$F$27</f>
        <v/>
      </c>
      <c r="BA39" s="9">
        <f>BA34*Assumptions!$F$27</f>
        <v/>
      </c>
      <c r="BB39" s="9">
        <f>BB34*Assumptions!$F$27</f>
        <v/>
      </c>
      <c r="BC39" s="9">
        <f>BC34*Assumptions!$F$27</f>
        <v/>
      </c>
      <c r="BD39" s="9">
        <f>BD34*Assumptions!$F$27</f>
        <v/>
      </c>
      <c r="BE39" s="9">
        <f>BE34*Assumptions!$F$27</f>
        <v/>
      </c>
      <c r="BF39" s="9">
        <f>BF34*Assumptions!$F$27</f>
        <v/>
      </c>
      <c r="BG39" s="9">
        <f>BG34*Assumptions!$F$27</f>
        <v/>
      </c>
      <c r="BH39" s="9">
        <f>BH34*Assumptions!$F$27</f>
        <v/>
      </c>
      <c r="BI39" s="9">
        <f>BI34*Assumptions!$F$27</f>
        <v/>
      </c>
      <c r="BJ39" s="9">
        <f>BJ34*Assumptions!$F$27</f>
        <v/>
      </c>
      <c r="BK39" s="9">
        <f>BK34*Assumptions!$F$27</f>
        <v/>
      </c>
      <c r="BL39" s="9">
        <f>BL34*Assumptions!$F$27</f>
        <v/>
      </c>
      <c r="BN39" s="63">
        <f>SUM(E39:P39)</f>
        <v/>
      </c>
      <c r="BO39" s="63">
        <f>SUM(Q39:AB39)</f>
        <v/>
      </c>
      <c r="BP39" s="63">
        <f>SUM(AC39:AN39)</f>
        <v/>
      </c>
      <c r="BQ39" s="63">
        <f>SUM(AO39:AZ39)</f>
        <v/>
      </c>
      <c r="BR39" s="63">
        <f>SUM(BA39:BL39)</f>
        <v/>
      </c>
    </row>
    <row r="40">
      <c r="B40" s="6" t="inlineStr">
        <is>
          <t>Combi+ units</t>
        </is>
      </c>
      <c r="C40" s="52" t="inlineStr">
        <is>
          <t>units</t>
        </is>
      </c>
      <c r="E40" s="9">
        <f>E34*Assumptions!$F$28</f>
        <v/>
      </c>
      <c r="F40" s="9">
        <f>F34*Assumptions!$F$28</f>
        <v/>
      </c>
      <c r="G40" s="9">
        <f>G34*Assumptions!$F$28</f>
        <v/>
      </c>
      <c r="H40" s="9">
        <f>H34*Assumptions!$F$28</f>
        <v/>
      </c>
      <c r="I40" s="9">
        <f>I34*Assumptions!$F$28</f>
        <v/>
      </c>
      <c r="J40" s="9">
        <f>J34*Assumptions!$F$28</f>
        <v/>
      </c>
      <c r="K40" s="9">
        <f>K34*Assumptions!$F$28</f>
        <v/>
      </c>
      <c r="L40" s="9">
        <f>L34*Assumptions!$F$28</f>
        <v/>
      </c>
      <c r="M40" s="9">
        <f>M34*Assumptions!$F$28</f>
        <v/>
      </c>
      <c r="N40" s="9">
        <f>N34*Assumptions!$F$28</f>
        <v/>
      </c>
      <c r="O40" s="9">
        <f>O34*Assumptions!$F$28</f>
        <v/>
      </c>
      <c r="P40" s="9">
        <f>P34*Assumptions!$F$28</f>
        <v/>
      </c>
      <c r="Q40" s="9">
        <f>Q34*Assumptions!$F$28</f>
        <v/>
      </c>
      <c r="R40" s="9">
        <f>R34*Assumptions!$F$28</f>
        <v/>
      </c>
      <c r="S40" s="9">
        <f>S34*Assumptions!$F$28</f>
        <v/>
      </c>
      <c r="T40" s="9">
        <f>T34*Assumptions!$F$28</f>
        <v/>
      </c>
      <c r="U40" s="9">
        <f>U34*Assumptions!$F$28</f>
        <v/>
      </c>
      <c r="V40" s="9">
        <f>V34*Assumptions!$F$28</f>
        <v/>
      </c>
      <c r="W40" s="9">
        <f>W34*Assumptions!$F$28</f>
        <v/>
      </c>
      <c r="X40" s="9">
        <f>X34*Assumptions!$F$28</f>
        <v/>
      </c>
      <c r="Y40" s="9">
        <f>Y34*Assumptions!$F$28</f>
        <v/>
      </c>
      <c r="Z40" s="9">
        <f>Z34*Assumptions!$F$28</f>
        <v/>
      </c>
      <c r="AA40" s="9">
        <f>AA34*Assumptions!$F$28</f>
        <v/>
      </c>
      <c r="AB40" s="9">
        <f>AB34*Assumptions!$F$28</f>
        <v/>
      </c>
      <c r="AC40" s="9">
        <f>AC34*Assumptions!$F$28</f>
        <v/>
      </c>
      <c r="AD40" s="9">
        <f>AD34*Assumptions!$F$28</f>
        <v/>
      </c>
      <c r="AE40" s="9">
        <f>AE34*Assumptions!$F$28</f>
        <v/>
      </c>
      <c r="AF40" s="9">
        <f>AF34*Assumptions!$F$28</f>
        <v/>
      </c>
      <c r="AG40" s="9">
        <f>AG34*Assumptions!$F$28</f>
        <v/>
      </c>
      <c r="AH40" s="9">
        <f>AH34*Assumptions!$F$28</f>
        <v/>
      </c>
      <c r="AI40" s="9">
        <f>AI34*Assumptions!$F$28</f>
        <v/>
      </c>
      <c r="AJ40" s="9">
        <f>AJ34*Assumptions!$F$28</f>
        <v/>
      </c>
      <c r="AK40" s="9">
        <f>AK34*Assumptions!$F$28</f>
        <v/>
      </c>
      <c r="AL40" s="9">
        <f>AL34*Assumptions!$F$28</f>
        <v/>
      </c>
      <c r="AM40" s="9">
        <f>AM34*Assumptions!$F$28</f>
        <v/>
      </c>
      <c r="AN40" s="9">
        <f>AN34*Assumptions!$F$28</f>
        <v/>
      </c>
      <c r="AO40" s="9">
        <f>AO34*Assumptions!$F$28</f>
        <v/>
      </c>
      <c r="AP40" s="9">
        <f>AP34*Assumptions!$F$28</f>
        <v/>
      </c>
      <c r="AQ40" s="9">
        <f>AQ34*Assumptions!$F$28</f>
        <v/>
      </c>
      <c r="AR40" s="9">
        <f>AR34*Assumptions!$F$28</f>
        <v/>
      </c>
      <c r="AS40" s="9">
        <f>AS34*Assumptions!$F$28</f>
        <v/>
      </c>
      <c r="AT40" s="9">
        <f>AT34*Assumptions!$F$28</f>
        <v/>
      </c>
      <c r="AU40" s="9">
        <f>AU34*Assumptions!$F$28</f>
        <v/>
      </c>
      <c r="AV40" s="9">
        <f>AV34*Assumptions!$F$28</f>
        <v/>
      </c>
      <c r="AW40" s="9">
        <f>AW34*Assumptions!$F$28</f>
        <v/>
      </c>
      <c r="AX40" s="9">
        <f>AX34*Assumptions!$F$28</f>
        <v/>
      </c>
      <c r="AY40" s="9">
        <f>AY34*Assumptions!$F$28</f>
        <v/>
      </c>
      <c r="AZ40" s="9">
        <f>AZ34*Assumptions!$F$28</f>
        <v/>
      </c>
      <c r="BA40" s="9">
        <f>BA34*Assumptions!$F$28</f>
        <v/>
      </c>
      <c r="BB40" s="9">
        <f>BB34*Assumptions!$F$28</f>
        <v/>
      </c>
      <c r="BC40" s="9">
        <f>BC34*Assumptions!$F$28</f>
        <v/>
      </c>
      <c r="BD40" s="9">
        <f>BD34*Assumptions!$F$28</f>
        <v/>
      </c>
      <c r="BE40" s="9">
        <f>BE34*Assumptions!$F$28</f>
        <v/>
      </c>
      <c r="BF40" s="9">
        <f>BF34*Assumptions!$F$28</f>
        <v/>
      </c>
      <c r="BG40" s="9">
        <f>BG34*Assumptions!$F$28</f>
        <v/>
      </c>
      <c r="BH40" s="9">
        <f>BH34*Assumptions!$F$28</f>
        <v/>
      </c>
      <c r="BI40" s="9">
        <f>BI34*Assumptions!$F$28</f>
        <v/>
      </c>
      <c r="BJ40" s="9">
        <f>BJ34*Assumptions!$F$28</f>
        <v/>
      </c>
      <c r="BK40" s="9">
        <f>BK34*Assumptions!$F$28</f>
        <v/>
      </c>
      <c r="BL40" s="9">
        <f>BL34*Assumptions!$F$28</f>
        <v/>
      </c>
      <c r="BN40" s="63">
        <f>SUM(E40:P40)</f>
        <v/>
      </c>
      <c r="BO40" s="63">
        <f>SUM(Q40:AB40)</f>
        <v/>
      </c>
      <c r="BP40" s="63">
        <f>SUM(AC40:AN40)</f>
        <v/>
      </c>
      <c r="BQ40" s="63">
        <f>SUM(AO40:AZ40)</f>
        <v/>
      </c>
      <c r="BR40" s="63">
        <f>SUM(BA40:BL40)</f>
        <v/>
      </c>
    </row>
    <row r="41">
      <c r="B41" s="59" t="inlineStr">
        <is>
          <t>Installed base at end of month</t>
        </is>
      </c>
      <c r="C41" s="60" t="inlineStr">
        <is>
          <t>units</t>
        </is>
      </c>
      <c r="E41" s="40">
        <f>E7+E34</f>
        <v/>
      </c>
      <c r="F41" s="40">
        <f>F7+F34</f>
        <v/>
      </c>
      <c r="G41" s="40">
        <f>G7+G34</f>
        <v/>
      </c>
      <c r="H41" s="40">
        <f>H7+H34</f>
        <v/>
      </c>
      <c r="I41" s="40">
        <f>I7+I34</f>
        <v/>
      </c>
      <c r="J41" s="40">
        <f>J7+J34</f>
        <v/>
      </c>
      <c r="K41" s="40">
        <f>K7+K34</f>
        <v/>
      </c>
      <c r="L41" s="40">
        <f>L7+L34</f>
        <v/>
      </c>
      <c r="M41" s="40">
        <f>M7+M34</f>
        <v/>
      </c>
      <c r="N41" s="40">
        <f>N7+N34</f>
        <v/>
      </c>
      <c r="O41" s="40">
        <f>O7+O34</f>
        <v/>
      </c>
      <c r="P41" s="40">
        <f>P7+P34</f>
        <v/>
      </c>
      <c r="Q41" s="40">
        <f>Q7+Q34</f>
        <v/>
      </c>
      <c r="R41" s="40">
        <f>R7+R34</f>
        <v/>
      </c>
      <c r="S41" s="40">
        <f>S7+S34</f>
        <v/>
      </c>
      <c r="T41" s="40">
        <f>T7+T34</f>
        <v/>
      </c>
      <c r="U41" s="40">
        <f>U7+U34</f>
        <v/>
      </c>
      <c r="V41" s="40">
        <f>V7+V34</f>
        <v/>
      </c>
      <c r="W41" s="40">
        <f>W7+W34</f>
        <v/>
      </c>
      <c r="X41" s="40">
        <f>X7+X34</f>
        <v/>
      </c>
      <c r="Y41" s="40">
        <f>Y7+Y34</f>
        <v/>
      </c>
      <c r="Z41" s="40">
        <f>Z7+Z34</f>
        <v/>
      </c>
      <c r="AA41" s="40">
        <f>AA7+AA34</f>
        <v/>
      </c>
      <c r="AB41" s="40">
        <f>AB7+AB34</f>
        <v/>
      </c>
      <c r="AC41" s="40">
        <f>AC7+AC34</f>
        <v/>
      </c>
      <c r="AD41" s="40">
        <f>AD7+AD34</f>
        <v/>
      </c>
      <c r="AE41" s="40">
        <f>AE7+AE34</f>
        <v/>
      </c>
      <c r="AF41" s="40">
        <f>AF7+AF34</f>
        <v/>
      </c>
      <c r="AG41" s="40">
        <f>AG7+AG34</f>
        <v/>
      </c>
      <c r="AH41" s="40">
        <f>AH7+AH34</f>
        <v/>
      </c>
      <c r="AI41" s="40">
        <f>AI7+AI34</f>
        <v/>
      </c>
      <c r="AJ41" s="40">
        <f>AJ7+AJ34</f>
        <v/>
      </c>
      <c r="AK41" s="40">
        <f>AK7+AK34</f>
        <v/>
      </c>
      <c r="AL41" s="40">
        <f>AL7+AL34</f>
        <v/>
      </c>
      <c r="AM41" s="40">
        <f>AM7+AM34</f>
        <v/>
      </c>
      <c r="AN41" s="40">
        <f>AN7+AN34</f>
        <v/>
      </c>
      <c r="AO41" s="40">
        <f>AO7+AO34</f>
        <v/>
      </c>
      <c r="AP41" s="40">
        <f>AP7+AP34</f>
        <v/>
      </c>
      <c r="AQ41" s="40">
        <f>AQ7+AQ34</f>
        <v/>
      </c>
      <c r="AR41" s="40">
        <f>AR7+AR34</f>
        <v/>
      </c>
      <c r="AS41" s="40">
        <f>AS7+AS34</f>
        <v/>
      </c>
      <c r="AT41" s="40">
        <f>AT7+AT34</f>
        <v/>
      </c>
      <c r="AU41" s="40">
        <f>AU7+AU34</f>
        <v/>
      </c>
      <c r="AV41" s="40">
        <f>AV7+AV34</f>
        <v/>
      </c>
      <c r="AW41" s="40">
        <f>AW7+AW34</f>
        <v/>
      </c>
      <c r="AX41" s="40">
        <f>AX7+AX34</f>
        <v/>
      </c>
      <c r="AY41" s="40">
        <f>AY7+AY34</f>
        <v/>
      </c>
      <c r="AZ41" s="40">
        <f>AZ7+AZ34</f>
        <v/>
      </c>
      <c r="BA41" s="40">
        <f>BA7+BA34</f>
        <v/>
      </c>
      <c r="BB41" s="40">
        <f>BB7+BB34</f>
        <v/>
      </c>
      <c r="BC41" s="40">
        <f>BC7+BC34</f>
        <v/>
      </c>
      <c r="BD41" s="40">
        <f>BD7+BD34</f>
        <v/>
      </c>
      <c r="BE41" s="40">
        <f>BE7+BE34</f>
        <v/>
      </c>
      <c r="BF41" s="40">
        <f>BF7+BF34</f>
        <v/>
      </c>
      <c r="BG41" s="40">
        <f>BG7+BG34</f>
        <v/>
      </c>
      <c r="BH41" s="40">
        <f>BH7+BH34</f>
        <v/>
      </c>
      <c r="BI41" s="40">
        <f>BI7+BI34</f>
        <v/>
      </c>
      <c r="BJ41" s="40">
        <f>BJ7+BJ34</f>
        <v/>
      </c>
      <c r="BK41" s="40">
        <f>BK7+BK34</f>
        <v/>
      </c>
      <c r="BL41" s="40">
        <f>BL7+BL34</f>
        <v/>
      </c>
      <c r="BN41" s="40">
        <f>P41</f>
        <v/>
      </c>
      <c r="BO41" s="40">
        <f>AB41</f>
        <v/>
      </c>
      <c r="BP41" s="40">
        <f>AN41</f>
        <v/>
      </c>
      <c r="BQ41" s="40">
        <f>AZ41</f>
        <v/>
      </c>
      <c r="BR41" s="40">
        <f>BL41</f>
        <v/>
      </c>
    </row>
    <row r="43">
      <c r="B43" s="49"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52"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52"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52"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52"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28" t="inlineStr">
        <is>
          <t>revenue equals cost, so it adds no margin</t>
        </is>
      </c>
    </row>
    <row r="48">
      <c r="B48" s="6" t="inlineStr">
        <is>
          <t>Service contracts</t>
        </is>
      </c>
      <c r="C48" s="52"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28" t="inlineStr">
        <is>
          <t>charged on the installed base at the start of the month</t>
        </is>
      </c>
    </row>
    <row r="49">
      <c r="B49" s="6" t="inlineStr">
        <is>
          <t>Subsidies and grants</t>
        </is>
      </c>
      <c r="C49" s="52"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28" t="inlineStr">
        <is>
          <t>the 2026 subsidy already in the committed plan</t>
        </is>
      </c>
    </row>
    <row r="50">
      <c r="B50" s="49"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52"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2"/>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52"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52"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28" t="inlineStr">
        <is>
          <t>beyond the horizon, next year is taken as at least this year</t>
        </is>
      </c>
    </row>
    <row r="8">
      <c r="B8" s="59" t="inlineStr">
        <is>
          <t>Two-year volume, sets the tier</t>
        </is>
      </c>
      <c r="C8" s="60" t="inlineStr">
        <is>
          <t>units</t>
        </is>
      </c>
      <c r="E8" s="40">
        <f>E6+E7</f>
        <v/>
      </c>
      <c r="F8" s="40">
        <f>F6+F7</f>
        <v/>
      </c>
      <c r="G8" s="40">
        <f>G6+G7</f>
        <v/>
      </c>
      <c r="H8" s="40">
        <f>H6+H7</f>
        <v/>
      </c>
      <c r="I8" s="40">
        <f>I6+I7</f>
        <v/>
      </c>
      <c r="J8" s="40">
        <f>J6+J7</f>
        <v/>
      </c>
      <c r="K8" s="40">
        <f>K6+K7</f>
        <v/>
      </c>
      <c r="L8" s="40">
        <f>L6+L7</f>
        <v/>
      </c>
      <c r="M8" s="40">
        <f>M6+M7</f>
        <v/>
      </c>
      <c r="N8" s="40">
        <f>N6+N7</f>
        <v/>
      </c>
      <c r="O8" s="40">
        <f>O6+O7</f>
        <v/>
      </c>
      <c r="P8" s="40">
        <f>P6+P7</f>
        <v/>
      </c>
      <c r="Q8" s="40">
        <f>Q6+Q7</f>
        <v/>
      </c>
      <c r="R8" s="40">
        <f>R6+R7</f>
        <v/>
      </c>
      <c r="S8" s="40">
        <f>S6+S7</f>
        <v/>
      </c>
      <c r="T8" s="40">
        <f>T6+T7</f>
        <v/>
      </c>
      <c r="U8" s="40">
        <f>U6+U7</f>
        <v/>
      </c>
      <c r="V8" s="40">
        <f>V6+V7</f>
        <v/>
      </c>
      <c r="W8" s="40">
        <f>W6+W7</f>
        <v/>
      </c>
      <c r="X8" s="40">
        <f>X6+X7</f>
        <v/>
      </c>
      <c r="Y8" s="40">
        <f>Y6+Y7</f>
        <v/>
      </c>
      <c r="Z8" s="40">
        <f>Z6+Z7</f>
        <v/>
      </c>
      <c r="AA8" s="40">
        <f>AA6+AA7</f>
        <v/>
      </c>
      <c r="AB8" s="40">
        <f>AB6+AB7</f>
        <v/>
      </c>
      <c r="AC8" s="40">
        <f>AC6+AC7</f>
        <v/>
      </c>
      <c r="AD8" s="40">
        <f>AD6+AD7</f>
        <v/>
      </c>
      <c r="AE8" s="40">
        <f>AE6+AE7</f>
        <v/>
      </c>
      <c r="AF8" s="40">
        <f>AF6+AF7</f>
        <v/>
      </c>
      <c r="AG8" s="40">
        <f>AG6+AG7</f>
        <v/>
      </c>
      <c r="AH8" s="40">
        <f>AH6+AH7</f>
        <v/>
      </c>
      <c r="AI8" s="40">
        <f>AI6+AI7</f>
        <v/>
      </c>
      <c r="AJ8" s="40">
        <f>AJ6+AJ7</f>
        <v/>
      </c>
      <c r="AK8" s="40">
        <f>AK6+AK7</f>
        <v/>
      </c>
      <c r="AL8" s="40">
        <f>AL6+AL7</f>
        <v/>
      </c>
      <c r="AM8" s="40">
        <f>AM6+AM7</f>
        <v/>
      </c>
      <c r="AN8" s="40">
        <f>AN6+AN7</f>
        <v/>
      </c>
      <c r="AO8" s="40">
        <f>AO6+AO7</f>
        <v/>
      </c>
      <c r="AP8" s="40">
        <f>AP6+AP7</f>
        <v/>
      </c>
      <c r="AQ8" s="40">
        <f>AQ6+AQ7</f>
        <v/>
      </c>
      <c r="AR8" s="40">
        <f>AR6+AR7</f>
        <v/>
      </c>
      <c r="AS8" s="40">
        <f>AS6+AS7</f>
        <v/>
      </c>
      <c r="AT8" s="40">
        <f>AT6+AT7</f>
        <v/>
      </c>
      <c r="AU8" s="40">
        <f>AU6+AU7</f>
        <v/>
      </c>
      <c r="AV8" s="40">
        <f>AV6+AV7</f>
        <v/>
      </c>
      <c r="AW8" s="40">
        <f>AW6+AW7</f>
        <v/>
      </c>
      <c r="AX8" s="40">
        <f>AX6+AX7</f>
        <v/>
      </c>
      <c r="AY8" s="40">
        <f>AY6+AY7</f>
        <v/>
      </c>
      <c r="AZ8" s="40">
        <f>AZ6+AZ7</f>
        <v/>
      </c>
      <c r="BA8" s="40">
        <f>BA6+BA7</f>
        <v/>
      </c>
      <c r="BB8" s="40">
        <f>BB6+BB7</f>
        <v/>
      </c>
      <c r="BC8" s="40">
        <f>BC6+BC7</f>
        <v/>
      </c>
      <c r="BD8" s="40">
        <f>BD6+BD7</f>
        <v/>
      </c>
      <c r="BE8" s="40">
        <f>BE6+BE7</f>
        <v/>
      </c>
      <c r="BF8" s="40">
        <f>BF6+BF7</f>
        <v/>
      </c>
      <c r="BG8" s="40">
        <f>BG6+BG7</f>
        <v/>
      </c>
      <c r="BH8" s="40">
        <f>BH6+BH7</f>
        <v/>
      </c>
      <c r="BI8" s="40">
        <f>BI6+BI7</f>
        <v/>
      </c>
      <c r="BJ8" s="40">
        <f>BJ6+BJ7</f>
        <v/>
      </c>
      <c r="BK8" s="40">
        <f>BK6+BK7</f>
        <v/>
      </c>
      <c r="BL8" s="40">
        <f>BL6+BL7</f>
        <v/>
      </c>
      <c r="BN8" s="40">
        <f>P8</f>
        <v/>
      </c>
      <c r="BO8" s="40">
        <f>AB8</f>
        <v/>
      </c>
      <c r="BP8" s="40">
        <f>AN8</f>
        <v/>
      </c>
      <c r="BQ8" s="40">
        <f>AZ8</f>
        <v/>
      </c>
      <c r="BR8" s="40">
        <f>BL8</f>
        <v/>
      </c>
      <c r="BT8" s="28" t="inlineStr">
        <is>
          <t>the supplier prices on a two-year volume commitment: this year plus next</t>
        </is>
      </c>
    </row>
    <row r="9">
      <c r="B9" s="6" t="inlineStr">
        <is>
          <t>Turbineketel cost per unit</t>
        </is>
      </c>
      <c r="C9" s="52"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28" t="inlineStr">
        <is>
          <t>EUR9,984 below 5,000 units, EUR7,069 from 5,000, EUR4,998 from 10,000</t>
        </is>
      </c>
    </row>
    <row r="10">
      <c r="B10" s="6" t="inlineStr">
        <is>
          <t>Outdoor unit cost per unit</t>
        </is>
      </c>
      <c r="C10" s="52"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1">
      <c r="B11" s="6" t="inlineStr">
        <is>
          <t>Units built on our own lines</t>
        </is>
      </c>
      <c r="C11" s="52" t="inlineStr">
        <is>
          <t>units</t>
        </is>
      </c>
      <c r="E11" s="9">
        <f>MIN('Revenue Forecast'!E34,'Revenue Forecast'!E30)</f>
        <v/>
      </c>
      <c r="F11" s="9">
        <f>MIN('Revenue Forecast'!F34,'Revenue Forecast'!F30)</f>
        <v/>
      </c>
      <c r="G11" s="9">
        <f>MIN('Revenue Forecast'!G34,'Revenue Forecast'!G30)</f>
        <v/>
      </c>
      <c r="H11" s="9">
        <f>MIN('Revenue Forecast'!H34,'Revenue Forecast'!H30)</f>
        <v/>
      </c>
      <c r="I11" s="9">
        <f>MIN('Revenue Forecast'!I34,'Revenue Forecast'!I30)</f>
        <v/>
      </c>
      <c r="J11" s="9">
        <f>MIN('Revenue Forecast'!J34,'Revenue Forecast'!J30)</f>
        <v/>
      </c>
      <c r="K11" s="9">
        <f>MIN('Revenue Forecast'!K34,'Revenue Forecast'!K30)</f>
        <v/>
      </c>
      <c r="L11" s="9">
        <f>MIN('Revenue Forecast'!L34,'Revenue Forecast'!L30)</f>
        <v/>
      </c>
      <c r="M11" s="9">
        <f>MIN('Revenue Forecast'!M34,'Revenue Forecast'!M30)</f>
        <v/>
      </c>
      <c r="N11" s="9">
        <f>MIN('Revenue Forecast'!N34,'Revenue Forecast'!N30)</f>
        <v/>
      </c>
      <c r="O11" s="9">
        <f>MIN('Revenue Forecast'!O34,'Revenue Forecast'!O30)</f>
        <v/>
      </c>
      <c r="P11" s="9">
        <f>MIN('Revenue Forecast'!P34,'Revenue Forecast'!P30)</f>
        <v/>
      </c>
      <c r="Q11" s="9">
        <f>MIN('Revenue Forecast'!Q34,'Revenue Forecast'!Q30)</f>
        <v/>
      </c>
      <c r="R11" s="9">
        <f>MIN('Revenue Forecast'!R34,'Revenue Forecast'!R30)</f>
        <v/>
      </c>
      <c r="S11" s="9">
        <f>MIN('Revenue Forecast'!S34,'Revenue Forecast'!S30)</f>
        <v/>
      </c>
      <c r="T11" s="9">
        <f>MIN('Revenue Forecast'!T34,'Revenue Forecast'!T30)</f>
        <v/>
      </c>
      <c r="U11" s="9">
        <f>MIN('Revenue Forecast'!U34,'Revenue Forecast'!U30)</f>
        <v/>
      </c>
      <c r="V11" s="9">
        <f>MIN('Revenue Forecast'!V34,'Revenue Forecast'!V30)</f>
        <v/>
      </c>
      <c r="W11" s="9">
        <f>MIN('Revenue Forecast'!W34,'Revenue Forecast'!W30)</f>
        <v/>
      </c>
      <c r="X11" s="9">
        <f>MIN('Revenue Forecast'!X34,'Revenue Forecast'!X30)</f>
        <v/>
      </c>
      <c r="Y11" s="9">
        <f>MIN('Revenue Forecast'!Y34,'Revenue Forecast'!Y30)</f>
        <v/>
      </c>
      <c r="Z11" s="9">
        <f>MIN('Revenue Forecast'!Z34,'Revenue Forecast'!Z30)</f>
        <v/>
      </c>
      <c r="AA11" s="9">
        <f>MIN('Revenue Forecast'!AA34,'Revenue Forecast'!AA30)</f>
        <v/>
      </c>
      <c r="AB11" s="9">
        <f>MIN('Revenue Forecast'!AB34,'Revenue Forecast'!AB30)</f>
        <v/>
      </c>
      <c r="AC11" s="9">
        <f>MIN('Revenue Forecast'!AC34,'Revenue Forecast'!AC30)</f>
        <v/>
      </c>
      <c r="AD11" s="9">
        <f>MIN('Revenue Forecast'!AD34,'Revenue Forecast'!AD30)</f>
        <v/>
      </c>
      <c r="AE11" s="9">
        <f>MIN('Revenue Forecast'!AE34,'Revenue Forecast'!AE30)</f>
        <v/>
      </c>
      <c r="AF11" s="9">
        <f>MIN('Revenue Forecast'!AF34,'Revenue Forecast'!AF30)</f>
        <v/>
      </c>
      <c r="AG11" s="9">
        <f>MIN('Revenue Forecast'!AG34,'Revenue Forecast'!AG30)</f>
        <v/>
      </c>
      <c r="AH11" s="9">
        <f>MIN('Revenue Forecast'!AH34,'Revenue Forecast'!AH30)</f>
        <v/>
      </c>
      <c r="AI11" s="9">
        <f>MIN('Revenue Forecast'!AI34,'Revenue Forecast'!AI30)</f>
        <v/>
      </c>
      <c r="AJ11" s="9">
        <f>MIN('Revenue Forecast'!AJ34,'Revenue Forecast'!AJ30)</f>
        <v/>
      </c>
      <c r="AK11" s="9">
        <f>MIN('Revenue Forecast'!AK34,'Revenue Forecast'!AK30)</f>
        <v/>
      </c>
      <c r="AL11" s="9">
        <f>MIN('Revenue Forecast'!AL34,'Revenue Forecast'!AL30)</f>
        <v/>
      </c>
      <c r="AM11" s="9">
        <f>MIN('Revenue Forecast'!AM34,'Revenue Forecast'!AM30)</f>
        <v/>
      </c>
      <c r="AN11" s="9">
        <f>MIN('Revenue Forecast'!AN34,'Revenue Forecast'!AN30)</f>
        <v/>
      </c>
      <c r="AO11" s="9">
        <f>MIN('Revenue Forecast'!AO34,'Revenue Forecast'!AO30)</f>
        <v/>
      </c>
      <c r="AP11" s="9">
        <f>MIN('Revenue Forecast'!AP34,'Revenue Forecast'!AP30)</f>
        <v/>
      </c>
      <c r="AQ11" s="9">
        <f>MIN('Revenue Forecast'!AQ34,'Revenue Forecast'!AQ30)</f>
        <v/>
      </c>
      <c r="AR11" s="9">
        <f>MIN('Revenue Forecast'!AR34,'Revenue Forecast'!AR30)</f>
        <v/>
      </c>
      <c r="AS11" s="9">
        <f>MIN('Revenue Forecast'!AS34,'Revenue Forecast'!AS30)</f>
        <v/>
      </c>
      <c r="AT11" s="9">
        <f>MIN('Revenue Forecast'!AT34,'Revenue Forecast'!AT30)</f>
        <v/>
      </c>
      <c r="AU11" s="9">
        <f>MIN('Revenue Forecast'!AU34,'Revenue Forecast'!AU30)</f>
        <v/>
      </c>
      <c r="AV11" s="9">
        <f>MIN('Revenue Forecast'!AV34,'Revenue Forecast'!AV30)</f>
        <v/>
      </c>
      <c r="AW11" s="9">
        <f>MIN('Revenue Forecast'!AW34,'Revenue Forecast'!AW30)</f>
        <v/>
      </c>
      <c r="AX11" s="9">
        <f>MIN('Revenue Forecast'!AX34,'Revenue Forecast'!AX30)</f>
        <v/>
      </c>
      <c r="AY11" s="9">
        <f>MIN('Revenue Forecast'!AY34,'Revenue Forecast'!AY30)</f>
        <v/>
      </c>
      <c r="AZ11" s="9">
        <f>MIN('Revenue Forecast'!AZ34,'Revenue Forecast'!AZ30)</f>
        <v/>
      </c>
      <c r="BA11" s="9">
        <f>MIN('Revenue Forecast'!BA34,'Revenue Forecast'!BA30)</f>
        <v/>
      </c>
      <c r="BB11" s="9">
        <f>MIN('Revenue Forecast'!BB34,'Revenue Forecast'!BB30)</f>
        <v/>
      </c>
      <c r="BC11" s="9">
        <f>MIN('Revenue Forecast'!BC34,'Revenue Forecast'!BC30)</f>
        <v/>
      </c>
      <c r="BD11" s="9">
        <f>MIN('Revenue Forecast'!BD34,'Revenue Forecast'!BD30)</f>
        <v/>
      </c>
      <c r="BE11" s="9">
        <f>MIN('Revenue Forecast'!BE34,'Revenue Forecast'!BE30)</f>
        <v/>
      </c>
      <c r="BF11" s="9">
        <f>MIN('Revenue Forecast'!BF34,'Revenue Forecast'!BF30)</f>
        <v/>
      </c>
      <c r="BG11" s="9">
        <f>MIN('Revenue Forecast'!BG34,'Revenue Forecast'!BG30)</f>
        <v/>
      </c>
      <c r="BH11" s="9">
        <f>MIN('Revenue Forecast'!BH34,'Revenue Forecast'!BH30)</f>
        <v/>
      </c>
      <c r="BI11" s="9">
        <f>MIN('Revenue Forecast'!BI34,'Revenue Forecast'!BI30)</f>
        <v/>
      </c>
      <c r="BJ11" s="9">
        <f>MIN('Revenue Forecast'!BJ34,'Revenue Forecast'!BJ30)</f>
        <v/>
      </c>
      <c r="BK11" s="9">
        <f>MIN('Revenue Forecast'!BK34,'Revenue Forecast'!BK30)</f>
        <v/>
      </c>
      <c r="BL11" s="9">
        <f>MIN('Revenue Forecast'!BL34,'Revenue Forecast'!BL30)</f>
        <v/>
      </c>
      <c r="BN11" s="63">
        <f>SUM(E11:P11)</f>
        <v/>
      </c>
      <c r="BO11" s="63">
        <f>SUM(Q11:AB11)</f>
        <v/>
      </c>
      <c r="BP11" s="63">
        <f>SUM(AC11:AN11)</f>
        <v/>
      </c>
      <c r="BQ11" s="63">
        <f>SUM(AO11:AZ11)</f>
        <v/>
      </c>
      <c r="BR11" s="63">
        <f>SUM(BA11:BL11)</f>
        <v/>
      </c>
      <c r="BT11" s="28" t="inlineStr">
        <is>
          <t>our lines are filled first, the assembly partner takes the rest</t>
        </is>
      </c>
    </row>
    <row r="12">
      <c r="B12" s="49"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52"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52"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28" t="inlineStr">
        <is>
          <t>ketel plus outdoor unit plus inbound shipping</t>
        </is>
      </c>
    </row>
    <row r="15">
      <c r="B15" s="6" t="inlineStr">
        <is>
          <t>Upsell basket</t>
        </is>
      </c>
      <c r="C15" s="52"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52"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28" t="inlineStr">
        <is>
          <t>identical to the installation revenue, so it nets to nil</t>
        </is>
      </c>
    </row>
    <row r="17">
      <c r="B17" s="6" t="inlineStr">
        <is>
          <t>Service delivery</t>
        </is>
      </c>
      <c r="C17" s="52"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28" t="inlineStr">
        <is>
          <t>parts, consumables and travel per contract, from the service table; the engineers are on Personnel</t>
        </is>
      </c>
    </row>
    <row r="18">
      <c r="B18" s="6" t="inlineStr">
        <is>
          <t>Installer partner commission</t>
        </is>
      </c>
      <c r="C18" s="52"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28" t="inlineStr">
        <is>
          <t>turbineketel and Combi+ revenue on the channel share of units, times the commission rate</t>
        </is>
      </c>
    </row>
    <row r="19">
      <c r="B19" s="6" t="inlineStr">
        <is>
          <t>In-house assembly saving</t>
        </is>
      </c>
      <c r="C19" s="52" t="inlineStr">
        <is>
          <t>EUR</t>
        </is>
      </c>
      <c r="E19" s="10">
        <f>-E11*Assumptions!$F$126</f>
        <v/>
      </c>
      <c r="F19" s="10">
        <f>-F11*Assumptions!$F$126</f>
        <v/>
      </c>
      <c r="G19" s="10">
        <f>-G11*Assumptions!$F$126</f>
        <v/>
      </c>
      <c r="H19" s="10">
        <f>-H11*Assumptions!$F$126</f>
        <v/>
      </c>
      <c r="I19" s="10">
        <f>-I11*Assumptions!$F$126</f>
        <v/>
      </c>
      <c r="J19" s="10">
        <f>-J11*Assumptions!$F$126</f>
        <v/>
      </c>
      <c r="K19" s="10">
        <f>-K11*Assumptions!$F$126</f>
        <v/>
      </c>
      <c r="L19" s="10">
        <f>-L11*Assumptions!$F$126</f>
        <v/>
      </c>
      <c r="M19" s="10">
        <f>-M11*Assumptions!$F$126</f>
        <v/>
      </c>
      <c r="N19" s="10">
        <f>-N11*Assumptions!$F$126</f>
        <v/>
      </c>
      <c r="O19" s="10">
        <f>-O11*Assumptions!$F$126</f>
        <v/>
      </c>
      <c r="P19" s="10">
        <f>-P11*Assumptions!$F$126</f>
        <v/>
      </c>
      <c r="Q19" s="10">
        <f>-Q11*Assumptions!$F$126</f>
        <v/>
      </c>
      <c r="R19" s="10">
        <f>-R11*Assumptions!$F$126</f>
        <v/>
      </c>
      <c r="S19" s="10">
        <f>-S11*Assumptions!$F$126</f>
        <v/>
      </c>
      <c r="T19" s="10">
        <f>-T11*Assumptions!$F$126</f>
        <v/>
      </c>
      <c r="U19" s="10">
        <f>-U11*Assumptions!$F$126</f>
        <v/>
      </c>
      <c r="V19" s="10">
        <f>-V11*Assumptions!$F$126</f>
        <v/>
      </c>
      <c r="W19" s="10">
        <f>-W11*Assumptions!$F$126</f>
        <v/>
      </c>
      <c r="X19" s="10">
        <f>-X11*Assumptions!$F$126</f>
        <v/>
      </c>
      <c r="Y19" s="10">
        <f>-Y11*Assumptions!$F$126</f>
        <v/>
      </c>
      <c r="Z19" s="10">
        <f>-Z11*Assumptions!$F$126</f>
        <v/>
      </c>
      <c r="AA19" s="10">
        <f>-AA11*Assumptions!$F$126</f>
        <v/>
      </c>
      <c r="AB19" s="10">
        <f>-AB11*Assumptions!$F$126</f>
        <v/>
      </c>
      <c r="AC19" s="10">
        <f>-AC11*Assumptions!$F$126</f>
        <v/>
      </c>
      <c r="AD19" s="10">
        <f>-AD11*Assumptions!$F$126</f>
        <v/>
      </c>
      <c r="AE19" s="10">
        <f>-AE11*Assumptions!$F$126</f>
        <v/>
      </c>
      <c r="AF19" s="10">
        <f>-AF11*Assumptions!$F$126</f>
        <v/>
      </c>
      <c r="AG19" s="10">
        <f>-AG11*Assumptions!$F$126</f>
        <v/>
      </c>
      <c r="AH19" s="10">
        <f>-AH11*Assumptions!$F$126</f>
        <v/>
      </c>
      <c r="AI19" s="10">
        <f>-AI11*Assumptions!$F$126</f>
        <v/>
      </c>
      <c r="AJ19" s="10">
        <f>-AJ11*Assumptions!$F$126</f>
        <v/>
      </c>
      <c r="AK19" s="10">
        <f>-AK11*Assumptions!$F$126</f>
        <v/>
      </c>
      <c r="AL19" s="10">
        <f>-AL11*Assumptions!$F$126</f>
        <v/>
      </c>
      <c r="AM19" s="10">
        <f>-AM11*Assumptions!$F$126</f>
        <v/>
      </c>
      <c r="AN19" s="10">
        <f>-AN11*Assumptions!$F$126</f>
        <v/>
      </c>
      <c r="AO19" s="10">
        <f>-AO11*Assumptions!$F$126</f>
        <v/>
      </c>
      <c r="AP19" s="10">
        <f>-AP11*Assumptions!$F$126</f>
        <v/>
      </c>
      <c r="AQ19" s="10">
        <f>-AQ11*Assumptions!$F$126</f>
        <v/>
      </c>
      <c r="AR19" s="10">
        <f>-AR11*Assumptions!$F$126</f>
        <v/>
      </c>
      <c r="AS19" s="10">
        <f>-AS11*Assumptions!$F$126</f>
        <v/>
      </c>
      <c r="AT19" s="10">
        <f>-AT11*Assumptions!$F$126</f>
        <v/>
      </c>
      <c r="AU19" s="10">
        <f>-AU11*Assumptions!$F$126</f>
        <v/>
      </c>
      <c r="AV19" s="10">
        <f>-AV11*Assumptions!$F$126</f>
        <v/>
      </c>
      <c r="AW19" s="10">
        <f>-AW11*Assumptions!$F$126</f>
        <v/>
      </c>
      <c r="AX19" s="10">
        <f>-AX11*Assumptions!$F$126</f>
        <v/>
      </c>
      <c r="AY19" s="10">
        <f>-AY11*Assumptions!$F$126</f>
        <v/>
      </c>
      <c r="AZ19" s="10">
        <f>-AZ11*Assumptions!$F$126</f>
        <v/>
      </c>
      <c r="BA19" s="10">
        <f>-BA11*Assumptions!$F$126</f>
        <v/>
      </c>
      <c r="BB19" s="10">
        <f>-BB11*Assumptions!$F$126</f>
        <v/>
      </c>
      <c r="BC19" s="10">
        <f>-BC11*Assumptions!$F$126</f>
        <v/>
      </c>
      <c r="BD19" s="10">
        <f>-BD11*Assumptions!$F$126</f>
        <v/>
      </c>
      <c r="BE19" s="10">
        <f>-BE11*Assumptions!$F$126</f>
        <v/>
      </c>
      <c r="BF19" s="10">
        <f>-BF11*Assumptions!$F$126</f>
        <v/>
      </c>
      <c r="BG19" s="10">
        <f>-BG11*Assumptions!$F$126</f>
        <v/>
      </c>
      <c r="BH19" s="10">
        <f>-BH11*Assumptions!$F$126</f>
        <v/>
      </c>
      <c r="BI19" s="10">
        <f>-BI11*Assumptions!$F$126</f>
        <v/>
      </c>
      <c r="BJ19" s="10">
        <f>-BJ11*Assumptions!$F$126</f>
        <v/>
      </c>
      <c r="BK19" s="10">
        <f>-BK11*Assumptions!$F$126</f>
        <v/>
      </c>
      <c r="BL19" s="10">
        <f>-BL11*Assumptions!$F$126</f>
        <v/>
      </c>
      <c r="BN19" s="53">
        <f>SUM(E19:P19)</f>
        <v/>
      </c>
      <c r="BO19" s="53">
        <f>SUM(Q19:AB19)</f>
        <v/>
      </c>
      <c r="BP19" s="53">
        <f>SUM(AC19:AN19)</f>
        <v/>
      </c>
      <c r="BQ19" s="53">
        <f>SUM(AO19:AZ19)</f>
        <v/>
      </c>
      <c r="BR19" s="53">
        <f>SUM(BA19:BL19)</f>
        <v/>
      </c>
      <c r="BT19" s="28" t="inlineStr">
        <is>
          <t>units built on our own lines do not pay the assembly partner; their operators and facility are in OPEX</t>
        </is>
      </c>
    </row>
    <row r="20">
      <c r="B20" s="49" t="inlineStr">
        <is>
          <t>Total cost of goods sold</t>
        </is>
      </c>
      <c r="C20" s="54" t="inlineStr">
        <is>
          <t>EUR</t>
        </is>
      </c>
      <c r="D20" s="2" t="n"/>
      <c r="E20" s="55">
        <f>SUM(E13:E19)</f>
        <v/>
      </c>
      <c r="F20" s="55">
        <f>SUM(F13:F19)</f>
        <v/>
      </c>
      <c r="G20" s="55">
        <f>SUM(G13:G19)</f>
        <v/>
      </c>
      <c r="H20" s="55">
        <f>SUM(H13:H19)</f>
        <v/>
      </c>
      <c r="I20" s="55">
        <f>SUM(I13:I19)</f>
        <v/>
      </c>
      <c r="J20" s="55">
        <f>SUM(J13:J19)</f>
        <v/>
      </c>
      <c r="K20" s="55">
        <f>SUM(K13:K19)</f>
        <v/>
      </c>
      <c r="L20" s="55">
        <f>SUM(L13:L19)</f>
        <v/>
      </c>
      <c r="M20" s="55">
        <f>SUM(M13:M19)</f>
        <v/>
      </c>
      <c r="N20" s="55">
        <f>SUM(N13:N19)</f>
        <v/>
      </c>
      <c r="O20" s="55">
        <f>SUM(O13:O19)</f>
        <v/>
      </c>
      <c r="P20" s="55">
        <f>SUM(P13:P19)</f>
        <v/>
      </c>
      <c r="Q20" s="55">
        <f>SUM(Q13:Q19)</f>
        <v/>
      </c>
      <c r="R20" s="55">
        <f>SUM(R13:R19)</f>
        <v/>
      </c>
      <c r="S20" s="55">
        <f>SUM(S13:S19)</f>
        <v/>
      </c>
      <c r="T20" s="55">
        <f>SUM(T13:T19)</f>
        <v/>
      </c>
      <c r="U20" s="55">
        <f>SUM(U13:U19)</f>
        <v/>
      </c>
      <c r="V20" s="55">
        <f>SUM(V13:V19)</f>
        <v/>
      </c>
      <c r="W20" s="55">
        <f>SUM(W13:W19)</f>
        <v/>
      </c>
      <c r="X20" s="55">
        <f>SUM(X13:X19)</f>
        <v/>
      </c>
      <c r="Y20" s="55">
        <f>SUM(Y13:Y19)</f>
        <v/>
      </c>
      <c r="Z20" s="55">
        <f>SUM(Z13:Z19)</f>
        <v/>
      </c>
      <c r="AA20" s="55">
        <f>SUM(AA13:AA19)</f>
        <v/>
      </c>
      <c r="AB20" s="55">
        <f>SUM(AB13:AB19)</f>
        <v/>
      </c>
      <c r="AC20" s="55">
        <f>SUM(AC13:AC19)</f>
        <v/>
      </c>
      <c r="AD20" s="55">
        <f>SUM(AD13:AD19)</f>
        <v/>
      </c>
      <c r="AE20" s="55">
        <f>SUM(AE13:AE19)</f>
        <v/>
      </c>
      <c r="AF20" s="55">
        <f>SUM(AF13:AF19)</f>
        <v/>
      </c>
      <c r="AG20" s="55">
        <f>SUM(AG13:AG19)</f>
        <v/>
      </c>
      <c r="AH20" s="55">
        <f>SUM(AH13:AH19)</f>
        <v/>
      </c>
      <c r="AI20" s="55">
        <f>SUM(AI13:AI19)</f>
        <v/>
      </c>
      <c r="AJ20" s="55">
        <f>SUM(AJ13:AJ19)</f>
        <v/>
      </c>
      <c r="AK20" s="55">
        <f>SUM(AK13:AK19)</f>
        <v/>
      </c>
      <c r="AL20" s="55">
        <f>SUM(AL13:AL19)</f>
        <v/>
      </c>
      <c r="AM20" s="55">
        <f>SUM(AM13:AM19)</f>
        <v/>
      </c>
      <c r="AN20" s="55">
        <f>SUM(AN13:AN19)</f>
        <v/>
      </c>
      <c r="AO20" s="55">
        <f>SUM(AO13:AO19)</f>
        <v/>
      </c>
      <c r="AP20" s="55">
        <f>SUM(AP13:AP19)</f>
        <v/>
      </c>
      <c r="AQ20" s="55">
        <f>SUM(AQ13:AQ19)</f>
        <v/>
      </c>
      <c r="AR20" s="55">
        <f>SUM(AR13:AR19)</f>
        <v/>
      </c>
      <c r="AS20" s="55">
        <f>SUM(AS13:AS19)</f>
        <v/>
      </c>
      <c r="AT20" s="55">
        <f>SUM(AT13:AT19)</f>
        <v/>
      </c>
      <c r="AU20" s="55">
        <f>SUM(AU13:AU19)</f>
        <v/>
      </c>
      <c r="AV20" s="55">
        <f>SUM(AV13:AV19)</f>
        <v/>
      </c>
      <c r="AW20" s="55">
        <f>SUM(AW13:AW19)</f>
        <v/>
      </c>
      <c r="AX20" s="55">
        <f>SUM(AX13:AX19)</f>
        <v/>
      </c>
      <c r="AY20" s="55">
        <f>SUM(AY13:AY19)</f>
        <v/>
      </c>
      <c r="AZ20" s="55">
        <f>SUM(AZ13:AZ19)</f>
        <v/>
      </c>
      <c r="BA20" s="55">
        <f>SUM(BA13:BA19)</f>
        <v/>
      </c>
      <c r="BB20" s="55">
        <f>SUM(BB13:BB19)</f>
        <v/>
      </c>
      <c r="BC20" s="55">
        <f>SUM(BC13:BC19)</f>
        <v/>
      </c>
      <c r="BD20" s="55">
        <f>SUM(BD13:BD19)</f>
        <v/>
      </c>
      <c r="BE20" s="55">
        <f>SUM(BE13:BE19)</f>
        <v/>
      </c>
      <c r="BF20" s="55">
        <f>SUM(BF13:BF19)</f>
        <v/>
      </c>
      <c r="BG20" s="55">
        <f>SUM(BG13:BG19)</f>
        <v/>
      </c>
      <c r="BH20" s="55">
        <f>SUM(BH13:BH19)</f>
        <v/>
      </c>
      <c r="BI20" s="55">
        <f>SUM(BI13:BI19)</f>
        <v/>
      </c>
      <c r="BJ20" s="55">
        <f>SUM(BJ13:BJ19)</f>
        <v/>
      </c>
      <c r="BK20" s="55">
        <f>SUM(BK13:BK19)</f>
        <v/>
      </c>
      <c r="BL20" s="55">
        <f>SUM(BL13:BL19)</f>
        <v/>
      </c>
      <c r="BM20" s="2" t="n"/>
      <c r="BN20" s="55">
        <f>SUM(E20:P20)</f>
        <v/>
      </c>
      <c r="BO20" s="55">
        <f>SUM(Q20:AB20)</f>
        <v/>
      </c>
      <c r="BP20" s="55">
        <f>SUM(AC20:AN20)</f>
        <v/>
      </c>
      <c r="BQ20" s="55">
        <f>SUM(AO20:AZ20)</f>
        <v/>
      </c>
      <c r="BR20" s="55">
        <f>SUM(BA20:BL20)</f>
        <v/>
      </c>
      <c r="BS20" s="2" t="n"/>
    </row>
    <row r="22">
      <c r="B22" s="56" t="inlineStr">
        <is>
          <t>Gross profit per unit</t>
        </is>
      </c>
      <c r="C22" s="52" t="inlineStr">
        <is>
          <t>EUR/unit</t>
        </is>
      </c>
      <c r="E22" s="72">
        <f>IFERROR(('Revenue Forecast'!E50-'Revenue Forecast'!E49-E20)/'Revenue Forecast'!E34,0)</f>
        <v/>
      </c>
      <c r="F22" s="72">
        <f>IFERROR(('Revenue Forecast'!F50-'Revenue Forecast'!F49-F20)/'Revenue Forecast'!F34,0)</f>
        <v/>
      </c>
      <c r="G22" s="72">
        <f>IFERROR(('Revenue Forecast'!G50-'Revenue Forecast'!G49-G20)/'Revenue Forecast'!G34,0)</f>
        <v/>
      </c>
      <c r="H22" s="72">
        <f>IFERROR(('Revenue Forecast'!H50-'Revenue Forecast'!H49-H20)/'Revenue Forecast'!H34,0)</f>
        <v/>
      </c>
      <c r="I22" s="72">
        <f>IFERROR(('Revenue Forecast'!I50-'Revenue Forecast'!I49-I20)/'Revenue Forecast'!I34,0)</f>
        <v/>
      </c>
      <c r="J22" s="72">
        <f>IFERROR(('Revenue Forecast'!J50-'Revenue Forecast'!J49-J20)/'Revenue Forecast'!J34,0)</f>
        <v/>
      </c>
      <c r="K22" s="72">
        <f>IFERROR(('Revenue Forecast'!K50-'Revenue Forecast'!K49-K20)/'Revenue Forecast'!K34,0)</f>
        <v/>
      </c>
      <c r="L22" s="72">
        <f>IFERROR(('Revenue Forecast'!L50-'Revenue Forecast'!L49-L20)/'Revenue Forecast'!L34,0)</f>
        <v/>
      </c>
      <c r="M22" s="72">
        <f>IFERROR(('Revenue Forecast'!M50-'Revenue Forecast'!M49-M20)/'Revenue Forecast'!M34,0)</f>
        <v/>
      </c>
      <c r="N22" s="72">
        <f>IFERROR(('Revenue Forecast'!N50-'Revenue Forecast'!N49-N20)/'Revenue Forecast'!N34,0)</f>
        <v/>
      </c>
      <c r="O22" s="72">
        <f>IFERROR(('Revenue Forecast'!O50-'Revenue Forecast'!O49-O20)/'Revenue Forecast'!O34,0)</f>
        <v/>
      </c>
      <c r="P22" s="72">
        <f>IFERROR(('Revenue Forecast'!P50-'Revenue Forecast'!P49-P20)/'Revenue Forecast'!P34,0)</f>
        <v/>
      </c>
      <c r="Q22" s="72">
        <f>IFERROR(('Revenue Forecast'!Q50-'Revenue Forecast'!Q49-Q20)/'Revenue Forecast'!Q34,0)</f>
        <v/>
      </c>
      <c r="R22" s="72">
        <f>IFERROR(('Revenue Forecast'!R50-'Revenue Forecast'!R49-R20)/'Revenue Forecast'!R34,0)</f>
        <v/>
      </c>
      <c r="S22" s="72">
        <f>IFERROR(('Revenue Forecast'!S50-'Revenue Forecast'!S49-S20)/'Revenue Forecast'!S34,0)</f>
        <v/>
      </c>
      <c r="T22" s="72">
        <f>IFERROR(('Revenue Forecast'!T50-'Revenue Forecast'!T49-T20)/'Revenue Forecast'!T34,0)</f>
        <v/>
      </c>
      <c r="U22" s="72">
        <f>IFERROR(('Revenue Forecast'!U50-'Revenue Forecast'!U49-U20)/'Revenue Forecast'!U34,0)</f>
        <v/>
      </c>
      <c r="V22" s="72">
        <f>IFERROR(('Revenue Forecast'!V50-'Revenue Forecast'!V49-V20)/'Revenue Forecast'!V34,0)</f>
        <v/>
      </c>
      <c r="W22" s="72">
        <f>IFERROR(('Revenue Forecast'!W50-'Revenue Forecast'!W49-W20)/'Revenue Forecast'!W34,0)</f>
        <v/>
      </c>
      <c r="X22" s="72">
        <f>IFERROR(('Revenue Forecast'!X50-'Revenue Forecast'!X49-X20)/'Revenue Forecast'!X34,0)</f>
        <v/>
      </c>
      <c r="Y22" s="72">
        <f>IFERROR(('Revenue Forecast'!Y50-'Revenue Forecast'!Y49-Y20)/'Revenue Forecast'!Y34,0)</f>
        <v/>
      </c>
      <c r="Z22" s="72">
        <f>IFERROR(('Revenue Forecast'!Z50-'Revenue Forecast'!Z49-Z20)/'Revenue Forecast'!Z34,0)</f>
        <v/>
      </c>
      <c r="AA22" s="72">
        <f>IFERROR(('Revenue Forecast'!AA50-'Revenue Forecast'!AA49-AA20)/'Revenue Forecast'!AA34,0)</f>
        <v/>
      </c>
      <c r="AB22" s="72">
        <f>IFERROR(('Revenue Forecast'!AB50-'Revenue Forecast'!AB49-AB20)/'Revenue Forecast'!AB34,0)</f>
        <v/>
      </c>
      <c r="AC22" s="72">
        <f>IFERROR(('Revenue Forecast'!AC50-'Revenue Forecast'!AC49-AC20)/'Revenue Forecast'!AC34,0)</f>
        <v/>
      </c>
      <c r="AD22" s="72">
        <f>IFERROR(('Revenue Forecast'!AD50-'Revenue Forecast'!AD49-AD20)/'Revenue Forecast'!AD34,0)</f>
        <v/>
      </c>
      <c r="AE22" s="72">
        <f>IFERROR(('Revenue Forecast'!AE50-'Revenue Forecast'!AE49-AE20)/'Revenue Forecast'!AE34,0)</f>
        <v/>
      </c>
      <c r="AF22" s="72">
        <f>IFERROR(('Revenue Forecast'!AF50-'Revenue Forecast'!AF49-AF20)/'Revenue Forecast'!AF34,0)</f>
        <v/>
      </c>
      <c r="AG22" s="72">
        <f>IFERROR(('Revenue Forecast'!AG50-'Revenue Forecast'!AG49-AG20)/'Revenue Forecast'!AG34,0)</f>
        <v/>
      </c>
      <c r="AH22" s="72">
        <f>IFERROR(('Revenue Forecast'!AH50-'Revenue Forecast'!AH49-AH20)/'Revenue Forecast'!AH34,0)</f>
        <v/>
      </c>
      <c r="AI22" s="72">
        <f>IFERROR(('Revenue Forecast'!AI50-'Revenue Forecast'!AI49-AI20)/'Revenue Forecast'!AI34,0)</f>
        <v/>
      </c>
      <c r="AJ22" s="72">
        <f>IFERROR(('Revenue Forecast'!AJ50-'Revenue Forecast'!AJ49-AJ20)/'Revenue Forecast'!AJ34,0)</f>
        <v/>
      </c>
      <c r="AK22" s="72">
        <f>IFERROR(('Revenue Forecast'!AK50-'Revenue Forecast'!AK49-AK20)/'Revenue Forecast'!AK34,0)</f>
        <v/>
      </c>
      <c r="AL22" s="72">
        <f>IFERROR(('Revenue Forecast'!AL50-'Revenue Forecast'!AL49-AL20)/'Revenue Forecast'!AL34,0)</f>
        <v/>
      </c>
      <c r="AM22" s="72">
        <f>IFERROR(('Revenue Forecast'!AM50-'Revenue Forecast'!AM49-AM20)/'Revenue Forecast'!AM34,0)</f>
        <v/>
      </c>
      <c r="AN22" s="72">
        <f>IFERROR(('Revenue Forecast'!AN50-'Revenue Forecast'!AN49-AN20)/'Revenue Forecast'!AN34,0)</f>
        <v/>
      </c>
      <c r="AO22" s="72">
        <f>IFERROR(('Revenue Forecast'!AO50-'Revenue Forecast'!AO49-AO20)/'Revenue Forecast'!AO34,0)</f>
        <v/>
      </c>
      <c r="AP22" s="72">
        <f>IFERROR(('Revenue Forecast'!AP50-'Revenue Forecast'!AP49-AP20)/'Revenue Forecast'!AP34,0)</f>
        <v/>
      </c>
      <c r="AQ22" s="72">
        <f>IFERROR(('Revenue Forecast'!AQ50-'Revenue Forecast'!AQ49-AQ20)/'Revenue Forecast'!AQ34,0)</f>
        <v/>
      </c>
      <c r="AR22" s="72">
        <f>IFERROR(('Revenue Forecast'!AR50-'Revenue Forecast'!AR49-AR20)/'Revenue Forecast'!AR34,0)</f>
        <v/>
      </c>
      <c r="AS22" s="72">
        <f>IFERROR(('Revenue Forecast'!AS50-'Revenue Forecast'!AS49-AS20)/'Revenue Forecast'!AS34,0)</f>
        <v/>
      </c>
      <c r="AT22" s="72">
        <f>IFERROR(('Revenue Forecast'!AT50-'Revenue Forecast'!AT49-AT20)/'Revenue Forecast'!AT34,0)</f>
        <v/>
      </c>
      <c r="AU22" s="72">
        <f>IFERROR(('Revenue Forecast'!AU50-'Revenue Forecast'!AU49-AU20)/'Revenue Forecast'!AU34,0)</f>
        <v/>
      </c>
      <c r="AV22" s="72">
        <f>IFERROR(('Revenue Forecast'!AV50-'Revenue Forecast'!AV49-AV20)/'Revenue Forecast'!AV34,0)</f>
        <v/>
      </c>
      <c r="AW22" s="72">
        <f>IFERROR(('Revenue Forecast'!AW50-'Revenue Forecast'!AW49-AW20)/'Revenue Forecast'!AW34,0)</f>
        <v/>
      </c>
      <c r="AX22" s="72">
        <f>IFERROR(('Revenue Forecast'!AX50-'Revenue Forecast'!AX49-AX20)/'Revenue Forecast'!AX34,0)</f>
        <v/>
      </c>
      <c r="AY22" s="72">
        <f>IFERROR(('Revenue Forecast'!AY50-'Revenue Forecast'!AY49-AY20)/'Revenue Forecast'!AY34,0)</f>
        <v/>
      </c>
      <c r="AZ22" s="72">
        <f>IFERROR(('Revenue Forecast'!AZ50-'Revenue Forecast'!AZ49-AZ20)/'Revenue Forecast'!AZ34,0)</f>
        <v/>
      </c>
      <c r="BA22" s="72">
        <f>IFERROR(('Revenue Forecast'!BA50-'Revenue Forecast'!BA49-BA20)/'Revenue Forecast'!BA34,0)</f>
        <v/>
      </c>
      <c r="BB22" s="72">
        <f>IFERROR(('Revenue Forecast'!BB50-'Revenue Forecast'!BB49-BB20)/'Revenue Forecast'!BB34,0)</f>
        <v/>
      </c>
      <c r="BC22" s="72">
        <f>IFERROR(('Revenue Forecast'!BC50-'Revenue Forecast'!BC49-BC20)/'Revenue Forecast'!BC34,0)</f>
        <v/>
      </c>
      <c r="BD22" s="72">
        <f>IFERROR(('Revenue Forecast'!BD50-'Revenue Forecast'!BD49-BD20)/'Revenue Forecast'!BD34,0)</f>
        <v/>
      </c>
      <c r="BE22" s="72">
        <f>IFERROR(('Revenue Forecast'!BE50-'Revenue Forecast'!BE49-BE20)/'Revenue Forecast'!BE34,0)</f>
        <v/>
      </c>
      <c r="BF22" s="72">
        <f>IFERROR(('Revenue Forecast'!BF50-'Revenue Forecast'!BF49-BF20)/'Revenue Forecast'!BF34,0)</f>
        <v/>
      </c>
      <c r="BG22" s="72">
        <f>IFERROR(('Revenue Forecast'!BG50-'Revenue Forecast'!BG49-BG20)/'Revenue Forecast'!BG34,0)</f>
        <v/>
      </c>
      <c r="BH22" s="72">
        <f>IFERROR(('Revenue Forecast'!BH50-'Revenue Forecast'!BH49-BH20)/'Revenue Forecast'!BH34,0)</f>
        <v/>
      </c>
      <c r="BI22" s="72">
        <f>IFERROR(('Revenue Forecast'!BI50-'Revenue Forecast'!BI49-BI20)/'Revenue Forecast'!BI34,0)</f>
        <v/>
      </c>
      <c r="BJ22" s="72">
        <f>IFERROR(('Revenue Forecast'!BJ50-'Revenue Forecast'!BJ49-BJ20)/'Revenue Forecast'!BJ34,0)</f>
        <v/>
      </c>
      <c r="BK22" s="72">
        <f>IFERROR(('Revenue Forecast'!BK50-'Revenue Forecast'!BK49-BK20)/'Revenue Forecast'!BK34,0)</f>
        <v/>
      </c>
      <c r="BL22" s="72">
        <f>IFERROR(('Revenue Forecast'!BL50-'Revenue Forecast'!BL49-BL20)/'Revenue Forecast'!BL34,0)</f>
        <v/>
      </c>
      <c r="BN22" s="73">
        <f>IFERROR(('Revenue Forecast'!BN50-'Revenue Forecast'!BN49-BN20)/'Revenue Forecast'!BN34,0)</f>
        <v/>
      </c>
      <c r="BO22" s="73">
        <f>IFERROR(('Revenue Forecast'!BO50-'Revenue Forecast'!BO49-BO20)/'Revenue Forecast'!BO34,0)</f>
        <v/>
      </c>
      <c r="BP22" s="73">
        <f>IFERROR(('Revenue Forecast'!BP50-'Revenue Forecast'!BP49-BP20)/'Revenue Forecast'!BP34,0)</f>
        <v/>
      </c>
      <c r="BQ22" s="73">
        <f>IFERROR(('Revenue Forecast'!BQ50-'Revenue Forecast'!BQ49-BQ20)/'Revenue Forecast'!BQ34,0)</f>
        <v/>
      </c>
      <c r="BR22" s="73">
        <f>IFERROR(('Revenue Forecast'!BR50-'Revenue Forecast'!BR49-BR20)/'Revenue Forecast'!BR34,0)</f>
        <v/>
      </c>
      <c r="BT22" s="28"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52"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52"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52"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2">
        <f>SUM(E6:E8)</f>
        <v/>
      </c>
      <c r="F9" s="32">
        <f>SUM(F6:F8)</f>
        <v/>
      </c>
      <c r="G9" s="32">
        <f>SUM(G6:G8)</f>
        <v/>
      </c>
      <c r="H9" s="32">
        <f>SUM(H6:H8)</f>
        <v/>
      </c>
      <c r="I9" s="32">
        <f>SUM(I6:I8)</f>
        <v/>
      </c>
      <c r="J9" s="32">
        <f>SUM(J6:J8)</f>
        <v/>
      </c>
      <c r="K9" s="32">
        <f>SUM(K6:K8)</f>
        <v/>
      </c>
      <c r="L9" s="32">
        <f>SUM(L6:L8)</f>
        <v/>
      </c>
      <c r="M9" s="32">
        <f>SUM(M6:M8)</f>
        <v/>
      </c>
      <c r="N9" s="32">
        <f>SUM(N6:N8)</f>
        <v/>
      </c>
      <c r="O9" s="32">
        <f>SUM(O6:O8)</f>
        <v/>
      </c>
      <c r="P9" s="32">
        <f>SUM(P6:P8)</f>
        <v/>
      </c>
      <c r="Q9" s="32">
        <f>SUM(Q6:Q8)</f>
        <v/>
      </c>
      <c r="R9" s="32">
        <f>SUM(R6:R8)</f>
        <v/>
      </c>
      <c r="S9" s="32">
        <f>SUM(S6:S8)</f>
        <v/>
      </c>
      <c r="T9" s="32">
        <f>SUM(T6:T8)</f>
        <v/>
      </c>
      <c r="U9" s="32">
        <f>SUM(U6:U8)</f>
        <v/>
      </c>
      <c r="V9" s="32">
        <f>SUM(V6:V8)</f>
        <v/>
      </c>
      <c r="W9" s="32">
        <f>SUM(W6:W8)</f>
        <v/>
      </c>
      <c r="X9" s="32">
        <f>SUM(X6:X8)</f>
        <v/>
      </c>
      <c r="Y9" s="32">
        <f>SUM(Y6:Y8)</f>
        <v/>
      </c>
      <c r="Z9" s="32">
        <f>SUM(Z6:Z8)</f>
        <v/>
      </c>
      <c r="AA9" s="32">
        <f>SUM(AA6:AA8)</f>
        <v/>
      </c>
      <c r="AB9" s="32">
        <f>SUM(AB6:AB8)</f>
        <v/>
      </c>
      <c r="AC9" s="32">
        <f>SUM(AC6:AC8)</f>
        <v/>
      </c>
      <c r="AD9" s="32">
        <f>SUM(AD6:AD8)</f>
        <v/>
      </c>
      <c r="AE9" s="32">
        <f>SUM(AE6:AE8)</f>
        <v/>
      </c>
      <c r="AF9" s="32">
        <f>SUM(AF6:AF8)</f>
        <v/>
      </c>
      <c r="AG9" s="32">
        <f>SUM(AG6:AG8)</f>
        <v/>
      </c>
      <c r="AH9" s="32">
        <f>SUM(AH6:AH8)</f>
        <v/>
      </c>
      <c r="AI9" s="32">
        <f>SUM(AI6:AI8)</f>
        <v/>
      </c>
      <c r="AJ9" s="32">
        <f>SUM(AJ6:AJ8)</f>
        <v/>
      </c>
      <c r="AK9" s="32">
        <f>SUM(AK6:AK8)</f>
        <v/>
      </c>
      <c r="AL9" s="32">
        <f>SUM(AL6:AL8)</f>
        <v/>
      </c>
      <c r="AM9" s="32">
        <f>SUM(AM6:AM8)</f>
        <v/>
      </c>
      <c r="AN9" s="32">
        <f>SUM(AN6:AN8)</f>
        <v/>
      </c>
      <c r="AO9" s="32">
        <f>SUM(AO6:AO8)</f>
        <v/>
      </c>
      <c r="AP9" s="32">
        <f>SUM(AP6:AP8)</f>
        <v/>
      </c>
      <c r="AQ9" s="32">
        <f>SUM(AQ6:AQ8)</f>
        <v/>
      </c>
      <c r="AR9" s="32">
        <f>SUM(AR6:AR8)</f>
        <v/>
      </c>
      <c r="AS9" s="32">
        <f>SUM(AS6:AS8)</f>
        <v/>
      </c>
      <c r="AT9" s="32">
        <f>SUM(AT6:AT8)</f>
        <v/>
      </c>
      <c r="AU9" s="32">
        <f>SUM(AU6:AU8)</f>
        <v/>
      </c>
      <c r="AV9" s="32">
        <f>SUM(AV6:AV8)</f>
        <v/>
      </c>
      <c r="AW9" s="32">
        <f>SUM(AW6:AW8)</f>
        <v/>
      </c>
      <c r="AX9" s="32">
        <f>SUM(AX6:AX8)</f>
        <v/>
      </c>
      <c r="AY9" s="32">
        <f>SUM(AY6:AY8)</f>
        <v/>
      </c>
      <c r="AZ9" s="32">
        <f>SUM(AZ6:AZ8)</f>
        <v/>
      </c>
      <c r="BA9" s="32">
        <f>SUM(BA6:BA8)</f>
        <v/>
      </c>
      <c r="BB9" s="32">
        <f>SUM(BB6:BB8)</f>
        <v/>
      </c>
      <c r="BC9" s="32">
        <f>SUM(BC6:BC8)</f>
        <v/>
      </c>
      <c r="BD9" s="32">
        <f>SUM(BD6:BD8)</f>
        <v/>
      </c>
      <c r="BE9" s="32">
        <f>SUM(BE6:BE8)</f>
        <v/>
      </c>
      <c r="BF9" s="32">
        <f>SUM(BF6:BF8)</f>
        <v/>
      </c>
      <c r="BG9" s="32">
        <f>SUM(BG6:BG8)</f>
        <v/>
      </c>
      <c r="BH9" s="32">
        <f>SUM(BH6:BH8)</f>
        <v/>
      </c>
      <c r="BI9" s="32">
        <f>SUM(BI6:BI8)</f>
        <v/>
      </c>
      <c r="BJ9" s="32">
        <f>SUM(BJ6:BJ8)</f>
        <v/>
      </c>
      <c r="BK9" s="32">
        <f>SUM(BK6:BK8)</f>
        <v/>
      </c>
      <c r="BL9" s="32">
        <f>SUM(BL6:BL8)</f>
        <v/>
      </c>
      <c r="BN9" s="32">
        <f>SUM(E9:P9)</f>
        <v/>
      </c>
      <c r="BO9" s="32">
        <f>SUM(Q9:AB9)</f>
        <v/>
      </c>
      <c r="BP9" s="32">
        <f>SUM(AC9:AN9)</f>
        <v/>
      </c>
      <c r="BQ9" s="32">
        <f>SUM(AO9:AZ9)</f>
        <v/>
      </c>
      <c r="BR9" s="32">
        <f>SUM(BA9:BL9)</f>
        <v/>
      </c>
    </row>
    <row r="11">
      <c r="B11" s="49"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52"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28" t="inlineStr">
        <is>
          <t>the same spend that drives the funnel, so it can never be double counted</t>
        </is>
      </c>
    </row>
    <row r="13">
      <c r="B13" s="6" t="inlineStr">
        <is>
          <t>Installer training and demo units</t>
        </is>
      </c>
      <c r="C13" s="52" t="inlineStr">
        <is>
          <t>EUR</t>
        </is>
      </c>
      <c r="E13" s="10">
        <f>'Revenue Forecast'!E19*Assumptions!$F$133*(1+Assumptions!$F$138)^(YEAR(E$3)-Assumptions!$F$9)</f>
        <v/>
      </c>
      <c r="F13" s="10">
        <f>'Revenue Forecast'!F19*Assumptions!$F$133*(1+Assumptions!$F$138)^(YEAR(F$3)-Assumptions!$F$9)</f>
        <v/>
      </c>
      <c r="G13" s="10">
        <f>'Revenue Forecast'!G19*Assumptions!$F$133*(1+Assumptions!$F$138)^(YEAR(G$3)-Assumptions!$F$9)</f>
        <v/>
      </c>
      <c r="H13" s="10">
        <f>'Revenue Forecast'!H19*Assumptions!$F$133*(1+Assumptions!$F$138)^(YEAR(H$3)-Assumptions!$F$9)</f>
        <v/>
      </c>
      <c r="I13" s="10">
        <f>'Revenue Forecast'!I19*Assumptions!$F$133*(1+Assumptions!$F$138)^(YEAR(I$3)-Assumptions!$F$9)</f>
        <v/>
      </c>
      <c r="J13" s="10">
        <f>'Revenue Forecast'!J19*Assumptions!$F$133*(1+Assumptions!$F$138)^(YEAR(J$3)-Assumptions!$F$9)</f>
        <v/>
      </c>
      <c r="K13" s="10">
        <f>'Revenue Forecast'!K19*Assumptions!$F$133*(1+Assumptions!$F$138)^(YEAR(K$3)-Assumptions!$F$9)</f>
        <v/>
      </c>
      <c r="L13" s="10">
        <f>'Revenue Forecast'!L19*Assumptions!$F$133*(1+Assumptions!$F$138)^(YEAR(L$3)-Assumptions!$F$9)</f>
        <v/>
      </c>
      <c r="M13" s="10">
        <f>'Revenue Forecast'!M19*Assumptions!$F$133*(1+Assumptions!$F$138)^(YEAR(M$3)-Assumptions!$F$9)</f>
        <v/>
      </c>
      <c r="N13" s="10">
        <f>'Revenue Forecast'!N19*Assumptions!$F$133*(1+Assumptions!$F$138)^(YEAR(N$3)-Assumptions!$F$9)</f>
        <v/>
      </c>
      <c r="O13" s="10">
        <f>'Revenue Forecast'!O19*Assumptions!$F$133*(1+Assumptions!$F$138)^(YEAR(O$3)-Assumptions!$F$9)</f>
        <v/>
      </c>
      <c r="P13" s="10">
        <f>'Revenue Forecast'!P19*Assumptions!$F$133*(1+Assumptions!$F$138)^(YEAR(P$3)-Assumptions!$F$9)</f>
        <v/>
      </c>
      <c r="Q13" s="10">
        <f>'Revenue Forecast'!Q19*Assumptions!$F$133*(1+Assumptions!$F$138)^(YEAR(Q$3)-Assumptions!$F$9)</f>
        <v/>
      </c>
      <c r="R13" s="10">
        <f>'Revenue Forecast'!R19*Assumptions!$F$133*(1+Assumptions!$F$138)^(YEAR(R$3)-Assumptions!$F$9)</f>
        <v/>
      </c>
      <c r="S13" s="10">
        <f>'Revenue Forecast'!S19*Assumptions!$F$133*(1+Assumptions!$F$138)^(YEAR(S$3)-Assumptions!$F$9)</f>
        <v/>
      </c>
      <c r="T13" s="10">
        <f>'Revenue Forecast'!T19*Assumptions!$F$133*(1+Assumptions!$F$138)^(YEAR(T$3)-Assumptions!$F$9)</f>
        <v/>
      </c>
      <c r="U13" s="10">
        <f>'Revenue Forecast'!U19*Assumptions!$F$133*(1+Assumptions!$F$138)^(YEAR(U$3)-Assumptions!$F$9)</f>
        <v/>
      </c>
      <c r="V13" s="10">
        <f>'Revenue Forecast'!V19*Assumptions!$F$133*(1+Assumptions!$F$138)^(YEAR(V$3)-Assumptions!$F$9)</f>
        <v/>
      </c>
      <c r="W13" s="10">
        <f>'Revenue Forecast'!W19*Assumptions!$F$133*(1+Assumptions!$F$138)^(YEAR(W$3)-Assumptions!$F$9)</f>
        <v/>
      </c>
      <c r="X13" s="10">
        <f>'Revenue Forecast'!X19*Assumptions!$F$133*(1+Assumptions!$F$138)^(YEAR(X$3)-Assumptions!$F$9)</f>
        <v/>
      </c>
      <c r="Y13" s="10">
        <f>'Revenue Forecast'!Y19*Assumptions!$F$133*(1+Assumptions!$F$138)^(YEAR(Y$3)-Assumptions!$F$9)</f>
        <v/>
      </c>
      <c r="Z13" s="10">
        <f>'Revenue Forecast'!Z19*Assumptions!$F$133*(1+Assumptions!$F$138)^(YEAR(Z$3)-Assumptions!$F$9)</f>
        <v/>
      </c>
      <c r="AA13" s="10">
        <f>'Revenue Forecast'!AA19*Assumptions!$F$133*(1+Assumptions!$F$138)^(YEAR(AA$3)-Assumptions!$F$9)</f>
        <v/>
      </c>
      <c r="AB13" s="10">
        <f>'Revenue Forecast'!AB19*Assumptions!$F$133*(1+Assumptions!$F$138)^(YEAR(AB$3)-Assumptions!$F$9)</f>
        <v/>
      </c>
      <c r="AC13" s="10">
        <f>'Revenue Forecast'!AC19*Assumptions!$F$133*(1+Assumptions!$F$138)^(YEAR(AC$3)-Assumptions!$F$9)</f>
        <v/>
      </c>
      <c r="AD13" s="10">
        <f>'Revenue Forecast'!AD19*Assumptions!$F$133*(1+Assumptions!$F$138)^(YEAR(AD$3)-Assumptions!$F$9)</f>
        <v/>
      </c>
      <c r="AE13" s="10">
        <f>'Revenue Forecast'!AE19*Assumptions!$F$133*(1+Assumptions!$F$138)^(YEAR(AE$3)-Assumptions!$F$9)</f>
        <v/>
      </c>
      <c r="AF13" s="10">
        <f>'Revenue Forecast'!AF19*Assumptions!$F$133*(1+Assumptions!$F$138)^(YEAR(AF$3)-Assumptions!$F$9)</f>
        <v/>
      </c>
      <c r="AG13" s="10">
        <f>'Revenue Forecast'!AG19*Assumptions!$F$133*(1+Assumptions!$F$138)^(YEAR(AG$3)-Assumptions!$F$9)</f>
        <v/>
      </c>
      <c r="AH13" s="10">
        <f>'Revenue Forecast'!AH19*Assumptions!$F$133*(1+Assumptions!$F$138)^(YEAR(AH$3)-Assumptions!$F$9)</f>
        <v/>
      </c>
      <c r="AI13" s="10">
        <f>'Revenue Forecast'!AI19*Assumptions!$F$133*(1+Assumptions!$F$138)^(YEAR(AI$3)-Assumptions!$F$9)</f>
        <v/>
      </c>
      <c r="AJ13" s="10">
        <f>'Revenue Forecast'!AJ19*Assumptions!$F$133*(1+Assumptions!$F$138)^(YEAR(AJ$3)-Assumptions!$F$9)</f>
        <v/>
      </c>
      <c r="AK13" s="10">
        <f>'Revenue Forecast'!AK19*Assumptions!$F$133*(1+Assumptions!$F$138)^(YEAR(AK$3)-Assumptions!$F$9)</f>
        <v/>
      </c>
      <c r="AL13" s="10">
        <f>'Revenue Forecast'!AL19*Assumptions!$F$133*(1+Assumptions!$F$138)^(YEAR(AL$3)-Assumptions!$F$9)</f>
        <v/>
      </c>
      <c r="AM13" s="10">
        <f>'Revenue Forecast'!AM19*Assumptions!$F$133*(1+Assumptions!$F$138)^(YEAR(AM$3)-Assumptions!$F$9)</f>
        <v/>
      </c>
      <c r="AN13" s="10">
        <f>'Revenue Forecast'!AN19*Assumptions!$F$133*(1+Assumptions!$F$138)^(YEAR(AN$3)-Assumptions!$F$9)</f>
        <v/>
      </c>
      <c r="AO13" s="10">
        <f>'Revenue Forecast'!AO19*Assumptions!$F$133*(1+Assumptions!$F$138)^(YEAR(AO$3)-Assumptions!$F$9)</f>
        <v/>
      </c>
      <c r="AP13" s="10">
        <f>'Revenue Forecast'!AP19*Assumptions!$F$133*(1+Assumptions!$F$138)^(YEAR(AP$3)-Assumptions!$F$9)</f>
        <v/>
      </c>
      <c r="AQ13" s="10">
        <f>'Revenue Forecast'!AQ19*Assumptions!$F$133*(1+Assumptions!$F$138)^(YEAR(AQ$3)-Assumptions!$F$9)</f>
        <v/>
      </c>
      <c r="AR13" s="10">
        <f>'Revenue Forecast'!AR19*Assumptions!$F$133*(1+Assumptions!$F$138)^(YEAR(AR$3)-Assumptions!$F$9)</f>
        <v/>
      </c>
      <c r="AS13" s="10">
        <f>'Revenue Forecast'!AS19*Assumptions!$F$133*(1+Assumptions!$F$138)^(YEAR(AS$3)-Assumptions!$F$9)</f>
        <v/>
      </c>
      <c r="AT13" s="10">
        <f>'Revenue Forecast'!AT19*Assumptions!$F$133*(1+Assumptions!$F$138)^(YEAR(AT$3)-Assumptions!$F$9)</f>
        <v/>
      </c>
      <c r="AU13" s="10">
        <f>'Revenue Forecast'!AU19*Assumptions!$F$133*(1+Assumptions!$F$138)^(YEAR(AU$3)-Assumptions!$F$9)</f>
        <v/>
      </c>
      <c r="AV13" s="10">
        <f>'Revenue Forecast'!AV19*Assumptions!$F$133*(1+Assumptions!$F$138)^(YEAR(AV$3)-Assumptions!$F$9)</f>
        <v/>
      </c>
      <c r="AW13" s="10">
        <f>'Revenue Forecast'!AW19*Assumptions!$F$133*(1+Assumptions!$F$138)^(YEAR(AW$3)-Assumptions!$F$9)</f>
        <v/>
      </c>
      <c r="AX13" s="10">
        <f>'Revenue Forecast'!AX19*Assumptions!$F$133*(1+Assumptions!$F$138)^(YEAR(AX$3)-Assumptions!$F$9)</f>
        <v/>
      </c>
      <c r="AY13" s="10">
        <f>'Revenue Forecast'!AY19*Assumptions!$F$133*(1+Assumptions!$F$138)^(YEAR(AY$3)-Assumptions!$F$9)</f>
        <v/>
      </c>
      <c r="AZ13" s="10">
        <f>'Revenue Forecast'!AZ19*Assumptions!$F$133*(1+Assumptions!$F$138)^(YEAR(AZ$3)-Assumptions!$F$9)</f>
        <v/>
      </c>
      <c r="BA13" s="10">
        <f>'Revenue Forecast'!BA19*Assumptions!$F$133*(1+Assumptions!$F$138)^(YEAR(BA$3)-Assumptions!$F$9)</f>
        <v/>
      </c>
      <c r="BB13" s="10">
        <f>'Revenue Forecast'!BB19*Assumptions!$F$133*(1+Assumptions!$F$138)^(YEAR(BB$3)-Assumptions!$F$9)</f>
        <v/>
      </c>
      <c r="BC13" s="10">
        <f>'Revenue Forecast'!BC19*Assumptions!$F$133*(1+Assumptions!$F$138)^(YEAR(BC$3)-Assumptions!$F$9)</f>
        <v/>
      </c>
      <c r="BD13" s="10">
        <f>'Revenue Forecast'!BD19*Assumptions!$F$133*(1+Assumptions!$F$138)^(YEAR(BD$3)-Assumptions!$F$9)</f>
        <v/>
      </c>
      <c r="BE13" s="10">
        <f>'Revenue Forecast'!BE19*Assumptions!$F$133*(1+Assumptions!$F$138)^(YEAR(BE$3)-Assumptions!$F$9)</f>
        <v/>
      </c>
      <c r="BF13" s="10">
        <f>'Revenue Forecast'!BF19*Assumptions!$F$133*(1+Assumptions!$F$138)^(YEAR(BF$3)-Assumptions!$F$9)</f>
        <v/>
      </c>
      <c r="BG13" s="10">
        <f>'Revenue Forecast'!BG19*Assumptions!$F$133*(1+Assumptions!$F$138)^(YEAR(BG$3)-Assumptions!$F$9)</f>
        <v/>
      </c>
      <c r="BH13" s="10">
        <f>'Revenue Forecast'!BH19*Assumptions!$F$133*(1+Assumptions!$F$138)^(YEAR(BH$3)-Assumptions!$F$9)</f>
        <v/>
      </c>
      <c r="BI13" s="10">
        <f>'Revenue Forecast'!BI19*Assumptions!$F$133*(1+Assumptions!$F$138)^(YEAR(BI$3)-Assumptions!$F$9)</f>
        <v/>
      </c>
      <c r="BJ13" s="10">
        <f>'Revenue Forecast'!BJ19*Assumptions!$F$133*(1+Assumptions!$F$138)^(YEAR(BJ$3)-Assumptions!$F$9)</f>
        <v/>
      </c>
      <c r="BK13" s="10">
        <f>'Revenue Forecast'!BK19*Assumptions!$F$133*(1+Assumptions!$F$138)^(YEAR(BK$3)-Assumptions!$F$9)</f>
        <v/>
      </c>
      <c r="BL13" s="10">
        <f>'Revenue Forecast'!BL19*Assumptions!$F$133*(1+Assumptions!$F$138)^(YEAR(BL$3)-Assumptions!$F$9)</f>
        <v/>
      </c>
      <c r="BN13" s="53">
        <f>SUM(E13:P13)</f>
        <v/>
      </c>
      <c r="BO13" s="53">
        <f>SUM(Q13:AB13)</f>
        <v/>
      </c>
      <c r="BP13" s="53">
        <f>SUM(AC13:AN13)</f>
        <v/>
      </c>
      <c r="BQ13" s="53">
        <f>SUM(AO13:AZ13)</f>
        <v/>
      </c>
      <c r="BR13" s="53">
        <f>SUM(BA13:BL13)</f>
        <v/>
      </c>
    </row>
    <row r="14">
      <c r="B14" s="59" t="inlineStr">
        <is>
          <t>Total</t>
        </is>
      </c>
      <c r="C14" s="60" t="inlineStr">
        <is>
          <t>EUR</t>
        </is>
      </c>
      <c r="E14" s="32">
        <f>IF(E$3&lt;=Assumptions!$F$14,E42,SUM(E12:E13))</f>
        <v/>
      </c>
      <c r="F14" s="32">
        <f>IF(F$3&lt;=Assumptions!$F$14,F42,SUM(F12:F13))</f>
        <v/>
      </c>
      <c r="G14" s="32">
        <f>IF(G$3&lt;=Assumptions!$F$14,G42,SUM(G12:G13))</f>
        <v/>
      </c>
      <c r="H14" s="32">
        <f>IF(H$3&lt;=Assumptions!$F$14,H42,SUM(H12:H13))</f>
        <v/>
      </c>
      <c r="I14" s="32">
        <f>IF(I$3&lt;=Assumptions!$F$14,I42,SUM(I12:I13))</f>
        <v/>
      </c>
      <c r="J14" s="32">
        <f>IF(J$3&lt;=Assumptions!$F$14,J42,SUM(J12:J13))</f>
        <v/>
      </c>
      <c r="K14" s="32">
        <f>IF(K$3&lt;=Assumptions!$F$14,K42,SUM(K12:K13))</f>
        <v/>
      </c>
      <c r="L14" s="32">
        <f>IF(L$3&lt;=Assumptions!$F$14,L42,SUM(L12:L13))</f>
        <v/>
      </c>
      <c r="M14" s="32">
        <f>IF(M$3&lt;=Assumptions!$F$14,M42,SUM(M12:M13))</f>
        <v/>
      </c>
      <c r="N14" s="32">
        <f>IF(N$3&lt;=Assumptions!$F$14,N42,SUM(N12:N13))</f>
        <v/>
      </c>
      <c r="O14" s="32">
        <f>IF(O$3&lt;=Assumptions!$F$14,O42,SUM(O12:O13))</f>
        <v/>
      </c>
      <c r="P14" s="32">
        <f>IF(P$3&lt;=Assumptions!$F$14,P42,SUM(P12:P13))</f>
        <v/>
      </c>
      <c r="Q14" s="32">
        <f>IF(Q$3&lt;=Assumptions!$F$14,Q42,SUM(Q12:Q13))</f>
        <v/>
      </c>
      <c r="R14" s="32">
        <f>IF(R$3&lt;=Assumptions!$F$14,R42,SUM(R12:R13))</f>
        <v/>
      </c>
      <c r="S14" s="32">
        <f>IF(S$3&lt;=Assumptions!$F$14,S42,SUM(S12:S13))</f>
        <v/>
      </c>
      <c r="T14" s="32">
        <f>IF(T$3&lt;=Assumptions!$F$14,T42,SUM(T12:T13))</f>
        <v/>
      </c>
      <c r="U14" s="32">
        <f>IF(U$3&lt;=Assumptions!$F$14,U42,SUM(U12:U13))</f>
        <v/>
      </c>
      <c r="V14" s="32">
        <f>IF(V$3&lt;=Assumptions!$F$14,V42,SUM(V12:V13))</f>
        <v/>
      </c>
      <c r="W14" s="32">
        <f>IF(W$3&lt;=Assumptions!$F$14,W42,SUM(W12:W13))</f>
        <v/>
      </c>
      <c r="X14" s="32">
        <f>IF(X$3&lt;=Assumptions!$F$14,X42,SUM(X12:X13))</f>
        <v/>
      </c>
      <c r="Y14" s="32">
        <f>IF(Y$3&lt;=Assumptions!$F$14,Y42,SUM(Y12:Y13))</f>
        <v/>
      </c>
      <c r="Z14" s="32">
        <f>IF(Z$3&lt;=Assumptions!$F$14,Z42,SUM(Z12:Z13))</f>
        <v/>
      </c>
      <c r="AA14" s="32">
        <f>IF(AA$3&lt;=Assumptions!$F$14,AA42,SUM(AA12:AA13))</f>
        <v/>
      </c>
      <c r="AB14" s="32">
        <f>IF(AB$3&lt;=Assumptions!$F$14,AB42,SUM(AB12:AB13))</f>
        <v/>
      </c>
      <c r="AC14" s="32">
        <f>IF(AC$3&lt;=Assumptions!$F$14,AC42,SUM(AC12:AC13))</f>
        <v/>
      </c>
      <c r="AD14" s="32">
        <f>IF(AD$3&lt;=Assumptions!$F$14,AD42,SUM(AD12:AD13))</f>
        <v/>
      </c>
      <c r="AE14" s="32">
        <f>IF(AE$3&lt;=Assumptions!$F$14,AE42,SUM(AE12:AE13))</f>
        <v/>
      </c>
      <c r="AF14" s="32">
        <f>IF(AF$3&lt;=Assumptions!$F$14,AF42,SUM(AF12:AF13))</f>
        <v/>
      </c>
      <c r="AG14" s="32">
        <f>IF(AG$3&lt;=Assumptions!$F$14,AG42,SUM(AG12:AG13))</f>
        <v/>
      </c>
      <c r="AH14" s="32">
        <f>IF(AH$3&lt;=Assumptions!$F$14,AH42,SUM(AH12:AH13))</f>
        <v/>
      </c>
      <c r="AI14" s="32">
        <f>IF(AI$3&lt;=Assumptions!$F$14,AI42,SUM(AI12:AI13))</f>
        <v/>
      </c>
      <c r="AJ14" s="32">
        <f>IF(AJ$3&lt;=Assumptions!$F$14,AJ42,SUM(AJ12:AJ13))</f>
        <v/>
      </c>
      <c r="AK14" s="32">
        <f>IF(AK$3&lt;=Assumptions!$F$14,AK42,SUM(AK12:AK13))</f>
        <v/>
      </c>
      <c r="AL14" s="32">
        <f>IF(AL$3&lt;=Assumptions!$F$14,AL42,SUM(AL12:AL13))</f>
        <v/>
      </c>
      <c r="AM14" s="32">
        <f>IF(AM$3&lt;=Assumptions!$F$14,AM42,SUM(AM12:AM13))</f>
        <v/>
      </c>
      <c r="AN14" s="32">
        <f>IF(AN$3&lt;=Assumptions!$F$14,AN42,SUM(AN12:AN13))</f>
        <v/>
      </c>
      <c r="AO14" s="32">
        <f>IF(AO$3&lt;=Assumptions!$F$14,AO42,SUM(AO12:AO13))</f>
        <v/>
      </c>
      <c r="AP14" s="32">
        <f>IF(AP$3&lt;=Assumptions!$F$14,AP42,SUM(AP12:AP13))</f>
        <v/>
      </c>
      <c r="AQ14" s="32">
        <f>IF(AQ$3&lt;=Assumptions!$F$14,AQ42,SUM(AQ12:AQ13))</f>
        <v/>
      </c>
      <c r="AR14" s="32">
        <f>IF(AR$3&lt;=Assumptions!$F$14,AR42,SUM(AR12:AR13))</f>
        <v/>
      </c>
      <c r="AS14" s="32">
        <f>IF(AS$3&lt;=Assumptions!$F$14,AS42,SUM(AS12:AS13))</f>
        <v/>
      </c>
      <c r="AT14" s="32">
        <f>IF(AT$3&lt;=Assumptions!$F$14,AT42,SUM(AT12:AT13))</f>
        <v/>
      </c>
      <c r="AU14" s="32">
        <f>IF(AU$3&lt;=Assumptions!$F$14,AU42,SUM(AU12:AU13))</f>
        <v/>
      </c>
      <c r="AV14" s="32">
        <f>IF(AV$3&lt;=Assumptions!$F$14,AV42,SUM(AV12:AV13))</f>
        <v/>
      </c>
      <c r="AW14" s="32">
        <f>IF(AW$3&lt;=Assumptions!$F$14,AW42,SUM(AW12:AW13))</f>
        <v/>
      </c>
      <c r="AX14" s="32">
        <f>IF(AX$3&lt;=Assumptions!$F$14,AX42,SUM(AX12:AX13))</f>
        <v/>
      </c>
      <c r="AY14" s="32">
        <f>IF(AY$3&lt;=Assumptions!$F$14,AY42,SUM(AY12:AY13))</f>
        <v/>
      </c>
      <c r="AZ14" s="32">
        <f>IF(AZ$3&lt;=Assumptions!$F$14,AZ42,SUM(AZ12:AZ13))</f>
        <v/>
      </c>
      <c r="BA14" s="32">
        <f>IF(BA$3&lt;=Assumptions!$F$14,BA42,SUM(BA12:BA13))</f>
        <v/>
      </c>
      <c r="BB14" s="32">
        <f>IF(BB$3&lt;=Assumptions!$F$14,BB42,SUM(BB12:BB13))</f>
        <v/>
      </c>
      <c r="BC14" s="32">
        <f>IF(BC$3&lt;=Assumptions!$F$14,BC42,SUM(BC12:BC13))</f>
        <v/>
      </c>
      <c r="BD14" s="32">
        <f>IF(BD$3&lt;=Assumptions!$F$14,BD42,SUM(BD12:BD13))</f>
        <v/>
      </c>
      <c r="BE14" s="32">
        <f>IF(BE$3&lt;=Assumptions!$F$14,BE42,SUM(BE12:BE13))</f>
        <v/>
      </c>
      <c r="BF14" s="32">
        <f>IF(BF$3&lt;=Assumptions!$F$14,BF42,SUM(BF12:BF13))</f>
        <v/>
      </c>
      <c r="BG14" s="32">
        <f>IF(BG$3&lt;=Assumptions!$F$14,BG42,SUM(BG12:BG13))</f>
        <v/>
      </c>
      <c r="BH14" s="32">
        <f>IF(BH$3&lt;=Assumptions!$F$14,BH42,SUM(BH12:BH13))</f>
        <v/>
      </c>
      <c r="BI14" s="32">
        <f>IF(BI$3&lt;=Assumptions!$F$14,BI42,SUM(BI12:BI13))</f>
        <v/>
      </c>
      <c r="BJ14" s="32">
        <f>IF(BJ$3&lt;=Assumptions!$F$14,BJ42,SUM(BJ12:BJ13))</f>
        <v/>
      </c>
      <c r="BK14" s="32">
        <f>IF(BK$3&lt;=Assumptions!$F$14,BK42,SUM(BK12:BK13))</f>
        <v/>
      </c>
      <c r="BL14" s="32">
        <f>IF(BL$3&lt;=Assumptions!$F$14,BL42,SUM(BL12:BL13))</f>
        <v/>
      </c>
      <c r="BN14" s="32">
        <f>SUM(E14:P14)</f>
        <v/>
      </c>
      <c r="BO14" s="32">
        <f>SUM(Q14:AB14)</f>
        <v/>
      </c>
      <c r="BP14" s="32">
        <f>SUM(AC14:AN14)</f>
        <v/>
      </c>
      <c r="BQ14" s="32">
        <f>SUM(AO14:AZ14)</f>
        <v/>
      </c>
      <c r="BR14" s="32">
        <f>SUM(BA14:BL14)</f>
        <v/>
      </c>
    </row>
    <row r="16">
      <c r="B16" s="49"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52" t="inlineStr">
        <is>
          <t>EUR</t>
        </is>
      </c>
      <c r="E17" s="10">
        <f>Assumptions!$F$136*(1+Assumptions!$F$138)^(YEAR(E$3)-Assumptions!$F$9)</f>
        <v/>
      </c>
      <c r="F17" s="10">
        <f>Assumptions!$F$136*(1+Assumptions!$F$138)^(YEAR(F$3)-Assumptions!$F$9)</f>
        <v/>
      </c>
      <c r="G17" s="10">
        <f>Assumptions!$F$136*(1+Assumptions!$F$138)^(YEAR(G$3)-Assumptions!$F$9)</f>
        <v/>
      </c>
      <c r="H17" s="10">
        <f>Assumptions!$F$136*(1+Assumptions!$F$138)^(YEAR(H$3)-Assumptions!$F$9)</f>
        <v/>
      </c>
      <c r="I17" s="10">
        <f>Assumptions!$F$136*(1+Assumptions!$F$138)^(YEAR(I$3)-Assumptions!$F$9)</f>
        <v/>
      </c>
      <c r="J17" s="10">
        <f>Assumptions!$F$136*(1+Assumptions!$F$138)^(YEAR(J$3)-Assumptions!$F$9)</f>
        <v/>
      </c>
      <c r="K17" s="10">
        <f>Assumptions!$F$136*(1+Assumptions!$F$138)^(YEAR(K$3)-Assumptions!$F$9)</f>
        <v/>
      </c>
      <c r="L17" s="10">
        <f>Assumptions!$F$136*(1+Assumptions!$F$138)^(YEAR(L$3)-Assumptions!$F$9)</f>
        <v/>
      </c>
      <c r="M17" s="10">
        <f>Assumptions!$F$136*(1+Assumptions!$F$138)^(YEAR(M$3)-Assumptions!$F$9)</f>
        <v/>
      </c>
      <c r="N17" s="10">
        <f>Assumptions!$F$136*(1+Assumptions!$F$138)^(YEAR(N$3)-Assumptions!$F$9)</f>
        <v/>
      </c>
      <c r="O17" s="10">
        <f>Assumptions!$F$136*(1+Assumptions!$F$138)^(YEAR(O$3)-Assumptions!$F$9)</f>
        <v/>
      </c>
      <c r="P17" s="10">
        <f>Assumptions!$F$136*(1+Assumptions!$F$138)^(YEAR(P$3)-Assumptions!$F$9)</f>
        <v/>
      </c>
      <c r="Q17" s="10">
        <f>Assumptions!$F$136*(1+Assumptions!$F$138)^(YEAR(Q$3)-Assumptions!$F$9)</f>
        <v/>
      </c>
      <c r="R17" s="10">
        <f>Assumptions!$F$136*(1+Assumptions!$F$138)^(YEAR(R$3)-Assumptions!$F$9)</f>
        <v/>
      </c>
      <c r="S17" s="10">
        <f>Assumptions!$F$136*(1+Assumptions!$F$138)^(YEAR(S$3)-Assumptions!$F$9)</f>
        <v/>
      </c>
      <c r="T17" s="10">
        <f>Assumptions!$F$136*(1+Assumptions!$F$138)^(YEAR(T$3)-Assumptions!$F$9)</f>
        <v/>
      </c>
      <c r="U17" s="10">
        <f>Assumptions!$F$136*(1+Assumptions!$F$138)^(YEAR(U$3)-Assumptions!$F$9)</f>
        <v/>
      </c>
      <c r="V17" s="10">
        <f>Assumptions!$F$136*(1+Assumptions!$F$138)^(YEAR(V$3)-Assumptions!$F$9)</f>
        <v/>
      </c>
      <c r="W17" s="10">
        <f>Assumptions!$F$136*(1+Assumptions!$F$138)^(YEAR(W$3)-Assumptions!$F$9)</f>
        <v/>
      </c>
      <c r="X17" s="10">
        <f>Assumptions!$F$136*(1+Assumptions!$F$138)^(YEAR(X$3)-Assumptions!$F$9)</f>
        <v/>
      </c>
      <c r="Y17" s="10">
        <f>Assumptions!$F$136*(1+Assumptions!$F$138)^(YEAR(Y$3)-Assumptions!$F$9)</f>
        <v/>
      </c>
      <c r="Z17" s="10">
        <f>Assumptions!$F$136*(1+Assumptions!$F$138)^(YEAR(Z$3)-Assumptions!$F$9)</f>
        <v/>
      </c>
      <c r="AA17" s="10">
        <f>Assumptions!$F$136*(1+Assumptions!$F$138)^(YEAR(AA$3)-Assumptions!$F$9)</f>
        <v/>
      </c>
      <c r="AB17" s="10">
        <f>Assumptions!$F$136*(1+Assumptions!$F$138)^(YEAR(AB$3)-Assumptions!$F$9)</f>
        <v/>
      </c>
      <c r="AC17" s="10">
        <f>Assumptions!$F$136*(1+Assumptions!$F$138)^(YEAR(AC$3)-Assumptions!$F$9)</f>
        <v/>
      </c>
      <c r="AD17" s="10">
        <f>Assumptions!$F$136*(1+Assumptions!$F$138)^(YEAR(AD$3)-Assumptions!$F$9)</f>
        <v/>
      </c>
      <c r="AE17" s="10">
        <f>Assumptions!$F$136*(1+Assumptions!$F$138)^(YEAR(AE$3)-Assumptions!$F$9)</f>
        <v/>
      </c>
      <c r="AF17" s="10">
        <f>Assumptions!$F$136*(1+Assumptions!$F$138)^(YEAR(AF$3)-Assumptions!$F$9)</f>
        <v/>
      </c>
      <c r="AG17" s="10">
        <f>Assumptions!$F$136*(1+Assumptions!$F$138)^(YEAR(AG$3)-Assumptions!$F$9)</f>
        <v/>
      </c>
      <c r="AH17" s="10">
        <f>Assumptions!$F$136*(1+Assumptions!$F$138)^(YEAR(AH$3)-Assumptions!$F$9)</f>
        <v/>
      </c>
      <c r="AI17" s="10">
        <f>Assumptions!$F$136*(1+Assumptions!$F$138)^(YEAR(AI$3)-Assumptions!$F$9)</f>
        <v/>
      </c>
      <c r="AJ17" s="10">
        <f>Assumptions!$F$136*(1+Assumptions!$F$138)^(YEAR(AJ$3)-Assumptions!$F$9)</f>
        <v/>
      </c>
      <c r="AK17" s="10">
        <f>Assumptions!$F$136*(1+Assumptions!$F$138)^(YEAR(AK$3)-Assumptions!$F$9)</f>
        <v/>
      </c>
      <c r="AL17" s="10">
        <f>Assumptions!$F$136*(1+Assumptions!$F$138)^(YEAR(AL$3)-Assumptions!$F$9)</f>
        <v/>
      </c>
      <c r="AM17" s="10">
        <f>Assumptions!$F$136*(1+Assumptions!$F$138)^(YEAR(AM$3)-Assumptions!$F$9)</f>
        <v/>
      </c>
      <c r="AN17" s="10">
        <f>Assumptions!$F$136*(1+Assumptions!$F$138)^(YEAR(AN$3)-Assumptions!$F$9)</f>
        <v/>
      </c>
      <c r="AO17" s="10">
        <f>Assumptions!$F$136*(1+Assumptions!$F$138)^(YEAR(AO$3)-Assumptions!$F$9)</f>
        <v/>
      </c>
      <c r="AP17" s="10">
        <f>Assumptions!$F$136*(1+Assumptions!$F$138)^(YEAR(AP$3)-Assumptions!$F$9)</f>
        <v/>
      </c>
      <c r="AQ17" s="10">
        <f>Assumptions!$F$136*(1+Assumptions!$F$138)^(YEAR(AQ$3)-Assumptions!$F$9)</f>
        <v/>
      </c>
      <c r="AR17" s="10">
        <f>Assumptions!$F$136*(1+Assumptions!$F$138)^(YEAR(AR$3)-Assumptions!$F$9)</f>
        <v/>
      </c>
      <c r="AS17" s="10">
        <f>Assumptions!$F$136*(1+Assumptions!$F$138)^(YEAR(AS$3)-Assumptions!$F$9)</f>
        <v/>
      </c>
      <c r="AT17" s="10">
        <f>Assumptions!$F$136*(1+Assumptions!$F$138)^(YEAR(AT$3)-Assumptions!$F$9)</f>
        <v/>
      </c>
      <c r="AU17" s="10">
        <f>Assumptions!$F$136*(1+Assumptions!$F$138)^(YEAR(AU$3)-Assumptions!$F$9)</f>
        <v/>
      </c>
      <c r="AV17" s="10">
        <f>Assumptions!$F$136*(1+Assumptions!$F$138)^(YEAR(AV$3)-Assumptions!$F$9)</f>
        <v/>
      </c>
      <c r="AW17" s="10">
        <f>Assumptions!$F$136*(1+Assumptions!$F$138)^(YEAR(AW$3)-Assumptions!$F$9)</f>
        <v/>
      </c>
      <c r="AX17" s="10">
        <f>Assumptions!$F$136*(1+Assumptions!$F$138)^(YEAR(AX$3)-Assumptions!$F$9)</f>
        <v/>
      </c>
      <c r="AY17" s="10">
        <f>Assumptions!$F$136*(1+Assumptions!$F$138)^(YEAR(AY$3)-Assumptions!$F$9)</f>
        <v/>
      </c>
      <c r="AZ17" s="10">
        <f>Assumptions!$F$136*(1+Assumptions!$F$138)^(YEAR(AZ$3)-Assumptions!$F$9)</f>
        <v/>
      </c>
      <c r="BA17" s="10">
        <f>Assumptions!$F$136*(1+Assumptions!$F$138)^(YEAR(BA$3)-Assumptions!$F$9)</f>
        <v/>
      </c>
      <c r="BB17" s="10">
        <f>Assumptions!$F$136*(1+Assumptions!$F$138)^(YEAR(BB$3)-Assumptions!$F$9)</f>
        <v/>
      </c>
      <c r="BC17" s="10">
        <f>Assumptions!$F$136*(1+Assumptions!$F$138)^(YEAR(BC$3)-Assumptions!$F$9)</f>
        <v/>
      </c>
      <c r="BD17" s="10">
        <f>Assumptions!$F$136*(1+Assumptions!$F$138)^(YEAR(BD$3)-Assumptions!$F$9)</f>
        <v/>
      </c>
      <c r="BE17" s="10">
        <f>Assumptions!$F$136*(1+Assumptions!$F$138)^(YEAR(BE$3)-Assumptions!$F$9)</f>
        <v/>
      </c>
      <c r="BF17" s="10">
        <f>Assumptions!$F$136*(1+Assumptions!$F$138)^(YEAR(BF$3)-Assumptions!$F$9)</f>
        <v/>
      </c>
      <c r="BG17" s="10">
        <f>Assumptions!$F$136*(1+Assumptions!$F$138)^(YEAR(BG$3)-Assumptions!$F$9)</f>
        <v/>
      </c>
      <c r="BH17" s="10">
        <f>Assumptions!$F$136*(1+Assumptions!$F$138)^(YEAR(BH$3)-Assumptions!$F$9)</f>
        <v/>
      </c>
      <c r="BI17" s="10">
        <f>Assumptions!$F$136*(1+Assumptions!$F$138)^(YEAR(BI$3)-Assumptions!$F$9)</f>
        <v/>
      </c>
      <c r="BJ17" s="10">
        <f>Assumptions!$F$136*(1+Assumptions!$F$138)^(YEAR(BJ$3)-Assumptions!$F$9)</f>
        <v/>
      </c>
      <c r="BK17" s="10">
        <f>Assumptions!$F$136*(1+Assumptions!$F$138)^(YEAR(BK$3)-Assumptions!$F$9)</f>
        <v/>
      </c>
      <c r="BL17" s="10">
        <f>Assumptions!$F$136*(1+Assumptions!$F$138)^(YEAR(BL$3)-Assumptions!$F$9)</f>
        <v/>
      </c>
      <c r="BN17" s="53">
        <f>SUM(E17:P17)</f>
        <v/>
      </c>
      <c r="BO17" s="53">
        <f>SUM(Q17:AB17)</f>
        <v/>
      </c>
      <c r="BP17" s="53">
        <f>SUM(AC17:AN17)</f>
        <v/>
      </c>
      <c r="BQ17" s="53">
        <f>SUM(AO17:AZ17)</f>
        <v/>
      </c>
      <c r="BR17" s="53">
        <f>SUM(BA17:BL17)</f>
        <v/>
      </c>
    </row>
    <row r="18">
      <c r="B18" s="6" t="inlineStr">
        <is>
          <t>Third party product development</t>
        </is>
      </c>
      <c r="C18" s="52" t="inlineStr">
        <is>
          <t>EUR</t>
        </is>
      </c>
      <c r="E18" s="10">
        <f>Assumptions!$F$137*(1+Assumptions!$F$138)^(YEAR(E$3)-Assumptions!$F$9)</f>
        <v/>
      </c>
      <c r="F18" s="10">
        <f>Assumptions!$F$137*(1+Assumptions!$F$138)^(YEAR(F$3)-Assumptions!$F$9)</f>
        <v/>
      </c>
      <c r="G18" s="10">
        <f>Assumptions!$F$137*(1+Assumptions!$F$138)^(YEAR(G$3)-Assumptions!$F$9)</f>
        <v/>
      </c>
      <c r="H18" s="10">
        <f>Assumptions!$F$137*(1+Assumptions!$F$138)^(YEAR(H$3)-Assumptions!$F$9)</f>
        <v/>
      </c>
      <c r="I18" s="10">
        <f>Assumptions!$F$137*(1+Assumptions!$F$138)^(YEAR(I$3)-Assumptions!$F$9)</f>
        <v/>
      </c>
      <c r="J18" s="10">
        <f>Assumptions!$F$137*(1+Assumptions!$F$138)^(YEAR(J$3)-Assumptions!$F$9)</f>
        <v/>
      </c>
      <c r="K18" s="10">
        <f>Assumptions!$F$137*(1+Assumptions!$F$138)^(YEAR(K$3)-Assumptions!$F$9)</f>
        <v/>
      </c>
      <c r="L18" s="10">
        <f>Assumptions!$F$137*(1+Assumptions!$F$138)^(YEAR(L$3)-Assumptions!$F$9)</f>
        <v/>
      </c>
      <c r="M18" s="10">
        <f>Assumptions!$F$137*(1+Assumptions!$F$138)^(YEAR(M$3)-Assumptions!$F$9)</f>
        <v/>
      </c>
      <c r="N18" s="10">
        <f>Assumptions!$F$137*(1+Assumptions!$F$138)^(YEAR(N$3)-Assumptions!$F$9)</f>
        <v/>
      </c>
      <c r="O18" s="10">
        <f>Assumptions!$F$137*(1+Assumptions!$F$138)^(YEAR(O$3)-Assumptions!$F$9)</f>
        <v/>
      </c>
      <c r="P18" s="10">
        <f>Assumptions!$F$137*(1+Assumptions!$F$138)^(YEAR(P$3)-Assumptions!$F$9)</f>
        <v/>
      </c>
      <c r="Q18" s="10">
        <f>Assumptions!$F$137*(1+Assumptions!$F$138)^(YEAR(Q$3)-Assumptions!$F$9)</f>
        <v/>
      </c>
      <c r="R18" s="10">
        <f>Assumptions!$F$137*(1+Assumptions!$F$138)^(YEAR(R$3)-Assumptions!$F$9)</f>
        <v/>
      </c>
      <c r="S18" s="10">
        <f>Assumptions!$F$137*(1+Assumptions!$F$138)^(YEAR(S$3)-Assumptions!$F$9)</f>
        <v/>
      </c>
      <c r="T18" s="10">
        <f>Assumptions!$F$137*(1+Assumptions!$F$138)^(YEAR(T$3)-Assumptions!$F$9)</f>
        <v/>
      </c>
      <c r="U18" s="10">
        <f>Assumptions!$F$137*(1+Assumptions!$F$138)^(YEAR(U$3)-Assumptions!$F$9)</f>
        <v/>
      </c>
      <c r="V18" s="10">
        <f>Assumptions!$F$137*(1+Assumptions!$F$138)^(YEAR(V$3)-Assumptions!$F$9)</f>
        <v/>
      </c>
      <c r="W18" s="10">
        <f>Assumptions!$F$137*(1+Assumptions!$F$138)^(YEAR(W$3)-Assumptions!$F$9)</f>
        <v/>
      </c>
      <c r="X18" s="10">
        <f>Assumptions!$F$137*(1+Assumptions!$F$138)^(YEAR(X$3)-Assumptions!$F$9)</f>
        <v/>
      </c>
      <c r="Y18" s="10">
        <f>Assumptions!$F$137*(1+Assumptions!$F$138)^(YEAR(Y$3)-Assumptions!$F$9)</f>
        <v/>
      </c>
      <c r="Z18" s="10">
        <f>Assumptions!$F$137*(1+Assumptions!$F$138)^(YEAR(Z$3)-Assumptions!$F$9)</f>
        <v/>
      </c>
      <c r="AA18" s="10">
        <f>Assumptions!$F$137*(1+Assumptions!$F$138)^(YEAR(AA$3)-Assumptions!$F$9)</f>
        <v/>
      </c>
      <c r="AB18" s="10">
        <f>Assumptions!$F$137*(1+Assumptions!$F$138)^(YEAR(AB$3)-Assumptions!$F$9)</f>
        <v/>
      </c>
      <c r="AC18" s="10">
        <f>Assumptions!$F$137*(1+Assumptions!$F$138)^(YEAR(AC$3)-Assumptions!$F$9)</f>
        <v/>
      </c>
      <c r="AD18" s="10">
        <f>Assumptions!$F$137*(1+Assumptions!$F$138)^(YEAR(AD$3)-Assumptions!$F$9)</f>
        <v/>
      </c>
      <c r="AE18" s="10">
        <f>Assumptions!$F$137*(1+Assumptions!$F$138)^(YEAR(AE$3)-Assumptions!$F$9)</f>
        <v/>
      </c>
      <c r="AF18" s="10">
        <f>Assumptions!$F$137*(1+Assumptions!$F$138)^(YEAR(AF$3)-Assumptions!$F$9)</f>
        <v/>
      </c>
      <c r="AG18" s="10">
        <f>Assumptions!$F$137*(1+Assumptions!$F$138)^(YEAR(AG$3)-Assumptions!$F$9)</f>
        <v/>
      </c>
      <c r="AH18" s="10">
        <f>Assumptions!$F$137*(1+Assumptions!$F$138)^(YEAR(AH$3)-Assumptions!$F$9)</f>
        <v/>
      </c>
      <c r="AI18" s="10">
        <f>Assumptions!$F$137*(1+Assumptions!$F$138)^(YEAR(AI$3)-Assumptions!$F$9)</f>
        <v/>
      </c>
      <c r="AJ18" s="10">
        <f>Assumptions!$F$137*(1+Assumptions!$F$138)^(YEAR(AJ$3)-Assumptions!$F$9)</f>
        <v/>
      </c>
      <c r="AK18" s="10">
        <f>Assumptions!$F$137*(1+Assumptions!$F$138)^(YEAR(AK$3)-Assumptions!$F$9)</f>
        <v/>
      </c>
      <c r="AL18" s="10">
        <f>Assumptions!$F$137*(1+Assumptions!$F$138)^(YEAR(AL$3)-Assumptions!$F$9)</f>
        <v/>
      </c>
      <c r="AM18" s="10">
        <f>Assumptions!$F$137*(1+Assumptions!$F$138)^(YEAR(AM$3)-Assumptions!$F$9)</f>
        <v/>
      </c>
      <c r="AN18" s="10">
        <f>Assumptions!$F$137*(1+Assumptions!$F$138)^(YEAR(AN$3)-Assumptions!$F$9)</f>
        <v/>
      </c>
      <c r="AO18" s="10">
        <f>Assumptions!$F$137*(1+Assumptions!$F$138)^(YEAR(AO$3)-Assumptions!$F$9)</f>
        <v/>
      </c>
      <c r="AP18" s="10">
        <f>Assumptions!$F$137*(1+Assumptions!$F$138)^(YEAR(AP$3)-Assumptions!$F$9)</f>
        <v/>
      </c>
      <c r="AQ18" s="10">
        <f>Assumptions!$F$137*(1+Assumptions!$F$138)^(YEAR(AQ$3)-Assumptions!$F$9)</f>
        <v/>
      </c>
      <c r="AR18" s="10">
        <f>Assumptions!$F$137*(1+Assumptions!$F$138)^(YEAR(AR$3)-Assumptions!$F$9)</f>
        <v/>
      </c>
      <c r="AS18" s="10">
        <f>Assumptions!$F$137*(1+Assumptions!$F$138)^(YEAR(AS$3)-Assumptions!$F$9)</f>
        <v/>
      </c>
      <c r="AT18" s="10">
        <f>Assumptions!$F$137*(1+Assumptions!$F$138)^(YEAR(AT$3)-Assumptions!$F$9)</f>
        <v/>
      </c>
      <c r="AU18" s="10">
        <f>Assumptions!$F$137*(1+Assumptions!$F$138)^(YEAR(AU$3)-Assumptions!$F$9)</f>
        <v/>
      </c>
      <c r="AV18" s="10">
        <f>Assumptions!$F$137*(1+Assumptions!$F$138)^(YEAR(AV$3)-Assumptions!$F$9)</f>
        <v/>
      </c>
      <c r="AW18" s="10">
        <f>Assumptions!$F$137*(1+Assumptions!$F$138)^(YEAR(AW$3)-Assumptions!$F$9)</f>
        <v/>
      </c>
      <c r="AX18" s="10">
        <f>Assumptions!$F$137*(1+Assumptions!$F$138)^(YEAR(AX$3)-Assumptions!$F$9)</f>
        <v/>
      </c>
      <c r="AY18" s="10">
        <f>Assumptions!$F$137*(1+Assumptions!$F$138)^(YEAR(AY$3)-Assumptions!$F$9)</f>
        <v/>
      </c>
      <c r="AZ18" s="10">
        <f>Assumptions!$F$137*(1+Assumptions!$F$138)^(YEAR(AZ$3)-Assumptions!$F$9)</f>
        <v/>
      </c>
      <c r="BA18" s="10">
        <f>Assumptions!$F$137*(1+Assumptions!$F$138)^(YEAR(BA$3)-Assumptions!$F$9)</f>
        <v/>
      </c>
      <c r="BB18" s="10">
        <f>Assumptions!$F$137*(1+Assumptions!$F$138)^(YEAR(BB$3)-Assumptions!$F$9)</f>
        <v/>
      </c>
      <c r="BC18" s="10">
        <f>Assumptions!$F$137*(1+Assumptions!$F$138)^(YEAR(BC$3)-Assumptions!$F$9)</f>
        <v/>
      </c>
      <c r="BD18" s="10">
        <f>Assumptions!$F$137*(1+Assumptions!$F$138)^(YEAR(BD$3)-Assumptions!$F$9)</f>
        <v/>
      </c>
      <c r="BE18" s="10">
        <f>Assumptions!$F$137*(1+Assumptions!$F$138)^(YEAR(BE$3)-Assumptions!$F$9)</f>
        <v/>
      </c>
      <c r="BF18" s="10">
        <f>Assumptions!$F$137*(1+Assumptions!$F$138)^(YEAR(BF$3)-Assumptions!$F$9)</f>
        <v/>
      </c>
      <c r="BG18" s="10">
        <f>Assumptions!$F$137*(1+Assumptions!$F$138)^(YEAR(BG$3)-Assumptions!$F$9)</f>
        <v/>
      </c>
      <c r="BH18" s="10">
        <f>Assumptions!$F$137*(1+Assumptions!$F$138)^(YEAR(BH$3)-Assumptions!$F$9)</f>
        <v/>
      </c>
      <c r="BI18" s="10">
        <f>Assumptions!$F$137*(1+Assumptions!$F$138)^(YEAR(BI$3)-Assumptions!$F$9)</f>
        <v/>
      </c>
      <c r="BJ18" s="10">
        <f>Assumptions!$F$137*(1+Assumptions!$F$138)^(YEAR(BJ$3)-Assumptions!$F$9)</f>
        <v/>
      </c>
      <c r="BK18" s="10">
        <f>Assumptions!$F$137*(1+Assumptions!$F$138)^(YEAR(BK$3)-Assumptions!$F$9)</f>
        <v/>
      </c>
      <c r="BL18" s="10">
        <f>Assumptions!$F$137*(1+Assumptions!$F$138)^(YEAR(BL$3)-Assumptions!$F$9)</f>
        <v/>
      </c>
      <c r="BN18" s="53">
        <f>SUM(E18:P18)</f>
        <v/>
      </c>
      <c r="BO18" s="53">
        <f>SUM(Q18:AB18)</f>
        <v/>
      </c>
      <c r="BP18" s="53">
        <f>SUM(AC18:AN18)</f>
        <v/>
      </c>
      <c r="BQ18" s="53">
        <f>SUM(AO18:AZ18)</f>
        <v/>
      </c>
      <c r="BR18" s="53">
        <f>SUM(BA18:BL18)</f>
        <v/>
      </c>
    </row>
    <row r="19">
      <c r="B19" s="59" t="inlineStr">
        <is>
          <t>Total</t>
        </is>
      </c>
      <c r="C19" s="60" t="inlineStr">
        <is>
          <t>EUR</t>
        </is>
      </c>
      <c r="E19" s="32">
        <f>IF(E$3&lt;=Assumptions!$F$14,E41,SUM(E17:E18))</f>
        <v/>
      </c>
      <c r="F19" s="32">
        <f>IF(F$3&lt;=Assumptions!$F$14,F41,SUM(F17:F18))</f>
        <v/>
      </c>
      <c r="G19" s="32">
        <f>IF(G$3&lt;=Assumptions!$F$14,G41,SUM(G17:G18))</f>
        <v/>
      </c>
      <c r="H19" s="32">
        <f>IF(H$3&lt;=Assumptions!$F$14,H41,SUM(H17:H18))</f>
        <v/>
      </c>
      <c r="I19" s="32">
        <f>IF(I$3&lt;=Assumptions!$F$14,I41,SUM(I17:I18))</f>
        <v/>
      </c>
      <c r="J19" s="32">
        <f>IF(J$3&lt;=Assumptions!$F$14,J41,SUM(J17:J18))</f>
        <v/>
      </c>
      <c r="K19" s="32">
        <f>IF(K$3&lt;=Assumptions!$F$14,K41,SUM(K17:K18))</f>
        <v/>
      </c>
      <c r="L19" s="32">
        <f>IF(L$3&lt;=Assumptions!$F$14,L41,SUM(L17:L18))</f>
        <v/>
      </c>
      <c r="M19" s="32">
        <f>IF(M$3&lt;=Assumptions!$F$14,M41,SUM(M17:M18))</f>
        <v/>
      </c>
      <c r="N19" s="32">
        <f>IF(N$3&lt;=Assumptions!$F$14,N41,SUM(N17:N18))</f>
        <v/>
      </c>
      <c r="O19" s="32">
        <f>IF(O$3&lt;=Assumptions!$F$14,O41,SUM(O17:O18))</f>
        <v/>
      </c>
      <c r="P19" s="32">
        <f>IF(P$3&lt;=Assumptions!$F$14,P41,SUM(P17:P18))</f>
        <v/>
      </c>
      <c r="Q19" s="32">
        <f>IF(Q$3&lt;=Assumptions!$F$14,Q41,SUM(Q17:Q18))</f>
        <v/>
      </c>
      <c r="R19" s="32">
        <f>IF(R$3&lt;=Assumptions!$F$14,R41,SUM(R17:R18))</f>
        <v/>
      </c>
      <c r="S19" s="32">
        <f>IF(S$3&lt;=Assumptions!$F$14,S41,SUM(S17:S18))</f>
        <v/>
      </c>
      <c r="T19" s="32">
        <f>IF(T$3&lt;=Assumptions!$F$14,T41,SUM(T17:T18))</f>
        <v/>
      </c>
      <c r="U19" s="32">
        <f>IF(U$3&lt;=Assumptions!$F$14,U41,SUM(U17:U18))</f>
        <v/>
      </c>
      <c r="V19" s="32">
        <f>IF(V$3&lt;=Assumptions!$F$14,V41,SUM(V17:V18))</f>
        <v/>
      </c>
      <c r="W19" s="32">
        <f>IF(W$3&lt;=Assumptions!$F$14,W41,SUM(W17:W18))</f>
        <v/>
      </c>
      <c r="X19" s="32">
        <f>IF(X$3&lt;=Assumptions!$F$14,X41,SUM(X17:X18))</f>
        <v/>
      </c>
      <c r="Y19" s="32">
        <f>IF(Y$3&lt;=Assumptions!$F$14,Y41,SUM(Y17:Y18))</f>
        <v/>
      </c>
      <c r="Z19" s="32">
        <f>IF(Z$3&lt;=Assumptions!$F$14,Z41,SUM(Z17:Z18))</f>
        <v/>
      </c>
      <c r="AA19" s="32">
        <f>IF(AA$3&lt;=Assumptions!$F$14,AA41,SUM(AA17:AA18))</f>
        <v/>
      </c>
      <c r="AB19" s="32">
        <f>IF(AB$3&lt;=Assumptions!$F$14,AB41,SUM(AB17:AB18))</f>
        <v/>
      </c>
      <c r="AC19" s="32">
        <f>IF(AC$3&lt;=Assumptions!$F$14,AC41,SUM(AC17:AC18))</f>
        <v/>
      </c>
      <c r="AD19" s="32">
        <f>IF(AD$3&lt;=Assumptions!$F$14,AD41,SUM(AD17:AD18))</f>
        <v/>
      </c>
      <c r="AE19" s="32">
        <f>IF(AE$3&lt;=Assumptions!$F$14,AE41,SUM(AE17:AE18))</f>
        <v/>
      </c>
      <c r="AF19" s="32">
        <f>IF(AF$3&lt;=Assumptions!$F$14,AF41,SUM(AF17:AF18))</f>
        <v/>
      </c>
      <c r="AG19" s="32">
        <f>IF(AG$3&lt;=Assumptions!$F$14,AG41,SUM(AG17:AG18))</f>
        <v/>
      </c>
      <c r="AH19" s="32">
        <f>IF(AH$3&lt;=Assumptions!$F$14,AH41,SUM(AH17:AH18))</f>
        <v/>
      </c>
      <c r="AI19" s="32">
        <f>IF(AI$3&lt;=Assumptions!$F$14,AI41,SUM(AI17:AI18))</f>
        <v/>
      </c>
      <c r="AJ19" s="32">
        <f>IF(AJ$3&lt;=Assumptions!$F$14,AJ41,SUM(AJ17:AJ18))</f>
        <v/>
      </c>
      <c r="AK19" s="32">
        <f>IF(AK$3&lt;=Assumptions!$F$14,AK41,SUM(AK17:AK18))</f>
        <v/>
      </c>
      <c r="AL19" s="32">
        <f>IF(AL$3&lt;=Assumptions!$F$14,AL41,SUM(AL17:AL18))</f>
        <v/>
      </c>
      <c r="AM19" s="32">
        <f>IF(AM$3&lt;=Assumptions!$F$14,AM41,SUM(AM17:AM18))</f>
        <v/>
      </c>
      <c r="AN19" s="32">
        <f>IF(AN$3&lt;=Assumptions!$F$14,AN41,SUM(AN17:AN18))</f>
        <v/>
      </c>
      <c r="AO19" s="32">
        <f>IF(AO$3&lt;=Assumptions!$F$14,AO41,SUM(AO17:AO18))</f>
        <v/>
      </c>
      <c r="AP19" s="32">
        <f>IF(AP$3&lt;=Assumptions!$F$14,AP41,SUM(AP17:AP18))</f>
        <v/>
      </c>
      <c r="AQ19" s="32">
        <f>IF(AQ$3&lt;=Assumptions!$F$14,AQ41,SUM(AQ17:AQ18))</f>
        <v/>
      </c>
      <c r="AR19" s="32">
        <f>IF(AR$3&lt;=Assumptions!$F$14,AR41,SUM(AR17:AR18))</f>
        <v/>
      </c>
      <c r="AS19" s="32">
        <f>IF(AS$3&lt;=Assumptions!$F$14,AS41,SUM(AS17:AS18))</f>
        <v/>
      </c>
      <c r="AT19" s="32">
        <f>IF(AT$3&lt;=Assumptions!$F$14,AT41,SUM(AT17:AT18))</f>
        <v/>
      </c>
      <c r="AU19" s="32">
        <f>IF(AU$3&lt;=Assumptions!$F$14,AU41,SUM(AU17:AU18))</f>
        <v/>
      </c>
      <c r="AV19" s="32">
        <f>IF(AV$3&lt;=Assumptions!$F$14,AV41,SUM(AV17:AV18))</f>
        <v/>
      </c>
      <c r="AW19" s="32">
        <f>IF(AW$3&lt;=Assumptions!$F$14,AW41,SUM(AW17:AW18))</f>
        <v/>
      </c>
      <c r="AX19" s="32">
        <f>IF(AX$3&lt;=Assumptions!$F$14,AX41,SUM(AX17:AX18))</f>
        <v/>
      </c>
      <c r="AY19" s="32">
        <f>IF(AY$3&lt;=Assumptions!$F$14,AY41,SUM(AY17:AY18))</f>
        <v/>
      </c>
      <c r="AZ19" s="32">
        <f>IF(AZ$3&lt;=Assumptions!$F$14,AZ41,SUM(AZ17:AZ18))</f>
        <v/>
      </c>
      <c r="BA19" s="32">
        <f>IF(BA$3&lt;=Assumptions!$F$14,BA41,SUM(BA17:BA18))</f>
        <v/>
      </c>
      <c r="BB19" s="32">
        <f>IF(BB$3&lt;=Assumptions!$F$14,BB41,SUM(BB17:BB18))</f>
        <v/>
      </c>
      <c r="BC19" s="32">
        <f>IF(BC$3&lt;=Assumptions!$F$14,BC41,SUM(BC17:BC18))</f>
        <v/>
      </c>
      <c r="BD19" s="32">
        <f>IF(BD$3&lt;=Assumptions!$F$14,BD41,SUM(BD17:BD18))</f>
        <v/>
      </c>
      <c r="BE19" s="32">
        <f>IF(BE$3&lt;=Assumptions!$F$14,BE41,SUM(BE17:BE18))</f>
        <v/>
      </c>
      <c r="BF19" s="32">
        <f>IF(BF$3&lt;=Assumptions!$F$14,BF41,SUM(BF17:BF18))</f>
        <v/>
      </c>
      <c r="BG19" s="32">
        <f>IF(BG$3&lt;=Assumptions!$F$14,BG41,SUM(BG17:BG18))</f>
        <v/>
      </c>
      <c r="BH19" s="32">
        <f>IF(BH$3&lt;=Assumptions!$F$14,BH41,SUM(BH17:BH18))</f>
        <v/>
      </c>
      <c r="BI19" s="32">
        <f>IF(BI$3&lt;=Assumptions!$F$14,BI41,SUM(BI17:BI18))</f>
        <v/>
      </c>
      <c r="BJ19" s="32">
        <f>IF(BJ$3&lt;=Assumptions!$F$14,BJ41,SUM(BJ17:BJ18))</f>
        <v/>
      </c>
      <c r="BK19" s="32">
        <f>IF(BK$3&lt;=Assumptions!$F$14,BK41,SUM(BK17:BK18))</f>
        <v/>
      </c>
      <c r="BL19" s="32">
        <f>IF(BL$3&lt;=Assumptions!$F$14,BL41,SUM(BL17:BL18))</f>
        <v/>
      </c>
      <c r="BN19" s="32">
        <f>SUM(E19:P19)</f>
        <v/>
      </c>
      <c r="BO19" s="32">
        <f>SUM(Q19:AB19)</f>
        <v/>
      </c>
      <c r="BP19" s="32">
        <f>SUM(AC19:AN19)</f>
        <v/>
      </c>
      <c r="BQ19" s="32">
        <f>SUM(AO19:AZ19)</f>
        <v/>
      </c>
      <c r="BR19" s="32">
        <f>SUM(BA19:BL19)</f>
        <v/>
      </c>
    </row>
    <row r="21">
      <c r="B21" s="49"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52" t="inlineStr">
        <is>
          <t>EUR</t>
        </is>
      </c>
      <c r="E22" s="10">
        <f>Personnel!E20*(Assumptions!$F$129+Assumptions!$F$130+Assumptions!$F$131)*(1+Assumptions!$F$138)^(YEAR(E$3)-Assumptions!$F$9)</f>
        <v/>
      </c>
      <c r="F22" s="10">
        <f>Personnel!F20*(Assumptions!$F$129+Assumptions!$F$130+Assumptions!$F$131)*(1+Assumptions!$F$138)^(YEAR(F$3)-Assumptions!$F$9)</f>
        <v/>
      </c>
      <c r="G22" s="10">
        <f>Personnel!G20*(Assumptions!$F$129+Assumptions!$F$130+Assumptions!$F$131)*(1+Assumptions!$F$138)^(YEAR(G$3)-Assumptions!$F$9)</f>
        <v/>
      </c>
      <c r="H22" s="10">
        <f>Personnel!H20*(Assumptions!$F$129+Assumptions!$F$130+Assumptions!$F$131)*(1+Assumptions!$F$138)^(YEAR(H$3)-Assumptions!$F$9)</f>
        <v/>
      </c>
      <c r="I22" s="10">
        <f>Personnel!I20*(Assumptions!$F$129+Assumptions!$F$130+Assumptions!$F$131)*(1+Assumptions!$F$138)^(YEAR(I$3)-Assumptions!$F$9)</f>
        <v/>
      </c>
      <c r="J22" s="10">
        <f>Personnel!J20*(Assumptions!$F$129+Assumptions!$F$130+Assumptions!$F$131)*(1+Assumptions!$F$138)^(YEAR(J$3)-Assumptions!$F$9)</f>
        <v/>
      </c>
      <c r="K22" s="10">
        <f>Personnel!K20*(Assumptions!$F$129+Assumptions!$F$130+Assumptions!$F$131)*(1+Assumptions!$F$138)^(YEAR(K$3)-Assumptions!$F$9)</f>
        <v/>
      </c>
      <c r="L22" s="10">
        <f>Personnel!L20*(Assumptions!$F$129+Assumptions!$F$130+Assumptions!$F$131)*(1+Assumptions!$F$138)^(YEAR(L$3)-Assumptions!$F$9)</f>
        <v/>
      </c>
      <c r="M22" s="10">
        <f>Personnel!M20*(Assumptions!$F$129+Assumptions!$F$130+Assumptions!$F$131)*(1+Assumptions!$F$138)^(YEAR(M$3)-Assumptions!$F$9)</f>
        <v/>
      </c>
      <c r="N22" s="10">
        <f>Personnel!N20*(Assumptions!$F$129+Assumptions!$F$130+Assumptions!$F$131)*(1+Assumptions!$F$138)^(YEAR(N$3)-Assumptions!$F$9)</f>
        <v/>
      </c>
      <c r="O22" s="10">
        <f>Personnel!O20*(Assumptions!$F$129+Assumptions!$F$130+Assumptions!$F$131)*(1+Assumptions!$F$138)^(YEAR(O$3)-Assumptions!$F$9)</f>
        <v/>
      </c>
      <c r="P22" s="10">
        <f>Personnel!P20*(Assumptions!$F$129+Assumptions!$F$130+Assumptions!$F$131)*(1+Assumptions!$F$138)^(YEAR(P$3)-Assumptions!$F$9)</f>
        <v/>
      </c>
      <c r="Q22" s="10">
        <f>Personnel!Q20*(Assumptions!$F$129+Assumptions!$F$130+Assumptions!$F$131)*(1+Assumptions!$F$138)^(YEAR(Q$3)-Assumptions!$F$9)</f>
        <v/>
      </c>
      <c r="R22" s="10">
        <f>Personnel!R20*(Assumptions!$F$129+Assumptions!$F$130+Assumptions!$F$131)*(1+Assumptions!$F$138)^(YEAR(R$3)-Assumptions!$F$9)</f>
        <v/>
      </c>
      <c r="S22" s="10">
        <f>Personnel!S20*(Assumptions!$F$129+Assumptions!$F$130+Assumptions!$F$131)*(1+Assumptions!$F$138)^(YEAR(S$3)-Assumptions!$F$9)</f>
        <v/>
      </c>
      <c r="T22" s="10">
        <f>Personnel!T20*(Assumptions!$F$129+Assumptions!$F$130+Assumptions!$F$131)*(1+Assumptions!$F$138)^(YEAR(T$3)-Assumptions!$F$9)</f>
        <v/>
      </c>
      <c r="U22" s="10">
        <f>Personnel!U20*(Assumptions!$F$129+Assumptions!$F$130+Assumptions!$F$131)*(1+Assumptions!$F$138)^(YEAR(U$3)-Assumptions!$F$9)</f>
        <v/>
      </c>
      <c r="V22" s="10">
        <f>Personnel!V20*(Assumptions!$F$129+Assumptions!$F$130+Assumptions!$F$131)*(1+Assumptions!$F$138)^(YEAR(V$3)-Assumptions!$F$9)</f>
        <v/>
      </c>
      <c r="W22" s="10">
        <f>Personnel!W20*(Assumptions!$F$129+Assumptions!$F$130+Assumptions!$F$131)*(1+Assumptions!$F$138)^(YEAR(W$3)-Assumptions!$F$9)</f>
        <v/>
      </c>
      <c r="X22" s="10">
        <f>Personnel!X20*(Assumptions!$F$129+Assumptions!$F$130+Assumptions!$F$131)*(1+Assumptions!$F$138)^(YEAR(X$3)-Assumptions!$F$9)</f>
        <v/>
      </c>
      <c r="Y22" s="10">
        <f>Personnel!Y20*(Assumptions!$F$129+Assumptions!$F$130+Assumptions!$F$131)*(1+Assumptions!$F$138)^(YEAR(Y$3)-Assumptions!$F$9)</f>
        <v/>
      </c>
      <c r="Z22" s="10">
        <f>Personnel!Z20*(Assumptions!$F$129+Assumptions!$F$130+Assumptions!$F$131)*(1+Assumptions!$F$138)^(YEAR(Z$3)-Assumptions!$F$9)</f>
        <v/>
      </c>
      <c r="AA22" s="10">
        <f>Personnel!AA20*(Assumptions!$F$129+Assumptions!$F$130+Assumptions!$F$131)*(1+Assumptions!$F$138)^(YEAR(AA$3)-Assumptions!$F$9)</f>
        <v/>
      </c>
      <c r="AB22" s="10">
        <f>Personnel!AB20*(Assumptions!$F$129+Assumptions!$F$130+Assumptions!$F$131)*(1+Assumptions!$F$138)^(YEAR(AB$3)-Assumptions!$F$9)</f>
        <v/>
      </c>
      <c r="AC22" s="10">
        <f>Personnel!AC20*(Assumptions!$F$129+Assumptions!$F$130+Assumptions!$F$131)*(1+Assumptions!$F$138)^(YEAR(AC$3)-Assumptions!$F$9)</f>
        <v/>
      </c>
      <c r="AD22" s="10">
        <f>Personnel!AD20*(Assumptions!$F$129+Assumptions!$F$130+Assumptions!$F$131)*(1+Assumptions!$F$138)^(YEAR(AD$3)-Assumptions!$F$9)</f>
        <v/>
      </c>
      <c r="AE22" s="10">
        <f>Personnel!AE20*(Assumptions!$F$129+Assumptions!$F$130+Assumptions!$F$131)*(1+Assumptions!$F$138)^(YEAR(AE$3)-Assumptions!$F$9)</f>
        <v/>
      </c>
      <c r="AF22" s="10">
        <f>Personnel!AF20*(Assumptions!$F$129+Assumptions!$F$130+Assumptions!$F$131)*(1+Assumptions!$F$138)^(YEAR(AF$3)-Assumptions!$F$9)</f>
        <v/>
      </c>
      <c r="AG22" s="10">
        <f>Personnel!AG20*(Assumptions!$F$129+Assumptions!$F$130+Assumptions!$F$131)*(1+Assumptions!$F$138)^(YEAR(AG$3)-Assumptions!$F$9)</f>
        <v/>
      </c>
      <c r="AH22" s="10">
        <f>Personnel!AH20*(Assumptions!$F$129+Assumptions!$F$130+Assumptions!$F$131)*(1+Assumptions!$F$138)^(YEAR(AH$3)-Assumptions!$F$9)</f>
        <v/>
      </c>
      <c r="AI22" s="10">
        <f>Personnel!AI20*(Assumptions!$F$129+Assumptions!$F$130+Assumptions!$F$131)*(1+Assumptions!$F$138)^(YEAR(AI$3)-Assumptions!$F$9)</f>
        <v/>
      </c>
      <c r="AJ22" s="10">
        <f>Personnel!AJ20*(Assumptions!$F$129+Assumptions!$F$130+Assumptions!$F$131)*(1+Assumptions!$F$138)^(YEAR(AJ$3)-Assumptions!$F$9)</f>
        <v/>
      </c>
      <c r="AK22" s="10">
        <f>Personnel!AK20*(Assumptions!$F$129+Assumptions!$F$130+Assumptions!$F$131)*(1+Assumptions!$F$138)^(YEAR(AK$3)-Assumptions!$F$9)</f>
        <v/>
      </c>
      <c r="AL22" s="10">
        <f>Personnel!AL20*(Assumptions!$F$129+Assumptions!$F$130+Assumptions!$F$131)*(1+Assumptions!$F$138)^(YEAR(AL$3)-Assumptions!$F$9)</f>
        <v/>
      </c>
      <c r="AM22" s="10">
        <f>Personnel!AM20*(Assumptions!$F$129+Assumptions!$F$130+Assumptions!$F$131)*(1+Assumptions!$F$138)^(YEAR(AM$3)-Assumptions!$F$9)</f>
        <v/>
      </c>
      <c r="AN22" s="10">
        <f>Personnel!AN20*(Assumptions!$F$129+Assumptions!$F$130+Assumptions!$F$131)*(1+Assumptions!$F$138)^(YEAR(AN$3)-Assumptions!$F$9)</f>
        <v/>
      </c>
      <c r="AO22" s="10">
        <f>Personnel!AO20*(Assumptions!$F$129+Assumptions!$F$130+Assumptions!$F$131)*(1+Assumptions!$F$138)^(YEAR(AO$3)-Assumptions!$F$9)</f>
        <v/>
      </c>
      <c r="AP22" s="10">
        <f>Personnel!AP20*(Assumptions!$F$129+Assumptions!$F$130+Assumptions!$F$131)*(1+Assumptions!$F$138)^(YEAR(AP$3)-Assumptions!$F$9)</f>
        <v/>
      </c>
      <c r="AQ22" s="10">
        <f>Personnel!AQ20*(Assumptions!$F$129+Assumptions!$F$130+Assumptions!$F$131)*(1+Assumptions!$F$138)^(YEAR(AQ$3)-Assumptions!$F$9)</f>
        <v/>
      </c>
      <c r="AR22" s="10">
        <f>Personnel!AR20*(Assumptions!$F$129+Assumptions!$F$130+Assumptions!$F$131)*(1+Assumptions!$F$138)^(YEAR(AR$3)-Assumptions!$F$9)</f>
        <v/>
      </c>
      <c r="AS22" s="10">
        <f>Personnel!AS20*(Assumptions!$F$129+Assumptions!$F$130+Assumptions!$F$131)*(1+Assumptions!$F$138)^(YEAR(AS$3)-Assumptions!$F$9)</f>
        <v/>
      </c>
      <c r="AT22" s="10">
        <f>Personnel!AT20*(Assumptions!$F$129+Assumptions!$F$130+Assumptions!$F$131)*(1+Assumptions!$F$138)^(YEAR(AT$3)-Assumptions!$F$9)</f>
        <v/>
      </c>
      <c r="AU22" s="10">
        <f>Personnel!AU20*(Assumptions!$F$129+Assumptions!$F$130+Assumptions!$F$131)*(1+Assumptions!$F$138)^(YEAR(AU$3)-Assumptions!$F$9)</f>
        <v/>
      </c>
      <c r="AV22" s="10">
        <f>Personnel!AV20*(Assumptions!$F$129+Assumptions!$F$130+Assumptions!$F$131)*(1+Assumptions!$F$138)^(YEAR(AV$3)-Assumptions!$F$9)</f>
        <v/>
      </c>
      <c r="AW22" s="10">
        <f>Personnel!AW20*(Assumptions!$F$129+Assumptions!$F$130+Assumptions!$F$131)*(1+Assumptions!$F$138)^(YEAR(AW$3)-Assumptions!$F$9)</f>
        <v/>
      </c>
      <c r="AX22" s="10">
        <f>Personnel!AX20*(Assumptions!$F$129+Assumptions!$F$130+Assumptions!$F$131)*(1+Assumptions!$F$138)^(YEAR(AX$3)-Assumptions!$F$9)</f>
        <v/>
      </c>
      <c r="AY22" s="10">
        <f>Personnel!AY20*(Assumptions!$F$129+Assumptions!$F$130+Assumptions!$F$131)*(1+Assumptions!$F$138)^(YEAR(AY$3)-Assumptions!$F$9)</f>
        <v/>
      </c>
      <c r="AZ22" s="10">
        <f>Personnel!AZ20*(Assumptions!$F$129+Assumptions!$F$130+Assumptions!$F$131)*(1+Assumptions!$F$138)^(YEAR(AZ$3)-Assumptions!$F$9)</f>
        <v/>
      </c>
      <c r="BA22" s="10">
        <f>Personnel!BA20*(Assumptions!$F$129+Assumptions!$F$130+Assumptions!$F$131)*(1+Assumptions!$F$138)^(YEAR(BA$3)-Assumptions!$F$9)</f>
        <v/>
      </c>
      <c r="BB22" s="10">
        <f>Personnel!BB20*(Assumptions!$F$129+Assumptions!$F$130+Assumptions!$F$131)*(1+Assumptions!$F$138)^(YEAR(BB$3)-Assumptions!$F$9)</f>
        <v/>
      </c>
      <c r="BC22" s="10">
        <f>Personnel!BC20*(Assumptions!$F$129+Assumptions!$F$130+Assumptions!$F$131)*(1+Assumptions!$F$138)^(YEAR(BC$3)-Assumptions!$F$9)</f>
        <v/>
      </c>
      <c r="BD22" s="10">
        <f>Personnel!BD20*(Assumptions!$F$129+Assumptions!$F$130+Assumptions!$F$131)*(1+Assumptions!$F$138)^(YEAR(BD$3)-Assumptions!$F$9)</f>
        <v/>
      </c>
      <c r="BE22" s="10">
        <f>Personnel!BE20*(Assumptions!$F$129+Assumptions!$F$130+Assumptions!$F$131)*(1+Assumptions!$F$138)^(YEAR(BE$3)-Assumptions!$F$9)</f>
        <v/>
      </c>
      <c r="BF22" s="10">
        <f>Personnel!BF20*(Assumptions!$F$129+Assumptions!$F$130+Assumptions!$F$131)*(1+Assumptions!$F$138)^(YEAR(BF$3)-Assumptions!$F$9)</f>
        <v/>
      </c>
      <c r="BG22" s="10">
        <f>Personnel!BG20*(Assumptions!$F$129+Assumptions!$F$130+Assumptions!$F$131)*(1+Assumptions!$F$138)^(YEAR(BG$3)-Assumptions!$F$9)</f>
        <v/>
      </c>
      <c r="BH22" s="10">
        <f>Personnel!BH20*(Assumptions!$F$129+Assumptions!$F$130+Assumptions!$F$131)*(1+Assumptions!$F$138)^(YEAR(BH$3)-Assumptions!$F$9)</f>
        <v/>
      </c>
      <c r="BI22" s="10">
        <f>Personnel!BI20*(Assumptions!$F$129+Assumptions!$F$130+Assumptions!$F$131)*(1+Assumptions!$F$138)^(YEAR(BI$3)-Assumptions!$F$9)</f>
        <v/>
      </c>
      <c r="BJ22" s="10">
        <f>Personnel!BJ20*(Assumptions!$F$129+Assumptions!$F$130+Assumptions!$F$131)*(1+Assumptions!$F$138)^(YEAR(BJ$3)-Assumptions!$F$9)</f>
        <v/>
      </c>
      <c r="BK22" s="10">
        <f>Personnel!BK20*(Assumptions!$F$129+Assumptions!$F$130+Assumptions!$F$131)*(1+Assumptions!$F$138)^(YEAR(BK$3)-Assumptions!$F$9)</f>
        <v/>
      </c>
      <c r="BL22" s="10">
        <f>Personnel!BL20*(Assumptions!$F$129+Assumptions!$F$130+Assumptions!$F$131)*(1+Assumptions!$F$138)^(YEAR(BL$3)-Assumptions!$F$9)</f>
        <v/>
      </c>
      <c r="BN22" s="53">
        <f>SUM(E22:P22)</f>
        <v/>
      </c>
      <c r="BO22" s="53">
        <f>SUM(Q22:AB22)</f>
        <v/>
      </c>
      <c r="BP22" s="53">
        <f>SUM(AC22:AN22)</f>
        <v/>
      </c>
      <c r="BQ22" s="53">
        <f>SUM(AO22:AZ22)</f>
        <v/>
      </c>
      <c r="BR22" s="53">
        <f>SUM(BA22:BL22)</f>
        <v/>
      </c>
      <c r="BT22" s="28" t="inlineStr">
        <is>
          <t>scales with the number of people on the payroll, inflated like every other cost</t>
        </is>
      </c>
    </row>
    <row r="23">
      <c r="B23" s="6" t="inlineStr">
        <is>
          <t>Recruitment</t>
        </is>
      </c>
      <c r="C23" s="52" t="inlineStr">
        <is>
          <t>EUR</t>
        </is>
      </c>
      <c r="E23" s="10">
        <f>0</f>
        <v/>
      </c>
      <c r="F23" s="10">
        <f>MAX(0,Personnel!F20-Personnel!E20)*Assumptions!$F$132*(1+Assumptions!$F$138)^(YEAR(F$3)-Assumptions!$F$9)</f>
        <v/>
      </c>
      <c r="G23" s="10">
        <f>MAX(0,Personnel!G20-Personnel!F20)*Assumptions!$F$132*(1+Assumptions!$F$138)^(YEAR(G$3)-Assumptions!$F$9)</f>
        <v/>
      </c>
      <c r="H23" s="10">
        <f>MAX(0,Personnel!H20-Personnel!G20)*Assumptions!$F$132*(1+Assumptions!$F$138)^(YEAR(H$3)-Assumptions!$F$9)</f>
        <v/>
      </c>
      <c r="I23" s="10">
        <f>MAX(0,Personnel!I20-Personnel!H20)*Assumptions!$F$132*(1+Assumptions!$F$138)^(YEAR(I$3)-Assumptions!$F$9)</f>
        <v/>
      </c>
      <c r="J23" s="10">
        <f>MAX(0,Personnel!J20-Personnel!I20)*Assumptions!$F$132*(1+Assumptions!$F$138)^(YEAR(J$3)-Assumptions!$F$9)</f>
        <v/>
      </c>
      <c r="K23" s="10">
        <f>MAX(0,Personnel!K20-Personnel!J20)*Assumptions!$F$132*(1+Assumptions!$F$138)^(YEAR(K$3)-Assumptions!$F$9)</f>
        <v/>
      </c>
      <c r="L23" s="10">
        <f>MAX(0,Personnel!L20-Personnel!K20)*Assumptions!$F$132*(1+Assumptions!$F$138)^(YEAR(L$3)-Assumptions!$F$9)</f>
        <v/>
      </c>
      <c r="M23" s="10">
        <f>MAX(0,Personnel!M20-Personnel!L20)*Assumptions!$F$132*(1+Assumptions!$F$138)^(YEAR(M$3)-Assumptions!$F$9)</f>
        <v/>
      </c>
      <c r="N23" s="10">
        <f>MAX(0,Personnel!N20-Personnel!M20)*Assumptions!$F$132*(1+Assumptions!$F$138)^(YEAR(N$3)-Assumptions!$F$9)</f>
        <v/>
      </c>
      <c r="O23" s="10">
        <f>MAX(0,Personnel!O20-Personnel!N20)*Assumptions!$F$132*(1+Assumptions!$F$138)^(YEAR(O$3)-Assumptions!$F$9)</f>
        <v/>
      </c>
      <c r="P23" s="10">
        <f>MAX(0,Personnel!P20-Personnel!O20)*Assumptions!$F$132*(1+Assumptions!$F$138)^(YEAR(P$3)-Assumptions!$F$9)</f>
        <v/>
      </c>
      <c r="Q23" s="10">
        <f>MAX(0,Personnel!Q20-Personnel!P20)*Assumptions!$F$132*(1+Assumptions!$F$138)^(YEAR(Q$3)-Assumptions!$F$9)</f>
        <v/>
      </c>
      <c r="R23" s="10">
        <f>MAX(0,Personnel!R20-Personnel!Q20)*Assumptions!$F$132*(1+Assumptions!$F$138)^(YEAR(R$3)-Assumptions!$F$9)</f>
        <v/>
      </c>
      <c r="S23" s="10">
        <f>MAX(0,Personnel!S20-Personnel!R20)*Assumptions!$F$132*(1+Assumptions!$F$138)^(YEAR(S$3)-Assumptions!$F$9)</f>
        <v/>
      </c>
      <c r="T23" s="10">
        <f>MAX(0,Personnel!T20-Personnel!S20)*Assumptions!$F$132*(1+Assumptions!$F$138)^(YEAR(T$3)-Assumptions!$F$9)</f>
        <v/>
      </c>
      <c r="U23" s="10">
        <f>MAX(0,Personnel!U20-Personnel!T20)*Assumptions!$F$132*(1+Assumptions!$F$138)^(YEAR(U$3)-Assumptions!$F$9)</f>
        <v/>
      </c>
      <c r="V23" s="10">
        <f>MAX(0,Personnel!V20-Personnel!U20)*Assumptions!$F$132*(1+Assumptions!$F$138)^(YEAR(V$3)-Assumptions!$F$9)</f>
        <v/>
      </c>
      <c r="W23" s="10">
        <f>MAX(0,Personnel!W20-Personnel!V20)*Assumptions!$F$132*(1+Assumptions!$F$138)^(YEAR(W$3)-Assumptions!$F$9)</f>
        <v/>
      </c>
      <c r="X23" s="10">
        <f>MAX(0,Personnel!X20-Personnel!W20)*Assumptions!$F$132*(1+Assumptions!$F$138)^(YEAR(X$3)-Assumptions!$F$9)</f>
        <v/>
      </c>
      <c r="Y23" s="10">
        <f>MAX(0,Personnel!Y20-Personnel!X20)*Assumptions!$F$132*(1+Assumptions!$F$138)^(YEAR(Y$3)-Assumptions!$F$9)</f>
        <v/>
      </c>
      <c r="Z23" s="10">
        <f>MAX(0,Personnel!Z20-Personnel!Y20)*Assumptions!$F$132*(1+Assumptions!$F$138)^(YEAR(Z$3)-Assumptions!$F$9)</f>
        <v/>
      </c>
      <c r="AA23" s="10">
        <f>MAX(0,Personnel!AA20-Personnel!Z20)*Assumptions!$F$132*(1+Assumptions!$F$138)^(YEAR(AA$3)-Assumptions!$F$9)</f>
        <v/>
      </c>
      <c r="AB23" s="10">
        <f>MAX(0,Personnel!AB20-Personnel!AA20)*Assumptions!$F$132*(1+Assumptions!$F$138)^(YEAR(AB$3)-Assumptions!$F$9)</f>
        <v/>
      </c>
      <c r="AC23" s="10">
        <f>MAX(0,Personnel!AC20-Personnel!AB20)*Assumptions!$F$132*(1+Assumptions!$F$138)^(YEAR(AC$3)-Assumptions!$F$9)</f>
        <v/>
      </c>
      <c r="AD23" s="10">
        <f>MAX(0,Personnel!AD20-Personnel!AC20)*Assumptions!$F$132*(1+Assumptions!$F$138)^(YEAR(AD$3)-Assumptions!$F$9)</f>
        <v/>
      </c>
      <c r="AE23" s="10">
        <f>MAX(0,Personnel!AE20-Personnel!AD20)*Assumptions!$F$132*(1+Assumptions!$F$138)^(YEAR(AE$3)-Assumptions!$F$9)</f>
        <v/>
      </c>
      <c r="AF23" s="10">
        <f>MAX(0,Personnel!AF20-Personnel!AE20)*Assumptions!$F$132*(1+Assumptions!$F$138)^(YEAR(AF$3)-Assumptions!$F$9)</f>
        <v/>
      </c>
      <c r="AG23" s="10">
        <f>MAX(0,Personnel!AG20-Personnel!AF20)*Assumptions!$F$132*(1+Assumptions!$F$138)^(YEAR(AG$3)-Assumptions!$F$9)</f>
        <v/>
      </c>
      <c r="AH23" s="10">
        <f>MAX(0,Personnel!AH20-Personnel!AG20)*Assumptions!$F$132*(1+Assumptions!$F$138)^(YEAR(AH$3)-Assumptions!$F$9)</f>
        <v/>
      </c>
      <c r="AI23" s="10">
        <f>MAX(0,Personnel!AI20-Personnel!AH20)*Assumptions!$F$132*(1+Assumptions!$F$138)^(YEAR(AI$3)-Assumptions!$F$9)</f>
        <v/>
      </c>
      <c r="AJ23" s="10">
        <f>MAX(0,Personnel!AJ20-Personnel!AI20)*Assumptions!$F$132*(1+Assumptions!$F$138)^(YEAR(AJ$3)-Assumptions!$F$9)</f>
        <v/>
      </c>
      <c r="AK23" s="10">
        <f>MAX(0,Personnel!AK20-Personnel!AJ20)*Assumptions!$F$132*(1+Assumptions!$F$138)^(YEAR(AK$3)-Assumptions!$F$9)</f>
        <v/>
      </c>
      <c r="AL23" s="10">
        <f>MAX(0,Personnel!AL20-Personnel!AK20)*Assumptions!$F$132*(1+Assumptions!$F$138)^(YEAR(AL$3)-Assumptions!$F$9)</f>
        <v/>
      </c>
      <c r="AM23" s="10">
        <f>MAX(0,Personnel!AM20-Personnel!AL20)*Assumptions!$F$132*(1+Assumptions!$F$138)^(YEAR(AM$3)-Assumptions!$F$9)</f>
        <v/>
      </c>
      <c r="AN23" s="10">
        <f>MAX(0,Personnel!AN20-Personnel!AM20)*Assumptions!$F$132*(1+Assumptions!$F$138)^(YEAR(AN$3)-Assumptions!$F$9)</f>
        <v/>
      </c>
      <c r="AO23" s="10">
        <f>MAX(0,Personnel!AO20-Personnel!AN20)*Assumptions!$F$132*(1+Assumptions!$F$138)^(YEAR(AO$3)-Assumptions!$F$9)</f>
        <v/>
      </c>
      <c r="AP23" s="10">
        <f>MAX(0,Personnel!AP20-Personnel!AO20)*Assumptions!$F$132*(1+Assumptions!$F$138)^(YEAR(AP$3)-Assumptions!$F$9)</f>
        <v/>
      </c>
      <c r="AQ23" s="10">
        <f>MAX(0,Personnel!AQ20-Personnel!AP20)*Assumptions!$F$132*(1+Assumptions!$F$138)^(YEAR(AQ$3)-Assumptions!$F$9)</f>
        <v/>
      </c>
      <c r="AR23" s="10">
        <f>MAX(0,Personnel!AR20-Personnel!AQ20)*Assumptions!$F$132*(1+Assumptions!$F$138)^(YEAR(AR$3)-Assumptions!$F$9)</f>
        <v/>
      </c>
      <c r="AS23" s="10">
        <f>MAX(0,Personnel!AS20-Personnel!AR20)*Assumptions!$F$132*(1+Assumptions!$F$138)^(YEAR(AS$3)-Assumptions!$F$9)</f>
        <v/>
      </c>
      <c r="AT23" s="10">
        <f>MAX(0,Personnel!AT20-Personnel!AS20)*Assumptions!$F$132*(1+Assumptions!$F$138)^(YEAR(AT$3)-Assumptions!$F$9)</f>
        <v/>
      </c>
      <c r="AU23" s="10">
        <f>MAX(0,Personnel!AU20-Personnel!AT20)*Assumptions!$F$132*(1+Assumptions!$F$138)^(YEAR(AU$3)-Assumptions!$F$9)</f>
        <v/>
      </c>
      <c r="AV23" s="10">
        <f>MAX(0,Personnel!AV20-Personnel!AU20)*Assumptions!$F$132*(1+Assumptions!$F$138)^(YEAR(AV$3)-Assumptions!$F$9)</f>
        <v/>
      </c>
      <c r="AW23" s="10">
        <f>MAX(0,Personnel!AW20-Personnel!AV20)*Assumptions!$F$132*(1+Assumptions!$F$138)^(YEAR(AW$3)-Assumptions!$F$9)</f>
        <v/>
      </c>
      <c r="AX23" s="10">
        <f>MAX(0,Personnel!AX20-Personnel!AW20)*Assumptions!$F$132*(1+Assumptions!$F$138)^(YEAR(AX$3)-Assumptions!$F$9)</f>
        <v/>
      </c>
      <c r="AY23" s="10">
        <f>MAX(0,Personnel!AY20-Personnel!AX20)*Assumptions!$F$132*(1+Assumptions!$F$138)^(YEAR(AY$3)-Assumptions!$F$9)</f>
        <v/>
      </c>
      <c r="AZ23" s="10">
        <f>MAX(0,Personnel!AZ20-Personnel!AY20)*Assumptions!$F$132*(1+Assumptions!$F$138)^(YEAR(AZ$3)-Assumptions!$F$9)</f>
        <v/>
      </c>
      <c r="BA23" s="10">
        <f>MAX(0,Personnel!BA20-Personnel!AZ20)*Assumptions!$F$132*(1+Assumptions!$F$138)^(YEAR(BA$3)-Assumptions!$F$9)</f>
        <v/>
      </c>
      <c r="BB23" s="10">
        <f>MAX(0,Personnel!BB20-Personnel!BA20)*Assumptions!$F$132*(1+Assumptions!$F$138)^(YEAR(BB$3)-Assumptions!$F$9)</f>
        <v/>
      </c>
      <c r="BC23" s="10">
        <f>MAX(0,Personnel!BC20-Personnel!BB20)*Assumptions!$F$132*(1+Assumptions!$F$138)^(YEAR(BC$3)-Assumptions!$F$9)</f>
        <v/>
      </c>
      <c r="BD23" s="10">
        <f>MAX(0,Personnel!BD20-Personnel!BC20)*Assumptions!$F$132*(1+Assumptions!$F$138)^(YEAR(BD$3)-Assumptions!$F$9)</f>
        <v/>
      </c>
      <c r="BE23" s="10">
        <f>MAX(0,Personnel!BE20-Personnel!BD20)*Assumptions!$F$132*(1+Assumptions!$F$138)^(YEAR(BE$3)-Assumptions!$F$9)</f>
        <v/>
      </c>
      <c r="BF23" s="10">
        <f>MAX(0,Personnel!BF20-Personnel!BE20)*Assumptions!$F$132*(1+Assumptions!$F$138)^(YEAR(BF$3)-Assumptions!$F$9)</f>
        <v/>
      </c>
      <c r="BG23" s="10">
        <f>MAX(0,Personnel!BG20-Personnel!BF20)*Assumptions!$F$132*(1+Assumptions!$F$138)^(YEAR(BG$3)-Assumptions!$F$9)</f>
        <v/>
      </c>
      <c r="BH23" s="10">
        <f>MAX(0,Personnel!BH20-Personnel!BG20)*Assumptions!$F$132*(1+Assumptions!$F$138)^(YEAR(BH$3)-Assumptions!$F$9)</f>
        <v/>
      </c>
      <c r="BI23" s="10">
        <f>MAX(0,Personnel!BI20-Personnel!BH20)*Assumptions!$F$132*(1+Assumptions!$F$138)^(YEAR(BI$3)-Assumptions!$F$9)</f>
        <v/>
      </c>
      <c r="BJ23" s="10">
        <f>MAX(0,Personnel!BJ20-Personnel!BI20)*Assumptions!$F$132*(1+Assumptions!$F$138)^(YEAR(BJ$3)-Assumptions!$F$9)</f>
        <v/>
      </c>
      <c r="BK23" s="10">
        <f>MAX(0,Personnel!BK20-Personnel!BJ20)*Assumptions!$F$132*(1+Assumptions!$F$138)^(YEAR(BK$3)-Assumptions!$F$9)</f>
        <v/>
      </c>
      <c r="BL23" s="10">
        <f>MAX(0,Personnel!BL20-Personnel!BK20)*Assumptions!$F$132*(1+Assumptions!$F$138)^(YEAR(BL$3)-Assumptions!$F$9)</f>
        <v/>
      </c>
      <c r="BN23" s="53">
        <f>SUM(E23:P23)</f>
        <v/>
      </c>
      <c r="BO23" s="53">
        <f>SUM(Q23:AB23)</f>
        <v/>
      </c>
      <c r="BP23" s="53">
        <f>SUM(AC23:AN23)</f>
        <v/>
      </c>
      <c r="BQ23" s="53">
        <f>SUM(AO23:AZ23)</f>
        <v/>
      </c>
      <c r="BR23" s="53">
        <f>SUM(BA23:BL23)</f>
        <v/>
      </c>
    </row>
    <row r="24">
      <c r="B24" s="6" t="inlineStr">
        <is>
          <t>Production line facility and maintenance</t>
        </is>
      </c>
      <c r="C24" s="52"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28" t="inlineStr">
        <is>
          <t>only once a line is actually producing</t>
        </is>
      </c>
    </row>
    <row r="25">
      <c r="B25" s="6" t="inlineStr">
        <is>
          <t>Finance and legal</t>
        </is>
      </c>
      <c r="C25" s="52" t="inlineStr">
        <is>
          <t>EUR</t>
        </is>
      </c>
      <c r="E25" s="10">
        <f>Assumptions!$F$134*(1+Assumptions!$F$138)^(YEAR(E$3)-Assumptions!$F$9)</f>
        <v/>
      </c>
      <c r="F25" s="10">
        <f>Assumptions!$F$134*(1+Assumptions!$F$138)^(YEAR(F$3)-Assumptions!$F$9)</f>
        <v/>
      </c>
      <c r="G25" s="10">
        <f>Assumptions!$F$134*(1+Assumptions!$F$138)^(YEAR(G$3)-Assumptions!$F$9)</f>
        <v/>
      </c>
      <c r="H25" s="10">
        <f>Assumptions!$F$134*(1+Assumptions!$F$138)^(YEAR(H$3)-Assumptions!$F$9)</f>
        <v/>
      </c>
      <c r="I25" s="10">
        <f>Assumptions!$F$134*(1+Assumptions!$F$138)^(YEAR(I$3)-Assumptions!$F$9)</f>
        <v/>
      </c>
      <c r="J25" s="10">
        <f>Assumptions!$F$134*(1+Assumptions!$F$138)^(YEAR(J$3)-Assumptions!$F$9)</f>
        <v/>
      </c>
      <c r="K25" s="10">
        <f>Assumptions!$F$134*(1+Assumptions!$F$138)^(YEAR(K$3)-Assumptions!$F$9)</f>
        <v/>
      </c>
      <c r="L25" s="10">
        <f>Assumptions!$F$134*(1+Assumptions!$F$138)^(YEAR(L$3)-Assumptions!$F$9)</f>
        <v/>
      </c>
      <c r="M25" s="10">
        <f>Assumptions!$F$134*(1+Assumptions!$F$138)^(YEAR(M$3)-Assumptions!$F$9)</f>
        <v/>
      </c>
      <c r="N25" s="10">
        <f>Assumptions!$F$134*(1+Assumptions!$F$138)^(YEAR(N$3)-Assumptions!$F$9)</f>
        <v/>
      </c>
      <c r="O25" s="10">
        <f>Assumptions!$F$134*(1+Assumptions!$F$138)^(YEAR(O$3)-Assumptions!$F$9)</f>
        <v/>
      </c>
      <c r="P25" s="10">
        <f>Assumptions!$F$134*(1+Assumptions!$F$138)^(YEAR(P$3)-Assumptions!$F$9)</f>
        <v/>
      </c>
      <c r="Q25" s="10">
        <f>Assumptions!$F$134*(1+Assumptions!$F$138)^(YEAR(Q$3)-Assumptions!$F$9)</f>
        <v/>
      </c>
      <c r="R25" s="10">
        <f>Assumptions!$F$134*(1+Assumptions!$F$138)^(YEAR(R$3)-Assumptions!$F$9)</f>
        <v/>
      </c>
      <c r="S25" s="10">
        <f>Assumptions!$F$134*(1+Assumptions!$F$138)^(YEAR(S$3)-Assumptions!$F$9)</f>
        <v/>
      </c>
      <c r="T25" s="10">
        <f>Assumptions!$F$134*(1+Assumptions!$F$138)^(YEAR(T$3)-Assumptions!$F$9)</f>
        <v/>
      </c>
      <c r="U25" s="10">
        <f>Assumptions!$F$134*(1+Assumptions!$F$138)^(YEAR(U$3)-Assumptions!$F$9)</f>
        <v/>
      </c>
      <c r="V25" s="10">
        <f>Assumptions!$F$134*(1+Assumptions!$F$138)^(YEAR(V$3)-Assumptions!$F$9)</f>
        <v/>
      </c>
      <c r="W25" s="10">
        <f>Assumptions!$F$134*(1+Assumptions!$F$138)^(YEAR(W$3)-Assumptions!$F$9)</f>
        <v/>
      </c>
      <c r="X25" s="10">
        <f>Assumptions!$F$134*(1+Assumptions!$F$138)^(YEAR(X$3)-Assumptions!$F$9)</f>
        <v/>
      </c>
      <c r="Y25" s="10">
        <f>Assumptions!$F$134*(1+Assumptions!$F$138)^(YEAR(Y$3)-Assumptions!$F$9)</f>
        <v/>
      </c>
      <c r="Z25" s="10">
        <f>Assumptions!$F$134*(1+Assumptions!$F$138)^(YEAR(Z$3)-Assumptions!$F$9)</f>
        <v/>
      </c>
      <c r="AA25" s="10">
        <f>Assumptions!$F$134*(1+Assumptions!$F$138)^(YEAR(AA$3)-Assumptions!$F$9)</f>
        <v/>
      </c>
      <c r="AB25" s="10">
        <f>Assumptions!$F$134*(1+Assumptions!$F$138)^(YEAR(AB$3)-Assumptions!$F$9)</f>
        <v/>
      </c>
      <c r="AC25" s="10">
        <f>Assumptions!$F$134*(1+Assumptions!$F$138)^(YEAR(AC$3)-Assumptions!$F$9)</f>
        <v/>
      </c>
      <c r="AD25" s="10">
        <f>Assumptions!$F$134*(1+Assumptions!$F$138)^(YEAR(AD$3)-Assumptions!$F$9)</f>
        <v/>
      </c>
      <c r="AE25" s="10">
        <f>Assumptions!$F$134*(1+Assumptions!$F$138)^(YEAR(AE$3)-Assumptions!$F$9)</f>
        <v/>
      </c>
      <c r="AF25" s="10">
        <f>Assumptions!$F$134*(1+Assumptions!$F$138)^(YEAR(AF$3)-Assumptions!$F$9)</f>
        <v/>
      </c>
      <c r="AG25" s="10">
        <f>Assumptions!$F$134*(1+Assumptions!$F$138)^(YEAR(AG$3)-Assumptions!$F$9)</f>
        <v/>
      </c>
      <c r="AH25" s="10">
        <f>Assumptions!$F$134*(1+Assumptions!$F$138)^(YEAR(AH$3)-Assumptions!$F$9)</f>
        <v/>
      </c>
      <c r="AI25" s="10">
        <f>Assumptions!$F$134*(1+Assumptions!$F$138)^(YEAR(AI$3)-Assumptions!$F$9)</f>
        <v/>
      </c>
      <c r="AJ25" s="10">
        <f>Assumptions!$F$134*(1+Assumptions!$F$138)^(YEAR(AJ$3)-Assumptions!$F$9)</f>
        <v/>
      </c>
      <c r="AK25" s="10">
        <f>Assumptions!$F$134*(1+Assumptions!$F$138)^(YEAR(AK$3)-Assumptions!$F$9)</f>
        <v/>
      </c>
      <c r="AL25" s="10">
        <f>Assumptions!$F$134*(1+Assumptions!$F$138)^(YEAR(AL$3)-Assumptions!$F$9)</f>
        <v/>
      </c>
      <c r="AM25" s="10">
        <f>Assumptions!$F$134*(1+Assumptions!$F$138)^(YEAR(AM$3)-Assumptions!$F$9)</f>
        <v/>
      </c>
      <c r="AN25" s="10">
        <f>Assumptions!$F$134*(1+Assumptions!$F$138)^(YEAR(AN$3)-Assumptions!$F$9)</f>
        <v/>
      </c>
      <c r="AO25" s="10">
        <f>Assumptions!$F$134*(1+Assumptions!$F$138)^(YEAR(AO$3)-Assumptions!$F$9)</f>
        <v/>
      </c>
      <c r="AP25" s="10">
        <f>Assumptions!$F$134*(1+Assumptions!$F$138)^(YEAR(AP$3)-Assumptions!$F$9)</f>
        <v/>
      </c>
      <c r="AQ25" s="10">
        <f>Assumptions!$F$134*(1+Assumptions!$F$138)^(YEAR(AQ$3)-Assumptions!$F$9)</f>
        <v/>
      </c>
      <c r="AR25" s="10">
        <f>Assumptions!$F$134*(1+Assumptions!$F$138)^(YEAR(AR$3)-Assumptions!$F$9)</f>
        <v/>
      </c>
      <c r="AS25" s="10">
        <f>Assumptions!$F$134*(1+Assumptions!$F$138)^(YEAR(AS$3)-Assumptions!$F$9)</f>
        <v/>
      </c>
      <c r="AT25" s="10">
        <f>Assumptions!$F$134*(1+Assumptions!$F$138)^(YEAR(AT$3)-Assumptions!$F$9)</f>
        <v/>
      </c>
      <c r="AU25" s="10">
        <f>Assumptions!$F$134*(1+Assumptions!$F$138)^(YEAR(AU$3)-Assumptions!$F$9)</f>
        <v/>
      </c>
      <c r="AV25" s="10">
        <f>Assumptions!$F$134*(1+Assumptions!$F$138)^(YEAR(AV$3)-Assumptions!$F$9)</f>
        <v/>
      </c>
      <c r="AW25" s="10">
        <f>Assumptions!$F$134*(1+Assumptions!$F$138)^(YEAR(AW$3)-Assumptions!$F$9)</f>
        <v/>
      </c>
      <c r="AX25" s="10">
        <f>Assumptions!$F$134*(1+Assumptions!$F$138)^(YEAR(AX$3)-Assumptions!$F$9)</f>
        <v/>
      </c>
      <c r="AY25" s="10">
        <f>Assumptions!$F$134*(1+Assumptions!$F$138)^(YEAR(AY$3)-Assumptions!$F$9)</f>
        <v/>
      </c>
      <c r="AZ25" s="10">
        <f>Assumptions!$F$134*(1+Assumptions!$F$138)^(YEAR(AZ$3)-Assumptions!$F$9)</f>
        <v/>
      </c>
      <c r="BA25" s="10">
        <f>Assumptions!$F$134*(1+Assumptions!$F$138)^(YEAR(BA$3)-Assumptions!$F$9)</f>
        <v/>
      </c>
      <c r="BB25" s="10">
        <f>Assumptions!$F$134*(1+Assumptions!$F$138)^(YEAR(BB$3)-Assumptions!$F$9)</f>
        <v/>
      </c>
      <c r="BC25" s="10">
        <f>Assumptions!$F$134*(1+Assumptions!$F$138)^(YEAR(BC$3)-Assumptions!$F$9)</f>
        <v/>
      </c>
      <c r="BD25" s="10">
        <f>Assumptions!$F$134*(1+Assumptions!$F$138)^(YEAR(BD$3)-Assumptions!$F$9)</f>
        <v/>
      </c>
      <c r="BE25" s="10">
        <f>Assumptions!$F$134*(1+Assumptions!$F$138)^(YEAR(BE$3)-Assumptions!$F$9)</f>
        <v/>
      </c>
      <c r="BF25" s="10">
        <f>Assumptions!$F$134*(1+Assumptions!$F$138)^(YEAR(BF$3)-Assumptions!$F$9)</f>
        <v/>
      </c>
      <c r="BG25" s="10">
        <f>Assumptions!$F$134*(1+Assumptions!$F$138)^(YEAR(BG$3)-Assumptions!$F$9)</f>
        <v/>
      </c>
      <c r="BH25" s="10">
        <f>Assumptions!$F$134*(1+Assumptions!$F$138)^(YEAR(BH$3)-Assumptions!$F$9)</f>
        <v/>
      </c>
      <c r="BI25" s="10">
        <f>Assumptions!$F$134*(1+Assumptions!$F$138)^(YEAR(BI$3)-Assumptions!$F$9)</f>
        <v/>
      </c>
      <c r="BJ25" s="10">
        <f>Assumptions!$F$134*(1+Assumptions!$F$138)^(YEAR(BJ$3)-Assumptions!$F$9)</f>
        <v/>
      </c>
      <c r="BK25" s="10">
        <f>Assumptions!$F$134*(1+Assumptions!$F$138)^(YEAR(BK$3)-Assumptions!$F$9)</f>
        <v/>
      </c>
      <c r="BL25" s="10">
        <f>Assumptions!$F$134*(1+Assumptions!$F$138)^(YEAR(BL$3)-Assumptions!$F$9)</f>
        <v/>
      </c>
      <c r="BN25" s="53">
        <f>SUM(E25:P25)</f>
        <v/>
      </c>
      <c r="BO25" s="53">
        <f>SUM(Q25:AB25)</f>
        <v/>
      </c>
      <c r="BP25" s="53">
        <f>SUM(AC25:AN25)</f>
        <v/>
      </c>
      <c r="BQ25" s="53">
        <f>SUM(AO25:AZ25)</f>
        <v/>
      </c>
      <c r="BR25" s="53">
        <f>SUM(BA25:BL25)</f>
        <v/>
      </c>
    </row>
    <row r="26">
      <c r="B26" s="6" t="inlineStr">
        <is>
          <t>Other general</t>
        </is>
      </c>
      <c r="C26" s="52" t="inlineStr">
        <is>
          <t>EUR</t>
        </is>
      </c>
      <c r="E26" s="10">
        <f>Assumptions!$F$135*(1+Assumptions!$F$138)^(YEAR(E$3)-Assumptions!$F$9)</f>
        <v/>
      </c>
      <c r="F26" s="10">
        <f>Assumptions!$F$135*(1+Assumptions!$F$138)^(YEAR(F$3)-Assumptions!$F$9)</f>
        <v/>
      </c>
      <c r="G26" s="10">
        <f>Assumptions!$F$135*(1+Assumptions!$F$138)^(YEAR(G$3)-Assumptions!$F$9)</f>
        <v/>
      </c>
      <c r="H26" s="10">
        <f>Assumptions!$F$135*(1+Assumptions!$F$138)^(YEAR(H$3)-Assumptions!$F$9)</f>
        <v/>
      </c>
      <c r="I26" s="10">
        <f>Assumptions!$F$135*(1+Assumptions!$F$138)^(YEAR(I$3)-Assumptions!$F$9)</f>
        <v/>
      </c>
      <c r="J26" s="10">
        <f>Assumptions!$F$135*(1+Assumptions!$F$138)^(YEAR(J$3)-Assumptions!$F$9)</f>
        <v/>
      </c>
      <c r="K26" s="10">
        <f>Assumptions!$F$135*(1+Assumptions!$F$138)^(YEAR(K$3)-Assumptions!$F$9)</f>
        <v/>
      </c>
      <c r="L26" s="10">
        <f>Assumptions!$F$135*(1+Assumptions!$F$138)^(YEAR(L$3)-Assumptions!$F$9)</f>
        <v/>
      </c>
      <c r="M26" s="10">
        <f>Assumptions!$F$135*(1+Assumptions!$F$138)^(YEAR(M$3)-Assumptions!$F$9)</f>
        <v/>
      </c>
      <c r="N26" s="10">
        <f>Assumptions!$F$135*(1+Assumptions!$F$138)^(YEAR(N$3)-Assumptions!$F$9)</f>
        <v/>
      </c>
      <c r="O26" s="10">
        <f>Assumptions!$F$135*(1+Assumptions!$F$138)^(YEAR(O$3)-Assumptions!$F$9)</f>
        <v/>
      </c>
      <c r="P26" s="10">
        <f>Assumptions!$F$135*(1+Assumptions!$F$138)^(YEAR(P$3)-Assumptions!$F$9)</f>
        <v/>
      </c>
      <c r="Q26" s="10">
        <f>Assumptions!$F$135*(1+Assumptions!$F$138)^(YEAR(Q$3)-Assumptions!$F$9)</f>
        <v/>
      </c>
      <c r="R26" s="10">
        <f>Assumptions!$F$135*(1+Assumptions!$F$138)^(YEAR(R$3)-Assumptions!$F$9)</f>
        <v/>
      </c>
      <c r="S26" s="10">
        <f>Assumptions!$F$135*(1+Assumptions!$F$138)^(YEAR(S$3)-Assumptions!$F$9)</f>
        <v/>
      </c>
      <c r="T26" s="10">
        <f>Assumptions!$F$135*(1+Assumptions!$F$138)^(YEAR(T$3)-Assumptions!$F$9)</f>
        <v/>
      </c>
      <c r="U26" s="10">
        <f>Assumptions!$F$135*(1+Assumptions!$F$138)^(YEAR(U$3)-Assumptions!$F$9)</f>
        <v/>
      </c>
      <c r="V26" s="10">
        <f>Assumptions!$F$135*(1+Assumptions!$F$138)^(YEAR(V$3)-Assumptions!$F$9)</f>
        <v/>
      </c>
      <c r="W26" s="10">
        <f>Assumptions!$F$135*(1+Assumptions!$F$138)^(YEAR(W$3)-Assumptions!$F$9)</f>
        <v/>
      </c>
      <c r="X26" s="10">
        <f>Assumptions!$F$135*(1+Assumptions!$F$138)^(YEAR(X$3)-Assumptions!$F$9)</f>
        <v/>
      </c>
      <c r="Y26" s="10">
        <f>Assumptions!$F$135*(1+Assumptions!$F$138)^(YEAR(Y$3)-Assumptions!$F$9)</f>
        <v/>
      </c>
      <c r="Z26" s="10">
        <f>Assumptions!$F$135*(1+Assumptions!$F$138)^(YEAR(Z$3)-Assumptions!$F$9)</f>
        <v/>
      </c>
      <c r="AA26" s="10">
        <f>Assumptions!$F$135*(1+Assumptions!$F$138)^(YEAR(AA$3)-Assumptions!$F$9)</f>
        <v/>
      </c>
      <c r="AB26" s="10">
        <f>Assumptions!$F$135*(1+Assumptions!$F$138)^(YEAR(AB$3)-Assumptions!$F$9)</f>
        <v/>
      </c>
      <c r="AC26" s="10">
        <f>Assumptions!$F$135*(1+Assumptions!$F$138)^(YEAR(AC$3)-Assumptions!$F$9)</f>
        <v/>
      </c>
      <c r="AD26" s="10">
        <f>Assumptions!$F$135*(1+Assumptions!$F$138)^(YEAR(AD$3)-Assumptions!$F$9)</f>
        <v/>
      </c>
      <c r="AE26" s="10">
        <f>Assumptions!$F$135*(1+Assumptions!$F$138)^(YEAR(AE$3)-Assumptions!$F$9)</f>
        <v/>
      </c>
      <c r="AF26" s="10">
        <f>Assumptions!$F$135*(1+Assumptions!$F$138)^(YEAR(AF$3)-Assumptions!$F$9)</f>
        <v/>
      </c>
      <c r="AG26" s="10">
        <f>Assumptions!$F$135*(1+Assumptions!$F$138)^(YEAR(AG$3)-Assumptions!$F$9)</f>
        <v/>
      </c>
      <c r="AH26" s="10">
        <f>Assumptions!$F$135*(1+Assumptions!$F$138)^(YEAR(AH$3)-Assumptions!$F$9)</f>
        <v/>
      </c>
      <c r="AI26" s="10">
        <f>Assumptions!$F$135*(1+Assumptions!$F$138)^(YEAR(AI$3)-Assumptions!$F$9)</f>
        <v/>
      </c>
      <c r="AJ26" s="10">
        <f>Assumptions!$F$135*(1+Assumptions!$F$138)^(YEAR(AJ$3)-Assumptions!$F$9)</f>
        <v/>
      </c>
      <c r="AK26" s="10">
        <f>Assumptions!$F$135*(1+Assumptions!$F$138)^(YEAR(AK$3)-Assumptions!$F$9)</f>
        <v/>
      </c>
      <c r="AL26" s="10">
        <f>Assumptions!$F$135*(1+Assumptions!$F$138)^(YEAR(AL$3)-Assumptions!$F$9)</f>
        <v/>
      </c>
      <c r="AM26" s="10">
        <f>Assumptions!$F$135*(1+Assumptions!$F$138)^(YEAR(AM$3)-Assumptions!$F$9)</f>
        <v/>
      </c>
      <c r="AN26" s="10">
        <f>Assumptions!$F$135*(1+Assumptions!$F$138)^(YEAR(AN$3)-Assumptions!$F$9)</f>
        <v/>
      </c>
      <c r="AO26" s="10">
        <f>Assumptions!$F$135*(1+Assumptions!$F$138)^(YEAR(AO$3)-Assumptions!$F$9)</f>
        <v/>
      </c>
      <c r="AP26" s="10">
        <f>Assumptions!$F$135*(1+Assumptions!$F$138)^(YEAR(AP$3)-Assumptions!$F$9)</f>
        <v/>
      </c>
      <c r="AQ26" s="10">
        <f>Assumptions!$F$135*(1+Assumptions!$F$138)^(YEAR(AQ$3)-Assumptions!$F$9)</f>
        <v/>
      </c>
      <c r="AR26" s="10">
        <f>Assumptions!$F$135*(1+Assumptions!$F$138)^(YEAR(AR$3)-Assumptions!$F$9)</f>
        <v/>
      </c>
      <c r="AS26" s="10">
        <f>Assumptions!$F$135*(1+Assumptions!$F$138)^(YEAR(AS$3)-Assumptions!$F$9)</f>
        <v/>
      </c>
      <c r="AT26" s="10">
        <f>Assumptions!$F$135*(1+Assumptions!$F$138)^(YEAR(AT$3)-Assumptions!$F$9)</f>
        <v/>
      </c>
      <c r="AU26" s="10">
        <f>Assumptions!$F$135*(1+Assumptions!$F$138)^(YEAR(AU$3)-Assumptions!$F$9)</f>
        <v/>
      </c>
      <c r="AV26" s="10">
        <f>Assumptions!$F$135*(1+Assumptions!$F$138)^(YEAR(AV$3)-Assumptions!$F$9)</f>
        <v/>
      </c>
      <c r="AW26" s="10">
        <f>Assumptions!$F$135*(1+Assumptions!$F$138)^(YEAR(AW$3)-Assumptions!$F$9)</f>
        <v/>
      </c>
      <c r="AX26" s="10">
        <f>Assumptions!$F$135*(1+Assumptions!$F$138)^(YEAR(AX$3)-Assumptions!$F$9)</f>
        <v/>
      </c>
      <c r="AY26" s="10">
        <f>Assumptions!$F$135*(1+Assumptions!$F$138)^(YEAR(AY$3)-Assumptions!$F$9)</f>
        <v/>
      </c>
      <c r="AZ26" s="10">
        <f>Assumptions!$F$135*(1+Assumptions!$F$138)^(YEAR(AZ$3)-Assumptions!$F$9)</f>
        <v/>
      </c>
      <c r="BA26" s="10">
        <f>Assumptions!$F$135*(1+Assumptions!$F$138)^(YEAR(BA$3)-Assumptions!$F$9)</f>
        <v/>
      </c>
      <c r="BB26" s="10">
        <f>Assumptions!$F$135*(1+Assumptions!$F$138)^(YEAR(BB$3)-Assumptions!$F$9)</f>
        <v/>
      </c>
      <c r="BC26" s="10">
        <f>Assumptions!$F$135*(1+Assumptions!$F$138)^(YEAR(BC$3)-Assumptions!$F$9)</f>
        <v/>
      </c>
      <c r="BD26" s="10">
        <f>Assumptions!$F$135*(1+Assumptions!$F$138)^(YEAR(BD$3)-Assumptions!$F$9)</f>
        <v/>
      </c>
      <c r="BE26" s="10">
        <f>Assumptions!$F$135*(1+Assumptions!$F$138)^(YEAR(BE$3)-Assumptions!$F$9)</f>
        <v/>
      </c>
      <c r="BF26" s="10">
        <f>Assumptions!$F$135*(1+Assumptions!$F$138)^(YEAR(BF$3)-Assumptions!$F$9)</f>
        <v/>
      </c>
      <c r="BG26" s="10">
        <f>Assumptions!$F$135*(1+Assumptions!$F$138)^(YEAR(BG$3)-Assumptions!$F$9)</f>
        <v/>
      </c>
      <c r="BH26" s="10">
        <f>Assumptions!$F$135*(1+Assumptions!$F$138)^(YEAR(BH$3)-Assumptions!$F$9)</f>
        <v/>
      </c>
      <c r="BI26" s="10">
        <f>Assumptions!$F$135*(1+Assumptions!$F$138)^(YEAR(BI$3)-Assumptions!$F$9)</f>
        <v/>
      </c>
      <c r="BJ26" s="10">
        <f>Assumptions!$F$135*(1+Assumptions!$F$138)^(YEAR(BJ$3)-Assumptions!$F$9)</f>
        <v/>
      </c>
      <c r="BK26" s="10">
        <f>Assumptions!$F$135*(1+Assumptions!$F$138)^(YEAR(BK$3)-Assumptions!$F$9)</f>
        <v/>
      </c>
      <c r="BL26" s="10">
        <f>Assumptions!$F$135*(1+Assumptions!$F$138)^(YEAR(BL$3)-Assumptions!$F$9)</f>
        <v/>
      </c>
      <c r="BN26" s="53">
        <f>SUM(E26:P26)</f>
        <v/>
      </c>
      <c r="BO26" s="53">
        <f>SUM(Q26:AB26)</f>
        <v/>
      </c>
      <c r="BP26" s="53">
        <f>SUM(AC26:AN26)</f>
        <v/>
      </c>
      <c r="BQ26" s="53">
        <f>SUM(AO26:AZ26)</f>
        <v/>
      </c>
      <c r="BR26" s="53">
        <f>SUM(BA26:BL26)</f>
        <v/>
      </c>
    </row>
    <row r="27">
      <c r="B27" s="59" t="inlineStr">
        <is>
          <t>Total</t>
        </is>
      </c>
      <c r="C27" s="60" t="inlineStr">
        <is>
          <t>EUR</t>
        </is>
      </c>
      <c r="E27" s="32">
        <f>IF(E$3&lt;=Assumptions!$F$14,E43,SUM(E22:E26))</f>
        <v/>
      </c>
      <c r="F27" s="32">
        <f>IF(F$3&lt;=Assumptions!$F$14,F43,SUM(F22:F26))</f>
        <v/>
      </c>
      <c r="G27" s="32">
        <f>IF(G$3&lt;=Assumptions!$F$14,G43,SUM(G22:G26))</f>
        <v/>
      </c>
      <c r="H27" s="32">
        <f>IF(H$3&lt;=Assumptions!$F$14,H43,SUM(H22:H26))</f>
        <v/>
      </c>
      <c r="I27" s="32">
        <f>IF(I$3&lt;=Assumptions!$F$14,I43,SUM(I22:I26))</f>
        <v/>
      </c>
      <c r="J27" s="32">
        <f>IF(J$3&lt;=Assumptions!$F$14,J43,SUM(J22:J26))</f>
        <v/>
      </c>
      <c r="K27" s="32">
        <f>IF(K$3&lt;=Assumptions!$F$14,K43,SUM(K22:K26))</f>
        <v/>
      </c>
      <c r="L27" s="32">
        <f>IF(L$3&lt;=Assumptions!$F$14,L43,SUM(L22:L26))</f>
        <v/>
      </c>
      <c r="M27" s="32">
        <f>IF(M$3&lt;=Assumptions!$F$14,M43,SUM(M22:M26))</f>
        <v/>
      </c>
      <c r="N27" s="32">
        <f>IF(N$3&lt;=Assumptions!$F$14,N43,SUM(N22:N26))</f>
        <v/>
      </c>
      <c r="O27" s="32">
        <f>IF(O$3&lt;=Assumptions!$F$14,O43,SUM(O22:O26))</f>
        <v/>
      </c>
      <c r="P27" s="32">
        <f>IF(P$3&lt;=Assumptions!$F$14,P43,SUM(P22:P26))</f>
        <v/>
      </c>
      <c r="Q27" s="32">
        <f>IF(Q$3&lt;=Assumptions!$F$14,Q43,SUM(Q22:Q26))</f>
        <v/>
      </c>
      <c r="R27" s="32">
        <f>IF(R$3&lt;=Assumptions!$F$14,R43,SUM(R22:R26))</f>
        <v/>
      </c>
      <c r="S27" s="32">
        <f>IF(S$3&lt;=Assumptions!$F$14,S43,SUM(S22:S26))</f>
        <v/>
      </c>
      <c r="T27" s="32">
        <f>IF(T$3&lt;=Assumptions!$F$14,T43,SUM(T22:T26))</f>
        <v/>
      </c>
      <c r="U27" s="32">
        <f>IF(U$3&lt;=Assumptions!$F$14,U43,SUM(U22:U26))</f>
        <v/>
      </c>
      <c r="V27" s="32">
        <f>IF(V$3&lt;=Assumptions!$F$14,V43,SUM(V22:V26))</f>
        <v/>
      </c>
      <c r="W27" s="32">
        <f>IF(W$3&lt;=Assumptions!$F$14,W43,SUM(W22:W26))</f>
        <v/>
      </c>
      <c r="X27" s="32">
        <f>IF(X$3&lt;=Assumptions!$F$14,X43,SUM(X22:X26))</f>
        <v/>
      </c>
      <c r="Y27" s="32">
        <f>IF(Y$3&lt;=Assumptions!$F$14,Y43,SUM(Y22:Y26))</f>
        <v/>
      </c>
      <c r="Z27" s="32">
        <f>IF(Z$3&lt;=Assumptions!$F$14,Z43,SUM(Z22:Z26))</f>
        <v/>
      </c>
      <c r="AA27" s="32">
        <f>IF(AA$3&lt;=Assumptions!$F$14,AA43,SUM(AA22:AA26))</f>
        <v/>
      </c>
      <c r="AB27" s="32">
        <f>IF(AB$3&lt;=Assumptions!$F$14,AB43,SUM(AB22:AB26))</f>
        <v/>
      </c>
      <c r="AC27" s="32">
        <f>IF(AC$3&lt;=Assumptions!$F$14,AC43,SUM(AC22:AC26))</f>
        <v/>
      </c>
      <c r="AD27" s="32">
        <f>IF(AD$3&lt;=Assumptions!$F$14,AD43,SUM(AD22:AD26))</f>
        <v/>
      </c>
      <c r="AE27" s="32">
        <f>IF(AE$3&lt;=Assumptions!$F$14,AE43,SUM(AE22:AE26))</f>
        <v/>
      </c>
      <c r="AF27" s="32">
        <f>IF(AF$3&lt;=Assumptions!$F$14,AF43,SUM(AF22:AF26))</f>
        <v/>
      </c>
      <c r="AG27" s="32">
        <f>IF(AG$3&lt;=Assumptions!$F$14,AG43,SUM(AG22:AG26))</f>
        <v/>
      </c>
      <c r="AH27" s="32">
        <f>IF(AH$3&lt;=Assumptions!$F$14,AH43,SUM(AH22:AH26))</f>
        <v/>
      </c>
      <c r="AI27" s="32">
        <f>IF(AI$3&lt;=Assumptions!$F$14,AI43,SUM(AI22:AI26))</f>
        <v/>
      </c>
      <c r="AJ27" s="32">
        <f>IF(AJ$3&lt;=Assumptions!$F$14,AJ43,SUM(AJ22:AJ26))</f>
        <v/>
      </c>
      <c r="AK27" s="32">
        <f>IF(AK$3&lt;=Assumptions!$F$14,AK43,SUM(AK22:AK26))</f>
        <v/>
      </c>
      <c r="AL27" s="32">
        <f>IF(AL$3&lt;=Assumptions!$F$14,AL43,SUM(AL22:AL26))</f>
        <v/>
      </c>
      <c r="AM27" s="32">
        <f>IF(AM$3&lt;=Assumptions!$F$14,AM43,SUM(AM22:AM26))</f>
        <v/>
      </c>
      <c r="AN27" s="32">
        <f>IF(AN$3&lt;=Assumptions!$F$14,AN43,SUM(AN22:AN26))</f>
        <v/>
      </c>
      <c r="AO27" s="32">
        <f>IF(AO$3&lt;=Assumptions!$F$14,AO43,SUM(AO22:AO26))</f>
        <v/>
      </c>
      <c r="AP27" s="32">
        <f>IF(AP$3&lt;=Assumptions!$F$14,AP43,SUM(AP22:AP26))</f>
        <v/>
      </c>
      <c r="AQ27" s="32">
        <f>IF(AQ$3&lt;=Assumptions!$F$14,AQ43,SUM(AQ22:AQ26))</f>
        <v/>
      </c>
      <c r="AR27" s="32">
        <f>IF(AR$3&lt;=Assumptions!$F$14,AR43,SUM(AR22:AR26))</f>
        <v/>
      </c>
      <c r="AS27" s="32">
        <f>IF(AS$3&lt;=Assumptions!$F$14,AS43,SUM(AS22:AS26))</f>
        <v/>
      </c>
      <c r="AT27" s="32">
        <f>IF(AT$3&lt;=Assumptions!$F$14,AT43,SUM(AT22:AT26))</f>
        <v/>
      </c>
      <c r="AU27" s="32">
        <f>IF(AU$3&lt;=Assumptions!$F$14,AU43,SUM(AU22:AU26))</f>
        <v/>
      </c>
      <c r="AV27" s="32">
        <f>IF(AV$3&lt;=Assumptions!$F$14,AV43,SUM(AV22:AV26))</f>
        <v/>
      </c>
      <c r="AW27" s="32">
        <f>IF(AW$3&lt;=Assumptions!$F$14,AW43,SUM(AW22:AW26))</f>
        <v/>
      </c>
      <c r="AX27" s="32">
        <f>IF(AX$3&lt;=Assumptions!$F$14,AX43,SUM(AX22:AX26))</f>
        <v/>
      </c>
      <c r="AY27" s="32">
        <f>IF(AY$3&lt;=Assumptions!$F$14,AY43,SUM(AY22:AY26))</f>
        <v/>
      </c>
      <c r="AZ27" s="32">
        <f>IF(AZ$3&lt;=Assumptions!$F$14,AZ43,SUM(AZ22:AZ26))</f>
        <v/>
      </c>
      <c r="BA27" s="32">
        <f>IF(BA$3&lt;=Assumptions!$F$14,BA43,SUM(BA22:BA26))</f>
        <v/>
      </c>
      <c r="BB27" s="32">
        <f>IF(BB$3&lt;=Assumptions!$F$14,BB43,SUM(BB22:BB26))</f>
        <v/>
      </c>
      <c r="BC27" s="32">
        <f>IF(BC$3&lt;=Assumptions!$F$14,BC43,SUM(BC22:BC26))</f>
        <v/>
      </c>
      <c r="BD27" s="32">
        <f>IF(BD$3&lt;=Assumptions!$F$14,BD43,SUM(BD22:BD26))</f>
        <v/>
      </c>
      <c r="BE27" s="32">
        <f>IF(BE$3&lt;=Assumptions!$F$14,BE43,SUM(BE22:BE26))</f>
        <v/>
      </c>
      <c r="BF27" s="32">
        <f>IF(BF$3&lt;=Assumptions!$F$14,BF43,SUM(BF22:BF26))</f>
        <v/>
      </c>
      <c r="BG27" s="32">
        <f>IF(BG$3&lt;=Assumptions!$F$14,BG43,SUM(BG22:BG26))</f>
        <v/>
      </c>
      <c r="BH27" s="32">
        <f>IF(BH$3&lt;=Assumptions!$F$14,BH43,SUM(BH22:BH26))</f>
        <v/>
      </c>
      <c r="BI27" s="32">
        <f>IF(BI$3&lt;=Assumptions!$F$14,BI43,SUM(BI22:BI26))</f>
        <v/>
      </c>
      <c r="BJ27" s="32">
        <f>IF(BJ$3&lt;=Assumptions!$F$14,BJ43,SUM(BJ22:BJ26))</f>
        <v/>
      </c>
      <c r="BK27" s="32">
        <f>IF(BK$3&lt;=Assumptions!$F$14,BK43,SUM(BK22:BK26))</f>
        <v/>
      </c>
      <c r="BL27" s="32">
        <f>IF(BL$3&lt;=Assumptions!$F$14,BL43,SUM(BL22:BL26))</f>
        <v/>
      </c>
      <c r="BN27" s="32">
        <f>SUM(E27:P27)</f>
        <v/>
      </c>
      <c r="BO27" s="32">
        <f>SUM(Q27:AB27)</f>
        <v/>
      </c>
      <c r="BP27" s="32">
        <f>SUM(AC27:AN27)</f>
        <v/>
      </c>
      <c r="BQ27" s="32">
        <f>SUM(AO27:AZ27)</f>
        <v/>
      </c>
      <c r="BR27" s="32">
        <f>SUM(BA27:BL27)</f>
        <v/>
      </c>
    </row>
    <row r="29">
      <c r="B29" s="49"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52"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52"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52"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49"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52"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49"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52" t="inlineStr">
        <is>
          <t>EUR</t>
        </is>
      </c>
      <c r="E38" s="31" t="n">
        <v>50700</v>
      </c>
      <c r="F38" s="31" t="n">
        <v>50700</v>
      </c>
      <c r="G38" s="31" t="n">
        <v>50700</v>
      </c>
      <c r="H38" s="31" t="n">
        <v>50700</v>
      </c>
      <c r="I38" s="31" t="n">
        <v>50700</v>
      </c>
      <c r="J38" s="31" t="n">
        <v>50700</v>
      </c>
      <c r="K38" s="31" t="n">
        <v>50700</v>
      </c>
      <c r="L38" s="31" t="n">
        <v>50700</v>
      </c>
      <c r="M38" s="31" t="n">
        <v>54700</v>
      </c>
      <c r="N38" s="31"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28" t="inlineStr">
        <is>
          <t>taken from the existing model and not recalculated</t>
        </is>
      </c>
    </row>
    <row r="39">
      <c r="B39" s="6" t="inlineStr">
        <is>
          <t>People, sales and marketing</t>
        </is>
      </c>
      <c r="C39" s="52" t="inlineStr">
        <is>
          <t>EUR</t>
        </is>
      </c>
      <c r="E39" s="31" t="n">
        <v>0</v>
      </c>
      <c r="F39" s="31" t="n">
        <v>10800</v>
      </c>
      <c r="G39" s="31" t="n">
        <v>10800</v>
      </c>
      <c r="H39" s="31" t="n">
        <v>10800</v>
      </c>
      <c r="I39" s="31" t="n">
        <v>10800</v>
      </c>
      <c r="J39" s="31" t="n">
        <v>10800</v>
      </c>
      <c r="K39" s="31" t="n">
        <v>10800</v>
      </c>
      <c r="L39" s="31" t="n">
        <v>10800</v>
      </c>
      <c r="M39" s="31" t="n">
        <v>10800</v>
      </c>
      <c r="N39" s="31"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52" t="inlineStr">
        <is>
          <t>EUR</t>
        </is>
      </c>
      <c r="E40" s="31" t="n">
        <v>11820</v>
      </c>
      <c r="F40" s="31" t="n">
        <v>11820</v>
      </c>
      <c r="G40" s="31" t="n">
        <v>11820</v>
      </c>
      <c r="H40" s="31" t="n">
        <v>11820</v>
      </c>
      <c r="I40" s="31" t="n">
        <v>11820</v>
      </c>
      <c r="J40" s="31" t="n">
        <v>11820</v>
      </c>
      <c r="K40" s="31" t="n">
        <v>11820</v>
      </c>
      <c r="L40" s="31" t="n">
        <v>11820</v>
      </c>
      <c r="M40" s="31" t="n">
        <v>25740</v>
      </c>
      <c r="N40" s="31"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52" t="inlineStr">
        <is>
          <t>EUR</t>
        </is>
      </c>
      <c r="E41" s="31" t="n">
        <v>25000</v>
      </c>
      <c r="F41" s="31" t="n">
        <v>25000</v>
      </c>
      <c r="G41" s="31" t="n">
        <v>25000</v>
      </c>
      <c r="H41" s="31" t="n">
        <v>25000</v>
      </c>
      <c r="I41" s="31" t="n">
        <v>25000</v>
      </c>
      <c r="J41" s="31" t="n">
        <v>25000</v>
      </c>
      <c r="K41" s="31" t="n">
        <v>25000</v>
      </c>
      <c r="L41" s="31" t="n">
        <v>25000</v>
      </c>
      <c r="M41" s="31" t="n">
        <v>25000</v>
      </c>
      <c r="N41" s="31"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52" t="inlineStr">
        <is>
          <t>EUR</t>
        </is>
      </c>
      <c r="E42" s="31" t="n">
        <v>21000</v>
      </c>
      <c r="F42" s="31" t="n">
        <v>21000</v>
      </c>
      <c r="G42" s="31" t="n">
        <v>21000</v>
      </c>
      <c r="H42" s="31" t="n">
        <v>21000</v>
      </c>
      <c r="I42" s="31" t="n">
        <v>31000</v>
      </c>
      <c r="J42" s="31" t="n">
        <v>31000</v>
      </c>
      <c r="K42" s="31" t="n">
        <v>21000</v>
      </c>
      <c r="L42" s="31" t="n">
        <v>21000</v>
      </c>
      <c r="M42" s="31" t="n">
        <v>21000</v>
      </c>
      <c r="N42" s="31"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52" t="inlineStr">
        <is>
          <t>EUR</t>
        </is>
      </c>
      <c r="E43" s="31" t="n">
        <v>20000</v>
      </c>
      <c r="F43" s="31" t="n">
        <v>20000</v>
      </c>
      <c r="G43" s="31" t="n">
        <v>20000</v>
      </c>
      <c r="H43" s="31" t="n">
        <v>20000</v>
      </c>
      <c r="I43" s="31" t="n">
        <v>20000</v>
      </c>
      <c r="J43" s="31" t="n">
        <v>20000</v>
      </c>
      <c r="K43" s="31" t="n">
        <v>20000</v>
      </c>
      <c r="L43" s="31" t="n">
        <v>20000</v>
      </c>
      <c r="M43" s="31" t="n">
        <v>20000</v>
      </c>
      <c r="N43" s="31"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52"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52"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52"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28" t="inlineStr">
        <is>
          <t>every partner has to be trained and certified before selling anything</t>
        </is>
      </c>
    </row>
    <row r="9">
      <c r="B9" s="6" t="inlineStr">
        <is>
          <t>Order desk</t>
        </is>
      </c>
      <c r="C9" s="52"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52"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48">
        <f>SUM(E6:E10)</f>
        <v/>
      </c>
      <c r="F11" s="48">
        <f>SUM(F6:F10)</f>
        <v/>
      </c>
      <c r="G11" s="48">
        <f>SUM(G6:G10)</f>
        <v/>
      </c>
      <c r="H11" s="48">
        <f>SUM(H6:H10)</f>
        <v/>
      </c>
      <c r="I11" s="48">
        <f>SUM(I6:I10)</f>
        <v/>
      </c>
      <c r="J11" s="48">
        <f>SUM(J6:J10)</f>
        <v/>
      </c>
      <c r="K11" s="48">
        <f>SUM(K6:K10)</f>
        <v/>
      </c>
      <c r="L11" s="48">
        <f>SUM(L6:L10)</f>
        <v/>
      </c>
      <c r="M11" s="48">
        <f>SUM(M6:M10)</f>
        <v/>
      </c>
      <c r="N11" s="48">
        <f>SUM(N6:N10)</f>
        <v/>
      </c>
      <c r="O11" s="48">
        <f>SUM(O6:O10)</f>
        <v/>
      </c>
      <c r="P11" s="48">
        <f>SUM(P6:P10)</f>
        <v/>
      </c>
      <c r="Q11" s="48">
        <f>SUM(Q6:Q10)</f>
        <v/>
      </c>
      <c r="R11" s="48">
        <f>SUM(R6:R10)</f>
        <v/>
      </c>
      <c r="S11" s="48">
        <f>SUM(S6:S10)</f>
        <v/>
      </c>
      <c r="T11" s="48">
        <f>SUM(T6:T10)</f>
        <v/>
      </c>
      <c r="U11" s="48">
        <f>SUM(U6:U10)</f>
        <v/>
      </c>
      <c r="V11" s="48">
        <f>SUM(V6:V10)</f>
        <v/>
      </c>
      <c r="W11" s="48">
        <f>SUM(W6:W10)</f>
        <v/>
      </c>
      <c r="X11" s="48">
        <f>SUM(X6:X10)</f>
        <v/>
      </c>
      <c r="Y11" s="48">
        <f>SUM(Y6:Y10)</f>
        <v/>
      </c>
      <c r="Z11" s="48">
        <f>SUM(Z6:Z10)</f>
        <v/>
      </c>
      <c r="AA11" s="48">
        <f>SUM(AA6:AA10)</f>
        <v/>
      </c>
      <c r="AB11" s="48">
        <f>SUM(AB6:AB10)</f>
        <v/>
      </c>
      <c r="AC11" s="48">
        <f>SUM(AC6:AC10)</f>
        <v/>
      </c>
      <c r="AD11" s="48">
        <f>SUM(AD6:AD10)</f>
        <v/>
      </c>
      <c r="AE11" s="48">
        <f>SUM(AE6:AE10)</f>
        <v/>
      </c>
      <c r="AF11" s="48">
        <f>SUM(AF6:AF10)</f>
        <v/>
      </c>
      <c r="AG11" s="48">
        <f>SUM(AG6:AG10)</f>
        <v/>
      </c>
      <c r="AH11" s="48">
        <f>SUM(AH6:AH10)</f>
        <v/>
      </c>
      <c r="AI11" s="48">
        <f>SUM(AI6:AI10)</f>
        <v/>
      </c>
      <c r="AJ11" s="48">
        <f>SUM(AJ6:AJ10)</f>
        <v/>
      </c>
      <c r="AK11" s="48">
        <f>SUM(AK6:AK10)</f>
        <v/>
      </c>
      <c r="AL11" s="48">
        <f>SUM(AL6:AL10)</f>
        <v/>
      </c>
      <c r="AM11" s="48">
        <f>SUM(AM6:AM10)</f>
        <v/>
      </c>
      <c r="AN11" s="48">
        <f>SUM(AN6:AN10)</f>
        <v/>
      </c>
      <c r="AO11" s="48">
        <f>SUM(AO6:AO10)</f>
        <v/>
      </c>
      <c r="AP11" s="48">
        <f>SUM(AP6:AP10)</f>
        <v/>
      </c>
      <c r="AQ11" s="48">
        <f>SUM(AQ6:AQ10)</f>
        <v/>
      </c>
      <c r="AR11" s="48">
        <f>SUM(AR6:AR10)</f>
        <v/>
      </c>
      <c r="AS11" s="48">
        <f>SUM(AS6:AS10)</f>
        <v/>
      </c>
      <c r="AT11" s="48">
        <f>SUM(AT6:AT10)</f>
        <v/>
      </c>
      <c r="AU11" s="48">
        <f>SUM(AU6:AU10)</f>
        <v/>
      </c>
      <c r="AV11" s="48">
        <f>SUM(AV6:AV10)</f>
        <v/>
      </c>
      <c r="AW11" s="48">
        <f>SUM(AW6:AW10)</f>
        <v/>
      </c>
      <c r="AX11" s="48">
        <f>SUM(AX6:AX10)</f>
        <v/>
      </c>
      <c r="AY11" s="48">
        <f>SUM(AY6:AY10)</f>
        <v/>
      </c>
      <c r="AZ11" s="48">
        <f>SUM(AZ6:AZ10)</f>
        <v/>
      </c>
      <c r="BA11" s="48">
        <f>SUM(BA6:BA10)</f>
        <v/>
      </c>
      <c r="BB11" s="48">
        <f>SUM(BB6:BB10)</f>
        <v/>
      </c>
      <c r="BC11" s="48">
        <f>SUM(BC6:BC10)</f>
        <v/>
      </c>
      <c r="BD11" s="48">
        <f>SUM(BD6:BD10)</f>
        <v/>
      </c>
      <c r="BE11" s="48">
        <f>SUM(BE6:BE10)</f>
        <v/>
      </c>
      <c r="BF11" s="48">
        <f>SUM(BF6:BF10)</f>
        <v/>
      </c>
      <c r="BG11" s="48">
        <f>SUM(BG6:BG10)</f>
        <v/>
      </c>
      <c r="BH11" s="48">
        <f>SUM(BH6:BH10)</f>
        <v/>
      </c>
      <c r="BI11" s="48">
        <f>SUM(BI6:BI10)</f>
        <v/>
      </c>
      <c r="BJ11" s="48">
        <f>SUM(BJ6:BJ10)</f>
        <v/>
      </c>
      <c r="BK11" s="48">
        <f>SUM(BK6:BK10)</f>
        <v/>
      </c>
      <c r="BL11" s="48">
        <f>SUM(BL6:BL10)</f>
        <v/>
      </c>
      <c r="BN11" s="48">
        <f>P11</f>
        <v/>
      </c>
      <c r="BO11" s="48">
        <f>AB11</f>
        <v/>
      </c>
      <c r="BP11" s="48">
        <f>AN11</f>
        <v/>
      </c>
      <c r="BQ11" s="48">
        <f>AZ11</f>
        <v/>
      </c>
      <c r="BR11" s="48">
        <f>BL11</f>
        <v/>
      </c>
    </row>
    <row r="12">
      <c r="B12" s="6" t="inlineStr">
        <is>
          <t>Supply chain and logistics</t>
        </is>
      </c>
      <c r="C12" s="52"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28" t="inlineStr">
        <is>
          <t>buying, planning, inbound quality and warehousing</t>
        </is>
      </c>
    </row>
    <row r="13">
      <c r="B13" s="6" t="inlineStr">
        <is>
          <t>Production operators</t>
        </is>
      </c>
      <c r="C13" s="52"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52"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28" t="inlineStr">
        <is>
          <t>inbound calls follow the installed base, not sales</t>
        </is>
      </c>
    </row>
    <row r="15">
      <c r="B15" s="6" t="inlineStr">
        <is>
          <t>Technical escalation</t>
        </is>
      </c>
      <c r="C15" s="52"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52"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28" t="inlineStr">
        <is>
          <t>the founding engineers plus everyone hired up to and including this year</t>
        </is>
      </c>
    </row>
    <row r="17">
      <c r="B17" s="6" t="inlineStr">
        <is>
          <t>Leadership, finance, HR, IT and legal</t>
        </is>
      </c>
      <c r="C17" s="52" t="inlineStr">
        <is>
          <t>FTE</t>
        </is>
      </c>
      <c r="E17" s="39" t="n">
        <v>3</v>
      </c>
      <c r="F17" s="39" t="n">
        <v>3</v>
      </c>
      <c r="G17" s="39" t="n">
        <v>3</v>
      </c>
      <c r="H17" s="39" t="n">
        <v>3</v>
      </c>
      <c r="I17" s="39" t="n">
        <v>3</v>
      </c>
      <c r="J17" s="39" t="n">
        <v>3</v>
      </c>
      <c r="K17" s="39" t="n">
        <v>3</v>
      </c>
      <c r="L17" s="39" t="n">
        <v>3</v>
      </c>
      <c r="M17" s="39" t="n">
        <v>3</v>
      </c>
      <c r="N17" s="39" t="n">
        <v>3</v>
      </c>
      <c r="O17" s="39" t="n">
        <v>3</v>
      </c>
      <c r="P17" s="39" t="n">
        <v>3</v>
      </c>
      <c r="Q17" s="39" t="n">
        <v>4</v>
      </c>
      <c r="R17" s="39" t="n">
        <v>4</v>
      </c>
      <c r="S17" s="39" t="n">
        <v>4</v>
      </c>
      <c r="T17" s="39" t="n">
        <v>4</v>
      </c>
      <c r="U17" s="39" t="n">
        <v>4</v>
      </c>
      <c r="V17" s="39" t="n">
        <v>4</v>
      </c>
      <c r="W17" s="39" t="n">
        <v>4</v>
      </c>
      <c r="X17" s="39" t="n">
        <v>4</v>
      </c>
      <c r="Y17" s="39" t="n">
        <v>4</v>
      </c>
      <c r="Z17" s="39" t="n">
        <v>4</v>
      </c>
      <c r="AA17" s="39" t="n">
        <v>4</v>
      </c>
      <c r="AB17" s="39" t="n">
        <v>4</v>
      </c>
      <c r="AC17" s="39" t="n">
        <v>5</v>
      </c>
      <c r="AD17" s="39" t="n">
        <v>5</v>
      </c>
      <c r="AE17" s="39" t="n">
        <v>5</v>
      </c>
      <c r="AF17" s="39" t="n">
        <v>5</v>
      </c>
      <c r="AG17" s="39" t="n">
        <v>5</v>
      </c>
      <c r="AH17" s="39" t="n">
        <v>5</v>
      </c>
      <c r="AI17" s="39" t="n">
        <v>5</v>
      </c>
      <c r="AJ17" s="39" t="n">
        <v>5</v>
      </c>
      <c r="AK17" s="39" t="n">
        <v>5</v>
      </c>
      <c r="AL17" s="39" t="n">
        <v>5</v>
      </c>
      <c r="AM17" s="39" t="n">
        <v>5</v>
      </c>
      <c r="AN17" s="39" t="n">
        <v>5</v>
      </c>
      <c r="AO17" s="39" t="n">
        <v>6</v>
      </c>
      <c r="AP17" s="39" t="n">
        <v>6</v>
      </c>
      <c r="AQ17" s="39" t="n">
        <v>6</v>
      </c>
      <c r="AR17" s="39" t="n">
        <v>6</v>
      </c>
      <c r="AS17" s="39" t="n">
        <v>6</v>
      </c>
      <c r="AT17" s="39" t="n">
        <v>6</v>
      </c>
      <c r="AU17" s="39" t="n">
        <v>6</v>
      </c>
      <c r="AV17" s="39" t="n">
        <v>6</v>
      </c>
      <c r="AW17" s="39" t="n">
        <v>6</v>
      </c>
      <c r="AX17" s="39" t="n">
        <v>6</v>
      </c>
      <c r="AY17" s="39" t="n">
        <v>6</v>
      </c>
      <c r="AZ17" s="39" t="n">
        <v>6</v>
      </c>
      <c r="BA17" s="39" t="n">
        <v>8</v>
      </c>
      <c r="BB17" s="39" t="n">
        <v>8</v>
      </c>
      <c r="BC17" s="39" t="n">
        <v>8</v>
      </c>
      <c r="BD17" s="39" t="n">
        <v>8</v>
      </c>
      <c r="BE17" s="39" t="n">
        <v>8</v>
      </c>
      <c r="BF17" s="39" t="n">
        <v>8</v>
      </c>
      <c r="BG17" s="39" t="n">
        <v>8</v>
      </c>
      <c r="BH17" s="39" t="n">
        <v>8</v>
      </c>
      <c r="BI17" s="39" t="n">
        <v>8</v>
      </c>
      <c r="BJ17" s="39" t="n">
        <v>8</v>
      </c>
      <c r="BK17" s="39" t="n">
        <v>8</v>
      </c>
      <c r="BL17" s="39" t="n">
        <v>8</v>
      </c>
      <c r="BN17" s="63">
        <f>P17</f>
        <v/>
      </c>
      <c r="BO17" s="63">
        <f>AB17</f>
        <v/>
      </c>
      <c r="BP17" s="63">
        <f>AN17</f>
        <v/>
      </c>
      <c r="BQ17" s="63">
        <f>AZ17</f>
        <v/>
      </c>
      <c r="BR17" s="63">
        <f>BL17</f>
        <v/>
      </c>
      <c r="BT17" s="28" t="inlineStr">
        <is>
          <t>typed here, not driven: the leadership team, then finance, HR, IT and legal as the company grows. Same in both cases</t>
        </is>
      </c>
    </row>
    <row r="18">
      <c r="B18" s="6" t="inlineStr">
        <is>
          <t>Field service engineers</t>
        </is>
      </c>
      <c r="C18" s="52"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28" t="inlineStr">
        <is>
          <t>salaried staff: installed units on a service contract divided by the units one engineer can look after</t>
        </is>
      </c>
    </row>
    <row r="19">
      <c r="B19" s="59" t="inlineStr">
        <is>
          <t>Operations, support and administration</t>
        </is>
      </c>
      <c r="C19" s="60" t="inlineStr">
        <is>
          <t>FTE</t>
        </is>
      </c>
      <c r="E19" s="48">
        <f>SUM(E12:E18)</f>
        <v/>
      </c>
      <c r="F19" s="48">
        <f>SUM(F12:F18)</f>
        <v/>
      </c>
      <c r="G19" s="48">
        <f>SUM(G12:G18)</f>
        <v/>
      </c>
      <c r="H19" s="48">
        <f>SUM(H12:H18)</f>
        <v/>
      </c>
      <c r="I19" s="48">
        <f>SUM(I12:I18)</f>
        <v/>
      </c>
      <c r="J19" s="48">
        <f>SUM(J12:J18)</f>
        <v/>
      </c>
      <c r="K19" s="48">
        <f>SUM(K12:K18)</f>
        <v/>
      </c>
      <c r="L19" s="48">
        <f>SUM(L12:L18)</f>
        <v/>
      </c>
      <c r="M19" s="48">
        <f>SUM(M12:M18)</f>
        <v/>
      </c>
      <c r="N19" s="48">
        <f>SUM(N12:N18)</f>
        <v/>
      </c>
      <c r="O19" s="48">
        <f>SUM(O12:O18)</f>
        <v/>
      </c>
      <c r="P19" s="48">
        <f>SUM(P12:P18)</f>
        <v/>
      </c>
      <c r="Q19" s="48">
        <f>SUM(Q12:Q18)</f>
        <v/>
      </c>
      <c r="R19" s="48">
        <f>SUM(R12:R18)</f>
        <v/>
      </c>
      <c r="S19" s="48">
        <f>SUM(S12:S18)</f>
        <v/>
      </c>
      <c r="T19" s="48">
        <f>SUM(T12:T18)</f>
        <v/>
      </c>
      <c r="U19" s="48">
        <f>SUM(U12:U18)</f>
        <v/>
      </c>
      <c r="V19" s="48">
        <f>SUM(V12:V18)</f>
        <v/>
      </c>
      <c r="W19" s="48">
        <f>SUM(W12:W18)</f>
        <v/>
      </c>
      <c r="X19" s="48">
        <f>SUM(X12:X18)</f>
        <v/>
      </c>
      <c r="Y19" s="48">
        <f>SUM(Y12:Y18)</f>
        <v/>
      </c>
      <c r="Z19" s="48">
        <f>SUM(Z12:Z18)</f>
        <v/>
      </c>
      <c r="AA19" s="48">
        <f>SUM(AA12:AA18)</f>
        <v/>
      </c>
      <c r="AB19" s="48">
        <f>SUM(AB12:AB18)</f>
        <v/>
      </c>
      <c r="AC19" s="48">
        <f>SUM(AC12:AC18)</f>
        <v/>
      </c>
      <c r="AD19" s="48">
        <f>SUM(AD12:AD18)</f>
        <v/>
      </c>
      <c r="AE19" s="48">
        <f>SUM(AE12:AE18)</f>
        <v/>
      </c>
      <c r="AF19" s="48">
        <f>SUM(AF12:AF18)</f>
        <v/>
      </c>
      <c r="AG19" s="48">
        <f>SUM(AG12:AG18)</f>
        <v/>
      </c>
      <c r="AH19" s="48">
        <f>SUM(AH12:AH18)</f>
        <v/>
      </c>
      <c r="AI19" s="48">
        <f>SUM(AI12:AI18)</f>
        <v/>
      </c>
      <c r="AJ19" s="48">
        <f>SUM(AJ12:AJ18)</f>
        <v/>
      </c>
      <c r="AK19" s="48">
        <f>SUM(AK12:AK18)</f>
        <v/>
      </c>
      <c r="AL19" s="48">
        <f>SUM(AL12:AL18)</f>
        <v/>
      </c>
      <c r="AM19" s="48">
        <f>SUM(AM12:AM18)</f>
        <v/>
      </c>
      <c r="AN19" s="48">
        <f>SUM(AN12:AN18)</f>
        <v/>
      </c>
      <c r="AO19" s="48">
        <f>SUM(AO12:AO18)</f>
        <v/>
      </c>
      <c r="AP19" s="48">
        <f>SUM(AP12:AP18)</f>
        <v/>
      </c>
      <c r="AQ19" s="48">
        <f>SUM(AQ12:AQ18)</f>
        <v/>
      </c>
      <c r="AR19" s="48">
        <f>SUM(AR12:AR18)</f>
        <v/>
      </c>
      <c r="AS19" s="48">
        <f>SUM(AS12:AS18)</f>
        <v/>
      </c>
      <c r="AT19" s="48">
        <f>SUM(AT12:AT18)</f>
        <v/>
      </c>
      <c r="AU19" s="48">
        <f>SUM(AU12:AU18)</f>
        <v/>
      </c>
      <c r="AV19" s="48">
        <f>SUM(AV12:AV18)</f>
        <v/>
      </c>
      <c r="AW19" s="48">
        <f>SUM(AW12:AW18)</f>
        <v/>
      </c>
      <c r="AX19" s="48">
        <f>SUM(AX12:AX18)</f>
        <v/>
      </c>
      <c r="AY19" s="48">
        <f>SUM(AY12:AY18)</f>
        <v/>
      </c>
      <c r="AZ19" s="48">
        <f>SUM(AZ12:AZ18)</f>
        <v/>
      </c>
      <c r="BA19" s="48">
        <f>SUM(BA12:BA18)</f>
        <v/>
      </c>
      <c r="BB19" s="48">
        <f>SUM(BB12:BB18)</f>
        <v/>
      </c>
      <c r="BC19" s="48">
        <f>SUM(BC12:BC18)</f>
        <v/>
      </c>
      <c r="BD19" s="48">
        <f>SUM(BD12:BD18)</f>
        <v/>
      </c>
      <c r="BE19" s="48">
        <f>SUM(BE12:BE18)</f>
        <v/>
      </c>
      <c r="BF19" s="48">
        <f>SUM(BF12:BF18)</f>
        <v/>
      </c>
      <c r="BG19" s="48">
        <f>SUM(BG12:BG18)</f>
        <v/>
      </c>
      <c r="BH19" s="48">
        <f>SUM(BH12:BH18)</f>
        <v/>
      </c>
      <c r="BI19" s="48">
        <f>SUM(BI12:BI18)</f>
        <v/>
      </c>
      <c r="BJ19" s="48">
        <f>SUM(BJ12:BJ18)</f>
        <v/>
      </c>
      <c r="BK19" s="48">
        <f>SUM(BK12:BK18)</f>
        <v/>
      </c>
      <c r="BL19" s="48">
        <f>SUM(BL12:BL18)</f>
        <v/>
      </c>
      <c r="BN19" s="48">
        <f>P19</f>
        <v/>
      </c>
      <c r="BO19" s="48">
        <f>AB19</f>
        <v/>
      </c>
      <c r="BP19" s="48">
        <f>AN19</f>
        <v/>
      </c>
      <c r="BQ19" s="48">
        <f>AZ19</f>
        <v/>
      </c>
      <c r="BR19" s="48">
        <f>BL19</f>
        <v/>
      </c>
    </row>
    <row r="20">
      <c r="B20" s="49"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49"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52"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52"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52"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2">
        <f>SUM(E26:E28)</f>
        <v/>
      </c>
      <c r="F29" s="32">
        <f>SUM(F26:F28)</f>
        <v/>
      </c>
      <c r="G29" s="32">
        <f>SUM(G26:G28)</f>
        <v/>
      </c>
      <c r="H29" s="32">
        <f>SUM(H26:H28)</f>
        <v/>
      </c>
      <c r="I29" s="32">
        <f>SUM(I26:I28)</f>
        <v/>
      </c>
      <c r="J29" s="32">
        <f>SUM(J26:J28)</f>
        <v/>
      </c>
      <c r="K29" s="32">
        <f>SUM(K26:K28)</f>
        <v/>
      </c>
      <c r="L29" s="32">
        <f>SUM(L26:L28)</f>
        <v/>
      </c>
      <c r="M29" s="32">
        <f>SUM(M26:M28)</f>
        <v/>
      </c>
      <c r="N29" s="32">
        <f>SUM(N26:N28)</f>
        <v/>
      </c>
      <c r="O29" s="32">
        <f>SUM(O26:O28)</f>
        <v/>
      </c>
      <c r="P29" s="32">
        <f>SUM(P26:P28)</f>
        <v/>
      </c>
      <c r="Q29" s="32">
        <f>SUM(Q26:Q28)</f>
        <v/>
      </c>
      <c r="R29" s="32">
        <f>SUM(R26:R28)</f>
        <v/>
      </c>
      <c r="S29" s="32">
        <f>SUM(S26:S28)</f>
        <v/>
      </c>
      <c r="T29" s="32">
        <f>SUM(T26:T28)</f>
        <v/>
      </c>
      <c r="U29" s="32">
        <f>SUM(U26:U28)</f>
        <v/>
      </c>
      <c r="V29" s="32">
        <f>SUM(V26:V28)</f>
        <v/>
      </c>
      <c r="W29" s="32">
        <f>SUM(W26:W28)</f>
        <v/>
      </c>
      <c r="X29" s="32">
        <f>SUM(X26:X28)</f>
        <v/>
      </c>
      <c r="Y29" s="32">
        <f>SUM(Y26:Y28)</f>
        <v/>
      </c>
      <c r="Z29" s="32">
        <f>SUM(Z26:Z28)</f>
        <v/>
      </c>
      <c r="AA29" s="32">
        <f>SUM(AA26:AA28)</f>
        <v/>
      </c>
      <c r="AB29" s="32">
        <f>SUM(AB26:AB28)</f>
        <v/>
      </c>
      <c r="AC29" s="32">
        <f>SUM(AC26:AC28)</f>
        <v/>
      </c>
      <c r="AD29" s="32">
        <f>SUM(AD26:AD28)</f>
        <v/>
      </c>
      <c r="AE29" s="32">
        <f>SUM(AE26:AE28)</f>
        <v/>
      </c>
      <c r="AF29" s="32">
        <f>SUM(AF26:AF28)</f>
        <v/>
      </c>
      <c r="AG29" s="32">
        <f>SUM(AG26:AG28)</f>
        <v/>
      </c>
      <c r="AH29" s="32">
        <f>SUM(AH26:AH28)</f>
        <v/>
      </c>
      <c r="AI29" s="32">
        <f>SUM(AI26:AI28)</f>
        <v/>
      </c>
      <c r="AJ29" s="32">
        <f>SUM(AJ26:AJ28)</f>
        <v/>
      </c>
      <c r="AK29" s="32">
        <f>SUM(AK26:AK28)</f>
        <v/>
      </c>
      <c r="AL29" s="32">
        <f>SUM(AL26:AL28)</f>
        <v/>
      </c>
      <c r="AM29" s="32">
        <f>SUM(AM26:AM28)</f>
        <v/>
      </c>
      <c r="AN29" s="32">
        <f>SUM(AN26:AN28)</f>
        <v/>
      </c>
      <c r="AO29" s="32">
        <f>SUM(AO26:AO28)</f>
        <v/>
      </c>
      <c r="AP29" s="32">
        <f>SUM(AP26:AP28)</f>
        <v/>
      </c>
      <c r="AQ29" s="32">
        <f>SUM(AQ26:AQ28)</f>
        <v/>
      </c>
      <c r="AR29" s="32">
        <f>SUM(AR26:AR28)</f>
        <v/>
      </c>
      <c r="AS29" s="32">
        <f>SUM(AS26:AS28)</f>
        <v/>
      </c>
      <c r="AT29" s="32">
        <f>SUM(AT26:AT28)</f>
        <v/>
      </c>
      <c r="AU29" s="32">
        <f>SUM(AU26:AU28)</f>
        <v/>
      </c>
      <c r="AV29" s="32">
        <f>SUM(AV26:AV28)</f>
        <v/>
      </c>
      <c r="AW29" s="32">
        <f>SUM(AW26:AW28)</f>
        <v/>
      </c>
      <c r="AX29" s="32">
        <f>SUM(AX26:AX28)</f>
        <v/>
      </c>
      <c r="AY29" s="32">
        <f>SUM(AY26:AY28)</f>
        <v/>
      </c>
      <c r="AZ29" s="32">
        <f>SUM(AZ26:AZ28)</f>
        <v/>
      </c>
      <c r="BA29" s="32">
        <f>SUM(BA26:BA28)</f>
        <v/>
      </c>
      <c r="BB29" s="32">
        <f>SUM(BB26:BB28)</f>
        <v/>
      </c>
      <c r="BC29" s="32">
        <f>SUM(BC26:BC28)</f>
        <v/>
      </c>
      <c r="BD29" s="32">
        <f>SUM(BD26:BD28)</f>
        <v/>
      </c>
      <c r="BE29" s="32">
        <f>SUM(BE26:BE28)</f>
        <v/>
      </c>
      <c r="BF29" s="32">
        <f>SUM(BF26:BF28)</f>
        <v/>
      </c>
      <c r="BG29" s="32">
        <f>SUM(BG26:BG28)</f>
        <v/>
      </c>
      <c r="BH29" s="32">
        <f>SUM(BH26:BH28)</f>
        <v/>
      </c>
      <c r="BI29" s="32">
        <f>SUM(BI26:BI28)</f>
        <v/>
      </c>
      <c r="BJ29" s="32">
        <f>SUM(BJ26:BJ28)</f>
        <v/>
      </c>
      <c r="BK29" s="32">
        <f>SUM(BK26:BK28)</f>
        <v/>
      </c>
      <c r="BL29" s="32">
        <f>SUM(BL26:BL28)</f>
        <v/>
      </c>
      <c r="BN29" s="32">
        <f>SUM(E29:P29)</f>
        <v/>
      </c>
      <c r="BO29" s="32">
        <f>SUM(Q29:AB29)</f>
        <v/>
      </c>
      <c r="BP29" s="32">
        <f>SUM(AC29:AN29)</f>
        <v/>
      </c>
      <c r="BQ29" s="32">
        <f>SUM(AO29:AZ29)</f>
        <v/>
      </c>
      <c r="BR29" s="32">
        <f>SUM(BA29:BL29)</f>
        <v/>
      </c>
    </row>
    <row r="31">
      <c r="B31" s="56" t="inlineStr">
        <is>
          <t>Average cost per person</t>
        </is>
      </c>
      <c r="C31" s="52"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28"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1" t="n">
        <v>2026</v>
      </c>
      <c r="E3" s="51" t="n">
        <v>2027</v>
      </c>
      <c r="F3" s="51" t="n">
        <v>2028</v>
      </c>
      <c r="G3" s="51" t="n">
        <v>2029</v>
      </c>
      <c r="H3" s="51" t="n">
        <v>2030</v>
      </c>
      <c r="I3" s="2" t="n"/>
      <c r="J3" s="2" t="n"/>
    </row>
    <row r="5">
      <c r="B5" s="1" t="inlineStr">
        <is>
          <t>VOLUME AND CUSTOMERS</t>
        </is>
      </c>
      <c r="C5" s="2" t="n"/>
      <c r="D5" s="2" t="n"/>
      <c r="E5" s="2" t="n"/>
      <c r="F5" s="2" t="n"/>
      <c r="G5" s="2" t="n"/>
      <c r="H5" s="2" t="n"/>
      <c r="I5" s="2" t="n"/>
      <c r="J5" s="2" t="n"/>
    </row>
    <row r="6">
      <c r="B6" s="25" t="inlineStr">
        <is>
          <t>Units sold</t>
        </is>
      </c>
      <c r="D6" s="40">
        <f>'Revenue Forecast'!BN34</f>
        <v/>
      </c>
      <c r="E6" s="40">
        <f>'Revenue Forecast'!BO34</f>
        <v/>
      </c>
      <c r="F6" s="40">
        <f>'Revenue Forecast'!BP34</f>
        <v/>
      </c>
      <c r="G6" s="40">
        <f>'Revenue Forecast'!BQ34</f>
        <v/>
      </c>
      <c r="H6" s="40">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25" t="inlineStr">
        <is>
          <t>Revenue</t>
        </is>
      </c>
      <c r="D14" s="32">
        <f>'Financial Statements'!BN6</f>
        <v/>
      </c>
      <c r="E14" s="32">
        <f>'Financial Statements'!BO6</f>
        <v/>
      </c>
      <c r="F14" s="32">
        <f>'Financial Statements'!BP6</f>
        <v/>
      </c>
      <c r="G14" s="32">
        <f>'Financial Statements'!BQ6</f>
        <v/>
      </c>
      <c r="H14" s="32">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28"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25" t="inlineStr">
        <is>
          <t>EBITDA</t>
        </is>
      </c>
      <c r="D18" s="32">
        <f>'Financial Statements'!BN16</f>
        <v/>
      </c>
      <c r="E18" s="32">
        <f>'Financial Statements'!BO16</f>
        <v/>
      </c>
      <c r="F18" s="32">
        <f>'Financial Statements'!BP16</f>
        <v/>
      </c>
      <c r="G18" s="32">
        <f>'Financial Statements'!BQ16</f>
        <v/>
      </c>
      <c r="H18" s="32">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25" t="inlineStr">
        <is>
          <t>Total headcount</t>
        </is>
      </c>
      <c r="D24" s="48">
        <f>Personnel!BN20</f>
        <v/>
      </c>
      <c r="E24" s="48">
        <f>Personnel!BO20</f>
        <v/>
      </c>
      <c r="F24" s="48">
        <f>Personnel!BP20</f>
        <v/>
      </c>
      <c r="G24" s="48">
        <f>Personnel!BQ20</f>
        <v/>
      </c>
      <c r="H24" s="48">
        <f>Personnel!BR20</f>
        <v/>
      </c>
    </row>
    <row r="26">
      <c r="B26" s="6" t="inlineStr">
        <is>
          <t>Revenue per person</t>
        </is>
      </c>
      <c r="D26" s="10">
        <f>IFERROR(D14/D24,0)</f>
        <v/>
      </c>
      <c r="E26" s="10">
        <f>IFERROR(E14/E24,0)</f>
        <v/>
      </c>
      <c r="F26" s="10">
        <f>IFERROR(F14/F24,0)</f>
        <v/>
      </c>
      <c r="G26" s="10">
        <f>IFERROR(G14/G24,0)</f>
        <v/>
      </c>
      <c r="H26" s="10">
        <f>IFERROR(H14/H24,0)</f>
        <v/>
      </c>
      <c r="J26" s="28"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28" t="inlineStr">
        <is>
          <t>shown negative like every other cost on this tab</t>
        </is>
      </c>
    </row>
    <row r="31">
      <c r="B31" s="25" t="inlineStr">
        <is>
          <t>Cash at year end</t>
        </is>
      </c>
      <c r="D31" s="32">
        <f>'Financial Statements'!BN40</f>
        <v/>
      </c>
      <c r="E31" s="32">
        <f>'Financial Statements'!BO40</f>
        <v/>
      </c>
      <c r="F31" s="32">
        <f>'Financial Statements'!BP40</f>
        <v/>
      </c>
      <c r="G31" s="32">
        <f>'Financial Statements'!BQ40</f>
        <v/>
      </c>
      <c r="H31" s="32">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28"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Statements'!$E$40:$BL$40,MATCH(Assumptions!$F$143,'Financial Statements'!$E$3:$BL$3,0)):INDEX('Financial Statements'!$E$40:$BL$40,60))</f>
        <v/>
      </c>
      <c r="J37" s="28" t="inlineStr">
        <is>
          <t>the moment the plan is closest to running out</t>
        </is>
      </c>
    </row>
    <row r="38">
      <c r="B38" s="8" t="inlineStr">
        <is>
          <t>The month it happens</t>
        </is>
      </c>
      <c r="D38" s="78">
        <f>INDEX('Financial Statements'!$E$3:$BL$3,MATCH(D37,INDEX('Financial Statements'!$E$40:$BL$40,MATCH(Assumptions!$F$143,'Financial Statements'!$E$3:$BL$3,0)):INDEX('Financial Statements'!$E$40:$BL$40,60),0)+MATCH(Assumptions!$F$143,'Financial Statements'!$E$3:$BL$3,0)-1)</f>
        <v/>
      </c>
    </row>
    <row r="39">
      <c r="B39" s="8" t="inlineStr">
        <is>
          <t>Lowest the cash balance gets before the raise</t>
        </is>
      </c>
      <c r="D39" s="10">
        <f>MIN(INDEX('Financial Statements'!$E$40:$BL$40,1):INDEX('Financial Statements'!$E$40:$BL$40,MATCH(Assumptions!$F$143,'Financial Statements'!$E$3:$BL$3,0)-1))</f>
        <v/>
      </c>
      <c r="J39" s="28"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1" t="inlineStr">
        <is>
          <t>Total money available</t>
        </is>
      </c>
      <c r="D43" s="32">
        <f>SUM(D40:D42)</f>
        <v/>
      </c>
    </row>
    <row r="44">
      <c r="B44" s="8" t="inlineStr">
        <is>
          <t>Production lines and tooling</t>
        </is>
      </c>
      <c r="D44" s="10">
        <f>SUMIF('Financial Statements'!$E$3:$BL$3,"&lt;="&amp;D38,'Financial Statements'!$E$61:$BL$61)</f>
        <v/>
      </c>
      <c r="J44" s="28"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28" t="inlineStr">
        <is>
          <t>trading losses plus the receivables the ramp ties up, less the payables it creates</t>
        </is>
      </c>
    </row>
    <row r="46">
      <c r="B46" s="8" t="inlineStr">
        <is>
          <t>Cash still in the bank at the low point</t>
        </is>
      </c>
      <c r="D46" s="10">
        <f>D37</f>
        <v/>
      </c>
      <c r="J46" s="28" t="inlineStr">
        <is>
          <t>negative means the plan has spent more than the money available</t>
        </is>
      </c>
    </row>
    <row r="47">
      <c r="B47" s="21" t="inlineStr">
        <is>
          <t>Total</t>
        </is>
      </c>
      <c r="D47" s="32">
        <f>SUM(D44:D46)</f>
        <v/>
      </c>
      <c r="J47" s="28"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Statements'!$E$40:$BL$40,MATCH(Assumptions!$F$143,'Financial Statements'!$E$3:$BL$3,0))</f>
        <v/>
      </c>
    </row>
    <row r="51">
      <c r="B51" s="8" t="inlineStr">
        <is>
          <t>Most of the raise ever drawn down</t>
        </is>
      </c>
      <c r="D51" s="10">
        <f>D50-D37</f>
        <v/>
      </c>
    </row>
    <row r="52">
      <c r="B52" s="21" t="inlineStr">
        <is>
          <t>Share of the raise the plan actually uses</t>
        </is>
      </c>
      <c r="D52" s="79">
        <f>IFERROR(D51/SUM(INDEX('Financial Statements'!$E$35:$BL$35,MATCH(Assumptions!$F$143,'Financial Statements'!$E$3:$BL$3,0)):INDEX('Financial Statements'!$E$35:$BL$35,60)),0)</f>
        <v/>
      </c>
      <c r="J52" s="28"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28"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2026-09-07T09:09:46Z</dcterms:created>
  <dcterms:modified xsi:type="dcterms:W3CDTF">2026-09-07T09:09:46Z</dcterms:modified>
</cp:coreProperties>
</file>