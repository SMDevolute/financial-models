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ng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;(0.0%)"/>
  </numFmts>
  <fonts count="16">
    <font>
      <name val="Calibri"/>
      <family val="2"/>
      <color theme="1"/>
      <sz val="11"/>
      <scheme val="minor"/>
    </font>
    <font>
      <name val="Arial"/>
      <color rgb="0018222F"/>
      <sz val="10"/>
    </font>
    <font>
      <name val="Arial"/>
      <b val="1"/>
      <color rgb="0018222F"/>
      <sz val="17"/>
    </font>
    <font>
      <name val="Arial"/>
      <color rgb="006B7686"/>
      <sz val="9.5"/>
    </font>
    <font>
      <name val="Arial"/>
      <b val="1"/>
      <color rgb="006B7686"/>
      <sz val="10"/>
    </font>
    <font>
      <name val="Arial"/>
      <color rgb="002F6FB0"/>
      <sz val="8.5"/>
    </font>
    <font>
      <name val="Arial"/>
      <color rgb="0018222F"/>
      <sz val="8.5"/>
    </font>
    <font>
      <name val="Arial"/>
      <color rgb="002F8F63"/>
      <sz val="8.5"/>
    </font>
    <font>
      <name val="Arial"/>
      <b val="1"/>
      <color rgb="00FFFFFF"/>
      <sz val="9.5"/>
    </font>
    <font>
      <name val="Arial"/>
      <b val="1"/>
      <color rgb="006B7686"/>
      <sz val="9"/>
    </font>
    <font>
      <name val="Arial"/>
      <b val="1"/>
      <color rgb="0018222F"/>
      <sz val="9.5"/>
    </font>
    <font>
      <name val="Arial"/>
      <color rgb="002F6FB0"/>
      <sz val="10"/>
    </font>
    <font>
      <name val="Arial"/>
      <b val="1"/>
      <color rgb="0018222F"/>
      <sz val="10"/>
    </font>
    <font>
      <name val="Arial"/>
      <i val="1"/>
      <color rgb="006B7686"/>
      <sz val="10"/>
    </font>
    <font>
      <name val="Arial"/>
      <color rgb="002F8F63"/>
      <sz val="10"/>
    </font>
    <font>
      <name val="Arial"/>
      <b val="1"/>
      <color rgb="002F8F63"/>
      <sz val="9"/>
    </font>
  </fonts>
  <fills count="4">
    <fill>
      <patternFill/>
    </fill>
    <fill>
      <patternFill patternType="gray125"/>
    </fill>
    <fill>
      <patternFill patternType="solid">
        <fgColor rgb="002A3A55"/>
      </patternFill>
    </fill>
    <fill>
      <patternFill patternType="solid">
        <fgColor rgb="00F7F8FA"/>
      </patternFill>
    </fill>
  </fills>
  <borders count="4">
    <border>
      <left/>
      <right/>
      <top/>
      <bottom/>
      <diagonal/>
    </border>
    <border>
      <bottom style="thin">
        <color rgb="002A3A55"/>
      </bottom>
    </border>
    <border>
      <top style="thin">
        <color rgb="0018222F"/>
      </top>
    </border>
    <border>
      <top style="medium">
        <color rgb="002A3A55"/>
      </top>
    </border>
  </borders>
  <cellStyleXfs count="1">
    <xf numFmtId="0" fontId="1" fillId="0" borderId="0"/>
  </cellStyleXfs>
  <cellXfs count="26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" fillId="0" borderId="0" pivotButton="0" quotePrefix="0" xfId="0"/>
    <xf numFmtId="0" fontId="10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164" fontId="11" fillId="3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164" fontId="12" fillId="0" borderId="2" applyAlignment="1" pivotButton="0" quotePrefix="0" xfId="0">
      <alignment horizontal="right" vertical="center"/>
    </xf>
    <xf numFmtId="0" fontId="13" fillId="3" borderId="0" applyAlignment="1" pivotButton="0" quotePrefix="0" xfId="0">
      <alignment horizontal="left" vertical="center"/>
    </xf>
    <xf numFmtId="165" fontId="1" fillId="3" borderId="0" applyAlignment="1" pivotButton="0" quotePrefix="0" xfId="0">
      <alignment horizontal="right" vertical="center"/>
    </xf>
    <xf numFmtId="164" fontId="14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164" fontId="12" fillId="0" borderId="3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26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 ht="24" customHeight="1">
      <c r="B2" s="1" t="inlineStr">
        <is>
          <t>Acme SaaS Inc.</t>
        </is>
      </c>
    </row>
    <row r="3">
      <c r="B3" s="2" t="inlineStr">
        <is>
          <t>Illustrative operating model · $000s · fiscal year ending Dec</t>
        </is>
      </c>
    </row>
    <row r="4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B5" s="4" t="inlineStr">
        <is>
          <t>Key:</t>
        </is>
      </c>
      <c r="C5" s="5" t="inlineStr">
        <is>
          <t>● Input</t>
        </is>
      </c>
      <c r="D5" s="6" t="inlineStr">
        <is>
          <t>● Formula</t>
        </is>
      </c>
      <c r="E5" s="7" t="inlineStr">
        <is>
          <t>● Link</t>
        </is>
      </c>
    </row>
    <row r="7" ht="18" customHeight="1">
      <c r="B7" s="8" t="inlineStr">
        <is>
          <t>REVENUE BUILD</t>
        </is>
      </c>
      <c r="C7" s="9" t="n"/>
      <c r="D7" s="9" t="n"/>
      <c r="E7" s="9" t="n"/>
      <c r="F7" s="9" t="n"/>
      <c r="G7" s="9" t="n"/>
    </row>
    <row r="9">
      <c r="B9" s="10" t="inlineStr">
        <is>
          <t>$000s</t>
        </is>
      </c>
      <c r="C9" s="11" t="inlineStr">
        <is>
          <t>FY24A</t>
        </is>
      </c>
      <c r="D9" s="11" t="inlineStr">
        <is>
          <t>FY25E</t>
        </is>
      </c>
      <c r="E9" s="11" t="inlineStr">
        <is>
          <t>FY26E</t>
        </is>
      </c>
      <c r="F9" s="11" t="inlineStr">
        <is>
          <t>FY27E</t>
        </is>
      </c>
      <c r="G9" s="11" t="inlineStr">
        <is>
          <t>FY28E</t>
        </is>
      </c>
    </row>
    <row r="10">
      <c r="B10" s="12" t="inlineStr">
        <is>
          <t>Customers (avg)</t>
        </is>
      </c>
      <c r="C10" s="13" t="n">
        <v>1200</v>
      </c>
      <c r="D10" s="13" t="n">
        <v>1620</v>
      </c>
      <c r="E10" s="13" t="n">
        <v>2100</v>
      </c>
      <c r="F10" s="13" t="n">
        <v>2650</v>
      </c>
      <c r="G10" s="13" t="n">
        <v>3250</v>
      </c>
    </row>
    <row r="11">
      <c r="B11" s="14" t="inlineStr">
        <is>
          <t>ARPA ($/yr)</t>
        </is>
      </c>
      <c r="C11" s="15" t="n">
        <v>4800</v>
      </c>
      <c r="D11" s="15" t="n">
        <v>5100</v>
      </c>
      <c r="E11" s="15" t="n">
        <v>5350</v>
      </c>
      <c r="F11" s="15" t="n">
        <v>5550</v>
      </c>
      <c r="G11" s="15" t="n">
        <v>5700</v>
      </c>
    </row>
    <row r="12">
      <c r="B12" s="16" t="inlineStr">
        <is>
          <t>Revenue</t>
        </is>
      </c>
      <c r="C12" s="17">
        <f>C10*C11/1000</f>
        <v/>
      </c>
      <c r="D12" s="17">
        <f>D10*D11/1000</f>
        <v/>
      </c>
      <c r="E12" s="17">
        <f>E10*E11/1000</f>
        <v/>
      </c>
      <c r="F12" s="17">
        <f>F10*F11/1000</f>
        <v/>
      </c>
      <c r="G12" s="17">
        <f>G10*G11/1000</f>
        <v/>
      </c>
    </row>
    <row r="13">
      <c r="B13" s="18" t="inlineStr">
        <is>
          <t xml:space="preserve">  growth %</t>
        </is>
      </c>
      <c r="C13" s="19" t="inlineStr"/>
      <c r="D13" s="19">
        <f>D12/C12-1</f>
        <v/>
      </c>
      <c r="E13" s="19">
        <f>E12/D12-1</f>
        <v/>
      </c>
      <c r="F13" s="19">
        <f>F12/E12-1</f>
        <v/>
      </c>
      <c r="G13" s="19">
        <f>G12/F12-1</f>
        <v/>
      </c>
    </row>
    <row r="15" ht="18" customHeight="1">
      <c r="B15" s="8" t="inlineStr">
        <is>
          <t>PROFIT &amp; LOSS</t>
        </is>
      </c>
      <c r="C15" s="9" t="n"/>
      <c r="D15" s="9" t="n"/>
      <c r="E15" s="9" t="n"/>
      <c r="F15" s="9" t="n"/>
      <c r="G15" s="9" t="n"/>
    </row>
    <row r="17">
      <c r="B17" s="10" t="inlineStr">
        <is>
          <t>$000s</t>
        </is>
      </c>
      <c r="C17" s="11" t="inlineStr">
        <is>
          <t>FY24A</t>
        </is>
      </c>
      <c r="D17" s="11" t="inlineStr">
        <is>
          <t>FY25E</t>
        </is>
      </c>
      <c r="E17" s="11" t="inlineStr">
        <is>
          <t>FY26E</t>
        </is>
      </c>
      <c r="F17" s="11" t="inlineStr">
        <is>
          <t>FY27E</t>
        </is>
      </c>
      <c r="G17" s="11" t="inlineStr">
        <is>
          <t>FY28E</t>
        </is>
      </c>
    </row>
    <row r="18">
      <c r="B18" s="12" t="inlineStr">
        <is>
          <t>Revenue</t>
        </is>
      </c>
      <c r="C18" s="20">
        <f>C12</f>
        <v/>
      </c>
      <c r="D18" s="20">
        <f>D12</f>
        <v/>
      </c>
      <c r="E18" s="20">
        <f>E12</f>
        <v/>
      </c>
      <c r="F18" s="20">
        <f>F12</f>
        <v/>
      </c>
      <c r="G18" s="20">
        <f>G12</f>
        <v/>
      </c>
    </row>
    <row r="19">
      <c r="B19" s="12" t="inlineStr">
        <is>
          <t>Cost of revenue</t>
        </is>
      </c>
      <c r="C19" s="21">
        <f>-C18*0.22</f>
        <v/>
      </c>
      <c r="D19" s="21">
        <f>-D18*0.22</f>
        <v/>
      </c>
      <c r="E19" s="21">
        <f>-E18*0.22</f>
        <v/>
      </c>
      <c r="F19" s="21">
        <f>-F18*0.22</f>
        <v/>
      </c>
      <c r="G19" s="21">
        <f>-G18*0.22</f>
        <v/>
      </c>
    </row>
    <row r="20">
      <c r="B20" s="16" t="inlineStr">
        <is>
          <t>Gross profit</t>
        </is>
      </c>
      <c r="C20" s="17">
        <f>C18+C19</f>
        <v/>
      </c>
      <c r="D20" s="17">
        <f>D18+D19</f>
        <v/>
      </c>
      <c r="E20" s="17">
        <f>E18+E19</f>
        <v/>
      </c>
      <c r="F20" s="17">
        <f>F18+F19</f>
        <v/>
      </c>
      <c r="G20" s="17">
        <f>G18+G19</f>
        <v/>
      </c>
    </row>
    <row r="21">
      <c r="B21" s="18" t="inlineStr">
        <is>
          <t xml:space="preserve">  gross margin %</t>
        </is>
      </c>
      <c r="C21" s="19">
        <f>C20/C18</f>
        <v/>
      </c>
      <c r="D21" s="19">
        <f>D20/D18</f>
        <v/>
      </c>
      <c r="E21" s="19">
        <f>E20/E18</f>
        <v/>
      </c>
      <c r="F21" s="19">
        <f>F20/F18</f>
        <v/>
      </c>
      <c r="G21" s="19">
        <f>G20/G18</f>
        <v/>
      </c>
    </row>
    <row r="22">
      <c r="B22" s="12" t="inlineStr">
        <is>
          <t>Operating expenses</t>
        </is>
      </c>
      <c r="C22" s="21">
        <f>-C18*0.55</f>
        <v/>
      </c>
      <c r="D22" s="21">
        <f>-D18*0.55</f>
        <v/>
      </c>
      <c r="E22" s="21">
        <f>-E18*0.55</f>
        <v/>
      </c>
      <c r="F22" s="21">
        <f>-F18*0.55</f>
        <v/>
      </c>
      <c r="G22" s="21">
        <f>-G18*0.55</f>
        <v/>
      </c>
    </row>
    <row r="23">
      <c r="B23" s="16" t="inlineStr">
        <is>
          <t>EBITDA</t>
        </is>
      </c>
      <c r="C23" s="22">
        <f>C20+C22</f>
        <v/>
      </c>
      <c r="D23" s="22">
        <f>D20+D22</f>
        <v/>
      </c>
      <c r="E23" s="22">
        <f>E20+E22</f>
        <v/>
      </c>
      <c r="F23" s="22">
        <f>F20+F22</f>
        <v/>
      </c>
      <c r="G23" s="22">
        <f>G20+G22</f>
        <v/>
      </c>
    </row>
    <row r="24">
      <c r="B24" s="23" t="inlineStr">
        <is>
          <t xml:space="preserve">  EBITDA margin %</t>
        </is>
      </c>
      <c r="C24" s="24">
        <f>C23/C18</f>
        <v/>
      </c>
      <c r="D24" s="24">
        <f>D23/D18</f>
        <v/>
      </c>
      <c r="E24" s="24">
        <f>E23/E18</f>
        <v/>
      </c>
      <c r="F24" s="24">
        <f>F23/F18</f>
        <v/>
      </c>
      <c r="G24" s="24">
        <f>G23/G18</f>
        <v/>
      </c>
    </row>
    <row r="26">
      <c r="B26" s="23" t="inlineStr">
        <is>
          <t>Check — balances</t>
        </is>
      </c>
      <c r="C26" s="25">
        <f>IF(ABS(C12-C18)&lt;0.5,"OK — revenue ties","CHECK")</f>
        <v/>
      </c>
    </row>
  </sheetData>
  <printOptions horizontalCentered="0"/>
  <pageMargins left="0.5" right="0.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2026-06-25T08:07:03Z</dcterms:created>
  <dcterms:modified xsi:type="dcterms:W3CDTF">2026-06-25T08:07:03Z</dcterms:modified>
</cp:coreProperties>
</file>